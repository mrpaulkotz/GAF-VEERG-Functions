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D09F74E-6AFB-4A15-95E7-CE41317E76E1}" xr6:coauthVersionLast="47" xr6:coauthVersionMax="47" xr10:uidLastSave="{00000000-0000-0000-0000-000000000000}"/>
  <bookViews>
    <workbookView xWindow="4290" yWindow="4290" windowWidth="28800" windowHeight="15345" firstSheet="7" activeTab="7" xr2:uid="{992023F3-CAB7-4E5B-A348-08D563A0EF40}"/>
  </bookViews>
  <sheets>
    <sheet name="Home" sheetId="71" r:id="rId1"/>
    <sheet name="Overview" sheetId="109" r:id="rId2"/>
    <sheet name="Results" sheetId="13" r:id="rId3"/>
    <sheet name="Input - Site" sheetId="15" r:id="rId4"/>
    <sheet name="Input - Swine" sheetId="70" r:id="rId5"/>
    <sheet name="3.5.1.1-2 Enteric Methane" sheetId="69" r:id="rId6"/>
    <sheet name="Constants - Swine" sheetId="79" r:id="rId7"/>
    <sheet name="Constants - Common" sheetId="111" r:id="rId8"/>
    <sheet name="Constants - Livestock" sheetId="43" r:id="rId9"/>
    <sheet name="Acknowledgements" sheetId="72" r:id="rId10"/>
  </sheets>
  <externalReferences>
    <externalReference r:id="rId11"/>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1" i="69" l="1"/>
  <c r="G61" i="69"/>
  <c r="E259" i="111" a="1"/>
  <c r="E259" i="111" s="1"/>
  <c r="D259" i="111" a="1"/>
  <c r="D259" i="111" s="1"/>
  <c r="E258" i="111" a="1"/>
  <c r="E258" i="111" s="1"/>
  <c r="D258" i="111" a="1"/>
  <c r="D258" i="111" s="1"/>
  <c r="D256" i="111" a="1"/>
  <c r="D256" i="111" s="1"/>
  <c r="D255" i="111" a="1"/>
  <c r="D255" i="111" s="1"/>
  <c r="D254" i="111" a="1"/>
  <c r="D254" i="111" s="1"/>
  <c r="D253" i="111" a="1"/>
  <c r="D253" i="111" s="1"/>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9" i="111" a="1"/>
  <c r="D99"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D132" i="79" a="1"/>
  <c r="D132" i="79" s="1"/>
  <c r="E132" i="79" a="1"/>
  <c r="E132" i="79" s="1"/>
  <c r="D131" i="79" a="1"/>
  <c r="D131" i="79" s="1"/>
  <c r="E131" i="79" a="1"/>
  <c r="E131" i="79" s="1"/>
  <c r="D130" i="79" a="1"/>
  <c r="D130" i="79" s="1"/>
  <c r="E130" i="79" a="1"/>
  <c r="E130" i="79" s="1"/>
  <c r="D129" i="79" a="1"/>
  <c r="D129" i="79" s="1"/>
  <c r="E129" i="79" a="1"/>
  <c r="E129" i="79" s="1"/>
  <c r="E128" i="79" a="1"/>
  <c r="E128" i="79" s="1"/>
  <c r="D128" i="79" a="1"/>
  <c r="D128" i="79" s="1"/>
  <c r="D126" i="79" a="1"/>
  <c r="D126" i="79" s="1"/>
  <c r="D125" i="79" a="1"/>
  <c r="D125" i="79" s="1"/>
  <c r="A18" i="109"/>
  <c r="A17" i="109"/>
  <c r="A16" i="109"/>
  <c r="A15" i="109"/>
  <c r="A12" i="109"/>
  <c r="A9" i="109"/>
  <c r="A8" i="109"/>
  <c r="A5" i="109"/>
  <c r="A4" i="109"/>
  <c r="A3" i="10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2" i="13"/>
  <c r="O63" i="69" a="1"/>
  <c r="O63" i="69" s="1"/>
  <c r="M60" i="69" a="1"/>
  <c r="M60" i="69" s="1"/>
  <c r="I40" i="69" a="1"/>
  <c r="I40" i="69" s="1"/>
  <c r="I39" i="69" a="1"/>
  <c r="I39" i="69" s="1"/>
  <c r="I41" i="69" a="1"/>
  <c r="I41" i="69" s="1"/>
  <c r="G39" i="69" a="1"/>
  <c r="G39" i="69" s="1"/>
  <c r="D39" i="69" a="1"/>
  <c r="D39" i="69" s="1"/>
  <c r="E37" i="69" a="1"/>
  <c r="E37" i="69" s="1"/>
  <c r="O58" i="69" s="1"/>
  <c r="E36" i="69" a="1"/>
  <c r="E36" i="69" s="1"/>
  <c r="D31" i="69" a="1"/>
  <c r="D31" i="69" s="1"/>
  <c r="D30" i="69" a="1"/>
  <c r="D30" i="69" s="1"/>
  <c r="F122" i="79" a="1"/>
  <c r="F122" i="79" s="1"/>
  <c r="E122" i="79" a="1"/>
  <c r="E122" i="79" s="1"/>
  <c r="I16" i="69" s="1"/>
  <c r="D122" i="79" a="1"/>
  <c r="D122" i="79" s="1"/>
  <c r="D121" i="79" a="1"/>
  <c r="D121" i="79" s="1"/>
  <c r="D120" i="79" a="1"/>
  <c r="D120" i="79" s="1"/>
  <c r="G13" i="69" a="1"/>
  <c r="G13" i="69" s="1"/>
  <c r="Q21" i="69" s="1"/>
  <c r="D13" i="69" a="1"/>
  <c r="D13" i="69" s="1"/>
  <c r="E11" i="69" a="1"/>
  <c r="E11" i="69" s="1"/>
  <c r="Q26" i="69" s="1"/>
  <c r="E10" i="69" a="1"/>
  <c r="E10" i="69" s="1"/>
  <c r="D6" i="69" a="1"/>
  <c r="D6" i="69" s="1"/>
  <c r="D5" i="69" a="1"/>
  <c r="D5" i="69" s="1"/>
  <c r="E7" i="69" a="1"/>
  <c r="H54" i="111" l="1"/>
  <c r="H52" i="111"/>
  <c r="H51" i="111"/>
  <c r="H48" i="111"/>
  <c r="H49" i="111"/>
  <c r="H53" i="111"/>
  <c r="H50" i="111"/>
  <c r="Q56" i="69"/>
  <c r="E7" i="69"/>
  <c r="I15" i="69"/>
  <c r="I14" i="69"/>
  <c r="A4" i="13" l="1"/>
  <c r="A92" i="70"/>
  <c r="A46" i="70"/>
  <c r="A117" i="79"/>
  <c r="A63" i="79"/>
  <c r="A266" i="69"/>
  <c r="A231" i="69"/>
  <c r="A213" i="69"/>
  <c r="A186" i="69"/>
  <c r="A110" i="69"/>
  <c r="A70" i="69"/>
  <c r="I13" i="69" a="1"/>
  <c r="I13" i="69" s="1"/>
  <c r="H21" i="69"/>
  <c r="H46" i="69"/>
  <c r="H51" i="69" l="1"/>
  <c r="A18" i="13" l="1"/>
  <c r="A17" i="13"/>
  <c r="A16" i="13"/>
  <c r="A15" i="13"/>
  <c r="A9" i="13"/>
  <c r="A8" i="13"/>
  <c r="A5" i="13"/>
  <c r="A3" i="13"/>
  <c r="G93" i="79" l="1" a="1"/>
  <c r="G93" i="79" s="1"/>
  <c r="G92" i="79" a="1"/>
  <c r="G92" i="79" s="1"/>
  <c r="G91" i="79" a="1"/>
  <c r="G91" i="79" s="1"/>
  <c r="G90" i="79" a="1"/>
  <c r="G90" i="79" s="1"/>
  <c r="D93" i="79" a="1"/>
  <c r="D93" i="79" s="1"/>
  <c r="D16" i="79" a="1"/>
  <c r="D16" i="79" s="1"/>
  <c r="F17" i="79" a="1"/>
  <c r="F17" i="79" s="1"/>
  <c r="E17" i="79" a="1"/>
  <c r="E17" i="79" s="1"/>
  <c r="D17" i="79" a="1"/>
  <c r="D17" i="79" s="1"/>
  <c r="D15" i="79" a="1"/>
  <c r="D15" i="79" s="1"/>
  <c r="D14" i="79" a="1"/>
  <c r="D14" i="79" s="1"/>
  <c r="F117" i="79" l="1"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G51" i="69"/>
  <c r="F51" i="69"/>
  <c r="E51" i="69"/>
  <c r="D51" i="69"/>
  <c r="H15" i="70" l="1" a="1"/>
  <c r="H15" i="70" s="1"/>
  <c r="P21" i="69" s="1"/>
  <c r="P26" i="69" s="1" a="1"/>
  <c r="P26" i="69" s="1"/>
  <c r="F15" i="70" a="1"/>
  <c r="F15" i="70" s="1"/>
  <c r="N21" i="69" s="1"/>
  <c r="N26" i="69" s="1" a="1"/>
  <c r="N26" i="69" s="1"/>
  <c r="E15" i="70" a="1"/>
  <c r="E15" i="70" s="1"/>
  <c r="M21" i="69" s="1"/>
  <c r="M26" i="69" s="1" a="1"/>
  <c r="M26" i="69" s="1"/>
  <c r="H12" i="70" a="1"/>
  <c r="H12" i="70" s="1"/>
  <c r="G21" i="69" s="1"/>
  <c r="G26" i="69" s="1" a="1"/>
  <c r="G26" i="69" s="1"/>
  <c r="G12" i="70" a="1"/>
  <c r="G12" i="70" s="1"/>
  <c r="F21" i="69" s="1"/>
  <c r="F26" i="69" s="1" a="1"/>
  <c r="F26" i="69" s="1"/>
  <c r="F12" i="70" a="1"/>
  <c r="F12" i="70" s="1"/>
  <c r="E21" i="69" s="1"/>
  <c r="E26" i="69" s="1" a="1"/>
  <c r="E26" i="69" s="1"/>
  <c r="E56" i="69" s="1" a="1"/>
  <c r="E56" i="69" s="1"/>
  <c r="E12" i="70" a="1"/>
  <c r="E12" i="70" s="1"/>
  <c r="D21" i="69" s="1"/>
  <c r="D26" i="69" s="1" a="1"/>
  <c r="D26" i="69" s="1"/>
  <c r="G15" i="70" a="1"/>
  <c r="G15" i="70" s="1"/>
  <c r="O21" i="69" s="1"/>
  <c r="O26" i="69" s="1" a="1"/>
  <c r="O26" i="69" s="1"/>
  <c r="O56" i="69" s="1" a="1"/>
  <c r="O56" i="69" s="1"/>
  <c r="D6" i="70"/>
  <c r="D7" i="70"/>
  <c r="G46" i="69"/>
  <c r="F46" i="69"/>
  <c r="E46" i="69"/>
  <c r="D46" i="69"/>
  <c r="F56" i="69" l="1" a="1"/>
  <c r="F56" i="69" s="1"/>
  <c r="G56" i="69" a="1"/>
  <c r="G56" i="69" s="1"/>
  <c r="M56" i="69" a="1"/>
  <c r="M56" i="69" s="1"/>
  <c r="N56" i="69" a="1"/>
  <c r="N56" i="69" s="1"/>
  <c r="P56" i="69" a="1"/>
  <c r="P56" i="69" s="1"/>
  <c r="D56" i="69" a="1"/>
  <c r="D56" i="69" s="1"/>
  <c r="F63" i="69" a="1"/>
  <c r="F63" i="69" s="1"/>
  <c r="D60" i="69" a="1"/>
  <c r="D60"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32" i="69" a="1"/>
  <c r="N58" i="69" l="1"/>
  <c r="P60" i="69" s="1"/>
  <c r="N63" i="69" s="1" a="1"/>
  <c r="N63" i="69" s="1"/>
  <c r="I7" i="13" s="1"/>
  <c r="I8" i="13" s="1"/>
  <c r="F58" i="69"/>
  <c r="H26" i="69"/>
  <c r="E32" i="69"/>
  <c r="H56" i="69"/>
  <c r="F7" i="13" l="1"/>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44" i="79" l="1"/>
  <c r="H43" i="79"/>
  <c r="L44" i="79"/>
  <c r="D45" i="79"/>
  <c r="K45" i="79"/>
  <c r="G44" i="79"/>
  <c r="D58" i="79"/>
  <c r="K41" i="79"/>
  <c r="G41" i="79"/>
  <c r="D41" i="79"/>
  <c r="D54" i="79"/>
  <c r="E45" i="79"/>
  <c r="L45" i="79"/>
  <c r="H44" i="79"/>
  <c r="D42" i="79"/>
  <c r="K42" i="79"/>
  <c r="D55" i="79"/>
  <c r="E42" i="79"/>
  <c r="L42" i="79"/>
  <c r="G45" i="79"/>
  <c r="K46" i="79"/>
  <c r="D46" i="79"/>
  <c r="D59" i="79"/>
  <c r="G43" i="79"/>
  <c r="K44" i="79"/>
  <c r="D57" i="79"/>
  <c r="D44" i="79"/>
  <c r="L41" i="79"/>
  <c r="H41" i="79"/>
  <c r="E41" i="79"/>
  <c r="E46" i="79"/>
  <c r="H45" i="79"/>
  <c r="L46" i="79"/>
  <c r="D43" i="79"/>
  <c r="G42" i="79"/>
  <c r="D56" i="79"/>
  <c r="K43" i="79"/>
  <c r="L43" i="79"/>
  <c r="H42" i="79"/>
  <c r="E43" i="79"/>
  <c r="D60" i="79"/>
  <c r="D47" i="79"/>
  <c r="E13" i="15" l="1"/>
  <c r="E58" i="69" l="1"/>
  <c r="E7" i="13" s="1"/>
  <c r="G60" i="69" l="1"/>
  <c r="E63" i="69" s="1" a="1"/>
  <c r="E63" i="69" s="1"/>
  <c r="H7" i="13" s="1"/>
  <c r="H8"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<sst xmlns="http://schemas.openxmlformats.org/spreadsheetml/2006/main" count="265" uniqueCount="174">
  <si>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</si>
  <si>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</si>
  <si>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</si>
  <si>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</si>
  <si>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</si>
  <si>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</si>
  <si>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</si>
  <si>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</si>
  <si>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</si>
  <si>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</si>
  <si>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</si>
  <si>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</si>
  <si>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</si>
  <si>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</si>
  <si>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</si>
  <si>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</si>
  <si>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</si>
  <si>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</si>
  <si>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</si>
  <si>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</si>
  <si>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</si>
  <si>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</si>
  <si>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</si>
  <si>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</si>
  <si>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</si>
  <si>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</si>
  <si>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</si>
  <si>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</si>
  <si>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</si>
  <si>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</si>
  <si>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</si>
  <si>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</si>
  <si>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</si>
  <si>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</si>
  <si>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</si>
  <si>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</si>
  <si>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</si>
  <si>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</si>
  <si>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</si>
  <si>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</si>
  <si>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</si>
  <si>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</si>
  <si>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</si>
  <si>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</si>
  <si>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</si>
  <si>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</si>
  <si>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</si>
  <si>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</si>
  <si>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</si>
  <si>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</si>
  <si>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</si>
  <si>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</si>
  <si>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</si>
  <si>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</si>
  <si>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</si>
  <si>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</si>
  <si>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</si>
  <si>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</si>
  <si>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</si>
  <si>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</si>
  <si>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</si>
  <si>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</si>
  <si>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</si>
  <si>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</si>
  <si>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</si>
  <si>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</si>
  <si>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</si>
  <si>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</si>
  <si>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</si>
  <si>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</si>
  <si>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</si>
  <si>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</si>
  <si>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</si>
  <si>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</si>
  <si>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</si>
  <si>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</si>
  <si>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</si>
  <si>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</si>
  <si>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</si>
  <si>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</si>
  <si>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</si>
  <si>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</si>
  <si>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</si>
  <si>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</si>
  <si>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</si>
  <si>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</si>
  <si>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</si>
  <si>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</si>
  <si>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</si>
  <si>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</si>
  <si>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</si>
  <si>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</si>
  <si>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</si>
  <si>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</si>
  <si>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t CH4</t>
  </si>
  <si>
    <t>Irrigation type i</t>
  </si>
  <si>
    <t>t CO2e</t>
  </si>
  <si>
    <t>EFPRP</t>
  </si>
  <si>
    <t>GHG emissions method 1</t>
  </si>
  <si>
    <t>GHG emissions method 2</t>
  </si>
  <si>
    <t>CO2-e emissions method 1</t>
  </si>
  <si>
    <t>CO2-e emissions method 2</t>
  </si>
  <si>
    <t>Season</t>
  </si>
  <si>
    <t>Crop</t>
  </si>
  <si>
    <t>Acknowledgements</t>
  </si>
  <si>
    <t>Input -Swine</t>
  </si>
  <si>
    <t>Constants - Swine</t>
  </si>
  <si>
    <t>Boars</t>
  </si>
  <si>
    <t>Sows</t>
  </si>
  <si>
    <t>Gilts</t>
  </si>
  <si>
    <t>Volatile solids produced per head per day</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</si>
  <si>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</si>
  <si>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</si>
  <si>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</si>
  <si>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</si>
  <si>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</si>
  <si>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</si>
  <si>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</si>
  <si>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</si>
  <si>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</si>
  <si>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</si>
  <si>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</si>
  <si>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Table_D_j</t>
  </si>
  <si>
    <t>Duration of stay of each class of swine</t>
  </si>
  <si>
    <t>Table_N_j</t>
  </si>
  <si>
    <t>Number of head for each swine class</t>
  </si>
  <si>
    <t>ECH4</t>
  </si>
  <si>
    <t>Method 1 default values (Do not edit)</t>
  </si>
  <si>
    <t>Method 2 custom values (Edit if known)</t>
  </si>
  <si>
    <t>Others</t>
  </si>
  <si>
    <t>NWj</t>
  </si>
  <si>
    <t>NWj Daily</t>
  </si>
  <si>
    <t>Ij</t>
  </si>
  <si>
    <t>MMSm</t>
  </si>
  <si>
    <t>FracGASMmT</t>
  </si>
  <si>
    <t>NIR reference</t>
  </si>
  <si>
    <t>EFmT</t>
  </si>
  <si>
    <t>Swine crop or pasture production systems</t>
  </si>
  <si>
    <t>Class name</t>
  </si>
  <si>
    <t>Pasture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</si>
  <si>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</si>
  <si>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</si>
  <si>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</si>
  <si>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</si>
  <si>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</si>
  <si>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</si>
  <si>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</si>
  <si>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</si>
  <si>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</si>
  <si>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</si>
  <si>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</si>
  <si>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</si>
  <si>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</si>
  <si>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</si>
  <si>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</si>
  <si>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Feed intake</t>
  </si>
  <si>
    <t>M1_Table_I_j</t>
  </si>
  <si>
    <t>Feed intake (Method 1)</t>
  </si>
  <si>
    <t>M1_Table_M_j</t>
  </si>
  <si>
    <t>Daily enteric methane production (Method 1)</t>
  </si>
  <si>
    <t>3.5.1.1-2 Enteric methane</t>
  </si>
  <si>
    <t>M1_Table_E_enteric</t>
  </si>
  <si>
    <t>Methane emissions from enteric fermentation (Method 1)</t>
  </si>
  <si>
    <r>
      <t>E</t>
    </r>
    <r>
      <rPr>
        <b/>
        <vertAlign val="subscript"/>
        <sz val="12"/>
        <color theme="1" tint="0.24994659260841701"/>
        <rFont val="Times New Roman"/>
        <family val="1"/>
      </rPr>
      <t>CO2e</t>
    </r>
  </si>
  <si>
    <t>M2_Table_E_enteric</t>
  </si>
  <si>
    <t>Methane emissions from enteric fermentation (Method 2)</t>
  </si>
  <si>
    <t>3.5 Enteric Methane: Swine: Results</t>
  </si>
  <si>
    <t>3.5 Enteric Methane: Swine: Overview</t>
  </si>
  <si>
    <t>💡 Below is a diagram that maps the equations used to calculate emissions, and how they interact with each other.</t>
  </si>
  <si>
    <t xml:space="preserve">    Click on a box to go to the corresponding calculation.</t>
  </si>
  <si>
    <t>Livestock type j</t>
  </si>
  <si>
    <t>Average liveweight (kg)</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</si>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</sst>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u/>
      <sz val="10"/>
      <color rgb="FF008000"/>
      <name val="Times New Roman"/>
      <family val="2"/>
      <scheme val="minor"/>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2"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2" fillId="4" borderId="0">
      <alignment horizontal="left" vertical="center"/>
    </xf>
    <xf numFmtId="0" fontId="38"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3" fillId="4" borderId="0">
      <alignment horizontal="left" vertical="center"/>
    </xf>
    <xf numFmtId="0" fontId="46" fillId="11" borderId="0">
      <alignment horizontal="center" vertical="center"/>
    </xf>
    <xf numFmtId="0" fontId="21" fillId="11" borderId="0">
      <alignment horizontal="left" vertical="center" indent="1"/>
    </xf>
    <xf numFmtId="0" fontId="59" fillId="15" borderId="2">
      <alignment horizontal="center" vertical="center"/>
    </xf>
    <xf numFmtId="0" fontId="60" fillId="16" borderId="2">
      <alignment horizontal="center" vertical="center"/>
    </xf>
    <xf numFmtId="0" fontId="62" fillId="0" borderId="0" applyNumberFormat="0" applyFill="0" applyBorder="0" applyAlignment="0" applyProtection="0"/>
    <xf numFmtId="0" fontId="61" fillId="4" borderId="2">
      <alignment horizontal="left" vertical="center"/>
    </xf>
    <xf numFmtId="0" fontId="34" fillId="4" borderId="2">
      <alignment horizontal="left" vertical="center"/>
    </xf>
    <xf numFmtId="0" fontId="63" fillId="0" borderId="0"/>
  </cellStyleXfs>
  <cellXfs count="126">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8" fillId="9" borderId="5" xfId="36">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9" fillId="4" borderId="0" xfId="8" applyAlignment="1">
      <alignment horizontal="right" vertical="center"/>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6" fillId="0" borderId="0" xfId="0" applyFont="1"/>
    <xf numFmtId="0" fontId="39" fillId="4" borderId="1" xfId="8" applyBorder="1">
      <alignment horizontal="left" vertical="center"/>
    </xf>
    <xf numFmtId="4" fontId="25" fillId="0" borderId="0" xfId="18" applyFont="1" applyBorder="1">
      <alignment horizontal="center" vertical="center"/>
    </xf>
    <xf numFmtId="0" fontId="52"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3" fillId="0" borderId="0" xfId="35" applyFont="1">
      <alignment horizontal="left" vertical="center" indent="1"/>
    </xf>
    <xf numFmtId="0" fontId="11" fillId="0" borderId="0" xfId="33"/>
    <xf numFmtId="0" fontId="3" fillId="4" borderId="3" xfId="7" applyBorder="1">
      <alignment horizontal="left" vertical="center"/>
    </xf>
    <xf numFmtId="166" fontId="34" fillId="4" borderId="2" xfId="43" applyNumberFormat="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2"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0" fontId="39" fillId="14" borderId="0" xfId="8" applyFill="1">
      <alignment horizontal="left" vertical="center"/>
    </xf>
    <xf numFmtId="9" fontId="8" fillId="4" borderId="0" xfId="11">
      <alignment horizontal="center" vertical="center"/>
    </xf>
    <xf numFmtId="164" fontId="8" fillId="4" borderId="0" xfId="10">
      <alignment horizontal="center" vertical="center"/>
    </xf>
    <xf numFmtId="0" fontId="40" fillId="4" borderId="1" xfId="8" applyFont="1" applyBorder="1">
      <alignment horizontal="left" vertical="center"/>
    </xf>
    <xf numFmtId="2" fontId="31" fillId="4" borderId="1" xfId="0" applyNumberFormat="1" applyFont="1" applyFill="1" applyBorder="1" applyAlignment="1">
      <alignment horizontal="center"/>
    </xf>
    <xf numFmtId="0" fontId="46" fillId="11" borderId="0" xfId="63">
      <alignment horizontal="center" vertical="center"/>
    </xf>
    <xf numFmtId="0" fontId="55" fillId="0" borderId="0" xfId="2" applyFont="1"/>
    <xf numFmtId="0" fontId="56"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7" fillId="4" borderId="0" xfId="8" applyFont="1">
      <alignment horizontal="left" vertical="center"/>
    </xf>
    <xf numFmtId="0" fontId="58" fillId="4" borderId="0" xfId="8" applyFont="1">
      <alignment horizontal="left" vertical="center"/>
    </xf>
    <xf numFmtId="3" fontId="34" fillId="4" borderId="2" xfId="55" applyNumberFormat="1">
      <alignment horizontal="center" vertical="center"/>
    </xf>
    <xf numFmtId="0" fontId="44" fillId="13" borderId="9" xfId="41" applyBorder="1">
      <alignment horizontal="left" vertical="center"/>
    </xf>
    <xf numFmtId="170" fontId="8" fillId="4" borderId="0" xfId="10" applyNumberFormat="1">
      <alignment horizontal="center" vertical="center"/>
    </xf>
    <xf numFmtId="0" fontId="59" fillId="15" borderId="2" xfId="65">
      <alignment horizontal="center" vertical="center"/>
    </xf>
    <xf numFmtId="0" fontId="60" fillId="16" borderId="2" xfId="66">
      <alignment horizontal="center" vertical="center"/>
    </xf>
    <xf numFmtId="0" fontId="60" fillId="16" borderId="6" xfId="66" applyBorder="1">
      <alignment horizontal="center" vertical="center"/>
    </xf>
    <xf numFmtId="0" fontId="61"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3" fillId="0" borderId="0" xfId="34" applyFont="1"/>
    <xf numFmtId="0" fontId="63" fillId="0" borderId="0" xfId="70"/>
    <xf numFmtId="0" fontId="17" fillId="11" borderId="0" xfId="32" applyFill="1">
      <alignment vertical="center"/>
    </xf>
    <xf numFmtId="0" fontId="45" fillId="13" borderId="11" xfId="41" applyFont="1" applyBorder="1">
      <alignment horizontal="left" vertical="center"/>
    </xf>
    <xf numFmtId="0" fontId="64" fillId="0" borderId="0" xfId="33" applyFont="1"/>
    <xf numFmtId="0" fontId="21" fillId="11" borderId="0" xfId="64">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2">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C769E"/>
      <color rgb="FF008000"/>
      <color rgb="FF4F4789"/>
      <color rgb="FFE9F2FB"/>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5.1.1-2 Enteric Methane'!D30"/><Relationship Id="rId1" Type="http://schemas.openxmlformats.org/officeDocument/2006/relationships/hyperlink" Target="#'3.5.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643673</xdr:colOff>
      <xdr:row>7</xdr:row>
      <xdr:rowOff>12661</xdr:rowOff>
    </xdr:from>
    <xdr:ext cx="1928078" cy="505267"/>
    <xdr:sp macro="" textlink="">
      <xdr:nvSpPr>
        <xdr:cNvPr id="6" name="TextBox 5">
          <a:extLst>
            <a:ext uri="{FF2B5EF4-FFF2-40B4-BE49-F238E27FC236}">
              <a16:creationId xmlns:a16="http://schemas.microsoft.com/office/drawing/2014/main" id="{ED7CE626-9A29-4E3D-A8EE-75614BBFC73C}"/>
            </a:ext>
          </a:extLst>
        </xdr:cNvPr>
        <xdr:cNvSpPr txBox="1"/>
      </xdr:nvSpPr>
      <xdr:spPr>
        <a:xfrm>
          <a:off x="3320198" y="1879561"/>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3.5.1.1-2 Enteric Methane</a:t>
          </a:r>
        </a:p>
      </xdr:txBody>
    </xdr:sp>
    <xdr:clientData/>
  </xdr:oneCellAnchor>
  <xdr:twoCellAnchor>
    <xdr:from>
      <xdr:col>3</xdr:col>
      <xdr:colOff>529935</xdr:colOff>
      <xdr:row>9</xdr:row>
      <xdr:rowOff>213880</xdr:rowOff>
    </xdr:from>
    <xdr:to>
      <xdr:col>4</xdr:col>
      <xdr:colOff>1247775</xdr:colOff>
      <xdr:row>12</xdr:row>
      <xdr:rowOff>190930</xdr:rowOff>
    </xdr:to>
    <xdr:sp macro="" textlink="'3.5.1.1-2 Enteric Methane'!D5">
      <xdr:nvSpPr>
        <xdr:cNvPr id="10" name="TextBox 9">
          <a:hlinkClick xmlns:r="http://schemas.openxmlformats.org/officeDocument/2006/relationships" r:id="rId1"/>
          <a:extLst>
            <a:ext uri="{FF2B5EF4-FFF2-40B4-BE49-F238E27FC236}">
              <a16:creationId xmlns:a16="http://schemas.microsoft.com/office/drawing/2014/main" id="{FE22976C-C87A-45B1-8574-71DA36D59D4A}"/>
            </a:ext>
          </a:extLst>
        </xdr:cNvPr>
        <xdr:cNvSpPr txBox="1"/>
      </xdr:nvSpPr>
      <xdr:spPr>
        <a:xfrm>
          <a:off x="3206460" y="2576080"/>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2D1E78-07FE-40D4-A334-9D6176506EC8}" type="TxLink">
            <a:rPr lang="en-US" sz="1000" b="0" i="0" u="none" strike="noStrike">
              <a:solidFill>
                <a:srgbClr val="0C769E"/>
              </a:solidFill>
              <a:latin typeface="Times New Roman"/>
              <a:cs typeface="Times New Roman"/>
            </a:rPr>
            <a:pPr algn="ctr"/>
            <a:t>Total daily production of enteric methane of swine</a:t>
          </a:fld>
          <a:endParaRPr lang="en-AU" sz="1000">
            <a:solidFill>
              <a:srgbClr val="0C769E"/>
            </a:solidFill>
          </a:endParaRPr>
        </a:p>
      </xdr:txBody>
    </xdr:sp>
    <xdr:clientData/>
  </xdr:twoCellAnchor>
  <xdr:twoCellAnchor>
    <xdr:from>
      <xdr:col>3</xdr:col>
      <xdr:colOff>539460</xdr:colOff>
      <xdr:row>15</xdr:row>
      <xdr:rowOff>128155</xdr:rowOff>
    </xdr:from>
    <xdr:to>
      <xdr:col>4</xdr:col>
      <xdr:colOff>1257300</xdr:colOff>
      <xdr:row>18</xdr:row>
      <xdr:rowOff>105205</xdr:rowOff>
    </xdr:to>
    <xdr:sp macro="" textlink="'3.5.1.1-2 Enteric Methane'!D30">
      <xdr:nvSpPr>
        <xdr:cNvPr id="26" name="TextBox 25">
          <a:hlinkClick xmlns:r="http://schemas.openxmlformats.org/officeDocument/2006/relationships" r:id="rId2"/>
          <a:extLst>
            <a:ext uri="{FF2B5EF4-FFF2-40B4-BE49-F238E27FC236}">
              <a16:creationId xmlns:a16="http://schemas.microsoft.com/office/drawing/2014/main" id="{8AF126F5-4484-4EF9-9E6B-5D7A06B2D99D}"/>
            </a:ext>
          </a:extLst>
        </xdr:cNvPr>
        <xdr:cNvSpPr txBox="1"/>
      </xdr:nvSpPr>
      <xdr:spPr>
        <a:xfrm>
          <a:off x="3215985" y="3976255"/>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A32C33-953D-41A4-AD2A-463C6424B8E6}" type="TxLink">
            <a:rPr lang="en-US" sz="1000" b="1" i="0" u="none" strike="noStrike">
              <a:solidFill>
                <a:srgbClr val="0C769E"/>
              </a:solidFill>
              <a:latin typeface="Times New Roman"/>
              <a:cs typeface="Times New Roman"/>
            </a:rPr>
            <a:pPr algn="ctr"/>
            <a:t>Total annual methane production from enteric fermentation in swine</a:t>
          </a:fld>
          <a:endParaRPr lang="en-AU" sz="1000" b="1">
            <a:solidFill>
              <a:srgbClr val="0C769E"/>
            </a:solidFill>
          </a:endParaRPr>
        </a:p>
      </xdr:txBody>
    </xdr:sp>
    <xdr:clientData/>
  </xdr:twoCellAnchor>
  <xdr:twoCellAnchor>
    <xdr:from>
      <xdr:col>4</xdr:col>
      <xdr:colOff>198293</xdr:colOff>
      <xdr:row>12</xdr:row>
      <xdr:rowOff>190929</xdr:rowOff>
    </xdr:from>
    <xdr:to>
      <xdr:col>4</xdr:col>
      <xdr:colOff>207818</xdr:colOff>
      <xdr:row>15</xdr:row>
      <xdr:rowOff>128154</xdr:rowOff>
    </xdr:to>
    <xdr:cxnSp macro="">
      <xdr:nvCxnSpPr>
        <xdr:cNvPr id="28" name="Connector: Curved 27">
          <a:extLst>
            <a:ext uri="{FF2B5EF4-FFF2-40B4-BE49-F238E27FC236}">
              <a16:creationId xmlns:a16="http://schemas.microsoft.com/office/drawing/2014/main" id="{38D32901-2B2F-4601-57AD-A08DCC3067B4}"/>
            </a:ext>
          </a:extLst>
        </xdr:cNvPr>
        <xdr:cNvCxnSpPr>
          <a:stCxn id="10" idx="2"/>
          <a:endCxn id="26" idx="0"/>
        </xdr:cNvCxnSpPr>
      </xdr:nvCxnSpPr>
      <xdr:spPr>
        <a:xfrm rot="16200000" flipH="1">
          <a:off x="3920618" y="3631404"/>
          <a:ext cx="680175" cy="9525"/>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27174</xdr:colOff>
      <xdr:row>7</xdr:row>
      <xdr:rowOff>152400</xdr:rowOff>
    </xdr:from>
    <xdr:ext cx="1397947" cy="32169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×18.6×0.007</m:t>
                        </m:r>
                      </m:num>
                      <m:den>
                        <m:r>
                          <a:rPr lang="en-AU" sz="1100" i="1">
                            <a:latin typeface="Cambria Math" panose="02040503050406030204" pitchFamily="18" charset="0"/>
                          </a:rPr>
                          <m:t>𝐹</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𝑀_𝑗=(𝐼_𝑗×18.6×0.007)/𝐹</a:t>
              </a:r>
              <a:endParaRPr lang="en-AU" sz="1100"/>
            </a:p>
          </xdr:txBody>
        </xdr:sp>
      </mc:Fallback>
    </mc:AlternateContent>
    <xdr:clientData/>
  </xdr:oneCellAnchor>
  <xdr:oneCellAnchor>
    <xdr:from>
      <xdr:col>2</xdr:col>
      <xdr:colOff>304801</xdr:colOff>
      <xdr:row>32</xdr:row>
      <xdr:rowOff>131108</xdr:rowOff>
    </xdr:from>
    <xdr:ext cx="2251899"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𝐸_𝑒𝑛𝑡𝑒𝑟𝑖𝑐=∑10_𝑗▒(𝑁_𝑗×𝑀_𝑗×𝐷_𝑗 ) ×10^(−3)</a:t>
              </a:r>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79"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78"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77"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76"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75"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74"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73"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72"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71"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70"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69"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68"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67"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66"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6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64" dataCellStyle="Content normal">
  <autoFilter ref="D78:E82" xr:uid="{E34928EB-73E5-43B2-830B-089F30DA4EF0}">
    <filterColumn colId="0" hiddenButton="1"/>
    <filterColumn colId="1" hiddenButton="1"/>
  </autoFilter>
  <tableColumns count="2">
    <tableColumn id="1" xr3:uid="{CAC8EB28-568F-4E9F-8E36-EBDFF74A58D3}" name="Class" dataDxfId="63"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6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61"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60"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59"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5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46FF29-813A-45A1-A28C-69691DBE2363}"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39C5E3A8-688C-4C4E-A337-E32C77B7769F}" name="Livestock type j">
      <calculatedColumnFormula array="1">Common_InputFunctions.Utility_DisplayArrayInTable(SourceData_Swine.SourceData_Swine_AverageLiveweight_Data(),Table_SourceData_Swine_Liveweight[[#Headers],[Livestock type j]],0)</calculatedColumnFormula>
    </tableColumn>
    <tableColumn id="2" xr3:uid="{37866161-8EEC-44E3-8B1D-0210A7AFC89C}" name="Average liveweight (kg)" dataDxfId="57"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FE7C1E4-6403-4F28-8209-832F1AE0090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2D532CE6-BB01-450D-82A5-4C5F5071B974}" name="State/Territory">
      <calculatedColumnFormula array="1">Common_InputFunctions.Utility_DisplayArrayInTable(Common_SourceData.Common_SourceData_AustralianStatesTerritories_Data(),Table_AustralianStates[[#Headers],[State/Territory]],0)</calculatedColumnFormula>
    </tableColumn>
    <tableColumn id="2" xr3:uid="{11D9C92F-5B95-434F-B380-92F3F9C84F63}" name="Common Name">
      <calculatedColumnFormula array="1">Common_InputFunctions.Utility_DisplayArrayInTable(Common_SourceData.Common_SourceData_AustralianStatesTerritories_Data(),Table_AustralianStates[[#Headers],[State/Territory]],0)</calculatedColumnFormula>
    </tableColumn>
    <tableColumn id="3" xr3:uid="{436AF3A4-282F-4168-AE14-E98FF20F57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197A506-7935-41B3-8230-B300726C222A}" name="Table_WASA4Areas" displayName="Table_WASA4Areas" ref="D20:D30" totalsRowShown="0">
  <autoFilter ref="D20:D30" xr:uid="{5FA81339-C6C8-4D36-BEEA-6C4AEDD9E676}">
    <filterColumn colId="0" hiddenButton="1"/>
  </autoFilter>
  <tableColumns count="1">
    <tableColumn id="1" xr3:uid="{35738AA9-632B-4C74-9D86-4BAD4DA2E81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D38E4CD-E2F7-4D92-8059-A8D9C3FB099F}" name="Table_GWPData" displayName="Table_GWPData" ref="D36:E43" totalsRowShown="0">
  <autoFilter ref="D36:E43" xr:uid="{B8E87A66-3E41-4AD3-925D-01EE21B43D7A}">
    <filterColumn colId="0" hiddenButton="1"/>
    <filterColumn colId="1" hiddenButton="1"/>
  </autoFilter>
  <tableColumns count="2">
    <tableColumn id="1" xr3:uid="{448C98E8-EAEE-4BB5-AE30-B9802D4D981B}" name="Gas">
      <calculatedColumnFormula array="1">Common_InputFunctions.Utility_DisplayArrayInTable(Common_SourceData.Common_SourceData_GWP_Data(), Table_GWPData[[#Headers],[Gas]], 0)</calculatedColumnFormula>
    </tableColumn>
    <tableColumn id="2" xr3:uid="{93CF53E3-F464-47C1-897F-B9311C8FF9C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C4EF3134-C3BD-4FF1-B7B7-86B42D5A599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576FED0-D49E-4EA9-9A03-D0FC13940F55}" name="Gas">
      <calculatedColumnFormula array="1">Common_InputFunctions.Utility_DisplayArrayInTable(Common_SourceData.Common_SourceData_ConvertGasElementalToMolecular_Data(),Table_GasToMolecularConversionFactor[[#Headers],[Gas]], 0)</calculatedColumnFormula>
    </tableColumn>
    <tableColumn id="5" xr3:uid="{15A82B2D-6B0A-43E6-AEF4-04032F3DC0D2}" name="Conversion factor">
      <calculatedColumnFormula array="1">Common_InputFunctions.Utility_DisplayArrayInTable(Common_SourceData.Common_SourceData_ConvertGasElementalToMolecular_Data(),Table_GasToMolecularConversionFactor[[#Headers],[Gas]], 0)</calculatedColumnFormula>
    </tableColumn>
    <tableColumn id="2" xr3:uid="{DD412816-A312-431D-A60F-0BED39BF841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02C148D-4452-40B9-B0C1-B4ECD0E32D4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93A95A1-ACE1-4160-B5CF-B8372DA696A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29108B1-63BF-49B8-84F2-4B403185B84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208ADB-AB67-424E-9610-88B03E061E9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8E3AD1B-BF36-4E90-9194-0A97F43A8CCC}"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91072CD8-03C6-4958-A23B-B0D84C9C352E}"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268A89E4-1746-4A51-920B-F71452A096F3}"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908B4CD0-2C1B-4AD9-A1A1-EBD1B6FBAD7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638FCDF6-2767-41AF-A9B3-769093267947}"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BC8C8C3-DEE0-439D-9B9F-EAFE57C3BE6A}"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C5C205E9-12AD-4BAB-81D2-6269B4CA42FD}"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4C2AD9FA-A38E-4AAF-9D27-83303336A667}"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7D95C8B-A269-45F0-9275-5211320DB362}"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A0E7C898-2974-4E85-BB2E-30080780280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68582EF7-292E-43E8-B12C-6C40E9E44480}"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C557A0C2-7B9F-4000-B29C-C828F4F36848}"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A86C5190-21D7-4D40-A97C-5B445BB2036C}"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BAE9AE1A-A75C-426E-B3EC-0EF06EF3F2C4}"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C011845-7B1F-4BA8-89AC-5ACAF083B4CF}"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024A430-4358-4862-A0D1-3E6B0BAD7F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CC59E7C-AE08-43FD-A31D-1A6E0235C0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987A5F9-4B8D-4E60-B52C-68584596258B}"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6572D4F-9577-49BD-BA42-9BD8E68CA26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C4B8E77-7937-4A5D-85FD-4F874DB5D2E6}" name="Temperature Zone">
      <calculatedColumnFormula array="1">Common_InputFunctions.Utility_DisplayArrayInTable(Common_SourceData.Common_SourceData_TemperatureZones_Data(),Table_SourceData_TemperatureZones[[#Headers],[Temperature Zone]],0)</calculatedColumnFormula>
    </tableColumn>
    <tableColumn id="2" xr3:uid="{DF85DD65-FC08-4D95-936C-60DD52C7EEA7}" name="MAT">
      <calculatedColumnFormula array="1">Common_InputFunctions.Utility_DisplayArrayInTable(Common_SourceData.Common_SourceData_TemperatureZones_Data(),Table_SourceData_TemperatureZones[[#Headers],[Temperature Zone]],0)</calculatedColumnFormula>
    </tableColumn>
    <tableColumn id="3" xr3:uid="{4852D7C1-94B2-4D26-8033-D554A00D0931}" name="Min MAT">
      <calculatedColumnFormula array="1">Common_InputFunctions.Utility_DisplayArrayInTable(Common_SourceData.Common_SourceData_TemperatureZones_Data(),Table_SourceData_TemperatureZones[[#Headers],[Temperature Zone]],0)</calculatedColumnFormula>
    </tableColumn>
    <tableColumn id="4" xr3:uid="{CFCC2F62-8E85-4C13-B9D2-68774CB5913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871A7457-184A-4DF9-A3C5-0944D54E75D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E638BB52-31C0-4EF8-A90A-F41CE0D2834B}" name="Rainfall Zone">
      <calculatedColumnFormula array="1">Common_InputFunctions.Utility_DisplayArrayInTable(Common_SourceData.Common_SourceData_RainfallZones_Data(),Table_SourceData_RainfallZones[[#Headers],[Rainfall Zone]],0)</calculatedColumnFormula>
    </tableColumn>
    <tableColumn id="2" xr3:uid="{3CD24968-FDB5-497B-A158-15286E286D1E}" name="Annual rainfall">
      <calculatedColumnFormula array="1">Common_InputFunctions.Utility_DisplayArrayInTable(Common_SourceData.Common_SourceData_RainfallZones_Data(),Table_SourceData_RainfallZones[[#Headers],[Rainfall Zone]],0)</calculatedColumnFormula>
    </tableColumn>
    <tableColumn id="3" xr3:uid="{9AE88C75-6949-4F97-8928-8337300C60CC}" name="Min rainfall">
      <calculatedColumnFormula array="1">Common_InputFunctions.Utility_DisplayArrayInTable(Common_SourceData.Common_SourceData_RainfallZones_Data(),Table_SourceData_RainfallZones[[#Headers],[Rainfall Zone]],0)</calculatedColumnFormula>
    </tableColumn>
    <tableColumn id="4" xr3:uid="{A44B45C8-BE9C-4FCD-8234-8788F85C5EB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633F88A-C685-44BB-A3EE-C6B89CE66B0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B8B09E6-F484-4A86-A9C6-90DBEF46CDC3}" name="Leaching Zone">
      <calculatedColumnFormula array="1">Common_InputFunctions.Utility_DisplayArrayInTable(Common_SourceData.Common_SourceData_LeachingZones_Data(), Table_SourceData_LeachingZones[[#Headers],[Leaching Zone]], 0)</calculatedColumnFormula>
    </tableColumn>
    <tableColumn id="2" xr3:uid="{A1809FC1-8018-4DCD-A52B-1DA0CAC5B4F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A036A35-AA22-45C8-805D-7446A320421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D024494-6163-4F0F-BA5A-E834E375B384}" name="Data source">
      <calculatedColumnFormula array="1">Common_InputFunctions.Utility_DisplayArrayInTable(Common_SourceData.Common_SourceData_DataScores_Scope3_Data(), Table_SourceData_DataScores_Scope3[[#Headers],[Data source]], 0)</calculatedColumnFormula>
    </tableColumn>
    <tableColumn id="2" xr3:uid="{3F3D40FA-4AE9-4F0F-AC21-B0494BFFE2C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C741027-A191-4BA5-8392-BD05E5C97933}" name="Table_SourceData_FracWET" displayName="Table_SourceData_FracWET" ref="D134:E136" totalsRowShown="0">
  <autoFilter ref="D134:E136" xr:uid="{308E99BE-FE1F-47A4-B2CA-97217277C4E9}">
    <filterColumn colId="0" hiddenButton="1"/>
    <filterColumn colId="1" hiddenButton="1"/>
  </autoFilter>
  <tableColumns count="2">
    <tableColumn id="1" xr3:uid="{C84962BF-DBD8-4300-88E3-CD132FF3D28F}" name="Is in leaching zone">
      <calculatedColumnFormula array="1">Common_InputFunctions.Utility_DisplayArrayInTable(Common_SourceData.Common_SourceData_FracWET_Data(),Table_SourceData_FracWET[[#Headers],[Is in leaching zone]],0)</calculatedColumnFormula>
    </tableColumn>
    <tableColumn id="2" xr3:uid="{45408FAE-2E1A-4F9E-935A-9EE4FD8DCFDC}"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8A3018CF-409A-41E0-A723-AAD8BC61E31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9601505-6D4E-400E-A1DE-A467E131BB51}" name="Production system j">
      <calculatedColumnFormula array="1">Common_InputFunctions.Utility_DisplayArrayInTable(Common_SourceData.Common_SourceData_EFN2O_Data(), Table_SourceData_Common_EFN2O[[#Headers],[Production system j]], 0)</calculatedColumnFormula>
    </tableColumn>
    <tableColumn id="2" xr3:uid="{DB77EB4C-F64D-434D-985D-329ADE774551}" name="EFN2O">
      <calculatedColumnFormula array="1">Common_InputFunctions.Utility_DisplayArrayInTable(Common_SourceData.Common_SourceData_EFN2O_Data(), Table_SourceData_Common_EFN2O[[#Headers],[Production system j]], 0)</calculatedColumnFormula>
    </tableColumn>
    <tableColumn id="3" xr3:uid="{E58C180B-3E8D-4978-A361-B4177B2154B0}" name="Production system only">
      <calculatedColumnFormula array="1">Common_InputFunctions.Utility_DisplayArrayInTable(Common_SourceData.Common_SourceData_EFN2O_Data(), Table_SourceData_Common_EFN2O[[#Headers],[Production system j]], 0)</calculatedColumnFormula>
    </tableColumn>
    <tableColumn id="4" xr3:uid="{45292F44-DB1C-473B-8E4C-0D42689301B4}" name="Irrigation method">
      <calculatedColumnFormula array="1">Common_InputFunctions.Utility_DisplayArrayInTable(Common_SourceData.Common_SourceData_EFN2O_Data(), Table_SourceData_Common_EFN2O[[#Headers],[Production system j]], 0)</calculatedColumnFormula>
    </tableColumn>
    <tableColumn id="5" xr3:uid="{091C0121-3FD8-4516-8796-4304279C22E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4C0127D-61A6-4925-A00C-3911104EADE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93D3EBC-D313-455E-8D6A-56FC5DF1709D}" name="Irrigation type i">
      <calculatedColumnFormula array="1">Common_InputFunctions.Utility_DisplayArrayInTable(Common_SourceData.Common_SourceData_FracWETIrrigation_Data(), Table_SourceData_FracWETIrrigation[[#Headers],[Irrigation type i]], 0)</calculatedColumnFormula>
    </tableColumn>
    <tableColumn id="2" xr3:uid="{BD31B215-616A-4C84-8CFD-6DB3A05B7C26}"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4B125E7-70AC-4B80-8F51-838964148C1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C69701C-ADD7-445E-8E02-EFF2E966855C}"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9530B33-FBD8-471E-9119-E87F5F88B0D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3ED0C8C-81A6-4000-B7C7-04FE4E47E2C1}"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90C890A-725C-471C-9DBD-973AB078E517}" name="Month">
      <calculatedColumnFormula array="1">Common_InputFunctions.Utility_DisplayArrayInTable(Common_SourceData.Common_SourceData_MonthsToSeasons_Data(), Table_SourceData_Common_MonthToSeason[[#Headers],[Month]], 0)</calculatedColumnFormula>
    </tableColumn>
    <tableColumn id="2" xr3:uid="{DA65B608-F63D-4802-8F24-7BF9C115E410}"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A2CC4FB-6B00-4D6B-ABB1-2DAAC0801ED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DD475A6-4779-4397-B04C-3DD211336AE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0FFFA46-5867-4CA9-A601-600D6D8791AA}"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FE9A949-37B5-4E2A-850E-CD3CFC8CA39D}"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68F0EC3-AE1C-4B69-AC3C-DF3CF2B8EB53}"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9AF04BF-2503-45F0-839D-62669663EDF4}"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0408AF4-074F-4536-8987-A979EDB33EFA}"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6EFC40F-B134-4098-A6E1-384C95509312}"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B9A3939-3C54-4700-9044-43185125F7C7}"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2F77327-DCEF-46C5-8D5C-4306D9CD24C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7FBABE-679E-43BB-89A2-424C9BCC4BD7}"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AB69F11-96F2-4BF6-82B9-629DE6CD5F31}"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6C7C98-4101-4C77-890D-CA66FFB388A6}"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FD2DBE9-22EC-4983-9CFF-196FBBFB1F7A}"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6B1B156-02AF-431D-970E-393824427494}"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356060D5-42C5-4106-BF08-8C76DEBF354C}"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743D72-942F-40D0-BDC1-893034B69FC4}"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0C8760A-30DA-4C92-8800-368E5F2E7CF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5F923D5D-512C-4BDC-828E-D197B29189C9}"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98E1055-49EA-4931-B52D-245A088FC117}"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1" Type="http://schemas.openxmlformats.org/officeDocument/2006/relationships/printerSettings" Target="../printerSettings/printerSettings3.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zoomScale="70" zoomScaleNormal="70"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A1:K48"/>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0" width="20.7109375" style="1" customWidth="1"/>
    <col min="11" max="11" width="4.7109375" style="1" customWidth="1"/>
    <col min="12" max="27" width="20.7109375" customWidth="1"/>
  </cols>
  <sheetData>
    <row r="1" spans="1:11" ht="30" customHeight="1" x14ac:dyDescent="0.35">
      <c r="A1" s="63" t="e" vm="1">
        <v>#VALUE!</v>
      </c>
      <c r="C1" s="121" t="s">
        <v>167</v>
      </c>
      <c r="D1" s="121"/>
      <c r="E1" s="121"/>
      <c r="F1" s="121"/>
      <c r="G1" s="121"/>
      <c r="H1" s="121"/>
      <c r="I1" s="121"/>
      <c r="J1" s="121"/>
      <c r="K1" s="121"/>
    </row>
    <row r="2" spans="1:11" ht="20.100000000000001" customHeight="1" x14ac:dyDescent="0.25">
      <c r="A2" s="9"/>
      <c r="C2"/>
      <c r="D2"/>
      <c r="E2"/>
      <c r="F2"/>
      <c r="G2"/>
      <c r="H2"/>
      <c r="I2"/>
      <c r="J2"/>
      <c r="K2"/>
    </row>
    <row r="3" spans="1:11" ht="20.100000000000001" customHeight="1" x14ac:dyDescent="0.25">
      <c r="A3" s="17" t="str">
        <f>HYPERLINK("#'Home'!A1", "Home")</f>
        <v>Home</v>
      </c>
      <c r="C3" s="119"/>
      <c r="D3" s="119"/>
      <c r="E3" s="119"/>
      <c r="F3" s="119"/>
      <c r="G3" s="119"/>
      <c r="H3" s="119"/>
      <c r="I3" s="119"/>
      <c r="J3" s="119"/>
      <c r="K3" s="119"/>
    </row>
    <row r="4" spans="1:11" ht="20.100000000000001" customHeight="1" x14ac:dyDescent="0.25">
      <c r="A4" s="122" t="str">
        <f>HYPERLINK("#'Overview'!A1", "Overview")</f>
        <v>Overview</v>
      </c>
    </row>
    <row r="5" spans="1:11" ht="20.100000000000001" customHeight="1" x14ac:dyDescent="0.25">
      <c r="A5" s="17" t="str">
        <f>HYPERLINK("#'Results'!A1", "Results")</f>
        <v>Results</v>
      </c>
      <c r="D5" s="108" t="s">
        <v>168</v>
      </c>
      <c r="E5" s="85"/>
      <c r="F5" s="85"/>
      <c r="G5" s="85"/>
      <c r="H5" s="85"/>
      <c r="I5" s="81"/>
    </row>
    <row r="6" spans="1:11" ht="20.100000000000001" customHeight="1" x14ac:dyDescent="0.25">
      <c r="A6" s="16"/>
      <c r="D6" s="120" t="s">
        <v>169</v>
      </c>
      <c r="E6" s="84"/>
      <c r="F6" s="84"/>
      <c r="G6" s="84"/>
      <c r="H6" s="84"/>
      <c r="I6" s="82"/>
    </row>
    <row r="7" spans="1:11" ht="20.100000000000001" customHeight="1" x14ac:dyDescent="0.25">
      <c r="A7" s="20" t="s">
        <v>1</v>
      </c>
    </row>
    <row r="8" spans="1:11" ht="20.100000000000001" customHeight="1" x14ac:dyDescent="0.25">
      <c r="A8" s="17" t="str">
        <f>HYPERLINK("#'Input - Site'!A1", "Site")</f>
        <v>Site</v>
      </c>
    </row>
    <row r="9" spans="1:11" ht="20.100000000000001" customHeight="1" x14ac:dyDescent="0.25">
      <c r="A9" s="17" t="str">
        <f>HYPERLINK("#'Input - Swine'!A1", "Swine")</f>
        <v>Swine</v>
      </c>
    </row>
    <row r="10" spans="1:11" ht="20.100000000000001" customHeight="1" x14ac:dyDescent="0.25">
      <c r="A10" s="17"/>
    </row>
    <row r="11" spans="1:11" ht="20.100000000000001" customHeight="1" x14ac:dyDescent="0.25">
      <c r="A11" s="19" t="s">
        <v>55</v>
      </c>
    </row>
    <row r="12" spans="1:11" ht="20.100000000000001" customHeight="1" x14ac:dyDescent="0.25">
      <c r="A12" s="17" t="str">
        <f>HYPERLINK("#'3.5.1.1-2 Enteric Methane'!A1", "3.5.1.1-2 Enteric Methane")</f>
        <v>3.5.1.1-2 Enteric Methane</v>
      </c>
    </row>
    <row r="13" spans="1:11" ht="20.100000000000001" customHeight="1" x14ac:dyDescent="0.25"/>
    <row r="14" spans="1:11" ht="20.100000000000001" customHeight="1" x14ac:dyDescent="0.25">
      <c r="A14" s="18" t="s">
        <v>2</v>
      </c>
    </row>
    <row r="15" spans="1:11" ht="20.100000000000001" customHeight="1" x14ac:dyDescent="0.25">
      <c r="A15" s="17" t="str">
        <f>HYPERLINK("#'Constants - Swine'!A1", "Constants - Swine")</f>
        <v>Constants - Swine</v>
      </c>
    </row>
    <row r="16" spans="1:11" ht="20.100000000000001" customHeight="1" x14ac:dyDescent="0.25">
      <c r="A16" s="17" t="str">
        <f>HYPERLINK("#'Constants - Livestock'!A1", "Constants - Livestock")</f>
        <v>Constants - Livestock</v>
      </c>
    </row>
    <row r="17" spans="1:1" ht="20.100000000000001" customHeight="1" x14ac:dyDescent="0.25">
      <c r="A17" s="17" t="str">
        <f>HYPERLINK("#'Constants - Common'!A1", "Constants - Common")</f>
        <v>Constants - Common</v>
      </c>
    </row>
    <row r="18" spans="1:1" ht="20.100000000000001" customHeight="1" x14ac:dyDescent="0.25">
      <c r="A18" s="17" t="str">
        <f>HYPERLINK("#'Acknowledgements'!A1", "Acknowledgements")</f>
        <v>Acknowledgements</v>
      </c>
    </row>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3" t="e" vm="1">
        <v>#VALUE!</v>
      </c>
      <c r="C1" s="101" t="s">
        <v>166</v>
      </c>
    </row>
    <row r="2" spans="1:11" ht="20.100000000000001" customHeight="1" x14ac:dyDescent="0.25">
      <c r="A2" s="9"/>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3</v>
      </c>
      <c r="E4" s="23"/>
      <c r="F4" s="23"/>
      <c r="G4" s="23"/>
      <c r="H4" s="6"/>
      <c r="I4" s="6"/>
      <c r="J4" s="6"/>
      <c r="K4" s="24"/>
    </row>
    <row r="5" spans="1:11" ht="20.100000000000001" customHeight="1" x14ac:dyDescent="0.3">
      <c r="A5" s="122" t="str">
        <f>HYPERLINK("#'Results'!A1", "Results")</f>
        <v>Results</v>
      </c>
      <c r="C5" s="21"/>
      <c r="D5" s="25"/>
      <c r="E5" s="26"/>
      <c r="F5" s="26"/>
      <c r="G5" s="26"/>
      <c r="H5" s="23"/>
      <c r="I5" s="21"/>
      <c r="J5" s="21"/>
      <c r="K5" s="21"/>
    </row>
    <row r="6" spans="1:11" ht="20.100000000000001" customHeight="1" x14ac:dyDescent="0.25">
      <c r="A6" s="16"/>
      <c r="C6" s="21"/>
      <c r="D6" s="100" t="s">
        <v>77</v>
      </c>
      <c r="E6" s="100" t="s">
        <v>98</v>
      </c>
      <c r="F6" s="100" t="s">
        <v>99</v>
      </c>
      <c r="G6" s="100" t="s">
        <v>90</v>
      </c>
      <c r="H6" s="100" t="s">
        <v>100</v>
      </c>
      <c r="I6" s="100" t="s">
        <v>101</v>
      </c>
      <c r="J6" s="100" t="s">
        <v>91</v>
      </c>
      <c r="K6" s="21"/>
    </row>
    <row r="7" spans="1:11" ht="20.100000000000001" customHeight="1" x14ac:dyDescent="0.25">
      <c r="A7" s="20" t="s">
        <v>1</v>
      </c>
      <c r="C7" s="21"/>
      <c r="D7" s="1" t="s">
        <v>160</v>
      </c>
      <c r="E7" s="109">
        <f>'3.5.1.1-2 Enteric Methane'!E58</f>
        <v>0.78573884462151411</v>
      </c>
      <c r="F7" s="109">
        <f>'3.5.1.1-2 Enteric Methane'!N58</f>
        <v>0.78573884462151411</v>
      </c>
      <c r="G7" s="49" t="s">
        <v>94</v>
      </c>
      <c r="H7" s="97">
        <f>'3.5.1.1-2 Enteric Methane'!E63</f>
        <v>22.000687649402394</v>
      </c>
      <c r="I7" s="97">
        <f>'3.5.1.1-2 Enteric Methane'!N63</f>
        <v>22.000687649402394</v>
      </c>
      <c r="J7" s="49" t="s">
        <v>96</v>
      </c>
      <c r="K7" s="21"/>
    </row>
    <row r="8" spans="1:11" ht="20.100000000000001" customHeight="1" x14ac:dyDescent="0.3">
      <c r="A8" s="17" t="str">
        <f>HYPERLINK("#'Input - Site'!A1", "Site")</f>
        <v>Site</v>
      </c>
      <c r="C8" s="21"/>
      <c r="D8" s="28" t="s">
        <v>89</v>
      </c>
      <c r="E8" s="22"/>
      <c r="F8" s="22"/>
      <c r="G8" s="28"/>
      <c r="H8" s="99">
        <f>SUM(H7:H7)</f>
        <v>22.000687649402394</v>
      </c>
      <c r="I8" s="99">
        <f>SUM(I7:I7)</f>
        <v>22.000687649402394</v>
      </c>
      <c r="J8" s="93" t="s">
        <v>96</v>
      </c>
      <c r="K8" s="21"/>
    </row>
    <row r="9" spans="1:11" ht="20.100000000000001" customHeight="1" x14ac:dyDescent="0.25">
      <c r="A9" s="17" t="str">
        <f>HYPERLINK("#'Input - Swine'!A1", "Swine")</f>
        <v>Swine</v>
      </c>
      <c r="C9" s="21"/>
      <c r="D9" s="1"/>
      <c r="E9" s="1"/>
      <c r="F9" s="1"/>
      <c r="G9" s="1"/>
      <c r="H9" s="1"/>
      <c r="I9" s="1"/>
      <c r="J9" s="1"/>
      <c r="K9" s="21"/>
    </row>
    <row r="10" spans="1:11" ht="20.100000000000001" customHeight="1" x14ac:dyDescent="0.25">
      <c r="A10" s="17"/>
      <c r="C10" s="21"/>
      <c r="D10" s="1"/>
      <c r="E10" s="1"/>
      <c r="F10" s="1"/>
      <c r="G10" s="1"/>
      <c r="H10" s="1"/>
      <c r="I10" s="1"/>
      <c r="J10" s="1"/>
      <c r="K10" s="21"/>
    </row>
    <row r="11" spans="1:11" ht="20.100000000000001" customHeight="1" x14ac:dyDescent="0.25">
      <c r="A11" s="19" t="s">
        <v>55</v>
      </c>
      <c r="C11" s="21"/>
      <c r="D11" s="1"/>
      <c r="E11" s="1"/>
      <c r="F11" s="1"/>
      <c r="G11" s="1"/>
      <c r="H11" s="1"/>
      <c r="I11" s="1"/>
      <c r="J11" s="1"/>
      <c r="K11" s="21"/>
    </row>
    <row r="12" spans="1:11" ht="20.100000000000001" customHeight="1" x14ac:dyDescent="0.25">
      <c r="A12" s="17" t="str">
        <f>HYPERLINK("#'3.5.1.1-2 Enteric Methane'!A1", "3.5.1.1-2 Enteric Methane")</f>
        <v>3.5.1.1-2 Enteric Methane</v>
      </c>
      <c r="C12" s="21"/>
      <c r="D12" s="1"/>
      <c r="E12" s="1"/>
      <c r="F12" s="1"/>
      <c r="G12" s="1"/>
      <c r="H12" s="1"/>
      <c r="I12" s="1"/>
      <c r="J12" s="1"/>
      <c r="K12" s="21"/>
    </row>
    <row r="13" spans="1:11" ht="20.100000000000001" customHeight="1" x14ac:dyDescent="0.25">
      <c r="C13" s="21"/>
      <c r="D13" s="1"/>
      <c r="E13" s="1"/>
      <c r="F13" s="1"/>
      <c r="G13" s="1"/>
      <c r="H13" s="1"/>
      <c r="I13" s="1"/>
      <c r="J13" s="1"/>
      <c r="K13" s="21"/>
    </row>
    <row r="14" spans="1:11" ht="20.100000000000001" customHeight="1" x14ac:dyDescent="0.25">
      <c r="A14" s="18" t="s">
        <v>2</v>
      </c>
      <c r="C14" s="21"/>
      <c r="D14" s="1"/>
      <c r="E14" s="1"/>
      <c r="F14" s="1"/>
      <c r="G14" s="1"/>
      <c r="H14" s="1"/>
      <c r="I14" s="1"/>
      <c r="J14" s="1"/>
      <c r="K14" s="21"/>
    </row>
    <row r="15" spans="1:11" ht="20.100000000000001" customHeight="1" x14ac:dyDescent="0.25">
      <c r="A15" s="17" t="str">
        <f>HYPERLINK("#'Constants - Swine'!A1", "Constants - Swine")</f>
        <v>Constants - Swine</v>
      </c>
      <c r="C15" s="21"/>
      <c r="D15" s="1"/>
      <c r="E15" s="1"/>
      <c r="F15" s="1"/>
      <c r="G15" s="1"/>
      <c r="H15" s="1"/>
      <c r="I15" s="1"/>
      <c r="J15" s="1"/>
      <c r="K15" s="21"/>
    </row>
    <row r="16" spans="1:11" ht="20.100000000000001" customHeight="1" x14ac:dyDescent="0.25">
      <c r="A16" s="17" t="str">
        <f>HYPERLINK("#'Constants - Livestock'!A1", "Constants - Livestock")</f>
        <v>Constants - Livestock</v>
      </c>
      <c r="C16" s="21"/>
      <c r="D16" s="1"/>
      <c r="E16" s="1"/>
      <c r="F16" s="1"/>
      <c r="G16" s="1"/>
      <c r="H16" s="1"/>
      <c r="I16" s="1"/>
      <c r="J16" s="1"/>
      <c r="K16" s="21"/>
    </row>
    <row r="17" spans="1:11" ht="20.100000000000001" customHeight="1" x14ac:dyDescent="0.25">
      <c r="A17" s="17" t="str">
        <f>HYPERLINK("#'Constants - Common'!A1", "Constants - Common")</f>
        <v>Constants - Common</v>
      </c>
      <c r="C17" s="21"/>
      <c r="D17" s="1"/>
      <c r="E17" s="1"/>
      <c r="F17" s="1"/>
      <c r="G17" s="1"/>
      <c r="H17" s="1"/>
      <c r="I17" s="1"/>
      <c r="J17" s="1"/>
      <c r="K17" s="21"/>
    </row>
    <row r="18" spans="1:11" ht="20.100000000000001" customHeight="1" x14ac:dyDescent="0.25">
      <c r="A18" s="17" t="str">
        <f>HYPERLINK("#'Acknowledgements'!A1", "Acknowledgements")</f>
        <v>Acknowledgements</v>
      </c>
      <c r="C18" s="21"/>
      <c r="D18" s="1"/>
      <c r="E18" s="1"/>
      <c r="F18" s="1"/>
      <c r="G18" s="1"/>
      <c r="H18" s="1"/>
      <c r="I18" s="1"/>
      <c r="J18" s="1"/>
      <c r="K18" s="21"/>
    </row>
    <row r="19" spans="1:11" ht="20.100000000000001" customHeight="1" x14ac:dyDescent="0.25">
      <c r="C19" s="21"/>
      <c r="D19" s="1"/>
      <c r="E19" s="1"/>
      <c r="F19" s="1"/>
      <c r="G19" s="1"/>
      <c r="H19" s="1"/>
      <c r="I19" s="1"/>
      <c r="J19" s="1"/>
      <c r="K19" s="21"/>
    </row>
    <row r="20" spans="1:11" ht="20.100000000000001" customHeight="1" x14ac:dyDescent="0.25">
      <c r="A20" s="17"/>
      <c r="C20" s="21"/>
      <c r="D20" s="1"/>
      <c r="E20" s="1"/>
      <c r="F20" s="1"/>
      <c r="G20" s="1"/>
      <c r="H20" s="1"/>
      <c r="I20" s="1"/>
      <c r="J20" s="1"/>
      <c r="K20" s="21"/>
    </row>
    <row r="21" spans="1:11" ht="20.100000000000001" customHeight="1" x14ac:dyDescent="0.3">
      <c r="C21" s="21"/>
      <c r="D21" s="1"/>
      <c r="E21" s="1"/>
      <c r="F21" s="1"/>
      <c r="G21" s="1"/>
      <c r="H21" s="26"/>
      <c r="I21" s="21"/>
      <c r="J21" s="21"/>
      <c r="K21" s="21"/>
    </row>
    <row r="22" spans="1:11" ht="20.100000000000001" customHeight="1" x14ac:dyDescent="0.3">
      <c r="C22" s="21"/>
      <c r="D22" s="1"/>
      <c r="E22" s="1"/>
      <c r="F22" s="1"/>
      <c r="G22" s="1"/>
      <c r="H22" s="26"/>
      <c r="I22" s="21"/>
      <c r="J22" s="21"/>
      <c r="K22" s="21"/>
    </row>
    <row r="23" spans="1:11" ht="20.100000000000001" customHeight="1" x14ac:dyDescent="0.3">
      <c r="C23" s="21"/>
      <c r="D23" s="1"/>
      <c r="E23" s="1"/>
      <c r="F23" s="1"/>
      <c r="G23" s="1"/>
      <c r="H23" s="26"/>
      <c r="I23" s="21"/>
      <c r="J23" s="21"/>
      <c r="K23" s="21"/>
    </row>
    <row r="24" spans="1:11" ht="20.100000000000001" customHeight="1" x14ac:dyDescent="0.3">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6"/>
      <c r="J38" s="96"/>
      <c r="K38" s="21"/>
    </row>
    <row r="39" spans="3:11" ht="20.100000000000001" customHeight="1" x14ac:dyDescent="0.25">
      <c r="C39" s="21"/>
      <c r="D39" s="1"/>
      <c r="E39" s="1"/>
      <c r="F39" s="1"/>
      <c r="G39" s="1"/>
      <c r="H39" s="1"/>
      <c r="I39" s="96"/>
      <c r="J39" s="96"/>
      <c r="K39" s="21"/>
    </row>
    <row r="40" spans="3:11" ht="20.100000000000001" customHeight="1" x14ac:dyDescent="0.25">
      <c r="C40" s="21"/>
      <c r="D40" s="1"/>
      <c r="E40" s="1"/>
      <c r="F40" s="1"/>
      <c r="G40" s="1"/>
      <c r="H40" s="1"/>
      <c r="I40" s="96"/>
      <c r="J40" s="96"/>
      <c r="K40" s="21"/>
    </row>
    <row r="41" spans="3:11" ht="20.100000000000001" customHeight="1" x14ac:dyDescent="0.25">
      <c r="C41" s="21"/>
      <c r="D41" s="1"/>
      <c r="E41" s="1"/>
      <c r="F41" s="1"/>
      <c r="G41" s="1"/>
      <c r="H41" s="1"/>
      <c r="I41" s="96"/>
      <c r="J41" s="96"/>
      <c r="K41" s="21"/>
    </row>
    <row r="42" spans="3:11" ht="20.100000000000001" customHeight="1" x14ac:dyDescent="0.25">
      <c r="C42" s="21"/>
      <c r="D42" s="1"/>
      <c r="E42" s="1"/>
      <c r="F42" s="1"/>
      <c r="G42" s="1"/>
      <c r="H42" s="1"/>
      <c r="I42" s="96"/>
      <c r="J42" s="96"/>
      <c r="K42" s="21"/>
    </row>
    <row r="43" spans="3:11" ht="20.100000000000001" customHeight="1" x14ac:dyDescent="0.25">
      <c r="C43" s="21"/>
      <c r="D43" s="1"/>
      <c r="E43" s="1"/>
      <c r="F43" s="1"/>
      <c r="G43" s="1"/>
      <c r="H43" s="1"/>
      <c r="I43" s="96"/>
      <c r="J43" s="96"/>
      <c r="K43" s="21"/>
    </row>
    <row r="44" spans="3:11" ht="20.100000000000001" customHeight="1" x14ac:dyDescent="0.25">
      <c r="C44" s="21"/>
      <c r="D44" s="1"/>
      <c r="E44" s="1"/>
      <c r="F44" s="1"/>
      <c r="G44" s="1"/>
      <c r="H44" s="1"/>
      <c r="I44" s="96"/>
      <c r="J44" s="96"/>
      <c r="K44" s="21"/>
    </row>
    <row r="45" spans="3:11" ht="20.100000000000001" customHeight="1" x14ac:dyDescent="0.25">
      <c r="C45" s="21"/>
      <c r="D45" s="1"/>
      <c r="E45" s="1"/>
      <c r="F45" s="1"/>
      <c r="G45" s="1"/>
      <c r="H45" s="1"/>
      <c r="I45" s="96"/>
      <c r="J45" s="96"/>
      <c r="K45" s="21"/>
    </row>
    <row r="46" spans="3:11" ht="20.100000000000001" customHeight="1" x14ac:dyDescent="0.25">
      <c r="C46" s="21"/>
      <c r="D46" s="1"/>
      <c r="E46" s="1"/>
      <c r="F46" s="1"/>
      <c r="G46" s="1"/>
      <c r="H46" s="1"/>
      <c r="I46" s="96"/>
      <c r="J46" s="96"/>
      <c r="K46" s="21"/>
    </row>
    <row r="47" spans="3:11" ht="20.100000000000001" customHeight="1" x14ac:dyDescent="0.25">
      <c r="C47" s="21"/>
      <c r="D47" s="1"/>
      <c r="E47" s="1"/>
      <c r="F47" s="1"/>
      <c r="G47" s="1"/>
      <c r="H47" s="1"/>
      <c r="I47" s="96"/>
      <c r="J47" s="96"/>
      <c r="K47" s="21"/>
    </row>
    <row r="48" spans="3:11" ht="20.100000000000001" customHeight="1" x14ac:dyDescent="0.25">
      <c r="C48" s="21"/>
      <c r="D48" s="1"/>
      <c r="E48" s="1"/>
      <c r="F48" s="1"/>
      <c r="G48" s="1"/>
      <c r="H48" s="1"/>
      <c r="I48" s="96"/>
      <c r="J48" s="96"/>
      <c r="K48" s="21"/>
    </row>
    <row r="49" spans="3:11" ht="20.100000000000001" customHeight="1" x14ac:dyDescent="0.25">
      <c r="C49" s="21"/>
      <c r="D49" s="1"/>
      <c r="E49" s="1"/>
      <c r="F49" s="1"/>
      <c r="G49" s="1"/>
      <c r="H49" s="96"/>
      <c r="I49" s="96"/>
      <c r="J49" s="96"/>
      <c r="K49" s="21"/>
    </row>
    <row r="50" spans="3:11" ht="20.100000000000001" customHeight="1" x14ac:dyDescent="0.25">
      <c r="C50" s="21"/>
      <c r="D50" s="1"/>
      <c r="E50" s="1"/>
      <c r="F50" s="1"/>
      <c r="G50" s="1"/>
      <c r="H50" s="96"/>
      <c r="I50" s="96"/>
      <c r="J50" s="96"/>
      <c r="K50" s="21"/>
    </row>
    <row r="51" spans="3:11" ht="20.100000000000001" customHeight="1" x14ac:dyDescent="0.25">
      <c r="C51" s="21"/>
      <c r="D51" s="1"/>
      <c r="E51" s="1"/>
      <c r="F51" s="1"/>
      <c r="G51" s="1"/>
      <c r="H51" s="96"/>
      <c r="I51" s="96"/>
      <c r="J51" s="96"/>
      <c r="K51" s="21"/>
    </row>
    <row r="52" spans="3:11" ht="20.100000000000001" customHeight="1" x14ac:dyDescent="0.25">
      <c r="C52" s="21"/>
      <c r="D52" s="1"/>
      <c r="E52" s="1"/>
      <c r="F52" s="1"/>
      <c r="G52" s="1"/>
      <c r="H52" s="96"/>
      <c r="I52" s="96"/>
      <c r="J52" s="96"/>
      <c r="K52" s="21"/>
    </row>
    <row r="53" spans="3:11" ht="20.100000000000001" customHeight="1" x14ac:dyDescent="0.25">
      <c r="C53" s="21"/>
      <c r="D53" s="1"/>
      <c r="E53" s="1"/>
      <c r="F53" s="1"/>
      <c r="G53" s="1"/>
      <c r="H53" s="96"/>
      <c r="I53" s="96"/>
      <c r="J53" s="96"/>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9" sqref="A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69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4"/>
      <c r="D4" s="64"/>
      <c r="E4" s="64"/>
      <c r="F4" s="64"/>
      <c r="G4" s="64"/>
      <c r="H4" s="64"/>
      <c r="I4" s="64"/>
      <c r="J4" s="64"/>
      <c r="K4" s="64"/>
    </row>
    <row r="5" spans="1:24" ht="20.100000000000001" customHeight="1" x14ac:dyDescent="0.25">
      <c r="A5" s="17" t="str">
        <f>HYPERLINK("#'Results'!A1", "Results")</f>
        <v>Results</v>
      </c>
      <c r="D5" s="6" t="s">
        <v>7</v>
      </c>
      <c r="N5" s="36"/>
    </row>
    <row r="6" spans="1:24" ht="20.100000000000001" customHeight="1" x14ac:dyDescent="0.25">
      <c r="D6" s="14"/>
      <c r="N6" s="37"/>
    </row>
    <row r="7" spans="1:24" ht="20.100000000000001" customHeight="1" x14ac:dyDescent="0.25">
      <c r="A7" s="20" t="s">
        <v>1</v>
      </c>
      <c r="D7" s="1" t="s">
        <v>5</v>
      </c>
      <c r="E7" s="30" t="s">
        <v>4</v>
      </c>
      <c r="F7" s="2"/>
    </row>
    <row r="8" spans="1:24" ht="20.100000000000001" customHeight="1" x14ac:dyDescent="0.25">
      <c r="A8" s="123" t="str">
        <f>HYPERLINK("#'Input - Site'!A1", "Site")</f>
        <v>Site</v>
      </c>
      <c r="D8" s="10" t="s">
        <v>53</v>
      </c>
      <c r="E8" s="30" t="s">
        <v>54</v>
      </c>
    </row>
    <row r="9" spans="1:24" ht="20.100000000000001" customHeight="1" x14ac:dyDescent="0.25">
      <c r="A9" s="17" t="str">
        <f>HYPERLINK("#'Input - Swine'!A1", "Swine")</f>
        <v>Swine</v>
      </c>
      <c r="N9" s="38"/>
    </row>
    <row r="10" spans="1:24" ht="20.100000000000001" customHeight="1" x14ac:dyDescent="0.25">
      <c r="A10" s="17"/>
      <c r="D10" s="87" t="s">
        <v>68</v>
      </c>
      <c r="E10" s="86"/>
      <c r="F10" s="88"/>
      <c r="G10" s="83"/>
      <c r="N10" s="38"/>
    </row>
    <row r="11" spans="1:24" ht="20.100000000000001" customHeight="1" x14ac:dyDescent="0.25">
      <c r="A11" s="19" t="s">
        <v>55</v>
      </c>
      <c r="N11" s="39"/>
    </row>
    <row r="12" spans="1:24" ht="20.100000000000001" customHeight="1" x14ac:dyDescent="0.25">
      <c r="A12" s="17" t="str">
        <f>HYPERLINK("#'3.5.1.1-2 Enteric Methane'!A1", "3.5.1.1-2 Enteric Methane")</f>
        <v>3.5.1.1-2 Enteric Methane</v>
      </c>
      <c r="D12" s="10" t="s">
        <v>72</v>
      </c>
      <c r="E12" s="59">
        <v>45292</v>
      </c>
      <c r="F12" s="2" t="s">
        <v>52</v>
      </c>
    </row>
    <row r="13" spans="1:24" ht="20.100000000000001" customHeight="1" x14ac:dyDescent="0.25">
      <c r="A13"/>
      <c r="D13" s="10" t="s">
        <v>73</v>
      </c>
      <c r="E13" s="65">
        <f>DATE(YEAR(E12)+1,MONTH(E12),DAY(E12))-1</f>
        <v>45657</v>
      </c>
      <c r="F13" s="2" t="s">
        <v>8</v>
      </c>
      <c r="N13" s="35"/>
      <c r="O13" s="35"/>
    </row>
    <row r="14" spans="1:24" ht="20.100000000000001" customHeight="1" x14ac:dyDescent="0.25">
      <c r="A14" s="18" t="s">
        <v>2</v>
      </c>
      <c r="N14" s="35"/>
      <c r="O14" s="35"/>
    </row>
    <row r="15" spans="1:24" ht="20.100000000000001" customHeight="1" x14ac:dyDescent="0.25">
      <c r="A15" s="17" t="str">
        <f>HYPERLINK("#'Constants - Swine'!A1", "Constants - Swine")</f>
        <v>Constants - Swine</v>
      </c>
      <c r="N15" s="35"/>
      <c r="O15" s="35"/>
    </row>
    <row r="16" spans="1:24" ht="20.100000000000001" customHeight="1" x14ac:dyDescent="0.25">
      <c r="A16" s="17" t="str">
        <f>HYPERLINK("#'Constants - Livestock'!A1", "Constants - Livestock")</f>
        <v>Constants - Livestock</v>
      </c>
      <c r="D16" s="1"/>
      <c r="E16" s="1"/>
      <c r="F16" s="1"/>
      <c r="G16" s="1"/>
      <c r="H16" s="1"/>
      <c r="N16" s="35"/>
      <c r="O16" s="35"/>
    </row>
    <row r="17" spans="1:25" ht="20.100000000000001" customHeight="1" x14ac:dyDescent="0.25">
      <c r="A17" s="17" t="str">
        <f>HYPERLINK("#'Constants - Common'!A1", "Constants - Common")</f>
        <v>Constants - Common</v>
      </c>
      <c r="D17" s="1"/>
      <c r="E17" s="1"/>
      <c r="F17" s="1"/>
      <c r="G17" s="1"/>
      <c r="H17" s="1"/>
    </row>
    <row r="18" spans="1:25" ht="20.100000000000001" customHeight="1" x14ac:dyDescent="0.25">
      <c r="A18" s="17" t="str">
        <f>HYPERLINK("#'Acknowledgements'!A1", "Acknowledgements")</f>
        <v>Acknowledgements</v>
      </c>
      <c r="D18" s="1"/>
      <c r="E18" s="1"/>
      <c r="F18" s="1"/>
      <c r="G18" s="1"/>
      <c r="H18" s="1"/>
    </row>
    <row r="19" spans="1:25" ht="20.100000000000001" customHeight="1" x14ac:dyDescent="0.25">
      <c r="A19"/>
      <c r="D19" s="1"/>
      <c r="E19" s="1"/>
      <c r="F19" s="1"/>
      <c r="G19" s="1"/>
      <c r="H19" s="1"/>
      <c r="N19" s="36"/>
    </row>
    <row r="20" spans="1:25" ht="20.100000000000001" customHeight="1" x14ac:dyDescent="0.25">
      <c r="A20" s="17"/>
      <c r="D20" s="1"/>
      <c r="E20" s="1"/>
      <c r="F20" s="1"/>
      <c r="G20" s="1"/>
      <c r="H20" s="1"/>
      <c r="N20" s="37"/>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7"/>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2"/>
      <c r="M31" s="42"/>
      <c r="N31" s="42"/>
      <c r="O31" s="42"/>
      <c r="P31" s="42"/>
      <c r="Q31" s="42"/>
      <c r="R31" s="42"/>
      <c r="S31" s="42"/>
      <c r="T31" s="42"/>
      <c r="U31" s="42"/>
      <c r="V31" s="42"/>
      <c r="W31" s="42"/>
      <c r="X31" s="42"/>
      <c r="Y31" s="42"/>
    </row>
    <row r="32" spans="1:25" ht="20.100000000000001" customHeight="1" x14ac:dyDescent="0.25">
      <c r="A32"/>
      <c r="D32" s="1"/>
      <c r="E32" s="1"/>
      <c r="F32" s="1"/>
      <c r="G32" s="1"/>
      <c r="H32" s="1"/>
      <c r="L32" s="42"/>
      <c r="M32" s="42"/>
      <c r="N32" s="42"/>
      <c r="O32" s="42"/>
      <c r="P32" s="42"/>
      <c r="Q32" s="42"/>
      <c r="R32" s="42"/>
      <c r="S32" s="42"/>
      <c r="T32" s="42"/>
      <c r="U32" s="42"/>
      <c r="V32" s="42"/>
      <c r="W32" s="42"/>
      <c r="X32" s="42"/>
      <c r="Y32" s="42"/>
    </row>
    <row r="33" spans="1:25" ht="20.100000000000001" customHeight="1" x14ac:dyDescent="0.25">
      <c r="A33"/>
      <c r="D33" s="1"/>
      <c r="E33" s="1"/>
      <c r="F33" s="1"/>
      <c r="G33" s="1"/>
      <c r="H33" s="1"/>
      <c r="L33" s="42"/>
      <c r="M33" s="42"/>
      <c r="N33" s="42"/>
      <c r="O33" s="42"/>
      <c r="P33" s="42"/>
      <c r="Q33" s="42"/>
      <c r="R33" s="42"/>
      <c r="S33" s="42"/>
      <c r="T33" s="42"/>
      <c r="U33" s="42"/>
      <c r="V33" s="42"/>
      <c r="W33" s="42"/>
      <c r="X33" s="42"/>
      <c r="Y33" s="42"/>
    </row>
    <row r="34" spans="1:25" ht="20.100000000000001" customHeight="1" x14ac:dyDescent="0.25">
      <c r="A34"/>
      <c r="D34" s="1"/>
      <c r="E34" s="1"/>
      <c r="F34" s="1"/>
      <c r="G34" s="1"/>
      <c r="H34" s="1"/>
      <c r="J34" s="56"/>
      <c r="K34" s="68"/>
      <c r="L34" s="42"/>
      <c r="M34" s="42"/>
      <c r="N34" s="42"/>
      <c r="O34" s="42"/>
      <c r="P34" s="42"/>
      <c r="Q34" s="42"/>
      <c r="R34" s="42"/>
      <c r="S34" s="42"/>
      <c r="T34" s="42"/>
      <c r="U34" s="42"/>
      <c r="V34" s="42"/>
      <c r="W34" s="42"/>
      <c r="X34" s="42"/>
      <c r="Y34" s="42"/>
    </row>
    <row r="35" spans="1:25" ht="20.100000000000001" customHeight="1" x14ac:dyDescent="0.25">
      <c r="A35"/>
      <c r="D35" s="1"/>
      <c r="E35" s="1"/>
      <c r="F35" s="1"/>
      <c r="G35" s="1"/>
      <c r="H35" s="1"/>
      <c r="J35" s="56"/>
      <c r="K35" s="68"/>
      <c r="L35" s="42"/>
      <c r="M35" s="42"/>
      <c r="N35" s="42"/>
      <c r="O35" s="42"/>
      <c r="P35" s="42"/>
      <c r="Q35" s="42"/>
      <c r="R35" s="42"/>
      <c r="S35" s="42"/>
      <c r="T35" s="42"/>
      <c r="U35" s="42"/>
      <c r="V35" s="42"/>
      <c r="W35" s="42"/>
      <c r="X35" s="42"/>
      <c r="Y35" s="42"/>
    </row>
    <row r="36" spans="1:25" ht="20.100000000000001" customHeight="1" x14ac:dyDescent="0.25">
      <c r="A36"/>
      <c r="D36" s="66"/>
      <c r="E36" s="66"/>
      <c r="F36" s="67"/>
      <c r="G36" s="56"/>
      <c r="H36" s="56"/>
      <c r="I36" s="57"/>
      <c r="J36" s="56"/>
      <c r="K36" s="68"/>
      <c r="L36" s="42"/>
      <c r="M36" s="42"/>
      <c r="N36" s="42"/>
      <c r="O36" s="42"/>
      <c r="P36" s="42"/>
      <c r="Q36" s="42"/>
      <c r="R36" s="42"/>
      <c r="S36" s="42"/>
      <c r="T36" s="42"/>
      <c r="U36" s="42"/>
      <c r="V36" s="42"/>
      <c r="W36" s="42"/>
      <c r="X36" s="42"/>
      <c r="Y36" s="42"/>
    </row>
    <row r="37" spans="1:25" ht="20.100000000000001" customHeight="1" x14ac:dyDescent="0.25">
      <c r="A37"/>
      <c r="D37" s="66"/>
      <c r="E37" s="66"/>
      <c r="F37" s="67"/>
      <c r="G37" s="56"/>
      <c r="H37" s="56"/>
      <c r="I37" s="57"/>
      <c r="J37" s="56"/>
      <c r="K37" s="68"/>
      <c r="L37" s="42"/>
      <c r="M37" s="42"/>
      <c r="N37" s="42"/>
      <c r="O37" s="42"/>
      <c r="P37" s="42"/>
      <c r="Q37" s="42"/>
      <c r="R37" s="42"/>
      <c r="S37" s="42"/>
      <c r="T37" s="42"/>
      <c r="U37" s="42"/>
      <c r="V37" s="42"/>
      <c r="W37" s="42"/>
      <c r="X37" s="42"/>
      <c r="Y37" s="42"/>
    </row>
    <row r="38" spans="1:25" ht="20.100000000000001" customHeight="1" x14ac:dyDescent="0.25">
      <c r="A38"/>
      <c r="D38" s="66"/>
      <c r="E38" s="66"/>
      <c r="F38" s="67"/>
      <c r="G38" s="56"/>
      <c r="H38" s="56"/>
      <c r="I38" s="57"/>
      <c r="J38" s="56"/>
      <c r="K38" s="68"/>
      <c r="L38" s="42"/>
      <c r="M38" s="42"/>
      <c r="N38" s="42"/>
      <c r="O38" s="42"/>
      <c r="P38" s="42"/>
      <c r="Q38" s="42"/>
      <c r="R38" s="42"/>
      <c r="S38" s="42"/>
      <c r="T38" s="42"/>
      <c r="U38" s="42"/>
      <c r="V38" s="42"/>
      <c r="W38" s="42"/>
      <c r="X38" s="42"/>
      <c r="Y38" s="42"/>
    </row>
    <row r="39" spans="1:25" ht="20.100000000000001" customHeight="1" x14ac:dyDescent="0.25">
      <c r="A39"/>
      <c r="D39" s="66"/>
      <c r="E39" s="66"/>
      <c r="F39" s="67"/>
      <c r="G39" s="56"/>
      <c r="H39" s="56"/>
      <c r="I39" s="57"/>
      <c r="J39" s="56"/>
      <c r="K39" s="68"/>
      <c r="L39" s="42"/>
      <c r="M39" s="42"/>
      <c r="N39" s="42"/>
      <c r="O39" s="42"/>
      <c r="P39" s="42"/>
      <c r="Q39" s="42"/>
      <c r="R39" s="42"/>
      <c r="S39" s="42"/>
      <c r="T39" s="42"/>
      <c r="U39" s="42"/>
      <c r="V39" s="42"/>
      <c r="W39" s="42"/>
      <c r="X39" s="42"/>
      <c r="Y39" s="42"/>
    </row>
    <row r="40" spans="1:25" ht="20.100000000000001" customHeight="1" x14ac:dyDescent="0.25">
      <c r="A40"/>
      <c r="D40" s="69"/>
      <c r="E40" s="69"/>
      <c r="F40" s="69"/>
      <c r="G40" s="70"/>
      <c r="H40" s="71"/>
      <c r="I40" s="71"/>
      <c r="J40" s="71"/>
      <c r="K40" s="71"/>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1"/>
      <c r="E48" s="31"/>
      <c r="F48" s="32"/>
      <c r="G48" s="32"/>
      <c r="H48" s="31"/>
    </row>
    <row r="49" spans="4:8" ht="20.100000000000001" customHeight="1" x14ac:dyDescent="0.25">
      <c r="D49" s="31"/>
      <c r="E49" s="31"/>
      <c r="F49" s="32"/>
      <c r="G49" s="32"/>
      <c r="H49" s="31"/>
    </row>
    <row r="50" spans="4:8" ht="20.100000000000001" customHeight="1" x14ac:dyDescent="0.25">
      <c r="D50" s="31"/>
      <c r="E50" s="31"/>
      <c r="F50" s="32"/>
      <c r="G50" s="32"/>
      <c r="H50" s="31"/>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D54" s="78"/>
      <c r="G54" s="76"/>
    </row>
    <row r="55" spans="4:8" ht="20.100000000000001" customHeight="1" x14ac:dyDescent="0.25">
      <c r="D55" s="78"/>
    </row>
    <row r="56" spans="4:8" ht="20.100000000000001" customHeight="1" x14ac:dyDescent="0.25">
      <c r="D56" s="78"/>
    </row>
    <row r="57" spans="4:8" ht="20.100000000000001" customHeight="1" x14ac:dyDescent="0.2">
      <c r="D57" s="78"/>
      <c r="F57" s="77"/>
    </row>
    <row r="58" spans="4:8" ht="20.100000000000001" customHeight="1" x14ac:dyDescent="0.25">
      <c r="D58" s="78"/>
      <c r="E58" s="78"/>
    </row>
    <row r="59" spans="4:8" ht="20.100000000000001" customHeight="1" x14ac:dyDescent="0.25">
      <c r="D59" s="78"/>
      <c r="E59" s="78"/>
    </row>
    <row r="60" spans="4:8" ht="20.100000000000001" customHeight="1" x14ac:dyDescent="0.25">
      <c r="D60" s="78"/>
      <c r="E60" s="79"/>
    </row>
    <row r="61" spans="4:8" ht="20.100000000000001" customHeight="1" x14ac:dyDescent="0.25">
      <c r="D61" s="78"/>
    </row>
    <row r="62" spans="4:8" ht="20.100000000000001" customHeight="1" x14ac:dyDescent="0.25">
      <c r="D62" s="78"/>
    </row>
    <row r="63" spans="4:8" ht="20.100000000000001" customHeight="1" x14ac:dyDescent="0.25">
      <c r="D63" s="78"/>
    </row>
    <row r="64" spans="4:8" ht="20.100000000000001" customHeight="1" x14ac:dyDescent="0.25">
      <c r="D64" s="78"/>
      <c r="E64" s="78"/>
    </row>
    <row r="65" spans="4:9" ht="20.100000000000001" customHeight="1" x14ac:dyDescent="0.25">
      <c r="D65" s="78"/>
      <c r="E65" s="78"/>
    </row>
    <row r="66" spans="4:9" ht="20.100000000000001" customHeight="1" x14ac:dyDescent="0.25">
      <c r="D66" s="78"/>
      <c r="E66" s="79"/>
    </row>
    <row r="67" spans="4:9" ht="20.100000000000001" customHeight="1" x14ac:dyDescent="0.25"/>
    <row r="68" spans="4:9" ht="20.100000000000001" customHeight="1" x14ac:dyDescent="0.25"/>
    <row r="69" spans="4:9" ht="20.100000000000001" customHeight="1" x14ac:dyDescent="0.25">
      <c r="D69" s="55"/>
      <c r="E69" s="55"/>
      <c r="F69" s="55"/>
      <c r="G69" s="55"/>
      <c r="H69" s="55"/>
      <c r="I69" s="55"/>
    </row>
    <row r="70" spans="4:9" ht="20.100000000000001" customHeight="1" x14ac:dyDescent="0.25">
      <c r="D70" s="55"/>
      <c r="E70" s="55"/>
      <c r="F70" s="55"/>
      <c r="G70" s="55"/>
      <c r="H70" s="55"/>
      <c r="I70" s="55"/>
    </row>
    <row r="71" spans="4:9" ht="20.100000000000001" customHeight="1" x14ac:dyDescent="0.25">
      <c r="D71" s="55"/>
      <c r="E71" s="55"/>
      <c r="F71" s="55"/>
      <c r="G71" s="55"/>
      <c r="H71" s="55"/>
      <c r="I71" s="55"/>
    </row>
    <row r="72" spans="4:9" ht="20.100000000000001" customHeight="1" x14ac:dyDescent="0.25">
      <c r="D72" s="55"/>
      <c r="E72" s="55"/>
      <c r="F72" s="55"/>
      <c r="G72" s="55"/>
      <c r="H72" s="55"/>
      <c r="I72" s="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S356"/>
  <sheetViews>
    <sheetView showGridLines="0" zoomScale="85" zoomScaleNormal="85" workbookViewId="0"/>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4.7109375" style="1" customWidth="1"/>
    <col min="11" max="12" width="4.7109375" style="51" customWidth="1"/>
    <col min="13" max="18" width="30.7109375" style="51" customWidth="1"/>
    <col min="19" max="19" width="4.7109375" style="51" customWidth="1"/>
  </cols>
  <sheetData>
    <row r="1" spans="1:19" s="63" customFormat="1" ht="30" customHeight="1" x14ac:dyDescent="0.35">
      <c r="A1" s="63" t="e" vm="1">
        <v>#VALUE!</v>
      </c>
      <c r="C1" s="63" t="s">
        <v>105</v>
      </c>
      <c r="K1" s="51"/>
      <c r="L1" s="51"/>
      <c r="M1" s="51"/>
      <c r="N1" s="51"/>
      <c r="O1" s="51"/>
      <c r="P1" s="51"/>
      <c r="Q1" s="51"/>
      <c r="R1" s="51"/>
      <c r="S1" s="51"/>
    </row>
    <row r="2" spans="1:19" s="9" customFormat="1" ht="20.100000000000001" customHeight="1" x14ac:dyDescent="0.25">
      <c r="K2" s="51"/>
      <c r="L2" s="51"/>
      <c r="M2" s="51"/>
      <c r="N2" s="51"/>
      <c r="O2" s="51"/>
      <c r="P2" s="51"/>
      <c r="Q2" s="51"/>
      <c r="R2" s="51"/>
      <c r="S2" s="51"/>
    </row>
    <row r="3" spans="1:19" ht="20.100000000000001" customHeight="1" x14ac:dyDescent="0.25">
      <c r="A3" s="17" t="str">
        <f>HYPERLINK("#'Home'!A1", "Home")</f>
        <v>Home</v>
      </c>
      <c r="C3" s="15"/>
      <c r="D3" s="15"/>
      <c r="E3" s="15"/>
      <c r="F3" s="15"/>
      <c r="G3" s="15"/>
      <c r="H3" s="15"/>
      <c r="I3" s="15"/>
      <c r="J3" s="15"/>
    </row>
    <row r="4" spans="1:19" ht="20.100000000000001" customHeight="1" x14ac:dyDescent="0.25">
      <c r="A4" s="17" t="str">
        <f>HYPERLINK("#'Overview'!A1", "Overview")</f>
        <v>Overview</v>
      </c>
    </row>
    <row r="5" spans="1:19" ht="20.100000000000001" customHeight="1" x14ac:dyDescent="0.25">
      <c r="A5" s="17" t="str">
        <f>HYPERLINK("#'Results'!A1", "Results")</f>
        <v>Results</v>
      </c>
      <c r="E5" s="102" t="s">
        <v>107</v>
      </c>
      <c r="F5" s="102" t="s">
        <v>108</v>
      </c>
      <c r="G5" s="102" t="s">
        <v>109</v>
      </c>
      <c r="H5" s="102" t="s">
        <v>129</v>
      </c>
      <c r="J5" s="3"/>
      <c r="N5" s="7"/>
    </row>
    <row r="6" spans="1:19" ht="20.100000000000001" customHeight="1" x14ac:dyDescent="0.25">
      <c r="A6" s="16"/>
      <c r="D6" s="43" t="str">
        <f>"Average duration of stay between " &amp; TEXT('Input - Site'!$E$12, "dd mmm yy") &amp; " and " &amp; TEXT('Input - Site'!$E$13, "dd mmm yy")</f>
        <v>Average duration of stay between 01 Jan 24 and 31 Dec 24</v>
      </c>
      <c r="E6" s="61">
        <v>365</v>
      </c>
      <c r="F6" s="61">
        <v>365</v>
      </c>
      <c r="G6" s="61">
        <v>365</v>
      </c>
      <c r="H6" s="61">
        <v>365</v>
      </c>
      <c r="I6" s="2" t="s">
        <v>41</v>
      </c>
      <c r="J6" s="3"/>
      <c r="N6" s="7"/>
    </row>
    <row r="7" spans="1:19" ht="20.100000000000001" customHeight="1" x14ac:dyDescent="0.25">
      <c r="A7" s="20" t="s">
        <v>1</v>
      </c>
      <c r="D7" s="43" t="str">
        <f>"Average number of head between " &amp; TEXT('Input - Site'!$E$12, "dd mmm yy") &amp; " and " &amp; TEXT('Input - Site'!$E$13, "dd mmm yy")</f>
        <v>Average number of head between 01 Jan 24 and 31 Dec 24</v>
      </c>
      <c r="E7" s="61">
        <v>100</v>
      </c>
      <c r="F7" s="61">
        <v>100</v>
      </c>
      <c r="G7" s="61">
        <v>100</v>
      </c>
      <c r="H7" s="61">
        <v>100</v>
      </c>
      <c r="I7" s="2" t="s">
        <v>74</v>
      </c>
      <c r="J7" s="3"/>
      <c r="N7" s="7"/>
    </row>
    <row r="8" spans="1:19" ht="20.100000000000001" customHeight="1" x14ac:dyDescent="0.25">
      <c r="A8" s="17" t="str">
        <f>HYPERLINK("#'Input - Site'!A1", "Site")</f>
        <v>Site</v>
      </c>
      <c r="J8" s="3"/>
      <c r="N8" s="7"/>
    </row>
    <row r="9" spans="1:19" ht="20.100000000000001" customHeight="1" x14ac:dyDescent="0.25">
      <c r="A9" s="123" t="str">
        <f>HYPERLINK("#'Input - Swine'!A1", "Swine")</f>
        <v>Swine</v>
      </c>
      <c r="D9" s="6" t="s">
        <v>155</v>
      </c>
      <c r="N9" s="7"/>
    </row>
    <row r="10" spans="1:19" ht="20.100000000000001" customHeight="1" x14ac:dyDescent="0.25">
      <c r="A10" s="17"/>
      <c r="N10" s="7"/>
    </row>
    <row r="11" spans="1:19" ht="20.100000000000001" customHeight="1" x14ac:dyDescent="0.25">
      <c r="A11" s="19" t="s">
        <v>55</v>
      </c>
      <c r="D11" s="58" t="s">
        <v>127</v>
      </c>
      <c r="E11" s="102" t="s">
        <v>107</v>
      </c>
      <c r="F11" s="102" t="s">
        <v>108</v>
      </c>
      <c r="G11" s="102" t="s">
        <v>109</v>
      </c>
      <c r="H11" s="102" t="s">
        <v>129</v>
      </c>
      <c r="N11" s="7"/>
    </row>
    <row r="12" spans="1:19" ht="20.100000000000001" customHeight="1" x14ac:dyDescent="0.25">
      <c r="A12" s="17" t="str">
        <f>HYPERLINK("#'3.5.1.1-2 Enteric Methane'!A1", "3.5.1.1-2 Enteric Methane")</f>
        <v>3.5.1.1-2 Enteric Methane</v>
      </c>
      <c r="D12" s="1" t="s">
        <v>110</v>
      </c>
      <c r="E12" s="47" cm="1">
        <f t="array" ref="E12">Common_InputFunctions.Utility_LookupValueInTableNumber(E11, Table_SourceData_Swine_FeedIntake[Class],Table_SourceData_Swine_FeedIntake[Ij])</f>
        <v>2.62</v>
      </c>
      <c r="F12" s="47" cm="1">
        <f t="array" ref="F12">Common_InputFunctions.Utility_LookupValueInTableNumber(F11, Table_SourceData_Swine_FeedIntake[Class],Table_SourceData_Swine_FeedIntake[Ij])</f>
        <v>2.2999999999999998</v>
      </c>
      <c r="G12" s="47" cm="1">
        <f t="array" ref="G12">Common_InputFunctions.Utility_LookupValueInTableNumber(G11, Table_SourceData_Swine_FeedIntake[Class],Table_SourceData_Swine_FeedIntake[Ij])</f>
        <v>2.5</v>
      </c>
      <c r="H12" s="47" cm="1">
        <f t="array" ref="H12">Common_InputFunctions.Utility_LookupValueInTableNumber(H11, Table_SourceData_Swine_FeedIntake[Class],Table_SourceData_Swine_FeedIntake[Ij])</f>
        <v>1.71</v>
      </c>
      <c r="I12" s="2" t="s">
        <v>93</v>
      </c>
      <c r="N12" s="7"/>
    </row>
    <row r="13" spans="1:19" ht="20.100000000000001" customHeight="1" x14ac:dyDescent="0.25">
      <c r="N13" s="35"/>
    </row>
    <row r="14" spans="1:19" ht="20.100000000000001" customHeight="1" x14ac:dyDescent="0.25">
      <c r="A14" s="18" t="s">
        <v>2</v>
      </c>
      <c r="D14" s="58" t="s">
        <v>128</v>
      </c>
      <c r="E14" s="102" t="s">
        <v>107</v>
      </c>
      <c r="F14" s="102" t="s">
        <v>108</v>
      </c>
      <c r="G14" s="102" t="s">
        <v>109</v>
      </c>
      <c r="H14" s="102" t="s">
        <v>129</v>
      </c>
      <c r="N14" s="35"/>
    </row>
    <row r="15" spans="1:19" ht="20.100000000000001" customHeight="1" x14ac:dyDescent="0.25">
      <c r="A15" s="17" t="str">
        <f>HYPERLINK("#'Constants - Swine'!A1", "Constants - Swine")</f>
        <v>Constants - Swine</v>
      </c>
      <c r="D15" s="1" t="s">
        <v>110</v>
      </c>
      <c r="E15" s="61" cm="1">
        <f t="array" ref="E15">Common_InputFunctions.Utility_LookupValueInTableNumber(E14, Table_SourceData_Swine_FeedIntake[Class],Table_SourceData_Swine_FeedIntake[Ij])</f>
        <v>2.62</v>
      </c>
      <c r="F15" s="61" cm="1">
        <f t="array" ref="F15">Common_InputFunctions.Utility_LookupValueInTableNumber(F14, Table_SourceData_Swine_FeedIntake[Class],Table_SourceData_Swine_FeedIntake[Ij])</f>
        <v>2.2999999999999998</v>
      </c>
      <c r="G15" s="61" cm="1">
        <f t="array" ref="G15">Common_InputFunctions.Utility_LookupValueInTableNumber(G14, Table_SourceData_Swine_FeedIntake[Class],Table_SourceData_Swine_FeedIntake[Ij])</f>
        <v>2.5</v>
      </c>
      <c r="H15" s="61" cm="1">
        <f t="array" ref="H15">Common_InputFunctions.Utility_LookupValueInTableNumber(H14, Table_SourceData_Swine_FeedIntake[Class],Table_SourceData_Swine_FeedIntake[Ij])</f>
        <v>1.71</v>
      </c>
      <c r="I15" s="2" t="s">
        <v>93</v>
      </c>
      <c r="N15" s="35"/>
    </row>
    <row r="16" spans="1:19" ht="20.100000000000001" customHeight="1" x14ac:dyDescent="0.25">
      <c r="A16" s="17" t="str">
        <f>HYPERLINK("#'Constants - Livestock'!A1", "Constants - Livestock")</f>
        <v>Constants - Livestock</v>
      </c>
      <c r="N16" s="35"/>
    </row>
    <row r="17" spans="1:14" ht="20.100000000000001" customHeight="1" x14ac:dyDescent="0.25">
      <c r="A17" s="17" t="str">
        <f>HYPERLINK("#'Constants - Common'!A1", "Constants - Common")</f>
        <v>Constants - Common</v>
      </c>
      <c r="N17" s="7"/>
    </row>
    <row r="18" spans="1:14" ht="20.100000000000001" customHeight="1" x14ac:dyDescent="0.25">
      <c r="A18" s="17" t="str">
        <f>HYPERLINK("#'Acknowledgements'!A1", "Acknowledgements")</f>
        <v>Acknowledgements</v>
      </c>
      <c r="N18" s="7"/>
    </row>
    <row r="19" spans="1:14" ht="20.100000000000001" customHeight="1" x14ac:dyDescent="0.25">
      <c r="N19" s="7"/>
    </row>
    <row r="20" spans="1:14" ht="20.100000000000001" customHeight="1" x14ac:dyDescent="0.25">
      <c r="A20" s="17"/>
      <c r="N20" s="7"/>
    </row>
    <row r="21" spans="1:14" ht="20.100000000000001" customHeight="1" x14ac:dyDescent="0.25">
      <c r="N21" s="7"/>
    </row>
    <row r="22" spans="1:14" ht="20.100000000000001" customHeight="1" x14ac:dyDescent="0.25">
      <c r="N22" s="7"/>
    </row>
    <row r="23" spans="1:14" ht="20.100000000000001" customHeight="1" x14ac:dyDescent="0.25">
      <c r="N23" s="7"/>
    </row>
    <row r="24" spans="1:14" ht="20.100000000000001" customHeight="1" x14ac:dyDescent="0.25">
      <c r="N24" s="7"/>
    </row>
    <row r="25" spans="1:14" ht="20.100000000000001" customHeight="1" x14ac:dyDescent="0.25">
      <c r="N25" s="7"/>
    </row>
    <row r="26" spans="1:14" ht="20.100000000000001" customHeight="1" x14ac:dyDescent="0.25">
      <c r="A26" s="17"/>
      <c r="N26" s="7"/>
    </row>
    <row r="27" spans="1:14" ht="20.100000000000001" customHeight="1" x14ac:dyDescent="0.25">
      <c r="A27" s="17"/>
      <c r="N27" s="7"/>
    </row>
    <row r="28" spans="1:14" ht="20.100000000000001" customHeight="1" x14ac:dyDescent="0.25">
      <c r="A28" s="17"/>
      <c r="N28" s="7"/>
    </row>
    <row r="29" spans="1:14" ht="20.100000000000001" customHeight="1" x14ac:dyDescent="0.25">
      <c r="A29" s="17"/>
      <c r="N29" s="7"/>
    </row>
    <row r="30" spans="1:14" ht="20.100000000000001" customHeight="1" x14ac:dyDescent="0.25">
      <c r="A30" s="17"/>
      <c r="N30" s="7"/>
    </row>
    <row r="31" spans="1:14" ht="20.100000000000001" customHeight="1" x14ac:dyDescent="0.25">
      <c r="A31" s="62"/>
      <c r="N31" s="7"/>
    </row>
    <row r="32" spans="1:14" ht="20.100000000000001" customHeight="1" x14ac:dyDescent="0.25">
      <c r="A32" s="62"/>
      <c r="N32" s="7"/>
    </row>
    <row r="33" spans="1:14" ht="20.100000000000001" customHeight="1" x14ac:dyDescent="0.25">
      <c r="A33" s="17"/>
      <c r="N33" s="7"/>
    </row>
    <row r="34" spans="1:14" ht="20.100000000000001" customHeight="1" x14ac:dyDescent="0.25">
      <c r="N34" s="7"/>
    </row>
    <row r="35" spans="1:14" ht="20.100000000000001" customHeight="1" x14ac:dyDescent="0.25">
      <c r="N35" s="7"/>
    </row>
    <row r="36" spans="1:14" ht="20.100000000000001" customHeight="1" x14ac:dyDescent="0.25">
      <c r="N36" s="7"/>
    </row>
    <row r="37" spans="1:14" ht="20.100000000000001" customHeight="1" x14ac:dyDescent="0.25">
      <c r="N37" s="7"/>
    </row>
    <row r="38" spans="1:14" ht="20.100000000000001" customHeight="1" x14ac:dyDescent="0.25">
      <c r="N38" s="7"/>
    </row>
    <row r="39" spans="1:14" ht="20.100000000000001" customHeight="1" x14ac:dyDescent="0.25">
      <c r="A39" s="17"/>
      <c r="N39" s="7"/>
    </row>
    <row r="40" spans="1:14" ht="20.100000000000001" customHeight="1" x14ac:dyDescent="0.25">
      <c r="N40" s="7"/>
    </row>
    <row r="41" spans="1:14" ht="20.100000000000001" customHeight="1" x14ac:dyDescent="0.25">
      <c r="A41" s="40"/>
      <c r="N41" s="7"/>
    </row>
    <row r="42" spans="1:14" ht="20.100000000000001" customHeight="1" x14ac:dyDescent="0.25">
      <c r="N42" s="7"/>
    </row>
    <row r="43" spans="1:14" ht="20.100000000000001" customHeight="1" x14ac:dyDescent="0.25">
      <c r="N43" s="7"/>
    </row>
    <row r="44" spans="1:14" ht="20.100000000000001" customHeight="1" x14ac:dyDescent="0.25">
      <c r="N44" s="7"/>
    </row>
    <row r="45" spans="1:14" ht="20.100000000000001" customHeight="1" x14ac:dyDescent="0.25">
      <c r="N45" s="7"/>
    </row>
    <row r="46" spans="1:14" ht="20.100000000000001" customHeight="1" x14ac:dyDescent="0.25">
      <c r="A46" s="118" t="str">
        <f>HYPERLINK("#A1", "▲ Back to top")</f>
        <v>▲ Back to top</v>
      </c>
      <c r="N46" s="7"/>
    </row>
    <row r="47" spans="1:14" ht="20.100000000000001" customHeight="1" x14ac:dyDescent="0.25">
      <c r="N47" s="7"/>
    </row>
    <row r="48" spans="1:14" ht="20.100000000000001" customHeight="1" x14ac:dyDescent="0.25">
      <c r="N48" s="7"/>
    </row>
    <row r="49" spans="14:14" ht="20.100000000000001" customHeight="1" x14ac:dyDescent="0.25">
      <c r="N49" s="7"/>
    </row>
    <row r="50" spans="14:14" ht="20.100000000000001" customHeight="1" x14ac:dyDescent="0.25">
      <c r="N50" s="7"/>
    </row>
    <row r="51" spans="14:14" ht="20.100000000000001" customHeight="1" x14ac:dyDescent="0.25">
      <c r="N51" s="7"/>
    </row>
    <row r="52" spans="14:14" ht="20.100000000000001" customHeight="1" x14ac:dyDescent="0.25">
      <c r="N52" s="7"/>
    </row>
    <row r="53" spans="14:14" ht="20.100000000000001" customHeight="1" x14ac:dyDescent="0.25">
      <c r="N53" s="7"/>
    </row>
    <row r="54" spans="14:14" ht="20.100000000000001" customHeight="1" x14ac:dyDescent="0.25">
      <c r="N54" s="7"/>
    </row>
    <row r="55" spans="14:14" ht="20.100000000000001" customHeight="1" x14ac:dyDescent="0.25">
      <c r="N55" s="7"/>
    </row>
    <row r="56" spans="14:14" ht="20.100000000000001" customHeight="1" x14ac:dyDescent="0.25">
      <c r="N56" s="7"/>
    </row>
    <row r="57" spans="14:14" ht="20.100000000000001" customHeight="1" x14ac:dyDescent="0.25">
      <c r="N57" s="7"/>
    </row>
    <row r="58" spans="14:14" ht="20.100000000000001" customHeight="1" x14ac:dyDescent="0.25">
      <c r="N58" s="7"/>
    </row>
    <row r="59" spans="14:14" ht="20.100000000000001" customHeight="1" x14ac:dyDescent="0.25">
      <c r="N59" s="7"/>
    </row>
    <row r="60" spans="14:14" ht="20.100000000000001" customHeight="1" x14ac:dyDescent="0.25">
      <c r="N60" s="7"/>
    </row>
    <row r="61" spans="14:14" ht="20.100000000000001" customHeight="1" x14ac:dyDescent="0.25">
      <c r="N61" s="7"/>
    </row>
    <row r="62" spans="14:14" ht="20.100000000000001" customHeight="1" x14ac:dyDescent="0.25">
      <c r="N62" s="7"/>
    </row>
    <row r="63" spans="14:14" ht="20.100000000000001" customHeight="1" x14ac:dyDescent="0.25">
      <c r="N63" s="7"/>
    </row>
    <row r="64" spans="14:14" ht="20.100000000000001" customHeight="1" x14ac:dyDescent="0.25">
      <c r="N64" s="7"/>
    </row>
    <row r="65" spans="14:14" ht="20.100000000000001" customHeight="1" x14ac:dyDescent="0.25">
      <c r="N65" s="7"/>
    </row>
    <row r="66" spans="14:14" ht="20.100000000000001" customHeight="1" x14ac:dyDescent="0.25">
      <c r="N66" s="7"/>
    </row>
    <row r="67" spans="14:14" ht="20.100000000000001" customHeight="1" x14ac:dyDescent="0.25">
      <c r="N67" s="7"/>
    </row>
    <row r="68" spans="14:14" ht="20.100000000000001" customHeight="1" x14ac:dyDescent="0.25">
      <c r="N68" s="7"/>
    </row>
    <row r="69" spans="14:14" ht="20.100000000000001" customHeight="1" x14ac:dyDescent="0.25">
      <c r="N69" s="7"/>
    </row>
    <row r="70" spans="14:14" ht="20.100000000000001" customHeight="1" x14ac:dyDescent="0.25">
      <c r="N70" s="7"/>
    </row>
    <row r="71" spans="14:14" ht="20.100000000000001" customHeight="1" x14ac:dyDescent="0.25">
      <c r="N71" s="7"/>
    </row>
    <row r="72" spans="14:14" ht="20.100000000000001" customHeight="1" x14ac:dyDescent="0.25">
      <c r="N72" s="7"/>
    </row>
    <row r="73" spans="14:14" ht="20.100000000000001" customHeight="1" x14ac:dyDescent="0.25">
      <c r="N73" s="7"/>
    </row>
    <row r="74" spans="14:14" ht="20.100000000000001" customHeight="1" x14ac:dyDescent="0.25">
      <c r="N74" s="7"/>
    </row>
    <row r="75" spans="14:14" ht="20.100000000000001" customHeight="1" x14ac:dyDescent="0.25">
      <c r="N75" s="7"/>
    </row>
    <row r="76" spans="14:14" ht="20.100000000000001" customHeight="1" x14ac:dyDescent="0.25">
      <c r="N76" s="7"/>
    </row>
    <row r="77" spans="14:14" ht="20.100000000000001" customHeight="1" x14ac:dyDescent="0.25">
      <c r="N77" s="7"/>
    </row>
    <row r="78" spans="14:14" ht="20.100000000000001" customHeight="1" x14ac:dyDescent="0.25">
      <c r="N78" s="7"/>
    </row>
    <row r="79" spans="14:14" ht="20.100000000000001" customHeight="1" x14ac:dyDescent="0.25">
      <c r="N79" s="7"/>
    </row>
    <row r="80" spans="14:14" ht="20.100000000000001" customHeight="1" x14ac:dyDescent="0.25">
      <c r="N80" s="7"/>
    </row>
    <row r="81" spans="1:14" ht="20.100000000000001" customHeight="1" x14ac:dyDescent="0.25">
      <c r="N81" s="7"/>
    </row>
    <row r="82" spans="1:14" ht="20.100000000000001" customHeight="1" x14ac:dyDescent="0.25">
      <c r="N82" s="7"/>
    </row>
    <row r="83" spans="1:14" ht="20.100000000000001" customHeight="1" x14ac:dyDescent="0.25">
      <c r="N83" s="7"/>
    </row>
    <row r="84" spans="1:14" ht="20.100000000000001" customHeight="1" x14ac:dyDescent="0.25">
      <c r="N84" s="7"/>
    </row>
    <row r="85" spans="1:14" ht="20.100000000000001" customHeight="1" x14ac:dyDescent="0.25">
      <c r="N85" s="7"/>
    </row>
    <row r="86" spans="1:14" ht="20.100000000000001" customHeight="1" x14ac:dyDescent="0.25">
      <c r="N86" s="7"/>
    </row>
    <row r="87" spans="1:14" ht="20.100000000000001" customHeight="1" x14ac:dyDescent="0.25">
      <c r="N87" s="7"/>
    </row>
    <row r="88" spans="1:14" ht="20.100000000000001" customHeight="1" x14ac:dyDescent="0.25">
      <c r="N88" s="7"/>
    </row>
    <row r="89" spans="1:14" ht="20.100000000000001" customHeight="1" x14ac:dyDescent="0.25">
      <c r="N89" s="7"/>
    </row>
    <row r="90" spans="1:14" ht="20.100000000000001" customHeight="1" x14ac:dyDescent="0.25">
      <c r="N90" s="7"/>
    </row>
    <row r="91" spans="1:14" ht="20.100000000000001" customHeight="1" x14ac:dyDescent="0.25">
      <c r="N91" s="7"/>
    </row>
    <row r="92" spans="1:14" ht="20.100000000000001" customHeight="1" x14ac:dyDescent="0.25">
      <c r="A92" s="118" t="str">
        <f>HYPERLINK("#A1", "▲ Back to top")</f>
        <v>▲ Back to top</v>
      </c>
      <c r="N92" s="7"/>
    </row>
    <row r="93" spans="1:14" ht="20.100000000000001" customHeight="1" x14ac:dyDescent="0.25">
      <c r="N93" s="7"/>
    </row>
    <row r="94" spans="1:14" ht="20.100000000000001" customHeight="1" x14ac:dyDescent="0.25">
      <c r="N94" s="7"/>
    </row>
    <row r="95" spans="1:14" ht="20.100000000000001" customHeight="1" x14ac:dyDescent="0.25">
      <c r="N95" s="7"/>
    </row>
    <row r="96" spans="1:14" ht="20.100000000000001" customHeight="1" x14ac:dyDescent="0.25">
      <c r="N96" s="7"/>
    </row>
    <row r="97" spans="10:14" ht="20.100000000000001" customHeight="1" x14ac:dyDescent="0.25">
      <c r="N97" s="7"/>
    </row>
    <row r="98" spans="10:14" ht="20.100000000000001" customHeight="1" x14ac:dyDescent="0.25">
      <c r="N98" s="7"/>
    </row>
    <row r="99" spans="10:14" ht="20.100000000000001" customHeight="1" x14ac:dyDescent="0.25">
      <c r="N99" s="7"/>
    </row>
    <row r="100" spans="10:14" ht="20.100000000000001" customHeight="1" x14ac:dyDescent="0.25">
      <c r="N100" s="7"/>
    </row>
    <row r="101" spans="10:14" ht="20.100000000000001" customHeight="1" x14ac:dyDescent="0.25">
      <c r="N101" s="7"/>
    </row>
    <row r="102" spans="10:14" ht="20.100000000000001" customHeight="1" x14ac:dyDescent="0.25">
      <c r="N102" s="7"/>
    </row>
    <row r="103" spans="10:14" ht="20.100000000000001" customHeight="1" x14ac:dyDescent="0.25">
      <c r="N103" s="7"/>
    </row>
    <row r="104" spans="10:14" ht="20.100000000000001" customHeight="1" x14ac:dyDescent="0.25">
      <c r="N104" s="7"/>
    </row>
    <row r="105" spans="10:14" ht="20.100000000000001" customHeight="1" x14ac:dyDescent="0.25">
      <c r="N105" s="7"/>
    </row>
    <row r="106" spans="10:14" ht="20.100000000000001" customHeight="1" x14ac:dyDescent="0.25">
      <c r="N106" s="7"/>
    </row>
    <row r="107" spans="10:14" ht="20.100000000000001" customHeight="1" x14ac:dyDescent="0.25"/>
    <row r="108" spans="10:14" ht="20.100000000000001" customHeight="1" x14ac:dyDescent="0.25">
      <c r="J108" s="3"/>
    </row>
    <row r="109" spans="10:14" ht="20.100000000000001" customHeight="1" x14ac:dyDescent="0.25">
      <c r="J109" s="3"/>
    </row>
    <row r="110" spans="10:14" ht="20.100000000000001" customHeight="1" x14ac:dyDescent="0.25">
      <c r="J110" s="3"/>
    </row>
    <row r="111" spans="10:14" ht="20.100000000000001" customHeight="1" x14ac:dyDescent="0.25">
      <c r="J111" s="3"/>
    </row>
    <row r="112" spans="10:14" ht="20.100000000000001" customHeight="1" x14ac:dyDescent="0.25">
      <c r="J112" s="3"/>
    </row>
    <row r="113" spans="10:10" ht="20.100000000000001" customHeight="1" x14ac:dyDescent="0.25">
      <c r="J113" s="3"/>
    </row>
    <row r="114" spans="10:10" ht="20.100000000000001" customHeight="1" x14ac:dyDescent="0.25">
      <c r="J114" s="3"/>
    </row>
    <row r="115" spans="10:10" ht="20.100000000000001" customHeight="1" x14ac:dyDescent="0.25">
      <c r="J115" s="3"/>
    </row>
    <row r="116" spans="10:10" ht="20.100000000000001" customHeight="1" x14ac:dyDescent="0.25">
      <c r="J116" s="3"/>
    </row>
    <row r="117" spans="10:10" ht="20.100000000000001" customHeight="1" x14ac:dyDescent="0.25">
      <c r="J117" s="3"/>
    </row>
    <row r="118" spans="10:10" ht="20.100000000000001" customHeight="1" x14ac:dyDescent="0.25">
      <c r="J118" s="3"/>
    </row>
    <row r="119" spans="10:10" ht="20.100000000000001" customHeight="1" x14ac:dyDescent="0.25">
      <c r="J119" s="3"/>
    </row>
    <row r="120" spans="10:10" ht="20.100000000000001" customHeight="1" x14ac:dyDescent="0.25">
      <c r="J120" s="3"/>
    </row>
    <row r="121" spans="10:10" ht="20.100000000000001" customHeight="1" x14ac:dyDescent="0.25">
      <c r="J121" s="3"/>
    </row>
    <row r="122" spans="10:10" ht="20.100000000000001" customHeight="1" x14ac:dyDescent="0.25">
      <c r="J122" s="3"/>
    </row>
    <row r="123" spans="10:10" ht="20.100000000000001" customHeight="1" x14ac:dyDescent="0.25">
      <c r="J123" s="3"/>
    </row>
    <row r="124" spans="10:10" ht="20.100000000000001" customHeight="1" x14ac:dyDescent="0.25">
      <c r="J124" s="3"/>
    </row>
    <row r="125" spans="10:10" ht="20.100000000000001" customHeight="1" x14ac:dyDescent="0.25">
      <c r="J125" s="3"/>
    </row>
    <row r="126" spans="10:10" ht="20.100000000000001" customHeight="1" x14ac:dyDescent="0.25">
      <c r="J126" s="3"/>
    </row>
    <row r="127" spans="10:10" ht="20.100000000000001" customHeight="1" x14ac:dyDescent="0.25">
      <c r="J127" s="3"/>
    </row>
    <row r="128" spans="10:10" ht="20.100000000000001" customHeight="1" x14ac:dyDescent="0.25">
      <c r="J128" s="3"/>
    </row>
    <row r="129" spans="10:10" ht="20.100000000000001" customHeight="1" x14ac:dyDescent="0.25">
      <c r="J129" s="3"/>
    </row>
    <row r="130" spans="10:10" ht="20.100000000000001" customHeight="1" x14ac:dyDescent="0.25"/>
    <row r="131" spans="10:10" ht="20.100000000000001" customHeight="1" x14ac:dyDescent="0.25"/>
    <row r="132" spans="10:10" ht="20.100000000000001" customHeight="1" x14ac:dyDescent="0.25"/>
    <row r="133" spans="10:10" ht="20.100000000000001" customHeight="1" x14ac:dyDescent="0.25"/>
    <row r="134" spans="10:10" ht="20.100000000000001" customHeight="1" x14ac:dyDescent="0.25"/>
    <row r="135" spans="10:10" ht="20.100000000000001" customHeight="1" x14ac:dyDescent="0.25"/>
    <row r="136" spans="10:10" ht="20.100000000000001" customHeight="1" x14ac:dyDescent="0.25"/>
    <row r="137" spans="10:10" ht="20.100000000000001" customHeight="1" x14ac:dyDescent="0.25"/>
    <row r="138" spans="10:10" ht="20.100000000000001" customHeight="1" x14ac:dyDescent="0.25"/>
    <row r="139" spans="10:10" ht="20.100000000000001" customHeight="1" x14ac:dyDescent="0.25"/>
    <row r="140" spans="10:10" ht="20.100000000000001" customHeight="1" x14ac:dyDescent="0.25"/>
    <row r="141" spans="10:10" ht="20.100000000000001" customHeight="1" x14ac:dyDescent="0.25"/>
    <row r="142" spans="10:10" ht="20.100000000000001" customHeight="1" x14ac:dyDescent="0.25"/>
    <row r="143" spans="10:10" ht="20.100000000000001" customHeight="1" x14ac:dyDescent="0.25"/>
    <row r="144" spans="10:10"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6" spans="4:4" x14ac:dyDescent="0.25">
      <c r="D356" s="94"/>
    </row>
  </sheetData>
  <conditionalFormatting sqref="E205:G205">
    <cfRule type="cellIs" dxfId="56" priority="79" operator="lessThan">
      <formula>0</formula>
    </cfRule>
  </conditionalFormatting>
  <conditionalFormatting sqref="F40:F41">
    <cfRule type="cellIs" dxfId="55" priority="69" operator="lessThan">
      <formula>0</formula>
    </cfRule>
  </conditionalFormatting>
  <conditionalFormatting sqref="F44">
    <cfRule type="cellIs" dxfId="54" priority="68" operator="lessThan">
      <formula>0</formula>
    </cfRule>
  </conditionalFormatting>
  <conditionalFormatting sqref="F53">
    <cfRule type="cellIs" dxfId="53" priority="62" operator="lessThan">
      <formula>0</formula>
    </cfRule>
  </conditionalFormatting>
  <conditionalFormatting sqref="F121:F122">
    <cfRule type="cellIs" dxfId="52" priority="21" operator="lessThan">
      <formula>0</formula>
    </cfRule>
  </conditionalFormatting>
  <conditionalFormatting sqref="F133:F134">
    <cfRule type="cellIs" dxfId="51" priority="20" operator="lessThan">
      <formula>0</formula>
    </cfRule>
  </conditionalFormatting>
  <conditionalFormatting sqref="F145:F146">
    <cfRule type="cellIs" dxfId="50" priority="19" operator="lessThan">
      <formula>0</formula>
    </cfRule>
  </conditionalFormatting>
  <conditionalFormatting sqref="F157:F158">
    <cfRule type="cellIs" dxfId="49" priority="18" operator="lessThan">
      <formula>0</formula>
    </cfRule>
  </conditionalFormatting>
  <conditionalFormatting sqref="F245:F246">
    <cfRule type="cellIs" dxfId="48" priority="93" operator="lessThan">
      <formula>0</formula>
    </cfRule>
  </conditionalFormatting>
  <conditionalFormatting sqref="F250:F251">
    <cfRule type="cellIs" dxfId="47" priority="92" operator="lessThan">
      <formula>0</formula>
    </cfRule>
  </conditionalFormatting>
  <conditionalFormatting sqref="F255:F256">
    <cfRule type="cellIs" dxfId="46" priority="91" operator="lessThan">
      <formula>0</formula>
    </cfRule>
  </conditionalFormatting>
  <conditionalFormatting sqref="F279:F280">
    <cfRule type="cellIs" dxfId="45" priority="85" operator="lessThan">
      <formula>0</formula>
    </cfRule>
  </conditionalFormatting>
  <conditionalFormatting sqref="F284:F285">
    <cfRule type="cellIs" dxfId="44" priority="84" operator="lessThan">
      <formula>0</formula>
    </cfRule>
  </conditionalFormatting>
  <conditionalFormatting sqref="F289:F290">
    <cfRule type="cellIs" dxfId="43" priority="83" operator="lessThan">
      <formula>0</formula>
    </cfRule>
  </conditionalFormatting>
  <conditionalFormatting sqref="I29:I34">
    <cfRule type="cellIs" dxfId="42" priority="55" operator="lessThan">
      <formula>0</formula>
    </cfRule>
  </conditionalFormatting>
  <conditionalFormatting sqref="I55:I59">
    <cfRule type="cellIs" dxfId="41" priority="6" operator="lessThan">
      <formula>0</formula>
    </cfRule>
  </conditionalFormatting>
  <conditionalFormatting sqref="I63:I66">
    <cfRule type="cellIs" dxfId="40" priority="5" operator="lessThan">
      <formula>0</formula>
    </cfRule>
  </conditionalFormatting>
  <conditionalFormatting sqref="I70:I73">
    <cfRule type="cellIs" dxfId="39" priority="4" operator="lessThan">
      <formula>0</formula>
    </cfRule>
  </conditionalFormatting>
  <conditionalFormatting sqref="I77:I80">
    <cfRule type="cellIs" dxfId="38" priority="3" operator="lessThan">
      <formula>0</formula>
    </cfRule>
  </conditionalFormatting>
  <conditionalFormatting sqref="I84:I88">
    <cfRule type="cellIs" dxfId="37" priority="1" operator="lessThan">
      <formula>0</formula>
    </cfRule>
  </conditionalFormatting>
  <conditionalFormatting sqref="K43:L43 I48:I51 J101 I119 I199 I205">
    <cfRule type="cellIs" dxfId="36" priority="74"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9:E43"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92" xr:uid="{DBA884B0-B52E-420E-8FD2-21B082EB75E2}">
      <formula1>INDIRECT("Table_SourceData_Swine_IrrigationMethods[Irrigation method]")</formula1>
    </dataValidation>
    <dataValidation type="list" allowBlank="1" showInputMessage="1" showErrorMessage="1" sqref="E91"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A5" zoomScale="85" zoomScaleNormal="85" workbookViewId="0">
      <selection activeCell="A15" sqref="A1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7" width="30.7109375" style="1" customWidth="1"/>
    <col min="18" max="18" width="4.7109375" style="1" customWidth="1"/>
  </cols>
  <sheetData>
    <row r="1" spans="1:18" s="8" customFormat="1" ht="30" customHeight="1" x14ac:dyDescent="0.35">
      <c r="A1" s="63" t="e" vm="1">
        <v>#VALUE!</v>
      </c>
      <c r="C1" s="8" t="s">
        <v>160</v>
      </c>
    </row>
    <row r="2" spans="1:18" s="9" customFormat="1" ht="20.100000000000001" customHeight="1" x14ac:dyDescent="0.25"/>
    <row r="3" spans="1:18" ht="20.100000000000001" customHeight="1" x14ac:dyDescent="0.25">
      <c r="A3" s="17" t="str">
        <f>HYPERLINK("#'Home'!A1", "Home")</f>
        <v>Home</v>
      </c>
      <c r="C3" s="4"/>
      <c r="D3" s="4" t="s">
        <v>75</v>
      </c>
      <c r="E3" s="4"/>
      <c r="F3" s="4"/>
      <c r="G3" s="4"/>
      <c r="H3" s="4"/>
      <c r="I3" s="4"/>
      <c r="J3" s="4"/>
      <c r="L3" s="4"/>
      <c r="M3" s="4" t="s">
        <v>76</v>
      </c>
      <c r="N3" s="4"/>
      <c r="O3" s="4"/>
      <c r="P3" s="4"/>
      <c r="Q3" s="4"/>
      <c r="R3" s="4"/>
    </row>
    <row r="4" spans="1:18" ht="20.100000000000001" customHeight="1" x14ac:dyDescent="0.25">
      <c r="A4" s="17" t="str">
        <f>HYPERLINK("#'Overview'!A1", "Overview")</f>
        <v>Overview</v>
      </c>
    </row>
    <row r="5" spans="1:18" ht="20.100000000000001" customHeight="1" x14ac:dyDescent="0.25">
      <c r="A5" s="17" t="str">
        <f>HYPERLINK("#'Results'!A1", "Results")</f>
        <v>Results</v>
      </c>
      <c r="D5" s="6" t="str" cm="1">
        <f t="array" ref="D5">EntericMethane_Swine_Equations.VEERG_3_5_1_1__2_DailyEntericMethaneProduction_Title()</f>
        <v>Total daily production of enteric methane of swine</v>
      </c>
    </row>
    <row r="6" spans="1:18" ht="20.100000000000001" customHeight="1" x14ac:dyDescent="0.25">
      <c r="A6" s="16"/>
      <c r="D6" s="5" t="str" cm="1">
        <f t="array" ref="D6">EntericMethane_Swine_Equations.VEERG_3_5_1_1__2_DailyEntericMethaneProduction_Source()</f>
        <v>VEERG 2026: 3.5.1.1, Equation (2)</v>
      </c>
    </row>
    <row r="7" spans="1:18" ht="20.100000000000001" customHeight="1" x14ac:dyDescent="0.25">
      <c r="A7" s="20" t="s">
        <v>1</v>
      </c>
      <c r="D7" s="13" t="s">
        <v>15</v>
      </c>
      <c r="E7" s="13" t="str" cm="1">
        <f t="array" aca="1" ref="E7" ca="1">Common_InputFunctions.Utility_DisplayFunctionName(D26)</f>
        <v>=EntericMethane_Swine_Equations.VEERG_3_5_1_1__2_DailyEntericMethaneProduction</v>
      </c>
    </row>
    <row r="8" spans="1:18" ht="20.100000000000001" customHeight="1" x14ac:dyDescent="0.25">
      <c r="A8" s="17" t="str">
        <f>HYPERLINK("#'Input - Site'!A1", "Site")</f>
        <v>Site</v>
      </c>
      <c r="D8" s="50"/>
    </row>
    <row r="9" spans="1:18" ht="20.100000000000001" customHeight="1" x14ac:dyDescent="0.25">
      <c r="A9" s="17" t="str">
        <f>HYPERLINK("#'Input - Swine'!A1", "Swine")</f>
        <v>Swine</v>
      </c>
    </row>
    <row r="10" spans="1:18" ht="20.100000000000001" customHeight="1" x14ac:dyDescent="0.25">
      <c r="A10" s="17"/>
      <c r="D10" s="48" t="s">
        <v>18</v>
      </c>
      <c r="E10" s="1" t="str" cm="1">
        <f t="array" ref="E10">EntericMethane_Swine_Equations.VEERG_3_5_1_1__2_DailyEntericMethaneProduction_Variable()</f>
        <v>M_j</v>
      </c>
    </row>
    <row r="11" spans="1:18" ht="20.100000000000001" customHeight="1" x14ac:dyDescent="0.25">
      <c r="A11" s="19" t="s">
        <v>55</v>
      </c>
      <c r="D11" s="48" t="s">
        <v>9</v>
      </c>
      <c r="E11" s="49" t="str" cm="1">
        <f t="array" ref="E11">EntericMethane_Swine_Equations.VEERG_3_5_1_1__2_DailyEntericMethaneProduction_Unit()</f>
        <v>kg CH4/head/day</v>
      </c>
    </row>
    <row r="12" spans="1:18" ht="20.100000000000001" customHeight="1" x14ac:dyDescent="0.25">
      <c r="A12" s="124" t="str">
        <f>HYPERLINK("#'3.5.1.1-2 Enteric Methane'!A1", "3.5.1.1-2 Enteric Methane")</f>
        <v>3.5.1.1-2 Enteric Methane</v>
      </c>
    </row>
    <row r="13" spans="1:18" ht="20.100000000000001" customHeight="1" x14ac:dyDescent="0.25">
      <c r="D13" s="114" t="str" cm="1">
        <f t="array" ref="D13:E16">_xlfn.CHOOSECOLS(EntericMethane_Swine_Equations.VEERG_3_5_1_1__2_DailyEntericMethaneProduction_Arguments(),1,2)</f>
        <v>I_j</v>
      </c>
      <c r="E13" s="116" t="str">
        <v>daily feed ingested by each swine class</v>
      </c>
      <c r="F13" s="115"/>
      <c r="G13" s="114" t="str" cm="1">
        <f t="array" ref="G13:H16">_xlfn.CHOOSECOLS(EntericMethane_Swine_Equations.VEERG_3_5_1_1__2_DailyEntericMethaneProduction_Arguments(),3,4)</f>
        <v>kg/head/day</v>
      </c>
      <c r="H13" s="112" t="str">
        <v>Input</v>
      </c>
      <c r="I13" s="114" t="str" cm="1">
        <f t="array" aca="1" ref="I13" ca="1">HYPERLINK(Common_InputFunctions.Utility_SourceHyperlink($D$18), $D$18)</f>
        <v>M1_Table_I_j</v>
      </c>
    </row>
    <row r="14" spans="1:18" ht="20.100000000000001" customHeight="1" x14ac:dyDescent="0.25">
      <c r="A14" s="18" t="s">
        <v>2</v>
      </c>
      <c r="D14" s="114" t="str">
        <v>18.6</v>
      </c>
      <c r="E14" s="116" t="str">
        <v>gross energy (GE) content of feed</v>
      </c>
      <c r="F14" s="115"/>
      <c r="G14" s="114" t="str">
        <v>MJ GE/kg feed</v>
      </c>
      <c r="H14" s="110" t="str">
        <v>Constant</v>
      </c>
      <c r="I14" s="114" t="str">
        <f>D14</f>
        <v>18.6</v>
      </c>
    </row>
    <row r="15" spans="1:18" ht="20.100000000000001" customHeight="1" x14ac:dyDescent="0.25">
      <c r="A15" s="17" t="str">
        <f>HYPERLINK("#'Constants - Swine'!A1", "Constants - Swine")</f>
        <v>Constants - Swine</v>
      </c>
      <c r="D15" s="114" t="str">
        <v>0.007</v>
      </c>
      <c r="E15" s="116" t="str">
        <v>fraction of GE intake converted to methane by swine</v>
      </c>
      <c r="F15" s="115"/>
      <c r="G15" s="114" t="str">
        <v>fraction</v>
      </c>
      <c r="H15" s="110" t="str">
        <v>Constant</v>
      </c>
      <c r="I15" s="114" t="str">
        <f>D15</f>
        <v>0.007</v>
      </c>
    </row>
    <row r="16" spans="1:18" ht="20.100000000000001" customHeight="1" x14ac:dyDescent="0.25">
      <c r="A16" s="17" t="str">
        <f>HYPERLINK("#'Constants - Livestock'!A1", "Constants - Livestock")</f>
        <v>Constants - Livestock</v>
      </c>
      <c r="D16" s="114" t="str">
        <v>F</v>
      </c>
      <c r="E16" s="116" t="str">
        <v>megajoules per kilogram of methane</v>
      </c>
      <c r="F16" s="115"/>
      <c r="G16" s="114" t="str">
        <v>MJ/kg CH4</v>
      </c>
      <c r="H16" s="110" t="str">
        <v>Constant</v>
      </c>
      <c r="I16" s="114">
        <f>'Constants - Swine'!$E$122</f>
        <v>55.22</v>
      </c>
    </row>
    <row r="17" spans="1:17" ht="20.100000000000001" customHeight="1" x14ac:dyDescent="0.25">
      <c r="A17" s="17" t="str">
        <f>HYPERLINK("#'Constants - Common'!A1", "Constants - Common")</f>
        <v>Constants - Common</v>
      </c>
    </row>
    <row r="18" spans="1:17" ht="20.100000000000001" customHeight="1" x14ac:dyDescent="0.25">
      <c r="A18" s="17" t="str">
        <f>HYPERLINK("#'Acknowledgements'!A1", "Acknowledgements")</f>
        <v>Acknowledgements</v>
      </c>
      <c r="D18" s="105" t="s">
        <v>156</v>
      </c>
      <c r="M18" s="105" t="s">
        <v>156</v>
      </c>
    </row>
    <row r="19" spans="1:17" ht="20.100000000000001" customHeight="1" x14ac:dyDescent="0.25">
      <c r="D19" s="106" t="s">
        <v>157</v>
      </c>
      <c r="M19" s="106" t="s">
        <v>157</v>
      </c>
    </row>
    <row r="20" spans="1:17" ht="20.100000000000001" customHeight="1" x14ac:dyDescent="0.25">
      <c r="A20" s="17"/>
      <c r="D20" s="103" t="s">
        <v>107</v>
      </c>
      <c r="E20" s="103" t="s">
        <v>108</v>
      </c>
      <c r="F20" s="103" t="s">
        <v>109</v>
      </c>
      <c r="G20" s="103" t="s">
        <v>129</v>
      </c>
      <c r="M20" s="103" t="s">
        <v>107</v>
      </c>
      <c r="N20" s="103" t="s">
        <v>108</v>
      </c>
      <c r="O20" s="103" t="s">
        <v>109</v>
      </c>
      <c r="P20" s="103" t="s">
        <v>129</v>
      </c>
    </row>
    <row r="21" spans="1:17" ht="20.100000000000001" customHeight="1" x14ac:dyDescent="0.25">
      <c r="D21" s="52">
        <f>'Input - Swine'!E12</f>
        <v>2.62</v>
      </c>
      <c r="E21" s="52">
        <f>'Input - Swine'!F12</f>
        <v>2.2999999999999998</v>
      </c>
      <c r="F21" s="52">
        <f>'Input - Swine'!G12</f>
        <v>2.5</v>
      </c>
      <c r="G21" s="52">
        <f>'Input - Swine'!H12</f>
        <v>1.71</v>
      </c>
      <c r="H21" s="2" t="str">
        <f>G13</f>
        <v>kg/head/day</v>
      </c>
      <c r="M21" s="52">
        <f>'Input - Swine'!E15</f>
        <v>2.62</v>
      </c>
      <c r="N21" s="52">
        <f>'Input - Swine'!F15</f>
        <v>2.2999999999999998</v>
      </c>
      <c r="O21" s="52">
        <f>'Input - Swine'!G15</f>
        <v>2.5</v>
      </c>
      <c r="P21" s="52">
        <f>'Input - Swine'!H15</f>
        <v>1.71</v>
      </c>
      <c r="Q21" s="2" t="str">
        <f>G13</f>
        <v>kg/head/day</v>
      </c>
    </row>
    <row r="22" spans="1:17" ht="20.100000000000001" customHeight="1" x14ac:dyDescent="0.25"/>
    <row r="23" spans="1:17" ht="20.100000000000001" customHeight="1" x14ac:dyDescent="0.25">
      <c r="D23" s="105" t="s">
        <v>158</v>
      </c>
      <c r="M23" s="105" t="s">
        <v>158</v>
      </c>
    </row>
    <row r="24" spans="1:17" ht="20.100000000000001" customHeight="1" x14ac:dyDescent="0.25">
      <c r="D24" s="106" t="s">
        <v>159</v>
      </c>
      <c r="M24" s="106" t="s">
        <v>159</v>
      </c>
    </row>
    <row r="25" spans="1:17" ht="20.100000000000001" customHeight="1" x14ac:dyDescent="0.25">
      <c r="D25" s="46" t="s">
        <v>107</v>
      </c>
      <c r="E25" s="46" t="s">
        <v>108</v>
      </c>
      <c r="F25" s="46" t="s">
        <v>109</v>
      </c>
      <c r="G25" s="46" t="s">
        <v>129</v>
      </c>
      <c r="M25" s="46" t="s">
        <v>107</v>
      </c>
      <c r="N25" s="46" t="s">
        <v>108</v>
      </c>
      <c r="O25" s="46" t="s">
        <v>109</v>
      </c>
      <c r="P25" s="46" t="s">
        <v>129</v>
      </c>
    </row>
    <row r="26" spans="1:17" ht="20.100000000000001" customHeight="1" x14ac:dyDescent="0.25">
      <c r="D26" s="52" cm="1">
        <f t="array" ref="D26">EntericMethane_Swine_Equations.VEERG_3_5_1_1__2_DailyEntericMethaneProduction(D21,$I$16)</f>
        <v>6.1775443679826158E-3</v>
      </c>
      <c r="E26" s="52" cm="1">
        <f t="array" ref="E26">EntericMethane_Swine_Equations.VEERG_3_5_1_1__2_DailyEntericMethaneProduction(E21,$I$16)</f>
        <v>5.4230351321984793E-3</v>
      </c>
      <c r="F26" s="52" cm="1">
        <f t="array" ref="F26">EntericMethane_Swine_Equations.VEERG_3_5_1_1__2_DailyEntericMethaneProduction(F21,$I$16)</f>
        <v>5.8946034045635641E-3</v>
      </c>
      <c r="G26" s="52" cm="1">
        <f t="array" ref="G26">EntericMethane_Swine_Equations.VEERG_3_5_1_1__2_DailyEntericMethaneProduction(G21,$I$16)</f>
        <v>4.031908728721478E-3</v>
      </c>
      <c r="H26" s="2" t="str">
        <f>$E$11</f>
        <v>kg CH4/head/day</v>
      </c>
      <c r="M26" s="52" cm="1">
        <f t="array" ref="M26">EntericMethane_Swine_Equations.VEERG_3_5_1_1__2_DailyEntericMethaneProduction(M21,$I$16)</f>
        <v>6.1775443679826158E-3</v>
      </c>
      <c r="N26" s="52" cm="1">
        <f t="array" ref="N26">EntericMethane_Swine_Equations.VEERG_3_5_1_1__2_DailyEntericMethaneProduction(N21,$I$16)</f>
        <v>5.4230351321984793E-3</v>
      </c>
      <c r="O26" s="52" cm="1">
        <f t="array" ref="O26">EntericMethane_Swine_Equations.VEERG_3_5_1_1__2_DailyEntericMethaneProduction(O21,$I$16)</f>
        <v>5.8946034045635641E-3</v>
      </c>
      <c r="P26" s="52" cm="1">
        <f t="array" ref="P26">EntericMethane_Swine_Equations.VEERG_3_5_1_1__2_DailyEntericMethaneProduction(P21,$I$16)</f>
        <v>4.031908728721478E-3</v>
      </c>
      <c r="Q26" s="2" t="str">
        <f>$E$11</f>
        <v>kg CH4/head/day</v>
      </c>
    </row>
    <row r="27" spans="1:17" ht="20.100000000000001" customHeight="1" x14ac:dyDescent="0.25"/>
    <row r="28" spans="1:17" ht="20.100000000000001" customHeight="1" x14ac:dyDescent="0.25"/>
    <row r="29" spans="1:17" ht="20.100000000000001" customHeight="1" x14ac:dyDescent="0.25">
      <c r="C29" s="41"/>
      <c r="D29" s="41"/>
      <c r="E29" s="41"/>
      <c r="F29" s="41"/>
      <c r="G29" s="41"/>
      <c r="H29" s="41"/>
      <c r="I29" s="41"/>
      <c r="J29" s="41"/>
    </row>
    <row r="30" spans="1:17" ht="20.100000000000001" customHeight="1" x14ac:dyDescent="0.25">
      <c r="D30" s="6" t="str" cm="1">
        <f t="array" ref="D30">EntericMethane_Swine_Equations.VEERG_3_5_1_1__1_TotalAnnualMethaneFromEntericFermentation_Title()</f>
        <v>Total annual methane production from enteric fermentation in swine</v>
      </c>
    </row>
    <row r="31" spans="1:17" ht="20.100000000000001" customHeight="1" x14ac:dyDescent="0.25">
      <c r="D31" s="5" t="str" cm="1">
        <f t="array" ref="D31">EntericMethane_Swine_Equations.VEERG_3_5_1_1__1_TotalAnnualMethaneFromEntericFermentation_Source()</f>
        <v>VEERG 2026: 3.5.1.1, Equation (1)</v>
      </c>
    </row>
    <row r="32" spans="1:17" ht="20.100000000000001" customHeight="1" x14ac:dyDescent="0.25">
      <c r="D32" s="13" t="s">
        <v>15</v>
      </c>
      <c r="E32" s="13" t="str" cm="1">
        <f t="array" aca="1" ref="E32" ca="1">Common_InputFunctions.Utility_DisplayFunctionName(D56)</f>
        <v>=EntericMethane_Swine_Equations.VEERG_3_5_1_1__1_TotalAnnualMethaneFromEntericFermentation</v>
      </c>
    </row>
    <row r="33" spans="4:9" ht="20.100000000000001" customHeight="1" x14ac:dyDescent="0.25"/>
    <row r="34" spans="4:9" ht="20.100000000000001" customHeight="1" x14ac:dyDescent="0.25">
      <c r="F34" s="6"/>
    </row>
    <row r="35" spans="4:9" ht="20.100000000000001" customHeight="1" x14ac:dyDescent="0.25"/>
    <row r="36" spans="4:9" ht="20.100000000000001" customHeight="1" x14ac:dyDescent="0.25">
      <c r="D36" s="48" t="s">
        <v>18</v>
      </c>
      <c r="E36" s="1" t="str" cm="1">
        <f t="array" ref="E36">EntericMethane_Swine_Equations.VEERG_3_5_1_1__1_TotalAnnualMethaneFromEntericFermentation_Variable()</f>
        <v>E_enteric</v>
      </c>
    </row>
    <row r="37" spans="4:9" ht="20.100000000000001" customHeight="1" x14ac:dyDescent="0.25">
      <c r="D37" s="48" t="s">
        <v>9</v>
      </c>
      <c r="E37" s="49" t="str" cm="1">
        <f t="array" ref="E37">EntericMethane_Swine_Equations.VEERG_3_5_1_1__1_TotalAnnualMethaneFromEntericFermentation_Unit()</f>
        <v>t CH4</v>
      </c>
    </row>
    <row r="38" spans="4:9" ht="20.100000000000001" customHeight="1" x14ac:dyDescent="0.25"/>
    <row r="39" spans="4:9" ht="20.100000000000001" customHeight="1" x14ac:dyDescent="0.25">
      <c r="D39" s="52" t="str" cm="1">
        <f t="array" ref="D39:E41">_xlfn.CHOOSECOLS(EntericMethane_Swine_Equations.VEERG_3_5_1_1__1_TotalAnnualMethaneFromEntericFermentation_Arguments(), 1, 2)</f>
        <v>N_j</v>
      </c>
      <c r="E39" s="53" t="str">
        <v>numbers of swine of each class</v>
      </c>
      <c r="F39" s="54"/>
      <c r="G39" s="52" t="str" cm="1">
        <f t="array" ref="G39:H41">_xlfn.CHOOSECOLS(EntericMethane_Swine_Equations.VEERG_3_5_1_1__1_TotalAnnualMethaneFromEntericFermentation_Arguments(), 3,4)</f>
        <v>head</v>
      </c>
      <c r="H39" s="111" t="str">
        <v>Input</v>
      </c>
      <c r="I39" s="113" t="str" cm="1">
        <f t="array" aca="1" ref="I39" ca="1">HYPERLINK(Common_InputFunctions.Utility_SourceHyperlink($D$48), $D$48)</f>
        <v>Table_N_j</v>
      </c>
    </row>
    <row r="40" spans="4:9" ht="20.100000000000001" customHeight="1" x14ac:dyDescent="0.25">
      <c r="D40" s="52" t="str">
        <v>M_j</v>
      </c>
      <c r="E40" s="53" t="str">
        <v>methane production</v>
      </c>
      <c r="F40" s="54"/>
      <c r="G40" s="52" t="str">
        <v>kg CH4/head/day</v>
      </c>
      <c r="H40" s="110" t="str">
        <v>Calculated from 3.5.1.1, (2)</v>
      </c>
      <c r="I40" s="113" t="str" cm="1">
        <f t="array" aca="1" ref="I40" ca="1">HYPERLINK(Common_InputFunctions.Utility_SourceHyperlink($D$23), $D$23)</f>
        <v>M1_Table_M_j</v>
      </c>
    </row>
    <row r="41" spans="4:9" ht="20.100000000000001" customHeight="1" x14ac:dyDescent="0.25">
      <c r="D41" s="52" t="str">
        <v>D_j</v>
      </c>
      <c r="E41" s="53" t="str">
        <v>the average number of days on farm for each swine class</v>
      </c>
      <c r="F41" s="54"/>
      <c r="G41" s="52" t="str">
        <v>days</v>
      </c>
      <c r="H41" s="111" t="str">
        <v>Input</v>
      </c>
      <c r="I41" s="113" t="str" cm="1">
        <f t="array" aca="1" ref="I41" ca="1">HYPERLINK(Common_InputFunctions.Utility_SourceHyperlink($D$43), $D$43)</f>
        <v>Table_D_j</v>
      </c>
    </row>
    <row r="42" spans="4:9" ht="20.100000000000001" customHeight="1" x14ac:dyDescent="0.25"/>
    <row r="43" spans="4:9" ht="20.100000000000001" customHeight="1" x14ac:dyDescent="0.25">
      <c r="D43" s="105" t="s">
        <v>122</v>
      </c>
    </row>
    <row r="44" spans="4:9" ht="20.100000000000001" customHeight="1" x14ac:dyDescent="0.25">
      <c r="D44" s="106" t="s">
        <v>123</v>
      </c>
    </row>
    <row r="45" spans="4:9" ht="20.100000000000001" customHeight="1" x14ac:dyDescent="0.25">
      <c r="D45" s="103" t="s">
        <v>107</v>
      </c>
      <c r="E45" s="103" t="s">
        <v>108</v>
      </c>
      <c r="F45" s="103" t="s">
        <v>109</v>
      </c>
      <c r="G45" s="103" t="s">
        <v>129</v>
      </c>
    </row>
    <row r="46" spans="4:9" ht="20.100000000000001" customHeight="1" x14ac:dyDescent="0.25">
      <c r="D46" s="107">
        <f>'Input - Swine'!E6</f>
        <v>365</v>
      </c>
      <c r="E46" s="107">
        <f>'Input - Swine'!F6</f>
        <v>365</v>
      </c>
      <c r="F46" s="107">
        <f>'Input - Swine'!G6</f>
        <v>365</v>
      </c>
      <c r="G46" s="107">
        <f>'Input - Swine'!H6</f>
        <v>365</v>
      </c>
      <c r="H46" s="2" t="str">
        <f>G39</f>
        <v>head</v>
      </c>
    </row>
    <row r="47" spans="4:9" ht="20.100000000000001" customHeight="1" x14ac:dyDescent="0.25"/>
    <row r="48" spans="4:9" ht="20.100000000000001" customHeight="1" x14ac:dyDescent="0.25">
      <c r="D48" s="105" t="s">
        <v>124</v>
      </c>
    </row>
    <row r="49" spans="4:17" ht="20.100000000000001" customHeight="1" x14ac:dyDescent="0.25">
      <c r="D49" s="106" t="s">
        <v>125</v>
      </c>
    </row>
    <row r="50" spans="4:17" ht="20.100000000000001" customHeight="1" x14ac:dyDescent="0.25">
      <c r="D50" s="103" t="s">
        <v>107</v>
      </c>
      <c r="E50" s="103" t="s">
        <v>108</v>
      </c>
      <c r="F50" s="103" t="s">
        <v>109</v>
      </c>
      <c r="G50" s="103" t="s">
        <v>129</v>
      </c>
    </row>
    <row r="51" spans="4:17" ht="20.100000000000001" customHeight="1" x14ac:dyDescent="0.25">
      <c r="D51" s="107">
        <f>'Input - Swine'!$E$7</f>
        <v>100</v>
      </c>
      <c r="E51" s="107">
        <f>'Input - Swine'!$F$7</f>
        <v>100</v>
      </c>
      <c r="F51" s="107">
        <f>'Input - Swine'!$G$7</f>
        <v>100</v>
      </c>
      <c r="G51" s="107">
        <f>'Input - Swine'!$H$7</f>
        <v>100</v>
      </c>
      <c r="H51" s="2" t="str">
        <f>G41</f>
        <v>days</v>
      </c>
    </row>
    <row r="52" spans="4:17" ht="20.100000000000001" customHeight="1" x14ac:dyDescent="0.25"/>
    <row r="53" spans="4:17" ht="20.100000000000001" customHeight="1" x14ac:dyDescent="0.25">
      <c r="D53" s="105" t="s">
        <v>161</v>
      </c>
      <c r="M53" s="105" t="s">
        <v>164</v>
      </c>
    </row>
    <row r="54" spans="4:17" ht="20.100000000000001" customHeight="1" x14ac:dyDescent="0.25">
      <c r="D54" s="106" t="s">
        <v>162</v>
      </c>
      <c r="M54" s="106" t="s">
        <v>165</v>
      </c>
    </row>
    <row r="55" spans="4:17" ht="20.100000000000001" customHeight="1" x14ac:dyDescent="0.25">
      <c r="D55" s="46" t="s">
        <v>107</v>
      </c>
      <c r="E55" s="46" t="s">
        <v>108</v>
      </c>
      <c r="F55" s="46" t="s">
        <v>109</v>
      </c>
      <c r="G55" s="46" t="s">
        <v>129</v>
      </c>
      <c r="M55" s="46" t="s">
        <v>107</v>
      </c>
      <c r="N55" s="46" t="s">
        <v>108</v>
      </c>
      <c r="O55" s="46" t="s">
        <v>109</v>
      </c>
      <c r="P55" s="46" t="s">
        <v>129</v>
      </c>
    </row>
    <row r="56" spans="4:17" ht="20.100000000000001" customHeight="1" x14ac:dyDescent="0.25">
      <c r="D56" s="47" cm="1">
        <f t="array" ref="D56">EntericMethane_Swine_Equations.VEERG_3_5_1_1__1_TotalAnnualMethaneFromEntericFermentation($D51,D26,$D46)</f>
        <v>0.22548036943136548</v>
      </c>
      <c r="E56" s="47" cm="1">
        <f t="array" ref="E56">EntericMethane_Swine_Equations.VEERG_3_5_1_1__1_TotalAnnualMethaneFromEntericFermentation($E51,E26,$E46)</f>
        <v>0.19794078232524451</v>
      </c>
      <c r="F56" s="47" cm="1">
        <f t="array" ref="F56">EntericMethane_Swine_Equations.VEERG_3_5_1_1__1_TotalAnnualMethaneFromEntericFermentation($F51,F26,$F46)</f>
        <v>0.2151530242665701</v>
      </c>
      <c r="G56" s="47" cm="1">
        <f t="array" ref="G56">EntericMethane_Swine_Equations.VEERG_3_5_1_1__1_TotalAnnualMethaneFromEntericFermentation($G51,G26,$G46)</f>
        <v>0.14716466859833394</v>
      </c>
      <c r="H56" s="2" t="str">
        <f>$E$37</f>
        <v>t CH4</v>
      </c>
      <c r="M56" s="47" cm="1">
        <f t="array" ref="M56">EntericMethane_Swine_Equations.VEERG_3_5_1_1__1_TotalAnnualMethaneFromEntericFermentation($D51,M26,$D46)</f>
        <v>0.22548036943136548</v>
      </c>
      <c r="N56" s="47" cm="1">
        <f t="array" ref="N56">EntericMethane_Swine_Equations.VEERG_3_5_1_1__1_TotalAnnualMethaneFromEntericFermentation($E51,N26,$E46)</f>
        <v>0.19794078232524451</v>
      </c>
      <c r="O56" s="47" cm="1">
        <f t="array" ref="O56">EntericMethane_Swine_Equations.VEERG_3_5_1_1__1_TotalAnnualMethaneFromEntericFermentation($F51,O26,$F46)</f>
        <v>0.2151530242665701</v>
      </c>
      <c r="P56" s="47" cm="1">
        <f t="array" ref="P56">EntericMethane_Swine_Equations.VEERG_3_5_1_1__1_TotalAnnualMethaneFromEntericFermentation($G51,P26,$G46)</f>
        <v>0.14716466859833394</v>
      </c>
      <c r="Q56" s="2" t="str">
        <f>$E$37</f>
        <v>t CH4</v>
      </c>
    </row>
    <row r="57" spans="4:17" ht="20.100000000000001" customHeight="1" x14ac:dyDescent="0.25"/>
    <row r="58" spans="4:17" ht="20.100000000000001" customHeight="1" x14ac:dyDescent="0.25">
      <c r="D58" s="89" t="s">
        <v>126</v>
      </c>
      <c r="E58" s="90">
        <f>SUM(D56:G56)</f>
        <v>0.78573884462151411</v>
      </c>
      <c r="F58" s="91" t="str">
        <f>$E$37</f>
        <v>t CH4</v>
      </c>
      <c r="M58" s="89" t="s">
        <v>126</v>
      </c>
      <c r="N58" s="90">
        <f>SUM(M56:P56)</f>
        <v>0.78573884462151411</v>
      </c>
      <c r="O58" s="91" t="str">
        <f>$E$37</f>
        <v>t CH4</v>
      </c>
    </row>
    <row r="59" spans="4:17" ht="20.100000000000001" customHeight="1" x14ac:dyDescent="0.25"/>
    <row r="60" spans="4:17" ht="20.100000000000001" customHeight="1" x14ac:dyDescent="0.25">
      <c r="D60" s="52" t="str" cm="1">
        <f t="array" ref="D60:E61">Common_Equations.Common_ConvertCH4ToCO2e_Arguments()</f>
        <v>ECH4</v>
      </c>
      <c r="E60" s="53" t="str">
        <v>Methane emissions (t CH4)</v>
      </c>
      <c r="F60" s="92"/>
      <c r="G60" s="47">
        <f>E58</f>
        <v>0.78573884462151411</v>
      </c>
      <c r="M60" s="52" t="str" cm="1">
        <f t="array" ref="M60:N61">Common_Equations.Common_ConvertCH4ToCO2e_Arguments()</f>
        <v>ECH4</v>
      </c>
      <c r="N60" s="53" t="str">
        <v>Methane emissions (t CH4)</v>
      </c>
      <c r="O60" s="92"/>
      <c r="P60" s="47">
        <f>N58</f>
        <v>0.78573884462151411</v>
      </c>
    </row>
    <row r="61" spans="4:17" ht="20.100000000000001" customHeight="1" x14ac:dyDescent="0.25">
      <c r="D61" s="52" t="str">
        <v>GWPCH4</v>
      </c>
      <c r="E61" s="53" t="str">
        <v>Global warming potential for methane (t CO2-e / t CH4)</v>
      </c>
      <c r="F61" s="92"/>
      <c r="G61" s="47">
        <f>Common_InputFunctions.Utility_LookupValueInTableNumber("CH4",Table_GWPData[Gas],Table_GWPData[CO2-e factor])</f>
        <v>28</v>
      </c>
      <c r="M61" s="52" t="str">
        <v>GWPCH4</v>
      </c>
      <c r="N61" s="53" t="str">
        <v>Global warming potential for methane (t CO2-e / t CH4)</v>
      </c>
      <c r="O61" s="92"/>
      <c r="P61" s="47">
        <f>Common_InputFunctions.Utility_LookupValueInTableNumber("CH4",Table_GWPData[Gas],Table_GWPData[CO2-e factor])</f>
        <v>28</v>
      </c>
    </row>
    <row r="62" spans="4:17" ht="20.100000000000001" customHeight="1" x14ac:dyDescent="0.25"/>
    <row r="63" spans="4:17" ht="20.100000000000001" customHeight="1" x14ac:dyDescent="0.25">
      <c r="D63" s="98" t="s">
        <v>163</v>
      </c>
      <c r="E63" s="41" cm="1">
        <f t="array" ref="E63">Common_Equations.Common_ConvertCH4ToCO2e(G60,G61)</f>
        <v>22.000687649402394</v>
      </c>
      <c r="F63" s="93" t="str" cm="1">
        <f t="array" ref="F63">Common_Equations.Common_ConvertN2OToCO2e_Unit()</f>
        <v>t CO2e</v>
      </c>
      <c r="M63" s="98" t="s">
        <v>163</v>
      </c>
      <c r="N63" s="41" cm="1">
        <f t="array" ref="N63">Common_Equations.Common_ConvertCH4ToCO2e(P60,P61)</f>
        <v>22.000687649402394</v>
      </c>
      <c r="O63" s="93" t="str" cm="1">
        <f t="array" ref="O63">Common_Equations.Common_ConvertN2OToCO2e_Unit()</f>
        <v>t CO2e</v>
      </c>
    </row>
    <row r="64" spans="4:17"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c r="A70" s="118" t="str">
        <f>HYPERLINK("#A1", "▲ Back to top")</f>
        <v>▲ Back to top</v>
      </c>
    </row>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row r="110" spans="1:1" ht="20.100000000000001" customHeight="1" x14ac:dyDescent="0.25">
      <c r="A110" s="117" t="str">
        <f>HYPERLINK("#A1", "▲ Back to top")</f>
        <v>▲ Back to top</v>
      </c>
    </row>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spans="1:1" ht="20.100000000000001" customHeight="1" x14ac:dyDescent="0.25"/>
    <row r="178" spans="1:1" ht="20.100000000000001" customHeight="1" x14ac:dyDescent="0.25"/>
    <row r="179" spans="1:1" ht="20.100000000000001" customHeight="1" x14ac:dyDescent="0.25"/>
    <row r="180" spans="1:1" ht="20.100000000000001" customHeight="1" x14ac:dyDescent="0.25"/>
    <row r="181" spans="1:1" ht="20.100000000000001" customHeight="1" x14ac:dyDescent="0.25"/>
    <row r="182" spans="1:1" ht="20.100000000000001" customHeight="1" x14ac:dyDescent="0.25"/>
    <row r="183" spans="1:1" ht="20.100000000000001" customHeight="1" x14ac:dyDescent="0.25"/>
    <row r="184" spans="1:1" ht="20.100000000000001" customHeight="1" x14ac:dyDescent="0.25"/>
    <row r="185" spans="1:1" ht="20.100000000000001" customHeight="1" x14ac:dyDescent="0.25"/>
    <row r="186" spans="1:1" ht="20.100000000000001" customHeight="1" x14ac:dyDescent="0.25">
      <c r="A186" s="118" t="str">
        <f>HYPERLINK("#A1", "▲ Back to top")</f>
        <v>▲ Back to top</v>
      </c>
    </row>
    <row r="187" spans="1:1" ht="20.100000000000001" customHeight="1" x14ac:dyDescent="0.25"/>
    <row r="188" spans="1:1" ht="20.100000000000001" customHeight="1" x14ac:dyDescent="0.25"/>
    <row r="189" spans="1:1" ht="20.100000000000001" customHeight="1" x14ac:dyDescent="0.25"/>
    <row r="190" spans="1:1" ht="20.100000000000001" customHeight="1" x14ac:dyDescent="0.25"/>
    <row r="191" spans="1:1" ht="20.100000000000001" customHeight="1" x14ac:dyDescent="0.25"/>
    <row r="192" spans="1:1"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c r="A213" s="118" t="str">
        <f>HYPERLINK("#A1", "▲ Back to top")</f>
        <v>▲ Back to top</v>
      </c>
    </row>
    <row r="214" spans="1:1" ht="20.100000000000001" customHeight="1" x14ac:dyDescent="0.25"/>
    <row r="215" spans="1:1" ht="20.100000000000001" customHeight="1" x14ac:dyDescent="0.25"/>
    <row r="216" spans="1:1" ht="20.100000000000001" customHeight="1" x14ac:dyDescent="0.25"/>
    <row r="217" spans="1:1" ht="20.100000000000001" customHeight="1" x14ac:dyDescent="0.25"/>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spans="1:1" ht="20.100000000000001" customHeight="1" x14ac:dyDescent="0.25"/>
    <row r="226" spans="1:1" ht="20.100000000000001" customHeight="1" x14ac:dyDescent="0.25"/>
    <row r="227" spans="1:1" ht="20.100000000000001" customHeight="1" x14ac:dyDescent="0.25"/>
    <row r="228" spans="1:1" ht="20.100000000000001" customHeight="1" x14ac:dyDescent="0.25"/>
    <row r="229" spans="1:1" ht="20.100000000000001" customHeight="1" x14ac:dyDescent="0.25"/>
    <row r="230" spans="1:1" ht="20.100000000000001" customHeight="1" x14ac:dyDescent="0.25"/>
    <row r="231" spans="1:1" ht="20.100000000000001" customHeight="1" x14ac:dyDescent="0.25">
      <c r="A231" s="118" t="str">
        <f>HYPERLINK("#A1", "▲ Back to top")</f>
        <v>▲ Back to top</v>
      </c>
    </row>
    <row r="232" spans="1:1" ht="20.100000000000001" customHeight="1" x14ac:dyDescent="0.25"/>
    <row r="233" spans="1:1" ht="20.100000000000001" customHeight="1" x14ac:dyDescent="0.25"/>
    <row r="234" spans="1:1" ht="20.100000000000001" customHeight="1" x14ac:dyDescent="0.25"/>
    <row r="235" spans="1:1" ht="20.100000000000001" customHeight="1" x14ac:dyDescent="0.25"/>
    <row r="236" spans="1:1" ht="20.100000000000001" customHeight="1" x14ac:dyDescent="0.25"/>
    <row r="237" spans="1:1" ht="20.100000000000001" customHeight="1" x14ac:dyDescent="0.25"/>
    <row r="238" spans="1:1" ht="20.100000000000001" customHeight="1" x14ac:dyDescent="0.25"/>
    <row r="239" spans="1:1" ht="20.100000000000001" customHeight="1" x14ac:dyDescent="0.25"/>
    <row r="240" spans="1:1"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spans="1:1" ht="20.100000000000001" customHeight="1" x14ac:dyDescent="0.25"/>
    <row r="258" spans="1:1" ht="20.100000000000001" customHeight="1" x14ac:dyDescent="0.25"/>
    <row r="259" spans="1:1" ht="20.100000000000001" customHeight="1" x14ac:dyDescent="0.25"/>
    <row r="260" spans="1:1" ht="20.100000000000001" customHeight="1" x14ac:dyDescent="0.25"/>
    <row r="261" spans="1:1" ht="20.100000000000001" customHeight="1" x14ac:dyDescent="0.25"/>
    <row r="262" spans="1:1" ht="20.100000000000001" customHeight="1" x14ac:dyDescent="0.25"/>
    <row r="263" spans="1:1" ht="20.100000000000001" customHeight="1" x14ac:dyDescent="0.25"/>
    <row r="264" spans="1:1" ht="20.100000000000001" customHeight="1" x14ac:dyDescent="0.25"/>
    <row r="265" spans="1:1" ht="20.100000000000001" customHeight="1" x14ac:dyDescent="0.25"/>
    <row r="266" spans="1:1" ht="20.100000000000001" customHeight="1" x14ac:dyDescent="0.25">
      <c r="A266" s="118" t="str">
        <f>HYPERLINK("#A1", "▲ Back to top")</f>
        <v>▲ Back to top</v>
      </c>
    </row>
    <row r="267" spans="1:1" ht="20.100000000000001" customHeight="1" x14ac:dyDescent="0.25"/>
    <row r="268" spans="1:1" ht="20.100000000000001" customHeight="1" x14ac:dyDescent="0.25"/>
    <row r="269" spans="1:1" ht="20.100000000000001" customHeight="1" x14ac:dyDescent="0.25"/>
    <row r="270" spans="1:1" ht="20.100000000000001" customHeight="1" x14ac:dyDescent="0.25"/>
    <row r="271" spans="1: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61:Q161 E126:I126 I207 E49 O133:Q134 E221 H128:I131 F145:I147 F127:I127 F128:F131 P155:Q156 Q121:Q124 O121:O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105" zoomScale="85" zoomScaleNormal="85" workbookViewId="0">
      <selection activeCell="E132" sqref="E13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106</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1"/>
    </row>
    <row r="5" spans="1:21" ht="20.100000000000001" customHeight="1" x14ac:dyDescent="0.25">
      <c r="A5" s="17" t="str">
        <f>HYPERLINK("#'Results'!A1", "Results")</f>
        <v>Results</v>
      </c>
      <c r="M5" s="1"/>
    </row>
    <row r="6" spans="1:21" ht="20.100000000000001" customHeight="1" x14ac:dyDescent="0.25">
      <c r="A6" s="16"/>
      <c r="D6" s="6" t="s">
        <v>137</v>
      </c>
      <c r="G6" s="6" t="s">
        <v>83</v>
      </c>
      <c r="M6" s="1"/>
    </row>
    <row r="7" spans="1:21" ht="20.100000000000001" customHeight="1" x14ac:dyDescent="0.25">
      <c r="A7" s="20" t="s">
        <v>1</v>
      </c>
      <c r="M7" s="1"/>
    </row>
    <row r="8" spans="1:21" ht="20.100000000000001" customHeight="1" x14ac:dyDescent="0.25">
      <c r="A8" s="17" t="str">
        <f>HYPERLINK("#'Input - Site'!A1", "Site")</f>
        <v>Site</v>
      </c>
      <c r="D8" s="34" t="s">
        <v>82</v>
      </c>
      <c r="G8" s="34" t="s">
        <v>81</v>
      </c>
      <c r="M8" s="1"/>
    </row>
    <row r="9" spans="1:21" ht="20.100000000000001" customHeight="1" x14ac:dyDescent="0.25">
      <c r="A9" s="17" t="str">
        <f>HYPERLINK("#'Input - Swine'!A1", "Swine")</f>
        <v>Swine</v>
      </c>
      <c r="D9" s="34" t="s">
        <v>139</v>
      </c>
      <c r="G9" s="34" t="s">
        <v>84</v>
      </c>
      <c r="M9" s="1"/>
    </row>
    <row r="10" spans="1:21" ht="20.100000000000001" customHeight="1" x14ac:dyDescent="0.25">
      <c r="A10" s="17"/>
      <c r="D10" s="1" t="s">
        <v>103</v>
      </c>
      <c r="G10" s="34" t="s">
        <v>85</v>
      </c>
      <c r="M10" s="1"/>
    </row>
    <row r="11" spans="1:21" ht="20.100000000000001" customHeight="1" x14ac:dyDescent="0.25">
      <c r="A11" s="19" t="s">
        <v>55</v>
      </c>
      <c r="G11" s="1" t="s">
        <v>86</v>
      </c>
      <c r="M11" s="1"/>
    </row>
    <row r="12" spans="1:21" ht="20.100000000000001" customHeight="1" x14ac:dyDescent="0.25">
      <c r="A12" s="17" t="str">
        <f>HYPERLINK("#'3.5.1.1-2 Enteric Methane'!A1", "3.5.1.1-2 Enteric Methane")</f>
        <v>3.5.1.1-2 Enteric Methane</v>
      </c>
      <c r="G12" s="1" t="s">
        <v>87</v>
      </c>
      <c r="M12" s="1"/>
    </row>
    <row r="13" spans="1:21" ht="20.100000000000001" customHeight="1" x14ac:dyDescent="0.25">
      <c r="G13" s="1" t="s">
        <v>88</v>
      </c>
      <c r="M13" s="1"/>
    </row>
    <row r="14" spans="1:21" ht="20.100000000000001" customHeight="1" x14ac:dyDescent="0.25">
      <c r="A14" s="18" t="s">
        <v>2</v>
      </c>
      <c r="D14" s="6" t="str" cm="1">
        <f t="array" ref="D14">SourceData_Swine.SourceData_Swine_FracLEACH_DrylotMMS_Title()</f>
        <v>Fraction of nitrogen lost through leaching and runoff for drylot MMS</v>
      </c>
      <c r="M14" s="1"/>
    </row>
    <row r="15" spans="1:21" ht="20.100000000000001" customHeight="1" x14ac:dyDescent="0.25">
      <c r="A15" s="125" t="str">
        <f>HYPERLINK("#'Constants - Swine'!A1", "Constants - Swine")</f>
        <v>Constants - Swine</v>
      </c>
      <c r="D15" s="5" t="str" cm="1">
        <f t="array" ref="D15">SourceData_Swine.SourceData_Swine_FracLEACH_DrylotMMS_Source()</f>
        <v>VEERG 2026: 4.5.2.3 CONSTANT</v>
      </c>
      <c r="M15" s="1"/>
    </row>
    <row r="16" spans="1:21" ht="20.100000000000001" customHeight="1" x14ac:dyDescent="0.25">
      <c r="A16" s="17" t="str">
        <f>HYPERLINK("#'Constants - Livestock'!A1", "Constants - Livestock")</f>
        <v>Constants - Livestock</v>
      </c>
      <c r="D16" s="50" t="str" cm="1">
        <f t="array" ref="D16">SourceData_Swine.SourceData_Swine_FracLEACH_DrylotMMS_Variation()</f>
        <v>VARIATION ON SOURCE: Text refers to 'solid storage' MMS, but equation refers to 'drylot' MMS.</v>
      </c>
      <c r="M16" s="1"/>
    </row>
    <row r="17" spans="1:13" ht="20.100000000000001" customHeight="1" x14ac:dyDescent="0.25">
      <c r="A17" s="17" t="str">
        <f>HYPERLINK("#'Constants - Common'!A1", "Constants - Common")</f>
        <v>Constants - Common</v>
      </c>
      <c r="D17" s="48" t="str" cm="1">
        <f t="array" ref="D17">SourceData_Swine.SourceData_Swine_FracLEACH_DrylotMMS_Variable()</f>
        <v>FracLEACH_MS</v>
      </c>
      <c r="E17" s="1" cm="1">
        <f t="array" ref="E17">SourceData_Swine.SourceData_Swine_FracLEACH_DrylotMMS_Data()</f>
        <v>0.02</v>
      </c>
      <c r="F17" s="49" t="str" cm="1">
        <f t="array" ref="F17">SourceData_Swine.SourceData_Swine_FracLEACH_DrylotMMS_Unit()</f>
        <v>fraction</v>
      </c>
      <c r="M17" s="1"/>
    </row>
    <row r="18" spans="1:13" ht="20.100000000000001" customHeight="1" x14ac:dyDescent="0.25">
      <c r="A18" s="17" t="str">
        <f>HYPERLINK("#'Acknowledgements'!A1", "Acknowledgements")</f>
        <v>Acknowledgements</v>
      </c>
      <c r="M18" s="1"/>
    </row>
    <row r="19" spans="1:13" ht="20.100000000000001" customHeight="1" x14ac:dyDescent="0.25">
      <c r="D19" s="6" t="str" cm="1">
        <f t="array" ref="D19">SourceData_Swine.SourceData_Swine_MethaneVolatileSolidsEmissionsPotential_Title()</f>
        <v>Emissions potential of methane per kilogram of volatile solids</v>
      </c>
      <c r="M19" s="1"/>
    </row>
    <row r="20" spans="1:13" ht="20.100000000000001" customHeight="1" x14ac:dyDescent="0.25">
      <c r="A20" s="17"/>
      <c r="D20" s="5" t="str" cm="1">
        <f t="array" ref="D20">SourceData_Swine.SourceData_Swine_MethaneVolatileSolidsEmissionsPotential_Source()</f>
        <v>IPCC (2019), Chapter 10 [4]</v>
      </c>
      <c r="M20" s="1"/>
    </row>
    <row r="21" spans="1:13" ht="20.100000000000001" customHeight="1" x14ac:dyDescent="0.25">
      <c r="D21" s="48" t="str" cm="1">
        <f t="array" ref="D21">SourceData_Swine.SourceData_Swine_MethaneVolatileSolidsEmissionsPotential_Variable()</f>
        <v>B0</v>
      </c>
      <c r="E21" s="1" cm="1">
        <f t="array" ref="E21">SourceData_Swine.SourceData_Swine_MethaneVolatileSolidsEmissionsPotential_Data()</f>
        <v>0.19</v>
      </c>
      <c r="F21" s="49" t="str" cm="1">
        <f t="array" ref="F21">SourceData_Swine.SourceData_Swine_MethaneVolatileSolidsEmissionsPotential_Unit()</f>
        <v>m3 CH4 / kg VS</v>
      </c>
      <c r="M21" s="1"/>
    </row>
    <row r="22" spans="1:13" ht="20.100000000000001" customHeight="1" x14ac:dyDescent="0.25">
      <c r="M22" s="1"/>
    </row>
    <row r="23" spans="1:13" ht="20.100000000000001" customHeight="1" x14ac:dyDescent="0.25">
      <c r="M23" s="1"/>
    </row>
    <row r="24" spans="1:13" ht="20.100000000000001" customHeight="1" x14ac:dyDescent="0.25">
      <c r="D24" s="6" t="str" cm="1">
        <f t="array" ref="D24">SourceData_Swine.SourceData_Swine_MMS_MCFs_Title()</f>
        <v>Methane conversion factor for temperature zone and manure management system.</v>
      </c>
      <c r="H24" s="95" t="s">
        <v>113</v>
      </c>
      <c r="M24" s="1"/>
    </row>
    <row r="25" spans="1:13" ht="20.100000000000001" customHeight="1" x14ac:dyDescent="0.25">
      <c r="D25" s="5" t="str" cm="1">
        <f t="array" ref="D25">SourceData_Swine.SourceData_Swine_MMS_MCFs_Source()</f>
        <v>VEERG 2026: Table A.1.6.4: Swine - MCFs (MCFim)</v>
      </c>
      <c r="H25" s="95" t="s">
        <v>114</v>
      </c>
      <c r="M25" s="1"/>
    </row>
    <row r="26" spans="1:13" ht="20.100000000000001" customHeight="1" x14ac:dyDescent="0.25">
      <c r="D26" s="50"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4" t="s">
        <v>49</v>
      </c>
      <c r="E28" s="34" t="s">
        <v>61</v>
      </c>
      <c r="F28" s="34" t="s">
        <v>60</v>
      </c>
      <c r="G28" s="34" t="s">
        <v>63</v>
      </c>
      <c r="H28" s="34" t="s">
        <v>62</v>
      </c>
      <c r="I28" s="34" t="s">
        <v>64</v>
      </c>
      <c r="J28" s="34" t="s">
        <v>65</v>
      </c>
      <c r="K28" s="34" t="s">
        <v>66</v>
      </c>
      <c r="L28" s="34" t="s">
        <v>67</v>
      </c>
      <c r="M28" s="34" t="s">
        <v>115</v>
      </c>
    </row>
    <row r="29" spans="1:13" ht="20.100000000000001" customHeight="1" x14ac:dyDescent="0.25">
      <c r="D29" s="34" t="str" cm="1">
        <f t="array" ref="D29">Common_InputFunctions.Utility_DisplayArrayInTable(SourceData_Swine.SourceData_Swine_MMS_MCFs_Data(),Table_SourceData_Swine_MMSMCF[[#Headers],[MMS]],0)</f>
        <v>Outdoor (Dry lot)</v>
      </c>
      <c r="E29" s="34" cm="1">
        <f t="array" ref="E29">Common_InputFunctions.Utility_DisplayArrayInTable(SourceData_Swine.SourceData_Swine_MMS_MCFs_Data(),Table_SourceData_Swine_MMSMCF[[#Headers],[MMS]],0)</f>
        <v>0.01</v>
      </c>
      <c r="F29" s="34" cm="1">
        <f t="array" ref="F29">Common_InputFunctions.Utility_DisplayArrayInTable(SourceData_Swine.SourceData_Swine_MMS_MCFs_Data(),Table_SourceData_Swine_MMSMCF[[#Headers],[MMS]],0)</f>
        <v>0.01</v>
      </c>
      <c r="G29" s="34" cm="1">
        <f t="array" ref="G29">Common_InputFunctions.Utility_DisplayArrayInTable(SourceData_Swine.SourceData_Swine_MMS_MCFs_Data(),Table_SourceData_Swine_MMSMCF[[#Headers],[MMS]],0)</f>
        <v>0.03</v>
      </c>
      <c r="H29" s="34" cm="1">
        <f t="array" ref="H29">Common_InputFunctions.Utility_DisplayArrayInTable(SourceData_Swine.SourceData_Swine_MMS_MCFs_Data(),Table_SourceData_Swine_MMSMCF[[#Headers],[MMS]],0)</f>
        <v>0.03</v>
      </c>
      <c r="I29" s="34" cm="1">
        <f t="array" ref="I29">Common_InputFunctions.Utility_DisplayArrayInTable(SourceData_Swine.SourceData_Swine_MMS_MCFs_Data(),Table_SourceData_Swine_MMSMCF[[#Headers],[MMS]],0)</f>
        <v>0.01</v>
      </c>
      <c r="J29" s="34" cm="1">
        <f t="array" ref="J29">Common_InputFunctions.Utility_DisplayArrayInTable(SourceData_Swine.SourceData_Swine_MMS_MCFs_Data(),Table_SourceData_Swine_MMSMCF[[#Headers],[MMS]],0)</f>
        <v>0.01</v>
      </c>
      <c r="K29" s="34" cm="1">
        <f t="array" ref="K29">Common_InputFunctions.Utility_DisplayArrayInTable(SourceData_Swine.SourceData_Swine_MMS_MCFs_Data(),Table_SourceData_Swine_MMSMCF[[#Headers],[MMS]],0)</f>
        <v>0.01</v>
      </c>
      <c r="L29" s="34" cm="1">
        <f t="array" ref="L29">Common_InputFunctions.Utility_DisplayArrayInTable(SourceData_Swine.SourceData_Swine_MMS_MCFs_Data(),Table_SourceData_Swine_MMSMCF[[#Headers],[MMS]],0)</f>
        <v>0.01</v>
      </c>
      <c r="M29" s="34"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4" cm="1">
        <f t="array" ref="E30">Common_InputFunctions.Utility_DisplayArrayInTable(SourceData_Swine.SourceData_Swine_MMS_MCFs_Data(),Table_SourceData_Swine_MMSMCF[[#Headers],[MMS]],0)</f>
        <v>0.04</v>
      </c>
      <c r="F30" s="34" cm="1">
        <f t="array" ref="F30">Common_InputFunctions.Utility_DisplayArrayInTable(SourceData_Swine.SourceData_Swine_MMS_MCFs_Data(),Table_SourceData_Swine_MMSMCF[[#Headers],[MMS]],0)</f>
        <v>0.04</v>
      </c>
      <c r="G30" s="34" cm="1">
        <f t="array" ref="G30">Common_InputFunctions.Utility_DisplayArrayInTable(SourceData_Swine.SourceData_Swine_MMS_MCFs_Data(),Table_SourceData_Swine_MMSMCF[[#Headers],[MMS]],0)</f>
        <v>0.04</v>
      </c>
      <c r="H30" s="34" cm="1">
        <f t="array" ref="H30">Common_InputFunctions.Utility_DisplayArrayInTable(SourceData_Swine.SourceData_Swine_MMS_MCFs_Data(),Table_SourceData_Swine_MMSMCF[[#Headers],[MMS]],0)</f>
        <v>0.04</v>
      </c>
      <c r="I30" s="34" cm="1">
        <f t="array" ref="I30">Common_InputFunctions.Utility_DisplayArrayInTable(SourceData_Swine.SourceData_Swine_MMS_MCFs_Data(),Table_SourceData_Swine_MMSMCF[[#Headers],[MMS]],0)</f>
        <v>0.04</v>
      </c>
      <c r="J30" s="34" cm="1">
        <f t="array" ref="J30">Common_InputFunctions.Utility_DisplayArrayInTable(SourceData_Swine.SourceData_Swine_MMS_MCFs_Data(),Table_SourceData_Swine_MMSMCF[[#Headers],[MMS]],0)</f>
        <v>0.04</v>
      </c>
      <c r="K30" s="34" cm="1">
        <f t="array" ref="K30">Common_InputFunctions.Utility_DisplayArrayInTable(SourceData_Swine.SourceData_Swine_MMS_MCFs_Data(),Table_SourceData_Swine_MMSMCF[[#Headers],[MMS]],0)</f>
        <v>0.04</v>
      </c>
      <c r="L30" s="34" cm="1">
        <f t="array" ref="L30">Common_InputFunctions.Utility_DisplayArrayInTable(SourceData_Swine.SourceData_Swine_MMS_MCFs_Data(),Table_SourceData_Swine_MMSMCF[[#Headers],[MMS]],0)</f>
        <v>0.04</v>
      </c>
      <c r="M30" s="34"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4" cm="1">
        <f t="array" ref="E31">Common_InputFunctions.Utility_DisplayArrayInTable(SourceData_Swine.SourceData_Swine_MMS_MCFs_Data(),Table_SourceData_Swine_MMSMCF[[#Headers],[MMS]],0)</f>
        <v>0.02</v>
      </c>
      <c r="F31" s="34" cm="1">
        <f t="array" ref="F31">Common_InputFunctions.Utility_DisplayArrayInTable(SourceData_Swine.SourceData_Swine_MMS_MCFs_Data(),Table_SourceData_Swine_MMSMCF[[#Headers],[MMS]],0)</f>
        <v>0.02</v>
      </c>
      <c r="G31" s="34" cm="1">
        <f t="array" ref="G31">Common_InputFunctions.Utility_DisplayArrayInTable(SourceData_Swine.SourceData_Swine_MMS_MCFs_Data(),Table_SourceData_Swine_MMSMCF[[#Headers],[MMS]],0)</f>
        <v>0.02</v>
      </c>
      <c r="H31" s="34" cm="1">
        <f t="array" ref="H31">Common_InputFunctions.Utility_DisplayArrayInTable(SourceData_Swine.SourceData_Swine_MMS_MCFs_Data(),Table_SourceData_Swine_MMSMCF[[#Headers],[MMS]],0)</f>
        <v>0.02</v>
      </c>
      <c r="I31" s="34" cm="1">
        <f t="array" ref="I31">Common_InputFunctions.Utility_DisplayArrayInTable(SourceData_Swine.SourceData_Swine_MMS_MCFs_Data(),Table_SourceData_Swine_MMSMCF[[#Headers],[MMS]],0)</f>
        <v>0.02</v>
      </c>
      <c r="J31" s="34" cm="1">
        <f t="array" ref="J31">Common_InputFunctions.Utility_DisplayArrayInTable(SourceData_Swine.SourceData_Swine_MMS_MCFs_Data(),Table_SourceData_Swine_MMSMCF[[#Headers],[MMS]],0)</f>
        <v>0.02</v>
      </c>
      <c r="K31" s="34" cm="1">
        <f t="array" ref="K31">Common_InputFunctions.Utility_DisplayArrayInTable(SourceData_Swine.SourceData_Swine_MMS_MCFs_Data(),Table_SourceData_Swine_MMSMCF[[#Headers],[MMS]],0)</f>
        <v>0.02</v>
      </c>
      <c r="L31" s="34" cm="1">
        <f t="array" ref="L31">Common_InputFunctions.Utility_DisplayArrayInTable(SourceData_Swine.SourceData_Swine_MMS_MCFs_Data(),Table_SourceData_Swine_MMSMCF[[#Headers],[MMS]],0)</f>
        <v>0.02</v>
      </c>
      <c r="M31" s="34"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4" cm="1">
        <f t="array" ref="E32">Common_InputFunctions.Utility_DisplayArrayInTable(SourceData_Swine.SourceData_Swine_MMS_MCFs_Data(),Table_SourceData_Swine_MMSMCF[[#Headers],[MMS]],0)</f>
        <v>0.75</v>
      </c>
      <c r="F32" s="34" cm="1">
        <f t="array" ref="F32">Common_InputFunctions.Utility_DisplayArrayInTable(SourceData_Swine.SourceData_Swine_MMS_MCFs_Data(),Table_SourceData_Swine_MMSMCF[[#Headers],[MMS]],0)</f>
        <v>0.75</v>
      </c>
      <c r="G32" s="34" cm="1">
        <f t="array" ref="G32">Common_InputFunctions.Utility_DisplayArrayInTable(SourceData_Swine.SourceData_Swine_MMS_MCFs_Data(),Table_SourceData_Swine_MMSMCF[[#Headers],[MMS]],0)</f>
        <v>0.78</v>
      </c>
      <c r="H32" s="34" cm="1">
        <f t="array" ref="H32">Common_InputFunctions.Utility_DisplayArrayInTable(SourceData_Swine.SourceData_Swine_MMS_MCFs_Data(),Table_SourceData_Swine_MMSMCF[[#Headers],[MMS]],0)</f>
        <v>0.78</v>
      </c>
      <c r="I32" s="34" cm="1">
        <f t="array" ref="I32">Common_InputFunctions.Utility_DisplayArrayInTable(SourceData_Swine.SourceData_Swine_MMS_MCFs_Data(),Table_SourceData_Swine_MMSMCF[[#Headers],[MMS]],0)</f>
        <v>0.75</v>
      </c>
      <c r="J32" s="34" cm="1">
        <f t="array" ref="J32">Common_InputFunctions.Utility_DisplayArrayInTable(SourceData_Swine.SourceData_Swine_MMS_MCFs_Data(),Table_SourceData_Swine_MMSMCF[[#Headers],[MMS]],0)</f>
        <v>0.7</v>
      </c>
      <c r="K32" s="34" cm="1">
        <f t="array" ref="K32">Common_InputFunctions.Utility_DisplayArrayInTable(SourceData_Swine.SourceData_Swine_MMS_MCFs_Data(),Table_SourceData_Swine_MMSMCF[[#Headers],[MMS]],0)</f>
        <v>0.74</v>
      </c>
      <c r="L32" s="34" cm="1">
        <f t="array" ref="L32">Common_InputFunctions.Utility_DisplayArrayInTable(SourceData_Swine.SourceData_Swine_MMS_MCFs_Data(),Table_SourceData_Swine_MMSMCF[[#Headers],[MMS]],0)</f>
        <v>0.76</v>
      </c>
      <c r="M32" s="34"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4" cm="1">
        <f t="array" ref="E33">Common_InputFunctions.Utility_DisplayArrayInTable(SourceData_Swine.SourceData_Swine_MMS_MCFs_Data(),Table_SourceData_Swine_MMSMCF[[#Headers],[MMS]],0)</f>
        <v>0.1</v>
      </c>
      <c r="F33" s="34" cm="1">
        <f t="array" ref="F33">Common_InputFunctions.Utility_DisplayArrayInTable(SourceData_Swine.SourceData_Swine_MMS_MCFs_Data(),Table_SourceData_Swine_MMSMCF[[#Headers],[MMS]],0)</f>
        <v>0.1</v>
      </c>
      <c r="G33" s="34" cm="1">
        <f t="array" ref="G33">Common_InputFunctions.Utility_DisplayArrayInTable(SourceData_Swine.SourceData_Swine_MMS_MCFs_Data(),Table_SourceData_Swine_MMSMCF[[#Headers],[MMS]],0)</f>
        <v>0.1</v>
      </c>
      <c r="H33" s="34" cm="1">
        <f t="array" ref="H33">Common_InputFunctions.Utility_DisplayArrayInTable(SourceData_Swine.SourceData_Swine_MMS_MCFs_Data(),Table_SourceData_Swine_MMSMCF[[#Headers],[MMS]],0)</f>
        <v>0.1</v>
      </c>
      <c r="I33" s="34" cm="1">
        <f t="array" ref="I33">Common_InputFunctions.Utility_DisplayArrayInTable(SourceData_Swine.SourceData_Swine_MMS_MCFs_Data(),Table_SourceData_Swine_MMSMCF[[#Headers],[MMS]],0)</f>
        <v>0.1</v>
      </c>
      <c r="J33" s="34" cm="1">
        <f t="array" ref="J33">Common_InputFunctions.Utility_DisplayArrayInTable(SourceData_Swine.SourceData_Swine_MMS_MCFs_Data(),Table_SourceData_Swine_MMSMCF[[#Headers],[MMS]],0)</f>
        <v>0.1</v>
      </c>
      <c r="K33" s="34" cm="1">
        <f t="array" ref="K33">Common_InputFunctions.Utility_DisplayArrayInTable(SourceData_Swine.SourceData_Swine_MMS_MCFs_Data(),Table_SourceData_Swine_MMSMCF[[#Headers],[MMS]],0)</f>
        <v>0.1</v>
      </c>
      <c r="L33" s="34" cm="1">
        <f t="array" ref="L33">Common_InputFunctions.Utility_DisplayArrayInTable(SourceData_Swine.SourceData_Swine_MMS_MCFs_Data(),Table_SourceData_Swine_MMSMCF[[#Headers],[MMS]],0)</f>
        <v>0.1</v>
      </c>
      <c r="M33" s="34"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4" cm="1">
        <f t="array" ref="E34">Common_InputFunctions.Utility_DisplayArrayInTable(SourceData_Swine.SourceData_Swine_MMS_MCFs_Data(),Table_SourceData_Swine_MMSMCF[[#Headers],[MMS]],0)</f>
        <v>0.03</v>
      </c>
      <c r="F34" s="34" cm="1">
        <f t="array" ref="F34">Common_InputFunctions.Utility_DisplayArrayInTable(SourceData_Swine.SourceData_Swine_MMS_MCFs_Data(),Table_SourceData_Swine_MMSMCF[[#Headers],[MMS]],0)</f>
        <v>0.03</v>
      </c>
      <c r="G34" s="34" cm="1">
        <f t="array" ref="G34">Common_InputFunctions.Utility_DisplayArrayInTable(SourceData_Swine.SourceData_Swine_MMS_MCFs_Data(),Table_SourceData_Swine_MMSMCF[[#Headers],[MMS]],0)</f>
        <v>0.03</v>
      </c>
      <c r="H34" s="34" cm="1">
        <f t="array" ref="H34">Common_InputFunctions.Utility_DisplayArrayInTable(SourceData_Swine.SourceData_Swine_MMS_MCFs_Data(),Table_SourceData_Swine_MMSMCF[[#Headers],[MMS]],0)</f>
        <v>0.03</v>
      </c>
      <c r="I34" s="34" cm="1">
        <f t="array" ref="I34">Common_InputFunctions.Utility_DisplayArrayInTable(SourceData_Swine.SourceData_Swine_MMS_MCFs_Data(),Table_SourceData_Swine_MMSMCF[[#Headers],[MMS]],0)</f>
        <v>0.03</v>
      </c>
      <c r="J34" s="34" cm="1">
        <f t="array" ref="J34">Common_InputFunctions.Utility_DisplayArrayInTable(SourceData_Swine.SourceData_Swine_MMS_MCFs_Data(),Table_SourceData_Swine_MMSMCF[[#Headers],[MMS]],0)</f>
        <v>0.03</v>
      </c>
      <c r="K34" s="34" cm="1">
        <f t="array" ref="K34">Common_InputFunctions.Utility_DisplayArrayInTable(SourceData_Swine.SourceData_Swine_MMS_MCFs_Data(),Table_SourceData_Swine_MMSMCF[[#Headers],[MMS]],0)</f>
        <v>0.03</v>
      </c>
      <c r="L34" s="34" cm="1">
        <f t="array" ref="L34">Common_InputFunctions.Utility_DisplayArrayInTable(SourceData_Swine.SourceData_Swine_MMS_MCFs_Data(),Table_SourceData_Swine_MMSMCF[[#Headers],[MMS]],0)</f>
        <v>0.03</v>
      </c>
      <c r="M34" s="34"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4" cm="1">
        <f t="array" ref="E35">Common_InputFunctions.Utility_DisplayArrayInTable(SourceData_Swine.SourceData_Swine_MMS_MCFs_Data(),Table_SourceData_Swine_MMSMCF[[#Headers],[MMS]],0)</f>
        <v>0</v>
      </c>
      <c r="F35" s="34" cm="1">
        <f t="array" ref="F35">Common_InputFunctions.Utility_DisplayArrayInTable(SourceData_Swine.SourceData_Swine_MMS_MCFs_Data(),Table_SourceData_Swine_MMSMCF[[#Headers],[MMS]],0)</f>
        <v>0</v>
      </c>
      <c r="G35" s="34" cm="1">
        <f t="array" ref="G35">Common_InputFunctions.Utility_DisplayArrayInTable(SourceData_Swine.SourceData_Swine_MMS_MCFs_Data(),Table_SourceData_Swine_MMSMCF[[#Headers],[MMS]],0)</f>
        <v>0</v>
      </c>
      <c r="H35" s="34" cm="1">
        <f t="array" ref="H35">Common_InputFunctions.Utility_DisplayArrayInTable(SourceData_Swine.SourceData_Swine_MMS_MCFs_Data(),Table_SourceData_Swine_MMSMCF[[#Headers],[MMS]],0)</f>
        <v>0</v>
      </c>
      <c r="I35" s="34" cm="1">
        <f t="array" ref="I35">Common_InputFunctions.Utility_DisplayArrayInTable(SourceData_Swine.SourceData_Swine_MMS_MCFs_Data(),Table_SourceData_Swine_MMSMCF[[#Headers],[MMS]],0)</f>
        <v>0</v>
      </c>
      <c r="J35" s="34" cm="1">
        <f t="array" ref="J35">Common_InputFunctions.Utility_DisplayArrayInTable(SourceData_Swine.SourceData_Swine_MMS_MCFs_Data(),Table_SourceData_Swine_MMSMCF[[#Headers],[MMS]],0)</f>
        <v>0</v>
      </c>
      <c r="K35" s="34" cm="1">
        <f t="array" ref="K35">Common_InputFunctions.Utility_DisplayArrayInTable(SourceData_Swine.SourceData_Swine_MMS_MCFs_Data(),Table_SourceData_Swine_MMSMCF[[#Headers],[MMS]],0)</f>
        <v>0</v>
      </c>
      <c r="L35" s="34" cm="1">
        <f t="array" ref="L35">Common_InputFunctions.Utility_DisplayArrayInTable(SourceData_Swine.SourceData_Swine_MMS_MCFs_Data(),Table_SourceData_Swine_MMSMCF[[#Headers],[MMS]],0)</f>
        <v>0</v>
      </c>
      <c r="M35" s="34"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116</v>
      </c>
      <c r="G38" s="6" t="s">
        <v>117</v>
      </c>
      <c r="K38" s="6" t="s">
        <v>118</v>
      </c>
      <c r="M38" s="1"/>
    </row>
    <row r="39" spans="4:13" ht="20.100000000000001" customHeight="1" x14ac:dyDescent="0.25">
      <c r="M39" s="1"/>
    </row>
    <row r="40" spans="4:13" ht="20.100000000000001" customHeight="1" x14ac:dyDescent="0.25">
      <c r="D40" s="104" t="s">
        <v>49</v>
      </c>
      <c r="E40" s="34" t="s">
        <v>59</v>
      </c>
      <c r="G40" s="104" t="s">
        <v>49</v>
      </c>
      <c r="H40" s="34" t="s">
        <v>59</v>
      </c>
      <c r="K40" s="104" t="s">
        <v>49</v>
      </c>
      <c r="L40" s="34" t="s">
        <v>59</v>
      </c>
      <c r="M40" s="1"/>
    </row>
    <row r="41" spans="4:13" ht="20.100000000000001" customHeight="1" x14ac:dyDescent="0.25">
      <c r="D41" s="34" t="str">
        <f>'Constants - Livestock'!$E$10</f>
        <v>Anaerobic lagoon</v>
      </c>
      <c r="E41" s="34" t="str">
        <f>'Constants - Livestock'!$F$10</f>
        <v>Anaerobic lagoon (m=1)</v>
      </c>
      <c r="G41" s="34" t="str">
        <f>'Constants - Livestock'!$E$10</f>
        <v>Anaerobic lagoon</v>
      </c>
      <c r="H41" s="34" t="str">
        <f>'Constants - Livestock'!$F$10</f>
        <v>Anaerobic lagoon (m=1)</v>
      </c>
      <c r="K41" s="34" t="str">
        <f>'Constants - Livestock'!$E$10</f>
        <v>Anaerobic lagoon</v>
      </c>
      <c r="L41" s="34" t="str">
        <f>'Constants - Livestock'!$F$10</f>
        <v>Anaerobic lagoon (m=1)</v>
      </c>
      <c r="M41" s="1"/>
    </row>
    <row r="42" spans="4:13" ht="20.100000000000001" customHeight="1" x14ac:dyDescent="0.25">
      <c r="D42" s="34" t="str">
        <f>'Constants - Livestock'!$E$15</f>
        <v>Solid storage</v>
      </c>
      <c r="E42" s="34" t="str">
        <f>'Constants - Livestock'!$F$15</f>
        <v>Solid storage (m=4)</v>
      </c>
      <c r="G42" s="34" t="str">
        <f>'Constants - Livestock'!$E$16</f>
        <v>Drylot (feed pad)</v>
      </c>
      <c r="H42" s="34" t="str">
        <f>'Constants - Livestock'!$F$16</f>
        <v>Drylot (feed pad) (m=5)</v>
      </c>
      <c r="K42" s="34" t="str">
        <f>'Constants - Livestock'!$E$15</f>
        <v>Solid storage</v>
      </c>
      <c r="L42" s="34" t="str">
        <f>'Constants - Livestock'!$F$15</f>
        <v>Solid storage (m=4)</v>
      </c>
      <c r="M42" s="1"/>
    </row>
    <row r="43" spans="4:13" ht="20.100000000000001" customHeight="1" x14ac:dyDescent="0.25">
      <c r="D43" s="34" t="str">
        <f>'Constants - Livestock'!$E$16</f>
        <v>Drylot (feed pad)</v>
      </c>
      <c r="E43" s="34" t="str">
        <f>'Constants - Livestock'!$F$16</f>
        <v>Drylot (feed pad) (m=5)</v>
      </c>
      <c r="G43" s="34" t="str">
        <f>'Constants - Livestock'!$E$18</f>
        <v>Digester / covered lagoons</v>
      </c>
      <c r="H43" s="34" t="str">
        <f>'Constants - Livestock'!$F$18</f>
        <v>Digester / covered lagoons (m=7)</v>
      </c>
      <c r="K43" s="34" t="str">
        <f>'Constants - Livestock'!$E$16</f>
        <v>Drylot (feed pad)</v>
      </c>
      <c r="L43" s="34" t="str">
        <f>'Constants - Livestock'!$F$16</f>
        <v>Drylot (feed pad) (m=5)</v>
      </c>
      <c r="M43" s="1"/>
    </row>
    <row r="44" spans="4:13" ht="20.100000000000001" customHeight="1" x14ac:dyDescent="0.25">
      <c r="D44" s="34" t="str">
        <f>'Constants - Livestock'!$E$18</f>
        <v>Digester / covered lagoons</v>
      </c>
      <c r="E44" s="34" t="str">
        <f>'Constants - Livestock'!$F$18</f>
        <v>Digester / covered lagoons (m=7)</v>
      </c>
      <c r="G44" s="34" t="str">
        <f>'Constants - Livestock'!$E$19</f>
        <v>Deep litter</v>
      </c>
      <c r="H44" s="34" t="str">
        <f>'Constants - Livestock'!$F$19</f>
        <v>Deep litter (m=8)</v>
      </c>
      <c r="K44" s="34" t="str">
        <f>'Constants - Livestock'!$E$18</f>
        <v>Digester / covered lagoons</v>
      </c>
      <c r="L44" s="34" t="str">
        <f>'Constants - Livestock'!$F$18</f>
        <v>Digester / covered lagoons (m=7)</v>
      </c>
      <c r="M44" s="1"/>
    </row>
    <row r="45" spans="4:13" ht="20.100000000000001" customHeight="1" x14ac:dyDescent="0.25">
      <c r="D45" s="34" t="str">
        <f>'Constants - Livestock'!$E$19</f>
        <v>Deep litter</v>
      </c>
      <c r="E45" s="34" t="str">
        <f>'Constants - Livestock'!$F$19</f>
        <v>Deep litter (m=8)</v>
      </c>
      <c r="G45" s="34" t="str">
        <f>'Constants - Livestock'!$E$20</f>
        <v>Pit storage</v>
      </c>
      <c r="H45" s="34" t="str">
        <f>'Constants - Livestock'!$F$20</f>
        <v>Pit storage (m=9)</v>
      </c>
      <c r="K45" s="34" t="str">
        <f>'Constants - Livestock'!$E$19</f>
        <v>Deep litter</v>
      </c>
      <c r="L45" s="34" t="str">
        <f>'Constants - Livestock'!$F$19</f>
        <v>Deep litter (m=8)</v>
      </c>
      <c r="M45" s="1"/>
    </row>
    <row r="46" spans="4:13" ht="20.100000000000001" customHeight="1" x14ac:dyDescent="0.25">
      <c r="D46" s="34" t="str">
        <f>'Constants - Livestock'!$E$20</f>
        <v>Pit storage</v>
      </c>
      <c r="E46" s="34" t="str">
        <f>'Constants - Livestock'!$F$20</f>
        <v>Pit storage (m=9)</v>
      </c>
      <c r="K46" s="34" t="str">
        <f>'Constants - Livestock'!$E$20</f>
        <v>Pit storage</v>
      </c>
      <c r="L46" s="34" t="str">
        <f>'Constants - Livestock'!$F$20</f>
        <v>Pit storage (m=9)</v>
      </c>
      <c r="M46" s="1"/>
    </row>
    <row r="47" spans="4:13" ht="20.100000000000001" customHeight="1" x14ac:dyDescent="0.25">
      <c r="D47" s="34" t="str">
        <f>'Constants - Livestock'!$E$26</f>
        <v>Direct application</v>
      </c>
      <c r="E47" s="34" t="str">
        <f>'Constants - Livestock'!$F$26</f>
        <v>Direct application (m=13)</v>
      </c>
      <c r="M47" s="1"/>
    </row>
    <row r="48" spans="4:13" ht="20.100000000000001" customHeight="1" x14ac:dyDescent="0.25">
      <c r="M48" s="1"/>
    </row>
    <row r="49" spans="1:13" ht="20.100000000000001" customHeight="1" x14ac:dyDescent="0.25">
      <c r="M49" s="1"/>
    </row>
    <row r="50" spans="1:13" ht="20.100000000000001" customHeight="1" x14ac:dyDescent="0.25">
      <c r="M50" s="1"/>
    </row>
    <row r="51" spans="1:13" ht="20.100000000000001" customHeight="1" x14ac:dyDescent="0.25">
      <c r="D51" s="6" t="s">
        <v>119</v>
      </c>
      <c r="G51" s="6" t="s">
        <v>120</v>
      </c>
      <c r="M51" s="1"/>
    </row>
    <row r="52" spans="1:13" ht="20.100000000000001" customHeight="1" x14ac:dyDescent="0.25">
      <c r="M52" s="1"/>
    </row>
    <row r="53" spans="1:13" ht="20.100000000000001" customHeight="1" x14ac:dyDescent="0.25">
      <c r="D53" s="104" t="s">
        <v>49</v>
      </c>
      <c r="E53" s="34" t="s">
        <v>121</v>
      </c>
      <c r="G53" s="34" t="s">
        <v>82</v>
      </c>
      <c r="M53" s="1"/>
    </row>
    <row r="54" spans="1:13" ht="20.100000000000001" customHeight="1" x14ac:dyDescent="0.25">
      <c r="D54" s="34" t="str">
        <f>'Constants - Livestock'!$E$10</f>
        <v>Anaerobic lagoon</v>
      </c>
      <c r="E54" s="34">
        <v>0</v>
      </c>
      <c r="G54" s="34" t="str" cm="1">
        <f t="array" ref="G54">Common_InputFunctions.Utility_DisplayArrayInTable(SourceData_Swine.SourceData_Swine_ProductionSystems_Data(), Table_SourceData_Swine_ProductionSystems[[#Headers],[Production system]], 0)</f>
        <v>Conventional housing</v>
      </c>
      <c r="M54" s="1"/>
    </row>
    <row r="55" spans="1:13" ht="20.100000000000001" customHeight="1" x14ac:dyDescent="0.25">
      <c r="D55" s="34" t="str">
        <f>'Constants - Livestock'!$E$15</f>
        <v>Solid storage</v>
      </c>
      <c r="E55" s="34">
        <v>0</v>
      </c>
      <c r="G55" s="34" t="str" cm="1">
        <f t="array" ref="G55">Common_InputFunctions.Utility_DisplayArrayInTable(SourceData_Swine.SourceData_Swine_ProductionSystems_Data(), Table_SourceData_Swine_ProductionSystems[[#Headers],[Production system]], 0)</f>
        <v>Deep litter housing</v>
      </c>
      <c r="M55" s="1"/>
    </row>
    <row r="56" spans="1:13" ht="20.100000000000001" customHeight="1" x14ac:dyDescent="0.25">
      <c r="D56" s="34" t="str">
        <f>'Constants - Livestock'!$E$16</f>
        <v>Drylot (feed pad)</v>
      </c>
      <c r="E56" s="34">
        <v>0</v>
      </c>
      <c r="G56" s="34" t="str" cm="1">
        <f t="array" ref="G56">Common_InputFunctions.Utility_DisplayArrayInTable(SourceData_Swine.SourceData_Swine_ProductionSystems_Data(), Table_SourceData_Swine_ProductionSystems[[#Headers],[Production system]], 0)</f>
        <v>Outdoor/free range</v>
      </c>
      <c r="M56" s="1"/>
    </row>
    <row r="57" spans="1:13" ht="20.100000000000001" customHeight="1" x14ac:dyDescent="0.25">
      <c r="D57" s="34" t="str">
        <f>'Constants - Livestock'!$E$18</f>
        <v>Digester / covered lagoons</v>
      </c>
      <c r="E57" s="34">
        <v>0.75</v>
      </c>
      <c r="M57" s="1"/>
    </row>
    <row r="58" spans="1:13" ht="20.100000000000001" customHeight="1" x14ac:dyDescent="0.25">
      <c r="D58" s="34" t="str">
        <f>'Constants - Livestock'!$E$19</f>
        <v>Deep litter</v>
      </c>
      <c r="E58" s="34">
        <v>0.05</v>
      </c>
      <c r="M58" s="1"/>
    </row>
    <row r="59" spans="1:13" ht="20.100000000000001" customHeight="1" x14ac:dyDescent="0.25">
      <c r="D59" s="34" t="str">
        <f>'Constants - Livestock'!$E$20</f>
        <v>Pit storage</v>
      </c>
      <c r="E59" s="34">
        <v>0</v>
      </c>
      <c r="M59" s="1"/>
    </row>
    <row r="60" spans="1:13" ht="20.100000000000001" customHeight="1" x14ac:dyDescent="0.25">
      <c r="D60" s="34" t="str">
        <f>'Constants - Livestock'!$E$26</f>
        <v>Direct application</v>
      </c>
      <c r="E60" s="34">
        <v>0</v>
      </c>
      <c r="M60" s="1"/>
    </row>
    <row r="61" spans="1:13" ht="20.100000000000001" customHeight="1" x14ac:dyDescent="0.25">
      <c r="M61" s="1"/>
    </row>
    <row r="62" spans="1:13" ht="20.100000000000001" customHeight="1" x14ac:dyDescent="0.25">
      <c r="M62" s="1"/>
    </row>
    <row r="63" spans="1:13" ht="20.100000000000001" customHeight="1" x14ac:dyDescent="0.25">
      <c r="A63" s="118" t="str">
        <f>HYPERLINK("#A1", "▲ Back to top")</f>
        <v>▲ Back to top</v>
      </c>
      <c r="D63" s="6" t="str" cm="1">
        <f t="array" ref="D63">SourceData_Swine.SourceData_Swine_VolatileSolids_Title()</f>
        <v>Swine - Volatile solids (VSj) - 2020 to 2024</v>
      </c>
      <c r="M63" s="1"/>
    </row>
    <row r="64" spans="1: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50"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4" t="s">
        <v>111</v>
      </c>
      <c r="E67" s="34" t="s">
        <v>112</v>
      </c>
      <c r="M67" s="1"/>
    </row>
    <row r="68" spans="4:22" ht="20.100000000000001" customHeight="1" x14ac:dyDescent="0.25">
      <c r="D68" s="34" t="str" cm="1">
        <f t="array" ref="D68">Common_InputFunctions.Utility_DisplayArrayInTable(SourceData_Swine.SourceData_Swine_VolatileSolids_Data(), Table_SourceData_Swine_VolatileSolids[[#Headers],[Class]], 0)</f>
        <v>Boars</v>
      </c>
      <c r="E68" s="34"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4"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4"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4"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50"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4" t="s">
        <v>111</v>
      </c>
      <c r="E78" s="34" t="s">
        <v>132</v>
      </c>
      <c r="M78" s="1"/>
      <c r="V78" s="1"/>
    </row>
    <row r="79" spans="4:22" ht="20.100000000000001" customHeight="1" x14ac:dyDescent="0.25">
      <c r="D79" s="34" t="str" cm="1">
        <f t="array" ref="D79">Common_InputFunctions.Utility_DisplayArrayInTable(SourceData_Swine.SourceData_Swine_FeedIntake_Data(), Table_SourceData_Swine_FeedIntake[[#Headers],[Class]], 0)</f>
        <v>Boars</v>
      </c>
      <c r="E79" s="34" cm="1">
        <f t="array" ref="E79">Common_InputFunctions.Utility_DisplayArrayInTable(SourceData_Swine.SourceData_Swine_FeedIntake_Data(), Table_SourceData_Swine_FeedIntake[[#Headers],[Class]], 0)</f>
        <v>2.62</v>
      </c>
      <c r="M79" s="1"/>
      <c r="V79" s="1"/>
    </row>
    <row r="80" spans="4:22" ht="20.100000000000001" customHeight="1" x14ac:dyDescent="0.25">
      <c r="D80" s="34" t="str" cm="1">
        <f t="array" ref="D80">Common_InputFunctions.Utility_DisplayArrayInTable(SourceData_Swine.SourceData_Swine_FeedIntake_Data(), Table_SourceData_Swine_FeedIntake[[#Headers],[Class]], 0)</f>
        <v>Sows</v>
      </c>
      <c r="E80" s="34"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4" t="str" cm="1">
        <f t="array" ref="D81">Common_InputFunctions.Utility_DisplayArrayInTable(SourceData_Swine.SourceData_Swine_FeedIntake_Data(), Table_SourceData_Swine_FeedIntake[[#Headers],[Class]], 0)</f>
        <v>Gilts</v>
      </c>
      <c r="E81" s="34" cm="1">
        <f t="array" ref="E81">Common_InputFunctions.Utility_DisplayArrayInTable(SourceData_Swine.SourceData_Swine_FeedIntake_Data(), Table_SourceData_Swine_FeedIntake[[#Headers],[Class]], 0)</f>
        <v>2.5</v>
      </c>
      <c r="M81" s="1"/>
      <c r="V81" s="1"/>
    </row>
    <row r="82" spans="4:23" ht="20.100000000000001" customHeight="1" x14ac:dyDescent="0.25">
      <c r="D82" s="34" t="str" cm="1">
        <f t="array" ref="D82">Common_InputFunctions.Utility_DisplayArrayInTable(SourceData_Swine.SourceData_Swine_FeedIntake_Data(), Table_SourceData_Swine_FeedIntake[[#Headers],[Class]], 0)</f>
        <v>Others</v>
      </c>
      <c r="E82" s="34"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50"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4" t="s">
        <v>111</v>
      </c>
      <c r="E89" s="34" t="s">
        <v>130</v>
      </c>
      <c r="F89" s="34" t="s">
        <v>131</v>
      </c>
      <c r="G89" s="34" t="s">
        <v>138</v>
      </c>
      <c r="M89" s="1"/>
      <c r="V89" s="1"/>
      <c r="W89" s="1"/>
    </row>
    <row r="90" spans="4:23" ht="20.100000000000001" customHeight="1" x14ac:dyDescent="0.25">
      <c r="D90" s="34" t="str" cm="1">
        <f t="array" ref="D90">Common_InputFunctions.Utility_DisplayArrayInTable(SourceData_Swine.SourceData_Swine_NitrogenInWaste_Data(), Table_SourceData_Swine_NitrogenInWaste[[#Headers],[Class]], 0)</f>
        <v>Boars</v>
      </c>
      <c r="E90" s="34" cm="1">
        <f t="array" ref="E90">Common_InputFunctions.Utility_DisplayArrayInTable(SourceData_Swine.SourceData_Swine_NitrogenInWaste_Data(), Table_SourceData_Swine_NitrogenInWaste[[#Headers],[Class]], 0)</f>
        <v>4.5999999999999999E-2</v>
      </c>
      <c r="F90" s="34" cm="1">
        <f t="array" ref="F90">Common_InputFunctions.Utility_DisplayArrayInTable(SourceData_Swine.SourceData_Swine_NitrogenInWaste_Data(), Table_SourceData_Swine_NitrogenInWaste[[#Headers],[Class]], 0)</f>
        <v>4.5999999999999999E-2</v>
      </c>
      <c r="G90" s="34"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4" t="str" cm="1">
        <f t="array" ref="D91">Common_InputFunctions.Utility_DisplayArrayInTable(SourceData_Swine.SourceData_Swine_NitrogenInWaste_Data(), Table_SourceData_Swine_NitrogenInWaste[[#Headers],[Class]], 0)</f>
        <v>Sows</v>
      </c>
      <c r="E91" s="34" cm="1">
        <f t="array" ref="E91">Common_InputFunctions.Utility_DisplayArrayInTable(SourceData_Swine.SourceData_Swine_NitrogenInWaste_Data(), Table_SourceData_Swine_NitrogenInWaste[[#Headers],[Class]], 0)</f>
        <v>4.9000000000000002E-2</v>
      </c>
      <c r="F91" s="34" cm="1">
        <f t="array" ref="F91">Common_InputFunctions.Utility_DisplayArrayInTable(SourceData_Swine.SourceData_Swine_NitrogenInWaste_Data(), Table_SourceData_Swine_NitrogenInWaste[[#Headers],[Class]], 0)</f>
        <v>4.9000000000000002E-2</v>
      </c>
      <c r="G91" s="34"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4" t="str" cm="1">
        <f t="array" ref="D92">Common_InputFunctions.Utility_DisplayArrayInTable(SourceData_Swine.SourceData_Swine_NitrogenInWaste_Data(), Table_SourceData_Swine_NitrogenInWaste[[#Headers],[Class]], 0)</f>
        <v>Gilts</v>
      </c>
      <c r="E92" s="34" cm="1">
        <f t="array" ref="E92">Common_InputFunctions.Utility_DisplayArrayInTable(SourceData_Swine.SourceData_Swine_NitrogenInWaste_Data(), Table_SourceData_Swine_NitrogenInWaste[[#Headers],[Class]], 0)</f>
        <v>4.5999999999999999E-2</v>
      </c>
      <c r="F92" s="34" cm="1">
        <f t="array" ref="F92">Common_InputFunctions.Utility_DisplayArrayInTable(SourceData_Swine.SourceData_Swine_NitrogenInWaste_Data(), Table_SourceData_Swine_NitrogenInWaste[[#Headers],[Class]], 0)</f>
        <v>4.5999999999999999E-2</v>
      </c>
      <c r="G92" s="34"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4" t="str" cm="1">
        <f t="array" ref="D93">Common_InputFunctions.Utility_DisplayArrayInTable(SourceData_Swine.SourceData_Swine_NitrogenInWaste_Data(), Table_SourceData_Swine_NitrogenInWaste[[#Headers],[Class]], 0)</f>
        <v>Others (kg/head/year)</v>
      </c>
      <c r="E93" s="34" cm="1">
        <f t="array" ref="E93">Common_InputFunctions.Utility_DisplayArrayInTable(SourceData_Swine.SourceData_Swine_NitrogenInWaste_Data(), Table_SourceData_Swine_NitrogenInWaste[[#Headers],[Class]], 0)</f>
        <v>11.4</v>
      </c>
      <c r="F93" s="34" cm="1">
        <f t="array" ref="F93">Common_InputFunctions.Utility_DisplayArrayInTable(SourceData_Swine.SourceData_Swine_NitrogenInWaste_Data(), Table_SourceData_Swine_NitrogenInWaste[[#Headers],[Class]], 0)</f>
        <v>3.1199999999999999E-2</v>
      </c>
      <c r="G93" s="34"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50" t="str" cm="1">
        <f t="array" ref="D98">SourceData_Swine.SourceData_Swine_FractionNVolatilised_Variation()</f>
        <v>VARIATION ON SOURCE DATA: Added 'NIR reference column to aid lookup.</v>
      </c>
      <c r="M98" s="1"/>
    </row>
    <row r="99" spans="4:13" ht="20.100000000000001" customHeight="1" x14ac:dyDescent="0.25">
      <c r="D99" s="34" t="s">
        <v>133</v>
      </c>
      <c r="E99" s="34" t="s">
        <v>134</v>
      </c>
      <c r="F99" s="34" t="s">
        <v>135</v>
      </c>
      <c r="M99" s="1"/>
    </row>
    <row r="100" spans="4:13" ht="20.100000000000001" customHeight="1" x14ac:dyDescent="0.25">
      <c r="D100" s="34" t="str" cm="1">
        <f t="array" ref="D100">Common_InputFunctions.Utility_DisplayArrayInTable(SourceData_Swine.SourceData_Swine_FractionNVolatilised_Data(), Table_SourceData_Swine_FracGASM[[#Headers],[MMSm]],0)</f>
        <v>Outdoor (Dry lot)</v>
      </c>
      <c r="E100" s="34" cm="1">
        <f t="array" ref="E100">Common_InputFunctions.Utility_DisplayArrayInTable(SourceData_Swine.SourceData_Swine_FractionNVolatilised_Data(), Table_SourceData_Swine_FracGASM[[#Headers],[MMSm]],0)</f>
        <v>0.3</v>
      </c>
      <c r="F100" s="34"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4" t="str" cm="1">
        <f t="array" ref="D101">Common_InputFunctions.Utility_DisplayArrayInTable(SourceData_Swine.SourceData_Swine_FractionNVolatilised_Data(), Table_SourceData_Swine_FracGASM[[#Headers],[MMSm]],0)</f>
        <v>Deep litter</v>
      </c>
      <c r="E101" s="34" cm="1">
        <f t="array" ref="E101">Common_InputFunctions.Utility_DisplayArrayInTable(SourceData_Swine.SourceData_Swine_FractionNVolatilised_Data(), Table_SourceData_Swine_FracGASM[[#Headers],[MMSm]],0)</f>
        <v>0.125</v>
      </c>
      <c r="F101" s="34"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4" t="str" cm="1">
        <f t="array" ref="D102">Common_InputFunctions.Utility_DisplayArrayInTable(SourceData_Swine.SourceData_Swine_FractionNVolatilised_Data(), Table_SourceData_Swine_FracGASM[[#Headers],[MMSm]],0)</f>
        <v>Stockpile (Solid storage)</v>
      </c>
      <c r="E102" s="34" cm="1">
        <f t="array" ref="E102">Common_InputFunctions.Utility_DisplayArrayInTable(SourceData_Swine.SourceData_Swine_FractionNVolatilised_Data(), Table_SourceData_Swine_FracGASM[[#Headers],[MMSm]],0)</f>
        <v>0.2</v>
      </c>
      <c r="F102" s="34"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4" t="str" cm="1">
        <f t="array" ref="D103">Common_InputFunctions.Utility_DisplayArrayInTable(SourceData_Swine.SourceData_Swine_FractionNVolatilised_Data(), Table_SourceData_Swine_FracGASM[[#Headers],[MMSm]],0)</f>
        <v>Effluent pond (Uncovered anaerobic lagoon)</v>
      </c>
      <c r="E103" s="34" cm="1">
        <f t="array" ref="E103">Common_InputFunctions.Utility_DisplayArrayInTable(SourceData_Swine.SourceData_Swine_FractionNVolatilised_Data(), Table_SourceData_Swine_FracGASM[[#Headers],[MMSm]],0)</f>
        <v>0.55000000000000004</v>
      </c>
      <c r="F103" s="34"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4" t="str" cm="1">
        <f t="array" ref="D104">Common_InputFunctions.Utility_DisplayArrayInTable(SourceData_Swine.SourceData_Swine_FractionNVolatilised_Data(), Table_SourceData_Swine_FracGASM[[#Headers],[MMSm]],0)</f>
        <v>Anaerobic digester / Covered lagoon</v>
      </c>
      <c r="E104" s="34" cm="1">
        <f t="array" ref="E104">Common_InputFunctions.Utility_DisplayArrayInTable(SourceData_Swine.SourceData_Swine_FractionNVolatilised_Data(), Table_SourceData_Swine_FracGASM[[#Headers],[MMSm]],0)</f>
        <v>0</v>
      </c>
      <c r="F104" s="34"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4" t="str" cm="1">
        <f t="array" ref="D105">Common_InputFunctions.Utility_DisplayArrayInTable(SourceData_Swine.SourceData_Swine_FractionNVolatilised_Data(), Table_SourceData_Swine_FracGASM[[#Headers],[MMSm]],0)</f>
        <v>Short HRT tank storage &lt; 1 month (pit storage)</v>
      </c>
      <c r="E105" s="34" cm="1">
        <f t="array" ref="E105">Common_InputFunctions.Utility_DisplayArrayInTable(SourceData_Swine.SourceData_Swine_FractionNVolatilised_Data(), Table_SourceData_Swine_FracGASM[[#Headers],[MMSm]],0)</f>
        <v>0.25</v>
      </c>
      <c r="F105" s="34"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50" t="str" cm="1">
        <f t="array" ref="D110">SourceData_Swine.SourceData_Swine_NitrousOxideEFs_Variation()</f>
        <v>VARIATION ON SOURCE DATA: Added 'NIR reference column to aid lookup.</v>
      </c>
      <c r="M110" s="1"/>
    </row>
    <row r="111" spans="4:13" ht="20.100000000000001" customHeight="1" x14ac:dyDescent="0.25">
      <c r="D111" s="34" t="s">
        <v>133</v>
      </c>
      <c r="E111" s="34" t="s">
        <v>136</v>
      </c>
      <c r="F111" s="34" t="s">
        <v>135</v>
      </c>
      <c r="M111" s="1"/>
    </row>
    <row r="112" spans="4:13" ht="20.100000000000001" customHeight="1" x14ac:dyDescent="0.25">
      <c r="D112" s="34" t="str" cm="1">
        <f t="array" ref="D112">Common_InputFunctions.Utility_DisplayArrayInTable(SourceData_Swine.SourceData_Swine_NitrousOxideEFs_Data(), Table_SourceData_Swine_FracGASM28[[#Headers],[MMSm]],0)</f>
        <v>Outdoor (Dry lot)</v>
      </c>
      <c r="E112" s="34" cm="1">
        <f t="array" ref="E112">Common_InputFunctions.Utility_DisplayArrayInTable(SourceData_Swine.SourceData_Swine_NitrousOxideEFs_Data(), Table_SourceData_Swine_FracGASM28[[#Headers],[MMSm]],0)</f>
        <v>0.02</v>
      </c>
      <c r="F112" s="34" t="str" cm="1">
        <f t="array" ref="F112">Common_InputFunctions.Utility_DisplayArrayInTable(SourceData_Swine.SourceData_Swine_NitrousOxideEFs_Data(), Table_SourceData_Swine_FracGASM28[[#Headers],[MMSm]],0)</f>
        <v>Drylot (feed pad)</v>
      </c>
      <c r="M112" s="1"/>
    </row>
    <row r="113" spans="1:22" ht="20.100000000000001" customHeight="1" x14ac:dyDescent="0.25">
      <c r="D113" s="34" t="str" cm="1">
        <f t="array" ref="D113">Common_InputFunctions.Utility_DisplayArrayInTable(SourceData_Swine.SourceData_Swine_NitrousOxideEFs_Data(), Table_SourceData_Swine_FracGASM28[[#Headers],[MMSm]],0)</f>
        <v>Deep litter</v>
      </c>
      <c r="E113" s="34" cm="1">
        <f t="array" ref="E113">Common_InputFunctions.Utility_DisplayArrayInTable(SourceData_Swine.SourceData_Swine_NitrousOxideEFs_Data(), Table_SourceData_Swine_FracGASM28[[#Headers],[MMSm]],0)</f>
        <v>0.01</v>
      </c>
      <c r="F113" s="34" t="str" cm="1">
        <f t="array" ref="F113">Common_InputFunctions.Utility_DisplayArrayInTable(SourceData_Swine.SourceData_Swine_NitrousOxideEFs_Data(), Table_SourceData_Swine_FracGASM28[[#Headers],[MMSm]],0)</f>
        <v>Deep litter</v>
      </c>
      <c r="M113" s="1"/>
    </row>
    <row r="114" spans="1:22" ht="20.100000000000001" customHeight="1" x14ac:dyDescent="0.25">
      <c r="D114" s="34" t="str" cm="1">
        <f t="array" ref="D114">Common_InputFunctions.Utility_DisplayArrayInTable(SourceData_Swine.SourceData_Swine_NitrousOxideEFs_Data(), Table_SourceData_Swine_FracGASM28[[#Headers],[MMSm]],0)</f>
        <v>Stockpile (Solid storage)</v>
      </c>
      <c r="E114" s="34" cm="1">
        <f t="array" ref="E114">Common_InputFunctions.Utility_DisplayArrayInTable(SourceData_Swine.SourceData_Swine_NitrousOxideEFs_Data(), Table_SourceData_Swine_FracGASM28[[#Headers],[MMSm]],0)</f>
        <v>5.0000000000000001E-3</v>
      </c>
      <c r="F114" s="34" t="str" cm="1">
        <f t="array" ref="F114">Common_InputFunctions.Utility_DisplayArrayInTable(SourceData_Swine.SourceData_Swine_NitrousOxideEFs_Data(), Table_SourceData_Swine_FracGASM28[[#Headers],[MMSm]],0)</f>
        <v>Solid storage</v>
      </c>
      <c r="M114" s="1"/>
    </row>
    <row r="115" spans="1:22" ht="20.100000000000001" customHeight="1" x14ac:dyDescent="0.25">
      <c r="D115" s="34" t="str" cm="1">
        <f t="array" ref="D115">Common_InputFunctions.Utility_DisplayArrayInTable(SourceData_Swine.SourceData_Swine_NitrousOxideEFs_Data(), Table_SourceData_Swine_FracGASM28[[#Headers],[MMSm]],0)</f>
        <v>Effluent pond (Uncovered anaerobic lagoon)</v>
      </c>
      <c r="E115" s="34" cm="1">
        <f t="array" ref="E115">Common_InputFunctions.Utility_DisplayArrayInTable(SourceData_Swine.SourceData_Swine_NitrousOxideEFs_Data(), Table_SourceData_Swine_FracGASM28[[#Headers],[MMSm]],0)</f>
        <v>0</v>
      </c>
      <c r="F115" s="34" t="str" cm="1">
        <f t="array" ref="F115">Common_InputFunctions.Utility_DisplayArrayInTable(SourceData_Swine.SourceData_Swine_NitrousOxideEFs_Data(), Table_SourceData_Swine_FracGASM28[[#Headers],[MMSm]],0)</f>
        <v>Anaerobic lagoon</v>
      </c>
      <c r="M115" s="1"/>
      <c r="V115" s="1"/>
    </row>
    <row r="116" spans="1:22" ht="20.100000000000001" customHeight="1" x14ac:dyDescent="0.25">
      <c r="D116" s="34" t="str" cm="1">
        <f t="array" ref="D116">Common_InputFunctions.Utility_DisplayArrayInTable(SourceData_Swine.SourceData_Swine_NitrousOxideEFs_Data(), Table_SourceData_Swine_FracGASM28[[#Headers],[MMSm]],0)</f>
        <v>Anaerobic digestor / Covered lagoon</v>
      </c>
      <c r="E116" s="34" cm="1">
        <f t="array" ref="E116">Common_InputFunctions.Utility_DisplayArrayInTable(SourceData_Swine.SourceData_Swine_NitrousOxideEFs_Data(), Table_SourceData_Swine_FracGASM28[[#Headers],[MMSm]],0)</f>
        <v>0</v>
      </c>
      <c r="F116" s="34" t="str" cm="1">
        <f t="array" ref="F116">Common_InputFunctions.Utility_DisplayArrayInTable(SourceData_Swine.SourceData_Swine_NitrousOxideEFs_Data(), Table_SourceData_Swine_FracGASM28[[#Headers],[MMSm]],0)</f>
        <v>Digester / covered lagoons</v>
      </c>
      <c r="M116" s="1"/>
      <c r="V116" s="1"/>
    </row>
    <row r="117" spans="1:22" ht="20.100000000000001" customHeight="1" x14ac:dyDescent="0.25">
      <c r="A117" s="118" t="str">
        <f>HYPERLINK("#A1", "▲ Back to top")</f>
        <v>▲ Back to top</v>
      </c>
      <c r="D117" s="34" t="str" cm="1">
        <f t="array" ref="D117">Common_InputFunctions.Utility_DisplayArrayInTable(SourceData_Swine.SourceData_Swine_NitrousOxideEFs_Data(), Table_SourceData_Swine_FracGASM28[[#Headers],[MMSm]],0)</f>
        <v>Short HRT tank storage &lt; 1 month (pit storage)</v>
      </c>
      <c r="E117" s="34" cm="1">
        <f t="array" ref="E117">Common_InputFunctions.Utility_DisplayArrayInTable(SourceData_Swine.SourceData_Swine_NitrousOxideEFs_Data(), Table_SourceData_Swine_FracGASM28[[#Headers],[MMSm]],0)</f>
        <v>2E-3</v>
      </c>
      <c r="F117" s="34" t="str" cm="1">
        <f t="array" ref="F117">Common_InputFunctions.Utility_DisplayArrayInTable(SourceData_Swine.SourceData_Swine_NitrousOxideEFs_Data(), Table_SourceData_Swine_FracGASM28[[#Headers],[MMSm]],0)</f>
        <v>Pit storage</v>
      </c>
      <c r="M117" s="1"/>
      <c r="V117" s="1"/>
    </row>
    <row r="118" spans="1:22" ht="20.100000000000001" customHeight="1" x14ac:dyDescent="0.25">
      <c r="M118" s="1"/>
    </row>
    <row r="119" spans="1:22" ht="20.100000000000001" customHeight="1" x14ac:dyDescent="0.25">
      <c r="M119" s="1"/>
    </row>
    <row r="120" spans="1:22" ht="20.100000000000001" customHeight="1" x14ac:dyDescent="0.25">
      <c r="D120" s="6" t="str" cm="1">
        <f t="array" ref="D120">SourceData_Swine.SourceData_Swine_MegajoulesPerKilogramMethane_Title()</f>
        <v>Megajoules per kilogram of methane</v>
      </c>
      <c r="M120" s="1"/>
    </row>
    <row r="121" spans="1:22" ht="20.100000000000001" customHeight="1" x14ac:dyDescent="0.25">
      <c r="D121" s="5" t="str" cm="1">
        <f t="array" ref="D121">SourceData_Swine.SourceData_Swine_MegajoulesPerKilogramMethane_Source()</f>
        <v>VEERG 2026: 3.5.2.3 CONSTANT</v>
      </c>
      <c r="M121" s="1"/>
    </row>
    <row r="122" spans="1:22" ht="20.100000000000001" customHeight="1" x14ac:dyDescent="0.25">
      <c r="D122" s="48" t="str" cm="1">
        <f t="array" ref="D122">SourceData_Swine.SourceData_Swine_MegajoulesPerKilogramMethane_Variable()</f>
        <v>F</v>
      </c>
      <c r="E122" s="1" cm="1">
        <f t="array" ref="E122">SourceData_Swine.SourceData_Swine_MegajoulesPerKilogramMethane_Data()</f>
        <v>55.22</v>
      </c>
      <c r="F122" s="49" t="str" cm="1">
        <f t="array" ref="F122">SourceData_Swine.SourceData_Swine_MegajoulesPerKilogramMethane_Unit()</f>
        <v>MJ / kg CH4</v>
      </c>
      <c r="M122" s="1"/>
    </row>
    <row r="123" spans="1:22" ht="20.100000000000001" customHeight="1" x14ac:dyDescent="0.25">
      <c r="M123" s="1"/>
    </row>
    <row r="124" spans="1:22" ht="20.100000000000001" customHeight="1" x14ac:dyDescent="0.25">
      <c r="M124" s="1"/>
    </row>
    <row r="125" spans="1:22" ht="20.100000000000001" customHeight="1" x14ac:dyDescent="0.25">
      <c r="D125" s="6" t="str" cm="1">
        <f t="array" ref="D125">SourceData_Swine.SourceData_Swine_AverageLiveweight_Title()</f>
        <v>Swine - Average liveweight (inventory defaults) (kg) (Wco)</v>
      </c>
      <c r="M125" s="1"/>
      <c r="V125" s="1"/>
    </row>
    <row r="126" spans="1:22" ht="20.100000000000001" customHeight="1" x14ac:dyDescent="0.25">
      <c r="D126" s="5" t="str" cm="1">
        <f t="array" ref="D126">SourceData_Swine.SourceData_Swine_AverageLiveweight_Source()</f>
        <v>VEERG 2026: Table A.1.6.5: Swine - Average liveweight (inventory defaults) (kg) (Wco)</v>
      </c>
      <c r="M126" s="1"/>
      <c r="V126" s="1"/>
    </row>
    <row r="127" spans="1:22" ht="20.100000000000001" customHeight="1" x14ac:dyDescent="0.25">
      <c r="D127" s="34" t="s">
        <v>170</v>
      </c>
      <c r="E127" s="34" t="s">
        <v>171</v>
      </c>
      <c r="M127" s="1"/>
      <c r="V127" s="1"/>
    </row>
    <row r="128" spans="1:22" ht="20.100000000000001" customHeight="1" x14ac:dyDescent="0.25">
      <c r="D128" s="34" t="str" cm="1">
        <f t="array" ref="D128">Common_InputFunctions.Utility_DisplayArrayInTable(SourceData_Swine.SourceData_Swine_AverageLiveweight_Data(),Table_SourceData_Swine_Liveweight[[#Headers],[Livestock type j]],0)</f>
        <v>Sows</v>
      </c>
      <c r="E128" s="34" cm="1">
        <f t="array" ref="E128">Common_InputFunctions.Utility_DisplayArrayInTable(SourceData_Swine.SourceData_Swine_AverageLiveweight_Data(),Table_SourceData_Swine_Liveweight[[#Headers],[Livestock type j]],0)</f>
        <v>188</v>
      </c>
      <c r="M128" s="1"/>
      <c r="V128" s="1"/>
    </row>
    <row r="129" spans="4:22" ht="20.100000000000001" customHeight="1" x14ac:dyDescent="0.25">
      <c r="D129" s="1" t="str" cm="1">
        <f t="array" ref="D129">Common_InputFunctions.Utility_DisplayArrayInTable(SourceData_Swine.SourceData_Swine_AverageLiveweight_Data(),Table_SourceData_Swine_Liveweight[[#Headers],[Livestock type j]],0)</f>
        <v>Boars</v>
      </c>
      <c r="E129" s="34" cm="1">
        <f t="array" ref="E129">Common_InputFunctions.Utility_DisplayArrayInTable(SourceData_Swine.SourceData_Swine_AverageLiveweight_Data(),Table_SourceData_Swine_Liveweight[[#Headers],[Livestock type j]],0)</f>
        <v>206</v>
      </c>
      <c r="M129" s="1"/>
      <c r="V129" s="1"/>
    </row>
    <row r="130" spans="4:22" ht="20.100000000000001" customHeight="1" x14ac:dyDescent="0.25">
      <c r="D130" s="1" t="str" cm="1">
        <f t="array" ref="D130">Common_InputFunctions.Utility_DisplayArrayInTable(SourceData_Swine.SourceData_Swine_AverageLiveweight_Data(),Table_SourceData_Swine_Liveweight[[#Headers],[Livestock type j]],0)</f>
        <v>Gilts</v>
      </c>
      <c r="E130" s="34" cm="1">
        <f t="array" ref="E130">Common_InputFunctions.Utility_DisplayArrayInTable(SourceData_Swine.SourceData_Swine_AverageLiveweight_Data(),Table_SourceData_Swine_Liveweight[[#Headers],[Livestock type j]],0)</f>
        <v>125</v>
      </c>
      <c r="M130" s="1"/>
      <c r="V130" s="1"/>
    </row>
    <row r="131" spans="4:22" ht="20.100000000000001" customHeight="1" x14ac:dyDescent="0.25">
      <c r="D131" s="1" t="str" cm="1">
        <f t="array" ref="D131">Common_InputFunctions.Utility_DisplayArrayInTable(SourceData_Swine.SourceData_Swine_AverageLiveweight_Data(),Table_SourceData_Swine_Liveweight[[#Headers],[Livestock type j]],0)</f>
        <v>Slaughter pigs</v>
      </c>
      <c r="E131" s="34" cm="1">
        <f t="array" ref="E131">Common_InputFunctions.Utility_DisplayArrayInTable(SourceData_Swine.SourceData_Swine_AverageLiveweight_Data(),Table_SourceData_Swine_Liveweight[[#Headers],[Livestock type j]],0)</f>
        <v>39</v>
      </c>
      <c r="M131" s="1"/>
    </row>
    <row r="132" spans="4:22" ht="20.100000000000001" customHeight="1" x14ac:dyDescent="0.25">
      <c r="D132" s="1" t="str" cm="1">
        <f t="array" ref="D132">Common_InputFunctions.Utility_DisplayArrayInTable(SourceData_Swine.SourceData_Swine_AverageLiveweight_Data(),Table_SourceData_Swine_Liveweight[[#Headers],[Livestock type j]],0)</f>
        <v>Slaughter pigs at turnoff</v>
      </c>
      <c r="E132" s="34" cm="1">
        <f t="array" ref="E132">Common_InputFunctions.Utility_DisplayArrayInTable(SourceData_Swine.SourceData_Swine_AverageLiveweight_Data(),Table_SourceData_Swine_Liveweight[[#Headers],[Livestock type j]],0)</f>
        <v>97</v>
      </c>
      <c r="M132" s="1"/>
    </row>
    <row r="133" spans="4:22" ht="20.100000000000001" customHeight="1" x14ac:dyDescent="0.25">
      <c r="M133" s="1"/>
    </row>
    <row r="134" spans="4:22" ht="20.100000000000001" customHeight="1" x14ac:dyDescent="0.25">
      <c r="M134" s="1"/>
    </row>
    <row r="135" spans="4:22" ht="20.100000000000001" customHeight="1" x14ac:dyDescent="0.25">
      <c r="M135" s="1"/>
    </row>
    <row r="136" spans="4:22" ht="20.100000000000001" customHeight="1" x14ac:dyDescent="0.25">
      <c r="M136" s="1"/>
    </row>
    <row r="137" spans="4:22" ht="20.100000000000001" customHeight="1" x14ac:dyDescent="0.25">
      <c r="M137" s="1"/>
    </row>
    <row r="138" spans="4:22" ht="20.100000000000001" customHeight="1" x14ac:dyDescent="0.25">
      <c r="M138" s="1"/>
    </row>
    <row r="139" spans="4:22" ht="20.100000000000001" customHeight="1" x14ac:dyDescent="0.25">
      <c r="M139" s="1"/>
    </row>
    <row r="140" spans="4:22" ht="20.100000000000001" customHeight="1" x14ac:dyDescent="0.25">
      <c r="M140" s="1"/>
    </row>
    <row r="141" spans="4:22" ht="20.100000000000001" customHeight="1" x14ac:dyDescent="0.25">
      <c r="M141" s="1"/>
    </row>
    <row r="142" spans="4:22" ht="20.100000000000001" customHeight="1" x14ac:dyDescent="0.25">
      <c r="M142" s="1"/>
    </row>
    <row r="143" spans="4:22" ht="20.100000000000001" customHeight="1" x14ac:dyDescent="0.25">
      <c r="M143" s="1"/>
    </row>
    <row r="144" spans="4: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C81B2-B774-4D14-903C-7E20E202643E}">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4" t="s">
        <v>11</v>
      </c>
      <c r="E6" s="34" t="s">
        <v>12</v>
      </c>
      <c r="F6" s="34" t="s">
        <v>13</v>
      </c>
    </row>
    <row r="7" spans="1:65" ht="20.100000000000001" customHeight="1" x14ac:dyDescent="0.25">
      <c r="A7"/>
      <c r="D7" s="34" t="str" cm="1">
        <f t="array" ref="D7">Common_InputFunctions.Utility_DisplayArrayInTable(Common_SourceData.Common_SourceData_AustralianStatesTerritories_Data(),Table_AustralianStates[[#Headers],[State/Territory]],0)</f>
        <v>New South Wales</v>
      </c>
      <c r="E7" s="34" t="str" cm="1">
        <f t="array" ref="E7">Common_InputFunctions.Utility_DisplayArrayInTable(Common_SourceData.Common_SourceData_AustralianStatesTerritories_Data(),Table_AustralianStates[[#Headers],[State/Territory]],0)</f>
        <v>New South Wales</v>
      </c>
      <c r="F7" s="34" t="str" cm="1">
        <f t="array" ref="F7">Common_InputFunctions.Utility_DisplayArrayInTable(Common_SourceData.Common_SourceData_AustralianStatesTerritories_Data(),Table_AustralianStates[[#Headers],[State/Territory]],0)</f>
        <v>NSW</v>
      </c>
    </row>
    <row r="8" spans="1:65" ht="20.100000000000001" customHeight="1" x14ac:dyDescent="0.25">
      <c r="A8"/>
      <c r="D8" s="34" t="str" cm="1">
        <f t="array" ref="D8">Common_InputFunctions.Utility_DisplayArrayInTable(Common_SourceData.Common_SourceData_AustralianStatesTerritories_Data(),Table_AustralianStates[[#Headers],[State/Territory]],0)</f>
        <v>Australian Capital Territory</v>
      </c>
      <c r="E8" s="34" t="str" cm="1">
        <f t="array" ref="E8">Common_InputFunctions.Utility_DisplayArrayInTable(Common_SourceData.Common_SourceData_AustralianStatesTerritories_Data(),Table_AustralianStates[[#Headers],[State/Territory]],0)</f>
        <v>ACT</v>
      </c>
      <c r="F8" s="34" t="str" cm="1">
        <f t="array" ref="F8">Common_InputFunctions.Utility_DisplayArrayInTable(Common_SourceData.Common_SourceData_AustralianStatesTerritories_Data(),Table_AustralianStates[[#Headers],[State/Territory]],0)</f>
        <v>ACT</v>
      </c>
    </row>
    <row r="9" spans="1:65" ht="20.100000000000001" customHeight="1" x14ac:dyDescent="0.25">
      <c r="A9"/>
      <c r="D9" s="34" t="str" cm="1">
        <f t="array" ref="D9">Common_InputFunctions.Utility_DisplayArrayInTable(Common_SourceData.Common_SourceData_AustralianStatesTerritories_Data(),Table_AustralianStates[[#Headers],[State/Territory]],0)</f>
        <v>Victoria</v>
      </c>
      <c r="E9" s="34" t="str" cm="1">
        <f t="array" ref="E9">Common_InputFunctions.Utility_DisplayArrayInTable(Common_SourceData.Common_SourceData_AustralianStatesTerritories_Data(),Table_AustralianStates[[#Headers],[State/Territory]],0)</f>
        <v>Victoria</v>
      </c>
      <c r="F9" s="34"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4" t="str" cm="1">
        <f t="array" ref="D10">Common_InputFunctions.Utility_DisplayArrayInTable(Common_SourceData.Common_SourceData_AustralianStatesTerritories_Data(),Table_AustralianStates[[#Headers],[State/Territory]],0)</f>
        <v>Queensland</v>
      </c>
      <c r="E10" s="34" t="str" cm="1">
        <f t="array" ref="E10">Common_InputFunctions.Utility_DisplayArrayInTable(Common_SourceData.Common_SourceData_AustralianStatesTerritories_Data(),Table_AustralianStates[[#Headers],[State/Territory]],0)</f>
        <v>Queensland</v>
      </c>
      <c r="F10" s="3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4" t="str" cm="1">
        <f t="array" ref="D11">Common_InputFunctions.Utility_DisplayArrayInTable(Common_SourceData.Common_SourceData_AustralianStatesTerritories_Data(),Table_AustralianStates[[#Headers],[State/Territory]],0)</f>
        <v>South Australia</v>
      </c>
      <c r="E11" s="34" t="str" cm="1">
        <f t="array" ref="E11">Common_InputFunctions.Utility_DisplayArrayInTable(Common_SourceData.Common_SourceData_AustralianStatesTerritories_Data(),Table_AustralianStates[[#Headers],[State/Territory]],0)</f>
        <v>South Australia</v>
      </c>
      <c r="F11" s="34"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4" t="str" cm="1">
        <f t="array" ref="D12">Common_InputFunctions.Utility_DisplayArrayInTable(Common_SourceData.Common_SourceData_AustralianStatesTerritories_Data(),Table_AustralianStates[[#Headers],[State/Territory]],0)</f>
        <v>Western Australia</v>
      </c>
      <c r="E12" s="34" t="str" cm="1">
        <f t="array" ref="E12">Common_InputFunctions.Utility_DisplayArrayInTable(Common_SourceData.Common_SourceData_AustralianStatesTerritories_Data(),Table_AustralianStates[[#Headers],[State/Territory]],0)</f>
        <v>Western Australia</v>
      </c>
      <c r="F12" s="34"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4" t="str" cm="1">
        <f t="array" ref="D13">Common_InputFunctions.Utility_DisplayArrayInTable(Common_SourceData.Common_SourceData_AustralianStatesTerritories_Data(),Table_AustralianStates[[#Headers],[State/Territory]],0)</f>
        <v>Tasmania</v>
      </c>
      <c r="E13" s="34" t="str" cm="1">
        <f t="array" ref="E13">Common_InputFunctions.Utility_DisplayArrayInTable(Common_SourceData.Common_SourceData_AustralianStatesTerritories_Data(),Table_AustralianStates[[#Headers],[State/Territory]],0)</f>
        <v>Tasmania</v>
      </c>
      <c r="F13" s="34"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4" t="str" cm="1">
        <f t="array" ref="D14">Common_InputFunctions.Utility_DisplayArrayInTable(Common_SourceData.Common_SourceData_AustralianStatesTerritories_Data(),Table_AustralianStates[[#Headers],[State/Territory]],0)</f>
        <v>Northern Territory</v>
      </c>
      <c r="E14" s="34" t="str" cm="1">
        <f t="array" ref="E14">Common_InputFunctions.Utility_DisplayArrayInTable(Common_SourceData.Common_SourceData_AustralianStatesTerritories_Data(),Table_AustralianStates[[#Headers],[State/Territory]],0)</f>
        <v>Northern Territory</v>
      </c>
      <c r="F14" s="3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4" t="s">
        <v>14</v>
      </c>
    </row>
    <row r="21" spans="1:4" ht="20.100000000000001" customHeight="1" x14ac:dyDescent="0.25">
      <c r="A21"/>
      <c r="D21" s="34" t="str" cm="1">
        <f t="array" ref="D21">Common_InputFunctions.Utility_DisplayArrayInTable(Common_SourceData.Common_SourceData_WASA4Areas_Data(), Table_WASA4Areas[[#Headers],[SA 4 Name]], 0)</f>
        <v>Bunbury</v>
      </c>
    </row>
    <row r="22" spans="1:4" ht="20.100000000000001" customHeight="1" x14ac:dyDescent="0.25">
      <c r="A22"/>
      <c r="D22" s="34" t="str" cm="1">
        <f t="array" ref="D22">Common_InputFunctions.Utility_DisplayArrayInTable(Common_SourceData.Common_SourceData_WASA4Areas_Data(), Table_WASA4Areas[[#Headers],[SA 4 Name]], 0)</f>
        <v>Mandurah</v>
      </c>
    </row>
    <row r="23" spans="1:4" ht="20.100000000000001" customHeight="1" x14ac:dyDescent="0.25">
      <c r="A23"/>
      <c r="D23" s="34" t="str" cm="1">
        <f t="array" ref="D23">Common_InputFunctions.Utility_DisplayArrayInTable(Common_SourceData.Common_SourceData_WASA4Areas_Data(), Table_WASA4Areas[[#Headers],[SA 4 Name]], 0)</f>
        <v>Perth - Inner</v>
      </c>
    </row>
    <row r="24" spans="1:4" ht="20.100000000000001" customHeight="1" x14ac:dyDescent="0.25">
      <c r="A24"/>
      <c r="D24" s="34" t="str" cm="1">
        <f t="array" ref="D24">Common_InputFunctions.Utility_DisplayArrayInTable(Common_SourceData.Common_SourceData_WASA4Areas_Data(), Table_WASA4Areas[[#Headers],[SA 4 Name]], 0)</f>
        <v>Perth - North East</v>
      </c>
    </row>
    <row r="25" spans="1:4" ht="20.100000000000001" customHeight="1" x14ac:dyDescent="0.25">
      <c r="A25"/>
      <c r="D25" s="34" t="str" cm="1">
        <f t="array" ref="D25">Common_InputFunctions.Utility_DisplayArrayInTable(Common_SourceData.Common_SourceData_WASA4Areas_Data(), Table_WASA4Areas[[#Headers],[SA 4 Name]], 0)</f>
        <v>Perth - North West</v>
      </c>
    </row>
    <row r="26" spans="1:4" ht="20.100000000000001" customHeight="1" x14ac:dyDescent="0.25">
      <c r="A26"/>
      <c r="D26" s="34" t="str" cm="1">
        <f t="array" ref="D26">Common_InputFunctions.Utility_DisplayArrayInTable(Common_SourceData.Common_SourceData_WASA4Areas_Data(), Table_WASA4Areas[[#Headers],[SA 4 Name]], 0)</f>
        <v>Perth - South East</v>
      </c>
    </row>
    <row r="27" spans="1:4" ht="20.100000000000001" customHeight="1" x14ac:dyDescent="0.25">
      <c r="A27"/>
      <c r="D27" s="34" t="str" cm="1">
        <f t="array" ref="D27">Common_InputFunctions.Utility_DisplayArrayInTable(Common_SourceData.Common_SourceData_WASA4Areas_Data(), Table_WASA4Areas[[#Headers],[SA 4 Name]], 0)</f>
        <v>Perth - South West</v>
      </c>
    </row>
    <row r="28" spans="1:4" ht="20.100000000000001" customHeight="1" x14ac:dyDescent="0.25">
      <c r="A28"/>
      <c r="D28" s="3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4" t="s">
        <v>16</v>
      </c>
      <c r="E36" s="34" t="s">
        <v>17</v>
      </c>
    </row>
    <row r="37" spans="1:8" ht="20.100000000000001" customHeight="1" x14ac:dyDescent="0.25">
      <c r="A37"/>
      <c r="D37" s="34" t="str" cm="1">
        <f t="array" ref="D37">Common_InputFunctions.Utility_DisplayArrayInTable(Common_SourceData.Common_SourceData_GWP_Data(), Table_GWPData[[#Headers],[Gas]], 0)</f>
        <v>CO2</v>
      </c>
      <c r="E37" s="34" cm="1">
        <f t="array" ref="E37">Common_InputFunctions.Utility_DisplayArrayInTable(Common_SourceData.Common_SourceData_GWP_Data(), Table_GWPData[[#Headers],[Gas]], 0)</f>
        <v>1</v>
      </c>
    </row>
    <row r="38" spans="1:8" ht="20.100000000000001" customHeight="1" x14ac:dyDescent="0.25">
      <c r="A38"/>
      <c r="D38" s="34" t="str" cm="1">
        <f t="array" ref="D38">Common_InputFunctions.Utility_DisplayArrayInTable(Common_SourceData.Common_SourceData_GWP_Data(), Table_GWPData[[#Headers],[Gas]], 0)</f>
        <v>CH4</v>
      </c>
      <c r="E38" s="34" cm="1">
        <f t="array" ref="E38">Common_InputFunctions.Utility_DisplayArrayInTable(Common_SourceData.Common_SourceData_GWP_Data(), Table_GWPData[[#Headers],[Gas]], 0)</f>
        <v>28</v>
      </c>
    </row>
    <row r="39" spans="1:8" ht="20.100000000000001" customHeight="1" x14ac:dyDescent="0.25">
      <c r="A39"/>
      <c r="D39" s="34" t="str" cm="1">
        <f t="array" ref="D39">Common_InputFunctions.Utility_DisplayArrayInTable(Common_SourceData.Common_SourceData_GWP_Data(), Table_GWPData[[#Headers],[Gas]], 0)</f>
        <v>N2O</v>
      </c>
      <c r="E39" s="34" cm="1">
        <f t="array" ref="E39">Common_InputFunctions.Utility_DisplayArrayInTable(Common_SourceData.Common_SourceData_GWP_Data(), Table_GWPData[[#Headers],[Gas]], 0)</f>
        <v>265</v>
      </c>
    </row>
    <row r="40" spans="1:8" ht="20.100000000000001" customHeight="1" x14ac:dyDescent="0.25">
      <c r="A40"/>
      <c r="D40" s="34" t="str" cm="1">
        <f t="array" ref="D40">Common_InputFunctions.Utility_DisplayArrayInTable(Common_SourceData.Common_SourceData_GWP_Data(), Table_GWPData[[#Headers],[Gas]], 0)</f>
        <v>CF4</v>
      </c>
      <c r="E40" s="34" cm="1">
        <f t="array" ref="E40">Common_InputFunctions.Utility_DisplayArrayInTable(Common_SourceData.Common_SourceData_GWP_Data(), Table_GWPData[[#Headers],[Gas]], 0)</f>
        <v>6630</v>
      </c>
    </row>
    <row r="41" spans="1:8" ht="20.100000000000001" customHeight="1" x14ac:dyDescent="0.25">
      <c r="A41"/>
      <c r="D41" s="34" t="str" cm="1">
        <f t="array" ref="D41">Common_InputFunctions.Utility_DisplayArrayInTable(Common_SourceData.Common_SourceData_GWP_Data(), Table_GWPData[[#Headers],[Gas]], 0)</f>
        <v>C2F6</v>
      </c>
      <c r="E41" s="34" cm="1">
        <f t="array" ref="E41">Common_InputFunctions.Utility_DisplayArrayInTable(Common_SourceData.Common_SourceData_GWP_Data(), Table_GWPData[[#Headers],[Gas]], 0)</f>
        <v>12200</v>
      </c>
    </row>
    <row r="42" spans="1:8" ht="20.100000000000001" customHeight="1" x14ac:dyDescent="0.25">
      <c r="D42" s="34" t="str" cm="1">
        <f t="array" ref="D42">Common_InputFunctions.Utility_DisplayArrayInTable(Common_SourceData.Common_SourceData_GWP_Data(), Table_GWPData[[#Headers],[Gas]], 0)</f>
        <v>SF6</v>
      </c>
      <c r="E42" s="34" cm="1">
        <f t="array" ref="E42">Common_InputFunctions.Utility_DisplayArrayInTable(Common_SourceData.Common_SourceData_GWP_Data(), Table_GWPData[[#Headers],[Gas]], 0)</f>
        <v>22800</v>
      </c>
    </row>
    <row r="43" spans="1:8" ht="20.100000000000001" customHeight="1" x14ac:dyDescent="0.25">
      <c r="D43" s="34" t="str" cm="1">
        <f t="array" ref="D43">Common_InputFunctions.Utility_DisplayArrayInTable(Common_SourceData.Common_SourceData_GWP_Data(), Table_GWPData[[#Headers],[Gas]], 0)</f>
        <v>NF3</v>
      </c>
      <c r="E43" s="34"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4" t="s">
        <v>16</v>
      </c>
      <c r="E47" s="34" t="s">
        <v>19</v>
      </c>
      <c r="F47" s="34" t="s">
        <v>20</v>
      </c>
      <c r="G47" s="34" t="s">
        <v>21</v>
      </c>
      <c r="H47" s="34" t="s">
        <v>22</v>
      </c>
    </row>
    <row r="48" spans="1:8" ht="20.100000000000001" customHeight="1" x14ac:dyDescent="0.25">
      <c r="D48" s="34" t="str" cm="1">
        <f t="array" ref="D48">Common_InputFunctions.Utility_DisplayArrayInTable(Common_SourceData.Common_SourceData_ConvertGasElementalToMolecular_Data(),Table_GasToMolecularConversionFactor[[#Headers],[Gas]], 0)</f>
        <v>CO2</v>
      </c>
      <c r="E48" s="34" t="str" cm="1">
        <f t="array" ref="E48">Common_InputFunctions.Utility_DisplayArrayInTable(Common_SourceData.Common_SourceData_ConvertGasElementalToMolecular_Data(),Table_GasToMolecularConversionFactor[[#Headers],[Gas]], 0)</f>
        <v>44/12</v>
      </c>
      <c r="F48" s="34" cm="1">
        <f t="array" ref="F48">Common_InputFunctions.Utility_DisplayArrayInTable(Common_SourceData.Common_SourceData_ConvertGasElementalToMolecular_Data(),Table_GasToMolecularConversionFactor[[#Headers],[Gas]], 0)</f>
        <v>44</v>
      </c>
      <c r="G48" s="34" cm="1">
        <f t="array" ref="G48">Common_InputFunctions.Utility_DisplayArrayInTable(Common_SourceData.Common_SourceData_ConvertGasElementalToMolecular_Data(),Table_GasToMolecularConversionFactor[[#Headers],[Gas]], 0)</f>
        <v>12</v>
      </c>
      <c r="H48" s="34">
        <f>Table_GasToMolecularConversionFactor[[#This Row],[Conversion factor 1]]/Table_GasToMolecularConversionFactor[[#This Row],[Conversion factor 2]]</f>
        <v>3.6666666666666665</v>
      </c>
    </row>
    <row r="49" spans="4:8" ht="20.100000000000001" customHeight="1" x14ac:dyDescent="0.25">
      <c r="D49" s="34" t="str" cm="1">
        <f t="array" ref="D49">Common_InputFunctions.Utility_DisplayArrayInTable(Common_SourceData.Common_SourceData_ConvertGasElementalToMolecular_Data(),Table_GasToMolecularConversionFactor[[#Headers],[Gas]], 0)</f>
        <v>CH4</v>
      </c>
      <c r="E49" s="34" t="str" cm="1">
        <f t="array" ref="E49">Common_InputFunctions.Utility_DisplayArrayInTable(Common_SourceData.Common_SourceData_ConvertGasElementalToMolecular_Data(),Table_GasToMolecularConversionFactor[[#Headers],[Gas]], 0)</f>
        <v>16/12</v>
      </c>
      <c r="F49" s="34" cm="1">
        <f t="array" ref="F49">Common_InputFunctions.Utility_DisplayArrayInTable(Common_SourceData.Common_SourceData_ConvertGasElementalToMolecular_Data(),Table_GasToMolecularConversionFactor[[#Headers],[Gas]], 0)</f>
        <v>16</v>
      </c>
      <c r="G49" s="34" cm="1">
        <f t="array" ref="G49">Common_InputFunctions.Utility_DisplayArrayInTable(Common_SourceData.Common_SourceData_ConvertGasElementalToMolecular_Data(),Table_GasToMolecularConversionFactor[[#Headers],[Gas]], 0)</f>
        <v>12</v>
      </c>
      <c r="H49" s="34">
        <f>Table_GasToMolecularConversionFactor[[#This Row],[Conversion factor 1]]/Table_GasToMolecularConversionFactor[[#This Row],[Conversion factor 2]]</f>
        <v>1.3333333333333333</v>
      </c>
    </row>
    <row r="50" spans="4:8" ht="20.100000000000001" customHeight="1" x14ac:dyDescent="0.25">
      <c r="D50" s="34" t="str" cm="1">
        <f t="array" ref="D50">Common_InputFunctions.Utility_DisplayArrayInTable(Common_SourceData.Common_SourceData_ConvertGasElementalToMolecular_Data(),Table_GasToMolecularConversionFactor[[#Headers],[Gas]], 0)</f>
        <v>N2O</v>
      </c>
      <c r="E50" s="34" t="str" cm="1">
        <f t="array" ref="E50">Common_InputFunctions.Utility_DisplayArrayInTable(Common_SourceData.Common_SourceData_ConvertGasElementalToMolecular_Data(),Table_GasToMolecularConversionFactor[[#Headers],[Gas]], 0)</f>
        <v>44/28</v>
      </c>
      <c r="F50" s="34" cm="1">
        <f t="array" ref="F50">Common_InputFunctions.Utility_DisplayArrayInTable(Common_SourceData.Common_SourceData_ConvertGasElementalToMolecular_Data(),Table_GasToMolecularConversionFactor[[#Headers],[Gas]], 0)</f>
        <v>44</v>
      </c>
      <c r="G50" s="34" cm="1">
        <f t="array" ref="G50">Common_InputFunctions.Utility_DisplayArrayInTable(Common_SourceData.Common_SourceData_ConvertGasElementalToMolecular_Data(),Table_GasToMolecularConversionFactor[[#Headers],[Gas]], 0)</f>
        <v>28</v>
      </c>
      <c r="H50" s="34">
        <f>Table_GasToMolecularConversionFactor[[#This Row],[Conversion factor 1]]/Table_GasToMolecularConversionFactor[[#This Row],[Conversion factor 2]]</f>
        <v>1.5714285714285714</v>
      </c>
    </row>
    <row r="51" spans="4:8" ht="20.100000000000001" customHeight="1" x14ac:dyDescent="0.25">
      <c r="D51" s="34" t="str" cm="1">
        <f t="array" ref="D51">Common_InputFunctions.Utility_DisplayArrayInTable(Common_SourceData.Common_SourceData_ConvertGasElementalToMolecular_Data(),Table_GasToMolecularConversionFactor[[#Headers],[Gas]], 0)</f>
        <v>Nox</v>
      </c>
      <c r="E51" s="34" t="str" cm="1">
        <f t="array" ref="E51">Common_InputFunctions.Utility_DisplayArrayInTable(Common_SourceData.Common_SourceData_ConvertGasElementalToMolecular_Data(),Table_GasToMolecularConversionFactor[[#Headers],[Gas]], 0)</f>
        <v>46/14</v>
      </c>
      <c r="F51" s="34" cm="1">
        <f t="array" ref="F51">Common_InputFunctions.Utility_DisplayArrayInTable(Common_SourceData.Common_SourceData_ConvertGasElementalToMolecular_Data(),Table_GasToMolecularConversionFactor[[#Headers],[Gas]], 0)</f>
        <v>46</v>
      </c>
      <c r="G51" s="34" cm="1">
        <f t="array" ref="G51">Common_InputFunctions.Utility_DisplayArrayInTable(Common_SourceData.Common_SourceData_ConvertGasElementalToMolecular_Data(),Table_GasToMolecularConversionFactor[[#Headers],[Gas]], 0)</f>
        <v>14</v>
      </c>
      <c r="H51" s="34">
        <f>Table_GasToMolecularConversionFactor[[#This Row],[Conversion factor 1]]/Table_GasToMolecularConversionFactor[[#This Row],[Conversion factor 2]]</f>
        <v>3.2857142857142856</v>
      </c>
    </row>
    <row r="52" spans="4:8" ht="20.100000000000001" customHeight="1" x14ac:dyDescent="0.25">
      <c r="D52" s="34" t="str" cm="1">
        <f t="array" ref="D52">Common_InputFunctions.Utility_DisplayArrayInTable(Common_SourceData.Common_SourceData_ConvertGasElementalToMolecular_Data(),Table_GasToMolecularConversionFactor[[#Headers],[Gas]], 0)</f>
        <v>CO</v>
      </c>
      <c r="E52" s="34" t="str" cm="1">
        <f t="array" ref="E52">Common_InputFunctions.Utility_DisplayArrayInTable(Common_SourceData.Common_SourceData_ConvertGasElementalToMolecular_Data(),Table_GasToMolecularConversionFactor[[#Headers],[Gas]], 0)</f>
        <v>28/12</v>
      </c>
      <c r="F52" s="34" cm="1">
        <f t="array" ref="F52">Common_InputFunctions.Utility_DisplayArrayInTable(Common_SourceData.Common_SourceData_ConvertGasElementalToMolecular_Data(),Table_GasToMolecularConversionFactor[[#Headers],[Gas]], 0)</f>
        <v>28</v>
      </c>
      <c r="G52" s="34" cm="1">
        <f t="array" ref="G52">Common_InputFunctions.Utility_DisplayArrayInTable(Common_SourceData.Common_SourceData_ConvertGasElementalToMolecular_Data(),Table_GasToMolecularConversionFactor[[#Headers],[Gas]], 0)</f>
        <v>12</v>
      </c>
      <c r="H52" s="34">
        <f>Table_GasToMolecularConversionFactor[[#This Row],[Conversion factor 1]]/Table_GasToMolecularConversionFactor[[#This Row],[Conversion factor 2]]</f>
        <v>2.3333333333333335</v>
      </c>
    </row>
    <row r="53" spans="4:8" ht="20.100000000000001" customHeight="1" x14ac:dyDescent="0.25">
      <c r="D53" s="34" t="str" cm="1">
        <f t="array" ref="D53">Common_InputFunctions.Utility_DisplayArrayInTable(Common_SourceData.Common_SourceData_ConvertGasElementalToMolecular_Data(),Table_GasToMolecularConversionFactor[[#Headers],[Gas]], 0)</f>
        <v>CO2 Lime</v>
      </c>
      <c r="E53" s="34" t="str" cm="1">
        <f t="array" ref="E53">Common_InputFunctions.Utility_DisplayArrayInTable(Common_SourceData.Common_SourceData_ConvertGasElementalToMolecular_Data(),Table_GasToMolecularConversionFactor[[#Headers],[Gas]], 0)</f>
        <v>44/12</v>
      </c>
      <c r="F53" s="34" cm="1">
        <f t="array" ref="F53">Common_InputFunctions.Utility_DisplayArrayInTable(Common_SourceData.Common_SourceData_ConvertGasElementalToMolecular_Data(),Table_GasToMolecularConversionFactor[[#Headers],[Gas]], 0)</f>
        <v>44</v>
      </c>
      <c r="G53" s="34" cm="1">
        <f t="array" ref="G53">Common_InputFunctions.Utility_DisplayArrayInTable(Common_SourceData.Common_SourceData_ConvertGasElementalToMolecular_Data(),Table_GasToMolecularConversionFactor[[#Headers],[Gas]], 0)</f>
        <v>12</v>
      </c>
      <c r="H53" s="34">
        <f>Table_GasToMolecularConversionFactor[[#This Row],[Conversion factor 1]]/Table_GasToMolecularConversionFactor[[#This Row],[Conversion factor 2]]</f>
        <v>3.6666666666666665</v>
      </c>
    </row>
    <row r="54" spans="4:8" ht="20.100000000000001" customHeight="1" x14ac:dyDescent="0.25">
      <c r="D54" s="34" t="str" cm="1">
        <f t="array" ref="D54">Common_InputFunctions.Utility_DisplayArrayInTable(Common_SourceData.Common_SourceData_ConvertGasElementalToMolecular_Data(),Table_GasToMolecularConversionFactor[[#Headers],[Gas]], 0)</f>
        <v>NMVOC</v>
      </c>
      <c r="E54" s="34" t="str" cm="1">
        <f t="array" ref="E54">Common_InputFunctions.Utility_DisplayArrayInTable(Common_SourceData.Common_SourceData_ConvertGasElementalToMolecular_Data(),Table_GasToMolecularConversionFactor[[#Headers],[Gas]], 0)</f>
        <v>14/12</v>
      </c>
      <c r="F54" s="34" cm="1">
        <f t="array" ref="F54">Common_InputFunctions.Utility_DisplayArrayInTable(Common_SourceData.Common_SourceData_ConvertGasElementalToMolecular_Data(),Table_GasToMolecularConversionFactor[[#Headers],[Gas]], 0)</f>
        <v>14</v>
      </c>
      <c r="G54" s="34" cm="1">
        <f t="array" ref="G54">Common_InputFunctions.Utility_DisplayArrayInTable(Common_SourceData.Common_SourceData_ConvertGasElementalToMolecular_Data(),Table_GasToMolecularConversionFactor[[#Headers],[Gas]], 0)</f>
        <v>12</v>
      </c>
      <c r="H54" s="34">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4" t="s">
        <v>6</v>
      </c>
      <c r="E63" s="34" t="s">
        <v>36</v>
      </c>
    </row>
    <row r="64" spans="4:8" ht="20.100000000000001" customHeight="1" x14ac:dyDescent="0.25">
      <c r="D64" s="34" t="str" cm="1">
        <f t="array" ref="D64">Common_InputFunctions.Utility_DisplayArrayInTable(Common_SourceData.Common_SourceData_WetAndDryZones_Data(), Table_SourceData_WetDryZones[[#Headers],[Climate zone]], 0)</f>
        <v>Tropical montane</v>
      </c>
      <c r="E64" s="34"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4" t="str" cm="1">
        <f t="array" ref="D65">Common_InputFunctions.Utility_DisplayArrayInTable(Common_SourceData.Common_SourceData_WetAndDryZones_Data(), Table_SourceData_WetDryZones[[#Headers],[Climate zone]], 0)</f>
        <v>Tropical wet</v>
      </c>
      <c r="E65" s="34"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4" t="str" cm="1">
        <f t="array" ref="D66">Common_InputFunctions.Utility_DisplayArrayInTable(Common_SourceData.Common_SourceData_WetAndDryZones_Data(), Table_SourceData_WetDryZones[[#Headers],[Climate zone]], 0)</f>
        <v>Tropical moist</v>
      </c>
      <c r="E66" s="34"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4" t="str" cm="1">
        <f t="array" ref="D67">Common_InputFunctions.Utility_DisplayArrayInTable(Common_SourceData.Common_SourceData_WetAndDryZones_Data(), Table_SourceData_WetDryZones[[#Headers],[Climate zone]], 0)</f>
        <v>Tropical dry</v>
      </c>
      <c r="E67" s="34"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4" t="str" cm="1">
        <f t="array" ref="D68">Common_InputFunctions.Utility_DisplayArrayInTable(Common_SourceData.Common_SourceData_WetAndDryZones_Data(), Table_SourceData_WetDryZones[[#Headers],[Climate zone]], 0)</f>
        <v>Warm temperate moist</v>
      </c>
      <c r="E68" s="34"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4" t="str" cm="1">
        <f t="array" ref="D69">Common_InputFunctions.Utility_DisplayArrayInTable(Common_SourceData.Common_SourceData_WetAndDryZones_Data(), Table_SourceData_WetDryZones[[#Headers],[Climate zone]], 0)</f>
        <v>Warm temperate dry</v>
      </c>
      <c r="E69" s="34"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4" t="str" cm="1">
        <f t="array" ref="D70">Common_InputFunctions.Utility_DisplayArrayInTable(Common_SourceData.Common_SourceData_WetAndDryZones_Data(), Table_SourceData_WetDryZones[[#Headers],[Climate zone]], 0)</f>
        <v>Cool temperate moist</v>
      </c>
      <c r="E70" s="34"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4" t="str" cm="1">
        <f t="array" ref="D71">Common_InputFunctions.Utility_DisplayArrayInTable(Common_SourceData.Common_SourceData_WetAndDryZones_Data(), Table_SourceData_WetDryZones[[#Headers],[Climate zone]], 0)</f>
        <v>Cool temperate dry</v>
      </c>
      <c r="E71" s="34"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4" t="str" cm="1">
        <f t="array" ref="D72">Common_InputFunctions.Utility_DisplayArrayInTable(Common_SourceData.Common_SourceData_WetAndDryZones_Data(), Table_SourceData_WetDryZones[[#Headers],[Climate zone]], 0)</f>
        <v>Warm temperate moist - low frost</v>
      </c>
      <c r="E72" s="34"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4" t="str" cm="1">
        <f t="array" ref="D73">Common_InputFunctions.Utility_DisplayArrayInTable(Common_SourceData.Common_SourceData_WetAndDryZones_Data(), Table_SourceData_WetDryZones[[#Headers],[Climate zone]], 0)</f>
        <v>Warm temperate dry - low frost</v>
      </c>
      <c r="E73" s="34"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4" t="str" cm="1">
        <f t="array" ref="D74">Common_InputFunctions.Utility_DisplayArrayInTable(Common_SourceData.Common_SourceData_WetAndDryZones_Data(), Table_SourceData_WetDryZones[[#Headers],[Climate zone]], 0)</f>
        <v>Warm temperate moist - high temp</v>
      </c>
      <c r="E74" s="34"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4" t="str" cm="1">
        <f t="array" ref="D75">Common_InputFunctions.Utility_DisplayArrayInTable(Common_SourceData.Common_SourceData_WetAndDryZones_Data(), Table_SourceData_WetDryZones[[#Headers],[Climate zone]], 0)</f>
        <v>Warm temperate dry - high temp</v>
      </c>
      <c r="E75" s="34"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4" t="str" cm="1">
        <f t="array" ref="D76">Common_InputFunctions.Utility_DisplayArrayInTable(Common_SourceData.Common_SourceData_WetAndDryZones_Data(), Table_SourceData_WetDryZones[[#Headers],[Climate zone]], 0)</f>
        <v>Cool temperate moist - low frost</v>
      </c>
      <c r="E76" s="34"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4" t="str" cm="1">
        <f t="array" ref="D77">Common_InputFunctions.Utility_DisplayArrayInTable(Common_SourceData.Common_SourceData_WetAndDryZones_Data(), Table_SourceData_WetDryZones[[#Headers],[Climate zone]], 0)</f>
        <v>Cool temperate dry - low frost</v>
      </c>
      <c r="E77" s="34"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4" t="s">
        <v>6</v>
      </c>
      <c r="E89" s="34" t="s">
        <v>24</v>
      </c>
      <c r="F89" s="34" t="s">
        <v>25</v>
      </c>
      <c r="G89" s="34" t="s">
        <v>26</v>
      </c>
      <c r="H89" s="34" t="s">
        <v>27</v>
      </c>
      <c r="I89" s="34" t="s">
        <v>28</v>
      </c>
      <c r="J89" s="34" t="s">
        <v>29</v>
      </c>
      <c r="K89" s="34" t="s">
        <v>30</v>
      </c>
      <c r="L89" s="34" t="s">
        <v>31</v>
      </c>
      <c r="M89" s="34" t="s">
        <v>32</v>
      </c>
      <c r="N89" s="34" t="s">
        <v>33</v>
      </c>
      <c r="O89" s="34" t="s">
        <v>37</v>
      </c>
      <c r="P89" s="34" t="s">
        <v>34</v>
      </c>
      <c r="Q89" s="34" t="s">
        <v>38</v>
      </c>
      <c r="R89" s="34" t="s">
        <v>35</v>
      </c>
      <c r="S89" s="34" t="s">
        <v>39</v>
      </c>
      <c r="T89" s="34"/>
    </row>
    <row r="90" spans="4:20" ht="20.100000000000001" customHeight="1" x14ac:dyDescent="0.25">
      <c r="D90" s="34" t="str" cm="1">
        <f t="array" ref="D90">Common_InputFunctions.Utility_DisplayArrayInTable(Common_SourceData.Common_SourceData_ClimateZones_Data(), Table_SourceData_ClimateZones[[#Headers],[Climate zone]], 0)</f>
        <v>Tropical montane</v>
      </c>
      <c r="E90" s="34" t="str" cm="1">
        <f t="array" ref="E90">Common_InputFunctions.Utility_DisplayArrayInTable(Common_SourceData.Common_SourceData_ClimateZones_Data(), Table_SourceData_ClimateZones[[#Headers],[Climate zone]], 0)</f>
        <v>&gt; 18 C</v>
      </c>
      <c r="F90" s="34" t="str" cm="1">
        <f t="array" ref="F90">Common_InputFunctions.Utility_DisplayArrayInTable(Common_SourceData.Common_SourceData_ClimateZones_Data(), Table_SourceData_ClimateZones[[#Headers],[Climate zone]], 0)</f>
        <v>Any</v>
      </c>
      <c r="G90" s="34" t="str" cm="1">
        <f t="array" ref="G90">Common_InputFunctions.Utility_DisplayArrayInTable(Common_SourceData.Common_SourceData_ClimateZones_Data(), Table_SourceData_ClimateZones[[#Headers],[Climate zone]], 0)</f>
        <v>≤ 7</v>
      </c>
      <c r="H90" s="34" t="str" cm="1">
        <f t="array" ref="H90">Common_InputFunctions.Utility_DisplayArrayInTable(Common_SourceData.Common_SourceData_ClimateZones_Data(), Table_SourceData_ClimateZones[[#Headers],[Climate zone]], 0)</f>
        <v>&gt; 1000 m</v>
      </c>
      <c r="I90" s="34" t="str" cm="1">
        <f t="array" ref="I90">Common_InputFunctions.Utility_DisplayArrayInTable(Common_SourceData.Common_SourceData_ClimateZones_Data(), Table_SourceData_ClimateZones[[#Headers],[Climate zone]], 0)</f>
        <v>Any</v>
      </c>
      <c r="J90" s="34" cm="1">
        <f t="array" ref="J90">Common_InputFunctions.Utility_DisplayArrayInTable(Common_SourceData.Common_SourceData_ClimateZones_Data(), Table_SourceData_ClimateZones[[#Headers],[Climate zone]], 0)</f>
        <v>18.001000000000001</v>
      </c>
      <c r="K90" s="34" cm="1">
        <f t="array" ref="K90">Common_InputFunctions.Utility_DisplayArrayInTable(Common_SourceData.Common_SourceData_ClimateZones_Data(), Table_SourceData_ClimateZones[[#Headers],[Climate zone]], 0)</f>
        <v>999999</v>
      </c>
      <c r="L90" s="34" cm="1">
        <f t="array" ref="L90">Common_InputFunctions.Utility_DisplayArrayInTable(Common_SourceData.Common_SourceData_ClimateZones_Data(), Table_SourceData_ClimateZones[[#Headers],[Climate zone]], 0)</f>
        <v>-999999</v>
      </c>
      <c r="M90" s="34" cm="1">
        <f t="array" ref="M90">Common_InputFunctions.Utility_DisplayArrayInTable(Common_SourceData.Common_SourceData_ClimateZones_Data(), Table_SourceData_ClimateZones[[#Headers],[Climate zone]], 0)</f>
        <v>999999</v>
      </c>
      <c r="N90" s="34" cm="1">
        <f t="array" ref="N90">Common_InputFunctions.Utility_DisplayArrayInTable(Common_SourceData.Common_SourceData_ClimateZones_Data(), Table_SourceData_ClimateZones[[#Headers],[Climate zone]], 0)</f>
        <v>-999999</v>
      </c>
      <c r="O90" s="34" cm="1">
        <f t="array" ref="O90">Common_InputFunctions.Utility_DisplayArrayInTable(Common_SourceData.Common_SourceData_ClimateZones_Data(), Table_SourceData_ClimateZones[[#Headers],[Climate zone]], 0)</f>
        <v>7</v>
      </c>
      <c r="P90" s="34" cm="1">
        <f t="array" ref="P90">Common_InputFunctions.Utility_DisplayArrayInTable(Common_SourceData.Common_SourceData_ClimateZones_Data(), Table_SourceData_ClimateZones[[#Headers],[Climate zone]], 0)</f>
        <v>1000</v>
      </c>
      <c r="Q90" s="34" cm="1">
        <f t="array" ref="Q90">Common_InputFunctions.Utility_DisplayArrayInTable(Common_SourceData.Common_SourceData_ClimateZones_Data(), Table_SourceData_ClimateZones[[#Headers],[Climate zone]], 0)</f>
        <v>999999</v>
      </c>
      <c r="R90" s="34" cm="1">
        <f t="array" ref="R90">Common_InputFunctions.Utility_DisplayArrayInTable(Common_SourceData.Common_SourceData_ClimateZones_Data(), Table_SourceData_ClimateZones[[#Headers],[Climate zone]], 0)</f>
        <v>-999999</v>
      </c>
      <c r="S90" s="34" cm="1">
        <f t="array" ref="S90">Common_InputFunctions.Utility_DisplayArrayInTable(Common_SourceData.Common_SourceData_ClimateZones_Data(), Table_SourceData_ClimateZones[[#Headers],[Climate zone]], 0)</f>
        <v>999999</v>
      </c>
      <c r="T90" s="34"/>
    </row>
    <row r="91" spans="4:20" ht="20.100000000000001" customHeight="1" x14ac:dyDescent="0.25">
      <c r="D91" s="34" t="str" cm="1">
        <f t="array" ref="D91">Common_InputFunctions.Utility_DisplayArrayInTable(Common_SourceData.Common_SourceData_ClimateZones_Data(), Table_SourceData_ClimateZones[[#Headers],[Climate zone]], 0)</f>
        <v>Tropical wet</v>
      </c>
      <c r="E91" s="34" t="str" cm="1">
        <f t="array" ref="E91">Common_InputFunctions.Utility_DisplayArrayInTable(Common_SourceData.Common_SourceData_ClimateZones_Data(), Table_SourceData_ClimateZones[[#Headers],[Climate zone]], 0)</f>
        <v>&gt; 18 C</v>
      </c>
      <c r="F91" s="34" t="str" cm="1">
        <f t="array" ref="F91">Common_InputFunctions.Utility_DisplayArrayInTable(Common_SourceData.Common_SourceData_ClimateZones_Data(), Table_SourceData_ClimateZones[[#Headers],[Climate zone]], 0)</f>
        <v>&gt; 2000 mm</v>
      </c>
      <c r="G91" s="34" t="str" cm="1">
        <f t="array" ref="G91">Common_InputFunctions.Utility_DisplayArrayInTable(Common_SourceData.Common_SourceData_ClimateZones_Data(), Table_SourceData_ClimateZones[[#Headers],[Climate zone]], 0)</f>
        <v>≤ 7</v>
      </c>
      <c r="H91" s="34" t="str" cm="1">
        <f t="array" ref="H91">Common_InputFunctions.Utility_DisplayArrayInTable(Common_SourceData.Common_SourceData_ClimateZones_Data(), Table_SourceData_ClimateZones[[#Headers],[Climate zone]], 0)</f>
        <v>≤ 1000 m</v>
      </c>
      <c r="I91" s="34" t="str" cm="1">
        <f t="array" ref="I91">Common_InputFunctions.Utility_DisplayArrayInTable(Common_SourceData.Common_SourceData_ClimateZones_Data(), Table_SourceData_ClimateZones[[#Headers],[Climate zone]], 0)</f>
        <v>Any</v>
      </c>
      <c r="J91" s="34" cm="1">
        <f t="array" ref="J91">Common_InputFunctions.Utility_DisplayArrayInTable(Common_SourceData.Common_SourceData_ClimateZones_Data(), Table_SourceData_ClimateZones[[#Headers],[Climate zone]], 0)</f>
        <v>18.001000000000001</v>
      </c>
      <c r="K91" s="34" cm="1">
        <f t="array" ref="K91">Common_InputFunctions.Utility_DisplayArrayInTable(Common_SourceData.Common_SourceData_ClimateZones_Data(), Table_SourceData_ClimateZones[[#Headers],[Climate zone]], 0)</f>
        <v>999999</v>
      </c>
      <c r="L91" s="34" cm="1">
        <f t="array" ref="L91">Common_InputFunctions.Utility_DisplayArrayInTable(Common_SourceData.Common_SourceData_ClimateZones_Data(), Table_SourceData_ClimateZones[[#Headers],[Climate zone]], 0)</f>
        <v>2000.001</v>
      </c>
      <c r="M91" s="34" cm="1">
        <f t="array" ref="M91">Common_InputFunctions.Utility_DisplayArrayInTable(Common_SourceData.Common_SourceData_ClimateZones_Data(), Table_SourceData_ClimateZones[[#Headers],[Climate zone]], 0)</f>
        <v>999999</v>
      </c>
      <c r="N91" s="34" cm="1">
        <f t="array" ref="N91">Common_InputFunctions.Utility_DisplayArrayInTable(Common_SourceData.Common_SourceData_ClimateZones_Data(), Table_SourceData_ClimateZones[[#Headers],[Climate zone]], 0)</f>
        <v>-999999</v>
      </c>
      <c r="O91" s="34" cm="1">
        <f t="array" ref="O91">Common_InputFunctions.Utility_DisplayArrayInTable(Common_SourceData.Common_SourceData_ClimateZones_Data(), Table_SourceData_ClimateZones[[#Headers],[Climate zone]], 0)</f>
        <v>7</v>
      </c>
      <c r="P91" s="34" cm="1">
        <f t="array" ref="P91">Common_InputFunctions.Utility_DisplayArrayInTable(Common_SourceData.Common_SourceData_ClimateZones_Data(), Table_SourceData_ClimateZones[[#Headers],[Climate zone]], 0)</f>
        <v>-999999</v>
      </c>
      <c r="Q91" s="34" cm="1">
        <f t="array" ref="Q91">Common_InputFunctions.Utility_DisplayArrayInTable(Common_SourceData.Common_SourceData_ClimateZones_Data(), Table_SourceData_ClimateZones[[#Headers],[Climate zone]], 0)</f>
        <v>999.99900000000002</v>
      </c>
      <c r="R91" s="34" cm="1">
        <f t="array" ref="R91">Common_InputFunctions.Utility_DisplayArrayInTable(Common_SourceData.Common_SourceData_ClimateZones_Data(), Table_SourceData_ClimateZones[[#Headers],[Climate zone]], 0)</f>
        <v>-999999</v>
      </c>
      <c r="S91" s="34" cm="1">
        <f t="array" ref="S91">Common_InputFunctions.Utility_DisplayArrayInTable(Common_SourceData.Common_SourceData_ClimateZones_Data(), Table_SourceData_ClimateZones[[#Headers],[Climate zone]], 0)</f>
        <v>999999</v>
      </c>
      <c r="T91" s="34"/>
    </row>
    <row r="92" spans="4:20" ht="20.100000000000001" customHeight="1" x14ac:dyDescent="0.25">
      <c r="D92" s="34" t="str" cm="1">
        <f t="array" ref="D92">Common_InputFunctions.Utility_DisplayArrayInTable(Common_SourceData.Common_SourceData_ClimateZones_Data(), Table_SourceData_ClimateZones[[#Headers],[Climate zone]], 0)</f>
        <v>Tropical moist</v>
      </c>
      <c r="E92" s="34" t="str" cm="1">
        <f t="array" ref="E92">Common_InputFunctions.Utility_DisplayArrayInTable(Common_SourceData.Common_SourceData_ClimateZones_Data(), Table_SourceData_ClimateZones[[#Headers],[Climate zone]], 0)</f>
        <v>&gt; 18 C</v>
      </c>
      <c r="F92" s="34" t="str" cm="1">
        <f t="array" ref="F92">Common_InputFunctions.Utility_DisplayArrayInTable(Common_SourceData.Common_SourceData_ClimateZones_Data(), Table_SourceData_ClimateZones[[#Headers],[Climate zone]], 0)</f>
        <v>&gt; 1000 mm - ≤ 2000 mm</v>
      </c>
      <c r="G92" s="34" t="str" cm="1">
        <f t="array" ref="G92">Common_InputFunctions.Utility_DisplayArrayInTable(Common_SourceData.Common_SourceData_ClimateZones_Data(), Table_SourceData_ClimateZones[[#Headers],[Climate zone]], 0)</f>
        <v>≤ 7</v>
      </c>
      <c r="H92" s="34" t="str" cm="1">
        <f t="array" ref="H92">Common_InputFunctions.Utility_DisplayArrayInTable(Common_SourceData.Common_SourceData_ClimateZones_Data(), Table_SourceData_ClimateZones[[#Headers],[Climate zone]], 0)</f>
        <v>≤ 1000 m</v>
      </c>
      <c r="I92" s="34" t="str" cm="1">
        <f t="array" ref="I92">Common_InputFunctions.Utility_DisplayArrayInTable(Common_SourceData.Common_SourceData_ClimateZones_Data(), Table_SourceData_ClimateZones[[#Headers],[Climate zone]], 0)</f>
        <v>Any</v>
      </c>
      <c r="J92" s="34" cm="1">
        <f t="array" ref="J92">Common_InputFunctions.Utility_DisplayArrayInTable(Common_SourceData.Common_SourceData_ClimateZones_Data(), Table_SourceData_ClimateZones[[#Headers],[Climate zone]], 0)</f>
        <v>18.001000000000001</v>
      </c>
      <c r="K92" s="34" cm="1">
        <f t="array" ref="K92">Common_InputFunctions.Utility_DisplayArrayInTable(Common_SourceData.Common_SourceData_ClimateZones_Data(), Table_SourceData_ClimateZones[[#Headers],[Climate zone]], 0)</f>
        <v>999999</v>
      </c>
      <c r="L92" s="34" cm="1">
        <f t="array" ref="L92">Common_InputFunctions.Utility_DisplayArrayInTable(Common_SourceData.Common_SourceData_ClimateZones_Data(), Table_SourceData_ClimateZones[[#Headers],[Climate zone]], 0)</f>
        <v>1000.001</v>
      </c>
      <c r="M92" s="34" cm="1">
        <f t="array" ref="M92">Common_InputFunctions.Utility_DisplayArrayInTable(Common_SourceData.Common_SourceData_ClimateZones_Data(), Table_SourceData_ClimateZones[[#Headers],[Climate zone]], 0)</f>
        <v>2000</v>
      </c>
      <c r="N92" s="34" cm="1">
        <f t="array" ref="N92">Common_InputFunctions.Utility_DisplayArrayInTable(Common_SourceData.Common_SourceData_ClimateZones_Data(), Table_SourceData_ClimateZones[[#Headers],[Climate zone]], 0)</f>
        <v>-999999</v>
      </c>
      <c r="O92" s="34" cm="1">
        <f t="array" ref="O92">Common_InputFunctions.Utility_DisplayArrayInTable(Common_SourceData.Common_SourceData_ClimateZones_Data(), Table_SourceData_ClimateZones[[#Headers],[Climate zone]], 0)</f>
        <v>7</v>
      </c>
      <c r="P92" s="34" cm="1">
        <f t="array" ref="P92">Common_InputFunctions.Utility_DisplayArrayInTable(Common_SourceData.Common_SourceData_ClimateZones_Data(), Table_SourceData_ClimateZones[[#Headers],[Climate zone]], 0)</f>
        <v>-999999</v>
      </c>
      <c r="Q92" s="34" cm="1">
        <f t="array" ref="Q92">Common_InputFunctions.Utility_DisplayArrayInTable(Common_SourceData.Common_SourceData_ClimateZones_Data(), Table_SourceData_ClimateZones[[#Headers],[Climate zone]], 0)</f>
        <v>999.99900000000002</v>
      </c>
      <c r="R92" s="34" cm="1">
        <f t="array" ref="R92">Common_InputFunctions.Utility_DisplayArrayInTable(Common_SourceData.Common_SourceData_ClimateZones_Data(), Table_SourceData_ClimateZones[[#Headers],[Climate zone]], 0)</f>
        <v>-999999</v>
      </c>
      <c r="S92" s="34" cm="1">
        <f t="array" ref="S92">Common_InputFunctions.Utility_DisplayArrayInTable(Common_SourceData.Common_SourceData_ClimateZones_Data(), Table_SourceData_ClimateZones[[#Headers],[Climate zone]], 0)</f>
        <v>999999</v>
      </c>
      <c r="T92" s="34"/>
    </row>
    <row r="93" spans="4:20" ht="20.100000000000001" customHeight="1" x14ac:dyDescent="0.25">
      <c r="D93" s="34" t="str" cm="1">
        <f t="array" ref="D93">Common_InputFunctions.Utility_DisplayArrayInTable(Common_SourceData.Common_SourceData_ClimateZones_Data(), Table_SourceData_ClimateZones[[#Headers],[Climate zone]], 0)</f>
        <v>Tropical dry</v>
      </c>
      <c r="E93" s="34" t="str" cm="1">
        <f t="array" ref="E93">Common_InputFunctions.Utility_DisplayArrayInTable(Common_SourceData.Common_SourceData_ClimateZones_Data(), Table_SourceData_ClimateZones[[#Headers],[Climate zone]], 0)</f>
        <v>&gt; 18 C</v>
      </c>
      <c r="F93" s="34" t="str" cm="1">
        <f t="array" ref="F93">Common_InputFunctions.Utility_DisplayArrayInTable(Common_SourceData.Common_SourceData_ClimateZones_Data(), Table_SourceData_ClimateZones[[#Headers],[Climate zone]], 0)</f>
        <v>≤ 1000 mm</v>
      </c>
      <c r="G93" s="34" t="str" cm="1">
        <f t="array" ref="G93">Common_InputFunctions.Utility_DisplayArrayInTable(Common_SourceData.Common_SourceData_ClimateZones_Data(), Table_SourceData_ClimateZones[[#Headers],[Climate zone]], 0)</f>
        <v>≤ 7</v>
      </c>
      <c r="H93" s="34" t="str" cm="1">
        <f t="array" ref="H93">Common_InputFunctions.Utility_DisplayArrayInTable(Common_SourceData.Common_SourceData_ClimateZones_Data(), Table_SourceData_ClimateZones[[#Headers],[Climate zone]], 0)</f>
        <v>≤ 1000 m</v>
      </c>
      <c r="I93" s="34" t="str" cm="1">
        <f t="array" ref="I93">Common_InputFunctions.Utility_DisplayArrayInTable(Common_SourceData.Common_SourceData_ClimateZones_Data(), Table_SourceData_ClimateZones[[#Headers],[Climate zone]], 0)</f>
        <v>Any</v>
      </c>
      <c r="J93" s="34" cm="1">
        <f t="array" ref="J93">Common_InputFunctions.Utility_DisplayArrayInTable(Common_SourceData.Common_SourceData_ClimateZones_Data(), Table_SourceData_ClimateZones[[#Headers],[Climate zone]], 0)</f>
        <v>18.001000000000001</v>
      </c>
      <c r="K93" s="34" cm="1">
        <f t="array" ref="K93">Common_InputFunctions.Utility_DisplayArrayInTable(Common_SourceData.Common_SourceData_ClimateZones_Data(), Table_SourceData_ClimateZones[[#Headers],[Climate zone]], 0)</f>
        <v>999999</v>
      </c>
      <c r="L93" s="34" cm="1">
        <f t="array" ref="L93">Common_InputFunctions.Utility_DisplayArrayInTable(Common_SourceData.Common_SourceData_ClimateZones_Data(), Table_SourceData_ClimateZones[[#Headers],[Climate zone]], 0)</f>
        <v>-999999</v>
      </c>
      <c r="M93" s="34" cm="1">
        <f t="array" ref="M93">Common_InputFunctions.Utility_DisplayArrayInTable(Common_SourceData.Common_SourceData_ClimateZones_Data(), Table_SourceData_ClimateZones[[#Headers],[Climate zone]], 0)</f>
        <v>1000</v>
      </c>
      <c r="N93" s="34" cm="1">
        <f t="array" ref="N93">Common_InputFunctions.Utility_DisplayArrayInTable(Common_SourceData.Common_SourceData_ClimateZones_Data(), Table_SourceData_ClimateZones[[#Headers],[Climate zone]], 0)</f>
        <v>-999999</v>
      </c>
      <c r="O93" s="34" cm="1">
        <f t="array" ref="O93">Common_InputFunctions.Utility_DisplayArrayInTable(Common_SourceData.Common_SourceData_ClimateZones_Data(), Table_SourceData_ClimateZones[[#Headers],[Climate zone]], 0)</f>
        <v>7</v>
      </c>
      <c r="P93" s="34" cm="1">
        <f t="array" ref="P93">Common_InputFunctions.Utility_DisplayArrayInTable(Common_SourceData.Common_SourceData_ClimateZones_Data(), Table_SourceData_ClimateZones[[#Headers],[Climate zone]], 0)</f>
        <v>-999999</v>
      </c>
      <c r="Q93" s="34" cm="1">
        <f t="array" ref="Q93">Common_InputFunctions.Utility_DisplayArrayInTable(Common_SourceData.Common_SourceData_ClimateZones_Data(), Table_SourceData_ClimateZones[[#Headers],[Climate zone]], 0)</f>
        <v>999.99900000000002</v>
      </c>
      <c r="R93" s="34" cm="1">
        <f t="array" ref="R93">Common_InputFunctions.Utility_DisplayArrayInTable(Common_SourceData.Common_SourceData_ClimateZones_Data(), Table_SourceData_ClimateZones[[#Headers],[Climate zone]], 0)</f>
        <v>-999999</v>
      </c>
      <c r="S93" s="34" cm="1">
        <f t="array" ref="S93">Common_InputFunctions.Utility_DisplayArrayInTable(Common_SourceData.Common_SourceData_ClimateZones_Data(), Table_SourceData_ClimateZones[[#Headers],[Climate zone]], 0)</f>
        <v>999999</v>
      </c>
      <c r="T93" s="34"/>
    </row>
    <row r="94" spans="4:20" ht="20.100000000000001" customHeight="1" x14ac:dyDescent="0.25">
      <c r="D94" s="34" t="str" cm="1">
        <f t="array" ref="D94">Common_InputFunctions.Utility_DisplayArrayInTable(Common_SourceData.Common_SourceData_ClimateZones_Data(), Table_SourceData_ClimateZones[[#Headers],[Climate zone]], 0)</f>
        <v>Warm temperate moist</v>
      </c>
      <c r="E94" s="34" t="str" cm="1">
        <f t="array" ref="E94">Common_InputFunctions.Utility_DisplayArrayInTable(Common_SourceData.Common_SourceData_ClimateZones_Data(), Table_SourceData_ClimateZones[[#Headers],[Climate zone]], 0)</f>
        <v>&gt; 10 C</v>
      </c>
      <c r="F94" s="34" t="str" cm="1">
        <f t="array" ref="F94">Common_InputFunctions.Utility_DisplayArrayInTable(Common_SourceData.Common_SourceData_ClimateZones_Data(), Table_SourceData_ClimateZones[[#Headers],[Climate zone]], 0)</f>
        <v>Any</v>
      </c>
      <c r="G94" s="34" t="str" cm="1">
        <f t="array" ref="G94">Common_InputFunctions.Utility_DisplayArrayInTable(Common_SourceData.Common_SourceData_ClimateZones_Data(), Table_SourceData_ClimateZones[[#Headers],[Climate zone]], 0)</f>
        <v>Any</v>
      </c>
      <c r="H94" s="34" t="str" cm="1">
        <f t="array" ref="H94">Common_InputFunctions.Utility_DisplayArrayInTable(Common_SourceData.Common_SourceData_ClimateZones_Data(), Table_SourceData_ClimateZones[[#Headers],[Climate zone]], 0)</f>
        <v>Any</v>
      </c>
      <c r="I94" s="34" t="str" cm="1">
        <f t="array" ref="I94">Common_InputFunctions.Utility_DisplayArrayInTable(Common_SourceData.Common_SourceData_ClimateZones_Data(), Table_SourceData_ClimateZones[[#Headers],[Climate zone]], 0)</f>
        <v>&gt; 1</v>
      </c>
      <c r="J94" s="34" cm="1">
        <f t="array" ref="J94">Common_InputFunctions.Utility_DisplayArrayInTable(Common_SourceData.Common_SourceData_ClimateZones_Data(), Table_SourceData_ClimateZones[[#Headers],[Climate zone]], 0)</f>
        <v>10.000999999999999</v>
      </c>
      <c r="K94" s="34" cm="1">
        <f t="array" ref="K94">Common_InputFunctions.Utility_DisplayArrayInTable(Common_SourceData.Common_SourceData_ClimateZones_Data(), Table_SourceData_ClimateZones[[#Headers],[Climate zone]], 0)</f>
        <v>999999</v>
      </c>
      <c r="L94" s="34" cm="1">
        <f t="array" ref="L94">Common_InputFunctions.Utility_DisplayArrayInTable(Common_SourceData.Common_SourceData_ClimateZones_Data(), Table_SourceData_ClimateZones[[#Headers],[Climate zone]], 0)</f>
        <v>-999999</v>
      </c>
      <c r="M94" s="34" cm="1">
        <f t="array" ref="M94">Common_InputFunctions.Utility_DisplayArrayInTable(Common_SourceData.Common_SourceData_ClimateZones_Data(), Table_SourceData_ClimateZones[[#Headers],[Climate zone]], 0)</f>
        <v>999999</v>
      </c>
      <c r="N94" s="34" cm="1">
        <f t="array" ref="N94">Common_InputFunctions.Utility_DisplayArrayInTable(Common_SourceData.Common_SourceData_ClimateZones_Data(), Table_SourceData_ClimateZones[[#Headers],[Climate zone]], 0)</f>
        <v>-999999</v>
      </c>
      <c r="O94" s="34" cm="1">
        <f t="array" ref="O94">Common_InputFunctions.Utility_DisplayArrayInTable(Common_SourceData.Common_SourceData_ClimateZones_Data(), Table_SourceData_ClimateZones[[#Headers],[Climate zone]], 0)</f>
        <v>999999</v>
      </c>
      <c r="P94" s="34" cm="1">
        <f t="array" ref="P94">Common_InputFunctions.Utility_DisplayArrayInTable(Common_SourceData.Common_SourceData_ClimateZones_Data(), Table_SourceData_ClimateZones[[#Headers],[Climate zone]], 0)</f>
        <v>-999999</v>
      </c>
      <c r="Q94" s="34" cm="1">
        <f t="array" ref="Q94">Common_InputFunctions.Utility_DisplayArrayInTable(Common_SourceData.Common_SourceData_ClimateZones_Data(), Table_SourceData_ClimateZones[[#Headers],[Climate zone]], 0)</f>
        <v>999999</v>
      </c>
      <c r="R94" s="34" cm="1">
        <f t="array" ref="R94">Common_InputFunctions.Utility_DisplayArrayInTable(Common_SourceData.Common_SourceData_ClimateZones_Data(), Table_SourceData_ClimateZones[[#Headers],[Climate zone]], 0)</f>
        <v>1.0009999999999999</v>
      </c>
      <c r="S94" s="34" cm="1">
        <f t="array" ref="S94">Common_InputFunctions.Utility_DisplayArrayInTable(Common_SourceData.Common_SourceData_ClimateZones_Data(), Table_SourceData_ClimateZones[[#Headers],[Climate zone]], 0)</f>
        <v>999999</v>
      </c>
      <c r="T94" s="34"/>
    </row>
    <row r="95" spans="4:20" ht="20.100000000000001" customHeight="1" x14ac:dyDescent="0.25">
      <c r="D95" s="34" t="str" cm="1">
        <f t="array" ref="D95">Common_InputFunctions.Utility_DisplayArrayInTable(Common_SourceData.Common_SourceData_ClimateZones_Data(), Table_SourceData_ClimateZones[[#Headers],[Climate zone]], 0)</f>
        <v>Warm temperate dry</v>
      </c>
      <c r="E95" s="34" t="str" cm="1">
        <f t="array" ref="E95">Common_InputFunctions.Utility_DisplayArrayInTable(Common_SourceData.Common_SourceData_ClimateZones_Data(), Table_SourceData_ClimateZones[[#Headers],[Climate zone]], 0)</f>
        <v>&gt; 10 C</v>
      </c>
      <c r="F95" s="34" t="str" cm="1">
        <f t="array" ref="F95">Common_InputFunctions.Utility_DisplayArrayInTable(Common_SourceData.Common_SourceData_ClimateZones_Data(), Table_SourceData_ClimateZones[[#Headers],[Climate zone]], 0)</f>
        <v>Any</v>
      </c>
      <c r="G95" s="34" t="str" cm="1">
        <f t="array" ref="G95">Common_InputFunctions.Utility_DisplayArrayInTable(Common_SourceData.Common_SourceData_ClimateZones_Data(), Table_SourceData_ClimateZones[[#Headers],[Climate zone]], 0)</f>
        <v>Any</v>
      </c>
      <c r="H95" s="34" t="str" cm="1">
        <f t="array" ref="H95">Common_InputFunctions.Utility_DisplayArrayInTable(Common_SourceData.Common_SourceData_ClimateZones_Data(), Table_SourceData_ClimateZones[[#Headers],[Climate zone]], 0)</f>
        <v>Any</v>
      </c>
      <c r="I95" s="34" t="str" cm="1">
        <f t="array" ref="I95">Common_InputFunctions.Utility_DisplayArrayInTable(Common_SourceData.Common_SourceData_ClimateZones_Data(), Table_SourceData_ClimateZones[[#Headers],[Climate zone]], 0)</f>
        <v>≤ 1</v>
      </c>
      <c r="J95" s="34" cm="1">
        <f t="array" ref="J95">Common_InputFunctions.Utility_DisplayArrayInTable(Common_SourceData.Common_SourceData_ClimateZones_Data(), Table_SourceData_ClimateZones[[#Headers],[Climate zone]], 0)</f>
        <v>10.000999999999999</v>
      </c>
      <c r="K95" s="34" cm="1">
        <f t="array" ref="K95">Common_InputFunctions.Utility_DisplayArrayInTable(Common_SourceData.Common_SourceData_ClimateZones_Data(), Table_SourceData_ClimateZones[[#Headers],[Climate zone]], 0)</f>
        <v>999999</v>
      </c>
      <c r="L95" s="34" cm="1">
        <f t="array" ref="L95">Common_InputFunctions.Utility_DisplayArrayInTable(Common_SourceData.Common_SourceData_ClimateZones_Data(), Table_SourceData_ClimateZones[[#Headers],[Climate zone]], 0)</f>
        <v>-999999</v>
      </c>
      <c r="M95" s="34" cm="1">
        <f t="array" ref="M95">Common_InputFunctions.Utility_DisplayArrayInTable(Common_SourceData.Common_SourceData_ClimateZones_Data(), Table_SourceData_ClimateZones[[#Headers],[Climate zone]], 0)</f>
        <v>999999</v>
      </c>
      <c r="N95" s="34" cm="1">
        <f t="array" ref="N95">Common_InputFunctions.Utility_DisplayArrayInTable(Common_SourceData.Common_SourceData_ClimateZones_Data(), Table_SourceData_ClimateZones[[#Headers],[Climate zone]], 0)</f>
        <v>-999999</v>
      </c>
      <c r="O95" s="34" cm="1">
        <f t="array" ref="O95">Common_InputFunctions.Utility_DisplayArrayInTable(Common_SourceData.Common_SourceData_ClimateZones_Data(), Table_SourceData_ClimateZones[[#Headers],[Climate zone]], 0)</f>
        <v>999999</v>
      </c>
      <c r="P95" s="34" cm="1">
        <f t="array" ref="P95">Common_InputFunctions.Utility_DisplayArrayInTable(Common_SourceData.Common_SourceData_ClimateZones_Data(), Table_SourceData_ClimateZones[[#Headers],[Climate zone]], 0)</f>
        <v>-999999</v>
      </c>
      <c r="Q95" s="34" cm="1">
        <f t="array" ref="Q95">Common_InputFunctions.Utility_DisplayArrayInTable(Common_SourceData.Common_SourceData_ClimateZones_Data(), Table_SourceData_ClimateZones[[#Headers],[Climate zone]], 0)</f>
        <v>999999</v>
      </c>
      <c r="R95" s="34" cm="1">
        <f t="array" ref="R95">Common_InputFunctions.Utility_DisplayArrayInTable(Common_SourceData.Common_SourceData_ClimateZones_Data(), Table_SourceData_ClimateZones[[#Headers],[Climate zone]], 0)</f>
        <v>-999999</v>
      </c>
      <c r="S95" s="34" cm="1">
        <f t="array" ref="S95">Common_InputFunctions.Utility_DisplayArrayInTable(Common_SourceData.Common_SourceData_ClimateZones_Data(), Table_SourceData_ClimateZones[[#Headers],[Climate zone]], 0)</f>
        <v>1</v>
      </c>
      <c r="T95" s="34"/>
    </row>
    <row r="96" spans="4:20" ht="20.100000000000001" customHeight="1" x14ac:dyDescent="0.25">
      <c r="D96" s="34" t="str" cm="1">
        <f t="array" ref="D96">Common_InputFunctions.Utility_DisplayArrayInTable(Common_SourceData.Common_SourceData_ClimateZones_Data(), Table_SourceData_ClimateZones[[#Headers],[Climate zone]], 0)</f>
        <v>Cool temperate moist</v>
      </c>
      <c r="E96" s="34" t="str" cm="1">
        <f t="array" ref="E96">Common_InputFunctions.Utility_DisplayArrayInTable(Common_SourceData.Common_SourceData_ClimateZones_Data(), Table_SourceData_ClimateZones[[#Headers],[Climate zone]], 0)</f>
        <v>&gt; 0 C - ≤ 10 C</v>
      </c>
      <c r="F96" s="34" t="str" cm="1">
        <f t="array" ref="F96">Common_InputFunctions.Utility_DisplayArrayInTable(Common_SourceData.Common_SourceData_ClimateZones_Data(), Table_SourceData_ClimateZones[[#Headers],[Climate zone]], 0)</f>
        <v>Any</v>
      </c>
      <c r="G96" s="34" t="str" cm="1">
        <f t="array" ref="G96">Common_InputFunctions.Utility_DisplayArrayInTable(Common_SourceData.Common_SourceData_ClimateZones_Data(), Table_SourceData_ClimateZones[[#Headers],[Climate zone]], 0)</f>
        <v>Any</v>
      </c>
      <c r="H96" s="34" t="str" cm="1">
        <f t="array" ref="H96">Common_InputFunctions.Utility_DisplayArrayInTable(Common_SourceData.Common_SourceData_ClimateZones_Data(), Table_SourceData_ClimateZones[[#Headers],[Climate zone]], 0)</f>
        <v>Any</v>
      </c>
      <c r="I96" s="34" t="str" cm="1">
        <f t="array" ref="I96">Common_InputFunctions.Utility_DisplayArrayInTable(Common_SourceData.Common_SourceData_ClimateZones_Data(), Table_SourceData_ClimateZones[[#Headers],[Climate zone]], 0)</f>
        <v>&gt; 1</v>
      </c>
      <c r="J96" s="34" cm="1">
        <f t="array" ref="J96">Common_InputFunctions.Utility_DisplayArrayInTable(Common_SourceData.Common_SourceData_ClimateZones_Data(), Table_SourceData_ClimateZones[[#Headers],[Climate zone]], 0)</f>
        <v>-999999</v>
      </c>
      <c r="K96" s="34" cm="1">
        <f t="array" ref="K96">Common_InputFunctions.Utility_DisplayArrayInTable(Common_SourceData.Common_SourceData_ClimateZones_Data(), Table_SourceData_ClimateZones[[#Headers],[Climate zone]], 0)</f>
        <v>10</v>
      </c>
      <c r="L96" s="34" cm="1">
        <f t="array" ref="L96">Common_InputFunctions.Utility_DisplayArrayInTable(Common_SourceData.Common_SourceData_ClimateZones_Data(), Table_SourceData_ClimateZones[[#Headers],[Climate zone]], 0)</f>
        <v>-999999</v>
      </c>
      <c r="M96" s="34" cm="1">
        <f t="array" ref="M96">Common_InputFunctions.Utility_DisplayArrayInTable(Common_SourceData.Common_SourceData_ClimateZones_Data(), Table_SourceData_ClimateZones[[#Headers],[Climate zone]], 0)</f>
        <v>999999</v>
      </c>
      <c r="N96" s="34" cm="1">
        <f t="array" ref="N96">Common_InputFunctions.Utility_DisplayArrayInTable(Common_SourceData.Common_SourceData_ClimateZones_Data(), Table_SourceData_ClimateZones[[#Headers],[Climate zone]], 0)</f>
        <v>-999999</v>
      </c>
      <c r="O96" s="34" cm="1">
        <f t="array" ref="O96">Common_InputFunctions.Utility_DisplayArrayInTable(Common_SourceData.Common_SourceData_ClimateZones_Data(), Table_SourceData_ClimateZones[[#Headers],[Climate zone]], 0)</f>
        <v>999999</v>
      </c>
      <c r="P96" s="34" cm="1">
        <f t="array" ref="P96">Common_InputFunctions.Utility_DisplayArrayInTable(Common_SourceData.Common_SourceData_ClimateZones_Data(), Table_SourceData_ClimateZones[[#Headers],[Climate zone]], 0)</f>
        <v>-999999</v>
      </c>
      <c r="Q96" s="34" cm="1">
        <f t="array" ref="Q96">Common_InputFunctions.Utility_DisplayArrayInTable(Common_SourceData.Common_SourceData_ClimateZones_Data(), Table_SourceData_ClimateZones[[#Headers],[Climate zone]], 0)</f>
        <v>999999</v>
      </c>
      <c r="R96" s="34" cm="1">
        <f t="array" ref="R96">Common_InputFunctions.Utility_DisplayArrayInTable(Common_SourceData.Common_SourceData_ClimateZones_Data(), Table_SourceData_ClimateZones[[#Headers],[Climate zone]], 0)</f>
        <v>1.0009999999999999</v>
      </c>
      <c r="S96" s="34" cm="1">
        <f t="array" ref="S96">Common_InputFunctions.Utility_DisplayArrayInTable(Common_SourceData.Common_SourceData_ClimateZones_Data(), Table_SourceData_ClimateZones[[#Headers],[Climate zone]], 0)</f>
        <v>999999</v>
      </c>
      <c r="T96" s="34"/>
    </row>
    <row r="97" spans="4:20" ht="20.100000000000001" customHeight="1" x14ac:dyDescent="0.25">
      <c r="D97" s="34" t="str" cm="1">
        <f t="array" ref="D97">Common_InputFunctions.Utility_DisplayArrayInTable(Common_SourceData.Common_SourceData_ClimateZones_Data(), Table_SourceData_ClimateZones[[#Headers],[Climate zone]], 0)</f>
        <v>Cool temperate dry</v>
      </c>
      <c r="E97" s="34" t="str" cm="1">
        <f t="array" ref="E97">Common_InputFunctions.Utility_DisplayArrayInTable(Common_SourceData.Common_SourceData_ClimateZones_Data(), Table_SourceData_ClimateZones[[#Headers],[Climate zone]], 0)</f>
        <v>&gt; 0 C - ≤ 10 C</v>
      </c>
      <c r="F97" s="34" t="str" cm="1">
        <f t="array" ref="F97">Common_InputFunctions.Utility_DisplayArrayInTable(Common_SourceData.Common_SourceData_ClimateZones_Data(), Table_SourceData_ClimateZones[[#Headers],[Climate zone]], 0)</f>
        <v>Any</v>
      </c>
      <c r="G97" s="34" t="str" cm="1">
        <f t="array" ref="G97">Common_InputFunctions.Utility_DisplayArrayInTable(Common_SourceData.Common_SourceData_ClimateZones_Data(), Table_SourceData_ClimateZones[[#Headers],[Climate zone]], 0)</f>
        <v>Any</v>
      </c>
      <c r="H97" s="34" t="str" cm="1">
        <f t="array" ref="H97">Common_InputFunctions.Utility_DisplayArrayInTable(Common_SourceData.Common_SourceData_ClimateZones_Data(), Table_SourceData_ClimateZones[[#Headers],[Climate zone]], 0)</f>
        <v>Any</v>
      </c>
      <c r="I97" s="34" t="str" cm="1">
        <f t="array" ref="I97">Common_InputFunctions.Utility_DisplayArrayInTable(Common_SourceData.Common_SourceData_ClimateZones_Data(), Table_SourceData_ClimateZones[[#Headers],[Climate zone]], 0)</f>
        <v>≤ 1</v>
      </c>
      <c r="J97" s="34" cm="1">
        <f t="array" ref="J97">Common_InputFunctions.Utility_DisplayArrayInTable(Common_SourceData.Common_SourceData_ClimateZones_Data(), Table_SourceData_ClimateZones[[#Headers],[Climate zone]], 0)</f>
        <v>-999999</v>
      </c>
      <c r="K97" s="34" cm="1">
        <f t="array" ref="K97">Common_InputFunctions.Utility_DisplayArrayInTable(Common_SourceData.Common_SourceData_ClimateZones_Data(), Table_SourceData_ClimateZones[[#Headers],[Climate zone]], 0)</f>
        <v>10</v>
      </c>
      <c r="L97" s="34" cm="1">
        <f t="array" ref="L97">Common_InputFunctions.Utility_DisplayArrayInTable(Common_SourceData.Common_SourceData_ClimateZones_Data(), Table_SourceData_ClimateZones[[#Headers],[Climate zone]], 0)</f>
        <v>-999999</v>
      </c>
      <c r="M97" s="34" cm="1">
        <f t="array" ref="M97">Common_InputFunctions.Utility_DisplayArrayInTable(Common_SourceData.Common_SourceData_ClimateZones_Data(), Table_SourceData_ClimateZones[[#Headers],[Climate zone]], 0)</f>
        <v>999999</v>
      </c>
      <c r="N97" s="34" cm="1">
        <f t="array" ref="N97">Common_InputFunctions.Utility_DisplayArrayInTable(Common_SourceData.Common_SourceData_ClimateZones_Data(), Table_SourceData_ClimateZones[[#Headers],[Climate zone]], 0)</f>
        <v>-999999</v>
      </c>
      <c r="O97" s="34" cm="1">
        <f t="array" ref="O97">Common_InputFunctions.Utility_DisplayArrayInTable(Common_SourceData.Common_SourceData_ClimateZones_Data(), Table_SourceData_ClimateZones[[#Headers],[Climate zone]], 0)</f>
        <v>999999</v>
      </c>
      <c r="P97" s="34" cm="1">
        <f t="array" ref="P97">Common_InputFunctions.Utility_DisplayArrayInTable(Common_SourceData.Common_SourceData_ClimateZones_Data(), Table_SourceData_ClimateZones[[#Headers],[Climate zone]], 0)</f>
        <v>-999999</v>
      </c>
      <c r="Q97" s="34" cm="1">
        <f t="array" ref="Q97">Common_InputFunctions.Utility_DisplayArrayInTable(Common_SourceData.Common_SourceData_ClimateZones_Data(), Table_SourceData_ClimateZones[[#Headers],[Climate zone]], 0)</f>
        <v>999999</v>
      </c>
      <c r="R97" s="34" cm="1">
        <f t="array" ref="R97">Common_InputFunctions.Utility_DisplayArrayInTable(Common_SourceData.Common_SourceData_ClimateZones_Data(), Table_SourceData_ClimateZones[[#Headers],[Climate zone]], 0)</f>
        <v>-999999</v>
      </c>
      <c r="S97" s="34" cm="1">
        <f t="array" ref="S97">Common_InputFunctions.Utility_DisplayArrayInTable(Common_SourceData.Common_SourceData_ClimateZones_Data(), Table_SourceData_ClimateZones[[#Headers],[Climate zone]], 0)</f>
        <v>1</v>
      </c>
      <c r="T97" s="34"/>
    </row>
    <row r="98" spans="4:20" ht="20.100000000000001" customHeight="1" x14ac:dyDescent="0.25"/>
    <row r="99" spans="4:20" ht="20.100000000000001" customHeight="1" x14ac:dyDescent="0.25">
      <c r="D99" s="49" t="str" cm="1">
        <f t="array" ref="D99:D102">Common_SourceData.Common_SourceData_ClimateZones_Appendices()</f>
        <v>Note:</v>
      </c>
    </row>
    <row r="100" spans="4:20" ht="20.100000000000001" customHeight="1" x14ac:dyDescent="0.25">
      <c r="D100" s="49" t="str">
        <v>MAT = mean annual temperature</v>
      </c>
    </row>
    <row r="101" spans="4:20" ht="20.100000000000001" customHeight="1" x14ac:dyDescent="0.25">
      <c r="D101" s="49" t="str">
        <v>MAP = mean annual precipitation</v>
      </c>
    </row>
    <row r="102" spans="4:20" ht="20.100000000000001" customHeight="1" x14ac:dyDescent="0.25">
      <c r="D102" s="49" t="str">
        <v>PET = potential evapotranspiration</v>
      </c>
    </row>
    <row r="103" spans="4:20" ht="20.100000000000001" customHeight="1" x14ac:dyDescent="0.25">
      <c r="D103" s="49"/>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4" t="s">
        <v>42</v>
      </c>
      <c r="E109" s="34" t="s">
        <v>24</v>
      </c>
      <c r="F109" s="34" t="s">
        <v>43</v>
      </c>
      <c r="G109" s="34" t="s">
        <v>44</v>
      </c>
    </row>
    <row r="110" spans="4:20" ht="20.100000000000001" customHeight="1" x14ac:dyDescent="0.25">
      <c r="D110" s="34" t="str" cm="1">
        <f t="array" ref="D110">Common_InputFunctions.Utility_DisplayArrayInTable(Common_SourceData.Common_SourceData_TemperatureZones_Data(),Table_SourceData_TemperatureZones[[#Headers],[Temperature Zone]],0)</f>
        <v>Warm</v>
      </c>
      <c r="E110" s="34" t="str" cm="1">
        <f t="array" ref="E110">Common_InputFunctions.Utility_DisplayArrayInTable(Common_SourceData.Common_SourceData_TemperatureZones_Data(),Table_SourceData_TemperatureZones[[#Headers],[Temperature Zone]],0)</f>
        <v>≥ 26 C</v>
      </c>
      <c r="F110" s="34" cm="1">
        <f t="array" ref="F110">Common_InputFunctions.Utility_DisplayArrayInTable(Common_SourceData.Common_SourceData_TemperatureZones_Data(),Table_SourceData_TemperatureZones[[#Headers],[Temperature Zone]],0)</f>
        <v>26</v>
      </c>
      <c r="G110" s="34" cm="1">
        <f t="array" ref="G110">Common_InputFunctions.Utility_DisplayArrayInTable(Common_SourceData.Common_SourceData_TemperatureZones_Data(),Table_SourceData_TemperatureZones[[#Headers],[Temperature Zone]],0)</f>
        <v>999999</v>
      </c>
    </row>
    <row r="111" spans="4:20" ht="20.100000000000001" customHeight="1" x14ac:dyDescent="0.25">
      <c r="D111" s="34" t="str" cm="1">
        <f t="array" ref="D111">Common_InputFunctions.Utility_DisplayArrayInTable(Common_SourceData.Common_SourceData_TemperatureZones_Data(),Table_SourceData_TemperatureZones[[#Headers],[Temperature Zone]],0)</f>
        <v>Temperate</v>
      </c>
      <c r="E111" s="34" t="str" cm="1">
        <f t="array" ref="E111">Common_InputFunctions.Utility_DisplayArrayInTable(Common_SourceData.Common_SourceData_TemperatureZones_Data(),Table_SourceData_TemperatureZones[[#Headers],[Temperature Zone]],0)</f>
        <v>15 - 25 C</v>
      </c>
      <c r="F111" s="34" cm="1">
        <f t="array" ref="F111">Common_InputFunctions.Utility_DisplayArrayInTable(Common_SourceData.Common_SourceData_TemperatureZones_Data(),Table_SourceData_TemperatureZones[[#Headers],[Temperature Zone]],0)</f>
        <v>15</v>
      </c>
      <c r="G111" s="34"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4" t="str" cm="1">
        <f t="array" ref="D112">Common_InputFunctions.Utility_DisplayArrayInTable(Common_SourceData.Common_SourceData_TemperatureZones_Data(),Table_SourceData_TemperatureZones[[#Headers],[Temperature Zone]],0)</f>
        <v>Cool</v>
      </c>
      <c r="E112" s="34" t="str" cm="1">
        <f t="array" ref="E112">Common_InputFunctions.Utility_DisplayArrayInTable(Common_SourceData.Common_SourceData_TemperatureZones_Data(),Table_SourceData_TemperatureZones[[#Headers],[Temperature Zone]],0)</f>
        <v>≤ 14 C</v>
      </c>
      <c r="F112" s="34" cm="1">
        <f t="array" ref="F112">Common_InputFunctions.Utility_DisplayArrayInTable(Common_SourceData.Common_SourceData_TemperatureZones_Data(),Table_SourceData_TemperatureZones[[#Headers],[Temperature Zone]],0)</f>
        <v>-999999</v>
      </c>
      <c r="G112" s="34"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4" t="s">
        <v>45</v>
      </c>
      <c r="E119" s="34" t="s">
        <v>46</v>
      </c>
      <c r="F119" s="34" t="s">
        <v>31</v>
      </c>
      <c r="G119" s="34" t="s">
        <v>32</v>
      </c>
      <c r="BN119" s="7"/>
    </row>
    <row r="120" spans="4:66" ht="20.100000000000001" customHeight="1" x14ac:dyDescent="0.25">
      <c r="D120" s="34" t="str" cm="1">
        <f t="array" ref="D120">Common_InputFunctions.Utility_DisplayArrayInTable(Common_SourceData.Common_SourceData_RainfallZones_Data(),Table_SourceData_RainfallZones[[#Headers],[Rainfall Zone]],0)</f>
        <v>High rainfall</v>
      </c>
      <c r="E120" s="34" t="str" cm="1">
        <f t="array" ref="E120">Common_InputFunctions.Utility_DisplayArrayInTable(Common_SourceData.Common_SourceData_RainfallZones_Data(),Table_SourceData_RainfallZones[[#Headers],[Rainfall Zone]],0)</f>
        <v>Annual rainfall &gt; 600mm</v>
      </c>
      <c r="F120" s="34" cm="1">
        <f t="array" ref="F120">Common_InputFunctions.Utility_DisplayArrayInTable(Common_SourceData.Common_SourceData_RainfallZones_Data(),Table_SourceData_RainfallZones[[#Headers],[Rainfall Zone]],0)</f>
        <v>600.00099999999998</v>
      </c>
      <c r="G120" s="34"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4" t="str" cm="1">
        <f t="array" ref="D121">Common_InputFunctions.Utility_DisplayArrayInTable(Common_SourceData.Common_SourceData_RainfallZones_Data(),Table_SourceData_RainfallZones[[#Headers],[Rainfall Zone]],0)</f>
        <v>Low rainfall</v>
      </c>
      <c r="E121" s="34" t="str" cm="1">
        <f t="array" ref="E121">Common_InputFunctions.Utility_DisplayArrayInTable(Common_SourceData.Common_SourceData_RainfallZones_Data(),Table_SourceData_RainfallZones[[#Headers],[Rainfall Zone]],0)</f>
        <v>Annual rainfall ≤ 600mm</v>
      </c>
      <c r="F121" s="34" cm="1">
        <f t="array" ref="F121">Common_InputFunctions.Utility_DisplayArrayInTable(Common_SourceData.Common_SourceData_RainfallZones_Data(),Table_SourceData_RainfallZones[[#Headers],[Rainfall Zone]],0)</f>
        <v>-999999</v>
      </c>
      <c r="G121" s="34"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4" t="s">
        <v>47</v>
      </c>
      <c r="E127" s="34" t="s">
        <v>48</v>
      </c>
    </row>
    <row r="128" spans="4:66" ht="20.100000000000001" customHeight="1" x14ac:dyDescent="0.25">
      <c r="D128" s="34" t="str" cm="1">
        <f t="array" ref="D128">Common_InputFunctions.Utility_DisplayArrayInTable(Common_SourceData.Common_SourceData_LeachingZones_Data(), Table_SourceData_LeachingZones[[#Headers],[Leaching Zone]], 0)</f>
        <v>Leaching occurs</v>
      </c>
      <c r="E128" s="3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4" t="str" cm="1">
        <f t="array" ref="D129">Common_InputFunctions.Utility_DisplayArrayInTable(Common_SourceData.Common_SourceData_LeachingZones_Data(), Table_SourceData_LeachingZones[[#Headers],[Leaching Zone]], 0)</f>
        <v>Leaching does not occur</v>
      </c>
      <c r="E129" s="3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1"/>
    </row>
    <row r="133" spans="4:77" ht="20.100000000000001" customHeight="1" x14ac:dyDescent="0.25">
      <c r="D133" s="5" t="str" cm="1">
        <f t="array" ref="D133">Common_SourceData.Common_SourceData_FracWET_Source()</f>
        <v>VEERG 2026:5.5.2.3 Constant Parameters</v>
      </c>
      <c r="E133" s="21"/>
    </row>
    <row r="134" spans="4:77" ht="20.100000000000001" customHeight="1" x14ac:dyDescent="0.25">
      <c r="D134" t="s">
        <v>70</v>
      </c>
      <c r="E134" t="s">
        <v>71</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4"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4" t="s">
        <v>95</v>
      </c>
      <c r="E142" s="34" t="s">
        <v>71</v>
      </c>
      <c r="BN142" s="7"/>
    </row>
    <row r="143" spans="4:77" ht="20.100000000000001" customHeight="1" x14ac:dyDescent="0.25">
      <c r="D143" s="34" t="str" cm="1">
        <f t="array" ref="D143">Common_InputFunctions.Utility_DisplayArrayInTable(Common_SourceData.Common_SourceData_FracWETIrrigation_Data(), Table_SourceData_FracWETIrrigation[[#Headers],[Irrigation type i]], 0)</f>
        <v>Not irrigated</v>
      </c>
      <c r="E143" s="34"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4"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4"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4"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4"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4" t="s">
        <v>50</v>
      </c>
      <c r="E153" s="34" t="s">
        <v>51</v>
      </c>
      <c r="BC153" s="3"/>
      <c r="BD153" s="3"/>
      <c r="BE153" s="3"/>
      <c r="BF153" s="3"/>
      <c r="BG153" s="3"/>
      <c r="BH153" s="3"/>
      <c r="BI153" s="3"/>
      <c r="BJ153" s="3"/>
      <c r="BK153" s="3"/>
      <c r="BL153" s="3"/>
      <c r="BM153" s="3"/>
    </row>
    <row r="154" spans="4:66" ht="20.100000000000001" customHeight="1" x14ac:dyDescent="0.25">
      <c r="D154" s="34" t="str" cm="1">
        <f t="array" ref="D154">Common_InputFunctions.Utility_DisplayArrayInTable(Common_SourceData.Common_SourceData_DataScores_Scope3_Data(), Table_SourceData_DataScores_Scope3[[#Headers],[Data source]], 0)</f>
        <v>International scope 3 database</v>
      </c>
      <c r="E154" s="34"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4" t="str" cm="1">
        <f t="array" ref="D155">Common_InputFunctions.Utility_DisplayArrayInTable(Common_SourceData.Common_SourceData_DataScores_Scope3_Data(), Table_SourceData_DataScores_Scope3[[#Headers],[Data source]], 0)</f>
        <v>Australian scope 3 database</v>
      </c>
      <c r="E155" s="34"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4" t="str" cm="1">
        <f t="array" ref="D156">Common_InputFunctions.Utility_DisplayArrayInTable(Common_SourceData.Common_SourceData_DataScores_Scope3_Data(), Table_SourceData_DataScores_Scope3[[#Headers],[Data source]], 0)</f>
        <v>State or regional scope 3 database</v>
      </c>
      <c r="E156" s="34" cm="1">
        <f t="array" ref="E156">Common_InputFunctions.Utility_DisplayArrayInTable(Common_SourceData.Common_SourceData_DataScores_Scope3_Data(), Table_SourceData_DataScores_Scope3[[#Headers],[Data source]], 0)</f>
        <v>3</v>
      </c>
    </row>
    <row r="157" spans="4:66" ht="20.100000000000001" customHeight="1" x14ac:dyDescent="0.25">
      <c r="D157" s="34" t="str" cm="1">
        <f t="array" ref="D157">Common_InputFunctions.Utility_DisplayArrayInTable(Common_SourceData.Common_SourceData_DataScores_Scope3_Data(), Table_SourceData_DataScores_Scope3[[#Headers],[Data source]], 0)</f>
        <v>Emissions intensity calculated from approved method</v>
      </c>
      <c r="E157" s="34" cm="1">
        <f t="array" ref="E157">Common_InputFunctions.Utility_DisplayArrayInTable(Common_SourceData.Common_SourceData_DataScores_Scope3_Data(), Table_SourceData_DataScores_Scope3[[#Headers],[Data source]], 0)</f>
        <v>4</v>
      </c>
    </row>
    <row r="158" spans="4:66" ht="20.100000000000001" customHeight="1" x14ac:dyDescent="0.25">
      <c r="D158" s="34" t="str" cm="1">
        <f t="array" ref="D158">Common_InputFunctions.Utility_DisplayArrayInTable(Common_SourceData.Common_SourceData_DataScores_Scope3_Data(), Table_SourceData_DataScores_Scope3[[#Headers],[Data source]], 0)</f>
        <v>Verified credential matching ISO14067</v>
      </c>
      <c r="E158" s="34"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4" t="s">
        <v>78</v>
      </c>
      <c r="E186" s="34" t="s">
        <v>79</v>
      </c>
      <c r="F186" s="34" t="s">
        <v>80</v>
      </c>
      <c r="G186" s="34" t="s">
        <v>81</v>
      </c>
      <c r="H186" s="34" t="s">
        <v>23</v>
      </c>
    </row>
    <row r="187" spans="4:68" ht="20.100000000000001" customHeight="1" x14ac:dyDescent="0.25">
      <c r="D187" s="34" t="str" cm="1">
        <f t="array" ref="D187">Common_InputFunctions.Utility_DisplayArrayInTable(Common_SourceData.Common_SourceData_EFN2O_Data(), Table_SourceData_Common_EFN2O[[#Headers],[Production system j]], 0)</f>
        <v>Irrigated pasture</v>
      </c>
      <c r="E187" s="34" cm="1">
        <f t="array" ref="E187">Common_InputFunctions.Utility_DisplayArrayInTable(Common_SourceData.Common_SourceData_EFN2O_Data(), Table_SourceData_Common_EFN2O[[#Headers],[Production system j]], 0)</f>
        <v>5.8999999999999999E-3</v>
      </c>
      <c r="F187" s="34" t="str" cm="1">
        <f t="array" ref="F187">Common_InputFunctions.Utility_DisplayArrayInTable(Common_SourceData.Common_SourceData_EFN2O_Data(), Table_SourceData_Common_EFN2O[[#Headers],[Production system j]], 0)</f>
        <v>Pasture</v>
      </c>
      <c r="G187" s="34" t="str" cm="1">
        <f t="array" ref="G187">Common_InputFunctions.Utility_DisplayArrayInTable(Common_SourceData.Common_SourceData_EFN2O_Data(), Table_SourceData_Common_EFN2O[[#Headers],[Production system j]], 0)</f>
        <v>Any</v>
      </c>
      <c r="H187" s="34" t="str" cm="1">
        <f t="array" ref="H187">Common_InputFunctions.Utility_DisplayArrayInTable(Common_SourceData.Common_SourceData_EFN2O_Data(), Table_SourceData_Common_EFN2O[[#Headers],[Production system j]], 0)</f>
        <v>Any</v>
      </c>
    </row>
    <row r="188" spans="4:68" ht="20.100000000000001" customHeight="1" x14ac:dyDescent="0.25">
      <c r="D188" s="34" t="str" cm="1">
        <f t="array" ref="D188">Common_InputFunctions.Utility_DisplayArrayInTable(Common_SourceData.Common_SourceData_EFN2O_Data(), Table_SourceData_Common_EFN2O[[#Headers],[Production system j]], 0)</f>
        <v>Irrigated crop</v>
      </c>
      <c r="E188" s="34" cm="1">
        <f t="array" ref="E188">Common_InputFunctions.Utility_DisplayArrayInTable(Common_SourceData.Common_SourceData_EFN2O_Data(), Table_SourceData_Common_EFN2O[[#Headers],[Production system j]], 0)</f>
        <v>7.0000000000000001E-3</v>
      </c>
      <c r="F188" s="34" t="str" cm="1">
        <f t="array" ref="F188">Common_InputFunctions.Utility_DisplayArrayInTable(Common_SourceData.Common_SourceData_EFN2O_Data(), Table_SourceData_Common_EFN2O[[#Headers],[Production system j]], 0)</f>
        <v>Crop</v>
      </c>
      <c r="G188" s="34" t="str" cm="1">
        <f t="array" ref="G188">Common_InputFunctions.Utility_DisplayArrayInTable(Common_SourceData.Common_SourceData_EFN2O_Data(), Table_SourceData_Common_EFN2O[[#Headers],[Production system j]], 0)</f>
        <v>Any</v>
      </c>
      <c r="H188" s="34" t="str" cm="1">
        <f t="array" ref="H188">Common_InputFunctions.Utility_DisplayArrayInTable(Common_SourceData.Common_SourceData_EFN2O_Data(), Table_SourceData_Common_EFN2O[[#Headers],[Production system j]], 0)</f>
        <v>Any</v>
      </c>
    </row>
    <row r="189" spans="4:68" ht="20.100000000000001" customHeight="1" x14ac:dyDescent="0.25">
      <c r="D189" s="34" t="str" cm="1">
        <f t="array" ref="D189">Common_InputFunctions.Utility_DisplayArrayInTable(Common_SourceData.Common_SourceData_EFN2O_Data(), Table_SourceData_Common_EFN2O[[#Headers],[Production system j]], 0)</f>
        <v>Non-irrigated pasture</v>
      </c>
      <c r="E189" s="34" cm="1">
        <f t="array" ref="E189">Common_InputFunctions.Utility_DisplayArrayInTable(Common_SourceData.Common_SourceData_EFN2O_Data(), Table_SourceData_Common_EFN2O[[#Headers],[Production system j]], 0)</f>
        <v>1.8E-3</v>
      </c>
      <c r="F189" s="34" t="str" cm="1">
        <f t="array" ref="F189">Common_InputFunctions.Utility_DisplayArrayInTable(Common_SourceData.Common_SourceData_EFN2O_Data(), Table_SourceData_Common_EFN2O[[#Headers],[Production system j]], 0)</f>
        <v>Pasture</v>
      </c>
      <c r="G189" s="34" t="str" cm="1">
        <f t="array" ref="G189">Common_InputFunctions.Utility_DisplayArrayInTable(Common_SourceData.Common_SourceData_EFN2O_Data(), Table_SourceData_Common_EFN2O[[#Headers],[Production system j]], 0)</f>
        <v>Not irrigated</v>
      </c>
      <c r="H189" s="3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4" t="str" cm="1">
        <f t="array" ref="D190">Common_InputFunctions.Utility_DisplayArrayInTable(Common_SourceData.Common_SourceData_EFN2O_Data(), Table_SourceData_Common_EFN2O[[#Headers],[Production system j]], 0)</f>
        <v>Non-irrigated pasture</v>
      </c>
      <c r="E190" s="34" cm="1">
        <f t="array" ref="E190">Common_InputFunctions.Utility_DisplayArrayInTable(Common_SourceData.Common_SourceData_EFN2O_Data(), Table_SourceData_Common_EFN2O[[#Headers],[Production system j]], 0)</f>
        <v>1.8E-3</v>
      </c>
      <c r="F190" s="34" t="str" cm="1">
        <f t="array" ref="F190">Common_InputFunctions.Utility_DisplayArrayInTable(Common_SourceData.Common_SourceData_EFN2O_Data(), Table_SourceData_Common_EFN2O[[#Headers],[Production system j]], 0)</f>
        <v>Pasture</v>
      </c>
      <c r="G190" s="34" t="str" cm="1">
        <f t="array" ref="G190">Common_InputFunctions.Utility_DisplayArrayInTable(Common_SourceData.Common_SourceData_EFN2O_Data(), Table_SourceData_Common_EFN2O[[#Headers],[Production system j]], 0)</f>
        <v>Not irrigated</v>
      </c>
      <c r="H190" s="3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4" t="str" cm="1">
        <f t="array" ref="D191">Common_InputFunctions.Utility_DisplayArrayInTable(Common_SourceData.Common_SourceData_EFN2O_Data(), Table_SourceData_Common_EFN2O[[#Headers],[Production system j]], 0)</f>
        <v>Non-irrigated crop (low rainfall)</v>
      </c>
      <c r="E191" s="34" cm="1">
        <f t="array" ref="E191">Common_InputFunctions.Utility_DisplayArrayInTable(Common_SourceData.Common_SourceData_EFN2O_Data(), Table_SourceData_Common_EFN2O[[#Headers],[Production system j]], 0)</f>
        <v>2.8999999999999998E-3</v>
      </c>
      <c r="F191" s="34" t="str" cm="1">
        <f t="array" ref="F191">Common_InputFunctions.Utility_DisplayArrayInTable(Common_SourceData.Common_SourceData_EFN2O_Data(), Table_SourceData_Common_EFN2O[[#Headers],[Production system j]], 0)</f>
        <v>Crop</v>
      </c>
      <c r="G191" s="34" t="str" cm="1">
        <f t="array" ref="G191">Common_InputFunctions.Utility_DisplayArrayInTable(Common_SourceData.Common_SourceData_EFN2O_Data(), Table_SourceData_Common_EFN2O[[#Headers],[Production system j]], 0)</f>
        <v>Not irrigated</v>
      </c>
      <c r="H191" s="3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4" t="str" cm="1">
        <f t="array" ref="D192">Common_InputFunctions.Utility_DisplayArrayInTable(Common_SourceData.Common_SourceData_EFN2O_Data(), Table_SourceData_Common_EFN2O[[#Headers],[Production system j]], 0)</f>
        <v>Non-irrigated crop (high rainfall)</v>
      </c>
      <c r="E192" s="34" cm="1">
        <f t="array" ref="E192">Common_InputFunctions.Utility_DisplayArrayInTable(Common_SourceData.Common_SourceData_EFN2O_Data(), Table_SourceData_Common_EFN2O[[#Headers],[Production system j]], 0)</f>
        <v>8.0000000000000002E-3</v>
      </c>
      <c r="F192" s="34" t="str" cm="1">
        <f t="array" ref="F192">Common_InputFunctions.Utility_DisplayArrayInTable(Common_SourceData.Common_SourceData_EFN2O_Data(), Table_SourceData_Common_EFN2O[[#Headers],[Production system j]], 0)</f>
        <v>Crop</v>
      </c>
      <c r="G192" s="34" t="str" cm="1">
        <f t="array" ref="G192">Common_InputFunctions.Utility_DisplayArrayInTable(Common_SourceData.Common_SourceData_EFN2O_Data(), Table_SourceData_Common_EFN2O[[#Headers],[Production system j]], 0)</f>
        <v>Not irrigated</v>
      </c>
      <c r="H192" s="3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4" t="str" cm="1">
        <f t="array" ref="D193">Common_InputFunctions.Utility_DisplayArrayInTable(Common_SourceData.Common_SourceData_EFN2O_Data(), Table_SourceData_Common_EFN2O[[#Headers],[Production system j]], 0)</f>
        <v>Sugar</v>
      </c>
      <c r="E193" s="34" cm="1">
        <f t="array" ref="E193">Common_InputFunctions.Utility_DisplayArrayInTable(Common_SourceData.Common_SourceData_EFN2O_Data(), Table_SourceData_Common_EFN2O[[#Headers],[Production system j]], 0)</f>
        <v>1.9900000000000001E-2</v>
      </c>
      <c r="F193" s="34" t="str" cm="1">
        <f t="array" ref="F193">Common_InputFunctions.Utility_DisplayArrayInTable(Common_SourceData.Common_SourceData_EFN2O_Data(), Table_SourceData_Common_EFN2O[[#Headers],[Production system j]], 0)</f>
        <v>Sugar</v>
      </c>
      <c r="G193" s="34" t="str" cm="1">
        <f t="array" ref="G193">Common_InputFunctions.Utility_DisplayArrayInTable(Common_SourceData.Common_SourceData_EFN2O_Data(), Table_SourceData_Common_EFN2O[[#Headers],[Production system j]], 0)</f>
        <v>Any</v>
      </c>
      <c r="H193" s="34" t="str" cm="1">
        <f t="array" ref="H193">Common_InputFunctions.Utility_DisplayArrayInTable(Common_SourceData.Common_SourceData_EFN2O_Data(), Table_SourceData_Common_EFN2O[[#Headers],[Production system j]], 0)</f>
        <v>Any</v>
      </c>
    </row>
    <row r="194" spans="4:8" ht="20.100000000000001" customHeight="1" x14ac:dyDescent="0.25">
      <c r="D194" s="34" t="str" cm="1">
        <f t="array" ref="D194">Common_InputFunctions.Utility_DisplayArrayInTable(Common_SourceData.Common_SourceData_EFN2O_Data(), Table_SourceData_Common_EFN2O[[#Headers],[Production system j]], 0)</f>
        <v>Cotton</v>
      </c>
      <c r="E194" s="34" cm="1">
        <f t="array" ref="E194">Common_InputFunctions.Utility_DisplayArrayInTable(Common_SourceData.Common_SourceData_EFN2O_Data(), Table_SourceData_Common_EFN2O[[#Headers],[Production system j]], 0)</f>
        <v>5.3E-3</v>
      </c>
      <c r="F194" s="34" t="str" cm="1">
        <f t="array" ref="F194">Common_InputFunctions.Utility_DisplayArrayInTable(Common_SourceData.Common_SourceData_EFN2O_Data(), Table_SourceData_Common_EFN2O[[#Headers],[Production system j]], 0)</f>
        <v>Cotton</v>
      </c>
      <c r="G194" s="34" t="str" cm="1">
        <f t="array" ref="G194">Common_InputFunctions.Utility_DisplayArrayInTable(Common_SourceData.Common_SourceData_EFN2O_Data(), Table_SourceData_Common_EFN2O[[#Headers],[Production system j]], 0)</f>
        <v>Any</v>
      </c>
      <c r="H194" s="34" t="str" cm="1">
        <f t="array" ref="H194">Common_InputFunctions.Utility_DisplayArrayInTable(Common_SourceData.Common_SourceData_EFN2O_Data(), Table_SourceData_Common_EFN2O[[#Headers],[Production system j]], 0)</f>
        <v>Any</v>
      </c>
    </row>
    <row r="195" spans="4:8" ht="20.100000000000001" customHeight="1" x14ac:dyDescent="0.25">
      <c r="D195" s="34" t="str" cm="1">
        <f t="array" ref="D195">Common_InputFunctions.Utility_DisplayArrayInTable(Common_SourceData.Common_SourceData_EFN2O_Data(), Table_SourceData_Common_EFN2O[[#Headers],[Production system j]], 0)</f>
        <v>Horticultural crops</v>
      </c>
      <c r="E195" s="34" cm="1">
        <f t="array" ref="E195">Common_InputFunctions.Utility_DisplayArrayInTable(Common_SourceData.Common_SourceData_EFN2O_Data(), Table_SourceData_Common_EFN2O[[#Headers],[Production system j]], 0)</f>
        <v>6.4000000000000003E-3</v>
      </c>
      <c r="F195" s="34" t="str" cm="1">
        <f t="array" ref="F195">Common_InputFunctions.Utility_DisplayArrayInTable(Common_SourceData.Common_SourceData_EFN2O_Data(), Table_SourceData_Common_EFN2O[[#Headers],[Production system j]], 0)</f>
        <v>Horticultural crops</v>
      </c>
      <c r="G195" s="34" t="str" cm="1">
        <f t="array" ref="G195">Common_InputFunctions.Utility_DisplayArrayInTable(Common_SourceData.Common_SourceData_EFN2O_Data(), Table_SourceData_Common_EFN2O[[#Headers],[Production system j]], 0)</f>
        <v>Any</v>
      </c>
      <c r="H195" s="34" t="str" cm="1">
        <f t="array" ref="H195">Common_InputFunctions.Utility_DisplayArrayInTable(Common_SourceData.Common_SourceData_EFN2O_Data(), Table_SourceData_Common_EFN2O[[#Headers],[Production system j]], 0)</f>
        <v>Any</v>
      </c>
    </row>
    <row r="196" spans="4:8" ht="20.100000000000001" customHeight="1" x14ac:dyDescent="0.25">
      <c r="D196" s="34" t="str" cm="1">
        <f t="array" ref="D196">Common_InputFunctions.Utility_DisplayArrayInTable(Common_SourceData.Common_SourceData_EFN2O_Data(), Table_SourceData_Common_EFN2O[[#Headers],[Production system j]], 0)</f>
        <v>Rice (continuous flooding)</v>
      </c>
      <c r="E196" s="34" cm="1">
        <f t="array" ref="E196">Common_InputFunctions.Utility_DisplayArrayInTable(Common_SourceData.Common_SourceData_EFN2O_Data(), Table_SourceData_Common_EFN2O[[#Headers],[Production system j]], 0)</f>
        <v>3.0000000000000001E-3</v>
      </c>
      <c r="F196" s="34" t="str" cm="1">
        <f t="array" ref="F196">Common_InputFunctions.Utility_DisplayArrayInTable(Common_SourceData.Common_SourceData_EFN2O_Data(), Table_SourceData_Common_EFN2O[[#Headers],[Production system j]], 0)</f>
        <v>Rice</v>
      </c>
      <c r="G196" s="34" t="str" cm="1">
        <f t="array" ref="G196">Common_InputFunctions.Utility_DisplayArrayInTable(Common_SourceData.Common_SourceData_EFN2O_Data(), Table_SourceData_Common_EFN2O[[#Headers],[Production system j]], 0)</f>
        <v>Continuous flooding</v>
      </c>
      <c r="H196" s="34" t="str" cm="1">
        <f t="array" ref="H196">Common_InputFunctions.Utility_DisplayArrayInTable(Common_SourceData.Common_SourceData_EFN2O_Data(), Table_SourceData_Common_EFN2O[[#Headers],[Production system j]], 0)</f>
        <v>Any</v>
      </c>
    </row>
    <row r="197" spans="4:8" x14ac:dyDescent="0.25">
      <c r="D197" s="34" t="str" cm="1">
        <f t="array" ref="D197">Common_InputFunctions.Utility_DisplayArrayInTable(Common_SourceData.Common_SourceData_EFN2O_Data(), Table_SourceData_Common_EFN2O[[#Headers],[Production system j]], 0)</f>
        <v>Rice (single and multiple drainage, or alternate wetting and drying)</v>
      </c>
      <c r="E197" s="34" cm="1">
        <f t="array" ref="E197">Common_InputFunctions.Utility_DisplayArrayInTable(Common_SourceData.Common_SourceData_EFN2O_Data(), Table_SourceData_Common_EFN2O[[#Headers],[Production system j]], 0)</f>
        <v>5.0000000000000001E-3</v>
      </c>
      <c r="F197" s="34" t="str" cm="1">
        <f t="array" ref="F197">Common_InputFunctions.Utility_DisplayArrayInTable(Common_SourceData.Common_SourceData_EFN2O_Data(), Table_SourceData_Common_EFN2O[[#Headers],[Production system j]], 0)</f>
        <v>Rice</v>
      </c>
      <c r="G197" s="34" t="str" cm="1">
        <f t="array" ref="G197">Common_InputFunctions.Utility_DisplayArrayInTable(Common_SourceData.Common_SourceData_EFN2O_Data(), Table_SourceData_Common_EFN2O[[#Headers],[Production system j]], 0)</f>
        <v>Single and multiple drainage, or alternate wetting and drying</v>
      </c>
      <c r="H197" s="34" t="str" cm="1">
        <f t="array" ref="H197">Common_InputFunctions.Utility_DisplayArrayInTable(Common_SourceData.Common_SourceData_EFN2O_Data(), Table_SourceData_Common_EFN2O[[#Headers],[Production system j]], 0)</f>
        <v>Any</v>
      </c>
    </row>
    <row r="198" spans="4:8" x14ac:dyDescent="0.25">
      <c r="D198" s="34" t="str" cm="1">
        <f t="array" ref="D198">Common_InputFunctions.Utility_DisplayArrayInTable(Common_SourceData.Common_SourceData_EFN2O_Data(), Table_SourceData_Common_EFN2O[[#Headers],[Production system j]], 0)</f>
        <v>Aquaculture</v>
      </c>
      <c r="E198" s="34" cm="1">
        <f t="array" ref="E198">Common_InputFunctions.Utility_DisplayArrayInTable(Common_SourceData.Common_SourceData_EFN2O_Data(), Table_SourceData_Common_EFN2O[[#Headers],[Production system j]], 0)</f>
        <v>2.5999999999999999E-3</v>
      </c>
      <c r="F198" s="34" t="str" cm="1">
        <f t="array" ref="F198">Common_InputFunctions.Utility_DisplayArrayInTable(Common_SourceData.Common_SourceData_EFN2O_Data(), Table_SourceData_Common_EFN2O[[#Headers],[Production system j]], 0)</f>
        <v>Aquaculture</v>
      </c>
      <c r="G198" s="34" t="str" cm="1">
        <f t="array" ref="G198">Common_InputFunctions.Utility_DisplayArrayInTable(Common_SourceData.Common_SourceData_EFN2O_Data(), Table_SourceData_Common_EFN2O[[#Headers],[Production system j]], 0)</f>
        <v>Any</v>
      </c>
      <c r="H198" s="34" t="str" cm="1">
        <f t="array" ref="H198">Common_InputFunctions.Utility_DisplayArrayInTable(Common_SourceData.Common_SourceData_EFN2O_Data(), Table_SourceData_Common_EFN2O[[#Headers],[Production system j]], 0)</f>
        <v>Any</v>
      </c>
    </row>
    <row r="199" spans="4:8" x14ac:dyDescent="0.25">
      <c r="D199" s="34" t="str" cm="1">
        <f t="array" ref="D199">Common_InputFunctions.Utility_DisplayArrayInTable(Common_SourceData.Common_SourceData_EFN2O_Data(), Table_SourceData_Common_EFN2O[[#Headers],[Production system j]], 0)</f>
        <v>Forestry</v>
      </c>
      <c r="E199" s="34" cm="1">
        <f t="array" ref="E199">Common_InputFunctions.Utility_DisplayArrayInTable(Common_SourceData.Common_SourceData_EFN2O_Data(), Table_SourceData_Common_EFN2O[[#Headers],[Production system j]], 0)</f>
        <v>1.8E-3</v>
      </c>
      <c r="F199" s="34" t="str" cm="1">
        <f t="array" ref="F199">Common_InputFunctions.Utility_DisplayArrayInTable(Common_SourceData.Common_SourceData_EFN2O_Data(), Table_SourceData_Common_EFN2O[[#Headers],[Production system j]], 0)</f>
        <v>Forestry</v>
      </c>
      <c r="G199" s="34" t="str" cm="1">
        <f t="array" ref="G199">Common_InputFunctions.Utility_DisplayArrayInTable(Common_SourceData.Common_SourceData_EFN2O_Data(), Table_SourceData_Common_EFN2O[[#Headers],[Production system j]], 0)</f>
        <v>Any</v>
      </c>
      <c r="H199" s="34"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4" t="s">
        <v>6</v>
      </c>
      <c r="E206" s="34" t="s">
        <v>97</v>
      </c>
    </row>
    <row r="207" spans="4:8" x14ac:dyDescent="0.25">
      <c r="D207" s="34" t="str" cm="1">
        <f t="array" ref="D207">Common_InputFunctions.Utility_DisplayArrayInTable(Common_SourceData.Common_SourceData_EFPastureRangeAndPaddock_Data(), Table_SourceData_EFPastureRangeAndPaddock[[#Headers],[Climate zone]], 0)</f>
        <v>Wet climate zone</v>
      </c>
      <c r="E207" s="3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4" t="s">
        <v>92</v>
      </c>
      <c r="E212" s="34" t="s">
        <v>102</v>
      </c>
    </row>
    <row r="213" spans="4:5" x14ac:dyDescent="0.25">
      <c r="D213" s="34" t="str" cm="1">
        <f t="array" ref="D213">Common_InputFunctions.Utility_DisplayArrayInTable(Common_SourceData.Common_SourceData_MonthsToSeasons_Data(), Table_SourceData_Common_MonthToSeason[[#Headers],[Month]], 0)</f>
        <v>January</v>
      </c>
      <c r="E213" s="3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4"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4" t="s">
        <v>40</v>
      </c>
      <c r="E231" s="34" t="s">
        <v>140</v>
      </c>
      <c r="F231" s="33" t="s">
        <v>141</v>
      </c>
      <c r="G231" s="34" t="s">
        <v>142</v>
      </c>
      <c r="H231" s="34" t="s">
        <v>143</v>
      </c>
      <c r="I231" s="34" t="s">
        <v>144</v>
      </c>
      <c r="J231" s="34" t="s">
        <v>145</v>
      </c>
      <c r="K231" s="34" t="s">
        <v>146</v>
      </c>
      <c r="L231" s="34" t="s">
        <v>147</v>
      </c>
      <c r="M231" s="34" t="s">
        <v>148</v>
      </c>
      <c r="N231" s="34" t="s">
        <v>149</v>
      </c>
      <c r="O231" s="34" t="s">
        <v>150</v>
      </c>
      <c r="P231" s="34" t="s">
        <v>151</v>
      </c>
      <c r="Q231" s="34" t="s">
        <v>152</v>
      </c>
      <c r="R231" s="34" t="s">
        <v>153</v>
      </c>
      <c r="S231" s="34" t="s">
        <v>154</v>
      </c>
    </row>
    <row r="232" spans="4:19" x14ac:dyDescent="0.25">
      <c r="D232" s="34" t="str" cm="1">
        <f t="array" ref="D232">Common_InputFunctions.Utility_DisplayArrayInTable(Common_SourceData.Common_SourceData_MCFTemperatureZone_Data(),Table_SourceData_Common_MCFTemperatureZone[[#Headers],[Temperature zone]],0)</f>
        <v>Cool</v>
      </c>
      <c r="E232" s="34" t="str" cm="1">
        <f t="array" ref="E232">Common_InputFunctions.Utility_DisplayArrayInTable(Common_SourceData.Common_SourceData_MCFTemperatureZone_Data(),Table_SourceData_Common_MCFTemperatureZone[[#Headers],[Temperature zone]],0)</f>
        <v>≤10</v>
      </c>
      <c r="F232" s="34" cm="1">
        <f t="array" ref="F232">Common_InputFunctions.Utility_DisplayArrayInTable(Common_SourceData.Common_SourceData_MCFTemperatureZone_Data(),Table_SourceData_Common_MCFTemperatureZone[[#Headers],[Temperature zone]],0)</f>
        <v>0.66</v>
      </c>
      <c r="G232" s="34" cm="1">
        <f t="array" ref="G232">Common_InputFunctions.Utility_DisplayArrayInTable(Common_SourceData.Common_SourceData_MCFTemperatureZone_Data(),Table_SourceData_Common_MCFTemperatureZone[[#Headers],[Temperature zone]],0)</f>
        <v>0.1</v>
      </c>
      <c r="H232" s="34" cm="1">
        <f t="array" ref="H232">Common_InputFunctions.Utility_DisplayArrayInTable(Common_SourceData.Common_SourceData_MCFTemperatureZone_Data(),Table_SourceData_Common_MCFTemperatureZone[[#Headers],[Temperature zone]],0)</f>
        <v>0.1</v>
      </c>
      <c r="I232" s="34" cm="1">
        <f t="array" ref="I232">Common_InputFunctions.Utility_DisplayArrayInTable(Common_SourceData.Common_SourceData_MCFTemperatureZone_Data(),Table_SourceData_Common_MCFTemperatureZone[[#Headers],[Temperature zone]],0)</f>
        <v>1E-3</v>
      </c>
      <c r="J232" s="34" cm="1">
        <f t="array" ref="J232">Common_InputFunctions.Utility_DisplayArrayInTable(Common_SourceData.Common_SourceData_MCFTemperatureZone_Data(),Table_SourceData_Common_MCFTemperatureZone[[#Headers],[Temperature zone]],0)</f>
        <v>5.0000000000000001E-3</v>
      </c>
      <c r="K232" s="34" cm="1">
        <f t="array" ref="K232">Common_InputFunctions.Utility_DisplayArrayInTable(Common_SourceData.Common_SourceData_MCFTemperatureZone_Data(),Table_SourceData_Common_MCFTemperatureZone[[#Headers],[Temperature zone]],0)</f>
        <v>0.02</v>
      </c>
      <c r="L232" s="34" cm="1">
        <f t="array" ref="L232">Common_InputFunctions.Utility_DisplayArrayInTable(Common_SourceData.Common_SourceData_MCFTemperatureZone_Data(),Table_SourceData_Common_MCFTemperatureZone[[#Headers],[Temperature zone]],0)</f>
        <v>0.03</v>
      </c>
      <c r="M232" s="34" cm="1">
        <f t="array" ref="M232">Common_InputFunctions.Utility_DisplayArrayInTable(Common_SourceData.Common_SourceData_MCFTemperatureZone_Data(),Table_SourceData_Common_MCFTemperatureZone[[#Headers],[Temperature zone]],0)</f>
        <v>0.04</v>
      </c>
      <c r="N232" s="34" cm="1">
        <f t="array" ref="N232">Common_InputFunctions.Utility_DisplayArrayInTable(Common_SourceData.Common_SourceData_MCFTemperatureZone_Data(),Table_SourceData_Common_MCFTemperatureZone[[#Headers],[Temperature zone]],0)</f>
        <v>1.4999999999999999E-2</v>
      </c>
      <c r="O232" s="34" cm="1">
        <f t="array" ref="O232">Common_InputFunctions.Utility_DisplayArrayInTable(Common_SourceData.Common_SourceData_MCFTemperatureZone_Data(),Table_SourceData_Common_MCFTemperatureZone[[#Headers],[Temperature zone]],0)</f>
        <v>1.4999999999999999E-2</v>
      </c>
      <c r="P232" s="34" cm="1">
        <f t="array" ref="P232">Common_InputFunctions.Utility_DisplayArrayInTable(Common_SourceData.Common_SourceData_MCFTemperatureZone_Data(),Table_SourceData_Common_MCFTemperatureZone[[#Headers],[Temperature zone]],0)</f>
        <v>0</v>
      </c>
      <c r="Q232" s="34" cm="1">
        <f t="array" ref="Q232">Common_InputFunctions.Utility_DisplayArrayInTable(Common_SourceData.Common_SourceData_MCFTemperatureZone_Data(),Table_SourceData_Common_MCFTemperatureZone[[#Headers],[Temperature zone]],0)</f>
        <v>0</v>
      </c>
      <c r="R232" s="34" cm="1">
        <f t="array" ref="R232">Common_InputFunctions.Utility_DisplayArrayInTable(Common_SourceData.Common_SourceData_MCFTemperatureZone_Data(),Table_SourceData_Common_MCFTemperatureZone[[#Headers],[Temperature zone]],0)</f>
        <v>4.7000000000000002E-3</v>
      </c>
      <c r="S232" s="3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4" cm="1">
        <f t="array" ref="E233">Common_InputFunctions.Utility_DisplayArrayInTable(Common_SourceData.Common_SourceData_MCFTemperatureZone_Data(),Table_SourceData_Common_MCFTemperatureZone[[#Headers],[Temperature zone]],0)</f>
        <v>11</v>
      </c>
      <c r="F233" s="34" cm="1">
        <f t="array" ref="F233">Common_InputFunctions.Utility_DisplayArrayInTable(Common_SourceData.Common_SourceData_MCFTemperatureZone_Data(),Table_SourceData_Common_MCFTemperatureZone[[#Headers],[Temperature zone]],0)</f>
        <v>0.68</v>
      </c>
      <c r="G233" s="34" cm="1">
        <f t="array" ref="G233">Common_InputFunctions.Utility_DisplayArrayInTable(Common_SourceData.Common_SourceData_MCFTemperatureZone_Data(),Table_SourceData_Common_MCFTemperatureZone[[#Headers],[Temperature zone]],0)</f>
        <v>0.1</v>
      </c>
      <c r="H233" s="34" cm="1">
        <f t="array" ref="H233">Common_InputFunctions.Utility_DisplayArrayInTable(Common_SourceData.Common_SourceData_MCFTemperatureZone_Data(),Table_SourceData_Common_MCFTemperatureZone[[#Headers],[Temperature zone]],0)</f>
        <v>0.11</v>
      </c>
      <c r="I233" s="34" cm="1">
        <f t="array" ref="I233">Common_InputFunctions.Utility_DisplayArrayInTable(Common_SourceData.Common_SourceData_MCFTemperatureZone_Data(),Table_SourceData_Common_MCFTemperatureZone[[#Headers],[Temperature zone]],0)</f>
        <v>1E-3</v>
      </c>
      <c r="J233" s="34" cm="1">
        <f t="array" ref="J233">Common_InputFunctions.Utility_DisplayArrayInTable(Common_SourceData.Common_SourceData_MCFTemperatureZone_Data(),Table_SourceData_Common_MCFTemperatureZone[[#Headers],[Temperature zone]],0)</f>
        <v>5.0000000000000001E-3</v>
      </c>
      <c r="K233" s="34" cm="1">
        <f t="array" ref="K233">Common_InputFunctions.Utility_DisplayArrayInTable(Common_SourceData.Common_SourceData_MCFTemperatureZone_Data(),Table_SourceData_Common_MCFTemperatureZone[[#Headers],[Temperature zone]],0)</f>
        <v>0.02</v>
      </c>
      <c r="L233" s="34" cm="1">
        <f t="array" ref="L233">Common_InputFunctions.Utility_DisplayArrayInTable(Common_SourceData.Common_SourceData_MCFTemperatureZone_Data(),Table_SourceData_Common_MCFTemperatureZone[[#Headers],[Temperature zone]],0)</f>
        <v>0.03</v>
      </c>
      <c r="M233" s="34" cm="1">
        <f t="array" ref="M233">Common_InputFunctions.Utility_DisplayArrayInTable(Common_SourceData.Common_SourceData_MCFTemperatureZone_Data(),Table_SourceData_Common_MCFTemperatureZone[[#Headers],[Temperature zone]],0)</f>
        <v>0.04</v>
      </c>
      <c r="N233" s="34" cm="1">
        <f t="array" ref="N233">Common_InputFunctions.Utility_DisplayArrayInTable(Common_SourceData.Common_SourceData_MCFTemperatureZone_Data(),Table_SourceData_Common_MCFTemperatureZone[[#Headers],[Temperature zone]],0)</f>
        <v>1.4999999999999999E-2</v>
      </c>
      <c r="O233" s="34" cm="1">
        <f t="array" ref="O233">Common_InputFunctions.Utility_DisplayArrayInTable(Common_SourceData.Common_SourceData_MCFTemperatureZone_Data(),Table_SourceData_Common_MCFTemperatureZone[[#Headers],[Temperature zone]],0)</f>
        <v>1.4999999999999999E-2</v>
      </c>
      <c r="P233" s="34" cm="1">
        <f t="array" ref="P233">Common_InputFunctions.Utility_DisplayArrayInTable(Common_SourceData.Common_SourceData_MCFTemperatureZone_Data(),Table_SourceData_Common_MCFTemperatureZone[[#Headers],[Temperature zone]],0)</f>
        <v>0</v>
      </c>
      <c r="Q233" s="34" cm="1">
        <f t="array" ref="Q233">Common_InputFunctions.Utility_DisplayArrayInTable(Common_SourceData.Common_SourceData_MCFTemperatureZone_Data(),Table_SourceData_Common_MCFTemperatureZone[[#Headers],[Temperature zone]],0)</f>
        <v>0</v>
      </c>
      <c r="R233" s="34" cm="1">
        <f t="array" ref="R233">Common_InputFunctions.Utility_DisplayArrayInTable(Common_SourceData.Common_SourceData_MCFTemperatureZone_Data(),Table_SourceData_Common_MCFTemperatureZone[[#Headers],[Temperature zone]],0)</f>
        <v>4.7000000000000002E-3</v>
      </c>
      <c r="S233" s="3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4" cm="1">
        <f t="array" ref="E234">Common_InputFunctions.Utility_DisplayArrayInTable(Common_SourceData.Common_SourceData_MCFTemperatureZone_Data(),Table_SourceData_Common_MCFTemperatureZone[[#Headers],[Temperature zone]],0)</f>
        <v>12</v>
      </c>
      <c r="F234" s="34" cm="1">
        <f t="array" ref="F234">Common_InputFunctions.Utility_DisplayArrayInTable(Common_SourceData.Common_SourceData_MCFTemperatureZone_Data(),Table_SourceData_Common_MCFTemperatureZone[[#Headers],[Temperature zone]],0)</f>
        <v>0.7</v>
      </c>
      <c r="G234" s="34" cm="1">
        <f t="array" ref="G234">Common_InputFunctions.Utility_DisplayArrayInTable(Common_SourceData.Common_SourceData_MCFTemperatureZone_Data(),Table_SourceData_Common_MCFTemperatureZone[[#Headers],[Temperature zone]],0)</f>
        <v>0.1</v>
      </c>
      <c r="H234" s="34" cm="1">
        <f t="array" ref="H234">Common_InputFunctions.Utility_DisplayArrayInTable(Common_SourceData.Common_SourceData_MCFTemperatureZone_Data(),Table_SourceData_Common_MCFTemperatureZone[[#Headers],[Temperature zone]],0)</f>
        <v>0.13</v>
      </c>
      <c r="I234" s="34" cm="1">
        <f t="array" ref="I234">Common_InputFunctions.Utility_DisplayArrayInTable(Common_SourceData.Common_SourceData_MCFTemperatureZone_Data(),Table_SourceData_Common_MCFTemperatureZone[[#Headers],[Temperature zone]],0)</f>
        <v>1E-3</v>
      </c>
      <c r="J234" s="34" cm="1">
        <f t="array" ref="J234">Common_InputFunctions.Utility_DisplayArrayInTable(Common_SourceData.Common_SourceData_MCFTemperatureZone_Data(),Table_SourceData_Common_MCFTemperatureZone[[#Headers],[Temperature zone]],0)</f>
        <v>5.0000000000000001E-3</v>
      </c>
      <c r="K234" s="34" cm="1">
        <f t="array" ref="K234">Common_InputFunctions.Utility_DisplayArrayInTable(Common_SourceData.Common_SourceData_MCFTemperatureZone_Data(),Table_SourceData_Common_MCFTemperatureZone[[#Headers],[Temperature zone]],0)</f>
        <v>0.02</v>
      </c>
      <c r="L234" s="34" cm="1">
        <f t="array" ref="L234">Common_InputFunctions.Utility_DisplayArrayInTable(Common_SourceData.Common_SourceData_MCFTemperatureZone_Data(),Table_SourceData_Common_MCFTemperatureZone[[#Headers],[Temperature zone]],0)</f>
        <v>0.03</v>
      </c>
      <c r="M234" s="34" cm="1">
        <f t="array" ref="M234">Common_InputFunctions.Utility_DisplayArrayInTable(Common_SourceData.Common_SourceData_MCFTemperatureZone_Data(),Table_SourceData_Common_MCFTemperatureZone[[#Headers],[Temperature zone]],0)</f>
        <v>0.04</v>
      </c>
      <c r="N234" s="34" cm="1">
        <f t="array" ref="N234">Common_InputFunctions.Utility_DisplayArrayInTable(Common_SourceData.Common_SourceData_MCFTemperatureZone_Data(),Table_SourceData_Common_MCFTemperatureZone[[#Headers],[Temperature zone]],0)</f>
        <v>1.4999999999999999E-2</v>
      </c>
      <c r="O234" s="34" cm="1">
        <f t="array" ref="O234">Common_InputFunctions.Utility_DisplayArrayInTable(Common_SourceData.Common_SourceData_MCFTemperatureZone_Data(),Table_SourceData_Common_MCFTemperatureZone[[#Headers],[Temperature zone]],0)</f>
        <v>1.4999999999999999E-2</v>
      </c>
      <c r="P234" s="34" cm="1">
        <f t="array" ref="P234">Common_InputFunctions.Utility_DisplayArrayInTable(Common_SourceData.Common_SourceData_MCFTemperatureZone_Data(),Table_SourceData_Common_MCFTemperatureZone[[#Headers],[Temperature zone]],0)</f>
        <v>0</v>
      </c>
      <c r="Q234" s="34" cm="1">
        <f t="array" ref="Q234">Common_InputFunctions.Utility_DisplayArrayInTable(Common_SourceData.Common_SourceData_MCFTemperatureZone_Data(),Table_SourceData_Common_MCFTemperatureZone[[#Headers],[Temperature zone]],0)</f>
        <v>0</v>
      </c>
      <c r="R234" s="34" cm="1">
        <f t="array" ref="R234">Common_InputFunctions.Utility_DisplayArrayInTable(Common_SourceData.Common_SourceData_MCFTemperatureZone_Data(),Table_SourceData_Common_MCFTemperatureZone[[#Headers],[Temperature zone]],0)</f>
        <v>4.7000000000000002E-3</v>
      </c>
      <c r="S234" s="3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4" cm="1">
        <f t="array" ref="E235">Common_InputFunctions.Utility_DisplayArrayInTable(Common_SourceData.Common_SourceData_MCFTemperatureZone_Data(),Table_SourceData_Common_MCFTemperatureZone[[#Headers],[Temperature zone]],0)</f>
        <v>13</v>
      </c>
      <c r="F235" s="34" cm="1">
        <f t="array" ref="F235">Common_InputFunctions.Utility_DisplayArrayInTable(Common_SourceData.Common_SourceData_MCFTemperatureZone_Data(),Table_SourceData_Common_MCFTemperatureZone[[#Headers],[Temperature zone]],0)</f>
        <v>0.71</v>
      </c>
      <c r="G235" s="34" cm="1">
        <f t="array" ref="G235">Common_InputFunctions.Utility_DisplayArrayInTable(Common_SourceData.Common_SourceData_MCFTemperatureZone_Data(),Table_SourceData_Common_MCFTemperatureZone[[#Headers],[Temperature zone]],0)</f>
        <v>0.1</v>
      </c>
      <c r="H235" s="34" cm="1">
        <f t="array" ref="H235">Common_InputFunctions.Utility_DisplayArrayInTable(Common_SourceData.Common_SourceData_MCFTemperatureZone_Data(),Table_SourceData_Common_MCFTemperatureZone[[#Headers],[Temperature zone]],0)</f>
        <v>0.14000000000000001</v>
      </c>
      <c r="I235" s="34" cm="1">
        <f t="array" ref="I235">Common_InputFunctions.Utility_DisplayArrayInTable(Common_SourceData.Common_SourceData_MCFTemperatureZone_Data(),Table_SourceData_Common_MCFTemperatureZone[[#Headers],[Temperature zone]],0)</f>
        <v>1E-3</v>
      </c>
      <c r="J235" s="34" cm="1">
        <f t="array" ref="J235">Common_InputFunctions.Utility_DisplayArrayInTable(Common_SourceData.Common_SourceData_MCFTemperatureZone_Data(),Table_SourceData_Common_MCFTemperatureZone[[#Headers],[Temperature zone]],0)</f>
        <v>5.0000000000000001E-3</v>
      </c>
      <c r="K235" s="34" cm="1">
        <f t="array" ref="K235">Common_InputFunctions.Utility_DisplayArrayInTable(Common_SourceData.Common_SourceData_MCFTemperatureZone_Data(),Table_SourceData_Common_MCFTemperatureZone[[#Headers],[Temperature zone]],0)</f>
        <v>0.02</v>
      </c>
      <c r="L235" s="34" cm="1">
        <f t="array" ref="L235">Common_InputFunctions.Utility_DisplayArrayInTable(Common_SourceData.Common_SourceData_MCFTemperatureZone_Data(),Table_SourceData_Common_MCFTemperatureZone[[#Headers],[Temperature zone]],0)</f>
        <v>0.03</v>
      </c>
      <c r="M235" s="34" cm="1">
        <f t="array" ref="M235">Common_InputFunctions.Utility_DisplayArrayInTable(Common_SourceData.Common_SourceData_MCFTemperatureZone_Data(),Table_SourceData_Common_MCFTemperatureZone[[#Headers],[Temperature zone]],0)</f>
        <v>0.04</v>
      </c>
      <c r="N235" s="34" cm="1">
        <f t="array" ref="N235">Common_InputFunctions.Utility_DisplayArrayInTable(Common_SourceData.Common_SourceData_MCFTemperatureZone_Data(),Table_SourceData_Common_MCFTemperatureZone[[#Headers],[Temperature zone]],0)</f>
        <v>1.4999999999999999E-2</v>
      </c>
      <c r="O235" s="34" cm="1">
        <f t="array" ref="O235">Common_InputFunctions.Utility_DisplayArrayInTable(Common_SourceData.Common_SourceData_MCFTemperatureZone_Data(),Table_SourceData_Common_MCFTemperatureZone[[#Headers],[Temperature zone]],0)</f>
        <v>1.4999999999999999E-2</v>
      </c>
      <c r="P235" s="34" cm="1">
        <f t="array" ref="P235">Common_InputFunctions.Utility_DisplayArrayInTable(Common_SourceData.Common_SourceData_MCFTemperatureZone_Data(),Table_SourceData_Common_MCFTemperatureZone[[#Headers],[Temperature zone]],0)</f>
        <v>0</v>
      </c>
      <c r="Q235" s="34" cm="1">
        <f t="array" ref="Q235">Common_InputFunctions.Utility_DisplayArrayInTable(Common_SourceData.Common_SourceData_MCFTemperatureZone_Data(),Table_SourceData_Common_MCFTemperatureZone[[#Headers],[Temperature zone]],0)</f>
        <v>0</v>
      </c>
      <c r="R235" s="34" cm="1">
        <f t="array" ref="R235">Common_InputFunctions.Utility_DisplayArrayInTable(Common_SourceData.Common_SourceData_MCFTemperatureZone_Data(),Table_SourceData_Common_MCFTemperatureZone[[#Headers],[Temperature zone]],0)</f>
        <v>4.7000000000000002E-3</v>
      </c>
      <c r="S235" s="3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4" cm="1">
        <f t="array" ref="E236">Common_InputFunctions.Utility_DisplayArrayInTable(Common_SourceData.Common_SourceData_MCFTemperatureZone_Data(),Table_SourceData_Common_MCFTemperatureZone[[#Headers],[Temperature zone]],0)</f>
        <v>14</v>
      </c>
      <c r="F236" s="34" cm="1">
        <f t="array" ref="F236">Common_InputFunctions.Utility_DisplayArrayInTable(Common_SourceData.Common_SourceData_MCFTemperatureZone_Data(),Table_SourceData_Common_MCFTemperatureZone[[#Headers],[Temperature zone]],0)</f>
        <v>0.73</v>
      </c>
      <c r="G236" s="34" cm="1">
        <f t="array" ref="G236">Common_InputFunctions.Utility_DisplayArrayInTable(Common_SourceData.Common_SourceData_MCFTemperatureZone_Data(),Table_SourceData_Common_MCFTemperatureZone[[#Headers],[Temperature zone]],0)</f>
        <v>0.1</v>
      </c>
      <c r="H236" s="34" cm="1">
        <f t="array" ref="H236">Common_InputFunctions.Utility_DisplayArrayInTable(Common_SourceData.Common_SourceData_MCFTemperatureZone_Data(),Table_SourceData_Common_MCFTemperatureZone[[#Headers],[Temperature zone]],0)</f>
        <v>0.15</v>
      </c>
      <c r="I236" s="34" cm="1">
        <f t="array" ref="I236">Common_InputFunctions.Utility_DisplayArrayInTable(Common_SourceData.Common_SourceData_MCFTemperatureZone_Data(),Table_SourceData_Common_MCFTemperatureZone[[#Headers],[Temperature zone]],0)</f>
        <v>1E-3</v>
      </c>
      <c r="J236" s="34" cm="1">
        <f t="array" ref="J236">Common_InputFunctions.Utility_DisplayArrayInTable(Common_SourceData.Common_SourceData_MCFTemperatureZone_Data(),Table_SourceData_Common_MCFTemperatureZone[[#Headers],[Temperature zone]],0)</f>
        <v>5.0000000000000001E-3</v>
      </c>
      <c r="K236" s="34" cm="1">
        <f t="array" ref="K236">Common_InputFunctions.Utility_DisplayArrayInTable(Common_SourceData.Common_SourceData_MCFTemperatureZone_Data(),Table_SourceData_Common_MCFTemperatureZone[[#Headers],[Temperature zone]],0)</f>
        <v>0.02</v>
      </c>
      <c r="L236" s="34" cm="1">
        <f t="array" ref="L236">Common_InputFunctions.Utility_DisplayArrayInTable(Common_SourceData.Common_SourceData_MCFTemperatureZone_Data(),Table_SourceData_Common_MCFTemperatureZone[[#Headers],[Temperature zone]],0)</f>
        <v>0.03</v>
      </c>
      <c r="M236" s="34" cm="1">
        <f t="array" ref="M236">Common_InputFunctions.Utility_DisplayArrayInTable(Common_SourceData.Common_SourceData_MCFTemperatureZone_Data(),Table_SourceData_Common_MCFTemperatureZone[[#Headers],[Temperature zone]],0)</f>
        <v>0.04</v>
      </c>
      <c r="N236" s="34" cm="1">
        <f t="array" ref="N236">Common_InputFunctions.Utility_DisplayArrayInTable(Common_SourceData.Common_SourceData_MCFTemperatureZone_Data(),Table_SourceData_Common_MCFTemperatureZone[[#Headers],[Temperature zone]],0)</f>
        <v>1.4999999999999999E-2</v>
      </c>
      <c r="O236" s="34" cm="1">
        <f t="array" ref="O236">Common_InputFunctions.Utility_DisplayArrayInTable(Common_SourceData.Common_SourceData_MCFTemperatureZone_Data(),Table_SourceData_Common_MCFTemperatureZone[[#Headers],[Temperature zone]],0)</f>
        <v>1.4999999999999999E-2</v>
      </c>
      <c r="P236" s="34" cm="1">
        <f t="array" ref="P236">Common_InputFunctions.Utility_DisplayArrayInTable(Common_SourceData.Common_SourceData_MCFTemperatureZone_Data(),Table_SourceData_Common_MCFTemperatureZone[[#Headers],[Temperature zone]],0)</f>
        <v>0</v>
      </c>
      <c r="Q236" s="34" cm="1">
        <f t="array" ref="Q236">Common_InputFunctions.Utility_DisplayArrayInTable(Common_SourceData.Common_SourceData_MCFTemperatureZone_Data(),Table_SourceData_Common_MCFTemperatureZone[[#Headers],[Temperature zone]],0)</f>
        <v>0</v>
      </c>
      <c r="R236" s="34" cm="1">
        <f t="array" ref="R236">Common_InputFunctions.Utility_DisplayArrayInTable(Common_SourceData.Common_SourceData_MCFTemperatureZone_Data(),Table_SourceData_Common_MCFTemperatureZone[[#Headers],[Temperature zone]],0)</f>
        <v>4.7000000000000002E-3</v>
      </c>
      <c r="S236" s="3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4" cm="1">
        <f t="array" ref="E237">Common_InputFunctions.Utility_DisplayArrayInTable(Common_SourceData.Common_SourceData_MCFTemperatureZone_Data(),Table_SourceData_Common_MCFTemperatureZone[[#Headers],[Temperature zone]],0)</f>
        <v>15</v>
      </c>
      <c r="F237" s="34" cm="1">
        <f t="array" ref="F237">Common_InputFunctions.Utility_DisplayArrayInTable(Common_SourceData.Common_SourceData_MCFTemperatureZone_Data(),Table_SourceData_Common_MCFTemperatureZone[[#Headers],[Temperature zone]],0)</f>
        <v>0.74</v>
      </c>
      <c r="G237" s="34" cm="1">
        <f t="array" ref="G237">Common_InputFunctions.Utility_DisplayArrayInTable(Common_SourceData.Common_SourceData_MCFTemperatureZone_Data(),Table_SourceData_Common_MCFTemperatureZone[[#Headers],[Temperature zone]],0)</f>
        <v>0.1</v>
      </c>
      <c r="H237" s="34" cm="1">
        <f t="array" ref="H237">Common_InputFunctions.Utility_DisplayArrayInTable(Common_SourceData.Common_SourceData_MCFTemperatureZone_Data(),Table_SourceData_Common_MCFTemperatureZone[[#Headers],[Temperature zone]],0)</f>
        <v>0.17</v>
      </c>
      <c r="I237" s="34" cm="1">
        <f t="array" ref="I237">Common_InputFunctions.Utility_DisplayArrayInTable(Common_SourceData.Common_SourceData_MCFTemperatureZone_Data(),Table_SourceData_Common_MCFTemperatureZone[[#Headers],[Temperature zone]],0)</f>
        <v>5.0000000000000001E-3</v>
      </c>
      <c r="J237" s="34" cm="1">
        <f t="array" ref="J237">Common_InputFunctions.Utility_DisplayArrayInTable(Common_SourceData.Common_SourceData_MCFTemperatureZone_Data(),Table_SourceData_Common_MCFTemperatureZone[[#Headers],[Temperature zone]],0)</f>
        <v>0.01</v>
      </c>
      <c r="K237" s="34" cm="1">
        <f t="array" ref="K237">Common_InputFunctions.Utility_DisplayArrayInTable(Common_SourceData.Common_SourceData_MCFTemperatureZone_Data(),Table_SourceData_Common_MCFTemperatureZone[[#Headers],[Temperature zone]],0)</f>
        <v>0.02</v>
      </c>
      <c r="L237" s="34" cm="1">
        <f t="array" ref="L237">Common_InputFunctions.Utility_DisplayArrayInTable(Common_SourceData.Common_SourceData_MCFTemperatureZone_Data(),Table_SourceData_Common_MCFTemperatureZone[[#Headers],[Temperature zone]],0)</f>
        <v>0.03</v>
      </c>
      <c r="M237" s="34" cm="1">
        <f t="array" ref="M237">Common_InputFunctions.Utility_DisplayArrayInTable(Common_SourceData.Common_SourceData_MCFTemperatureZone_Data(),Table_SourceData_Common_MCFTemperatureZone[[#Headers],[Temperature zone]],0)</f>
        <v>0.04</v>
      </c>
      <c r="N237" s="34" cm="1">
        <f t="array" ref="N237">Common_InputFunctions.Utility_DisplayArrayInTable(Common_SourceData.Common_SourceData_MCFTemperatureZone_Data(),Table_SourceData_Common_MCFTemperatureZone[[#Headers],[Temperature zone]],0)</f>
        <v>1.4999999999999999E-2</v>
      </c>
      <c r="O237" s="34" cm="1">
        <f t="array" ref="O237">Common_InputFunctions.Utility_DisplayArrayInTable(Common_SourceData.Common_SourceData_MCFTemperatureZone_Data(),Table_SourceData_Common_MCFTemperatureZone[[#Headers],[Temperature zone]],0)</f>
        <v>1.4999999999999999E-2</v>
      </c>
      <c r="P237" s="34" cm="1">
        <f t="array" ref="P237">Common_InputFunctions.Utility_DisplayArrayInTable(Common_SourceData.Common_SourceData_MCFTemperatureZone_Data(),Table_SourceData_Common_MCFTemperatureZone[[#Headers],[Temperature zone]],0)</f>
        <v>0</v>
      </c>
      <c r="Q237" s="34" cm="1">
        <f t="array" ref="Q237">Common_InputFunctions.Utility_DisplayArrayInTable(Common_SourceData.Common_SourceData_MCFTemperatureZone_Data(),Table_SourceData_Common_MCFTemperatureZone[[#Headers],[Temperature zone]],0)</f>
        <v>0</v>
      </c>
      <c r="R237" s="34" cm="1">
        <f t="array" ref="R237">Common_InputFunctions.Utility_DisplayArrayInTable(Common_SourceData.Common_SourceData_MCFTemperatureZone_Data(),Table_SourceData_Common_MCFTemperatureZone[[#Headers],[Temperature zone]],0)</f>
        <v>4.7000000000000002E-3</v>
      </c>
      <c r="S237" s="3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4" cm="1">
        <f t="array" ref="E238">Common_InputFunctions.Utility_DisplayArrayInTable(Common_SourceData.Common_SourceData_MCFTemperatureZone_Data(),Table_SourceData_Common_MCFTemperatureZone[[#Headers],[Temperature zone]],0)</f>
        <v>16</v>
      </c>
      <c r="F238" s="34" cm="1">
        <f t="array" ref="F238">Common_InputFunctions.Utility_DisplayArrayInTable(Common_SourceData.Common_SourceData_MCFTemperatureZone_Data(),Table_SourceData_Common_MCFTemperatureZone[[#Headers],[Temperature zone]],0)</f>
        <v>0.75</v>
      </c>
      <c r="G238" s="34" cm="1">
        <f t="array" ref="G238">Common_InputFunctions.Utility_DisplayArrayInTable(Common_SourceData.Common_SourceData_MCFTemperatureZone_Data(),Table_SourceData_Common_MCFTemperatureZone[[#Headers],[Temperature zone]],0)</f>
        <v>0.1</v>
      </c>
      <c r="H238" s="34" cm="1">
        <f t="array" ref="H238">Common_InputFunctions.Utility_DisplayArrayInTable(Common_SourceData.Common_SourceData_MCFTemperatureZone_Data(),Table_SourceData_Common_MCFTemperatureZone[[#Headers],[Temperature zone]],0)</f>
        <v>0.18</v>
      </c>
      <c r="I238" s="34" cm="1">
        <f t="array" ref="I238">Common_InputFunctions.Utility_DisplayArrayInTable(Common_SourceData.Common_SourceData_MCFTemperatureZone_Data(),Table_SourceData_Common_MCFTemperatureZone[[#Headers],[Temperature zone]],0)</f>
        <v>5.0000000000000001E-3</v>
      </c>
      <c r="J238" s="34" cm="1">
        <f t="array" ref="J238">Common_InputFunctions.Utility_DisplayArrayInTable(Common_SourceData.Common_SourceData_MCFTemperatureZone_Data(),Table_SourceData_Common_MCFTemperatureZone[[#Headers],[Temperature zone]],0)</f>
        <v>0.01</v>
      </c>
      <c r="K238" s="34" cm="1">
        <f t="array" ref="K238">Common_InputFunctions.Utility_DisplayArrayInTable(Common_SourceData.Common_SourceData_MCFTemperatureZone_Data(),Table_SourceData_Common_MCFTemperatureZone[[#Headers],[Temperature zone]],0)</f>
        <v>0.02</v>
      </c>
      <c r="L238" s="34" cm="1">
        <f t="array" ref="L238">Common_InputFunctions.Utility_DisplayArrayInTable(Common_SourceData.Common_SourceData_MCFTemperatureZone_Data(),Table_SourceData_Common_MCFTemperatureZone[[#Headers],[Temperature zone]],0)</f>
        <v>0.03</v>
      </c>
      <c r="M238" s="34" cm="1">
        <f t="array" ref="M238">Common_InputFunctions.Utility_DisplayArrayInTable(Common_SourceData.Common_SourceData_MCFTemperatureZone_Data(),Table_SourceData_Common_MCFTemperatureZone[[#Headers],[Temperature zone]],0)</f>
        <v>0.04</v>
      </c>
      <c r="N238" s="34" cm="1">
        <f t="array" ref="N238">Common_InputFunctions.Utility_DisplayArrayInTable(Common_SourceData.Common_SourceData_MCFTemperatureZone_Data(),Table_SourceData_Common_MCFTemperatureZone[[#Headers],[Temperature zone]],0)</f>
        <v>1.4999999999999999E-2</v>
      </c>
      <c r="O238" s="34" cm="1">
        <f t="array" ref="O238">Common_InputFunctions.Utility_DisplayArrayInTable(Common_SourceData.Common_SourceData_MCFTemperatureZone_Data(),Table_SourceData_Common_MCFTemperatureZone[[#Headers],[Temperature zone]],0)</f>
        <v>1.4999999999999999E-2</v>
      </c>
      <c r="P238" s="34" cm="1">
        <f t="array" ref="P238">Common_InputFunctions.Utility_DisplayArrayInTable(Common_SourceData.Common_SourceData_MCFTemperatureZone_Data(),Table_SourceData_Common_MCFTemperatureZone[[#Headers],[Temperature zone]],0)</f>
        <v>0</v>
      </c>
      <c r="Q238" s="34" cm="1">
        <f t="array" ref="Q238">Common_InputFunctions.Utility_DisplayArrayInTable(Common_SourceData.Common_SourceData_MCFTemperatureZone_Data(),Table_SourceData_Common_MCFTemperatureZone[[#Headers],[Temperature zone]],0)</f>
        <v>0</v>
      </c>
      <c r="R238" s="34" cm="1">
        <f t="array" ref="R238">Common_InputFunctions.Utility_DisplayArrayInTable(Common_SourceData.Common_SourceData_MCFTemperatureZone_Data(),Table_SourceData_Common_MCFTemperatureZone[[#Headers],[Temperature zone]],0)</f>
        <v>4.7000000000000002E-3</v>
      </c>
      <c r="S238" s="3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4" cm="1">
        <f t="array" ref="E239">Common_InputFunctions.Utility_DisplayArrayInTable(Common_SourceData.Common_SourceData_MCFTemperatureZone_Data(),Table_SourceData_Common_MCFTemperatureZone[[#Headers],[Temperature zone]],0)</f>
        <v>17</v>
      </c>
      <c r="F239" s="34" cm="1">
        <f t="array" ref="F239">Common_InputFunctions.Utility_DisplayArrayInTable(Common_SourceData.Common_SourceData_MCFTemperatureZone_Data(),Table_SourceData_Common_MCFTemperatureZone[[#Headers],[Temperature zone]],0)</f>
        <v>0.76</v>
      </c>
      <c r="G239" s="34" cm="1">
        <f t="array" ref="G239">Common_InputFunctions.Utility_DisplayArrayInTable(Common_SourceData.Common_SourceData_MCFTemperatureZone_Data(),Table_SourceData_Common_MCFTemperatureZone[[#Headers],[Temperature zone]],0)</f>
        <v>0.1</v>
      </c>
      <c r="H239" s="34" cm="1">
        <f t="array" ref="H239">Common_InputFunctions.Utility_DisplayArrayInTable(Common_SourceData.Common_SourceData_MCFTemperatureZone_Data(),Table_SourceData_Common_MCFTemperatureZone[[#Headers],[Temperature zone]],0)</f>
        <v>0.2</v>
      </c>
      <c r="I239" s="34" cm="1">
        <f t="array" ref="I239">Common_InputFunctions.Utility_DisplayArrayInTable(Common_SourceData.Common_SourceData_MCFTemperatureZone_Data(),Table_SourceData_Common_MCFTemperatureZone[[#Headers],[Temperature zone]],0)</f>
        <v>5.0000000000000001E-3</v>
      </c>
      <c r="J239" s="34" cm="1">
        <f t="array" ref="J239">Common_InputFunctions.Utility_DisplayArrayInTable(Common_SourceData.Common_SourceData_MCFTemperatureZone_Data(),Table_SourceData_Common_MCFTemperatureZone[[#Headers],[Temperature zone]],0)</f>
        <v>0.01</v>
      </c>
      <c r="K239" s="34" cm="1">
        <f t="array" ref="K239">Common_InputFunctions.Utility_DisplayArrayInTable(Common_SourceData.Common_SourceData_MCFTemperatureZone_Data(),Table_SourceData_Common_MCFTemperatureZone[[#Headers],[Temperature zone]],0)</f>
        <v>0.02</v>
      </c>
      <c r="L239" s="34" cm="1">
        <f t="array" ref="L239">Common_InputFunctions.Utility_DisplayArrayInTable(Common_SourceData.Common_SourceData_MCFTemperatureZone_Data(),Table_SourceData_Common_MCFTemperatureZone[[#Headers],[Temperature zone]],0)</f>
        <v>0.03</v>
      </c>
      <c r="M239" s="34" cm="1">
        <f t="array" ref="M239">Common_InputFunctions.Utility_DisplayArrayInTable(Common_SourceData.Common_SourceData_MCFTemperatureZone_Data(),Table_SourceData_Common_MCFTemperatureZone[[#Headers],[Temperature zone]],0)</f>
        <v>0.04</v>
      </c>
      <c r="N239" s="34" cm="1">
        <f t="array" ref="N239">Common_InputFunctions.Utility_DisplayArrayInTable(Common_SourceData.Common_SourceData_MCFTemperatureZone_Data(),Table_SourceData_Common_MCFTemperatureZone[[#Headers],[Temperature zone]],0)</f>
        <v>1.4999999999999999E-2</v>
      </c>
      <c r="O239" s="34" cm="1">
        <f t="array" ref="O239">Common_InputFunctions.Utility_DisplayArrayInTable(Common_SourceData.Common_SourceData_MCFTemperatureZone_Data(),Table_SourceData_Common_MCFTemperatureZone[[#Headers],[Temperature zone]],0)</f>
        <v>1.4999999999999999E-2</v>
      </c>
      <c r="P239" s="34" cm="1">
        <f t="array" ref="P239">Common_InputFunctions.Utility_DisplayArrayInTable(Common_SourceData.Common_SourceData_MCFTemperatureZone_Data(),Table_SourceData_Common_MCFTemperatureZone[[#Headers],[Temperature zone]],0)</f>
        <v>0</v>
      </c>
      <c r="Q239" s="34" cm="1">
        <f t="array" ref="Q239">Common_InputFunctions.Utility_DisplayArrayInTable(Common_SourceData.Common_SourceData_MCFTemperatureZone_Data(),Table_SourceData_Common_MCFTemperatureZone[[#Headers],[Temperature zone]],0)</f>
        <v>0</v>
      </c>
      <c r="R239" s="34" cm="1">
        <f t="array" ref="R239">Common_InputFunctions.Utility_DisplayArrayInTable(Common_SourceData.Common_SourceData_MCFTemperatureZone_Data(),Table_SourceData_Common_MCFTemperatureZone[[#Headers],[Temperature zone]],0)</f>
        <v>4.7000000000000002E-3</v>
      </c>
      <c r="S239" s="3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4" cm="1">
        <f t="array" ref="E240">Common_InputFunctions.Utility_DisplayArrayInTable(Common_SourceData.Common_SourceData_MCFTemperatureZone_Data(),Table_SourceData_Common_MCFTemperatureZone[[#Headers],[Temperature zone]],0)</f>
        <v>18</v>
      </c>
      <c r="F240" s="34" cm="1">
        <f t="array" ref="F240">Common_InputFunctions.Utility_DisplayArrayInTable(Common_SourceData.Common_SourceData_MCFTemperatureZone_Data(),Table_SourceData_Common_MCFTemperatureZone[[#Headers],[Temperature zone]],0)</f>
        <v>0.77</v>
      </c>
      <c r="G240" s="34" cm="1">
        <f t="array" ref="G240">Common_InputFunctions.Utility_DisplayArrayInTable(Common_SourceData.Common_SourceData_MCFTemperatureZone_Data(),Table_SourceData_Common_MCFTemperatureZone[[#Headers],[Temperature zone]],0)</f>
        <v>0.1</v>
      </c>
      <c r="H240" s="34" cm="1">
        <f t="array" ref="H240">Common_InputFunctions.Utility_DisplayArrayInTable(Common_SourceData.Common_SourceData_MCFTemperatureZone_Data(),Table_SourceData_Common_MCFTemperatureZone[[#Headers],[Temperature zone]],0)</f>
        <v>0.22</v>
      </c>
      <c r="I240" s="34" cm="1">
        <f t="array" ref="I240">Common_InputFunctions.Utility_DisplayArrayInTable(Common_SourceData.Common_SourceData_MCFTemperatureZone_Data(),Table_SourceData_Common_MCFTemperatureZone[[#Headers],[Temperature zone]],0)</f>
        <v>5.0000000000000001E-3</v>
      </c>
      <c r="J240" s="34" cm="1">
        <f t="array" ref="J240">Common_InputFunctions.Utility_DisplayArrayInTable(Common_SourceData.Common_SourceData_MCFTemperatureZone_Data(),Table_SourceData_Common_MCFTemperatureZone[[#Headers],[Temperature zone]],0)</f>
        <v>0.01</v>
      </c>
      <c r="K240" s="34" cm="1">
        <f t="array" ref="K240">Common_InputFunctions.Utility_DisplayArrayInTable(Common_SourceData.Common_SourceData_MCFTemperatureZone_Data(),Table_SourceData_Common_MCFTemperatureZone[[#Headers],[Temperature zone]],0)</f>
        <v>0.02</v>
      </c>
      <c r="L240" s="34" cm="1">
        <f t="array" ref="L240">Common_InputFunctions.Utility_DisplayArrayInTable(Common_SourceData.Common_SourceData_MCFTemperatureZone_Data(),Table_SourceData_Common_MCFTemperatureZone[[#Headers],[Temperature zone]],0)</f>
        <v>0.03</v>
      </c>
      <c r="M240" s="34" cm="1">
        <f t="array" ref="M240">Common_InputFunctions.Utility_DisplayArrayInTable(Common_SourceData.Common_SourceData_MCFTemperatureZone_Data(),Table_SourceData_Common_MCFTemperatureZone[[#Headers],[Temperature zone]],0)</f>
        <v>0.04</v>
      </c>
      <c r="N240" s="34" cm="1">
        <f t="array" ref="N240">Common_InputFunctions.Utility_DisplayArrayInTable(Common_SourceData.Common_SourceData_MCFTemperatureZone_Data(),Table_SourceData_Common_MCFTemperatureZone[[#Headers],[Temperature zone]],0)</f>
        <v>1.4999999999999999E-2</v>
      </c>
      <c r="O240" s="34" cm="1">
        <f t="array" ref="O240">Common_InputFunctions.Utility_DisplayArrayInTable(Common_SourceData.Common_SourceData_MCFTemperatureZone_Data(),Table_SourceData_Common_MCFTemperatureZone[[#Headers],[Temperature zone]],0)</f>
        <v>1.4999999999999999E-2</v>
      </c>
      <c r="P240" s="34" cm="1">
        <f t="array" ref="P240">Common_InputFunctions.Utility_DisplayArrayInTable(Common_SourceData.Common_SourceData_MCFTemperatureZone_Data(),Table_SourceData_Common_MCFTemperatureZone[[#Headers],[Temperature zone]],0)</f>
        <v>0</v>
      </c>
      <c r="Q240" s="34" cm="1">
        <f t="array" ref="Q240">Common_InputFunctions.Utility_DisplayArrayInTable(Common_SourceData.Common_SourceData_MCFTemperatureZone_Data(),Table_SourceData_Common_MCFTemperatureZone[[#Headers],[Temperature zone]],0)</f>
        <v>0</v>
      </c>
      <c r="R240" s="34" cm="1">
        <f t="array" ref="R240">Common_InputFunctions.Utility_DisplayArrayInTable(Common_SourceData.Common_SourceData_MCFTemperatureZone_Data(),Table_SourceData_Common_MCFTemperatureZone[[#Headers],[Temperature zone]],0)</f>
        <v>4.7000000000000002E-3</v>
      </c>
      <c r="S240" s="3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4" cm="1">
        <f t="array" ref="E241">Common_InputFunctions.Utility_DisplayArrayInTable(Common_SourceData.Common_SourceData_MCFTemperatureZone_Data(),Table_SourceData_Common_MCFTemperatureZone[[#Headers],[Temperature zone]],0)</f>
        <v>19</v>
      </c>
      <c r="F241" s="34" cm="1">
        <f t="array" ref="F241">Common_InputFunctions.Utility_DisplayArrayInTable(Common_SourceData.Common_SourceData_MCFTemperatureZone_Data(),Table_SourceData_Common_MCFTemperatureZone[[#Headers],[Temperature zone]],0)</f>
        <v>0.77</v>
      </c>
      <c r="G241" s="34" cm="1">
        <f t="array" ref="G241">Common_InputFunctions.Utility_DisplayArrayInTable(Common_SourceData.Common_SourceData_MCFTemperatureZone_Data(),Table_SourceData_Common_MCFTemperatureZone[[#Headers],[Temperature zone]],0)</f>
        <v>0.1</v>
      </c>
      <c r="H241" s="34" cm="1">
        <f t="array" ref="H241">Common_InputFunctions.Utility_DisplayArrayInTable(Common_SourceData.Common_SourceData_MCFTemperatureZone_Data(),Table_SourceData_Common_MCFTemperatureZone[[#Headers],[Temperature zone]],0)</f>
        <v>0.24</v>
      </c>
      <c r="I241" s="34" cm="1">
        <f t="array" ref="I241">Common_InputFunctions.Utility_DisplayArrayInTable(Common_SourceData.Common_SourceData_MCFTemperatureZone_Data(),Table_SourceData_Common_MCFTemperatureZone[[#Headers],[Temperature zone]],0)</f>
        <v>5.0000000000000001E-3</v>
      </c>
      <c r="J241" s="34" cm="1">
        <f t="array" ref="J241">Common_InputFunctions.Utility_DisplayArrayInTable(Common_SourceData.Common_SourceData_MCFTemperatureZone_Data(),Table_SourceData_Common_MCFTemperatureZone[[#Headers],[Temperature zone]],0)</f>
        <v>0.01</v>
      </c>
      <c r="K241" s="34" cm="1">
        <f t="array" ref="K241">Common_InputFunctions.Utility_DisplayArrayInTable(Common_SourceData.Common_SourceData_MCFTemperatureZone_Data(),Table_SourceData_Common_MCFTemperatureZone[[#Headers],[Temperature zone]],0)</f>
        <v>0.02</v>
      </c>
      <c r="L241" s="34" cm="1">
        <f t="array" ref="L241">Common_InputFunctions.Utility_DisplayArrayInTable(Common_SourceData.Common_SourceData_MCFTemperatureZone_Data(),Table_SourceData_Common_MCFTemperatureZone[[#Headers],[Temperature zone]],0)</f>
        <v>0.03</v>
      </c>
      <c r="M241" s="34" cm="1">
        <f t="array" ref="M241">Common_InputFunctions.Utility_DisplayArrayInTable(Common_SourceData.Common_SourceData_MCFTemperatureZone_Data(),Table_SourceData_Common_MCFTemperatureZone[[#Headers],[Temperature zone]],0)</f>
        <v>0.04</v>
      </c>
      <c r="N241" s="34" cm="1">
        <f t="array" ref="N241">Common_InputFunctions.Utility_DisplayArrayInTable(Common_SourceData.Common_SourceData_MCFTemperatureZone_Data(),Table_SourceData_Common_MCFTemperatureZone[[#Headers],[Temperature zone]],0)</f>
        <v>1.4999999999999999E-2</v>
      </c>
      <c r="O241" s="34" cm="1">
        <f t="array" ref="O241">Common_InputFunctions.Utility_DisplayArrayInTable(Common_SourceData.Common_SourceData_MCFTemperatureZone_Data(),Table_SourceData_Common_MCFTemperatureZone[[#Headers],[Temperature zone]],0)</f>
        <v>1.4999999999999999E-2</v>
      </c>
      <c r="P241" s="34" cm="1">
        <f t="array" ref="P241">Common_InputFunctions.Utility_DisplayArrayInTable(Common_SourceData.Common_SourceData_MCFTemperatureZone_Data(),Table_SourceData_Common_MCFTemperatureZone[[#Headers],[Temperature zone]],0)</f>
        <v>0</v>
      </c>
      <c r="Q241" s="34" cm="1">
        <f t="array" ref="Q241">Common_InputFunctions.Utility_DisplayArrayInTable(Common_SourceData.Common_SourceData_MCFTemperatureZone_Data(),Table_SourceData_Common_MCFTemperatureZone[[#Headers],[Temperature zone]],0)</f>
        <v>0</v>
      </c>
      <c r="R241" s="34" cm="1">
        <f t="array" ref="R241">Common_InputFunctions.Utility_DisplayArrayInTable(Common_SourceData.Common_SourceData_MCFTemperatureZone_Data(),Table_SourceData_Common_MCFTemperatureZone[[#Headers],[Temperature zone]],0)</f>
        <v>4.7000000000000002E-3</v>
      </c>
      <c r="S241" s="3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4" cm="1">
        <f t="array" ref="E242">Common_InputFunctions.Utility_DisplayArrayInTable(Common_SourceData.Common_SourceData_MCFTemperatureZone_Data(),Table_SourceData_Common_MCFTemperatureZone[[#Headers],[Temperature zone]],0)</f>
        <v>20</v>
      </c>
      <c r="F242" s="34" cm="1">
        <f t="array" ref="F242">Common_InputFunctions.Utility_DisplayArrayInTable(Common_SourceData.Common_SourceData_MCFTemperatureZone_Data(),Table_SourceData_Common_MCFTemperatureZone[[#Headers],[Temperature zone]],0)</f>
        <v>0.78</v>
      </c>
      <c r="G242" s="34" cm="1">
        <f t="array" ref="G242">Common_InputFunctions.Utility_DisplayArrayInTable(Common_SourceData.Common_SourceData_MCFTemperatureZone_Data(),Table_SourceData_Common_MCFTemperatureZone[[#Headers],[Temperature zone]],0)</f>
        <v>0.1</v>
      </c>
      <c r="H242" s="34" cm="1">
        <f t="array" ref="H242">Common_InputFunctions.Utility_DisplayArrayInTable(Common_SourceData.Common_SourceData_MCFTemperatureZone_Data(),Table_SourceData_Common_MCFTemperatureZone[[#Headers],[Temperature zone]],0)</f>
        <v>0.26</v>
      </c>
      <c r="I242" s="34" cm="1">
        <f t="array" ref="I242">Common_InputFunctions.Utility_DisplayArrayInTable(Common_SourceData.Common_SourceData_MCFTemperatureZone_Data(),Table_SourceData_Common_MCFTemperatureZone[[#Headers],[Temperature zone]],0)</f>
        <v>5.0000000000000001E-3</v>
      </c>
      <c r="J242" s="34" cm="1">
        <f t="array" ref="J242">Common_InputFunctions.Utility_DisplayArrayInTable(Common_SourceData.Common_SourceData_MCFTemperatureZone_Data(),Table_SourceData_Common_MCFTemperatureZone[[#Headers],[Temperature zone]],0)</f>
        <v>0.01</v>
      </c>
      <c r="K242" s="34" cm="1">
        <f t="array" ref="K242">Common_InputFunctions.Utility_DisplayArrayInTable(Common_SourceData.Common_SourceData_MCFTemperatureZone_Data(),Table_SourceData_Common_MCFTemperatureZone[[#Headers],[Temperature zone]],0)</f>
        <v>0.02</v>
      </c>
      <c r="L242" s="34" cm="1">
        <f t="array" ref="L242">Common_InputFunctions.Utility_DisplayArrayInTable(Common_SourceData.Common_SourceData_MCFTemperatureZone_Data(),Table_SourceData_Common_MCFTemperatureZone[[#Headers],[Temperature zone]],0)</f>
        <v>0.03</v>
      </c>
      <c r="M242" s="34" cm="1">
        <f t="array" ref="M242">Common_InputFunctions.Utility_DisplayArrayInTable(Common_SourceData.Common_SourceData_MCFTemperatureZone_Data(),Table_SourceData_Common_MCFTemperatureZone[[#Headers],[Temperature zone]],0)</f>
        <v>0.04</v>
      </c>
      <c r="N242" s="34" cm="1">
        <f t="array" ref="N242">Common_InputFunctions.Utility_DisplayArrayInTable(Common_SourceData.Common_SourceData_MCFTemperatureZone_Data(),Table_SourceData_Common_MCFTemperatureZone[[#Headers],[Temperature zone]],0)</f>
        <v>1.4999999999999999E-2</v>
      </c>
      <c r="O242" s="34" cm="1">
        <f t="array" ref="O242">Common_InputFunctions.Utility_DisplayArrayInTable(Common_SourceData.Common_SourceData_MCFTemperatureZone_Data(),Table_SourceData_Common_MCFTemperatureZone[[#Headers],[Temperature zone]],0)</f>
        <v>1.4999999999999999E-2</v>
      </c>
      <c r="P242" s="34" cm="1">
        <f t="array" ref="P242">Common_InputFunctions.Utility_DisplayArrayInTable(Common_SourceData.Common_SourceData_MCFTemperatureZone_Data(),Table_SourceData_Common_MCFTemperatureZone[[#Headers],[Temperature zone]],0)</f>
        <v>0</v>
      </c>
      <c r="Q242" s="34" cm="1">
        <f t="array" ref="Q242">Common_InputFunctions.Utility_DisplayArrayInTable(Common_SourceData.Common_SourceData_MCFTemperatureZone_Data(),Table_SourceData_Common_MCFTemperatureZone[[#Headers],[Temperature zone]],0)</f>
        <v>0</v>
      </c>
      <c r="R242" s="34" cm="1">
        <f t="array" ref="R242">Common_InputFunctions.Utility_DisplayArrayInTable(Common_SourceData.Common_SourceData_MCFTemperatureZone_Data(),Table_SourceData_Common_MCFTemperatureZone[[#Headers],[Temperature zone]],0)</f>
        <v>4.7000000000000002E-3</v>
      </c>
      <c r="S242" s="3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4" cm="1">
        <f t="array" ref="E243">Common_InputFunctions.Utility_DisplayArrayInTable(Common_SourceData.Common_SourceData_MCFTemperatureZone_Data(),Table_SourceData_Common_MCFTemperatureZone[[#Headers],[Temperature zone]],0)</f>
        <v>21</v>
      </c>
      <c r="F243" s="34" cm="1">
        <f t="array" ref="F243">Common_InputFunctions.Utility_DisplayArrayInTable(Common_SourceData.Common_SourceData_MCFTemperatureZone_Data(),Table_SourceData_Common_MCFTemperatureZone[[#Headers],[Temperature zone]],0)</f>
        <v>0.78</v>
      </c>
      <c r="G243" s="34" cm="1">
        <f t="array" ref="G243">Common_InputFunctions.Utility_DisplayArrayInTable(Common_SourceData.Common_SourceData_MCFTemperatureZone_Data(),Table_SourceData_Common_MCFTemperatureZone[[#Headers],[Temperature zone]],0)</f>
        <v>0.1</v>
      </c>
      <c r="H243" s="34" cm="1">
        <f t="array" ref="H243">Common_InputFunctions.Utility_DisplayArrayInTable(Common_SourceData.Common_SourceData_MCFTemperatureZone_Data(),Table_SourceData_Common_MCFTemperatureZone[[#Headers],[Temperature zone]],0)</f>
        <v>0.28999999999999998</v>
      </c>
      <c r="I243" s="34" cm="1">
        <f t="array" ref="I243">Common_InputFunctions.Utility_DisplayArrayInTable(Common_SourceData.Common_SourceData_MCFTemperatureZone_Data(),Table_SourceData_Common_MCFTemperatureZone[[#Headers],[Temperature zone]],0)</f>
        <v>5.0000000000000001E-3</v>
      </c>
      <c r="J243" s="34" cm="1">
        <f t="array" ref="J243">Common_InputFunctions.Utility_DisplayArrayInTable(Common_SourceData.Common_SourceData_MCFTemperatureZone_Data(),Table_SourceData_Common_MCFTemperatureZone[[#Headers],[Temperature zone]],0)</f>
        <v>0.01</v>
      </c>
      <c r="K243" s="34" cm="1">
        <f t="array" ref="K243">Common_InputFunctions.Utility_DisplayArrayInTable(Common_SourceData.Common_SourceData_MCFTemperatureZone_Data(),Table_SourceData_Common_MCFTemperatureZone[[#Headers],[Temperature zone]],0)</f>
        <v>0.02</v>
      </c>
      <c r="L243" s="34" cm="1">
        <f t="array" ref="L243">Common_InputFunctions.Utility_DisplayArrayInTable(Common_SourceData.Common_SourceData_MCFTemperatureZone_Data(),Table_SourceData_Common_MCFTemperatureZone[[#Headers],[Temperature zone]],0)</f>
        <v>0.03</v>
      </c>
      <c r="M243" s="34" cm="1">
        <f t="array" ref="M243">Common_InputFunctions.Utility_DisplayArrayInTable(Common_SourceData.Common_SourceData_MCFTemperatureZone_Data(),Table_SourceData_Common_MCFTemperatureZone[[#Headers],[Temperature zone]],0)</f>
        <v>0.04</v>
      </c>
      <c r="N243" s="34" cm="1">
        <f t="array" ref="N243">Common_InputFunctions.Utility_DisplayArrayInTable(Common_SourceData.Common_SourceData_MCFTemperatureZone_Data(),Table_SourceData_Common_MCFTemperatureZone[[#Headers],[Temperature zone]],0)</f>
        <v>1.4999999999999999E-2</v>
      </c>
      <c r="O243" s="34" cm="1">
        <f t="array" ref="O243">Common_InputFunctions.Utility_DisplayArrayInTable(Common_SourceData.Common_SourceData_MCFTemperatureZone_Data(),Table_SourceData_Common_MCFTemperatureZone[[#Headers],[Temperature zone]],0)</f>
        <v>1.4999999999999999E-2</v>
      </c>
      <c r="P243" s="34" cm="1">
        <f t="array" ref="P243">Common_InputFunctions.Utility_DisplayArrayInTable(Common_SourceData.Common_SourceData_MCFTemperatureZone_Data(),Table_SourceData_Common_MCFTemperatureZone[[#Headers],[Temperature zone]],0)</f>
        <v>0</v>
      </c>
      <c r="Q243" s="34" cm="1">
        <f t="array" ref="Q243">Common_InputFunctions.Utility_DisplayArrayInTable(Common_SourceData.Common_SourceData_MCFTemperatureZone_Data(),Table_SourceData_Common_MCFTemperatureZone[[#Headers],[Temperature zone]],0)</f>
        <v>0</v>
      </c>
      <c r="R243" s="34" cm="1">
        <f t="array" ref="R243">Common_InputFunctions.Utility_DisplayArrayInTable(Common_SourceData.Common_SourceData_MCFTemperatureZone_Data(),Table_SourceData_Common_MCFTemperatureZone[[#Headers],[Temperature zone]],0)</f>
        <v>4.7000000000000002E-3</v>
      </c>
      <c r="S243" s="3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4" cm="1">
        <f t="array" ref="E244">Common_InputFunctions.Utility_DisplayArrayInTable(Common_SourceData.Common_SourceData_MCFTemperatureZone_Data(),Table_SourceData_Common_MCFTemperatureZone[[#Headers],[Temperature zone]],0)</f>
        <v>22</v>
      </c>
      <c r="F244" s="34" cm="1">
        <f t="array" ref="F244">Common_InputFunctions.Utility_DisplayArrayInTable(Common_SourceData.Common_SourceData_MCFTemperatureZone_Data(),Table_SourceData_Common_MCFTemperatureZone[[#Headers],[Temperature zone]],0)</f>
        <v>0.78</v>
      </c>
      <c r="G244" s="34" cm="1">
        <f t="array" ref="G244">Common_InputFunctions.Utility_DisplayArrayInTable(Common_SourceData.Common_SourceData_MCFTemperatureZone_Data(),Table_SourceData_Common_MCFTemperatureZone[[#Headers],[Temperature zone]],0)</f>
        <v>0.1</v>
      </c>
      <c r="H244" s="34" cm="1">
        <f t="array" ref="H244">Common_InputFunctions.Utility_DisplayArrayInTable(Common_SourceData.Common_SourceData_MCFTemperatureZone_Data(),Table_SourceData_Common_MCFTemperatureZone[[#Headers],[Temperature zone]],0)</f>
        <v>0.31</v>
      </c>
      <c r="I244" s="34" cm="1">
        <f t="array" ref="I244">Common_InputFunctions.Utility_DisplayArrayInTable(Common_SourceData.Common_SourceData_MCFTemperatureZone_Data(),Table_SourceData_Common_MCFTemperatureZone[[#Headers],[Temperature zone]],0)</f>
        <v>5.0000000000000001E-3</v>
      </c>
      <c r="J244" s="34" cm="1">
        <f t="array" ref="J244">Common_InputFunctions.Utility_DisplayArrayInTable(Common_SourceData.Common_SourceData_MCFTemperatureZone_Data(),Table_SourceData_Common_MCFTemperatureZone[[#Headers],[Temperature zone]],0)</f>
        <v>0.01</v>
      </c>
      <c r="K244" s="34" cm="1">
        <f t="array" ref="K244">Common_InputFunctions.Utility_DisplayArrayInTable(Common_SourceData.Common_SourceData_MCFTemperatureZone_Data(),Table_SourceData_Common_MCFTemperatureZone[[#Headers],[Temperature zone]],0)</f>
        <v>0.02</v>
      </c>
      <c r="L244" s="34" cm="1">
        <f t="array" ref="L244">Common_InputFunctions.Utility_DisplayArrayInTable(Common_SourceData.Common_SourceData_MCFTemperatureZone_Data(),Table_SourceData_Common_MCFTemperatureZone[[#Headers],[Temperature zone]],0)</f>
        <v>0.03</v>
      </c>
      <c r="M244" s="34" cm="1">
        <f t="array" ref="M244">Common_InputFunctions.Utility_DisplayArrayInTable(Common_SourceData.Common_SourceData_MCFTemperatureZone_Data(),Table_SourceData_Common_MCFTemperatureZone[[#Headers],[Temperature zone]],0)</f>
        <v>0.04</v>
      </c>
      <c r="N244" s="34" cm="1">
        <f t="array" ref="N244">Common_InputFunctions.Utility_DisplayArrayInTable(Common_SourceData.Common_SourceData_MCFTemperatureZone_Data(),Table_SourceData_Common_MCFTemperatureZone[[#Headers],[Temperature zone]],0)</f>
        <v>1.4999999999999999E-2</v>
      </c>
      <c r="O244" s="34" cm="1">
        <f t="array" ref="O244">Common_InputFunctions.Utility_DisplayArrayInTable(Common_SourceData.Common_SourceData_MCFTemperatureZone_Data(),Table_SourceData_Common_MCFTemperatureZone[[#Headers],[Temperature zone]],0)</f>
        <v>1.4999999999999999E-2</v>
      </c>
      <c r="P244" s="34" cm="1">
        <f t="array" ref="P244">Common_InputFunctions.Utility_DisplayArrayInTable(Common_SourceData.Common_SourceData_MCFTemperatureZone_Data(),Table_SourceData_Common_MCFTemperatureZone[[#Headers],[Temperature zone]],0)</f>
        <v>0</v>
      </c>
      <c r="Q244" s="34" cm="1">
        <f t="array" ref="Q244">Common_InputFunctions.Utility_DisplayArrayInTable(Common_SourceData.Common_SourceData_MCFTemperatureZone_Data(),Table_SourceData_Common_MCFTemperatureZone[[#Headers],[Temperature zone]],0)</f>
        <v>0</v>
      </c>
      <c r="R244" s="34" cm="1">
        <f t="array" ref="R244">Common_InputFunctions.Utility_DisplayArrayInTable(Common_SourceData.Common_SourceData_MCFTemperatureZone_Data(),Table_SourceData_Common_MCFTemperatureZone[[#Headers],[Temperature zone]],0)</f>
        <v>4.7000000000000002E-3</v>
      </c>
      <c r="S244" s="3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4" cm="1">
        <f t="array" ref="E245">Common_InputFunctions.Utility_DisplayArrayInTable(Common_SourceData.Common_SourceData_MCFTemperatureZone_Data(),Table_SourceData_Common_MCFTemperatureZone[[#Headers],[Temperature zone]],0)</f>
        <v>23</v>
      </c>
      <c r="F245" s="34" cm="1">
        <f t="array" ref="F245">Common_InputFunctions.Utility_DisplayArrayInTable(Common_SourceData.Common_SourceData_MCFTemperatureZone_Data(),Table_SourceData_Common_MCFTemperatureZone[[#Headers],[Temperature zone]],0)</f>
        <v>0.79</v>
      </c>
      <c r="G245" s="34" cm="1">
        <f t="array" ref="G245">Common_InputFunctions.Utility_DisplayArrayInTable(Common_SourceData.Common_SourceData_MCFTemperatureZone_Data(),Table_SourceData_Common_MCFTemperatureZone[[#Headers],[Temperature zone]],0)</f>
        <v>0.1</v>
      </c>
      <c r="H245" s="34" cm="1">
        <f t="array" ref="H245">Common_InputFunctions.Utility_DisplayArrayInTable(Common_SourceData.Common_SourceData_MCFTemperatureZone_Data(),Table_SourceData_Common_MCFTemperatureZone[[#Headers],[Temperature zone]],0)</f>
        <v>0.34</v>
      </c>
      <c r="I245" s="34" cm="1">
        <f t="array" ref="I245">Common_InputFunctions.Utility_DisplayArrayInTable(Common_SourceData.Common_SourceData_MCFTemperatureZone_Data(),Table_SourceData_Common_MCFTemperatureZone[[#Headers],[Temperature zone]],0)</f>
        <v>5.0000000000000001E-3</v>
      </c>
      <c r="J245" s="34" cm="1">
        <f t="array" ref="J245">Common_InputFunctions.Utility_DisplayArrayInTable(Common_SourceData.Common_SourceData_MCFTemperatureZone_Data(),Table_SourceData_Common_MCFTemperatureZone[[#Headers],[Temperature zone]],0)</f>
        <v>0.01</v>
      </c>
      <c r="K245" s="34" cm="1">
        <f t="array" ref="K245">Common_InputFunctions.Utility_DisplayArrayInTable(Common_SourceData.Common_SourceData_MCFTemperatureZone_Data(),Table_SourceData_Common_MCFTemperatureZone[[#Headers],[Temperature zone]],0)</f>
        <v>0.02</v>
      </c>
      <c r="L245" s="34" cm="1">
        <f t="array" ref="L245">Common_InputFunctions.Utility_DisplayArrayInTable(Common_SourceData.Common_SourceData_MCFTemperatureZone_Data(),Table_SourceData_Common_MCFTemperatureZone[[#Headers],[Temperature zone]],0)</f>
        <v>0.03</v>
      </c>
      <c r="M245" s="34" cm="1">
        <f t="array" ref="M245">Common_InputFunctions.Utility_DisplayArrayInTable(Common_SourceData.Common_SourceData_MCFTemperatureZone_Data(),Table_SourceData_Common_MCFTemperatureZone[[#Headers],[Temperature zone]],0)</f>
        <v>0.04</v>
      </c>
      <c r="N245" s="34" cm="1">
        <f t="array" ref="N245">Common_InputFunctions.Utility_DisplayArrayInTable(Common_SourceData.Common_SourceData_MCFTemperatureZone_Data(),Table_SourceData_Common_MCFTemperatureZone[[#Headers],[Temperature zone]],0)</f>
        <v>1.4999999999999999E-2</v>
      </c>
      <c r="O245" s="34" cm="1">
        <f t="array" ref="O245">Common_InputFunctions.Utility_DisplayArrayInTable(Common_SourceData.Common_SourceData_MCFTemperatureZone_Data(),Table_SourceData_Common_MCFTemperatureZone[[#Headers],[Temperature zone]],0)</f>
        <v>1.4999999999999999E-2</v>
      </c>
      <c r="P245" s="34" cm="1">
        <f t="array" ref="P245">Common_InputFunctions.Utility_DisplayArrayInTable(Common_SourceData.Common_SourceData_MCFTemperatureZone_Data(),Table_SourceData_Common_MCFTemperatureZone[[#Headers],[Temperature zone]],0)</f>
        <v>0</v>
      </c>
      <c r="Q245" s="34" cm="1">
        <f t="array" ref="Q245">Common_InputFunctions.Utility_DisplayArrayInTable(Common_SourceData.Common_SourceData_MCFTemperatureZone_Data(),Table_SourceData_Common_MCFTemperatureZone[[#Headers],[Temperature zone]],0)</f>
        <v>0</v>
      </c>
      <c r="R245" s="34" cm="1">
        <f t="array" ref="R245">Common_InputFunctions.Utility_DisplayArrayInTable(Common_SourceData.Common_SourceData_MCFTemperatureZone_Data(),Table_SourceData_Common_MCFTemperatureZone[[#Headers],[Temperature zone]],0)</f>
        <v>4.7000000000000002E-3</v>
      </c>
      <c r="S245" s="3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4" cm="1">
        <f t="array" ref="E246">Common_InputFunctions.Utility_DisplayArrayInTable(Common_SourceData.Common_SourceData_MCFTemperatureZone_Data(),Table_SourceData_Common_MCFTemperatureZone[[#Headers],[Temperature zone]],0)</f>
        <v>24</v>
      </c>
      <c r="F246" s="34" cm="1">
        <f t="array" ref="F246">Common_InputFunctions.Utility_DisplayArrayInTable(Common_SourceData.Common_SourceData_MCFTemperatureZone_Data(),Table_SourceData_Common_MCFTemperatureZone[[#Headers],[Temperature zone]],0)</f>
        <v>0.79</v>
      </c>
      <c r="G246" s="34" cm="1">
        <f t="array" ref="G246">Common_InputFunctions.Utility_DisplayArrayInTable(Common_SourceData.Common_SourceData_MCFTemperatureZone_Data(),Table_SourceData_Common_MCFTemperatureZone[[#Headers],[Temperature zone]],0)</f>
        <v>0.1</v>
      </c>
      <c r="H246" s="34" cm="1">
        <f t="array" ref="H246">Common_InputFunctions.Utility_DisplayArrayInTable(Common_SourceData.Common_SourceData_MCFTemperatureZone_Data(),Table_SourceData_Common_MCFTemperatureZone[[#Headers],[Temperature zone]],0)</f>
        <v>0.37</v>
      </c>
      <c r="I246" s="34" cm="1">
        <f t="array" ref="I246">Common_InputFunctions.Utility_DisplayArrayInTable(Common_SourceData.Common_SourceData_MCFTemperatureZone_Data(),Table_SourceData_Common_MCFTemperatureZone[[#Headers],[Temperature zone]],0)</f>
        <v>5.0000000000000001E-3</v>
      </c>
      <c r="J246" s="34" cm="1">
        <f t="array" ref="J246">Common_InputFunctions.Utility_DisplayArrayInTable(Common_SourceData.Common_SourceData_MCFTemperatureZone_Data(),Table_SourceData_Common_MCFTemperatureZone[[#Headers],[Temperature zone]],0)</f>
        <v>0.01</v>
      </c>
      <c r="K246" s="34" cm="1">
        <f t="array" ref="K246">Common_InputFunctions.Utility_DisplayArrayInTable(Common_SourceData.Common_SourceData_MCFTemperatureZone_Data(),Table_SourceData_Common_MCFTemperatureZone[[#Headers],[Temperature zone]],0)</f>
        <v>0.02</v>
      </c>
      <c r="L246" s="34" cm="1">
        <f t="array" ref="L246">Common_InputFunctions.Utility_DisplayArrayInTable(Common_SourceData.Common_SourceData_MCFTemperatureZone_Data(),Table_SourceData_Common_MCFTemperatureZone[[#Headers],[Temperature zone]],0)</f>
        <v>0.03</v>
      </c>
      <c r="M246" s="34" cm="1">
        <f t="array" ref="M246">Common_InputFunctions.Utility_DisplayArrayInTable(Common_SourceData.Common_SourceData_MCFTemperatureZone_Data(),Table_SourceData_Common_MCFTemperatureZone[[#Headers],[Temperature zone]],0)</f>
        <v>0.04</v>
      </c>
      <c r="N246" s="34" cm="1">
        <f t="array" ref="N246">Common_InputFunctions.Utility_DisplayArrayInTable(Common_SourceData.Common_SourceData_MCFTemperatureZone_Data(),Table_SourceData_Common_MCFTemperatureZone[[#Headers],[Temperature zone]],0)</f>
        <v>1.4999999999999999E-2</v>
      </c>
      <c r="O246" s="34" cm="1">
        <f t="array" ref="O246">Common_InputFunctions.Utility_DisplayArrayInTable(Common_SourceData.Common_SourceData_MCFTemperatureZone_Data(),Table_SourceData_Common_MCFTemperatureZone[[#Headers],[Temperature zone]],0)</f>
        <v>1.4999999999999999E-2</v>
      </c>
      <c r="P246" s="34" cm="1">
        <f t="array" ref="P246">Common_InputFunctions.Utility_DisplayArrayInTable(Common_SourceData.Common_SourceData_MCFTemperatureZone_Data(),Table_SourceData_Common_MCFTemperatureZone[[#Headers],[Temperature zone]],0)</f>
        <v>0</v>
      </c>
      <c r="Q246" s="34" cm="1">
        <f t="array" ref="Q246">Common_InputFunctions.Utility_DisplayArrayInTable(Common_SourceData.Common_SourceData_MCFTemperatureZone_Data(),Table_SourceData_Common_MCFTemperatureZone[[#Headers],[Temperature zone]],0)</f>
        <v>0</v>
      </c>
      <c r="R246" s="34" cm="1">
        <f t="array" ref="R246">Common_InputFunctions.Utility_DisplayArrayInTable(Common_SourceData.Common_SourceData_MCFTemperatureZone_Data(),Table_SourceData_Common_MCFTemperatureZone[[#Headers],[Temperature zone]],0)</f>
        <v>4.7000000000000002E-3</v>
      </c>
      <c r="S246" s="3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4" cm="1">
        <f t="array" ref="E247">Common_InputFunctions.Utility_DisplayArrayInTable(Common_SourceData.Common_SourceData_MCFTemperatureZone_Data(),Table_SourceData_Common_MCFTemperatureZone[[#Headers],[Temperature zone]],0)</f>
        <v>25</v>
      </c>
      <c r="F247" s="34" cm="1">
        <f t="array" ref="F247">Common_InputFunctions.Utility_DisplayArrayInTable(Common_SourceData.Common_SourceData_MCFTemperatureZone_Data(),Table_SourceData_Common_MCFTemperatureZone[[#Headers],[Temperature zone]],0)</f>
        <v>0.79</v>
      </c>
      <c r="G247" s="34" cm="1">
        <f t="array" ref="G247">Common_InputFunctions.Utility_DisplayArrayInTable(Common_SourceData.Common_SourceData_MCFTemperatureZone_Data(),Table_SourceData_Common_MCFTemperatureZone[[#Headers],[Temperature zone]],0)</f>
        <v>0.1</v>
      </c>
      <c r="H247" s="34" cm="1">
        <f t="array" ref="H247">Common_InputFunctions.Utility_DisplayArrayInTable(Common_SourceData.Common_SourceData_MCFTemperatureZone_Data(),Table_SourceData_Common_MCFTemperatureZone[[#Headers],[Temperature zone]],0)</f>
        <v>0.41</v>
      </c>
      <c r="I247" s="34" cm="1">
        <f t="array" ref="I247">Common_InputFunctions.Utility_DisplayArrayInTable(Common_SourceData.Common_SourceData_MCFTemperatureZone_Data(),Table_SourceData_Common_MCFTemperatureZone[[#Headers],[Temperature zone]],0)</f>
        <v>5.0000000000000001E-3</v>
      </c>
      <c r="J247" s="34" cm="1">
        <f t="array" ref="J247">Common_InputFunctions.Utility_DisplayArrayInTable(Common_SourceData.Common_SourceData_MCFTemperatureZone_Data(),Table_SourceData_Common_MCFTemperatureZone[[#Headers],[Temperature zone]],0)</f>
        <v>0.01</v>
      </c>
      <c r="K247" s="34" cm="1">
        <f t="array" ref="K247">Common_InputFunctions.Utility_DisplayArrayInTable(Common_SourceData.Common_SourceData_MCFTemperatureZone_Data(),Table_SourceData_Common_MCFTemperatureZone[[#Headers],[Temperature zone]],0)</f>
        <v>0.02</v>
      </c>
      <c r="L247" s="34" cm="1">
        <f t="array" ref="L247">Common_InputFunctions.Utility_DisplayArrayInTable(Common_SourceData.Common_SourceData_MCFTemperatureZone_Data(),Table_SourceData_Common_MCFTemperatureZone[[#Headers],[Temperature zone]],0)</f>
        <v>0.03</v>
      </c>
      <c r="M247" s="34" cm="1">
        <f t="array" ref="M247">Common_InputFunctions.Utility_DisplayArrayInTable(Common_SourceData.Common_SourceData_MCFTemperatureZone_Data(),Table_SourceData_Common_MCFTemperatureZone[[#Headers],[Temperature zone]],0)</f>
        <v>0.04</v>
      </c>
      <c r="N247" s="34" cm="1">
        <f t="array" ref="N247">Common_InputFunctions.Utility_DisplayArrayInTable(Common_SourceData.Common_SourceData_MCFTemperatureZone_Data(),Table_SourceData_Common_MCFTemperatureZone[[#Headers],[Temperature zone]],0)</f>
        <v>1.4999999999999999E-2</v>
      </c>
      <c r="O247" s="34" cm="1">
        <f t="array" ref="O247">Common_InputFunctions.Utility_DisplayArrayInTable(Common_SourceData.Common_SourceData_MCFTemperatureZone_Data(),Table_SourceData_Common_MCFTemperatureZone[[#Headers],[Temperature zone]],0)</f>
        <v>1.4999999999999999E-2</v>
      </c>
      <c r="P247" s="34" cm="1">
        <f t="array" ref="P247">Common_InputFunctions.Utility_DisplayArrayInTable(Common_SourceData.Common_SourceData_MCFTemperatureZone_Data(),Table_SourceData_Common_MCFTemperatureZone[[#Headers],[Temperature zone]],0)</f>
        <v>0</v>
      </c>
      <c r="Q247" s="34" cm="1">
        <f t="array" ref="Q247">Common_InputFunctions.Utility_DisplayArrayInTable(Common_SourceData.Common_SourceData_MCFTemperatureZone_Data(),Table_SourceData_Common_MCFTemperatureZone[[#Headers],[Temperature zone]],0)</f>
        <v>0</v>
      </c>
      <c r="R247" s="34" cm="1">
        <f t="array" ref="R247">Common_InputFunctions.Utility_DisplayArrayInTable(Common_SourceData.Common_SourceData_MCFTemperatureZone_Data(),Table_SourceData_Common_MCFTemperatureZone[[#Headers],[Temperature zone]],0)</f>
        <v>4.7000000000000002E-3</v>
      </c>
      <c r="S247" s="3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4" cm="1">
        <f t="array" ref="E248">Common_InputFunctions.Utility_DisplayArrayInTable(Common_SourceData.Common_SourceData_MCFTemperatureZone_Data(),Table_SourceData_Common_MCFTemperatureZone[[#Headers],[Temperature zone]],0)</f>
        <v>26</v>
      </c>
      <c r="F248" s="34" cm="1">
        <f t="array" ref="F248">Common_InputFunctions.Utility_DisplayArrayInTable(Common_SourceData.Common_SourceData_MCFTemperatureZone_Data(),Table_SourceData_Common_MCFTemperatureZone[[#Headers],[Temperature zone]],0)</f>
        <v>0.79</v>
      </c>
      <c r="G248" s="34" cm="1">
        <f t="array" ref="G248">Common_InputFunctions.Utility_DisplayArrayInTable(Common_SourceData.Common_SourceData_MCFTemperatureZone_Data(),Table_SourceData_Common_MCFTemperatureZone[[#Headers],[Temperature zone]],0)</f>
        <v>0.1</v>
      </c>
      <c r="H248" s="34" cm="1">
        <f t="array" ref="H248">Common_InputFunctions.Utility_DisplayArrayInTable(Common_SourceData.Common_SourceData_MCFTemperatureZone_Data(),Table_SourceData_Common_MCFTemperatureZone[[#Headers],[Temperature zone]],0)</f>
        <v>0.44</v>
      </c>
      <c r="I248" s="34" cm="1">
        <f t="array" ref="I248">Common_InputFunctions.Utility_DisplayArrayInTable(Common_SourceData.Common_SourceData_MCFTemperatureZone_Data(),Table_SourceData_Common_MCFTemperatureZone[[#Headers],[Temperature zone]],0)</f>
        <v>0.01</v>
      </c>
      <c r="J248" s="34" cm="1">
        <f t="array" ref="J248">Common_InputFunctions.Utility_DisplayArrayInTable(Common_SourceData.Common_SourceData_MCFTemperatureZone_Data(),Table_SourceData_Common_MCFTemperatureZone[[#Headers],[Temperature zone]],0)</f>
        <v>1.4999999999999999E-2</v>
      </c>
      <c r="K248" s="34" cm="1">
        <f t="array" ref="K248">Common_InputFunctions.Utility_DisplayArrayInTable(Common_SourceData.Common_SourceData_MCFTemperatureZone_Data(),Table_SourceData_Common_MCFTemperatureZone[[#Headers],[Temperature zone]],0)</f>
        <v>0.02</v>
      </c>
      <c r="L248" s="34" cm="1">
        <f t="array" ref="L248">Common_InputFunctions.Utility_DisplayArrayInTable(Common_SourceData.Common_SourceData_MCFTemperatureZone_Data(),Table_SourceData_Common_MCFTemperatureZone[[#Headers],[Temperature zone]],0)</f>
        <v>0.03</v>
      </c>
      <c r="M248" s="34" cm="1">
        <f t="array" ref="M248">Common_InputFunctions.Utility_DisplayArrayInTable(Common_SourceData.Common_SourceData_MCFTemperatureZone_Data(),Table_SourceData_Common_MCFTemperatureZone[[#Headers],[Temperature zone]],0)</f>
        <v>0.04</v>
      </c>
      <c r="N248" s="34" cm="1">
        <f t="array" ref="N248">Common_InputFunctions.Utility_DisplayArrayInTable(Common_SourceData.Common_SourceData_MCFTemperatureZone_Data(),Table_SourceData_Common_MCFTemperatureZone[[#Headers],[Temperature zone]],0)</f>
        <v>1.4999999999999999E-2</v>
      </c>
      <c r="O248" s="34" cm="1">
        <f t="array" ref="O248">Common_InputFunctions.Utility_DisplayArrayInTable(Common_SourceData.Common_SourceData_MCFTemperatureZone_Data(),Table_SourceData_Common_MCFTemperatureZone[[#Headers],[Temperature zone]],0)</f>
        <v>1.4999999999999999E-2</v>
      </c>
      <c r="P248" s="34" cm="1">
        <f t="array" ref="P248">Common_InputFunctions.Utility_DisplayArrayInTable(Common_SourceData.Common_SourceData_MCFTemperatureZone_Data(),Table_SourceData_Common_MCFTemperatureZone[[#Headers],[Temperature zone]],0)</f>
        <v>0</v>
      </c>
      <c r="Q248" s="34" cm="1">
        <f t="array" ref="Q248">Common_InputFunctions.Utility_DisplayArrayInTable(Common_SourceData.Common_SourceData_MCFTemperatureZone_Data(),Table_SourceData_Common_MCFTemperatureZone[[#Headers],[Temperature zone]],0)</f>
        <v>0</v>
      </c>
      <c r="R248" s="34" cm="1">
        <f t="array" ref="R248">Common_InputFunctions.Utility_DisplayArrayInTable(Common_SourceData.Common_SourceData_MCFTemperatureZone_Data(),Table_SourceData_Common_MCFTemperatureZone[[#Headers],[Temperature zone]],0)</f>
        <v>4.7000000000000002E-3</v>
      </c>
      <c r="S248" s="3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4" cm="1">
        <f t="array" ref="E249">Common_InputFunctions.Utility_DisplayArrayInTable(Common_SourceData.Common_SourceData_MCFTemperatureZone_Data(),Table_SourceData_Common_MCFTemperatureZone[[#Headers],[Temperature zone]],0)</f>
        <v>27</v>
      </c>
      <c r="F249" s="34" cm="1">
        <f t="array" ref="F249">Common_InputFunctions.Utility_DisplayArrayInTable(Common_SourceData.Common_SourceData_MCFTemperatureZone_Data(),Table_SourceData_Common_MCFTemperatureZone[[#Headers],[Temperature zone]],0)</f>
        <v>0.8</v>
      </c>
      <c r="G249" s="34" cm="1">
        <f t="array" ref="G249">Common_InputFunctions.Utility_DisplayArrayInTable(Common_SourceData.Common_SourceData_MCFTemperatureZone_Data(),Table_SourceData_Common_MCFTemperatureZone[[#Headers],[Temperature zone]],0)</f>
        <v>0.1</v>
      </c>
      <c r="H249" s="34" cm="1">
        <f t="array" ref="H249">Common_InputFunctions.Utility_DisplayArrayInTable(Common_SourceData.Common_SourceData_MCFTemperatureZone_Data(),Table_SourceData_Common_MCFTemperatureZone[[#Headers],[Temperature zone]],0)</f>
        <v>0.48</v>
      </c>
      <c r="I249" s="34" cm="1">
        <f t="array" ref="I249">Common_InputFunctions.Utility_DisplayArrayInTable(Common_SourceData.Common_SourceData_MCFTemperatureZone_Data(),Table_SourceData_Common_MCFTemperatureZone[[#Headers],[Temperature zone]],0)</f>
        <v>0.01</v>
      </c>
      <c r="J249" s="34" cm="1">
        <f t="array" ref="J249">Common_InputFunctions.Utility_DisplayArrayInTable(Common_SourceData.Common_SourceData_MCFTemperatureZone_Data(),Table_SourceData_Common_MCFTemperatureZone[[#Headers],[Temperature zone]],0)</f>
        <v>1.4999999999999999E-2</v>
      </c>
      <c r="K249" s="34" cm="1">
        <f t="array" ref="K249">Common_InputFunctions.Utility_DisplayArrayInTable(Common_SourceData.Common_SourceData_MCFTemperatureZone_Data(),Table_SourceData_Common_MCFTemperatureZone[[#Headers],[Temperature zone]],0)</f>
        <v>0.02</v>
      </c>
      <c r="L249" s="34" cm="1">
        <f t="array" ref="L249">Common_InputFunctions.Utility_DisplayArrayInTable(Common_SourceData.Common_SourceData_MCFTemperatureZone_Data(),Table_SourceData_Common_MCFTemperatureZone[[#Headers],[Temperature zone]],0)</f>
        <v>0.03</v>
      </c>
      <c r="M249" s="34" cm="1">
        <f t="array" ref="M249">Common_InputFunctions.Utility_DisplayArrayInTable(Common_SourceData.Common_SourceData_MCFTemperatureZone_Data(),Table_SourceData_Common_MCFTemperatureZone[[#Headers],[Temperature zone]],0)</f>
        <v>0.04</v>
      </c>
      <c r="N249" s="34" cm="1">
        <f t="array" ref="N249">Common_InputFunctions.Utility_DisplayArrayInTable(Common_SourceData.Common_SourceData_MCFTemperatureZone_Data(),Table_SourceData_Common_MCFTemperatureZone[[#Headers],[Temperature zone]],0)</f>
        <v>1.4999999999999999E-2</v>
      </c>
      <c r="O249" s="34" cm="1">
        <f t="array" ref="O249">Common_InputFunctions.Utility_DisplayArrayInTable(Common_SourceData.Common_SourceData_MCFTemperatureZone_Data(),Table_SourceData_Common_MCFTemperatureZone[[#Headers],[Temperature zone]],0)</f>
        <v>1.4999999999999999E-2</v>
      </c>
      <c r="P249" s="34" cm="1">
        <f t="array" ref="P249">Common_InputFunctions.Utility_DisplayArrayInTable(Common_SourceData.Common_SourceData_MCFTemperatureZone_Data(),Table_SourceData_Common_MCFTemperatureZone[[#Headers],[Temperature zone]],0)</f>
        <v>0</v>
      </c>
      <c r="Q249" s="34" cm="1">
        <f t="array" ref="Q249">Common_InputFunctions.Utility_DisplayArrayInTable(Common_SourceData.Common_SourceData_MCFTemperatureZone_Data(),Table_SourceData_Common_MCFTemperatureZone[[#Headers],[Temperature zone]],0)</f>
        <v>0</v>
      </c>
      <c r="R249" s="34" cm="1">
        <f t="array" ref="R249">Common_InputFunctions.Utility_DisplayArrayInTable(Common_SourceData.Common_SourceData_MCFTemperatureZone_Data(),Table_SourceData_Common_MCFTemperatureZone[[#Headers],[Temperature zone]],0)</f>
        <v>4.7000000000000002E-3</v>
      </c>
      <c r="S249" s="3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4" t="str" cm="1">
        <f t="array" ref="E250">Common_InputFunctions.Utility_DisplayArrayInTable(Common_SourceData.Common_SourceData_MCFTemperatureZone_Data(),Table_SourceData_Common_MCFTemperatureZone[[#Headers],[Temperature zone]],0)</f>
        <v>≥28</v>
      </c>
      <c r="F250" s="34" cm="1">
        <f t="array" ref="F250">Common_InputFunctions.Utility_DisplayArrayInTable(Common_SourceData.Common_SourceData_MCFTemperatureZone_Data(),Table_SourceData_Common_MCFTemperatureZone[[#Headers],[Temperature zone]],0)</f>
        <v>0.8</v>
      </c>
      <c r="G250" s="34" cm="1">
        <f t="array" ref="G250">Common_InputFunctions.Utility_DisplayArrayInTable(Common_SourceData.Common_SourceData_MCFTemperatureZone_Data(),Table_SourceData_Common_MCFTemperatureZone[[#Headers],[Temperature zone]],0)</f>
        <v>0.1</v>
      </c>
      <c r="H250" s="34" cm="1">
        <f t="array" ref="H250">Common_InputFunctions.Utility_DisplayArrayInTable(Common_SourceData.Common_SourceData_MCFTemperatureZone_Data(),Table_SourceData_Common_MCFTemperatureZone[[#Headers],[Temperature zone]],0)</f>
        <v>0.5</v>
      </c>
      <c r="I250" s="34" cm="1">
        <f t="array" ref="I250">Common_InputFunctions.Utility_DisplayArrayInTable(Common_SourceData.Common_SourceData_MCFTemperatureZone_Data(),Table_SourceData_Common_MCFTemperatureZone[[#Headers],[Temperature zone]],0)</f>
        <v>0.01</v>
      </c>
      <c r="J250" s="34" cm="1">
        <f t="array" ref="J250">Common_InputFunctions.Utility_DisplayArrayInTable(Common_SourceData.Common_SourceData_MCFTemperatureZone_Data(),Table_SourceData_Common_MCFTemperatureZone[[#Headers],[Temperature zone]],0)</f>
        <v>1.4999999999999999E-2</v>
      </c>
      <c r="K250" s="34" cm="1">
        <f t="array" ref="K250">Common_InputFunctions.Utility_DisplayArrayInTable(Common_SourceData.Common_SourceData_MCFTemperatureZone_Data(),Table_SourceData_Common_MCFTemperatureZone[[#Headers],[Temperature zone]],0)</f>
        <v>0.02</v>
      </c>
      <c r="L250" s="34" cm="1">
        <f t="array" ref="L250">Common_InputFunctions.Utility_DisplayArrayInTable(Common_SourceData.Common_SourceData_MCFTemperatureZone_Data(),Table_SourceData_Common_MCFTemperatureZone[[#Headers],[Temperature zone]],0)</f>
        <v>0.03</v>
      </c>
      <c r="M250" s="34" cm="1">
        <f t="array" ref="M250">Common_InputFunctions.Utility_DisplayArrayInTable(Common_SourceData.Common_SourceData_MCFTemperatureZone_Data(),Table_SourceData_Common_MCFTemperatureZone[[#Headers],[Temperature zone]],0)</f>
        <v>0.04</v>
      </c>
      <c r="N250" s="34" cm="1">
        <f t="array" ref="N250">Common_InputFunctions.Utility_DisplayArrayInTable(Common_SourceData.Common_SourceData_MCFTemperatureZone_Data(),Table_SourceData_Common_MCFTemperatureZone[[#Headers],[Temperature zone]],0)</f>
        <v>1.4999999999999999E-2</v>
      </c>
      <c r="O250" s="34" cm="1">
        <f t="array" ref="O250">Common_InputFunctions.Utility_DisplayArrayInTable(Common_SourceData.Common_SourceData_MCFTemperatureZone_Data(),Table_SourceData_Common_MCFTemperatureZone[[#Headers],[Temperature zone]],0)</f>
        <v>1.4999999999999999E-2</v>
      </c>
      <c r="P250" s="34" cm="1">
        <f t="array" ref="P250">Common_InputFunctions.Utility_DisplayArrayInTable(Common_SourceData.Common_SourceData_MCFTemperatureZone_Data(),Table_SourceData_Common_MCFTemperatureZone[[#Headers],[Temperature zone]],0)</f>
        <v>0</v>
      </c>
      <c r="Q250" s="34" cm="1">
        <f t="array" ref="Q250">Common_InputFunctions.Utility_DisplayArrayInTable(Common_SourceData.Common_SourceData_MCFTemperatureZone_Data(),Table_SourceData_Common_MCFTemperatureZone[[#Headers],[Temperature zone]],0)</f>
        <v>0</v>
      </c>
      <c r="R250" s="34" cm="1">
        <f t="array" ref="R250">Common_InputFunctions.Utility_DisplayArrayInTable(Common_SourceData.Common_SourceData_MCFTemperatureZone_Data(),Table_SourceData_Common_MCFTemperatureZone[[#Headers],[Temperature zone]],0)</f>
        <v>4.7000000000000002E-3</v>
      </c>
      <c r="S250" s="34"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4" t="s">
        <v>172</v>
      </c>
      <c r="E257" s="34" t="s">
        <v>173</v>
      </c>
    </row>
    <row r="258" spans="4:5" x14ac:dyDescent="0.25">
      <c r="D258" s="34" t="str" cm="1">
        <f t="array" ref="D258">Common_InputFunctions.Utility_DisplayArrayInTable(Common_SourceData.Common_SourceData_EFOrganicFertiliserAndCropResidues_Data(), Table_SourceData_Common_EFOrganicFertCropResidues[[#Headers],[Climate Zone]], 0)</f>
        <v>Wet climate zone</v>
      </c>
      <c r="E258" s="34"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4"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Swine'!A1", "Swine")</f>
        <v>Swine</v>
      </c>
      <c r="D9" s="33" t="s">
        <v>58</v>
      </c>
      <c r="E9" s="34" t="s">
        <v>10</v>
      </c>
      <c r="F9" s="34" t="s">
        <v>59</v>
      </c>
      <c r="G9" s="3"/>
    </row>
    <row r="10" spans="1:13" ht="20.100000000000001" customHeight="1" x14ac:dyDescent="0.25">
      <c r="A10" s="17"/>
      <c r="D10" s="33" t="str" cm="1">
        <f t="array" ref="D10">Common_InputFunctions.Utility_DisplayArrayInTable(CommonLivestock_SourceData.SourceData_Livestock_Common_SymbolsMMS_Data(), Table_Data_MMSSymbols[[#Headers],[Symbol]], 0)</f>
        <v>1</v>
      </c>
      <c r="E10" s="33" t="str" cm="1">
        <f t="array" ref="E10">Common_InputFunctions.Utility_DisplayArrayInTable(CommonLivestock_SourceData.SourceData_Livestock_Common_SymbolsMMS_Data(), Table_Data_MMSSymbols[[#Headers],[Symbol]], 0)</f>
        <v>Anaerobic lagoon</v>
      </c>
      <c r="F10" s="33"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55</v>
      </c>
      <c r="D11" s="33" t="str" cm="1">
        <f t="array" ref="D11">Common_InputFunctions.Utility_DisplayArrayInTable(CommonLivestock_SourceData.SourceData_Livestock_Common_SymbolsMMS_Data(), Table_Data_MMSSymbols[[#Headers],[Symbol]], 0)</f>
        <v>2</v>
      </c>
      <c r="E11" s="33" t="str" cm="1">
        <f t="array" ref="E11">Common_InputFunctions.Utility_DisplayArrayInTable(CommonLivestock_SourceData.SourceData_Livestock_Common_SymbolsMMS_Data(), Table_Data_MMSSymbols[[#Headers],[Symbol]], 0)</f>
        <v>Liquid systems</v>
      </c>
      <c r="F11" s="33"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HYPERLINK("#'3.5.1.1-2 Enteric Methane'!A1", "3.5.1.1-2 Enteric Methane")</f>
        <v>3.5.1.1-2 Enteric Methane</v>
      </c>
      <c r="D12" s="34" t="str" cm="1">
        <f t="array" ref="D12">Common_InputFunctions.Utility_DisplayArrayInTable(CommonLivestock_SourceData.SourceData_Livestock_Common_SymbolsMMS_Data(), Table_Data_MMSSymbols[[#Headers],[Symbol]], 0)</f>
        <v>3</v>
      </c>
      <c r="E12" s="34" t="str" cm="1">
        <f t="array" ref="E12">Common_InputFunctions.Utility_DisplayArrayInTable(CommonLivestock_SourceData.SourceData_Livestock_Common_SymbolsMMS_Data(), Table_Data_MMSSymbols[[#Headers],[Symbol]], 0)</f>
        <v>Daily spread</v>
      </c>
      <c r="F12" s="34"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4" t="str" cm="1">
        <f t="array" ref="D13">Common_InputFunctions.Utility_DisplayArrayInTable(CommonLivestock_SourceData.SourceData_Livestock_Common_SymbolsMMS_Data(), Table_Data_MMSSymbols[[#Headers],[Symbol]], 0)</f>
        <v>3a</v>
      </c>
      <c r="E13" s="34" t="str" cm="1">
        <f t="array" ref="E13">Common_InputFunctions.Utility_DisplayArrayInTable(CommonLivestock_SourceData.SourceData_Livestock_Common_SymbolsMMS_Data(), Table_Data_MMSSymbols[[#Headers],[Symbol]], 0)</f>
        <v>Sump and dispersal system</v>
      </c>
      <c r="F13" s="34"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2</v>
      </c>
      <c r="D14" s="34" t="str" cm="1">
        <f t="array" ref="D14">Common_InputFunctions.Utility_DisplayArrayInTable(CommonLivestock_SourceData.SourceData_Livestock_Common_SymbolsMMS_Data(), Table_Data_MMSSymbols[[#Headers],[Symbol]], 0)</f>
        <v>3b</v>
      </c>
      <c r="E14" s="34" t="str" cm="1">
        <f t="array" ref="E14">Common_InputFunctions.Utility_DisplayArrayInTable(CommonLivestock_SourceData.SourceData_Livestock_Common_SymbolsMMS_Data(), Table_Data_MMSSymbols[[#Headers],[Symbol]], 0)</f>
        <v>Drains to paddock</v>
      </c>
      <c r="F14" s="34"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Swine'!A1", "Constants - Swine")</f>
        <v>Constants - Swine</v>
      </c>
      <c r="D15" s="34" t="str" cm="1">
        <f t="array" ref="D15">Common_InputFunctions.Utility_DisplayArrayInTable(CommonLivestock_SourceData.SourceData_Livestock_Common_SymbolsMMS_Data(), Table_Data_MMSSymbols[[#Headers],[Symbol]], 0)</f>
        <v>4</v>
      </c>
      <c r="E15" s="34" t="str" cm="1">
        <f t="array" ref="E15">Common_InputFunctions.Utility_DisplayArrayInTable(CommonLivestock_SourceData.SourceData_Livestock_Common_SymbolsMMS_Data(), Table_Data_MMSSymbols[[#Headers],[Symbol]], 0)</f>
        <v>Solid storage</v>
      </c>
      <c r="F15" s="34"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25" t="str">
        <f>HYPERLINK("#'Constants - Livestock'!A1", "Constants - Livestock")</f>
        <v>Constants - Livestock</v>
      </c>
      <c r="D16" s="34" t="str" cm="1">
        <f t="array" ref="D16">Common_InputFunctions.Utility_DisplayArrayInTable(CommonLivestock_SourceData.SourceData_Livestock_Common_SymbolsMMS_Data(), Table_Data_MMSSymbols[[#Headers],[Symbol]], 0)</f>
        <v>5</v>
      </c>
      <c r="E16" s="34" t="str" cm="1">
        <f t="array" ref="E16">Common_InputFunctions.Utility_DisplayArrayInTable(CommonLivestock_SourceData.SourceData_Livestock_Common_SymbolsMMS_Data(), Table_Data_MMSSymbols[[#Headers],[Symbol]], 0)</f>
        <v>Drylot (feed pad)</v>
      </c>
      <c r="F16" s="34"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4" t="str" cm="1">
        <f t="array" ref="D17">Common_InputFunctions.Utility_DisplayArrayInTable(CommonLivestock_SourceData.SourceData_Livestock_Common_SymbolsMMS_Data(), Table_Data_MMSSymbols[[#Headers],[Symbol]], 0)</f>
        <v>6</v>
      </c>
      <c r="E17" s="34" t="str" cm="1">
        <f t="array" ref="E17">Common_InputFunctions.Utility_DisplayArrayInTable(CommonLivestock_SourceData.SourceData_Livestock_Common_SymbolsMMS_Data(), Table_Data_MMSSymbols[[#Headers],[Symbol]], 0)</f>
        <v>Composting (passive windrow)</v>
      </c>
      <c r="F17" s="34"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4" t="str" cm="1">
        <f t="array" ref="D18">Common_InputFunctions.Utility_DisplayArrayInTable(CommonLivestock_SourceData.SourceData_Livestock_Common_SymbolsMMS_Data(), Table_Data_MMSSymbols[[#Headers],[Symbol]], 0)</f>
        <v>7</v>
      </c>
      <c r="E18" s="34" t="str" cm="1">
        <f t="array" ref="E18">Common_InputFunctions.Utility_DisplayArrayInTable(CommonLivestock_SourceData.SourceData_Livestock_Common_SymbolsMMS_Data(), Table_Data_MMSSymbols[[#Headers],[Symbol]], 0)</f>
        <v>Digester / covered lagoons</v>
      </c>
      <c r="F18" s="34"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4" t="str" cm="1">
        <f t="array" ref="D19">Common_InputFunctions.Utility_DisplayArrayInTable(CommonLivestock_SourceData.SourceData_Livestock_Common_SymbolsMMS_Data(), Table_Data_MMSSymbols[[#Headers],[Symbol]], 0)</f>
        <v>8</v>
      </c>
      <c r="E19" s="34" t="str" cm="1">
        <f t="array" ref="E19">Common_InputFunctions.Utility_DisplayArrayInTable(CommonLivestock_SourceData.SourceData_Livestock_Common_SymbolsMMS_Data(), Table_Data_MMSSymbols[[#Headers],[Symbol]], 0)</f>
        <v>Deep litter</v>
      </c>
      <c r="F19" s="34"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4" t="str" cm="1">
        <f t="array" ref="D20">Common_InputFunctions.Utility_DisplayArrayInTable(CommonLivestock_SourceData.SourceData_Livestock_Common_SymbolsMMS_Data(), Table_Data_MMSSymbols[[#Headers],[Symbol]], 0)</f>
        <v>9</v>
      </c>
      <c r="E20" s="34" t="str" cm="1">
        <f t="array" ref="E20">Common_InputFunctions.Utility_DisplayArrayInTable(CommonLivestock_SourceData.SourceData_Livestock_Common_SymbolsMMS_Data(), Table_Data_MMSSymbols[[#Headers],[Symbol]], 0)</f>
        <v>Pit storage</v>
      </c>
      <c r="F20" s="34"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4" t="str" cm="1">
        <f t="array" ref="D21">Common_InputFunctions.Utility_DisplayArrayInTable(CommonLivestock_SourceData.SourceData_Livestock_Common_SymbolsMMS_Data(), Table_Data_MMSSymbols[[#Headers],[Symbol]], 0)</f>
        <v>10</v>
      </c>
      <c r="E21" s="34" t="str" cm="1">
        <f t="array" ref="E21">Common_InputFunctions.Utility_DisplayArrayInTable(CommonLivestock_SourceData.SourceData_Livestock_Common_SymbolsMMS_Data(), Table_Data_MMSSymbols[[#Headers],[Symbol]], 0)</f>
        <v>Poultry manure with bedding</v>
      </c>
      <c r="F21" s="34"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4" t="str" cm="1">
        <f t="array" ref="D22">Common_InputFunctions.Utility_DisplayArrayInTable(CommonLivestock_SourceData.SourceData_Livestock_Common_SymbolsMMS_Data(), Table_Data_MMSSymbols[[#Headers],[Symbol]], 0)</f>
        <v>11</v>
      </c>
      <c r="E22" s="34" t="str" cm="1">
        <f t="array" ref="E22">Common_InputFunctions.Utility_DisplayArrayInTable(CommonLivestock_SourceData.SourceData_Livestock_Common_SymbolsMMS_Data(), Table_Data_MMSSymbols[[#Headers],[Symbol]], 0)</f>
        <v>Poultry manure without bedding</v>
      </c>
      <c r="F22" s="34"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4" t="str" cm="1">
        <f t="array" ref="D23">Common_InputFunctions.Utility_DisplayArrayInTable(CommonLivestock_SourceData.SourceData_Livestock_Common_SymbolsMMS_Data(), Table_Data_MMSSymbols[[#Headers],[Symbol]], 0)</f>
        <v>11a</v>
      </c>
      <c r="E23" s="34" t="str" cm="1">
        <f t="array" ref="E23">Common_InputFunctions.Utility_DisplayArrayInTable(CommonLivestock_SourceData.SourceData_Livestock_Common_SymbolsMMS_Data(), Table_Data_MMSSymbols[[#Headers],[Symbol]], 0)</f>
        <v>Belt manure removal</v>
      </c>
      <c r="F23" s="34"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4" t="str" cm="1">
        <f t="array" ref="D24">Common_InputFunctions.Utility_DisplayArrayInTable(CommonLivestock_SourceData.SourceData_Livestock_Common_SymbolsMMS_Data(), Table_Data_MMSSymbols[[#Headers],[Symbol]], 0)</f>
        <v>11b</v>
      </c>
      <c r="E24" s="34" t="str" cm="1">
        <f t="array" ref="E24">Common_InputFunctions.Utility_DisplayArrayInTable(CommonLivestock_SourceData.SourceData_Livestock_Common_SymbolsMMS_Data(), Table_Data_MMSSymbols[[#Headers],[Symbol]], 0)</f>
        <v>Manure stored in house</v>
      </c>
      <c r="F24" s="34"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4" t="str" cm="1">
        <f t="array" ref="D25">Common_InputFunctions.Utility_DisplayArrayInTable(CommonLivestock_SourceData.SourceData_Livestock_Common_SymbolsMMS_Data(), Table_Data_MMSSymbols[[#Headers],[Symbol]], 0)</f>
        <v>12</v>
      </c>
      <c r="E25" s="34" t="str" cm="1">
        <f t="array" ref="E25">Common_InputFunctions.Utility_DisplayArrayInTable(CommonLivestock_SourceData.SourceData_Livestock_Common_SymbolsMMS_Data(), Table_Data_MMSSymbols[[#Headers],[Symbol]], 0)</f>
        <v>Direct processing</v>
      </c>
      <c r="F25" s="34"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4" t="str" cm="1">
        <f t="array" ref="D26">Common_InputFunctions.Utility_DisplayArrayInTable(CommonLivestock_SourceData.SourceData_Livestock_Common_SymbolsMMS_Data(), Table_Data_MMSSymbols[[#Headers],[Symbol]], 0)</f>
        <v>13</v>
      </c>
      <c r="E26" s="34" t="str" cm="1">
        <f t="array" ref="E26">Common_InputFunctions.Utility_DisplayArrayInTable(CommonLivestock_SourceData.SourceData_Livestock_Common_SymbolsMMS_Data(), Table_Data_MMSSymbols[[#Headers],[Symbol]], 0)</f>
        <v>Direct application</v>
      </c>
      <c r="F26" s="34"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4" t="str" cm="1">
        <f t="array" ref="D27">Common_InputFunctions.Utility_DisplayArrayInTable(CommonLivestock_SourceData.SourceData_Livestock_Common_SymbolsMMS_Data(), Table_Data_MMSSymbols[[#Headers],[Symbol]], 0)</f>
        <v>14</v>
      </c>
      <c r="E27" s="34" t="str" cm="1">
        <f t="array" ref="E27">Common_InputFunctions.Utility_DisplayArrayInTable(CommonLivestock_SourceData.SourceData_Livestock_Common_SymbolsMMS_Data(), Table_Data_MMSSymbols[[#Headers],[Symbol]], 0)</f>
        <v>Pasture range and paddock</v>
      </c>
      <c r="F27" s="34"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TAG8AdQByAGMAZQBEAGEAdABhAF8AUwB3AGkAbgBlAC4AUwBvAHUAcgBjAGUARABhAHQAYQBfAFMAdwBpAG4AZQBfAE0AZQBnAGEAagBvAHUAbABlAHMAUABlAHIASwBpAGwAbwBnAHIAYQBtAE0AZQB0AGgAYQBuAGUAXwBUAGkAdABsAGUAIgAsACIAUwBvAHUAcgBjAGUARABhAHQAYQBfAFMAdwBpAG4AZQAuAFMAbwB1AHIAYwBlAEQAYQB0AGEAXwBTAHcAaQBuAGUAXwBNAGUAZwBhAGoAbwB1AGwAZQBzAFAAZQByAEsAaQBsAG8AZwByAGEAbQBNAGUAdABoAGEAbgBlAF8AVgBhAHIAaQBhAGIAbABlACIALAAiAFMAbwB1AHIAYwBlAEQAYQB0AGEAXwBTAHcAaQBuAGUALgBTAG8AdQByAGMAZQBEAGEAdABhAF8AUwB3AGkAbgBlAF8ATQBlAGcAYQBqAG8AdQBsAGUAcwBQAGUAcgBLAGkAbABvAGcAcgBhAG0ATQBlAHQAaABhAG4AZQBfAFUAbgBpAHQAIgAsACIAUwBvAHUAcgBjAGUARABhAHQAYQBfAFMAdwBpAG4AZQAuAFMAbwB1AHIAYwBlAEQAYQB0AGEAXwBTAHcAaQBuAGUAXwBNAGUAZwBhAGoAbwB1AGwAZQBzAFAAZQByAEsAaQBsAG8AZwByAGEAbQBNAGUAdABoAGEAbgBlAF8AUwBvAHUAcgBjAGUAIgAsACIAUwBvAHUAcgBjAGUARABhAHQAYQBfAFMAdwBpAG4AZQAuAFMAbwB1AHIAYwBlAEQAYQB0AGEAXwBTAHcAaQBuAGUAXwBNAGUAZwBhAGoAbwB1AGwAZQBzAFAAZQByAEsAaQBsAG8AZwByAGEAbQBNAGUAdABoAGEAbgBlAF8AVgBhAHIAaQBhAHQAaQBvAG4AIgAsACIAUwBvAHUAcgBjAGUARABhAHQAYQBfAFMAdwBpAG4AZQAuAFMAbwB1AHIAYwBlAEQAYQB0AGEAXwBTAHcAaQBuAGUAXwBNAGUAZwBhAGoAbwB1AGwAZQBzAFAAZQByAEsAaQBsAG8AZwByAGEAbQBNAGUAdABoAGEAbgBlAF8ARABhAHQAYQAiACwAIgBFAG4AdABlAHIAaQBjAE0AZQB0AGgAYQBuAGUAXwBTAHcAaQBuAGUAXwBFAHEAdQBhAHQAaQBvAG4AcwAuAFYARQBFAFIARwBfADMAXwA1AF8AMQBfADEAXwBfADEAXwBUAG8AdABhAGwAQQBuAG4AdQBhAGwATQBlAHQAaABhAG4AZQBGAHIAbwBtAEUAbgB0AGUAcgBpAGMARgBlAHIAbQBlAG4AdABhAHQAaQBvAG4AIgAsACIARQBuAHQAZQByAGkAYwBNAGUAdABoAGEAbgBlAF8AUwB3AGkAbgBlAF8ARQBxAHUAYQB0AGkAbwBuAHMALgBWAEUARQBSAEcAXwAzAF8ANQBfADEAXwAxAF8AXwAxAF8AVABvAHQAYQBsAEEAbgBuAHUAYQBsAE0AZQB0AGgAYQBuAGUARgByAG8AbQBFAG4AdABlAHIAaQBjAEYAZQByAG0AZQBuAHQAYQB0AGkAbwBuAF8AVABpAHQAbABlACIALAAiAEUAbgB0AGUAcgBpAGMATQBlAHQAaABhAG4AZQBfAFMAdwBpAG4AZQBfAEUAcQB1AGEAdABpAG8AbgBzAC4AVgBFAEUAUgBHAF8AMwBfADUAXwAxAF8AMQBfAF8AMQBfAFQAbwB0AGEAbABBAG4AbgB1AGEAbABNAGUAdABoAGEAbgBlAEYAcgBvAG0ARQBuAHQAZQByAGkAYwBGAGUAcgBtAGUAbgB0AGEAdABpAG8AbgBfAFYAYQByAGkAYQBiAGwAZQAiACwAIgBFAG4AdABlAHIAaQBjAE0AZQB0AGgAYQBuAGUAXwBTAHcAaQBuAGUAXwBFAHEAdQBhAHQAaQBvAG4AcwAuAFYARQBFAFIARwBfADMAXwA1AF8AMQBfADEAXwBfADEAXwBUAG8AdABhAGwAQQBuAG4AdQBhAGwATQBlAHQAaABhAG4AZQBGAHIAbwBtAEUAbgB0AGUAcgBpAGMARgBlAHIAbQBlAG4AdABhAHQAaQBvAG4AXwBVAG4AaQB0ACIALAAiAEUAbgB0AGUAcgBpAGMATQBlAHQAaABhAG4AZQBfAFMAdwBpAG4AZQBfAEUAcQB1AGEAdABpAG8AbgBzAC4AVgBFAEUAUgBHAF8AMwBfADUAXwAxAF8AMQBfAF8AMQBfAFQAbwB0AGEAbABBAG4AbgB1AGEAbABNAGUAdABoAGEAbgBlAEYAcgBvAG0ARQBuAHQAZQByAGkAYwBGAGUAcgBtAGUAbgB0AGEAdABpAG8AbgBfAFMAbwB1AHIAYwBlACIALAAiAEUAbgB0AGUAcgBpAGMATQBlAHQAaABhAG4AZQBfAFMAdwBpAG4AZQBfAEUAcQB1AGEAdABpAG8AbgBzAC4AVgBFAEUAUgBHAF8AMwBfADUAXwAxAF8AMQBfAF8AMQBfAFQAbwB0AGEAbABBAG4AbgB1AGEAbABNAGUAdABoAGEAbgBlAEYAcgBvAG0ARQBuAHQAZQByAGkAYwBGAGUAcgBtAGUAbgB0AGEAdABpAG8AbgBfAE4ASQBSAFIAZQBmAGUAcgBlAG4AYwBlACIALAAiAEUAbgB0AGUAcgBpAGMATQBlAHQAaABhAG4AZQBfAFMAdwBpAG4AZQBfAEUAcQB1AGEAdABpAG8AbgBzAC4AVgBFAEUAUgBHAF8AMwBfADUAXwAxAF8AMQBfAF8AMQBfAFQAbwB0AGEAbABBAG4AbgB1AGEAbABNAGUAdABoAGEAbgBlAEYAcgBvAG0ARQBuAHQAZQByAGkAYwBGAGUAcgBtAGUAbgB0AGEAdABpAG8AbgBfAEwAYQB0AGUAeABFAHEAdQBhAHQAaQBvAG4AIgAsACIARQBuAHQAZQByAGkAYwBNAGUAdABoAGEAbgBlAF8AUwB3AGkAbgBlAF8ARQBxAHUAYQB0AGkAbwBuAHMALgBWAEUARQBSAEcAXwAzAF8ANQBfADEAXwAxAF8AXwAxAF8AVABvAHQAYQBsAEEAbgBuAHUAYQBsAE0AZQB0AGgAYQBuAGUARgByAG8AbQBFAG4AdABlAHIAaQBjAEYAZQByAG0AZQBuAHQAYQB0AGkAbwBuAF8AQQByAGcAdQBtAGUAbgB0AHMAIgAsACIARQBuAHQAZQByAGkAYwBNAGUAdABoAGEAbgBlAF8AUwB3AGkAbgBlAF8ARQBxAHUAYQB0AGkAbwBuAHMALgBWAEUARQBSAEcAXwAzAF8ANQBfADEAXwAxAF8AXwAyAF8ARABhAGkAbAB5AEUAbgB0AGUAcgBpAGMATQBlAHQAaABhAG4AZQBQAHIAbwBkAHUAYwB0AGkAbwBuACIALAAiAEUAbgB0AGUAcgBpAGMATQBlAHQAaABhAG4AZQBfAFMAdwBpAG4AZQBfAEUAcQB1AGEAdABpAG8AbgBzAC4AVgBFAEUAUgBHAF8AMwBfADUAXwAxAF8AMQBfAF8AMgBfAEQAYQBpAGwAeQBFAG4AdABlAHIAaQBjAE0AZQB0AGgAYQBuAGUAUAByAG8AZAB1AGMAdABpAG8AbgBfAFQAaQB0AGwAZQAiACwAIgBFAG4AdABlAHIAaQBjAE0AZQB0AGgAYQBuAGUAXwBTAHcAaQBuAGUAXwBFAHEAdQBhAHQAaQBvAG4AcwAuAFYARQBFAFIARwBfADMAXwA1AF8AMQBfADEAXwBfADIAXwBEAGEAaQBsAHkARQBuAHQAZQByAGkAYwBNAGUAdABoAGEAbgBlAFAAcgBvAGQAdQBjAHQAaQBvAG4AXwBWAGEAcgBpAGEAYgBsAGUAIgAsACIARQBuAHQAZQByAGkAYwBNAGUAdABoAGEAbgBlAF8AUwB3AGkAbgBlAF8ARQBxAHUAYQB0AGkAbwBuAHMALgBWAEUARQBSAEcAXwAzAF8ANQBfADEAXwAxAF8AXwAyAF8ARABhAGkAbAB5AEUAbgB0AGUAcgBpAGMATQBlAHQAaABhAG4AZQBQAHIAbwBkAHUAYwB0AGkAbwBuAF8AVQBuAGkAdAAiACwAIgBFAG4AdABlAHIAaQBjAE0AZQB0AGgAYQBuAGUAXwBTAHcAaQBuAGUAXwBFAHEAdQBhAHQAaQBvAG4AcwAuAFYARQBFAFIARwBfADMAXwA1AF8AMQBfADEAXwBfADIAXwBEAGEAaQBsAHkARQBuAHQAZQByAGkAYwBNAGUAdABoAGEAbgBlAFAAcgBvAGQAdQBjAHQAaQBvAG4AXwBTAG8AdQByAGMAZQAiACwAIgBFAG4AdABlAHIAaQBjAE0AZQB0AGgAYQBuAGUAXwBTAHcAaQBuAGUAXwBFAHEAdQBhAHQAaQBvAG4AcwAuAFYARQBFAFIARwBfADMAXwA1AF8AMQBfADEAXwBfADIAXwBEAGEAaQBsAHkARQBuAHQAZQByAGkAYwBNAGUAdABoAGEAbgBlAFAAcgBvAGQAdQBjAHQAaQBvAG4AXwBOAEkAUgBSAGUAZgBlAHIAZQBuAGMAZQAiACwAIgBFAG4AdABlAHIAaQBjAE0AZQB0AGgAYQBuAGUAXwBTAHcAaQBuAGUAXwBFAHEAdQBhAHQAaQBvAG4AcwAuAFYARQBFAFIARwBfADMAXwA1AF8AMQBfADEAXwBfADIAXwBEAGEAaQBsAHkARQBuAHQAZQByAGkAYwBNAGUAdABoAGEAbgBlAFAAcgBvAGQAdQBjAHQAaQBvAG4AXwBMAGEAdABlAHgARQBxAHUAYQB0AGkAbwBuACIALAAiAEUAbgB0AGUAcgBpAGMATQBlAHQAaABhAG4AZQBfAFMAdwBpAG4AZQBfAEUAcQB1AGEAdABpAG8AbgBzAC4AVgBFAEUAUgBHAF8AMwBfADUAXwAxAF8AMQBfAF8AMgBfAEQAYQBpAGwAeQBFAG4AdABlAHIAaQBjAE0AZQB0AGgAYQBuAGUAUAByAG8AZAB1AGMAdABpAG8AbgBfAEEAcgBnAHUAbQBlAG4AdABzACIALAAiAE0ATQBTAF8AUwB3AGkAbgBlAF8ATQBlAHQAaABhAG4AZQBfAEUAcQB1AGEAdABpAG8AbgBzAC4AVgBFAEUAUgBHAF8ANABfADUAXwAxAF8AMQBfAF8AMQBfAFQAbwB0AGEAbABBAG4AbgB1AGEAbABNAGUAdABoAGEAbgBlAEUAbQBpAHMAcwBpAG8AbgBzACIALAAiAE0ATQBTAF8AUwB3AGkAbgBlAF8ATQBlAHQAaABhAG4AZQBfAEUAcQB1AGEAdABpAG8AbgBzAC4AVgBFAEUAUgBHAF8ANABfADUAXwAxAF8AMQBfAF8AMQBfAFQAbwB0AGEAbABBAG4AbgB1AGEAbABNAGUAdABoAGEAbgBlAEUAbQBpAHMAcwBpAG8AbgBzAF8AVABpAHQAbABlACIALAAiAE0ATQBTAF8AUwB3AGkAbgBlAF8ATQBlAHQAaABhAG4AZQBfAEUAcQB1AGEAdABpAG8AbgBzAC4AVgBFAEUAUgBHAF8ANABfADUAXwAxAF8AMQBfAF8AMQBfAFQAbwB0AGEAbABBAG4AbgB1AGEAbABNAGUAdABoAGEAbgBlAEUAbQBpAHMAcwBpAG8AbgBzAF8AVgBhAHIAaQBhAGIAbABlACIALAAiAE0ATQBTAF8AUwB3AGkAbgBlAF8ATQBlAHQAaABhAG4AZQBfAEUAcQB1AGEAdABpAG8AbgBzAC4AVgBFAEUAUgBHAF8ANABfADUAXwAxAF8AMQBfAF8AMQBfAFQAbwB0AGEAbABBAG4AbgB1AGEAbABNAGUAdABoAGEAbgBlAEUAbQBpAHMAcwBpAG8AbgBzAF8AVQBuAGkAdAAiACwAIgBNAE0AUwBfAFMAdwBpAG4AZQBfAE0AZQB0AGgAYQBuAGUAXwBFAHEAdQBhAHQAaQBvAG4AcwAuAFYARQBFAFIARwBfADQAXwA1AF8AMQBfADEAXwBfADEAXwBUAG8AdABhAGwAQQBuAG4AdQBhAGwATQBlAHQAaABhAG4AZQBFAG0AaQBzAHMAaQBvAG4AcwBfAFMAbwB1AHIAYwBlACIALAAiAE0ATQBTAF8AUwB3AGkAbgBlAF8ATQBlAHQAaABhAG4AZQBfAEUAcQB1AGEAdABpAG8AbgBzAC4AVgBFAEUAUgBHAF8ANABfADUAXwAxAF8AMQBfAF8AMQBfAFQAbwB0AGEAbABBAG4AbgB1AGEAbABNAGUAdABoAGEAbgBlAEUAbQBpAHMAcwBpAG8AbgBzAF8ATgBJAFIAUgBlAGYAZQByAGUAbgBjAGUAIgAsACIATQBNAFMAXwBTAHcAaQBuAGUAXwBNAGUAdABoAGEAbgBlAF8ARQBxAHUAYQB0AGkAbwBuAHMALgBWAEUARQBSAEcAXwA0AF8ANQBfADEAXwAxAF8AXwAxAF8AVABvAHQAYQBsAEEAbgBuAHUAYQBsAE0AZQB0AGgAYQBuAGUARQBtAGkAcwBzAGkAbwBuAHMAXwBMAGEAdABlAHgARQBxAHUAYQB0AGkAbwBuACIALAAiAE0ATQBTAF8AUwB3AGkAbgBlAF8ATQBlAHQAaABhAG4AZQBfAEUAcQB1AGEAdABpAG8AbgBzAC4AVgBFAEUAUgBHAF8ANABfADUAXwAxAF8AMQBfAF8AMQBfAFQAbwB0AGEAbABBAG4AbgB1AGEAbABNAGUAdABoAGEAbgBlAEUAbQBpAHMAcwBpAG8AbgBzAF8AQQByAGcAdQBtAGUAbgB0AHMAIgAsACIATQBNAFMAXwBTAHcAaQBuAGUAXwBNAGUAdABoAGEAbgBlAF8ARQBxAHUAYQB0AGkAbwBuAHMALgBWAEUARQBSAEcAXwA0AF8ANQBfADEAXwAxAF8AXwAyAF8ATQBlAHQAaABhAG4AZQBQAHIAbwBkAHUAYwB0AGkAbwBuAFAAZQByAEMAbABhAHMAcwAiACwAIgBNAE0AUwBfAFMAdwBpAG4AZQBfAE0AZQB0AGgAYQBuAGUAXwBFAHEAdQBhAHQAaQBvAG4AcwAuAFYARQBFAFIARwBfADQAXwA1AF8AMQBfADEAXwBfADIAXwBNAGUAdABoAGEAbgBlAFAAcgBvAGQAdQBjAHQAaQBvAG4AUABlAHIAQwBsAGEAcwBzAFYAYQByAGkAYQB0AGkAbwBuACIALAAiAE0ATQBTAF8AUwB3AGkAbgBlAF8ATQBlAHQAaABhAG4AZQBfAEUAcQB1AGEAdABpAG8AbgBzAC4AVgBFAEUAUgBHAF8ANABfADUAXwAxAF8AMQBfAF8AMgBfAE0AZQB0AGgAYQBuAGUAUAByAG8AZAB1AGMAdABpAG8AbgBQAGUAcgBDAGwAYQBzAHMAXwBUAGkAdABsAGUAIgAsACIATQBNAFMAXwBTAHcAaQBuAGUAXwBNAGUAdABoAGEAbgBlAF8ARQBxAHUAYQB0AGkAbwBuAHMALgBWAEUARQBSAEcAXwA0AF8ANQBfADEAXwAxAF8AXwAyAF8ATQBlAHQAaABhAG4AZQBQAHIAbwBkAHUAYwB0AGkAbwBuAFAAZQByAEMAbABhAHMAcwBfAFYAYQByAGkAYQBiAGwAZQAiACwAIgBNAE0AUwBfAFMAdwBpAG4AZQBfAE0AZQB0AGgAYQBuAGUAXwBFAHEAdQBhAHQAaQBvAG4AcwAuAFYARQBFAFIARwBfADQAXwA1AF8AMQBfADEAXwBfADIAXwBNAGUAdABoAGEAbgBlAFAAcgBvAGQAdQBjAHQAaQBvAG4AUABlAHIAQwBsAGEAcwBzAF8AVQBuAGkAdAAiACwAIgBNAE0AUwBfAFMAdwBpAG4AZQBfAE0AZQB0AGgAYQBuAGUAXwBFAHEAdQBhAHQAaQBvAG4AcwAuAFYARQBFAFIARwBfADQAXwA1AF8AMQBfADEAXwBfADIAXwBNAGUAdABoAGEAbgBlAFAAcgBvAGQAdQBjAHQAaQBvAG4AUABlAHIAQwBsAGEAcwBzAF8AUwBvAHUAcgBjAGUAIgAsACIATQBNAFMAXwBTAHcAaQBuAGUAXwBNAGUAdABoAGEAbgBlAF8ARQBxAHUAYQB0AGkAbwBuAHMALgBWAEUARQBSAEcAXwA0AF8ANQBfADEAXwAxAF8AXwAyAF8ATQBlAHQAaABhAG4AZQBQAHIAbwBkAHUAYwB0AGkAbwBuAFAAZQByAEMAbABhAHMAcwBfAE4ASQBSAFIAZQBmAGUAcgBlAG4AYwBlACIALAAiAE0ATQBTAF8AUwB3AGkAbgBlAF8ATQBlAHQAaABhAG4AZQBfAEUAcQB1AGEAdABpAG8AbgBzAC4AVgBFAEUAUgBHAF8ANABfADUAXwAxAF8AMQBfAF8AMgBfAE0AZQB0AGgAYQBuAGUAUAByAG8AZAB1AGMAdABpAG8AbgBQAGUAcgBDAGwAYQBzAHMAXwBMAGEAdABlAHgARQBxAHUAYQB0AGkAbwBuACIALAAiAE0ATQBTAF8AUwB3AGkAbgBlAF8ATQBlAHQAaABhAG4AZQBfAEUAcQB1AGEAdABpAG8AbgBzAC4AVgBFAEUAUgBHAF8ANABfADUAXwAxAF8AMQBfAF8AMgBfAE0AZQB0AGgAYQBuAGUAUAByAG8AZAB1AGMAdABpAG8AbgBQAGUAcgBDAGwAYQBzAHMAXwBBAHIAZwB1AG0AZQBuAHQAcwAiACwAIgBNAE0AUwBfAFMAdwBpAG4AZQBfAE0AZQB0AGgAYQBuAGUAXwBFAHEAdQBhAHQAaQBvAG4AcwAuAFYARQBFAFIARwBfADQAXwA1AF8AMQBfADEAXwBfADIAXwBNAGUAdABoAGEAbgBlAFAAcgBvAGQAdQBjAHQAaQBvAG4AUABlAHIAQwBsAGEAcwBzAF8AVgBhAHIAaQBhAHQAaQBvAG4AIgAsACIATQBNAFMAXwBTAHcAaQBuAGUAXwBNAGUAdABoAGEAbgBlAF8ARQBxAHUAYQB0AGkAbwBuAHMALgBWAEUARQBSAEcAXwA0AF8ANQBfADEAXwAxAF8AXwAzAF8AUwB0AGEAZwBlADEATQBlAHQAaABhAG4AZQBQAHIAbwBkAHUAYwB0AGkAbwBuACIALAAiAE0ATQBTAF8AUwB3AGkAbgBlAF8ATQBlAHQAaABhAG4AZQBfAEUAcQB1AGEAdABpAG8AbgBzAC4AVgBFAEUAUgBHAF8ANABfADUAXwAxAF8AMQBfAF8AMwBfAFMAdABhAGcAZQAxAE0AZQB0AGgAYQBuAGUAUAByAG8AZAB1AGMAdABpAG8AbgBfAFQAaQB0AGwAZQAiACwAIgBNAE0AUwBfAFMAdwBpAG4AZQBfAE0AZQB0AGgAYQBuAGUAXwBFAHEAdQBhAHQAaQBvAG4AcwAuAFYARQBFAFIARwBfADQAXwA1AF8AMQBfADEAXwBfADMAXwBTAHQAYQBnAGUAMQBNAGUAdABoAGEAbgBlAFAAcgBvAGQAdQBjAHQAaQBvAG4AXwBWAGEAcgBpAGEAYgBsAGUAIgAsACIATQBNAFMAXwBTAHcAaQBuAGUAXwBNAGUAdABoAGEAbgBlAF8ARQBxAHUAYQB0AGkAbwBuAHMALgBWAEUARQBSAEcAXwA0AF8ANQBfADEAXwAxAF8AXwAzAF8AUwB0AGEAZwBlADEATQBlAHQAaABhAG4AZQBQAHIAbwBkAHUAYwB0AGkAbwBuAF8AVQBuAGkAdAAiACwAIgBNAE0AUwBfAFMAdwBpAG4AZQBfAE0AZQB0AGgAYQBuAGUAXwBFAHEAdQBhAHQAaQBvAG4AcwAuAFYARQBFAFIARwBfADQAXwA1AF8AMQBfADEAXwBfADMAXwBTAHQAYQBnAGUAMQBNAGUAdABoAGEAbgBlAFAAcgBvAGQAdQBjAHQAaQBvAG4AXwBTAG8AdQByAGMAZQAiACwAIgBNAE0AUwBfAFMAdwBpAG4AZQBfAE0AZQB0AGgAYQBuAGUAXwBFAHEAdQBhAHQAaQBvAG4AcwAuAFYARQBFAFIARwBfADQAXwA1AF8AMQBfADEAXwBfADMAXwBTAHQAYQBnAGUAMQBNAGUAdABoAGEAbgBlAFAAcgBvAGQAdQBjAHQAaQBvAG4AXwBOAEkAUgBSAGUAZgBlAHIAZQBuAGMAZQAiACwAIgBNAE0AUwBfAFMAdwBpAG4AZQBfAE0AZQB0AGgAYQBuAGUAXwBFAHEAdQBhAHQAaQBvAG4AcwAuAFYARQBFAFIARwBfADQAXwA1AF8AMQBfADEAXwBfADMAXwBTAHQAYQBnAGUAMQBNAGUAdABoAGEAbgBlAFAAcgBvAGQAdQBjAHQAaQBvAG4AXwBMAGEAdABlAHgARQBxAHUAYQB0AGkAbwBuACIALAAiAE0ATQBTAF8AUwB3AGkAbgBlAF8ATQBlAHQAaABhAG4AZQBfAEUAcQB1AGEAdABpAG8AbgBzAC4AVgBFAEUAUgBHAF8ANABfADUAXwAxAF8AMQBfAF8AMwBfAFMAdABhAGcAZQAxAE0AZQB0AGgAYQBuAGUAUAByAG8AZAB1AGMAdABpAG8AbgBfAEEAcgBnAHUAbQBlAG4AdABzACIALAAiAE0ATQBTAF8AUwB3AGkAbgBlAF8ATQBlAHQAaABhAG4AZQBfAEUAcQB1AGEAdABpAG8AbgBzAC4AVgBFAEUAUgBHAF8ANABfADUAXwAxAF8AMQBfAF8ANABfAEYAcgBhAGMAdABpAG8AbgBWAG8AbABhAHQAaQBsAGUAUwBvAGwAaQBkAHMAUAByAGkAbQBhAHIAeQBTAHkAcwB0AGUAbQAiACwAIgBNAE0AUwBfAFMAdwBpAG4AZQBfAE0AZQB0AGgAYQBuAGUAXwBFAHEAdQBhAHQAaQBvAG4AcwAuAFYARQBFAFIARwBfADQAXwA1AF8AMQBfADEAXwBfADQAXwBGAHIAYQBjAHQAaQBvAG4AVgBvAGwAYQB0AGkAbABlAFMAbwBsAGkAZABzAFAAcgBpAG0AYQByAHkAUwB5AHMAdABlAG0AXwBUAGkAdABsAGUAIgAsACIATQBNAFMAXwBTAHcAaQBuAGUAXwBNAGUAdABoAGEAbgBlAF8ARQBxAHUAYQB0AGkAbwBuAHMALgBWAEUARQBSAEcAXwA0AF8ANQBfADEAXwAxAF8AXwA0AF8ARgByAGEAYwB0AGkAbwBuAFYAbwBsAGEAdABpAGwAZQBTAG8AbABpAGQAcwBQAHIAaQBtAGEAcgB5AFMAeQBzAHQAZQBtAF8AVgBhAHIAaQBhAGIAbABlACIALAAiAE0ATQBTAF8AUwB3AGkAbgBlAF8ATQBlAHQAaABhAG4AZQBfAEUAcQB1AGEAdABpAG8AbgBzAC4AVgBFAEUAUgBHAF8ANABfADUAXwAxAF8AMQBfAF8ANABfAEYAcgBhAGMAdABpAG8AbgBWAG8AbABhAHQAaQBsAGUAUwBvAGwAaQBkAHMAUAByAGkAbQBhAHIAeQBTAHkAcwB0AGUAbQBfAFUAbgBpAHQAIgAsACIATQBNAFMAXwBTAHcAaQBuAGUAXwBNAGUAdABoAGEAbgBlAF8ARQBxAHUAYQB0AGkAbwBuAHMALgBWAEUARQBSAEcAXwA0AF8ANQBfADEAXwAxAF8AXwA0AF8ARgByAGEAYwB0AGkAbwBuAFYAbwBsAGEAdABpAGwAZQBTAG8AbABpAGQAcwBQAHIAaQBtAGEAcgB5AFMAeQBzAHQAZQBtAF8AUwBvAHUAcgBjAGUAIgAsACIATQBNAFMAXwBTAHcAaQBuAGUAXwBNAGUAdABoAGEAbgBlAF8ARQBxAHUAYQB0AGkAbwBuAHMALgBWAEUARQBSAEcAXwA0AF8ANQBfADEAXwAxAF8AXwA0AF8ARgByAGEAYwB0AGkAbwBuAFYAbwBsAGEAdABpAGwAZQBTAG8AbABpAGQAcwBQAHIAaQBtAGEAcgB5AFMAeQBzAHQAZQBtAF8ATgBJAFIAUgBlAGYAZQByAGUAbgBjAGUAIgAsACIATQBNAFMAXwBTAHcAaQBuAGUAXwBNAGUAdABoAGEAbgBlAF8ARQBxAHUAYQB0AGkAbwBuAHMALgBWAEUARQBSAEcAXwA0AF8ANQBfADEAXwAxAF8AXwA0AF8ARgByAGEAYwB0AGkAbwBuAFYAbwBsAGEAdABpAGwAZQBTAG8AbABpAGQAcwBQAHIAaQBtAGEAcgB5AFMAeQBzAHQAZQBtAF8ATABhAHQAZQB4AEUAcQB1AGEAdABpAG8AbgAiACwAIgBNAE0AUwBfAFMAdwBpAG4AZQBfAE0AZQB0AGgAYQBuAGUAXwBFAHEAdQBhAHQAaQBvAG4AcwAuAFYARQBFAFIARwBfADQAXwA1AF8AMQBfADEAXwBfADQAXwBGAHIAYQBjAHQAaQBvAG4AVgBvAGwAYQB0AGkAbABlAFMAbwBsAGkAZABzAFAAcgBpAG0AYQByAHkAUwB5AHMAdABlAG0AXwBBAHIAZwB1AG0AZQBuAHQAcwAiACwAIgBNAE0AUwBfAFMAdwBpAG4AZQBfAE0AZQB0AGgAYQBuAGUAXwBFAHEAdQBhAHQAaQBvAG4AcwAuAFYARQBFAFIARwBfADQAXwA1AF8AMQBfADEAXwBfADQAXwBGAHIAYQBjAHQAaQBvAG4AVgBvAGwAYQB0AGkAbABlAFMAbwBsAGkAZABzAFAAcgBpAG0AYQByAHkAUwB5AHMAdABlAG0AXwBWAGEAcgBpAGEAdABpAG8AbgAiACwAIgBNAE0AUwBfAFMAdwBpAG4AZQBfAE0AZQB0AGgAYQBuAGUAXwBFAHEAdQBhAHQAaQBvAG4AcwAuAFYARQBFAFIARwBfADQAXwA1AF8AMQBfADEAXwBfADUAXwBGAHIAYQBjAHQAaQBvAG4AVgBvAGwAYQB0AGkAbABlAFMAbwBsAGkAZABzAFMAbwBsAGkAZABTAHQAbwByAGEAZwBlACIALAAiAE0ATQBTAF8AUwB3AGkAbgBlAF8ATQBlAHQAaABhAG4AZQBfAEUAcQB1AGEAdABpAG8AbgBzAC4AVgBFAEUAUgBHAF8ANABfADUAXwAxAF8AMQBfAF8ANQBfAEYAcgBhAGMAdABpAG8AbgBWAG8AbABhAHQAaQBsAGUAUwBvAGwAaQBkAHMAUwBvAGwAaQBkAFMAdABvAHIAYQBnAGUAVgBhAHIAaQBhAHQAaQBvAG4AIgAsACIATQBNAFMAXwBTAHcAaQBuAGUAXwBNAGUAdABoAGEAbgBlAF8ARQBxAHUAYQB0AGkAbwBuAHMALgBWAEUARQBSAEcAXwA0AF8ANQBfADEAXwAxAF8AXwA1AF8ARgByAGEAYwB0AGkAbwBuAFYAbwBsAGEAdABpAGwAZQBTAG8AbABpAGQAcwBTAG8AbABpAGQAUwB0AG8AcgBhAGcAZQBfAFQAaQB0AGwAZQAiACwAIgBNAE0AUwBfAFMAdwBpAG4AZQBfAE0AZQB0AGgAYQBuAGUAXwBFAHEAdQBhAHQAaQBvAG4AcwAuAFYARQBFAFIARwBfADQAXwA1AF8AMQBfADEAXwBfADUAXwBGAHIAYQBjAHQAaQBvAG4AVgBvAGwAYQB0AGkAbABlAFMAbwBsAGkAZABzAFMAbwBsAGkAZABTAHQAbwByAGEAZwBlAF8AVgBhAHIAaQBhAGIAbABlACIALAAiAE0ATQBTAF8AUwB3AGkAbgBlAF8ATQBlAHQAaABhAG4AZQBfAEUAcQB1AGEAdABpAG8AbgBzAC4AVgBFAEUAUgBHAF8ANABfADUAXwAxAF8AMQBfAF8ANQBfAEYAcgBhAGMAdABpAG8AbgBWAG8AbABhAHQAaQBsAGUAUwBvAGwAaQBkAHMAUwBvAGwAaQBkAFMAdABvAHIAYQBnAGUAXwBVAG4AaQB0ACIALAAiAE0ATQBTAF8AUwB3AGkAbgBlAF8ATQBlAHQAaABhAG4AZQBfAEUAcQB1AGEAdABpAG8AbgBzAC4AVgBFAEUAUgBHAF8ANABfADUAXwAxAF8AMQBfAF8ANQBfAEYAcgBhAGMAdABpAG8AbgBWAG8AbABhAHQAaQBsAGUAUwBvAGwAaQBkAHMAUwBvAGwAaQBkAFMAdABvAHIAYQBnAGUAXwBTAG8AdQByAGMAZQAiACwAIgBNAE0AUwBfAFMAdwBpAG4AZQBfAE0AZQB0AGgAYQBuAGUAXwBFAHEAdQBhAHQAaQBvAG4AcwAuAFYARQBFAFIARwBfADQAXwA1AF8AMQBfADEAXwBfADUAXwBGAHIAYQBjAHQAaQBvAG4AVgBvAGwAYQB0AGkAbABlAFMAbwBsAGkAZABzAFMAbwBsAGkAZABTAHQAbwByAGEAZwBlAF8ATgBJAFIAUgBlAGYAZQByAGUAbgBjAGUAIgAsACIATQBNAFMAXwBTAHcAaQBuAGUAXwBNAGUAdABoAGEAbgBlAF8ARQBxAHUAYQB0AGkAbwBuAHMALgBWAEUARQBSAEcAXwA0AF8ANQBfADEAXwAxAF8AXwA1AF8ARgByAGEAYwB0AGkAbwBuAFYAbwBsAGEAdABpAGwAZQBTAG8AbABpAGQAcwBTAG8AbABpAGQAUwB0AG8AcgBhAGcAZQBfAEwAYQB0AGUAeABFAHEAdQBhAHQAaQBvAG4AIgAsACIATQBNAFMAXwBTAHcAaQBuAGUAXwBNAGUAdABoAGEAbgBlAF8ARQBxAHUAYQB0AGkAbwBuAHMALgBWAEUARQBSAEcAXwA0AF8ANQBfADEAXwAxAF8AXwA1AF8ARgByAGEAYwB0AGkAbwBuAFYAbwBsAGEAdABpAGwAZQBTAG8AbABpAGQAcwBTAG8AbABpAGQAUwB0AG8AcgBhAGcAZQBfAEwAYQB0AGUAeABFAHEAdQBhAHQAaQBvAG4AVgBhAHIAaQBhAHQAaQBvAG4AIgAsACIATQBNAFMAXwBTAHcAaQBuAGUAXwBNAGUAdABoAGEAbgBlAF8ARQBxAHUAYQB0AGkAbwBuAHMALgBWAEUARQBSAEcAXwA0AF8ANQBfADEAXwAxAF8AXwA1AF8ARgByAGEAYwB0AGkAbwBuAFYAbwBsAGEAdABpAGwAZQBTAG8AbABpAGQAcwBTAG8AbABpAGQAUwB0AG8AcgBhAGcAZQBfAEEAcgBnAHUAbQBlAG4AdABzACIALAAiAE0ATQBTAF8AUwB3AGkAbgBlAF8ATQBlAHQAaABhAG4AZQBfAEUAcQB1AGEAdABpAG8AbgBzAC4AVgBFAEUAUgBHAF8ANABfADUAXwAxAF8AMQBfAF8ANQBfAEYAcgBhAGMAdABpAG8AbgBWAG8AbABhAHQAaQBsAGUAUwBvAGwAaQBkAHMAUwBvAGwAaQBkAFMAdABvAHIAYQBnAGUAXwBWAGEAcgBpAGEAdABpAG8AbgAiACwAIgBNAE0AUwBfAFMAdwBpAG4AZQBfAE0AZQB0AGgAYQBuAGUAXwBFAHEAdQBhAHQAaQBvAG4AcwAuAFYARQBFAFIARwBfADQAXwA1AF8AMQBfADEAXwBfADYAXwBTAHQAYQBnAGUAMgBNAGUAdABoAGEAbgBlAFAAcgBvAGQAdQBjAHQAaQBvAG4AIgAsACIATQBNAFMAXwBTAHcAaQBuAGUAXwBNAGUAdABoAGEAbgBlAF8ARQBxAHUAYQB0AGkAbwBuAHMALgBWAEUARQBSAEcAXwA0AF8ANQBfADEAXwAxAF8AXwA2AF8AUwB0AGEAZwBlADIATQBlAHQAaABhAG4AZQBQAHIAbwBkAHUAYwB0AGkAbwBuAF8AVABpAHQAbABlACIALAAiAE0ATQBTAF8AUwB3AGkAbgBlAF8ATQBlAHQAaABhAG4AZQBfAEUAcQB1AGEAdABpAG8AbgBzAC4AVgBFAEUAUgBHAF8ANABfADUAXwAxAF8AMQBfAF8ANgBfAFMAdABhAGcAZQAyAE0AZQB0AGgAYQBuAGUAUAByAG8AZAB1AGMAdABpAG8AbgBfAFYAYQByAGkAYQBiAGwAZQAiACwAIgBNAE0AUwBfAFMAdwBpAG4AZQBfAE0AZQB0AGgAYQBuAGUAXwBFAHEAdQBhAHQAaQBvAG4AcwAuAFYARQBFAFIARwBfADQAXwA1AF8AMQBfADEAXwBfADYAXwBTAHQAYQBnAGUAMgBNAGUAdABoAGEAbgBlAFAAcgBvAGQAdQBjAHQAaQBvAG4AXwBVAG4AaQB0ACIALAAiAE0ATQBTAF8AUwB3AGkAbgBlAF8ATQBlAHQAaABhAG4AZQBfAEUAcQB1AGEAdABpAG8AbgBzAC4AVgBFAEUAUgBHAF8ANABfADUAXwAxAF8AMQBfAF8ANgBfAFMAdABhAGcAZQAyAE0AZQB0AGgAYQBuAGUAUAByAG8AZAB1AGMAdABpAG8AbgBfAFMAbwB1AHIAYwBlACIALAAiAE0ATQBTAF8AUwB3AGkAbgBlAF8ATQBlAHQAaABhAG4AZQBfAEUAcQB1AGEAdABpAG8AbgBzAC4AVgBFAEUAUgBHAF8ANABfADUAXwAxAF8AMQBfAF8ANgBfAFMAdABhAGcAZQAyAE0AZQB0AGgAYQBuAGUAUAByAG8AZAB1AGMAdABpAG8AbgBfAE4ASQBSAFIAZQBmAGUAcgBlAG4AYwBlACIALAAiAE0ATQBTAF8AUwB3AGkAbgBlAF8ATQBlAHQAaABhAG4AZQBfAEUAcQB1AGEAdABpAG8AbgBzAC4AVgBFAEUAUgBHAF8ANABfADUAXwAxAF8AMQBfAF8ANgBfAFMAdABhAGcAZQAyAE0AZQB0AGgAYQBuAGUAUAByAG8AZAB1AGMAdABpAG8AbgBfAEwAYQB0AGUAeABFAHEAdQBhAHQAaQBvAG4AIgAsACIATQBNAFMAXwBTAHcAaQBuAGUAXwBNAGUAdABoAGEAbgBlAF8ARQBxAHUAYQB0AGkAbwBuAHMALgBWAEUARQBSAEcAXwA0AF8ANQBfADEAXwAxAF8AXwA2AF8AUwB0AGEAZwBlADIATQBlAHQAaABhAG4AZQBQAHIAbwBkAHUAYwB0AGkAbwBuAF8AQQByAGcAdQBtAGUAbgB0AHMAIgAsACIATQBNAFMAXwBTAHcAaQBuAGUAXwBNAGUAdABoAGEAbgBlAF8ARQBxAHUAYQB0AGkAbwBuAHMALgBWAEUARQBSAEcAXwA0AF8ANQBfADEAXwAxAF8AXwA2AF8AUwB0AGEAZwBlADIATQBlAHQAaABhAG4AZQBQAHIAbwBkAHUAYwB0AGkAbwBuAF8AQQByAGcAdQBtAGUAbgB0AHMAXwBNAGUAdABoAG8AZAAyACIALAAiAE0ATQBTAF8AUwB3AGkAbgBlAF8ATQBlAHQAaABhAG4AZQBfAEUAcQB1AGEAdABpAG8AbgBzAC4AVgBFAEUAUgBHAF8ANABfADUAXwAxAF8AMQBfAF8ANwBfAFYAbwBsAGEAdABpAGwAZQBTAG8AbABpAGQAcwBUAHIAYQBuAHMAZgBlAHIAcgBlAGQAUwB0AGEAZwBlADIAIgAsACIATQBNAFMAXwBTAHcAaQBuAGUAXwBNAGUAdABoAGEAbgBlAF8ARQBxAHUAYQB0AGkAbwBuAHMALgBWAEUARQBSAEcAXwA0AF8ANQBfADEAXwAxAF8AXwA3AF8AVgBvAGwAYQB0AGkAbABlAFMAbwBsAGkAZABzAFQAcgBhAG4AcwBmAGUAcgByAGUAZABTAHQAYQBnAGUAMgBfAFQAaQB0AGwAZQAiACwAIgBNAE0AUwBfAFMAdwBpAG4AZQBfAE0AZQB0AGgAYQBuAGUAXwBFAHEAdQBhAHQAaQBvAG4AcwAuAFYARQBFAFIARwBfADQAXwA1AF8AMQBfADEAXwBfADcAXwBWAG8AbABhAHQAaQBsAGUAUwBvAGwAaQBkAHMAVAByAGEAbgBzAGYAZQByAHIAZQBkAFMAdABhAGcAZQAyAF8AVgBhAHIAaQBhAGIAbABlACIALAAiAE0ATQBTAF8AUwB3AGkAbgBlAF8ATQBlAHQAaABhAG4AZQBfAEUAcQB1AGEAdABpAG8AbgBzAC4AVgBFAEUAUgBHAF8ANABfADUAXwAxAF8AMQBfAF8ANwBfAFYAbwBsAGEAdABpAGwAZQBTAG8AbABpAGQAcwBUAHIAYQBuAHMAZgBlAHIAcgBlAGQAUwB0AGEAZwBlADIAXwBVAG4AaQB0ACIALAAiAE0ATQBTAF8AUwB3AGkAbgBlAF8ATQBlAHQAaABhAG4AZQBfAEUAcQB1AGEAdABpAG8AbgBzAC4AVgBFAEUAUgBHAF8ANABfADUAXwAxAF8AMQBfAF8ANwBfAFYAbwBsAGEAdABpAGwAZQBTAG8AbABpAGQAcwBUAHIAYQBuAHMAZgBlAHIAcgBlAGQAUwB0AGEAZwBlADIAXwBTAG8AdQByAGMAZQAiACwAIgBNAE0AUwBfAFMAdwBpAG4AZQBfAE0AZQB0AGgAYQBuAGUAXwBFAHEAdQBhAHQAaQBvAG4AcwAuAFYARQBFAFIARwBfADQAXwA1AF8AMQBfADEAXwBfADcAXwBWAG8AbABhAHQAaQBsAGUAUwBvAGwAaQBkAHMAVAByAGEAbgBzAGYAZQByAHIAZQBkAFMAdABhAGcAZQAyAF8ATgBJAFIAUgBlAGYAZQByAGUAbgBjAGUAIgAsACIATQBNAFMAXwBTAHcAaQBuAGUAXwBNAGUAdABoAGEAbgBlAF8ARQBxAHUAYQB0AGkAbwBuAHMALgBWAEUARQBSAEcAXwA0AF8ANQBfADEAXwAxAF8AXwA3AF8AVgBvAGwAYQB0AGkAbABlAFMAbwBsAGkAZABzAFQAcgBhAG4AcwBmAGUAcgByAGUAZABTAHQAYQBnAGUAMgBfAEwAYQB0AGUAeABFAHEAdQBhAHQAaQBvAG4AIgAsACIATQBNAFMAXwBTAHcAaQBuAGUAXwBNAGUAdABoAGEAbgBlAF8ARQBxAHUAYQB0AGkAbwBuAHMALgBWAEUARQBSAEcAXwA0AF8ANQBfADEAXwAxAF8AXwA3AF8AVgBvAGwAYQB0AGkAbABlAFMAbwBsAGkAZABzAFQAcgBhAG4AcwBmAGUAcgByAGUAZABTAHQAYQBnAGUAMgBfAEEAcgBnAHUAbQBlAG4AdABzACIALAAiAE0ATQBTAF8AUwB3AGkAbgBlAF8ATgAyAE8ARABpAHIAZQBjAHQAXwBFAHEAdQBhAHQAaQBvAG4AcwAuAFYARQBFAFIARwBfADQAXwA1AF8AMQBfADMAXwBfADEAXwBUAG8AdABhAGwAQQBuAG4AdQBhAGwARABpAHIAZQBjAHQATgBpAHQAcgBvAHUAcwBPAHgAaQBkAGUARQBtAGkAcwBzAGkAbwBuAHMARgByAG8AbQBNAE0AUwAiACwAIgBNAE0AUwBfAFMAdwBpAG4AZQBfAE4AMgBPAEQAaQByAGUAYwB0AF8ARQBxAHUAYQB0AGkAbwBuAHMALgBWAEUARQBSAEcAXwA0AF8ANQBfADEAXwAzAF8AXwAxAF8AVABvAHQAYQBsAEEAbgBuAHUAYQBsAEQAaQByAGUAYwB0AE4AaQB0AHIAbwB1AHMATwB4AGkAZABlAEUAbQBpAHMAcwBpAG8AbgBzAEYAcgBvAG0ATQBNAFMAXwBUAGkAdABsAGUAIgAsACIATQBNAFMAXwBTAHcAaQBuAGUAXwBOADIATwBEAGkAcgBlAGMAdABfAEUAcQB1AGEAdABpAG8AbgBzAC4AVgBFAEUAUgBHAF8ANABfADUAXwAxAF8AMwBfAF8AMQBfAFQAbwB0AGEAbABBAG4AbgB1AGEAbABEAGkAcgBlAGMAdABOAGkAdAByAG8AdQBzAE8AeABpAGQAZQBFAG0AaQBzAHMAaQBvAG4AcwBGAHIAbwBtAE0ATQBTAF8AVgBhAHIAaQBhAGIAbABlACIALAAiAE0ATQBTAF8AUwB3AGkAbgBlAF8ATgAyAE8ARABpAHIAZQBjAHQAXwBFAHEAdQBhAHQAaQBvAG4AcwAuAFYARQBFAFIARwBfADQAXwA1AF8AMQBfADMAXwBfADEAXwBUAG8AdABhAGwAQQBuAG4AdQBhAGwARABpAHIAZQBjAHQATgBpAHQAcgBvAHUAcwBPAHgAaQBkAGUARQBtAGkAcwBzAGkAbwBuAHMARgByAG8AbQBNAE0AUwBfAFUAbgBpAHQAIgAsACIATQBNAFMAXwBTAHcAaQBuAGUAXwBOADIATwBEAGkAcgBlAGMAdABfAEUAcQB1AGEAdABpAG8AbgBzAC4AVgBFAEUAUgBHAF8ANABfADUAXwAxAF8AMwBfAF8AMQBfAFQAbwB0AGEAbABBAG4AbgB1AGEAbABEAGkAcgBlAGMAdABOAGkAdAByAG8AdQBzAE8AeABpAGQAZQBFAG0AaQBzAHMAaQBvAG4AcwBGAHIAbwBtAE0ATQBTAF8AUwBvAHUAcgBjAGUAIgAsACIATQBNAFMAXwBTAHcAaQBuAGUAXwBOADIATwBEAGkAcgBlAGMAdABfAEUAcQB1AGEAdABpAG8AbgBzAC4AVgBFAEUAUgBHAF8ANABfADUAXwAxAF8AMwBfAF8AMQBfAFQAbwB0AGEAbABBAG4AbgB1AGEAbABEAGkAcgBlAGMAdABOAGkAdAByAG8AdQBzAE8AeABpAGQAZQBFAG0AaQBzAHMAaQBvAG4AcwBGAHIAbwBtAE0ATQBTAF8ATgBJAFIAUgBlAGYAZQByAGUAbgBjAGUAIgAsACIATQBNAFMAXwBTAHcAaQBuAGUAXwBOADIATwBEAGkAcgBlAGMAdABfAEUAcQB1AGEAdABpAG8AbgBzAC4AVgBFAEUAUgBHAF8ANABfADUAXwAxAF8AMwBfAF8AMQBfAFQAbwB0AGEAbABBAG4AbgB1AGEAbABEAGkAcgBlAGMAdABOAGkAdAByAG8AdQBzAE8AeABpAGQAZQBFAG0AaQBzAHMAaQBvAG4AcwBGAHIAbwBtAE0ATQBTAF8ATABhAHQAZQB4AEUAcQB1AGEAdABpAG8AbgAiACwAIgBNAE0AUwBfAFMAdwBpAG4AZQBfAE4AMgBPAEQAaQByAGUAYwB0AF8ARQBxAHUAYQB0AGkAbwBuAHMALgBWAEUARQBSAEcAXwA0AF8ANQBfADEAXwAzAF8AXwAxAF8AVABvAHQAYQBsAEEAbgBuAHUAYQBsAEQAaQByAGUAYwB0AE4AaQB0AHIAbwB1AHMATwB4AGkAZABlAEUAbQBpAHMAcwBpAG8AbgBzAEYAcgBvAG0ATQBNAFMAXwBBAHIAZwB1AG0AZQBuAHQAcwAiACwAIgBNAE0AUwBfAFMAdwBpAG4AZQBfAE4AMgBPAEQAaQByAGUAYwB0AF8ARQBxAHUAYQB0AGkAbwBuAHMALgBWAEUARQBSAEcAXwA0AF8ANQBfADEAXwAzAF8AXwAyAF8AUwB0AGEAZwBlADEATgBpAHQAcgBvAGcAZQBuAEkAbgBNAE0AUwAiACwAIgBNAE0AUwBfAFMAdwBpAG4AZQBfAE4AMgBPAEQAaQByAGUAYwB0AF8ARQBxAHUAYQB0AGkAbwBuAHMALgBWAEUARQBSAEcAXwA0AF8ANQBfADEAXwAzAF8AXwAyAF8AUwB0AGEAZwBlADEATgBpAHQAcgBvAGcAZQBuAEkAbgBNAE0AUwBfAFQAaQB0AGwAZQAiACwAIgBNAE0AUwBfAFMAdwBpAG4AZQBfAE4AMgBPAEQAaQByAGUAYwB0AF8ARQBxAHUAYQB0AGkAbwBuAHMALgBWAEUARQBSAEcAXwA0AF8ANQBfADEAXwAzAF8AXwAyAF8AUwB0AGEAZwBlADEATgBpAHQAcgBvAGcAZQBuAEkAbgBNAE0AUwBfAFYAYQByAGkAYQBiAGwAZQAiACwAIgBNAE0AUwBfAFMAdwBpAG4AZQBfAE4AMgBPAEQAaQByAGUAYwB0AF8ARQBxAHUAYQB0AGkAbwBuAHMALgBWAEUARQBSAEcAXwA0AF8ANQBfADEAXwAzAF8AXwAyAF8AUwB0AGEAZwBlADEATgBpAHQAcgBvAGcAZQBuAEkAbgBNAE0AUwBfAFUAbgBpAHQAIgAsACIATQBNAFMAXwBTAHcAaQBuAGUAXwBOADIATwBEAGkAcgBlAGMAdABfAEUAcQB1AGEAdABpAG8AbgBzAC4AVgBFAEUAUgBHAF8ANABfADUAXwAxAF8AMwBfAF8AMgBfAFMAdABhAGcAZQAxAE4AaQB0AHIAbwBnAGUAbgBJAG4ATQBNAFMAXwBTAG8AdQByAGMAZQAiACwAIgBNAE0AUwBfAFMAdwBpAG4AZQBfAE4AMgBPAEQAaQByAGUAYwB0AF8ARQBxAHUAYQB0AGkAbwBuAHMALgBWAEUARQBSAEcAXwA0AF8ANQBfADEAXwAzAF8AXwAyAF8AUwB0AGEAZwBlADEATgBpAHQAcgBvAGcAZQBuAEkAbgBNAE0AUwBfAE4ASQBSAFIAZQBmAGUAcgBlAG4AYwBlACIALAAiAE0ATQBTAF8AUwB3AGkAbgBlAF8ATgAyAE8ARABpAHIAZQBjAHQAXwBFAHEAdQBhAHQAaQBvAG4AcwAuAFYARQBFAFIARwBfADQAXwA1AF8AMQBfADMAXwBfADIAXwBTAHQAYQBnAGUAMQBOAGkAdAByAG8AZwBlAG4ASQBuAE0ATQBTAF8ATABhAHQAZQB4AEUAcQB1AGEAdABpAG8AbgAiACwAIgBNAE0AUwBfAFMAdwBpAG4AZQBfAE4AMgBPAEQAaQByAGUAYwB0AF8ARQBxAHUAYQB0AGkAbwBuAHMALgBWAEUARQBSAEcAXwA0AF8ANQBfADEAXwAzAF8AXwAyAF8AUwB0AGEAZwBlADEATgBpAHQAcgBvAGcAZQBuAEkAbgBNAE0AUwBfAEEAcgBnAHUAbQBlAG4AdABzACIALAAiAE0ATQBTAF8AUwB3AGkAbgBlAF8ATgAyAE8ARABpAHIAZQBjAHQAXwBFAHEAdQBhAHQAaQBvAG4AcwAuAFYARQBFAFIARwBfADQAXwA1AF8AMQBfADMAXwBfADMAXwBGAHIAYQBjAHQAaQBvAG4ATwBmAE4AaQB0AHIAbwBnAGUAbgBJAG4AUAByAGkAbQBhAHIAeQBNAE0AUwAiACwAIgBNAE0AUwBfAFMAdwBpAG4AZQBfAE4AMgBPAEQAaQByAGUAYwB0AF8ARQBxAHUAYQB0AGkAbwBuAHMALgBWAEUARQBSAEcAXwA0AF8ANQBfADEAXwAzAF8AXwAzAF8ARgByAGEAYwB0AGkAbwBuAE8AZgBOAGkAdAByAG8AZwBlAG4ASQBuAFAAcgBpAG0AYQByAHkATQBNAFMAXwBUAGkAdABsAGUAIgAsACIATQBNAFMAXwBTAHcAaQBuAGUAXwBOADIATwBEAGkAcgBlAGMAdABfAEUAcQB1AGEAdABpAG8AbgBzAC4AVgBFAEUAUgBHAF8ANABfADUAXwAxAF8AMwBfAF8AMwBfAEYAcgBhAGMAdABpAG8AbgBPAGYATgBpAHQAcgBvAGcAZQBuAEkAbgBQAHIAaQBtAGEAcgB5AE0ATQBTAF8AVgBhAHIAaQBhAGIAbABlACIALAAiAE0ATQBTAF8AUwB3AGkAbgBlAF8ATgAyAE8ARABpAHIAZQBjAHQAXwBFAHEAdQBhAHQAaQBvAG4AcwAuAFYARQBFAFIARwBfADQAXwA1AF8AMQBfADMAXwBfADMAXwBGAHIAYQBjAHQAaQBvAG4ATwBmAE4AaQB0AHIAbwBnAGUAbgBJAG4AUAByAGkAbQBhAHIAeQBNAE0AUwBfAFUAbgBpAHQAIgAsACIATQBNAFMAXwBTAHcAaQBuAGUAXwBOADIATwBEAGkAcgBlAGMAdABfAEUAcQB1AGEAdABpAG8AbgBzAC4AVgBFAEUAUgBHAF8ANABfADUAXwAxAF8AMwBfAF8AMwBfAEYAcgBhAGMAdABpAG8AbgBPAGYATgBpAHQAcgBvAGcAZQBuAEkAbgBQAHIAaQBtAGEAcgB5AE0ATQBTAF8AUwBvAHUAcgBjAGUAIgAsACIATQBNAFMAXwBTAHcAaQBuAGUAXwBOADIATwBEAGkAcgBlAGMAdABfAEUAcQB1AGEAdABpAG8AbgBzAC4AVgBFAEUAUgBHAF8ANABfADUAXwAxAF8AMwBfAF8AMwBfAEYAcgBhAGMAdABpAG8AbgBPAGYATgBpAHQAcgBvAGcAZQBuAEkAbgBQAHIAaQBtAGEAcgB5AE0ATQBTAF8ATgBJAFIAUgBlAGYAZQByAGUAbgBjAGUAIgAsACIATQBNAFMAXwBTAHcAaQBuAGUAXwBOADIATwBEAGkAcgBlAGMAdABfAEUAcQB1AGEAdABpAG8AbgBzAC4AVgBFAEUAUgBHAF8ANABfADUAXwAxAF8AMwBfAF8AMwBfAEYAcgBhAGMAdABpAG8AbgBPAGYATgBpAHQAcgBvAGcAZQBuAEkAbgBQAHIAaQBtAGEAcgB5AE0ATQBTAF8ATABhAHQAZQB4AEUAcQB1AGEAdABpAG8AbgAiACwAIgBNAE0AUwBfAFMAdwBpAG4AZQBfAE4AMgBPAEQAaQByAGUAYwB0AF8ARQBxAHUAYQB0AGkAbwBuAHMALgBWAEUARQBSAEcAXwA0AF8ANQBfADEAXwAzAF8AXwAzAF8ARgByAGEAYwB0AGkAbwBuAE8AZgBOAGkAdAByAG8AZwBlAG4ASQBuAFAAcgBpAG0AYQByAHkATQBNAFMAXwBBAHIAZwB1AG0AZQBuAHQAcwAiACwAIgBNAE0AUwBfAFMAdwBpAG4AZQBfAE4AMgBPAEQAaQByAGUAYwB0AF8ARQBxAHUAYQB0AGkAbwBuAHMALgBWAEUARQBSAEcAXwA0AF8ANQBfADEAXwAzAF8AXwA0AF8ARgByAGEAYwB0AGkAbwBuAE8AZgBOAGkAdAByAG8AZwBlAG4ASQBuAFMAbwBsAGkAZABTAHQAbwByAGEAZwBlACIALAAiAE0ATQBTAF8AUwB3AGkAbgBlAF8ATgAyAE8ARABpAHIAZQBjAHQAXwBFAHEAdQBhAHQAaQBvAG4AcwAuAFYARQBFAFIARwBfADQAXwA1AF8AMQBfADMAXwBfADQAXwBGAHIAYQBjAHQAaQBvAG4ATwBmAE4AaQB0AHIAbwBnAGUAbgBJAG4AUwBvAGwAaQBkAFMAdABvAHIAYQBnAGUAVgBhAHIAaQBhAHQAaQBvAG4AIgAsACIATQBNAFMAXwBTAHcAaQBuAGUAXwBOADIATwBEAGkAcgBlAGMAdABfAEUAcQB1AGEAdABpAG8AbgBzAC4AVgBFAEUAUgBHAF8ANABfADUAXwAxAF8AMwBfAF8ANABfAEYAcgBhAGMAdABpAG8AbgBPAGYATgBpAHQAcgBvAGcAZQBuAEkAbgBTAG8AbABpAGQAUwB0AG8AcgBhAGcAZQBfAFQAaQB0AGwAZQAiACwAIgBNAE0AUwBfAFMAdwBpAG4AZQBfAE4AMgBPAEQAaQByAGUAYwB0AF8ARQBxAHUAYQB0AGkAbwBuAHMALgBWAEUARQBSAEcAXwA0AF8ANQBfADEAXwAzAF8AXwA0AF8ARgByAGEAYwB0AGkAbwBuAE8AZgBOAGkAdAByAG8AZwBlAG4ASQBuAFMAbwBsAGkAZABTAHQAbwByAGEAZwBlAF8AVgBhAHIAaQBhAGIAbABlACIALAAiAE0ATQBTAF8AUwB3AGkAbgBlAF8ATgAyAE8ARABpAHIAZQBjAHQAXwBFAHEAdQBhAHQAaQBvAG4AcwAuAFYARQBFAFIARwBfADQAXwA1AF8AMQBfADMAXwBfADQAXwBGAHIAYQBjAHQAaQBvAG4ATwBmAE4AaQB0AHIAbwBnAGUAbgBJAG4AUwBvAGwAaQBkAFMAdABvAHIAYQBnAGUAXwBVAG4AaQB0ACIALAAiAE0ATQBTAF8AUwB3AGkAbgBlAF8ATgAyAE8ARABpAHIAZQBjAHQAXwBFAHEAdQBhAHQAaQBvAG4AcwAuAFYARQBFAFIARwBfADQAXwA1AF8AMQBfADMAXwBfADQAXwBGAHIAYQBjAHQAaQBvAG4ATwBmAE4AaQB0AHIAbwBnAGUAbgBJAG4AUwBvAGwAaQBkAFMAdABvAHIAYQBnAGUAXwBTAG8AdQByAGMAZQAiACwAIgBNAE0AUwBfAFMAdwBpAG4AZQBfAE4AMgBPAEQAaQByAGUAYwB0AF8ARQBxAHUAYQB0AGkAbwBuAHMALgBWAEUARQBSAEcAXwA0AF8ANQBfADEAXwAzAF8AXwA0AF8ARgByAGEAYwB0AGkAbwBuAE8AZgBOAGkAdAByAG8AZwBlAG4ASQBuAFMAbwBsAGkAZABTAHQAbwByAGEAZwBlAF8ATgBJAFIAUgBlAGYAZQByAGUAbgBjAGUAIgAsACIATQBNAFMAXwBTAHcAaQBuAGUAXwBOADIATwBEAGkAcgBlAGMAdABfAEUAcQB1AGEAdABpAG8AbgBzAC4AVgBFAEUAUgBHAF8ANABfADUAXwAxAF8AMwBfAF8ANABfAEYAcgBhAGMAdABpAG8AbgBPAGYATgBpAHQAcgBvAGcAZQBuAEkAbgBTAG8AbABpAGQAUwB0AG8AcgBhAGcAZQBfAEwAYQB0AGUAeABFAHEAdQBhAHQAaQBvAG4AIgAsACIATQBNAFMAXwBTAHcAaQBuAGUAXwBOADIATwBEAGkAcgBlAGMAdABfAEUAcQB1AGEAdABpAG8AbgBzAC4AVgBFAEUAUgBHAF8ANABfADUAXwAxAF8AMwBfAF8ANABfAEYAcgBhAGMAdABpAG8AbgBPAGYATgBpAHQAcgBvAGcAZQBuAEkAbgBTAG8AbABpAGQAUwB0AG8AcgBhAGcAZQBfAEwAYQB0AGUAeABFAHEAdQBhAHQAaQBvAG4AVgBhAHIAaQBhAHQAaQBvAG4AIgAsACIATQBNAFMAXwBTAHcAaQBuAGUAXwBOADIATwBEAGkAcgBlAGMAdABfAEUAcQB1AGEAdABpAG8AbgBzAC4AVgBFAEUAUgBHAF8ANABfADUAXwAxAF8AMwBfAF8ANABfAEYAcgBhAGMAdABpAG8AbgBPAGYATgBpAHQAcgBvAGcAZQBuAEkAbgBTAG8AbABpAGQAUwB0AG8AcgBhAGcAZQBfAEEAcgBnAHUAbQBlAG4AdABzACIALAAiAE0ATQBTAF8AUwB3AGkAbgBlAF8ATgAyAE8ARABpAHIAZQBjAHQAXwBFAHEAdQBhAHQAaQBvAG4AcwAuAFYARQBFAFIARwBfADQAXwA1AF8AMQBfADMAXwBfADQAXwBGAHIAYQBjAHQAaQBvAG4ATwBmAE4AaQB0AHIAbwBnAGUAbgBJAG4AUwBvAGwAaQBkAFMAdABvAHIAYQBnAGUAXwBWAGEAcgBpAGEAdABpAG8AbgAiACwAIgBNAE0AUwBfAFMAdwBpAG4AZQBfAE4AMgBPAEQAaQByAGUAYwB0AF8ARQBxAHUAYQB0AGkAbwBuAHMALgBWAEUARQBSAEcAXwA0AF8ANQBfADEAXwAzAF8AXwA1AF8AQQBuAG4AdQBhAGwATgBpAHQAcgBvAGcAZQBuAEUAeABjAHIAZQB0AGkAbwBuACIALAAiAE0ATQBTAF8AUwB3AGkAbgBlAF8ATgAyAE8ARABpAHIAZQBjAHQAXwBFAHEAdQBhAHQAaQBvAG4AcwAuAFYARQBFAFIARwBfADQAXwA1AF8AMQBfADMAXwBfADUAXwBBAG4AbgB1AGEAbABOAGkAdAByAG8AZwBlAG4ARQB4AGMAcgBlAHQAaQBvAG4AXwBUAGkAdABsAGUAIgAsACIATQBNAFMAXwBTAHcAaQBuAGUAXwBOADIATwBEAGkAcgBlAGMAdABfAEUAcQB1AGEAdABpAG8AbgBzAC4AVgBFAEUAUgBHAF8ANABfADUAXwAxAF8AMwBfAF8ANQBfAEEAbgBuAHUAYQBsAE4AaQB0AHIAbwBnAGUAbgBFAHgAYwByAGUAdABpAG8AbgBfAFYAYQByAGkAYQBiAGwAZQAiACwAIgBNAE0AUwBfAFMAdwBpAG4AZQBfAE4AMgBPAEQAaQByAGUAYwB0AF8ARQBxAHUAYQB0AGkAbwBuAHMALgBWAEUARQBSAEcAXwA0AF8ANQBfADEAXwAzAF8AXwA1AF8AQQBuAG4AdQBhAGwATgBpAHQAcgBvAGcAZQBuAEUAeABjAHIAZQB0AGkAbwBuAF8AVQBuAGkAdAAiACwAIgBNAE0AUwBfAFMAdwBpAG4AZQBfAE4AMgBPAEQAaQByAGUAYwB0AF8ARQBxAHUAYQB0AGkAbwBuAHMALgBWAEUARQBSAEcAXwA0AF8ANQBfADEAXwAzAF8AXwA1AF8AQQBuAG4AdQBhAGwATgBpAHQAcgBvAGcAZQBuAEUAeABjAHIAZQB0AGkAbwBuAF8AUwBvAHUAcgBjAGUAIgAsACIATQBNAFMAXwBTAHcAaQBuAGUAXwBOADIATwBEAGkAcgBlAGMAdABfAEUAcQB1AGEAdABpAG8AbgBzAC4AVgBFAEUAUgBHAF8ANABfADUAXwAxAF8AMwBfAF8ANQBfAEEAbgBuAHUAYQBsAE4AaQB0AHIAbwBnAGUAbgBFAHgAYwByAGUAdABpAG8AbgBfAE4ASQBSAFIAZQBmAGUAcgBlAG4AYwBlACIALAAiAE0ATQBTAF8AUwB3AGkAbgBlAF8ATgAyAE8ARABpAHIAZQBjAHQAXwBFAHEAdQBhAHQAaQBvAG4AcwAuAFYARQBFAFIARwBfADQAXwA1AF8AMQBfADMAXwBfADUAXwBBAG4AbgB1AGEAbABOAGkAdAByAG8AZwBlAG4ARQB4AGMAcgBlAHQAaQBvAG4AXwBMAGEAdABlAHgARQBxAHUAYQB0AGkAbwBuACIALAAiAE0ATQBTAF8AUwB3AGkAbgBlAF8ATgAyAE8ARABpAHIAZQBjAHQAXwBFAHEAdQBhAHQAaQBvAG4AcwAuAFYARQBFAFIARwBfADQAXwA1AF8AMQBfADMAXwBfADUAXwBBAG4AbgB1AGEAbABOAGkAdAByAG8AZwBlAG4ARQB4AGMAcgBlAHQAaQBvAG4AXwBBAHIAZwB1AG0AZQBuAHQAcwAiACwAIgBNAE0AUwBfAFMAdwBpAG4AZQBfAE4AMgBPAEQAaQByAGUAYwB0AF8ARQBxAHUAYQB0AGkAbwBuAHMALgBWAEUARQBSAEcAXwA0AF8ANQBfADEAXwAzAF8AXwA2AF8AUwB0AGEAZwBlADIATgBpAHQAcgBvAGcAZQBuAEkAbgBNAE0AUwAiACwAIgBNAE0AUwBfAFMAdwBpAG4AZQBfAE4AMgBPAEQAaQByAGUAYwB0AF8ARQBxAHUAYQB0AGkAbwBuAHMALgBWAEUARQBSAEcAXwA0AF8ANQBfADEAXwAzAF8AXwA2AF8AUwB0AGEAZwBlADIATgBpAHQAcgBvAGcAZQBuAEkAbgBNAE0AUwBfAFQAaQB0AGwAZQAiACwAIgBNAE0AUwBfAFMAdwBpAG4AZQBfAE4AMgBPAEQAaQByAGUAYwB0AF8ARQBxAHUAYQB0AGkAbwBuAHMALgBWAEUARQBSAEcAXwA0AF8ANQBfADEAXwAzAF8AXwA2AF8AUwB0AGEAZwBlADIATgBpAHQAcgBvAGcAZQBuAEkAbgBNAE0AUwBfAFYAYQByAGkAYQBiAGwAZQAiACwAIgBNAE0AUwBfAFMAdwBpAG4AZQBfAE4AMgBPAEQAaQByAGUAYwB0AF8ARQBxAHUAYQB0AGkAbwBuAHMALgBWAEUARQBSAEcAXwA0AF8ANQBfADEAXwAzAF8AXwA2AF8AUwB0AGEAZwBlADIATgBpAHQAcgBvAGcAZQBuAEkAbgBNAE0AUwBfAFUAbgBpAHQAIgAsACIATQBNAFMAXwBTAHcAaQBuAGUAXwBOADIATwBEAGkAcgBlAGMAdABfAEUAcQB1AGEAdABpAG8AbgBzAC4AVgBFAEUAUgBHAF8ANABfADUAXwAxAF8AMwBfAF8ANgBfAFMAdABhAGcAZQAyAE4AaQB0AHIAbwBnAGUAbgBJAG4ATQBNAFMAXwBTAG8AdQByAGMAZQAiACwAIgBNAE0AUwBfAFMAdwBpAG4AZQBfAE4AMgBPAEQAaQByAGUAYwB0AF8ARQBxAHUAYQB0AGkAbwBuAHMALgBWAEUARQBSAEcAXwA0AF8ANQBfADEAXwAzAF8AXwA2AF8AUwB0AGEAZwBlADIATgBpAHQAcgBvAGcAZQBuAEkAbgBNAE0AUwBfAE4ASQBSAFIAZQBmAGUAcgBlAG4AYwBlACIALAAiAE0ATQBTAF8AUwB3AGkAbgBlAF8ATgAyAE8ARABpAHIAZQBjAHQAXwBFAHEAdQBhAHQAaQBvAG4AcwAuAFYARQBFAFIARwBfADQAXwA1AF8AMQBfADMAXwBfADYAXwBTAHQAYQBnAGUAMgBOAGkAdAByAG8AZwBlAG4ASQBuAE0ATQBTAF8ATABhAHQAZQB4AEUAcQB1AGEAdABpAG8AbgAiACwAIgBNAE0AUwBfAFMAdwBpAG4AZQBfAE4AMgBPAEQAaQByAGUAYwB0AF8ARQBxAHUAYQB0AGkAbwBuAHMALgBWAEUARQBSAEcAXwA0AF8ANQBfADEAXwAzAF8AXwA2AF8AUwB0AGEAZwBlADIATgBpAHQAcgBvAGcAZQBuAEkAbgBNAE0AUwBfAEEAcgBnAHUAbQBlAG4AdABzACIALAAiAE0ATQBTAF8AUwB3AGkAbgBlAF8ATgAyAE8ARABpAHIAZQBjAHQAXwBFAHEAdQBhAHQAaQBvAG4AcwAuAFYARQBFAFIARwBfADQAXwA1AF8AMQBfADMAXwBfADcAXwBOAGkAdAByAG8AZwBlAG4AVAByAGEAbgBzAGYAZQByAHIAZQBkAFQAbwBTAHQAYQBnAGUAMgBNAE0AUwAiACwAIgBNAE0AUwBfAFMAdwBpAG4AZQBfAE4AMgBPAEQAaQByAGUAYwB0AF8ARQBxAHUAYQB0AGkAbwBuAHMALgBWAEUARQBSAEcAXwA0AF8ANQBfADEAXwAzAF8AXwA3AF8ATgBpAHQAcgBvAGcAZQBuAFQAcgBhAG4AcwBmAGUAcgByAGUAZABUAG8AUwB0AGEAZwBlADIATQBNAFMAXwBUAGkAdABsAGUAIgAsACIATQBNAFMAXwBTAHcAaQBuAGUAXwBOADIATwBEAGkAcgBlAGMAdABfAEUAcQB1AGEAdABpAG8AbgBzAC4AVgBFAEUAUgBHAF8ANABfADUAXwAxAF8AMwBfAF8ANwBfAE4AaQB0AHIAbwBnAGUAbgBUAHIAYQBuAHMAZgBlAHIAcgBlAGQAVABvAFMAdABhAGcAZQAyAE0ATQBTAF8AVgBhAHIAaQBhAGIAbABlACIALAAiAE0ATQBTAF8AUwB3AGkAbgBlAF8ATgAyAE8ARABpAHIAZQBjAHQAXwBFAHEAdQBhAHQAaQBvAG4AcwAuAFYARQBFAFIARwBfADQAXwA1AF8AMQBfADMAXwBfADcAXwBOAGkAdAByAG8AZwBlAG4AVAByAGEAbgBzAGYAZQByAHIAZQBkAFQAbwBTAHQAYQBnAGUAMgBNAE0AUwBfAFUAbgBpAHQAIgAsACIATQBNAFMAXwBTAHcAaQBuAGUAXwBOADIATwBEAGkAcgBlAGMAdABfAEUAcQB1AGEAdABpAG8AbgBzAC4AVgBFAEUAUgBHAF8ANABfADUAXwAxAF8AMwBfAF8ANwBfAE4AaQB0AHIAbwBnAGUAbgBUAHIAYQBuAHMAZgBlAHIAcgBlAGQAVABvAFMAdABhAGcAZQAyAE0ATQBTAF8AUwBvAHUAcgBjAGUAIgAsACIATQBNAFMAXwBTAHcAaQBuAGUAXwBOADIATwBEAGkAcgBlAGMAdABfAEUAcQB1AGEAdABpAG8AbgBzAC4AVgBFAEUAUgBHAF8ANABfADUAXwAxAF8AMwBfAF8ANwBfAE4AaQB0AHIAbwBnAGUAbgBUAHIAYQBuAHMAZgBlAHIAcgBlAGQAVABvAFMAdABhAGcAZQAyAE0ATQBTAF8ATgBJAFIAUgBlAGYAZQByAGUAbgBjAGUAIgAsACIATQBNAFMAXwBTAHcAaQBuAGUAXwBOADIATwBEAGkAcgBlAGMAdABfAEUAcQB1AGEAdABpAG8AbgBzAC4AVgBFAEUAUgBHAF8ANABfADUAXwAxAF8AMwBfAF8ANwBfAE4AaQB0AHIAbwBnAGUAbgBUAHIAYQBuAHMAZgBlAHIAcgBlAGQAVABvAFMAdABhAGcAZQAyAE0ATQBTAF8ATABhAHQAZQB4AEUAcQB1AGEAdABpAG8AbgAiACwAIgBNAE0AUwBfAFMAdwBpAG4AZQBfAE4AMgBPAEQAaQByAGUAYwB0AF8ARQBxAHUAYQB0AGkAbwBuAHMALgBWAEUARQBSAEcAXwA0AF8ANQBfADEAXwAzAF8AXwA3AF8ATgBpAHQAcgBvAGcAZQBuAFQAcgBhAG4AcwBmAGUAcgByAGUAZABUAG8AUwB0AGEAZwBlADIATQBNAFMAXwBBAHIAZwB1AG0AZQBuAHQAc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QAaQB0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YAYQByAGkAYQBi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UAbgBpAHQ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TAG8AdQBy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4ASQBSAFIAZQBmAGUAcgBlAG4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ABhAHQAZQB4AEUAcQB1AGEAdABpAG8Abg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EAcgBnAHUAbQBlAG4AdABzACIALAAiAE0ATQBTAF8AUwB3AGkAbgBlAF8AQQB0AG0AbwBzAHAAaABlAHIAaQBjAEQAZQBwAG8AcwBpAHQAaQBvAG4AXwBFAHEAdQBhAHQAaQBvAG4AcwAuAFYARQBFAFIARwBfADQAXwA1AF8AMQBfADUAXwBfADIAXwBUAG8AdABhAGwATgBpAHQAcgBvAGcAZQBuAFYAbwBsAGEAdABpAGwAaQBzAGUAZABGAHIAbwBtAE0ATQBTACIALAAiAE0ATQBTAF8AUwB3AGkAbgBlAF8AQQB0AG0AbwBzAHAAaABlAHIAaQBjAEQAZQBwAG8AcwBpAHQAaQBvAG4AXwBFAHEAdQBhAHQAaQBvAG4AcwAuAFYARQBFAFIARwBfADQAXwA1AF8AMQBfADUAXwBfADIAXwBUAG8AdABhAGwATgBpAHQAcgBvAGcAZQBuAFYAbwBsAGEAdABpAGwAaQBzAGUAZABGAHIAbwBtAE0ATQBTAF8AVABpAHQAbABlACIALAAiAE0ATQBTAF8AUwB3AGkAbgBlAF8AQQB0AG0AbwBzAHAAaABlAHIAaQBjAEQAZQBwAG8AcwBpAHQAaQBvAG4AXwBFAHEAdQBhAHQAaQBvAG4AcwAuAFYARQBFAFIARwBfADQAXwA1AF8AMQBfADUAXwBfADIAXwBUAG8AdABhAGwATgBpAHQAcgBvAGcAZQBuAFYAbwBsAGEAdABpAGwAaQBzAGUAZABGAHIAbwBtAE0ATQBTAF8AVgBhAHIAaQBhAGIAbABlACIALAAiAE0ATQBTAF8AUwB3AGkAbgBlAF8AQQB0AG0AbwBzAHAAaABlAHIAaQBjAEQAZQBwAG8AcwBpAHQAaQBvAG4AXwBFAHEAdQBhAHQAaQBvAG4AcwAuAFYARQBFAFIARwBfADQAXwA1AF8AMQBfADUAXwBfADIAXwBUAG8AdABhAGwATgBpAHQAcgBvAGcAZQBuAFYAbwBsAGEAdABpAGwAaQBzAGUAZABGAHIAbwBtAE0ATQBTAF8AVQBuAGkAdAAiACwAIgBNAE0AUwBfAFMAdwBpAG4AZQBfAEEAdABtAG8AcwBwAGgAZQByAGkAYwBEAGUAcABvAHMAaQB0AGkAbwBuAF8ARQBxAHUAYQB0AGkAbwBuAHMALgBWAEUARQBSAEcAXwA0AF8ANQBfADEAXwA1AF8AXwAyAF8AVABvAHQAYQBsAE4AaQB0AHIAbwBnAGUAbgBWAG8AbABhAHQAaQBsAGkAcwBlAGQARgByAG8AbQBNAE0AUwBfAFMAbwB1AHIAYwBlACIALAAiAE0ATQBTAF8AUwB3AGkAbgBlAF8AQQB0AG0AbwBzAHAAaABlAHIAaQBjAEQAZQBwAG8AcwBpAHQAaQBvAG4AXwBFAHEAdQBhAHQAaQBvAG4AcwAuAFYARQBFAFIARwBfADQAXwA1AF8AMQBfADUAXwBfADIAXwBUAG8AdABhAGwATgBpAHQAcgBvAGcAZQBuAFYAbwBsAGEAdABpAGwAaQBzAGUAZABGAHIAbwBtAE0ATQBTAF8ATgBJAFIAUgBlAGYAZQByAGUAbgBjAGUAIgAsACIATQBNAFMAXwBTAHcAaQBuAGUAXwBBAHQAbQBvAHMAcABoAGUAcgBpAGMARABlAHAAbwBzAGkAdABpAG8AbgBfAEUAcQB1AGEAdABpAG8AbgBzAC4AVgBFAEUAUgBHAF8ANABfADUAXwAxAF8ANQBfAF8AMgBfAFQAbwB0AGEAbABOAGkAdAByAG8AZwBlAG4AVgBvAGwAYQB0AGkAbABpAHMAZQBkAEYAcgBvAG0ATQBNAFMAXwBMAGEAdABlAHgARQBxAHUAYQB0AGkAbwBuACIALAAiAE0ATQBTAF8AUwB3AGkAbgBlAF8AQQB0AG0AbwBzAHAAaABlAHIAaQBjAEQAZQBwAG8AcwBpAHQAaQBvAG4AXwBFAHEAdQBhAHQAaQBvAG4AcwAuAFYARQBFAFIARwBfADQAXwA1AF8AMQBfADUAXwBfADIAXwBUAG8AdABhAGwATgBpAHQAcgBvAGcAZQBuAFYAbwBsAGEAdABpAGwAaQBzAGUAZABGAHIAbwBtAE0ATQBTAF8AQQByAGcAdQBtAGUAbgB0AHMAIgAsACIATQBNAFMAXwBTAHcAaQBuAGUAXwBMAGUAYQBjAGgAaQBuAGcAQQBuAGQAUgB1AG4AbwBmAGYAXwBFAHEAdQBhAHQAaQBvAG4AcwAuAFYARQBFAFIARwBfADQAXwA1AF8AMQBfADcAXwBfADEAXwBBAG4AbgB1AGEAbABFAG0AaQBzAHMAaQBvAG4AcwBGAHIAbwBtAEwAZQBhAGMAaABpAG4AZwBBAG4AZABSAHUAbgBvAGYAZgBGAHIAbwBtAE0ATQBTACIALAAiAE0ATQBTAF8AUwB3AGkAbgBlAF8ATABlAGEAYwBoAGkAbgBnAEEAbgBkAFIAdQBuAG8AZgBmAF8ARQBxAHUAYQB0AGkAbwBuAHMALgBWAEUARQBSAEcAXwA0AF8ANQBfADEAXwA3AF8AXwAxAF8AQQBuAG4AdQBhAGwARQBtAGkAcwBzAGkAbwBuAHMARgByAG8AbQBMAGUAYQBjAGgAaQBuAGcAQQBuAGQAUgB1AG4AbwBmAGYARgByAG8AbQBNAE0AUwBfAFQAaQB0AGwAZQAiACwAIgBNAE0AUwBfAFMAdwBpAG4AZQBfAEwAZQBhAGMAaABpAG4AZwBBAG4AZABSAHUAbgBvAGYAZgBfAEUAcQB1AGEAdABpAG8AbgBzAC4AVgBFAEUAUgBHAF8ANABfADUAXwAxAF8ANwBfAF8AMQBfAEEAbgBuAHUAYQBsAEUAbQBpAHMAcwBpAG8AbgBzAEYAcgBvAG0ATABlAGEAYwBoAGkAbgBnAEEAbgBkAFIAdQBuAG8AZgBmAEYAcgBvAG0ATQBNAFMAXwBWAGEAcgBpAGEAYgBsAGUAIgAsACIATQBNAFMAXwBTAHcAaQBuAGUAXwBMAGUAYQBjAGgAaQBuAGcAQQBuAGQAUgB1AG4AbwBmAGYAXwBFAHEAdQBhAHQAaQBvAG4AcwAuAFYARQBFAFIARwBfADQAXwA1AF8AMQBfADcAXwBfADEAXwBBAG4AbgB1AGEAbABFAG0AaQBzAHMAaQBvAG4AcwBGAHIAbwBtAEwAZQBhAGMAaABpAG4AZwBBAG4AZABSAHUAbgBvAGYAZgBGAHIAbwBtAE0ATQBTAF8AVQBuAGkAdAAiACwAIgBNAE0AUwBfAFMAdwBpAG4AZQBfAEwAZQBhAGMAaABpAG4AZwBBAG4AZABSAHUAbgBvAGYAZgBfAEUAcQB1AGEAdABpAG8AbgBzAC4AVgBFAEUAUgBHAF8ANABfADUAXwAxAF8ANwBfAF8AMQBfAEEAbgBuAHUAYQBsAEUAbQBpAHMAcwBpAG8AbgBzAEYAcgBvAG0ATABlAGEAYwBoAGkAbgBnAEEAbgBkAFIAdQBuAG8AZgBmAEYAcgBvAG0ATQBNAFMAXwBTAG8AdQByAGMAZQAiACwAIgBNAE0AUwBfAFMAdwBpAG4AZQBfAEwAZQBhAGMAaABpAG4AZwBBAG4AZABSAHUAbgBvAGYAZgBfAEUAcQB1AGEAdABpAG8AbgBzAC4AVgBFAEUAUgBHAF8ANABfADUAXwAxAF8ANwBfAF8AMQBfAEEAbgBuAHUAYQBsAEUAbQBpAHMAcwBpAG8AbgBzAEYAcgBvAG0ATABlAGEAYwBoAGkAbgBnAEEAbgBkAFIAdQBuAG8AZgBmAEYAcgBvAG0ATQBNAFMAXwBOAEkAUgBSAGUAZgBlAHIAZQBuAGMAZQAiACwAIgBNAE0AUwBfAFMAdwBpAG4AZQBfAEwAZQBhAGMAaABpAG4AZwBBAG4AZABSAHUAbgBvAGYAZgBfAEUAcQB1AGEAdABpAG8AbgBzAC4AVgBFAEUAUgBHAF8ANABfADUAXwAxAF8ANwBfAF8AMQBfAEEAbgBuAHUAYQBsAEUAbQBpAHMAcwBpAG8AbgBzAEYAcgBvAG0ATABlAGEAYwBoAGkAbgBnAEEAbgBkAFIAdQBuAG8AZgBmAEYAcgBvAG0ATQBNAFMAXwBMAGEAdABlAHgARQBxAHUAYQB0AGkAbwBuACIALAAiAE0ATQBTAF8AUwB3AGkAbgBlAF8ATABlAGEAYwBoAGkAbgBnAEEAbgBkAFIAdQBuAG8AZgBmAF8ARQBxAHUAYQB0AGkAbwBuAHMALgBWAEUARQBSAEcAXwA0AF8ANQBfADEAXwA3AF8AXwAxAF8AQQBuAG4AdQBhAGwARQBtAGkAcwBzAGkAbwBuAHMARgByAG8AbQBMAGUAYQBjAGgAaQBuAGcAQQBuAGQAUgB1AG4AbwBmAGYARgByAG8AbQBNAE0AUwBfAEEAcgBnAHUAbQBlAG4AdABz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ABpAHQ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gBhAHIAaQBhAGI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QBuAGkAdA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MAbwB1AHI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gBJAFIAUgBlAGYAZQByAGUAb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MAGEAdABlAHgARQBxAHUAYQB0AGkAbwBu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QQByAGcAdQBtAGUAbgB0AHMAIgAsACIATQBNAFMAXwBTAHcAaQBuAGUAXwBNAGEAbgB1AHIAZQBBAHAAcABsAGkAZQBkAFQAbwBTAG8AaQBsAHMAXwBFAHEAdQBhAHQAaQBvAG4AcwAuAFYARQBFAFIARwBfADQAXwA1AF8AMQBfADkAXwBfADEAXwBNAGEAcwBzAE8AZgBOAGkAdAByAG8AZwBlAG4AQQBwAHAAbABpAGUAZABUAG8AUwBvAGkAbABzAFMAYwBvAHAAZQAxACIALAAiAE0ATQBTAF8AUwB3AGkAbgBlAF8ATQBhAG4AdQByAGUAQQBwAHAAbABpAGUAZABUAG8AUwBvAGkAbABzAF8ARQBxAHUAYQB0AGkAbwBuAHMALgBWAEUARQBSAEcAXwA0AF8ANQBfADEAXwA5AF8AXwAxAF8ATQBhAHMAcwBPAGYATgBpAHQAcgBvAGcAZQBuAEEAcABwAGwAaQBlAGQAVABvAFMAbwBpAGwAcwBTAGMAbwBwAGUAMQBfAFQAaQB0AGwAZQAiACwAIgBNAE0AUwBfAFMAdwBpAG4AZQBfAE0AYQBuAHUAcgBlAEEAcABwAGwAaQBlAGQAVABvAFMAbwBpAGwAcwBfAEUAcQB1AGEAdABpAG8AbgBzAC4AVgBFAEUAUgBHAF8ANABfADUAXwAxAF8AOQBfAF8AMQBfAE0AYQBzAHMATwBmAE4AaQB0AHIAbwBnAGUAbgBBAHAAcABsAGkAZQBkAFQAbwBTAG8AaQBsAHMAUwBjAG8AcABlADEAXwBWAGEAcgBpAGEAYgBsAGUAIgAsACIATQBNAFMAXwBTAHcAaQBuAGUAXwBNAGEAbgB1AHIAZQBBAHAAcABsAGkAZQBkAFQAbwBTAG8AaQBsAHMAXwBFAHEAdQBhAHQAaQBvAG4AcwAuAFYARQBFAFIARwBfADQAXwA1AF8AMQBfADkAXwBfADEAXwBNAGEAcwBzAE8AZgBOAGkAdAByAG8AZwBlAG4AQQBwAHAAbABpAGUAZABUAG8AUwBvAGkAbABzAFMAYwBvAHAAZQAxAF8AVQBuAGkAdAAiACwAIgBNAE0AUwBfAFMAdwBpAG4AZQBfAE0AYQBuAHUAcgBlAEEAcABwAGwAaQBlAGQAVABvAFMAbwBpAGwAcwBfAEUAcQB1AGEAdABpAG8AbgBzAC4AVgBFAEUAUgBHAF8ANABfADUAXwAxAF8AOQBfAF8AMQBfAE0AYQBzAHMATwBmAE4AaQB0AHIAbwBnAGUAbgBBAHAAcABsAGkAZQBkAFQAbwBTAG8AaQBsAHMAUwBjAG8AcABlADEAXwBTAG8AdQByAGMAZQAiACwAIgBNAE0AUwBfAFMAdwBpAG4AZQBfAE0AYQBuAHUAcgBlAEEAcABwAGwAaQBlAGQAVABvAFMAbwBpAGwAcwBfAEUAcQB1AGEAdABpAG8AbgBzAC4AVgBFAEUAUgBHAF8ANABfADUAXwAxAF8AOQBfAF8AMQBfAE0AYQBzAHMATwBmAE4AaQB0AHIAbwBnAGUAbgBBAHAAcABsAGkAZQBkAFQAbwBTAG8AaQBsAHMAUwBjAG8AcABlADEAXwBOAEkAUgBSAGUAZgBlAHIAZQBuAGMAZQAiACwAIgBNAE0AUwBfAFMAdwBpAG4AZQBfAE0AYQBuAHUAcgBlAEEAcABwAGwAaQBlAGQAVABvAFMAbwBpAGwAcwBfAEUAcQB1AGEAdABpAG8AbgBzAC4AVgBFAEUAUgBHAF8ANABfADUAXwAxAF8AOQBfAF8AMQBfAE0AYQBzAHMATwBmAE4AaQB0AHIAbwBnAGUAbgBBAHAAcABsAGkAZQBkAFQAbwBTAG8AaQBsAHMAUwBjAG8AcABlADEAXwBMAGEAdABlAHgARQBxAHUAYQB0AGkAbwBuACIALAAiAE0ATQBTAF8AUwB3AGkAbgBlAF8ATQBhAG4AdQByAGUAQQBwAHAAbABpAGUAZABUAG8AUwBvAGkAbABzAF8ARQBxAHUAYQB0AGkAbwBuAHMALgBWAEUARQBSAEcAXwA0AF8ANQBfADEAXwA5AF8AXwAxAF8ATQBhAHMAcwBPAGYATgBpAHQAcgBvAGcAZQBuAEEAcABwAGwAaQBlAGQAVABvAFMAbwBpAGwAcwBTAGMAbwBwAGUAMQBfAEEAcgBnAHUAbQBlAG4AdABzACIALAAiAE0ATQBTAF8AUwB3AGkAbgBlAF8ATQBhAG4AdQByAGUAQQBwAHAAbABpAGUAZABUAG8AUwBvAGkAbABzAF8ARQBxAHUAYQB0AGkAbwBuAHMALgBWAEUARQBSAEcAXwA0AF8ANQBfADEAXwA5AF8AXwAyAF8ATQBhAHMAcwBPAGYATgBpAHQAcgBvAGcAZQBuAEEAcABwAGwAaQBlAGQAVABvAFMAbwBpAGwAcwBTAGMAbwBwAGUAMwAiACwAIgBNAE0AUwBfAFMAdwBpAG4AZQBfAE0AYQBuAHUAcgBlAEEAcABwAGwAaQBlAGQAVABvAFMAbwBpAGwAcwBfAEUAcQB1AGEAdABpAG8AbgBzAC4AVgBFAEUAUgBHAF8ANABfADUAXwAxAF8AOQBfAF8AMgBfAE0AYQBzAHMATwBmAE4AaQB0AHIAbwBnAGUAbgBBAHAAcABsAGkAZQBkAFQAbwBTAG8AaQBsAHMAUwBjAG8AcABlADMAXwBUAGkAdABsAGUAIgAsACIATQBNAFMAXwBTAHcAaQBuAGUAXwBNAGEAbgB1AHIAZQBBAHAAcABsAGkAZQBkAFQAbwBTAG8AaQBsAHMAXwBFAHEAdQBhAHQAaQBvAG4AcwAuAFYARQBFAFIARwBfADQAXwA1AF8AMQBfADkAXwBfADIAXwBNAGEAcwBzAE8AZgBOAGkAdAByAG8AZwBlAG4AQQBwAHAAbABpAGUAZABUAG8AUwBvAGkAbABzAFMAYwBvAHAAZQAzAF8AVgBhAHIAaQBhAGIAbABlACIALAAiAE0ATQBTAF8AUwB3AGkAbgBlAF8ATQBhAG4AdQByAGUAQQBwAHAAbABpAGUAZABUAG8AUwBvAGkAbABzAF8ARQBxAHUAYQB0AGkAbwBuAHMALgBWAEUARQBSAEcAXwA0AF8ANQBfADEAXwA5AF8AXwAyAF8ATQBhAHMAcwBPAGYATgBpAHQAcgBvAGcAZQBuAEEAcABwAGwAaQBlAGQAVABvAFMAbwBpAGwAcwBTAGMAbwBwAGUAMwBfAFUAbgBpAHQAIgAsACIATQBNAFMAXwBTAHcAaQBuAGUAXwBNAGEAbgB1AHIAZQBBAHAAcABsAGkAZQBkAFQAbwBTAG8AaQBsAHMAXwBFAHEAdQBhAHQAaQBvAG4AcwAuAFYARQBFAFIARwBfADQAXwA1AF8AMQBfADkAXwBfADIAXwBNAGEAcwBzAE8AZgBOAGkAdAByAG8AZwBlAG4AQQBwAHAAbABpAGUAZABUAG8AUwBvAGkAbABzAFMAYwBvAHAAZQAzAF8AUwBvAHUAcgBjAGUAIgAsACIATQBNAFMAXwBTAHcAaQBuAGUAXwBNAGEAbgB1AHIAZQBBAHAAcABsAGkAZQBkAFQAbwBTAG8AaQBsAHMAXwBFAHEAdQBhAHQAaQBvAG4AcwAuAFYARQBFAFIARwBfADQAXwA1AF8AMQBfADkAXwBfADIAXwBNAGEAcwBzAE8AZgBOAGkAdAByAG8AZwBlAG4AQQBwAHAAbABpAGUAZABUAG8AUwBvAGkAbABzAFMAYwBvAHAAZQAzAF8ATgBJAFIAUgBlAGYAZQByAGUAbgBjAGUAIgAsACIATQBNAFMAXwBTAHcAaQBuAGUAXwBNAGEAbgB1AHIAZQBBAHAAcABsAGkAZQBkAFQAbwBTAG8AaQBsAHMAXwBFAHEAdQBhAHQAaQBvAG4AcwAuAFYARQBFAFIARwBfADQAXwA1AF8AMQBfADkAXwBfADIAXwBNAGEAcwBzAE8AZgBOAGkAdAByAG8AZwBlAG4AQQBwAHAAbABpAGUAZABUAG8AUwBvAGkAbABzAFMAYwBvAHAAZQAzAF8ATABhAHQAZQB4AEUAcQB1AGEAdABpAG8AbgAiACwAIgBNAE0AUwBfAFMAdwBpAG4AZQBfAE0AYQBuAHUAcgBlAEEAcABwAGwAaQBlAGQAVABvAFMAbwBpAGwAcwBfAEUAcQB1AGEAdABpAG8AbgBzAC4AVgBFAEUAUgBHAF8ANABfADUAXwAxAF8AOQBfAF8AMgBfAE0AYQBzAHMATwBmAE4AaQB0AHIAbwBnAGUAbgBBAHAAcABsAGkAZQBkAFQAbwBTAG8AaQBsAHMAUwBjAG8AcABlAD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Swine</vt:lpstr>
      <vt:lpstr>3.5.1.1-2 Enteric Methane</vt:lpstr>
      <vt:lpstr>Constants - Swine</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2026-06-10T00:29:04Z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