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374A056-2AC0-426F-BFF4-EDDC4674F26E}" xr6:coauthVersionLast="47" xr6:coauthVersionMax="47" xr10:uidLastSave="{00000000-0000-0000-0000-000000000000}"/>
  <bookViews>
    <workbookView xWindow="255" yWindow="390" windowWidth="28545" windowHeight="16950" activeTab="6" xr2:uid="{992023F3-CAB7-4E5B-A348-08D563A0EF40}"/>
  </bookViews>
  <sheets>
    <sheet name="Home" sheetId="71" r:id="rId1"/>
    <sheet name="Overview" sheetId="109" r:id="rId2"/>
    <sheet name="Results" sheetId="13" r:id="rId3"/>
    <sheet name="Input - Site" sheetId="15" r:id="rId4"/>
    <sheet name="Input - Swine" sheetId="70" r:id="rId5"/>
    <sheet name="3.5.1.1-2 Enteric Methane" sheetId="69" r:id="rId6"/>
    <sheet name="Constants - Swine" sheetId="79" r:id="rId7"/>
    <sheet name="Constants - Common" sheetId="106"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2" i="79" l="1" a="1"/>
  <c r="D132" i="79" s="1"/>
  <c r="E132" i="79" a="1"/>
  <c r="E132" i="79" s="1"/>
  <c r="D131" i="79" a="1"/>
  <c r="D131" i="79"/>
  <c r="E131" i="79" a="1"/>
  <c r="E131" i="79" s="1"/>
  <c r="D130" i="79" a="1"/>
  <c r="D130" i="79" s="1"/>
  <c r="E130" i="79" a="1"/>
  <c r="E130" i="79" s="1"/>
  <c r="D129" i="79" a="1"/>
  <c r="D129" i="79" s="1"/>
  <c r="E129" i="79" a="1"/>
  <c r="E129" i="79" s="1"/>
  <c r="E128" i="79" a="1"/>
  <c r="E128" i="79" s="1"/>
  <c r="D128" i="79" a="1"/>
  <c r="D128" i="79" s="1"/>
  <c r="D126" i="79" a="1"/>
  <c r="D126" i="79" s="1"/>
  <c r="D125" i="79" a="1"/>
  <c r="D125" i="79" s="1"/>
  <c r="A18" i="109"/>
  <c r="A17" i="109"/>
  <c r="A16" i="109"/>
  <c r="A15" i="109"/>
  <c r="A12" i="109"/>
  <c r="A9" i="109"/>
  <c r="A8" i="109"/>
  <c r="A5" i="109"/>
  <c r="A4" i="109"/>
  <c r="A3" i="10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2" i="13"/>
  <c r="I7" i="13"/>
  <c r="H7" i="13"/>
  <c r="H8" i="13" s="1"/>
  <c r="F7" i="13"/>
  <c r="E7" i="13"/>
  <c r="I8" i="13"/>
  <c r="O63" i="69" a="1"/>
  <c r="O63" i="69" s="1"/>
  <c r="P61" i="69"/>
  <c r="M60" i="69" a="1"/>
  <c r="M60" i="69" s="1"/>
  <c r="I40" i="69" a="1"/>
  <c r="I40" i="69" s="1"/>
  <c r="I39" i="69" a="1"/>
  <c r="I39" i="69" s="1"/>
  <c r="I41" i="69" a="1"/>
  <c r="I41" i="69" s="1"/>
  <c r="G39" i="69" a="1"/>
  <c r="G39" i="69" s="1"/>
  <c r="D39" i="69" a="1"/>
  <c r="D39" i="69" s="1"/>
  <c r="E37" i="69" a="1"/>
  <c r="E37" i="69" s="1"/>
  <c r="O58" i="69" s="1"/>
  <c r="E36" i="69" a="1"/>
  <c r="E36" i="69" s="1"/>
  <c r="D31" i="69" a="1"/>
  <c r="D31" i="69" s="1"/>
  <c r="D30" i="69" a="1"/>
  <c r="D30" i="69" s="1"/>
  <c r="I16" i="69"/>
  <c r="F122" i="79" a="1"/>
  <c r="F122" i="79" s="1"/>
  <c r="E122" i="79" a="1"/>
  <c r="E122" i="79" s="1"/>
  <c r="D122" i="79" a="1"/>
  <c r="D122" i="79" s="1"/>
  <c r="D121" i="79" a="1"/>
  <c r="D121" i="79" s="1"/>
  <c r="D120" i="79" a="1"/>
  <c r="D120" i="79" s="1"/>
  <c r="G13" i="69" a="1"/>
  <c r="G13" i="69" s="1"/>
  <c r="Q21" i="69" s="1"/>
  <c r="D13" i="69" a="1"/>
  <c r="D13" i="69" s="1"/>
  <c r="E11" i="69" a="1"/>
  <c r="E11" i="69" s="1"/>
  <c r="Q26" i="69" s="1"/>
  <c r="E10" i="69" a="1"/>
  <c r="E10" i="69" s="1"/>
  <c r="D6" i="69" a="1"/>
  <c r="D6" i="69" s="1"/>
  <c r="D5" i="69" a="1"/>
  <c r="D5" i="69" s="1"/>
  <c r="E7" i="69" a="1"/>
  <c r="Q56" i="69" l="1"/>
  <c r="E7" i="69"/>
  <c r="I15" i="69"/>
  <c r="I14" i="69"/>
  <c r="A4" i="13" l="1"/>
  <c r="A92" i="70"/>
  <c r="A46" i="70"/>
  <c r="A117" i="79"/>
  <c r="A63" i="79"/>
  <c r="A266" i="69"/>
  <c r="A231" i="69"/>
  <c r="A213" i="69"/>
  <c r="A186" i="69"/>
  <c r="A110" i="69"/>
  <c r="A70" i="69"/>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c r="D211" i="106" a="1"/>
  <c r="E208" i="106" a="1"/>
  <c r="E208" i="106" s="1"/>
  <c r="D208" i="106" a="1"/>
  <c r="D208" i="106" s="1"/>
  <c r="E207" i="106" a="1"/>
  <c r="E207" i="106" s="1"/>
  <c r="D207" i="106" a="1"/>
  <c r="D207" i="106" s="1"/>
  <c r="D205" i="106" a="1"/>
  <c r="D205" i="106" s="1"/>
  <c r="D204" i="106" a="1"/>
  <c r="D204" i="106" s="1"/>
  <c r="D203" i="106" a="1"/>
  <c r="D203" i="106" s="1"/>
  <c r="D202" i="106"/>
  <c r="D202" i="106" a="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c r="D178" i="106" a="1"/>
  <c r="E175" i="106" a="1"/>
  <c r="E175" i="106" s="1"/>
  <c r="D175" i="106"/>
  <c r="D175" i="106" a="1"/>
  <c r="D174" i="106" a="1"/>
  <c r="D174" i="106" s="1"/>
  <c r="D173" i="106"/>
  <c r="D173" i="106" a="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c r="D133" i="106" a="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c r="D116" i="106" a="1"/>
  <c r="D115" i="106"/>
  <c r="D115" i="106" a="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8" i="106" a="1"/>
  <c r="D98"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I13" i="69" a="1"/>
  <c r="I13" i="69" s="1"/>
  <c r="H21" i="69"/>
  <c r="H46" i="69"/>
  <c r="G61" i="69" l="1"/>
  <c r="H50" i="106"/>
  <c r="H51" i="106"/>
  <c r="H52" i="106"/>
  <c r="H53" i="106"/>
  <c r="H49" i="106"/>
  <c r="H54" i="106"/>
  <c r="H48" i="106"/>
  <c r="H51" i="69"/>
  <c r="A18" i="13" l="1"/>
  <c r="A17" i="13"/>
  <c r="A16" i="13"/>
  <c r="A15" i="13"/>
  <c r="A9" i="13"/>
  <c r="A8" i="13"/>
  <c r="A5" i="13"/>
  <c r="A3" i="13"/>
  <c r="G93" i="79" l="1" a="1"/>
  <c r="G93" i="79" s="1"/>
  <c r="G92" i="79" a="1"/>
  <c r="G92" i="79" s="1"/>
  <c r="G91" i="79" a="1"/>
  <c r="G91" i="79" s="1"/>
  <c r="G90" i="79" a="1"/>
  <c r="G90" i="79" s="1"/>
  <c r="D93" i="79" a="1"/>
  <c r="D93" i="79" s="1"/>
  <c r="D16" i="79" a="1"/>
  <c r="D16" i="79" s="1"/>
  <c r="F17" i="79" a="1"/>
  <c r="F17" i="79" s="1"/>
  <c r="E17" i="79" a="1"/>
  <c r="E17" i="79" s="1"/>
  <c r="D17" i="79" a="1"/>
  <c r="D17" i="79" s="1"/>
  <c r="D15" i="79" a="1"/>
  <c r="D15" i="79" s="1"/>
  <c r="D14" i="79" a="1"/>
  <c r="D14" i="79" s="1"/>
  <c r="F117" i="79" l="1"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G51" i="69"/>
  <c r="F51" i="69"/>
  <c r="E51" i="69"/>
  <c r="D51" i="69"/>
  <c r="H15" i="70" l="1" a="1"/>
  <c r="H15" i="70" s="1"/>
  <c r="P21" i="69" s="1"/>
  <c r="P26" i="69" s="1" a="1"/>
  <c r="P26" i="69" s="1"/>
  <c r="F15" i="70" a="1"/>
  <c r="F15" i="70" s="1"/>
  <c r="N21" i="69" s="1"/>
  <c r="N26" i="69" s="1" a="1"/>
  <c r="N26" i="69" s="1"/>
  <c r="E15" i="70" a="1"/>
  <c r="E15" i="70" s="1"/>
  <c r="M21" i="69" s="1"/>
  <c r="M26" i="69" s="1" a="1"/>
  <c r="M26" i="69" s="1"/>
  <c r="H12" i="70" a="1"/>
  <c r="H12" i="70" s="1"/>
  <c r="G21" i="69" s="1"/>
  <c r="G26" i="69" s="1" a="1"/>
  <c r="G26" i="69" s="1"/>
  <c r="G12" i="70" a="1"/>
  <c r="G12" i="70" s="1"/>
  <c r="F21" i="69" s="1"/>
  <c r="F26" i="69" s="1" a="1"/>
  <c r="F26" i="69" s="1"/>
  <c r="F12" i="70" a="1"/>
  <c r="F12" i="70" s="1"/>
  <c r="E21" i="69" s="1"/>
  <c r="E26" i="69" s="1" a="1"/>
  <c r="E26" i="69" s="1"/>
  <c r="E56" i="69" s="1" a="1"/>
  <c r="E56" i="69" s="1"/>
  <c r="E12" i="70" a="1"/>
  <c r="E12" i="70" s="1"/>
  <c r="D21" i="69" s="1"/>
  <c r="D26" i="69" s="1" a="1"/>
  <c r="D26" i="69" s="1"/>
  <c r="G15" i="70" a="1"/>
  <c r="G15" i="70" s="1"/>
  <c r="O21" i="69" s="1"/>
  <c r="O26" i="69" s="1" a="1"/>
  <c r="O26" i="69" s="1"/>
  <c r="O56" i="69" s="1" a="1"/>
  <c r="O56" i="69" s="1"/>
  <c r="D6" i="70"/>
  <c r="D7" i="70"/>
  <c r="G46" i="69"/>
  <c r="F46" i="69"/>
  <c r="E46" i="69"/>
  <c r="D46" i="69"/>
  <c r="F56" i="69" l="1" a="1"/>
  <c r="F56" i="69" s="1"/>
  <c r="G56" i="69" a="1"/>
  <c r="G56" i="69" s="1"/>
  <c r="M56" i="69" a="1"/>
  <c r="M56" i="69" s="1"/>
  <c r="N56" i="69" a="1"/>
  <c r="N56" i="69" s="1"/>
  <c r="P56" i="69" a="1"/>
  <c r="P56" i="69" s="1"/>
  <c r="D56" i="69" a="1"/>
  <c r="D56" i="69" s="1"/>
  <c r="N58" i="69"/>
  <c r="P60" i="69" s="1"/>
  <c r="N63" i="69" s="1" a="1"/>
  <c r="N63" i="69" s="1"/>
  <c r="F63" i="69" a="1"/>
  <c r="F63" i="69" s="1"/>
  <c r="D60" i="69" a="1"/>
  <c r="D60"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32" i="69" a="1"/>
  <c r="F58" i="69" l="1"/>
  <c r="H26" i="69"/>
  <c r="E32" i="69"/>
  <c r="H56" i="69"/>
  <c r="F27" i="43" l="1"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58" i="79"/>
  <c r="K41" i="79"/>
  <c r="G41" i="79"/>
  <c r="D41" i="79"/>
  <c r="D54" i="79"/>
  <c r="E45" i="79"/>
  <c r="L45" i="79"/>
  <c r="H44" i="79"/>
  <c r="D42" i="79"/>
  <c r="K42" i="79"/>
  <c r="D55" i="79"/>
  <c r="E42" i="79"/>
  <c r="L42" i="79"/>
  <c r="G45" i="79"/>
  <c r="K46" i="79"/>
  <c r="D46" i="79"/>
  <c r="D59" i="79"/>
  <c r="G43" i="79"/>
  <c r="K44" i="79"/>
  <c r="D57" i="79"/>
  <c r="D44" i="79"/>
  <c r="L41" i="79"/>
  <c r="H41" i="79"/>
  <c r="E41" i="79"/>
  <c r="E46" i="79"/>
  <c r="H45" i="79"/>
  <c r="L46" i="79"/>
  <c r="D43" i="79"/>
  <c r="G42" i="79"/>
  <c r="D56" i="79"/>
  <c r="K43" i="79"/>
  <c r="L43" i="79"/>
  <c r="H42" i="79"/>
  <c r="E43" i="79"/>
  <c r="D60" i="79"/>
  <c r="D47" i="79"/>
  <c r="E13" i="15" l="1"/>
  <c r="E58" i="69" l="1"/>
  <c r="G60" i="69" l="1"/>
  <c r="E63" i="69" s="1" a="1"/>
  <c r="E63" i="69"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<sst xmlns="http://schemas.openxmlformats.org/spreadsheetml/2006/main" count="263" uniqueCount="172">
  <si>
    <t>Home</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</si>
  <si>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</si>
  <si>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</si>
  <si>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</si>
  <si>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</si>
  <si>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</si>
  <si>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</si>
  <si>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</si>
  <si>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</si>
  <si>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</si>
  <si>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</si>
  <si>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</si>
  <si>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</si>
  <si>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</si>
  <si>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</si>
  <si>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</si>
  <si>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</si>
  <si>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</si>
  <si>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</si>
  <si>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</si>
  <si>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</si>
  <si>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</si>
  <si>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</si>
  <si>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</si>
  <si>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</si>
  <si>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</si>
  <si>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</si>
  <si>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</si>
  <si>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</si>
  <si>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</si>
  <si>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</si>
  <si>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</si>
  <si>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</si>
  <si>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</si>
  <si>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</si>
  <si>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</si>
  <si>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</si>
  <si>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</si>
  <si>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</si>
  <si>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</si>
  <si>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</si>
  <si>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</si>
  <si>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</si>
  <si>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</si>
  <si>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</si>
  <si>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</si>
  <si>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</si>
  <si>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</si>
  <si>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</si>
  <si>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</si>
  <si>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</si>
  <si>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</si>
  <si>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</si>
  <si>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</si>
  <si>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</si>
  <si>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</si>
  <si>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</si>
  <si>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</si>
  <si>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</si>
  <si>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</si>
  <si>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</si>
  <si>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</si>
  <si>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</si>
  <si>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</si>
  <si>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</si>
  <si>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</si>
  <si>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</si>
  <si>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</si>
  <si>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</si>
  <si>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</si>
  <si>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</si>
  <si>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</si>
  <si>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</si>
  <si>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</si>
  <si>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</si>
  <si>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</si>
  <si>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</si>
  <si>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</si>
  <si>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</si>
  <si>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</si>
  <si>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</si>
  <si>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</si>
  <si>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</si>
  <si>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</si>
  <si>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</si>
  <si>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</si>
  <si>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</si>
  <si>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</si>
  <si>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</si>
  <si>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</si>
  <si>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</si>
  <si>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</si>
  <si>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</si>
  <si>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</si>
  <si>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t CH4</t>
  </si>
  <si>
    <t>Irrigation type i</t>
  </si>
  <si>
    <t>t CO2e</t>
  </si>
  <si>
    <t>EFPRP</t>
  </si>
  <si>
    <t>GHG emissions method 1</t>
  </si>
  <si>
    <t>GHG emissions method 2</t>
  </si>
  <si>
    <t>CO2-e emissions method 1</t>
  </si>
  <si>
    <t>CO2-e emissions method 2</t>
  </si>
  <si>
    <t>Season</t>
  </si>
  <si>
    <t>Crop</t>
  </si>
  <si>
    <t>Acknowledgements</t>
  </si>
  <si>
    <t>Input -Swine</t>
  </si>
  <si>
    <t>Constants - Swine</t>
  </si>
  <si>
    <t>Boars</t>
  </si>
  <si>
    <t>Sows</t>
  </si>
  <si>
    <t>Gilts</t>
  </si>
  <si>
    <t>Volatile solids produced per head per day</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</si>
  <si>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</si>
  <si>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</si>
  <si>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</si>
  <si>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</si>
  <si>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</si>
  <si>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</si>
  <si>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</si>
  <si>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</si>
  <si>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</si>
  <si>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</si>
  <si>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</si>
  <si>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Table_D_j</t>
  </si>
  <si>
    <t>Duration of stay of each class of swine</t>
  </si>
  <si>
    <t>Table_N_j</t>
  </si>
  <si>
    <t>Number of head for each swine class</t>
  </si>
  <si>
    <t>ECH4</t>
  </si>
  <si>
    <t>Method 1 default values (Do not edit)</t>
  </si>
  <si>
    <t>Method 2 custom values (Edit if known)</t>
  </si>
  <si>
    <t>Others</t>
  </si>
  <si>
    <t>NWj</t>
  </si>
  <si>
    <t>NWj Daily</t>
  </si>
  <si>
    <t>Ij</t>
  </si>
  <si>
    <t>MMSm</t>
  </si>
  <si>
    <t>FracGASMmT</t>
  </si>
  <si>
    <t>NIR reference</t>
  </si>
  <si>
    <t>EFmT</t>
  </si>
  <si>
    <t>Swine crop or pasture production systems</t>
  </si>
  <si>
    <t>Class name</t>
  </si>
  <si>
    <t>Pasture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</si>
  <si>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</si>
  <si>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</si>
  <si>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</si>
  <si>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</si>
  <si>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</si>
  <si>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</si>
  <si>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</si>
  <si>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</si>
  <si>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</si>
  <si>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</si>
  <si>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</si>
  <si>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</si>
  <si>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</si>
  <si>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</si>
  <si>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</si>
  <si>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Feed intake</t>
  </si>
  <si>
    <t>M1_Table_I_j</t>
  </si>
  <si>
    <t>Feed intake (Method 1)</t>
  </si>
  <si>
    <t>M1_Table_M_j</t>
  </si>
  <si>
    <t>Daily enteric methane production (Method 1)</t>
  </si>
  <si>
    <t>3.5.1.1-2 Enteric methane</t>
  </si>
  <si>
    <t>M1_Table_E_enteric</t>
  </si>
  <si>
    <t>Methane emissions from enteric fermentation (Method 1)</t>
  </si>
  <si>
    <r>
      <t>E</t>
    </r>
    <r>
      <rPr>
        <b/>
        <vertAlign val="subscript"/>
        <sz val="12"/>
        <color theme="1" tint="0.24994659260841701"/>
        <rFont val="Times New Roman"/>
        <family val="1"/>
      </rPr>
      <t>CO2e</t>
    </r>
  </si>
  <si>
    <t>M2_Table_E_enteric</t>
  </si>
  <si>
    <t>Methane emissions from enteric fermentation (Method 2)</t>
  </si>
  <si>
    <t>3.5 Enteric Methane: Swine: Results</t>
  </si>
  <si>
    <t>3.5 Enteric Methane: Swine: Overview</t>
  </si>
  <si>
    <t>💡 Below is a diagram that maps the equations used to calculate emissions, and how they interact with each other.</t>
  </si>
  <si>
    <t xml:space="preserve">    Click on a box to go to the corresponding calculation.</t>
  </si>
  <si>
    <t>Livestock type j</t>
  </si>
  <si>
    <t>Average liveweight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</si>
</sst>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u/>
      <sz val="10"/>
      <color rgb="FF008000"/>
      <name val="Times New Roman"/>
      <family val="2"/>
      <scheme val="minor"/>
    </font>
    <font>
      <i/>
      <sz val="10"/>
      <color theme="1" tint="0.14999847407452621"/>
      <name val="Times New Roman"/>
      <family val="1"/>
      <scheme val="minor"/>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2"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2"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3" fillId="4" borderId="0">
      <alignment horizontal="left" vertical="center"/>
    </xf>
    <xf numFmtId="0" fontId="46" fillId="11" borderId="0">
      <alignment horizontal="center" vertical="center"/>
    </xf>
    <xf numFmtId="0" fontId="21" fillId="11" borderId="0">
      <alignment horizontal="left" vertical="center" indent="1"/>
    </xf>
    <xf numFmtId="0" fontId="59" fillId="15" borderId="2">
      <alignment horizontal="center" vertical="center"/>
    </xf>
    <xf numFmtId="0" fontId="60" fillId="16" borderId="2">
      <alignment horizontal="center" vertical="center"/>
    </xf>
    <xf numFmtId="0" fontId="62" fillId="0" borderId="0" applyNumberFormat="0" applyFill="0" applyBorder="0" applyAlignment="0" applyProtection="0"/>
    <xf numFmtId="0" fontId="61" fillId="4" borderId="2">
      <alignment horizontal="left" vertical="center"/>
    </xf>
    <xf numFmtId="0" fontId="34" fillId="4" borderId="2">
      <alignment horizontal="left" vertical="center"/>
    </xf>
    <xf numFmtId="0" fontId="63" fillId="0" borderId="0"/>
  </cellStyleXfs>
  <cellXfs count="127">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4" fontId="25" fillId="0" borderId="0" xfId="18" applyFont="1" applyBorder="1">
      <alignment horizontal="center" vertical="center"/>
    </xf>
    <xf numFmtId="0" fontId="52"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3"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2"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0" fontId="39" fillId="14" borderId="0" xfId="8" applyFill="1">
      <alignment horizontal="left" vertical="center"/>
    </xf>
    <xf numFmtId="9" fontId="8" fillId="4" borderId="0" xfId="11">
      <alignment horizontal="center" vertical="center"/>
    </xf>
    <xf numFmtId="164" fontId="8" fillId="4" borderId="0" xfId="10">
      <alignment horizontal="center" vertical="center"/>
    </xf>
    <xf numFmtId="0" fontId="40" fillId="4" borderId="1" xfId="8" applyFont="1" applyBorder="1">
      <alignment horizontal="left" vertical="center"/>
    </xf>
    <xf numFmtId="2" fontId="31" fillId="4" borderId="1" xfId="0" applyNumberFormat="1" applyFont="1" applyFill="1" applyBorder="1" applyAlignment="1">
      <alignment horizontal="center"/>
    </xf>
    <xf numFmtId="0" fontId="46" fillId="11" borderId="0" xfId="63">
      <alignment horizontal="center" vertical="center"/>
    </xf>
    <xf numFmtId="0" fontId="55" fillId="0" borderId="0" xfId="2" applyFont="1"/>
    <xf numFmtId="0" fontId="56"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7" fillId="4" borderId="0" xfId="8" applyFont="1">
      <alignment horizontal="left" vertical="center"/>
    </xf>
    <xf numFmtId="0" fontId="58" fillId="4" borderId="0" xfId="8" applyFont="1">
      <alignment horizontal="left" vertical="center"/>
    </xf>
    <xf numFmtId="3" fontId="34" fillId="4" borderId="2" xfId="55" applyNumberFormat="1">
      <alignment horizontal="center" vertical="center"/>
    </xf>
    <xf numFmtId="0" fontId="44" fillId="13" borderId="9" xfId="41" applyBorder="1">
      <alignment horizontal="left" vertical="center"/>
    </xf>
    <xf numFmtId="170" fontId="8" fillId="4" borderId="0" xfId="10" applyNumberFormat="1">
      <alignment horizontal="center" vertical="center"/>
    </xf>
    <xf numFmtId="0" fontId="59" fillId="15" borderId="2" xfId="65">
      <alignment horizontal="center" vertical="center"/>
    </xf>
    <xf numFmtId="0" fontId="60" fillId="16" borderId="2" xfId="66">
      <alignment horizontal="center" vertical="center"/>
    </xf>
    <xf numFmtId="0" fontId="60" fillId="16" borderId="6" xfId="66" applyBorder="1">
      <alignment horizontal="center" vertical="center"/>
    </xf>
    <xf numFmtId="0" fontId="61"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3" fillId="0" borderId="0" xfId="34" applyFont="1"/>
    <xf numFmtId="0" fontId="63" fillId="0" borderId="0" xfId="70"/>
    <xf numFmtId="0" fontId="17" fillId="11" borderId="0" xfId="32" applyFill="1">
      <alignment vertical="center"/>
    </xf>
    <xf numFmtId="0" fontId="45" fillId="13" borderId="11" xfId="41" applyFont="1" applyBorder="1">
      <alignment horizontal="left" vertical="center"/>
    </xf>
    <xf numFmtId="0" fontId="64" fillId="0" borderId="0" xfId="33" applyFont="1"/>
    <xf numFmtId="0" fontId="21" fillId="11" borderId="0" xfId="64">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xf numFmtId="0" fontId="0" fillId="0" borderId="0" xfId="8" applyFont="1" applyFill="1" applyBorder="1">
      <alignment horizontal="left" vertical="center"/>
    </xf>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1">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0"/>
      <tableStyleElement type="headerRow" dxfId="89"/>
      <tableStyleElement type="totalRow" dxfId="88"/>
      <tableStyleElement type="firstColumn" dxfId="87"/>
      <tableStyleElement type="firstRowStripe" dxfId="86"/>
      <tableStyleElement type="secondRowStripe" dxfId="85"/>
    </tableStyle>
    <tableStyle name="Equation table" pivot="0" count="6" xr9:uid="{B247698E-E41D-4CCD-AA0A-C14817E9DE65}">
      <tableStyleElement type="wholeTable" dxfId="84"/>
      <tableStyleElement type="headerRow" dxfId="83"/>
      <tableStyleElement type="totalRow" dxfId="82"/>
      <tableStyleElement type="firstColumn" dxfId="81"/>
      <tableStyleElement type="firstRowStripe" dxfId="80"/>
      <tableStyleElement type="secondRowStripe" dxfId="79"/>
    </tableStyle>
    <tableStyle name="Table Style 1" pivot="0" count="0" xr9:uid="{97B370DB-5463-4A31-9160-5A96BD6A559D}"/>
  </tableStyles>
  <colors>
    <mruColors>
      <color rgb="FF0C769E"/>
      <color rgb="FF008000"/>
      <color rgb="FF4F4789"/>
      <color rgb="FFE9F2FB"/>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5.1.1-2 Enteric Methane'!D30"/><Relationship Id="rId1" Type="http://schemas.openxmlformats.org/officeDocument/2006/relationships/hyperlink" Target="#'3.5.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643673</xdr:colOff>
      <xdr:row>7</xdr:row>
      <xdr:rowOff>12661</xdr:rowOff>
    </xdr:from>
    <xdr:ext cx="1928078" cy="505267"/>
    <xdr:sp macro="" textlink="">
      <xdr:nvSpPr>
        <xdr:cNvPr id="6" name="TextBox 5">
          <a:extLst>
            <a:ext uri="{FF2B5EF4-FFF2-40B4-BE49-F238E27FC236}">
              <a16:creationId xmlns:a16="http://schemas.microsoft.com/office/drawing/2014/main" id="{ED7CE626-9A29-4E3D-A8EE-75614BBFC73C}"/>
            </a:ext>
          </a:extLst>
        </xdr:cNvPr>
        <xdr:cNvSpPr txBox="1"/>
      </xdr:nvSpPr>
      <xdr:spPr>
        <a:xfrm>
          <a:off x="3320198" y="1879561"/>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3.5.1.1-2 Enteric Methane</a:t>
          </a:r>
        </a:p>
      </xdr:txBody>
    </xdr:sp>
    <xdr:clientData/>
  </xdr:oneCellAnchor>
  <xdr:twoCellAnchor>
    <xdr:from>
      <xdr:col>3</xdr:col>
      <xdr:colOff>529935</xdr:colOff>
      <xdr:row>9</xdr:row>
      <xdr:rowOff>213880</xdr:rowOff>
    </xdr:from>
    <xdr:to>
      <xdr:col>4</xdr:col>
      <xdr:colOff>1247775</xdr:colOff>
      <xdr:row>12</xdr:row>
      <xdr:rowOff>190930</xdr:rowOff>
    </xdr:to>
    <xdr:sp macro="" textlink="'3.5.1.1-2 Enteric Methane'!D5">
      <xdr:nvSpPr>
        <xdr:cNvPr id="10" name="TextBox 9">
          <a:hlinkClick xmlns:r="http://schemas.openxmlformats.org/officeDocument/2006/relationships" r:id="rId1"/>
          <a:extLst>
            <a:ext uri="{FF2B5EF4-FFF2-40B4-BE49-F238E27FC236}">
              <a16:creationId xmlns:a16="http://schemas.microsoft.com/office/drawing/2014/main" id="{FE22976C-C87A-45B1-8574-71DA36D59D4A}"/>
            </a:ext>
          </a:extLst>
        </xdr:cNvPr>
        <xdr:cNvSpPr txBox="1"/>
      </xdr:nvSpPr>
      <xdr:spPr>
        <a:xfrm>
          <a:off x="3206460" y="2576080"/>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F2D1E78-07FE-40D4-A334-9D6176506EC8}" type="TxLink">
            <a:rPr lang="en-US" sz="1000" b="0" i="0" u="none" strike="noStrike">
              <a:solidFill>
                <a:srgbClr val="0C769E"/>
              </a:solidFill>
              <a:latin typeface="Times New Roman"/>
              <a:cs typeface="Times New Roman"/>
            </a:rPr>
            <a:pPr algn="ctr"/>
            <a:t>Total daily production of enteric methane of swine</a:t>
          </a:fld>
          <a:endParaRPr lang="en-AU" sz="1000">
            <a:solidFill>
              <a:srgbClr val="0C769E"/>
            </a:solidFill>
          </a:endParaRPr>
        </a:p>
      </xdr:txBody>
    </xdr:sp>
    <xdr:clientData/>
  </xdr:twoCellAnchor>
  <xdr:twoCellAnchor>
    <xdr:from>
      <xdr:col>3</xdr:col>
      <xdr:colOff>539460</xdr:colOff>
      <xdr:row>15</xdr:row>
      <xdr:rowOff>128155</xdr:rowOff>
    </xdr:from>
    <xdr:to>
      <xdr:col>4</xdr:col>
      <xdr:colOff>1257300</xdr:colOff>
      <xdr:row>18</xdr:row>
      <xdr:rowOff>105205</xdr:rowOff>
    </xdr:to>
    <xdr:sp macro="" textlink="'3.5.1.1-2 Enteric Methane'!D30">
      <xdr:nvSpPr>
        <xdr:cNvPr id="26" name="TextBox 25">
          <a:hlinkClick xmlns:r="http://schemas.openxmlformats.org/officeDocument/2006/relationships" r:id="rId2"/>
          <a:extLst>
            <a:ext uri="{FF2B5EF4-FFF2-40B4-BE49-F238E27FC236}">
              <a16:creationId xmlns:a16="http://schemas.microsoft.com/office/drawing/2014/main" id="{8AF126F5-4484-4EF9-9E6B-5D7A06B2D99D}"/>
            </a:ext>
          </a:extLst>
        </xdr:cNvPr>
        <xdr:cNvSpPr txBox="1"/>
      </xdr:nvSpPr>
      <xdr:spPr>
        <a:xfrm>
          <a:off x="3215985" y="3976255"/>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A32C33-953D-41A4-AD2A-463C6424B8E6}" type="TxLink">
            <a:rPr lang="en-US" sz="1000" b="1" i="0" u="none" strike="noStrike">
              <a:solidFill>
                <a:srgbClr val="0C769E"/>
              </a:solidFill>
              <a:latin typeface="Times New Roman"/>
              <a:cs typeface="Times New Roman"/>
            </a:rPr>
            <a:pPr algn="ctr"/>
            <a:t>Total annual methane production from enteric fermentation in swine</a:t>
          </a:fld>
          <a:endParaRPr lang="en-AU" sz="1000" b="1">
            <a:solidFill>
              <a:srgbClr val="0C769E"/>
            </a:solidFill>
          </a:endParaRPr>
        </a:p>
      </xdr:txBody>
    </xdr:sp>
    <xdr:clientData/>
  </xdr:twoCellAnchor>
  <xdr:twoCellAnchor>
    <xdr:from>
      <xdr:col>4</xdr:col>
      <xdr:colOff>198293</xdr:colOff>
      <xdr:row>12</xdr:row>
      <xdr:rowOff>190929</xdr:rowOff>
    </xdr:from>
    <xdr:to>
      <xdr:col>4</xdr:col>
      <xdr:colOff>207818</xdr:colOff>
      <xdr:row>15</xdr:row>
      <xdr:rowOff>128154</xdr:rowOff>
    </xdr:to>
    <xdr:cxnSp macro="">
      <xdr:nvCxnSpPr>
        <xdr:cNvPr id="28" name="Connector: Curved 27">
          <a:extLst>
            <a:ext uri="{FF2B5EF4-FFF2-40B4-BE49-F238E27FC236}">
              <a16:creationId xmlns:a16="http://schemas.microsoft.com/office/drawing/2014/main" id="{38D32901-2B2F-4601-57AD-A08DCC3067B4}"/>
            </a:ext>
          </a:extLst>
        </xdr:cNvPr>
        <xdr:cNvCxnSpPr>
          <a:stCxn id="10" idx="2"/>
          <a:endCxn id="26" idx="0"/>
        </xdr:cNvCxnSpPr>
      </xdr:nvCxnSpPr>
      <xdr:spPr>
        <a:xfrm rot="16200000" flipH="1">
          <a:off x="3920618" y="3631404"/>
          <a:ext cx="680175" cy="9525"/>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×18.6×0.007</m:t>
                        </m:r>
                      </m:num>
                      <m:den>
                        <m:r>
                          <a:rPr lang="en-AU" sz="1100" i="1">
                            <a:latin typeface="Cambria Math" panose="02040503050406030204" pitchFamily="18" charset="0"/>
                          </a:rPr>
                          <m:t>𝐹</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𝑀_𝑗=(𝐼_𝑗×18.6×0.007)/𝐹</a:t>
              </a:r>
              <a:endParaRPr lang="en-AU" sz="11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𝐸_𝑒𝑛𝑡𝑒𝑟𝑖𝑐=∑10_𝑗▒(𝑁_𝑗×𝑀_𝑗×𝐷_𝑗 ) ×10^(−3)</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78"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77"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76"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75"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74"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73"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72"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71"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0"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69"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68"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67"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66"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65"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64"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63" dataCellStyle="Content normal">
  <autoFilter ref="D78:E82" xr:uid="{E34928EB-73E5-43B2-830B-089F30DA4EF0}">
    <filterColumn colId="0" hiddenButton="1"/>
    <filterColumn colId="1" hiddenButton="1"/>
  </autoFilter>
  <tableColumns count="2">
    <tableColumn id="1" xr3:uid="{CAC8EB28-568F-4E9F-8E36-EBDFF74A58D3}" name="Class" dataDxfId="62"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61"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0"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59"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58"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57"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46FF29-813A-45A1-A28C-69691DBE2363}"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39C5E3A8-688C-4C4E-A337-E32C77B7769F}" name="Livestock type j">
      <calculatedColumnFormula array="1">Common_InputFunctions.Utility_DisplayArrayInTable(SourceData_Swine.SourceData_Swine_AverageLiveweight_Data(),Table_SourceData_Swine_Liveweight[[#Headers],[Livestock type j]],0)</calculatedColumnFormula>
    </tableColumn>
    <tableColumn id="2" xr3:uid="{37866161-8EEC-44E3-8B1D-0210A7AFC89C}" name="Average liveweight (kg)" dataDxfId="0"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6E3ED7D-B9CD-4192-B821-5B419D60F23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7C2EA6C-D25D-4C33-AEA0-CA7B250E39E2}" name="State/Territory">
      <calculatedColumnFormula array="1">Common_InputFunctions.Utility_DisplayArrayInTable(Common_SourceData.Common_SourceData_AustralianStatesTerritories_Data(),Table_AustralianStates[[#Headers],[State/Territory]],0)</calculatedColumnFormula>
    </tableColumn>
    <tableColumn id="2" xr3:uid="{1C767934-3B57-475F-9043-61B46B4B44B2}" name="Common Name">
      <calculatedColumnFormula array="1">Common_InputFunctions.Utility_DisplayArrayInTable(Common_SourceData.Common_SourceData_AustralianStatesTerritories_Data(),Table_AustralianStates[[#Headers],[State/Territory]],0)</calculatedColumnFormula>
    </tableColumn>
    <tableColumn id="3" xr3:uid="{E2EA12E4-9CF6-4C68-A5D0-F05AC4B8A9F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E2EC9E8-0E91-4093-A370-A0FB47853ED2}" name="Table_WASA4Areas" displayName="Table_WASA4Areas" ref="D20:D30" totalsRowShown="0">
  <autoFilter ref="D20:D30" xr:uid="{5FA81339-C6C8-4D36-BEEA-6C4AEDD9E676}">
    <filterColumn colId="0" hiddenButton="1"/>
  </autoFilter>
  <tableColumns count="1">
    <tableColumn id="1" xr3:uid="{B100C6B8-0EEF-4141-89C3-B97B70A523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2197674-F4EC-40C4-BA61-58B06682F8E5}" name="Table_GWPData" displayName="Table_GWPData" ref="D36:E43" totalsRowShown="0">
  <autoFilter ref="D36:E43" xr:uid="{B8E87A66-3E41-4AD3-925D-01EE21B43D7A}">
    <filterColumn colId="0" hiddenButton="1"/>
    <filterColumn colId="1" hiddenButton="1"/>
  </autoFilter>
  <tableColumns count="2">
    <tableColumn id="1" xr3:uid="{DE6DB2AF-8B82-435D-A79B-8205BD960246}" name="Gas">
      <calculatedColumnFormula array="1">Common_InputFunctions.Utility_DisplayArrayInTable(Common_SourceData.Common_SourceData_GWP_Data(), Table_GWPData[[#Headers],[Gas]], 0)</calculatedColumnFormula>
    </tableColumn>
    <tableColumn id="2" xr3:uid="{C1872EA8-E6F7-4CDB-BE15-139748243EE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A03DACCB-4A75-40B0-8551-2B1D21A465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0D8DCA3-10F5-4031-86FD-216D8A755B9E}" name="Gas">
      <calculatedColumnFormula array="1">Common_InputFunctions.Utility_DisplayArrayInTable(Common_SourceData.Common_SourceData_ConvertGasElementalToMolecular_Data(),Table_GasToMolecularConversionFactor[[#Headers],[Gas]], 0)</calculatedColumnFormula>
    </tableColumn>
    <tableColumn id="5" xr3:uid="{A53FF128-FAFA-48C3-8A6E-8E78B89CFD95}" name="Conversion factor">
      <calculatedColumnFormula array="1">Common_InputFunctions.Utility_DisplayArrayInTable(Common_SourceData.Common_SourceData_ConvertGasElementalToMolecular_Data(),Table_GasToMolecularConversionFactor[[#Headers],[Gas]], 0)</calculatedColumnFormula>
    </tableColumn>
    <tableColumn id="2" xr3:uid="{F83400CF-8874-42E5-9041-D872244B9CF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A87A7E6-25FB-4F61-B2BC-8876667D6A1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E372DE5-34A1-40F8-8BF5-A8018838457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5132B17-5458-42C3-9E74-261F277F666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5DB17EF-0F05-492B-8DF4-50777CFB302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5C83B84-0235-4B48-9882-D789359978A3}" name="MAT"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3" xr3:uid="{2427DEBF-B9EF-405D-977C-D0B2800FCBB1}" name="MA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4" xr3:uid="{EBA92C07-A154-437D-BDD5-52695464C73C}" name="Frost days per year"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5" xr3:uid="{99735E8A-3D39-449D-A7C0-CD9B7DAE3957}" name="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6" xr3:uid="{B79F49BE-04C8-4800-9DCB-948081BBD991}" name="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7" xr3:uid="{223EBFAE-1287-4A0A-AA3E-9342D3BF4364}" name="Min tem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8" xr3:uid="{351C7274-AFD2-4546-A140-A95A456892E8}" name="Max temp"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9" xr3:uid="{C74C0D42-AEEA-4278-AD59-0334EC505CEC}" name="Min rainfall"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0" xr3:uid="{8B3776A6-D901-494F-A436-67BB3CB20929}" name="Max rainfall"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1" xr3:uid="{29781557-BEE7-4BC2-8FCF-88051FE8BA04}" name="Min frost days"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5" xr3:uid="{226D5EA0-8392-496D-B07B-0115FF6685C1}" name="Max frost days"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2" xr3:uid="{97FCC930-F093-4ED4-A18F-679D2FFE3417}" name="Min 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6" xr3:uid="{2B589B12-9689-4C72-B4ED-6C287BBF0233}" name="Max 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3" xr3:uid="{D7A13881-2DB8-4008-8FA2-574069DAD6F6}" name="Min 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7" xr3:uid="{2145277F-3B0D-4FA7-97B5-A7338EBFBA01}" name="Max MAP:PET" totalsRowDxfId="4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2E9396F-7D92-4EBB-887B-ADD206B4ADD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C9BA32D-00D8-4C52-9DF7-220AA12DE65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81E5122-308B-41E4-B622-AE4C693CCA35}" name="Wet or Dry Zone" totalsRowDxfId="4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A688357-E7C3-4A2A-B4D3-A0F24B08E30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8403960-4434-43CD-ABBE-E8DF4D86B9F5}" name="Temperature Zone">
      <calculatedColumnFormula array="1">Common_InputFunctions.Utility_DisplayArrayInTable(Common_SourceData.Common_SourceData_TemperatureZones_Data(),Table_SourceData_TemperatureZones[[#Headers],[Temperature Zone]],0)</calculatedColumnFormula>
    </tableColumn>
    <tableColumn id="2" xr3:uid="{66A4AD83-37E6-4BCB-BC66-B572872B5198}" name="MAT">
      <calculatedColumnFormula array="1">Common_InputFunctions.Utility_DisplayArrayInTable(Common_SourceData.Common_SourceData_TemperatureZones_Data(),Table_SourceData_TemperatureZones[[#Headers],[Temperature Zone]],0)</calculatedColumnFormula>
    </tableColumn>
    <tableColumn id="3" xr3:uid="{B9291C4C-E6A7-4495-A3EE-77DAB17978C7}" name="Min MAT">
      <calculatedColumnFormula array="1">Common_InputFunctions.Utility_DisplayArrayInTable(Common_SourceData.Common_SourceData_TemperatureZones_Data(),Table_SourceData_TemperatureZones[[#Headers],[Temperature Zone]],0)</calculatedColumnFormula>
    </tableColumn>
    <tableColumn id="4" xr3:uid="{3C13F341-9CBC-46A8-BC68-8C55D43C939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8CCA099A-1815-4C9E-8BE1-EAFCEA3125C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F4D7F70-B372-4198-B448-F69D7AB5C57A}" name="Rainfall Zone">
      <calculatedColumnFormula array="1">Common_InputFunctions.Utility_DisplayArrayInTable(Common_SourceData.Common_SourceData_RainfallZones_Data(),Table_SourceData_RainfallZones[[#Headers],[Rainfall Zone]],0)</calculatedColumnFormula>
    </tableColumn>
    <tableColumn id="2" xr3:uid="{0636C224-96C6-4792-91A4-1FC86B7BC2BB}" name="Annual rainfall">
      <calculatedColumnFormula array="1">Common_InputFunctions.Utility_DisplayArrayInTable(Common_SourceData.Common_SourceData_RainfallZones_Data(),Table_SourceData_RainfallZones[[#Headers],[Rainfall Zone]],0)</calculatedColumnFormula>
    </tableColumn>
    <tableColumn id="3" xr3:uid="{58B0F4F3-EB24-4A00-9F9A-0E64F1E2D5D0}" name="Min rainfall">
      <calculatedColumnFormula array="1">Common_InputFunctions.Utility_DisplayArrayInTable(Common_SourceData.Common_SourceData_RainfallZones_Data(),Table_SourceData_RainfallZones[[#Headers],[Rainfall Zone]],0)</calculatedColumnFormula>
    </tableColumn>
    <tableColumn id="4" xr3:uid="{CB6299EC-5E20-4209-BE64-AC6EDA2A45B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1D1277F-7083-467C-A78B-B5A5473D337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866685-43DA-480D-AE27-DAD823223B61}" name="Leaching Zone">
      <calculatedColumnFormula array="1">Common_InputFunctions.Utility_DisplayArrayInTable(Common_SourceData.Common_SourceData_LeachingZones_Data(), Table_SourceData_LeachingZones[[#Headers],[Leaching Zone]], 0)</calculatedColumnFormula>
    </tableColumn>
    <tableColumn id="2" xr3:uid="{92ECD4D2-81B9-467C-BA67-C008BE7F8F2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757BE5D-8986-486B-9942-45BFD29D063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71FE53BA-D360-4C24-8E5B-28CB3F969908}" name="Data source">
      <calculatedColumnFormula array="1">Common_InputFunctions.Utility_DisplayArrayInTable(Common_SourceData.Common_SourceData_DataScores_Scope3_Data(), Table_SourceData_DataScores_Scope3[[#Headers],[Data source]], 0)</calculatedColumnFormula>
    </tableColumn>
    <tableColumn id="2" xr3:uid="{58F6D1E3-6B78-4718-A383-427BF82805E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D5BAE0A-AE6C-4E5D-9102-8C3D108836A9}" name="Table_SourceData_FracWET" displayName="Table_SourceData_FracWET" ref="D134:E136" totalsRowShown="0">
  <autoFilter ref="D134:E136" xr:uid="{308E99BE-FE1F-47A4-B2CA-97217277C4E9}">
    <filterColumn colId="0" hiddenButton="1"/>
    <filterColumn colId="1" hiddenButton="1"/>
  </autoFilter>
  <tableColumns count="2">
    <tableColumn id="1" xr3:uid="{BC669E04-ED77-44FE-9D5F-8C8107EB4A98}" name="Is in leaching zone">
      <calculatedColumnFormula array="1">Common_InputFunctions.Utility_DisplayArrayInTable(Common_SourceData.Common_SourceData_FracWET_Data(),Table_SourceData_FracWET[[#Headers],[Is in leaching zone]],0)</calculatedColumnFormula>
    </tableColumn>
    <tableColumn id="2" xr3:uid="{A3948F95-F1C4-45B3-81A4-39D322485349}" name="FracWET" dataDxfId="4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7B971EA-407C-45A5-9FFB-F7AA722C8E0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2F3F9BB-DA9E-4193-9F8B-B6A61E653CCF}" name="Production system j">
      <calculatedColumnFormula array="1">Common_InputFunctions.Utility_DisplayArrayInTable(Common_SourceData.Common_SourceData_EFN2O_Data(), Table_SourceData_Common_EFN2O[[#Headers],[Production system j]], 0)</calculatedColumnFormula>
    </tableColumn>
    <tableColumn id="2" xr3:uid="{3D22419F-B45A-49E4-9B2C-61DFA559A5E6}" name="EFN2O">
      <calculatedColumnFormula array="1">Common_InputFunctions.Utility_DisplayArrayInTable(Common_SourceData.Common_SourceData_EFN2O_Data(), Table_SourceData_Common_EFN2O[[#Headers],[Production system j]], 0)</calculatedColumnFormula>
    </tableColumn>
    <tableColumn id="3" xr3:uid="{25D60932-977A-4B69-B269-FC2D0FBEF5FD}" name="Production system only">
      <calculatedColumnFormula array="1">Common_InputFunctions.Utility_DisplayArrayInTable(Common_SourceData.Common_SourceData_EFN2O_Data(), Table_SourceData_Common_EFN2O[[#Headers],[Production system j]], 0)</calculatedColumnFormula>
    </tableColumn>
    <tableColumn id="4" xr3:uid="{C0A42ED4-5BEF-4593-8E87-70CB6EE0301D}" name="Irrigation method">
      <calculatedColumnFormula array="1">Common_InputFunctions.Utility_DisplayArrayInTable(Common_SourceData.Common_SourceData_EFN2O_Data(), Table_SourceData_Common_EFN2O[[#Headers],[Production system j]], 0)</calculatedColumnFormula>
    </tableColumn>
    <tableColumn id="5" xr3:uid="{782D7ADE-E7B1-4141-A25C-555CE2F063C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FD55417-029C-4CE1-94B5-7F7CCA88A96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AEF521B-87A4-4DF0-9061-A42BD804FA47}" name="Irrigation type i">
      <calculatedColumnFormula array="1">Common_InputFunctions.Utility_DisplayArrayInTable(Common_SourceData.Common_SourceData_FracWETIrrigation_Data(), Table_SourceData_FracWETIrrigation[[#Headers],[Irrigation type i]], 0)</calculatedColumnFormula>
    </tableColumn>
    <tableColumn id="2" xr3:uid="{413EF7D5-6C1D-48C4-ADE3-C2FBFE9CDBF0}" name="FracWET" dataDxfId="3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D0385FD-EFA3-4C84-B44D-9F37B130504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4B3DD1A-762C-4056-B47D-C7F4C3D2140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FA3D3B2-F03B-4A49-B036-1E6713C6C2BA}" name="EFPRP" dataDxfId="3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D7CF299F-EB3B-4475-B57E-88E228BFA0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91AEBD9-B5D9-477E-A4F8-180604EEEB5F}" name="Month">
      <calculatedColumnFormula array="1">Common_InputFunctions.Utility_DisplayArrayInTable(Common_SourceData.Common_SourceData_MonthsToSeasons_Data(), Table_SourceData_Common_MonthToSeason[[#Headers],[Month]], 0)</calculatedColumnFormula>
    </tableColumn>
    <tableColumn id="2" xr3:uid="{68A7ECE7-9AF7-4FB2-8EBA-0AF2F740F298}" name="Season" dataDxfId="3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55A68CD2-471B-4B4F-9D5E-65C39267BD6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6D78F8A-058B-42CA-B726-7AEBBCA6C28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1091063A-29C3-4F2A-BFEF-BD86006AD144}" name="MAT (ºC)"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8D6B89D-F8F7-4100-9AC6-7433F92DE90E}" name="Anaerobic lagoon"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AD0EE1F-0F8D-4B1E-BC41-D905561F457C}" name="Digester / covered lagoons"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0A47EB3-89E9-49EA-A584-4FFFF617FFFE}" name="Liquid systems"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379D57A-CF72-4017-8026-7368D62E7C6E}" name="Daily spread"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8CAA5F5-A9E2-490C-8E9E-F98FEC2B85B7}" name="Composting (passive windro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932A796-896E-4749-8473-D4D99CB5A8DA}" name="Solid storage"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15FC1CD-D6D4-48C6-BB02-0784024F60E1}" name="Pit storage"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EBE432B-3D78-4900-9DC3-1FD9ACCBB17C}" name="Deep litter"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81D0680-FD86-4172-B5F0-E4CCA7F0900F}" name="Poultry manure with bedding"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403667-5932-4CF5-8344-621BAA196406}" name="Poultry manure without bedding"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72C37E3-C784-49F8-9FFA-148700905D66}" name="Direct processing"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ECAD450-29C4-40CA-9D51-7672268D9D32}" name="Direct application"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3BCC1851-11A9-41A2-B4BC-E7AFBD1EAA84}" name="Pasture range and paddock"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9CC47FE-434C-431F-B727-358EA13CFB6F}" name="MAT ra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4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3" Type="http://schemas.openxmlformats.org/officeDocument/2006/relationships/table" Target="../tables/table16.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1" Type="http://schemas.openxmlformats.org/officeDocument/2006/relationships/printerSettings" Target="../printerSettings/printerSettings3.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K48"/>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0" width="20.7109375" style="1" customWidth="1"/>
    <col min="11" max="11" width="4.7109375" style="1" customWidth="1"/>
    <col min="12" max="27" width="20.7109375" customWidth="1"/>
  </cols>
  <sheetData>
    <row r="1" spans="1:11" ht="30" customHeight="1" x14ac:dyDescent="0.35">
      <c r="A1" s="63" t="e" vm="1">
        <v>#VALUE!</v>
      </c>
      <c r="C1" s="121" t="s">
        <v>167</v>
      </c>
      <c r="D1" s="121"/>
      <c r="E1" s="121"/>
      <c r="F1" s="121"/>
      <c r="G1" s="121"/>
      <c r="H1" s="121"/>
      <c r="I1" s="121"/>
      <c r="J1" s="121"/>
      <c r="K1" s="121"/>
    </row>
    <row r="2" spans="1:11" ht="20.100000000000001" customHeight="1" x14ac:dyDescent="0.25">
      <c r="A2" s="9"/>
      <c r="C2"/>
      <c r="D2"/>
      <c r="E2"/>
      <c r="F2"/>
      <c r="G2"/>
      <c r="H2"/>
      <c r="I2"/>
      <c r="J2"/>
      <c r="K2"/>
    </row>
    <row r="3" spans="1:11" ht="20.100000000000001" customHeight="1" x14ac:dyDescent="0.25">
      <c r="A3" s="17" t="str">
        <f>HYPERLINK("#'Home'!A1", "Home")</f>
        <v>Home</v>
      </c>
      <c r="C3" s="119"/>
      <c r="D3" s="119"/>
      <c r="E3" s="119"/>
      <c r="F3" s="119"/>
      <c r="G3" s="119"/>
      <c r="H3" s="119"/>
      <c r="I3" s="119"/>
      <c r="J3" s="119"/>
      <c r="K3" s="119"/>
    </row>
    <row r="4" spans="1:11" ht="20.100000000000001" customHeight="1" x14ac:dyDescent="0.25">
      <c r="A4" s="122" t="str">
        <f>HYPERLINK("#'Overview'!A1", "Overview")</f>
        <v>Overview</v>
      </c>
    </row>
    <row r="5" spans="1:11" ht="20.100000000000001" customHeight="1" x14ac:dyDescent="0.25">
      <c r="A5" s="17" t="str">
        <f>HYPERLINK("#'Results'!A1", "Results")</f>
        <v>Results</v>
      </c>
      <c r="D5" s="108" t="s">
        <v>168</v>
      </c>
      <c r="E5" s="85"/>
      <c r="F5" s="85"/>
      <c r="G5" s="85"/>
      <c r="H5" s="85"/>
      <c r="I5" s="81"/>
    </row>
    <row r="6" spans="1:11" ht="20.100000000000001" customHeight="1" x14ac:dyDescent="0.25">
      <c r="A6" s="16"/>
      <c r="D6" s="120" t="s">
        <v>169</v>
      </c>
      <c r="E6" s="84"/>
      <c r="F6" s="84"/>
      <c r="G6" s="84"/>
      <c r="H6" s="84"/>
      <c r="I6" s="82"/>
    </row>
    <row r="7" spans="1:11" ht="20.100000000000001" customHeight="1" x14ac:dyDescent="0.25">
      <c r="A7" s="20" t="s">
        <v>1</v>
      </c>
    </row>
    <row r="8" spans="1:11" ht="20.100000000000001" customHeight="1" x14ac:dyDescent="0.25">
      <c r="A8" s="17" t="str">
        <f>HYPERLINK("#'Input - Site'!A1", "Site")</f>
        <v>Site</v>
      </c>
    </row>
    <row r="9" spans="1:11" ht="20.100000000000001" customHeight="1" x14ac:dyDescent="0.25">
      <c r="A9" s="17" t="str">
        <f>HYPERLINK("#'Input - Swine'!A1", "Swine")</f>
        <v>Swine</v>
      </c>
    </row>
    <row r="10" spans="1:11" ht="20.100000000000001" customHeight="1" x14ac:dyDescent="0.25">
      <c r="A10" s="17"/>
    </row>
    <row r="11" spans="1:11" ht="20.100000000000001" customHeight="1" x14ac:dyDescent="0.25">
      <c r="A11" s="19" t="s">
        <v>55</v>
      </c>
    </row>
    <row r="12" spans="1:11" ht="20.100000000000001" customHeight="1" x14ac:dyDescent="0.25">
      <c r="A12" s="17" t="str">
        <f>HYPERLINK("#'3.5.1.1-2 Enteric Methane'!A1", "3.5.1.1-2 Enteric Methane")</f>
        <v>3.5.1.1-2 Enteric Methane</v>
      </c>
    </row>
    <row r="13" spans="1:11" ht="20.100000000000001" customHeight="1" x14ac:dyDescent="0.25"/>
    <row r="14" spans="1:11" ht="20.100000000000001" customHeight="1" x14ac:dyDescent="0.25">
      <c r="A14" s="18" t="s">
        <v>2</v>
      </c>
    </row>
    <row r="15" spans="1:11" ht="20.100000000000001" customHeight="1" x14ac:dyDescent="0.25">
      <c r="A15" s="17" t="str">
        <f>HYPERLINK("#'Constants - Swine'!A1", "Constants - Swine")</f>
        <v>Constants - Swine</v>
      </c>
    </row>
    <row r="16" spans="1:11" ht="20.100000000000001" customHeight="1" x14ac:dyDescent="0.25">
      <c r="A16" s="17" t="str">
        <f>HYPERLINK("#'Constants - Livestock'!A1", "Constants - Livestock")</f>
        <v>Constants - Livestock</v>
      </c>
    </row>
    <row r="17" spans="1:1" ht="20.100000000000001" customHeight="1" x14ac:dyDescent="0.25">
      <c r="A17" s="17" t="str">
        <f>HYPERLINK("#'Constants - Common'!A1", "Constants - Common")</f>
        <v>Constants - Common</v>
      </c>
    </row>
    <row r="18" spans="1:1" ht="20.100000000000001" customHeight="1" x14ac:dyDescent="0.25">
      <c r="A18" s="17" t="str">
        <f>HYPERLINK("#'Acknowledgements'!A1", "Acknowledgements")</f>
        <v>Acknowledgements</v>
      </c>
    </row>
    <row r="19" spans="1:1" ht="20.100000000000001" customHeight="1" x14ac:dyDescent="0.25"/>
    <row r="20" spans="1:1" ht="20.100000000000001" customHeight="1" x14ac:dyDescent="0.25">
      <c r="A20" s="17"/>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3" t="e" vm="1">
        <v>#VALUE!</v>
      </c>
      <c r="C1" s="101" t="s">
        <v>166</v>
      </c>
    </row>
    <row r="2" spans="1:11" ht="20.100000000000001" customHeight="1" x14ac:dyDescent="0.25">
      <c r="A2" s="9"/>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3</v>
      </c>
      <c r="E4" s="23"/>
      <c r="F4" s="23"/>
      <c r="G4" s="23"/>
      <c r="H4" s="6"/>
      <c r="I4" s="6"/>
      <c r="J4" s="6"/>
      <c r="K4" s="24"/>
    </row>
    <row r="5" spans="1:11" ht="20.100000000000001" customHeight="1" x14ac:dyDescent="0.3">
      <c r="A5" s="122" t="str">
        <f>HYPERLINK("#'Results'!A1", "Results")</f>
        <v>Results</v>
      </c>
      <c r="C5" s="21"/>
      <c r="D5" s="25"/>
      <c r="E5" s="26"/>
      <c r="F5" s="26"/>
      <c r="G5" s="26"/>
      <c r="H5" s="23"/>
      <c r="I5" s="21"/>
      <c r="J5" s="21"/>
      <c r="K5" s="21"/>
    </row>
    <row r="6" spans="1:11" ht="20.100000000000001" customHeight="1" x14ac:dyDescent="0.25">
      <c r="A6" s="16"/>
      <c r="C6" s="21"/>
      <c r="D6" s="100" t="s">
        <v>77</v>
      </c>
      <c r="E6" s="100" t="s">
        <v>98</v>
      </c>
      <c r="F6" s="100" t="s">
        <v>99</v>
      </c>
      <c r="G6" s="100" t="s">
        <v>90</v>
      </c>
      <c r="H6" s="100" t="s">
        <v>100</v>
      </c>
      <c r="I6" s="100" t="s">
        <v>101</v>
      </c>
      <c r="J6" s="100" t="s">
        <v>91</v>
      </c>
      <c r="K6" s="21"/>
    </row>
    <row r="7" spans="1:11" ht="20.100000000000001" customHeight="1" x14ac:dyDescent="0.25">
      <c r="A7" s="20" t="s">
        <v>1</v>
      </c>
      <c r="C7" s="21"/>
      <c r="D7" s="1" t="s">
        <v>160</v>
      </c>
      <c r="E7" s="109">
        <f>'3.5.1.1-2 Enteric Methane'!E58</f>
        <v>0.78573884462151411</v>
      </c>
      <c r="F7" s="109">
        <f>'3.5.1.1-2 Enteric Methane'!N58</f>
        <v>0.78573884462151411</v>
      </c>
      <c r="G7" s="49" t="s">
        <v>94</v>
      </c>
      <c r="H7" s="97">
        <f>'3.5.1.1-2 Enteric Methane'!E63</f>
        <v>22.000687649402394</v>
      </c>
      <c r="I7" s="97">
        <f>'3.5.1.1-2 Enteric Methane'!N63</f>
        <v>22.000687649402394</v>
      </c>
      <c r="J7" s="49" t="s">
        <v>96</v>
      </c>
      <c r="K7" s="21"/>
    </row>
    <row r="8" spans="1:11" ht="20.100000000000001" customHeight="1" x14ac:dyDescent="0.3">
      <c r="A8" s="17" t="str">
        <f>HYPERLINK("#'Input - Site'!A1", "Site")</f>
        <v>Site</v>
      </c>
      <c r="C8" s="21"/>
      <c r="D8" s="28" t="s">
        <v>89</v>
      </c>
      <c r="E8" s="22"/>
      <c r="F8" s="22"/>
      <c r="G8" s="28"/>
      <c r="H8" s="99">
        <f>SUM(H7:H7)</f>
        <v>22.000687649402394</v>
      </c>
      <c r="I8" s="99">
        <f>SUM(I7:I7)</f>
        <v>22.000687649402394</v>
      </c>
      <c r="J8" s="93" t="s">
        <v>96</v>
      </c>
      <c r="K8" s="21"/>
    </row>
    <row r="9" spans="1:11" ht="20.100000000000001" customHeight="1" x14ac:dyDescent="0.25">
      <c r="A9" s="17" t="str">
        <f>HYPERLINK("#'Input - Swine'!A1", "Swine")</f>
        <v>Swine</v>
      </c>
      <c r="C9" s="21"/>
      <c r="D9" s="1"/>
      <c r="E9" s="1"/>
      <c r="F9" s="1"/>
      <c r="G9" s="1"/>
      <c r="H9" s="1"/>
      <c r="I9" s="1"/>
      <c r="J9" s="1"/>
      <c r="K9" s="21"/>
    </row>
    <row r="10" spans="1:11" ht="20.100000000000001" customHeight="1" x14ac:dyDescent="0.25">
      <c r="A10" s="17"/>
      <c r="C10" s="21"/>
      <c r="D10" s="1"/>
      <c r="E10" s="1"/>
      <c r="F10" s="1"/>
      <c r="G10" s="1"/>
      <c r="H10" s="1"/>
      <c r="I10" s="1"/>
      <c r="J10" s="1"/>
      <c r="K10" s="21"/>
    </row>
    <row r="11" spans="1:11" ht="20.100000000000001" customHeight="1" x14ac:dyDescent="0.25">
      <c r="A11" s="19" t="s">
        <v>55</v>
      </c>
      <c r="C11" s="21"/>
      <c r="D11" s="1"/>
      <c r="E11" s="1"/>
      <c r="F11" s="1"/>
      <c r="G11" s="1"/>
      <c r="H11" s="1"/>
      <c r="I11" s="1"/>
      <c r="J11" s="1"/>
      <c r="K11" s="21"/>
    </row>
    <row r="12" spans="1:11" ht="20.100000000000001" customHeight="1" x14ac:dyDescent="0.25">
      <c r="A12" s="17" t="str">
        <f>HYPERLINK("#'3.5.1.1-2 Enteric Methane'!A1", "3.5.1.1-2 Enteric Methane")</f>
        <v>3.5.1.1-2 Enteric Methane</v>
      </c>
      <c r="C12" s="21"/>
      <c r="D12" s="1"/>
      <c r="E12" s="1"/>
      <c r="F12" s="1"/>
      <c r="G12" s="1"/>
      <c r="H12" s="1"/>
      <c r="I12" s="1"/>
      <c r="J12" s="1"/>
      <c r="K12" s="21"/>
    </row>
    <row r="13" spans="1:11" ht="20.100000000000001" customHeight="1" x14ac:dyDescent="0.25">
      <c r="C13" s="21"/>
      <c r="D13" s="1"/>
      <c r="E13" s="1"/>
      <c r="F13" s="1"/>
      <c r="G13" s="1"/>
      <c r="H13" s="1"/>
      <c r="I13" s="1"/>
      <c r="J13" s="1"/>
      <c r="K13" s="21"/>
    </row>
    <row r="14" spans="1:11" ht="20.100000000000001" customHeight="1" x14ac:dyDescent="0.25">
      <c r="A14" s="18" t="s">
        <v>2</v>
      </c>
      <c r="C14" s="21"/>
      <c r="D14" s="1"/>
      <c r="E14" s="1"/>
      <c r="F14" s="1"/>
      <c r="G14" s="1"/>
      <c r="H14" s="1"/>
      <c r="I14" s="1"/>
      <c r="J14" s="1"/>
      <c r="K14" s="21"/>
    </row>
    <row r="15" spans="1:11" ht="20.100000000000001" customHeight="1" x14ac:dyDescent="0.25">
      <c r="A15" s="17" t="str">
        <f>HYPERLINK("#'Constants - Swine'!A1", "Constants - Swine")</f>
        <v>Constants - Swine</v>
      </c>
      <c r="C15" s="21"/>
      <c r="D15" s="1"/>
      <c r="E15" s="1"/>
      <c r="F15" s="1"/>
      <c r="G15" s="1"/>
      <c r="H15" s="1"/>
      <c r="I15" s="1"/>
      <c r="J15" s="1"/>
      <c r="K15" s="21"/>
    </row>
    <row r="16" spans="1:11" ht="20.100000000000001" customHeight="1" x14ac:dyDescent="0.25">
      <c r="A16" s="17" t="str">
        <f>HYPERLINK("#'Constants - Livestock'!A1", "Constants - Livestock")</f>
        <v>Constants - Livestock</v>
      </c>
      <c r="C16" s="21"/>
      <c r="D16" s="1"/>
      <c r="E16" s="1"/>
      <c r="F16" s="1"/>
      <c r="G16" s="1"/>
      <c r="H16" s="1"/>
      <c r="I16" s="1"/>
      <c r="J16" s="1"/>
      <c r="K16" s="21"/>
    </row>
    <row r="17" spans="1:11" ht="20.100000000000001" customHeight="1" x14ac:dyDescent="0.25">
      <c r="A17" s="17" t="str">
        <f>HYPERLINK("#'Constants - Common'!A1", "Constants - Common")</f>
        <v>Constants - Common</v>
      </c>
      <c r="C17" s="21"/>
      <c r="D17" s="1"/>
      <c r="E17" s="1"/>
      <c r="F17" s="1"/>
      <c r="G17" s="1"/>
      <c r="H17" s="1"/>
      <c r="I17" s="1"/>
      <c r="J17" s="1"/>
      <c r="K17" s="21"/>
    </row>
    <row r="18" spans="1:11" ht="20.100000000000001" customHeight="1" x14ac:dyDescent="0.25">
      <c r="A18" s="17" t="str">
        <f>HYPERLINK("#'Acknowledgements'!A1", "Acknowledgements")</f>
        <v>Acknowledgements</v>
      </c>
      <c r="C18" s="21"/>
      <c r="D18" s="1"/>
      <c r="E18" s="1"/>
      <c r="F18" s="1"/>
      <c r="G18" s="1"/>
      <c r="H18" s="1"/>
      <c r="I18" s="1"/>
      <c r="J18" s="1"/>
      <c r="K18" s="21"/>
    </row>
    <row r="19" spans="1:11" ht="20.100000000000001" customHeight="1" x14ac:dyDescent="0.25">
      <c r="C19" s="21"/>
      <c r="D19" s="1"/>
      <c r="E19" s="1"/>
      <c r="F19" s="1"/>
      <c r="G19" s="1"/>
      <c r="H19" s="1"/>
      <c r="I19" s="1"/>
      <c r="J19" s="1"/>
      <c r="K19" s="21"/>
    </row>
    <row r="20" spans="1:11" ht="20.100000000000001" customHeight="1" x14ac:dyDescent="0.25">
      <c r="A20" s="17"/>
      <c r="C20" s="21"/>
      <c r="D20" s="1"/>
      <c r="E20" s="1"/>
      <c r="F20" s="1"/>
      <c r="G20" s="1"/>
      <c r="H20" s="1"/>
      <c r="I20" s="1"/>
      <c r="J20" s="1"/>
      <c r="K20" s="21"/>
    </row>
    <row r="21" spans="1:11" ht="20.100000000000001" customHeight="1" x14ac:dyDescent="0.3">
      <c r="C21" s="21"/>
      <c r="D21" s="1"/>
      <c r="E21" s="1"/>
      <c r="F21" s="1"/>
      <c r="G21" s="1"/>
      <c r="H21" s="26"/>
      <c r="I21" s="21"/>
      <c r="J21" s="21"/>
      <c r="K21" s="21"/>
    </row>
    <row r="22" spans="1:11" ht="20.100000000000001" customHeight="1" x14ac:dyDescent="0.3">
      <c r="C22" s="21"/>
      <c r="D22" s="1"/>
      <c r="E22" s="1"/>
      <c r="F22" s="1"/>
      <c r="G22" s="1"/>
      <c r="H22" s="26"/>
      <c r="I22" s="21"/>
      <c r="J22" s="21"/>
      <c r="K22" s="21"/>
    </row>
    <row r="23" spans="1:11" ht="20.100000000000001" customHeight="1" x14ac:dyDescent="0.3">
      <c r="C23" s="21"/>
      <c r="D23" s="1"/>
      <c r="E23" s="1"/>
      <c r="F23" s="1"/>
      <c r="G23" s="1"/>
      <c r="H23" s="26"/>
      <c r="I23" s="21"/>
      <c r="J23" s="21"/>
      <c r="K23" s="21"/>
    </row>
    <row r="24" spans="1:11" ht="20.100000000000001" customHeight="1" x14ac:dyDescent="0.3">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6"/>
      <c r="J38" s="96"/>
      <c r="K38" s="21"/>
    </row>
    <row r="39" spans="3:11" ht="20.100000000000001" customHeight="1" x14ac:dyDescent="0.25">
      <c r="C39" s="21"/>
      <c r="D39" s="1"/>
      <c r="E39" s="1"/>
      <c r="F39" s="1"/>
      <c r="G39" s="1"/>
      <c r="H39" s="1"/>
      <c r="I39" s="96"/>
      <c r="J39" s="96"/>
      <c r="K39" s="21"/>
    </row>
    <row r="40" spans="3:11" ht="20.100000000000001" customHeight="1" x14ac:dyDescent="0.25">
      <c r="C40" s="21"/>
      <c r="D40" s="1"/>
      <c r="E40" s="1"/>
      <c r="F40" s="1"/>
      <c r="G40" s="1"/>
      <c r="H40" s="1"/>
      <c r="I40" s="96"/>
      <c r="J40" s="96"/>
      <c r="K40" s="21"/>
    </row>
    <row r="41" spans="3:11" ht="20.100000000000001" customHeight="1" x14ac:dyDescent="0.25">
      <c r="C41" s="21"/>
      <c r="D41" s="1"/>
      <c r="E41" s="1"/>
      <c r="F41" s="1"/>
      <c r="G41" s="1"/>
      <c r="H41" s="1"/>
      <c r="I41" s="96"/>
      <c r="J41" s="96"/>
      <c r="K41" s="21"/>
    </row>
    <row r="42" spans="3:11" ht="20.100000000000001" customHeight="1" x14ac:dyDescent="0.25">
      <c r="C42" s="21"/>
      <c r="D42" s="1"/>
      <c r="E42" s="1"/>
      <c r="F42" s="1"/>
      <c r="G42" s="1"/>
      <c r="H42" s="1"/>
      <c r="I42" s="96"/>
      <c r="J42" s="96"/>
      <c r="K42" s="21"/>
    </row>
    <row r="43" spans="3:11" ht="20.100000000000001" customHeight="1" x14ac:dyDescent="0.25">
      <c r="C43" s="21"/>
      <c r="D43" s="1"/>
      <c r="E43" s="1"/>
      <c r="F43" s="1"/>
      <c r="G43" s="1"/>
      <c r="H43" s="1"/>
      <c r="I43" s="96"/>
      <c r="J43" s="96"/>
      <c r="K43" s="21"/>
    </row>
    <row r="44" spans="3:11" ht="20.100000000000001" customHeight="1" x14ac:dyDescent="0.25">
      <c r="C44" s="21"/>
      <c r="D44" s="1"/>
      <c r="E44" s="1"/>
      <c r="F44" s="1"/>
      <c r="G44" s="1"/>
      <c r="H44" s="1"/>
      <c r="I44" s="96"/>
      <c r="J44" s="96"/>
      <c r="K44" s="21"/>
    </row>
    <row r="45" spans="3:11" ht="20.100000000000001" customHeight="1" x14ac:dyDescent="0.25">
      <c r="C45" s="21"/>
      <c r="D45" s="1"/>
      <c r="E45" s="1"/>
      <c r="F45" s="1"/>
      <c r="G45" s="1"/>
      <c r="H45" s="1"/>
      <c r="I45" s="96"/>
      <c r="J45" s="96"/>
      <c r="K45" s="21"/>
    </row>
    <row r="46" spans="3:11" ht="20.100000000000001" customHeight="1" x14ac:dyDescent="0.25">
      <c r="C46" s="21"/>
      <c r="D46" s="1"/>
      <c r="E46" s="1"/>
      <c r="F46" s="1"/>
      <c r="G46" s="1"/>
      <c r="H46" s="1"/>
      <c r="I46" s="96"/>
      <c r="J46" s="96"/>
      <c r="K46" s="21"/>
    </row>
    <row r="47" spans="3:11" ht="20.100000000000001" customHeight="1" x14ac:dyDescent="0.25">
      <c r="C47" s="21"/>
      <c r="D47" s="1"/>
      <c r="E47" s="1"/>
      <c r="F47" s="1"/>
      <c r="G47" s="1"/>
      <c r="H47" s="1"/>
      <c r="I47" s="96"/>
      <c r="J47" s="96"/>
      <c r="K47" s="21"/>
    </row>
    <row r="48" spans="3:11" ht="20.100000000000001" customHeight="1" x14ac:dyDescent="0.25">
      <c r="C48" s="21"/>
      <c r="D48" s="1"/>
      <c r="E48" s="1"/>
      <c r="F48" s="1"/>
      <c r="G48" s="1"/>
      <c r="H48" s="1"/>
      <c r="I48" s="96"/>
      <c r="J48" s="96"/>
      <c r="K48" s="21"/>
    </row>
    <row r="49" spans="3:11" ht="20.100000000000001" customHeight="1" x14ac:dyDescent="0.25">
      <c r="C49" s="21"/>
      <c r="D49" s="1"/>
      <c r="E49" s="1"/>
      <c r="F49" s="1"/>
      <c r="G49" s="1"/>
      <c r="H49" s="96"/>
      <c r="I49" s="96"/>
      <c r="J49" s="96"/>
      <c r="K49" s="21"/>
    </row>
    <row r="50" spans="3:11" ht="20.100000000000001" customHeight="1" x14ac:dyDescent="0.25">
      <c r="C50" s="21"/>
      <c r="D50" s="1"/>
      <c r="E50" s="1"/>
      <c r="F50" s="1"/>
      <c r="G50" s="1"/>
      <c r="H50" s="96"/>
      <c r="I50" s="96"/>
      <c r="J50" s="96"/>
      <c r="K50" s="21"/>
    </row>
    <row r="51" spans="3:11" ht="20.100000000000001" customHeight="1" x14ac:dyDescent="0.25">
      <c r="C51" s="21"/>
      <c r="D51" s="1"/>
      <c r="E51" s="1"/>
      <c r="F51" s="1"/>
      <c r="G51" s="1"/>
      <c r="H51" s="96"/>
      <c r="I51" s="96"/>
      <c r="J51" s="96"/>
      <c r="K51" s="21"/>
    </row>
    <row r="52" spans="3:11" ht="20.100000000000001" customHeight="1" x14ac:dyDescent="0.25">
      <c r="C52" s="21"/>
      <c r="D52" s="1"/>
      <c r="E52" s="1"/>
      <c r="F52" s="1"/>
      <c r="G52" s="1"/>
      <c r="H52" s="96"/>
      <c r="I52" s="96"/>
      <c r="J52" s="96"/>
      <c r="K52" s="21"/>
    </row>
    <row r="53" spans="3:11" ht="20.100000000000001" customHeight="1" x14ac:dyDescent="0.25">
      <c r="C53" s="21"/>
      <c r="D53" s="1"/>
      <c r="E53" s="1"/>
      <c r="F53" s="1"/>
      <c r="G53" s="1"/>
      <c r="H53" s="96"/>
      <c r="I53" s="96"/>
      <c r="J53" s="96"/>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9" sqref="A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69</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4"/>
      <c r="D4" s="64"/>
      <c r="E4" s="64"/>
      <c r="F4" s="64"/>
      <c r="G4" s="64"/>
      <c r="H4" s="64"/>
      <c r="I4" s="64"/>
      <c r="J4" s="64"/>
      <c r="K4" s="64"/>
    </row>
    <row r="5" spans="1:24" ht="20.100000000000001" customHeight="1" x14ac:dyDescent="0.25">
      <c r="A5" s="17" t="str">
        <f>HYPERLINK("#'Results'!A1", "Results")</f>
        <v>Results</v>
      </c>
      <c r="D5" s="6" t="s">
        <v>7</v>
      </c>
      <c r="N5" s="36"/>
    </row>
    <row r="6" spans="1:24" ht="20.100000000000001" customHeight="1" x14ac:dyDescent="0.25">
      <c r="D6" s="14"/>
      <c r="N6" s="37"/>
    </row>
    <row r="7" spans="1:24" ht="20.100000000000001" customHeight="1" x14ac:dyDescent="0.25">
      <c r="A7" s="20" t="s">
        <v>1</v>
      </c>
      <c r="D7" s="1" t="s">
        <v>5</v>
      </c>
      <c r="E7" s="30" t="s">
        <v>4</v>
      </c>
      <c r="F7" s="2"/>
    </row>
    <row r="8" spans="1:24" ht="20.100000000000001" customHeight="1" x14ac:dyDescent="0.25">
      <c r="A8" s="123" t="str">
        <f>HYPERLINK("#'Input - Site'!A1", "Site")</f>
        <v>Site</v>
      </c>
      <c r="D8" s="10" t="s">
        <v>53</v>
      </c>
      <c r="E8" s="30" t="s">
        <v>54</v>
      </c>
    </row>
    <row r="9" spans="1:24" ht="20.100000000000001" customHeight="1" x14ac:dyDescent="0.25">
      <c r="A9" s="17" t="str">
        <f>HYPERLINK("#'Input - Swine'!A1", "Swine")</f>
        <v>Swine</v>
      </c>
      <c r="N9" s="38"/>
    </row>
    <row r="10" spans="1:24" ht="20.100000000000001" customHeight="1" x14ac:dyDescent="0.25">
      <c r="A10" s="17"/>
      <c r="D10" s="87" t="s">
        <v>68</v>
      </c>
      <c r="E10" s="86"/>
      <c r="F10" s="88"/>
      <c r="G10" s="83"/>
      <c r="N10" s="38"/>
    </row>
    <row r="11" spans="1:24" ht="20.100000000000001" customHeight="1" x14ac:dyDescent="0.25">
      <c r="A11" s="19" t="s">
        <v>55</v>
      </c>
      <c r="N11" s="39"/>
    </row>
    <row r="12" spans="1:24" ht="20.100000000000001" customHeight="1" x14ac:dyDescent="0.25">
      <c r="A12" s="17" t="str">
        <f>HYPERLINK("#'3.5.1.1-2 Enteric Methane'!A1", "3.5.1.1-2 Enteric Methane")</f>
        <v>3.5.1.1-2 Enteric Methane</v>
      </c>
      <c r="D12" s="10" t="s">
        <v>72</v>
      </c>
      <c r="E12" s="59">
        <v>45292</v>
      </c>
      <c r="F12" s="2" t="s">
        <v>52</v>
      </c>
    </row>
    <row r="13" spans="1:24" ht="20.100000000000001" customHeight="1" x14ac:dyDescent="0.25">
      <c r="A13"/>
      <c r="D13" s="10" t="s">
        <v>73</v>
      </c>
      <c r="E13" s="65">
        <f>DATE(YEAR(E12)+1,MONTH(E12),DAY(E12))-1</f>
        <v>45657</v>
      </c>
      <c r="F13" s="2" t="s">
        <v>8</v>
      </c>
      <c r="N13" s="35"/>
      <c r="O13" s="35"/>
    </row>
    <row r="14" spans="1:24" ht="20.100000000000001" customHeight="1" x14ac:dyDescent="0.25">
      <c r="A14" s="18" t="s">
        <v>2</v>
      </c>
      <c r="N14" s="35"/>
      <c r="O14" s="35"/>
    </row>
    <row r="15" spans="1:24" ht="20.100000000000001" customHeight="1" x14ac:dyDescent="0.25">
      <c r="A15" s="17" t="str">
        <f>HYPERLINK("#'Constants - Swine'!A1", "Constants - Swine")</f>
        <v>Constants - Swine</v>
      </c>
      <c r="N15" s="35"/>
      <c r="O15" s="35"/>
    </row>
    <row r="16" spans="1:24" ht="20.100000000000001" customHeight="1" x14ac:dyDescent="0.25">
      <c r="A16" s="17" t="str">
        <f>HYPERLINK("#'Constants - Livestock'!A1", "Constants - Livestock")</f>
        <v>Constants - Livestock</v>
      </c>
      <c r="D16" s="1"/>
      <c r="E16" s="1"/>
      <c r="F16" s="1"/>
      <c r="G16" s="1"/>
      <c r="H16" s="1"/>
      <c r="N16" s="35"/>
      <c r="O16" s="35"/>
    </row>
    <row r="17" spans="1:25" ht="20.100000000000001" customHeight="1" x14ac:dyDescent="0.25">
      <c r="A17" s="17" t="str">
        <f>HYPERLINK("#'Constants - Common'!A1", "Constants - Common")</f>
        <v>Constants - Common</v>
      </c>
      <c r="D17" s="1"/>
      <c r="E17" s="1"/>
      <c r="F17" s="1"/>
      <c r="G17" s="1"/>
      <c r="H17" s="1"/>
    </row>
    <row r="18" spans="1:25" ht="20.100000000000001" customHeight="1" x14ac:dyDescent="0.25">
      <c r="A18" s="17" t="str">
        <f>HYPERLINK("#'Acknowledgements'!A1", "Acknowledgements")</f>
        <v>Acknowledgements</v>
      </c>
      <c r="D18" s="1"/>
      <c r="E18" s="1"/>
      <c r="F18" s="1"/>
      <c r="G18" s="1"/>
      <c r="H18" s="1"/>
    </row>
    <row r="19" spans="1:25" ht="20.100000000000001" customHeight="1" x14ac:dyDescent="0.25">
      <c r="A19"/>
      <c r="D19" s="1"/>
      <c r="E19" s="1"/>
      <c r="F19" s="1"/>
      <c r="G19" s="1"/>
      <c r="H19" s="1"/>
      <c r="N19" s="36"/>
    </row>
    <row r="20" spans="1:25" ht="20.100000000000001" customHeight="1" x14ac:dyDescent="0.25">
      <c r="A20" s="17"/>
      <c r="D20" s="1"/>
      <c r="E20" s="1"/>
      <c r="F20" s="1"/>
      <c r="G20" s="1"/>
      <c r="H20" s="1"/>
      <c r="N20" s="37"/>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7"/>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4"/>
      <c r="M30" s="44"/>
      <c r="N30" s="44"/>
      <c r="O30" s="44"/>
      <c r="P30" s="44"/>
      <c r="Q30" s="44"/>
      <c r="R30" s="44"/>
      <c r="S30" s="44"/>
      <c r="T30" s="44"/>
      <c r="U30" s="44"/>
      <c r="V30" s="44"/>
      <c r="W30" s="44"/>
      <c r="X30" s="44"/>
      <c r="Y30" s="44"/>
    </row>
    <row r="31" spans="1:25" ht="20.100000000000001" customHeight="1" x14ac:dyDescent="0.25">
      <c r="A31"/>
      <c r="D31" s="1"/>
      <c r="E31" s="1"/>
      <c r="F31" s="1"/>
      <c r="G31" s="1"/>
      <c r="H31" s="1"/>
      <c r="L31" s="42"/>
      <c r="M31" s="42"/>
      <c r="N31" s="42"/>
      <c r="O31" s="42"/>
      <c r="P31" s="42"/>
      <c r="Q31" s="42"/>
      <c r="R31" s="42"/>
      <c r="S31" s="42"/>
      <c r="T31" s="42"/>
      <c r="U31" s="42"/>
      <c r="V31" s="42"/>
      <c r="W31" s="42"/>
      <c r="X31" s="42"/>
      <c r="Y31" s="42"/>
    </row>
    <row r="32" spans="1:25" ht="20.100000000000001" customHeight="1" x14ac:dyDescent="0.25">
      <c r="A32"/>
      <c r="D32" s="1"/>
      <c r="E32" s="1"/>
      <c r="F32" s="1"/>
      <c r="G32" s="1"/>
      <c r="H32" s="1"/>
      <c r="L32" s="42"/>
      <c r="M32" s="42"/>
      <c r="N32" s="42"/>
      <c r="O32" s="42"/>
      <c r="P32" s="42"/>
      <c r="Q32" s="42"/>
      <c r="R32" s="42"/>
      <c r="S32" s="42"/>
      <c r="T32" s="42"/>
      <c r="U32" s="42"/>
      <c r="V32" s="42"/>
      <c r="W32" s="42"/>
      <c r="X32" s="42"/>
      <c r="Y32" s="42"/>
    </row>
    <row r="33" spans="1:25" ht="20.100000000000001" customHeight="1" x14ac:dyDescent="0.25">
      <c r="A33"/>
      <c r="D33" s="1"/>
      <c r="E33" s="1"/>
      <c r="F33" s="1"/>
      <c r="G33" s="1"/>
      <c r="H33" s="1"/>
      <c r="L33" s="42"/>
      <c r="M33" s="42"/>
      <c r="N33" s="42"/>
      <c r="O33" s="42"/>
      <c r="P33" s="42"/>
      <c r="Q33" s="42"/>
      <c r="R33" s="42"/>
      <c r="S33" s="42"/>
      <c r="T33" s="42"/>
      <c r="U33" s="42"/>
      <c r="V33" s="42"/>
      <c r="W33" s="42"/>
      <c r="X33" s="42"/>
      <c r="Y33" s="42"/>
    </row>
    <row r="34" spans="1:25" ht="20.100000000000001" customHeight="1" x14ac:dyDescent="0.25">
      <c r="A34"/>
      <c r="D34" s="1"/>
      <c r="E34" s="1"/>
      <c r="F34" s="1"/>
      <c r="G34" s="1"/>
      <c r="H34" s="1"/>
      <c r="J34" s="56"/>
      <c r="K34" s="68"/>
      <c r="L34" s="42"/>
      <c r="M34" s="42"/>
      <c r="N34" s="42"/>
      <c r="O34" s="42"/>
      <c r="P34" s="42"/>
      <c r="Q34" s="42"/>
      <c r="R34" s="42"/>
      <c r="S34" s="42"/>
      <c r="T34" s="42"/>
      <c r="U34" s="42"/>
      <c r="V34" s="42"/>
      <c r="W34" s="42"/>
      <c r="X34" s="42"/>
      <c r="Y34" s="42"/>
    </row>
    <row r="35" spans="1:25" ht="20.100000000000001" customHeight="1" x14ac:dyDescent="0.25">
      <c r="A35"/>
      <c r="D35" s="1"/>
      <c r="E35" s="1"/>
      <c r="F35" s="1"/>
      <c r="G35" s="1"/>
      <c r="H35" s="1"/>
      <c r="J35" s="56"/>
      <c r="K35" s="68"/>
      <c r="L35" s="42"/>
      <c r="M35" s="42"/>
      <c r="N35" s="42"/>
      <c r="O35" s="42"/>
      <c r="P35" s="42"/>
      <c r="Q35" s="42"/>
      <c r="R35" s="42"/>
      <c r="S35" s="42"/>
      <c r="T35" s="42"/>
      <c r="U35" s="42"/>
      <c r="V35" s="42"/>
      <c r="W35" s="42"/>
      <c r="X35" s="42"/>
      <c r="Y35" s="42"/>
    </row>
    <row r="36" spans="1:25" ht="20.100000000000001" customHeight="1" x14ac:dyDescent="0.25">
      <c r="A36"/>
      <c r="D36" s="66"/>
      <c r="E36" s="66"/>
      <c r="F36" s="67"/>
      <c r="G36" s="56"/>
      <c r="H36" s="56"/>
      <c r="I36" s="57"/>
      <c r="J36" s="56"/>
      <c r="K36" s="68"/>
      <c r="L36" s="42"/>
      <c r="M36" s="42"/>
      <c r="N36" s="42"/>
      <c r="O36" s="42"/>
      <c r="P36" s="42"/>
      <c r="Q36" s="42"/>
      <c r="R36" s="42"/>
      <c r="S36" s="42"/>
      <c r="T36" s="42"/>
      <c r="U36" s="42"/>
      <c r="V36" s="42"/>
      <c r="W36" s="42"/>
      <c r="X36" s="42"/>
      <c r="Y36" s="42"/>
    </row>
    <row r="37" spans="1:25" ht="20.100000000000001" customHeight="1" x14ac:dyDescent="0.25">
      <c r="A37"/>
      <c r="D37" s="66"/>
      <c r="E37" s="66"/>
      <c r="F37" s="67"/>
      <c r="G37" s="56"/>
      <c r="H37" s="56"/>
      <c r="I37" s="57"/>
      <c r="J37" s="56"/>
      <c r="K37" s="68"/>
      <c r="L37" s="42"/>
      <c r="M37" s="42"/>
      <c r="N37" s="42"/>
      <c r="O37" s="42"/>
      <c r="P37" s="42"/>
      <c r="Q37" s="42"/>
      <c r="R37" s="42"/>
      <c r="S37" s="42"/>
      <c r="T37" s="42"/>
      <c r="U37" s="42"/>
      <c r="V37" s="42"/>
      <c r="W37" s="42"/>
      <c r="X37" s="42"/>
      <c r="Y37" s="42"/>
    </row>
    <row r="38" spans="1:25" ht="20.100000000000001" customHeight="1" x14ac:dyDescent="0.25">
      <c r="A38"/>
      <c r="D38" s="66"/>
      <c r="E38" s="66"/>
      <c r="F38" s="67"/>
      <c r="G38" s="56"/>
      <c r="H38" s="56"/>
      <c r="I38" s="57"/>
      <c r="J38" s="56"/>
      <c r="K38" s="68"/>
      <c r="L38" s="42"/>
      <c r="M38" s="42"/>
      <c r="N38" s="42"/>
      <c r="O38" s="42"/>
      <c r="P38" s="42"/>
      <c r="Q38" s="42"/>
      <c r="R38" s="42"/>
      <c r="S38" s="42"/>
      <c r="T38" s="42"/>
      <c r="U38" s="42"/>
      <c r="V38" s="42"/>
      <c r="W38" s="42"/>
      <c r="X38" s="42"/>
      <c r="Y38" s="42"/>
    </row>
    <row r="39" spans="1:25" ht="20.100000000000001" customHeight="1" x14ac:dyDescent="0.25">
      <c r="A39"/>
      <c r="D39" s="66"/>
      <c r="E39" s="66"/>
      <c r="F39" s="67"/>
      <c r="G39" s="56"/>
      <c r="H39" s="56"/>
      <c r="I39" s="57"/>
      <c r="J39" s="56"/>
      <c r="K39" s="68"/>
      <c r="L39" s="42"/>
      <c r="M39" s="42"/>
      <c r="N39" s="42"/>
      <c r="O39" s="42"/>
      <c r="P39" s="42"/>
      <c r="Q39" s="42"/>
      <c r="R39" s="42"/>
      <c r="S39" s="42"/>
      <c r="T39" s="42"/>
      <c r="U39" s="42"/>
      <c r="V39" s="42"/>
      <c r="W39" s="42"/>
      <c r="X39" s="42"/>
      <c r="Y39" s="42"/>
    </row>
    <row r="40" spans="1:25" ht="20.100000000000001" customHeight="1" x14ac:dyDescent="0.25">
      <c r="A40"/>
      <c r="D40" s="69"/>
      <c r="E40" s="69"/>
      <c r="F40" s="69"/>
      <c r="G40" s="70"/>
      <c r="H40" s="71"/>
      <c r="I40" s="71"/>
      <c r="J40" s="71"/>
      <c r="K40" s="71"/>
      <c r="L40" s="45"/>
      <c r="M40" s="45"/>
      <c r="N40" s="45"/>
      <c r="O40" s="45"/>
      <c r="P40" s="45"/>
      <c r="Q40" s="45"/>
      <c r="R40" s="45"/>
      <c r="S40" s="45"/>
      <c r="T40" s="45"/>
      <c r="U40" s="45"/>
      <c r="V40" s="45"/>
      <c r="W40" s="45"/>
      <c r="X40" s="45"/>
      <c r="Y40" s="4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1"/>
      <c r="E48" s="31"/>
      <c r="F48" s="32"/>
      <c r="G48" s="32"/>
      <c r="H48" s="31"/>
    </row>
    <row r="49" spans="4:8" ht="20.100000000000001" customHeight="1" x14ac:dyDescent="0.25">
      <c r="D49" s="31"/>
      <c r="E49" s="31"/>
      <c r="F49" s="32"/>
      <c r="G49" s="32"/>
      <c r="H49" s="31"/>
    </row>
    <row r="50" spans="4:8" ht="20.100000000000001" customHeight="1" x14ac:dyDescent="0.25">
      <c r="D50" s="31"/>
      <c r="E50" s="31"/>
      <c r="F50" s="32"/>
      <c r="G50" s="32"/>
      <c r="H50" s="31"/>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D54" s="78"/>
      <c r="G54" s="76"/>
    </row>
    <row r="55" spans="4:8" ht="20.100000000000001" customHeight="1" x14ac:dyDescent="0.25">
      <c r="D55" s="78"/>
    </row>
    <row r="56" spans="4:8" ht="20.100000000000001" customHeight="1" x14ac:dyDescent="0.25">
      <c r="D56" s="78"/>
    </row>
    <row r="57" spans="4:8" ht="20.100000000000001" customHeight="1" x14ac:dyDescent="0.2">
      <c r="D57" s="78"/>
      <c r="F57" s="77"/>
    </row>
    <row r="58" spans="4:8" ht="20.100000000000001" customHeight="1" x14ac:dyDescent="0.25">
      <c r="D58" s="78"/>
      <c r="E58" s="78"/>
    </row>
    <row r="59" spans="4:8" ht="20.100000000000001" customHeight="1" x14ac:dyDescent="0.25">
      <c r="D59" s="78"/>
      <c r="E59" s="78"/>
    </row>
    <row r="60" spans="4:8" ht="20.100000000000001" customHeight="1" x14ac:dyDescent="0.25">
      <c r="D60" s="78"/>
      <c r="E60" s="79"/>
    </row>
    <row r="61" spans="4:8" ht="20.100000000000001" customHeight="1" x14ac:dyDescent="0.25">
      <c r="D61" s="78"/>
    </row>
    <row r="62" spans="4:8" ht="20.100000000000001" customHeight="1" x14ac:dyDescent="0.25">
      <c r="D62" s="78"/>
    </row>
    <row r="63" spans="4:8" ht="20.100000000000001" customHeight="1" x14ac:dyDescent="0.25">
      <c r="D63" s="78"/>
    </row>
    <row r="64" spans="4:8" ht="20.100000000000001" customHeight="1" x14ac:dyDescent="0.25">
      <c r="D64" s="78"/>
      <c r="E64" s="78"/>
    </row>
    <row r="65" spans="4:9" ht="20.100000000000001" customHeight="1" x14ac:dyDescent="0.25">
      <c r="D65" s="78"/>
      <c r="E65" s="78"/>
    </row>
    <row r="66" spans="4:9" ht="20.100000000000001" customHeight="1" x14ac:dyDescent="0.25">
      <c r="D66" s="78"/>
      <c r="E66" s="79"/>
    </row>
    <row r="67" spans="4:9" ht="20.100000000000001" customHeight="1" x14ac:dyDescent="0.25"/>
    <row r="68" spans="4:9" ht="20.100000000000001" customHeight="1" x14ac:dyDescent="0.25"/>
    <row r="69" spans="4:9" ht="20.100000000000001" customHeight="1" x14ac:dyDescent="0.25">
      <c r="D69" s="55"/>
      <c r="E69" s="55"/>
      <c r="F69" s="55"/>
      <c r="G69" s="55"/>
      <c r="H69" s="55"/>
      <c r="I69" s="55"/>
    </row>
    <row r="70" spans="4:9" ht="20.100000000000001" customHeight="1" x14ac:dyDescent="0.25">
      <c r="D70" s="55"/>
      <c r="E70" s="55"/>
      <c r="F70" s="55"/>
      <c r="G70" s="55"/>
      <c r="H70" s="55"/>
      <c r="I70" s="55"/>
    </row>
    <row r="71" spans="4:9" ht="20.100000000000001" customHeight="1" x14ac:dyDescent="0.25">
      <c r="D71" s="55"/>
      <c r="E71" s="55"/>
      <c r="F71" s="55"/>
      <c r="G71" s="55"/>
      <c r="H71" s="55"/>
      <c r="I71" s="55"/>
    </row>
    <row r="72" spans="4:9" ht="20.100000000000001" customHeight="1" x14ac:dyDescent="0.25">
      <c r="D72" s="55"/>
      <c r="E72" s="55"/>
      <c r="F72" s="55"/>
      <c r="G72" s="55"/>
      <c r="H72" s="55"/>
      <c r="I72" s="5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S356"/>
  <sheetViews>
    <sheetView showGridLines="0" zoomScale="85" zoomScaleNormal="85" workbookViewId="0"/>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4.7109375" style="1" customWidth="1"/>
    <col min="11" max="12" width="4.7109375" style="51" customWidth="1"/>
    <col min="13" max="18" width="30.7109375" style="51" customWidth="1"/>
    <col min="19" max="19" width="4.7109375" style="51" customWidth="1"/>
  </cols>
  <sheetData>
    <row r="1" spans="1:19" s="63" customFormat="1" ht="30" customHeight="1" x14ac:dyDescent="0.35">
      <c r="A1" s="63" t="e" vm="1">
        <v>#VALUE!</v>
      </c>
      <c r="C1" s="63" t="s">
        <v>105</v>
      </c>
      <c r="K1" s="51"/>
      <c r="L1" s="51"/>
      <c r="M1" s="51"/>
      <c r="N1" s="51"/>
      <c r="O1" s="51"/>
      <c r="P1" s="51"/>
      <c r="Q1" s="51"/>
      <c r="R1" s="51"/>
      <c r="S1" s="51"/>
    </row>
    <row r="2" spans="1:19" s="9" customFormat="1" ht="20.100000000000001" customHeight="1" x14ac:dyDescent="0.25">
      <c r="K2" s="51"/>
      <c r="L2" s="51"/>
      <c r="M2" s="51"/>
      <c r="N2" s="51"/>
      <c r="O2" s="51"/>
      <c r="P2" s="51"/>
      <c r="Q2" s="51"/>
      <c r="R2" s="51"/>
      <c r="S2" s="51"/>
    </row>
    <row r="3" spans="1:19" ht="20.100000000000001" customHeight="1" x14ac:dyDescent="0.25">
      <c r="A3" s="17" t="str">
        <f>HYPERLINK("#'Home'!A1", "Home")</f>
        <v>Home</v>
      </c>
      <c r="C3" s="15"/>
      <c r="D3" s="15"/>
      <c r="E3" s="15"/>
      <c r="F3" s="15"/>
      <c r="G3" s="15"/>
      <c r="H3" s="15"/>
      <c r="I3" s="15"/>
      <c r="J3" s="15"/>
    </row>
    <row r="4" spans="1:19" ht="20.100000000000001" customHeight="1" x14ac:dyDescent="0.25">
      <c r="A4" s="17" t="str">
        <f>HYPERLINK("#'Overview'!A1", "Overview")</f>
        <v>Overview</v>
      </c>
    </row>
    <row r="5" spans="1:19" ht="20.100000000000001" customHeight="1" x14ac:dyDescent="0.25">
      <c r="A5" s="17" t="str">
        <f>HYPERLINK("#'Results'!A1", "Results")</f>
        <v>Results</v>
      </c>
      <c r="E5" s="102" t="s">
        <v>107</v>
      </c>
      <c r="F5" s="102" t="s">
        <v>108</v>
      </c>
      <c r="G5" s="102" t="s">
        <v>109</v>
      </c>
      <c r="H5" s="102" t="s">
        <v>129</v>
      </c>
      <c r="J5" s="3"/>
      <c r="N5" s="7"/>
    </row>
    <row r="6" spans="1:19" ht="20.100000000000001" customHeight="1" x14ac:dyDescent="0.25">
      <c r="A6" s="16"/>
      <c r="D6" s="43" t="str">
        <f>"Average duration of stay between " &amp; TEXT('Input - Site'!$E$12, "dd mmm yy") &amp; " and " &amp; TEXT('Input - Site'!$E$13, "dd mmm yy")</f>
        <v>Average duration of stay between 01 Jan 24 and 31 Dec 24</v>
      </c>
      <c r="E6" s="61">
        <v>365</v>
      </c>
      <c r="F6" s="61">
        <v>365</v>
      </c>
      <c r="G6" s="61">
        <v>365</v>
      </c>
      <c r="H6" s="61">
        <v>365</v>
      </c>
      <c r="I6" s="2" t="s">
        <v>41</v>
      </c>
      <c r="J6" s="3"/>
      <c r="N6" s="7"/>
    </row>
    <row r="7" spans="1:19" ht="20.100000000000001" customHeight="1" x14ac:dyDescent="0.25">
      <c r="A7" s="20" t="s">
        <v>1</v>
      </c>
      <c r="D7" s="43" t="str">
        <f>"Average number of head between " &amp; TEXT('Input - Site'!$E$12, "dd mmm yy") &amp; " and " &amp; TEXT('Input - Site'!$E$13, "dd mmm yy")</f>
        <v>Average number of head between 01 Jan 24 and 31 Dec 24</v>
      </c>
      <c r="E7" s="61">
        <v>100</v>
      </c>
      <c r="F7" s="61">
        <v>100</v>
      </c>
      <c r="G7" s="61">
        <v>100</v>
      </c>
      <c r="H7" s="61">
        <v>100</v>
      </c>
      <c r="I7" s="2" t="s">
        <v>74</v>
      </c>
      <c r="J7" s="3"/>
      <c r="N7" s="7"/>
    </row>
    <row r="8" spans="1:19" ht="20.100000000000001" customHeight="1" x14ac:dyDescent="0.25">
      <c r="A8" s="17" t="str">
        <f>HYPERLINK("#'Input - Site'!A1", "Site")</f>
        <v>Site</v>
      </c>
      <c r="J8" s="3"/>
      <c r="N8" s="7"/>
    </row>
    <row r="9" spans="1:19" ht="20.100000000000001" customHeight="1" x14ac:dyDescent="0.25">
      <c r="A9" s="123" t="str">
        <f>HYPERLINK("#'Input - Swine'!A1", "Swine")</f>
        <v>Swine</v>
      </c>
      <c r="D9" s="6" t="s">
        <v>155</v>
      </c>
      <c r="N9" s="7"/>
    </row>
    <row r="10" spans="1:19" ht="20.100000000000001" customHeight="1" x14ac:dyDescent="0.25">
      <c r="A10" s="17"/>
      <c r="N10" s="7"/>
    </row>
    <row r="11" spans="1:19" ht="20.100000000000001" customHeight="1" x14ac:dyDescent="0.25">
      <c r="A11" s="19" t="s">
        <v>55</v>
      </c>
      <c r="D11" s="58" t="s">
        <v>127</v>
      </c>
      <c r="E11" s="102" t="s">
        <v>107</v>
      </c>
      <c r="F11" s="102" t="s">
        <v>108</v>
      </c>
      <c r="G11" s="102" t="s">
        <v>109</v>
      </c>
      <c r="H11" s="102" t="s">
        <v>129</v>
      </c>
      <c r="N11" s="7"/>
    </row>
    <row r="12" spans="1:19" ht="20.100000000000001" customHeight="1" x14ac:dyDescent="0.25">
      <c r="A12" s="17" t="str">
        <f>HYPERLINK("#'3.5.1.1-2 Enteric Methane'!A1", "3.5.1.1-2 Enteric Methane")</f>
        <v>3.5.1.1-2 Enteric Methane</v>
      </c>
      <c r="D12" s="1" t="s">
        <v>110</v>
      </c>
      <c r="E12" s="47" cm="1">
        <f t="array" ref="E12">Common_InputFunctions.Utility_LookupValueInTableNumber(E11, Table_SourceData_Swine_FeedIntake[Class],Table_SourceData_Swine_FeedIntake[Ij])</f>
        <v>2.62</v>
      </c>
      <c r="F12" s="47" cm="1">
        <f t="array" ref="F12">Common_InputFunctions.Utility_LookupValueInTableNumber(F11, Table_SourceData_Swine_FeedIntake[Class],Table_SourceData_Swine_FeedIntake[Ij])</f>
        <v>2.2999999999999998</v>
      </c>
      <c r="G12" s="47" cm="1">
        <f t="array" ref="G12">Common_InputFunctions.Utility_LookupValueInTableNumber(G11, Table_SourceData_Swine_FeedIntake[Class],Table_SourceData_Swine_FeedIntake[Ij])</f>
        <v>2.5</v>
      </c>
      <c r="H12" s="47" cm="1">
        <f t="array" ref="H12">Common_InputFunctions.Utility_LookupValueInTableNumber(H11, Table_SourceData_Swine_FeedIntake[Class],Table_SourceData_Swine_FeedIntake[Ij])</f>
        <v>1.71</v>
      </c>
      <c r="I12" s="2" t="s">
        <v>93</v>
      </c>
      <c r="N12" s="7"/>
    </row>
    <row r="13" spans="1:19" ht="20.100000000000001" customHeight="1" x14ac:dyDescent="0.25">
      <c r="N13" s="35"/>
    </row>
    <row r="14" spans="1:19" ht="20.100000000000001" customHeight="1" x14ac:dyDescent="0.25">
      <c r="A14" s="18" t="s">
        <v>2</v>
      </c>
      <c r="D14" s="58" t="s">
        <v>128</v>
      </c>
      <c r="E14" s="102" t="s">
        <v>107</v>
      </c>
      <c r="F14" s="102" t="s">
        <v>108</v>
      </c>
      <c r="G14" s="102" t="s">
        <v>109</v>
      </c>
      <c r="H14" s="102" t="s">
        <v>129</v>
      </c>
      <c r="N14" s="35"/>
    </row>
    <row r="15" spans="1:19" ht="20.100000000000001" customHeight="1" x14ac:dyDescent="0.25">
      <c r="A15" s="17" t="str">
        <f>HYPERLINK("#'Constants - Swine'!A1", "Constants - Swine")</f>
        <v>Constants - Swine</v>
      </c>
      <c r="D15" s="1" t="s">
        <v>110</v>
      </c>
      <c r="E15" s="61" cm="1">
        <f t="array" ref="E15">Common_InputFunctions.Utility_LookupValueInTableNumber(E14, Table_SourceData_Swine_FeedIntake[Class],Table_SourceData_Swine_FeedIntake[Ij])</f>
        <v>2.62</v>
      </c>
      <c r="F15" s="61" cm="1">
        <f t="array" ref="F15">Common_InputFunctions.Utility_LookupValueInTableNumber(F14, Table_SourceData_Swine_FeedIntake[Class],Table_SourceData_Swine_FeedIntake[Ij])</f>
        <v>2.2999999999999998</v>
      </c>
      <c r="G15" s="61" cm="1">
        <f t="array" ref="G15">Common_InputFunctions.Utility_LookupValueInTableNumber(G14, Table_SourceData_Swine_FeedIntake[Class],Table_SourceData_Swine_FeedIntake[Ij])</f>
        <v>2.5</v>
      </c>
      <c r="H15" s="61" cm="1">
        <f t="array" ref="H15">Common_InputFunctions.Utility_LookupValueInTableNumber(H14, Table_SourceData_Swine_FeedIntake[Class],Table_SourceData_Swine_FeedIntake[Ij])</f>
        <v>1.71</v>
      </c>
      <c r="I15" s="2" t="s">
        <v>93</v>
      </c>
      <c r="N15" s="35"/>
    </row>
    <row r="16" spans="1:19" ht="20.100000000000001" customHeight="1" x14ac:dyDescent="0.25">
      <c r="A16" s="17" t="str">
        <f>HYPERLINK("#'Constants - Livestock'!A1", "Constants - Livestock")</f>
        <v>Constants - Livestock</v>
      </c>
      <c r="N16" s="35"/>
    </row>
    <row r="17" spans="1:14" ht="20.100000000000001" customHeight="1" x14ac:dyDescent="0.25">
      <c r="A17" s="17" t="str">
        <f>HYPERLINK("#'Constants - Common'!A1", "Constants - Common")</f>
        <v>Constants - Common</v>
      </c>
      <c r="N17" s="7"/>
    </row>
    <row r="18" spans="1:14" ht="20.100000000000001" customHeight="1" x14ac:dyDescent="0.25">
      <c r="A18" s="17" t="str">
        <f>HYPERLINK("#'Acknowledgements'!A1", "Acknowledgements")</f>
        <v>Acknowledgements</v>
      </c>
      <c r="N18" s="7"/>
    </row>
    <row r="19" spans="1:14" ht="20.100000000000001" customHeight="1" x14ac:dyDescent="0.25">
      <c r="N19" s="7"/>
    </row>
    <row r="20" spans="1:14" ht="20.100000000000001" customHeight="1" x14ac:dyDescent="0.25">
      <c r="A20" s="17"/>
      <c r="N20" s="7"/>
    </row>
    <row r="21" spans="1:14" ht="20.100000000000001" customHeight="1" x14ac:dyDescent="0.25">
      <c r="N21" s="7"/>
    </row>
    <row r="22" spans="1:14" ht="20.100000000000001" customHeight="1" x14ac:dyDescent="0.25">
      <c r="N22" s="7"/>
    </row>
    <row r="23" spans="1:14" ht="20.100000000000001" customHeight="1" x14ac:dyDescent="0.25">
      <c r="N23" s="7"/>
    </row>
    <row r="24" spans="1:14" ht="20.100000000000001" customHeight="1" x14ac:dyDescent="0.25">
      <c r="N24" s="7"/>
    </row>
    <row r="25" spans="1:14" ht="20.100000000000001" customHeight="1" x14ac:dyDescent="0.25">
      <c r="N25" s="7"/>
    </row>
    <row r="26" spans="1:14" ht="20.100000000000001" customHeight="1" x14ac:dyDescent="0.25">
      <c r="A26" s="17"/>
      <c r="N26" s="7"/>
    </row>
    <row r="27" spans="1:14" ht="20.100000000000001" customHeight="1" x14ac:dyDescent="0.25">
      <c r="A27" s="17"/>
      <c r="N27" s="7"/>
    </row>
    <row r="28" spans="1:14" ht="20.100000000000001" customHeight="1" x14ac:dyDescent="0.25">
      <c r="A28" s="17"/>
      <c r="N28" s="7"/>
    </row>
    <row r="29" spans="1:14" ht="20.100000000000001" customHeight="1" x14ac:dyDescent="0.25">
      <c r="A29" s="17"/>
      <c r="N29" s="7"/>
    </row>
    <row r="30" spans="1:14" ht="20.100000000000001" customHeight="1" x14ac:dyDescent="0.25">
      <c r="A30" s="17"/>
      <c r="N30" s="7"/>
    </row>
    <row r="31" spans="1:14" ht="20.100000000000001" customHeight="1" x14ac:dyDescent="0.25">
      <c r="A31" s="62"/>
      <c r="N31" s="7"/>
    </row>
    <row r="32" spans="1:14" ht="20.100000000000001" customHeight="1" x14ac:dyDescent="0.25">
      <c r="A32" s="62"/>
      <c r="N32" s="7"/>
    </row>
    <row r="33" spans="1:14" ht="20.100000000000001" customHeight="1" x14ac:dyDescent="0.25">
      <c r="A33" s="17"/>
      <c r="N33" s="7"/>
    </row>
    <row r="34" spans="1:14" ht="20.100000000000001" customHeight="1" x14ac:dyDescent="0.25">
      <c r="N34" s="7"/>
    </row>
    <row r="35" spans="1:14" ht="20.100000000000001" customHeight="1" x14ac:dyDescent="0.25">
      <c r="N35" s="7"/>
    </row>
    <row r="36" spans="1:14" ht="20.100000000000001" customHeight="1" x14ac:dyDescent="0.25">
      <c r="N36" s="7"/>
    </row>
    <row r="37" spans="1:14" ht="20.100000000000001" customHeight="1" x14ac:dyDescent="0.25">
      <c r="N37" s="7"/>
    </row>
    <row r="38" spans="1:14" ht="20.100000000000001" customHeight="1" x14ac:dyDescent="0.25">
      <c r="N38" s="7"/>
    </row>
    <row r="39" spans="1:14" ht="20.100000000000001" customHeight="1" x14ac:dyDescent="0.25">
      <c r="A39" s="17"/>
      <c r="N39" s="7"/>
    </row>
    <row r="40" spans="1:14" ht="20.100000000000001" customHeight="1" x14ac:dyDescent="0.25">
      <c r="N40" s="7"/>
    </row>
    <row r="41" spans="1:14" ht="20.100000000000001" customHeight="1" x14ac:dyDescent="0.25">
      <c r="A41" s="40"/>
      <c r="N41" s="7"/>
    </row>
    <row r="42" spans="1:14" ht="20.100000000000001" customHeight="1" x14ac:dyDescent="0.25">
      <c r="N42" s="7"/>
    </row>
    <row r="43" spans="1:14" ht="20.100000000000001" customHeight="1" x14ac:dyDescent="0.25">
      <c r="N43" s="7"/>
    </row>
    <row r="44" spans="1:14" ht="20.100000000000001" customHeight="1" x14ac:dyDescent="0.25">
      <c r="N44" s="7"/>
    </row>
    <row r="45" spans="1:14" ht="20.100000000000001" customHeight="1" x14ac:dyDescent="0.25">
      <c r="N45" s="7"/>
    </row>
    <row r="46" spans="1:14" ht="20.100000000000001" customHeight="1" x14ac:dyDescent="0.25">
      <c r="A46" s="118" t="str">
        <f>HYPERLINK("#A1", "▲ Back to top")</f>
        <v>▲ Back to top</v>
      </c>
      <c r="N46" s="7"/>
    </row>
    <row r="47" spans="1:14" ht="20.100000000000001" customHeight="1" x14ac:dyDescent="0.25">
      <c r="N47" s="7"/>
    </row>
    <row r="48" spans="1:14" ht="20.100000000000001" customHeight="1" x14ac:dyDescent="0.25">
      <c r="N48" s="7"/>
    </row>
    <row r="49" spans="14:14" ht="20.100000000000001" customHeight="1" x14ac:dyDescent="0.25">
      <c r="N49" s="7"/>
    </row>
    <row r="50" spans="14:14" ht="20.100000000000001" customHeight="1" x14ac:dyDescent="0.25">
      <c r="N50" s="7"/>
    </row>
    <row r="51" spans="14:14" ht="20.100000000000001" customHeight="1" x14ac:dyDescent="0.25">
      <c r="N51" s="7"/>
    </row>
    <row r="52" spans="14:14" ht="20.100000000000001" customHeight="1" x14ac:dyDescent="0.25">
      <c r="N52" s="7"/>
    </row>
    <row r="53" spans="14:14" ht="20.100000000000001" customHeight="1" x14ac:dyDescent="0.25">
      <c r="N53" s="7"/>
    </row>
    <row r="54" spans="14:14" ht="20.100000000000001" customHeight="1" x14ac:dyDescent="0.25">
      <c r="N54" s="7"/>
    </row>
    <row r="55" spans="14:14" ht="20.100000000000001" customHeight="1" x14ac:dyDescent="0.25">
      <c r="N55" s="7"/>
    </row>
    <row r="56" spans="14:14" ht="20.100000000000001" customHeight="1" x14ac:dyDescent="0.25">
      <c r="N56" s="7"/>
    </row>
    <row r="57" spans="14:14" ht="20.100000000000001" customHeight="1" x14ac:dyDescent="0.25">
      <c r="N57" s="7"/>
    </row>
    <row r="58" spans="14:14" ht="20.100000000000001" customHeight="1" x14ac:dyDescent="0.25">
      <c r="N58" s="7"/>
    </row>
    <row r="59" spans="14:14" ht="20.100000000000001" customHeight="1" x14ac:dyDescent="0.25">
      <c r="N59" s="7"/>
    </row>
    <row r="60" spans="14:14" ht="20.100000000000001" customHeight="1" x14ac:dyDescent="0.25">
      <c r="N60" s="7"/>
    </row>
    <row r="61" spans="14:14" ht="20.100000000000001" customHeight="1" x14ac:dyDescent="0.25">
      <c r="N61" s="7"/>
    </row>
    <row r="62" spans="14:14" ht="20.100000000000001" customHeight="1" x14ac:dyDescent="0.25">
      <c r="N62" s="7"/>
    </row>
    <row r="63" spans="14:14" ht="20.100000000000001" customHeight="1" x14ac:dyDescent="0.25">
      <c r="N63" s="7"/>
    </row>
    <row r="64" spans="14:14" ht="20.100000000000001" customHeight="1" x14ac:dyDescent="0.25">
      <c r="N64" s="7"/>
    </row>
    <row r="65" spans="14:14" ht="20.100000000000001" customHeight="1" x14ac:dyDescent="0.25">
      <c r="N65" s="7"/>
    </row>
    <row r="66" spans="14:14" ht="20.100000000000001" customHeight="1" x14ac:dyDescent="0.25">
      <c r="N66" s="7"/>
    </row>
    <row r="67" spans="14:14" ht="20.100000000000001" customHeight="1" x14ac:dyDescent="0.25">
      <c r="N67" s="7"/>
    </row>
    <row r="68" spans="14:14" ht="20.100000000000001" customHeight="1" x14ac:dyDescent="0.25">
      <c r="N68" s="7"/>
    </row>
    <row r="69" spans="14:14" ht="20.100000000000001" customHeight="1" x14ac:dyDescent="0.25">
      <c r="N69" s="7"/>
    </row>
    <row r="70" spans="14:14" ht="20.100000000000001" customHeight="1" x14ac:dyDescent="0.25">
      <c r="N70" s="7"/>
    </row>
    <row r="71" spans="14:14" ht="20.100000000000001" customHeight="1" x14ac:dyDescent="0.25">
      <c r="N71" s="7"/>
    </row>
    <row r="72" spans="14:14" ht="20.100000000000001" customHeight="1" x14ac:dyDescent="0.25">
      <c r="N72" s="7"/>
    </row>
    <row r="73" spans="14:14" ht="20.100000000000001" customHeight="1" x14ac:dyDescent="0.25">
      <c r="N73" s="7"/>
    </row>
    <row r="74" spans="14:14" ht="20.100000000000001" customHeight="1" x14ac:dyDescent="0.25">
      <c r="N74" s="7"/>
    </row>
    <row r="75" spans="14:14" ht="20.100000000000001" customHeight="1" x14ac:dyDescent="0.25">
      <c r="N75" s="7"/>
    </row>
    <row r="76" spans="14:14" ht="20.100000000000001" customHeight="1" x14ac:dyDescent="0.25">
      <c r="N76" s="7"/>
    </row>
    <row r="77" spans="14:14" ht="20.100000000000001" customHeight="1" x14ac:dyDescent="0.25">
      <c r="N77" s="7"/>
    </row>
    <row r="78" spans="14:14" ht="20.100000000000001" customHeight="1" x14ac:dyDescent="0.25">
      <c r="N78" s="7"/>
    </row>
    <row r="79" spans="14:14" ht="20.100000000000001" customHeight="1" x14ac:dyDescent="0.25">
      <c r="N79" s="7"/>
    </row>
    <row r="80" spans="14:14" ht="20.100000000000001" customHeight="1" x14ac:dyDescent="0.25">
      <c r="N80" s="7"/>
    </row>
    <row r="81" spans="1:14" ht="20.100000000000001" customHeight="1" x14ac:dyDescent="0.25">
      <c r="N81" s="7"/>
    </row>
    <row r="82" spans="1:14" ht="20.100000000000001" customHeight="1" x14ac:dyDescent="0.25">
      <c r="N82" s="7"/>
    </row>
    <row r="83" spans="1:14" ht="20.100000000000001" customHeight="1" x14ac:dyDescent="0.25">
      <c r="N83" s="7"/>
    </row>
    <row r="84" spans="1:14" ht="20.100000000000001" customHeight="1" x14ac:dyDescent="0.25">
      <c r="N84" s="7"/>
    </row>
    <row r="85" spans="1:14" ht="20.100000000000001" customHeight="1" x14ac:dyDescent="0.25">
      <c r="N85" s="7"/>
    </row>
    <row r="86" spans="1:14" ht="20.100000000000001" customHeight="1" x14ac:dyDescent="0.25">
      <c r="N86" s="7"/>
    </row>
    <row r="87" spans="1:14" ht="20.100000000000001" customHeight="1" x14ac:dyDescent="0.25">
      <c r="N87" s="7"/>
    </row>
    <row r="88" spans="1:14" ht="20.100000000000001" customHeight="1" x14ac:dyDescent="0.25">
      <c r="N88" s="7"/>
    </row>
    <row r="89" spans="1:14" ht="20.100000000000001" customHeight="1" x14ac:dyDescent="0.25">
      <c r="N89" s="7"/>
    </row>
    <row r="90" spans="1:14" ht="20.100000000000001" customHeight="1" x14ac:dyDescent="0.25">
      <c r="N90" s="7"/>
    </row>
    <row r="91" spans="1:14" ht="20.100000000000001" customHeight="1" x14ac:dyDescent="0.25">
      <c r="N91" s="7"/>
    </row>
    <row r="92" spans="1:14" ht="20.100000000000001" customHeight="1" x14ac:dyDescent="0.25">
      <c r="A92" s="118" t="str">
        <f>HYPERLINK("#A1", "▲ Back to top")</f>
        <v>▲ Back to top</v>
      </c>
      <c r="N92" s="7"/>
    </row>
    <row r="93" spans="1:14" ht="20.100000000000001" customHeight="1" x14ac:dyDescent="0.25">
      <c r="N93" s="7"/>
    </row>
    <row r="94" spans="1:14" ht="20.100000000000001" customHeight="1" x14ac:dyDescent="0.25">
      <c r="N94" s="7"/>
    </row>
    <row r="95" spans="1:14" ht="20.100000000000001" customHeight="1" x14ac:dyDescent="0.25">
      <c r="N95" s="7"/>
    </row>
    <row r="96" spans="1:14" ht="20.100000000000001" customHeight="1" x14ac:dyDescent="0.25">
      <c r="N96" s="7"/>
    </row>
    <row r="97" spans="10:14" ht="20.100000000000001" customHeight="1" x14ac:dyDescent="0.25">
      <c r="N97" s="7"/>
    </row>
    <row r="98" spans="10:14" ht="20.100000000000001" customHeight="1" x14ac:dyDescent="0.25">
      <c r="N98" s="7"/>
    </row>
    <row r="99" spans="10:14" ht="20.100000000000001" customHeight="1" x14ac:dyDescent="0.25">
      <c r="N99" s="7"/>
    </row>
    <row r="100" spans="10:14" ht="20.100000000000001" customHeight="1" x14ac:dyDescent="0.25">
      <c r="N100" s="7"/>
    </row>
    <row r="101" spans="10:14" ht="20.100000000000001" customHeight="1" x14ac:dyDescent="0.25">
      <c r="N101" s="7"/>
    </row>
    <row r="102" spans="10:14" ht="20.100000000000001" customHeight="1" x14ac:dyDescent="0.25">
      <c r="N102" s="7"/>
    </row>
    <row r="103" spans="10:14" ht="20.100000000000001" customHeight="1" x14ac:dyDescent="0.25">
      <c r="N103" s="7"/>
    </row>
    <row r="104" spans="10:14" ht="20.100000000000001" customHeight="1" x14ac:dyDescent="0.25">
      <c r="N104" s="7"/>
    </row>
    <row r="105" spans="10:14" ht="20.100000000000001" customHeight="1" x14ac:dyDescent="0.25">
      <c r="N105" s="7"/>
    </row>
    <row r="106" spans="10:14" ht="20.100000000000001" customHeight="1" x14ac:dyDescent="0.25">
      <c r="N106" s="7"/>
    </row>
    <row r="107" spans="10:14" ht="20.100000000000001" customHeight="1" x14ac:dyDescent="0.25"/>
    <row r="108" spans="10:14" ht="20.100000000000001" customHeight="1" x14ac:dyDescent="0.25">
      <c r="J108" s="3"/>
    </row>
    <row r="109" spans="10:14" ht="20.100000000000001" customHeight="1" x14ac:dyDescent="0.25">
      <c r="J109" s="3"/>
    </row>
    <row r="110" spans="10:14" ht="20.100000000000001" customHeight="1" x14ac:dyDescent="0.25">
      <c r="J110" s="3"/>
    </row>
    <row r="111" spans="10:14" ht="20.100000000000001" customHeight="1" x14ac:dyDescent="0.25">
      <c r="J111" s="3"/>
    </row>
    <row r="112" spans="10:14" ht="20.100000000000001" customHeight="1" x14ac:dyDescent="0.25">
      <c r="J112" s="3"/>
    </row>
    <row r="113" spans="10:10" ht="20.100000000000001" customHeight="1" x14ac:dyDescent="0.25">
      <c r="J113" s="3"/>
    </row>
    <row r="114" spans="10:10" ht="20.100000000000001" customHeight="1" x14ac:dyDescent="0.25">
      <c r="J114" s="3"/>
    </row>
    <row r="115" spans="10:10" ht="20.100000000000001" customHeight="1" x14ac:dyDescent="0.25">
      <c r="J115" s="3"/>
    </row>
    <row r="116" spans="10:10" ht="20.100000000000001" customHeight="1" x14ac:dyDescent="0.25">
      <c r="J116" s="3"/>
    </row>
    <row r="117" spans="10:10" ht="20.100000000000001" customHeight="1" x14ac:dyDescent="0.25">
      <c r="J117" s="3"/>
    </row>
    <row r="118" spans="10:10" ht="20.100000000000001" customHeight="1" x14ac:dyDescent="0.25">
      <c r="J118" s="3"/>
    </row>
    <row r="119" spans="10:10" ht="20.100000000000001" customHeight="1" x14ac:dyDescent="0.25">
      <c r="J119" s="3"/>
    </row>
    <row r="120" spans="10:10" ht="20.100000000000001" customHeight="1" x14ac:dyDescent="0.25">
      <c r="J120" s="3"/>
    </row>
    <row r="121" spans="10:10" ht="20.100000000000001" customHeight="1" x14ac:dyDescent="0.25">
      <c r="J121" s="3"/>
    </row>
    <row r="122" spans="10:10" ht="20.100000000000001" customHeight="1" x14ac:dyDescent="0.25">
      <c r="J122" s="3"/>
    </row>
    <row r="123" spans="10:10" ht="20.100000000000001" customHeight="1" x14ac:dyDescent="0.25">
      <c r="J123" s="3"/>
    </row>
    <row r="124" spans="10:10" ht="20.100000000000001" customHeight="1" x14ac:dyDescent="0.25">
      <c r="J124" s="3"/>
    </row>
    <row r="125" spans="10:10" ht="20.100000000000001" customHeight="1" x14ac:dyDescent="0.25">
      <c r="J125" s="3"/>
    </row>
    <row r="126" spans="10:10" ht="20.100000000000001" customHeight="1" x14ac:dyDescent="0.25">
      <c r="J126" s="3"/>
    </row>
    <row r="127" spans="10:10" ht="20.100000000000001" customHeight="1" x14ac:dyDescent="0.25">
      <c r="J127" s="3"/>
    </row>
    <row r="128" spans="10:10" ht="20.100000000000001" customHeight="1" x14ac:dyDescent="0.25">
      <c r="J128" s="3"/>
    </row>
    <row r="129" spans="10:10" ht="20.100000000000001" customHeight="1" x14ac:dyDescent="0.25">
      <c r="J129" s="3"/>
    </row>
    <row r="130" spans="10:10" ht="20.100000000000001" customHeight="1" x14ac:dyDescent="0.25"/>
    <row r="131" spans="10:10" ht="20.100000000000001" customHeight="1" x14ac:dyDescent="0.25"/>
    <row r="132" spans="10:10" ht="20.100000000000001" customHeight="1" x14ac:dyDescent="0.25"/>
    <row r="133" spans="10:10" ht="20.100000000000001" customHeight="1" x14ac:dyDescent="0.25"/>
    <row r="134" spans="10:10" ht="20.100000000000001" customHeight="1" x14ac:dyDescent="0.25"/>
    <row r="135" spans="10:10" ht="20.100000000000001" customHeight="1" x14ac:dyDescent="0.25"/>
    <row r="136" spans="10:10" ht="20.100000000000001" customHeight="1" x14ac:dyDescent="0.25"/>
    <row r="137" spans="10:10" ht="20.100000000000001" customHeight="1" x14ac:dyDescent="0.25"/>
    <row r="138" spans="10:10" ht="20.100000000000001" customHeight="1" x14ac:dyDescent="0.25"/>
    <row r="139" spans="10:10" ht="20.100000000000001" customHeight="1" x14ac:dyDescent="0.25"/>
    <row r="140" spans="10:10" ht="20.100000000000001" customHeight="1" x14ac:dyDescent="0.25"/>
    <row r="141" spans="10:10" ht="20.100000000000001" customHeight="1" x14ac:dyDescent="0.25"/>
    <row r="142" spans="10:10" ht="20.100000000000001" customHeight="1" x14ac:dyDescent="0.25"/>
    <row r="143" spans="10:10" ht="20.100000000000001" customHeight="1" x14ac:dyDescent="0.25"/>
    <row r="144" spans="10:10"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6" spans="4:4" x14ac:dyDescent="0.25">
      <c r="D356" s="94"/>
    </row>
  </sheetData>
  <conditionalFormatting sqref="E205:G205">
    <cfRule type="cellIs" dxfId="21" priority="79" operator="lessThan">
      <formula>0</formula>
    </cfRule>
  </conditionalFormatting>
  <conditionalFormatting sqref="F40:F41">
    <cfRule type="cellIs" dxfId="20" priority="69" operator="lessThan">
      <formula>0</formula>
    </cfRule>
  </conditionalFormatting>
  <conditionalFormatting sqref="F44">
    <cfRule type="cellIs" dxfId="19" priority="68" operator="lessThan">
      <formula>0</formula>
    </cfRule>
  </conditionalFormatting>
  <conditionalFormatting sqref="F53">
    <cfRule type="cellIs" dxfId="18" priority="62" operator="lessThan">
      <formula>0</formula>
    </cfRule>
  </conditionalFormatting>
  <conditionalFormatting sqref="F121:F122">
    <cfRule type="cellIs" dxfId="17" priority="21" operator="lessThan">
      <formula>0</formula>
    </cfRule>
  </conditionalFormatting>
  <conditionalFormatting sqref="F133:F134">
    <cfRule type="cellIs" dxfId="16" priority="20" operator="lessThan">
      <formula>0</formula>
    </cfRule>
  </conditionalFormatting>
  <conditionalFormatting sqref="F145:F146">
    <cfRule type="cellIs" dxfId="15" priority="19" operator="lessThan">
      <formula>0</formula>
    </cfRule>
  </conditionalFormatting>
  <conditionalFormatting sqref="F157:F158">
    <cfRule type="cellIs" dxfId="14" priority="18" operator="lessThan">
      <formula>0</formula>
    </cfRule>
  </conditionalFormatting>
  <conditionalFormatting sqref="F245:F246">
    <cfRule type="cellIs" dxfId="13" priority="93" operator="lessThan">
      <formula>0</formula>
    </cfRule>
  </conditionalFormatting>
  <conditionalFormatting sqref="F250:F251">
    <cfRule type="cellIs" dxfId="12" priority="92" operator="lessThan">
      <formula>0</formula>
    </cfRule>
  </conditionalFormatting>
  <conditionalFormatting sqref="F255:F256">
    <cfRule type="cellIs" dxfId="11" priority="91" operator="lessThan">
      <formula>0</formula>
    </cfRule>
  </conditionalFormatting>
  <conditionalFormatting sqref="F279:F280">
    <cfRule type="cellIs" dxfId="10" priority="85" operator="lessThan">
      <formula>0</formula>
    </cfRule>
  </conditionalFormatting>
  <conditionalFormatting sqref="F284:F285">
    <cfRule type="cellIs" dxfId="9" priority="84" operator="lessThan">
      <formula>0</formula>
    </cfRule>
  </conditionalFormatting>
  <conditionalFormatting sqref="F289:F290">
    <cfRule type="cellIs" dxfId="8" priority="83" operator="lessThan">
      <formula>0</formula>
    </cfRule>
  </conditionalFormatting>
  <conditionalFormatting sqref="I29:I34">
    <cfRule type="cellIs" dxfId="7" priority="55" operator="lessThan">
      <formula>0</formula>
    </cfRule>
  </conditionalFormatting>
  <conditionalFormatting sqref="I55:I59">
    <cfRule type="cellIs" dxfId="6" priority="6" operator="lessThan">
      <formula>0</formula>
    </cfRule>
  </conditionalFormatting>
  <conditionalFormatting sqref="I63:I66">
    <cfRule type="cellIs" dxfId="5" priority="5" operator="lessThan">
      <formula>0</formula>
    </cfRule>
  </conditionalFormatting>
  <conditionalFormatting sqref="I70:I73">
    <cfRule type="cellIs" dxfId="4" priority="4" operator="lessThan">
      <formula>0</formula>
    </cfRule>
  </conditionalFormatting>
  <conditionalFormatting sqref="I77:I80">
    <cfRule type="cellIs" dxfId="3" priority="3" operator="lessThan">
      <formula>0</formula>
    </cfRule>
  </conditionalFormatting>
  <conditionalFormatting sqref="I84:I88">
    <cfRule type="cellIs" dxfId="2" priority="1" operator="lessThan">
      <formula>0</formula>
    </cfRule>
  </conditionalFormatting>
  <conditionalFormatting sqref="K43:L43 I48:I51 J101 I119 I199 I205">
    <cfRule type="cellIs" dxfId="1"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A5" zoomScale="85" zoomScaleNormal="85" workbookViewId="0">
      <selection activeCell="A15" sqref="A1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8" customFormat="1" ht="30" customHeight="1" x14ac:dyDescent="0.35">
      <c r="A1" s="63" t="e" vm="1">
        <v>#VALUE!</v>
      </c>
      <c r="C1" s="8" t="s">
        <v>160</v>
      </c>
    </row>
    <row r="2" spans="1:18" s="9" customFormat="1" ht="20.100000000000001" customHeight="1" x14ac:dyDescent="0.25"/>
    <row r="3" spans="1:18" ht="20.100000000000001" customHeight="1" x14ac:dyDescent="0.25">
      <c r="A3" s="17" t="str">
        <f>HYPERLINK("#'Home'!A1", "Home")</f>
        <v>Home</v>
      </c>
      <c r="C3" s="4"/>
      <c r="D3" s="4" t="s">
        <v>75</v>
      </c>
      <c r="E3" s="4"/>
      <c r="F3" s="4"/>
      <c r="G3" s="4"/>
      <c r="H3" s="4"/>
      <c r="I3" s="4"/>
      <c r="J3" s="4"/>
      <c r="L3" s="4"/>
      <c r="M3" s="4" t="s">
        <v>76</v>
      </c>
      <c r="N3" s="4"/>
      <c r="O3" s="4"/>
      <c r="P3" s="4"/>
      <c r="Q3" s="4"/>
      <c r="R3" s="4"/>
    </row>
    <row r="4" spans="1:18" ht="20.100000000000001" customHeight="1" x14ac:dyDescent="0.25">
      <c r="A4" s="17" t="str">
        <f>HYPERLINK("#'Overview'!A1", "Overview")</f>
        <v>Overview</v>
      </c>
    </row>
    <row r="5" spans="1:18" ht="20.100000000000001" customHeight="1" x14ac:dyDescent="0.25">
      <c r="A5" s="17" t="str">
        <f>HYPERLINK("#'Results'!A1", "Results")</f>
        <v>Results</v>
      </c>
      <c r="D5" s="6" t="str" cm="1">
        <f t="array" ref="D5">EntericMethane_Swine_Equations.VEERG_3_5_1_1__2_DailyEntericMethaneProduction_Title()</f>
        <v>Total daily production of enteric methane of swine</v>
      </c>
    </row>
    <row r="6" spans="1:18" ht="20.100000000000001" customHeight="1" x14ac:dyDescent="0.25">
      <c r="A6" s="16"/>
      <c r="D6" s="5" t="str" cm="1">
        <f t="array" ref="D6">EntericMethane_Swine_Equations.VEERG_3_5_1_1__2_DailyEntericMethaneProduction_Source()</f>
        <v>VEERG 2026: 3.5.1.1, Equation (2)</v>
      </c>
    </row>
    <row r="7" spans="1:18" ht="20.100000000000001" customHeight="1" x14ac:dyDescent="0.25">
      <c r="A7" s="20" t="s">
        <v>1</v>
      </c>
      <c r="D7" s="13" t="s">
        <v>15</v>
      </c>
      <c r="E7" s="13" t="str" cm="1">
        <f t="array" aca="1" ref="E7" ca="1">Common_InputFunctions.Utility_DisplayFunctionName(D26)</f>
        <v>=EntericMethane_Swine_Equations.VEERG_3_5_1_1__2_DailyEntericMethaneProduction</v>
      </c>
    </row>
    <row r="8" spans="1:18" ht="20.100000000000001" customHeight="1" x14ac:dyDescent="0.25">
      <c r="A8" s="17" t="str">
        <f>HYPERLINK("#'Input - Site'!A1", "Site")</f>
        <v>Site</v>
      </c>
      <c r="D8" s="50"/>
    </row>
    <row r="9" spans="1:18" ht="20.100000000000001" customHeight="1" x14ac:dyDescent="0.25">
      <c r="A9" s="17" t="str">
        <f>HYPERLINK("#'Input - Swine'!A1", "Swine")</f>
        <v>Swine</v>
      </c>
    </row>
    <row r="10" spans="1:18" ht="20.100000000000001" customHeight="1" x14ac:dyDescent="0.25">
      <c r="A10" s="17"/>
      <c r="D10" s="48" t="s">
        <v>18</v>
      </c>
      <c r="E10" s="1" t="str" cm="1">
        <f t="array" ref="E10">EntericMethane_Swine_Equations.VEERG_3_5_1_1__2_DailyEntericMethaneProduction_Variable()</f>
        <v>M_j</v>
      </c>
    </row>
    <row r="11" spans="1:18" ht="20.100000000000001" customHeight="1" x14ac:dyDescent="0.25">
      <c r="A11" s="19" t="s">
        <v>55</v>
      </c>
      <c r="D11" s="48" t="s">
        <v>9</v>
      </c>
      <c r="E11" s="49" t="str" cm="1">
        <f t="array" ref="E11">EntericMethane_Swine_Equations.VEERG_3_5_1_1__2_DailyEntericMethaneProduction_Unit()</f>
        <v>kg CH4/head/day</v>
      </c>
    </row>
    <row r="12" spans="1:18" ht="20.100000000000001" customHeight="1" x14ac:dyDescent="0.25">
      <c r="A12" s="124" t="str">
        <f>HYPERLINK("#'3.5.1.1-2 Enteric Methane'!A1", "3.5.1.1-2 Enteric Methane")</f>
        <v>3.5.1.1-2 Enteric Methane</v>
      </c>
    </row>
    <row r="13" spans="1:18" ht="20.100000000000001" customHeight="1" x14ac:dyDescent="0.25">
      <c r="D13" s="114" t="str" cm="1">
        <f t="array" ref="D13:E16">_xlfn.CHOOSECOLS(EntericMethane_Swine_Equations.VEERG_3_5_1_1__2_DailyEntericMethaneProduction_Arguments(),1,2)</f>
        <v>I_j</v>
      </c>
      <c r="E13" s="116" t="str">
        <v>daily feed ingested by each swine class</v>
      </c>
      <c r="F13" s="115"/>
      <c r="G13" s="114" t="str" cm="1">
        <f t="array" ref="G13:H16">_xlfn.CHOOSECOLS(EntericMethane_Swine_Equations.VEERG_3_5_1_1__2_DailyEntericMethaneProduction_Arguments(),3,4)</f>
        <v>kg/head/day</v>
      </c>
      <c r="H13" s="112" t="str">
        <v>Input</v>
      </c>
      <c r="I13" s="114" t="str" cm="1">
        <f t="array" aca="1" ref="I13" ca="1">HYPERLINK(Common_InputFunctions.Utility_SourceHyperlink($D$18), $D$18)</f>
        <v>M1_Table_I_j</v>
      </c>
    </row>
    <row r="14" spans="1:18" ht="20.100000000000001" customHeight="1" x14ac:dyDescent="0.25">
      <c r="A14" s="18" t="s">
        <v>2</v>
      </c>
      <c r="D14" s="114" t="str">
        <v>18.6</v>
      </c>
      <c r="E14" s="116" t="str">
        <v>gross energy (GE) content of feed</v>
      </c>
      <c r="F14" s="115"/>
      <c r="G14" s="114" t="str">
        <v>MJ GE/kg feed</v>
      </c>
      <c r="H14" s="110" t="str">
        <v>Constant</v>
      </c>
      <c r="I14" s="114" t="str">
        <f>D14</f>
        <v>18.6</v>
      </c>
    </row>
    <row r="15" spans="1:18" ht="20.100000000000001" customHeight="1" x14ac:dyDescent="0.25">
      <c r="A15" s="17" t="str">
        <f>HYPERLINK("#'Constants - Swine'!A1", "Constants - Swine")</f>
        <v>Constants - Swine</v>
      </c>
      <c r="D15" s="114" t="str">
        <v>0.007</v>
      </c>
      <c r="E15" s="116" t="str">
        <v>fraction of GE intake converted to methane by swine</v>
      </c>
      <c r="F15" s="115"/>
      <c r="G15" s="114" t="str">
        <v>fraction</v>
      </c>
      <c r="H15" s="110" t="str">
        <v>Constant</v>
      </c>
      <c r="I15" s="114" t="str">
        <f>D15</f>
        <v>0.007</v>
      </c>
    </row>
    <row r="16" spans="1:18" ht="20.100000000000001" customHeight="1" x14ac:dyDescent="0.25">
      <c r="A16" s="17" t="str">
        <f>HYPERLINK("#'Constants - Livestock'!A1", "Constants - Livestock")</f>
        <v>Constants - Livestock</v>
      </c>
      <c r="D16" s="114" t="str">
        <v>F</v>
      </c>
      <c r="E16" s="116" t="str">
        <v>megajoules per kilogram of methane</v>
      </c>
      <c r="F16" s="115"/>
      <c r="G16" s="114" t="str">
        <v>MJ/kg CH4</v>
      </c>
      <c r="H16" s="110" t="str">
        <v>Constant</v>
      </c>
      <c r="I16" s="114">
        <f>'Constants - Swine'!$E$122</f>
        <v>55.22</v>
      </c>
    </row>
    <row r="17" spans="1:17" ht="20.100000000000001" customHeight="1" x14ac:dyDescent="0.25">
      <c r="A17" s="17" t="str">
        <f>HYPERLINK("#'Constants - Common'!A1", "Constants - Common")</f>
        <v>Constants - Common</v>
      </c>
    </row>
    <row r="18" spans="1:17" ht="20.100000000000001" customHeight="1" x14ac:dyDescent="0.25">
      <c r="A18" s="17" t="str">
        <f>HYPERLINK("#'Acknowledgements'!A1", "Acknowledgements")</f>
        <v>Acknowledgements</v>
      </c>
      <c r="D18" s="105" t="s">
        <v>156</v>
      </c>
      <c r="M18" s="105" t="s">
        <v>156</v>
      </c>
    </row>
    <row r="19" spans="1:17" ht="20.100000000000001" customHeight="1" x14ac:dyDescent="0.25">
      <c r="D19" s="106" t="s">
        <v>157</v>
      </c>
      <c r="M19" s="106" t="s">
        <v>157</v>
      </c>
    </row>
    <row r="20" spans="1:17" ht="20.100000000000001" customHeight="1" x14ac:dyDescent="0.25">
      <c r="A20" s="17"/>
      <c r="D20" s="103" t="s">
        <v>107</v>
      </c>
      <c r="E20" s="103" t="s">
        <v>108</v>
      </c>
      <c r="F20" s="103" t="s">
        <v>109</v>
      </c>
      <c r="G20" s="103" t="s">
        <v>129</v>
      </c>
      <c r="M20" s="103" t="s">
        <v>107</v>
      </c>
      <c r="N20" s="103" t="s">
        <v>108</v>
      </c>
      <c r="O20" s="103" t="s">
        <v>109</v>
      </c>
      <c r="P20" s="103" t="s">
        <v>129</v>
      </c>
    </row>
    <row r="21" spans="1:17" ht="20.100000000000001" customHeight="1" x14ac:dyDescent="0.25">
      <c r="D21" s="52">
        <f>'Input - Swine'!E12</f>
        <v>2.62</v>
      </c>
      <c r="E21" s="52">
        <f>'Input - Swine'!F12</f>
        <v>2.2999999999999998</v>
      </c>
      <c r="F21" s="52">
        <f>'Input - Swine'!G12</f>
        <v>2.5</v>
      </c>
      <c r="G21" s="52">
        <f>'Input - Swine'!H12</f>
        <v>1.71</v>
      </c>
      <c r="H21" s="2" t="str">
        <f>G13</f>
        <v>kg/head/day</v>
      </c>
      <c r="M21" s="52">
        <f>'Input - Swine'!E15</f>
        <v>2.62</v>
      </c>
      <c r="N21" s="52">
        <f>'Input - Swine'!F15</f>
        <v>2.2999999999999998</v>
      </c>
      <c r="O21" s="52">
        <f>'Input - Swine'!G15</f>
        <v>2.5</v>
      </c>
      <c r="P21" s="52">
        <f>'Input - Swine'!H15</f>
        <v>1.71</v>
      </c>
      <c r="Q21" s="2" t="str">
        <f>G13</f>
        <v>kg/head/day</v>
      </c>
    </row>
    <row r="22" spans="1:17" ht="20.100000000000001" customHeight="1" x14ac:dyDescent="0.25"/>
    <row r="23" spans="1:17" ht="20.100000000000001" customHeight="1" x14ac:dyDescent="0.25">
      <c r="D23" s="105" t="s">
        <v>158</v>
      </c>
      <c r="M23" s="105" t="s">
        <v>158</v>
      </c>
    </row>
    <row r="24" spans="1:17" ht="20.100000000000001" customHeight="1" x14ac:dyDescent="0.25">
      <c r="D24" s="106" t="s">
        <v>159</v>
      </c>
      <c r="M24" s="106" t="s">
        <v>159</v>
      </c>
    </row>
    <row r="25" spans="1:17" ht="20.100000000000001" customHeight="1" x14ac:dyDescent="0.25">
      <c r="D25" s="46" t="s">
        <v>107</v>
      </c>
      <c r="E25" s="46" t="s">
        <v>108</v>
      </c>
      <c r="F25" s="46" t="s">
        <v>109</v>
      </c>
      <c r="G25" s="46" t="s">
        <v>129</v>
      </c>
      <c r="M25" s="46" t="s">
        <v>107</v>
      </c>
      <c r="N25" s="46" t="s">
        <v>108</v>
      </c>
      <c r="O25" s="46" t="s">
        <v>109</v>
      </c>
      <c r="P25" s="46" t="s">
        <v>129</v>
      </c>
    </row>
    <row r="26" spans="1:17" ht="20.100000000000001" customHeight="1" x14ac:dyDescent="0.25">
      <c r="D26" s="52" cm="1">
        <f t="array" ref="D26">EntericMethane_Swine_Equations.VEERG_3_5_1_1__2_DailyEntericMethaneProduction(D21,$I$16)</f>
        <v>6.1775443679826158E-3</v>
      </c>
      <c r="E26" s="52" cm="1">
        <f t="array" ref="E26">EntericMethane_Swine_Equations.VEERG_3_5_1_1__2_DailyEntericMethaneProduction(E21,$I$16)</f>
        <v>5.4230351321984793E-3</v>
      </c>
      <c r="F26" s="52" cm="1">
        <f t="array" ref="F26">EntericMethane_Swine_Equations.VEERG_3_5_1_1__2_DailyEntericMethaneProduction(F21,$I$16)</f>
        <v>5.8946034045635641E-3</v>
      </c>
      <c r="G26" s="52" cm="1">
        <f t="array" ref="G26">EntericMethane_Swine_Equations.VEERG_3_5_1_1__2_DailyEntericMethaneProduction(G21,$I$16)</f>
        <v>4.031908728721478E-3</v>
      </c>
      <c r="H26" s="2" t="str">
        <f>$E$11</f>
        <v>kg CH4/head/day</v>
      </c>
      <c r="M26" s="52" cm="1">
        <f t="array" ref="M26">EntericMethane_Swine_Equations.VEERG_3_5_1_1__2_DailyEntericMethaneProduction(M21,$I$16)</f>
        <v>6.1775443679826158E-3</v>
      </c>
      <c r="N26" s="52" cm="1">
        <f t="array" ref="N26">EntericMethane_Swine_Equations.VEERG_3_5_1_1__2_DailyEntericMethaneProduction(N21,$I$16)</f>
        <v>5.4230351321984793E-3</v>
      </c>
      <c r="O26" s="52" cm="1">
        <f t="array" ref="O26">EntericMethane_Swine_Equations.VEERG_3_5_1_1__2_DailyEntericMethaneProduction(O21,$I$16)</f>
        <v>5.8946034045635641E-3</v>
      </c>
      <c r="P26" s="52" cm="1">
        <f t="array" ref="P26">EntericMethane_Swine_Equations.VEERG_3_5_1_1__2_DailyEntericMethaneProduction(P21,$I$16)</f>
        <v>4.031908728721478E-3</v>
      </c>
      <c r="Q26" s="2" t="str">
        <f>$E$11</f>
        <v>kg CH4/head/day</v>
      </c>
    </row>
    <row r="27" spans="1:17" ht="20.100000000000001" customHeight="1" x14ac:dyDescent="0.25"/>
    <row r="28" spans="1:17" ht="20.100000000000001" customHeight="1" x14ac:dyDescent="0.25"/>
    <row r="29" spans="1:17" ht="20.100000000000001" customHeight="1" x14ac:dyDescent="0.25">
      <c r="C29" s="41"/>
      <c r="D29" s="41"/>
      <c r="E29" s="41"/>
      <c r="F29" s="41"/>
      <c r="G29" s="41"/>
      <c r="H29" s="41"/>
      <c r="I29" s="41"/>
      <c r="J29" s="41"/>
    </row>
    <row r="30" spans="1:17" ht="20.100000000000001" customHeight="1" x14ac:dyDescent="0.25">
      <c r="D30" s="6" t="str" cm="1">
        <f t="array" ref="D30">EntericMethane_Swine_Equations.VEERG_3_5_1_1__1_TotalAnnualMethaneFromEntericFermentation_Title()</f>
        <v>Total annual methane production from enteric fermentation in swine</v>
      </c>
    </row>
    <row r="31" spans="1:17" ht="20.100000000000001" customHeight="1" x14ac:dyDescent="0.25">
      <c r="D31" s="5" t="str" cm="1">
        <f t="array" ref="D31">EntericMethane_Swine_Equations.VEERG_3_5_1_1__1_TotalAnnualMethaneFromEntericFermentation_Source()</f>
        <v>VEERG 2026: 3.5.1.1, Equation (1)</v>
      </c>
    </row>
    <row r="32" spans="1:17" ht="20.100000000000001" customHeight="1" x14ac:dyDescent="0.25">
      <c r="D32" s="13" t="s">
        <v>15</v>
      </c>
      <c r="E32" s="13" t="str" cm="1">
        <f t="array" aca="1" ref="E32" ca="1">Common_InputFunctions.Utility_DisplayFunctionName(D56)</f>
        <v>=EntericMethane_Swine_Equations.VEERG_3_5_1_1__1_TotalAnnualMethaneFromEntericFermentation</v>
      </c>
    </row>
    <row r="33" spans="4:9" ht="20.100000000000001" customHeight="1" x14ac:dyDescent="0.25"/>
    <row r="34" spans="4:9" ht="20.100000000000001" customHeight="1" x14ac:dyDescent="0.25">
      <c r="F34" s="6"/>
    </row>
    <row r="35" spans="4:9" ht="20.100000000000001" customHeight="1" x14ac:dyDescent="0.25"/>
    <row r="36" spans="4:9" ht="20.100000000000001" customHeight="1" x14ac:dyDescent="0.25">
      <c r="D36" s="48" t="s">
        <v>18</v>
      </c>
      <c r="E36" s="1" t="str" cm="1">
        <f t="array" ref="E36">EntericMethane_Swine_Equations.VEERG_3_5_1_1__1_TotalAnnualMethaneFromEntericFermentation_Variable()</f>
        <v>E_enteric</v>
      </c>
    </row>
    <row r="37" spans="4:9" ht="20.100000000000001" customHeight="1" x14ac:dyDescent="0.25">
      <c r="D37" s="48" t="s">
        <v>9</v>
      </c>
      <c r="E37" s="49" t="str" cm="1">
        <f t="array" ref="E37">EntericMethane_Swine_Equations.VEERG_3_5_1_1__1_TotalAnnualMethaneFromEntericFermentation_Unit()</f>
        <v>t CH4</v>
      </c>
    </row>
    <row r="38" spans="4:9" ht="20.100000000000001" customHeight="1" x14ac:dyDescent="0.25"/>
    <row r="39" spans="4:9" ht="20.100000000000001" customHeight="1" x14ac:dyDescent="0.25">
      <c r="D39" s="52" t="str" cm="1">
        <f t="array" ref="D39:E41">_xlfn.CHOOSECOLS(EntericMethane_Swine_Equations.VEERG_3_5_1_1__1_TotalAnnualMethaneFromEntericFermentation_Arguments(), 1, 2)</f>
        <v>N_j</v>
      </c>
      <c r="E39" s="53" t="str">
        <v>numbers of swine of each class</v>
      </c>
      <c r="F39" s="54"/>
      <c r="G39" s="52" t="str" cm="1">
        <f t="array" ref="G39:H41">_xlfn.CHOOSECOLS(EntericMethane_Swine_Equations.VEERG_3_5_1_1__1_TotalAnnualMethaneFromEntericFermentation_Arguments(), 3,4)</f>
        <v>head</v>
      </c>
      <c r="H39" s="111" t="str">
        <v>Input</v>
      </c>
      <c r="I39" s="113" t="str" cm="1">
        <f t="array" aca="1" ref="I39" ca="1">HYPERLINK(Common_InputFunctions.Utility_SourceHyperlink($D$48), $D$48)</f>
        <v>Table_N_j</v>
      </c>
    </row>
    <row r="40" spans="4:9" ht="20.100000000000001" customHeight="1" x14ac:dyDescent="0.25">
      <c r="D40" s="52" t="str">
        <v>M_j</v>
      </c>
      <c r="E40" s="53" t="str">
        <v>methane production</v>
      </c>
      <c r="F40" s="54"/>
      <c r="G40" s="52" t="str">
        <v>kg CH4/head/day</v>
      </c>
      <c r="H40" s="110" t="str">
        <v>Calculated from 3.5.1.1, (2)</v>
      </c>
      <c r="I40" s="113" t="str" cm="1">
        <f t="array" aca="1" ref="I40" ca="1">HYPERLINK(Common_InputFunctions.Utility_SourceHyperlink($D$23), $D$23)</f>
        <v>M1_Table_M_j</v>
      </c>
    </row>
    <row r="41" spans="4:9" ht="20.100000000000001" customHeight="1" x14ac:dyDescent="0.25">
      <c r="D41" s="52" t="str">
        <v>D_j</v>
      </c>
      <c r="E41" s="53" t="str">
        <v>the average number of days on farm for each swine class</v>
      </c>
      <c r="F41" s="54"/>
      <c r="G41" s="52" t="str">
        <v>days</v>
      </c>
      <c r="H41" s="111" t="str">
        <v>Input</v>
      </c>
      <c r="I41" s="113" t="str" cm="1">
        <f t="array" aca="1" ref="I41" ca="1">HYPERLINK(Common_InputFunctions.Utility_SourceHyperlink($D$43), $D$43)</f>
        <v>Table_D_j</v>
      </c>
    </row>
    <row r="42" spans="4:9" ht="20.100000000000001" customHeight="1" x14ac:dyDescent="0.25"/>
    <row r="43" spans="4:9" ht="20.100000000000001" customHeight="1" x14ac:dyDescent="0.25">
      <c r="D43" s="105" t="s">
        <v>122</v>
      </c>
    </row>
    <row r="44" spans="4:9" ht="20.100000000000001" customHeight="1" x14ac:dyDescent="0.25">
      <c r="D44" s="106" t="s">
        <v>123</v>
      </c>
    </row>
    <row r="45" spans="4:9" ht="20.100000000000001" customHeight="1" x14ac:dyDescent="0.25">
      <c r="D45" s="103" t="s">
        <v>107</v>
      </c>
      <c r="E45" s="103" t="s">
        <v>108</v>
      </c>
      <c r="F45" s="103" t="s">
        <v>109</v>
      </c>
      <c r="G45" s="103" t="s">
        <v>129</v>
      </c>
    </row>
    <row r="46" spans="4:9" ht="20.100000000000001" customHeight="1" x14ac:dyDescent="0.25">
      <c r="D46" s="107">
        <f>'Input - Swine'!E6</f>
        <v>365</v>
      </c>
      <c r="E46" s="107">
        <f>'Input - Swine'!F6</f>
        <v>365</v>
      </c>
      <c r="F46" s="107">
        <f>'Input - Swine'!G6</f>
        <v>365</v>
      </c>
      <c r="G46" s="107">
        <f>'Input - Swine'!H6</f>
        <v>365</v>
      </c>
      <c r="H46" s="2" t="str">
        <f>G39</f>
        <v>head</v>
      </c>
    </row>
    <row r="47" spans="4:9" ht="20.100000000000001" customHeight="1" x14ac:dyDescent="0.25"/>
    <row r="48" spans="4:9" ht="20.100000000000001" customHeight="1" x14ac:dyDescent="0.25">
      <c r="D48" s="105" t="s">
        <v>124</v>
      </c>
    </row>
    <row r="49" spans="4:17" ht="20.100000000000001" customHeight="1" x14ac:dyDescent="0.25">
      <c r="D49" s="106" t="s">
        <v>125</v>
      </c>
    </row>
    <row r="50" spans="4:17" ht="20.100000000000001" customHeight="1" x14ac:dyDescent="0.25">
      <c r="D50" s="103" t="s">
        <v>107</v>
      </c>
      <c r="E50" s="103" t="s">
        <v>108</v>
      </c>
      <c r="F50" s="103" t="s">
        <v>109</v>
      </c>
      <c r="G50" s="103" t="s">
        <v>129</v>
      </c>
    </row>
    <row r="51" spans="4:17" ht="20.100000000000001" customHeight="1" x14ac:dyDescent="0.25">
      <c r="D51" s="107">
        <f>'Input - Swine'!$E$7</f>
        <v>100</v>
      </c>
      <c r="E51" s="107">
        <f>'Input - Swine'!$F$7</f>
        <v>100</v>
      </c>
      <c r="F51" s="107">
        <f>'Input - Swine'!$G$7</f>
        <v>100</v>
      </c>
      <c r="G51" s="107">
        <f>'Input - Swine'!$H$7</f>
        <v>100</v>
      </c>
      <c r="H51" s="2" t="str">
        <f>G41</f>
        <v>days</v>
      </c>
    </row>
    <row r="52" spans="4:17" ht="20.100000000000001" customHeight="1" x14ac:dyDescent="0.25"/>
    <row r="53" spans="4:17" ht="20.100000000000001" customHeight="1" x14ac:dyDescent="0.25">
      <c r="D53" s="105" t="s">
        <v>161</v>
      </c>
      <c r="M53" s="105" t="s">
        <v>164</v>
      </c>
    </row>
    <row r="54" spans="4:17" ht="20.100000000000001" customHeight="1" x14ac:dyDescent="0.25">
      <c r="D54" s="106" t="s">
        <v>162</v>
      </c>
      <c r="M54" s="106" t="s">
        <v>165</v>
      </c>
    </row>
    <row r="55" spans="4:17" ht="20.100000000000001" customHeight="1" x14ac:dyDescent="0.25">
      <c r="D55" s="46" t="s">
        <v>107</v>
      </c>
      <c r="E55" s="46" t="s">
        <v>108</v>
      </c>
      <c r="F55" s="46" t="s">
        <v>109</v>
      </c>
      <c r="G55" s="46" t="s">
        <v>129</v>
      </c>
      <c r="M55" s="46" t="s">
        <v>107</v>
      </c>
      <c r="N55" s="46" t="s">
        <v>108</v>
      </c>
      <c r="O55" s="46" t="s">
        <v>109</v>
      </c>
      <c r="P55" s="46" t="s">
        <v>129</v>
      </c>
    </row>
    <row r="56" spans="4:17" ht="20.100000000000001" customHeight="1" x14ac:dyDescent="0.25">
      <c r="D56" s="47" cm="1">
        <f t="array" ref="D56">EntericMethane_Swine_Equations.VEERG_3_5_1_1__1_TotalAnnualMethaneFromEntericFermentation($D51,D26,$D46)</f>
        <v>0.22548036943136548</v>
      </c>
      <c r="E56" s="47" cm="1">
        <f t="array" ref="E56">EntericMethane_Swine_Equations.VEERG_3_5_1_1__1_TotalAnnualMethaneFromEntericFermentation($E51,E26,$E46)</f>
        <v>0.19794078232524451</v>
      </c>
      <c r="F56" s="47" cm="1">
        <f t="array" ref="F56">EntericMethane_Swine_Equations.VEERG_3_5_1_1__1_TotalAnnualMethaneFromEntericFermentation($F51,F26,$F46)</f>
        <v>0.2151530242665701</v>
      </c>
      <c r="G56" s="47" cm="1">
        <f t="array" ref="G56">EntericMethane_Swine_Equations.VEERG_3_5_1_1__1_TotalAnnualMethaneFromEntericFermentation($G51,G26,$G46)</f>
        <v>0.14716466859833394</v>
      </c>
      <c r="H56" s="2" t="str">
        <f>$E$37</f>
        <v>t CH4</v>
      </c>
      <c r="M56" s="47" cm="1">
        <f t="array" ref="M56">EntericMethane_Swine_Equations.VEERG_3_5_1_1__1_TotalAnnualMethaneFromEntericFermentation($D51,M26,$D46)</f>
        <v>0.22548036943136548</v>
      </c>
      <c r="N56" s="47" cm="1">
        <f t="array" ref="N56">EntericMethane_Swine_Equations.VEERG_3_5_1_1__1_TotalAnnualMethaneFromEntericFermentation($E51,N26,$E46)</f>
        <v>0.19794078232524451</v>
      </c>
      <c r="O56" s="47" cm="1">
        <f t="array" ref="O56">EntericMethane_Swine_Equations.VEERG_3_5_1_1__1_TotalAnnualMethaneFromEntericFermentation($F51,O26,$F46)</f>
        <v>0.2151530242665701</v>
      </c>
      <c r="P56" s="47" cm="1">
        <f t="array" ref="P56">EntericMethane_Swine_Equations.VEERG_3_5_1_1__1_TotalAnnualMethaneFromEntericFermentation($G51,P26,$G46)</f>
        <v>0.14716466859833394</v>
      </c>
      <c r="Q56" s="2" t="str">
        <f>$E$37</f>
        <v>t CH4</v>
      </c>
    </row>
    <row r="57" spans="4:17" ht="20.100000000000001" customHeight="1" x14ac:dyDescent="0.25"/>
    <row r="58" spans="4:17" ht="20.100000000000001" customHeight="1" x14ac:dyDescent="0.25">
      <c r="D58" s="89" t="s">
        <v>126</v>
      </c>
      <c r="E58" s="90">
        <f>SUM(D56:G56)</f>
        <v>0.78573884462151411</v>
      </c>
      <c r="F58" s="91" t="str">
        <f>$E$37</f>
        <v>t CH4</v>
      </c>
      <c r="M58" s="89" t="s">
        <v>126</v>
      </c>
      <c r="N58" s="90">
        <f>SUM(M56:P56)</f>
        <v>0.78573884462151411</v>
      </c>
      <c r="O58" s="91" t="str">
        <f>$E$37</f>
        <v>t CH4</v>
      </c>
    </row>
    <row r="59" spans="4:17" ht="20.100000000000001" customHeight="1" x14ac:dyDescent="0.25"/>
    <row r="60" spans="4:17" ht="20.100000000000001" customHeight="1" x14ac:dyDescent="0.25">
      <c r="D60" s="52" t="str" cm="1">
        <f t="array" ref="D60:E61">Common_Equations.Common_ConvertCH4ToCO2e_Arguments()</f>
        <v>ECH4</v>
      </c>
      <c r="E60" s="53" t="str">
        <v>Methane emissions (t CH4)</v>
      </c>
      <c r="F60" s="92"/>
      <c r="G60" s="47">
        <f>E58</f>
        <v>0.78573884462151411</v>
      </c>
      <c r="M60" s="52" t="str" cm="1">
        <f t="array" ref="M60:N61">Common_Equations.Common_ConvertCH4ToCO2e_Arguments()</f>
        <v>ECH4</v>
      </c>
      <c r="N60" s="53" t="str">
        <v>Methane emissions (t CH4)</v>
      </c>
      <c r="O60" s="92"/>
      <c r="P60" s="47">
        <f>N58</f>
        <v>0.78573884462151411</v>
      </c>
    </row>
    <row r="61" spans="4:17" ht="20.100000000000001" customHeight="1" x14ac:dyDescent="0.25">
      <c r="D61" s="52" t="str">
        <v>GWPCH4</v>
      </c>
      <c r="E61" s="53" t="str">
        <v>Global warming potential for methane (t CO2-e / t CH4)</v>
      </c>
      <c r="F61" s="92"/>
      <c r="G61" s="47">
        <f>Common_InputFunctions.Utility_LookupValueInTableNumber("CH4",Table_GWPData[Gas],Table_GWPData[CO2-e factor])</f>
        <v>28</v>
      </c>
      <c r="M61" s="52" t="str">
        <v>GWPCH4</v>
      </c>
      <c r="N61" s="53" t="str">
        <v>Global warming potential for methane (t CO2-e / t CH4)</v>
      </c>
      <c r="O61" s="92"/>
      <c r="P61" s="47">
        <f>Common_InputFunctions.Utility_LookupValueInTableNumber("CH4",Table_GWPData[Gas],Table_GWPData[CO2-e factor])</f>
        <v>28</v>
      </c>
    </row>
    <row r="62" spans="4:17" ht="20.100000000000001" customHeight="1" x14ac:dyDescent="0.25"/>
    <row r="63" spans="4:17" ht="20.100000000000001" customHeight="1" x14ac:dyDescent="0.25">
      <c r="D63" s="98" t="s">
        <v>163</v>
      </c>
      <c r="E63" s="41" cm="1">
        <f t="array" ref="E63">Common_Equations.Common_ConvertCH4ToCO2e(G60,G61)</f>
        <v>22.000687649402394</v>
      </c>
      <c r="F63" s="93" t="str" cm="1">
        <f t="array" ref="F63">Common_Equations.Common_ConvertN2OToCO2e_Unit()</f>
        <v>t CO2e</v>
      </c>
      <c r="M63" s="98" t="s">
        <v>163</v>
      </c>
      <c r="N63" s="41" cm="1">
        <f t="array" ref="N63">Common_Equations.Common_ConvertCH4ToCO2e(P60,P61)</f>
        <v>22.000687649402394</v>
      </c>
      <c r="O63" s="93" t="str" cm="1">
        <f t="array" ref="O63">Common_Equations.Common_ConvertN2OToCO2e_Unit()</f>
        <v>t CO2e</v>
      </c>
    </row>
    <row r="64" spans="4:17"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c r="A70" s="118" t="str">
        <f>HYPERLINK("#A1", "▲ Back to top")</f>
        <v>▲ Back to top</v>
      </c>
    </row>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row r="110" spans="1:1" ht="20.100000000000001" customHeight="1" x14ac:dyDescent="0.25">
      <c r="A110" s="117" t="str">
        <f>HYPERLINK("#A1", "▲ Back to top")</f>
        <v>▲ Back to top</v>
      </c>
    </row>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spans="1:1" ht="20.100000000000001" customHeight="1" x14ac:dyDescent="0.25"/>
    <row r="178" spans="1:1" ht="20.100000000000001" customHeight="1" x14ac:dyDescent="0.25"/>
    <row r="179" spans="1:1" ht="20.100000000000001" customHeight="1" x14ac:dyDescent="0.25"/>
    <row r="180" spans="1:1" ht="20.100000000000001" customHeight="1" x14ac:dyDescent="0.25"/>
    <row r="181" spans="1:1" ht="20.100000000000001" customHeight="1" x14ac:dyDescent="0.25"/>
    <row r="182" spans="1:1" ht="20.100000000000001" customHeight="1" x14ac:dyDescent="0.25"/>
    <row r="183" spans="1:1" ht="20.100000000000001" customHeight="1" x14ac:dyDescent="0.25"/>
    <row r="184" spans="1:1" ht="20.100000000000001" customHeight="1" x14ac:dyDescent="0.25"/>
    <row r="185" spans="1:1" ht="20.100000000000001" customHeight="1" x14ac:dyDescent="0.25"/>
    <row r="186" spans="1:1" ht="20.100000000000001" customHeight="1" x14ac:dyDescent="0.25">
      <c r="A186" s="118" t="str">
        <f>HYPERLINK("#A1", "▲ Back to top")</f>
        <v>▲ Back to top</v>
      </c>
    </row>
    <row r="187" spans="1:1" ht="20.100000000000001" customHeight="1" x14ac:dyDescent="0.25"/>
    <row r="188" spans="1:1" ht="20.100000000000001" customHeight="1" x14ac:dyDescent="0.25"/>
    <row r="189" spans="1:1" ht="20.100000000000001" customHeight="1" x14ac:dyDescent="0.25"/>
    <row r="190" spans="1:1" ht="20.100000000000001" customHeight="1" x14ac:dyDescent="0.25"/>
    <row r="191" spans="1:1" ht="20.100000000000001" customHeight="1" x14ac:dyDescent="0.25"/>
    <row r="192" spans="1:1"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c r="A213" s="118" t="str">
        <f>HYPERLINK("#A1", "▲ Back to top")</f>
        <v>▲ Back to top</v>
      </c>
    </row>
    <row r="214" spans="1:1" ht="20.100000000000001" customHeight="1" x14ac:dyDescent="0.25"/>
    <row r="215" spans="1:1" ht="20.100000000000001" customHeight="1" x14ac:dyDescent="0.25"/>
    <row r="216" spans="1:1" ht="20.100000000000001" customHeight="1" x14ac:dyDescent="0.25"/>
    <row r="217" spans="1:1" ht="20.100000000000001" customHeight="1" x14ac:dyDescent="0.25"/>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spans="1:1" ht="20.100000000000001" customHeight="1" x14ac:dyDescent="0.25"/>
    <row r="226" spans="1:1" ht="20.100000000000001" customHeight="1" x14ac:dyDescent="0.25"/>
    <row r="227" spans="1:1" ht="20.100000000000001" customHeight="1" x14ac:dyDescent="0.25"/>
    <row r="228" spans="1:1" ht="20.100000000000001" customHeight="1" x14ac:dyDescent="0.25"/>
    <row r="229" spans="1:1" ht="20.100000000000001" customHeight="1" x14ac:dyDescent="0.25"/>
    <row r="230" spans="1:1" ht="20.100000000000001" customHeight="1" x14ac:dyDescent="0.25"/>
    <row r="231" spans="1:1" ht="20.100000000000001" customHeight="1" x14ac:dyDescent="0.25">
      <c r="A231" s="118" t="str">
        <f>HYPERLINK("#A1", "▲ Back to top")</f>
        <v>▲ Back to top</v>
      </c>
    </row>
    <row r="232" spans="1:1" ht="20.100000000000001" customHeight="1" x14ac:dyDescent="0.25"/>
    <row r="233" spans="1:1" ht="20.100000000000001" customHeight="1" x14ac:dyDescent="0.25"/>
    <row r="234" spans="1:1" ht="20.100000000000001" customHeight="1" x14ac:dyDescent="0.25"/>
    <row r="235" spans="1:1" ht="20.100000000000001" customHeight="1" x14ac:dyDescent="0.25"/>
    <row r="236" spans="1:1" ht="20.100000000000001" customHeight="1" x14ac:dyDescent="0.25"/>
    <row r="237" spans="1:1" ht="20.100000000000001" customHeight="1" x14ac:dyDescent="0.25"/>
    <row r="238" spans="1:1" ht="20.100000000000001" customHeight="1" x14ac:dyDescent="0.25"/>
    <row r="239" spans="1:1" ht="20.100000000000001" customHeight="1" x14ac:dyDescent="0.25"/>
    <row r="240" spans="1:1"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spans="1:1" ht="20.100000000000001" customHeight="1" x14ac:dyDescent="0.25"/>
    <row r="258" spans="1:1" ht="20.100000000000001" customHeight="1" x14ac:dyDescent="0.25"/>
    <row r="259" spans="1:1" ht="20.100000000000001" customHeight="1" x14ac:dyDescent="0.25"/>
    <row r="260" spans="1:1" ht="20.100000000000001" customHeight="1" x14ac:dyDescent="0.25"/>
    <row r="261" spans="1:1" ht="20.100000000000001" customHeight="1" x14ac:dyDescent="0.25"/>
    <row r="262" spans="1:1" ht="20.100000000000001" customHeight="1" x14ac:dyDescent="0.25"/>
    <row r="263" spans="1:1" ht="20.100000000000001" customHeight="1" x14ac:dyDescent="0.25"/>
    <row r="264" spans="1:1" ht="20.100000000000001" customHeight="1" x14ac:dyDescent="0.25"/>
    <row r="265" spans="1:1" ht="20.100000000000001" customHeight="1" x14ac:dyDescent="0.25"/>
    <row r="266" spans="1:1" ht="20.100000000000001" customHeight="1" x14ac:dyDescent="0.25">
      <c r="A266" s="118" t="str">
        <f>HYPERLINK("#A1", "▲ Back to top")</f>
        <v>▲ Back to top</v>
      </c>
    </row>
    <row r="267" spans="1:1" ht="20.100000000000001" customHeight="1" x14ac:dyDescent="0.25"/>
    <row r="268" spans="1:1" ht="20.100000000000001" customHeight="1" x14ac:dyDescent="0.25"/>
    <row r="269" spans="1:1" ht="20.100000000000001" customHeight="1" x14ac:dyDescent="0.25"/>
    <row r="270" spans="1:1" ht="20.100000000000001" customHeight="1" x14ac:dyDescent="0.25"/>
    <row r="271" spans="1: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61:Q161 E126:I126 I207 E49 O133:Q134 E221 H128:I131 F145:I147 F127:I127 F128:F131 P155:Q156 Q121:Q124 O121:O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abSelected="1" topLeftCell="A105" zoomScale="85" zoomScaleNormal="85" workbookViewId="0">
      <selection activeCell="E132" sqref="E13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106</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M5" s="1"/>
    </row>
    <row r="6" spans="1:21" ht="20.100000000000001" customHeight="1" x14ac:dyDescent="0.25">
      <c r="A6" s="16"/>
      <c r="D6" s="6" t="s">
        <v>137</v>
      </c>
      <c r="G6" s="6" t="s">
        <v>83</v>
      </c>
      <c r="M6" s="1"/>
    </row>
    <row r="7" spans="1:21" ht="20.100000000000001" customHeight="1" x14ac:dyDescent="0.25">
      <c r="A7" s="20" t="s">
        <v>1</v>
      </c>
      <c r="M7" s="1"/>
    </row>
    <row r="8" spans="1:21" ht="20.100000000000001" customHeight="1" x14ac:dyDescent="0.25">
      <c r="A8" s="17" t="str">
        <f>HYPERLINK("#'Input - Site'!A1", "Site")</f>
        <v>Site</v>
      </c>
      <c r="D8" s="34" t="s">
        <v>82</v>
      </c>
      <c r="G8" s="34" t="s">
        <v>81</v>
      </c>
      <c r="M8" s="1"/>
    </row>
    <row r="9" spans="1:21" ht="20.100000000000001" customHeight="1" x14ac:dyDescent="0.25">
      <c r="A9" s="17" t="str">
        <f>HYPERLINK("#'Input - Swine'!A1", "Swine")</f>
        <v>Swine</v>
      </c>
      <c r="D9" s="34" t="s">
        <v>139</v>
      </c>
      <c r="G9" s="34" t="s">
        <v>84</v>
      </c>
      <c r="M9" s="1"/>
    </row>
    <row r="10" spans="1:21" ht="20.100000000000001" customHeight="1" x14ac:dyDescent="0.25">
      <c r="A10" s="17"/>
      <c r="D10" s="1" t="s">
        <v>103</v>
      </c>
      <c r="G10" s="34" t="s">
        <v>85</v>
      </c>
      <c r="M10" s="1"/>
    </row>
    <row r="11" spans="1:21" ht="20.100000000000001" customHeight="1" x14ac:dyDescent="0.25">
      <c r="A11" s="19" t="s">
        <v>55</v>
      </c>
      <c r="G11" s="1" t="s">
        <v>86</v>
      </c>
      <c r="M11" s="1"/>
    </row>
    <row r="12" spans="1:21" ht="20.100000000000001" customHeight="1" x14ac:dyDescent="0.25">
      <c r="A12" s="17" t="str">
        <f>HYPERLINK("#'3.5.1.1-2 Enteric Methane'!A1", "3.5.1.1-2 Enteric Methane")</f>
        <v>3.5.1.1-2 Enteric Methane</v>
      </c>
      <c r="G12" s="1" t="s">
        <v>87</v>
      </c>
      <c r="M12" s="1"/>
    </row>
    <row r="13" spans="1:21" ht="20.100000000000001" customHeight="1" x14ac:dyDescent="0.25">
      <c r="G13" s="1" t="s">
        <v>88</v>
      </c>
      <c r="M13" s="1"/>
    </row>
    <row r="14" spans="1:21" ht="20.100000000000001" customHeight="1" x14ac:dyDescent="0.25">
      <c r="A14" s="18" t="s">
        <v>2</v>
      </c>
      <c r="D14" s="6" t="str" cm="1">
        <f t="array" ref="D14">SourceData_Swine.SourceData_Swine_FracLEACH_DrylotMMS_Title()</f>
        <v>Fraction of nitrogen lost through leaching and runoff for drylot MMS</v>
      </c>
      <c r="M14" s="1"/>
    </row>
    <row r="15" spans="1:21" ht="20.100000000000001" customHeight="1" x14ac:dyDescent="0.25">
      <c r="A15" s="125" t="str">
        <f>HYPERLINK("#'Constants - Swine'!A1", "Constants - Swine")</f>
        <v>Constants - Swine</v>
      </c>
      <c r="D15" s="5" t="str" cm="1">
        <f t="array" ref="D15">SourceData_Swine.SourceData_Swine_FracLEACH_DrylotMMS_Source()</f>
        <v>VEERG 2026: 4.5.2.3 CONSTANT</v>
      </c>
      <c r="M15" s="1"/>
    </row>
    <row r="16" spans="1:21" ht="20.100000000000001" customHeight="1" x14ac:dyDescent="0.25">
      <c r="A16" s="17" t="str">
        <f>HYPERLINK("#'Constants - Livestock'!A1", "Constants - Livestock")</f>
        <v>Constants - Livestock</v>
      </c>
      <c r="D16" s="50" t="str" cm="1">
        <f t="array" ref="D16">SourceData_Swine.SourceData_Swine_FracLEACH_DrylotMMS_Variation()</f>
        <v>VARIATION ON SOURCE: Text refers to 'solid storage' MMS, but equation refers to 'drylot' MMS.</v>
      </c>
      <c r="M16" s="1"/>
    </row>
    <row r="17" spans="1:13" ht="20.100000000000001" customHeight="1" x14ac:dyDescent="0.25">
      <c r="A17" s="17" t="str">
        <f>HYPERLINK("#'Constants - Common'!A1", "Constants - Common")</f>
        <v>Constants - Common</v>
      </c>
      <c r="D17" s="48" t="str" cm="1">
        <f t="array" ref="D17">SourceData_Swine.SourceData_Swine_FracLEACH_DrylotMMS_Variable()</f>
        <v>FracLEACH_MS</v>
      </c>
      <c r="E17" s="1" cm="1">
        <f t="array" ref="E17">SourceData_Swine.SourceData_Swine_FracLEACH_DrylotMMS_Data()</f>
        <v>0.02</v>
      </c>
      <c r="F17" s="49" t="str" cm="1">
        <f t="array" ref="F17">SourceData_Swine.SourceData_Swine_FracLEACH_DrylotMMS_Unit()</f>
        <v>fraction</v>
      </c>
      <c r="M17" s="1"/>
    </row>
    <row r="18" spans="1:13" ht="20.100000000000001" customHeight="1" x14ac:dyDescent="0.25">
      <c r="A18" s="17" t="str">
        <f>HYPERLINK("#'Acknowledgements'!A1", "Acknowledgements")</f>
        <v>Acknowledgements</v>
      </c>
      <c r="M18" s="1"/>
    </row>
    <row r="19" spans="1:13" ht="20.100000000000001" customHeight="1" x14ac:dyDescent="0.25">
      <c r="D19" s="6" t="str" cm="1">
        <f t="array" ref="D19">SourceData_Swine.SourceData_Swine_MethaneVolatileSolidsEmissionsPotential_Title()</f>
        <v>Emissions potential of methane per kilogram of volatile solids</v>
      </c>
      <c r="M19" s="1"/>
    </row>
    <row r="20" spans="1:13" ht="20.100000000000001" customHeight="1" x14ac:dyDescent="0.25">
      <c r="A20" s="17"/>
      <c r="D20" s="5" t="str" cm="1">
        <f t="array" ref="D20">SourceData_Swine.SourceData_Swine_MethaneVolatileSolidsEmissionsPotential_Source()</f>
        <v>IPCC (2019), Chapter 10 [4]</v>
      </c>
      <c r="M20" s="1"/>
    </row>
    <row r="21" spans="1:13" ht="20.100000000000001" customHeight="1" x14ac:dyDescent="0.25">
      <c r="D21" s="48" t="str" cm="1">
        <f t="array" ref="D21">SourceData_Swine.SourceData_Swine_MethaneVolatileSolidsEmissionsPotential_Variable()</f>
        <v>B0</v>
      </c>
      <c r="E21" s="1" cm="1">
        <f t="array" ref="E21">SourceData_Swine.SourceData_Swine_MethaneVolatileSolidsEmissionsPotential_Data()</f>
        <v>0.19</v>
      </c>
      <c r="F21" s="49" t="str" cm="1">
        <f t="array" ref="F21">SourceData_Swine.SourceData_Swine_MethaneVolatileSolidsEmissionsPotential_Unit()</f>
        <v>m3 CH4 / kg VS</v>
      </c>
      <c r="M21" s="1"/>
    </row>
    <row r="22" spans="1:13" ht="20.100000000000001" customHeight="1" x14ac:dyDescent="0.25">
      <c r="M22" s="1"/>
    </row>
    <row r="23" spans="1:13" ht="20.100000000000001" customHeight="1" x14ac:dyDescent="0.25">
      <c r="M23" s="1"/>
    </row>
    <row r="24" spans="1:13" ht="20.100000000000001" customHeight="1" x14ac:dyDescent="0.25">
      <c r="D24" s="6" t="str" cm="1">
        <f t="array" ref="D24">SourceData_Swine.SourceData_Swine_MMS_MCFs_Title()</f>
        <v>Methane conversion factor for temperature zone and manure management system.</v>
      </c>
      <c r="H24" s="95" t="s">
        <v>113</v>
      </c>
      <c r="M24" s="1"/>
    </row>
    <row r="25" spans="1:13" ht="20.100000000000001" customHeight="1" x14ac:dyDescent="0.25">
      <c r="D25" s="5" t="str" cm="1">
        <f t="array" ref="D25">SourceData_Swine.SourceData_Swine_MMS_MCFs_Source()</f>
        <v>VEERG 2026: Table A.1.6.4: Swine - MCFs (MCFim)</v>
      </c>
      <c r="H25" s="95" t="s">
        <v>114</v>
      </c>
      <c r="M25" s="1"/>
    </row>
    <row r="26" spans="1:13" ht="20.100000000000001" customHeight="1" x14ac:dyDescent="0.25">
      <c r="D26" s="50"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4" t="s">
        <v>49</v>
      </c>
      <c r="E28" s="34" t="s">
        <v>61</v>
      </c>
      <c r="F28" s="34" t="s">
        <v>60</v>
      </c>
      <c r="G28" s="34" t="s">
        <v>63</v>
      </c>
      <c r="H28" s="34" t="s">
        <v>62</v>
      </c>
      <c r="I28" s="34" t="s">
        <v>64</v>
      </c>
      <c r="J28" s="34" t="s">
        <v>65</v>
      </c>
      <c r="K28" s="34" t="s">
        <v>66</v>
      </c>
      <c r="L28" s="34" t="s">
        <v>67</v>
      </c>
      <c r="M28" s="34" t="s">
        <v>115</v>
      </c>
    </row>
    <row r="29" spans="1:13" ht="20.100000000000001" customHeight="1" x14ac:dyDescent="0.25">
      <c r="D29" s="34" t="str" cm="1">
        <f t="array" ref="D29">Common_InputFunctions.Utility_DisplayArrayInTable(SourceData_Swine.SourceData_Swine_MMS_MCFs_Data(),Table_SourceData_Swine_MMSMCF[[#Headers],[MMS]],0)</f>
        <v>Outdoor (Dry lot)</v>
      </c>
      <c r="E29" s="34" cm="1">
        <f t="array" ref="E29">Common_InputFunctions.Utility_DisplayArrayInTable(SourceData_Swine.SourceData_Swine_MMS_MCFs_Data(),Table_SourceData_Swine_MMSMCF[[#Headers],[MMS]],0)</f>
        <v>0.01</v>
      </c>
      <c r="F29" s="34" cm="1">
        <f t="array" ref="F29">Common_InputFunctions.Utility_DisplayArrayInTable(SourceData_Swine.SourceData_Swine_MMS_MCFs_Data(),Table_SourceData_Swine_MMSMCF[[#Headers],[MMS]],0)</f>
        <v>0.01</v>
      </c>
      <c r="G29" s="34" cm="1">
        <f t="array" ref="G29">Common_InputFunctions.Utility_DisplayArrayInTable(SourceData_Swine.SourceData_Swine_MMS_MCFs_Data(),Table_SourceData_Swine_MMSMCF[[#Headers],[MMS]],0)</f>
        <v>0.03</v>
      </c>
      <c r="H29" s="34" cm="1">
        <f t="array" ref="H29">Common_InputFunctions.Utility_DisplayArrayInTable(SourceData_Swine.SourceData_Swine_MMS_MCFs_Data(),Table_SourceData_Swine_MMSMCF[[#Headers],[MMS]],0)</f>
        <v>0.03</v>
      </c>
      <c r="I29" s="34" cm="1">
        <f t="array" ref="I29">Common_InputFunctions.Utility_DisplayArrayInTable(SourceData_Swine.SourceData_Swine_MMS_MCFs_Data(),Table_SourceData_Swine_MMSMCF[[#Headers],[MMS]],0)</f>
        <v>0.01</v>
      </c>
      <c r="J29" s="34" cm="1">
        <f t="array" ref="J29">Common_InputFunctions.Utility_DisplayArrayInTable(SourceData_Swine.SourceData_Swine_MMS_MCFs_Data(),Table_SourceData_Swine_MMSMCF[[#Headers],[MMS]],0)</f>
        <v>0.01</v>
      </c>
      <c r="K29" s="34" cm="1">
        <f t="array" ref="K29">Common_InputFunctions.Utility_DisplayArrayInTable(SourceData_Swine.SourceData_Swine_MMS_MCFs_Data(),Table_SourceData_Swine_MMSMCF[[#Headers],[MMS]],0)</f>
        <v>0.01</v>
      </c>
      <c r="L29" s="34" cm="1">
        <f t="array" ref="L29">Common_InputFunctions.Utility_DisplayArrayInTable(SourceData_Swine.SourceData_Swine_MMS_MCFs_Data(),Table_SourceData_Swine_MMSMCF[[#Headers],[MMS]],0)</f>
        <v>0.01</v>
      </c>
      <c r="M29" s="34"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4" cm="1">
        <f t="array" ref="E30">Common_InputFunctions.Utility_DisplayArrayInTable(SourceData_Swine.SourceData_Swine_MMS_MCFs_Data(),Table_SourceData_Swine_MMSMCF[[#Headers],[MMS]],0)</f>
        <v>0.04</v>
      </c>
      <c r="F30" s="34" cm="1">
        <f t="array" ref="F30">Common_InputFunctions.Utility_DisplayArrayInTable(SourceData_Swine.SourceData_Swine_MMS_MCFs_Data(),Table_SourceData_Swine_MMSMCF[[#Headers],[MMS]],0)</f>
        <v>0.04</v>
      </c>
      <c r="G30" s="34" cm="1">
        <f t="array" ref="G30">Common_InputFunctions.Utility_DisplayArrayInTable(SourceData_Swine.SourceData_Swine_MMS_MCFs_Data(),Table_SourceData_Swine_MMSMCF[[#Headers],[MMS]],0)</f>
        <v>0.04</v>
      </c>
      <c r="H30" s="34" cm="1">
        <f t="array" ref="H30">Common_InputFunctions.Utility_DisplayArrayInTable(SourceData_Swine.SourceData_Swine_MMS_MCFs_Data(),Table_SourceData_Swine_MMSMCF[[#Headers],[MMS]],0)</f>
        <v>0.04</v>
      </c>
      <c r="I30" s="34" cm="1">
        <f t="array" ref="I30">Common_InputFunctions.Utility_DisplayArrayInTable(SourceData_Swine.SourceData_Swine_MMS_MCFs_Data(),Table_SourceData_Swine_MMSMCF[[#Headers],[MMS]],0)</f>
        <v>0.04</v>
      </c>
      <c r="J30" s="34" cm="1">
        <f t="array" ref="J30">Common_InputFunctions.Utility_DisplayArrayInTable(SourceData_Swine.SourceData_Swine_MMS_MCFs_Data(),Table_SourceData_Swine_MMSMCF[[#Headers],[MMS]],0)</f>
        <v>0.04</v>
      </c>
      <c r="K30" s="34" cm="1">
        <f t="array" ref="K30">Common_InputFunctions.Utility_DisplayArrayInTable(SourceData_Swine.SourceData_Swine_MMS_MCFs_Data(),Table_SourceData_Swine_MMSMCF[[#Headers],[MMS]],0)</f>
        <v>0.04</v>
      </c>
      <c r="L30" s="34" cm="1">
        <f t="array" ref="L30">Common_InputFunctions.Utility_DisplayArrayInTable(SourceData_Swine.SourceData_Swine_MMS_MCFs_Data(),Table_SourceData_Swine_MMSMCF[[#Headers],[MMS]],0)</f>
        <v>0.04</v>
      </c>
      <c r="M30" s="34"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4" cm="1">
        <f t="array" ref="E31">Common_InputFunctions.Utility_DisplayArrayInTable(SourceData_Swine.SourceData_Swine_MMS_MCFs_Data(),Table_SourceData_Swine_MMSMCF[[#Headers],[MMS]],0)</f>
        <v>0.02</v>
      </c>
      <c r="F31" s="34" cm="1">
        <f t="array" ref="F31">Common_InputFunctions.Utility_DisplayArrayInTable(SourceData_Swine.SourceData_Swine_MMS_MCFs_Data(),Table_SourceData_Swine_MMSMCF[[#Headers],[MMS]],0)</f>
        <v>0.02</v>
      </c>
      <c r="G31" s="34" cm="1">
        <f t="array" ref="G31">Common_InputFunctions.Utility_DisplayArrayInTable(SourceData_Swine.SourceData_Swine_MMS_MCFs_Data(),Table_SourceData_Swine_MMSMCF[[#Headers],[MMS]],0)</f>
        <v>0.02</v>
      </c>
      <c r="H31" s="34" cm="1">
        <f t="array" ref="H31">Common_InputFunctions.Utility_DisplayArrayInTable(SourceData_Swine.SourceData_Swine_MMS_MCFs_Data(),Table_SourceData_Swine_MMSMCF[[#Headers],[MMS]],0)</f>
        <v>0.02</v>
      </c>
      <c r="I31" s="34" cm="1">
        <f t="array" ref="I31">Common_InputFunctions.Utility_DisplayArrayInTable(SourceData_Swine.SourceData_Swine_MMS_MCFs_Data(),Table_SourceData_Swine_MMSMCF[[#Headers],[MMS]],0)</f>
        <v>0.02</v>
      </c>
      <c r="J31" s="34" cm="1">
        <f t="array" ref="J31">Common_InputFunctions.Utility_DisplayArrayInTable(SourceData_Swine.SourceData_Swine_MMS_MCFs_Data(),Table_SourceData_Swine_MMSMCF[[#Headers],[MMS]],0)</f>
        <v>0.02</v>
      </c>
      <c r="K31" s="34" cm="1">
        <f t="array" ref="K31">Common_InputFunctions.Utility_DisplayArrayInTable(SourceData_Swine.SourceData_Swine_MMS_MCFs_Data(),Table_SourceData_Swine_MMSMCF[[#Headers],[MMS]],0)</f>
        <v>0.02</v>
      </c>
      <c r="L31" s="34" cm="1">
        <f t="array" ref="L31">Common_InputFunctions.Utility_DisplayArrayInTable(SourceData_Swine.SourceData_Swine_MMS_MCFs_Data(),Table_SourceData_Swine_MMSMCF[[#Headers],[MMS]],0)</f>
        <v>0.02</v>
      </c>
      <c r="M31" s="34"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4" cm="1">
        <f t="array" ref="E32">Common_InputFunctions.Utility_DisplayArrayInTable(SourceData_Swine.SourceData_Swine_MMS_MCFs_Data(),Table_SourceData_Swine_MMSMCF[[#Headers],[MMS]],0)</f>
        <v>0.75</v>
      </c>
      <c r="F32" s="34" cm="1">
        <f t="array" ref="F32">Common_InputFunctions.Utility_DisplayArrayInTable(SourceData_Swine.SourceData_Swine_MMS_MCFs_Data(),Table_SourceData_Swine_MMSMCF[[#Headers],[MMS]],0)</f>
        <v>0.75</v>
      </c>
      <c r="G32" s="34" cm="1">
        <f t="array" ref="G32">Common_InputFunctions.Utility_DisplayArrayInTable(SourceData_Swine.SourceData_Swine_MMS_MCFs_Data(),Table_SourceData_Swine_MMSMCF[[#Headers],[MMS]],0)</f>
        <v>0.78</v>
      </c>
      <c r="H32" s="34" cm="1">
        <f t="array" ref="H32">Common_InputFunctions.Utility_DisplayArrayInTable(SourceData_Swine.SourceData_Swine_MMS_MCFs_Data(),Table_SourceData_Swine_MMSMCF[[#Headers],[MMS]],0)</f>
        <v>0.78</v>
      </c>
      <c r="I32" s="34" cm="1">
        <f t="array" ref="I32">Common_InputFunctions.Utility_DisplayArrayInTable(SourceData_Swine.SourceData_Swine_MMS_MCFs_Data(),Table_SourceData_Swine_MMSMCF[[#Headers],[MMS]],0)</f>
        <v>0.75</v>
      </c>
      <c r="J32" s="34" cm="1">
        <f t="array" ref="J32">Common_InputFunctions.Utility_DisplayArrayInTable(SourceData_Swine.SourceData_Swine_MMS_MCFs_Data(),Table_SourceData_Swine_MMSMCF[[#Headers],[MMS]],0)</f>
        <v>0.7</v>
      </c>
      <c r="K32" s="34" cm="1">
        <f t="array" ref="K32">Common_InputFunctions.Utility_DisplayArrayInTable(SourceData_Swine.SourceData_Swine_MMS_MCFs_Data(),Table_SourceData_Swine_MMSMCF[[#Headers],[MMS]],0)</f>
        <v>0.74</v>
      </c>
      <c r="L32" s="34" cm="1">
        <f t="array" ref="L32">Common_InputFunctions.Utility_DisplayArrayInTable(SourceData_Swine.SourceData_Swine_MMS_MCFs_Data(),Table_SourceData_Swine_MMSMCF[[#Headers],[MMS]],0)</f>
        <v>0.76</v>
      </c>
      <c r="M32" s="34"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4" cm="1">
        <f t="array" ref="E33">Common_InputFunctions.Utility_DisplayArrayInTable(SourceData_Swine.SourceData_Swine_MMS_MCFs_Data(),Table_SourceData_Swine_MMSMCF[[#Headers],[MMS]],0)</f>
        <v>0.1</v>
      </c>
      <c r="F33" s="34" cm="1">
        <f t="array" ref="F33">Common_InputFunctions.Utility_DisplayArrayInTable(SourceData_Swine.SourceData_Swine_MMS_MCFs_Data(),Table_SourceData_Swine_MMSMCF[[#Headers],[MMS]],0)</f>
        <v>0.1</v>
      </c>
      <c r="G33" s="34" cm="1">
        <f t="array" ref="G33">Common_InputFunctions.Utility_DisplayArrayInTable(SourceData_Swine.SourceData_Swine_MMS_MCFs_Data(),Table_SourceData_Swine_MMSMCF[[#Headers],[MMS]],0)</f>
        <v>0.1</v>
      </c>
      <c r="H33" s="34" cm="1">
        <f t="array" ref="H33">Common_InputFunctions.Utility_DisplayArrayInTable(SourceData_Swine.SourceData_Swine_MMS_MCFs_Data(),Table_SourceData_Swine_MMSMCF[[#Headers],[MMS]],0)</f>
        <v>0.1</v>
      </c>
      <c r="I33" s="34" cm="1">
        <f t="array" ref="I33">Common_InputFunctions.Utility_DisplayArrayInTable(SourceData_Swine.SourceData_Swine_MMS_MCFs_Data(),Table_SourceData_Swine_MMSMCF[[#Headers],[MMS]],0)</f>
        <v>0.1</v>
      </c>
      <c r="J33" s="34" cm="1">
        <f t="array" ref="J33">Common_InputFunctions.Utility_DisplayArrayInTable(SourceData_Swine.SourceData_Swine_MMS_MCFs_Data(),Table_SourceData_Swine_MMSMCF[[#Headers],[MMS]],0)</f>
        <v>0.1</v>
      </c>
      <c r="K33" s="34" cm="1">
        <f t="array" ref="K33">Common_InputFunctions.Utility_DisplayArrayInTable(SourceData_Swine.SourceData_Swine_MMS_MCFs_Data(),Table_SourceData_Swine_MMSMCF[[#Headers],[MMS]],0)</f>
        <v>0.1</v>
      </c>
      <c r="L33" s="34" cm="1">
        <f t="array" ref="L33">Common_InputFunctions.Utility_DisplayArrayInTable(SourceData_Swine.SourceData_Swine_MMS_MCFs_Data(),Table_SourceData_Swine_MMSMCF[[#Headers],[MMS]],0)</f>
        <v>0.1</v>
      </c>
      <c r="M33" s="34"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4" cm="1">
        <f t="array" ref="E34">Common_InputFunctions.Utility_DisplayArrayInTable(SourceData_Swine.SourceData_Swine_MMS_MCFs_Data(),Table_SourceData_Swine_MMSMCF[[#Headers],[MMS]],0)</f>
        <v>0.03</v>
      </c>
      <c r="F34" s="34" cm="1">
        <f t="array" ref="F34">Common_InputFunctions.Utility_DisplayArrayInTable(SourceData_Swine.SourceData_Swine_MMS_MCFs_Data(),Table_SourceData_Swine_MMSMCF[[#Headers],[MMS]],0)</f>
        <v>0.03</v>
      </c>
      <c r="G34" s="34" cm="1">
        <f t="array" ref="G34">Common_InputFunctions.Utility_DisplayArrayInTable(SourceData_Swine.SourceData_Swine_MMS_MCFs_Data(),Table_SourceData_Swine_MMSMCF[[#Headers],[MMS]],0)</f>
        <v>0.03</v>
      </c>
      <c r="H34" s="34" cm="1">
        <f t="array" ref="H34">Common_InputFunctions.Utility_DisplayArrayInTable(SourceData_Swine.SourceData_Swine_MMS_MCFs_Data(),Table_SourceData_Swine_MMSMCF[[#Headers],[MMS]],0)</f>
        <v>0.03</v>
      </c>
      <c r="I34" s="34" cm="1">
        <f t="array" ref="I34">Common_InputFunctions.Utility_DisplayArrayInTable(SourceData_Swine.SourceData_Swine_MMS_MCFs_Data(),Table_SourceData_Swine_MMSMCF[[#Headers],[MMS]],0)</f>
        <v>0.03</v>
      </c>
      <c r="J34" s="34" cm="1">
        <f t="array" ref="J34">Common_InputFunctions.Utility_DisplayArrayInTable(SourceData_Swine.SourceData_Swine_MMS_MCFs_Data(),Table_SourceData_Swine_MMSMCF[[#Headers],[MMS]],0)</f>
        <v>0.03</v>
      </c>
      <c r="K34" s="34" cm="1">
        <f t="array" ref="K34">Common_InputFunctions.Utility_DisplayArrayInTable(SourceData_Swine.SourceData_Swine_MMS_MCFs_Data(),Table_SourceData_Swine_MMSMCF[[#Headers],[MMS]],0)</f>
        <v>0.03</v>
      </c>
      <c r="L34" s="34" cm="1">
        <f t="array" ref="L34">Common_InputFunctions.Utility_DisplayArrayInTable(SourceData_Swine.SourceData_Swine_MMS_MCFs_Data(),Table_SourceData_Swine_MMSMCF[[#Headers],[MMS]],0)</f>
        <v>0.03</v>
      </c>
      <c r="M34" s="34"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4" cm="1">
        <f t="array" ref="E35">Common_InputFunctions.Utility_DisplayArrayInTable(SourceData_Swine.SourceData_Swine_MMS_MCFs_Data(),Table_SourceData_Swine_MMSMCF[[#Headers],[MMS]],0)</f>
        <v>0</v>
      </c>
      <c r="F35" s="34" cm="1">
        <f t="array" ref="F35">Common_InputFunctions.Utility_DisplayArrayInTable(SourceData_Swine.SourceData_Swine_MMS_MCFs_Data(),Table_SourceData_Swine_MMSMCF[[#Headers],[MMS]],0)</f>
        <v>0</v>
      </c>
      <c r="G35" s="34" cm="1">
        <f t="array" ref="G35">Common_InputFunctions.Utility_DisplayArrayInTable(SourceData_Swine.SourceData_Swine_MMS_MCFs_Data(),Table_SourceData_Swine_MMSMCF[[#Headers],[MMS]],0)</f>
        <v>0</v>
      </c>
      <c r="H35" s="34" cm="1">
        <f t="array" ref="H35">Common_InputFunctions.Utility_DisplayArrayInTable(SourceData_Swine.SourceData_Swine_MMS_MCFs_Data(),Table_SourceData_Swine_MMSMCF[[#Headers],[MMS]],0)</f>
        <v>0</v>
      </c>
      <c r="I35" s="34" cm="1">
        <f t="array" ref="I35">Common_InputFunctions.Utility_DisplayArrayInTable(SourceData_Swine.SourceData_Swine_MMS_MCFs_Data(),Table_SourceData_Swine_MMSMCF[[#Headers],[MMS]],0)</f>
        <v>0</v>
      </c>
      <c r="J35" s="34" cm="1">
        <f t="array" ref="J35">Common_InputFunctions.Utility_DisplayArrayInTable(SourceData_Swine.SourceData_Swine_MMS_MCFs_Data(),Table_SourceData_Swine_MMSMCF[[#Headers],[MMS]],0)</f>
        <v>0</v>
      </c>
      <c r="K35" s="34" cm="1">
        <f t="array" ref="K35">Common_InputFunctions.Utility_DisplayArrayInTable(SourceData_Swine.SourceData_Swine_MMS_MCFs_Data(),Table_SourceData_Swine_MMSMCF[[#Headers],[MMS]],0)</f>
        <v>0</v>
      </c>
      <c r="L35" s="34" cm="1">
        <f t="array" ref="L35">Common_InputFunctions.Utility_DisplayArrayInTable(SourceData_Swine.SourceData_Swine_MMS_MCFs_Data(),Table_SourceData_Swine_MMSMCF[[#Headers],[MMS]],0)</f>
        <v>0</v>
      </c>
      <c r="M35" s="34"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116</v>
      </c>
      <c r="G38" s="6" t="s">
        <v>117</v>
      </c>
      <c r="K38" s="6" t="s">
        <v>118</v>
      </c>
      <c r="M38" s="1"/>
    </row>
    <row r="39" spans="4:13" ht="20.100000000000001" customHeight="1" x14ac:dyDescent="0.25">
      <c r="M39" s="1"/>
    </row>
    <row r="40" spans="4:13" ht="20.100000000000001" customHeight="1" x14ac:dyDescent="0.25">
      <c r="D40" s="104" t="s">
        <v>49</v>
      </c>
      <c r="E40" s="34" t="s">
        <v>59</v>
      </c>
      <c r="G40" s="104" t="s">
        <v>49</v>
      </c>
      <c r="H40" s="34" t="s">
        <v>59</v>
      </c>
      <c r="K40" s="104" t="s">
        <v>49</v>
      </c>
      <c r="L40" s="34" t="s">
        <v>59</v>
      </c>
      <c r="M40" s="1"/>
    </row>
    <row r="41" spans="4:13" ht="20.100000000000001" customHeight="1" x14ac:dyDescent="0.25">
      <c r="D41" s="34" t="str">
        <f>'Constants - Livestock'!$E$10</f>
        <v>Anaerobic lagoon</v>
      </c>
      <c r="E41" s="34" t="str">
        <f>'Constants - Livestock'!$F$10</f>
        <v>Anaerobic lagoon (m=1)</v>
      </c>
      <c r="G41" s="34" t="str">
        <f>'Constants - Livestock'!$E$10</f>
        <v>Anaerobic lagoon</v>
      </c>
      <c r="H41" s="34" t="str">
        <f>'Constants - Livestock'!$F$10</f>
        <v>Anaerobic lagoon (m=1)</v>
      </c>
      <c r="K41" s="34" t="str">
        <f>'Constants - Livestock'!$E$10</f>
        <v>Anaerobic lagoon</v>
      </c>
      <c r="L41" s="34" t="str">
        <f>'Constants - Livestock'!$F$10</f>
        <v>Anaerobic lagoon (m=1)</v>
      </c>
      <c r="M41" s="1"/>
    </row>
    <row r="42" spans="4:13" ht="20.100000000000001" customHeight="1" x14ac:dyDescent="0.25">
      <c r="D42" s="34" t="str">
        <f>'Constants - Livestock'!$E$15</f>
        <v>Solid storage</v>
      </c>
      <c r="E42" s="34" t="str">
        <f>'Constants - Livestock'!$F$15</f>
        <v>Solid storage (m=4)</v>
      </c>
      <c r="G42" s="34" t="str">
        <f>'Constants - Livestock'!$E$16</f>
        <v>Drylot (feed pad)</v>
      </c>
      <c r="H42" s="34" t="str">
        <f>'Constants - Livestock'!$F$16</f>
        <v>Drylot (feed pad) (m=5)</v>
      </c>
      <c r="K42" s="34" t="str">
        <f>'Constants - Livestock'!$E$15</f>
        <v>Solid storage</v>
      </c>
      <c r="L42" s="34" t="str">
        <f>'Constants - Livestock'!$F$15</f>
        <v>Solid storage (m=4)</v>
      </c>
      <c r="M42" s="1"/>
    </row>
    <row r="43" spans="4:13" ht="20.100000000000001" customHeight="1" x14ac:dyDescent="0.25">
      <c r="D43" s="34" t="str">
        <f>'Constants - Livestock'!$E$16</f>
        <v>Drylot (feed pad)</v>
      </c>
      <c r="E43" s="34" t="str">
        <f>'Constants - Livestock'!$F$16</f>
        <v>Drylot (feed pad) (m=5)</v>
      </c>
      <c r="G43" s="34" t="str">
        <f>'Constants - Livestock'!$E$18</f>
        <v>Digester / covered lagoons</v>
      </c>
      <c r="H43" s="34" t="str">
        <f>'Constants - Livestock'!$F$18</f>
        <v>Digester / covered lagoons (m=7)</v>
      </c>
      <c r="K43" s="34" t="str">
        <f>'Constants - Livestock'!$E$16</f>
        <v>Drylot (feed pad)</v>
      </c>
      <c r="L43" s="34" t="str">
        <f>'Constants - Livestock'!$F$16</f>
        <v>Drylot (feed pad) (m=5)</v>
      </c>
      <c r="M43" s="1"/>
    </row>
    <row r="44" spans="4:13" ht="20.100000000000001" customHeight="1" x14ac:dyDescent="0.25">
      <c r="D44" s="34" t="str">
        <f>'Constants - Livestock'!$E$18</f>
        <v>Digester / covered lagoons</v>
      </c>
      <c r="E44" s="34" t="str">
        <f>'Constants - Livestock'!$F$18</f>
        <v>Digester / covered lagoons (m=7)</v>
      </c>
      <c r="G44" s="34" t="str">
        <f>'Constants - Livestock'!$E$19</f>
        <v>Deep litter</v>
      </c>
      <c r="H44" s="34" t="str">
        <f>'Constants - Livestock'!$F$19</f>
        <v>Deep litter (m=8)</v>
      </c>
      <c r="K44" s="34" t="str">
        <f>'Constants - Livestock'!$E$18</f>
        <v>Digester / covered lagoons</v>
      </c>
      <c r="L44" s="34" t="str">
        <f>'Constants - Livestock'!$F$18</f>
        <v>Digester / covered lagoons (m=7)</v>
      </c>
      <c r="M44" s="1"/>
    </row>
    <row r="45" spans="4:13" ht="20.100000000000001" customHeight="1" x14ac:dyDescent="0.25">
      <c r="D45" s="34" t="str">
        <f>'Constants - Livestock'!$E$19</f>
        <v>Deep litter</v>
      </c>
      <c r="E45" s="34" t="str">
        <f>'Constants - Livestock'!$F$19</f>
        <v>Deep litter (m=8)</v>
      </c>
      <c r="G45" s="34" t="str">
        <f>'Constants - Livestock'!$E$20</f>
        <v>Pit storage</v>
      </c>
      <c r="H45" s="34" t="str">
        <f>'Constants - Livestock'!$F$20</f>
        <v>Pit storage (m=9)</v>
      </c>
      <c r="K45" s="34" t="str">
        <f>'Constants - Livestock'!$E$19</f>
        <v>Deep litter</v>
      </c>
      <c r="L45" s="34" t="str">
        <f>'Constants - Livestock'!$F$19</f>
        <v>Deep litter (m=8)</v>
      </c>
      <c r="M45" s="1"/>
    </row>
    <row r="46" spans="4:13" ht="20.100000000000001" customHeight="1" x14ac:dyDescent="0.25">
      <c r="D46" s="34" t="str">
        <f>'Constants - Livestock'!$E$20</f>
        <v>Pit storage</v>
      </c>
      <c r="E46" s="34" t="str">
        <f>'Constants - Livestock'!$F$20</f>
        <v>Pit storage (m=9)</v>
      </c>
      <c r="K46" s="34" t="str">
        <f>'Constants - Livestock'!$E$20</f>
        <v>Pit storage</v>
      </c>
      <c r="L46" s="34" t="str">
        <f>'Constants - Livestock'!$F$20</f>
        <v>Pit storage (m=9)</v>
      </c>
      <c r="M46" s="1"/>
    </row>
    <row r="47" spans="4:13" ht="20.100000000000001" customHeight="1" x14ac:dyDescent="0.25">
      <c r="D47" s="34" t="str">
        <f>'Constants - Livestock'!$E$26</f>
        <v>Direct application</v>
      </c>
      <c r="E47" s="34"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119</v>
      </c>
      <c r="G51" s="6" t="s">
        <v>120</v>
      </c>
      <c r="M51" s="1"/>
    </row>
    <row r="52" spans="1:13" ht="20.100000000000001" customHeight="1" x14ac:dyDescent="0.25">
      <c r="M52" s="1"/>
    </row>
    <row r="53" spans="1:13" ht="20.100000000000001" customHeight="1" x14ac:dyDescent="0.25">
      <c r="D53" s="104" t="s">
        <v>49</v>
      </c>
      <c r="E53" s="34" t="s">
        <v>121</v>
      </c>
      <c r="G53" s="34" t="s">
        <v>82</v>
      </c>
      <c r="M53" s="1"/>
    </row>
    <row r="54" spans="1:13" ht="20.100000000000001" customHeight="1" x14ac:dyDescent="0.25">
      <c r="D54" s="34" t="str">
        <f>'Constants - Livestock'!$E$10</f>
        <v>Anaerobic lagoon</v>
      </c>
      <c r="E54" s="34">
        <v>0</v>
      </c>
      <c r="G54" s="34"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4" t="str">
        <f>'Constants - Livestock'!$E$15</f>
        <v>Solid storage</v>
      </c>
      <c r="E55" s="34">
        <v>0</v>
      </c>
      <c r="G55" s="34"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4" t="str">
        <f>'Constants - Livestock'!$E$16</f>
        <v>Drylot (feed pad)</v>
      </c>
      <c r="E56" s="34">
        <v>0</v>
      </c>
      <c r="G56" s="34"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4" t="str">
        <f>'Constants - Livestock'!$E$18</f>
        <v>Digester / covered lagoons</v>
      </c>
      <c r="E57" s="34">
        <v>0.75</v>
      </c>
      <c r="M57" s="1"/>
    </row>
    <row r="58" spans="1:13" ht="20.100000000000001" customHeight="1" x14ac:dyDescent="0.25">
      <c r="D58" s="34" t="str">
        <f>'Constants - Livestock'!$E$19</f>
        <v>Deep litter</v>
      </c>
      <c r="E58" s="34">
        <v>0.05</v>
      </c>
      <c r="M58" s="1"/>
    </row>
    <row r="59" spans="1:13" ht="20.100000000000001" customHeight="1" x14ac:dyDescent="0.25">
      <c r="D59" s="34" t="str">
        <f>'Constants - Livestock'!$E$20</f>
        <v>Pit storage</v>
      </c>
      <c r="E59" s="34">
        <v>0</v>
      </c>
      <c r="M59" s="1"/>
    </row>
    <row r="60" spans="1:13" ht="20.100000000000001" customHeight="1" x14ac:dyDescent="0.25">
      <c r="D60" s="34" t="str">
        <f>'Constants - Livestock'!$E$26</f>
        <v>Direct application</v>
      </c>
      <c r="E60" s="34">
        <v>0</v>
      </c>
      <c r="M60" s="1"/>
    </row>
    <row r="61" spans="1:13" ht="20.100000000000001" customHeight="1" x14ac:dyDescent="0.25">
      <c r="M61" s="1"/>
    </row>
    <row r="62" spans="1:13" ht="20.100000000000001" customHeight="1" x14ac:dyDescent="0.25">
      <c r="M62" s="1"/>
    </row>
    <row r="63" spans="1:13" ht="20.100000000000001" customHeight="1" x14ac:dyDescent="0.25">
      <c r="A63" s="118"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0"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4" t="s">
        <v>111</v>
      </c>
      <c r="E67" s="34" t="s">
        <v>112</v>
      </c>
      <c r="M67" s="1"/>
    </row>
    <row r="68" spans="4:22" ht="20.100000000000001" customHeight="1" x14ac:dyDescent="0.25">
      <c r="D68" s="34" t="str" cm="1">
        <f t="array" ref="D68">Common_InputFunctions.Utility_DisplayArrayInTable(SourceData_Swine.SourceData_Swine_VolatileSolids_Data(), Table_SourceData_Swine_VolatileSolids[[#Headers],[Class]], 0)</f>
        <v>Boars</v>
      </c>
      <c r="E68" s="34"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4"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4"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4"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0"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4" t="s">
        <v>111</v>
      </c>
      <c r="E78" s="34" t="s">
        <v>132</v>
      </c>
      <c r="M78" s="1"/>
      <c r="V78" s="1"/>
    </row>
    <row r="79" spans="4:22" ht="20.100000000000001" customHeight="1" x14ac:dyDescent="0.25">
      <c r="D79" s="34" t="str" cm="1">
        <f t="array" ref="D79">Common_InputFunctions.Utility_DisplayArrayInTable(SourceData_Swine.SourceData_Swine_FeedIntake_Data(), Table_SourceData_Swine_FeedIntake[[#Headers],[Class]], 0)</f>
        <v>Boars</v>
      </c>
      <c r="E79" s="34" cm="1">
        <f t="array" ref="E79">Common_InputFunctions.Utility_DisplayArrayInTable(SourceData_Swine.SourceData_Swine_FeedIntake_Data(), Table_SourceData_Swine_FeedIntake[[#Headers],[Class]], 0)</f>
        <v>2.62</v>
      </c>
      <c r="M79" s="1"/>
      <c r="V79" s="1"/>
    </row>
    <row r="80" spans="4:22" ht="20.100000000000001" customHeight="1" x14ac:dyDescent="0.25">
      <c r="D80" s="34" t="str" cm="1">
        <f t="array" ref="D80">Common_InputFunctions.Utility_DisplayArrayInTable(SourceData_Swine.SourceData_Swine_FeedIntake_Data(), Table_SourceData_Swine_FeedIntake[[#Headers],[Class]], 0)</f>
        <v>Sows</v>
      </c>
      <c r="E80" s="34"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4" t="str" cm="1">
        <f t="array" ref="D81">Common_InputFunctions.Utility_DisplayArrayInTable(SourceData_Swine.SourceData_Swine_FeedIntake_Data(), Table_SourceData_Swine_FeedIntake[[#Headers],[Class]], 0)</f>
        <v>Gilts</v>
      </c>
      <c r="E81" s="34" cm="1">
        <f t="array" ref="E81">Common_InputFunctions.Utility_DisplayArrayInTable(SourceData_Swine.SourceData_Swine_FeedIntake_Data(), Table_SourceData_Swine_FeedIntake[[#Headers],[Class]], 0)</f>
        <v>2.5</v>
      </c>
      <c r="M81" s="1"/>
      <c r="V81" s="1"/>
    </row>
    <row r="82" spans="4:23" ht="20.100000000000001" customHeight="1" x14ac:dyDescent="0.25">
      <c r="D82" s="34" t="str" cm="1">
        <f t="array" ref="D82">Common_InputFunctions.Utility_DisplayArrayInTable(SourceData_Swine.SourceData_Swine_FeedIntake_Data(), Table_SourceData_Swine_FeedIntake[[#Headers],[Class]], 0)</f>
        <v>Others</v>
      </c>
      <c r="E82" s="34"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0"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4" t="s">
        <v>111</v>
      </c>
      <c r="E89" s="34" t="s">
        <v>130</v>
      </c>
      <c r="F89" s="34" t="s">
        <v>131</v>
      </c>
      <c r="G89" s="34" t="s">
        <v>138</v>
      </c>
      <c r="M89" s="1"/>
      <c r="V89" s="1"/>
      <c r="W89" s="1"/>
    </row>
    <row r="90" spans="4:23" ht="20.100000000000001" customHeight="1" x14ac:dyDescent="0.25">
      <c r="D90" s="34" t="str" cm="1">
        <f t="array" ref="D90">Common_InputFunctions.Utility_DisplayArrayInTable(SourceData_Swine.SourceData_Swine_NitrogenInWaste_Data(), Table_SourceData_Swine_NitrogenInWaste[[#Headers],[Class]], 0)</f>
        <v>Boars</v>
      </c>
      <c r="E90" s="34" cm="1">
        <f t="array" ref="E90">Common_InputFunctions.Utility_DisplayArrayInTable(SourceData_Swine.SourceData_Swine_NitrogenInWaste_Data(), Table_SourceData_Swine_NitrogenInWaste[[#Headers],[Class]], 0)</f>
        <v>4.5999999999999999E-2</v>
      </c>
      <c r="F90" s="34" cm="1">
        <f t="array" ref="F90">Common_InputFunctions.Utility_DisplayArrayInTable(SourceData_Swine.SourceData_Swine_NitrogenInWaste_Data(), Table_SourceData_Swine_NitrogenInWaste[[#Headers],[Class]], 0)</f>
        <v>4.5999999999999999E-2</v>
      </c>
      <c r="G90" s="34"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4" t="str" cm="1">
        <f t="array" ref="D91">Common_InputFunctions.Utility_DisplayArrayInTable(SourceData_Swine.SourceData_Swine_NitrogenInWaste_Data(), Table_SourceData_Swine_NitrogenInWaste[[#Headers],[Class]], 0)</f>
        <v>Sows</v>
      </c>
      <c r="E91" s="34" cm="1">
        <f t="array" ref="E91">Common_InputFunctions.Utility_DisplayArrayInTable(SourceData_Swine.SourceData_Swine_NitrogenInWaste_Data(), Table_SourceData_Swine_NitrogenInWaste[[#Headers],[Class]], 0)</f>
        <v>4.9000000000000002E-2</v>
      </c>
      <c r="F91" s="34" cm="1">
        <f t="array" ref="F91">Common_InputFunctions.Utility_DisplayArrayInTable(SourceData_Swine.SourceData_Swine_NitrogenInWaste_Data(), Table_SourceData_Swine_NitrogenInWaste[[#Headers],[Class]], 0)</f>
        <v>4.9000000000000002E-2</v>
      </c>
      <c r="G91" s="34"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4" t="str" cm="1">
        <f t="array" ref="D92">Common_InputFunctions.Utility_DisplayArrayInTable(SourceData_Swine.SourceData_Swine_NitrogenInWaste_Data(), Table_SourceData_Swine_NitrogenInWaste[[#Headers],[Class]], 0)</f>
        <v>Gilts</v>
      </c>
      <c r="E92" s="34" cm="1">
        <f t="array" ref="E92">Common_InputFunctions.Utility_DisplayArrayInTable(SourceData_Swine.SourceData_Swine_NitrogenInWaste_Data(), Table_SourceData_Swine_NitrogenInWaste[[#Headers],[Class]], 0)</f>
        <v>4.5999999999999999E-2</v>
      </c>
      <c r="F92" s="34" cm="1">
        <f t="array" ref="F92">Common_InputFunctions.Utility_DisplayArrayInTable(SourceData_Swine.SourceData_Swine_NitrogenInWaste_Data(), Table_SourceData_Swine_NitrogenInWaste[[#Headers],[Class]], 0)</f>
        <v>4.5999999999999999E-2</v>
      </c>
      <c r="G92" s="34"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4" t="str" cm="1">
        <f t="array" ref="D93">Common_InputFunctions.Utility_DisplayArrayInTable(SourceData_Swine.SourceData_Swine_NitrogenInWaste_Data(), Table_SourceData_Swine_NitrogenInWaste[[#Headers],[Class]], 0)</f>
        <v>Others (kg/head/year)</v>
      </c>
      <c r="E93" s="34" cm="1">
        <f t="array" ref="E93">Common_InputFunctions.Utility_DisplayArrayInTable(SourceData_Swine.SourceData_Swine_NitrogenInWaste_Data(), Table_SourceData_Swine_NitrogenInWaste[[#Headers],[Class]], 0)</f>
        <v>11.4</v>
      </c>
      <c r="F93" s="34" cm="1">
        <f t="array" ref="F93">Common_InputFunctions.Utility_DisplayArrayInTable(SourceData_Swine.SourceData_Swine_NitrogenInWaste_Data(), Table_SourceData_Swine_NitrogenInWaste[[#Headers],[Class]], 0)</f>
        <v>3.1199999999999999E-2</v>
      </c>
      <c r="G93" s="34"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0" t="str" cm="1">
        <f t="array" ref="D98">SourceData_Swine.SourceData_Swine_FractionNVolatilised_Variation()</f>
        <v>VARIATION ON SOURCE DATA: Added 'NIR reference column to aid lookup.</v>
      </c>
      <c r="M98" s="1"/>
    </row>
    <row r="99" spans="4:13" ht="20.100000000000001" customHeight="1" x14ac:dyDescent="0.25">
      <c r="D99" s="34" t="s">
        <v>133</v>
      </c>
      <c r="E99" s="34" t="s">
        <v>134</v>
      </c>
      <c r="F99" s="34" t="s">
        <v>135</v>
      </c>
      <c r="M99" s="1"/>
    </row>
    <row r="100" spans="4:13" ht="20.100000000000001" customHeight="1" x14ac:dyDescent="0.25">
      <c r="D100" s="34" t="str" cm="1">
        <f t="array" ref="D100">Common_InputFunctions.Utility_DisplayArrayInTable(SourceData_Swine.SourceData_Swine_FractionNVolatilised_Data(), Table_SourceData_Swine_FracGASM[[#Headers],[MMSm]],0)</f>
        <v>Outdoor (Dry lot)</v>
      </c>
      <c r="E100" s="34" cm="1">
        <f t="array" ref="E100">Common_InputFunctions.Utility_DisplayArrayInTable(SourceData_Swine.SourceData_Swine_FractionNVolatilised_Data(), Table_SourceData_Swine_FracGASM[[#Headers],[MMSm]],0)</f>
        <v>0.3</v>
      </c>
      <c r="F100" s="34"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4" t="str" cm="1">
        <f t="array" ref="D101">Common_InputFunctions.Utility_DisplayArrayInTable(SourceData_Swine.SourceData_Swine_FractionNVolatilised_Data(), Table_SourceData_Swine_FracGASM[[#Headers],[MMSm]],0)</f>
        <v>Deep litter</v>
      </c>
      <c r="E101" s="34" cm="1">
        <f t="array" ref="E101">Common_InputFunctions.Utility_DisplayArrayInTable(SourceData_Swine.SourceData_Swine_FractionNVolatilised_Data(), Table_SourceData_Swine_FracGASM[[#Headers],[MMSm]],0)</f>
        <v>0.125</v>
      </c>
      <c r="F101" s="34"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4" t="str" cm="1">
        <f t="array" ref="D102">Common_InputFunctions.Utility_DisplayArrayInTable(SourceData_Swine.SourceData_Swine_FractionNVolatilised_Data(), Table_SourceData_Swine_FracGASM[[#Headers],[MMSm]],0)</f>
        <v>Stockpile (Solid storage)</v>
      </c>
      <c r="E102" s="34" cm="1">
        <f t="array" ref="E102">Common_InputFunctions.Utility_DisplayArrayInTable(SourceData_Swine.SourceData_Swine_FractionNVolatilised_Data(), Table_SourceData_Swine_FracGASM[[#Headers],[MMSm]],0)</f>
        <v>0.2</v>
      </c>
      <c r="F102" s="34"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4" t="str" cm="1">
        <f t="array" ref="D103">Common_InputFunctions.Utility_DisplayArrayInTable(SourceData_Swine.SourceData_Swine_FractionNVolatilised_Data(), Table_SourceData_Swine_FracGASM[[#Headers],[MMSm]],0)</f>
        <v>Effluent pond (Uncovered anaerobic lagoon)</v>
      </c>
      <c r="E103" s="34" cm="1">
        <f t="array" ref="E103">Common_InputFunctions.Utility_DisplayArrayInTable(SourceData_Swine.SourceData_Swine_FractionNVolatilised_Data(), Table_SourceData_Swine_FracGASM[[#Headers],[MMSm]],0)</f>
        <v>0.55000000000000004</v>
      </c>
      <c r="F103" s="34"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4" t="str" cm="1">
        <f t="array" ref="D104">Common_InputFunctions.Utility_DisplayArrayInTable(SourceData_Swine.SourceData_Swine_FractionNVolatilised_Data(), Table_SourceData_Swine_FracGASM[[#Headers],[MMSm]],0)</f>
        <v>Anaerobic digester / Covered lagoon</v>
      </c>
      <c r="E104" s="34" cm="1">
        <f t="array" ref="E104">Common_InputFunctions.Utility_DisplayArrayInTable(SourceData_Swine.SourceData_Swine_FractionNVolatilised_Data(), Table_SourceData_Swine_FracGASM[[#Headers],[MMSm]],0)</f>
        <v>0</v>
      </c>
      <c r="F104" s="34"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4" t="str" cm="1">
        <f t="array" ref="D105">Common_InputFunctions.Utility_DisplayArrayInTable(SourceData_Swine.SourceData_Swine_FractionNVolatilised_Data(), Table_SourceData_Swine_FracGASM[[#Headers],[MMSm]],0)</f>
        <v>Short HRT tank storage &lt; 1 month (pit storage)</v>
      </c>
      <c r="E105" s="34" cm="1">
        <f t="array" ref="E105">Common_InputFunctions.Utility_DisplayArrayInTable(SourceData_Swine.SourceData_Swine_FractionNVolatilised_Data(), Table_SourceData_Swine_FracGASM[[#Headers],[MMSm]],0)</f>
        <v>0.25</v>
      </c>
      <c r="F105" s="34"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0" t="str" cm="1">
        <f t="array" ref="D110">SourceData_Swine.SourceData_Swine_NitrousOxideEFs_Variation()</f>
        <v>VARIATION ON SOURCE DATA: Added 'NIR reference column to aid lookup.</v>
      </c>
      <c r="M110" s="1"/>
    </row>
    <row r="111" spans="4:13" ht="20.100000000000001" customHeight="1" x14ac:dyDescent="0.25">
      <c r="D111" s="34" t="s">
        <v>133</v>
      </c>
      <c r="E111" s="34" t="s">
        <v>136</v>
      </c>
      <c r="F111" s="34" t="s">
        <v>135</v>
      </c>
      <c r="M111" s="1"/>
    </row>
    <row r="112" spans="4:13" ht="20.100000000000001" customHeight="1" x14ac:dyDescent="0.25">
      <c r="D112" s="34" t="str" cm="1">
        <f t="array" ref="D112">Common_InputFunctions.Utility_DisplayArrayInTable(SourceData_Swine.SourceData_Swine_NitrousOxideEFs_Data(), Table_SourceData_Swine_FracGASM28[[#Headers],[MMSm]],0)</f>
        <v>Outdoor (Dry lot)</v>
      </c>
      <c r="E112" s="34" cm="1">
        <f t="array" ref="E112">Common_InputFunctions.Utility_DisplayArrayInTable(SourceData_Swine.SourceData_Swine_NitrousOxideEFs_Data(), Table_SourceData_Swine_FracGASM28[[#Headers],[MMSm]],0)</f>
        <v>0.02</v>
      </c>
      <c r="F112" s="34"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4" t="str" cm="1">
        <f t="array" ref="D113">Common_InputFunctions.Utility_DisplayArrayInTable(SourceData_Swine.SourceData_Swine_NitrousOxideEFs_Data(), Table_SourceData_Swine_FracGASM28[[#Headers],[MMSm]],0)</f>
        <v>Deep litter</v>
      </c>
      <c r="E113" s="34" cm="1">
        <f t="array" ref="E113">Common_InputFunctions.Utility_DisplayArrayInTable(SourceData_Swine.SourceData_Swine_NitrousOxideEFs_Data(), Table_SourceData_Swine_FracGASM28[[#Headers],[MMSm]],0)</f>
        <v>0.01</v>
      </c>
      <c r="F113" s="34"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4" t="str" cm="1">
        <f t="array" ref="D114">Common_InputFunctions.Utility_DisplayArrayInTable(SourceData_Swine.SourceData_Swine_NitrousOxideEFs_Data(), Table_SourceData_Swine_FracGASM28[[#Headers],[MMSm]],0)</f>
        <v>Stockpile (Solid storage)</v>
      </c>
      <c r="E114" s="34" cm="1">
        <f t="array" ref="E114">Common_InputFunctions.Utility_DisplayArrayInTable(SourceData_Swine.SourceData_Swine_NitrousOxideEFs_Data(), Table_SourceData_Swine_FracGASM28[[#Headers],[MMSm]],0)</f>
        <v>5.0000000000000001E-3</v>
      </c>
      <c r="F114" s="34"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4" t="str" cm="1">
        <f t="array" ref="D115">Common_InputFunctions.Utility_DisplayArrayInTable(SourceData_Swine.SourceData_Swine_NitrousOxideEFs_Data(), Table_SourceData_Swine_FracGASM28[[#Headers],[MMSm]],0)</f>
        <v>Effluent pond (Uncovered anaerobic lagoon)</v>
      </c>
      <c r="E115" s="34" cm="1">
        <f t="array" ref="E115">Common_InputFunctions.Utility_DisplayArrayInTable(SourceData_Swine.SourceData_Swine_NitrousOxideEFs_Data(), Table_SourceData_Swine_FracGASM28[[#Headers],[MMSm]],0)</f>
        <v>0</v>
      </c>
      <c r="F115" s="34"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4" t="str" cm="1">
        <f t="array" ref="D116">Common_InputFunctions.Utility_DisplayArrayInTable(SourceData_Swine.SourceData_Swine_NitrousOxideEFs_Data(), Table_SourceData_Swine_FracGASM28[[#Headers],[MMSm]],0)</f>
        <v>Anaerobic digestor / Covered lagoon</v>
      </c>
      <c r="E116" s="34" cm="1">
        <f t="array" ref="E116">Common_InputFunctions.Utility_DisplayArrayInTable(SourceData_Swine.SourceData_Swine_NitrousOxideEFs_Data(), Table_SourceData_Swine_FracGASM28[[#Headers],[MMSm]],0)</f>
        <v>0</v>
      </c>
      <c r="F116" s="34"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18" t="str">
        <f>HYPERLINK("#A1", "▲ Back to top")</f>
        <v>▲ Back to top</v>
      </c>
      <c r="D117" s="34" t="str" cm="1">
        <f t="array" ref="D117">Common_InputFunctions.Utility_DisplayArrayInTable(SourceData_Swine.SourceData_Swine_NitrousOxideEFs_Data(), Table_SourceData_Swine_FracGASM28[[#Headers],[MMSm]],0)</f>
        <v>Short HRT tank storage &lt; 1 month (pit storage)</v>
      </c>
      <c r="E117" s="34" cm="1">
        <f t="array" ref="E117">Common_InputFunctions.Utility_DisplayArrayInTable(SourceData_Swine.SourceData_Swine_NitrousOxideEFs_Data(), Table_SourceData_Swine_FracGASM28[[#Headers],[MMSm]],0)</f>
        <v>2E-3</v>
      </c>
      <c r="F117" s="34"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D120" s="6" t="str" cm="1">
        <f t="array" ref="D120">SourceData_Swine.SourceData_Swine_MegajoulesPerKilogramMethane_Title()</f>
        <v>Megajoules per kilogram of methane</v>
      </c>
      <c r="M120" s="1"/>
    </row>
    <row r="121" spans="1:22" ht="20.100000000000001" customHeight="1" x14ac:dyDescent="0.25">
      <c r="D121" s="5" t="str" cm="1">
        <f t="array" ref="D121">SourceData_Swine.SourceData_Swine_MegajoulesPerKilogramMethane_Source()</f>
        <v>VEERG 2026: 3.5.2.3 CONSTANT</v>
      </c>
      <c r="M121" s="1"/>
    </row>
    <row r="122" spans="1:22" ht="20.100000000000001" customHeight="1" x14ac:dyDescent="0.25">
      <c r="D122" s="48" t="str" cm="1">
        <f t="array" ref="D122">SourceData_Swine.SourceData_Swine_MegajoulesPerKilogramMethane_Variable()</f>
        <v>F</v>
      </c>
      <c r="E122" s="1" cm="1">
        <f t="array" ref="E122">SourceData_Swine.SourceData_Swine_MegajoulesPerKilogramMethane_Data()</f>
        <v>55.22</v>
      </c>
      <c r="F122" s="49" t="str" cm="1">
        <f t="array" ref="F122">SourceData_Swine.SourceData_Swine_MegajoulesPerKilogramMethane_Unit()</f>
        <v>MJ / kg CH4</v>
      </c>
      <c r="M122" s="1"/>
    </row>
    <row r="123" spans="1:22" ht="20.100000000000001" customHeight="1" x14ac:dyDescent="0.25">
      <c r="M123" s="1"/>
    </row>
    <row r="124" spans="1:22" ht="20.100000000000001" customHeight="1" x14ac:dyDescent="0.25">
      <c r="M124" s="1"/>
    </row>
    <row r="125" spans="1:22" ht="20.100000000000001" customHeight="1" x14ac:dyDescent="0.25">
      <c r="D125" s="6" t="str" cm="1">
        <f t="array" ref="D125">SourceData_Swine.SourceData_Swine_AverageLiveweight_Title()</f>
        <v>Swine - Average liveweight (inventory defaults) (kg) (Wco)</v>
      </c>
      <c r="M125" s="1"/>
      <c r="V125" s="1"/>
    </row>
    <row r="126" spans="1:22" ht="20.100000000000001" customHeight="1" x14ac:dyDescent="0.25">
      <c r="D126" s="5" t="str" cm="1">
        <f t="array" ref="D126">SourceData_Swine.SourceData_Swine_AverageLiveweight_Source()</f>
        <v>VEERG 2026: Table A.1.6.5: Swine - Average liveweight (inventory defaults) (kg) (Wco)</v>
      </c>
      <c r="M126" s="1"/>
      <c r="V126" s="1"/>
    </row>
    <row r="127" spans="1:22" ht="20.100000000000001" customHeight="1" x14ac:dyDescent="0.25">
      <c r="D127" s="126" t="s">
        <v>170</v>
      </c>
      <c r="E127" s="126" t="s">
        <v>171</v>
      </c>
      <c r="M127" s="1"/>
      <c r="V127" s="1"/>
    </row>
    <row r="128" spans="1:22" ht="20.100000000000001" customHeight="1" x14ac:dyDescent="0.25">
      <c r="D128" s="126" t="str" cm="1">
        <f t="array" ref="D128">Common_InputFunctions.Utility_DisplayArrayInTable(SourceData_Swine.SourceData_Swine_AverageLiveweight_Data(),Table_SourceData_Swine_Liveweight[[#Headers],[Livestock type j]],0)</f>
        <v>Sows</v>
      </c>
      <c r="E128" s="126"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4"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4"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4"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4"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1428C-4DC5-4BD6-BBEB-2A47208D1A43}">
  <dimension ref="A1:BY250"/>
  <sheetViews>
    <sheetView showGridLines="0" topLeftCell="A191" zoomScale="85" zoomScaleNormal="85" workbookViewId="0">
      <selection activeCell="E257" sqref="E257"/>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4" t="s">
        <v>11</v>
      </c>
      <c r="E6" s="34" t="s">
        <v>12</v>
      </c>
      <c r="F6" s="34" t="s">
        <v>13</v>
      </c>
    </row>
    <row r="7" spans="1:65" ht="20.100000000000001" customHeight="1" x14ac:dyDescent="0.25">
      <c r="A7"/>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4" t="s">
        <v>14</v>
      </c>
    </row>
    <row r="21" spans="1:4" ht="20.100000000000001" customHeight="1" x14ac:dyDescent="0.25">
      <c r="A21"/>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16</v>
      </c>
      <c r="E36" s="34" t="s">
        <v>17</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4" t="s">
        <v>16</v>
      </c>
      <c r="E47" s="34" t="s">
        <v>19</v>
      </c>
      <c r="F47" s="34" t="s">
        <v>20</v>
      </c>
      <c r="G47" s="34" t="s">
        <v>21</v>
      </c>
      <c r="H47" s="34" t="s">
        <v>22</v>
      </c>
    </row>
    <row r="48" spans="1:8" ht="20.100000000000001" customHeight="1" x14ac:dyDescent="0.25">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4:8" ht="20.100000000000001" customHeight="1" x14ac:dyDescent="0.25">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4:8" ht="20.100000000000001" customHeight="1" x14ac:dyDescent="0.25">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4:8" ht="20.100000000000001" customHeight="1" x14ac:dyDescent="0.25">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4:8" ht="20.100000000000001" customHeight="1" x14ac:dyDescent="0.25">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4:8" ht="20.100000000000001" customHeight="1" x14ac:dyDescent="0.25">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4:8" ht="20.100000000000001" customHeight="1" x14ac:dyDescent="0.25">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0" t="str" cm="1">
        <f t="array" ref="D59:D61">"⚠️" &amp; Common_SourceData.Common_SourceData_WetAndDryZones_Variation()</f>
        <v>⚠️VARIATION OF SOURCE DATA:</v>
      </c>
    </row>
    <row r="60" spans="4:8" ht="20.100000000000001" customHeight="1" x14ac:dyDescent="0.25">
      <c r="D60" s="50" t="str">
        <v>⚠️Added warm / cool temperate moist / dry - low frost and high temp classes to accommodate climate scenarios excluded by VEERG criteria.</v>
      </c>
    </row>
    <row r="61" spans="4:8" ht="20.100000000000001" customHeight="1" x14ac:dyDescent="0.25">
      <c r="D61" s="50" t="str">
        <v>⚠️Fixed typo - Changed 'Fry' to 'Dry'.</v>
      </c>
    </row>
    <row r="62" spans="4:8" ht="20.100000000000001" customHeight="1" x14ac:dyDescent="0.25"/>
    <row r="63" spans="4:8" ht="20.100000000000001" customHeight="1" x14ac:dyDescent="0.25">
      <c r="D63" s="34" t="s">
        <v>6</v>
      </c>
      <c r="E63" s="34" t="s">
        <v>36</v>
      </c>
    </row>
    <row r="64" spans="4:8" ht="20.100000000000001" customHeight="1" x14ac:dyDescent="0.25">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0" t="str" cm="1">
        <f t="array" ref="D83:D87">"⚠️" &amp; Common_SourceData.Common_SourceData_ClimateZones_Variation()</f>
        <v>⚠️VARIATION OF SOURCE DATA:</v>
      </c>
    </row>
    <row r="84" spans="4:20" ht="20.100000000000001" customHeight="1" x14ac:dyDescent="0.25">
      <c r="D84" s="50" t="str">
        <v>⚠️Added warm / cool temperate moist / dry - low frost and high temp classes to accommodate climate scenarios excluded by VEERG criteria.</v>
      </c>
    </row>
    <row r="85" spans="4:20" ht="20.100000000000001" customHeight="1" x14ac:dyDescent="0.25">
      <c r="D85" s="50" t="str">
        <v>⚠️Fixed typo in MAT value for warm temperate dry - changed 10 to 11.</v>
      </c>
    </row>
    <row r="86" spans="4:20" ht="20.100000000000001" customHeight="1" x14ac:dyDescent="0.25">
      <c r="D86" s="50" t="str">
        <v>⚠️Added min and max columns for MAT, MAP, frost days per year, elevation, MAP:PET to calculate zones from real climate data.</v>
      </c>
    </row>
    <row r="87" spans="4:20" ht="20.100000000000001" customHeight="1" x14ac:dyDescent="0.25">
      <c r="D87" s="50" t="str">
        <v>⚠️GAF accepts rainfall as a proxy for precipitation.</v>
      </c>
    </row>
    <row r="88" spans="4:20" ht="20.100000000000001" customHeight="1" x14ac:dyDescent="0.25"/>
    <row r="89" spans="4:20" ht="20.100000000000001" customHeight="1" x14ac:dyDescent="0.25">
      <c r="D89" s="34" t="s">
        <v>6</v>
      </c>
      <c r="E89" s="34" t="s">
        <v>24</v>
      </c>
      <c r="F89" s="34" t="s">
        <v>25</v>
      </c>
      <c r="G89" s="34" t="s">
        <v>26</v>
      </c>
      <c r="H89" s="34" t="s">
        <v>27</v>
      </c>
      <c r="I89" s="34" t="s">
        <v>28</v>
      </c>
      <c r="J89" s="34" t="s">
        <v>29</v>
      </c>
      <c r="K89" s="34" t="s">
        <v>30</v>
      </c>
      <c r="L89" s="34" t="s">
        <v>31</v>
      </c>
      <c r="M89" s="34" t="s">
        <v>32</v>
      </c>
      <c r="N89" s="34" t="s">
        <v>33</v>
      </c>
      <c r="O89" s="34" t="s">
        <v>37</v>
      </c>
      <c r="P89" s="34" t="s">
        <v>34</v>
      </c>
      <c r="Q89" s="34" t="s">
        <v>38</v>
      </c>
      <c r="R89" s="34" t="s">
        <v>35</v>
      </c>
      <c r="S89" s="34" t="s">
        <v>39</v>
      </c>
      <c r="T89" s="34"/>
    </row>
    <row r="90" spans="4:20" ht="20.100000000000001" customHeight="1" x14ac:dyDescent="0.25">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4:20" ht="20.100000000000001" customHeight="1" x14ac:dyDescent="0.25">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4:20" ht="20.100000000000001" customHeight="1" x14ac:dyDescent="0.25">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4:20" ht="20.100000000000001" customHeight="1" x14ac:dyDescent="0.25">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4:20" ht="20.100000000000001" customHeight="1" x14ac:dyDescent="0.25">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4:20" ht="20.100000000000001" customHeight="1" x14ac:dyDescent="0.2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4:20" ht="20.100000000000001" customHeight="1" x14ac:dyDescent="0.25">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4:20" ht="20.100000000000001" customHeight="1" x14ac:dyDescent="0.25">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4:20" ht="20.100000000000001" customHeight="1" x14ac:dyDescent="0.25">
      <c r="D98" s="49" t="str" cm="1">
        <f t="array" ref="D98:D101">Common_SourceData.Common_SourceData_ClimateZones_Appendices()</f>
        <v>Note:</v>
      </c>
    </row>
    <row r="99" spans="4:20" ht="20.100000000000001" customHeight="1" x14ac:dyDescent="0.25">
      <c r="D99" s="49" t="str">
        <v>MAT = mean annual temperature</v>
      </c>
    </row>
    <row r="100" spans="4:20" ht="20.100000000000001" customHeight="1" x14ac:dyDescent="0.25">
      <c r="D100" s="49" t="str">
        <v>MAP = mean annual precipitation</v>
      </c>
    </row>
    <row r="101" spans="4:20" ht="20.100000000000001" customHeight="1" x14ac:dyDescent="0.25">
      <c r="D101" s="49" t="str">
        <v>PET = potential evapotranspiration</v>
      </c>
    </row>
    <row r="102" spans="4:20" ht="20.100000000000001" customHeight="1" x14ac:dyDescent="0.25">
      <c r="D102" s="49"/>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4" t="s">
        <v>42</v>
      </c>
      <c r="E109" s="34" t="s">
        <v>24</v>
      </c>
      <c r="F109" s="34" t="s">
        <v>43</v>
      </c>
      <c r="G109" s="34" t="s">
        <v>44</v>
      </c>
    </row>
    <row r="110" spans="4:20" ht="20.100000000000001" customHeight="1" x14ac:dyDescent="0.25">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4:20" ht="20.100000000000001" customHeight="1" x14ac:dyDescent="0.25">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0"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4" t="s">
        <v>45</v>
      </c>
      <c r="E119" s="34" t="s">
        <v>46</v>
      </c>
      <c r="F119" s="34" t="s">
        <v>31</v>
      </c>
      <c r="G119" s="34" t="s">
        <v>32</v>
      </c>
      <c r="BN119" s="7"/>
    </row>
    <row r="120" spans="4:66" ht="20.100000000000001" customHeight="1" x14ac:dyDescent="0.25">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4" t="s">
        <v>47</v>
      </c>
      <c r="E127" s="34" t="s">
        <v>48</v>
      </c>
    </row>
    <row r="128" spans="4:66" ht="20.100000000000001" customHeight="1" x14ac:dyDescent="0.25">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1"/>
    </row>
    <row r="133" spans="4:77" ht="20.100000000000001" customHeight="1" x14ac:dyDescent="0.25">
      <c r="D133" s="5" t="str" cm="1">
        <f t="array" ref="D133">Common_SourceData.Common_SourceData_FracWET_Source()</f>
        <v>VEERG 2026:5.5.2.3 Constant Parameters</v>
      </c>
      <c r="E133" s="21"/>
    </row>
    <row r="134" spans="4:77" ht="20.100000000000001" customHeight="1" x14ac:dyDescent="0.25">
      <c r="D134" t="s">
        <v>70</v>
      </c>
      <c r="E134" t="s">
        <v>71</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0"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4" t="s">
        <v>95</v>
      </c>
      <c r="E142" s="34" t="s">
        <v>71</v>
      </c>
      <c r="BN142" s="7"/>
    </row>
    <row r="143" spans="4:77" ht="20.100000000000001" customHeight="1" x14ac:dyDescent="0.25">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4" t="s">
        <v>50</v>
      </c>
      <c r="E153" s="34" t="s">
        <v>51</v>
      </c>
      <c r="BC153" s="3"/>
      <c r="BD153" s="3"/>
      <c r="BE153" s="3"/>
      <c r="BF153" s="3"/>
      <c r="BG153" s="3"/>
      <c r="BH153" s="3"/>
      <c r="BI153" s="3"/>
      <c r="BJ153" s="3"/>
      <c r="BK153" s="3"/>
      <c r="BL153" s="3"/>
      <c r="BM153" s="3"/>
    </row>
    <row r="154" spans="4:66" ht="20.100000000000001" customHeight="1" x14ac:dyDescent="0.25">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4:66" ht="20.100000000000001" customHeight="1" x14ac:dyDescent="0.25">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4:66" ht="20.100000000000001" customHeight="1" x14ac:dyDescent="0.25">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9"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9" t="str" cm="1">
        <f t="array" ref="D180">Common_SourceData.Common_SourceData_EFN2O_Unit()</f>
        <v>(kg N2O-N / kg N</v>
      </c>
    </row>
    <row r="181" spans="4:68" ht="20.100000000000001" customHeight="1" x14ac:dyDescent="0.25">
      <c r="D181" s="50" t="str" cm="1">
        <f t="array" ref="D181:D185">Common_SourceData.Common_SourceData_EFN2O_Variation()</f>
        <v>VARIATION OF SOURCE DATA:</v>
      </c>
    </row>
    <row r="182" spans="4:68" ht="20.100000000000001" customHeight="1" x14ac:dyDescent="0.25">
      <c r="D182" s="50" t="str">
        <v>Removed duplicate 'Aquaculture' row.</v>
      </c>
    </row>
    <row r="183" spans="4:68" ht="20.100000000000001" customHeight="1" x14ac:dyDescent="0.25">
      <c r="D183" s="50" t="str">
        <v>Removed asterisks to aid lookup.</v>
      </c>
    </row>
    <row r="184" spans="4:68" ht="20.100000000000001" customHeight="1" x14ac:dyDescent="0.25">
      <c r="D184" s="50" t="str">
        <v>Added 'production system only', 'rainfall zone' and 'irrigation method' columns to aid lookup.</v>
      </c>
    </row>
    <row r="185" spans="4:68" ht="20.100000000000001" customHeight="1" x14ac:dyDescent="0.25">
      <c r="D185" s="50" t="str">
        <v>Duplicated 'non-irrigated pasture' row with same EF for low and high rainfall zones to aid lookup.</v>
      </c>
    </row>
    <row r="186" spans="4:68" ht="20.100000000000001" customHeight="1" x14ac:dyDescent="0.25">
      <c r="D186" s="34" t="s">
        <v>78</v>
      </c>
      <c r="E186" s="34" t="s">
        <v>79</v>
      </c>
      <c r="F186" s="34" t="s">
        <v>80</v>
      </c>
      <c r="G186" s="34" t="s">
        <v>81</v>
      </c>
      <c r="H186" s="34" t="s">
        <v>23</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0" t="str" cm="1">
        <f t="array" ref="D204">Common_SourceData.Common_SourceData_EFPastureRangeAndPaddock_Variation()</f>
        <v>VARIATION FROM SOURCE DATA: Changed 'Dry climate zones' to singular 'Dry climate zone' to aid lookup.</v>
      </c>
    </row>
    <row r="205" spans="4:8" x14ac:dyDescent="0.25">
      <c r="D205" s="49" t="str" cm="1">
        <f t="array" ref="D205">Common_SourceData.Common_SourceData_EFPastureRangeAndPaddock_Unit()</f>
        <v>kg N2O - N / kg N</v>
      </c>
    </row>
    <row r="206" spans="4:8" x14ac:dyDescent="0.25">
      <c r="D206" s="34" t="s">
        <v>6</v>
      </c>
      <c r="E206" s="34" t="s">
        <v>97</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92</v>
      </c>
      <c r="E212" s="34" t="s">
        <v>102</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0"/>
    </row>
    <row r="231" spans="4:19" x14ac:dyDescent="0.25">
      <c r="D231" s="34" t="s">
        <v>40</v>
      </c>
      <c r="E231" s="34" t="s">
        <v>140</v>
      </c>
      <c r="F231" s="33" t="s">
        <v>141</v>
      </c>
      <c r="G231" s="34" t="s">
        <v>142</v>
      </c>
      <c r="H231" s="34" t="s">
        <v>143</v>
      </c>
      <c r="I231" s="34" t="s">
        <v>144</v>
      </c>
      <c r="J231" s="34" t="s">
        <v>145</v>
      </c>
      <c r="K231" s="34" t="s">
        <v>146</v>
      </c>
      <c r="L231" s="34" t="s">
        <v>147</v>
      </c>
      <c r="M231" s="34" t="s">
        <v>148</v>
      </c>
      <c r="N231" s="34" t="s">
        <v>149</v>
      </c>
      <c r="O231" s="34" t="s">
        <v>150</v>
      </c>
      <c r="P231" s="34" t="s">
        <v>151</v>
      </c>
      <c r="Q231" s="34" t="s">
        <v>152</v>
      </c>
      <c r="R231" s="34" t="s">
        <v>153</v>
      </c>
      <c r="S231" s="34" t="s">
        <v>154</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57</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3" t="s">
        <v>58</v>
      </c>
      <c r="E9" s="34" t="s">
        <v>10</v>
      </c>
      <c r="F9" s="34" t="s">
        <v>59</v>
      </c>
      <c r="G9" s="3"/>
    </row>
    <row r="10" spans="1:13" ht="20.100000000000001" customHeight="1" x14ac:dyDescent="0.25">
      <c r="A10" s="17"/>
      <c r="D10" s="33" t="str" cm="1">
        <f t="array" ref="D10">Common_InputFunctions.Utility_DisplayArrayInTable(CommonLivestock_SourceData.SourceData_Livestock_Common_SymbolsMMS_Data(), Table_Data_MMSSymbols[[#Headers],[Symbol]], 0)</f>
        <v>1</v>
      </c>
      <c r="E10" s="33" t="str" cm="1">
        <f t="array" ref="E10">Common_InputFunctions.Utility_DisplayArrayInTable(CommonLivestock_SourceData.SourceData_Livestock_Common_SymbolsMMS_Data(), Table_Data_MMSSymbols[[#Headers],[Symbol]], 0)</f>
        <v>Anaerobic lagoon</v>
      </c>
      <c r="F10" s="33"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55</v>
      </c>
      <c r="D11" s="33" t="str" cm="1">
        <f t="array" ref="D11">Common_InputFunctions.Utility_DisplayArrayInTable(CommonLivestock_SourceData.SourceData_Livestock_Common_SymbolsMMS_Data(), Table_Data_MMSSymbols[[#Headers],[Symbol]], 0)</f>
        <v>2</v>
      </c>
      <c r="E11" s="33" t="str" cm="1">
        <f t="array" ref="E11">Common_InputFunctions.Utility_DisplayArrayInTable(CommonLivestock_SourceData.SourceData_Livestock_Common_SymbolsMMS_Data(), Table_Data_MMSSymbols[[#Headers],[Symbol]], 0)</f>
        <v>Liquid systems</v>
      </c>
      <c r="F11" s="33"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HYPERLINK("#'3.5.1.1-2 Enteric Methane'!A1", "3.5.1.1-2 Enteric Methane")</f>
        <v>3.5.1.1-2 Enteric Methane</v>
      </c>
      <c r="D12" s="34" t="str" cm="1">
        <f t="array" ref="D12">Common_InputFunctions.Utility_DisplayArrayInTable(CommonLivestock_SourceData.SourceData_Livestock_Common_SymbolsMMS_Data(), Table_Data_MMSSymbols[[#Headers],[Symbol]], 0)</f>
        <v>3</v>
      </c>
      <c r="E12" s="34" t="str" cm="1">
        <f t="array" ref="E12">Common_InputFunctions.Utility_DisplayArrayInTable(CommonLivestock_SourceData.SourceData_Livestock_Common_SymbolsMMS_Data(), Table_Data_MMSSymbols[[#Headers],[Symbol]], 0)</f>
        <v>Daily spread</v>
      </c>
      <c r="F12" s="34"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4" t="str" cm="1">
        <f t="array" ref="D13">Common_InputFunctions.Utility_DisplayArrayInTable(CommonLivestock_SourceData.SourceData_Livestock_Common_SymbolsMMS_Data(), Table_Data_MMSSymbols[[#Headers],[Symbol]], 0)</f>
        <v>3a</v>
      </c>
      <c r="E13" s="34" t="str" cm="1">
        <f t="array" ref="E13">Common_InputFunctions.Utility_DisplayArrayInTable(CommonLivestock_SourceData.SourceData_Livestock_Common_SymbolsMMS_Data(), Table_Data_MMSSymbols[[#Headers],[Symbol]], 0)</f>
        <v>Sump and dispersal system</v>
      </c>
      <c r="F13" s="34"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2</v>
      </c>
      <c r="D14" s="34" t="str" cm="1">
        <f t="array" ref="D14">Common_InputFunctions.Utility_DisplayArrayInTable(CommonLivestock_SourceData.SourceData_Livestock_Common_SymbolsMMS_Data(), Table_Data_MMSSymbols[[#Headers],[Symbol]], 0)</f>
        <v>3b</v>
      </c>
      <c r="E14" s="34" t="str" cm="1">
        <f t="array" ref="E14">Common_InputFunctions.Utility_DisplayArrayInTable(CommonLivestock_SourceData.SourceData_Livestock_Common_SymbolsMMS_Data(), Table_Data_MMSSymbols[[#Headers],[Symbol]], 0)</f>
        <v>Drains to paddock</v>
      </c>
      <c r="F14" s="34"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Swine'!A1", "Constants - Swine")</f>
        <v>Constants - Swine</v>
      </c>
      <c r="D15" s="34" t="str" cm="1">
        <f t="array" ref="D15">Common_InputFunctions.Utility_DisplayArrayInTable(CommonLivestock_SourceData.SourceData_Livestock_Common_SymbolsMMS_Data(), Table_Data_MMSSymbols[[#Headers],[Symbol]], 0)</f>
        <v>4</v>
      </c>
      <c r="E15" s="34" t="str" cm="1">
        <f t="array" ref="E15">Common_InputFunctions.Utility_DisplayArrayInTable(CommonLivestock_SourceData.SourceData_Livestock_Common_SymbolsMMS_Data(), Table_Data_MMSSymbols[[#Headers],[Symbol]], 0)</f>
        <v>Solid storage</v>
      </c>
      <c r="F15" s="34"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25" t="str">
        <f>HYPERLINK("#'Constants - Livestock'!A1", "Constants - Livestock")</f>
        <v>Constants - Livestock</v>
      </c>
      <c r="D16" s="34" t="str" cm="1">
        <f t="array" ref="D16">Common_InputFunctions.Utility_DisplayArrayInTable(CommonLivestock_SourceData.SourceData_Livestock_Common_SymbolsMMS_Data(), Table_Data_MMSSymbols[[#Headers],[Symbol]], 0)</f>
        <v>5</v>
      </c>
      <c r="E16" s="34" t="str" cm="1">
        <f t="array" ref="E16">Common_InputFunctions.Utility_DisplayArrayInTable(CommonLivestock_SourceData.SourceData_Livestock_Common_SymbolsMMS_Data(), Table_Data_MMSSymbols[[#Headers],[Symbol]], 0)</f>
        <v>Drylot (feed pad)</v>
      </c>
      <c r="F16" s="34"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4" t="str" cm="1">
        <f t="array" ref="D17">Common_InputFunctions.Utility_DisplayArrayInTable(CommonLivestock_SourceData.SourceData_Livestock_Common_SymbolsMMS_Data(), Table_Data_MMSSymbols[[#Headers],[Symbol]], 0)</f>
        <v>6</v>
      </c>
      <c r="E17" s="34" t="str" cm="1">
        <f t="array" ref="E17">Common_InputFunctions.Utility_DisplayArrayInTable(CommonLivestock_SourceData.SourceData_Livestock_Common_SymbolsMMS_Data(), Table_Data_MMSSymbols[[#Headers],[Symbol]], 0)</f>
        <v>Composting (passive windrow)</v>
      </c>
      <c r="F17" s="34"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4" t="str" cm="1">
        <f t="array" ref="D18">Common_InputFunctions.Utility_DisplayArrayInTable(CommonLivestock_SourceData.SourceData_Livestock_Common_SymbolsMMS_Data(), Table_Data_MMSSymbols[[#Headers],[Symbol]], 0)</f>
        <v>7</v>
      </c>
      <c r="E18" s="34" t="str" cm="1">
        <f t="array" ref="E18">Common_InputFunctions.Utility_DisplayArrayInTable(CommonLivestock_SourceData.SourceData_Livestock_Common_SymbolsMMS_Data(), Table_Data_MMSSymbols[[#Headers],[Symbol]], 0)</f>
        <v>Digester / covered lagoons</v>
      </c>
      <c r="F18" s="34"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4" t="str" cm="1">
        <f t="array" ref="D19">Common_InputFunctions.Utility_DisplayArrayInTable(CommonLivestock_SourceData.SourceData_Livestock_Common_SymbolsMMS_Data(), Table_Data_MMSSymbols[[#Headers],[Symbol]], 0)</f>
        <v>8</v>
      </c>
      <c r="E19" s="34" t="str" cm="1">
        <f t="array" ref="E19">Common_InputFunctions.Utility_DisplayArrayInTable(CommonLivestock_SourceData.SourceData_Livestock_Common_SymbolsMMS_Data(), Table_Data_MMSSymbols[[#Headers],[Symbol]], 0)</f>
        <v>Deep litter</v>
      </c>
      <c r="F19" s="34"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4" t="str" cm="1">
        <f t="array" ref="D20">Common_InputFunctions.Utility_DisplayArrayInTable(CommonLivestock_SourceData.SourceData_Livestock_Common_SymbolsMMS_Data(), Table_Data_MMSSymbols[[#Headers],[Symbol]], 0)</f>
        <v>9</v>
      </c>
      <c r="E20" s="34" t="str" cm="1">
        <f t="array" ref="E20">Common_InputFunctions.Utility_DisplayArrayInTable(CommonLivestock_SourceData.SourceData_Livestock_Common_SymbolsMMS_Data(), Table_Data_MMSSymbols[[#Headers],[Symbol]], 0)</f>
        <v>Pit storage</v>
      </c>
      <c r="F20" s="34"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4" t="str" cm="1">
        <f t="array" ref="D21">Common_InputFunctions.Utility_DisplayArrayInTable(CommonLivestock_SourceData.SourceData_Livestock_Common_SymbolsMMS_Data(), Table_Data_MMSSymbols[[#Headers],[Symbol]], 0)</f>
        <v>10</v>
      </c>
      <c r="E21" s="34" t="str" cm="1">
        <f t="array" ref="E21">Common_InputFunctions.Utility_DisplayArrayInTable(CommonLivestock_SourceData.SourceData_Livestock_Common_SymbolsMMS_Data(), Table_Data_MMSSymbols[[#Headers],[Symbol]], 0)</f>
        <v>Poultry manure with bedding</v>
      </c>
      <c r="F21" s="34"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4" t="str" cm="1">
        <f t="array" ref="D22">Common_InputFunctions.Utility_DisplayArrayInTable(CommonLivestock_SourceData.SourceData_Livestock_Common_SymbolsMMS_Data(), Table_Data_MMSSymbols[[#Headers],[Symbol]], 0)</f>
        <v>11</v>
      </c>
      <c r="E22" s="34" t="str" cm="1">
        <f t="array" ref="E22">Common_InputFunctions.Utility_DisplayArrayInTable(CommonLivestock_SourceData.SourceData_Livestock_Common_SymbolsMMS_Data(), Table_Data_MMSSymbols[[#Headers],[Symbol]], 0)</f>
        <v>Poultry manure without bedding</v>
      </c>
      <c r="F22" s="34"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4" t="str" cm="1">
        <f t="array" ref="D23">Common_InputFunctions.Utility_DisplayArrayInTable(CommonLivestock_SourceData.SourceData_Livestock_Common_SymbolsMMS_Data(), Table_Data_MMSSymbols[[#Headers],[Symbol]], 0)</f>
        <v>11a</v>
      </c>
      <c r="E23" s="34" t="str" cm="1">
        <f t="array" ref="E23">Common_InputFunctions.Utility_DisplayArrayInTable(CommonLivestock_SourceData.SourceData_Livestock_Common_SymbolsMMS_Data(), Table_Data_MMSSymbols[[#Headers],[Symbol]], 0)</f>
        <v>Belt manure removal</v>
      </c>
      <c r="F23" s="34"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4" t="str" cm="1">
        <f t="array" ref="D24">Common_InputFunctions.Utility_DisplayArrayInTable(CommonLivestock_SourceData.SourceData_Livestock_Common_SymbolsMMS_Data(), Table_Data_MMSSymbols[[#Headers],[Symbol]], 0)</f>
        <v>11b</v>
      </c>
      <c r="E24" s="34" t="str" cm="1">
        <f t="array" ref="E24">Common_InputFunctions.Utility_DisplayArrayInTable(CommonLivestock_SourceData.SourceData_Livestock_Common_SymbolsMMS_Data(), Table_Data_MMSSymbols[[#Headers],[Symbol]], 0)</f>
        <v>Manure stored in house</v>
      </c>
      <c r="F24" s="34"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4" t="str" cm="1">
        <f t="array" ref="D25">Common_InputFunctions.Utility_DisplayArrayInTable(CommonLivestock_SourceData.SourceData_Livestock_Common_SymbolsMMS_Data(), Table_Data_MMSSymbols[[#Headers],[Symbol]], 0)</f>
        <v>12</v>
      </c>
      <c r="E25" s="34" t="str" cm="1">
        <f t="array" ref="E25">Common_InputFunctions.Utility_DisplayArrayInTable(CommonLivestock_SourceData.SourceData_Livestock_Common_SymbolsMMS_Data(), Table_Data_MMSSymbols[[#Headers],[Symbol]], 0)</f>
        <v>Direct processing</v>
      </c>
      <c r="F25" s="34"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4" t="str" cm="1">
        <f t="array" ref="D26">Common_InputFunctions.Utility_DisplayArrayInTable(CommonLivestock_SourceData.SourceData_Livestock_Common_SymbolsMMS_Data(), Table_Data_MMSSymbols[[#Headers],[Symbol]], 0)</f>
        <v>13</v>
      </c>
      <c r="E26" s="34" t="str" cm="1">
        <f t="array" ref="E26">Common_InputFunctions.Utility_DisplayArrayInTable(CommonLivestock_SourceData.SourceData_Livestock_Common_SymbolsMMS_Data(), Table_Data_MMSSymbols[[#Headers],[Symbol]], 0)</f>
        <v>Direct application</v>
      </c>
      <c r="F26" s="34"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4" t="str" cm="1">
        <f t="array" ref="D27">Common_InputFunctions.Utility_DisplayArrayInTable(CommonLivestock_SourceData.SourceData_Livestock_Common_SymbolsMMS_Data(), Table_Data_MMSSymbols[[#Headers],[Symbol]], 0)</f>
        <v>14</v>
      </c>
      <c r="E27" s="34" t="str" cm="1">
        <f t="array" ref="E27">Common_InputFunctions.Utility_DisplayArrayInTable(CommonLivestock_SourceData.SourceData_Livestock_Common_SymbolsMMS_Data(), Table_Data_MMSSymbols[[#Headers],[Symbol]], 0)</f>
        <v>Pasture range and paddock</v>
      </c>
      <c r="F27" s="34"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VgBvAGwAYQB0AGkAbABlAFMAbwBsAGkAZABzAF8ARABhAHQAYQBcAG4AIAAgAD0ATABBAE0AQgBEAEEAKABcAG4AIAAgACAAIABNAEEASwBFAEEAUgBSAEEAWQAoADUALAAgADIALAAgAFwAbgAgACAAIAAgACAAIABMAEEATQBCAEQAQQAoAHIALABjACwAIABcAG4AIAAgACAAIAAgACAAIAAgAEkATgBEAEUAWAAoAHsAXABuACAAIAAgACAAIAAgACAAIAAgACAAXAAiAEMAbABhAHMAcwBcACIALAAgAFwAIgBWAFMAagBcACIAOwBcAG4AIAAgACAAIAAgACAAIAAgACAAIABcACIAQgBvAGEAcgBzAFwAIgAsACAAMAAuADQAMAA7AFwAbgAgACAAIAAgACAAIAAgACAAIAAgAFwAIgBTAG8AdwBzAFwAIgAsACAAMAAuADQANgA7AFwAbgAgACAAIAAgACAAIAAgACAAIAAgAFwAIgBHAGkAbAB0AHMAXAAiACwAIAAwAC4ANQA1ADsAXABuACAAIAAgACAAIAAgACAAIAAgACAAXAAiAE8AdABoAGUAcgBzAFwAIgAsACAAMAAuADMAOQ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GUAZQBkAEkAbgB0AGEAawBlAFwAbgBJAGoAXABuAGsAZwAvAGgAZQBhAGQALwBkAGEAeQBcAG4ALQAtAC0ALQAtAC0ALQAtAC0ALQAtAC0ALQAtAC0ALQAtAC0ALQAtAC0ALQAtAC0ALQAtAC0ALQAtAC0ALQAtAC0ALQAtAC0ALQAtAFwAbgAqAC8AXABuAFwAbgBTAG8AdQByAGMAZQBEAGEAdABhAF8AUwB3AGkAbgBlAF8ARgBlAGUAZABJAG4AdABhAGsAZQBfAFQAaQB0AGwAZQBcAG4AIAAgAD0ATABBAE0AQgBEAEEAKABcACIAUwB3AGkAbgBlACAALQAgAEYAZQBlAGQAIABpAG4AdABhAGsAZQAgAC0AIABpAG4AZwBlAHMAdABlAGQAIABhAHMAIABmAGUAZAAgACAAKABJAGoAKQAgAC0AIAAyADAAMgAwACAAdABvACAAMgAwADIANABcACIAKQA7AFwAbgBcAG4AUwBvAHUAcgBjAGUARABhAHQAYQBfAFMAdwBpAG4AZQBfAEYAZQBlAGQASQBuAHQAYQBrAGUAXwBVAG4AaQB0AFwAbgAgACAAPQBMAEEATQBCAEQAQQAoAFwAIgBrAGcALwBoAGUAYQBkAC8AZABhAHkAXAAiACkAOwBcAG4AXABuAFMAbwB1AHIAYwBlAEQAYQB0AGEAXwBTAHcAaQBuAGUAXwBGAGUAZQBkAEkAbgB0AGEAaw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GAGUAZQBkAEkAbgB0AGEAaw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IABBAGQAZABlAGQAIAAnAE4AVwBqACAAZABhAGkAbAB5ACcAIABjAG8AbAB1AG0AbgAgAHQAbwAgAHAAcgBvAHYAaQBkAGUAIABkAGEAaQBsAHkAIAB2AGEAbAB1AGUAIABmAG8AcgAgAE8AdABoAGUAcgBzACAAYwBsAGEAcwBzAC4AIABBAGQAZABlAGQAIAAnAEMAbABhAHMAcwAgAG4AYQBtAGUAJwAgAGMAbwBsAHUAbQBuACAAdABvACAAYQBpAGQAIABsAG8AbwBrAHUAcAAuAFwAIgApADsAXABuAFwAbgBTAG8AdQByAGMAZQBEAGEAdABhAF8AUwB3AGkAbgBlAF8ATgBpAHQAcgBvAGcAZQBuAEkAbgBXAGEAcwB0AGUAXwBEAGEAdABhAFwAbgAgACAAPQBMAEEATQBCAEQAQQAoAFwAbgAgACAAIAAgAE0AQQBLAEUAQQBSAFIAQQBZACgANQAsACAANAAsACAAXABuACAAIAAgACAAIAAgAEwAQQBNAEIARABBACgAcgAsAGMALAAgAFwAbgAgACAAIAAgACAAIAAgACAASQBOAEQARQBYACgAewBcAG4AIAAgACAAIAAgACAAIAAgACAAIABcACIAQwBsAGEAcwBzAFwAIgAsACAAXAAiAE4AVwBqAFwAIgAsACAAXAAiAE4AVwBqACAAZABhAGkAbAB5AFwAIgAsACAAXAAiAEMAbABhAHMAcwAgAG4AYQBtAGUAXAAiADsAXABuACAAIAAgACAAIAAgACAAIAAgACAAXAAiAEIAbwBhAHIAcwBcACIALAAgADAALgAwADQANgAsACAAMAAuADAANAA2ACwAIABcACIAQgBvAGEAcgBzAFwAIgA7AFwAbgAgACAAIAAgACAAIAAgACAAIAAgAFwAIgBTAG8AdwBzAFwAIgAsADAALgAwADQAOQAsACAAMAAuADAANAA5ACwAIABcACIAUwBvAHcAcwBcACIAOwBcAG4AIAAgACAAIAAgACAAIAAgACAAIABcACIARwBpAGwAdABzAFwAIgAsACAAMAAuADAANAA2ACwAIAAwAC4AMAA0ADYALAAgAFwAIgBHAGkAbAB0AHMAXAAiADsAXABuACAAIAAgACAAIAAgACAAIAAgACAAXAAiAE8AdABoAGUAcgBzACAAKABrAGcALwBoAGUAYQBkAC8AeQBlAGEAcgApAFwAIgAsACAAMQAxAC4ANAAsACAAMAAuADAAMwAxADIALAAgAFwAIgBPAHQAaABlAHI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0AGkAbwBuAE4AVgBvAGwAYQB0AGkAbABpAHMAZQBkAFwAbgBGAHIAYQBjAEcAQQBTAE0AbQBUAFwAbgAoAGsAZwAgAE4ASAAzAC0ATgAgACsAIABOAE8AeAAtAE4AKQAvAGsAZwBOAFwAbgAtAC0ALQAtAC0ALQAtAC0ALQAtAC0ALQAtAC0ALQAtAC0ALQAtAC0ALQAtAC0ALQAtAC0ALQAtAC0ALQAtAC0ALQAtAC0ALQAtAC0AXABuACoALwBcAG4AXABuAFMAbwB1AHIAYwBlAEQAYQB0AGEAXwBTAHcAaQBuAGUAXwBGAHIAYQBjAHQAaQBvAG4ATgBWAG8AbABhAHQAaQBsAGkAcwBlAGQAXwBUAGkAdABsAGUAXABuACAAIAA9AEwAQQBNAEIARABBACgAXAAiAFMAdwBpAG4AZQAgAC0AIABGAHIAYQBjAHQAaQBvAG4AIABvAGYAIABuAGkAdAByAG8AZwBlAG4AIAB2AG8AbABhAHQAaQBsAGkAcwBlAGQAIAAoAEYAcgBhAGMARwBBAFMATQBtAFQAKQBcACIAKQA7AFwAbgBcAG4AUwBvAHUAcgBjAGUARABhAHQAYQBfAFMAdwBpAG4AZQBfAEYAcgBhAGMAdABpAG8AbgBOAFYAbwBsAGEAdABpAGwAaQBzAGUAZABfAFUAbgBpAHQAXABuACAAIAA9AEwAQQBNAEIARABBACgAXAAiACgAawBnACAATgBIADMALQBOACAAKwAgAE4ATwB4AC0ATgApAC8AawBnAE4AXAAiACkAOwBcAG4AXABuAFMAbwB1AHIAYwBlAEQAYQB0AGEAXwBTAHcAaQBuAGUAXwBGAHIAYQBjAHQAaQBvAG4ATgBWAG8AbABhAHQAaQBsAGkAcwBlAGQAXwBTAG8AdQByAGMAZQBcAG4AIAAgAD0ATABBAE0AQgBEAEEAKABcACIAVgBFAEUAUgBHACAAMgAwADIANgA6ACAAVABhAGIAbABlACAAQQAuADEALgA2AC4AMgA6ACAAUwB3AGkAbgBlACAALQAgAEYAcgBhAGMAdABpAG8AbgAgAG8AZgAgAE4AIAB2AG8AbABhAHQAaQBsAGkAcwBlAGQAIABiAHkAIABNAE0AUwAgACgAKABrAGcAIABOAEgAMwAtAE4AIAArACAATgBPAHgALQBOACkALwBrAGcATgApACAAKABGAHIAYQBjAEcAQQBTAE0AbQBUACkAXAAiACkAOwBcAG4AXABuAFMAbwB1AHIAYwBlAEQAYQB0AGEAXwBTAHcAaQBuAGUAXwBGAHIAYQBjAHQAaQBvAG4ATgBWAG8AbABhAHQAaQBsAGkAcwBlAGQ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TgBpAHQAcgBvAHUAcwBPAHgAaQBkAGUARQBGAHMAXwBEAGEAdABhAFwAbgAgACAAPQBMAEEATQBCAEQAQQAoAFwAbgAgACAAIAAgAE0AQQBLAEUAQQBSAFIAQQBZACgANwAsACAAMwAsACAAXABuACAAIAAgACAAIAAgAEwAQQBNAEIARABBACgAcgAsAGMALAAgAFwAbgAgACAAIAAgACAAIAAgACAASQBOAEQARQBYACgAewBcAG4AIAAgACAAIAAgACAAIAAgACAAIABcACIATQBNAFMAbQBcACIALAAgAFwAIgBFAEYAbQBUAFwAIgAsACAAXAAiAE4ASQBSACAAcgBlAGYAZQByAGUAbgBjAGUAXAAiADsAXABuACAAIAAgACAAIAAgACAAIAAgACAAXAAiAE8AdQB0AGQAbwBvAHIAIAAoAEQAcgB5ACAAbABvAHQAKQBcACIALAAgADAALgAwADIALAAgAFwAIgBEAHIAeQBsAG8AdAAgACgAZgBlAGUAZAAgAHAAYQBkACkAXAAiADsAXABuACAAIAAgACAAIAAgACAAIAAgACAAXAAiAEQAZQBlAHAAIABsAGkAdAB0AGUAcgBcACIALAAgADAALgAwADEALAAgAFwAIgBEAGUAZQBwACAAbABpAHQAdABlAHIAXAAiADsAXABuACAAIAAgACAAIAAgACAAIAAgACAAXAAiAFMAdABvAGMAawBwAGkAbABlACAAKABTAG8AbABpAGQAIABzAHQAbwByAGEAZwBlACkAXAAiACwAIAAwAC4AMAAwADUALAAgAFwAIgBTAG8AbABpAGQAIABzAHQAbwByAGEAZwBlAFwAIgA7AFwAbgAgACAAIAAgACAAIAAgACAAIAAgAFwAIgBFAGYAZgBsAHUAZQBuAHQAIABwAG8AbgBkACAAKABVAG4AYwBvAHYAZQByAGUAZAAgAGEAbgBhAGUAcgBvAGIAaQBjACAAbABhAGcAbwBvAG4AKQBcACIALAAgADAALAAgAFwAIgBBAG4AYQBlAHIAbwBiAGkAYwAgAGwAYQBnAG8AbwBuAFwAIgA7AFwAbgAgACAAIAAgACAAIAAgACAAIAAgAFwAIgBBAG4AYQBlAHIAbwBiAGkAYwAgAGQAaQBnAGUAcwB0AG8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PA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AnAHMAbwBsAGkAZAAgAHMAdABvAHIAYQBnAGUAJwAgAE0ATQBTACwAIABiAHUAdAAgAGUAcQB1AGEAdABpAG8AbgAgAHIAZQBmAGUAcgBzACAAdABvACAAJwBkAHIAeQBsAG8AdAAnACAATQBNAFMALgBcACIAKQA7AFwAbgBcAG4AUwBvAHUAcgBjAGUARABhAHQAYQBfAFMAdwBpAG4AZQBfAEYAcgBhAGMATABFAEEAQwBIAF8ARAByAHkAbABvAHQATQBNAFMAXwBEAGEAdABhAFwAbgAgACAAPQBMAEEATQBCAEQAQQAoADAALgAwADIAKQA7AFwAbgBcAG4AXABuAC8AKgAgAFwAbgAtAC0ALQAtAC0ALQAtAC0ALQAtAC0ALQAtAC0ALQAtAC0ALQAtAC0ALQAtAC0ALQAtAC0ALQAtAC0ALQAtAC0ALQAtAC0ALQAtAC0AXABuAFMAbwB1AHIAYwBlAEQAYQB0AGEAXwBTAHcAaQBuAGUAXwBNAGUAZwBhAGoAbwB1AGwAZQBzAFAAZQByAEsAaQBsAG8AZwByAGEAbQBNAGUAdABoAGEAbgBlAFwAbgBGAFwAbgBNAEoALwBrAGcAIABDAEgANABcAG4AXABuAC0ALQAtAC0ALQAtAC0ALQAtAC0ALQAtAC0ALQAtAC0ALQAtAC0ALQAtAC0ALQAtAC0ALQAtAC0ALQAtAC0ALQAtAC0ALQAtAC0ALQBcAG4AKgAvAFwAbgBcAG4AUwBvAHUAcgBjAGUARABhAHQAYQBfAFMAdwBpAG4AZQBfAE0AZQBnAGEAagBvAHUAbABlAHMAUABlAHIASwBpAGwAbwBnAHIAYQBtAE0AZQB0AGgAYQBuAGUAXwBUAGkAdABsAGUAXABuACAAIAA9AEwAQQBNAEIARABBACgAXAAiAE0AZQBnAGEAagBvAHUAbABlAHMAIABwAGUAcgAgAGsAaQBsAG8AZwByAGEAbQAgAG8AZgAgAG0AZQB0AGgAYQBuAGUAXAAiACkAOwBcAG4AXABuAFMAbwB1AHIAYwBlAEQAYQB0AGEAXwBTAHcAaQBuAGUAXwBNAGUAZwBhAGoAbwB1AGwAZQBzAFAAZQByAEsAaQBsAG8AZwByAGEAbQBNAGUAdABoAGEAbgBlAF8AVgBhAHIAaQBhAGIAbABlAFwAbgAgACAAPQBMAEEATQBCAEQAQQAoAFwAIgBGAFwAIgApADsAXABuAFwAbgBTAG8AdQByAGMAZQBEAGEAdABhAF8AUwB3AGkAbgBlAF8ATQBlAGcAYQBqAG8AdQBsAGUAcwBQAGUAcgBLAGkAbABvAGcAcgBhAG0ATQBlAHQAaABhAG4AZQBfAFUAbgBpAHQAXABuACAAIAA9AEwAQQBNAEIARABBACgAXAAiAE0ASgAgAC8AIABrAGcAIABDAEgANABcACIAKQA7AFwAbgBcAG4AUwBvAHUAcgBjAGUARABhAHQAYQBfAFMAdwBpAG4AZQBfAE0AZQBnAGEAagBvAHUAbABlAHMAUABlAHIASwBpAGwAbwBnAHIAYQBtAE0AZQB0AGgAYQBuAGUAXwBTAG8AdQByAGMAZQBcAG4AIAAgAD0ATABBAE0AQgBEAEEAKABcACIAVgBFAEUAUgBHACAAMgAwADIANgA6ACAAMwAuADUALgAyAC4AMwAgAEMATwBOAFMAVABBAE4AVABcACIAKQA7AFwAbgBcAG4AUwBvAHUAcgBjAGUARABhAHQAYQBfAFMAdwBpAG4AZQBfAE0AZQBnAGEAagBvAHUAbABlAHMAUABlAHIASwBpAGwAbwBnAHIAYQBtAE0AZQB0AGgAYQBuAGUAXwBWAGEAcgBpAGEAdABpAG8AbgBcAG4AIAAgAD0ATABBAE0AQgBEAEEAKABcACIAXAAiACkAOwBcAG4AXABuAFMAbwB1AHIAYwBlAEQAYQB0AGEAXwBTAHcAaQBuAGUAXwBNAGUAZwBhAGoAbwB1AGwAZQBzAFAAZQByAEsAaQBsAG8AZwByAGEAbQBNAGUAdABoAGEAbgBlAF8ARABhAHQAYQBcAG4AIAAgAD0ATABBAE0AQgBEAEEAKAA1ADUALgAyADIAKQA7ACIAfQAsAHsAIgBwAGEAdABoACIAOgAiAC8AcAByAG8AagBlAGMAdABzAC8ARQBuAHQAZQByAGkAYwBNAGUAdABoAGEAbgBlAF8AUwB3AGkAbgBlAF8ARQBxAHUAYQB0AGkAbwBuAHMAIgAsACIAdABlAHgAdAAiADoAIgAvACoAXABuAD0APQA9AD0APQA9AD0APQA9AD0APQA9AD0APQA9AD0APQA9AD0APQA9AD0APQA9AD0APQA9AD0APQA9AD0APQA9AD0APQA9AD0APQA9AD0APQA9AD0APQA9AD0APQA9AD0APQA9AD0APQA9AD0APQA9AD0APQA9AD0APQA9AD0APQA9AD0APQA9AD0APQA9AD0APQA9AD0AXABuADMALgA1ADoAIABFAG4AdABlAHIAaQBjACAATQBlAHQAaABhAG4AZQAgAC0AIABTAHcAaQBuAGUAXABuAD0APQA9AD0APQA9AD0APQA9AD0APQA9AD0APQA9AD0APQA9AD0APQA9AD0APQA9AD0APQA9AD0APQA9AD0APQA9AD0APQA9AD0APQA9AD0APQA9AD0APQA9AD0APQA9AD0APQA9AD0APQA9AD0APQA9AD0APQA9AD0APQA9AD0APQA9AD0APQA9AD0APQA9AD0APQA9AD0AXABuADMALgA1AC4AMQAuADEAIABNAGUAdABoAG8AZAAgADEAIAAtACAARQBuAHQAZQByAGkAY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1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cwB3AGkAbgBlAFwAbgBFAF8AZQBuAHQAZQByAGkAYwBcAG4AdAAgAEMASAA0AFwAbgBFAF8AewBlAG4AdABlAHIAaQBjAH0APQBcAFwAcwB1AG0AXwB7AGoAfQAoAE4AXwBqAFwAXAB0AGkAbQBlAHMAIABNAF8AagBcAFwAdABpAG0AZQBzACAARABfAGoAKQBcAFwAdABpAG0AZQBzACAAMQAwAF4AewAtADMAfQBcAG4ATgBfAGoAIAA9ACAAbgB1AG0AYgBlAHIAcwAgAG8AZgAgAHMAdwBpAG4AZQAgAG8AZgAgAGUAYQBjAGgAIABjAGwAYQBzAHMAIAAoAGgAZQBhAGQAKQBcAG4ATQBfAGoAIAA9ACAAbQBlAHQAaABhAG4AZQAgAHAAcgBvAGQAdQBjAHQAaQBvAG4AIAAoAGsAZwAgAEMASAA0AC8AaABlAGEAZAAvAGQAYQB5ACkAXABuAEQAXwBqACAAPQAgAHQAaABlACAAYQB2AGUAcgBhAGcAZQAgAG4AdQBtAGIAZQByACAAbwBmACAAZABhAHkAcwAgAG8AbgAgAGYAYQByAG0AIABmAG8AcgAgAGUAYQBjAGgAIABzAHcAaQBuAGUAIABjAGwAYQBzAHMAIAAoAGQAYQB5AHMAKQBcAG4ALQAtAC0ALQAtAC0ALQAtAC0ALQAtAC0ALQAtAC0ALQAtAC0ALQAtAC0ALQAtAC0ALQAtAC0ALQAtAC0ALQAtAC0ALQAtAC0ALQAtAFwAbgAqAC8AXABuAFwAbgBWAEUARQBSAEcAXwAzAF8ANQBfADEAXwAxAF8AXwAxAF8AVABvAHQAYQBsAEEAbgBuAHUAYQBsAE0AZQB0AGgAYQBuAGUARgByAG8AbQBFAG4AdABlAHIAaQBjAEYAZQByAG0AZQBuAHQAYQB0AGkAbwBuAFwAbgAgACAAPQBMAEEATQBCAEQAQQAoAFwAbgAgACAAIAAgAE4AXwBqACwAIABNAF8AagAsACAARABfAGoALABcAG4AIAAgACAAIAAoAE4AXwBqACAAKgAgAE0AXwBqACAAKgAgAEQAXwBqACkAIAAqACAAMQAwACAAXgAgAC0AMwBcAG4AIAAgACkAOwBcAG4AXABuAFYARQBFAFIARwBfADMAXwA1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cwB3AGkAbgBlAFwAIgApADsAXABuAFwAbgBWAEUARQBSAEcAXwAzAF8ANQBfADEAXwAxAF8AXwAxAF8AVABvAHQAYQBsAEEAbgBuAHUAYQBsAE0AZQB0AGgAYQBuAGUARgByAG8AbQBFAG4AdABlAHIAaQBjAEYAZQByAG0AZQBuAHQAYQB0AGkAbwBuAF8AVgBhAHIAaQBhAGIAbABlAFwAbgAgACAAPQBMAEEATQBCAEQAQQAoAFwAIgBFAF8AZQBuAHQAZQByAGkAYwBcACIAKQA7AFwAbgBcAG4AVgBFAEUAUgBHAF8AMwBfADUAXwAxAF8AMQBfAF8AMQBfAFQAbwB0AGEAbABBAG4AbgB1AGEAbABNAGUAdABoAGEAbgBlAEYAcgBvAG0ARQBuAHQAZQByAGkAYwBGAGUAcgBtAGUAbgB0AGEAdABpAG8AbgBfAFUAbgBpAHQAXABuACAAIAA9AEwAQQBNAEIARABBACgAXAAiAHQAIABDAEgANABcACIAKQA7AFwAbgBcAG4AVgBFAEUAUgBHAF8AMwBfADUAXwAxAF8AMQBfAF8AMQBfAFQAbwB0AGEAbABBAG4AbgB1AGEAbABNAGUAdABoAGEAbgBlAEYAcgBvAG0ARQBuAHQAZQByAGkAYwBGAGUAcgBtAGUAbgB0AGEAdABpAG8AbgBfAFMAbwB1AHIAYwBlAFwAbgAgACAAPQBMAEEATQBCAEQAQQAoAFwAIgBWAEUARQBSAEcAIAAyADAAMgA2ADoAIAAzAC4ANQAuADEALgAxACwAIABFAHEAdQBhAHQAaQBvAG4AIAAoADEAKQBcACIAKQA7AFwAbgBcAG4AVgBFAEUAUgBHAF8AMwBfADUAXwAxAF8AMQBfAF8AMQBfAFQAbwB0AGEAbABBAG4AbgB1AGEAbABNAGUAdABoAGEAbgBlAEYAcgBvAG0ARQBuAHQAZQByAGkAYwBGAGUAcgBtAGUAbgB0AGEAdABpAG8AbgBfAE4ASQBSAFIAZQBmAGUAcgBlAG4AYwBlAFwAbgAgACAAPQBMAEEATQBCAEQAQQAoAFwAIgBcACIAKQA7AFwAbgBcAG4AVgBFAEUAUgBHAF8AMwBfADU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4AXwBqAFwAXAB0AGkAbQBlAHMAIABNAF8AagBcAFwAdABpAG0AZQBzACAARABfAGoAKQBcAFwAdABpAG0AZQBzACAAMQAwAF4AewAtADMAfQBcACIAKQA7AFwAbgBcAG4AVgBFAEUAUgBHAF8AMwBfADU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BzACAAbwBmACAAcwB3AGkAbgBlACAAbwBmACAAZQBhAGMAaAAgAGMAbABhAHMAcwBcACIALAAgAFwAIgBoAGUAYQBkAFwAIgAsACAAXAAiAEkAbgBwAHUAdABcACIAOwBcAG4AIAAgACAAIAAgACAAIAAgACAAIABcACIATQBfAGoAXAAiACwAIABcACIAbQBlAHQAaABhAG4AZQAgAHAAcgBvAGQAdQBjAHQAaQBvAG4AXAAiACwAIABcACIAawBnACAAQwBIADQALwBoAGUAYQBkAC8AZABhAHkAXAAiACwAIABcACIAQwBhAGwAYwB1AGwAYQB0AGUAZAAgAGYAcgBvAG0AIAAzAC4ANQAuADEALgAxACwAIAAoADIAKQBcACIAOwBcAG4AIAAgACAAIAAgACAAIAAgACAAIABcACIARABfAGoAXAAiACwAIABcACIAdABoAGUAIABhAHYAZQByAGEAZwBlACAAbgB1AG0AYgBlAHIAIABvAGYAIABkAGEAeQBzACAAbwBuACAAZgBhAHIAbQAgAGYAbwByACAAZQBhAGMAaAAgAHMAdwBpAG4AZQ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NQBfADEAXwAxAF8AXwAyAF8ARABhAGkAbAB5AEUAbgB0AGUAcgBpAGMATQBlAHQAaABhAG4AZQBQAHIAbwBkAHUAYwB0AGkAbwBuAFwAbgBUAG8AdABhAGwAIABkAGEAaQBsAHkAIABwAHIAbwBkAHUAYwB0AGkAbwBuACAAbwBmACAAZQBuAHQAZQByAGkAYwAgAG0AZQB0AGgAYQBuAGUAIABvAGYAIABzAHcAaQBuAGUAXABuAE0AXwBqAFwAbgBrAGcAIABDAEgANAAvAGgAZQBhAGQALwBkAGEAeQBcAG4ATQBfAGoAPQBcAFwAZgByAGEAYwB7AEkAXwBqAFwAXAB0AGkAbQBlAHMAIAAxADgALgA2AFwAXAB0AGkAbQBlAHMAIAAwAC4AMAAwADcAfQB7AEYAfQBcAG4ASQBfAGoAIAA9ACAAZABhAGkAbAB5ACAAZgBlAGUAZAAgAGkAbgBnAGUAcwB0AGUAZAAgAGIAeQAgAGUAYQBjAGgAIABzAHcAaQBuAGUAIABjAGwAYQBzAHMAIAAoAGsAZwAvAGgAZQBhAGQALwBkAGEAeQApAFwAbgBGACAAPQAgAG0AZQBnAGEAagBvAHUAbABlAHMAIABwAGUAcgAgAGsAaQBsAG8AZwByAGEAbQAgAG8AZgAgAG0AZQB0AGgAYQBuAGUAIAAoAE0ASgAvAGsAZwAgAEMASAA0ACkAXABuAC0ALQAtAC0ALQAtAC0ALQAtAC0ALQAtAC0ALQAtAC0ALQAtAC0ALQAtAC0ALQAtAC0ALQAtAC0ALQAtAC0ALQAtAC0ALQAtAC0ALQBcAG4AKgAvAFwAbgBcAG4AVgBFAEUAUgBHAF8AMwBfADUAXwAxAF8AMQBfAF8AMgBfAEQAYQBpAGwAeQBFAG4AdABlAHIAaQBjAE0AZQB0AGgAYQBuAGUAUAByAG8AZAB1AGMAdABpAG8AbgBcAG4AIAAgAD0ATABBAE0AQgBEAEEAKABcAG4AIAAgACAAIABJAF8AagAsACAARgAsAFwAbgAgACAAIAAgACgASQBfAGoAIAAqACAAMQA4AC4ANgAgACoAIAAwAC4AMAAwADcAKQAgAC8AIABGAFwAbgAgACAAKQA7AFwAbgBcAG4AVgBFAEUAUgBHAF8AMwBfADUAXwAxAF8AMQBfAF8AMgBfAEQAYQBpAGwAeQBFAG4AdABlAHIAaQBjAE0AZQB0AGgAYQBuAGUAUAByAG8AZAB1AGMAdABpAG8AbgBfAFQAaQB0AGwAZQBcAG4AIAAgAD0ATABBAE0AQgBEAEEAKABcACIAVABvAHQAYQBsACAAZABhAGkAbAB5ACAAcAByAG8AZAB1AGMAdABpAG8AbgAgAG8AZgAgAGUAbgB0AGUAcgBpAGMAIABtAGUAdABoAGEAbgBlACAAbwBmACAAcwB3AGkAbgBlAFwAIgApADsAXABuAFwAbgBWAEUARQBSAEcAXwAzAF8ANQBfADEAXwAxAF8AXwAyAF8ARABhAGkAbAB5AEUAbgB0AGUAcgBpAGMATQBlAHQAaABhAG4AZQBQAHIAbwBkAHUAYwB0AGkAbwBuAF8AVgBhAHIAaQBhAGIAbABlAFwAbgAgACAAPQBMAEEATQBCAEQAQQAoAFwAIgBNAF8AagBcACIAKQA7AFwAbgBcAG4AVgBFAEUAUgBHAF8AMwBfADUAXwAxAF8AMQBfAF8AMgBfAEQAYQBpAGwAeQBFAG4AdABlAHIAaQBjAE0AZQB0AGgAYQBuAGUAUAByAG8AZAB1AGMAdABpAG8AbgBfAFUAbgBpAHQAXABuACAAIAA9AEwAQQBNAEIARABBACgAXAAiAGsAZwAgAEMASAA0AC8AaABlAGEAZAAvAGQAYQB5AFwAIgApADsAXABuAFwAbgBWAEUARQBSAEcAXwAzAF8ANQBfADEAXwAxAF8AXwAyAF8ARABhAGkAbAB5AEUAbgB0AGUAcgBpAGMATQBlAHQAaABhAG4AZQBQAHIAbwBkAHUAYwB0AGkAbwBuAF8AUwBvAHUAcgBjAGUAXABuACAAIAA9AEwAQQBNAEIARABBACgAXAAiAFYARQBFAFIARwAgADIAMAAyADYAOgAgADMALgA1AC4AMQAuADEALAAgAEUAcQB1AGEAdABpAG8AbgAgACgAMgApAFwAIgApADsAXABuAFwAbgBWAEUARQBSAEcAXwAzAF8ANQBfADEAXwAxAF8AXwAyAF8ARABhAGkAbAB5AEUAbgB0AGUAcgBpAGMATQBlAHQAaABhAG4AZQBQAHIAbwBkAHUAYwB0AGkAbwBuAF8ATgBJAFIAUgBlAGYAZQByAGUAbgBjAGUAXABuACAAIAA9AEwAQQBNAEIARABBACgAXAAiAFwAIgApADsAXABuAFwAbgBWAEUARQBSAEcAXwAzAF8ANQBfADEAXwAxAF8AXwAyAF8ARABhAGkAbAB5AEUAbgB0AGUAcgBpAGMATQBlAHQAaABhAG4AZQBQAHIAbwBkAHUAYwB0AGkAbwBuAF8ATABhAHQAZQB4AEUAcQB1AGEAdABpAG8AbgBcAG4AIAAgAD0ATABBAE0AQgBEAEEAKABcACIATQBfAGoAPQBcAFwAZgByAGEAYwB7AEkAXwBqAFwAXAB0AGkAbQBlAHMAIAAxADgALgA2AFwAXAB0AGkAbQBlAHMAIAAwAC4AMAAwADcAfQB7AEYAfQBcACIAKQA7AFwAbgBcAG4AVgBFAEUAUgBHAF8AMwBfADUAXwAxAF8AMQBfAF8AMgBfAEQAYQBpAGwAeQBFAG4AdABlAHIAaQBjAE0AZQB0AGgAYQBuAGUAUAByAG8AZAB1AGMAdABpAG8AbgBfAEEAcgBnAHUAbQBlAG4AdABzAFwAbgAgACAAPQBMAEEATQBCAEQAQQAoAFwAbgAgACAAIAAgAE0AQQBLAEUAQQBSAFIAQQBZACgANAAsACAANAAsAFwAbgAgACAAIAAgACAAIABMAEEATQBCAEQAQQAoAHIALABjACwAXABuACAAIAAgACAAIAAgACAAIABJAE4ARABFAFgAKAB7AFwAbgAgACAAIAAgACAAIAAgACAAIAAgAFwAIgBJAF8AagBcACIALAAgAFwAIgBkAGEAaQBsAHkAIABmAGUAZQBkACAAaQBuAGcAZQBzAHQAZQBkACAAYgB5ACAAZQBhAGMAaAAgAHMAdwBpAG4AZQAgAGMAbABhAHMAcwBcACIALAAgAFwAIgBrAGcALwBoAGUAYQBkAC8AZABhAHkAXAAiACwAIABcACIASQBuAHAAdQB0AFwAIgA7AFwAbgAgACAAIAAgACAAIAAgACAAIAAgAFwAIgAxADgALgA2AFwAIgAsACAAXAAiAGcAcgBvAHMAcwAgAGUAbgBlAHIAZwB5ACAAKABHAEUAKQAgAGMAbwBuAHQAZQBuAHQAIABvAGYAIABmAGUAZQBkAFwAIgAsACAAXAAiAE0ASgAgAEcARQAvAGsAZwAgAGYAZQBlAGQAXAAiACwAIABcACIAQwBvAG4AcwB0AGEAbgB0AFwAIgA7AFwAbgAgACAAIAAgACAAIAAgACAAIAAgAFwAIgAwAC4AMAAwADcAXAAiACwAIABcACIAZgByAGEAYwB0AGkAbwBuACAAbwBmACAARwBFACAAaQBuAHQAYQBrAGUAIABjAG8AbgB2AGUAcgB0AGUAZAAgAHQAbwAgAG0AZQB0AGgAYQBuAGUAIABiAHkAIABzAHcAaQBuAGUAXAAiACwAIABcACIAZgByAGEAYwB0AGkAbwBuAFwAIgAsACAAXAAiAEMAbwBuAHMAdABhAG4AdABcACIAOwBcAG4AIAAgACAAIAAgACAAIAAgACAAIABcACIARgBcACIALAAgAFwAIgBtAGUAZwBhAGoAbwB1AGwAZQBzACAAcABlAHIAIABrAGkAbABvAGcAcgBhAG0AIABvAGYAIABtAGUAdABoAGEAbgBlAFwAIgAsACAAXAAiAE0ASgAvAGsAZwAgAEMASAA0AFwAIgAsACAAXAAiAEMAbwBuAHMAdABhAG4AdABcACIAXABuACAAIAAgACAAIAAgACAAIAB9ACwAIAByACwAIABjACkAXABuACAAIAAgACAAIAAgACkAXABuACAAIAAgACAAKQBcAG4AIAAgACkAOwBcAG4AXABuAFwAbgAiAH0ALAB7ACIAcABhAHQAaAAiADoAIgAvAHAAcgBvAGoAZQBjAHQAcwAvAE0ATQBTAF8AUwB3AGkAbgBl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xACAATQBlAHQAaABvAGQAIAAxACAAFCAgAE0AYQBuAHUAcgBlACAATQBlAHQAaABhAG4AZQ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EAXwBfADEAXwBUAG8AdABhAGwAQQBuAG4AdQBhAGwATQBlAHQAaABhAG4AZQBFAG0AaQBzAHMAaQBvAG4AcwBcAG4AVABvAHQAYQBsACAAYQBuAG4AdQBhAGwAIABtAGUAdABoAGEAbgBlACAAZQBtAGkAcwBzAGkAbwBuAHMAIABmAHIAbwBtACAAbQBhAG4AdQByAGUAIABtAGEAbgBhAGcAZQBtAGUAbgB0AFwAbgBFAEMASAA0AFwAbgB0ACAAQwBIADQAXABuAHsARQB9AF8AewBDAEgANAB9AD0AXABcAHMAdQBtAF8AewBqAH0AKABEAF8AewBqAH0AXABcAHQAaQBtAGUAcwAgAE0AXwB7AG0AagB9AFwAXAB0AGkAbQBlAHMAIABOAF8AewBqAH0AKQBcAFwAdABpAG0AZQBzADEAMABeAHsALQAzAH0AXABuAEQAagAgAD0AIABsAGUAbgBnAHQAaAAgAG8AZgAgAHMAdABhAHkAIABvAGYAIABlAGEAYwBoACAAYwBsAGEAcwBzACAAbwBmACAAcwB3AGkAbgBlACAAOgAgAGQAYQB5AHMAXABuAE0AbQBqACAAPQAgAG0AZQB0AGgAYQBuAGUAIABwAHIAbwBkAHUAYwB0AGkAbwBuACAAZgByAG8AbQAgAG0AYQBuAHUAcgBlACAAaQBuACAAZQBhAGMAaAAgAHMAdwBpAG4AZQAgAGMAbABhAHMAcwAgADoAIABrAGcAIABDAEgANAAvAGgAZQBhAGQALwBkAGEAeQBcAG4ATgBqACAAPQAgAG4AdQBtAGIAZQByAHMAIABvAGYAIABzAHcAaQBuAGUAIABpAG4AIABlAGEAYwBoACAAYwBsAGEAcwBzACAAOgAgAGgAZQBhAGQAXABuAC0ALQAtAC0ALQAtAC0ALQAtAC0ALQAtAC0ALQAtAC0ALQAtAC0ALQAtAC0ALQAtAC0ALQAtAC0ALQAtAC0ALQAtAC0ALQAtAC0ALQBcAG4AKgAvAFwAbgBcAG4AVgBFAEUAUgBHAF8ANABfADUAXwAxAF8AMQBfAF8AMQBfAFQAbwB0AGEAbABBAG4AbgB1AGEAbABNAGUAdABoAGEAbgBlAEUAbQBpAHMAcwBpAG8AbgBzAFwAbgAgACAAPQBMAEEATQBCAEQAQQAoAFwAbgAgACAAIAAgAEQAagAsACAATQBtAGoALAAgAE4AagAsAFwAbgAgACAAIAAgAEQAagAgACoAIABNAG0AagAgACoAIABOAGoAIAAqACAAMQAwACAAXgAgAC0AMwBcAG4AIAAgACkAOwBcAG4AXABuAFYARQBFAFIARwBfADQAXwA1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QBfADEAXwAxAF8AXwAxAF8AVABvAHQAYQBsAEEAbgBuAHUAYQBsAE0AZQB0AGgAYQBuAGUARQBtAGkAcwBzAGkAbwBuAHMAXwBWAGEAcgBpAGEAYgBsAGUAXABuACAAIAA9AEwAQQBNAEIARABBACgAXAAiAEUAQwBIADQAXAAiACkAOwBcAG4AXABuAFYARQBFAFIARwBfADQAXwA1AF8AMQBfADEAXwBfADEAXwBUAG8AdABhAGwAQQBuAG4AdQBhAGwATQBlAHQAaABhAG4AZQBFAG0AaQBzAHMAaQBvAG4AcwBfAFUAbgBpAHQAXABuACAAIAA9AEwAQQBNAEIARABBACgAXAAiAHQAIABDAEgANABcACIAKQA7AFwAbgBcAG4AVgBFAEUAUgBHAF8ANABfADUAXwAxAF8AMQBfAF8AMQBfAFQAbwB0AGEAbABBAG4AbgB1AGEAbABNAGUAdABoAGEAbgBlAEUAbQBpAHMAcwBpAG8AbgBzAF8AUwBvAHUAcgBjAGUAXABuACAAIAA9AEwAQQBNAEIARABBACgAXAAiAFYARQBFAFIARwAgADIAMAAyADYAOgAgADQALgA1AC4AMQAuADEALAAgAEUAcQB1AGEAdABpAG8AbgAgACgAMQApAFwAIgApADsAXABuAFwAbgBWAEUARQBSAEcAXwA0AF8ANQBfADEAXwAxAF8AXwAxAF8AVABvAHQAYQBsAEEAbgBuAHUAYQBsAE0AZQB0AGgAYQBuAGUARQBtAGkAcwBzAGkAbwBuAHMAXwBOAEkAUgBSAGUAZgBlAHIAZQBuAGMAZQBcAG4AIAAgAD0ATABBAE0AQgBEAEEAKABcACIAXAAiACkAOwBcAG4AXABuAFYARQBFAFIARwBfADQAXwA1AF8AMQBfADEAXwBfADEAXwBUAG8AdABhAGwAQQBuAG4AdQBhAGwATQBlAHQAaABhAG4AZQBFAG0AaQBzAHMAaQBvAG4AcwBfAEwAYQB0AGUAeABFAHEAdQBhAHQAaQBvAG4AXABuACAAIAA9AEwAQQBNAEIARABBACgAXAAiAHsARQB9AF8AewBDAEgANAB9AD0AXABcAHMAdQBtAF8AewBqAH0AKABEAF8AewBqAH0AXABcAHQAaQBtAGUAcwAgAE0AXwB7AG0AagB9AFwAXAB0AGkAbQBlAHMAIABOAF8AewBqAH0AKQBcAFwAdABpAG0AZQBzADEAMABeAHsALQAzAH0AXAAiACkAOwBcAG4AXABuAFYARQBFAFIARwBfADQAXwA1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GoAXAAiACwAXAAiAGwAZQBuAGcAdABoACAAbwBmACAAcwB0AGEAeQAgAG8AZgAgAGUAYQBjAGgAIABjAGwAYQBzAHMAIABvAGYAIABzAHcAaQBuAGUAXAAiACwAIABcACIAZABhAHkAcwBcACIALAAgAFwAIgBJAG4AcAB1AHQAXAAiADsAXABuACAAIAAgACAAIAAgACAAIAAgACAAXAAiAE0AbQBqAFwAIgAsAFwAIgBtAGUAdABoAGEAbgBlACAAcAByAG8AZAB1AGMAdABpAG8AbgAgAGYAcgBvAG0AIABtAGEAbgB1AHIAZQAgAGkAbgAgAGUAYQBjAGgAIABzAHcAaQBuAGUAIABjAGwAYQBzAHMAXAAiACwAIABcACIAawBnACAAQwBIADQALwBoAGUAYQBkAC8AZABhAHkAXAAiACwAIABcACIAQwBhAGwAYwB1AGwAYQB0AGUAZAAgAGYAcgBvAG0AIAA0AC4ANQAuADEALgAxACAAKAAyACkAXAAiADsAXABuACAAIAAgACAAIAAgACAAIAAgACAAXAAiAE4AagBcACIALABcACIAbgB1AG0AYgBlAHIAcwAgAG8AZgAgAHMAdwBpAG4AZQAgAGkAbgAgAGUAYQBjAGgAIA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MgBfAE0AZQB0AGgAYQBuAGUAUAByAG8AZAB1AGMAdABpAG8AbgBQAGUAcgBDAGwAYQBzAHMAXABuAE0AZQB0AGgAYQBuAGUAIABwAHIAbwBkAHUAYwB0AGkAbwBuACAAZgByAG8AbQAgAHQAaABlACAAbQBhAG4AdQByAGUAIABvAGYAIABlAGEAYwBoACAAYwBsAGEAcwBzACAAbwBmACAAcwB3AGkAbgBlAFwAbgBNAG0AagBcAG4AawBnACAAQwBIADQALwBoAGUAYQBkAC8AZABhAHkAXABuAE0AXwB7AG0AagB9AD0AXABcAHMAdQBtAF8AewBtAH0AXABcAHMAdQBtAF8AewBUAH0ATQBfAHsAagBtAFQAfQBcAG4ATQBqAG0AVAAgAD0AIABtAGUAdABoAGEAbgBlACAAcAByAG8AZAB1AGMAdABpAG8AbgAgAGYAcgBvAG0AIABtAGEAbgB1AHIAZQAgAHAAZQByACAAYwBsAGEAcwBzACwAIABNAE0AUwAsACAAYQBuAGQAIAB0AHIAZQBhAHQAbQBlAG4AdAAgAHMAdABhAGcAZQAgADoAIABrAGcAIABDAEgANAAvAGgAZQBhAGQALwBkAGEAeQBcAG4ALQAtAC0ALQAtAC0ALQAtAC0ALQAtAC0ALQAtAC0ALQAtAC0ALQAtAC0ALQAtAC0ALQAtAC0ALQAtAC0ALQAtAC0ALQAtAC0ALQAtAFwAbgAqAC8AXABuAFwAbgBWAEUARQBSAEcAXwA0AF8ANQBfADEAXwAxAF8AXwAyAF8ATQBlAHQAaABhAG4AZQBQAHIAbwBkAHUAYwB0AGkAbwBuAFAAZQByAEMAbABhAHMAcwBcAG4AIAAgAD0ATABBAE0AQgBEAEEAKABcAG4AIAAgACAAIABNAGoAbQBUACwAXABuACAAIAAgACAAUwBVAE0AKABNAGoAbQBUACkAXABuACAAIAApADsAXABuAFwAbgBWAEUARQBSAEcAXwA0AF8ANQBfADEAXwAxAF8AXwAyAF8ATQBlAHQAaABhAG4AZQBQAHIAbwBkAHUAYwB0AGkAbwBuAFAAZQByAEMAbABhAHMAcwBWAGEAcgBpAGEAdABpAG8AbgBcAG4AIAAgAD0ATABBAE0AQgBEAEEAKABcAG4AIAAgACAAIABNAGoAbQBUADEALAAgAE0AagBtAFQAMgAsAFwAbgAgACAAIAAgACAAUwBVAE0AKABNAGoAbQBUADEALAAgAE0AagBtAFQAMgApAFwAbgAgACAAKQA7AFwAbgBcAG4AVgBFAEUAUgBHAF8ANABfADUAXwAxAF8AMQBfAF8AMgBfAE0AZQB0AGgAYQBuAGUAUAByAG8AZAB1AGMAdABpAG8AbgBQAGUAcgBDAGwAYQBzAHMAXwBUAGkAdABsAGUAXABuACAAIAA9AEwAQQBNAEIARABBACgAXAAiAE0AZQB0AGgAYQBuAGUAIABwAHIAbwBkAHUAYwB0AGkAbwBuACAAZgByAG8AbQAgAHQAaABlACAAbQBhAG4AdQByAGUAIABvAGYAIABlAGEAYwBoACAAYwBsAGEAcwBzACAAbwBmACAAcwB3AGkAbgBlAFwAIgApADsAXABuAFwAbgBWAEUARQBSAEcAXwA0AF8ANQBfADEAXwAxAF8AXwAyAF8ATQBlAHQAaABhAG4AZQBQAHIAbwBkAHUAYwB0AGkAbwBuAFAAZQByAEMAbABhAHMAcwBfAFYAYQByAGkAYQBiAGwAZQBcAG4AIAAgAD0ATABBAE0AQgBEAEEAKABcACIATQBtAGoAXAAiACkAOwBcAG4AXABuAFYARQBFAFIARwBfADQAXwA1AF8AMQBfADEAXwBfADIAXwBNAGUAdABoAGEAbgBlAFAAcgBvAGQAdQBjAHQAaQBvAG4AUABlAHIAQwBsAGEAcwBzAF8AVQBuAGkAdABcAG4AIAAgAD0ATABBAE0AQgBEAEEAKABcACIAawBnACAAQwBIADQALwBoAGUAYQBkAC8AZABhAHkAXAAiACkAOwBcAG4AXABuAFYARQBFAFIARwBfADQAXwA1AF8AMQBfADEAXwBfADIAXwBNAGUAdABoAGEAbgBlAFAAcgBvAGQAdQBjAHQAaQBvAG4AUABlAHIAQwBsAGEAcwBzAF8AUwBvAHUAcgBjAGUAXABuACAAIAA9AEwAQQBNAEIARABBACgAXAAiAFYARQBFAFIARwAgADIAMAAyADYAOgAgADQALgA1AC4AMQAuADEALAAgAEUAcQB1AGEAdABpAG8AbgAgACgAMgApAFwAIgApADsAXABuAFwAbgBWAEUARQBSAEcAXwA0AF8ANQBfADEAXwAxAF8AXwAyAF8ATQBlAHQAaABhAG4AZQBQAHIAbwBkAHUAYwB0AGkAbwBuAFAAZQByAEMAbABhAHMAcwBfAE4ASQBSAFIAZQBmAGUAcgBlAG4AYwBlAFwAbgAgACAAPQBMAEEATQBCAEQAQQAoAFwAIgBcACIAKQA7AFwAbgBcAG4AVgBFAEUAUgBHAF8ANABfADUAXwAxAF8AMQBfAF8AMgBfAE0AZQB0AGgAYQBuAGUAUAByAG8AZAB1AGMAdABpAG8AbgBQAGUAcgBDAGwAYQBzAHMAXwBMAGEAdABlAHgARQBxAHUAYQB0AGkAbwBuAFwAbgAgACAAPQBMAEEATQBCAEQAQQAoAFwAIgBNAF8AewBtAGoAfQA9AFwAXABzAHUAbQBfAHsAbQB9AFwAXABzAHUAbQBfAHsAVAB9AE0AXwB7AGoAbQBUAH0AXAAiACkAOwBcAG4AXABuAFYARQBFAFIARwBfADQAXwA1AF8AMQBfADEAXwBfADIAXwBNAGUAdABoAGEAbgBlAFAAcgBvAGQAdQBjAHQAaQBvAG4AUABlAHIAQwBsAGEAcwBzAF8AQQByAGcAdQBtAGUAbgB0AHMAXABuACAAIAA9AEwAQQBNAEIARABBACgAXABuACAAIAAgACAATQBBAEsARQBBAFIAUgBBAFkAKAAxACwAIAA0ACwAXABuACAAIAAgACAAIAAgAEwAQQBNAEIARABBACgAcgAsAGMALABcAG4AIAAgACAAIAAgACAAIAAgAEkATgBEAEUAWAAoAHsAXABuACAAIAAgACAAIAAgACAAIAAgACAAXAAiAE0AagBtAFQAXAAiACwAXAAiAG0AZQB0AGgAYQBuAGUAIABwAHIAbwBkAHUAYwB0AGkAbwBuACAAZgByAG8AbQAgAG0AYQBuAHUAcgBlACAAcABlAHIAIABjAGwAYQBzAHMALAAgAE0ATQBTACwAIABhAG4AZAAgAHQAcgBlAGEAdABtAGUAbgB0ACAAcwB0AGEAZwBlAFwAIgAsACAAXAAiAGsAZwAgAEMASAA0AC8AaABlAGEAZAAvAGQAYQB5AFwAIgAsACAAXAAiAEMAYQBsAGMAdQBsAGEAdABlAGQAIABmAHIAbwBtACAANAAuADUALgAxAC4AMQAgACgAMwApACAAYQBuAGQAIAAoADYAKQBcACIAXABuACAAIAAgACAAIAAgACAAIAB9ACwAIAByACwAIABjACkAXABuACAAIAAgACAAIAAgACkAXABuACAAIAAgACAAKQBcAG4AIAAgACkAOwBcAG4AXABuAFYARQBFAFIARwBfADQAXwA1AF8AMQBfADEAXwBfADIAXwBNAGUAdABoAGEAbgBlAFAAcgBvAGQAdQBjAHQAaQBvAG4AUABlAHIAQwBsAGEAcwBzAF8AVgBhAHIAaQBhAHQAaQBvAG4AXABuACAAIAA9AEwAQQBNAEIARABBACgAXAAiAFYAQQBSAEkAQQBUAEkATwBOACAATwBOACAAUwBPAFUAUgBDAEUAOgAgAFMAcABsAGkAdAAgAHYAYQByAGkAYQBiAGwAZQAgAE0AagBtACAAaQBuAHQAbwAgAE0AagBtAFQAMQAgAGEAbgBkACAATQBqAG0AVAAyACAAZgBvAHIAIABzAHQAYQBnAGUAIAAxACAAYQBuAGQAIAAyACAATQBNAFMALgBcACIAKQA7AFwAbgBcAG4ALwAqAFwAbgAtAC0ALQAtAC0ALQAtAC0ALQAtAC0ALQAtAC0ALQAtAC0ALQAtAC0ALQAtAC0ALQAtAC0ALQAtAC0ALQAtAC0ALQAtAC0ALQAtAC0AXABuAFYARQBFAFIARwBfADQAXwA1AF8AMQBfADEAXwBfADMAXwBTAHQAYQBnAGUAMQBNAGUAdABoAGEAbgBlAFAAcgBvAGQAdQBjAHQAaQBvAG4AXABuAFAAcgBvAGQAdQBjAHQAaQBvAG4AIABvAGYAIABtAGUAdABoAGEAbgBlACAAaQBuACAAdAByAGUAYQB0AG0AZQBuAHQAIABzAHQAYQBnAGUAIAAxACAATQBNAFMAXABuAE0AaQBqAG0AVAAxAFwAbgBrAGcAIABDAEgANAAvAGgAZQBhAGQALwBkAGEAeQBcAG4ATQBfAHsAaQBqAG0ALABUAD0AMQB9AD0AVgBTAF8AewBqAH0AXABcAHQAaQBtAGUAcwAgAEYAVgBTAF8AewBqAG0ALABUAD0AMQB9AFwAXAB0AGkAbQBlAHMAIABNAEMARgBfAHsAaQBtAH0AXABcAHQAaQBtAGUAcwAgAEIATwBcAFwAdABpAG0AZQBzACAAXABcAHIAaABv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E0AQwBGAGkAbQAgAD0AIABtAGUAdABoAGEAbgBlACAAYwBvAG4AdgBlAHIAcwBpAG8AbgAgAGYAYQBjAHQAbwByACAAZgBvAHIAIAB0AGUAbQBwAGUAcgBhAHQAZQAgAHoAbwBuAGUAIABhAG4AZAAgAHMAeQBzAHQAZQBtACAAOgAgAGYAcgBhAGMAdABpAG8AbgBcAG4AQgBPACAAPQAgAGUAbQBpAHMAcwBpAG8AbgBzACAAcABvAHQAZQBuAHQAaQBhAGwAIAA6ACAAbQAzACAAQwBIADQALwBrAGcAIABWAFMAXABuAHIAaABvACAAPQAgAGQAZQBuAHMAaQB0AHkAIABvAGYAIABtAGUAdABoAGEAbgBlACAAOgAgAGsAZwAvAG0AMwBcAG4ALQAtAC0ALQAtAC0ALQAtAC0ALQAtAC0ALQAtAC0ALQAtAC0ALQAtAC0ALQAtAC0ALQAtAC0ALQAtAC0ALQAtAC0ALQAtAC0ALQAtAFwAbgAqAC8AXABuAFwAbgBWAEUARQBSAEcAXwA0AF8ANQBfADEAXwAxAF8AXwAzAF8AUwB0AGEAZwBlADEATQBlAHQAaABhAG4AZQBQAHIAbwBkAHUAYwB0AGkAbwBuAFwAbgAgACAAPQBMAEEATQBCAEQAQQAoAFwAbgAgACAAIAAgAFYAUwBqACwAIABGAFYAUwBqAG0AVAAxACwAIABNAEMARgBpAG0ALAAgAEIATwAsACAAcgBoAG8ALABcAG4AIAAgACAAIABWAFMAagAgACoAIABGAFYAUwBqAG0AVAAxACAAKgAgAE0AQwBGAGkAbQAgACoAIABCAE8AIAAqACAAcgBoAG8AXABuACAAIAApADsAXABuAFwAbgBWAEUARQBSAEcAXwA0AF8ANQBfADEAXwAxAF8AXwAz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QBfADEAXwAxAF8AXwAzAF8AUwB0AGEAZwBlADEATQBlAHQAaABhAG4AZQBQAHIAbwBkAHUAYwB0AGkAbwBuAF8AVgBhAHIAaQBhAGIAbABlAFwAbgAgACAAPQBMAEEATQBCAEQAQQAoAFwAIgBNAGkAagBtAFQAMQBcACIAKQA7AFwAbgBcAG4AVgBFAEUAUgBHAF8ANABfADUAXwAxAF8AMQBfAF8AMwBfAFMAdABhAGcAZQAxAE0AZQB0AGgAYQBuAGUAUAByAG8AZAB1AGMAdABpAG8AbgBfAFUAbgBpAHQAXABuACAAIAA9AEwAQQBNAEIARABBACgAXAAiAGsAZwAgAEMASAA0AC8AaABlAGEAZAAvAGQAYQB5AFwAIgApADsAXABuAFwAbgBWAEUARQBSAEcAXwA0AF8ANQBfADEAXwAxAF8AXwAzAF8AUwB0AGEAZwBlADEATQBlAHQAaABhAG4AZQBQAHIAbwBkAHUAYwB0AGkAbwBuAF8AUwBvAHUAcgBjAGUAXABuACAAIAA9AEwAQQBNAEIARABBACgAXAAiAFYARQBFAFIARwAgADIAMAAyADYAOgAgADQALgA1AC4AMQAuADEALAAgAEUAcQB1AGEAdABpAG8AbgAgACgAMwApAFwAIgApADsAXABuAFwAbgBWAEUARQBSAEcAXwA0AF8ANQBfADEAXwAxAF8AXwAzAF8AUwB0AGEAZwBlADEATQBlAHQAaABhAG4AZQBQAHIAbwBkAHUAYwB0AGkAbwBuAF8ATgBJAFIAUgBlAGYAZQByAGUAbgBjAGUAXABuACAAIAA9AEwAQQBNAEIARABBACgAXAAiAFwAIgApADsAXABuAFwAbgBWAEUARQBSAEcAXwA0AF8ANQBfADEAXwAxAF8AXwAzAF8AUwB0AGEAZwBlADEATQBlAHQAaABhAG4AZQBQAHIAbwBkAHUAYwB0AGkAbwBuAF8ATABhAHQAZQB4AEUAcQB1AGEAdABpAG8AbgBcAG4AIAAgAD0ATABBAE0AQgBEAEEAKABcACIATQBfAHsAaQBqAG0ALABUAD0AMQB9AD0AVgBTAF8AewBqAH0AXABcAHQAaQBtAGUAcwAgAEYAVgBTAF8AewBqAG0ALABUAD0AMQB9AFwAXAB0AGkAbQBlAHMAIABNAEMARgBfAHsAaQBtAH0AXABcAHQAaQBtAGUAcwAgAEIATwBcAFwAdABpAG0AZQBzACAAXABcAHIAaABvAFwAIgApADsAXABuAFwAbgBWAEUARQBSAEcAXwA0AF8ANQBfADEAXwAxAF8AXwAzAF8AUwB0AGEAZwBlADEATQBlAHQAaABhAG4AZQBQAHIAbwBkAHUAYwB0AGkAbwBuAF8AQQByAGcAdQBtAGUAbgB0AHMAXABuACAAIAA9AEwAQQBNAEIARABBACgAXABuACAAIAAgACAATQBBAEsARQBBAFIAUgBBAFkAKAA1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EIATwBcACIALABcACIAZQBtAGkAcwBzAGkAbwBuAHMAIABwAG8AdABlAG4AdABpAGEAbABcACIALAAgAFwAIgBtADMAIABDAEgANAAvAGsAZwAgAFYAUwBcACIALAAgAFwAIgBDAG8AbgBzAHQAYQBuAHQAXAAiADsAXABuACAAIAAgACAAIAAgACAAIAAgACAAXAAiAHIAaABvAFwAIgAsAFwAIgBkAGUAbgBzAGkAdAB5ACAAbwBmACAAbQBlAHQAaABhAG4AZQBcACIALAAgAFwAIgBrAGcALwBtAD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QAXwBGAHIAYQBjAHQAaQBvAG4AVgBvAGwAYQB0AGkAbABlAFMAbwBsAGkAZABzAFAAcgBpAG0AYQByAHkAUwB5AHMAdABlAG0AXABuAEYAcgBhAGMAdABpAG8AbgAgAG8AZgAgAHYAbwBsAGEAdABpAGwAZQAgAHMAbwBsAGkAZABzACAAaQBuACAAZQBhAGMAaAAgAHAAcgBpAG0AYQByAHkAIABzAHkAcwB0AGUAbQAgAG8AdABoAGUAcgAgAHQAaABhAG4AIABzAG8AbABpAGQAIABzAHQAbwByAGEAZwBlAFwAbgBGAFYAUwBqAG0AVAAxAFwAbgBmAHIAYQBjAHQAaQBvAG4AXABuAEYAVgBTAF8AewBqAG0ALABUAD0AMQB9AD0ATQBNAFMAXwB7AGoAbQAsAFQAPQAxAH0AXABcAHQAaQBtAGUAcwAoADEALQBTAFMAXwB7AG0AfQApAFwAbgBNAE0AUwBqAG0AVAAxACAAPQAgAGYAcgBhAGMAdABpAG8AbgAgAG8AZgAgAG0AYQBuAHUAcgBlACAAdABvACAAZQBhAGMAaAAgAHAAcgBpAG0AYQByAHkAIABNAE0AUwAgAGYAbwByACAAZQBhAGMAaAAgAGMAbABhAHMAcwAgAHAAcgBpAG8AcgAgAHQAbwAgAHMAbwBsAGkAZAAgAHMAZQBwAGEAcgBhAHQAaQBvAG4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0AF8ARgByAGEAYwB0AGkAbwBuAFYAbwBsAGEAdABpAGwAZQBTAG8AbABpAGQAcwBQAHIAaQBtAGEAcgB5AFMAeQBzAHQAZQBtAFwAbgAgACAAPQBMAEEATQBCAEQAQQAoAFwAbgAgACAAIAAgAE0ATQBTAGoAbQBUADEALAAgAFMAUwBtACwAXABuACAAIAAgACAATQBNAFMAagBtAFQAMQAgACoAIAAoADEAIAAtACAAUwBTAG0AKQBcAG4AIAAgACkAOwBcAG4AXABuAFYARQBFAFIARwBfADQAXwA1AF8AMQBfADEAXwBfADQAXwBGAHIAYQBjAHQAaQBvAG4AVgBvAGwAYQB0AGkAbABlAFMAbwBsAGkAZABzAFAAcgBpAG0AYQByAHkAUwB5AHMAdABlAG0AXwBUAGkAdABsAGUAXABuACAAIAA9AEwAQQBNAEIARABBACgAXAAiAEYAcgBhAGMAdABpAG8AbgAgAG8AZgAgAHYAbwBsAGEAdABpAGwAZQAgAHMAbwBsAGkAZABzACAAaQBuACAAZQBhAGMAaAAgAHAAcgBpAG0AYQByAHkAIABzAHkAcwB0AGUAbQAgAG8AdABoAGUAcgAgAHQAaABhAG4AIABzAG8AbABpAGQAIABzAHQAbwByAGEAZwBlAFwAIgApADsAXABuAFwAbgBWAEUARQBSAEcAXwA0AF8ANQBfADEAXwAxAF8AXwA0AF8ARgByAGEAYwB0AGkAbwBuAFYAbwBsAGEAdABpAGwAZQBTAG8AbABpAGQAcwBQAHIAaQBtAGEAcgB5AFMAeQBzAHQAZQBtAF8AVgBhAHIAaQBhAGIAbABlAFwAbgAgACAAPQBMAEEATQBCAEQAQQAoAFwAIgBGAFYAUwBqAG0AVAAxAFwAIgApADsAXABuAFwAbgBWAEUARQBSAEcAXwA0AF8ANQBfADEAXwAxAF8AXwA0AF8ARgByAGEAYwB0AGkAbwBuAFYAbwBsAGEAdABpAGwAZQBTAG8AbABpAGQAcwBQAHIAaQBtAGEAcgB5AFMAeQBzAHQAZQBtAF8AVQBuAGkAdABcAG4AIAAgAD0ATABBAE0AQgBEAEEAKABcACIAZgByAGEAYwB0AGkAbwBuAFwAIgApADsAXABuAFwAbgBWAEUARQBSAEcAXwA0AF8ANQBfADEAXwAxAF8AXwA0AF8ARgByAGEAYwB0AGkAbwBuAFYAbwBsAGEAdABpAGwAZQBTAG8AbABpAGQAcwBQAHIAaQBtAGEAcgB5AFMAeQBzAHQAZQBtAF8AUwBvAHUAcgBjAGUAXABuACAAIAA9AEwAQQBNAEIARABBACgAXAAiAFYARQBFAFIARwAgADIAMAAyADYAOgAgADQALgA1AC4AMQAuADEALAAgAEUAcQB1AGEAdABpAG8AbgAgACgANAApAFwAIgApADsAXABuAFwAbgBWAEUARQBSAEcAXwA0AF8ANQBfADEAXwAxAF8AXwA0AF8ARgByAGEAYwB0AGkAbwBuAFYAbwBsAGEAdABpAGwAZQBTAG8AbABpAGQAcwBQAHIAaQBtAGEAcgB5AFMAeQBzAHQAZQBtAF8ATgBJAFIAUgBlAGYAZQByAGUAbgBjAGUAXABuACAAIAA9AEwAQQBNAEIARABBACgAXAAiAFwAIgApADsAXABuAFwAbgBWAEUARQBSAEcAXwA0AF8ANQBfADEAXwAxAF8AXwA0AF8ARgByAGEAYwB0AGkAbwBuAFYAbwBsAGEAdABpAGwAZQBTAG8AbABpAGQAcwBQAHIAaQBtAGEAcgB5AFMAeQBzAHQAZQBtAF8ATABhAHQAZQB4AEUAcQB1AGEAdABpAG8AbgBcAG4AIAAgAD0ATABBAE0AQgBEAEEAKABcACIARgBWAFMAXwB7AGoAbQAsAFQAPQAxAH0APQBNAE0AUwBfAHsAagBtACwAVAA9ADEAfQBcAFwAdABpAG0AZQBzACgAMQAtAFMAUwBfAHsAbQB9ACkAXAAiACkAOwBcAG4AXABuAFYARQBFAFIARwBfADQAXwA1AF8AMQBfADEAXwBfADQAXwBGAHIAYQBjAHQAaQBvAG4AVgBvAGwAYQB0AGkAbABlAFMAbwBsAGkAZABzAFAAcgBpAG0AYQByAHkAUwB5AHMAdABlAG0AXwBBAHIAZwB1AG0AZQBuAHQAcwBcAG4AIAAgAD0ATABBAE0AQgBEAEEAKABcAG4AIAAgACAAIABNAEEASwBFAEEAUgBSAEEAWQAoADIALAAgADQALABcAG4AIAAgACAAIAAgACAATABBAE0AQgBEAEEAKAByACwAYwAsAFwAbgAgACAAIAAgACAAIAAgACAASQBOAEQARQBYACgAewBcAG4AIAAgACAAIAAgACAAIAAgACAAIABcACIATQBNAFMAagBtAFQAMQBcACIAL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ABfAEYAcgBhAGMAdABpAG8AbgBWAG8AbABhAHQAaQBsAGUAUwBvAGwAaQBkAHMAUAByAGkAbQBhAHIAeQBTAHkAcwB0AGUAbQBfAFYAYQByAGkAYQB0AGkAbwBuAFwAbgAgACAAPQBMAEEATQBCAEQAQQAoAFwAIgBcACIAKQA7AFwAbgBcAG4ALwAqAFwAbgAtAC0ALQAtAC0ALQAtAC0ALQAtAC0ALQAtAC0ALQAtAC0ALQAtAC0ALQAtAC0ALQAtAC0ALQAtAC0ALQAtAC0ALQAtAC0ALQAtAC0AXABuAFYARQBFAFIARwBfADQAXwA1AF8AMQBfADEAXwBfADUAXwBGAHIAYQBjAHQAaQBvAG4AVgBvAGwAYQB0AGkAbABlAFMAbwBsAGkAZABzAFMAbwBsAGkAZABTAHQAbwByAGEAZwBlAFwAbgBGAHIAYQBjAHQAaQBvAG4AIABvAGYAIAB2AG8AbABhAHQAaQBsAGUAIABzAG8AbABpAGQAcwAgAGkAbgAgAHMAbwBsAGkAZAAgAHMAdABvAHIAYQBnAGUAXABuAEYAVgBTAGoAbQA0AFQAMQBcAG4AZgByAGEAYwB0AGkAbwBuAFwAbgBGAFYAUwBfAHsAagAsAG0APQA0ACwAVAA9ADEAfQA9AE0ATQBTAF8AewBqACwAbQA9ADQALABUAD0AMQB9ACsAKABNAE0AUwBfAHsAagAsAG0APQAxACwANwAsADkALABUAD0AMQB9AFwAXAB0AGkAbQBlAHMAIABTAFMAXwB7AG0AfQApAFwAbgBNAE0AUwBqAG0ANABUADEAIAA9ACAAZgByAGEAYwB0AGkAbwBuACAAbwBmACAAbQBhAG4AdQByAGUAIABpAG4AIABzAG8AbABpAGQAIABzAHQAbwByAGEAZwBlACAAcAByAGkAbQBhAHIAeQAgAHMAeQBzAHQAZQBtACAAOgAgAGYAcgBhAGMAdABpAG8AbgBcAG4ATQBNAFMAagBtADEANwA5AFQAMQAgAD0AIABmAHIAYQBjAHQAaQBvAG4AIABvAGYAIABtAGEAbgB1AHIAZQAgAGkAbgAgAE0ATQBTACAAMQAsACAANwAsACAAYQBuAGQAIAA5ACAAaQBuACAAdAByAGUAYQB0AG0AZQBuAHQAIABzAHQAYQBnAGUAIAAx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QBfAEYAcgBhAGMAdABpAG8AbgBWAG8AbABhAHQAaQBsAGUAUwBvAGwAaQBkAHMAUwBvAGwAaQBkAFMAdABvAHIAYQBnAGUAXABuACAAIAA9AEwAQQBNAEIARABBACgAXABuACAAIAAgACAATQBNAFMAagBtADQAVAAxACwAIABNAE0AUwBqAG0AMQA3ADkAVAAxACwAIABTAFMAbQAsAFwAbgAgACAAIAAgAE0ATQBTAGoAbQA0AFQAMQAgACsAIAAoAE0ATQBTAGoAbQAxADcAOQBUADEAIAAqACAAUwBTAG0AKQBcAG4AIAAgACkAOwBcAG4AXABuAFYARQBFAFIARwBfADQAXwA1AF8AMQBfADEAXwBfADUAXwBGAHIAYQBjAHQAaQBvAG4AVgBvAGwAYQB0AGkAbABlAFMAbwBsAGkAZABzAFMAbwBsAGkAZABTAHQAbwByAGEAZwBlAFYAYQByAGkAYQB0AGkAbwBuAFwAbgAgACAAPQBMAEEATQBCAEQAQQAoAFwAbgAgACAAIAAgAE0ATQBT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IAAgAE0ATQBTAGoAbQA0AFQAMQAgACsAIABcAG4AIAAgACAAIAAgACAAKABNAE0AUwBqAG0AVAAxAF8AMQAgACoAIABTAFMAagBtAFQAMQBfADEAKQAgACsAIABcAG4AIAAgACAAIAAgACAAKABNAE0AUwBqAG0AVAAxAF8AMgAgACoAIABTAFMAagBtAFQAMQBfADIAKQAgACsAIABcAG4AIAAgACAAIAAgACAAKABNAE0AUwBqAG0AVAAxAF8AMwAgACoAIABTAFMAagBtAFQAMQBfADMAKQAgACsAXABuACAAIAAgACAAIAAgACgATQBNAFMAagBtAFQAMQBfADQAIAAqACAAUwBTAGoAbQBUADEAXwA0ACkAIAArAFwAbgAgACAAIAAgACAAIAAoAE0ATQBTAGoAbQBUADEAXwA1ACAAKgAgAFMAUwBqAG0AVAAxAF8ANQApAFwAbgAgACAAKQA7AFwAbgBcAG4AVgBFAEUAUgBHAF8ANABfADU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UAXwAxAF8AMQBfAF8ANQBfAEYAcgBhAGMAdABpAG8AbgBWAG8AbABhAHQAaQBsAGUAUwBvAGwAaQBkAHMAUwBvAGwAaQBkAFMAdABvAHIAYQBnAGUAXwBWAGEAcgBpAGEAYgBsAGUAXABuACAAIAA9AEwAQQBNAEIARABBACgAXAAiAEYAVgBTAGoAbQA0AFQAMQBcACIAKQA7AFwAbgBcAG4AVgBFAEUAUgBHAF8ANABfADUAXwAxAF8AMQBfAF8ANQBfAEYAcgBhAGMAdABpAG8AbgBWAG8AbABhAHQAaQBsAGUAUwBvAGwAaQBkAHMAUwBvAGwAaQBkAFMAdABvAHIAYQBnAGUAXwBVAG4AaQB0AFwAbgAgACAAPQBMAEEATQBCAEQAQQAoAFwAIgBmAHIAYQBjAHQAaQBvAG4AXAAiACkAOwBcAG4AXABuAFYARQBFAFIARwBfADQAXwA1AF8AMQBfADEAXwBfADUAXwBGAHIAYQBjAHQAaQBvAG4AVgBvAGwAYQB0AGkAbABlAFMAbwBsAGkAZABzAFMAbwBsAGkAZABTAHQAbwByAGEAZwBlAF8AUwBvAHUAcgBjAGUAXABuACAAIAA9AEwAQQBNAEIARABBACgAXAAiAFYARQBFAFIARwAgADIAMAAyADYAOgAgADQALgA1AC4AMQAuADEALAAgAEUAcQB1AGEAdABpAG8AbgAgACgANQApAFwAIgApADsAXABuAFwAbgBWAEUARQBSAEcAXwA0AF8ANQBfADEAXwAxAF8AXwA1AF8ARgByAGEAYwB0AGkAbwBuAFYAbwBsAGEAdABpAGwAZQBTAG8AbABpAGQAcwBTAG8AbABpAGQAUwB0AG8AcgBhAGcAZQBfAE4ASQBSAFIAZQBmAGUAcgBlAG4AYwBlAFwAbgAgACAAPQBMAEEATQBCAEQAQQAoAFwAIgBcACIAKQA7AFwAbgBcAG4AVgBFAEUAUgBHAF8ANABfADUAXwAxAF8AMQBfAF8ANQBfAEYAcgBhAGMAdABpAG8AbgBWAG8AbABhAHQAaQBsAGUAUwBvAGwAaQBkAHMAUwBvAGwAaQBkAFMAdABvAHIAYQBnAGUAXwBMAGEAdABlAHgARQBxAHUAYQB0AGkAbwBuAFwAbgAgACAAPQBMAEEATQBCAEQAQQAoAFwAIgBGAFYAUwBfAHsAagAsAG0APQA0ACwAVAA9ADEAfQA9AE0ATQBTAF8AewBqACwAbQA9ADQALABUAD0AMQB9ACsAKABNAE0AUwBfAHsAagAsAG0APQAxACwANwAsADkALABUAD0AMQB9AFwAXAB0AGkAbQBlAHMAIABTAFMAXwB7AG0AfQApAFwAIgApADsAXABuAFwAbgBWAEUARQBSAEcAXwA0AF8ANQBfADEAXwAxAF8AXwA1AF8ARgByAGEAYwB0AGkAbwBuAFYAbwBsAGEAdABpAGwAZQBTAG8AbABpAGQAcwBTAG8AbABpAGQAUwB0AG8AcgBhAGcAZQBfAEwAYQB0AGUAeABFAHEAdQBhAHQAaQBvAG4AVgBhAHIAaQBhAHQAaQBvAG4AXABuACAAIAA9AEwAQQBNAEIARABBACgAXAAiAEYAVgBTAF8AewBqACwAbQA9ADQALABUAD0AMQB9AD0ATQBNAFMAXwB7AGoALA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GoAbQA0AFQAMQBcACIALABcACIAZgByAGEAYwB0AGkAbwBuACAAbwBmACAAbQBhAG4AdQByAGUAIABpAG4AIABzAG8AbABpAGQAIABzAHQAbwByAGEAZwBlACAAcAByAGkAbQBhAHIAeQAgAHMAeQBzAHQAZQBtAFwAIgAsACAAXAAiAGYAcgBhAGMAdABpAG8AbgBcACIALAAgAFwAIgBJAG4AcAB1AHQAXAAiADsAXABuACAAIAAgACAAIAAgACAAIAAgACAAXAAiAE0ATQBTAGoAbQAxADcAOQBUADEAXAAiACwAXAAiAGYAcgBhAGMAdABpAG8AbgAgAG8AZgAgAG0AYQBuAHUAcgBlACAAaQBuACAATQBNAFMAIAAxACwAIAA3ACwAIABhAG4AZAAgADkAIABpAG4AIAB0AHIAZQBhAHQAbQBlAG4AdAAgAHMAdABhAGcAZQAgADE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UAXwBGAHIAYQBjAHQAaQBvAG4AVgBvAGwAYQB0AGkAbABlAFMAbwBsAGkAZABz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AgACAAXABuAFwAbgAvACoAXABuAC0ALQAtAC0ALQAtAC0ALQAtAC0ALQAtAC0ALQAtAC0ALQAtAC0ALQAtAC0ALQAtAC0ALQAtAC0ALQAtAC0ALQAtAC0ALQAtAC0ALQBcAG4AVgBFAEUAUgBHAF8ANABfADUAXwAxAF8AMQBfAF8ANgBfAFMAdABhAGcAZQAyAE0AZQB0AGgAYQBuAGUAUAByAG8AZAB1AGMAdABpAG8AbgBcAG4AUAByAG8AZAB1AGMAdABpAG8AbgAgAG8AZgAgAG0AZQB0AGgAYQBuAGUAIABpAG4AIABlAGEAYwBoACAAdAByAGUAYQB0AG0AZQBuAHQAIABzAHQAYQBnAGUAIAAyACAATQBNAFMAXABuAE0AaQBqAG0AVAAyAFwAbgBrAGcAIABDAEgANAAvAGgAZQBhAGQALwBkAGEAeQBcAG4ATQBfAHsAaQBqAG0ALABUAD0AMgB9AD0AVgBTAFQAXwB7AGoAbQAsAFQAPQAyAH0AXABcAHQAaQBtAGUAcwAgAEIATwBcAFwAdABpAG0AZQBzACAATQBNAFMAXwB7AGoAbQAsAFQAPQAyAH0AXABcAHQAaQBtAGUAcwAgAE0AQwBGAF8AewBpAG0AfQBcAFwAdABpAG0AZQBzACAAXABcAHIAaABvAFwAbgBWAFMAVABqAG0AVAAyACAAPQAgAHYAbwBsAGEAdABpAGwAZQAgAHMAbwBsAGkAZABzACAAdAByAGEAbgBzAGYAZQByAHIAZQBkACAAdABvACAAdAByAGUAYQB0AG0AZQBuAHQAIABzAHQAYQBnAGUAIAAyACAATQBNAFMAIAA6ACAAawBnAC8AaABlAGEAZAAvAGQAYQB5AFwAbgBCAE8AIAA9ACAAZQBtAGkAcwBzAGkAbwBuAHMAIABwAG8AdABlAG4AdABpAGEAbAAgADoAIABtADMAIABDAEgANAAvAGsAZwAgAFYAUwBcAG4ATQBNAFMAagBtAFQAMgAgAD0AIABmAHIAYQBjAHQAaQBvAG4AIABvAGYAIABtAGEAbgB1AHIAZQAgAGkAbgAgAGUAYQBjAGgAIABzAGUAYwBvAG4AZABhAHIAeQAgAHMAeQBzAHQAZQBtACAAOgAgAGYAcgBhAGMAdABpAG8AbgBcAG4ATQBDAEYAaQBtACAAPQAgAG0AZQB0AGgAYQBuAGUAIABjAG8AbgB2AGUAcgBzAGkAbwBuACAAZgBhAGMAdABvAHIAIABmAG8AcgAgAHQAZQBtAHAAZQByAGEAdABlACAAegBvAG4AZQAgAGEAbgBkACAAcwB5AHMAdABlAG0AIAA6ACAAZgByAGEAYwB0AGkAbwBuAFwAbgByAGgAbwAgAD0AIABkAGUAbgBzAGkAdAB5ACAAbwBmACAAbQBlAHQAaABhAG4AZQAgADoAIABrAGcALwBtADMAXABuAGkAIAA9ACAAcwB0AGEAdABlAFwAbgAtAC0ALQAtAC0ALQAtAC0ALQAtAC0ALQAtAC0ALQAtAC0ALQAtAC0ALQAtAC0ALQAtAC0ALQAtAC0ALQAtAC0ALQAtAC0ALQAtAC0AXABuACoALwBcAG4AXABuAFYARQBFAFIARwBfADQAXwA1AF8AMQBfADEAXwBfADYAXwBTAHQAYQBnAGUAMgBNAGUAdABoAGEAbgBlAFAAcgBvAGQAdQBjAHQAaQBvAG4AXABuACAAIAA9AEwAQQBNAEIARABBACgAXABuACAAIAAgACAAVgBTAFQAagBtAFQAMgAsACAAQgBPACwAIABNAE0AUwBqAG0AVAAyACwAIABNAEMARgBpAG0ALAAgAHIAaABvACwAXABuACAAIAAgACAATABFAFQAKABcAG4AIAAgACAAIAAgACAAVgBTAFQAagBtAFQAMgAsACAASQBGACgASQBTAE4AVQBNAEIARQBSACgAVgBTAFQAagBtAFQAMgApACwAIABWAFMAVABqAG0AVAAyACwAIAAwACkALABcAG4AIAAgACAAIAAgACAATQBNAFMAagBtAFQAMgAsACAASQBGACgASQBTAE4AVQBNAEIARQBSACgATQBNAFMAagBtAFQAMgApACwAIABNAE0AUwBqAG0AVAAyACwAIAAwACkALABcAG4AIAAgACAAIAAgACAAVgBTAFQAagBtAFQAMgAgACoAIABCAE8AIAAqACAATQBNAFMAagBtAFQAMgAgACoAIABNAEMARgBpAG0AIAAqACAAcgBoAG8AXABuACAAIAAgACAAKQBcAG4AIAAgACkAOwBcAG4AXABuAFYARQBFAFIARwBfADQAXwA1AF8AMQBfADEAXwBfADYAXwBTAHQAYQBnAGUAMgBNAGUAdABoAGEAbgBlAFAAcgBvAGQAdQBjAHQAaQBvAG4AXwBUAGkAdABsAGUAXABuACAAIAA9AEwAQQBNAEIARABBACgAXAAiAFAAcgBvAGQAdQBjAHQAaQBvAG4AIABvAGYAIABtAGUAdABoAGEAbgBlACAAaQBuACAAZQBhAGMAaAAgAHQAcgBlAGEAdABtAGUAbgB0ACAAcwB0AGEAZwBlACAAMgAgAE0ATQBTAFwAIgApADsAXABuAFwAbgBWAEUARQBSAEcAXwA0AF8ANQBfADEAXwAxAF8AXwA2AF8AUwB0AGEAZwBlADIATQBlAHQAaABhAG4AZQBQAHIAbwBkAHUAYwB0AGkAbwBuAF8AVgBhAHIAaQBhAGIAbABlAFwAbgAgACAAPQBMAEEATQBCAEQAQQAoAFwAIgBNAGkAagBtAFQAMgBcACIAKQA7AFwAbgBcAG4AVgBFAEUAUgBHAF8ANABfADUAXwAxAF8AMQBfAF8ANgBfAFMAdABhAGcAZQAyAE0AZQB0AGgAYQBuAGUAUAByAG8AZAB1AGMAdABpAG8AbgBfAFUAbgBpAHQAXABuACAAIAA9AEwAQQBNAEIARABBACgAXAAiAGsAZwAgAEMASAA0AC8AaABlAGEAZAAvAGQAYQB5AFwAIgApADsAXABuAFwAbgBWAEUARQBSAEcAXwA0AF8ANQBfADEAXwAxAF8AXwA2AF8AUwB0AGEAZwBlADIATQBlAHQAaABhAG4AZQBQAHIAbwBkAHUAYwB0AGkAbwBuAF8AUwBvAHUAcgBjAGUAXABuACAAIAA9AEwAQQBNAEIARABBACgAXAAiAFYARQBFAFIARwAgADIAMAAyADYAOgAgADQALgA1AC4AMQAuADEALAAgAEUAcQB1AGEAdABpAG8AbgAgACgANgApAFwAIgApADsAXABuAFwAbgBWAEUARQBSAEcAXwA0AF8ANQBfADEAXwAxAF8AXwA2AF8AUwB0AGEAZwBlADIATQBlAHQAaABhAG4AZQBQAHIAbwBkAHUAYwB0AGkAbwBuAF8ATgBJAFIAUgBlAGYAZQByAGUAbgBjAGUAXABuACAAIAA9AEwAQQBNAEIARABBACgAXAAiAFwAIgApADsAXABuAFwAbgBWAEUARQBSAEcAXwA0AF8ANQBfADEAXwAxAF8AXwA2AF8AUwB0AGEAZwBlADIATQBlAHQAaABhAG4AZQBQAHIAbwBkAHUAYwB0AGkAbwBuAF8ATABhAHQAZQB4AEUAcQB1AGEAdABpAG8AbgBcAG4AIAAgAD0ATABBAE0AQgBEAEEAKABcACIATQBfAHsAaQBqAG0ALABUAD0AMgB9AD0AVgBTAFQAXwB7AGoAbQAsAFQAPQAyAH0AXABcAHQAaQBtAGUAcwAgAEIATwBcAFwAdABpAG0AZQBzACAATQBNAFMAXwB7AGoAbQAsAFQAPQAyAH0AXABcAHQAaQBtAGUAcwAgAE0AQwBGAF8AewBpAG0AfQBcAFwAdABpAG0AZQBzACAAXABcAHIAaABvAFwAIgApADsAXABuAFwAbgBWAEUARQBSAEcAXwA0AF8ANQBfADEAXwAxAF8AXwA2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BcACIAcwB0AGEAdABlAFwAIgAsACAAXAAiAFwAIgAsACAAXAAiAEkAbgBwAHUAdABcACIAXABuACAAIAAgACAAIAAgACAAIAB9ACwAIAByACwAIABjACkAXABuACAAIAAgACAAIAAgACkAXABuACAAIAAgACAAKQBcAG4AIAAgACkAOwBcAG4AXABuAFYARQBFAFIARwBfADQAXwA1AF8AMQBfADEAXwBfADY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NQBfADEAXwAxAF8AXwA3AF8AVgBvAGwAYQB0AGkAbABlAFMAbwBsAGkAZABzAFQAcgBhAG4AcwBmAGUAcgByAGUAZABTAHQAYQBnAGUAMgBcAG4AVgBvAGwAYQB0AGkAbABlACAAcwBvAGwAaQBkAHMAIAB0AHIAYQBuAHMAZgBlAHIAcgBlAGQAIAB0AG8AIAB0AHIAZQBhAHQAbQBlAG4AdAAgAHMAdABhAGcAZQAgADIAIABNAE0AUwBcAG4AVgBTAFQAaQBqAG0AVAAyAFwAbgBrAGcAIABWAFMAXABuAFYAUwBUAF8AewBpAGoAbQAsAFQAPQAyAH0APQBWAFMAXwB7AGoAfQBcAFwAdABpAG0AZQBzACAARgBWAFMAXwB7AGoAbQAsAFQAPQAxAH0AXABcAHQAaQBtAGUAcwAoADEALQBWAFMATABfAHsAbQAsAFQAPQAxAH0AKQ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WAFMATA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UAXwAxAF8AMQBfAF8ANwBfAFYAbwBsAGEAdABpAGwAZQBTAG8AbABpAGQAcwBUAHIAYQBuAHMAZgBlAHIAcgBlAGQAUwB0AGEAZwBlADIAXABuACAAIAA9AEwAQQBNAEIARABBACgAXABuACAAIAAgACAAVgBTAGoALAAgAEYAVgBTAGoAbQBUADEALAAgAFYAUwBMAG0AVAAxACwAXABuACAAIAAgACAAVgBTAGoAIAAqACAARgBWAFMAagBtAFQAMQAgACoAIAAoADEAIAAtACAAVgBTAEwAbQBUADEAKQBcAG4AIAAgACkAOwBcAG4AXABuAFYARQBFAFIARwBfADQAXwA1AF8AMQBfADEAXwBfADcAXwBWAG8AbABhAHQAaQBsAGUAUwBvAGwAaQBkAHMAVAByAGEAbgBzAGYAZQByAHIAZQBkAFMAdABhAGcAZQAyAF8AVABpAHQAbABlAFwAbgAgACAAPQBMAEEATQBCAEQAQQAoAFwAIgBWAG8AbABhAHQAaQBsAGUAIABzAG8AbABpAGQAcwAgAHQAcgBhAG4AcwBmAGUAcgByAGUAZAAgAHQAbwAgAHQAcgBlAGEAdABtAGUAbgB0ACAAcwB0AGEAZwBlACAAMgAgAE0ATQBTAFwAIgApADsAXABuAFwAbgBWAEUARQBSAEcAXwA0AF8ANQBfADEAXwAxAF8AXwA3AF8AVgBvAGwAYQB0AGkAbABlAFMAbwBsAGkAZABzAFQAcgBhAG4AcwBmAGUAcgByAGUAZABTAHQAYQBnAGUAMgBfAFYAYQByAGkAYQBiAGwAZQBcAG4AIAAgAD0ATABBAE0AQgBEAEEAKABcACIAVgBTAFQAaQBqAG0AVAAyAFwAIgApADsAXABuAFwAbgBWAEUARQBSAEcAXwA0AF8ANQBfADEAXwAxAF8AXwA3AF8AVgBvAGwAYQB0AGkAbABlAFMAbwBsAGkAZABzAFQAcgBhAG4AcwBmAGUAcgByAGUAZABTAHQAYQBnAGUAMgBfAFUAbgBpAHQAXABuACAAIAA9AEwAQQBNAEIARABBACgAXAAiAGsAZwAgAFYAUwBcACIAKQA7AFwAbgBcAG4AVgBFAEUAUgBHAF8ANABfADUAXwAxAF8AMQBfAF8ANwBfAFYAbwBsAGEAdABpAGwAZQBTAG8AbABpAGQAcwBUAHIAYQBuAHMAZgBlAHIAcgBlAGQAUwB0AGEAZwBlADIAXwBTAG8AdQByAGMAZQBcAG4AIAAgAD0ATABBAE0AQgBEAEEAKABcACIAVgBFAEUAUgBHACAAMgAwADIANgA6ACAANAAuADUALgAxAC4AMQAsACAARQBxAHUAYQB0AGkAbwBuACAAKAA3ACkAXAAiACkAOwBcAG4AXABuAFYARQBFAFIARwBfADQAXwA1AF8AMQBfADEAXwBfADcAXwBWAG8AbABhAHQAaQBsAGUAUwBvAGwAaQBkAHMAVAByAGEAbgBzAGYAZQByAHIAZQBkAFMAdABhAGcAZQAyAF8ATgBJAFIAUgBlAGYAZQByAGUAbgBjAGUAXABuACAAIAA9AEwAQQBNAEIARABBACgAXAAiAFwAIgApADsAXABuAFwAbgBWAEUARQBSAEcAXwA0AF8ANQBfADEAXwAxAF8AXwA3AF8AVgBvAGwAYQB0AGkAbABlAFMAbwBsAGkAZABzAFQAcgBhAG4AcwBmAGUAcgByAGUAZABTAHQAYQBnAGUAMgBfAEwAYQB0AGUAeABFAHEAdQBhAHQAaQBvAG4AXABuACAAIAA9AEwAQQBNAEIARABBACgAXAAiAFYAUwBUAF8AewBpAGoAbQAsAFQAPQAyAH0APQBWAFMAXwB7AGoAfQBcAFwAdABpAG0AZQBzACAARgBWAFMAXwB7AGoAbQAsAFQAPQAxAH0AXABcAHQAaQBtAGUAcwAoADEALQBWAFMATABfAHsAbQAsAFQAPQAxAH0AKQBcACIAKQA7AFwAbgBcAG4AVgBFAEUAUgBHAF8ANABfADUAXwAxAF8AMQBfAF8ANwBfAFYAbwBsAGEAdABpAGwAZQBTAG8AbABpAGQAcwBUAHIAYQBuAHMAZgBlAHIAcgBlAGQAUwB0AGEAZwBlADIAXwBBAHIAZwB1AG0AZQBuAHQAcwBcAG4AIAAgAD0ATABBAE0AQgBEAEEAKABcAG4AIAAgACAAIABNAEEASwBFAEEAUgBSAEEAWQAoADM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WAFMATABtAFQAMQBcACIALABcACIAZgByAGEAYwB0AGkAbwBuACAAbwBmACAAdgBvAGwAYQB0AGkAbABlACAAcwBvAGwAaQBkAHMAIABsAG8AcwB0ACAAZAB1AHIAaQBuAGcAIABzAHQAbwByAGEAZwBlACAAaQBuACAAdABoAGUAIABwAHIAaQBtAGEAcgB5ACAAcwB5AHMAdABlAG0AXAAiACwAIABcACIAZgByAGEAYwB0AGkAbwBuAFwAIgAsACAAXAAiAEwAbwBvAGsAdQBwAFwAIgBcAG4AIAAgACAAIAAgACAAIAAgAH0ALAAgAHIALAAgAGMAKQBcAG4AIAAgACAAIAAgACAAKQBcAG4AIAAgACAAIAApAFwAbgAgACAAKQA7ACIAfQAsAHsAIgBwAGEAdABoACIAOgAiAC8AcAByAG8AagBlAGMAdABzAC8ATQBNAFMAXwBTAHcAaQBuAGU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zACAATQBlAHQAaABvAGQAIAAxACAALQAgAE0AYQBuAHUAcgBlACAARABpAHIAZQBjAHQ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cwB3AGkAbgBlACAAYwBsAGEAcwBzACwAIABNAE0AUwAgAGEAbgBkACAAdAByAGUAYQB0AG0AZQBuAHQAIABzAHQAYQBnAGUAIAAoAGsAZwAgAE4AKQBcAG4ARQBGAF8AagBtACAAPQAgAG4AaQB0AHIAbwB1AHMAIABvAHgAaQBkAGUAIABlAG0AaQBzAHMAaQBvAG4AIABmAGEAYwB0AG8AcgAgAGYAbwByACAATQBNAFM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UAXwAxAF8AMwBfAF8AMQBfAFQAbwB0AGEAbABBAG4AbgB1AGEAbABEAGkAcgBlAGMAdABOAGkAdAByAG8AdQBzAE8AeABpAGQAZQBFAG0AaQBzAHMAaQBvAG4AcwBGAHIAbwBtAE0ATQBTAFwAbgAgACAAPQBMAEEATQBCAEQAQQAoAFwAbgAgACAAIAAgAE0ATgBfAGoAbQBUACwAIABFAEYAXwBqAG0ALAAgAEMAXwBOADIATwAsAFwAbgAgACAAIAAgAE0ATgBfAGoAbQBUACAAKgAgAEUARgBfAGoAbQAgACoAIABDAF8ATgAyAE8AIAAqACAAMQAwACAAXgAgAC0AMwBcAG4AIAAgACkAOwBcAG4AXABuAFYARQBFAFIARwBfADQAXwA1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QBfADEAXwAzAF8AXwAxAF8AVABvAHQAYQBsAEEAbgBuAHUAYQBsAEQAaQByAGUAYwB0AE4AaQB0AHIAbwB1AHMATwB4AGkAZABlAEUAbQBpAHMAcwBpAG8AbgBzAEYAcgBvAG0ATQBNAFMAXwBWAGEAcgBpAGEAYgBsAGUAXABuACAAIAA9AEwAQQBNAEIARABBACgAXAAiAEUAXwBOADIATwBkAGkAcgBcACIAKQA7AFwAbgBcAG4AVgBFAEUAUgBHAF8ANABfADUAXwAxAF8AMwBfAF8AMQBfAFQAbwB0AGEAbABBAG4AbgB1AGEAbABEAGkAcgBlAGMAdABOAGkAdAByAG8AdQBzAE8AeABpAGQAZQBFAG0AaQBzAHMAaQBvAG4AcwBGAHIAbwBtAE0ATQBTAF8AVQBuAGkAdABcAG4AIAAgAD0ATABBAE0AQgBEAEEAKABcACIAdAAgAE4AMgBPAFwAIgApADsAXABuAFwAbgBWAEUARQBSAEcAXwA0AF8ANQBfADEAXwAzAF8AXwAxAF8AVABvAHQAYQBsAEEAbgBuAHUAYQBsAEQAaQByAGUAYwB0AE4AaQB0AHIAbwB1AHMATwB4AGkAZABlAEUAbQBpAHMAcwBpAG8AbgBzAEYAcgBvAG0ATQBNAFMAXwBTAG8AdQByAGMAZQBcAG4AIAAgAD0ATABBAE0AQgBEAEEAKABcACIAVgBFAEUAUgBHACAAMgAwADIANgA6ACAANAAuADUALgAxAC4AMwAsACAARQBxAHUAYQB0AGkAbwBuACAAKAAxACkAXAAiACkAOwBcAG4AXABuAFYARQBFAFIARwBfADQAXwA1AF8AMQBfADMAXwBfADEAXwBUAG8AdABhAGwAQQBuAG4AdQBhAGwARABpAHIAZQBjAHQATgBpAHQAcgBvAHUAcwBPAHgAaQBkAGUARQBtAGkAcwBzAGkAbwBuAHMARgByAG8AbQBNAE0AUwBfAE4ASQBSAFIAZQBmAGUAcgBlAG4AYwBlAFwAbgAgACAAPQBMAEEATQBCAEQAQQAoAFwAIgBcACIAKQA7AFwAbgBcAG4AVgBFAEUAUgBHAF8ANABfADU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1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UARgBfAGoAbQBcACIALAAgAFwAIgBuAGkAdAByAG8AdQBzACAAbwB4AGkAZABlACAAZQBtAGkAcwBzAGkAbwBuACAAZgBhAGMAdABvAHIAIABmAG8AcgAgAE0ATQBTAFwAIgAsACAAXAAiAGsAZwAgAE4AMgBPAC0ATgAvAGsAZwAgAE4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gBfAFMAdABhAGcAZQAxAE4AaQB0AHIAbwBnAGUAbgBJAG4ATQBNAFMAXABuAE4AaQB0AHIAbwBnAGUAbgAgAGkAbgAgAHQAcgBlAGEAdABtAGUAbgB0ACAAcwB0AGEAZwBlACAAMQAgAE0ATQBTAFwAbgBNAE4AXwBqAG0AVAAxAFwAbgBrAGcAIABOAFwAbgBNAE4AXwB7AGoAbQAsAFQAPQAxAH0APQBBAEUAXwB7AGoAfQBcAFwAdABpAG0AZQBzACAARgBOAF8AewBqAG0ALABUAD0AMQB9AFwAbgBBAEUAXwBqACAAPQAgAHQAbwB0AGEAbAAgAG4AaQB0AHIAbwBnAGUAbgAgAGUAeABjAHIAZQB0AGUAZAAgAGIAeQAgAGUAYQBjAGgAIABzAHcAaQBuAGUAIABjAGwAYQBzAHMAIAAoAGsAZwAgAE4AKQBcAG4ARgBOAF8AagBtAFQAMQAgAD0AIABmAHIAYQBjAHQAaQBvAG4AIABvAGYAIABuAGkAdAByAG8AZwBlAG4AIABpAG4AIABlAGEAYwBoACAAcAByAGkAbQBhAHIAeQAgAE0ATQBTACAAcwB5AHMAdABlAG0AXABuAC0ALQAtAC0ALQAtAC0ALQAtAC0ALQAtAC0ALQAtAC0ALQAtAC0ALQAtAC0ALQAtAC0ALQAtAC0ALQAtAC0ALQAtAC0ALQAtAC0ALQBcAG4AKgAvAFwAbgBcAG4AVgBFAEUAUgBHAF8ANABfADUAXwAxAF8AMwBfAF8AMgBfAFMAdABhAGcAZQAxAE4AaQB0AHIAbwBnAGUAbgBJAG4ATQBNAFMAXABuACAAIAA9AEwAQQBNAEIARABBACgAXABuACAAIAAgACAAQQBFAF8AagAsACAARgBOAF8AagBtAFQAMQAsAFwAbgAgACAAIAAgAEEARQBfAGoAIAAqACAARgBOAF8AagBtAFQAMQBcAG4AIAAgACkAOwBcAG4AXABuAFYARQBFAFIARwBfADQAXwA1AF8AMQBfADMAXwBfADIAXwBTAHQAYQBnAGUAMQBOAGkAdAByAG8AZwBlAG4ASQBuAE0ATQBTAF8AVABpAHQAbABlAFwAbgAgACAAPQBMAEEATQBCAEQAQQAoAFwAIgBOAGkAdAByAG8AZwBlAG4AIABpAG4AIAB0AHIAZQBhAHQAbQBlAG4AdAAgAHMAdABhAGcAZQAgADEAIABNAE0AUwBcACIAKQA7AFwAbgBcAG4AVgBFAEUAUgBHAF8ANABfADUAXwAxAF8AMwBfAF8AMgBfAFMAdABhAGcAZQAxAE4AaQB0AHIAbwBnAGUAbgBJAG4ATQBNAFMAXwBWAGEAcgBpAGEAYgBsAGUAXABuACAAIAA9AEwAQQBNAEIARABBACgAXAAiAE0ATgBfAGoAbQBUADEAXAAiACkAOwBcAG4AXABuAFYARQBFAFIARwBfADQAXwA1AF8AMQBfADMAXwBfADIAXwBTAHQAYQBnAGUAMQBOAGkAdAByAG8AZwBlAG4ASQBuAE0ATQBTAF8AVQBuAGkAdABcAG4AIAAgAD0ATABBAE0AQgBEAEEAKABcACIAawBnACAATgBcACIAKQA7AFwAbgBcAG4AVgBFAEUAUgBHAF8ANABfADUAXwAxAF8AMwBfAF8AMgBfAFMAdABhAGcAZQAxAE4AaQB0AHIAbwBnAGUAbgBJAG4ATQBNAFMAXwBTAG8AdQByAGMAZQBcAG4AIAAgAD0ATABBAE0AQgBEAEEAKABcACIAVgBFAEUAUgBHACAAMgAwADIANgA6ACAANAAuADUALgAxAC4AMwAsACAARQBxAHUAYQB0AGkAbwBuACAAKAAyACkAXAAiACkAOwBcAG4AXABuAFYARQBFAFIARwBfADQAXwA1AF8AMQBfADMAXwBfADIAXwBTAHQAYQBnAGUAMQBOAGkAdAByAG8AZwBlAG4ASQBuAE0ATQBTAF8ATgBJAFIAUgBlAGYAZQByAGUAbgBjAGUAXABuACAAIAA9AEwAQQBNAEIARABBACgAXAAiAFwAIgApADsAXABuAFwAbgBWAEUARQBSAEcAXwA0AF8ANQBfADEAXwAzAF8AXwAyAF8AUwB0AGEAZwBlADEATgBpAHQAcgBvAGcAZQBuAEkAbgBNAE0AUwBfAEwAYQB0AGUAeABFAHEAdQBhAHQAaQBvAG4AXABuACAAIAA9AEwAQQBNAEIARABBACgAXAAiAE0ATgBfAHsAagBtACwAVAA9ADEAfQA9AEEARQBfAHsAagB9AFwAXAB0AGkAbQBlAHMAIABGAE4AXwB7AGoAbQAsAFQAPQAxAH0AXAAiACkAOwBcAG4AXABuAFYARQBFAFIARwBfADQAXwA1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HMAdwBpAG4AZQAgAGMAbABhAHMAcwBcACIALAAgAFwAIgBrAGcAIABOAFwAIgAsACAAXAAiAEMAYQBsAGMAdQBsAGEAdABlAGQAIABmAHIAbwBtACAANAAuADUALgAxAC4AMwAgACgANQApAFwAIgA7AFwAbgAgACAAIAAgACAAIAAgACAAIAAgAFwAIgBGAE4AXwBqAG0AVAAxAFwAIgAsACAAXAAiAGYAcgBhAGMAdABpAG8AbgAgAG8AZgAgAG4AaQB0AHIAbwBnAGUAbgAgAGkAbgAgAGUAYQBjAGgAIABwAHIAaQBtAGEAcgB5ACAATQBNAFMAIABzAHkAcwB0AGUAbQBcACIALAAgAFwAIgBmAHIAYQBjAHQAaQBvAG4AXAAiACwAIABcACIAQwBhAGwAYwB1AGwAYQB0AGUAZAAgAGYAcgBvAG0AIAA0AC4ANQAuADEALgAzACAAKAAzACkAKAA0ACk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wBfAEYAcgBhAGMAdABpAG8AbgBPAGYATgBpAHQAcgBvAGcAZQBuAEkAbgBQAHIAaQBtAGEAcgB5AE0ATQBTAFwAbgBGAHIAYQBjAHQAaQBvAG4AIABvAGYAIABuAGkAdAByAG8AZwBlAG4AIABpAG4AIABlAGEAYwBoACAAcAByAGkAbQBhAHIAeQAgAE0ATQBTACAAKABlAHgAYwBsAHUAZABpAG4AZwAgAHMAbwBsAGkAZAAgAHMAdABvAHIAYQBnAGUAKQBcAG4ARgBOAF8AagBtAFQAMQBcAG4AZgByAGEAYwB0AGkAbwBuAFwAbgBGAE4AXwB7AGoAbQAsAFQAPQAxAH0APQBNAE0AUwBfAHsAagBtACwAVAA9ADEAfQBcAFwAdABpAG0AZQBzACgAMQAtAFMATgBfAHsAbQB9ACkAXABuAE0ATQBTAF8AagBtAFQAMQAgAD0AIABmAHIAYQBjAHQAaQBvAG4AIABvAGYAIABtAGEAbgB1AHIAZQAgAGkAbgAgAHAAcgBpAG0AYQByAHkAIABNAE0AUw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zAF8ARgByAGEAYwB0AGkAbwBuAE8AZgBOAGkAdAByAG8AZwBlAG4ASQBuAFAAcgBpAG0AYQByAHkATQBNAFMAXABuACAAIAA9AEwAQQBNAEIARABBACgAXABuACAAIAAgACAATQBNAFMAXwBqAG0AVAAxACwAIABTAE4AXwBtACwAXABuACAAIAAgACAATQBNAFMAXwBqAG0AVAAxACAAKgAgACgAMQAgAC0AIABTAE4AXwBtACkAXABuACAAIAApADsAXABuAFwAbgBWAEUARQBSAEcAXwA0AF8ANQBfADEAXwAzAF8AXwAzAF8ARgByAGEAYwB0AGkAbwBuAE8AZgBOAGkAdAByAG8AZwBlAG4ASQBuAFAAcgBpAG0AYQByAHkATQBNAFMAXwBUAGkAdABsAGUAXABuACAAIAA9AEwAQQBNAEIARABBACgAXAAiAEYAcgBhAGMAdABpAG8AbgAgAG8AZgAgAG4AaQB0AHIAbwBnAGUAbgAgAGkAbgAgAGUAYQBjAGgAIABwAHIAaQBtAGEAcgB5ACAATQBNAFMAIAAoAGUAeABjAGwAdQBkAGkAbgBnACAAcwBvAGwAaQBkACAAcwB0AG8AcgBhAGcAZQApAFwAIgApADsAXABuAFwAbgBWAEUARQBSAEcAXwA0AF8ANQBfADEAXwAzAF8AXwAzAF8ARgByAGEAYwB0AGkAbwBuAE8AZgBOAGkAdAByAG8AZwBlAG4ASQBuAFAAcgBpAG0AYQByAHkATQBNAFMAXwBWAGEAcgBpAGEAYgBsAGUAXABuACAAIAA9AEwAQQBNAEIARABBACgAXAAiAEYATgBfAGoAbQBUADEAXAAiACkAOwBcAG4AXABuAFYARQBFAFIARwBfADQAXwA1AF8AMQBfADMAXwBfADMAXwBGAHIAYQBjAHQAaQBvAG4ATwBmAE4AaQB0AHIAbwBnAGUAbgBJAG4AUAByAGkAbQBhAHIAeQBNAE0AUwBfAFUAbgBpAHQAXABuACAAIAA9AEwAQQBNAEIARABBACgAXAAiAGYAcgBhAGMAdABpAG8AbgBcACIAKQA7AFwAbgBcAG4AVgBFAEUAUgBHAF8ANABfADUAXwAxAF8AMwBfAF8AMwBfAEYAcgBhAGMAdABpAG8AbgBPAGYATgBpAHQAcgBvAGcAZQBuAEkAbgBQAHIAaQBtAGEAcgB5AE0ATQBTAF8AUwBvAHUAcgBjAGUAXABuACAAIAA9AEwAQQBNAEIARABBACgAXAAiAFYARQBFAFIARwAgADIAMAAyADYAOgAgADQALgA1AC4AMQAuADMALAAgAEUAcQB1AGEAdABpAG8AbgAgACgAMwApAFwAIgApADsAXABuAFwAbgBWAEUARQBSAEcAXwA0AF8ANQBfADEAXwAzAF8AXwAzAF8ARgByAGEAYwB0AGkAbwBuAE8AZgBOAGkAdAByAG8AZwBlAG4ASQBuAFAAcgBpAG0AYQByAHkATQBNAFMAXwBOAEkAUgBSAGUAZgBlAHIAZQBuAGMAZQBcAG4AIAAgAD0ATABBAE0AQgBEAEEAKABcACIAXAAiACkAOwBcAG4AXABuAFYARQBFAFIARwBfADQAXwA1AF8AMQBfADMAXwBfADMAXwBGAHIAYQBjAHQAaQBvAG4ATwBmAE4AaQB0AHIAbwBnAGUAbgBJAG4AUAByAGkAbQBhAHIAeQBNAE0AUwBfAEwAYQB0AGUAeABFAHEAdQBhAHQAaQBvAG4AXABuACAAIAA9AEwAQQBNAEIARABBACgAXAAiAEYATgBfAHsAagBtACwAVAA9ADEAfQA9AE0ATQBTAF8AewBqAG0ALABUAD0AMQB9AFwAXAB0AGkAbQBlAHMAKAAxAC0AUwBOAF8AewBtAH0AKQBcACIAKQA7AFwAbgBcAG4AVgBFAEUAUgBHAF8ANABfADUAXwAxAF8AMwBfAF8AMwBfAEYAcgBhAGMAdABpAG8AbgBPAGYATgBpAHQAcgBvAGcAZQBuAEkAbgBQAHIAaQBtAGEAcgB5AE0ATQBTAF8AQQByAGcAdQBtAGUAbgB0AHMAXABuACAAIAA9AEwAQQBNAEIARABBACgAXABuACAAIAAgACAATQBBAEsARQBBAFIAUgBBAFkAKAAyACwAIAA0ACwAXABuACAAIAAgACAAIAAgAEwAQQBNAEIARABBACgAcgAsAGMALABcAG4AIAAgACAAIAAgACAAIAAgAEkATgBEAEUAWAAoAHsAXABuACAAIAAgACAAIAAgACAAIAAgACAAXAAiAE0ATQBTAF8AagBtAFQAMQBcACIALAAgAFwAIgBmAHIAYQBjAHQAaQBvAG4AIABvAGYAIABtAGEAbgB1AHIAZQAgAGkAbgAgAHAAcgBpAG0AYQByAHkAIABNAE0AUw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ABfAEYAcgBhAGMAdABpAG8AbgBPAGYATgBpAHQAcgBvAGcAZQBuAEkAbgBTAG8AbABpAGQAUwB0AG8AcgBhAGcAZQBcAG4ARgByAGEAYwB0AGkAbwBuACAAbwBmACAAbgBpAHQAcgBvAGcAZQBuACAAaQBuACAAcwBvAGwAaQBkACAAcwB0AG8AcgBhAGcAZQBcAG4ARgBOAF8AagBtADQAVAAxAFwAbgBmAHIAYQBjAHQAaQBvAG4AXABuAEYATgBfAHsAagBtAD0ANAAsAFQAPQAxAH0APQBNAE0AUwBfAHsAagBtAD0ANAAsAFQAPQAxAH0AKwAoAE0ATQBTAF8AewBqAG0APQAxACwANwAsADkALABUAD0AMQB9AFwAXAB0AGkAbQBlAHMAIABTAE4AXwB7AG0AfQApAFwAbgBNAE0AUwBfAGoAbQA0AFQAMQAgAD0AIABmAHIAYQBjAHQAaQBvAG4AIABvAGYAIABtAGEAbgB1AHIAZQAgAGkAbgAgAHMAbwBsAGkAZAAgAHMAdABvAHIAYQBnAGUAIABNAE0AUwBcAG4ATQBNAFMAXwBqAG0AMQA3ADkAVAAxACAAPQAgAGYAcgBhAGMAdABpAG8AbgAgAG8AZgAgAG0AYQBuAHUAcgBlACAAaQBuACAAcAByAGkAbQBhAHIAeQAgAGwAaQBxAHUAaQBkACAAcwB5AHMAdABlAG0AcwAgACgAbQA9ADEALAA3ACwAOQAp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QAXwBGAHIAYQBjAHQAaQBvAG4ATwBmAE4AaQB0AHIAbwBnAGUAbgBJAG4AUwBvAGwAaQBkAFMAdABvAHIAYQBnAGUAXABuACAAIAA9AEwAQQBNAEIARABBACgAXABuACAAIAAgACAATQBNAFMAXwBqAG0ANABUADEALAAgAE0ATQBTAF8AagBtADEANwA5AFQAMQAsACAAUwBOAF8AbQAsAFwAbgAgACAAIAAgAE0ATQBTAF8AagBtADQAVAAxACAAKwAgACgATQBNAFMAXwBqAG0AMQA3ADkAVAAxACAAKgAgAFMATgBfAG0AKQBcAG4AIAAgACkAOwBcAG4AXABuAFYARQBFAFIARwBfADQAXwA1AF8AMQBfADMAXwBfADQAXwBGAHIAYQBjAHQAaQBvAG4ATwBmAE4AaQB0AHIAbwBnAGUAbgBJAG4AUwBvAGwAaQBkAFMAdABvAHIAYQBnAGUAVgBhAHIAaQBhAHQAaQBvAG4AXABuACAAIAA9AEwAQQBNAEIARABBACgAXABuACAAIAAgACAATQBNAFMAX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E0ATQBTAF8AagBtADQAVAAxACAAKwAgACgATQBNAFMAagBtAFQAMQBfADEAIAAqACAAUwBTAGoAbQBUADEAXwAxACkAIAArACAAKABNAE0AUwBqAG0AVAAxAF8AMgAgACoAIABTAFMAagBtAFQAMQBfADIAKQAgACsAIAAoAE0ATQBTAGoAbQBUADEAXwAzACAAKgAgAFMAUwBqAG0AVAAxAF8AMwApACAAKwAgACgATQBNAFMAagBtAFQAMQBfADQAIAAqACAAUwBTAGoAbQBUADEAXwA0ACkAIAArACAAKABNAE0AUwBqAG0AVAAxAF8ANQAgACoAIABTAFMAagBtAFQAMQBfADUAKQBcAG4AIAAgACkAOwBcAG4AXABuAFYARQBFAFIARwBfADQAXwA1AF8AMQBfADMAXwBfADQAXwBGAHIAYQBjAHQAaQBvAG4ATwBmAE4AaQB0AHIAbwBnAGUAbgBJAG4AUwBvAGwAaQBkAFMAdABvAHIAYQBnAGUAXwBUAGkAdABsAGUAXABuACAAIAA9AEwAQQBNAEIARABBACgAXAAiAEYAcgBhAGMAdABpAG8AbgAgAG8AZgAgAG4AaQB0AHIAbwBnAGUAbgAgAGkAbgAgAHMAbwBsAGkAZAAgAHMAdABvAHIAYQBnAGUAXAAiACkAOwBcAG4AXABuAFYARQBFAFIARwBfADQAXwA1AF8AMQBfADMAXwBfADQAXwBGAHIAYQBjAHQAaQBvAG4ATwBmAE4AaQB0AHIAbwBnAGUAbgBJAG4AUwBvAGwAaQBkAFMAdABvAHIAYQBnAGUAXwBWAGEAcgBpAGEAYgBsAGUAXABuACAAIAA9AEwAQQBNAEIARABBACgAXAAiAEYATgBfAGoAbQA0AFQAMQBcACIAKQA7AFwAbgBcAG4AVgBFAEUAUgBHAF8ANABfADUAXwAxAF8AMwBfAF8ANABfAEYAcgBhAGMAdABpAG8AbgBPAGYATgBpAHQAcgBvAGcAZQBuAEkAbgBTAG8AbABpAGQAUwB0AG8AcgBhAGcAZQBfAFUAbgBpAHQAXABuACAAIAA9AEwAQQBNAEIARABBACgAXAAiAGYAcgBhAGMAdABpAG8AbgBcACIAKQA7AFwAbgBcAG4AVgBFAEUAUgBHAF8ANABfADUAXwAxAF8AMwBfAF8ANABfAEYAcgBhAGMAdABpAG8AbgBPAGYATgBpAHQAcgBvAGcAZQBuAEkAbgBTAG8AbABpAGQAUwB0AG8AcgBhAGcAZQBfAFMAbwB1AHIAYwBlAFwAbgAgACAAPQBMAEEATQBCAEQAQQAoAFwAIgBWAEUARQBSAEcAIAAyADAAMgA2ADoAIAA0AC4ANQAuADEALgAzACwAIABFAHEAdQBhAHQAaQBvAG4AIAAoADQAKQBcACIAKQA7AFwAbgBcAG4AVgBFAEUAUgBHAF8ANABfADUAXwAxAF8AMwBfAF8ANABfAEYAcgBhAGMAdABpAG8AbgBPAGYATgBpAHQAcgBvAGcAZQBuAEkAbgBTAG8AbABpAGQAUwB0AG8AcgBhAGcAZQBfAE4ASQBSAFIAZQBmAGUAcgBlAG4AYwBlAFwAbgAgACAAPQBMAEEATQBCAEQAQQAoAFwAIgBcACIAKQA7AFwAbgBcAG4AVgBFAEUAUgBHAF8ANABfADUAXwAxAF8AMwBfAF8ANABfAEYAcgBhAGMAdABpAG8AbgBPAGYATgBpAHQAcgBvAGcAZQBuAEkAbgBTAG8AbABpAGQAUwB0AG8AcgBhAGcAZQBfAEwAYQB0AGUAeABFAHEAdQBhAHQAaQBvAG4AXABuACAAIAA9AEwAQQBNAEIARABBACgAXAAiAEYATgBfAHsAagBtAD0ANAAsAFQAPQAxAH0APQBNAE0AUwBfAHsAagBtAD0ANAAsAFQAPQAxAH0AKwAoAE0ATQBTAF8AewBqAG0APQAxACwANwAsADkALABUAD0AMQB9AFwAXAB0AGkAbQBlAHMAIABTAE4AXwB7AG0AfQApAFwAIgApADsAXABuAFwAbgBWAEUARQBSAEcAXwA0AF8ANQBfADEAXwAzAF8AXwA0AF8ARgByAGEAYwB0AGkAbwBuAE8AZgBOAGkAdAByAG8AZwBlAG4ASQBuAFMAbwBsAGkAZABTAHQAbwByAGEAZwBlAF8ATABhAHQAZQB4AEUAcQB1AGEAdABpAG8AbgBWAGEAcgBpAGEAdABpAG8AbgBcAG4AIAAgAD0ATABBAE0AQgBEAEEAKABcACIARgBOAF8AewBqAG0APQA0ACwAVAA9ADEAfQA9AE0ATQBTAF8AewBq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wBfAF8ANABfAEYAcgBhAGMAdABpAG8AbgBPAGYATgBpAHQAcgBvAGcAZQBuAEkAbg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QAMQBcACIALAAgAFwAIgBmAHIAYQBjAHQAaQBvAG4AIABvAGYAIABtAGEAbgB1AHIAZQAgAGkAbgAgAHMAbwBsAGkAZAAgAHMAdABvAHIAYQBnAGUAIABNAE0AUwBcACIALAAgAFwAIgBmAHIAYQBjAHQAaQBvAG4AXAAiACwAIABcACIASQBuAHAAdQB0AFwAIgA7AFwAbgAgACAAIAAgACAAIAAgACAAIAAgAFwAIgBNAE0AUwBfAGoAbQAxADcAOQBUADEAXAAiACwAIABcACIAZgByAGEAYwB0AGkAbwBuACAAbwBmACAAbQBhAG4AdQByAGUAIABpAG4AIABwAHIAaQBtAGEAcgB5ACAAbABpAHEAdQBpAGQAIABzAHkAcwB0AGUAbQBzACAAKABtAD0AMQAsADcALAA5ACk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wBfAF8ANABfAEYAcgBhAGMAdABpAG8AbgBPAGYATgBpAHQAcgBvAGcAZQBuAEkAbg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XABuAC8AKgBcAG4ALQAtAC0ALQAtAC0ALQAtAC0ALQAtAC0ALQAtAC0ALQAtAC0ALQAtAC0ALQAtAC0ALQAtAC0ALQAtAC0ALQAtAC0ALQAtAC0ALQAtAFwAbgBWAEUARQBSAEcAXwA0AF8ANQBfADEAXwAzAF8AXwA1AF8AQQBuAG4AdQBhAGwATgBpAHQAcgBvAGcAZQBuAEUAeABjAHIAZQB0AGkAbwBuAFwAbgBBAG4AbgB1AGEAbAAgAG4AaQB0AHIAbwBnAGUAbgAgAGUAeABjAHIAZQB0AGkAbwBuACAAZgByAG8AbQAgAGUAYQBjAGgAIABzAHcAaQBuAGUAIABnAHIAbwB1AHAAXABuAEEARQBfAGoAXABuAGsAZwAgAE4AXABuAEEARQBfAHsAagB9AD0ATgBfAHsAagB9AFwAXAB0AGkAbQBlAHMAIABOAFcAXwB7AGoAfQBcAFwAdABpAG0AZQBzACAARABfAHsAagB9AFwAbgBOAF8AagAgAD0AIABuAHUAbQBiAGUAcgAgAG8AZgAgAHMAdwBpAG4AZQAgAGkAbgAgAGUAYQBjAGgAIABnAHIAbwB1AHAAIAAoAGgAZQBhAGQAKQBcAG4ATgBXAF8AagAgAD0AIABuAGkAdAByAG8AZwBlAG4AIABwAHIAbwBkAHUAYwBlAGQAIABpAG4AIABzAHcAaQBuAGUAIABtAGEAbgB1AHIAZQAgAGEAbgBkACAAdwBhAHMAdABlACAAZgBlAGUAZAAgAGkAbgAgAGUAYQBjAGgAIABjAGwAYQBzAHMAIAAoAGsAZwAgAE4ALwBoAGUAYQBkAC8AZABhAHkAKQBcAG4ARABfAGoAIAA9ACAAZAB1AHIAYQB0AGkAbwBuACAAbwBmACAAcwB0AGEAeQAgAG8AZgAgAHMAdwBpAG4AZQAgAGcAcgBvAHUAcAAgACgAZABhAHkAcwApAFwAbgAtAC0ALQAtAC0ALQAtAC0ALQAtAC0ALQAtAC0ALQAtAC0ALQAtAC0ALQAtAC0ALQAtAC0ALQAtAC0ALQAtAC0ALQAtAC0ALQAtAC0AXABuACoALwBcAG4AXABuAFYARQBFAFIARwBfADQAXwA1AF8AMQBfADMAXwBfADUAXwBBAG4AbgB1AGEAbABOAGkAdAByAG8AZwBlAG4ARQB4AGMAcgBlAHQAaQBvAG4AXABuACAAIAA9AEwAQQBNAEIARABBACgAXABuACAAIAAgACAATgBfAGoALAAgAE4AVwBfAGoALAAgAEQAXwBqACwAXABuACAAIAAgACAATgBfAGoAIAAqACAATgBXAF8AagAgACoAIABEAF8AagBcAG4AIAAgACkAOwBcAG4AXABuAFYARQBFAFIARwBfADQAXwA1AF8AMQBfADMAXwBfADUAXwBBAG4AbgB1AGEAbABOAGkAdAByAG8AZwBlAG4ARQB4AGMAcgBlAHQAaQBvAG4AXwBUAGkAdABsAGUAXABuACAAIAA9AEwAQQBNAEIARABBACgAXAAiAEEAbgBuAHUAYQBsACAAbgBpAHQAcgBvAGcAZQBuACAAZQB4AGMAcgBlAHQAaQBvAG4AIABmAHIAbwBtACAAZQBhAGMAaAAgAHMAdwBpAG4AZQAgAGcAcgBvAHUAcABcACIAKQA7AFwAbgBcAG4AVgBFAEUAUgBHAF8ANABfADUAXwAxAF8AMwBfAF8ANQBfAEEAbgBuAHUAYQBsAE4AaQB0AHIAbwBnAGUAbgBFAHgAYwByAGUAdABpAG8AbgBfAFYAYQByAGkAYQBiAGwAZQBcAG4AIAAgAD0ATABBAE0AQgBEAEEAKABcACIAQQBFAF8AagBcACIAKQA7AFwAbgBcAG4AVgBFAEUAUgBHAF8ANABfADUAXwAxAF8AMwBfAF8ANQBfAEEAbgBuAHUAYQBsAE4AaQB0AHIAbwBnAGUAbgBFAHgAYwByAGUAdABpAG8AbgBfAFUAbgBpAHQAXABuACAAIAA9AEwAQQBNAEIARABBACgAXAAiAGsAZwAgAE4AXAAiACkAOwBcAG4AXABuAFYARQBFAFIARwBfADQAXwA1AF8AMQBfADMAXwBfADUAXwBBAG4AbgB1AGEAbABOAGkAdAByAG8AZwBlAG4ARQB4AGMAcgBlAHQAaQBvAG4AXwBTAG8AdQByAGMAZQBcAG4AIAAgAD0ATABBAE0AQgBEAEEAKABcACIAVgBFAEUAUgBHACAAMgAwADIANgA6ACAANAAuADUALgAxAC4AMwAsACAARQBxAHUAYQB0AGkAbwBuACAAKAA1ACkAXAAiACkAOwBcAG4AXABuAFYARQBFAFIARwBfADQAXwA1AF8AMQBfADMAXwBfADUAXwBBAG4AbgB1AGEAbABOAGkAdAByAG8AZwBlAG4ARQB4AGMAcgBlAHQAaQBvAG4AXwBOAEkAUgBSAGUAZgBlAHIAZQBuAGMAZQBcAG4AIAAgAD0ATABBAE0AQgBEAEEAKABcACIAXAAiACkAOwBcAG4AXABuAFYARQBFAFIARwBfADQAXwA1AF8AMQBfADMAXwBfADUAXwBBAG4AbgB1AGEAbABOAGkAdAByAG8AZwBlAG4ARQB4AGMAcgBlAHQAaQBvAG4AXwBMAGEAdABlAHgARQBxAHUAYQB0AGkAbwBuAFwAbgAgACAAPQBMAEEATQBCAEQAQQAoAFwAIgBBAEUAXwB7AGoAfQA9AE4AXwB7AGoAfQBcAFwAdABpAG0AZQBzACAATgBXAF8AewBqAH0AXABcAHQAaQBtAGUAcwAgAEQAXwB7AGoAfQBcACIAKQA7AFwAbgBcAG4AVgBFAEUAUgBHAF8ANABfADUAXwAxAF8AMwBfAF8ANQ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HMAdwBpAG4AZQAgAGkAbgAgAGUAYQBjAGgAIABnAHIAbwB1AHAAXAAiACwAIABcACIAaABlAGEAZABcACIALAAgAFwAIgBJAG4AcAB1AHQAXAAiADsAXABuACAAIAAgACAAIAAgACAAIAAgACAAXAAiAE4AVwBfAGoAXAAiACwAIABcACIAbgBpAHQAcgBvAGcAZQBuACAAcAByAG8AZAB1AGMAZQBkACAAaQBuACAAcwB3AGkAbgBlACAAbQBhAG4AdQByAGUAIABhAG4AZAAgAHcAYQBzAHQAZQAgAGYAZQBlAGQAIABpAG4AIABlAGEAYwBoACAAYwBsAGEAcwBzAFwAIgAsACAAXAAiAGsAZwAgAE4ALwBoAGUAYQBkAC8AZABhAHkAXAAiACwAIABcACIASQBuAHAAdQB0AFwAIgA7AFwAbgAgACAAIAAgACAAIAAgACAAIAAgAFwAIgBEAF8AagBcACIALAAgAFwAIgBkAHUAcgBhAHQAaQBvAG4AIABvAGYAIABzAHQAYQB5ACAAbwBmACAAcwB3AGkAbgBlACAAZwByAG8AdQBw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oAGsAZwAgAE4AKQBcAG4ATQBNAFMAXwBqAG0AVAAyACAAPQAgAGYAcgBhAGMAdABpAG8AbgAgAG8AZgAgAG0AYQBuAHUAcgBlACAAaQBuACAAZQBhAGMAaAAgAHMAZQBjAG8AbgBkAGEAcgB5ACAAcwB5AHMAdABlAG0AXABuAC0ALQAtAC0ALQAtAC0ALQAtAC0ALQAtAC0ALQAtAC0ALQAtAC0ALQAtAC0ALQAtAC0ALQAtAC0ALQAtAC0ALQAtAC0ALQAtAC0ALQBcAG4AKgAvAFwAbgBcAG4AVgBFAEUAUgBHAF8ANABfADUAXwAxAF8AMwBfAF8ANgBfAFMAdABhAGcAZQAyAE4AaQB0AHIAbwBnAGUAbgBJAG4ATQBNAFMAXABuACAAIAA9AEwAQQBNAEIARABBACgAXABuACAAIAAgACAATgBUAF8AagBtAFQAMgAsACAATQBNAFMAXwBqAG0AVAAyACwAXABuACAAIAAgACAATgBUAF8AagBtAFQAMgAgACoAIABNAE0AUwBfAGoAbQBUADIAXABuACAAIAApADsAXABuAFwAbgBWAEUARQBSAEcAXwA0AF8ANQBfADEAXwAzAF8AXwA2AF8AUwB0AGEAZwBlADIATgBpAHQAcgBvAGcAZQBuAEkAbgBNAE0AUwBfAFQAaQB0AGwAZQBcAG4AIAAgAD0ATABBAE0AQgBEAEEAKABcACIATgBpAHQAcgBvAGcAZQBuACAAaQBuACAAdAByAGUAYQB0AG0AZQBuAHQAIABzAHQAYQBnAGUAIAAyACAATQBNAFMAXAAiACkAOwBcAG4AXABuAFYARQBFAFIARwBfADQAXwA1AF8AMQBfADMAXwBfADYAXwBTAHQAYQBnAGUAMgBOAGkAdAByAG8AZwBlAG4ASQBuAE0ATQBTAF8AVgBhAHIAaQBhAGIAbABlAFwAbgAgACAAPQBMAEEATQBCAEQAQQAoAFwAIgBNAE4AXwBqAG0AVAAyAFwAIgApADsAXABuAFwAbgBWAEUARQBSAEcAXwA0AF8ANQBfADEAXwAzAF8AXwA2AF8AUwB0AGEAZwBlADIATgBpAHQAcgBvAGcAZQBuAEkAbgBNAE0AUwBfAFUAbgBpAHQAXABuACAAIAA9AEwAQQBNAEIARABBACgAXAAiAGsAZwAgAE4AXAAiACkAOwBcAG4AXABuAFYARQBFAFIARwBfADQAXwA1AF8AMQBfADMAXwBfADYAXwBTAHQAYQBnAGUAMgBOAGkAdAByAG8AZwBlAG4ASQBuAE0ATQBTAF8AUwBvAHUAcgBjAGUAXABuACAAIAA9AEwAQQBNAEIARABBACgAXAAiAFYARQBFAFIARwAgADIAMAAyADYAOgAgADQALgA1AC4AMQAuADMALAAgAEUAcQB1AGEAdABpAG8AbgAgACgANgApAFwAIgApADsAXABuAFwAbgBWAEUARQBSAEcAXwA0AF8ANQBfADEAXwAzAF8AXwA2AF8AUwB0AGEAZwBlADIATgBpAHQAcgBvAGcAZQBuAEkAbgBNAE0AUwBfAE4ASQBSAFIAZQBmAGUAcgBlAG4AYwBlAFwAbgAgACAAPQBMAEEATQBCAEQAQQAoAFwAIgBcACIAKQA7AFwAbgBcAG4AVgBFAEUAUgBHAF8ANABfADUAXwAxAF8AMwBfAF8ANgBfAFMAdABhAGcAZQAyAE4AaQB0AHIAbwBnAGUAbgBJAG4ATQBNAFMAXwBMAGEAdABlAHgARQBxAHUAYQB0AGkAbwBuAFwAbgAgACAAPQBMAEEATQBCAEQAQQAoAFwAIgBNAE4AXwB7AGoAbQAsAFQAPQAyAH0APQBOAFQAXwB7AGoAbQAsAFQAPQAyAH0AXABcAHQAaQBtAGUAcwAgAE0ATQBTAF8AewBqAG0ALABUAD0AMgB9AFwAIgApADsAXABuAFwAbgBWAEUARQBSAEcAXwA0AF8ANQ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0AVAAyAFwAIgAsACAAXAAiAG4AaQB0AHIAbwBnAGUAbgAgAHQAcgBhAG4AcwBmAGUAcgByAGUAZAAgAHQAbwAgAHMAZQBjAG8AbgBkAGEAcgB5ACAAdAByAGUAYQB0AG0AZQBuAHQAIABNAE0AUwBcACIALAAgAFwAIgBrAGcAIABOAFwAIgAsACAAXAAiAEMAYQBsAGMAdQBsAGEAdABlAGQAIABmAHIAbwBtACAANAAuADUALgAxAC4AMwAgACgANwApAFwAIgA7AFwAbgAgACAAIAAgACAAIAAgACAAIAAgAFwAIgBNAE0AUwBfAGoAbQBUADIAXAAiACwAI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cAXwBOAGkAdAByAG8AZwBlAG4AVAByAGEAbgBzAGYAZQByAHIAZQBkAFQAbwBTAHQAYQBnAGUAMgBNAE0AUwBcAG4ATgBpAHQAcgBvAGcAZQBuACAAdAByAGEAbgBzAGYAZQByAHIAZQBkACAAdABvACAAdAByAGUAYQB0AG0AZQBuAHQAIABzAHQAYQBnAGUAIAAyACAATQBNAFMAXABuAE4AVABfAGoAbQBUADIAXABuAGsAZwAgAE4AXABuAE4AVABfAHsAagBtACwAVAA9ADIAfQA9AE0ATgBfAHsAagBtACwAVAA9ADEAfQBcAFwAdABpAG0AZQBzACgAMQAtAEYAcgBhAGMARwBBAFMATQBfAHsAbQAsAFQAPQAxAH0ALQBFAEYAXwB7AG0ALABUAD0AMQB9ACkAXABuAE0ATgBfAGoAbQBUADEAIAA9ACAAbgBpAHQAcgBvAGcAZQBuACAAcABlAHIAIABzAHcAaQBuAGUAIABjAGwAYQBzAHMAIABpAG4AIAB0AHIAZQBhAHQAbQBlAG4AdAAgAHMAdABhAGcAZQAgADEAIABNAE0AUwAgACgAawBnACAATgApAFwAbgBGAHIAYQBjAEcAQQBTAE0AbQBUADEAIAA9ACAAZgByAGEAYwB0AGkAbwBuACAAbwBmACAATgAgAHYAbwBsAGEAdABpAGwAaQBzAGUAZAAgAGYAcgBvAG0AIABNAE0AUwAgAHQAcgBlAGEAdABtAGUAbgB0ACAAYQB0ACAAcwB0AGEAZwBlACAAMQBcAG4ARQBGAF8AbQBUADEAIAA9ACAAbgBpAHQAcgBvAHUAcwAgAG8AeABpAGQAZQAgAGUAbQBpAHMAcwBpAG8AbgAgAGYAYQBjAHQAbwByACAAZgBvAHIAIABNAE0AUwAgAHQAcgBlAGEAdABtAGUAbgB0ACAAYQB0ACAAcwB0AGEAZwBlACAAMQBcAG4ALQAtAC0ALQAtAC0ALQAtAC0ALQAtAC0ALQAtAC0ALQAtAC0ALQAtAC0ALQAtAC0ALQAtAC0ALQAtAC0ALQAtAC0ALQAtAC0ALQAtAFwAbgAqAC8AXABuAFwAbgBWAEUARQBSAEcAXwA0AF8ANQBfADEAXwAzAF8AXwA3AF8ATgBpAHQAcgBvAGcAZQBuAFQAcgBhAG4AcwBmAGUAcgByAGUAZABUAG8AUwB0AGEAZwBlADIATQBNAFMAXABuACAAIAA9AEwAQQBNAEIARABBACgAXABuACAAIAAgACAATQBOAF8AagBtAFQAMQAsACAARgByAGEAYwBHAEEAUwBNAG0AVAAxACwAIABFAEYAXwBtAFQAMQAsAFwAbgAgACAAIAAgAE0ATgBfAGoAbQBUADEAIAAqACAAKAAxACAALQAgAEYAcgBhAGMARwBBAFMATQBtAFQAMQAgAC0AIABFAEYAXwBtAFQAMQApAFwAbgAgACAAKQA7AFwAbgBcAG4AVgBFAEUAUgBHAF8ANABfADU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UAXwAxAF8AMwBfAF8ANwBfAE4AaQB0AHIAbwBnAGUAbgBUAHIAYQBuAHMAZgBlAHIAcgBlAGQAVABvAFMAdABhAGcAZQAyAE0ATQBTAF8AVgBhAHIAaQBhAGIAbABlAFwAbgAgACAAPQBMAEEATQBCAEQAQQAoAFwAIgBOAFQAXwBqAG0AVAAyAFwAIgApADsAXABuAFwAbgBWAEUARQBSAEcAXwA0AF8ANQBfADEAXwAzAF8AXwA3AF8ATgBpAHQAcgBvAGcAZQBuAFQAcgBhAG4AcwBmAGUAcgByAGUAZABUAG8AUwB0AGEAZwBlADIATQBNAFMAXwBVAG4AaQB0AFwAbgAgACAAPQBMAEEATQBCAEQAQQAoAFwAIgBrAGcAIABOAFwAIgApADsAXABuAFwAbgBWAEUARQBSAEcAXwA0AF8ANQBfADEAXwAzAF8AXwA3AF8ATgBpAHQAcgBvAGcAZQBuAFQAcgBhAG4AcwBmAGUAcgByAGUAZABUAG8AUwB0AGEAZwBlADIATQBNAFMAXwBTAG8AdQByAGMAZQBcAG4AIAAgAD0ATABBAE0AQgBEAEEAKABcACIAVgBFAEUAUgBHACAAMgAwADIANgA6ACAANAAuADUALgAxAC4AMwAsACAARQBxAHUAYQB0AGkAbwBuACAAKAA3ACkAXAAiACkAOwBcAG4AXABuAFYARQBFAFIARwBfADQAXwA1AF8AMQBfADMAXwBfADcAXwBOAGkAdAByAG8AZwBlAG4AVAByAGEAbgBzAGYAZQByAHIAZQBkAFQAbwBTAHQAYQBnAGUAMgBNAE0AUwBfAE4ASQBSAFIAZQBmAGUAcgBlAG4AYwBlAFwAbgAgACAAPQBMAEEATQBCAEQAQQAoAFwAIgBcACIAKQA7AFwAbgBcAG4AVgBFAEUAUgBHAF8ANABfADUAXwAxAF8AMwBfAF8ANwBfAE4AaQB0AHIAbwBnAGUAbgBUAHIAYQBuAHMAZgBlAHIAcgBlAGQAVABvAFMAdABhAGcAZQAyAE0ATQBTAF8ATABhAHQAZQB4AEUAcQB1AGEAdABpAG8AbgBcAG4AIAAgAD0ATABBAE0AQgBEAEEAKABcACIATgBUAF8AewBqAG0ALABUAD0AMgB9AD0ATQBOAF8AewBqAG0ALABUAD0AMQB9AFwAXAB0AGkAbQBlAHMAKAAxAC0ARgByAGEAYwBHAEEAUwBNAF8AewBtACwAVAA9ADEAfQAtAEUARgBfAHsAbQAsAFQAPQAxAH0AKQBcACIAKQA7AFwAbgBcAG4AVgBFAEUAUgBHAF8ANABfADU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bQBUADEAXAAiACwAIABcACIAbgBpAHQAcgBvAGcAZQBuACAAcABlAHIAIABzAHcAaQBuAGUAIABjAGwAYQBzAHMAIABpAG4AIAB0AHIAZQBhAHQAbQBlAG4AdAAgAHMAdABhAGcAZQAgADEAIABNAE0AUwBcACIALAAgAFwAIgBrAGcAIABOAFwAIgAsACAAXAAiAEMAYQBsAGMAdQBsAGEAdABlAGQAIABmAHIAbwBtACAANAAuADUALgAxAC4AMwAgACgAMgApACgANgApAFwAIgA7AFwAbgAgACAAIAAgACAAIAAgACAAIAAgAFwAIgBGAHIAYQBjAEcAQQBTAE0AbQBUADEAXAAiACwAIABcACIAZgByAGEAYwB0AGkAbwBuACAAbwBmACAATgAgAHYAbwBsAGEAdABpAGwAaQBzAGUAZAAgAGYAcgBvAG0AIABNAE0AUwAgAHQAcgBlAGEAdABtAGUAbgB0ACAAYQB0ACAAcwB0AGEAZwBlACAAMQBcACIALAAgAFwAIgBmAHIAYQBjAHQAaQBvAG4AXAAiACwAIABcACIATABvAG8AawB1AHAAXAAiADsAXABuACAAIAAgACAAIAAgACAAIAAgACAAXAAiAEUARgBfAG0AVAAxAFwAIgAsACAAXAAiAG4AaQB0AHIAbwB1AHMAIABvAHgAaQBkAGUAIABlAG0AaQBzAHMAaQBvAG4AIABmAGEAYwB0AG8AcgAgAGYAbwByACAATQBNAFMAIAB0AHIAZQBhAHQAbQBlAG4AdAAgAGEAdAAgAHMAdABhAGcAZQAgADEAXAAiACwAIABcACIAawBnACAATgAyAE8ALQBOAC8AawBnACAATgBcACIALAAgAFwAIgBMAG8AbwBrAHUAcABcACIAXABuACAAIAAgACAAIAAgACAAIAB9ACwAIAByACwAIABjACkAXABuACAAIAAgACAAIAAgACkAXABuACAAIAAgACAAKQBcAG4AIAAgACkAOwBcAG4AIgB9ACwAewAiAHAAYQB0AGgAIgA6ACIALwBwAHIAbwBqAGUAYwB0AHMALwBNAE0AUwBfAFMAdwBpAG4AZ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UAIABNAGUAdABoAG8AZAAgADEAIAAtACAATQBhAG4AdQByAGUAIABBAHQAbQBvAHMAcABoAGUAcgBpAGMAIABEAGUAcABvAHMAaQB0AGkAbwBu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YQBkAH0APQBNAE0AUwBfAHsAQQBUAE0ATwBTAH0AXABcAHQAaQBtAGUAcwAgAEUARgBfAHsATgAyAE8AfQBcAFwAdABpAG0AZQBzACAAQwBfAHsATgAyAE8AfQBcAFwAdABpAG0AZQBzACAAMQAwAF4AewAtADMAfQBcAG4ATQBNAFM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QBfADEAXwA1AF8AXwAxAF8AQQBuAG4AdQBhAGwAQQB0AG0AbwBzAHAAaABlAHIAaQBjAEQAZQBwAG8AcwBpAHQAaQBvAG4ARQBtAGkAcwBzAGkAbwBuAHMARgByAG8AbQBNAE0AUwBcAG4AIAAgAD0ATABBAE0AQgBEAEEAKABcAG4AIAAgACAAIABNAE0AUwBfAEEAVABNAE8AUwAsACAARQBGAF8ATgAyAE8ALAAgAEMAXwBOADIATwAsAFwAbgAgACAAIAAgAE0ATQBTAF8AQQBUAE0ATwBTACAAKgAgAEUARgBfAE4AMgBPACAAKgAgAEMAXwBOADIATwAgACoAIAAxADAAIABeACAALQAzAFwAbgAgACAAKQA7AFwAbgBcAG4AVgBFAEUAUgBHAF8ANABfADU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NQBfADEAXwA1AF8AXwAxAF8AQQBuAG4AdQBhAGwAQQB0AG0AbwBzAHAAaABlAHIAaQBjAEQAZQBwAG8AcwBpAHQAaQBvAG4ARQBtAGkAcwBzAGkAbwBuAHMARgByAG8AbQBNAE0AUwBfAFYAYQByAGkAYQBiAGwAZQBcAG4AIAAgAD0ATABBAE0AQgBEAEEAKABcACIARQBfAE4AMgBPAE0ATQBTAGEAZABcACIAKQA7AFwAbgBcAG4AVgBFAEUAUgBHAF8ANABfADUAXwAxAF8ANQBfAF8AMQBfAEEAbgBuAHUAYQBsAEEAdABtAG8AcwBwAGgAZQByAGkAYwBEAGUAcABvAHMAaQB0AGkAbwBuAEUAbQBpAHMAcwBpAG8AbgBzAEYAcgBvAG0ATQBNAFMAXwBVAG4AaQB0AFwAbgAgACAAPQBMAEEATQBCAEQAQQAoAFwAIgB0ACAATgAyAE8AXAAiACkAOwBcAG4AXABuAFYARQBFAFIARwBfADQAXwA1AF8AMQBfADUAXwBfADEAXwBBAG4AbgB1AGEAbABBAHQAbQBvAHMAcABoAGUAcgBpAGMARABlAHAAbwBzAGkAdABpAG8AbgBFAG0AaQBzAHMAaQBvAG4AcwBGAHIAbwBtAE0ATQBTAF8AUwBvAHUAcgBjAGUAXABuACAAIAA9AEwAQQBNAEIARABBACgAXAAiAFYARQBFAFIARwAgADIAMAAyADYAOgAgADQALgA1AC4AMQAuADEALAAgAEUAcQB1AGEAdABpAG8AbgAgACgAMQApAFwAIgApADsAXABuAFwAbgBWAEUARQBSAEcAXwA0AF8ANQBfADEAXwA1AF8AXwAxAF8AQQBuAG4AdQBhAGwAQQB0AG0AbwBzAHAAaABlAHIAaQBjAEQAZQBwAG8AcwBpAHQAaQBvAG4ARQBtAGkAcwBzAGkAbwBuAHMARgByAG8AbQBNAE0AUwBfAE4ASQBSAFIAZQBmAGUAcgBlAG4AYwBlAFwAbgAgACAAPQBMAEEATQBCAEQAQQAoAFwAIgBcACIAKQA7AFwAbgBcAG4AVgBFAEUAUgBHAF8ANABfADUAXwAxAF8ANQBfAF8AMQBfAEEAbgBuAHUAYQBsAEEAdABtAG8AcwBwAGgAZQByAGkAYwBEAGUAcABvAHMAaQB0AGkAbwBuAEUAbQBpAHMAcwBpAG8AbgBzAEYAcgBvAG0ATQBNAFMAXwBMAGEAdABlAHgARQBxAHUAYQB0AGkAbwBuAFwAbgAgACAAPQBMAEEATQBCAEQAQQAoAFwAIgBFAF8AewBOADIATwAsAGEAZAB9AD0ATQBNAFMAXwB7AEEAVABNAE8AUwB9AFwAXAB0AGkAbQBlAHMAIABFAEYAXwB7AE4AMgBPAH0AXABcAHQAaQBtAGUAcwAgAEMAXwB7AE4AMgBPAH0AXABcAHQAaQBtAGUAcwAgADEAMABeAHsALQAzAH0AXAAiACkAOwBcAG4AXABuAFYARQBFAFIARwBfADQAXwA1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CAAXAAiAG0AYQBzAHMAIABvAGYAIABOACAAdgBvAGwAYQB0AGkAbABpAHMAZQBkACAAZgByAG8AbQAgAE0ATQBTAFwAIgAsACAAXAAiAGsAZwAgAE4AXAAiACwAIABcACIAQwBhAGwAYwB1AGwAYQB0AGUAZAAgAGYAcgBvAG0AIAA0AC4ANQ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NQBfAF8AMgBfAFQAbwB0AGEAbABOAGkAdAByAG8AZwBlAG4AVgBvAGwAYQB0AGkAbABpAHMAZQBkAEYAcgBvAG0ATQBNAFMAXABuAFQAbwB0AGEAbAAgAG4AaQB0AHIAbwBnAGUAbgAgAHYAbwBsAGEAdABpAGwAaQBzAGUAZAAgAGYAcgBvAG0AIABNAE0AUw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HAAZQByACAAcwB3AGkAbgBlACAAYwBsAGEAcwBzACwAIABNAE0AUwAgAGEAbgBkACAAdAByAGUAYQB0AG0AZQBuAHQAIABzAHQAYQBnAGUAIAAoAGsAZwAgAE4AKQBcAG4ARgByAGEAYwBHAEEAUwBNAG0AVAAgAD0AIABmAHIAYQBjAHQAaQBvAG4AIABvAGYAIABOACAAdgBvAGwAYQB0AGkAbABpAHMAZQBkACAAaQBuACAAZQBhAGMAaAAgAE0ATQBTACAAKAAoAGsAZwAgAE4ASAAzAC0ATgAgACsAIABOAE8AeAAtAE4AKQAvAGsAZwAgAE4AKQBcAG4ALQAtAC0ALQAtAC0ALQAtAC0ALQAtAC0ALQAtAC0ALQAtAC0ALQAtAC0ALQAtAC0ALQAtAC0ALQAtAC0ALQAtAC0ALQAtAC0ALQAtAFwAbgAqAC8AXABuAFwAbgBWAEUARQBSAEcAXwA0AF8ANQBfADEAXwA1AF8AXwAyAF8AVABvAHQAYQBsAE4AaQB0AHIAbwBnAGUAbgBWAG8AbABhAHQAaQBsAGkAcwBlAGQARgByAG8AbQBNAE0AUwBcAG4AIAAgAD0ATABBAE0AQgBEAEEAKABcAG4AIAAgACAAIABNAE4AXwBqAG0AVAAsACAARgByAGEAYwBHAEEAUwBNAG0AVAAsAFwAbgAgACAAIAAgAE0ATgBfAGoAbQBUACAAKgAgAEYAcgBhAGMARwBBAFMATQBtAFQAXABuACAAIAApADsAXABuAFwAbgBWAEUARQBSAEcAXwA0AF8ANQ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NQBfADEAXwA1AF8AXwAyAF8AVABvAHQAYQBsAE4AaQB0AHIAbwBnAGUAbgBWAG8AbABhAHQAaQBsAGkAcwBlAGQARgByAG8AbQBNAE0AUwBfAFYAYQByAGkAYQBiAGwAZQBcAG4AIAAgAD0ATABBAE0AQgBEAEEAKABcACIATQBNAFMAXwBBAFQATQBPAFMAXAAiACkAOwBcAG4AXABuAFYARQBFAFIARwBfADQAXwA1AF8AMQBfADUAXwBfADIAXwBUAG8AdABhAGwATgBpAHQAcgBvAGcAZQBuAFYAbwBsAGEAdABpAGwAaQBzAGUAZABGAHIAbwBtAE0ATQBTAF8AVQBuAGkAdABcAG4AIAAgAD0ATABBAE0AQgBEAEEAKABcACIAawBnACAATgBcACIAKQA7AFwAbgBcAG4AVgBFAEUAUgBHAF8ANABfADUAXwAxAF8ANQBfAF8AMgBfAFQAbwB0AGEAbABOAGkAdAByAG8AZwBlAG4AVgBvAGwAYQB0AGkAbABpAHMAZQBkAEYAcgBvAG0ATQBNAFMAXwBTAG8AdQByAGMAZQBcAG4AIAAgAD0ATABBAE0AQgBEAEEAKABcACIAVgBFAEUAUgBHACAAMgAwADIANgA6ACAANAAuADUALgAxAC4AMQAsACAARQBxAHUAYQB0AGkAbwBuACAAKAAyACkAXAAiACkAOwBcAG4AXABuAFYARQBFAFIARwBfADQAXwA1AF8AMQBfADUAXwBfADIAXwBUAG8AdABhAGwATgBpAHQAcgBvAGcAZQBuAFYAbwBsAGEAdABpAGwAaQBzAGUAZABGAHIAbwBtAE0ATQBTAF8ATgBJAFIAUgBlAGYAZQByAGUAbgBjAGUAXABuACAAIAA9AEwAQQBNAEIARABBACgAXAAiAFwAIgApADsAXABuAFwAbgBWAEUARQBSAEcAXwA0AF8ANQBfADEAXwA1AF8AXwAyAF8AVABvAHQAYQBsAE4AaQB0AHIAbwBnAGUAbgBWAG8AbABhAHQAaQBsAGkAcwBlAGQARgByAG8AbQBNAE0AUw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1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gByAGEAYwBHAEEAUwBNAG0AVABcACIALAAg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TAHcAaQBuAGU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wAgAE0AZQB0AGgAbwBkACAAMQAgAC0AIABNAGEAbgB1AHIAZQAgAEwAZQBhAGMAaABpAG4AZwAgAEEAbgBkACAAUgB1AG4AbwBmAGY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PQA1AH0AXABcAHQAaQBtAGUAcwAgAEUARgBfAHsAbABlAGEAYwBoAH0AXABcAHQAaQBtAGUAcwAgAEMAXwB7AE4AMgBPAH0AXABcAHQAaQBtAGUAcwAgADEAMABeAHsALQAzAH0AXABuAE0ATgBMAGUAYQBjAGgAXwBqAG0ANQAgAD0AIABtAGEAcwBzACAAbwBmACAATgAgAGwAbwBzAHQAIAB0AGgAcgBvAHUAZwBoACAAbABlAGEAYwBoAGkAbgBnACAAYQBuAGQAIAByAHUAbgBvAGYAZgAgAGYAcgBvAG0AIABkAHIAeQBsAG8AdAAgAE0ATQBT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QAdQBlACAAdABvACAAcwB0AHIAaQBjAHQAIABlAG4AdgBpAHIAbwBuAG0AZQBuAHQAYQBsACAAYwBvAG4AdAByAG8AbABzACwAIABlAG0AaQBzAHMAaQBvAG4AcwAgAGEAcgBlACAAZQBzAHQAaQBtAGEAdABlAGQAIABvAG4AbAB5ACAAZgBvAHIAIABkAHIAeQBsAG8AdAAgAE0ATQBTACAAKABtAD0ANQApAC4AXABuAC0ALQAtAC0ALQAtAC0ALQAtAC0ALQAtAC0ALQAtAC0ALQAtAC0ALQAtAC0ALQAtAC0ALQAtAC0ALQAtAC0ALQAtAC0ALQAtAC0ALQBcAG4AKgAvAFwAbgBcAG4AVgBFAEUAUgBHAF8ANABfADUAXwAxAF8ANwBfAF8AMQBfAEEAbgBuAHUAYQBsAEUAbQBpAHMAcwBpAG8AbgBzAEYAcgBvAG0ATABlAGEAYwBoAGkAbgBnAEEAbgBkAFIAdQBuAG8AZgBmAEYAcgBvAG0ATQBNAFMAXABuACAAIAA9AEwAQQBNAEIARABBACgAXABuACAAIAAgACAATQBOAEwAZQBhAGMAaABfAGoAbQA1ACwAIABFAEYAXwBsAGUAYQBjAGgALAAgAEMAXwBOADIATwAsAFwAbgAgACAAIAAgAE0ATgBMAGUAYQBjAGgAXwBqAG0ANQAgACoAIABFAEYAXwBsAGUAYQBjAGgAIAAqACAAQwBfAE4AMgBPACAAKgAgADEAMAAgAF4AIAAtADMAXABuACAAIAApADsAXABuAFwAbgBWAEUARQBSAEcAXwA0AF8ANQ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UAXwAxAF8ANwBfAF8AMQBfAEEAbgBuAHUAYQBsAEUAbQBpAHMAcwBpAG8AbgBzAEYAcgBvAG0ATABlAGEAYwBoAGkAbgBnAEEAbgBkAFIAdQBuAG8AZgBmAEYAcgBvAG0ATQBNAFMAXwBWAGEAcgBpAGEAYgBsAGUAXABuACAAIAA9AEwAQQBNAEIARABBACgAXAAiAEUAXwBOADIATwBsAGUAYQBjAGgAXAAiACkAOwBcAG4AXABuAFYARQBFAFIARwBfADQAXwA1AF8AMQBfADcAXwBfADEAXwBBAG4AbgB1AGEAbABFAG0AaQBzAHMAaQBvAG4AcwBGAHIAbwBtAEwAZQBhAGMAaABpAG4AZwBBAG4AZABSAHUAbgBvAGYAZgBGAHIAbwBtAE0ATQBTAF8AVQBuAGkAdABcAG4AIAAgAD0ATABBAE0AQgBEAEEAKABcACIAdAAgAE4AMgBPAFwAIgApADsAXABuAFwAbgBWAEUARQBSAEcAXwA0AF8ANQBfADEAXwA3AF8AXwAxAF8AQQBuAG4AdQBhAGwARQBtAGkAcwBzAGkAbwBuAHMARgByAG8AbQBMAGUAYQBjAGgAaQBuAGcAQQBuAGQAUgB1AG4AbwBmAGYARgByAG8AbQBNAE0AUwBfAFMAbwB1AHIAYwBlAFwAbgAgACAAPQBMAEEATQBCAEQAQQAoAFwAIgBWAEUARQBSAEcAIAAyADAAMgA2ADoAIAA0AC4ANQAuADEALgA3ACwAIABFAHEAdQBhAHQAaQBvAG4AIAAoADEAKQBcACIAKQA7AFwAbgBcAG4AVgBFAEUAUgBHAF8ANABfADUAXwAxAF8ANwBfAF8AMQBfAEEAbgBuAHUAYQBsAEUAbQBpAHMAcwBpAG8AbgBzAEYAcgBvAG0ATABlAGEAYwBoAGkAbgBnAEEAbgBkAFIAdQBuAG8AZgBmAEYAcgBvAG0ATQBNAFMAXwBOAEkAUgBSAGUAZgBlAHIAZQBuAGMAZQBcAG4AIAAgAD0ATABBAE0AQgBEAEEAKABcACIAXAAiACkAOwBcAG4AXABuAFYARQBFAFIARwBfADQAXwA1AF8AMQBfADcAXwBfADEAXwBBAG4AbgB1AGEAbABFAG0AaQBzAHMAaQBvAG4AcwBGAHIAbwBtAEwAZQBhAGMAaABpAG4AZwBBAG4AZABSAHUAbgBvAGYAZgBGAHIAbwBtAE0ATQBTAF8ATABhAHQAZQB4AEUAcQB1AGEAdABpAG8AbgBcAG4AIAAgAD0ATABBAE0AQgBEAEEAKABcACIARQBfAHsATgAyAE8ALABsAGUAYQBjAGgAfQA9AE0ATgBMAGUAYQBjAGgAXwB7AGoAbQA9ADUAfQBcAFwAdABpAG0AZQBzACAARQBGAF8AewBsAGUAYQBjAGgAfQBcAFwAdABpAG0AZQBzACAAQwBfAHsATgAyAE8AfQBcAFwAdABpAG0AZQBzACAAMQAwAF4AewAtADMAfQBcACIAKQA7AFwAbgBcAG4AVgBFAEUAUgBHAF8ANABfADU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A1AFwAIgAsACAAXAAiAG0AYQBzAHMAIABvAGYAIABOACAAbABvAHMAdAAgAHQAaAByAG8AdQBnAGgAIABsAGUAYQBjAGgAaQBuAGcAIABhAG4AZAAgAHIAdQBuAG8AZgBmACAAZgByAG8AbQAgAGQAcgB5AGwAbwB0ACAATQBNAFMAXAAiACwAIABcACIAawBnACAATgBcACIALAAgAFwAIgBDAGEAbABjAHUAbABhAHQAZQBkACAAZgByAG8AbQAgADQALgA1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cAXwBfADIAXwBNAGEAcwBzAE8AZgBOAGkAdAByAG8AZwBlAG4ATABvAHMAdABUAG8ATABlAGEAYwBoAGkAbgBnAEEAbgBkAFIAdQBuAG8AZgBmAEYAcgBvAG0ARAByAHkAbABvAHQATQBNAFMAXABuAE0AYQBzAHMAIABvAGYAIABuAGkAdAByAG8AZwBlAG4AIABsAG8AcwB0ACAAdABvACAAbABlAGEAYwBoAGkAbgBnACAAYQBuAGQAIAByAHUAbgBvAGYAZgAgAGYAcgBvAG0AIABkAHIAeQBsAG8AdAAgAE0ATQBTAFwAbgBNAE4ATABlAGEAYwBoAF8AagBtADUAXABuAGsAZwAgAE4AXABuAE0ATgBMAGUAYQBjAGgAXwB7AGoAbQA9ADUAfQA9AE0ATgBfAHsAagBtAD0ANQAsAFQAPQAxAH0AXABcAHQAaQBtAGUAcwAgAEYAcgBhAGMAVwBFAFQAXABcAHQAaQBtAGUAcwAgAEYAcgBhAGMATABFAEEAQwBIAF8AewBNAFMAfQBcAG4ATQBOAF8AagBtADUAVAAxACAAPQAgAG4AaQB0AHIAbwBnAGUAbgAgAGkAbgAgAHQAcgBlAGEAdABtAGUAbgB0ACAAcwB0AGEAZwBlACAAMQAgAGQAcgB5AGwAbwB0ACAATQBNAFMAIAAoAGsAZwAgAE4AKQBcAG4ARgByAGEAYwBXAEUAVA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UAXwAxAF8ANwBfAF8AMgBfAE0AYQBzAHMATwBmAE4AaQB0AHIAbwBnAGUAbgBMAG8AcwB0AFQAbwBMAGUAYQBjAGgAaQBuAGcAQQBuAGQAUgB1AG4AbwBmAGYARgByAG8AbQBEAHIAeQBsAG8AdABNAE0AUwBcAG4AIAAgAD0ATABBAE0AQgBEAEEAKABcAG4AIAAgACAAIABNAE4AXwBqAG0ANQBUADEALAAgAEYAcgBhAGMAVwBFAFQALAAgAEYAcgBhAGMATABFAEEAQwBIAF8ATQBTACwAXABuACAAIAAgACAATQBOAF8AagBtADUAVAAxACAAKgAgAEYAcgBhAGMAVwBFAFQAIAAqACAARgByAGEAYwBMAEUAQQBDAEgAXwBNAFMAXABuACAAIAApADsAXABuAFwAbgBWAEUARQBSAEcAXwA0AF8ANQBfADEAXwA3AF8AXwAyAF8ATQBhAHMAcwBPAGYATgBpAHQAcgBvAGcAZQBuAEwAbwBzAHQAVABvAEwAZQBhAGMAaABpAG4AZwBBAG4AZABSAHUAbgBvAGYAZgBGAHIAbwBtAEQAcgB5AGwAbwB0AE0ATQBTAF8AVABpAHQAbABlAFwAbgAgACAAPQBMAEEATQBCAEQAQQAoAFwAIgBNAGEAcwBzACAAbwBmACAAbgBpAHQAcgBvAGcAZQBuACAAbABvAHMAdAAgAHQAbwAgAGwAZQBhAGMAaABpAG4AZwAgAGEAbgBkACAAcgB1AG4AbwBmAGYAIABmAHIAbwBtACAAZAByAHkAbABvAHQAIABNAE0AUwBcACIAKQA7AFwAbgBcAG4AVgBFAEUAUgBHAF8ANABfADUAXwAxAF8ANwBfAF8AMgBfAE0AYQBzAHMATwBmAE4AaQB0AHIAbwBnAGUAbgBMAG8AcwB0AFQAbwBMAGUAYQBjAGgAaQBuAGcAQQBuAGQAUgB1AG4AbwBmAGYARgByAG8AbQBEAHIAeQBsAG8AdABNAE0AUwBfAFYAYQByAGkAYQBiAGwAZQBcAG4AIAAgAD0ATABBAE0AQgBEAEEAKABcACIATQBOAEwAZQBhAGMAaABfAGoAbQA1AFwAIgApADsAXABuAFwAbgBWAEUARQBSAEcAXwA0AF8ANQBfADEAXwA3AF8AXwAyAF8ATQBhAHMAcwBPAGYATgBpAHQAcgBvAGcAZQBuAEwAbwBzAHQAVABvAEwAZQBhAGMAaABpAG4AZwBBAG4AZABSAHUAbgBvAGYAZgBGAHIAbwBtAEQAcgB5AGwAbwB0AE0ATQBTAF8AVQBuAGkAdABcAG4AIAAgAD0ATABBAE0AQgBEAEEAKABcACIAawBnACAATgBcACIAKQA7AFwAbgBcAG4AVgBFAEUAUgBHAF8ANABfADUAXwAxAF8ANwBfAF8AMgBfAE0AYQBzAHMATwBmAE4AaQB0AHIAbwBnAGUAbgBMAG8AcwB0AFQAbwBMAGUAYQBjAGgAaQBuAGcAQQBuAGQAUgB1AG4AbwBmAGYARgByAG8AbQBEAHIAeQBsAG8AdABNAE0AUwBfAFMAbwB1AHIAYwBlAFwAbgAgACAAPQBMAEEATQBCAEQAQQAoAFwAIgBWAEUARQBSAEcAIAAyADAAMgA2ADoAIAA0AC4ANQAuADEALgA3ACwAIABFAHEAdQBhAHQAaQBvAG4AIAAoADIAKQBcACIAKQA7AFwAbgBcAG4AVgBFAEUAUgBHAF8ANABfADUAXwAxAF8ANwBfAF8AMgBfAE0AYQBzAHMATwBmAE4AaQB0AHIAbwBnAGUAbgBMAG8AcwB0AFQAbwBMAGUAYQBjAGgAaQBuAGcAQQBuAGQAUgB1AG4AbwBmAGYARgByAG8AbQBEAHIAeQBsAG8AdABNAE0AUwBfAE4ASQBSAFIAZQBmAGUAcgBlAG4AYwBlAFwAbgAgACAAPQBMAEEATQBCAEQAQQAoAFwAIgBcACIAKQA7AFwAbgBcAG4AVgBFAEUAUgBHAF8ANABfADUAXwAxAF8ANwBfAF8AMgBfAE0AYQBzAHMATwBmAE4AaQB0AHIAbwBnAGUAbgBMAG8AcwB0AFQAbwBMAGUAYQBjAGgAaQBuAGcAQQBuAGQAUgB1AG4AbwBmAGYARgByAG8AbQBEAHIAeQBsAG8AdABNAE0AUwBfAEwAYQB0AGUAeABFAHEAdQBhAHQAaQBvAG4AXABuACAAIAA9AEwAQQBNAEIARABBACgAXAAiAE0ATgBMAGUAYQBjAGgAXwB7AGoAbQA9ADUAfQA9AE0ATgBfAHsAagBtAD0ANQAsAFQAPQAxAH0AXABcAHQAaQBtAGUAcwAgAEYAcgBhAGMAVwBFAFQAXABcAHQAaQBtAGUAcwAgAEYAcgBhAGMATABFAEEAQwBIAF8AewBNAFMAfQBcACIAKQA7AFwAbgBcAG4AVgBFAEUAUgBHAF8ANABfADUAXwAxAF8ANwBfAF8AMgBfAE0AYQBzAHMATwBmAE4AaQB0AHIAbwBnAGUAbgBMAG8AcwB0AFQAbwBMAGUAYQBjAGgAaQBuAGcAQQBuAGQAUgB1AG4AbwBmAGYARgByAG8AbQBEAHIAeQBsAG8AdABNAE0AUwBfAEEAcgBnAHUAbQBlAG4AdABzAFwAbgAgACAAPQBMAEEATQBCAEQAQQAoAFwAbgAgACAAIAAgAE0AQQBLAEUAQQBSAFIAQQBZACgANgAsACAANAAsAFwAbgAgACAAIAAgACAAIABMAEEATQBCAEQAQQAoAHIALABjACwAXABuACAAIAAgACAAIAAgACAAIABJAE4ARABFAFgAKAB7AFwAbgAgACAAIAAgACAAIAAgACAAIAAgAFwAIgBNAE4AXwBqAG0ANQBUADEAXAAiACwAIABcACIAbgBpAHQAcgBvAGcAZQBuACAAaQBuACAAdAByAGUAYQB0AG0AZQBuAHQAIABzAHQAYQBnAGUAIAAxACAAZAByAHkAbABvAHQAIABNAE0AUwBcACIALAAgAFwAIgBrAGcAIABOAFwAIgAsACAAXAAiAEMAYQBsAGMAdQBsAGEAdABlAGQAIABmAHIAbwBtACAANAAuADUALgAxAC4AMwAgACgAMgApAFwAIgA7AFwAbgAgACAAIAAgACAAIAAgACAAIAAgAFwAIgBGAHIAYQBjAFcARQBU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BcAG4AXABuACIAfQAsAHsAIgBwAGEAdABoACIAOgAiAC8AcAByAG8AagBlAGMAdABzAC8ATQBNAFMAXwBTAHcAaQBuAGU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EAXwBNAGEAcwBzAE8AZgBOAGkAdAByAG8AZwBlAG4AQQBwAHAAbABpAGUAZABUAG8AUwBvAGkAbABzAFMAYwBvAHAAZQAx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UABGAFwAbgAgACAAKQA7AFwAbgBcAG4AVgBFAEUAUgBHAF8ANABfADU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1AF8AMQBfADkAXwBfADEAXwBNAGEAcwBzAE8AZgBOAGkAdAByAG8AZwBlAG4AQQBwAHAAbABpAGUAZABUAG8AUwBvAGkAbABzAFMAYwBvAHAAZQAxAF8AVgBhAHIAaQBhAGIAbABlAFwAbgAgACAAPQBMAEEATQBCAEQAQQAoAFwAIgBNAE4AUwBvAGkAbABfAHMAYwBvAHAAZQAxAFwAIgApADsAXABuAFwAbgBWAEUARQBSAEcAXwA0AF8ANQBfADEAXwA5AF8AXwAxAF8ATQBhAHMAcwBPAGYATgBpAHQAcgBvAGcAZQBuAEEAcABwAGwAaQBlAGQAVABvAFMAbwBpAGwAcwBTAGMAbwBwAGUAMQBfAFUAbgBpAHQAXABuACAAIAA9AEwAQQBNAEIARABBACgAXAAiAGsAZwAgAE4AXAAiACkAOwBcAG4AXABuAFYARQBFAFIARwBfADQAXwA1AF8AMQBfADkAXwBfADEAXwBNAGEAcwBzAE8AZgBOAGkAdAByAG8AZwBlAG4AQQBwAHAAbABpAGUAZABUAG8AUwBvAGkAbABzAFMAYwBvAHAAZQAxAF8AUwBvAHUAcgBjAGUAXABuACAAIAA9AEwAQQBNAEIARABBACgAXAAiAFYARQBFAFIARwAgADIAMAAyADYAOgAgADQALgA1AC4AMQAuADkALAAgAEUAcQB1AGEAdABpAG8AbgAgACgAMQApAFwAIgApADsAXABuAFwAbgBWAEUARQBSAEcAXwA0AF8ANQBfADEAXwA5AF8AXwAxAF8ATQBhAHMAcwBPAGYATgBpAHQAcgBvAGcAZQBuAEEAcABwAGwAaQBlAGQAVABvAFMAbwBpAGwAcwBTAGMAbwBwAGUAMQBfAE4ASQBSAFIAZQBmAGUAcgBlAG4AYwBlAFwAbgAgACAAPQBMAEEATQBCAEQAQQAoAFwAIgBcACIAKQA7AFwAbgBcAG4AVgBFAEUAUgBHAF8ANABfADU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AiACkAOwBcAG4AXABuAFYARQBFAFIARwBfADQAXwA1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gBfAE0AYQBzAHMATwBmAE4AaQB0AHIAbwBnAGUAbgBBAHAAcABsAGkAZQBkAFQAbwBTAG8AaQBsAHMAUwBjAG8AcABlADM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AoADEAIAAtACAAUABGACkAXABuACAAIAApADsAXABuAFwAbgBWAEUARQBSAEcAXwA0AF8AN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UAXwAxAF8AOQBfAF8AMgBfAE0AYQBzAHMATwBmAE4AaQB0AHIAbwBnAGUAbgBBAHAAcABsAGkAZQBkAFQAbwBTAG8AaQBsAHMAUwBjAG8AcABlADMAXwBWAGEAcgBpAGEAYgBsAGUAXABuACAAIAA9AEwAQQBNAEIARABBACgAXAAiAE0ATgBTAG8AaQBsAF8AcwBjAG8AcABlADMAXAAiACkAOwBcAG4AXABuAFYARQBFAFIARwBfADQAXwA1AF8AMQBfADkAXwBfADIAXwBNAGEAcwBzAE8AZgBOAGkAdAByAG8AZwBlAG4AQQBwAHAAbABpAGUAZABUAG8AUwBvAGkAbABzAFMAYwBvAHAAZQAzAF8AVQBuAGkAdABcAG4AIAAgAD0ATABBAE0AQgBEAEEAKABcACIAawBnACAATgBcACIAKQA7AFwAbgBcAG4AVgBFAEUAUgBHAF8ANABfADUAXwAxAF8AOQBfAF8AMgBfAE0AYQBzAHMATwBmAE4AaQB0AHIAbwBnAGUAbgBBAHAAcABsAGkAZQBkAFQAbwBTAG8AaQBsAHMAUwBjAG8AcABlADMAXwBTAG8AdQByAGMAZQBcAG4AIAAgAD0ATABBAE0AQgBEAEEAKABcACIAVgBFAEUAUgBHACAAMgAwADIANgA6ACAANAAuADUALgAxAC4AOQAsACAARQBxAHUAYQB0AGkAbwBuACAAKAAyACkAXAAiACkAOwBcAG4AXABuAFYARQBFAFIARwBfADQAXwA1AF8AMQBfADkAXwBfADIAXwBNAGEAcwBzAE8AZgBOAGkAdAByAG8AZwBlAG4AQQBwAHAAbABpAGUAZABUAG8AUwBvAGkAbABzAFMAYwBvAHAAZQAzAF8ATgBJAFIAUgBlAGYAZQByAGUAbgBjAGUAXABuACAAIAA9AEwAQQBNAEIARABBACgAXAAiAFwAIgApADsAXABuAFwAbgBWAEUARQBSAEcAXwA0AF8ANQ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CIAKQA7AFwAbgBcAG4AVgBFAEUAUgBHAF8ANABfADU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RQBuAHQAZQByAGkAYwBNAGUAdABoAGEAbgBlAF8AUwB3AGkAbgBlAF8ARQBxAHUAYQB0AGkAbwBuAHMALgBWAEUARQBSAEcAXwAzAF8ANQBfADEAXwAxAF8AXwAxAF8AVABvAHQAYQBsAEEAbgBuAHUAYQBsAE0AZQB0AGgAYQBuAGUARgByAG8AbQBFAG4AdABlAHIAaQBjAEYAZQByAG0AZQBuAHQAYQB0AGkAbwBuACIALAAiAEUAbgB0AGUAcgBpAGMATQBlAHQAaABhAG4AZQBfAFMAdwBpAG4AZQBfAEUAcQB1AGEAdABpAG8AbgBzAC4AVgBFAEUAUgBHAF8AMwBfADUAXwAxAF8AMQBfAF8AMQBfAFQAbwB0AGEAbABBAG4AbgB1AGEAbABNAGUAdABoAGEAbgBlAEYAcgBvAG0ARQBuAHQAZQByAGkAYwBGAGUAcgBtAGUAbgB0AGEAdABpAG8AbgBfAFQAaQB0AGwAZQAiACwAIgBFAG4AdABlAHIAaQBjAE0AZQB0AGgAYQBuAGUAXwBTAHcAaQBuAGUAXwBFAHEAdQBhAHQAaQBvAG4AcwAuAFYARQBFAFIARwBfADMAXwA1AF8AMQBfADEAXwBfADEAXwBUAG8AdABhAGwAQQBuAG4AdQBhAGwATQBlAHQAaABhAG4AZQBGAHIAbwBtAEUAbgB0AGUAcgBpAGMARgBlAHIAbQBlAG4AdABhAHQAaQBvAG4AXwBWAGEAcgBpAGEAYgBsAGUAIgAsACIARQBuAHQAZQByAGkAYwBNAGUAdABoAGEAbgBlAF8AUwB3AGkAbgBlAF8ARQBxAHUAYQB0AGkAbwBuAHMALgBWAEUARQBSAEcAXwAzAF8ANQBfADEAXwAxAF8AXwAxAF8AVABvAHQAYQBsAEEAbgBuAHUAYQBsAE0AZQB0AGgAYQBuAGUARgByAG8AbQBFAG4AdABlAHIAaQBjAEYAZQByAG0AZQBuAHQAYQB0AGkAbwBuAF8AVQBuAGkAdAAiACwAIgBFAG4AdABlAHIAaQBjAE0AZQB0AGgAYQBuAGUAXwBTAHcAaQBuAGUAXwBFAHEAdQBhAHQAaQBvAG4AcwAuAFYARQBFAFIARwBfADMAXwA1AF8AMQBfADEAXwBfADEAXwBUAG8AdABhAGwAQQBuAG4AdQBhAGwATQBlAHQAaABhAG4AZQBGAHIAbwBtAEUAbgB0AGUAcgBpAGMARgBlAHIAbQBlAG4AdABhAHQAaQBvAG4AXwBTAG8AdQByAGMAZQAiACwAIgBFAG4AdABlAHIAaQBjAE0AZQB0AGgAYQBuAGUAXwBTAHcAaQBuAGUAXwBFAHEAdQBhAHQAaQBvAG4AcwAuAFYARQBFAFIARwBfADMAXwA1AF8AMQBfADEAXwBfADEAXwBUAG8AdABhAGwAQQBuAG4AdQBhAGwATQBlAHQAaABhAG4AZQBGAHIAbwBtAEUAbgB0AGUAcgBpAGMARgBlAHIAbQBlAG4AdABhAHQAaQBvAG4AXwBOAEkAUgBSAGUAZgBlAHIAZQBuAGMAZQAiACwAIgBFAG4AdABlAHIAaQBjAE0AZQB0AGgAYQBuAGUAXwBTAHcAaQBuAGUAXwBFAHEAdQBhAHQAaQBvAG4AcwAuAFYARQBFAFIARwBfADMAXwA1AF8AMQBfADEAXwBfADEAXwBUAG8AdABhAGwAQQBuAG4AdQBhAGwATQBlAHQAaABhAG4AZQBGAHIAbwBtAEUAbgB0AGUAcgBpAGMARgBlAHIAbQBlAG4AdABhAHQAaQBvAG4AXwBMAGEAdABlAHgARQBxAHUAYQB0AGkAbwBuACIALAAiAEUAbgB0AGUAcgBpAGMATQBlAHQAaABhAG4AZQBfAFMAdwBpAG4AZQBfAEUAcQB1AGEAdABpAG8AbgBzAC4AVgBFAEUAUgBHAF8AMwBfADUAXwAxAF8AMQBfAF8AMQBfAFQAbwB0AGEAbABBAG4AbgB1AGEAbABNAGUAdABoAGEAbgBlAEYAcgBvAG0ARQBuAHQAZQByAGkAYwBGAGUAcgBtAGUAbgB0AGEAdABpAG8AbgBfAEEAcgBnAHUAbQBlAG4AdABzACIALAAiAEUAbgB0AGUAcgBpAGMATQBlAHQAaABhAG4AZQBfAFMAdwBpAG4AZQBfAEUAcQB1AGEAdABpAG8AbgBzAC4AVgBFAEUAUgBHAF8AMwBfADUAXwAxAF8AMQBfAF8AMgBfAEQAYQBpAGwAeQBFAG4AdABlAHIAaQBjAE0AZQB0AGgAYQBuAGUAUAByAG8AZAB1AGMAdABpAG8AbgAiACwAIgBFAG4AdABlAHIAaQBjAE0AZQB0AGgAYQBuAGUAXwBTAHcAaQBuAGUAXwBFAHEAdQBhAHQAaQBvAG4AcwAuAFYARQBFAFIARwBfADMAXwA1AF8AMQBfADEAXwBfADIAXwBEAGEAaQBsAHkARQBuAHQAZQByAGkAYwBNAGUAdABoAGEAbgBlAFAAcgBvAGQAdQBjAHQAaQBvAG4AXwBUAGkAdABsAGUAIgAsACIARQBuAHQAZQByAGkAYwBNAGUAdABoAGEAbgBlAF8AUwB3AGkAbgBlAF8ARQBxAHUAYQB0AGkAbwBuAHMALgBWAEUARQBSAEcAXwAzAF8ANQBfADEAXwAxAF8AXwAyAF8ARABhAGkAbAB5AEUAbgB0AGUAcgBpAGMATQBlAHQAaABhAG4AZQBQAHIAbwBkAHUAYwB0AGkAbwBuAF8AVgBhAHIAaQBhAGIAbABlACIALAAiAEUAbgB0AGUAcgBpAGMATQBlAHQAaABhAG4AZQBfAFMAdwBpAG4AZQBfAEUAcQB1AGEAdABpAG8AbgBzAC4AVgBFAEUAUgBHAF8AMwBfADUAXwAxAF8AMQBfAF8AMgBfAEQAYQBpAGwAeQBFAG4AdABlAHIAaQBjAE0AZQB0AGgAYQBuAGUAUAByAG8AZAB1AGMAdABpAG8AbgBfAFUAbgBpAHQAIgAsACIARQBuAHQAZQByAGkAYwBNAGUAdABoAGEAbgBlAF8AUwB3AGkAbgBlAF8ARQBxAHUAYQB0AGkAbwBuAHMALgBWAEUARQBSAEcAXwAzAF8ANQBfADEAXwAxAF8AXwAyAF8ARABhAGkAbAB5AEUAbgB0AGUAcgBpAGMATQBlAHQAaABhAG4AZQBQAHIAbwBkAHUAYwB0AGkAbwBuAF8AUwBvAHUAcgBjAGUAIgAsACIARQBuAHQAZQByAGkAYwBNAGUAdABoAGEAbgBlAF8AUwB3AGkAbgBlAF8ARQBxAHUAYQB0AGkAbwBuAHMALgBWAEUARQBSAEcAXwAzAF8ANQBfADEAXwAxAF8AXwAyAF8ARABhAGkAbAB5AEUAbgB0AGUAcgBpAGMATQBlAHQAaABhAG4AZQBQAHIAbwBkAHUAYwB0AGkAbwBuAF8ATgBJAFIAUgBlAGYAZQByAGUAbgBjAGUAIgAsACIARQBuAHQAZQByAGkAYwBNAGUAdABoAGEAbgBlAF8AUwB3AGkAbgBlAF8ARQBxAHUAYQB0AGkAbwBuAHMALgBWAEUARQBSAEcAXwAzAF8ANQBfADEAXwAxAF8AXwAyAF8ARABhAGkAbAB5AEUAbgB0AGUAcgBpAGMATQBlAHQAaABhAG4AZQBQAHIAbwBkAHUAYwB0AGkAbwBuAF8ATABhAHQAZQB4AEUAcQB1AGEAdABpAG8AbgAiACwAIgBFAG4AdABlAHIAaQBjAE0AZQB0AGgAYQBuAGUAXwBTAHcAaQBuAGUAXwBFAHEAdQBhAHQAaQBvAG4AcwAuAFYARQBFAFIARwBfADMAXwA1AF8AMQBfADEAXwBfADIAXwBEAGEAaQBsAHkARQBuAHQAZQByAGkAYwBNAGUAdABoAGEAbgBlAFAAcgBvAGQAdQBjAHQAaQBvAG4AXwBBAHIAZwB1AG0AZQBuAHQAcwAiACwAIgBNAE0AUwBfAFMAdwBpAG4AZQBfAE0AZQB0AGgAYQBuAGUAXwBFAHEAdQBhAHQAaQBvAG4AcwAuAFYARQBFAFIARwBfADQAXwA1AF8AMQBfADEAXwBfADEAXwBUAG8AdABhAGwAQQBuAG4AdQBhAGwATQBlAHQAaABhAG4AZQBFAG0AaQBzAHMAaQBvAG4AcwAiACwAIgBNAE0AUwBfAFMAdwBpAG4AZQBfAE0AZQB0AGgAYQBuAGUAXwBFAHEAdQBhAHQAaQBvAG4AcwAuAFYARQBFAFIARwBfADQAXwA1AF8AMQBfADEAXwBfADEAXwBUAG8AdABhAGwAQQBuAG4AdQBhAGwATQBlAHQAaABhAG4AZQBFAG0AaQBzAHMAaQBvAG4AcwBfAFQAaQB0AGwAZQAiACwAIgBNAE0AUwBfAFMAdwBpAG4AZQBfAE0AZQB0AGgAYQBuAGUAXwBFAHEAdQBhAHQAaQBvAG4AcwAuAFYARQBFAFIARwBfADQAXwA1AF8AMQBfADEAXwBfADEAXwBUAG8AdABhAGwAQQBuAG4AdQBhAGwATQBlAHQAaABhAG4AZQBFAG0AaQBzAHMAaQBvAG4AcwBfAFYAYQByAGkAYQBiAGwAZQAiACwAIgBNAE0AUwBfAFMAdwBpAG4AZQBfAE0AZQB0AGgAYQBuAGUAXwBFAHEAdQBhAHQAaQBvAG4AcwAuAFYARQBFAFIARwBfADQAXwA1AF8AMQBfADEAXwBfADEAXwBUAG8AdABhAGwAQQBuAG4AdQBhAGwATQBlAHQAaABhAG4AZQBFAG0AaQBzAHMAaQBvAG4AcwBfAFUAbgBpAHQAIgAsACIATQBNAFMAXwBTAHcAaQBuAGUAXwBNAGUAdABoAGEAbgBlAF8ARQBxAHUAYQB0AGkAbwBuAHMALgBWAEUARQBSAEcAXwA0AF8ANQBfADEAXwAxAF8AXwAxAF8AVABvAHQAYQBsAEEAbgBuAHUAYQBsAE0AZQB0AGgAYQBuAGUARQBtAGkAcwBzAGkAbwBuAHMAXwBTAG8AdQByAGMAZQAiACwAIgBNAE0AUwBfAFMAdwBpAG4AZQBfAE0AZQB0AGgAYQBuAGUAXwBFAHEAdQBhAHQAaQBvAG4AcwAuAFYARQBFAFIARwBfADQAXwA1AF8AMQBfADEAXwBfADEAXwBUAG8AdABhAGwAQQBuAG4AdQBhAGwATQBlAHQAaABhAG4AZQBFAG0AaQBzAHMAaQBvAG4AcwBfAE4ASQBSAFIAZQBmAGUAcgBlAG4AYwBlACIALAAiAE0ATQBTAF8AUwB3AGkAbgBlAF8ATQBlAHQAaABhAG4AZQBfAEUAcQB1AGEAdABpAG8AbgBzAC4AVgBFAEUAUgBHAF8ANABfADUAXwAxAF8AMQBfAF8AMQBfAFQAbwB0AGEAbABBAG4AbgB1AGEAbABNAGUAdABoAGEAbgBlAEUAbQBpAHMAcwBpAG8AbgBzAF8ATABhAHQAZQB4AEUAcQB1AGEAdABpAG8AbgAiACwAIgBNAE0AUwBfAFMAdwBpAG4AZQBfAE0AZQB0AGgAYQBuAGUAXwBFAHEAdQBhAHQAaQBvAG4AcwAuAFYARQBFAFIARwBfADQAXwA1AF8AMQBfADEAXwBfADEAXwBUAG8AdABhAGwAQQBuAG4AdQBhAGwATQBlAHQAaABhAG4AZQBFAG0AaQBzAHMAaQBvAG4AcwBfAEEAcgBnAHUAbQBlAG4AdABzACIALAAiAE0ATQBTAF8AUwB3AGkAbgBlAF8ATQBlAHQAaABhAG4AZQBfAEUAcQB1AGEAdABpAG8AbgBzAC4AVgBFAEUAUgBHAF8ANABfADUAXwAxAF8AMQBfAF8AMgBfAE0AZQB0AGgAYQBuAGUAUAByAG8AZAB1AGMAdABpAG8AbgBQAGUAcgBDAGwAYQBzAHMAIgAsACIATQBNAFMAXwBTAHcAaQBuAGUAXwBNAGUAdABoAGEAbgBlAF8ARQBxAHUAYQB0AGkAbwBuAHMALgBWAEUARQBSAEcAXwA0AF8ANQBfADEAXwAxAF8AXwAyAF8ATQBlAHQAaABhAG4AZQBQAHIAbwBkAHUAYwB0AGkAbwBuAFAAZQByAEMAbABhAHMAcwBWAGEAcgBpAGEAdABpAG8AbgAiACwAIgBNAE0AUwBfAFMAdwBpAG4AZQBfAE0AZQB0AGgAYQBuAGUAXwBFAHEAdQBhAHQAaQBvAG4AcwAuAFYARQBFAFIARwBfADQAXwA1AF8AMQBfADEAXwBfADIAXwBNAGUAdABoAGEAbgBlAFAAcgBvAGQAdQBjAHQAaQBvAG4AUABlAHIAQwBsAGEAcwBzAF8AVABpAHQAbABlACIALAAiAE0ATQBTAF8AUwB3AGkAbgBlAF8ATQBlAHQAaABhAG4AZQBfAEUAcQB1AGEAdABpAG8AbgBzAC4AVgBFAEUAUgBHAF8ANABfADUAXwAxAF8AMQBfAF8AMgBfAE0AZQB0AGgAYQBuAGUAUAByAG8AZAB1AGMAdABpAG8AbgBQAGUAcgBDAGwAYQBzAHMAXwBWAGEAcgBpAGEAYgBsAGUAIgAsACIATQBNAFMAXwBTAHcAaQBuAGUAXwBNAGUAdABoAGEAbgBlAF8ARQBxAHUAYQB0AGkAbwBuAHMALgBWAEUARQBSAEcAXwA0AF8ANQBfADEAXwAxAF8AXwAyAF8ATQBlAHQAaABhAG4AZQBQAHIAbwBkAHUAYwB0AGkAbwBuAFAAZQByAEMAbABhAHMAcwBfAFUAbgBpAHQAIgAsACIATQBNAFMAXwBTAHcAaQBuAGUAXwBNAGUAdABoAGEAbgBlAF8ARQBxAHUAYQB0AGkAbwBuAHMALgBWAEUARQBSAEcAXwA0AF8ANQBfADEAXwAxAF8AXwAyAF8ATQBlAHQAaABhAG4AZQBQAHIAbwBkAHUAYwB0AGkAbwBuAFAAZQByAEMAbABhAHMAcwBfAFMAbwB1AHIAYwBlACIALAAiAE0ATQBTAF8AUwB3AGkAbgBlAF8ATQBlAHQAaABhAG4AZQBfAEUAcQB1AGEAdABpAG8AbgBzAC4AVgBFAEUAUgBHAF8ANABfADUAXwAxAF8AMQBfAF8AMgBfAE0AZQB0AGgAYQBuAGUAUAByAG8AZAB1AGMAdABpAG8AbgBQAGUAcgBDAGwAYQBzAHMAXwBOAEkAUgBSAGUAZgBlAHIAZQBuAGMAZQAiACwAIgBNAE0AUwBfAFMAdwBpAG4AZQBfAE0AZQB0AGgAYQBuAGUAXwBFAHEAdQBhAHQAaQBvAG4AcwAuAFYARQBFAFIARwBfADQAXwA1AF8AMQBfADEAXwBfADIAXwBNAGUAdABoAGEAbgBlAFAAcgBvAGQAdQBjAHQAaQBvAG4AUABlAHIAQwBsAGEAcwBzAF8ATABhAHQAZQB4AEUAcQB1AGEAdABpAG8AbgAiACwAIgBNAE0AUwBfAFMAdwBpAG4AZQBfAE0AZQB0AGgAYQBuAGUAXwBFAHEAdQBhAHQAaQBvAG4AcwAuAFYARQBFAFIARwBfADQAXwA1AF8AMQBfADEAXwBfADIAXwBNAGUAdABoAGEAbgBlAFAAcgBvAGQAdQBjAHQAaQBvAG4AUABlAHIAQwBsAGEAcwBzAF8AQQByAGcAdQBtAGUAbgB0AHMAIgAsACIATQBNAFMAXwBTAHcAaQBuAGUAXwBNAGUAdABoAGEAbgBlAF8ARQBxAHUAYQB0AGkAbwBuAHMALgBWAEUARQBSAEcAXwA0AF8ANQBfADEAXwAxAF8AXwAyAF8ATQBlAHQAaABhAG4AZQBQAHIAbwBkAHUAYwB0AGkAbwBuAFAAZQByAEMAbABhAHMAcwBfAFYAYQByAGkAYQB0AGkAbwBuACIALAAiAE0ATQBTAF8AUwB3AGkAbgBlAF8ATQBlAHQAaABhAG4AZQBfAEUAcQB1AGEAdABpAG8AbgBzAC4AVgBFAEUAUgBHAF8ANABfADUAXwAxAF8AMQBfAF8AMwBfAFMAdABhAGcAZQAxAE0AZQB0AGgAYQBuAGUAUAByAG8AZAB1AGMAdABpAG8AbgAiACwAIgBNAE0AUwBfAFMAdwBpAG4AZQBfAE0AZQB0AGgAYQBuAGUAXwBFAHEAdQBhAHQAaQBvAG4AcwAuAFYARQBFAFIARwBfADQAXwA1AF8AMQBfADEAXwBfADMAXwBTAHQAYQBnAGUAMQBNAGUAdABoAGEAbgBlAFAAcgBvAGQAdQBjAHQAaQBvAG4AXwBUAGkAdABsAGUAIgAsACIATQBNAFMAXwBTAHcAaQBuAGUAXwBNAGUAdABoAGEAbgBlAF8ARQBxAHUAYQB0AGkAbwBuAHMALgBWAEUARQBSAEcAXwA0AF8ANQBfADEAXwAxAF8AXwAzAF8AUwB0AGEAZwBlADEATQBlAHQAaABhAG4AZQBQAHIAbwBkAHUAYwB0AGkAbwBuAF8AVgBhAHIAaQBhAGIAbABlACIALAAiAE0ATQBTAF8AUwB3AGkAbgBlAF8ATQBlAHQAaABhAG4AZQBfAEUAcQB1AGEAdABpAG8AbgBzAC4AVgBFAEUAUgBHAF8ANABfADUAXwAxAF8AMQBfAF8AMwBfAFMAdABhAGcAZQAxAE0AZQB0AGgAYQBuAGUAUAByAG8AZAB1AGMAdABpAG8AbgBfAFUAbgBpAHQAIgAsACIATQBNAFMAXwBTAHcAaQBuAGUAXwBNAGUAdABoAGEAbgBlAF8ARQBxAHUAYQB0AGkAbwBuAHMALgBWAEUARQBSAEcAXwA0AF8ANQBfADEAXwAxAF8AXwAzAF8AUwB0AGEAZwBlADEATQBlAHQAaABhAG4AZQBQAHIAbwBkAHUAYwB0AGkAbwBuAF8AUwBvAHUAcgBjAGUAIgAsACIATQBNAFMAXwBTAHcAaQBuAGUAXwBNAGUAdABoAGEAbgBlAF8ARQBxAHUAYQB0AGkAbwBuAHMALgBWAEUARQBSAEcAXwA0AF8ANQBfADEAXwAxAF8AXwAzAF8AUwB0AGEAZwBlADEATQBlAHQAaABhAG4AZQBQAHIAbwBkAHUAYwB0AGkAbwBuAF8ATgBJAFIAUgBlAGYAZQByAGUAbgBjAGUAIgAsACIATQBNAFMAXwBTAHcAaQBuAGUAXwBNAGUAdABoAGEAbgBlAF8ARQBxAHUAYQB0AGkAbwBuAHMALgBWAEUARQBSAEcAXwA0AF8ANQBfADEAXwAxAF8AXwAzAF8AUwB0AGEAZwBlADEATQBlAHQAaABhAG4AZQBQAHIAbwBkAHUAYwB0AGkAbwBuAF8ATABhAHQAZQB4AEUAcQB1AGEAdABpAG8AbgAiACwAIgBNAE0AUwBfAFMAdwBpAG4AZQBfAE0AZQB0AGgAYQBuAGUAXwBFAHEAdQBhAHQAaQBvAG4AcwAuAFYARQBFAFIARwBfADQAXwA1AF8AMQBfADEAXwBfADMAXwBTAHQAYQBnAGUAMQBNAGUAdABoAGEAbgBlAFAAcgBvAGQAdQBjAHQAaQBvAG4AXwBBAHIAZwB1AG0AZQBuAHQAcwAiACwAIgBNAE0AUwBfAFMAdwBpAG4AZQBfAE0AZQB0AGgAYQBuAGUAXwBFAHEAdQBhAHQAaQBvAG4AcwAuAFYARQBFAFIARwBfADQAXwA1AF8AMQBfADEAXwBfADQAXwBGAHIAYQBjAHQAaQBvAG4AVgBvAGwAYQB0AGkAbABlAFMAbwBsAGkAZABzAFAAcgBpAG0AYQByAHkAUwB5AHMAdABlAG0AIgAsACIATQBNAFMAXwBTAHcAaQBuAGUAXwBNAGUAdABoAGEAbgBlAF8ARQBxAHUAYQB0AGkAbwBuAHMALgBWAEUARQBSAEcAXwA0AF8ANQBfADEAXwAxAF8AXwA0AF8ARgByAGEAYwB0AGkAbwBuAFYAbwBsAGEAdABpAGwAZQBTAG8AbABpAGQAcwBQAHIAaQBtAGEAcgB5AFMAeQBzAHQAZQBtAF8AVABpAHQAbABlACIALAAiAE0ATQBTAF8AUwB3AGkAbgBlAF8ATQBlAHQAaABhAG4AZQBfAEUAcQB1AGEAdABpAG8AbgBzAC4AVgBFAEUAUgBHAF8ANABfADUAXwAxAF8AMQBfAF8ANABfAEYAcgBhAGMAdABpAG8AbgBWAG8AbABhAHQAaQBsAGUAUwBvAGwAaQBkAHMAUAByAGkAbQBhAHIAeQBTAHkAcwB0AGUAbQBfAFYAYQByAGkAYQBiAGwAZQAiACwAIgBNAE0AUwBfAFMAdwBpAG4AZQBfAE0AZQB0AGgAYQBuAGUAXwBFAHEAdQBhAHQAaQBvAG4AcwAuAFYARQBFAFIARwBfADQAXwA1AF8AMQBfADEAXwBfADQAXwBGAHIAYQBjAHQAaQBvAG4AVgBvAGwAYQB0AGkAbABlAFMAbwBsAGkAZABzAFAAcgBpAG0AYQByAHkAUwB5AHMAdABlAG0AXwBVAG4AaQB0ACIALAAiAE0ATQBTAF8AUwB3AGkAbgBlAF8ATQBlAHQAaABhAG4AZQBfAEUAcQB1AGEAdABpAG8AbgBzAC4AVgBFAEUAUgBHAF8ANABfADUAXwAxAF8AMQBfAF8ANABfAEYAcgBhAGMAdABpAG8AbgBWAG8AbABhAHQAaQBsAGUAUwBvAGwAaQBkAHMAUAByAGkAbQBhAHIAeQBTAHkAcwB0AGUAbQBfAFMAbwB1AHIAYwBlACIALAAiAE0ATQBTAF8AUwB3AGkAbgBlAF8ATQBlAHQAaABhAG4AZQBfAEUAcQB1AGEAdABpAG8AbgBzAC4AVgBFAEUAUgBHAF8ANABfADUAXwAxAF8AMQBfAF8ANABfAEYAcgBhAGMAdABpAG8AbgBWAG8AbABhAHQAaQBsAGUAUwBvAGwAaQBkAHMAUAByAGkAbQBhAHIAeQBTAHkAcwB0AGUAbQBfAE4ASQBSAFIAZQBmAGUAcgBlAG4AYwBlACIALAAiAE0ATQBTAF8AUwB3AGkAbgBlAF8ATQBlAHQAaABhAG4AZQBfAEUAcQB1AGEAdABpAG8AbgBzAC4AVgBFAEUAUgBHAF8ANABfADUAXwAxAF8AMQBfAF8ANABfAEYAcgBhAGMAdABpAG8AbgBWAG8AbABhAHQAaQBsAGUAUwBvAGwAaQBkAHMAUAByAGkAbQBhAHIAeQBTAHkAcwB0AGUAbQBfAEwAYQB0AGUAeABFAHEAdQBhAHQAaQBvAG4AIgAsACIATQBNAFMAXwBTAHcAaQBuAGUAXwBNAGUAdABoAGEAbgBlAF8ARQBxAHUAYQB0AGkAbwBuAHMALgBWAEUARQBSAEcAXwA0AF8ANQBfADEAXwAxAF8AXwA0AF8ARgByAGEAYwB0AGkAbwBuAFYAbwBsAGEAdABpAGwAZQBTAG8AbABpAGQAcwBQAHIAaQBtAGEAcgB5AFMAeQBzAHQAZQBtAF8AQQByAGcAdQBtAGUAbgB0AHMAIgAsACIATQBNAFMAXwBTAHcAaQBuAGUAXwBNAGUAdABoAGEAbgBlAF8ARQBxAHUAYQB0AGkAbwBuAHMALgBWAEUARQBSAEcAXwA0AF8ANQBfADEAXwAxAF8AXwA0AF8ARgByAGEAYwB0AGkAbwBuAFYAbwBsAGEAdABpAGwAZQBTAG8AbABpAGQAcwBQAHIAaQBtAGEAcgB5AFMAeQBzAHQAZQBtAF8AVgBhAHIAaQBhAHQAaQBvAG4AIgAsACIATQBNAFMAXwBTAHcAaQBuAGUAXwBNAGUAdABoAGEAbgBlAF8ARQBxAHUAYQB0AGkAbwBuAHMALgBWAEUARQBSAEcAXwA0AF8ANQBfADEAXwAxAF8AXwA1AF8ARgByAGEAYwB0AGkAbwBuAFYAbwBsAGEAdABpAGwAZQBTAG8AbABpAGQAcwBTAG8AbABpAGQAUwB0AG8AcgBhAGcAZQAiACwAIgBNAE0AUwBfAFMAdwBpAG4AZQBfAE0AZQB0AGgAYQBuAGUAXwBFAHEAdQBhAHQAaQBvAG4AcwAuAFYARQBFAFIARwBfADQAXwA1AF8AMQBfADEAXwBfADUAXwBGAHIAYQBjAHQAaQBvAG4AVgBvAGwAYQB0AGkAbABlAFMAbwBsAGkAZABzAFMAbwBsAGkAZABTAHQAbwByAGEAZwBlAFYAYQByAGkAYQB0AGkAbwBuACIALAAiAE0ATQBTAF8AUwB3AGkAbgBlAF8ATQBlAHQAaABhAG4AZQBfAEUAcQB1AGEAdABpAG8AbgBzAC4AVgBFAEUAUgBHAF8ANABfADUAXwAxAF8AMQBfAF8ANQBfAEYAcgBhAGMAdABpAG8AbgBWAG8AbABhAHQAaQBsAGUAUwBvAGwAaQBkAHMAUwBvAGwAaQBkAFMAdABvAHIAYQBnAGUAXwBUAGkAdABsAGUAIgAsACIATQBNAFMAXwBTAHcAaQBuAGUAXwBNAGUAdABoAGEAbgBlAF8ARQBxAHUAYQB0AGkAbwBuAHMALgBWAEUARQBSAEcAXwA0AF8ANQBfADEAXwAxAF8AXwA1AF8ARgByAGEAYwB0AGkAbwBuAFYAbwBsAGEAdABpAGwAZQBTAG8AbABpAGQAcwBTAG8AbABpAGQAUwB0AG8AcgBhAGcAZQBfAFYAYQByAGkAYQBiAGwAZQAiACwAIgBNAE0AUwBfAFMAdwBpAG4AZQBfAE0AZQB0AGgAYQBuAGUAXwBFAHEAdQBhAHQAaQBvAG4AcwAuAFYARQBFAFIARwBfADQAXwA1AF8AMQBfADEAXwBfADUAXwBGAHIAYQBjAHQAaQBvAG4AVgBvAGwAYQB0AGkAbABlAFMAbwBsAGkAZABzAFMAbwBsAGkAZABTAHQAbwByAGEAZwBlAF8AVQBuAGkAdAAiACwAIgBNAE0AUwBfAFMAdwBpAG4AZQBfAE0AZQB0AGgAYQBuAGUAXwBFAHEAdQBhAHQAaQBvAG4AcwAuAFYARQBFAFIARwBfADQAXwA1AF8AMQBfADEAXwBfADUAXwBGAHIAYQBjAHQAaQBvAG4AVgBvAGwAYQB0AGkAbABlAFMAbwBsAGkAZABzAFMAbwBsAGkAZABTAHQAbwByAGEAZwBlAF8AUwBvAHUAcgBjAGUAIgAsACIATQBNAFMAXwBTAHcAaQBuAGUAXwBNAGUAdABoAGEAbgBlAF8ARQBxAHUAYQB0AGkAbwBuAHMALgBWAEUARQBSAEcAXwA0AF8ANQBfADEAXwAxAF8AXwA1AF8ARgByAGEAYwB0AGkAbwBuAFYAbwBsAGEAdABpAGwAZQBTAG8AbABpAGQAcwBTAG8AbABpAGQAUwB0AG8AcgBhAGcAZQBfAE4ASQBSAFIAZQBmAGUAcgBlAG4AYwBlACIALAAiAE0ATQBTAF8AUwB3AGkAbgBlAF8ATQBlAHQAaABhAG4AZQBfAEUAcQB1AGEAdABpAG8AbgBzAC4AVgBFAEUAUgBHAF8ANABfADUAXwAxAF8AMQBfAF8ANQBfAEYAcgBhAGMAdABpAG8AbgBWAG8AbABhAHQAaQBsAGUAUwBvAGwAaQBkAHMAUwBvAGwAaQBkAFMAdABvAHIAYQBnAGUAXwBMAGEAdABlAHgARQBxAHUAYQB0AGkAbwBuACIALAAiAE0ATQBTAF8AUwB3AGkAbgBlAF8ATQBlAHQAaABhAG4AZQBfAEUAcQB1AGEAdABpAG8AbgBzAC4AVgBFAEUAUgBHAF8ANABfADUAXwAxAF8AMQBfAF8ANQBfAEYAcgBhAGMAdABpAG8AbgBWAG8AbABhAHQAaQBsAGUAUwBvAGwAaQBkAHMAUwBvAGwAaQBkAFMAdABvAHIAYQBnAGUAXwBMAGEAdABlAHgARQBxAHUAYQB0AGkAbwBuAFYAYQByAGkAYQB0AGkAbwBuACIALAAiAE0ATQBTAF8AUwB3AGkAbgBlAF8ATQBlAHQAaABhAG4AZQBfAEUAcQB1AGEAdABpAG8AbgBzAC4AVgBFAEUAUgBHAF8ANABfADUAXwAxAF8AMQBfAF8ANQBfAEYAcgBhAGMAdABpAG8AbgBWAG8AbABhAHQAaQBsAGUAUwBvAGwAaQBkAHMAUwBvAGwAaQBkAFMAdABvAHIAYQBnAGUAXwBBAHIAZwB1AG0AZQBuAHQAcwAiACwAIgBNAE0AUwBfAFMAdwBpAG4AZQBfAE0AZQB0AGgAYQBuAGUAXwBFAHEAdQBhAHQAaQBvAG4AcwAuAFYARQBFAFIARwBfADQAXwA1AF8AMQBfADEAXwBfADUAXwBGAHIAYQBjAHQAaQBvAG4AVgBvAGwAYQB0AGkAbABlAFMAbwBsAGkAZABzAFMAbwBsAGkAZABTAHQAbwByAGEAZwBlAF8AVgBhAHIAaQBhAHQAaQBvAG4AIgAsACIATQBNAFMAXwBTAHcAaQBuAGUAXwBNAGUAdABoAGEAbgBlAF8ARQBxAHUAYQB0AGkAbwBuAHMALgBWAEUARQBSAEcAXwA0AF8ANQBfADEAXwAxAF8AXwA2AF8AUwB0AGEAZwBlADIATQBlAHQAaABhAG4AZQBQAHIAbwBkAHUAYwB0AGkAbwBuACIALAAiAE0ATQBTAF8AUwB3AGkAbgBlAF8ATQBlAHQAaABhAG4AZQBfAEUAcQB1AGEAdABpAG8AbgBzAC4AVgBFAEUAUgBHAF8ANABfADUAXwAxAF8AMQBfAF8ANgBfAFMAdABhAGcAZQAyAE0AZQB0AGgAYQBuAGUAUAByAG8AZAB1AGMAdABpAG8AbgBfAFQAaQB0AGwAZQAiACwAIgBNAE0AUwBfAFMAdwBpAG4AZQBfAE0AZQB0AGgAYQBuAGUAXwBFAHEAdQBhAHQAaQBvAG4AcwAuAFYARQBFAFIARwBfADQAXwA1AF8AMQBfADEAXwBfADYAXwBTAHQAYQBnAGUAMgBNAGUAdABoAGEAbgBlAFAAcgBvAGQAdQBjAHQAaQBvAG4AXwBWAGEAcgBpAGEAYgBsAGUAIgAsACIATQBNAFMAXwBTAHcAaQBuAGUAXwBNAGUAdABoAGEAbgBlAF8ARQBxAHUAYQB0AGkAbwBuAHMALgBWAEUARQBSAEcAXwA0AF8ANQBfADEAXwAxAF8AXwA2AF8AUwB0AGEAZwBlADIATQBlAHQAaABhAG4AZQBQAHIAbwBkAHUAYwB0AGkAbwBuAF8AVQBuAGkAdAAiACwAIgBNAE0AUwBfAFMAdwBpAG4AZQBfAE0AZQB0AGgAYQBuAGUAXwBFAHEAdQBhAHQAaQBvAG4AcwAuAFYARQBFAFIARwBfADQAXwA1AF8AMQBfADEAXwBfADYAXwBTAHQAYQBnAGUAMgBNAGUAdABoAGEAbgBlAFAAcgBvAGQAdQBjAHQAaQBvAG4AXwBTAG8AdQByAGMAZQAiACwAIgBNAE0AUwBfAFMAdwBpAG4AZQBfAE0AZQB0AGgAYQBuAGUAXwBFAHEAdQBhAHQAaQBvAG4AcwAuAFYARQBFAFIARwBfADQAXwA1AF8AMQBfADEAXwBfADYAXwBTAHQAYQBnAGUAMgBNAGUAdABoAGEAbgBlAFAAcgBvAGQAdQBjAHQAaQBvAG4AXwBOAEkAUgBSAGUAZgBlAHIAZQBuAGMAZQAiACwAIgBNAE0AUwBfAFMAdwBpAG4AZQBfAE0AZQB0AGgAYQBuAGUAXwBFAHEAdQBhAHQAaQBvAG4AcwAuAFYARQBFAFIARwBfADQAXwA1AF8AMQBfADEAXwBfADYAXwBTAHQAYQBnAGUAMgBNAGUAdABoAGEAbgBlAFAAcgBvAGQAdQBjAHQAaQBvAG4AXwBMAGEAdABlAHgARQBxAHUAYQB0AGkAbwBuACIALAAiAE0ATQBTAF8AUwB3AGkAbgBlAF8ATQBlAHQAaABhAG4AZQBfAEUAcQB1AGEAdABpAG8AbgBzAC4AVgBFAEUAUgBHAF8ANABfADUAXwAxAF8AMQBfAF8ANgBfAFMAdABhAGcAZQAyAE0AZQB0AGgAYQBuAGUAUAByAG8AZAB1AGMAdABpAG8AbgBfAEEAcgBnAHUAbQBlAG4AdABzACIALAAiAE0ATQBTAF8AUwB3AGkAbgBlAF8ATQBlAHQAaABhAG4AZQBfAEUAcQB1AGEAdABpAG8AbgBzAC4AVgBFAEUAUgBHAF8ANABfADUAXwAxAF8AMQBfAF8ANgBfAFMAdABhAGcAZQAyAE0AZQB0AGgAYQBuAGUAUAByAG8AZAB1AGMAdABpAG8AbgBfAEEAcgBnAHUAbQBlAG4AdABzAF8ATQBlAHQAaABvAGQAMgAiACwAIgBNAE0AUwBfAFMAdwBpAG4AZQBfAE0AZQB0AGgAYQBuAGUAXwBFAHEAdQBhAHQAaQBvAG4AcwAuAFYARQBFAFIARwBfADQAXwA1AF8AMQBfADEAXwBfADcAXwBWAG8AbABhAHQAaQBsAGUAUwBvAGwAaQBkAHMAVAByAGEAbgBzAGYAZQByAHIAZQBkAFMAdABhAGcAZQAyACIALAAiAE0ATQBTAF8AUwB3AGkAbgBlAF8ATQBlAHQAaABhAG4AZQBfAEUAcQB1AGEAdABpAG8AbgBzAC4AVgBFAEUAUgBHAF8ANABfADUAXwAxAF8AMQBfAF8ANwBfAFYAbwBsAGEAdABpAGwAZQBTAG8AbABpAGQAcwBUAHIAYQBuAHMAZgBlAHIAcgBlAGQAUwB0AGEAZwBlADIAXwBUAGkAdABsAGUAIgAsACIATQBNAFMAXwBTAHcAaQBuAGUAXwBNAGUAdABoAGEAbgBlAF8ARQBxAHUAYQB0AGkAbwBuAHMALgBWAEUARQBSAEcAXwA0AF8ANQBfADEAXwAxAF8AXwA3AF8AVgBvAGwAYQB0AGkAbABlAFMAbwBsAGkAZABzAFQAcgBhAG4AcwBmAGUAcgByAGUAZABTAHQAYQBnAGUAMgBfAFYAYQByAGkAYQBiAGwAZQAiACwAIgBNAE0AUwBfAFMAdwBpAG4AZQBfAE0AZQB0AGgAYQBuAGUAXwBFAHEAdQBhAHQAaQBvAG4AcwAuAFYARQBFAFIARwBfADQAXwA1AF8AMQBfADEAXwBfADcAXwBWAG8AbABhAHQAaQBsAGUAUwBvAGwAaQBkAHMAVAByAGEAbgBzAGYAZQByAHIAZQBkAFMAdABhAGcAZQAyAF8AVQBuAGkAdAAiACwAIgBNAE0AUwBfAFMAdwBpAG4AZQBfAE0AZQB0AGgAYQBuAGUAXwBFAHEAdQBhAHQAaQBvAG4AcwAuAFYARQBFAFIARwBfADQAXwA1AF8AMQBfADEAXwBfADcAXwBWAG8AbABhAHQAaQBsAGUAUwBvAGwAaQBkAHMAVAByAGEAbgBzAGYAZQByAHIAZQBkAFMAdABhAGcAZQAyAF8AUwBvAHUAcgBjAGUAIgAsACIATQBNAFMAXwBTAHcAaQBuAGUAXwBNAGUAdABoAGEAbgBlAF8ARQBxAHUAYQB0AGkAbwBuAHMALgBWAEUARQBSAEcAXwA0AF8ANQBfADEAXwAxAF8AXwA3AF8AVgBvAGwAYQB0AGkAbABlAFMAbwBsAGkAZABzAFQAcgBhAG4AcwBmAGUAcgByAGUAZABTAHQAYQBnAGUAMgBfAE4ASQBSAFIAZQBmAGUAcgBlAG4AYwBlACIALAAiAE0ATQBTAF8AUwB3AGkAbgBlAF8ATQBlAHQAaABhAG4AZQBfAEUAcQB1AGEAdABpAG8AbgBzAC4AVgBFAEUAUgBHAF8ANABfADUAXwAxAF8AMQBfAF8ANwBfAFYAbwBsAGEAdABpAGwAZQBTAG8AbABpAGQAcwBUAHIAYQBuAHMAZgBlAHIAcgBlAGQAUwB0AGEAZwBlADIAXwBMAGEAdABlAHgARQBxAHUAYQB0AGkAbwBuACIALAAiAE0ATQBTAF8AUwB3AGkAbgBlAF8ATQBlAHQAaABhAG4AZQBfAEUAcQB1AGEAdABpAG8AbgBzAC4AVgBFAEUAUgBHAF8ANABfADUAXwAxAF8AMQBfAF8ANwBfAFYAbwBsAGEAdABpAGwAZQBTAG8AbABpAGQAcwBUAHIAYQBuAHMAZgBlAHIAcgBlAGQAUwB0AGEAZwBlADIAXwBBAHIAZwB1AG0AZQBuAHQAcwAiACwAIgBNAE0AUwBfAFMAdwBpAG4AZQBfAE4AMgBPAEQAaQByAGUAYwB0AF8ARQBxAHUAYQB0AGkAbwBuAHMALgBWAEUARQBSAEcAXwA0AF8ANQBfADEAXwAzAF8AXwAxAF8AVABvAHQAYQBsAEEAbgBuAHUAYQBsAEQAaQByAGUAYwB0AE4AaQB0AHIAbwB1AHMATwB4AGkAZABlAEUAbQBpAHMAcwBpAG8AbgBzAEYAcgBvAG0ATQBNAFMAIgAsACIATQBNAFMAXwBTAHcAaQBuAGUAXwBOADIATwBEAGkAcgBlAGMAdABfAEUAcQB1AGEAdABpAG8AbgBzAC4AVgBFAEUAUgBHAF8ANABfADUAXwAxAF8AMwBfAF8AMQBfAFQAbwB0AGEAbABBAG4AbgB1AGEAbABEAGkAcgBlAGMAdABOAGkAdAByAG8AdQBzAE8AeABpAGQAZQBFAG0AaQBzAHMAaQBvAG4AcwBGAHIAbwBtAE0ATQBTAF8AVABpAHQAbABlACIALAAiAE0ATQBTAF8AUwB3AGkAbgBlAF8ATgAyAE8ARABpAHIAZQBjAHQAXwBFAHEAdQBhAHQAaQBvAG4AcwAuAFYARQBFAFIARwBfADQAXwA1AF8AMQBfADMAXwBfADEAXwBUAG8AdABhAGwAQQBuAG4AdQBhAGwARABpAHIAZQBjAHQATgBpAHQAcgBvAHUAcwBPAHgAaQBkAGUARQBtAGkAcwBzAGkAbwBuAHMARgByAG8AbQBNAE0AUwBfAFYAYQByAGkAYQBiAGwAZQAiACwAIgBNAE0AUwBfAFMAdwBpAG4AZQBfAE4AMgBPAEQAaQByAGUAYwB0AF8ARQBxAHUAYQB0AGkAbwBuAHMALgBWAEUARQBSAEcAXwA0AF8ANQBfADEAXwAzAF8AXwAxAF8AVABvAHQAYQBsAEEAbgBuAHUAYQBsAEQAaQByAGUAYwB0AE4AaQB0AHIAbwB1AHMATwB4AGkAZABlAEUAbQBpAHMAcwBpAG8AbgBzAEYAcgBvAG0ATQBNAFMAXwBVAG4AaQB0ACIALAAiAE0ATQBTAF8AUwB3AGkAbgBlAF8ATgAyAE8ARABpAHIAZQBjAHQAXwBFAHEAdQBhAHQAaQBvAG4AcwAuAFYARQBFAFIARwBfADQAXwA1AF8AMQBfADMAXwBfADEAXwBUAG8AdABhAGwAQQBuAG4AdQBhAGwARABpAHIAZQBjAHQATgBpAHQAcgBvAHUAcwBPAHgAaQBkAGUARQBtAGkAcwBzAGkAbwBuAHMARgByAG8AbQBNAE0AUwBfAFMAbwB1AHIAYwBlACIALAAiAE0ATQBTAF8AUwB3AGkAbgBlAF8ATgAyAE8ARABpAHIAZQBjAHQAXwBFAHEAdQBhAHQAaQBvAG4AcwAuAFYARQBFAFIARwBfADQAXwA1AF8AMQBfADMAXwBfADEAXwBUAG8AdABhAGwAQQBuAG4AdQBhAGwARABpAHIAZQBjAHQATgBpAHQAcgBvAHUAcwBPAHgAaQBkAGUARQBtAGkAcwBzAGkAbwBuAHMARgByAG8AbQBNAE0AUwBfAE4ASQBSAFIAZQBmAGUAcgBlAG4AYwBlACIALAAiAE0ATQBTAF8AUwB3AGkAbgBlAF8ATgAyAE8ARABpAHIAZQBjAHQAXwBFAHEAdQBhAHQAaQBvAG4AcwAuAFYARQBFAFIARwBfADQAXwA1AF8AMQBfADMAXwBfADEAXwBUAG8AdABhAGwAQQBuAG4AdQBhAGwARABpAHIAZQBjAHQATgBpAHQAcgBvAHUAcwBPAHgAaQBkAGUARQBtAGkAcwBzAGkAbwBuAHMARgByAG8AbQBNAE0AUwBfAEwAYQB0AGUAeABFAHEAdQBhAHQAaQBvAG4AIgAsACIATQBNAFMAXwBTAHcAaQBuAGUAXwBOADIATwBEAGkAcgBlAGMAdABfAEUAcQB1AGEAdABpAG8AbgBzAC4AVgBFAEUAUgBHAF8ANABfADUAXwAxAF8AMwBfAF8AMQBfAFQAbwB0AGEAbABBAG4AbgB1AGEAbABEAGkAcgBlAGMAdABOAGkAdAByAG8AdQBzAE8AeABpAGQAZQBFAG0AaQBzAHMAaQBvAG4AcwBGAHIAbwBtAE0ATQBTAF8AQQByAGcAdQBtAGUAbgB0AHMAIgAsACIATQBNAFMAXwBTAHcAaQBuAGUAXwBOADIATwBEAGkAcgBlAGMAdABfAEUAcQB1AGEAdABpAG8AbgBzAC4AVgBFAEUAUgBHAF8ANABfADUAXwAxAF8AMwBfAF8AMgBfAFMAdABhAGcAZQAxAE4AaQB0AHIAbwBnAGUAbgBJAG4ATQBNAFMAIgAsACIATQBNAFMAXwBTAHcAaQBuAGUAXwBOADIATwBEAGkAcgBlAGMAdABfAEUAcQB1AGEAdABpAG8AbgBzAC4AVgBFAEUAUgBHAF8ANABfADUAXwAxAF8AMwBfAF8AMgBfAFMAdABhAGcAZQAxAE4AaQB0AHIAbwBnAGUAbgBJAG4ATQBNAFMAXwBUAGkAdABsAGUAIgAsACIATQBNAFMAXwBTAHcAaQBuAGUAXwBOADIATwBEAGkAcgBlAGMAdABfAEUAcQB1AGEAdABpAG8AbgBzAC4AVgBFAEUAUgBHAF8ANABfADUAXwAxAF8AMwBfAF8AMgBfAFMAdABhAGcAZQAxAE4AaQB0AHIAbwBnAGUAbgBJAG4ATQBNAFMAXwBWAGEAcgBpAGEAYgBsAGUAIgAsACIATQBNAFMAXwBTAHcAaQBuAGUAXwBOADIATwBEAGkAcgBlAGMAdABfAEUAcQB1AGEAdABpAG8AbgBzAC4AVgBFAEUAUgBHAF8ANABfADUAXwAxAF8AMwBfAF8AMgBfAFMAdABhAGcAZQAxAE4AaQB0AHIAbwBnAGUAbgBJAG4ATQBNAFMAXwBVAG4AaQB0ACIALAAiAE0ATQBTAF8AUwB3AGkAbgBlAF8ATgAyAE8ARABpAHIAZQBjAHQAXwBFAHEAdQBhAHQAaQBvAG4AcwAuAFYARQBFAFIARwBfADQAXwA1AF8AMQBfADMAXwBfADIAXwBTAHQAYQBnAGUAMQBOAGkAdAByAG8AZwBlAG4ASQBuAE0ATQBTAF8AUwBvAHUAcgBjAGUAIgAsACIATQBNAFMAXwBTAHcAaQBuAGUAXwBOADIATwBEAGkAcgBlAGMAdABfAEUAcQB1AGEAdABpAG8AbgBzAC4AVgBFAEUAUgBHAF8ANABfADUAXwAxAF8AMwBfAF8AMgBfAFMAdABhAGcAZQAxAE4AaQB0AHIAbwBnAGUAbgBJAG4ATQBNAFMAXwBOAEkAUgBSAGUAZgBlAHIAZQBuAGMAZQAiACwAIgBNAE0AUwBfAFMAdwBpAG4AZQBfAE4AMgBPAEQAaQByAGUAYwB0AF8ARQBxAHUAYQB0AGkAbwBuAHMALgBWAEUARQBSAEcAXwA0AF8ANQBfADEAXwAzAF8AXwAyAF8AUwB0AGEAZwBlADEATgBpAHQAcgBvAGcAZQBuAEkAbgBNAE0AUwBfAEwAYQB0AGUAeABFAHEAdQBhAHQAaQBvAG4AIgAsACIATQBNAFMAXwBTAHcAaQBuAGUAXwBOADIATwBEAGkAcgBlAGMAdABfAEUAcQB1AGEAdABpAG8AbgBzAC4AVgBFAEUAUgBHAF8ANABfADUAXwAxAF8AMwBfAF8AMgBfAFMAdABhAGcAZQAxAE4AaQB0AHIAbwBnAGUAbgBJAG4ATQBNAFMAXwBBAHIAZwB1AG0AZQBuAHQAcwAiACwAIgBNAE0AUwBfAFMAdwBpAG4AZQBfAE4AMgBPAEQAaQByAGUAYwB0AF8ARQBxAHUAYQB0AGkAbwBuAHMALgBWAEUARQBSAEcAXwA0AF8ANQBfADEAXwAzAF8AXwAzAF8ARgByAGEAYwB0AGkAbwBuAE8AZgBOAGkAdAByAG8AZwBlAG4ASQBuAFAAcgBpAG0AYQByAHkATQBNAFMAIgAsACIATQBNAFMAXwBTAHcAaQBuAGUAXwBOADIATwBEAGkAcgBlAGMAdABfAEUAcQB1AGEAdABpAG8AbgBzAC4AVgBFAEUAUgBHAF8ANABfADUAXwAxAF8AMwBfAF8AMwBfAEYAcgBhAGMAdABpAG8AbgBPAGYATgBpAHQAcgBvAGcAZQBuAEkAbgBQAHIAaQBtAGEAcgB5AE0ATQBTAF8AVABpAHQAbABlACIALAAiAE0ATQBTAF8AUwB3AGkAbgBlAF8ATgAyAE8ARABpAHIAZQBjAHQAXwBFAHEAdQBhAHQAaQBvAG4AcwAuAFYARQBFAFIARwBfADQAXwA1AF8AMQBfADMAXwBfADMAXwBGAHIAYQBjAHQAaQBvAG4ATwBmAE4AaQB0AHIAbwBnAGUAbgBJAG4AUAByAGkAbQBhAHIAeQBNAE0AUwBfAFYAYQByAGkAYQBiAGwAZQAiACwAIgBNAE0AUwBfAFMAdwBpAG4AZQBfAE4AMgBPAEQAaQByAGUAYwB0AF8ARQBxAHUAYQB0AGkAbwBuAHMALgBWAEUARQBSAEcAXwA0AF8ANQBfADEAXwAzAF8AXwAzAF8ARgByAGEAYwB0AGkAbwBuAE8AZgBOAGkAdAByAG8AZwBlAG4ASQBuAFAAcgBpAG0AYQByAHkATQBNAFMAXwBVAG4AaQB0ACIALAAiAE0ATQBTAF8AUwB3AGkAbgBlAF8ATgAyAE8ARABpAHIAZQBjAHQAXwBFAHEAdQBhAHQAaQBvAG4AcwAuAFYARQBFAFIARwBfADQAXwA1AF8AMQBfADMAXwBfADMAXwBGAHIAYQBjAHQAaQBvAG4ATwBmAE4AaQB0AHIAbwBnAGUAbgBJAG4AUAByAGkAbQBhAHIAeQBNAE0AUwBfAFMAbwB1AHIAYwBlACIALAAiAE0ATQBTAF8AUwB3AGkAbgBlAF8ATgAyAE8ARABpAHIAZQBjAHQAXwBFAHEAdQBhAHQAaQBvAG4AcwAuAFYARQBFAFIARwBfADQAXwA1AF8AMQBfADMAXwBfADMAXwBGAHIAYQBjAHQAaQBvAG4ATwBmAE4AaQB0AHIAbwBnAGUAbgBJAG4AUAByAGkAbQBhAHIAeQBNAE0AUwBfAE4ASQBSAFIAZQBmAGUAcgBlAG4AYwBlACIALAAiAE0ATQBTAF8AUwB3AGkAbgBlAF8ATgAyAE8ARABpAHIAZQBjAHQAXwBFAHEAdQBhAHQAaQBvAG4AcwAuAFYARQBFAFIARwBfADQAXwA1AF8AMQBfADMAXwBfADMAXwBGAHIAYQBjAHQAaQBvAG4ATwBmAE4AaQB0AHIAbwBnAGUAbgBJAG4AUAByAGkAbQBhAHIAeQBNAE0AUwBfAEwAYQB0AGUAeABFAHEAdQBhAHQAaQBvAG4AIgAsACIATQBNAFMAXwBTAHcAaQBuAGUAXwBOADIATwBEAGkAcgBlAGMAdABfAEUAcQB1AGEAdABpAG8AbgBzAC4AVgBFAEUAUgBHAF8ANABfADUAXwAxAF8AMwBfAF8AMwBfAEYAcgBhAGMAdABpAG8AbgBPAGYATgBpAHQAcgBvAGcAZQBuAEkAbgBQAHIAaQBtAGEAcgB5AE0ATQBTAF8AQQByAGcAdQBtAGUAbgB0AHMAIgAsACIATQBNAFMAXwBTAHcAaQBuAGUAXwBOADIATwBEAGkAcgBlAGMAdABfAEUAcQB1AGEAdABpAG8AbgBzAC4AVgBFAEUAUgBHAF8ANABfADUAXwAxAF8AMwBfAF8ANABfAEYAcgBhAGMAdABpAG8AbgBPAGYATgBpAHQAcgBvAGcAZQBuAEkAbgBTAG8AbABpAGQAUwB0AG8AcgBhAGcAZQAiACwAIgBNAE0AUwBfAFMAdwBpAG4AZQBfAE4AMgBPAEQAaQByAGUAYwB0AF8ARQBxAHUAYQB0AGkAbwBuAHMALgBWAEUARQBSAEcAXwA0AF8ANQBfADEAXwAzAF8AXwA0AF8ARgByAGEAYwB0AGkAbwBuAE8AZgBOAGkAdAByAG8AZwBlAG4ASQBuAFMAbwBsAGkAZABTAHQAbwByAGEAZwBlAFYAYQByAGkAYQB0AGkAbwBuACIALAAiAE0ATQBTAF8AUwB3AGkAbgBlAF8ATgAyAE8ARABpAHIAZQBjAHQAXwBFAHEAdQBhAHQAaQBvAG4AcwAuAFYARQBFAFIARwBfADQAXwA1AF8AMQBfADMAXwBfADQAXwBGAHIAYQBjAHQAaQBvAG4ATwBmAE4AaQB0AHIAbwBnAGUAbgBJAG4AUwBvAGwAaQBkAFMAdABvAHIAYQBnAGUAXwBUAGkAdABsAGUAIgAsACIATQBNAFMAXwBTAHcAaQBuAGUAXwBOADIATwBEAGkAcgBlAGMAdABfAEUAcQB1AGEAdABpAG8AbgBzAC4AVgBFAEUAUgBHAF8ANABfADUAXwAxAF8AMwBfAF8ANABfAEYAcgBhAGMAdABpAG8AbgBPAGYATgBpAHQAcgBvAGcAZQBuAEkAbgBTAG8AbABpAGQAUwB0AG8AcgBhAGcAZQBfAFYAYQByAGkAYQBiAGwAZQAiACwAIgBNAE0AUwBfAFMAdwBpAG4AZQBfAE4AMgBPAEQAaQByAGUAYwB0AF8ARQBxAHUAYQB0AGkAbwBuAHMALgBWAEUARQBSAEcAXwA0AF8ANQBfADEAXwAzAF8AXwA0AF8ARgByAGEAYwB0AGkAbwBuAE8AZgBOAGkAdAByAG8AZwBlAG4ASQBuAFMAbwBsAGkAZABTAHQAbwByAGEAZwBlAF8AVQBuAGkAdAAiACwAIgBNAE0AUwBfAFMAdwBpAG4AZQBfAE4AMgBPAEQAaQByAGUAYwB0AF8ARQBxAHUAYQB0AGkAbwBuAHMALgBWAEUARQBSAEcAXwA0AF8ANQBfADEAXwAzAF8AXwA0AF8ARgByAGEAYwB0AGkAbwBuAE8AZgBOAGkAdAByAG8AZwBlAG4ASQBuAFMAbwBsAGkAZABTAHQAbwByAGEAZwBlAF8AUwBvAHUAcgBjAGUAIgAsACIATQBNAFMAXwBTAHcAaQBuAGUAXwBOADIATwBEAGkAcgBlAGMAdABfAEUAcQB1AGEAdABpAG8AbgBzAC4AVgBFAEUAUgBHAF8ANABfADUAXwAxAF8AMwBfAF8ANABfAEYAcgBhAGMAdABpAG8AbgBPAGYATgBpAHQAcgBvAGcAZQBuAEkAbgBTAG8AbABpAGQAUwB0AG8AcgBhAGcAZQBfAE4ASQBSAFIAZQBmAGUAcgBlAG4AYwBlACIALAAiAE0ATQBTAF8AUwB3AGkAbgBlAF8ATgAyAE8ARABpAHIAZQBjAHQAXwBFAHEAdQBhAHQAaQBvAG4AcwAuAFYARQBFAFIARwBfADQAXwA1AF8AMQBfADMAXwBfADQAXwBGAHIAYQBjAHQAaQBvAG4ATwBmAE4AaQB0AHIAbwBnAGUAbgBJAG4AUwBvAGwAaQBkAFMAdABvAHIAYQBnAGUAXwBMAGEAdABlAHgARQBxAHUAYQB0AGkAbwBuACIALAAiAE0ATQBTAF8AUwB3AGkAbgBlAF8ATgAyAE8ARABpAHIAZQBjAHQAXwBFAHEAdQBhAHQAaQBvAG4AcwAuAFYARQBFAFIARwBfADQAXwA1AF8AMQBfADMAXwBfADQAXwBGAHIAYQBjAHQAaQBvAG4ATwBmAE4AaQB0AHIAbwBnAGUAbgBJAG4AUwBvAGwAaQBkAFMAdABvAHIAYQBnAGUAXwBMAGEAdABlAHgARQBxAHUAYQB0AGkAbwBuAFYAYQByAGkAYQB0AGkAbwBuACIALAAiAE0ATQBTAF8AUwB3AGkAbgBlAF8ATgAyAE8ARABpAHIAZQBjAHQAXwBFAHEAdQBhAHQAaQBvAG4AcwAuAFYARQBFAFIARwBfADQAXwA1AF8AMQBfADMAXwBfADQAXwBGAHIAYQBjAHQAaQBvAG4ATwBmAE4AaQB0AHIAbwBnAGUAbgBJAG4AUwBvAGwAaQBkAFMAdABvAHIAYQBnAGUAXwBBAHIAZwB1AG0AZQBuAHQAcwAiACwAIgBNAE0AUwBfAFMAdwBpAG4AZQBfAE4AMgBPAEQAaQByAGUAYwB0AF8ARQBxAHUAYQB0AGkAbwBuAHMALgBWAEUARQBSAEcAXwA0AF8ANQBfADEAXwAzAF8AXwA0AF8ARgByAGEAYwB0AGkAbwBuAE8AZgBOAGkAdAByAG8AZwBlAG4ASQBuAFMAbwBsAGkAZABTAHQAbwByAGEAZwBlAF8AVgBhAHIAaQBhAHQAaQBvAG4AIgAsACIATQBNAFMAXwBTAHcAaQBuAGUAXwBOADIATwBEAGkAcgBlAGMAdABfAEUAcQB1AGEAdABpAG8AbgBzAC4AVgBFAEUAUgBHAF8ANABfADUAXwAxAF8AMwBfAF8ANQBfAEEAbgBuAHUAYQBsAE4AaQB0AHIAbwBnAGUAbgBFAHgAYwByAGUAdABpAG8AbgAiACwAIgBNAE0AUwBfAFMAdwBpAG4AZQBfAE4AMgBPAEQAaQByAGUAYwB0AF8ARQBxAHUAYQB0AGkAbwBuAHMALgBWAEUARQBSAEcAXwA0AF8ANQBfADEAXwAzAF8AXwA1AF8AQQBuAG4AdQBhAGwATgBpAHQAcgBvAGcAZQBuAEUAeABjAHIAZQB0AGkAbwBuAF8AVABpAHQAbABlACIALAAiAE0ATQBTAF8AUwB3AGkAbgBlAF8ATgAyAE8ARABpAHIAZQBjAHQAXwBFAHEAdQBhAHQAaQBvAG4AcwAuAFYARQBFAFIARwBfADQAXwA1AF8AMQBfADMAXwBfADUAXwBBAG4AbgB1AGEAbABOAGkAdAByAG8AZwBlAG4ARQB4AGMAcgBlAHQAaQBvAG4AXwBWAGEAcgBpAGEAYgBsAGUAIgAsACIATQBNAFMAXwBTAHcAaQBuAGUAXwBOADIATwBEAGkAcgBlAGMAdABfAEUAcQB1AGEAdABpAG8AbgBzAC4AVgBFAEUAUgBHAF8ANABfADUAXwAxAF8AMwBfAF8ANQBfAEEAbgBuAHUAYQBsAE4AaQB0AHIAbwBnAGUAbgBFAHgAYwByAGUAdABpAG8AbgBfAFUAbgBpAHQAIgAsACIATQBNAFMAXwBTAHcAaQBuAGUAXwBOADIATwBEAGkAcgBlAGMAdABfAEUAcQB1AGEAdABpAG8AbgBzAC4AVgBFAEUAUgBHAF8ANABfADUAXwAxAF8AMwBfAF8ANQBfAEEAbgBuAHUAYQBsAE4AaQB0AHIAbwBnAGUAbgBFAHgAYwByAGUAdABpAG8AbgBfAFMAbwB1AHIAYwBlACIALAAiAE0ATQBTAF8AUwB3AGkAbgBlAF8ATgAyAE8ARABpAHIAZQBjAHQAXwBFAHEAdQBhAHQAaQBvAG4AcwAuAFYARQBFAFIARwBfADQAXwA1AF8AMQBfADMAXwBfADUAXwBBAG4AbgB1AGEAbABOAGkAdAByAG8AZwBlAG4ARQB4AGMAcgBlAHQAaQBvAG4AXwBOAEkAUgBSAGUAZgBlAHIAZQBuAGMAZQAiACwAIgBNAE0AUwBfAFMAdwBpAG4AZQBfAE4AMgBPAEQAaQByAGUAYwB0AF8ARQBxAHUAYQB0AGkAbwBuAHMALgBWAEUARQBSAEcAXwA0AF8ANQBfADEAXwAzAF8AXwA1AF8AQQBuAG4AdQBhAGwATgBpAHQAcgBvAGcAZQBuAEUAeABjAHIAZQB0AGkAbwBuAF8ATABhAHQAZQB4AEUAcQB1AGEAdABpAG8AbgAiACwAIgBNAE0AUwBfAFMAdwBpAG4AZQBfAE4AMgBPAEQAaQByAGUAYwB0AF8ARQBxAHUAYQB0AGkAbwBuAHMALgBWAEUARQBSAEcAXwA0AF8ANQBfADEAXwAzAF8AXwA1AF8AQQBuAG4AdQBhAGwATgBpAHQAcgBvAGcAZQBuAEUAeABjAHIAZQB0AGkAbwBuAF8AQQByAGcAdQBtAGUAbgB0AHMAIgAsACIATQBNAFMAXwBTAHcAaQBuAGUAXwBOADIATwBEAGkAcgBlAGMAdABfAEUAcQB1AGEAdABpAG8AbgBzAC4AVgBFAEUAUgBHAF8ANABfADUAXwAxAF8AMwBfAF8ANgBfAFMAdABhAGcAZQAyAE4AaQB0AHIAbwBnAGUAbgBJAG4ATQBNAFMAIgAsACIATQBNAFMAXwBTAHcAaQBuAGUAXwBOADIATwBEAGkAcgBlAGMAdABfAEUAcQB1AGEAdABpAG8AbgBzAC4AVgBFAEUAUgBHAF8ANABfADUAXwAxAF8AMwBfAF8ANgBfAFMAdABhAGcAZQAyAE4AaQB0AHIAbwBnAGUAbgBJAG4ATQBNAFMAXwBUAGkAdABsAGUAIgAsACIATQBNAFMAXwBTAHcAaQBuAGUAXwBOADIATwBEAGkAcgBlAGMAdABfAEUAcQB1AGEAdABpAG8AbgBzAC4AVgBFAEUAUgBHAF8ANABfADUAXwAxAF8AMwBfAF8ANgBfAFMAdABhAGcAZQAyAE4AaQB0AHIAbwBnAGUAbgBJAG4ATQBNAFMAXwBWAGEAcgBpAGEAYgBsAGUAIgAsACIATQBNAFMAXwBTAHcAaQBuAGUAXwBOADIATwBEAGkAcgBlAGMAdABfAEUAcQB1AGEAdABpAG8AbgBzAC4AVgBFAEUAUgBHAF8ANABfADUAXwAxAF8AMwBfAF8ANgBfAFMAdABhAGcAZQAyAE4AaQB0AHIAbwBnAGUAbgBJAG4ATQBNAFMAXwBVAG4AaQB0ACIALAAiAE0ATQBTAF8AUwB3AGkAbgBlAF8ATgAyAE8ARABpAHIAZQBjAHQAXwBFAHEAdQBhAHQAaQBvAG4AcwAuAFYARQBFAFIARwBfADQAXwA1AF8AMQBfADMAXwBfADYAXwBTAHQAYQBnAGUAMgBOAGkAdAByAG8AZwBlAG4ASQBuAE0ATQBTAF8AUwBvAHUAcgBjAGUAIgAsACIATQBNAFMAXwBTAHcAaQBuAGUAXwBOADIATwBEAGkAcgBlAGMAdABfAEUAcQB1AGEAdABpAG8AbgBzAC4AVgBFAEUAUgBHAF8ANABfADUAXwAxAF8AMwBfAF8ANgBfAFMAdABhAGcAZQAyAE4AaQB0AHIAbwBnAGUAbgBJAG4ATQBNAFMAXwBOAEkAUgBSAGUAZgBlAHIAZQBuAGMAZQAiACwAIgBNAE0AUwBfAFMAdwBpAG4AZQBfAE4AMgBPAEQAaQByAGUAYwB0AF8ARQBxAHUAYQB0AGkAbwBuAHMALgBWAEUARQBSAEcAXwA0AF8ANQBfADEAXwAzAF8AXwA2AF8AUwB0AGEAZwBlADIATgBpAHQAcgBvAGcAZQBuAEkAbgBNAE0AUwBfAEwAYQB0AGUAeABFAHEAdQBhAHQAaQBvAG4AIgAsACIATQBNAFMAXwBTAHcAaQBuAGUAXwBOADIATwBEAGkAcgBlAGMAdABfAEUAcQB1AGEAdABpAG8AbgBzAC4AVgBFAEUAUgBHAF8ANABfADUAXwAxAF8AMwBfAF8ANgBfAFMAdABhAGcAZQAyAE4AaQB0AHIAbwBnAGUAbgBJAG4ATQBNAFMAXwBBAHIAZwB1AG0AZQBuAHQAcwAiACwAIgBNAE0AUwBfAFMAdwBpAG4AZQBfAE4AMgBPAEQAaQByAGUAYwB0AF8ARQBxAHUAYQB0AGkAbwBuAHMALgBWAEUARQBSAEcAXwA0AF8ANQBfADEAXwAzAF8AXwA3AF8ATgBpAHQAcgBvAGcAZQBuAFQAcgBhAG4AcwBmAGUAcgByAGUAZABUAG8AUwB0AGEAZwBlADIATQBNAFMAIgAsACIATQBNAFMAXwBTAHcAaQBuAGUAXwBOADIATwBEAGkAcgBlAGMAdABfAEUAcQB1AGEAdABpAG8AbgBzAC4AVgBFAEUAUgBHAF8ANABfADUAXwAxAF8AMwBfAF8ANwBfAE4AaQB0AHIAbwBnAGUAbgBUAHIAYQBuAHMAZgBlAHIAcgBlAGQAVABvAFMAdABhAGcAZQAyAE0ATQBTAF8AVABpAHQAbABlACIALAAiAE0ATQBTAF8AUwB3AGkAbgBlAF8ATgAyAE8ARABpAHIAZQBjAHQAXwBFAHEAdQBhAHQAaQBvAG4AcwAuAFYARQBFAFIARwBfADQAXwA1AF8AMQBfADMAXwBfADcAXwBOAGkAdAByAG8AZwBlAG4AVAByAGEAbgBzAGYAZQByAHIAZQBkAFQAbwBTAHQAYQBnAGUAMgBNAE0AUwBfAFYAYQByAGkAYQBiAGwAZQAiACwAIgBNAE0AUwBfAFMAdwBpAG4AZQBfAE4AMgBPAEQAaQByAGUAYwB0AF8ARQBxAHUAYQB0AGkAbwBuAHMALgBWAEUARQBSAEcAXwA0AF8ANQBfADEAXwAzAF8AXwA3AF8ATgBpAHQAcgBvAGcAZQBuAFQAcgBhAG4AcwBmAGUAcgByAGUAZABUAG8AUwB0AGEAZwBlADIATQBNAFMAXwBVAG4AaQB0ACIALAAiAE0ATQBTAF8AUwB3AGkAbgBlAF8ATgAyAE8ARABpAHIAZQBjAHQAXwBFAHEAdQBhAHQAaQBvAG4AcwAuAFYARQBFAFIARwBfADQAXwA1AF8AMQBfADMAXwBfADcAXwBOAGkAdAByAG8AZwBlAG4AVAByAGEAbgBzAGYAZQByAHIAZQBkAFQAbwBTAHQAYQBnAGUAMgBNAE0AUwBfAFMAbwB1AHIAYwBlACIALAAiAE0ATQBTAF8AUwB3AGkAbgBlAF8ATgAyAE8ARABpAHIAZQBjAHQAXwBFAHEAdQBhAHQAaQBvAG4AcwAuAFYARQBFAFIARwBfADQAXwA1AF8AMQBfADMAXwBfADcAXwBOAGkAdAByAG8AZwBlAG4AVAByAGEAbgBzAGYAZQByAHIAZQBkAFQAbwBTAHQAYQBnAGUAMgBNAE0AUwBfAE4ASQBSAFIAZQBmAGUAcgBlAG4AYwBlACIALAAiAE0ATQBTAF8AUwB3AGkAbgBlAF8ATgAyAE8ARABpAHIAZQBjAHQAXwBFAHEAdQBhAHQAaQBvAG4AcwAuAFYARQBFAFIARwBfADQAXwA1AF8AMQBfADMAXwBfADcAXwBOAGkAdAByAG8AZwBlAG4AVAByAGEAbgBzAGYAZQByAHIAZQBkAFQAbwBTAHQAYQBnAGUAMgBNAE0AUwBfAEwAYQB0AGUAeABFAHEAdQBhAHQAaQBvAG4AIgAsACIATQBNAFMAXwBTAHcAaQBuAGUAXwBOADIATwBEAGkAcgBlAGMAdABfAEUAcQB1AGEAdABpAG8AbgBzAC4AVgBFAEUAUgBHAF8ANABfADUAXwAxAF8AMwBfAF8ANwBfAE4AaQB0AHIAbwBnAGUAbgBUAHIAYQBuAHMAZgBlAHIAcgBlAGQAVABvAFMAdABhAGcAZQAyAE0ATQBTAF8AQQByAGcAdQBtAGUAbgB0AH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UAGkAdA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WAGEAcgBpAGEAYg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VAG4AaQB0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UwBvAHUAc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OAEkAUgBSAGUAZgBlAHIAZQBu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wAYQB0AGUAeABFAHEAdQBhAHQAaQBvAG4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BAHIAZwB1AG0AZQBuAHQAcwAiACwAIgBNAE0AUwBfAFMAdwBpAG4AZQBfAEEAdABtAG8AcwBwAGgAZQByAGkAYwBEAGUAcABvAHMAaQB0AGkAbwBuAF8ARQBxAHUAYQB0AGkAbwBuAHMALgBWAEUARQBSAEcAXwA0AF8ANQBfADEAXwA1AF8AXwAyAF8AVABvAHQAYQBsAE4AaQB0AHIAbwBnAGUAbgBWAG8AbABhAHQAaQBsAGkAcwBlAGQARgByAG8AbQBNAE0AUwAiACwAIgBNAE0AUwBfAFMAdwBpAG4AZQBfAEEAdABtAG8AcwBwAGgAZQByAGkAYwBEAGUAcABvAHMAaQB0AGkAbwBuAF8ARQBxAHUAYQB0AGkAbwBuAHMALgBWAEUARQBSAEcAXwA0AF8ANQBfADEAXwA1AF8AXwAyAF8AVABvAHQAYQBsAE4AaQB0AHIAbwBnAGUAbgBWAG8AbABhAHQAaQBsAGkAcwBlAGQARgByAG8AbQBNAE0AUwBfAFQAaQB0AGwAZQAiACwAIgBNAE0AUwBfAFMAdwBpAG4AZQBfAEEAdABtAG8AcwBwAGgAZQByAGkAYwBEAGUAcABvAHMAaQB0AGkAbwBuAF8ARQBxAHUAYQB0AGkAbwBuAHMALgBWAEUARQBSAEcAXwA0AF8ANQBfADEAXwA1AF8AXwAyAF8AVABvAHQAYQBsAE4AaQB0AHIAbwBnAGUAbgBWAG8AbABhAHQAaQBsAGkAcwBlAGQARgByAG8AbQBNAE0AUwBfAFYAYQByAGkAYQBiAGwAZQAiACwAIgBNAE0AUwBfAFMAdwBpAG4AZQBfAEEAdABtAG8AcwBwAGgAZQByAGkAYwBEAGUAcABvAHMAaQB0AGkAbwBuAF8ARQBxAHUAYQB0AGkAbwBuAHMALgBWAEUARQBSAEcAXwA0AF8ANQBfADEAXwA1AF8AXwAyAF8AVABvAHQAYQBsAE4AaQB0AHIAbwBnAGUAbgBWAG8AbABhAHQAaQBsAGkAcwBlAGQARgByAG8AbQBNAE0AUwBfAFUAbgBpAHQAIgAsACIATQBNAFMAXwBTAHcAaQBuAGUAXwBBAHQAbQBvAHMAcABoAGUAcgBpAGMARABlAHAAbwBzAGkAdABpAG8AbgBfAEUAcQB1AGEAdABpAG8AbgBzAC4AVgBFAEUAUgBHAF8ANABfADUAXwAxAF8ANQBfAF8AMgBfAFQAbwB0AGEAbABOAGkAdAByAG8AZwBlAG4AVgBvAGwAYQB0AGkAbABpAHMAZQBkAEYAcgBvAG0ATQBNAFMAXwBTAG8AdQByAGMAZQAiACwAIgBNAE0AUwBfAFMAdwBpAG4AZQBfAEEAdABtAG8AcwBwAGgAZQByAGkAYwBEAGUAcABvAHMAaQB0AGkAbwBuAF8ARQBxAHUAYQB0AGkAbwBuAHMALgBWAEUARQBSAEcAXwA0AF8ANQBfADEAXwA1AF8AXwAyAF8AVABvAHQAYQBsAE4AaQB0AHIAbwBnAGUAbgBWAG8AbABhAHQAaQBsAGkAcwBlAGQARgByAG8AbQBNAE0AUwBfAE4ASQBSAFIAZQBmAGUAcgBlAG4AYwBlACIALAAiAE0ATQBTAF8AUwB3AGkAbgBlAF8AQQB0AG0AbwBzAHAAaABlAHIAaQBjAEQAZQBwAG8AcwBpAHQAaQBvAG4AXwBFAHEAdQBhAHQAaQBvAG4AcwAuAFYARQBFAFIARwBfADQAXwA1AF8AMQBfADUAXwBfADIAXwBUAG8AdABhAGwATgBpAHQAcgBvAGcAZQBuAFYAbwBsAGEAdABpAGwAaQBzAGUAZABGAHIAbwBtAE0ATQBTAF8ATABhAHQAZQB4AEUAcQB1AGEAdABpAG8AbgAiACwAIgBNAE0AUwBfAFMAdwBpAG4AZQBfAEEAdABtAG8AcwBwAGgAZQByAGkAYwBEAGUAcABvAHMAaQB0AGkAbwBuAF8ARQBxAHUAYQB0AGkAbwBuAHMALgBWAEUARQBSAEcAXwA0AF8ANQBfADEAXwA1AF8AXwAyAF8AVABvAHQAYQBsAE4AaQB0AHIAbwBnAGUAbgBWAG8AbABhAHQAaQBsAGkAcwBlAGQARgByAG8AbQBNAE0AUwBfAEEAcgBnAHUAbQBlAG4AdABzACIALAAiAE0ATQBTAF8AUwB3AGkAbgBlAF8ATABlAGEAYwBoAGkAbgBnAEEAbgBkAFIAdQBuAG8AZgBmAF8ARQBxAHUAYQB0AGkAbwBuAHMALgBWAEUARQBSAEcAXwA0AF8ANQBfADEAXwA3AF8AXwAxAF8AQQBuAG4AdQBhAGwARQBtAGkAcwBzAGkAbwBuAHMARgByAG8AbQBMAGUAYQBjAGgAaQBuAGcAQQBuAGQAUgB1AG4AbwBmAGYARgByAG8AbQBNAE0AUwAiACwAIgBNAE0AUwBfAFMAdwBpAG4AZQBfAEwAZQBhAGMAaABpAG4AZwBBAG4AZABSAHUAbgBvAGYAZgBfAEUAcQB1AGEAdABpAG8AbgBzAC4AVgBFAEUAUgBHAF8ANABfADUAXwAxAF8ANwBfAF8AMQBfAEEAbgBuAHUAYQBsAEUAbQBpAHMAcwBpAG8AbgBzAEYAcgBvAG0ATABlAGEAYwBoAGkAbgBnAEEAbgBkAFIAdQBuAG8AZgBmAEYAcgBvAG0ATQBNAFMAXwBUAGkAdABsAGUAIgAsACIATQBNAFMAXwBTAHcAaQBuAGUAXwBMAGUAYQBjAGgAaQBuAGcAQQBuAGQAUgB1AG4AbwBmAGYAXwBFAHEAdQBhAHQAaQBvAG4AcwAuAFYARQBFAFIARwBfADQAXwA1AF8AMQBfADcAXwBfADEAXwBBAG4AbgB1AGEAbABFAG0AaQBzAHMAaQBvAG4AcwBGAHIAbwBtAEwAZQBhAGMAaABpAG4AZwBBAG4AZABSAHUAbgBvAGYAZgBGAHIAbwBtAE0ATQBTAF8AVgBhAHIAaQBhAGIAbABlACIALAAiAE0ATQBTAF8AUwB3AGkAbgBlAF8ATABlAGEAYwBoAGkAbgBnAEEAbgBkAFIAdQBuAG8AZgBmAF8ARQBxAHUAYQB0AGkAbwBuAHMALgBWAEUARQBSAEcAXwA0AF8ANQBfADEAXwA3AF8AXwAxAF8AQQBuAG4AdQBhAGwARQBtAGkAcwBzAGkAbwBuAHMARgByAG8AbQBMAGUAYQBjAGgAaQBuAGcAQQBuAGQAUgB1AG4AbwBmAGYARgByAG8AbQBNAE0AUwBfAFUAbgBpAHQAIgAsACIATQBNAFMAXwBTAHcAaQBuAGUAXwBMAGUAYQBjAGgAaQBuAGcAQQBuAGQAUgB1AG4AbwBmAGYAXwBFAHEAdQBhAHQAaQBvAG4AcwAuAFYARQBFAFIARwBfADQAXwA1AF8AMQBfADcAXwBfADEAXwBBAG4AbgB1AGEAbABFAG0AaQBzAHMAaQBvAG4AcwBGAHIAbwBtAEwAZQBhAGMAaABpAG4AZwBBAG4AZABSAHUAbgBvAGYAZgBGAHIAbwBtAE0ATQBTAF8AUwBvAHUAc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gBJAFIAUgBlAGYAZQByAGUAb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ABhAHQAZQB4AEUAcQB1AGEAdABpAG8AbgAiACwAIgBNAE0AUwBfAFMAdwBpAG4AZQBfAEwAZQBhAGMAaABpAG4AZwBBAG4AZABSAHUAbgBvAGYAZgBfAEUAcQB1AGEAdABpAG8AbgBzAC4AVgBFAEUAUgBHAF8ANABfADUAXwAxAF8ANwBfAF8AMQBfAEEAbgBuAHUAYQBsAEUAbQBpAHMAcwBpAG8AbgBzAEYAcgBvAG0ATABlAGEAYwBoAGkAbgBnAEEAbgBkAFIAdQBuAG8AZgBmAEYAcgBvAG0ATQBNAFMAXwBBAHIAZwB1AG0AZQBuAHQAc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QAaQB0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YAYQByAGkAYQBi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UAbgBpAHQ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TAG8AdQBy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4ASQBSAFIAZQBmAGUAcgBlAG4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ABhAHQAZQB4AEUAcQB1AGEAdABpAG8Abg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EAcgBnAHUAbQBlAG4AdABzACIALAAiAE0ATQBTAF8AUwB3AGkAbgBlAF8ATQBhAG4AdQByAGUAQQBwAHAAbABpAGUAZABUAG8AUwBvAGkAbABzAF8ARQBxAHUAYQB0AGkAbwBuAHMALgBWAEUARQBSAEcAXwA0AF8ANQBfADEAXwA5AF8AXwAxAF8ATQBhAHMAcwBPAGYATgBpAHQAcgBvAGcAZQBuAEEAcABwAGwAaQBlAGQAVABvAFMAbwBpAGwAcwBTAGMAbwBwAGUAMQAiACwAIgBNAE0AUwBfAFMAdwBpAG4AZQBfAE0AYQBuAHUAcgBlAEEAcABwAGwAaQBlAGQAVABvAFMAbwBpAGwAcwBfAEUAcQB1AGEAdABpAG8AbgBzAC4AVgBFAEUAUgBHAF8ANABfADUAXwAxAF8AOQBfAF8AMQBfAE0AYQBzAHMATwBmAE4AaQB0AHIAbwBnAGUAbgBBAHAAcABsAGkAZQBkAFQAbwBTAG8AaQBsAHMAUwBjAG8AcABlADEAXwBUAGkAdABsAGUAIgAsACIATQBNAFMAXwBTAHcAaQBuAGUAXwBNAGEAbgB1AHIAZQBBAHAAcABsAGkAZQBkAFQAbwBTAG8AaQBsAHMAXwBFAHEAdQBhAHQAaQBvAG4AcwAuAFYARQBFAFIARwBfADQAXwA1AF8AMQBfADkAXwBfADEAXwBNAGEAcwBzAE8AZgBOAGkAdAByAG8AZwBlAG4AQQBwAHAAbABpAGUAZABUAG8AUwBvAGkAbABzAFMAYwBvAHAAZQAxAF8AVgBhAHIAaQBhAGIAbABlACIALAAiAE0ATQBTAF8AUwB3AGkAbgBlAF8ATQBhAG4AdQByAGUAQQBwAHAAbABpAGUAZABUAG8AUwBvAGkAbABzAF8ARQBxAHUAYQB0AGkAbwBuAHMALgBWAEUARQBSAEcAXwA0AF8ANQBfADEAXwA5AF8AXwAxAF8ATQBhAHMAcwBPAGYATgBpAHQAcgBvAGcAZQBuAEEAcABwAGwAaQBlAGQAVABvAFMAbwBpAGwAcwBTAGMAbwBwAGUAMQBfAFUAbgBpAHQAIgAsACIATQBNAFMAXwBTAHcAaQBuAGUAXwBNAGEAbgB1AHIAZQBBAHAAcABsAGkAZQBkAFQAbwBTAG8AaQBsAHMAXwBFAHEAdQBhAHQAaQBvAG4AcwAuAFYARQBFAFIARwBfADQAXwA1AF8AMQBfADkAXwBfADEAXwBNAGEAcwBzAE8AZgBOAGkAdAByAG8AZwBlAG4AQQBwAHAAbABpAGUAZABUAG8AUwBvAGkAbABzAFMAYwBvAHAAZQAxAF8AUwBvAHUAcgBjAGUAIgAsACIATQBNAFMAXwBTAHcAaQBuAGUAXwBNAGEAbgB1AHIAZQBBAHAAcABsAGkAZQBkAFQAbwBTAG8AaQBsAHMAXwBFAHEAdQBhAHQAaQBvAG4AcwAuAFYARQBFAFIARwBfADQAXwA1AF8AMQBfADkAXwBfADEAXwBNAGEAcwBzAE8AZgBOAGkAdAByAG8AZwBlAG4AQQBwAHAAbABpAGUAZABUAG8AUwBvAGkAbABzAFMAYwBvAHAAZQAxAF8ATgBJAFIAUgBlAGYAZQByAGUAbgBjAGUAIgAsACIATQBNAFMAXwBTAHcAaQBuAGUAXwBNAGEAbgB1AHIAZQBBAHAAcABsAGkAZQBkAFQAbwBTAG8AaQBsAHMAXwBFAHEAdQBhAHQAaQBvAG4AcwAuAFYARQBFAFIARwBfADQAXwA1AF8AMQBfADkAXwBfADEAXwBNAGEAcwBzAE8AZgBOAGkAdAByAG8AZwBlAG4AQQBwAHAAbABpAGUAZABUAG8AUwBvAGkAbABzAFMAYwBvAHAAZQAxAF8ATABhAHQAZQB4AEUAcQB1AGEAdABpAG8AbgAiACwAIgBNAE0AUwBfAFMAdwBpAG4AZQBfAE0AYQBuAHUAcgBlAEEAcABwAGwAaQBlAGQAVABvAFMAbwBpAGwAcwBfAEUAcQB1AGEAdABpAG8AbgBzAC4AVgBFAEUAUgBHAF8ANABfADUAXwAxAF8AOQBfAF8AMQBfAE0AYQBzAHMATwBmAE4AaQB0AHIAbwBnAGUAbgBBAHAAcABsAGkAZQBkAFQAbwBTAG8AaQBsAHMAUwBjAG8AcABlADEAXwBBAHIAZwB1AG0AZQBuAHQAcwAiACwAIgBNAE0AUwBfAFMAdwBpAG4AZQBfAE0AYQBuAHUAcgBlAEEAcABwAGwAaQBlAGQAVABvAFMAbwBpAGwAcwBfAEUAcQB1AGEAdABpAG8AbgBzAC4AVgBFAEUAUgBHAF8ANABfADUAXwAxAF8AOQBfAF8AMgBfAE0AYQBzAHMATwBmAE4AaQB0AHIAbwBnAGUAbgBBAHAAcABsAGkAZQBkAFQAbwBTAG8AaQBsAHMAUwBjAG8AcABlADMAIgAsACIATQBNAFMAXwBTAHcAaQBuAGUAXwBNAGEAbgB1AHIAZQBBAHAAcABsAGkAZQBkAFQAbwBTAG8AaQBsAHMAXwBFAHEAdQBhAHQAaQBvAG4AcwAuAFYARQBFAFIARwBfADQAXwA1AF8AMQBfADkAXwBfADIAXwBNAGEAcwBzAE8AZgBOAGkAdAByAG8AZwBlAG4AQQBwAHAAbABpAGUAZABUAG8AUwBvAGkAbABzAFMAYwBvAHAAZQAzAF8AVABpAHQAbABlACIALAAiAE0ATQBTAF8AUwB3AGkAbgBlAF8ATQBhAG4AdQByAGUAQQBwAHAAbABpAGUAZABUAG8AUwBvAGkAbABzAF8ARQBxAHUAYQB0AGkAbwBuAHMALgBWAEUARQBSAEcAXwA0AF8ANQBfADEAXwA5AF8AXwAyAF8ATQBhAHMAcwBPAGYATgBpAHQAcgBvAGcAZQBuAEEAcABwAGwAaQBlAGQAVABvAFMAbwBpAGwAcwBTAGMAbwBwAGUAMwBfAFYAYQByAGkAYQBiAGwAZQAiACwAIgBNAE0AUwBfAFMAdwBpAG4AZQBfAE0AYQBuAHUAcgBlAEEAcABwAGwAaQBlAGQAVABvAFMAbwBpAGwAcwBfAEUAcQB1AGEAdABpAG8AbgBzAC4AVgBFAEUAUgBHAF8ANABfADUAXwAxAF8AOQBfAF8AMgBfAE0AYQBzAHMATwBmAE4AaQB0AHIAbwBnAGUAbgBBAHAAcABsAGkAZQBkAFQAbwBTAG8AaQBsAHMAUwBjAG8AcABlADMAXwBVAG4AaQB0ACIALAAiAE0ATQBTAF8AUwB3AGkAbgBlAF8ATQBhAG4AdQByAGUAQQBwAHAAbABpAGUAZABUAG8AUwBvAGkAbABzAF8ARQBxAHUAYQB0AGkAbwBuAHMALgBWAEUARQBSAEcAXwA0AF8ANQBfADEAXwA5AF8AXwAyAF8ATQBhAHMAcwBPAGYATgBpAHQAcgBvAGcAZQBuAEEAcABwAGwAaQBlAGQAVABvAFMAbwBpAGwAcwBTAGMAbwBwAGUAMwBfAFMAbwB1AHIAYwBlACIALAAiAE0ATQBTAF8AUwB3AGkAbgBlAF8ATQBhAG4AdQByAGUAQQBwAHAAbABpAGUAZABUAG8AUwBvAGkAbABzAF8ARQBxAHUAYQB0AGkAbwBuAHMALgBWAEUARQBSAEcAXwA0AF8ANQBfADEAXwA5AF8AXwAyAF8ATQBhAHMAcwBPAGYATgBpAHQAcgBvAGcAZQBuAEEAcABwAGwAaQBlAGQAVABvAFMAbwBpAGwAcwBTAGMAbwBwAGUAMwBfAE4ASQBSAFIAZQBmAGUAcgBlAG4AYwBlACIALAAiAE0ATQBTAF8AUwB3AGkAbgBlAF8ATQBhAG4AdQByAGUAQQBwAHAAbABpAGUAZABUAG8AUwBvAGkAbABzAF8ARQBxAHUAYQB0AGkAbwBuAHMALgBWAEUARQBSAEcAXwA0AF8ANQBfADEAXwA5AF8AXwAyAF8ATQBhAHMAcwBPAGYATgBpAHQAcgBvAGcAZQBuAEEAcABwAGwAaQBlAGQAVABvAFMAbwBpAGwAcwBTAGMAbwBwAGUAMwBfAEwAYQB0AGUAeABFAHEAdQBhAHQAaQBvAG4AIgAsACIATQBNAFMAXwBTAHcAaQBuAGUAXwBNAGEAbgB1AHIAZQBBAHAAcABsAGkAZQBkAFQAbwBTAG8AaQBsAHMAXwBFAHEAdQBhAHQAaQBvAG4AcwAuAFYARQBFAFIARwBfADQAXwA1AF8AMQBfADkAXwBfADIAXwBNAGEAcwBzAE8AZgBOAGkAdAByAG8AZwBlAG4AQQBwAHAAbABpAGUAZABUAG8AUwBvAGkAbABzAFMAYwBvAHAAZQAz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Home</vt:lpstr>
      <vt:lpstr>Overview</vt:lpstr>
      <vt:lpstr>Results</vt:lpstr>
      <vt:lpstr>Input - Site</vt:lpstr>
      <vt:lpstr>Input - Swine</vt:lpstr>
      <vt:lpstr>3.5.1.1-2 Enteric Methane</vt:lpstr>
      <vt:lpstr>Constants - Swine</vt:lpstr>
      <vt:lpstr>Constants - Common</vt:lpstr>
      <vt:lpstr>Constants - Livestock</vt:lpstr>
      <vt:lpstr>Acknowledgements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2026-05-28T23:59:13Z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