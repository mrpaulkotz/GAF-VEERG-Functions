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1CF1849-44A5-495C-B62D-E9B773852DDF}" xr6:coauthVersionLast="47" xr6:coauthVersionMax="47" xr10:uidLastSave="{00000000-0000-0000-0000-000000000000}"/>
  <bookViews>
    <workbookView xWindow="855" yWindow="825" windowWidth="37350" windowHeight="19740" activeTab="4"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06"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09" l="1"/>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I7" i="13"/>
  <c r="H7" i="13"/>
  <c r="H8" i="13" s="1"/>
  <c r="F7" i="13"/>
  <c r="E7" i="13"/>
  <c r="I8" i="13"/>
  <c r="O63" i="69" a="1"/>
  <c r="O63" i="69" s="1"/>
  <c r="P61" i="69"/>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I16" i="69"/>
  <c r="F122" i="79" a="1"/>
  <c r="F122" i="79" s="1"/>
  <c r="E122" i="79" a="1"/>
  <c r="E122" i="7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Q56" i="69" l="1"/>
  <c r="E7" i="69"/>
  <c r="I15" i="69"/>
  <c r="I14" i="69"/>
  <c r="A4" i="13" l="1"/>
  <c r="A92" i="70"/>
  <c r="A46" i="70"/>
  <c r="A117" i="79"/>
  <c r="A63" i="79"/>
  <c r="A266" i="69"/>
  <c r="A231" i="69"/>
  <c r="A213" i="69"/>
  <c r="A186" i="69"/>
  <c r="A110" i="69"/>
  <c r="A70" i="69"/>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c r="D178" i="106" a="1"/>
  <c r="E175" i="106" a="1"/>
  <c r="E175" i="106" s="1"/>
  <c r="D175" i="106"/>
  <c r="D175" i="106" a="1"/>
  <c r="D174" i="106" a="1"/>
  <c r="D174" i="106" s="1"/>
  <c r="D173" i="106"/>
  <c r="D173" i="106" a="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c r="D133" i="106" a="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c r="D116" i="106" a="1"/>
  <c r="D115" i="106"/>
  <c r="D115" i="106" a="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8" i="106" a="1"/>
  <c r="D98"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I13" i="69" a="1"/>
  <c r="I13" i="69" s="1"/>
  <c r="H21" i="69"/>
  <c r="H46" i="69"/>
  <c r="G61" i="69" l="1"/>
  <c r="H50" i="106"/>
  <c r="H51" i="106"/>
  <c r="H52" i="106"/>
  <c r="H53" i="106"/>
  <c r="H49" i="106"/>
  <c r="H54" i="106"/>
  <c r="H48" i="106"/>
  <c r="H51" i="69"/>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G51" i="69"/>
  <c r="F51" i="69"/>
  <c r="E51" i="69"/>
  <c r="D51" i="69"/>
  <c r="H15" i="70" l="1" a="1"/>
  <c r="H15" i="70" s="1"/>
  <c r="P21" i="69" s="1"/>
  <c r="P26" i="69" s="1" a="1"/>
  <c r="P26" i="69" s="1"/>
  <c r="F15" i="70" a="1"/>
  <c r="F15" i="70" s="1"/>
  <c r="N21" i="69" s="1"/>
  <c r="N26" i="69" s="1" a="1"/>
  <c r="N26" i="69" s="1"/>
  <c r="E15" i="70" a="1"/>
  <c r="E15" i="70" s="1"/>
  <c r="M21" i="69" s="1"/>
  <c r="M26" i="69" s="1" a="1"/>
  <c r="M26" i="69" s="1"/>
  <c r="H12" i="70" a="1"/>
  <c r="H12" i="70" s="1"/>
  <c r="G21" i="69" s="1"/>
  <c r="G26" i="69" s="1" a="1"/>
  <c r="G26" i="69" s="1"/>
  <c r="G12" i="70" a="1"/>
  <c r="G12" i="70" s="1"/>
  <c r="F21" i="69" s="1"/>
  <c r="F26" i="69" s="1" a="1"/>
  <c r="F26" i="69" s="1"/>
  <c r="F12" i="70" a="1"/>
  <c r="F12" i="70" s="1"/>
  <c r="E21" i="69" s="1"/>
  <c r="E26" i="69" s="1" a="1"/>
  <c r="E26" i="69" s="1"/>
  <c r="E56" i="69" s="1" a="1"/>
  <c r="E56" i="69" s="1"/>
  <c r="E12" i="70" a="1"/>
  <c r="E12" i="70" s="1"/>
  <c r="D21" i="69" s="1"/>
  <c r="D26" i="69" s="1" a="1"/>
  <c r="D26" i="69" s="1"/>
  <c r="G15" i="70" a="1"/>
  <c r="G15" i="70" s="1"/>
  <c r="O21" i="69" s="1"/>
  <c r="O26" i="69" s="1" a="1"/>
  <c r="O26" i="69" s="1"/>
  <c r="O56" i="69" s="1" a="1"/>
  <c r="O56" i="69" s="1"/>
  <c r="D6" i="70"/>
  <c r="D7" i="70"/>
  <c r="G46" i="69"/>
  <c r="F46" i="69"/>
  <c r="E46" i="69"/>
  <c r="D46" i="69"/>
  <c r="F56" i="69" l="1" a="1"/>
  <c r="F56" i="69" s="1"/>
  <c r="G56" i="69" a="1"/>
  <c r="G56" i="69" s="1"/>
  <c r="M56" i="69" a="1"/>
  <c r="M56" i="69" s="1"/>
  <c r="N56" i="69" a="1"/>
  <c r="N56" i="69" s="1"/>
  <c r="P56" i="69" a="1"/>
  <c r="P56" i="69" s="1"/>
  <c r="D56" i="69" a="1"/>
  <c r="D56" i="69" s="1"/>
  <c r="N58" i="69"/>
  <c r="P60" i="69" s="1"/>
  <c r="N63" i="69" s="1" a="1"/>
  <c r="N63"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F58" i="69" l="1"/>
  <c r="H26" i="69"/>
  <c r="E32" i="69"/>
  <c r="H56" i="69"/>
  <c r="F27" i="43" l="1"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G60" i="69" l="1"/>
  <c r="E63" i="69" s="1" a="1"/>
  <c r="E63" i="6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<sst xmlns="http://schemas.openxmlformats.org/spreadsheetml/2006/main" count="261" uniqueCount="170">
  <si>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</si>
  <si>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</si>
  <si>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</si>
  <si>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</si>
  <si>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</si>
  <si>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</si>
  <si>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</si>
  <si>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</si>
  <si>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</si>
  <si>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</si>
  <si>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</si>
  <si>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</si>
  <si>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</si>
  <si>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</si>
  <si>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</si>
  <si>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</si>
  <si>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</si>
  <si>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</si>
  <si>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</si>
  <si>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</si>
  <si>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</si>
  <si>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</si>
  <si>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</si>
  <si>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</si>
  <si>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</si>
  <si>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</si>
  <si>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</si>
  <si>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</si>
  <si>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</si>
  <si>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</si>
  <si>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</si>
  <si>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</si>
  <si>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</si>
  <si>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</si>
  <si>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</si>
  <si>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</si>
  <si>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</si>
  <si>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</si>
  <si>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</si>
  <si>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</si>
  <si>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</si>
  <si>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</si>
  <si>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</si>
  <si>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</si>
  <si>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</si>
  <si>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</si>
  <si>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</si>
  <si>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</si>
  <si>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</si>
  <si>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</si>
  <si>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</si>
  <si>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</si>
  <si>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</si>
  <si>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</si>
  <si>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</si>
  <si>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</si>
  <si>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</si>
  <si>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</si>
  <si>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</si>
  <si>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</si>
  <si>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</si>
  <si>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</si>
  <si>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</si>
  <si>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</si>
  <si>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</si>
  <si>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</si>
  <si>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</si>
  <si>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</si>
  <si>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</si>
  <si>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</si>
  <si>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</si>
  <si>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</si>
  <si>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</si>
  <si>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</si>
  <si>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</si>
  <si>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</si>
  <si>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</si>
  <si>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</si>
  <si>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</si>
  <si>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</si>
  <si>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</si>
  <si>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</si>
  <si>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</si>
  <si>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</si>
  <si>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</si>
  <si>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</si>
  <si>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</si>
  <si>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</si>
  <si>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</si>
  <si>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</si>
  <si>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</si>
  <si>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</si>
  <si>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</si>
  <si>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</si>
  <si>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</si>
  <si>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</si>
  <si>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</si>
  <si>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</si>
  <si>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</si>
  <si>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</si>
  <si>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</si>
  <si>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</si>
  <si>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</si>
  <si>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</si>
  <si>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</si>
  <si>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</si>
  <si>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</si>
  <si>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</si>
  <si>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</si>
  <si>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</si>
  <si>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</si>
  <si>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</si>
  <si>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</si>
  <si>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</si>
  <si>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</si>
  <si>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</si>
  <si>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</si>
  <si>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</si>
  <si>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</si>
  <si>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</si>
  <si>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</si>
  <si>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</si>
  <si>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</si>
  <si>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</si>
  <si>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</si>
  <si>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</si>
  <si>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</si>
  <si>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</si>
  <si>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</si>
  <si>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</si>
  <si>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</si>
  <si>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</si>
  <si>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</si>
  <si>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</si>
  <si>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</si>
  <si>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</si>
  <si>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</si>
  <si>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</si>
  <si>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</si>
  <si>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</si>
  <si>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</si>
  <si>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</si>
  <si>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</si>
  <si>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</si>
  <si>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</si>
  <si>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</si>
  <si>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</si>
  <si>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</si>
  <si>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</si>
  <si>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</si>
  <si>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</si>
  <si>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</si>
  <si>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</si>
  <si>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</si>
  <si>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</si>
  <si>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Feed intake</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</si>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</sst>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0"/>
      <tableStyleElement type="headerRow" dxfId="99"/>
      <tableStyleElement type="totalRow" dxfId="98"/>
      <tableStyleElement type="firstColumn" dxfId="97"/>
      <tableStyleElement type="firstRowStripe" dxfId="96"/>
      <tableStyleElement type="secondRowStripe" dxfId="95"/>
    </tableStyle>
    <tableStyle name="Equation table" pivot="0" count="6" xr9:uid="{B247698E-E41D-4CCD-AA0A-C14817E9DE65}">
      <tableStyleElement type="wholeTable" dxfId="94"/>
      <tableStyleElement type="headerRow" dxfId="93"/>
      <tableStyleElement type="totalRow" dxfId="92"/>
      <tableStyleElement type="firstColumn" dxfId="91"/>
      <tableStyleElement type="firstRowStripe" dxfId="90"/>
      <tableStyleElement type="secondRowStripe" dxfId="89"/>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mc:Choice xmlns:a14="http://schemas.microsoft.com/office/drawing/2010/main"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p>
          </xdr:txBody>
        </xdr:sp>
      </mc:Choice>
      <mc:Fallback>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5_Fertiliser_WIP_v04.xlsx" TargetMode="External"/><Relationship Id="rId1" Type="http://schemas.openxmlformats.org/officeDocument/2006/relationships/externalLinkPath" Target="5_Fertiliser_WIP_v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7"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6"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5"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4"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3"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2"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1"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80"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8"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7"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6"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5"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3" dataCellStyle="Content normal">
  <autoFilter ref="D78:E82" xr:uid="{E34928EB-73E5-43B2-830B-089F30DA4EF0}">
    <filterColumn colId="0" hiddenButton="1"/>
    <filterColumn colId="1" hiddenButton="1"/>
  </autoFilter>
  <tableColumns count="2">
    <tableColumn id="1" xr3:uid="{CAC8EB28-568F-4E9F-8E36-EBDFF74A58D3}" name="Class" dataDxfId="72"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70"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9"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8"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6E3ED7D-B9CD-4192-B821-5B419D60F23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7C2EA6C-D25D-4C33-AEA0-CA7B250E39E2}" name="State/Territory">
      <calculatedColumnFormula array="1">Common_InputFunctions.Utility_DisplayArrayInTable(Common_SourceData.Common_SourceData_AustralianStatesTerritories_Data(),Table_AustralianStates[[#Headers],[State/Territory]],0)</calculatedColumnFormula>
    </tableColumn>
    <tableColumn id="2" xr3:uid="{1C767934-3B57-475F-9043-61B46B4B44B2}" name="Common Name">
      <calculatedColumnFormula array="1">Common_InputFunctions.Utility_DisplayArrayInTable(Common_SourceData.Common_SourceData_AustralianStatesTerritories_Data(),Table_AustralianStates[[#Headers],[State/Territory]],0)</calculatedColumnFormula>
    </tableColumn>
    <tableColumn id="3" xr3:uid="{E2EA12E4-9CF6-4C68-A5D0-F05AC4B8A9F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E2EC9E8-0E91-4093-A370-A0FB47853ED2}" name="Table_WASA4Areas" displayName="Table_WASA4Areas" ref="D20:D30" totalsRowShown="0">
  <autoFilter ref="D20:D30" xr:uid="{5FA81339-C6C8-4D36-BEEA-6C4AEDD9E676}">
    <filterColumn colId="0" hiddenButton="1"/>
  </autoFilter>
  <tableColumns count="1">
    <tableColumn id="1" xr3:uid="{B100C6B8-0EEF-4141-89C3-B97B70A52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2197674-F4EC-40C4-BA61-58B06682F8E5}" name="Table_GWPData" displayName="Table_GWPData" ref="D36:E43" totalsRowShown="0">
  <autoFilter ref="D36:E43" xr:uid="{B8E87A66-3E41-4AD3-925D-01EE21B43D7A}">
    <filterColumn colId="0" hiddenButton="1"/>
    <filterColumn colId="1" hiddenButton="1"/>
  </autoFilter>
  <tableColumns count="2">
    <tableColumn id="1" xr3:uid="{DE6DB2AF-8B82-435D-A79B-8205BD960246}" name="Gas">
      <calculatedColumnFormula array="1">Common_InputFunctions.Utility_DisplayArrayInTable(Common_SourceData.Common_SourceData_GWP_Data(), Table_GWPData[[#Headers],[Gas]], 0)</calculatedColumnFormula>
    </tableColumn>
    <tableColumn id="2" xr3:uid="{C1872EA8-E6F7-4CDB-BE15-139748243E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03DACCB-4A75-40B0-8551-2B1D21A465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0D8DCA3-10F5-4031-86FD-216D8A755B9E}" name="Gas">
      <calculatedColumnFormula array="1">Common_InputFunctions.Utility_DisplayArrayInTable(Common_SourceData.Common_SourceData_ConvertGasElementalToMolecular_Data(),Table_GasToMolecularConversionFactor[[#Headers],[Gas]], 0)</calculatedColumnFormula>
    </tableColumn>
    <tableColumn id="5" xr3:uid="{A53FF128-FAFA-48C3-8A6E-8E78B89CFD95}" name="Conversion factor">
      <calculatedColumnFormula array="1">Common_InputFunctions.Utility_DisplayArrayInTable(Common_SourceData.Common_SourceData_ConvertGasElementalToMolecular_Data(),Table_GasToMolecularConversionFactor[[#Headers],[Gas]], 0)</calculatedColumnFormula>
    </tableColumn>
    <tableColumn id="2" xr3:uid="{F83400CF-8874-42E5-9041-D872244B9CF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87A7E6-25FB-4F61-B2BC-8876667D6A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372DE5-34A1-40F8-8BF5-A801883845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5132B17-5458-42C3-9E74-261F277F666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5DB17EF-0F05-492B-8DF4-50777CFB302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5C83B84-0235-4B48-9882-D789359978A3}" name="MA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3" xr3:uid="{2427DEBF-B9EF-405D-977C-D0B2800FCBB1}" name="MAP"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4" xr3:uid="{EBA92C07-A154-437D-BDD5-52695464C73C}" name="Frost days per year"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5" xr3:uid="{99735E8A-3D39-449D-A7C0-CD9B7DAE3957}" name="Elevation"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6" xr3:uid="{B79F49BE-04C8-4800-9DCB-948081BBD991}" name="MAP:PE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7" xr3:uid="{223EBFAE-1287-4A0A-AA3E-9342D3BF4364}" name="Min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8" xr3:uid="{351C7274-AFD2-4546-A140-A95A456892E8}" name="Max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9" xr3:uid="{C74C0D42-AEEA-4278-AD59-0334EC505CEC}" name="Min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0" xr3:uid="{8B3776A6-D901-494F-A436-67BB3CB20929}" name="Max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1" xr3:uid="{29781557-BEE7-4BC2-8FCF-88051FE8BA04}" name="Min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5" xr3:uid="{226D5EA0-8392-496D-B07B-0115FF6685C1}" name="Max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2" xr3:uid="{97FCC930-F093-4ED4-A18F-679D2FFE3417}" name="Min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6" xr3:uid="{2B589B12-9689-4C72-B4ED-6C287BBF0233}" name="Max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3" xr3:uid="{D7A13881-2DB8-4008-8FA2-574069DAD6F6}" name="Min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7" xr3:uid="{2145277F-3B0D-4FA7-97B5-A7338EBFBA01}" name="Max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2E9396F-7D92-4EBB-887B-ADD206B4AD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C9BA32D-00D8-4C52-9DF7-220AA12DE65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81E5122-308B-41E4-B622-AE4C693CCA35}" name="Wet or Dry Zone" totalsRowDxfId="5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A688357-E7C3-4A2A-B4D3-A0F24B08E3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403960-4434-43CD-ABBE-E8DF4D86B9F5}" name="Temperature Zone">
      <calculatedColumnFormula array="1">Common_InputFunctions.Utility_DisplayArrayInTable(Common_SourceData.Common_SourceData_TemperatureZones_Data(),Table_SourceData_TemperatureZones[[#Headers],[Temperature Zone]],0)</calculatedColumnFormula>
    </tableColumn>
    <tableColumn id="2" xr3:uid="{66A4AD83-37E6-4BCB-BC66-B572872B5198}" name="MAT">
      <calculatedColumnFormula array="1">Common_InputFunctions.Utility_DisplayArrayInTable(Common_SourceData.Common_SourceData_TemperatureZones_Data(),Table_SourceData_TemperatureZones[[#Headers],[Temperature Zone]],0)</calculatedColumnFormula>
    </tableColumn>
    <tableColumn id="3" xr3:uid="{B9291C4C-E6A7-4495-A3EE-77DAB17978C7}" name="Min MAT">
      <calculatedColumnFormula array="1">Common_InputFunctions.Utility_DisplayArrayInTable(Common_SourceData.Common_SourceData_TemperatureZones_Data(),Table_SourceData_TemperatureZones[[#Headers],[Temperature Zone]],0)</calculatedColumnFormula>
    </tableColumn>
    <tableColumn id="4" xr3:uid="{3C13F341-9CBC-46A8-BC68-8C55D43C93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A099A-1815-4C9E-8BE1-EAFCEA3125C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F4D7F70-B372-4198-B448-F69D7AB5C57A}" name="Rainfall Zone">
      <calculatedColumnFormula array="1">Common_InputFunctions.Utility_DisplayArrayInTable(Common_SourceData.Common_SourceData_RainfallZones_Data(),Table_SourceData_RainfallZones[[#Headers],[Rainfall Zone]],0)</calculatedColumnFormula>
    </tableColumn>
    <tableColumn id="2" xr3:uid="{0636C224-96C6-4792-91A4-1FC86B7BC2BB}" name="Annual rainfall">
      <calculatedColumnFormula array="1">Common_InputFunctions.Utility_DisplayArrayInTable(Common_SourceData.Common_SourceData_RainfallZones_Data(),Table_SourceData_RainfallZones[[#Headers],[Rainfall Zone]],0)</calculatedColumnFormula>
    </tableColumn>
    <tableColumn id="3" xr3:uid="{58B0F4F3-EB24-4A00-9F9A-0E64F1E2D5D0}" name="Min rainfall">
      <calculatedColumnFormula array="1">Common_InputFunctions.Utility_DisplayArrayInTable(Common_SourceData.Common_SourceData_RainfallZones_Data(),Table_SourceData_RainfallZones[[#Headers],[Rainfall Zone]],0)</calculatedColumnFormula>
    </tableColumn>
    <tableColumn id="4" xr3:uid="{CB6299EC-5E20-4209-BE64-AC6EDA2A45B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1D1277F-7083-467C-A78B-B5A5473D337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866685-43DA-480D-AE27-DAD823223B61}" name="Leaching Zone">
      <calculatedColumnFormula array="1">Common_InputFunctions.Utility_DisplayArrayInTable(Common_SourceData.Common_SourceData_LeachingZones_Data(), Table_SourceData_LeachingZones[[#Headers],[Leaching Zone]], 0)</calculatedColumnFormula>
    </tableColumn>
    <tableColumn id="2" xr3:uid="{92ECD4D2-81B9-467C-BA67-C008BE7F8F2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757BE5D-8986-486B-9942-45BFD29D063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FE53BA-D360-4C24-8E5B-28CB3F969908}" name="Data source">
      <calculatedColumnFormula array="1">Common_InputFunctions.Utility_DisplayArrayInTable(Common_SourceData.Common_SourceData_DataScores_Scope3_Data(), Table_SourceData_DataScores_Scope3[[#Headers],[Data source]], 0)</calculatedColumnFormula>
    </tableColumn>
    <tableColumn id="2" xr3:uid="{58F6D1E3-6B78-4718-A383-427BF82805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5BAE0A-AE6C-4E5D-9102-8C3D108836A9}" name="Table_SourceData_FracWET" displayName="Table_SourceData_FracWET" ref="D134:E136" totalsRowShown="0">
  <autoFilter ref="D134:E136" xr:uid="{308E99BE-FE1F-47A4-B2CA-97217277C4E9}">
    <filterColumn colId="0" hiddenButton="1"/>
    <filterColumn colId="1" hiddenButton="1"/>
  </autoFilter>
  <tableColumns count="2">
    <tableColumn id="1" xr3:uid="{BC669E04-ED77-44FE-9D5F-8C8107EB4A98}" name="Is in leaching zone">
      <calculatedColumnFormula array="1">Common_InputFunctions.Utility_DisplayArrayInTable(Common_SourceData.Common_SourceData_FracWET_Data(),Table_SourceData_FracWET[[#Headers],[Is in leaching zone]],0)</calculatedColumnFormula>
    </tableColumn>
    <tableColumn id="2" xr3:uid="{A3948F95-F1C4-45B3-81A4-39D322485349}" name="FracWET" dataDxfId="5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7B971EA-407C-45A5-9FFB-F7AA722C8E0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2F3F9BB-DA9E-4193-9F8B-B6A61E653CCF}" name="Production system j">
      <calculatedColumnFormula array="1">Common_InputFunctions.Utility_DisplayArrayInTable(Common_SourceData.Common_SourceData_EFN2O_Data(), Table_SourceData_Common_EFN2O[[#Headers],[Production system j]], 0)</calculatedColumnFormula>
    </tableColumn>
    <tableColumn id="2" xr3:uid="{3D22419F-B45A-49E4-9B2C-61DFA559A5E6}" name="EFN2O">
      <calculatedColumnFormula array="1">Common_InputFunctions.Utility_DisplayArrayInTable(Common_SourceData.Common_SourceData_EFN2O_Data(), Table_SourceData_Common_EFN2O[[#Headers],[Production system j]], 0)</calculatedColumnFormula>
    </tableColumn>
    <tableColumn id="3" xr3:uid="{25D60932-977A-4B69-B269-FC2D0FBEF5FD}" name="Production system only">
      <calculatedColumnFormula array="1">Common_InputFunctions.Utility_DisplayArrayInTable(Common_SourceData.Common_SourceData_EFN2O_Data(), Table_SourceData_Common_EFN2O[[#Headers],[Production system j]], 0)</calculatedColumnFormula>
    </tableColumn>
    <tableColumn id="4" xr3:uid="{C0A42ED4-5BEF-4593-8E87-70CB6EE0301D}" name="Irrigation method">
      <calculatedColumnFormula array="1">Common_InputFunctions.Utility_DisplayArrayInTable(Common_SourceData.Common_SourceData_EFN2O_Data(), Table_SourceData_Common_EFN2O[[#Headers],[Production system j]], 0)</calculatedColumnFormula>
    </tableColumn>
    <tableColumn id="5" xr3:uid="{782D7ADE-E7B1-4141-A25C-555CE2F063C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D55417-029C-4CE1-94B5-7F7CCA88A9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AEF521B-87A4-4DF0-9061-A42BD804FA47}" name="Irrigation type i">
      <calculatedColumnFormula array="1">Common_InputFunctions.Utility_DisplayArrayInTable(Common_SourceData.Common_SourceData_FracWETIrrigation_Data(), Table_SourceData_FracWETIrrigation[[#Headers],[Irrigation type i]], 0)</calculatedColumnFormula>
    </tableColumn>
    <tableColumn id="2" xr3:uid="{413EF7D5-6C1D-48C4-ADE3-C2FBFE9CDBF0}" name="FracWET" dataDxfId="4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D0385FD-EFA3-4C84-B44D-9F37B130504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B3DD1A-762C-4056-B47D-C7F4C3D2140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FA3D3B2-F03B-4A49-B036-1E6713C6C2BA}" name="EFPRP" dataDxfId="4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7CF299F-EB3B-4475-B57E-88E228BFA0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91AEBD9-B5D9-477E-A4F8-180604EEEB5F}" name="Month">
      <calculatedColumnFormula array="1">Common_InputFunctions.Utility_DisplayArrayInTable(Common_SourceData.Common_SourceData_MonthsToSeasons_Data(), Table_SourceData_Common_MonthToSeason[[#Headers],[Month]], 0)</calculatedColumnFormula>
    </tableColumn>
    <tableColumn id="2" xr3:uid="{68A7ECE7-9AF7-4FB2-8EBA-0AF2F740F298}" name="Season" dataDxfId="4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5A68CD2-471B-4B4F-9D5E-65C39267BD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6D78F8A-058B-42CA-B726-7AEBBCA6C2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091063A-29C3-4F2A-BFEF-BD86006AD144}" name="MAT (ºC)"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8D6B89D-F8F7-4100-9AC6-7433F92DE90E}" name="Anaerobic lagoon"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AD0EE1F-0F8D-4B1E-BC41-D905561F457C}" name="Digester / covered lagoon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0A47EB3-89E9-49EA-A584-4FFFF617FFFE}" name="Liquid system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379D57A-CF72-4017-8026-7368D62E7C6E}" name="Daily spread"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8CAA5F5-A9E2-490C-8E9E-F98FEC2B85B7}" name="Composting (passive windrow)"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932A796-896E-4749-8473-D4D99CB5A8DA}" name="Solid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15FC1CD-D6D4-48C6-BB02-0784024F60E1}" name="Pit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EBE432B-3D78-4900-9DC3-1FD9ACCBB17C}" name="Deep litter"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1D0680-FD86-4172-B5F0-E4CCA7F0900F}" name="Poultry manure with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403667-5932-4CF5-8344-621BAA196406}" name="Poultry manure without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72C37E3-C784-49F8-9FFA-148700905D66}" name="Direct process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CAD450-29C4-40CA-9D51-7672268D9D32}" name="Direct applicati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BCC1851-11A9-41A2-B4BC-E7AFBD1EAA84}" name="Pasture range and paddock"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9CC47FE-434C-431F-B727-358EA13CFB6F}" name="MAT ra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3.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167</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168</v>
      </c>
      <c r="E5" s="85"/>
      <c r="F5" s="85"/>
      <c r="G5" s="85"/>
      <c r="H5" s="85"/>
      <c r="I5" s="81"/>
    </row>
    <row r="6" spans="1:11" ht="20.100000000000001" customHeight="1" x14ac:dyDescent="0.25">
      <c r="A6" s="16"/>
      <c r="D6" s="120" t="s">
        <v>169</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166</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160</v>
      </c>
      <c r="E7" s="109">
        <f>'3.5.1.1-2 Enteric Methane'!E58</f>
        <v>0.78573884462151411</v>
      </c>
      <c r="F7" s="109">
        <f>'3.5.1.1-2 Enteric Methane'!N58</f>
        <v>0.78573884462151411</v>
      </c>
      <c r="G7" s="49" t="s">
        <v>94</v>
      </c>
      <c r="H7" s="97">
        <f>'3.5.1.1-2 Enteric Methane'!E63</f>
        <v>22.000687649402394</v>
      </c>
      <c r="I7" s="97">
        <f>'3.5.1.1-2 Enteric Methane'!N63</f>
        <v>22.000687649402394</v>
      </c>
      <c r="J7" s="49" t="s">
        <v>96</v>
      </c>
      <c r="K7" s="21"/>
    </row>
    <row r="8" spans="1:11" ht="20.100000000000001" customHeight="1" x14ac:dyDescent="0.3">
      <c r="A8" s="17" t="str">
        <f>HYPERLINK("#'Input - Site'!A1", "Site")</f>
        <v>Site</v>
      </c>
      <c r="C8" s="21"/>
      <c r="D8" s="28" t="s">
        <v>89</v>
      </c>
      <c r="E8" s="22"/>
      <c r="F8" s="22"/>
      <c r="G8" s="28"/>
      <c r="H8" s="99">
        <f>SUM(H7:H7)</f>
        <v>22.000687649402394</v>
      </c>
      <c r="I8" s="99">
        <f>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tabSelected="1" zoomScale="85" zoomScaleNormal="85" workbookViewId="0"/>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155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31" priority="79" operator="lessThan">
      <formula>0</formula>
    </cfRule>
  </conditionalFormatting>
  <conditionalFormatting sqref="F40:F41">
    <cfRule type="cellIs" dxfId="30" priority="69" operator="lessThan">
      <formula>0</formula>
    </cfRule>
  </conditionalFormatting>
  <conditionalFormatting sqref="F44">
    <cfRule type="cellIs" dxfId="29" priority="68" operator="lessThan">
      <formula>0</formula>
    </cfRule>
  </conditionalFormatting>
  <conditionalFormatting sqref="F5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29:I34">
    <cfRule type="cellIs" dxfId="17" priority="55" operator="lessThan">
      <formula>0</formula>
    </cfRule>
  </conditionalFormatting>
  <conditionalFormatting sqref="I55:I59">
    <cfRule type="cellIs" dxfId="16" priority="6" operator="lessThan">
      <formula>0</formula>
    </cfRule>
  </conditionalFormatting>
  <conditionalFormatting sqref="I63:I66">
    <cfRule type="cellIs" dxfId="15" priority="5" operator="lessThan">
      <formula>0</formula>
    </cfRule>
  </conditionalFormatting>
  <conditionalFormatting sqref="I70:I73">
    <cfRule type="cellIs" dxfId="14" priority="4" operator="lessThan">
      <formula>0</formula>
    </cfRule>
  </conditionalFormatting>
  <conditionalFormatting sqref="I77:I80">
    <cfRule type="cellIs" dxfId="13" priority="3" operator="lessThan">
      <formula>0</formula>
    </cfRule>
  </conditionalFormatting>
  <conditionalFormatting sqref="I84:I88">
    <cfRule type="cellIs" dxfId="12" priority="1" operator="lessThan">
      <formula>0</formula>
    </cfRule>
  </conditionalFormatting>
  <conditionalFormatting sqref="K43:L43 I48:I51 J101 I119 I199 I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5" zoomScale="85" zoomScaleNormal="85" workbookViewId="0">
      <selection activeCell="A15" sqref="A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160</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'Constants - Swine'!$E$122</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156</v>
      </c>
      <c r="M18" s="105" t="s">
        <v>156</v>
      </c>
    </row>
    <row r="19" spans="1:17" ht="20.100000000000001" customHeight="1" x14ac:dyDescent="0.25">
      <c r="D19" s="106" t="s">
        <v>157</v>
      </c>
      <c r="M19" s="106" t="s">
        <v>157</v>
      </c>
    </row>
    <row r="20" spans="1:17" ht="20.100000000000001" customHeight="1" x14ac:dyDescent="0.25">
      <c r="A20" s="17"/>
      <c r="D20" s="103" t="s">
        <v>107</v>
      </c>
      <c r="E20" s="103" t="s">
        <v>108</v>
      </c>
      <c r="F20" s="103" t="s">
        <v>109</v>
      </c>
      <c r="G20" s="103" t="s">
        <v>129</v>
      </c>
      <c r="M20" s="103" t="s">
        <v>107</v>
      </c>
      <c r="N20" s="103" t="s">
        <v>108</v>
      </c>
      <c r="O20" s="103" t="s">
        <v>109</v>
      </c>
      <c r="P20" s="103" t="s">
        <v>129</v>
      </c>
    </row>
    <row r="21" spans="1:17" ht="20.100000000000001" customHeight="1" x14ac:dyDescent="0.25">
      <c r="D21" s="52">
        <f>'Input - Swine'!E12</f>
        <v>2.62</v>
      </c>
      <c r="E21" s="52">
        <f>'Input - Swine'!F12</f>
        <v>2.2999999999999998</v>
      </c>
      <c r="F21" s="52">
        <f>'Input - Swine'!G12</f>
        <v>2.5</v>
      </c>
      <c r="G21" s="52">
        <f>'Input - Swine'!H12</f>
        <v>1.71</v>
      </c>
      <c r="H21" s="2" t="str">
        <f>G13</f>
        <v>kg/head/day</v>
      </c>
      <c r="M21" s="52">
        <f>'Input - Swine'!E15</f>
        <v>2.62</v>
      </c>
      <c r="N21" s="52">
        <f>'Input - Swine'!F15</f>
        <v>2.2999999999999998</v>
      </c>
      <c r="O21" s="52">
        <f>'Input - Swine'!G15</f>
        <v>2.5</v>
      </c>
      <c r="P21" s="52">
        <f>'Input - Swine'!H15</f>
        <v>1.71</v>
      </c>
      <c r="Q21" s="2" t="str">
        <f>G13</f>
        <v>kg/head/day</v>
      </c>
    </row>
    <row r="22" spans="1:17" ht="20.100000000000001" customHeight="1" x14ac:dyDescent="0.25"/>
    <row r="23" spans="1:17" ht="20.100000000000001" customHeight="1" x14ac:dyDescent="0.25">
      <c r="D23" s="105" t="s">
        <v>158</v>
      </c>
      <c r="M23" s="105" t="s">
        <v>158</v>
      </c>
    </row>
    <row r="24" spans="1:17" ht="20.100000000000001" customHeight="1" x14ac:dyDescent="0.25">
      <c r="D24" s="106" t="s">
        <v>159</v>
      </c>
      <c r="M24" s="106" t="s">
        <v>159</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ref="D26">EntericMethane_Swine_Equations.VEERG_3_5_1_1__2_DailyEntericMethaneProduction(D21,$I$16)</f>
        <v>6.1775443679826158E-3</v>
      </c>
      <c r="E26" s="52" cm="1">
        <f t="array" ref="E26">EntericMethane_Swine_Equations.VEERG_3_5_1_1__2_DailyEntericMethaneProduction(E21,$I$16)</f>
        <v>5.4230351321984793E-3</v>
      </c>
      <c r="F26" s="52" cm="1">
        <f t="array" ref="F26">EntericMethane_Swine_Equations.VEERG_3_5_1_1__2_DailyEntericMethaneProduction(F21,$I$16)</f>
        <v>5.8946034045635641E-3</v>
      </c>
      <c r="G26" s="52" cm="1">
        <f t="array" ref="G26">EntericMethane_Swine_Equations.VEERG_3_5_1_1__2_DailyEntericMethaneProduction(G21,$I$16)</f>
        <v>4.031908728721478E-3</v>
      </c>
      <c r="H26" s="2" t="str">
        <f>$E$11</f>
        <v>kg CH4/head/day</v>
      </c>
      <c r="M26" s="52" cm="1">
        <f t="array" ref="M26">EntericMethane_Swine_Equations.VEERG_3_5_1_1__2_DailyEntericMethaneProduction(M21,$I$16)</f>
        <v>6.1775443679826158E-3</v>
      </c>
      <c r="N26" s="52" cm="1">
        <f t="array" ref="N26">EntericMethane_Swine_Equations.VEERG_3_5_1_1__2_DailyEntericMethaneProduction(N21,$I$16)</f>
        <v>5.4230351321984793E-3</v>
      </c>
      <c r="O26" s="52" cm="1">
        <f t="array" ref="O26">EntericMethane_Swine_Equations.VEERG_3_5_1_1__2_DailyEntericMethaneProduction(O21,$I$16)</f>
        <v>5.8946034045635641E-3</v>
      </c>
      <c r="P26" s="52" cm="1">
        <f t="array" ref="P26">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
        <v>107</v>
      </c>
      <c r="E45" s="103" t="s">
        <v>108</v>
      </c>
      <c r="F45" s="103" t="s">
        <v>109</v>
      </c>
      <c r="G45" s="103" t="s">
        <v>129</v>
      </c>
    </row>
    <row r="46" spans="4:9" ht="20.100000000000001" customHeight="1" x14ac:dyDescent="0.25">
      <c r="D46" s="107">
        <f>'Input - Swine'!E6</f>
        <v>365</v>
      </c>
      <c r="E46" s="107">
        <f>'Input - Swine'!F6</f>
        <v>365</v>
      </c>
      <c r="F46" s="107">
        <f>'Input - Swine'!G6</f>
        <v>365</v>
      </c>
      <c r="G46" s="107">
        <f>'Input - Swine'!H6</f>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f>'Input - Swine'!$E$7</f>
        <v>100</v>
      </c>
      <c r="E51" s="107">
        <f>'Input - Swine'!$F$7</f>
        <v>100</v>
      </c>
      <c r="F51" s="107">
        <f>'Input - Swine'!$G$7</f>
        <v>100</v>
      </c>
      <c r="G51" s="107">
        <f>'Input - Swine'!$H$7</f>
        <v>100</v>
      </c>
      <c r="H51" s="2" t="str">
        <f>G41</f>
        <v>days</v>
      </c>
    </row>
    <row r="52" spans="4:17" ht="20.100000000000001" customHeight="1" x14ac:dyDescent="0.25"/>
    <row r="53" spans="4:17" ht="20.100000000000001" customHeight="1" x14ac:dyDescent="0.25">
      <c r="D53" s="105" t="s">
        <v>161</v>
      </c>
      <c r="M53" s="105" t="s">
        <v>164</v>
      </c>
    </row>
    <row r="54" spans="4:17" ht="20.100000000000001" customHeight="1" x14ac:dyDescent="0.25">
      <c r="D54" s="106" t="s">
        <v>162</v>
      </c>
      <c r="M54" s="106" t="s">
        <v>165</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ref="D56">EntericMethane_Swine_Equations.VEERG_3_5_1_1__1_TotalAnnualMethaneFromEntericFermentation($D51,D26,$D46)</f>
        <v>0.22548036943136548</v>
      </c>
      <c r="E56" s="47" cm="1">
        <f t="array" ref="E56">EntericMethane_Swine_Equations.VEERG_3_5_1_1__1_TotalAnnualMethaneFromEntericFermentation($E51,E26,$E46)</f>
        <v>0.19794078232524451</v>
      </c>
      <c r="F56" s="47" cm="1">
        <f t="array" ref="F56">EntericMethane_Swine_Equations.VEERG_3_5_1_1__1_TotalAnnualMethaneFromEntericFermentation($F51,F26,$F46)</f>
        <v>0.2151530242665701</v>
      </c>
      <c r="G56" s="47" cm="1">
        <f t="array" ref="G56">EntericMethane_Swine_Equations.VEERG_3_5_1_1__1_TotalAnnualMethaneFromEntericFermentation($G51,G26,$G46)</f>
        <v>0.14716466859833394</v>
      </c>
      <c r="H56" s="2" t="str">
        <f>$E$37</f>
        <v>t CH4</v>
      </c>
      <c r="M56" s="47" cm="1">
        <f t="array" ref="M56">EntericMethane_Swine_Equations.VEERG_3_5_1_1__1_TotalAnnualMethaneFromEntericFermentation($D51,M26,$D46)</f>
        <v>0.22548036943136548</v>
      </c>
      <c r="N56" s="47" cm="1">
        <f t="array" ref="N56">EntericMethane_Swine_Equations.VEERG_3_5_1_1__1_TotalAnnualMethaneFromEntericFermentation($E51,N26,$E46)</f>
        <v>0.19794078232524451</v>
      </c>
      <c r="O56" s="47" cm="1">
        <f t="array" ref="O56">EntericMethane_Swine_Equations.VEERG_3_5_1_1__1_TotalAnnualMethaneFromEntericFermentation($F51,O26,$F46)</f>
        <v>0.2151530242665701</v>
      </c>
      <c r="P56" s="47" cm="1">
        <f t="array" ref="P56">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SUM(D56:G56)</f>
        <v>0.78573884462151411</v>
      </c>
      <c r="F58" s="91" t="str">
        <f>$E$37</f>
        <v>t CH4</v>
      </c>
      <c r="M58" s="89" t="s">
        <v>126</v>
      </c>
      <c r="N58" s="90">
        <f>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E58</f>
        <v>0.78573884462151411</v>
      </c>
      <c r="M60" s="52" t="str" cm="1">
        <f t="array" ref="M60:N61">Common_Equations.Common_ConvertCH4ToCO2e_Arguments()</f>
        <v>ECH4</v>
      </c>
      <c r="N60" s="53" t="str">
        <v>Methane emissions (t CH4)</v>
      </c>
      <c r="O60" s="92"/>
      <c r="P60" s="47">
        <f>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163</v>
      </c>
      <c r="E63" s="41" cm="1">
        <f t="array" ref="E63">Common_Equations.Common_ConvertCH4ToCO2e(G60,G61)</f>
        <v>22.000687649402394</v>
      </c>
      <c r="F63" s="93" t="str" cm="1">
        <f t="array" ref="F63">Common_Equations.Common_ConvertN2OToCO2e_Unit()</f>
        <v>t CO2e</v>
      </c>
      <c r="M63" s="98" t="s">
        <v>163</v>
      </c>
      <c r="N63" s="41" cm="1">
        <f t="array" ref="N63">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zoomScale="85" zoomScaleNormal="85" workbookViewId="0">
      <selection activeCell="A16" sqref="A1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428C-4DC5-4BD6-BBEB-2A47208D1A43}">
  <dimension ref="A1:BY250"/>
  <sheetViews>
    <sheetView showGridLines="0" topLeftCell="A191" zoomScale="85" zoomScaleNormal="85" workbookViewId="0">
      <selection activeCell="E257" sqref="E25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c r="D98" s="49" t="str" cm="1">
        <f t="array" ref="D98:D101">Common_SourceData.Common_SourceData_ClimateZones_Appendices()</f>
        <v>Note:</v>
      </c>
    </row>
    <row r="99" spans="4:20" ht="20.100000000000001" customHeight="1" x14ac:dyDescent="0.25">
      <c r="D99" s="49" t="str">
        <v>MAT = mean annual temperature</v>
      </c>
    </row>
    <row r="100" spans="4:20" ht="20.100000000000001" customHeight="1" x14ac:dyDescent="0.25">
      <c r="D100" s="49" t="str">
        <v>MAP = mean annual precipitation</v>
      </c>
    </row>
    <row r="101" spans="4:20" ht="20.100000000000001" customHeight="1" x14ac:dyDescent="0.25">
      <c r="D101" s="49" t="str">
        <v>PET = potential evapotranspiration</v>
      </c>
    </row>
    <row r="102" spans="4:20" ht="20.100000000000001" customHeight="1" x14ac:dyDescent="0.25">
      <c r="D102" s="49"/>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RQBuAHQAZQByAGkAYwBNAGUAdABoAGEAbgBlAF8AUwB3AGkAbgBlAF8ARQBxAHUAYQB0AGkAbwBuAHMALgBWAEUARQBSAEcAXwAzAF8ANQBfADEAXwAxAF8AXwAxAF8AVABvAHQAYQBsAEEAbgBuAHUAYQBsAE0AZQB0AGgAYQBuAGUARgByAG8AbQBFAG4AdABlAHIAaQBjAEYAZQByAG0AZQBuAHQAYQB0AGkAbwBuACIALAAiAEUAbgB0AGUAcgBpAGMATQBlAHQAaABhAG4AZQBfAFMAdwBpAG4AZQBfAEUAcQB1AGEAdABpAG8AbgBzAC4AVgBFAEUAUgBHAF8AMwBfADUAXwAxAF8AMQBfAF8AMQBfAFQAbwB0AGEAbABBAG4AbgB1AGEAbABNAGUAdABoAGEAbgBlAEYAcgBvAG0ARQBuAHQAZQByAGkAYwBGAGUAcgBtAGUAbgB0AGEAdABpAG8AbgBfAFQAaQB0AGwAZQAiACwAIgBFAG4AdABlAHIAaQBjAE0AZQB0AGgAYQBuAGUAXwBTAHcAaQBuAGUAXwBFAHEAdQBhAHQAaQBvAG4AcwAuAFYARQBFAFIARwBfADMAXwA1AF8AMQBfADEAXwBfADEAXwBUAG8AdABhAGwAQQBuAG4AdQBhAGwATQBlAHQAaABhAG4AZQBGAHIAbwBtAEUAbgB0AGUAcgBpAGMARgBlAHIAbQBlAG4AdABhAHQAaQBvAG4AXwBWAGEAcgBpAGEAYgBsAGUAIgAsACIARQBuAHQAZQByAGkAYwBNAGUAdABoAGEAbgBlAF8AUwB3AGkAbgBlAF8ARQBxAHUAYQB0AGkAbwBuAHMALgBWAEUARQBSAEcAXwAzAF8ANQBfADEAXwAxAF8AXwAxAF8AVABvAHQAYQBsAEEAbgBuAHUAYQBsAE0AZQB0AGgAYQBuAGUARgByAG8AbQBFAG4AdABlAHIAaQBjAEYAZQByAG0AZQBuAHQAYQB0AGkAbwBuAF8AVQBuAGkAdAAiACwAIgBFAG4AdABlAHIAaQBjAE0AZQB0AGgAYQBuAGUAXwBTAHcAaQBuAGUAXwBFAHEAdQBhAHQAaQBvAG4AcwAuAFYARQBFAFIARwBfADMAXwA1AF8AMQBfADEAXwBfADEAXwBUAG8AdABhAGwAQQBuAG4AdQBhAGwATQBlAHQAaABhAG4AZQBGAHIAbwBtAEUAbgB0AGUAcgBpAGMARgBlAHIAbQBlAG4AdABhAHQAaQBvAG4AXwBTAG8AdQByAGMAZQAiACwAIgBFAG4AdABlAHIAaQBjAE0AZQB0AGgAYQBuAGUAXwBTAHcAaQBuAGUAXwBFAHEAdQBhAHQAaQBvAG4AcwAuAFYARQBFAFIARwBfADMAXwA1AF8AMQBfADEAXwBfADEAXwBUAG8AdABhAGwAQQBuAG4AdQBhAGwATQBlAHQAaABhAG4AZQBGAHIAbwBtAEUAbgB0AGUAcgBpAGMARgBlAHIAbQBlAG4AdABhAHQAaQBvAG4AXwBOAEkAUgBSAGUAZgBlAHIAZQBuAGMAZQAiACwAIgBFAG4AdABlAHIAaQBjAE0AZQB0AGgAYQBuAGUAXwBTAHcAaQBuAGUAXwBFAHEAdQBhAHQAaQBvAG4AcwAuAFYARQBFAFIARwBfADMAXwA1AF8AMQBfADEAXwBfADEAXwBUAG8AdABhAGwAQQBuAG4AdQBhAGwATQBlAHQAaABhAG4AZQBGAHIAbwBtAEUAbgB0AGUAcgBpAGMARgBlAHIAbQBlAG4AdABhAHQAaQBvAG4AXwBMAGEAdABlAHgARQBxAHUAYQB0AGkAbwBuACIALAAiAEUAbgB0AGUAcgBpAGMATQBlAHQAaABhAG4AZQBfAFMAdwBpAG4AZQBfAEUAcQB1AGEAdABpAG8AbgBzAC4AVgBFAEUAUgBHAF8AMwBfADUAXwAxAF8AMQBfAF8AMQBfAFQAbwB0AGEAbABBAG4AbgB1AGEAbABNAGUAdABoAGEAbgBlAEYAcgBvAG0ARQBuAHQAZQByAGkAYwBGAGUAcgBtAGUAbgB0AGEAdABpAG8AbgBfAEEAcgBnAHUAbQBlAG4AdABzACIALAAiAEUAbgB0AGUAcgBpAGMATQBlAHQAaABhAG4AZQBfAFMAdwBpAG4AZQBfAEUAcQB1AGEAdABpAG8AbgBzAC4AVgBFAEUAUgBHAF8AMwBfADUAXwAxAF8AMQBfAF8AMgBfAEQAYQBpAGwAeQBFAG4AdABlAHIAaQBjAE0AZQB0AGgAYQBuAGUAUAByAG8AZAB1AGMAdABpAG8AbgAiACwAIgBFAG4AdABlAHIAaQBjAE0AZQB0AGgAYQBuAGUAXwBTAHcAaQBuAGUAXwBFAHEAdQBhAHQAaQBvAG4AcwAuAFYARQBFAFIARwBfADMAXwA1AF8AMQBfADEAXwBfADIAXwBEAGEAaQBsAHkARQBuAHQAZQByAGkAYwBNAGUAdABoAGEAbgBlAFAAcgBvAGQAdQBjAHQAaQBvAG4AXwBUAGkAdABsAGUAIgAsACIARQBuAHQAZQByAGkAYwBNAGUAdABoAGEAbgBlAF8AUwB3AGkAbgBlAF8ARQBxAHUAYQB0AGkAbwBuAHMALgBWAEUARQBSAEcAXwAzAF8ANQBfADEAXwAxAF8AXwAyAF8ARABhAGkAbAB5AEUAbgB0AGUAcgBpAGMATQBlAHQAaABhAG4AZQBQAHIAbwBkAHUAYwB0AGkAbwBuAF8AVgBhAHIAaQBhAGIAbABlACIALAAiAEUAbgB0AGUAcgBpAGMATQBlAHQAaABhAG4AZQBfAFMAdwBpAG4AZQBfAEUAcQB1AGEAdABpAG8AbgBzAC4AVgBFAEUAUgBHAF8AMwBfADUAXwAxAF8AMQBfAF8AMgBfAEQAYQBpAGwAeQBFAG4AdABlAHIAaQBjAE0AZQB0AGgAYQBuAGUAUAByAG8AZAB1AGMAdABpAG8AbgBfAFUAbgBpAHQAIgAsACIARQBuAHQAZQByAGkAYwBNAGUAdABoAGEAbgBlAF8AUwB3AGkAbgBlAF8ARQBxAHUAYQB0AGkAbwBuAHMALgBWAEUARQBSAEcAXwAzAF8ANQBfADEAXwAxAF8AXwAyAF8ARABhAGkAbAB5AEUAbgB0AGUAcgBpAGMATQBlAHQAaABhAG4AZQBQAHIAbwBkAHUAYwB0AGkAbwBuAF8AUwBvAHUAcgBjAGUAIgAsACIARQBuAHQAZQByAGkAYwBNAGUAdABoAGEAbgBlAF8AUwB3AGkAbgBlAF8ARQBxAHUAYQB0AGkAbwBuAHMALgBWAEUARQBSAEcAXwAzAF8ANQBfADEAXwAxAF8AXwAyAF8ARABhAGkAbAB5AEUAbgB0AGUAcgBpAGMATQBlAHQAaABhAG4AZQBQAHIAbwBkAHUAYwB0AGkAbwBuAF8ATgBJAFIAUgBlAGYAZQByAGUAbgBjAGUAIgAsACIARQBuAHQAZQByAGkAYwBNAGUAdABoAGEAbgBlAF8AUwB3AGkAbgBlAF8ARQBxAHUAYQB0AGkAbwBuAHMALgBWAEUARQBSAEcAXwAzAF8ANQBfADEAXwAxAF8AXwAyAF8ARABhAGkAbAB5AEUAbgB0AGUAcgBpAGMATQBlAHQAaABhAG4AZQBQAHIAbwBkAHUAYwB0AGkAbwBuAF8ATABhAHQAZQB4AEUAcQB1AGEAdABpAG8AbgAiACwAIgBFAG4AdABlAHIAaQBjAE0AZQB0AGgAYQBuAGUAXwBTAHcAaQBuAGUAXwBFAHEAdQBhAHQAaQBvAG4AcwAuAFYARQBFAFIARwBfADMAXwA1AF8AMQBfADEAXwBfADIAXwBEAGEAaQBsAHkARQBuAHQAZQByAGkAYwBNAGUAdABoAGEAbgBlAFAAcgBvAGQAdQBjAHQAaQBvAG4AXwBBAHIAZwB1AG0AZQBuAHQAcw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2026-05-12T07:10:07Z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