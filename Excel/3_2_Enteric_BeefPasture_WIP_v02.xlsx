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BCE6D5D3-2B37-4FEA-8062-49FAAC0B6952}" xr6:coauthVersionLast="47" xr6:coauthVersionMax="47" xr10:uidLastSave="{00000000-0000-0000-0000-000000000000}"/>
  <bookViews>
    <workbookView xWindow="1020" yWindow="0" windowWidth="27780" windowHeight="17280" activeTab="4"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8" i="69" l="1"/>
  <c r="U107" i="69"/>
  <c r="U106" i="69"/>
  <c r="U105" i="69"/>
  <c r="U104" i="69"/>
  <c r="U103" i="69"/>
  <c r="U102" i="69"/>
  <c r="U101" i="69"/>
  <c r="U100" i="69"/>
  <c r="U99" i="69"/>
  <c r="U98" i="69"/>
  <c r="U97" i="69"/>
  <c r="G37" i="69" a="1"/>
  <c r="G37" i="69"/>
  <c r="U59" i="69" l="1" a="1"/>
  <c r="U59" i="69" s="1"/>
  <c r="U43" i="69" a="1"/>
  <c r="U43" i="69" s="1"/>
  <c r="D114" i="69" a="1"/>
  <c r="D114" i="69" s="1"/>
  <c r="D106" i="69" a="1"/>
  <c r="D106" i="69" s="1"/>
  <c r="D9" i="79"/>
  <c r="D8" i="79"/>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160" i="70"/>
  <c r="M160" i="70"/>
  <c r="L160" i="70"/>
  <c r="K160" i="70"/>
  <c r="J160" i="70"/>
  <c r="I160" i="70"/>
  <c r="H160" i="70"/>
  <c r="G160" i="70"/>
  <c r="F160" i="70"/>
  <c r="E160" i="70"/>
  <c r="N159" i="70"/>
  <c r="M159" i="70"/>
  <c r="L159" i="70"/>
  <c r="K159" i="70"/>
  <c r="J159" i="70"/>
  <c r="I159" i="70"/>
  <c r="H159" i="70"/>
  <c r="G159" i="70"/>
  <c r="F159" i="70"/>
  <c r="E159" i="70"/>
  <c r="N158" i="70"/>
  <c r="M158" i="70"/>
  <c r="L158" i="70"/>
  <c r="K158" i="70"/>
  <c r="J158" i="70"/>
  <c r="I158" i="70"/>
  <c r="H158" i="70"/>
  <c r="G158" i="70"/>
  <c r="F158" i="70"/>
  <c r="E158"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154" i="70"/>
  <c r="M154" i="70"/>
  <c r="L154" i="70"/>
  <c r="K154" i="70"/>
  <c r="J154" i="70"/>
  <c r="I154" i="70"/>
  <c r="H154" i="70"/>
  <c r="G154" i="70"/>
  <c r="F154" i="70"/>
  <c r="E154" i="70"/>
  <c r="N153" i="70"/>
  <c r="M153" i="70"/>
  <c r="L153" i="70"/>
  <c r="K153" i="70"/>
  <c r="J153" i="70"/>
  <c r="I153" i="70"/>
  <c r="H153" i="70"/>
  <c r="G153" i="70"/>
  <c r="F153" i="70"/>
  <c r="E15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38" i="70"/>
  <c r="M138" i="70"/>
  <c r="L138" i="70"/>
  <c r="K138" i="70"/>
  <c r="J138" i="70"/>
  <c r="I138" i="70"/>
  <c r="H138" i="70"/>
  <c r="G138" i="70"/>
  <c r="F138" i="70"/>
  <c r="E138" i="70"/>
  <c r="N137" i="70"/>
  <c r="M137" i="70"/>
  <c r="L137" i="70"/>
  <c r="K137" i="70"/>
  <c r="J137" i="70"/>
  <c r="I137" i="70"/>
  <c r="H137" i="70"/>
  <c r="G137" i="70"/>
  <c r="F137" i="70"/>
  <c r="E137" i="70"/>
  <c r="N136" i="70"/>
  <c r="M136" i="70"/>
  <c r="L136" i="70"/>
  <c r="K136" i="70"/>
  <c r="J136" i="70"/>
  <c r="I136" i="70"/>
  <c r="H136" i="70"/>
  <c r="G136" i="70"/>
  <c r="F136" i="70"/>
  <c r="E136"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132" i="70"/>
  <c r="M132" i="70"/>
  <c r="L132" i="70"/>
  <c r="K132" i="70"/>
  <c r="J132" i="70"/>
  <c r="I132" i="70"/>
  <c r="H132" i="70"/>
  <c r="G132" i="70"/>
  <c r="F132" i="70"/>
  <c r="E132" i="70"/>
  <c r="N131" i="70"/>
  <c r="M131" i="70"/>
  <c r="L131" i="70"/>
  <c r="K131" i="70"/>
  <c r="J131" i="70"/>
  <c r="I131" i="70"/>
  <c r="H131" i="70"/>
  <c r="G131" i="70"/>
  <c r="F131" i="70"/>
  <c r="E131"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88" i="70"/>
  <c r="M88" i="70"/>
  <c r="L88" i="70"/>
  <c r="K88" i="70"/>
  <c r="J88" i="70"/>
  <c r="I88" i="70"/>
  <c r="H88" i="70"/>
  <c r="G88" i="70"/>
  <c r="F88" i="70"/>
  <c r="E8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N66" i="70"/>
  <c r="M66" i="70"/>
  <c r="L66" i="70"/>
  <c r="K66" i="70"/>
  <c r="J66" i="70"/>
  <c r="I66" i="70"/>
  <c r="H66" i="70"/>
  <c r="G66" i="70"/>
  <c r="F66" i="70"/>
  <c r="E66" i="70"/>
  <c r="X164" i="69"/>
  <c r="G131" i="69"/>
  <c r="E173" i="70"/>
  <c r="E172" i="70"/>
  <c r="N150" i="70"/>
  <c r="M150" i="70"/>
  <c r="L150" i="70"/>
  <c r="K150" i="70"/>
  <c r="J150" i="70"/>
  <c r="I150" i="70"/>
  <c r="H150" i="70"/>
  <c r="G150" i="70"/>
  <c r="F150" i="70"/>
  <c r="E150" i="70"/>
  <c r="N149" i="70"/>
  <c r="M149" i="70"/>
  <c r="L149" i="70"/>
  <c r="K149" i="70"/>
  <c r="J149" i="70"/>
  <c r="I149" i="70"/>
  <c r="H149" i="70"/>
  <c r="G149" i="70"/>
  <c r="F149" i="70"/>
  <c r="E149" i="70"/>
  <c r="N148" i="70"/>
  <c r="M148" i="70"/>
  <c r="L148" i="70"/>
  <c r="K148" i="70"/>
  <c r="J148" i="70"/>
  <c r="I148" i="70"/>
  <c r="H148" i="70"/>
  <c r="G148" i="70"/>
  <c r="F148" i="70"/>
  <c r="E148" i="70"/>
  <c r="N147" i="70"/>
  <c r="M147" i="70"/>
  <c r="L147" i="70"/>
  <c r="K147" i="70"/>
  <c r="J147" i="70"/>
  <c r="I147" i="70"/>
  <c r="H147" i="70"/>
  <c r="G147" i="70"/>
  <c r="F147" i="70"/>
  <c r="E147" i="70"/>
  <c r="N128" i="70"/>
  <c r="M128" i="70"/>
  <c r="L128" i="70"/>
  <c r="K128" i="70"/>
  <c r="J128" i="70"/>
  <c r="I128" i="70"/>
  <c r="H128" i="70"/>
  <c r="G128" i="70"/>
  <c r="F128" i="70"/>
  <c r="E128" i="70"/>
  <c r="N127" i="70"/>
  <c r="M127" i="70"/>
  <c r="L127" i="70"/>
  <c r="K127" i="70"/>
  <c r="J127" i="70"/>
  <c r="I127" i="70"/>
  <c r="H127" i="70"/>
  <c r="G127" i="70"/>
  <c r="F127" i="70"/>
  <c r="E127" i="70"/>
  <c r="N126" i="70"/>
  <c r="M126" i="70"/>
  <c r="L126" i="70"/>
  <c r="K126" i="70"/>
  <c r="J126" i="70"/>
  <c r="I126" i="70"/>
  <c r="H126" i="70"/>
  <c r="G126" i="70"/>
  <c r="F126" i="70"/>
  <c r="E126" i="70"/>
  <c r="N125" i="70"/>
  <c r="M125" i="70"/>
  <c r="L125" i="70"/>
  <c r="K125" i="70"/>
  <c r="J125" i="70"/>
  <c r="I125" i="70"/>
  <c r="H125" i="70"/>
  <c r="G125" i="70"/>
  <c r="F125" i="70"/>
  <c r="E125"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82" i="70"/>
  <c r="M82" i="70"/>
  <c r="L82" i="70"/>
  <c r="K82" i="70"/>
  <c r="J82" i="70"/>
  <c r="I82" i="70"/>
  <c r="H82" i="70"/>
  <c r="G82" i="70"/>
  <c r="F82" i="70"/>
  <c r="E82"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N60" i="70"/>
  <c r="M60" i="70"/>
  <c r="L60" i="70"/>
  <c r="K60" i="70"/>
  <c r="J60" i="70"/>
  <c r="I60" i="70"/>
  <c r="H60" i="70"/>
  <c r="G60" i="70"/>
  <c r="F60" i="70"/>
  <c r="E60" i="70"/>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AH39" i="69" l="1"/>
  <c r="AH38" i="69"/>
  <c r="AH37" i="69"/>
  <c r="AH36" i="69"/>
  <c r="AH35" i="69"/>
  <c r="AH34" i="69"/>
  <c r="AH33" i="69"/>
  <c r="AH32" i="69"/>
  <c r="AH31" i="69"/>
  <c r="AH30" i="69"/>
  <c r="J14" i="69" a="1"/>
  <c r="J14" i="69" s="1"/>
  <c r="J15" i="69" a="1"/>
  <c r="J15" i="69" s="1"/>
  <c r="AE140" i="69"/>
  <c r="AD141" i="69"/>
  <c r="AC142" i="69"/>
  <c r="AB143" i="69"/>
  <c r="V144" i="69"/>
  <c r="AE139" i="69"/>
  <c r="K33" i="70"/>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I56" i="69"/>
  <c r="M56" i="69"/>
  <c r="F58" i="69"/>
  <c r="H58" i="69"/>
  <c r="L58" i="69"/>
  <c r="H56" i="69"/>
  <c r="G59" i="69"/>
  <c r="I59" i="69"/>
  <c r="M59" i="69"/>
  <c r="N57" i="69"/>
  <c r="AE83" i="69" a="1"/>
  <c r="AE83" i="69" s="1"/>
  <c r="AE104" i="69" s="1" a="1"/>
  <c r="AE104" i="69" s="1"/>
  <c r="AE156" i="69" s="1" a="1"/>
  <c r="AE156" i="69" s="1"/>
  <c r="L57" i="69"/>
  <c r="K57" i="69"/>
  <c r="F56" i="69"/>
  <c r="H57" i="69"/>
  <c r="E59" i="69"/>
  <c r="I57" i="69"/>
  <c r="H59" i="69"/>
  <c r="G56" i="69"/>
  <c r="L56" i="69"/>
  <c r="K59" i="69"/>
  <c r="M57" i="69"/>
  <c r="G57" i="69"/>
  <c r="F59" i="69"/>
  <c r="E57" i="69"/>
  <c r="J57" i="69"/>
  <c r="J59" i="69"/>
  <c r="I58" i="69"/>
  <c r="K56" i="69"/>
  <c r="J56" i="69"/>
  <c r="G58" i="69"/>
  <c r="AC87" i="69" a="1"/>
  <c r="AC87" i="69" s="1"/>
  <c r="AC108" i="69" s="1" a="1"/>
  <c r="AC108" i="69" s="1"/>
  <c r="AC160" i="69" s="1" a="1"/>
  <c r="AC160" i="69" s="1"/>
  <c r="E56" i="69"/>
  <c r="AB86" i="69" a="1"/>
  <c r="AB86" i="69" s="1"/>
  <c r="AB107" i="69" s="1" a="1"/>
  <c r="AB107" i="69" s="1"/>
  <c r="AB159" i="69" s="1" a="1"/>
  <c r="AB159" i="69" s="1"/>
  <c r="V77" i="69" a="1"/>
  <c r="V77" i="69" s="1"/>
  <c r="V98" i="69" s="1" a="1"/>
  <c r="V98" i="69" s="1"/>
  <c r="V150" i="69" s="1" a="1"/>
  <c r="V150" i="69" s="1"/>
  <c r="J58" i="69"/>
  <c r="N59" i="69"/>
  <c r="N56" i="69"/>
  <c r="E58" i="69"/>
  <c r="L59" i="69"/>
  <c r="K58" i="69"/>
  <c r="N58" i="69"/>
  <c r="M58" i="69"/>
  <c r="L48" i="69"/>
  <c r="J51" i="69"/>
  <c r="AA78" i="69" a="1"/>
  <c r="AA78" i="69" s="1"/>
  <c r="AA99" i="69" s="1" a="1"/>
  <c r="AA99" i="69" s="1"/>
  <c r="AA151" i="69" s="1" a="1"/>
  <c r="AA151" i="69" s="1"/>
  <c r="K50" i="69"/>
  <c r="E51" i="69"/>
  <c r="I50" i="69"/>
  <c r="N50" i="69"/>
  <c r="I48" i="69"/>
  <c r="N48" i="69"/>
  <c r="K48" i="69"/>
  <c r="F51" i="69"/>
  <c r="I49" i="69"/>
  <c r="H48" i="69"/>
  <c r="N51" i="69"/>
  <c r="G51" i="69"/>
  <c r="K49" i="69"/>
  <c r="M51" i="69"/>
  <c r="E48" i="69"/>
  <c r="L51" i="69"/>
  <c r="F49" i="69"/>
  <c r="E50" i="69"/>
  <c r="J50" i="69"/>
  <c r="H50" i="69"/>
  <c r="I51" i="69"/>
  <c r="F48" i="69"/>
  <c r="L50" i="69"/>
  <c r="M48" i="69"/>
  <c r="G49" i="69"/>
  <c r="E49" i="69"/>
  <c r="J48" i="69"/>
  <c r="H51" i="69"/>
  <c r="M49" i="69"/>
  <c r="N49" i="69"/>
  <c r="G50" i="69"/>
  <c r="L49" i="69"/>
  <c r="M50" i="69"/>
  <c r="G48" i="69"/>
  <c r="F50"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<sst xmlns="http://schemas.openxmlformats.org/spreadsheetml/2006/main" count="1036" uniqueCount="271">
  <si>
    <t>Home</t>
  </si>
  <si>
    <t>INPUTS</t>
  </si>
  <si>
    <t>APPENDICES</t>
  </si>
  <si>
    <t>Emissions breakdown</t>
  </si>
  <si>
    <t>Test Farms</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</si>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</sst>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87</v>
      </c>
      <c r="E6" s="107" t="s">
        <v>122</v>
      </c>
      <c r="F6" s="107" t="s">
        <v>123</v>
      </c>
      <c r="G6" s="107" t="s">
        <v>100</v>
      </c>
      <c r="H6" s="107" t="s">
        <v>124</v>
      </c>
      <c r="I6" s="107" t="s">
        <v>125</v>
      </c>
      <c r="J6" s="107" t="s">
        <v>101</v>
      </c>
      <c r="K6" s="22"/>
    </row>
    <row r="7" spans="1:11" ht="20.100000000000001" customHeight="1" x14ac:dyDescent="0.25">
      <c r="A7" s="17" t="str">
        <f>HYPERLINK("#'Input - Site'!A1", "Site")</f>
        <v>Site</v>
      </c>
      <c r="C7" s="22"/>
      <c r="D7" s="1" t="s">
        <v>266</v>
      </c>
      <c r="E7" s="105">
        <f>'3.2.1.1-2 Enteric Methane'!E128</f>
        <v>55.678061774650885</v>
      </c>
      <c r="F7" s="105">
        <f>'3.2.1.1-2 Enteric Methane'!V161</f>
        <v>56.163952698425533</v>
      </c>
      <c r="G7" s="53" t="s">
        <v>117</v>
      </c>
      <c r="H7" s="105">
        <f>'3.2.1.1-2 Enteric Methane'!E133</f>
        <v>1558.9857296902248</v>
      </c>
      <c r="I7" s="105">
        <f>'3.2.1.1-2 Enteric Methane'!V166</f>
        <v>1572.5906755559149</v>
      </c>
      <c r="J7" s="53" t="s">
        <v>120</v>
      </c>
      <c r="K7" s="22"/>
    </row>
    <row r="8" spans="1:11" ht="20.100000000000001" customHeight="1" x14ac:dyDescent="0.3">
      <c r="A8" s="17" t="str">
        <f>HYPERLINK("#'Input - Pasture Beef'!A1", "Pasture Beef")</f>
        <v>Pasture Beef</v>
      </c>
      <c r="C8" s="22"/>
      <c r="D8" s="29" t="s">
        <v>99</v>
      </c>
      <c r="E8" s="23"/>
      <c r="F8" s="23"/>
      <c r="G8" s="29"/>
      <c r="H8" s="106">
        <f>SUM(H7:H7)</f>
        <v>1558.9857296902248</v>
      </c>
      <c r="I8" s="106">
        <f>SUM(I7:I7)</f>
        <v>1572.5906755559149</v>
      </c>
      <c r="J8" s="101" t="s">
        <v>120</v>
      </c>
      <c r="K8" s="22"/>
    </row>
    <row r="9" spans="1:11" ht="20.100000000000001" customHeight="1" x14ac:dyDescent="0.25">
      <c r="A9" s="17"/>
      <c r="C9" s="22"/>
      <c r="D9" s="1"/>
      <c r="E9" s="1"/>
      <c r="F9" s="1"/>
      <c r="G9" s="24"/>
      <c r="H9" s="22"/>
      <c r="I9" s="1"/>
      <c r="J9" s="1"/>
      <c r="K9" s="22"/>
    </row>
    <row r="10" spans="1:11" ht="20.100000000000001" customHeight="1" x14ac:dyDescent="0.25">
      <c r="A10" s="19" t="s">
        <v>61</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10</v>
      </c>
      <c r="N5" s="39"/>
    </row>
    <row r="6" spans="1:24" ht="20.100000000000001" customHeight="1" x14ac:dyDescent="0.25">
      <c r="A6" s="20" t="s">
        <v>1</v>
      </c>
      <c r="D6" s="14"/>
      <c r="N6" s="40"/>
    </row>
    <row r="7" spans="1:24" ht="20.100000000000001" customHeight="1" x14ac:dyDescent="0.25">
      <c r="A7" s="119" t="str">
        <f>HYPERLINK("#'Input - Site'!A1", "Site")</f>
        <v>Site</v>
      </c>
      <c r="D7" s="1" t="s">
        <v>5</v>
      </c>
      <c r="E7" s="32" t="s">
        <v>4</v>
      </c>
      <c r="F7" s="2"/>
    </row>
    <row r="8" spans="1:24" ht="20.100000000000001" customHeight="1" x14ac:dyDescent="0.25">
      <c r="A8" s="17" t="str">
        <f>HYPERLINK("#'Input - Pasture Beef'!A1", "Pasture Beef")</f>
        <v>Pasture Beef</v>
      </c>
      <c r="D8" s="10" t="s">
        <v>59</v>
      </c>
      <c r="E8" s="32" t="s">
        <v>60</v>
      </c>
    </row>
    <row r="9" spans="1:24" ht="20.100000000000001" customHeight="1" x14ac:dyDescent="0.25">
      <c r="A9" s="17"/>
      <c r="N9" s="41"/>
    </row>
    <row r="10" spans="1:24" ht="20.100000000000001" customHeight="1" x14ac:dyDescent="0.25">
      <c r="A10" s="19" t="s">
        <v>61</v>
      </c>
      <c r="D10" s="91" t="s">
        <v>74</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78</v>
      </c>
      <c r="E12" s="62">
        <v>45292</v>
      </c>
      <c r="F12" s="2" t="s">
        <v>57</v>
      </c>
    </row>
    <row r="13" spans="1:24" ht="20.100000000000001" customHeight="1" x14ac:dyDescent="0.25">
      <c r="A13" s="18" t="s">
        <v>2</v>
      </c>
      <c r="D13" s="10" t="s">
        <v>79</v>
      </c>
      <c r="E13" s="68">
        <f>DATE(YEAR(E12)+1,MONTH(E12),DAY(E12))-1</f>
        <v>45657</v>
      </c>
      <c r="F13" s="2" t="s">
        <v>12</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9</v>
      </c>
      <c r="N16" s="37"/>
      <c r="O16" s="37"/>
    </row>
    <row r="17" spans="1:25" ht="20.100000000000001" customHeight="1" x14ac:dyDescent="0.25">
      <c r="A17" s="17" t="str">
        <f>HYPERLINK("#'Acknowledgements'!A1", "Acknowledgements")</f>
        <v>Acknowledgements</v>
      </c>
    </row>
    <row r="18" spans="1:25" ht="20.100000000000001" customHeight="1" x14ac:dyDescent="0.25">
      <c r="A18"/>
      <c r="D18" s="93" t="s">
        <v>11</v>
      </c>
      <c r="E18" s="88"/>
      <c r="F18" s="88"/>
      <c r="G18" s="84"/>
    </row>
    <row r="19" spans="1:25" ht="20.100000000000001" customHeight="1" x14ac:dyDescent="0.25">
      <c r="A19" s="17"/>
      <c r="D19" s="90" t="s">
        <v>58</v>
      </c>
      <c r="E19" s="87"/>
      <c r="F19" s="87"/>
      <c r="G19" s="85"/>
      <c r="N19" s="39"/>
    </row>
    <row r="20" spans="1:25" ht="20.100000000000001" customHeight="1" x14ac:dyDescent="0.25">
      <c r="D20" s="1"/>
      <c r="E20" s="31"/>
      <c r="F20" s="2"/>
      <c r="N20" s="40"/>
    </row>
    <row r="21" spans="1:25" ht="20.100000000000001" customHeight="1" x14ac:dyDescent="0.25">
      <c r="D21" s="1" t="s">
        <v>6</v>
      </c>
      <c r="E21" s="38" t="s">
        <v>180</v>
      </c>
      <c r="F21" s="2" t="s">
        <v>8</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F15" zoomScale="85" zoomScaleNormal="85" workbookViewId="0">
      <selection activeCell="D37" sqref="D37:N41"/>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126</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81</v>
      </c>
      <c r="P5" s="3"/>
      <c r="T5" s="7"/>
    </row>
    <row r="6" spans="1:25" ht="20.100000000000001" customHeight="1" x14ac:dyDescent="0.25">
      <c r="A6" s="20" t="s">
        <v>1</v>
      </c>
      <c r="P6" s="3"/>
      <c r="T6" s="7"/>
    </row>
    <row r="7" spans="1:25" ht="20.100000000000001" customHeight="1" x14ac:dyDescent="0.25">
      <c r="A7" s="17" t="str">
        <f>HYPERLINK("#'Input - Site'!A1", "Site")</f>
        <v>Site</v>
      </c>
      <c r="D7" s="1" t="s">
        <v>6</v>
      </c>
      <c r="E7" s="51" t="str">
        <f>'Input - Site'!$E$21</f>
        <v>Western Australia</v>
      </c>
      <c r="P7" s="3"/>
      <c r="T7" s="7"/>
    </row>
    <row r="8" spans="1:25" ht="20.100000000000001" customHeight="1" x14ac:dyDescent="0.25">
      <c r="A8" s="119" t="str">
        <f>HYPERLINK("#'Input - Pasture Beef'!A1", "Pasture Beef")</f>
        <v>Pasture Beef</v>
      </c>
      <c r="D8" s="1" t="s">
        <v>166</v>
      </c>
      <c r="E8" s="38" t="s">
        <v>171</v>
      </c>
      <c r="F8" s="2" t="s">
        <v>8</v>
      </c>
      <c r="P8" s="3"/>
      <c r="T8" s="7"/>
    </row>
    <row r="9" spans="1:25" ht="20.100000000000001" customHeight="1" x14ac:dyDescent="0.25">
      <c r="A9" s="17"/>
      <c r="D9" s="1" t="s">
        <v>193</v>
      </c>
      <c r="E9" s="38" t="s">
        <v>201</v>
      </c>
      <c r="F9" s="2" t="s">
        <v>8</v>
      </c>
      <c r="T9" s="7"/>
    </row>
    <row r="10" spans="1:25" ht="20.100000000000001" customHeight="1" x14ac:dyDescent="0.25">
      <c r="A10" s="19" t="s">
        <v>61</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143</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140</v>
      </c>
      <c r="T14" s="37"/>
    </row>
    <row r="15" spans="1:25" ht="20.100000000000001" customHeight="1" x14ac:dyDescent="0.25">
      <c r="A15" s="17" t="str">
        <f>HYPERLINK("#'Constants - Livestock'!A1", "Constants - Livestock")</f>
        <v>Constants - Livestock</v>
      </c>
      <c r="D15" s="61" t="s">
        <v>141</v>
      </c>
      <c r="E15" s="61" t="s">
        <v>104</v>
      </c>
      <c r="F15" s="61" t="s">
        <v>103</v>
      </c>
      <c r="G15" s="61" t="s">
        <v>127</v>
      </c>
      <c r="H15" s="61" t="s">
        <v>128</v>
      </c>
      <c r="I15" s="61" t="s">
        <v>129</v>
      </c>
      <c r="J15" s="61" t="s">
        <v>130</v>
      </c>
      <c r="K15" s="61" t="s">
        <v>131</v>
      </c>
      <c r="L15" s="61" t="s">
        <v>132</v>
      </c>
      <c r="M15" s="61" t="s">
        <v>133</v>
      </c>
      <c r="N15" s="61" t="s">
        <v>134</v>
      </c>
      <c r="T15" s="37"/>
    </row>
    <row r="16" spans="1:25" ht="20.100000000000001" customHeight="1" x14ac:dyDescent="0.25">
      <c r="A16" s="17" t="str">
        <f>HYPERLINK("#'Constants - Common'!A1", "Constants - Common")</f>
        <v>Constants - Common</v>
      </c>
      <c r="D16" s="1" t="s">
        <v>135</v>
      </c>
      <c r="E16" s="51">
        <v>91.25</v>
      </c>
      <c r="F16" s="51">
        <v>91.25</v>
      </c>
      <c r="G16" s="51">
        <v>91.25</v>
      </c>
      <c r="H16" s="51">
        <v>91.25</v>
      </c>
      <c r="I16" s="51">
        <v>91.25</v>
      </c>
      <c r="J16" s="51">
        <v>91.25</v>
      </c>
      <c r="K16" s="51">
        <v>91.25</v>
      </c>
      <c r="L16" s="51">
        <v>91.25</v>
      </c>
      <c r="M16" s="51">
        <v>91.25</v>
      </c>
      <c r="N16" s="51">
        <v>91.25</v>
      </c>
      <c r="O16" s="2" t="s">
        <v>47</v>
      </c>
      <c r="T16" s="37"/>
    </row>
    <row r="17" spans="1:20" ht="20.100000000000001" customHeight="1" x14ac:dyDescent="0.25">
      <c r="A17" s="17" t="str">
        <f>HYPERLINK("#'Acknowledgements'!A1", "Acknowledgements")</f>
        <v>Acknowledgements</v>
      </c>
      <c r="D17" s="1" t="s">
        <v>136</v>
      </c>
      <c r="E17" s="51">
        <v>91.25</v>
      </c>
      <c r="F17" s="51">
        <v>91.25</v>
      </c>
      <c r="G17" s="51">
        <v>91.25</v>
      </c>
      <c r="H17" s="51">
        <v>91.25</v>
      </c>
      <c r="I17" s="51">
        <v>91.25</v>
      </c>
      <c r="J17" s="51">
        <v>91.25</v>
      </c>
      <c r="K17" s="51">
        <v>91.25</v>
      </c>
      <c r="L17" s="51">
        <v>91.25</v>
      </c>
      <c r="M17" s="51">
        <v>91.25</v>
      </c>
      <c r="N17" s="51">
        <v>91.25</v>
      </c>
      <c r="O17" s="2" t="s">
        <v>47</v>
      </c>
      <c r="T17" s="7"/>
    </row>
    <row r="18" spans="1:20" ht="20.100000000000001" customHeight="1" x14ac:dyDescent="0.25">
      <c r="D18" s="1" t="s">
        <v>137</v>
      </c>
      <c r="E18" s="51">
        <v>91.25</v>
      </c>
      <c r="F18" s="51">
        <v>91.25</v>
      </c>
      <c r="G18" s="51">
        <v>91.25</v>
      </c>
      <c r="H18" s="51">
        <v>91.25</v>
      </c>
      <c r="I18" s="51">
        <v>91.25</v>
      </c>
      <c r="J18" s="51">
        <v>91.25</v>
      </c>
      <c r="K18" s="51">
        <v>91.25</v>
      </c>
      <c r="L18" s="51">
        <v>91.25</v>
      </c>
      <c r="M18" s="51">
        <v>91.25</v>
      </c>
      <c r="N18" s="51">
        <v>91.25</v>
      </c>
      <c r="O18" s="2" t="s">
        <v>47</v>
      </c>
      <c r="T18" s="7"/>
    </row>
    <row r="19" spans="1:20" ht="20.100000000000001" customHeight="1" x14ac:dyDescent="0.25">
      <c r="A19" s="17"/>
      <c r="D19" s="1" t="s">
        <v>138</v>
      </c>
      <c r="E19" s="51">
        <v>91.25</v>
      </c>
      <c r="F19" s="51">
        <v>91.25</v>
      </c>
      <c r="G19" s="51">
        <v>91.25</v>
      </c>
      <c r="H19" s="51">
        <v>91.25</v>
      </c>
      <c r="I19" s="51">
        <v>91.25</v>
      </c>
      <c r="J19" s="51">
        <v>91.25</v>
      </c>
      <c r="K19" s="51">
        <v>91.25</v>
      </c>
      <c r="L19" s="51">
        <v>91.25</v>
      </c>
      <c r="M19" s="51">
        <v>91.25</v>
      </c>
      <c r="N19" s="51">
        <v>91.25</v>
      </c>
      <c r="O19" s="2" t="s">
        <v>47</v>
      </c>
      <c r="T19" s="7"/>
    </row>
    <row r="20" spans="1:20" ht="20.100000000000001" customHeight="1" x14ac:dyDescent="0.25">
      <c r="A20" s="17"/>
      <c r="T20" s="7"/>
    </row>
    <row r="21" spans="1:20" ht="20.100000000000001" customHeight="1" x14ac:dyDescent="0.25">
      <c r="D21" s="61" t="s">
        <v>142</v>
      </c>
      <c r="E21" s="61" t="s">
        <v>104</v>
      </c>
      <c r="F21" s="61" t="s">
        <v>103</v>
      </c>
      <c r="G21" s="61" t="s">
        <v>127</v>
      </c>
      <c r="H21" s="61" t="s">
        <v>128</v>
      </c>
      <c r="I21" s="61" t="s">
        <v>129</v>
      </c>
      <c r="J21" s="61" t="s">
        <v>130</v>
      </c>
      <c r="K21" s="61" t="s">
        <v>131</v>
      </c>
      <c r="L21" s="61" t="s">
        <v>132</v>
      </c>
      <c r="M21" s="61" t="s">
        <v>133</v>
      </c>
      <c r="N21" s="61" t="s">
        <v>134</v>
      </c>
      <c r="T21" s="7"/>
    </row>
    <row r="22" spans="1:20" ht="20.100000000000001" customHeight="1" x14ac:dyDescent="0.25">
      <c r="A22" s="17"/>
      <c r="D22" s="1" t="str">
        <f>TEXT('Input - Site'!$E$12, "mmmm yyyy")</f>
        <v>January 2024</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47</v>
      </c>
      <c r="T22" s="7"/>
    </row>
    <row r="23" spans="1:20" ht="20.100000000000001" customHeight="1" x14ac:dyDescent="0.25">
      <c r="A23" s="17"/>
      <c r="D23" s="1" t="str">
        <f>TEXT(EDATE('Input - Site'!$E$12,1), "mmmm yyyy")</f>
        <v>February 2024</v>
      </c>
      <c r="E23" s="64">
        <f t="shared" si="0"/>
        <v>29</v>
      </c>
      <c r="F23" s="64">
        <f t="shared" si="0"/>
        <v>29</v>
      </c>
      <c r="G23" s="64">
        <f t="shared" si="0"/>
        <v>29</v>
      </c>
      <c r="H23" s="64">
        <f t="shared" si="0"/>
        <v>29</v>
      </c>
      <c r="I23" s="64">
        <f t="shared" si="0"/>
        <v>29</v>
      </c>
      <c r="J23" s="64">
        <f t="shared" si="0"/>
        <v>29</v>
      </c>
      <c r="K23" s="64">
        <f t="shared" si="0"/>
        <v>29</v>
      </c>
      <c r="L23" s="64">
        <f t="shared" si="0"/>
        <v>29</v>
      </c>
      <c r="M23" s="64">
        <f t="shared" si="0"/>
        <v>29</v>
      </c>
      <c r="N23" s="64">
        <f t="shared" si="0"/>
        <v>29</v>
      </c>
      <c r="O23" s="2" t="s">
        <v>47</v>
      </c>
      <c r="T23" s="7"/>
    </row>
    <row r="24" spans="1:20" ht="20.100000000000001" customHeight="1" x14ac:dyDescent="0.25">
      <c r="A24" s="17"/>
      <c r="D24" s="1" t="str">
        <f>TEXT(EDATE('Input - Site'!$E$12,2), "mmmm yyyy")</f>
        <v>March 2024</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47</v>
      </c>
      <c r="T24" s="7"/>
    </row>
    <row r="25" spans="1:20" ht="20.100000000000001" customHeight="1" x14ac:dyDescent="0.25">
      <c r="D25" s="1" t="str">
        <f>TEXT(EDATE('Input - Site'!$E$12,3), "mmmm yyyy")</f>
        <v>April 2024</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47</v>
      </c>
      <c r="T25" s="7"/>
    </row>
    <row r="26" spans="1:20" ht="20.100000000000001" customHeight="1" x14ac:dyDescent="0.25">
      <c r="A26" s="17"/>
      <c r="D26" s="1" t="str">
        <f>TEXT(EDATE('Input - Site'!$E$12,4), "mmmm yyyy")</f>
        <v>May 2024</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47</v>
      </c>
      <c r="T26" s="7"/>
    </row>
    <row r="27" spans="1:20" ht="20.100000000000001" customHeight="1" x14ac:dyDescent="0.25">
      <c r="A27" s="17"/>
      <c r="D27" s="1" t="str">
        <f>TEXT(EDATE('Input - Site'!$E$12,5), "mmmm yyyy")</f>
        <v>June 2024</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47</v>
      </c>
      <c r="T27" s="7"/>
    </row>
    <row r="28" spans="1:20" ht="20.100000000000001" customHeight="1" x14ac:dyDescent="0.25">
      <c r="A28" s="17"/>
      <c r="D28" s="1" t="str">
        <f>TEXT(EDATE('Input - Site'!$E$12,6), "mmmm yyyy")</f>
        <v>July 2024</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47</v>
      </c>
      <c r="T28" s="7"/>
    </row>
    <row r="29" spans="1:20" ht="20.100000000000001" customHeight="1" x14ac:dyDescent="0.25">
      <c r="A29" s="17"/>
      <c r="D29" s="1" t="str">
        <f>TEXT(EDATE('Input - Site'!$E$12,7), "mmmm yyyy")</f>
        <v>August 2024</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47</v>
      </c>
      <c r="T29" s="7"/>
    </row>
    <row r="30" spans="1:20" ht="20.100000000000001" customHeight="1" x14ac:dyDescent="0.25">
      <c r="A30" s="17"/>
      <c r="D30" s="1" t="str">
        <f>TEXT(EDATE('Input - Site'!$E$12,8), "mmmm yyyy")</f>
        <v>September 2024</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47</v>
      </c>
      <c r="T30" s="7"/>
    </row>
    <row r="31" spans="1:20" ht="20.100000000000001" customHeight="1" x14ac:dyDescent="0.25">
      <c r="A31" s="65"/>
      <c r="D31" s="1" t="str">
        <f>TEXT(EDATE('Input - Site'!$E$12,9), "mmmm yyyy")</f>
        <v>October 2024</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47</v>
      </c>
      <c r="T31" s="7"/>
    </row>
    <row r="32" spans="1:20" ht="20.100000000000001" customHeight="1" x14ac:dyDescent="0.25">
      <c r="A32" s="65"/>
      <c r="D32" s="1" t="str">
        <f>TEXT(EDATE('Input - Site'!$E$12,10), "mmmm yyyy")</f>
        <v>November 2024</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47</v>
      </c>
      <c r="T32" s="7"/>
    </row>
    <row r="33" spans="1:20" ht="20.100000000000001" customHeight="1" x14ac:dyDescent="0.25">
      <c r="A33" s="17"/>
      <c r="D33" s="1" t="str">
        <f>TEXT(EDATE('Input - Site'!$E$12,11), "mmmm yyyy")</f>
        <v>December 2024</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47</v>
      </c>
      <c r="T33" s="7"/>
    </row>
    <row r="34" spans="1:20" ht="20.100000000000001" customHeight="1" x14ac:dyDescent="0.25">
      <c r="T34" s="7"/>
    </row>
    <row r="35" spans="1:20" ht="20.100000000000001" customHeight="1" x14ac:dyDescent="0.25">
      <c r="T35" s="7"/>
    </row>
    <row r="36" spans="1:20" ht="20.100000000000001" customHeight="1" x14ac:dyDescent="0.25">
      <c r="D36" s="47" t="s">
        <v>82</v>
      </c>
      <c r="T36" s="7"/>
    </row>
    <row r="37" spans="1:20" ht="20.100000000000001" customHeight="1" x14ac:dyDescent="0.25">
      <c r="D37" s="61" t="s">
        <v>108</v>
      </c>
      <c r="E37" s="61" t="s">
        <v>104</v>
      </c>
      <c r="F37" s="61" t="s">
        <v>103</v>
      </c>
      <c r="G37" s="61" t="s">
        <v>127</v>
      </c>
      <c r="H37" s="61" t="s">
        <v>128</v>
      </c>
      <c r="I37" s="61" t="s">
        <v>129</v>
      </c>
      <c r="J37" s="61" t="s">
        <v>130</v>
      </c>
      <c r="K37" s="61" t="s">
        <v>131</v>
      </c>
      <c r="L37" s="61" t="s">
        <v>132</v>
      </c>
      <c r="M37" s="61" t="s">
        <v>133</v>
      </c>
      <c r="N37" s="61" t="s">
        <v>134</v>
      </c>
      <c r="T37" s="7"/>
    </row>
    <row r="38" spans="1:20" ht="20.100000000000001" customHeight="1" x14ac:dyDescent="0.25">
      <c r="D38" s="1" t="s">
        <v>135</v>
      </c>
      <c r="E38" s="64">
        <v>100</v>
      </c>
      <c r="F38" s="64">
        <v>100</v>
      </c>
      <c r="G38" s="64">
        <v>100</v>
      </c>
      <c r="H38" s="64">
        <v>100</v>
      </c>
      <c r="I38" s="64">
        <v>100</v>
      </c>
      <c r="J38" s="64">
        <v>100</v>
      </c>
      <c r="K38" s="64">
        <v>100</v>
      </c>
      <c r="L38" s="64">
        <v>100</v>
      </c>
      <c r="M38" s="64">
        <v>100</v>
      </c>
      <c r="N38" s="64">
        <v>100</v>
      </c>
      <c r="O38" s="2" t="s">
        <v>82</v>
      </c>
      <c r="T38" s="7"/>
    </row>
    <row r="39" spans="1:20" ht="20.100000000000001" customHeight="1" x14ac:dyDescent="0.25">
      <c r="A39" s="17"/>
      <c r="D39" s="1" t="s">
        <v>136</v>
      </c>
      <c r="E39" s="64">
        <v>100</v>
      </c>
      <c r="F39" s="64">
        <v>100</v>
      </c>
      <c r="G39" s="64">
        <v>100</v>
      </c>
      <c r="H39" s="64">
        <v>100</v>
      </c>
      <c r="I39" s="64">
        <v>100</v>
      </c>
      <c r="J39" s="64">
        <v>100</v>
      </c>
      <c r="K39" s="64">
        <v>100</v>
      </c>
      <c r="L39" s="64">
        <v>100</v>
      </c>
      <c r="M39" s="64">
        <v>100</v>
      </c>
      <c r="N39" s="64">
        <v>100</v>
      </c>
      <c r="O39" s="2" t="s">
        <v>82</v>
      </c>
      <c r="T39" s="7"/>
    </row>
    <row r="40" spans="1:20" ht="20.100000000000001" customHeight="1" x14ac:dyDescent="0.25">
      <c r="D40" s="1" t="s">
        <v>137</v>
      </c>
      <c r="E40" s="64">
        <v>100</v>
      </c>
      <c r="F40" s="64">
        <v>100</v>
      </c>
      <c r="G40" s="64">
        <v>100</v>
      </c>
      <c r="H40" s="64">
        <v>100</v>
      </c>
      <c r="I40" s="64">
        <v>100</v>
      </c>
      <c r="J40" s="64">
        <v>100</v>
      </c>
      <c r="K40" s="64">
        <v>100</v>
      </c>
      <c r="L40" s="64">
        <v>100</v>
      </c>
      <c r="M40" s="64">
        <v>100</v>
      </c>
      <c r="N40" s="64">
        <v>100</v>
      </c>
      <c r="O40" s="2" t="s">
        <v>82</v>
      </c>
      <c r="T40" s="7"/>
    </row>
    <row r="41" spans="1:20" ht="20.100000000000001" customHeight="1" x14ac:dyDescent="0.25">
      <c r="A41" s="43"/>
      <c r="D41" s="1" t="s">
        <v>138</v>
      </c>
      <c r="E41" s="64">
        <v>100</v>
      </c>
      <c r="F41" s="64">
        <v>100</v>
      </c>
      <c r="G41" s="64">
        <v>100</v>
      </c>
      <c r="H41" s="64">
        <v>100</v>
      </c>
      <c r="I41" s="64">
        <v>100</v>
      </c>
      <c r="J41" s="64">
        <v>100</v>
      </c>
      <c r="K41" s="64">
        <v>100</v>
      </c>
      <c r="L41" s="64">
        <v>100</v>
      </c>
      <c r="M41" s="64">
        <v>100</v>
      </c>
      <c r="N41" s="64">
        <v>100</v>
      </c>
      <c r="O41" s="2" t="s">
        <v>82</v>
      </c>
      <c r="T41" s="7"/>
    </row>
    <row r="42" spans="1:20" ht="20.100000000000001" customHeight="1" x14ac:dyDescent="0.25">
      <c r="O42" s="2"/>
      <c r="T42" s="7"/>
    </row>
    <row r="43" spans="1:20" ht="20.100000000000001" customHeight="1" x14ac:dyDescent="0.25">
      <c r="D43" s="61" t="s">
        <v>109</v>
      </c>
      <c r="E43" s="61" t="s">
        <v>104</v>
      </c>
      <c r="F43" s="61" t="s">
        <v>103</v>
      </c>
      <c r="G43" s="61" t="s">
        <v>127</v>
      </c>
      <c r="H43" s="61" t="s">
        <v>128</v>
      </c>
      <c r="I43" s="61" t="s">
        <v>129</v>
      </c>
      <c r="J43" s="61" t="s">
        <v>130</v>
      </c>
      <c r="K43" s="61" t="s">
        <v>131</v>
      </c>
      <c r="L43" s="61" t="s">
        <v>132</v>
      </c>
      <c r="M43" s="61" t="s">
        <v>133</v>
      </c>
      <c r="N43" s="61" t="s">
        <v>134</v>
      </c>
      <c r="O43" s="2"/>
      <c r="T43" s="7"/>
    </row>
    <row r="44" spans="1:20" ht="20.100000000000001" customHeight="1" x14ac:dyDescent="0.25">
      <c r="D44" s="1" t="str">
        <f>TEXT('Input - Site'!$E$12, "mmmm yyyy")</f>
        <v>January 2024</v>
      </c>
      <c r="E44" s="64">
        <v>100</v>
      </c>
      <c r="F44" s="64">
        <v>100</v>
      </c>
      <c r="G44" s="64">
        <v>100</v>
      </c>
      <c r="H44" s="64">
        <v>100</v>
      </c>
      <c r="I44" s="64">
        <v>100</v>
      </c>
      <c r="J44" s="64">
        <v>100</v>
      </c>
      <c r="K44" s="64">
        <v>100</v>
      </c>
      <c r="L44" s="64">
        <v>100</v>
      </c>
      <c r="M44" s="64">
        <v>100</v>
      </c>
      <c r="N44" s="64">
        <v>100</v>
      </c>
      <c r="O44" s="2" t="s">
        <v>82</v>
      </c>
      <c r="T44" s="7"/>
    </row>
    <row r="45" spans="1:20" ht="20.100000000000001" customHeight="1" x14ac:dyDescent="0.25">
      <c r="D45" s="1" t="str">
        <f>TEXT(EDATE('Input - Site'!$E$12,1), "mmmm yyyy")</f>
        <v>February 2024</v>
      </c>
      <c r="E45" s="64">
        <v>100</v>
      </c>
      <c r="F45" s="64">
        <v>100</v>
      </c>
      <c r="G45" s="64">
        <v>100</v>
      </c>
      <c r="H45" s="64">
        <v>100</v>
      </c>
      <c r="I45" s="64">
        <v>100</v>
      </c>
      <c r="J45" s="64">
        <v>100</v>
      </c>
      <c r="K45" s="64">
        <v>100</v>
      </c>
      <c r="L45" s="64">
        <v>100</v>
      </c>
      <c r="M45" s="64">
        <v>100</v>
      </c>
      <c r="N45" s="64">
        <v>100</v>
      </c>
      <c r="O45" s="2" t="s">
        <v>82</v>
      </c>
      <c r="T45" s="7"/>
    </row>
    <row r="46" spans="1:20" ht="20.100000000000001" customHeight="1" x14ac:dyDescent="0.25">
      <c r="D46" s="1" t="str">
        <f>TEXT(EDATE('Input - Site'!$E$12,2), "mmmm yyyy")</f>
        <v>March 2024</v>
      </c>
      <c r="E46" s="64">
        <v>100</v>
      </c>
      <c r="F46" s="64">
        <v>100</v>
      </c>
      <c r="G46" s="64">
        <v>100</v>
      </c>
      <c r="H46" s="64">
        <v>100</v>
      </c>
      <c r="I46" s="64">
        <v>100</v>
      </c>
      <c r="J46" s="64">
        <v>100</v>
      </c>
      <c r="K46" s="64">
        <v>100</v>
      </c>
      <c r="L46" s="64">
        <v>100</v>
      </c>
      <c r="M46" s="64">
        <v>100</v>
      </c>
      <c r="N46" s="64">
        <v>100</v>
      </c>
      <c r="O46" s="2" t="s">
        <v>82</v>
      </c>
      <c r="T46" s="7"/>
    </row>
    <row r="47" spans="1:20" ht="20.100000000000001" customHeight="1" x14ac:dyDescent="0.25">
      <c r="D47" s="1" t="str">
        <f>TEXT(EDATE('Input - Site'!$E$12,3), "mmmm yyyy")</f>
        <v>April 2024</v>
      </c>
      <c r="E47" s="64">
        <v>100</v>
      </c>
      <c r="F47" s="64">
        <v>100</v>
      </c>
      <c r="G47" s="64">
        <v>100</v>
      </c>
      <c r="H47" s="64">
        <v>100</v>
      </c>
      <c r="I47" s="64">
        <v>100</v>
      </c>
      <c r="J47" s="64">
        <v>100</v>
      </c>
      <c r="K47" s="64">
        <v>100</v>
      </c>
      <c r="L47" s="64">
        <v>100</v>
      </c>
      <c r="M47" s="64">
        <v>100</v>
      </c>
      <c r="N47" s="64">
        <v>100</v>
      </c>
      <c r="O47" s="2" t="s">
        <v>82</v>
      </c>
      <c r="T47" s="7"/>
    </row>
    <row r="48" spans="1:20" ht="20.100000000000001" customHeight="1" x14ac:dyDescent="0.25">
      <c r="D48" s="1" t="str">
        <f>TEXT(EDATE('Input - Site'!$E$12,4), "mmmm yyyy")</f>
        <v>May 2024</v>
      </c>
      <c r="E48" s="64">
        <v>100</v>
      </c>
      <c r="F48" s="64">
        <v>100</v>
      </c>
      <c r="G48" s="64">
        <v>100</v>
      </c>
      <c r="H48" s="64">
        <v>100</v>
      </c>
      <c r="I48" s="64">
        <v>100</v>
      </c>
      <c r="J48" s="64">
        <v>100</v>
      </c>
      <c r="K48" s="64">
        <v>100</v>
      </c>
      <c r="L48" s="64">
        <v>100</v>
      </c>
      <c r="M48" s="64">
        <v>100</v>
      </c>
      <c r="N48" s="64">
        <v>100</v>
      </c>
      <c r="O48" s="2" t="s">
        <v>82</v>
      </c>
      <c r="T48" s="7"/>
    </row>
    <row r="49" spans="4:20" ht="20.100000000000001" customHeight="1" x14ac:dyDescent="0.25">
      <c r="D49" s="1" t="str">
        <f>TEXT(EDATE('Input - Site'!$E$12,5), "mmmm yyyy")</f>
        <v>June 2024</v>
      </c>
      <c r="E49" s="64">
        <v>100</v>
      </c>
      <c r="F49" s="64">
        <v>100</v>
      </c>
      <c r="G49" s="64">
        <v>100</v>
      </c>
      <c r="H49" s="64">
        <v>100</v>
      </c>
      <c r="I49" s="64">
        <v>100</v>
      </c>
      <c r="J49" s="64">
        <v>100</v>
      </c>
      <c r="K49" s="64">
        <v>100</v>
      </c>
      <c r="L49" s="64">
        <v>100</v>
      </c>
      <c r="M49" s="64">
        <v>100</v>
      </c>
      <c r="N49" s="64">
        <v>100</v>
      </c>
      <c r="O49" s="2" t="s">
        <v>82</v>
      </c>
      <c r="T49" s="7"/>
    </row>
    <row r="50" spans="4:20" ht="20.100000000000001" customHeight="1" x14ac:dyDescent="0.25">
      <c r="D50" s="1" t="str">
        <f>TEXT(EDATE('Input - Site'!$E$12,6), "mmmm yyyy")</f>
        <v>July 2024</v>
      </c>
      <c r="E50" s="64">
        <v>100</v>
      </c>
      <c r="F50" s="64">
        <v>100</v>
      </c>
      <c r="G50" s="64">
        <v>100</v>
      </c>
      <c r="H50" s="64">
        <v>100</v>
      </c>
      <c r="I50" s="64">
        <v>100</v>
      </c>
      <c r="J50" s="64">
        <v>100</v>
      </c>
      <c r="K50" s="64">
        <v>100</v>
      </c>
      <c r="L50" s="64">
        <v>100</v>
      </c>
      <c r="M50" s="64">
        <v>100</v>
      </c>
      <c r="N50" s="64">
        <v>100</v>
      </c>
      <c r="O50" s="2" t="s">
        <v>82</v>
      </c>
      <c r="P50" s="3"/>
      <c r="T50" s="7"/>
    </row>
    <row r="51" spans="4:20" ht="20.100000000000001" customHeight="1" x14ac:dyDescent="0.25">
      <c r="D51" s="1" t="str">
        <f>TEXT(EDATE('Input - Site'!$E$12,7), "mmmm yyyy")</f>
        <v>August 2024</v>
      </c>
      <c r="E51" s="64">
        <v>100</v>
      </c>
      <c r="F51" s="64">
        <v>100</v>
      </c>
      <c r="G51" s="64">
        <v>100</v>
      </c>
      <c r="H51" s="64">
        <v>100</v>
      </c>
      <c r="I51" s="64">
        <v>100</v>
      </c>
      <c r="J51" s="64">
        <v>100</v>
      </c>
      <c r="K51" s="64">
        <v>100</v>
      </c>
      <c r="L51" s="64">
        <v>100</v>
      </c>
      <c r="M51" s="64">
        <v>100</v>
      </c>
      <c r="N51" s="64">
        <v>100</v>
      </c>
      <c r="O51" s="2" t="s">
        <v>82</v>
      </c>
      <c r="P51" s="3"/>
      <c r="T51" s="7"/>
    </row>
    <row r="52" spans="4:20" ht="20.100000000000001" customHeight="1" x14ac:dyDescent="0.25">
      <c r="D52" s="1" t="str">
        <f>TEXT(EDATE('Input - Site'!$E$12,8), "mmmm yyyy")</f>
        <v>September 2024</v>
      </c>
      <c r="E52" s="64">
        <v>100</v>
      </c>
      <c r="F52" s="64">
        <v>100</v>
      </c>
      <c r="G52" s="64">
        <v>100</v>
      </c>
      <c r="H52" s="64">
        <v>100</v>
      </c>
      <c r="I52" s="64">
        <v>100</v>
      </c>
      <c r="J52" s="64">
        <v>100</v>
      </c>
      <c r="K52" s="64">
        <v>100</v>
      </c>
      <c r="L52" s="64">
        <v>100</v>
      </c>
      <c r="M52" s="64">
        <v>100</v>
      </c>
      <c r="N52" s="64">
        <v>100</v>
      </c>
      <c r="O52" s="2" t="s">
        <v>82</v>
      </c>
      <c r="P52" s="3"/>
      <c r="T52" s="7"/>
    </row>
    <row r="53" spans="4:20" ht="20.100000000000001" customHeight="1" x14ac:dyDescent="0.25">
      <c r="D53" s="1" t="str">
        <f>TEXT(EDATE('Input - Site'!$E$12,9), "mmmm yyyy")</f>
        <v>October 2024</v>
      </c>
      <c r="E53" s="64">
        <v>100</v>
      </c>
      <c r="F53" s="64">
        <v>100</v>
      </c>
      <c r="G53" s="64">
        <v>100</v>
      </c>
      <c r="H53" s="64">
        <v>100</v>
      </c>
      <c r="I53" s="64">
        <v>100</v>
      </c>
      <c r="J53" s="64">
        <v>100</v>
      </c>
      <c r="K53" s="64">
        <v>100</v>
      </c>
      <c r="L53" s="64">
        <v>100</v>
      </c>
      <c r="M53" s="64">
        <v>100</v>
      </c>
      <c r="N53" s="64">
        <v>100</v>
      </c>
      <c r="O53" s="2" t="s">
        <v>82</v>
      </c>
      <c r="P53" s="3"/>
      <c r="T53" s="7"/>
    </row>
    <row r="54" spans="4:20" ht="20.100000000000001" customHeight="1" x14ac:dyDescent="0.25">
      <c r="D54" s="1" t="str">
        <f>TEXT(EDATE('Input - Site'!$E$12,10), "mmmm yyyy")</f>
        <v>November 2024</v>
      </c>
      <c r="E54" s="64">
        <v>100</v>
      </c>
      <c r="F54" s="64">
        <v>100</v>
      </c>
      <c r="G54" s="64">
        <v>100</v>
      </c>
      <c r="H54" s="64">
        <v>100</v>
      </c>
      <c r="I54" s="64">
        <v>100</v>
      </c>
      <c r="J54" s="64">
        <v>100</v>
      </c>
      <c r="K54" s="64">
        <v>100</v>
      </c>
      <c r="L54" s="64">
        <v>100</v>
      </c>
      <c r="M54" s="64">
        <v>100</v>
      </c>
      <c r="N54" s="64">
        <v>100</v>
      </c>
      <c r="O54" s="2" t="s">
        <v>82</v>
      </c>
      <c r="P54" s="3"/>
      <c r="T54" s="7"/>
    </row>
    <row r="55" spans="4:20" ht="20.100000000000001" customHeight="1" x14ac:dyDescent="0.25">
      <c r="D55" s="1" t="str">
        <f>TEXT(EDATE('Input - Site'!$E$12,11), "mmmm yyyy")</f>
        <v>December 2024</v>
      </c>
      <c r="E55" s="64">
        <v>100</v>
      </c>
      <c r="F55" s="64">
        <v>100</v>
      </c>
      <c r="G55" s="64">
        <v>100</v>
      </c>
      <c r="H55" s="64">
        <v>100</v>
      </c>
      <c r="I55" s="64">
        <v>100</v>
      </c>
      <c r="J55" s="64">
        <v>100</v>
      </c>
      <c r="K55" s="64">
        <v>100</v>
      </c>
      <c r="L55" s="64">
        <v>100</v>
      </c>
      <c r="M55" s="64">
        <v>100</v>
      </c>
      <c r="N55" s="64">
        <v>100</v>
      </c>
      <c r="O55" s="2" t="s">
        <v>82</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112</v>
      </c>
      <c r="P58" s="3"/>
      <c r="T58" s="7"/>
    </row>
    <row r="59" spans="4:20" ht="20.100000000000001" customHeight="1" x14ac:dyDescent="0.25">
      <c r="D59" s="61" t="s">
        <v>141</v>
      </c>
      <c r="E59" s="61" t="s">
        <v>104</v>
      </c>
      <c r="F59" s="61" t="s">
        <v>103</v>
      </c>
      <c r="G59" s="61" t="s">
        <v>127</v>
      </c>
      <c r="H59" s="61" t="s">
        <v>128</v>
      </c>
      <c r="I59" s="61" t="s">
        <v>129</v>
      </c>
      <c r="J59" s="61" t="s">
        <v>130</v>
      </c>
      <c r="K59" s="61" t="s">
        <v>131</v>
      </c>
      <c r="L59" s="61" t="s">
        <v>132</v>
      </c>
      <c r="M59" s="61" t="s">
        <v>133</v>
      </c>
      <c r="N59" s="61" t="s">
        <v>134</v>
      </c>
      <c r="P59" s="3"/>
      <c r="T59" s="7"/>
    </row>
    <row r="60" spans="4:20" ht="20.100000000000001" customHeight="1" x14ac:dyDescent="0.25">
      <c r="D60" s="1" t="s">
        <v>135</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106</v>
      </c>
      <c r="P60" s="3"/>
      <c r="T60" s="7"/>
    </row>
    <row r="61" spans="4:20" ht="20.100000000000001" customHeight="1" x14ac:dyDescent="0.25">
      <c r="D61" s="1" t="s">
        <v>136</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106</v>
      </c>
      <c r="P61" s="3"/>
      <c r="T61" s="7"/>
    </row>
    <row r="62" spans="4:20" ht="20.100000000000001" customHeight="1" x14ac:dyDescent="0.25">
      <c r="D62" s="1" t="s">
        <v>137</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106</v>
      </c>
      <c r="P62" s="3"/>
      <c r="T62" s="7"/>
    </row>
    <row r="63" spans="4:20" ht="20.100000000000001" customHeight="1" x14ac:dyDescent="0.25">
      <c r="D63" s="1" t="s">
        <v>138</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106</v>
      </c>
      <c r="P63" s="3"/>
      <c r="T63" s="7"/>
    </row>
    <row r="64" spans="4:20" ht="20.100000000000001" customHeight="1" x14ac:dyDescent="0.25">
      <c r="O64" s="2"/>
      <c r="P64" s="3"/>
      <c r="T64" s="7"/>
    </row>
    <row r="65" spans="4:20" ht="20.100000000000001" customHeight="1" x14ac:dyDescent="0.25">
      <c r="D65" s="61" t="s">
        <v>142</v>
      </c>
      <c r="E65" s="61" t="s">
        <v>104</v>
      </c>
      <c r="F65" s="61" t="s">
        <v>103</v>
      </c>
      <c r="G65" s="61" t="s">
        <v>127</v>
      </c>
      <c r="H65" s="61" t="s">
        <v>128</v>
      </c>
      <c r="I65" s="61" t="s">
        <v>129</v>
      </c>
      <c r="J65" s="61" t="s">
        <v>130</v>
      </c>
      <c r="K65" s="61" t="s">
        <v>131</v>
      </c>
      <c r="L65" s="61" t="s">
        <v>132</v>
      </c>
      <c r="M65" s="61" t="s">
        <v>133</v>
      </c>
      <c r="N65" s="61" t="s">
        <v>134</v>
      </c>
      <c r="O65" s="2"/>
      <c r="P65" s="3"/>
      <c r="T65" s="7"/>
    </row>
    <row r="66" spans="4:20" ht="20.100000000000001" customHeight="1" x14ac:dyDescent="0.25">
      <c r="D66" s="1" t="str">
        <f>TEXT('Input - Site'!$E$12, "mmmm yyyy")</f>
        <v>January 2024</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106</v>
      </c>
      <c r="P66" s="3"/>
      <c r="T66" s="7"/>
    </row>
    <row r="67" spans="4:20" ht="20.100000000000001" customHeight="1" x14ac:dyDescent="0.25">
      <c r="D67" s="1" t="str">
        <f>TEXT(EDATE('Input - Site'!$E$12,1), "mmmm yyyy")</f>
        <v>February 2024</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106</v>
      </c>
      <c r="P67" s="3"/>
      <c r="T67" s="7"/>
    </row>
    <row r="68" spans="4:20" ht="20.100000000000001" customHeight="1" x14ac:dyDescent="0.25">
      <c r="D68" s="1" t="str">
        <f>TEXT(EDATE('Input - Site'!$E$12,2), "mmmm yyyy")</f>
        <v>March 2024</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106</v>
      </c>
      <c r="P68" s="3"/>
      <c r="T68" s="7"/>
    </row>
    <row r="69" spans="4:20" ht="20.100000000000001" customHeight="1" x14ac:dyDescent="0.25">
      <c r="D69" s="1" t="str">
        <f>TEXT(EDATE('Input - Site'!$E$12,3), "mmmm yyyy")</f>
        <v>April 2024</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106</v>
      </c>
      <c r="P69" s="3"/>
      <c r="T69" s="7"/>
    </row>
    <row r="70" spans="4:20" ht="20.100000000000001" customHeight="1" x14ac:dyDescent="0.25">
      <c r="D70" s="1" t="str">
        <f>TEXT(EDATE('Input - Site'!$E$12,4), "mmmm yyyy")</f>
        <v>May 2024</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106</v>
      </c>
      <c r="P70" s="3"/>
      <c r="T70" s="7"/>
    </row>
    <row r="71" spans="4:20" ht="20.100000000000001" customHeight="1" x14ac:dyDescent="0.25">
      <c r="D71" s="1" t="str">
        <f>TEXT(EDATE('Input - Site'!$E$12,5), "mmmm yyyy")</f>
        <v>June 2024</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106</v>
      </c>
      <c r="P71" s="3"/>
      <c r="T71" s="7"/>
    </row>
    <row r="72" spans="4:20" ht="20.100000000000001" customHeight="1" x14ac:dyDescent="0.25">
      <c r="D72" s="1" t="str">
        <f>TEXT(EDATE('Input - Site'!$E$12,6), "mmmm yyyy")</f>
        <v>July 2024</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106</v>
      </c>
      <c r="T72" s="7"/>
    </row>
    <row r="73" spans="4:20" ht="20.100000000000001" customHeight="1" x14ac:dyDescent="0.25">
      <c r="D73" s="1" t="str">
        <f>TEXT(EDATE('Input - Site'!$E$12,7), "mmmm yyyy")</f>
        <v>August 2024</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106</v>
      </c>
      <c r="T73" s="7"/>
    </row>
    <row r="74" spans="4:20" ht="20.100000000000001" customHeight="1" x14ac:dyDescent="0.25">
      <c r="D74" s="1" t="str">
        <f>TEXT(EDATE('Input - Site'!$E$12,8), "mmmm yyyy")</f>
        <v>September 2024</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106</v>
      </c>
      <c r="T74" s="7"/>
    </row>
    <row r="75" spans="4:20" ht="20.100000000000001" customHeight="1" x14ac:dyDescent="0.25">
      <c r="D75" s="1" t="str">
        <f>TEXT(EDATE('Input - Site'!$E$12,9), "mmmm yyyy")</f>
        <v>October 2024</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106</v>
      </c>
      <c r="T75" s="7"/>
    </row>
    <row r="76" spans="4:20" ht="20.100000000000001" customHeight="1" x14ac:dyDescent="0.25">
      <c r="D76" s="1" t="str">
        <f>TEXT(EDATE('Input - Site'!$E$12,10), "mmmm yyyy")</f>
        <v>November 2024</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106</v>
      </c>
      <c r="T76" s="7"/>
    </row>
    <row r="77" spans="4:20" ht="20.100000000000001" customHeight="1" x14ac:dyDescent="0.25">
      <c r="D77" s="1" t="str">
        <f>TEXT(EDATE('Input - Site'!$E$12,11), "mmmm yyyy")</f>
        <v>December 2024</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106</v>
      </c>
      <c r="T77" s="7"/>
    </row>
    <row r="78" spans="4:20" ht="20.100000000000001" customHeight="1" x14ac:dyDescent="0.25">
      <c r="T78" s="7"/>
    </row>
    <row r="79" spans="4:20" ht="20.100000000000001" customHeight="1" x14ac:dyDescent="0.25">
      <c r="T79" s="7"/>
    </row>
    <row r="80" spans="4:20" ht="20.100000000000001" customHeight="1" x14ac:dyDescent="0.25">
      <c r="D80" s="47" t="s">
        <v>139</v>
      </c>
      <c r="T80" s="7"/>
    </row>
    <row r="81" spans="4:20" ht="20.100000000000001" customHeight="1" x14ac:dyDescent="0.25">
      <c r="D81" s="61" t="s">
        <v>141</v>
      </c>
      <c r="E81" s="61" t="s">
        <v>104</v>
      </c>
      <c r="F81" s="61" t="s">
        <v>103</v>
      </c>
      <c r="G81" s="61" t="s">
        <v>127</v>
      </c>
      <c r="H81" s="61" t="s">
        <v>128</v>
      </c>
      <c r="I81" s="61" t="s">
        <v>129</v>
      </c>
      <c r="J81" s="61" t="s">
        <v>130</v>
      </c>
      <c r="K81" s="61" t="s">
        <v>131</v>
      </c>
      <c r="L81" s="61" t="s">
        <v>132</v>
      </c>
      <c r="M81" s="61" t="s">
        <v>133</v>
      </c>
      <c r="N81" s="61" t="s">
        <v>134</v>
      </c>
      <c r="T81" s="7"/>
    </row>
    <row r="82" spans="4:20" ht="20.100000000000001" customHeight="1" x14ac:dyDescent="0.25">
      <c r="D82" s="1" t="s">
        <v>135</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107</v>
      </c>
      <c r="T82" s="7"/>
    </row>
    <row r="83" spans="4:20" ht="20.100000000000001" customHeight="1" x14ac:dyDescent="0.25">
      <c r="D83" s="1" t="s">
        <v>136</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107</v>
      </c>
      <c r="T83" s="7"/>
    </row>
    <row r="84" spans="4:20" ht="20.100000000000001" customHeight="1" x14ac:dyDescent="0.25">
      <c r="D84" s="1" t="s">
        <v>137</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107</v>
      </c>
      <c r="T84" s="7"/>
    </row>
    <row r="85" spans="4:20" ht="20.100000000000001" customHeight="1" x14ac:dyDescent="0.25">
      <c r="D85" s="1" t="s">
        <v>138</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107</v>
      </c>
      <c r="T85" s="7"/>
    </row>
    <row r="86" spans="4:20" ht="20.100000000000001" customHeight="1" x14ac:dyDescent="0.25">
      <c r="O86" s="2"/>
      <c r="T86" s="7"/>
    </row>
    <row r="87" spans="4:20" ht="20.100000000000001" customHeight="1" x14ac:dyDescent="0.25">
      <c r="D87" s="61" t="s">
        <v>142</v>
      </c>
      <c r="E87" s="61" t="s">
        <v>104</v>
      </c>
      <c r="F87" s="61" t="s">
        <v>103</v>
      </c>
      <c r="G87" s="61" t="s">
        <v>127</v>
      </c>
      <c r="H87" s="61" t="s">
        <v>128</v>
      </c>
      <c r="I87" s="61" t="s">
        <v>129</v>
      </c>
      <c r="J87" s="61" t="s">
        <v>130</v>
      </c>
      <c r="K87" s="61" t="s">
        <v>131</v>
      </c>
      <c r="L87" s="61" t="s">
        <v>132</v>
      </c>
      <c r="M87" s="61" t="s">
        <v>133</v>
      </c>
      <c r="N87" s="61" t="s">
        <v>134</v>
      </c>
      <c r="O87" s="2"/>
      <c r="T87" s="7"/>
    </row>
    <row r="88" spans="4:20" ht="20.100000000000001" customHeight="1" x14ac:dyDescent="0.25">
      <c r="D88" s="1" t="str">
        <f>TEXT('Input - Site'!$E$12, "mmmm yyyy")</f>
        <v>January 2024</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107</v>
      </c>
      <c r="T88" s="7"/>
    </row>
    <row r="89" spans="4:20" ht="20.100000000000001" customHeight="1" x14ac:dyDescent="0.25">
      <c r="D89" s="1" t="str">
        <f>TEXT(EDATE('Input - Site'!$E$12,1), "mmmm yyyy")</f>
        <v>February 2024</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107</v>
      </c>
      <c r="T89" s="7"/>
    </row>
    <row r="90" spans="4:20" ht="20.100000000000001" customHeight="1" x14ac:dyDescent="0.25">
      <c r="D90" s="1" t="str">
        <f>TEXT(EDATE('Input - Site'!$E$12,2), "mmmm yyyy")</f>
        <v>March 2024</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107</v>
      </c>
      <c r="T90" s="7"/>
    </row>
    <row r="91" spans="4:20" ht="20.100000000000001" customHeight="1" x14ac:dyDescent="0.25">
      <c r="D91" s="1" t="str">
        <f>TEXT(EDATE('Input - Site'!$E$12,3), "mmmm yyyy")</f>
        <v>April 2024</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107</v>
      </c>
      <c r="T91" s="7"/>
    </row>
    <row r="92" spans="4:20" ht="20.100000000000001" customHeight="1" x14ac:dyDescent="0.25">
      <c r="D92" s="1" t="str">
        <f>TEXT(EDATE('Input - Site'!$E$12,4), "mmmm yyyy")</f>
        <v>May 2024</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107</v>
      </c>
      <c r="T92" s="7"/>
    </row>
    <row r="93" spans="4:20" ht="20.100000000000001" customHeight="1" x14ac:dyDescent="0.25">
      <c r="D93" s="1" t="str">
        <f>TEXT(EDATE('Input - Site'!$E$12,5), "mmmm yyyy")</f>
        <v>June 2024</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107</v>
      </c>
      <c r="T93" s="7"/>
    </row>
    <row r="94" spans="4:20" ht="20.100000000000001" customHeight="1" x14ac:dyDescent="0.25">
      <c r="D94" s="1" t="str">
        <f>TEXT(EDATE('Input - Site'!$E$12,6), "mmmm yyyy")</f>
        <v>July 2024</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107</v>
      </c>
      <c r="T94" s="7"/>
    </row>
    <row r="95" spans="4:20" ht="20.100000000000001" customHeight="1" x14ac:dyDescent="0.25">
      <c r="D95" s="1" t="str">
        <f>TEXT(EDATE('Input - Site'!$E$12,7), "mmmm yyyy")</f>
        <v>August 2024</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107</v>
      </c>
      <c r="T95" s="7"/>
    </row>
    <row r="96" spans="4:20" ht="20.100000000000001" customHeight="1" x14ac:dyDescent="0.25">
      <c r="D96" s="1" t="str">
        <f>TEXT(EDATE('Input - Site'!$E$12,8), "mmmm yyyy")</f>
        <v>September 2024</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107</v>
      </c>
      <c r="T96" s="7"/>
    </row>
    <row r="97" spans="4:20" ht="20.100000000000001" customHeight="1" x14ac:dyDescent="0.25">
      <c r="D97" s="1" t="str">
        <f>TEXT(EDATE('Input - Site'!$E$12,9), "mmmm yyyy")</f>
        <v>October 2024</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107</v>
      </c>
      <c r="T97" s="7"/>
    </row>
    <row r="98" spans="4:20" ht="20.100000000000001" customHeight="1" x14ac:dyDescent="0.25">
      <c r="D98" s="1" t="str">
        <f>TEXT(EDATE('Input - Site'!$E$12,10), "mmmm yyyy")</f>
        <v>November 2024</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107</v>
      </c>
      <c r="T98" s="7"/>
    </row>
    <row r="99" spans="4:20" ht="20.100000000000001" customHeight="1" x14ac:dyDescent="0.25">
      <c r="D99" s="1" t="str">
        <f>TEXT(EDATE('Input - Site'!$E$12,11), "mmmm yyyy")</f>
        <v>December 2024</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107</v>
      </c>
      <c r="T99" s="7"/>
    </row>
    <row r="100" spans="4:20" ht="20.100000000000001" customHeight="1" x14ac:dyDescent="0.25">
      <c r="T100" s="7"/>
    </row>
    <row r="101" spans="4:20" ht="20.100000000000001" customHeight="1" x14ac:dyDescent="0.25">
      <c r="T101" s="7"/>
    </row>
    <row r="102" spans="4:20" ht="20.100000000000001" customHeight="1" x14ac:dyDescent="0.25">
      <c r="D102" s="47" t="s">
        <v>191</v>
      </c>
      <c r="K102" s="2"/>
      <c r="L102" s="2"/>
      <c r="M102" s="2"/>
      <c r="N102" s="2"/>
      <c r="O102" s="2"/>
      <c r="T102" s="7"/>
    </row>
    <row r="103" spans="4:20" ht="20.100000000000001" customHeight="1" x14ac:dyDescent="0.25">
      <c r="D103" s="61" t="s">
        <v>108</v>
      </c>
      <c r="E103" s="61"/>
      <c r="F103" s="61"/>
      <c r="G103" s="61"/>
      <c r="T103" s="7"/>
    </row>
    <row r="104" spans="4:20" ht="20.100000000000001" customHeight="1" x14ac:dyDescent="0.25">
      <c r="D104" s="1" t="s">
        <v>208</v>
      </c>
      <c r="E104" s="38" t="s">
        <v>138</v>
      </c>
      <c r="F104" s="2" t="s">
        <v>8</v>
      </c>
      <c r="T104" s="7"/>
    </row>
    <row r="105" spans="4:20" ht="20.100000000000001" customHeight="1" x14ac:dyDescent="0.25">
      <c r="T105" s="7"/>
    </row>
    <row r="106" spans="4:20" ht="20.100000000000001" customHeight="1" x14ac:dyDescent="0.25">
      <c r="E106" s="61" t="s">
        <v>128</v>
      </c>
      <c r="F106" s="61" t="s">
        <v>129</v>
      </c>
      <c r="G106" s="61" t="s">
        <v>130</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14</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109</v>
      </c>
      <c r="E110" s="61"/>
      <c r="F110" s="61"/>
      <c r="G110" s="61"/>
    </row>
    <row r="111" spans="4:20" ht="20.100000000000001" customHeight="1" x14ac:dyDescent="0.25">
      <c r="D111" s="1" t="s">
        <v>255</v>
      </c>
      <c r="E111" s="38" t="s">
        <v>253</v>
      </c>
      <c r="F111" s="2" t="s">
        <v>8</v>
      </c>
    </row>
    <row r="112" spans="4:20" ht="20.100000000000001" customHeight="1" x14ac:dyDescent="0.25">
      <c r="D112" s="1" t="s">
        <v>251</v>
      </c>
      <c r="E112" s="51" t="str">
        <f>TEXT(EDATE(E111,1), "mmmm yyyy")</f>
        <v>September 2024</v>
      </c>
    </row>
    <row r="113" spans="4:15" ht="20.100000000000001" customHeight="1" x14ac:dyDescent="0.25">
      <c r="D113" s="1" t="s">
        <v>252</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128</v>
      </c>
      <c r="F116" s="61" t="s">
        <v>129</v>
      </c>
      <c r="G116" s="61" t="s">
        <v>130</v>
      </c>
      <c r="L116" s="2"/>
      <c r="M116" s="2"/>
      <c r="N116" s="2"/>
      <c r="O116" s="2"/>
    </row>
    <row r="117" spans="4:15" ht="20.100000000000001" customHeight="1" x14ac:dyDescent="0.25">
      <c r="D117" s="1" t="str">
        <f>E111</f>
        <v>August 2024</v>
      </c>
      <c r="E117" s="45">
        <v>0.25</v>
      </c>
      <c r="F117" s="45">
        <v>0.25</v>
      </c>
      <c r="G117" s="45">
        <v>0.25</v>
      </c>
      <c r="H117" s="2" t="s">
        <v>14</v>
      </c>
      <c r="L117" s="2"/>
      <c r="M117" s="2"/>
      <c r="N117" s="2"/>
      <c r="O117" s="2"/>
    </row>
    <row r="118" spans="4:15" ht="20.100000000000001" customHeight="1" x14ac:dyDescent="0.25">
      <c r="D118" s="1" t="str">
        <f>E112</f>
        <v>September 2024</v>
      </c>
      <c r="E118" s="45">
        <v>0.25</v>
      </c>
      <c r="F118" s="45">
        <v>0.25</v>
      </c>
      <c r="G118" s="45">
        <v>0.25</v>
      </c>
      <c r="H118" s="2" t="s">
        <v>14</v>
      </c>
    </row>
    <row r="119" spans="4:15" ht="20.100000000000001" customHeight="1" x14ac:dyDescent="0.25">
      <c r="D119" s="1" t="str">
        <f>E113</f>
        <v>October 2024</v>
      </c>
      <c r="E119" s="45">
        <v>0.25</v>
      </c>
      <c r="F119" s="45">
        <v>0.25</v>
      </c>
      <c r="G119" s="45">
        <v>0.25</v>
      </c>
      <c r="H119" s="2" t="s">
        <v>14</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14</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13</v>
      </c>
      <c r="K123" s="2"/>
      <c r="L123" s="2"/>
      <c r="M123" s="2"/>
      <c r="N123" s="2"/>
      <c r="O123" s="2"/>
    </row>
    <row r="124" spans="4:15" ht="20.100000000000001" customHeight="1" x14ac:dyDescent="0.25">
      <c r="D124" s="61" t="s">
        <v>141</v>
      </c>
      <c r="E124" s="61" t="s">
        <v>104</v>
      </c>
      <c r="F124" s="61" t="s">
        <v>103</v>
      </c>
      <c r="G124" s="61" t="s">
        <v>127</v>
      </c>
      <c r="H124" s="61" t="s">
        <v>128</v>
      </c>
      <c r="I124" s="61" t="s">
        <v>129</v>
      </c>
      <c r="J124" s="61" t="s">
        <v>130</v>
      </c>
      <c r="K124" s="61" t="s">
        <v>131</v>
      </c>
      <c r="L124" s="61" t="s">
        <v>132</v>
      </c>
      <c r="M124" s="61" t="s">
        <v>133</v>
      </c>
      <c r="N124" s="61" t="s">
        <v>134</v>
      </c>
    </row>
    <row r="125" spans="4:15" ht="20.100000000000001" customHeight="1" x14ac:dyDescent="0.25">
      <c r="D125" s="1" t="s">
        <v>135</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113</v>
      </c>
    </row>
    <row r="126" spans="4:15" ht="20.100000000000001" customHeight="1" x14ac:dyDescent="0.25">
      <c r="D126" s="1" t="s">
        <v>136</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113</v>
      </c>
    </row>
    <row r="127" spans="4:15" ht="20.100000000000001" customHeight="1" x14ac:dyDescent="0.25">
      <c r="D127" s="1" t="s">
        <v>137</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113</v>
      </c>
    </row>
    <row r="128" spans="4:15" ht="20.100000000000001" customHeight="1" x14ac:dyDescent="0.25">
      <c r="D128" s="1" t="s">
        <v>138</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113</v>
      </c>
    </row>
    <row r="129" spans="4:15" ht="20.100000000000001" customHeight="1" x14ac:dyDescent="0.25"/>
    <row r="130" spans="4:15" ht="20.100000000000001" customHeight="1" x14ac:dyDescent="0.25">
      <c r="D130" s="61" t="s">
        <v>142</v>
      </c>
      <c r="E130" s="61" t="s">
        <v>104</v>
      </c>
      <c r="F130" s="61" t="s">
        <v>103</v>
      </c>
      <c r="G130" s="61" t="s">
        <v>127</v>
      </c>
      <c r="H130" s="61" t="s">
        <v>128</v>
      </c>
      <c r="I130" s="61" t="s">
        <v>129</v>
      </c>
      <c r="J130" s="61" t="s">
        <v>130</v>
      </c>
      <c r="K130" s="61" t="s">
        <v>131</v>
      </c>
      <c r="L130" s="61" t="s">
        <v>132</v>
      </c>
      <c r="M130" s="61" t="s">
        <v>133</v>
      </c>
      <c r="N130" s="61" t="s">
        <v>134</v>
      </c>
    </row>
    <row r="131" spans="4:15" ht="20.100000000000001" customHeight="1" x14ac:dyDescent="0.25">
      <c r="D131" s="1" t="str">
        <f>TEXT('Input - Site'!$E$12, "mmmm yyyy")</f>
        <v>January 2024</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113</v>
      </c>
    </row>
    <row r="132" spans="4:15" ht="20.100000000000001" customHeight="1" x14ac:dyDescent="0.25">
      <c r="D132" s="1" t="str">
        <f>TEXT(EDATE('Input - Site'!$E$12,1), "mmmm yyyy")</f>
        <v>February 2024</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113</v>
      </c>
    </row>
    <row r="133" spans="4:15" ht="20.100000000000001" customHeight="1" x14ac:dyDescent="0.25">
      <c r="D133" s="1" t="str">
        <f>TEXT(EDATE('Input - Site'!$E$12,2), "mmmm yyyy")</f>
        <v>March 2024</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113</v>
      </c>
    </row>
    <row r="134" spans="4:15" ht="20.100000000000001" customHeight="1" x14ac:dyDescent="0.25">
      <c r="D134" s="1" t="str">
        <f>TEXT(EDATE('Input - Site'!$E$12,3), "mmmm yyyy")</f>
        <v>April 2024</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113</v>
      </c>
    </row>
    <row r="135" spans="4:15" ht="20.100000000000001" customHeight="1" x14ac:dyDescent="0.25">
      <c r="D135" s="1" t="str">
        <f>TEXT(EDATE('Input - Site'!$E$12,4), "mmmm yyyy")</f>
        <v>May 2024</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113</v>
      </c>
    </row>
    <row r="136" spans="4:15" ht="20.100000000000001" customHeight="1" x14ac:dyDescent="0.25">
      <c r="D136" s="1" t="str">
        <f>TEXT(EDATE('Input - Site'!$E$12,5), "mmmm yyyy")</f>
        <v>June 2024</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113</v>
      </c>
    </row>
    <row r="137" spans="4:15" ht="20.100000000000001" customHeight="1" x14ac:dyDescent="0.25">
      <c r="D137" s="1" t="str">
        <f>TEXT(EDATE('Input - Site'!$E$12,6), "mmmm yyyy")</f>
        <v>July 2024</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113</v>
      </c>
    </row>
    <row r="138" spans="4:15" ht="20.100000000000001" customHeight="1" x14ac:dyDescent="0.25">
      <c r="D138" s="1" t="str">
        <f>TEXT(EDATE('Input - Site'!$E$12,7), "mmmm yyyy")</f>
        <v>August 2024</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113</v>
      </c>
    </row>
    <row r="139" spans="4:15" ht="20.100000000000001" customHeight="1" x14ac:dyDescent="0.25">
      <c r="D139" s="1" t="str">
        <f>TEXT(EDATE('Input - Site'!$E$12,8), "mmmm yyyy")</f>
        <v>September 2024</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113</v>
      </c>
    </row>
    <row r="140" spans="4:15" ht="20.100000000000001" customHeight="1" x14ac:dyDescent="0.25">
      <c r="D140" s="1" t="str">
        <f>TEXT(EDATE('Input - Site'!$E$12,9), "mmmm yyyy")</f>
        <v>October 2024</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113</v>
      </c>
    </row>
    <row r="141" spans="4:15" ht="20.100000000000001" customHeight="1" x14ac:dyDescent="0.25">
      <c r="D141" s="1" t="str">
        <f>TEXT(EDATE('Input - Site'!$E$12,10), "mmmm yyyy")</f>
        <v>November 2024</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113</v>
      </c>
    </row>
    <row r="142" spans="4:15" ht="20.100000000000001" customHeight="1" x14ac:dyDescent="0.25">
      <c r="D142" s="1" t="str">
        <f>TEXT(EDATE('Input - Site'!$E$12,11), "mmmm yyyy")</f>
        <v>December 2024</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113</v>
      </c>
    </row>
    <row r="143" spans="4:15" ht="20.100000000000001" customHeight="1" x14ac:dyDescent="0.25"/>
    <row r="144" spans="4:15" ht="20.100000000000001" customHeight="1" x14ac:dyDescent="0.25"/>
    <row r="145" spans="4:15" ht="20.100000000000001" customHeight="1" x14ac:dyDescent="0.25">
      <c r="D145" s="47" t="s">
        <v>84</v>
      </c>
      <c r="K145" s="2"/>
      <c r="L145" s="2"/>
      <c r="M145" s="2"/>
      <c r="N145" s="2"/>
      <c r="O145" s="2"/>
    </row>
    <row r="146" spans="4:15" ht="20.100000000000001" customHeight="1" x14ac:dyDescent="0.25">
      <c r="D146" s="61" t="s">
        <v>141</v>
      </c>
      <c r="E146" s="61" t="s">
        <v>104</v>
      </c>
      <c r="F146" s="61" t="s">
        <v>103</v>
      </c>
      <c r="G146" s="61" t="s">
        <v>127</v>
      </c>
      <c r="H146" s="61" t="s">
        <v>128</v>
      </c>
      <c r="I146" s="61" t="s">
        <v>129</v>
      </c>
      <c r="J146" s="61" t="s">
        <v>130</v>
      </c>
      <c r="K146" s="61" t="s">
        <v>131</v>
      </c>
      <c r="L146" s="61" t="s">
        <v>132</v>
      </c>
      <c r="M146" s="61" t="s">
        <v>133</v>
      </c>
      <c r="N146" s="61" t="s">
        <v>134</v>
      </c>
    </row>
    <row r="147" spans="4:15" ht="20.100000000000001" customHeight="1" x14ac:dyDescent="0.25">
      <c r="D147" s="1" t="s">
        <v>135</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113</v>
      </c>
    </row>
    <row r="148" spans="4:15" ht="20.100000000000001" customHeight="1" x14ac:dyDescent="0.25">
      <c r="D148" s="1" t="s">
        <v>136</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113</v>
      </c>
    </row>
    <row r="149" spans="4:15" ht="20.100000000000001" customHeight="1" x14ac:dyDescent="0.25">
      <c r="D149" s="1" t="s">
        <v>137</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113</v>
      </c>
    </row>
    <row r="150" spans="4:15" ht="20.100000000000001" customHeight="1" x14ac:dyDescent="0.25">
      <c r="D150" s="1" t="s">
        <v>138</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113</v>
      </c>
    </row>
    <row r="151" spans="4:15" ht="20.100000000000001" customHeight="1" x14ac:dyDescent="0.25"/>
    <row r="152" spans="4:15" ht="20.100000000000001" customHeight="1" x14ac:dyDescent="0.25">
      <c r="D152" s="61" t="s">
        <v>142</v>
      </c>
      <c r="E152" s="61" t="s">
        <v>104</v>
      </c>
      <c r="F152" s="61" t="s">
        <v>103</v>
      </c>
      <c r="G152" s="61" t="s">
        <v>127</v>
      </c>
      <c r="H152" s="61" t="s">
        <v>128</v>
      </c>
      <c r="I152" s="61" t="s">
        <v>129</v>
      </c>
      <c r="J152" s="61" t="s">
        <v>130</v>
      </c>
      <c r="K152" s="61" t="s">
        <v>131</v>
      </c>
      <c r="L152" s="61" t="s">
        <v>132</v>
      </c>
      <c r="M152" s="61" t="s">
        <v>133</v>
      </c>
      <c r="N152" s="61" t="s">
        <v>134</v>
      </c>
    </row>
    <row r="153" spans="4:15" ht="20.100000000000001" customHeight="1" x14ac:dyDescent="0.25">
      <c r="D153" s="1" t="str">
        <f>TEXT('Input - Site'!$E$12, "mmmm yyyy")</f>
        <v>January 2024</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113</v>
      </c>
    </row>
    <row r="154" spans="4:15" ht="20.100000000000001" customHeight="1" x14ac:dyDescent="0.25">
      <c r="D154" s="1" t="str">
        <f>TEXT(EDATE('Input - Site'!$E$12,1), "mmmm yyyy")</f>
        <v>February 2024</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113</v>
      </c>
    </row>
    <row r="155" spans="4:15" ht="20.100000000000001" customHeight="1" x14ac:dyDescent="0.25">
      <c r="D155" s="1" t="str">
        <f>TEXT(EDATE('Input - Site'!$E$12,2), "mmmm yyyy")</f>
        <v>March 2024</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113</v>
      </c>
    </row>
    <row r="156" spans="4:15" ht="20.100000000000001" customHeight="1" x14ac:dyDescent="0.25">
      <c r="D156" s="1" t="str">
        <f>TEXT(EDATE('Input - Site'!$E$12,3), "mmmm yyyy")</f>
        <v>April 2024</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113</v>
      </c>
    </row>
    <row r="157" spans="4:15" ht="20.100000000000001" customHeight="1" x14ac:dyDescent="0.25">
      <c r="D157" s="1" t="str">
        <f>TEXT(EDATE('Input - Site'!$E$12,4), "mmmm yyyy")</f>
        <v>May 2024</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113</v>
      </c>
    </row>
    <row r="158" spans="4:15" ht="20.100000000000001" customHeight="1" x14ac:dyDescent="0.25">
      <c r="D158" s="1" t="str">
        <f>TEXT(EDATE('Input - Site'!$E$12,5), "mmmm yyyy")</f>
        <v>June 2024</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113</v>
      </c>
    </row>
    <row r="159" spans="4:15" ht="20.100000000000001" customHeight="1" x14ac:dyDescent="0.25">
      <c r="D159" s="1" t="str">
        <f>TEXT(EDATE('Input - Site'!$E$12,6), "mmmm yyyy")</f>
        <v>July 2024</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113</v>
      </c>
    </row>
    <row r="160" spans="4:15" ht="20.100000000000001" customHeight="1" x14ac:dyDescent="0.25">
      <c r="D160" s="1" t="str">
        <f>TEXT(EDATE('Input - Site'!$E$12,7), "mmmm yyyy")</f>
        <v>August 2024</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113</v>
      </c>
    </row>
    <row r="161" spans="4:15" ht="20.100000000000001" customHeight="1" x14ac:dyDescent="0.25">
      <c r="D161" s="1" t="str">
        <f>TEXT(EDATE('Input - Site'!$E$12,8), "mmmm yyyy")</f>
        <v>September 2024</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113</v>
      </c>
    </row>
    <row r="162" spans="4:15" ht="20.100000000000001" customHeight="1" x14ac:dyDescent="0.25">
      <c r="D162" s="1" t="str">
        <f>TEXT(EDATE('Input - Site'!$E$12,9), "mmmm yyyy")</f>
        <v>October 2024</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113</v>
      </c>
    </row>
    <row r="163" spans="4:15" ht="20.100000000000001" customHeight="1" x14ac:dyDescent="0.25">
      <c r="D163" s="1" t="str">
        <f>TEXT(EDATE('Input - Site'!$E$12,10), "mmmm yyyy")</f>
        <v>November 2024</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113</v>
      </c>
    </row>
    <row r="164" spans="4:15" ht="20.100000000000001" customHeight="1" x14ac:dyDescent="0.25">
      <c r="D164" s="1" t="str">
        <f>TEXT(EDATE('Input - Site'!$E$12,11), "mmmm yyyy")</f>
        <v>December 2024</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113</v>
      </c>
    </row>
    <row r="165" spans="4:15" ht="20.100000000000001" customHeight="1" x14ac:dyDescent="0.25">
      <c r="L165" s="2"/>
      <c r="M165" s="2"/>
      <c r="N165" s="2"/>
      <c r="O165" s="2"/>
    </row>
    <row r="166" spans="4:15" x14ac:dyDescent="0.25">
      <c r="L166" s="2"/>
      <c r="M166" s="2"/>
      <c r="N166" s="2"/>
      <c r="O166" s="2"/>
    </row>
    <row r="167" spans="4:15" ht="18.75" x14ac:dyDescent="0.25">
      <c r="D167" s="47" t="s">
        <v>220</v>
      </c>
      <c r="L167" s="2"/>
      <c r="M167" s="2"/>
      <c r="N167" s="2"/>
      <c r="O167" s="2"/>
    </row>
    <row r="169" spans="4:15" x14ac:dyDescent="0.25">
      <c r="D169" s="1" t="s">
        <v>221</v>
      </c>
      <c r="E169" s="38" t="s">
        <v>111</v>
      </c>
      <c r="F169" s="2" t="s">
        <v>8</v>
      </c>
      <c r="L169" s="2"/>
      <c r="M169" s="2"/>
      <c r="N169" s="2"/>
      <c r="O169" s="2"/>
    </row>
    <row r="171" spans="4:15" x14ac:dyDescent="0.25">
      <c r="D171" s="61" t="s">
        <v>16</v>
      </c>
      <c r="E171" s="61" t="s">
        <v>222</v>
      </c>
      <c r="L171" s="2"/>
      <c r="M171" s="2"/>
      <c r="N171" s="2"/>
      <c r="O171" s="2"/>
    </row>
    <row r="172" spans="4:15" x14ac:dyDescent="0.25">
      <c r="D172" s="1" t="s">
        <v>110</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14</v>
      </c>
      <c r="L172" s="2"/>
      <c r="M172" s="2"/>
      <c r="N172" s="2"/>
      <c r="O172" s="2"/>
    </row>
    <row r="173" spans="4:15" x14ac:dyDescent="0.25">
      <c r="D173" s="1" t="s">
        <v>223</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14</v>
      </c>
      <c r="L173" s="2"/>
      <c r="M173" s="2"/>
      <c r="N173" s="2"/>
      <c r="O173" s="2"/>
    </row>
    <row r="174" spans="4:15" x14ac:dyDescent="0.25">
      <c r="L174" s="2"/>
      <c r="M174" s="2"/>
      <c r="N174" s="2"/>
      <c r="O174" s="2"/>
    </row>
    <row r="176" spans="4:15" x14ac:dyDescent="0.25">
      <c r="D176" s="1" t="s">
        <v>233</v>
      </c>
      <c r="E176" s="38" t="s">
        <v>236</v>
      </c>
      <c r="F176" s="2" t="s">
        <v>8</v>
      </c>
      <c r="L176" s="2"/>
      <c r="M176" s="2"/>
      <c r="N176" s="2"/>
      <c r="O176" s="2"/>
    </row>
    <row r="177" spans="5:6" x14ac:dyDescent="0.25">
      <c r="E177" s="38" t="s">
        <v>94</v>
      </c>
      <c r="F177" s="2" t="s">
        <v>8</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abSelected="1" topLeftCell="A79" zoomScale="85" zoomScaleNormal="85" workbookViewId="0">
      <selection activeCell="W112" sqref="W112"/>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257</v>
      </c>
    </row>
    <row r="2" spans="1:35" s="9" customFormat="1" ht="20.100000000000001" customHeight="1" x14ac:dyDescent="0.25"/>
    <row r="3" spans="1:35" ht="20.100000000000001" customHeight="1" x14ac:dyDescent="0.25">
      <c r="A3" s="17" t="str">
        <f>HYPERLINK("#'Home'!A1", "Home")</f>
        <v>Home</v>
      </c>
      <c r="C3" s="4"/>
      <c r="D3" s="4" t="s">
        <v>85</v>
      </c>
      <c r="E3" s="4"/>
      <c r="F3" s="4"/>
      <c r="G3" s="4"/>
      <c r="H3" s="4"/>
      <c r="I3" s="4"/>
      <c r="J3" s="4"/>
      <c r="K3" s="4"/>
      <c r="L3" s="4"/>
      <c r="M3" s="4"/>
      <c r="N3" s="4"/>
      <c r="O3" s="4"/>
      <c r="P3" s="4"/>
      <c r="Q3" s="4"/>
      <c r="R3" s="4"/>
      <c r="T3" s="4"/>
      <c r="U3" s="4" t="s">
        <v>86</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21</v>
      </c>
      <c r="E7" s="13" t="s">
        <v>254</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61</v>
      </c>
      <c r="D10" s="52" t="s">
        <v>24</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15</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192</v>
      </c>
    </row>
    <row r="19" spans="1:34" ht="20.100000000000001" customHeight="1" x14ac:dyDescent="0.25">
      <c r="A19" s="17"/>
      <c r="D19" s="95" t="s">
        <v>215</v>
      </c>
      <c r="U19" s="96" t="s">
        <v>211</v>
      </c>
    </row>
    <row r="20" spans="1:34" ht="20.100000000000001" customHeight="1" x14ac:dyDescent="0.25">
      <c r="A20" s="17"/>
      <c r="D20" s="50" t="s">
        <v>146</v>
      </c>
      <c r="E20" s="115" t="s">
        <v>128</v>
      </c>
      <c r="F20" s="115" t="s">
        <v>129</v>
      </c>
      <c r="G20" s="115" t="s">
        <v>130</v>
      </c>
      <c r="U20" s="95" t="s">
        <v>212</v>
      </c>
    </row>
    <row r="21" spans="1:34" ht="20.100000000000001" customHeight="1" x14ac:dyDescent="0.25">
      <c r="D21" s="51" t="str">
        <f>'Input - Pasture Beef'!$E$104</f>
        <v>Winter</v>
      </c>
      <c r="E21" s="51">
        <f>'Input - Pasture Beef'!$E$107</f>
        <v>0.9</v>
      </c>
      <c r="F21" s="51">
        <f>'Input - Pasture Beef'!$F$107</f>
        <v>0.5</v>
      </c>
      <c r="G21" s="51">
        <f>'Input - Pasture Beef'!$G$107</f>
        <v>0.5</v>
      </c>
      <c r="H21" s="2" t="s">
        <v>80</v>
      </c>
      <c r="U21" s="50" t="s">
        <v>105</v>
      </c>
      <c r="V21" s="115" t="s">
        <v>128</v>
      </c>
      <c r="W21" s="115" t="s">
        <v>129</v>
      </c>
      <c r="X21" s="115" t="s">
        <v>130</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80</v>
      </c>
    </row>
    <row r="23" spans="1:34" ht="20.100000000000001" customHeight="1" x14ac:dyDescent="0.25">
      <c r="A23" s="17"/>
      <c r="D23" s="96" t="s">
        <v>202</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203</v>
      </c>
      <c r="Y24" s="2"/>
    </row>
    <row r="25" spans="1:34" ht="20.100000000000001" customHeight="1" x14ac:dyDescent="0.25">
      <c r="D25" s="50" t="s">
        <v>146</v>
      </c>
      <c r="E25" s="50" t="s">
        <v>208</v>
      </c>
      <c r="F25" s="50" t="s">
        <v>250</v>
      </c>
      <c r="G25" s="50" t="s">
        <v>104</v>
      </c>
      <c r="H25" s="50" t="s">
        <v>103</v>
      </c>
      <c r="I25" s="50" t="s">
        <v>127</v>
      </c>
      <c r="J25" s="50" t="s">
        <v>128</v>
      </c>
      <c r="K25" s="50" t="s">
        <v>129</v>
      </c>
      <c r="L25" s="50" t="s">
        <v>130</v>
      </c>
      <c r="M25" s="50" t="s">
        <v>131</v>
      </c>
      <c r="N25" s="50" t="s">
        <v>132</v>
      </c>
      <c r="O25" s="50" t="s">
        <v>133</v>
      </c>
      <c r="P25" s="50" t="s">
        <v>134</v>
      </c>
      <c r="U25" s="96" t="s">
        <v>213</v>
      </c>
    </row>
    <row r="26" spans="1:34" ht="20.100000000000001" customHeight="1" x14ac:dyDescent="0.25">
      <c r="D26" s="51" t="s">
        <v>135</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214</v>
      </c>
    </row>
    <row r="27" spans="1:34" ht="20.100000000000001" customHeight="1" x14ac:dyDescent="0.25">
      <c r="D27" s="51" t="s">
        <v>136</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105</v>
      </c>
      <c r="V27" s="50" t="s">
        <v>208</v>
      </c>
      <c r="W27" s="50" t="s">
        <v>250</v>
      </c>
      <c r="X27" s="50" t="s">
        <v>104</v>
      </c>
      <c r="Y27" s="50" t="s">
        <v>103</v>
      </c>
      <c r="Z27" s="50" t="s">
        <v>127</v>
      </c>
      <c r="AA27" s="50" t="s">
        <v>128</v>
      </c>
      <c r="AB27" s="50" t="s">
        <v>129</v>
      </c>
      <c r="AC27" s="50" t="s">
        <v>130</v>
      </c>
      <c r="AD27" s="50" t="s">
        <v>131</v>
      </c>
      <c r="AE27" s="50" t="s">
        <v>132</v>
      </c>
      <c r="AF27" s="50" t="s">
        <v>133</v>
      </c>
      <c r="AG27" s="50" t="s">
        <v>134</v>
      </c>
    </row>
    <row r="28" spans="1:34" ht="20.100000000000001" customHeight="1" x14ac:dyDescent="0.25">
      <c r="D28" s="51" t="s">
        <v>137</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138</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21</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G37" s="6" t="str" cm="1">
        <f t="array" ref="G37">EntericMethane_PastureBeef_Equations.VEERG_3_2_1_1__3_FeedIntakeForGrazingBeef_LatexEquation()</f>
        <v>I_{jkl}=(1.185+0.00454\times W_{jkl}-0.0000026\times W_{jkl}^{2}+0.315\times LWG_{jkl})^2\times MA_{jk=4,5}</v>
      </c>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24</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15</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256</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216</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tr" cm="1">
        <f t="array" ref="U43:AE55">X_Table_PastureBeef_Liveweight_Method2</f>
        <v>Method 2 custom values (edit if known)</v>
      </c>
      <c r="V43" s="115" t="str">
        <v>Bulls &lt; 1 year</v>
      </c>
      <c r="W43" s="115" t="str">
        <v>Bulls &gt; 1 year</v>
      </c>
      <c r="X43" s="115" t="str">
        <v>Cows &lt; 1 year</v>
      </c>
      <c r="Y43" s="115" t="str">
        <v>Cows 1-2 years</v>
      </c>
      <c r="Z43" s="115" t="str">
        <v>Cows 2-3 years</v>
      </c>
      <c r="AA43" s="115" t="str">
        <v>Cows &gt; 3 years</v>
      </c>
      <c r="AB43" s="115" t="str">
        <v>Steers &lt; 1 year</v>
      </c>
      <c r="AC43" s="115" t="str">
        <v>Steers 1-2 years</v>
      </c>
      <c r="AD43" s="115" t="str">
        <v>Steers 2-3 years</v>
      </c>
      <c r="AE43" s="115" t="str">
        <v>Steers &gt;3 years</v>
      </c>
      <c r="AF43" s="2"/>
    </row>
    <row r="44" spans="4:34" ht="20.100000000000001" customHeight="1" x14ac:dyDescent="0.25">
      <c r="U44" s="51" t="str">
        <v>January 2024</v>
      </c>
      <c r="V44" s="51">
        <v>380</v>
      </c>
      <c r="W44" s="51">
        <v>780</v>
      </c>
      <c r="X44" s="51">
        <v>300</v>
      </c>
      <c r="Y44" s="51">
        <v>450</v>
      </c>
      <c r="Z44" s="51">
        <v>530</v>
      </c>
      <c r="AA44" s="51">
        <v>530</v>
      </c>
      <c r="AB44" s="51">
        <v>340</v>
      </c>
      <c r="AC44" s="51">
        <v>470</v>
      </c>
      <c r="AD44" s="51">
        <v>470</v>
      </c>
      <c r="AE44" s="51">
        <v>470</v>
      </c>
      <c r="AF44" s="2" t="s">
        <v>106</v>
      </c>
    </row>
    <row r="45" spans="4:34" ht="20.100000000000001" customHeight="1" x14ac:dyDescent="0.25">
      <c r="D45" s="96" t="s">
        <v>231</v>
      </c>
      <c r="U45" s="51" t="str">
        <v>February 2024</v>
      </c>
      <c r="V45" s="51">
        <v>380</v>
      </c>
      <c r="W45" s="51">
        <v>780</v>
      </c>
      <c r="X45" s="51">
        <v>300</v>
      </c>
      <c r="Y45" s="51">
        <v>450</v>
      </c>
      <c r="Z45" s="51">
        <v>530</v>
      </c>
      <c r="AA45" s="51">
        <v>530</v>
      </c>
      <c r="AB45" s="51">
        <v>340</v>
      </c>
      <c r="AC45" s="51">
        <v>470</v>
      </c>
      <c r="AD45" s="51">
        <v>470</v>
      </c>
      <c r="AE45" s="51">
        <v>470</v>
      </c>
      <c r="AF45" s="2" t="s">
        <v>106</v>
      </c>
    </row>
    <row r="46" spans="4:34" ht="20.100000000000001" customHeight="1" x14ac:dyDescent="0.25">
      <c r="D46" s="95" t="s">
        <v>206</v>
      </c>
      <c r="U46" s="51" t="str">
        <v>March 2024</v>
      </c>
      <c r="V46" s="51">
        <v>100</v>
      </c>
      <c r="W46" s="51">
        <v>680</v>
      </c>
      <c r="X46" s="51">
        <v>80</v>
      </c>
      <c r="Y46" s="51">
        <v>320</v>
      </c>
      <c r="Z46" s="51">
        <v>480</v>
      </c>
      <c r="AA46" s="51">
        <v>480</v>
      </c>
      <c r="AB46" s="51">
        <v>100</v>
      </c>
      <c r="AC46" s="51">
        <v>340</v>
      </c>
      <c r="AD46" s="51">
        <v>340</v>
      </c>
      <c r="AE46" s="51">
        <v>340</v>
      </c>
      <c r="AF46" s="2" t="s">
        <v>106</v>
      </c>
    </row>
    <row r="47" spans="4:34" ht="20.100000000000001" customHeight="1" x14ac:dyDescent="0.25">
      <c r="D47" s="50" t="s">
        <v>146</v>
      </c>
      <c r="E47" s="115" t="s">
        <v>104</v>
      </c>
      <c r="F47" s="115" t="s">
        <v>103</v>
      </c>
      <c r="G47" s="115" t="s">
        <v>127</v>
      </c>
      <c r="H47" s="115" t="s">
        <v>128</v>
      </c>
      <c r="I47" s="115" t="s">
        <v>129</v>
      </c>
      <c r="J47" s="115" t="s">
        <v>130</v>
      </c>
      <c r="K47" s="115" t="s">
        <v>131</v>
      </c>
      <c r="L47" s="115" t="s">
        <v>132</v>
      </c>
      <c r="M47" s="115" t="s">
        <v>133</v>
      </c>
      <c r="N47" s="115" t="s">
        <v>134</v>
      </c>
      <c r="U47" s="51" t="str">
        <v>April 2024</v>
      </c>
      <c r="V47" s="51">
        <v>100</v>
      </c>
      <c r="W47" s="51">
        <v>680</v>
      </c>
      <c r="X47" s="51">
        <v>80</v>
      </c>
      <c r="Y47" s="51">
        <v>320</v>
      </c>
      <c r="Z47" s="51">
        <v>480</v>
      </c>
      <c r="AA47" s="51">
        <v>480</v>
      </c>
      <c r="AB47" s="51">
        <v>100</v>
      </c>
      <c r="AC47" s="51">
        <v>340</v>
      </c>
      <c r="AD47" s="51">
        <v>340</v>
      </c>
      <c r="AE47" s="51">
        <v>340</v>
      </c>
      <c r="AF47" s="2" t="s">
        <v>106</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106</v>
      </c>
      <c r="P48" s="2"/>
      <c r="Q48" s="2"/>
      <c r="U48" s="51" t="str">
        <v>May 2024</v>
      </c>
      <c r="V48" s="51">
        <v>100</v>
      </c>
      <c r="W48" s="51">
        <v>680</v>
      </c>
      <c r="X48" s="51">
        <v>80</v>
      </c>
      <c r="Y48" s="51">
        <v>320</v>
      </c>
      <c r="Z48" s="51">
        <v>480</v>
      </c>
      <c r="AA48" s="51">
        <v>480</v>
      </c>
      <c r="AB48" s="51">
        <v>100</v>
      </c>
      <c r="AC48" s="51">
        <v>340</v>
      </c>
      <c r="AD48" s="51">
        <v>340</v>
      </c>
      <c r="AE48" s="51">
        <v>340</v>
      </c>
      <c r="AF48" s="2" t="s">
        <v>106</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106</v>
      </c>
      <c r="P49" s="2"/>
      <c r="Q49" s="2"/>
      <c r="U49" s="51" t="str">
        <v>June 2024</v>
      </c>
      <c r="V49" s="51">
        <v>190</v>
      </c>
      <c r="W49" s="51">
        <v>700</v>
      </c>
      <c r="X49" s="51">
        <v>150</v>
      </c>
      <c r="Y49" s="51">
        <v>330</v>
      </c>
      <c r="Z49" s="51">
        <v>490</v>
      </c>
      <c r="AA49" s="51">
        <v>490</v>
      </c>
      <c r="AB49" s="51">
        <v>170</v>
      </c>
      <c r="AC49" s="51">
        <v>360</v>
      </c>
      <c r="AD49" s="51">
        <v>360</v>
      </c>
      <c r="AE49" s="51">
        <v>360</v>
      </c>
      <c r="AF49" s="2" t="s">
        <v>106</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106</v>
      </c>
      <c r="P50" s="2"/>
      <c r="Q50" s="2"/>
      <c r="U50" s="51" t="str">
        <v>July 2024</v>
      </c>
      <c r="V50" s="51">
        <v>190</v>
      </c>
      <c r="W50" s="51">
        <v>700</v>
      </c>
      <c r="X50" s="51">
        <v>150</v>
      </c>
      <c r="Y50" s="51">
        <v>330</v>
      </c>
      <c r="Z50" s="51">
        <v>490</v>
      </c>
      <c r="AA50" s="51">
        <v>490</v>
      </c>
      <c r="AB50" s="51">
        <v>170</v>
      </c>
      <c r="AC50" s="51">
        <v>360</v>
      </c>
      <c r="AD50" s="51">
        <v>360</v>
      </c>
      <c r="AE50" s="51">
        <v>360</v>
      </c>
      <c r="AF50" s="2" t="s">
        <v>106</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106</v>
      </c>
      <c r="P51" s="2"/>
      <c r="Q51" s="2"/>
      <c r="U51" s="51" t="str">
        <v>August 2024</v>
      </c>
      <c r="V51" s="51">
        <v>190</v>
      </c>
      <c r="W51" s="51">
        <v>700</v>
      </c>
      <c r="X51" s="51">
        <v>150</v>
      </c>
      <c r="Y51" s="51">
        <v>330</v>
      </c>
      <c r="Z51" s="51">
        <v>490</v>
      </c>
      <c r="AA51" s="51">
        <v>490</v>
      </c>
      <c r="AB51" s="51">
        <v>170</v>
      </c>
      <c r="AC51" s="51">
        <v>360</v>
      </c>
      <c r="AD51" s="51">
        <v>360</v>
      </c>
      <c r="AE51" s="51">
        <v>360</v>
      </c>
      <c r="AF51" s="2" t="s">
        <v>106</v>
      </c>
      <c r="AG51" s="2"/>
      <c r="AH51" s="2"/>
    </row>
    <row r="52" spans="4:34" ht="20.100000000000001" customHeight="1" x14ac:dyDescent="0.25">
      <c r="U52" s="51" t="str">
        <v>September 2024</v>
      </c>
      <c r="V52" s="51">
        <v>340</v>
      </c>
      <c r="W52" s="51">
        <v>800</v>
      </c>
      <c r="X52" s="51">
        <v>260</v>
      </c>
      <c r="Y52" s="51">
        <v>420</v>
      </c>
      <c r="Z52" s="51">
        <v>550</v>
      </c>
      <c r="AA52" s="51">
        <v>550</v>
      </c>
      <c r="AB52" s="51">
        <v>300</v>
      </c>
      <c r="AC52" s="51">
        <v>480</v>
      </c>
      <c r="AD52" s="51">
        <v>480</v>
      </c>
      <c r="AE52" s="51">
        <v>480</v>
      </c>
      <c r="AF52" s="2" t="s">
        <v>106</v>
      </c>
      <c r="AG52" s="2"/>
      <c r="AH52" s="2"/>
    </row>
    <row r="53" spans="4:34" ht="20.100000000000001" customHeight="1" x14ac:dyDescent="0.25">
      <c r="D53" s="96" t="s">
        <v>204</v>
      </c>
      <c r="U53" s="51" t="str">
        <v>October 2024</v>
      </c>
      <c r="V53" s="51">
        <v>340</v>
      </c>
      <c r="W53" s="51">
        <v>800</v>
      </c>
      <c r="X53" s="51">
        <v>260</v>
      </c>
      <c r="Y53" s="51">
        <v>420</v>
      </c>
      <c r="Z53" s="51">
        <v>550</v>
      </c>
      <c r="AA53" s="51">
        <v>550</v>
      </c>
      <c r="AB53" s="51">
        <v>300</v>
      </c>
      <c r="AC53" s="51">
        <v>480</v>
      </c>
      <c r="AD53" s="51">
        <v>480</v>
      </c>
      <c r="AE53" s="51">
        <v>480</v>
      </c>
      <c r="AF53" s="2" t="s">
        <v>106</v>
      </c>
      <c r="AG53" s="2"/>
      <c r="AH53" s="2"/>
    </row>
    <row r="54" spans="4:34" ht="20.100000000000001" customHeight="1" x14ac:dyDescent="0.25">
      <c r="D54" s="95" t="s">
        <v>205</v>
      </c>
      <c r="U54" s="51" t="str">
        <v>November 2024</v>
      </c>
      <c r="V54" s="51">
        <v>340</v>
      </c>
      <c r="W54" s="51">
        <v>800</v>
      </c>
      <c r="X54" s="51">
        <v>260</v>
      </c>
      <c r="Y54" s="51">
        <v>420</v>
      </c>
      <c r="Z54" s="51">
        <v>550</v>
      </c>
      <c r="AA54" s="51">
        <v>550</v>
      </c>
      <c r="AB54" s="51">
        <v>300</v>
      </c>
      <c r="AC54" s="51">
        <v>480</v>
      </c>
      <c r="AD54" s="51">
        <v>480</v>
      </c>
      <c r="AE54" s="51">
        <v>480</v>
      </c>
      <c r="AF54" s="2" t="s">
        <v>106</v>
      </c>
      <c r="AG54" s="2"/>
      <c r="AH54" s="2"/>
    </row>
    <row r="55" spans="4:34" ht="20.100000000000001" customHeight="1" x14ac:dyDescent="0.25">
      <c r="D55" s="50" t="s">
        <v>146</v>
      </c>
      <c r="E55" s="115" t="s">
        <v>104</v>
      </c>
      <c r="F55" s="115" t="s">
        <v>103</v>
      </c>
      <c r="G55" s="115" t="s">
        <v>127</v>
      </c>
      <c r="H55" s="115" t="s">
        <v>128</v>
      </c>
      <c r="I55" s="115" t="s">
        <v>129</v>
      </c>
      <c r="J55" s="115" t="s">
        <v>130</v>
      </c>
      <c r="K55" s="115" t="s">
        <v>131</v>
      </c>
      <c r="L55" s="115" t="s">
        <v>132</v>
      </c>
      <c r="M55" s="115" t="s">
        <v>133</v>
      </c>
      <c r="N55" s="115" t="s">
        <v>134</v>
      </c>
      <c r="U55" s="51" t="str">
        <v>December 2024</v>
      </c>
      <c r="V55" s="51">
        <v>380</v>
      </c>
      <c r="W55" s="51">
        <v>780</v>
      </c>
      <c r="X55" s="51">
        <v>300</v>
      </c>
      <c r="Y55" s="51">
        <v>450</v>
      </c>
      <c r="Z55" s="51">
        <v>530</v>
      </c>
      <c r="AA55" s="51">
        <v>530</v>
      </c>
      <c r="AB55" s="51">
        <v>340</v>
      </c>
      <c r="AC55" s="51">
        <v>470</v>
      </c>
      <c r="AD55" s="51">
        <v>470</v>
      </c>
      <c r="AE55" s="51">
        <v>470</v>
      </c>
      <c r="AF55" s="2" t="s">
        <v>106</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106</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106</v>
      </c>
      <c r="P57" s="2"/>
      <c r="Q57" s="2"/>
      <c r="U57" s="96" t="s">
        <v>217</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106</v>
      </c>
      <c r="P58" s="2"/>
      <c r="Q58" s="2"/>
      <c r="U58" s="95" t="s">
        <v>218</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106</v>
      </c>
      <c r="P59" s="2"/>
      <c r="Q59" s="2"/>
      <c r="U59" s="50" t="str" cm="1">
        <f t="array" ref="U59:AE71">X_Table_PastureBeef_LiveweightGain_Method2</f>
        <v>Method 2 custom values (edit if known)</v>
      </c>
      <c r="V59" s="115" t="str">
        <v>Bulls &lt; 1 year</v>
      </c>
      <c r="W59" s="115" t="str">
        <v>Bulls &gt; 1 year</v>
      </c>
      <c r="X59" s="115" t="str">
        <v>Cows &lt; 1 year</v>
      </c>
      <c r="Y59" s="115" t="str">
        <v>Cows 1-2 years</v>
      </c>
      <c r="Z59" s="115" t="str">
        <v>Cows 2-3 years</v>
      </c>
      <c r="AA59" s="115" t="str">
        <v>Cows &gt; 3 years</v>
      </c>
      <c r="AB59" s="115" t="str">
        <v>Steers &lt; 1 year</v>
      </c>
      <c r="AC59" s="115" t="str">
        <v>Steers 1-2 years</v>
      </c>
      <c r="AD59" s="115" t="str">
        <v>Steers 2-3 years</v>
      </c>
      <c r="AE59" s="115" t="str">
        <v>Steers &gt;3 years</v>
      </c>
      <c r="AG59" s="2"/>
      <c r="AH59" s="2"/>
    </row>
    <row r="60" spans="4:34" ht="20.100000000000001" customHeight="1" x14ac:dyDescent="0.25">
      <c r="U60" s="51" t="str">
        <v>January 2024</v>
      </c>
      <c r="V60" s="51">
        <v>0.44</v>
      </c>
      <c r="W60" s="51">
        <v>-0.22</v>
      </c>
      <c r="X60" s="51">
        <v>0.44</v>
      </c>
      <c r="Y60" s="51">
        <v>0.33</v>
      </c>
      <c r="Z60" s="51">
        <v>-0.22</v>
      </c>
      <c r="AA60" s="51">
        <v>-0.22</v>
      </c>
      <c r="AB60" s="51">
        <v>0.44</v>
      </c>
      <c r="AC60" s="51">
        <v>-0.11</v>
      </c>
      <c r="AD60" s="51">
        <v>-0.11</v>
      </c>
      <c r="AE60" s="51">
        <v>-0.11</v>
      </c>
      <c r="AF60" s="2" t="s">
        <v>107</v>
      </c>
      <c r="AG60" s="2"/>
      <c r="AH60" s="2"/>
    </row>
    <row r="61" spans="4:34" ht="20.100000000000001" customHeight="1" x14ac:dyDescent="0.25">
      <c r="D61" s="96" t="s">
        <v>207</v>
      </c>
      <c r="U61" s="51" t="str">
        <v>February 2024</v>
      </c>
      <c r="V61" s="51">
        <v>0.44</v>
      </c>
      <c r="W61" s="51">
        <v>-0.22</v>
      </c>
      <c r="X61" s="51">
        <v>0.44</v>
      </c>
      <c r="Y61" s="51">
        <v>0.33</v>
      </c>
      <c r="Z61" s="51">
        <v>-0.22</v>
      </c>
      <c r="AA61" s="51">
        <v>-0.22</v>
      </c>
      <c r="AB61" s="51">
        <v>0.44</v>
      </c>
      <c r="AC61" s="51">
        <v>-0.11</v>
      </c>
      <c r="AD61" s="51">
        <v>-0.11</v>
      </c>
      <c r="AE61" s="51">
        <v>-0.11</v>
      </c>
      <c r="AF61" s="2" t="s">
        <v>107</v>
      </c>
      <c r="AG61" s="2"/>
      <c r="AH61" s="2"/>
    </row>
    <row r="62" spans="4:34" ht="20.100000000000001" customHeight="1" x14ac:dyDescent="0.25">
      <c r="D62" s="95" t="s">
        <v>115</v>
      </c>
      <c r="U62" s="51" t="str">
        <v>March 2024</v>
      </c>
      <c r="V62" s="51">
        <v>0.6</v>
      </c>
      <c r="W62" s="51">
        <v>0</v>
      </c>
      <c r="X62" s="51">
        <v>0.6</v>
      </c>
      <c r="Y62" s="51">
        <v>0.22</v>
      </c>
      <c r="Z62" s="51">
        <v>-0.55000000000000004</v>
      </c>
      <c r="AA62" s="51">
        <v>-0.55000000000000004</v>
      </c>
      <c r="AB62" s="51">
        <v>0.6</v>
      </c>
      <c r="AC62" s="51">
        <v>0</v>
      </c>
      <c r="AD62" s="51">
        <v>0</v>
      </c>
      <c r="AE62" s="51">
        <v>0</v>
      </c>
      <c r="AF62" s="2" t="s">
        <v>107</v>
      </c>
      <c r="AG62" s="2"/>
      <c r="AH62" s="2"/>
    </row>
    <row r="63" spans="4:34" ht="20.100000000000001" customHeight="1" x14ac:dyDescent="0.25">
      <c r="D63" s="50" t="s">
        <v>146</v>
      </c>
      <c r="E63" s="50" t="s">
        <v>104</v>
      </c>
      <c r="F63" s="50" t="s">
        <v>103</v>
      </c>
      <c r="G63" s="50" t="s">
        <v>127</v>
      </c>
      <c r="H63" s="50" t="s">
        <v>128</v>
      </c>
      <c r="I63" s="50" t="s">
        <v>129</v>
      </c>
      <c r="J63" s="50" t="s">
        <v>130</v>
      </c>
      <c r="K63" s="50" t="s">
        <v>131</v>
      </c>
      <c r="L63" s="50" t="s">
        <v>132</v>
      </c>
      <c r="M63" s="50" t="s">
        <v>133</v>
      </c>
      <c r="N63" s="50" t="s">
        <v>134</v>
      </c>
      <c r="U63" s="51" t="str">
        <v>April 2024</v>
      </c>
      <c r="V63" s="51">
        <v>0.6</v>
      </c>
      <c r="W63" s="51">
        <v>0</v>
      </c>
      <c r="X63" s="51">
        <v>0.6</v>
      </c>
      <c r="Y63" s="51">
        <v>0.22</v>
      </c>
      <c r="Z63" s="51">
        <v>-0.55000000000000004</v>
      </c>
      <c r="AA63" s="51">
        <v>-0.55000000000000004</v>
      </c>
      <c r="AB63" s="51">
        <v>0.6</v>
      </c>
      <c r="AC63" s="51">
        <v>0</v>
      </c>
      <c r="AD63" s="51">
        <v>0</v>
      </c>
      <c r="AE63" s="51">
        <v>0</v>
      </c>
      <c r="AF63" s="2" t="s">
        <v>107</v>
      </c>
      <c r="AG63" s="2"/>
      <c r="AH63" s="2"/>
    </row>
    <row r="64" spans="4:34" ht="20.100000000000001" customHeight="1" x14ac:dyDescent="0.25">
      <c r="D64" s="51" t="s">
        <v>135</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v>May 2024</v>
      </c>
      <c r="V64" s="51">
        <v>0.6</v>
      </c>
      <c r="W64" s="51">
        <v>0</v>
      </c>
      <c r="X64" s="51">
        <v>0.6</v>
      </c>
      <c r="Y64" s="51">
        <v>0.22</v>
      </c>
      <c r="Z64" s="51">
        <v>-0.55000000000000004</v>
      </c>
      <c r="AA64" s="51">
        <v>-0.55000000000000004</v>
      </c>
      <c r="AB64" s="51">
        <v>0.6</v>
      </c>
      <c r="AC64" s="51">
        <v>0</v>
      </c>
      <c r="AD64" s="51">
        <v>0</v>
      </c>
      <c r="AE64" s="51">
        <v>0</v>
      </c>
      <c r="AF64" s="2" t="s">
        <v>107</v>
      </c>
    </row>
    <row r="65" spans="3:34" ht="20.100000000000001" customHeight="1" x14ac:dyDescent="0.25">
      <c r="D65" s="51" t="s">
        <v>136</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v>June 2024</v>
      </c>
      <c r="V65" s="51">
        <v>0.99</v>
      </c>
      <c r="W65" s="51">
        <v>0.22</v>
      </c>
      <c r="X65" s="51">
        <v>0.77</v>
      </c>
      <c r="Y65" s="51">
        <v>0.11</v>
      </c>
      <c r="Z65" s="51">
        <v>0.11</v>
      </c>
      <c r="AA65" s="51">
        <v>0.11</v>
      </c>
      <c r="AB65" s="51">
        <v>0.77</v>
      </c>
      <c r="AC65" s="51">
        <v>0.44</v>
      </c>
      <c r="AD65" s="51">
        <v>0.44</v>
      </c>
      <c r="AE65" s="51">
        <v>0.44</v>
      </c>
      <c r="AF65" s="2" t="s">
        <v>107</v>
      </c>
    </row>
    <row r="66" spans="3:34" ht="20.100000000000001" customHeight="1" x14ac:dyDescent="0.25">
      <c r="D66" s="51" t="s">
        <v>137</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v>July 2024</v>
      </c>
      <c r="V66" s="51">
        <v>0.99</v>
      </c>
      <c r="W66" s="51">
        <v>0.22</v>
      </c>
      <c r="X66" s="51">
        <v>0.77</v>
      </c>
      <c r="Y66" s="51">
        <v>0.11</v>
      </c>
      <c r="Z66" s="51">
        <v>0.11</v>
      </c>
      <c r="AA66" s="51">
        <v>0.11</v>
      </c>
      <c r="AB66" s="51">
        <v>0.77</v>
      </c>
      <c r="AC66" s="51">
        <v>0.44</v>
      </c>
      <c r="AD66" s="51">
        <v>0.44</v>
      </c>
      <c r="AE66" s="51">
        <v>0.44</v>
      </c>
      <c r="AF66" s="2" t="s">
        <v>107</v>
      </c>
    </row>
    <row r="67" spans="3:34" ht="20.100000000000001" customHeight="1" x14ac:dyDescent="0.25">
      <c r="D67" s="51" t="s">
        <v>138</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v>August 2024</v>
      </c>
      <c r="V67" s="51">
        <v>0.99</v>
      </c>
      <c r="W67" s="51">
        <v>0.22</v>
      </c>
      <c r="X67" s="51">
        <v>0.77</v>
      </c>
      <c r="Y67" s="51">
        <v>0.11</v>
      </c>
      <c r="Z67" s="51">
        <v>0.11</v>
      </c>
      <c r="AA67" s="51">
        <v>0.11</v>
      </c>
      <c r="AB67" s="51">
        <v>0.77</v>
      </c>
      <c r="AC67" s="51">
        <v>0.44</v>
      </c>
      <c r="AD67" s="51">
        <v>0.44</v>
      </c>
      <c r="AE67" s="51">
        <v>0.44</v>
      </c>
      <c r="AF67" s="2" t="s">
        <v>107</v>
      </c>
    </row>
    <row r="68" spans="3:34" ht="20.100000000000001" customHeight="1" x14ac:dyDescent="0.25">
      <c r="U68" s="51" t="str">
        <v>September 2024</v>
      </c>
      <c r="V68" s="51">
        <v>1.64</v>
      </c>
      <c r="W68" s="51">
        <v>1.1000000000000001</v>
      </c>
      <c r="X68" s="51">
        <v>1.21</v>
      </c>
      <c r="Y68" s="51">
        <v>0.99</v>
      </c>
      <c r="Z68" s="51">
        <v>0.66</v>
      </c>
      <c r="AA68" s="51">
        <v>0.66</v>
      </c>
      <c r="AB68" s="51">
        <v>1.42</v>
      </c>
      <c r="AC68" s="51">
        <v>1.1000000000000001</v>
      </c>
      <c r="AD68" s="51">
        <v>1.1000000000000001</v>
      </c>
      <c r="AE68" s="51">
        <v>1.1000000000000001</v>
      </c>
      <c r="AF68" s="2" t="s">
        <v>107</v>
      </c>
      <c r="AG68" s="2"/>
      <c r="AH68" s="2"/>
    </row>
    <row r="69" spans="3:34" ht="20.100000000000001" customHeight="1" x14ac:dyDescent="0.25">
      <c r="U69" s="51" t="str">
        <v>October 2024</v>
      </c>
      <c r="V69" s="51">
        <v>1.64</v>
      </c>
      <c r="W69" s="51">
        <v>1.1000000000000001</v>
      </c>
      <c r="X69" s="51">
        <v>1.21</v>
      </c>
      <c r="Y69" s="51">
        <v>0.99</v>
      </c>
      <c r="Z69" s="51">
        <v>0.66</v>
      </c>
      <c r="AA69" s="51">
        <v>0.66</v>
      </c>
      <c r="AB69" s="51">
        <v>1.42</v>
      </c>
      <c r="AC69" s="51">
        <v>1.1000000000000001</v>
      </c>
      <c r="AD69" s="51">
        <v>1.1000000000000001</v>
      </c>
      <c r="AE69" s="51">
        <v>1.1000000000000001</v>
      </c>
      <c r="AF69" s="2" t="s">
        <v>107</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v>November 2024</v>
      </c>
      <c r="V70" s="51">
        <v>1.64</v>
      </c>
      <c r="W70" s="51">
        <v>1.1000000000000001</v>
      </c>
      <c r="X70" s="51">
        <v>1.21</v>
      </c>
      <c r="Y70" s="51">
        <v>0.99</v>
      </c>
      <c r="Z70" s="51">
        <v>0.66</v>
      </c>
      <c r="AA70" s="51">
        <v>0.66</v>
      </c>
      <c r="AB70" s="51">
        <v>1.42</v>
      </c>
      <c r="AC70" s="51">
        <v>1.1000000000000001</v>
      </c>
      <c r="AD70" s="51">
        <v>1.1000000000000001</v>
      </c>
      <c r="AE70" s="51">
        <v>1.1000000000000001</v>
      </c>
      <c r="AF70" s="2" t="s">
        <v>107</v>
      </c>
      <c r="AG70" s="2"/>
      <c r="AH70" s="2"/>
    </row>
    <row r="71" spans="3:34" ht="20.100000000000001" customHeight="1" x14ac:dyDescent="0.25">
      <c r="D71" s="6" t="str" cm="1">
        <f t="array" ref="D71">EntericMethane_PastureBeef_Equations.VEERG_3_2_1_1__2_DailyEntericMethaneProduction_Title()</f>
        <v>Daily production of enteric methane</v>
      </c>
      <c r="U71" s="51" t="str">
        <v>December 2024</v>
      </c>
      <c r="V71" s="51">
        <v>0.44</v>
      </c>
      <c r="W71" s="51">
        <v>-0.22</v>
      </c>
      <c r="X71" s="51">
        <v>0.44</v>
      </c>
      <c r="Y71" s="51">
        <v>0.33</v>
      </c>
      <c r="Z71" s="51">
        <v>-0.22</v>
      </c>
      <c r="AA71" s="51">
        <v>-0.22</v>
      </c>
      <c r="AB71" s="51">
        <v>0.44</v>
      </c>
      <c r="AC71" s="51">
        <v>-0.11</v>
      </c>
      <c r="AD71" s="51">
        <v>-0.11</v>
      </c>
      <c r="AE71" s="51">
        <v>-0.11</v>
      </c>
      <c r="AF71" s="2" t="s">
        <v>107</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21</v>
      </c>
      <c r="E73" s="13" t="str" cm="1">
        <f t="array" aca="1" ref="E73" ca="1">Common_InputFunctions.Utility_DisplayFunctionName(E85)</f>
        <v>=EntericMethane_PastureBeef_Equations.VEERG_3_2_1_1__2_DailyEntericMethaneProduction</v>
      </c>
      <c r="U73" s="96" t="s">
        <v>219</v>
      </c>
      <c r="AG73" s="2"/>
      <c r="AH73" s="2"/>
    </row>
    <row r="74" spans="3:34" ht="20.100000000000001" customHeight="1" x14ac:dyDescent="0.25">
      <c r="U74" s="95" t="s">
        <v>114</v>
      </c>
      <c r="AG74" s="2"/>
      <c r="AH74" s="2"/>
    </row>
    <row r="75" spans="3:34" ht="20.100000000000001" customHeight="1" x14ac:dyDescent="0.25">
      <c r="U75" s="50" t="s">
        <v>105</v>
      </c>
      <c r="V75" s="50" t="s">
        <v>104</v>
      </c>
      <c r="W75" s="50" t="s">
        <v>103</v>
      </c>
      <c r="X75" s="50" t="s">
        <v>127</v>
      </c>
      <c r="Y75" s="50" t="s">
        <v>128</v>
      </c>
      <c r="Z75" s="50" t="s">
        <v>129</v>
      </c>
      <c r="AA75" s="50" t="s">
        <v>130</v>
      </c>
      <c r="AB75" s="50" t="s">
        <v>131</v>
      </c>
      <c r="AC75" s="50" t="s">
        <v>132</v>
      </c>
      <c r="AD75" s="50" t="s">
        <v>133</v>
      </c>
      <c r="AE75" s="50" t="s">
        <v>134</v>
      </c>
      <c r="AG75" s="2"/>
      <c r="AH75" s="2"/>
    </row>
    <row r="76" spans="3:34" ht="20.100000000000001" customHeight="1" x14ac:dyDescent="0.25">
      <c r="U76" s="51" t="str">
        <f>TEXT('Input - Site'!$E$12, "mmmm yyyy")</f>
        <v>January 2024</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24</v>
      </c>
      <c r="E77" s="1" t="str" cm="1">
        <f t="array" ref="E77">EntericMethane_PastureBeef_Equations.VEERG_3_2_1_1__2_DailyEntericMethaneProduction_Variable()</f>
        <v>M_jkl</v>
      </c>
      <c r="U77" s="51" t="str">
        <f>TEXT(EDATE('Input - Site'!$E$12,1), "mmmm yyyy")</f>
        <v>February 2024</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15</v>
      </c>
      <c r="E78" s="53" t="str" cm="1">
        <f t="array" ref="E78">EntericMethane_PastureBeef_Equations.VEERG_3_2_1_1__2_DailyEntericMethaneProduction_Unit()</f>
        <v>kg CH4/head/day</v>
      </c>
      <c r="U78" s="51" t="str">
        <f>TEXT(EDATE('Input - Site'!$E$12,2), "mmmm yyyy")</f>
        <v>March 2024</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2024</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2024</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2024</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258</v>
      </c>
      <c r="U82" s="51" t="str">
        <f>TEXT(EDATE('Input - Site'!$E$12,6), "mmmm yyyy")</f>
        <v>July 2024</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259</v>
      </c>
      <c r="U83" s="51" t="str">
        <f>TEXT(EDATE('Input - Site'!$E$12,7), "mmmm yyyy")</f>
        <v>August 2024</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146</v>
      </c>
      <c r="E84" s="50" t="s">
        <v>104</v>
      </c>
      <c r="F84" s="50" t="s">
        <v>103</v>
      </c>
      <c r="G84" s="50" t="s">
        <v>127</v>
      </c>
      <c r="H84" s="50" t="s">
        <v>128</v>
      </c>
      <c r="I84" s="50" t="s">
        <v>129</v>
      </c>
      <c r="J84" s="50" t="s">
        <v>130</v>
      </c>
      <c r="K84" s="50" t="s">
        <v>131</v>
      </c>
      <c r="L84" s="50" t="s">
        <v>132</v>
      </c>
      <c r="M84" s="50" t="s">
        <v>133</v>
      </c>
      <c r="N84" s="50" t="s">
        <v>134</v>
      </c>
      <c r="U84" s="51" t="str">
        <f>TEXT(EDATE('Input - Site'!$E$12,8), "mmmm yyyy")</f>
        <v>September 2024</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135</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2024</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136</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2024</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137</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2024</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138</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21</v>
      </c>
      <c r="E94" s="13" t="str" cm="1">
        <f t="array" aca="1" ref="E94" ca="1">Common_InputFunctions.Utility_DisplayFunctionName(E123)</f>
        <v>=EntericMethane_PastureBeef_Equations.VEERG_3_2_1_1__1_TotalAnnualMethaneFromEntericFermentation</v>
      </c>
      <c r="U94" s="96" t="s">
        <v>264</v>
      </c>
    </row>
    <row r="95" spans="3:35" ht="20.100000000000001" customHeight="1" x14ac:dyDescent="0.25">
      <c r="U95" s="95" t="s">
        <v>265</v>
      </c>
    </row>
    <row r="96" spans="3:35" ht="20.100000000000001" customHeight="1" x14ac:dyDescent="0.25">
      <c r="U96" s="50" t="s">
        <v>105</v>
      </c>
      <c r="V96" s="50" t="s">
        <v>104</v>
      </c>
      <c r="W96" s="50" t="s">
        <v>103</v>
      </c>
      <c r="X96" s="50" t="s">
        <v>127</v>
      </c>
      <c r="Y96" s="50" t="s">
        <v>128</v>
      </c>
      <c r="Z96" s="50" t="s">
        <v>129</v>
      </c>
      <c r="AA96" s="50" t="s">
        <v>130</v>
      </c>
      <c r="AB96" s="50" t="s">
        <v>131</v>
      </c>
      <c r="AC96" s="50" t="s">
        <v>132</v>
      </c>
      <c r="AD96" s="50" t="s">
        <v>133</v>
      </c>
      <c r="AE96" s="50" t="s">
        <v>134</v>
      </c>
    </row>
    <row r="97" spans="4:35" ht="20.100000000000001" customHeight="1" x14ac:dyDescent="0.25">
      <c r="D97" s="52" t="s">
        <v>24</v>
      </c>
      <c r="E97" s="1" t="str" cm="1">
        <f t="array" ref="E97">EntericMethane_PastureBeef_Equations.VEERG_3_2_1_1__1_TotalAnnualMethaneFromEntericFermentation_Variable()</f>
        <v>E_enteric</v>
      </c>
      <c r="U97" s="51" t="str">
        <f>TEXT('Input - Site'!$E$12, "mmmm yyyy")</f>
        <v>January 2024</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15</v>
      </c>
      <c r="E98" s="53" t="str" cm="1">
        <f t="array" ref="E98">EntericMethane_PastureBeef_Equations.VEERG_3_2_1_1__1_TotalAnnualMethaneFromEntericFermentation_Unit()</f>
        <v>t CH4</v>
      </c>
      <c r="U98" s="51" t="str">
        <f>TEXT(EDATE('Input - Site'!$E$12,1), "mmmm yyyy")</f>
        <v>February 2024</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TEXT(EDATE('Input - Site'!$E$12,2), "mmmm yyyy")</f>
        <v>March 2024</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TEXT(EDATE('Input - Site'!$E$12,3), "mmmm yyyy")</f>
        <v>April 2024</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TEXT(EDATE('Input - Site'!$E$12,4), "mmmm yyyy")</f>
        <v>May 2024</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TEXT(EDATE('Input - Site'!$E$12,5), "mmmm yyyy")</f>
        <v>June 2024</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TEXT(EDATE('Input - Site'!$E$12,6), "mmmm yyyy")</f>
        <v>July 2024</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225</v>
      </c>
      <c r="U104" s="51" t="str">
        <f>TEXT(EDATE('Input - Site'!$E$12,7), "mmmm yyyy")</f>
        <v>August 2024</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226</v>
      </c>
      <c r="U105" s="51" t="str">
        <f>TEXT(EDATE('Input - Site'!$E$12,8), "mmmm yyyy")</f>
        <v>September 2024</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tr" cm="1">
        <f t="array" ref="D106:N110">X_Table_PastureBeef_Head_Method1</f>
        <v>Method 1 values</v>
      </c>
      <c r="E106" s="115" t="str">
        <v>Bulls &lt; 1 year</v>
      </c>
      <c r="F106" s="115" t="str">
        <v>Bulls &gt; 1 year</v>
      </c>
      <c r="G106" s="115" t="str">
        <v>Cows &lt; 1 year</v>
      </c>
      <c r="H106" s="115" t="str">
        <v>Cows 1-2 years</v>
      </c>
      <c r="I106" s="115" t="str">
        <v>Cows 2-3 years</v>
      </c>
      <c r="J106" s="115" t="str">
        <v>Cows &gt; 3 years</v>
      </c>
      <c r="K106" s="115" t="str">
        <v>Steers &lt; 1 year</v>
      </c>
      <c r="L106" s="115" t="str">
        <v>Steers 1-2 years</v>
      </c>
      <c r="M106" s="115" t="str">
        <v>Steers 2-3 years</v>
      </c>
      <c r="N106" s="115" t="str">
        <v>Steers &gt;3 years</v>
      </c>
      <c r="U106" s="51" t="str">
        <f>TEXT(EDATE('Input - Site'!$E$12,9), "mmmm yyyy")</f>
        <v>October 2024</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tr">
        <v>Spring</v>
      </c>
      <c r="E107" s="51">
        <v>100</v>
      </c>
      <c r="F107" s="51">
        <v>100</v>
      </c>
      <c r="G107" s="51">
        <v>100</v>
      </c>
      <c r="H107" s="51">
        <v>100</v>
      </c>
      <c r="I107" s="51">
        <v>100</v>
      </c>
      <c r="J107" s="51">
        <v>100</v>
      </c>
      <c r="K107" s="51">
        <v>100</v>
      </c>
      <c r="L107" s="51">
        <v>100</v>
      </c>
      <c r="M107" s="51">
        <v>100</v>
      </c>
      <c r="N107" s="51">
        <v>100</v>
      </c>
      <c r="O107" s="2" t="str">
        <f>G102</f>
        <v>head</v>
      </c>
      <c r="U107" s="51" t="str">
        <f>TEXT(EDATE('Input - Site'!$E$12,10), "mmmm yyyy")</f>
        <v>November 2024</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tr">
        <v>Summer</v>
      </c>
      <c r="E108" s="51">
        <v>100</v>
      </c>
      <c r="F108" s="51">
        <v>100</v>
      </c>
      <c r="G108" s="51">
        <v>100</v>
      </c>
      <c r="H108" s="51">
        <v>100</v>
      </c>
      <c r="I108" s="51">
        <v>100</v>
      </c>
      <c r="J108" s="51">
        <v>100</v>
      </c>
      <c r="K108" s="51">
        <v>100</v>
      </c>
      <c r="L108" s="51">
        <v>100</v>
      </c>
      <c r="M108" s="51">
        <v>100</v>
      </c>
      <c r="N108" s="51">
        <v>100</v>
      </c>
      <c r="O108" s="2"/>
      <c r="U108" s="51" t="str">
        <f>TEXT(EDATE('Input - Site'!$E$12,11), "mmmm yyyy")</f>
        <v>December 2024</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tr">
        <v>Autumn</v>
      </c>
      <c r="E109" s="51">
        <v>100</v>
      </c>
      <c r="F109" s="51">
        <v>100</v>
      </c>
      <c r="G109" s="51">
        <v>100</v>
      </c>
      <c r="H109" s="51">
        <v>100</v>
      </c>
      <c r="I109" s="51">
        <v>100</v>
      </c>
      <c r="J109" s="51">
        <v>100</v>
      </c>
      <c r="K109" s="51">
        <v>100</v>
      </c>
      <c r="L109" s="51">
        <v>100</v>
      </c>
      <c r="M109" s="51">
        <v>100</v>
      </c>
      <c r="N109" s="51">
        <v>100</v>
      </c>
      <c r="O109" s="2"/>
    </row>
    <row r="110" spans="4:35" ht="20.100000000000001" customHeight="1" x14ac:dyDescent="0.25">
      <c r="D110" s="51" t="str">
        <v>Winter</v>
      </c>
      <c r="E110" s="51">
        <v>100</v>
      </c>
      <c r="F110" s="51">
        <v>100</v>
      </c>
      <c r="G110" s="51">
        <v>100</v>
      </c>
      <c r="H110" s="51">
        <v>100</v>
      </c>
      <c r="I110" s="51">
        <v>100</v>
      </c>
      <c r="J110" s="51">
        <v>100</v>
      </c>
      <c r="K110" s="51">
        <v>100</v>
      </c>
      <c r="L110" s="51">
        <v>100</v>
      </c>
      <c r="M110" s="51">
        <v>100</v>
      </c>
      <c r="N110" s="51">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116</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227</v>
      </c>
    </row>
    <row r="114" spans="4:34" ht="20.100000000000001" customHeight="1" x14ac:dyDescent="0.25">
      <c r="D114" s="50" t="str" cm="1">
        <f t="array" ref="D114:N118">X_Table_PastureBeef_Duration_Method1</f>
        <v>Method 1 default values (do not edit)</v>
      </c>
      <c r="E114" s="115" t="str">
        <v>Bulls &lt; 1 year</v>
      </c>
      <c r="F114" s="115" t="str">
        <v>Bulls &gt; 1 year</v>
      </c>
      <c r="G114" s="115" t="str">
        <v>Cows &lt; 1 year</v>
      </c>
      <c r="H114" s="115" t="str">
        <v>Cows 1-2 years</v>
      </c>
      <c r="I114" s="115" t="str">
        <v>Cows 2-3 years</v>
      </c>
      <c r="J114" s="115" t="str">
        <v>Cows &gt; 3 years</v>
      </c>
      <c r="K114" s="115" t="str">
        <v>Steers &lt; 1 year</v>
      </c>
      <c r="L114" s="115" t="str">
        <v>Steers 1-2 years</v>
      </c>
      <c r="M114" s="115" t="str">
        <v>Steers 2-3 years</v>
      </c>
      <c r="N114" s="115" t="str">
        <v>Steers &gt;3 years</v>
      </c>
      <c r="U114" s="96" t="s">
        <v>228</v>
      </c>
    </row>
    <row r="115" spans="4:34" ht="20.100000000000001" customHeight="1" x14ac:dyDescent="0.25">
      <c r="D115" s="51" t="str">
        <v>Spring</v>
      </c>
      <c r="E115" s="51">
        <v>91.25</v>
      </c>
      <c r="F115" s="51">
        <v>91.25</v>
      </c>
      <c r="G115" s="51">
        <v>91.25</v>
      </c>
      <c r="H115" s="51">
        <v>91.25</v>
      </c>
      <c r="I115" s="51">
        <v>91.25</v>
      </c>
      <c r="J115" s="51">
        <v>91.25</v>
      </c>
      <c r="K115" s="51">
        <v>91.25</v>
      </c>
      <c r="L115" s="51">
        <v>91.25</v>
      </c>
      <c r="M115" s="51">
        <v>91.25</v>
      </c>
      <c r="N115" s="51">
        <v>91.25</v>
      </c>
      <c r="O115" s="2" t="str">
        <f>G100</f>
        <v>days</v>
      </c>
      <c r="U115" s="95" t="s">
        <v>229</v>
      </c>
      <c r="AH115" s="2"/>
    </row>
    <row r="116" spans="4:34" ht="20.100000000000001" customHeight="1" x14ac:dyDescent="0.25">
      <c r="D116" s="51" t="str">
        <v>Summer</v>
      </c>
      <c r="E116" s="51">
        <v>91.25</v>
      </c>
      <c r="F116" s="51">
        <v>91.25</v>
      </c>
      <c r="G116" s="51">
        <v>91.25</v>
      </c>
      <c r="H116" s="51">
        <v>91.25</v>
      </c>
      <c r="I116" s="51">
        <v>91.25</v>
      </c>
      <c r="J116" s="51">
        <v>91.25</v>
      </c>
      <c r="K116" s="51">
        <v>91.25</v>
      </c>
      <c r="L116" s="51">
        <v>91.25</v>
      </c>
      <c r="M116" s="51">
        <v>91.25</v>
      </c>
      <c r="N116" s="51">
        <v>91.25</v>
      </c>
      <c r="O116" s="2"/>
      <c r="U116" s="50" t="s">
        <v>105</v>
      </c>
      <c r="V116" s="115" t="s">
        <v>104</v>
      </c>
      <c r="W116" s="115" t="s">
        <v>103</v>
      </c>
      <c r="X116" s="115" t="s">
        <v>127</v>
      </c>
      <c r="Y116" s="115" t="s">
        <v>128</v>
      </c>
      <c r="Z116" s="115" t="s">
        <v>129</v>
      </c>
      <c r="AA116" s="115" t="s">
        <v>130</v>
      </c>
      <c r="AB116" s="115" t="s">
        <v>131</v>
      </c>
      <c r="AC116" s="115" t="s">
        <v>132</v>
      </c>
      <c r="AD116" s="115" t="s">
        <v>133</v>
      </c>
      <c r="AE116" s="115" t="s">
        <v>134</v>
      </c>
      <c r="AF116" s="2"/>
      <c r="AH116" s="2"/>
    </row>
    <row r="117" spans="4:34" ht="20.100000000000001" customHeight="1" x14ac:dyDescent="0.25">
      <c r="D117" s="51" t="str">
        <v>Autumn</v>
      </c>
      <c r="E117" s="51">
        <v>91.25</v>
      </c>
      <c r="F117" s="51">
        <v>91.25</v>
      </c>
      <c r="G117" s="51">
        <v>91.25</v>
      </c>
      <c r="H117" s="51">
        <v>91.25</v>
      </c>
      <c r="I117" s="51">
        <v>91.25</v>
      </c>
      <c r="J117" s="51">
        <v>91.25</v>
      </c>
      <c r="K117" s="51">
        <v>91.25</v>
      </c>
      <c r="L117" s="51">
        <v>91.25</v>
      </c>
      <c r="M117" s="51">
        <v>91.25</v>
      </c>
      <c r="N117" s="51">
        <v>91.25</v>
      </c>
      <c r="O117" s="2"/>
      <c r="U117" s="51" t="str">
        <f>TEXT('Input - Site'!$E$12, "mmmm yyyy")</f>
        <v>January 2024</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tr">
        <v>Winter</v>
      </c>
      <c r="E118" s="51">
        <v>91.25</v>
      </c>
      <c r="F118" s="51">
        <v>91.25</v>
      </c>
      <c r="G118" s="51">
        <v>91.25</v>
      </c>
      <c r="H118" s="51">
        <v>91.25</v>
      </c>
      <c r="I118" s="51">
        <v>91.25</v>
      </c>
      <c r="J118" s="51">
        <v>91.25</v>
      </c>
      <c r="K118" s="51">
        <v>91.25</v>
      </c>
      <c r="L118" s="51">
        <v>91.25</v>
      </c>
      <c r="M118" s="51">
        <v>91.25</v>
      </c>
      <c r="N118" s="51">
        <v>91.25</v>
      </c>
      <c r="O118" s="2"/>
      <c r="U118" s="51" t="str">
        <f>TEXT(EDATE('Input - Site'!$E$12,1), "mmmm yyyy")</f>
        <v>February 2024</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2024</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260</v>
      </c>
      <c r="U120" s="51" t="str">
        <f>TEXT(EDATE('Input - Site'!$E$12,3), "mmmm yyyy")</f>
        <v>April 2024</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261</v>
      </c>
      <c r="U121" s="51" t="str">
        <f>TEXT(EDATE('Input - Site'!$E$12,4), "mmmm yyyy")</f>
        <v>May 2024</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146</v>
      </c>
      <c r="E122" s="50" t="s">
        <v>104</v>
      </c>
      <c r="F122" s="50" t="s">
        <v>103</v>
      </c>
      <c r="G122" s="50" t="s">
        <v>127</v>
      </c>
      <c r="H122" s="50" t="s">
        <v>128</v>
      </c>
      <c r="I122" s="50" t="s">
        <v>129</v>
      </c>
      <c r="J122" s="50" t="s">
        <v>130</v>
      </c>
      <c r="K122" s="50" t="s">
        <v>131</v>
      </c>
      <c r="L122" s="50" t="s">
        <v>132</v>
      </c>
      <c r="M122" s="50" t="s">
        <v>133</v>
      </c>
      <c r="N122" s="50" t="s">
        <v>134</v>
      </c>
      <c r="U122" s="51" t="str">
        <f>TEXT(EDATE('Input - Site'!$E$12,5), "mmmm yyyy")</f>
        <v>June 2024</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135</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2024</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136</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2024</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137</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2024</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138</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2024</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2024</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232</v>
      </c>
      <c r="E128" s="98">
        <f>SUM(E123:N126)</f>
        <v>55.678061774650885</v>
      </c>
      <c r="F128" s="99" t="str">
        <f>$E$98</f>
        <v>t CH4</v>
      </c>
      <c r="Q128" s="2"/>
      <c r="U128" s="51" t="str">
        <f>TEXT(EDATE('Input - Site'!$E$12,11), "mmmm yyyy")</f>
        <v>December 2024</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118</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230</v>
      </c>
      <c r="AH131" s="2"/>
    </row>
    <row r="132" spans="4:34" ht="20.100000000000001" customHeight="1" x14ac:dyDescent="0.25">
      <c r="U132" s="50" t="s">
        <v>105</v>
      </c>
      <c r="V132" s="115" t="s">
        <v>104</v>
      </c>
      <c r="W132" s="115" t="s">
        <v>103</v>
      </c>
      <c r="X132" s="115" t="s">
        <v>127</v>
      </c>
      <c r="Y132" s="115" t="s">
        <v>128</v>
      </c>
      <c r="Z132" s="115" t="s">
        <v>129</v>
      </c>
      <c r="AA132" s="115" t="s">
        <v>130</v>
      </c>
      <c r="AB132" s="115" t="s">
        <v>131</v>
      </c>
      <c r="AC132" s="115" t="s">
        <v>132</v>
      </c>
      <c r="AD132" s="115" t="s">
        <v>133</v>
      </c>
      <c r="AE132" s="115" t="s">
        <v>134</v>
      </c>
      <c r="AF132" s="2"/>
      <c r="AH132" s="2"/>
    </row>
    <row r="133" spans="4:34" ht="20.100000000000001" customHeight="1" x14ac:dyDescent="0.25">
      <c r="D133" s="44" t="s">
        <v>83</v>
      </c>
      <c r="E133" s="44" cm="1">
        <f t="array" ref="E133">Common_Equations.Common_ConvertN2OToCO2e(G130,G131)</f>
        <v>1558.9857296902248</v>
      </c>
      <c r="F133" s="101" t="str" cm="1">
        <f t="array" ref="F133">Common_Equations.Common_ConvertN2OToCO2e_Unit()</f>
        <v>t CO2e</v>
      </c>
      <c r="U133" s="51" t="str">
        <f>TEXT('Input - Site'!$E$12, "mmmm yyyy")</f>
        <v>January 2024</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2024</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2024</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2024</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2024</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2024</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2024</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2024</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2024</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2024</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2024</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2024</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262</v>
      </c>
    </row>
    <row r="147" spans="21:32" ht="20.100000000000001" customHeight="1" x14ac:dyDescent="0.25">
      <c r="U147" s="95" t="s">
        <v>263</v>
      </c>
    </row>
    <row r="148" spans="21:32" ht="20.100000000000001" customHeight="1" x14ac:dyDescent="0.25">
      <c r="U148" s="50" t="s">
        <v>105</v>
      </c>
      <c r="V148" s="50" t="s">
        <v>104</v>
      </c>
      <c r="W148" s="50" t="s">
        <v>103</v>
      </c>
      <c r="X148" s="50" t="s">
        <v>127</v>
      </c>
      <c r="Y148" s="50" t="s">
        <v>128</v>
      </c>
      <c r="Z148" s="50" t="s">
        <v>129</v>
      </c>
      <c r="AA148" s="50" t="s">
        <v>130</v>
      </c>
      <c r="AB148" s="50" t="s">
        <v>131</v>
      </c>
      <c r="AC148" s="50" t="s">
        <v>132</v>
      </c>
      <c r="AD148" s="50" t="s">
        <v>133</v>
      </c>
      <c r="AE148" s="50" t="s">
        <v>134</v>
      </c>
    </row>
    <row r="149" spans="21:32" ht="20.100000000000001" customHeight="1" x14ac:dyDescent="0.25">
      <c r="U149" s="51" t="str">
        <f t="shared" ref="U149:U160" si="3">U133</f>
        <v>January 2024</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2024</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2024</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2024</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2024</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2024</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2024</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2024</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2024</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2024</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2024</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2024</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232</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83</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345" zoomScale="85" zoomScaleNormal="85" workbookViewId="0">
      <selection activeCell="D338" sqref="D338:D33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144</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234</v>
      </c>
      <c r="G5" s="6" t="s">
        <v>93</v>
      </c>
      <c r="M5" s="1" t="s">
        <v>168</v>
      </c>
      <c r="O5" s="1" t="s">
        <v>169</v>
      </c>
      <c r="Q5" s="1" t="s">
        <v>170</v>
      </c>
      <c r="S5" s="1" t="s">
        <v>181</v>
      </c>
    </row>
    <row r="6" spans="1:21" ht="20.100000000000001" customHeight="1" x14ac:dyDescent="0.25">
      <c r="A6" s="20" t="s">
        <v>1</v>
      </c>
      <c r="M6" s="1"/>
    </row>
    <row r="7" spans="1:21" ht="20.100000000000001" customHeight="1" x14ac:dyDescent="0.25">
      <c r="A7" s="17" t="str">
        <f>HYPERLINK("#'Input - Site'!A1", "Site")</f>
        <v>Site</v>
      </c>
      <c r="D7" s="36" t="s">
        <v>92</v>
      </c>
      <c r="G7" s="36" t="s">
        <v>91</v>
      </c>
      <c r="M7" t="s">
        <v>145</v>
      </c>
      <c r="O7" s="36" t="s">
        <v>145</v>
      </c>
      <c r="Q7" s="36" t="s">
        <v>145</v>
      </c>
      <c r="S7" s="36" t="s">
        <v>145</v>
      </c>
    </row>
    <row r="8" spans="1:21" ht="20.100000000000001" customHeight="1" x14ac:dyDescent="0.25">
      <c r="A8" s="17" t="str">
        <f>HYPERLINK("#'Input - Pasture Beef'!A1", "Pasture Beef")</f>
        <v>Pasture Beef</v>
      </c>
      <c r="D8" s="36" t="str">
        <f>'Constants - Common'!$F$187</f>
        <v>Pasture</v>
      </c>
      <c r="G8" s="36" t="s">
        <v>94</v>
      </c>
      <c r="M8" s="36" t="s">
        <v>171</v>
      </c>
      <c r="O8" s="36" t="s">
        <v>173</v>
      </c>
      <c r="Q8" s="36" t="s">
        <v>176</v>
      </c>
      <c r="S8" s="36" t="s">
        <v>164</v>
      </c>
    </row>
    <row r="9" spans="1:21" ht="20.100000000000001" customHeight="1" x14ac:dyDescent="0.25">
      <c r="A9" s="17"/>
      <c r="D9" s="1" t="str">
        <f>'Constants - Common'!$F$188</f>
        <v>Crop</v>
      </c>
      <c r="G9" s="36" t="s">
        <v>95</v>
      </c>
      <c r="M9" s="36" t="s">
        <v>172</v>
      </c>
      <c r="O9" s="36" t="s">
        <v>174</v>
      </c>
      <c r="Q9" s="36" t="s">
        <v>177</v>
      </c>
    </row>
    <row r="10" spans="1:21" ht="20.100000000000001" customHeight="1" x14ac:dyDescent="0.25">
      <c r="A10" s="19" t="s">
        <v>61</v>
      </c>
      <c r="G10" s="1" t="s">
        <v>96</v>
      </c>
      <c r="M10" s="36" t="s">
        <v>167</v>
      </c>
      <c r="O10" s="36" t="s">
        <v>175</v>
      </c>
      <c r="Q10" s="36" t="s">
        <v>178</v>
      </c>
      <c r="S10" s="1" t="s">
        <v>182</v>
      </c>
    </row>
    <row r="11" spans="1:21" ht="20.100000000000001" customHeight="1" x14ac:dyDescent="0.25">
      <c r="A11" s="17" t="str">
        <f>HYPERLINK("#'3.2.1.1-2 Enteric Methane'!A1", "3.2.1.1-2 Enteric Methane")</f>
        <v>3.2.1.1-2 Enteric Methane</v>
      </c>
      <c r="G11" s="1" t="s">
        <v>97</v>
      </c>
      <c r="M11" s="1"/>
      <c r="Q11" s="36" t="s">
        <v>179</v>
      </c>
    </row>
    <row r="12" spans="1:21" ht="20.100000000000001" customHeight="1" x14ac:dyDescent="0.25">
      <c r="A12" s="17"/>
      <c r="G12" s="1" t="s">
        <v>98</v>
      </c>
      <c r="M12" s="1"/>
      <c r="S12" s="36" t="s">
        <v>145</v>
      </c>
    </row>
    <row r="13" spans="1:21" ht="20.100000000000001" customHeight="1" x14ac:dyDescent="0.25">
      <c r="A13" s="18" t="s">
        <v>2</v>
      </c>
      <c r="M13" s="1"/>
      <c r="S13" s="36" t="s">
        <v>164</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183</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145</v>
      </c>
    </row>
    <row r="18" spans="1:19" ht="20.100000000000001" customHeight="1" x14ac:dyDescent="0.25">
      <c r="D18" s="36" t="s">
        <v>6</v>
      </c>
      <c r="E18" s="36" t="s">
        <v>145</v>
      </c>
      <c r="F18" s="36" t="s">
        <v>146</v>
      </c>
      <c r="G18" s="36" t="s">
        <v>147</v>
      </c>
      <c r="H18" s="36" t="s">
        <v>148</v>
      </c>
      <c r="I18" s="36" t="s">
        <v>149</v>
      </c>
      <c r="J18" s="36" t="s">
        <v>150</v>
      </c>
      <c r="K18" s="36" t="s">
        <v>151</v>
      </c>
      <c r="L18" s="36" t="s">
        <v>152</v>
      </c>
      <c r="M18" s="36" t="s">
        <v>153</v>
      </c>
      <c r="S18" s="36" t="s">
        <v>164</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184</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145</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164</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185</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145</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164</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6</v>
      </c>
      <c r="E53" s="36" t="s">
        <v>145</v>
      </c>
      <c r="F53" s="36" t="s">
        <v>146</v>
      </c>
      <c r="G53" s="36" t="s">
        <v>165</v>
      </c>
      <c r="H53" s="36" t="s">
        <v>154</v>
      </c>
      <c r="I53" s="36" t="s">
        <v>155</v>
      </c>
      <c r="J53" s="36" t="s">
        <v>156</v>
      </c>
      <c r="K53" s="36" t="s">
        <v>157</v>
      </c>
      <c r="L53" s="36" t="s">
        <v>158</v>
      </c>
      <c r="M53" s="36" t="s">
        <v>159</v>
      </c>
      <c r="N53" s="36" t="s">
        <v>160</v>
      </c>
      <c r="O53" s="36" t="s">
        <v>161</v>
      </c>
      <c r="P53" s="36" t="s">
        <v>162</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163</v>
      </c>
      <c r="M84" s="1"/>
    </row>
    <row r="85" spans="4:22" ht="20.100000000000001" customHeight="1" x14ac:dyDescent="0.25">
      <c r="D85" s="36" t="s">
        <v>6</v>
      </c>
      <c r="E85" s="36" t="s">
        <v>145</v>
      </c>
      <c r="F85" s="36" t="s">
        <v>146</v>
      </c>
      <c r="G85" s="109" t="s">
        <v>104</v>
      </c>
      <c r="H85" s="109" t="s">
        <v>103</v>
      </c>
      <c r="I85" s="109" t="s">
        <v>127</v>
      </c>
      <c r="J85" s="109" t="s">
        <v>128</v>
      </c>
      <c r="K85" s="109" t="s">
        <v>129</v>
      </c>
      <c r="L85" s="109" t="s">
        <v>130</v>
      </c>
      <c r="M85" s="109" t="s">
        <v>131</v>
      </c>
      <c r="N85" s="109" t="s">
        <v>132</v>
      </c>
      <c r="O85" s="109" t="s">
        <v>133</v>
      </c>
      <c r="P85" s="109" t="s">
        <v>134</v>
      </c>
      <c r="V85" s="1"/>
    </row>
    <row r="86" spans="4:22" ht="20.100000000000001" customHeight="1" x14ac:dyDescent="0.25">
      <c r="D86" s="36" t="s">
        <v>66</v>
      </c>
      <c r="E86" s="36" t="s">
        <v>164</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66</v>
      </c>
      <c r="E87" s="36" t="s">
        <v>164</v>
      </c>
      <c r="F87" s="36" t="s">
        <v>136</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66</v>
      </c>
      <c r="E88" s="36" t="s">
        <v>164</v>
      </c>
      <c r="F88" s="36" t="s">
        <v>137</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66</v>
      </c>
      <c r="E89" s="36" t="s">
        <v>164</v>
      </c>
      <c r="F89" s="36" t="s">
        <v>138</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67</v>
      </c>
      <c r="E90" s="36" t="s">
        <v>164</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67</v>
      </c>
      <c r="E91" s="36" t="s">
        <v>164</v>
      </c>
      <c r="F91" s="36" t="s">
        <v>136</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67</v>
      </c>
      <c r="E92" s="36" t="s">
        <v>164</v>
      </c>
      <c r="F92" s="36" t="s">
        <v>137</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67</v>
      </c>
      <c r="E93" s="36" t="s">
        <v>164</v>
      </c>
      <c r="F93" s="36" t="s">
        <v>138</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70</v>
      </c>
      <c r="E94" s="36" t="s">
        <v>164</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70</v>
      </c>
      <c r="E95" s="36" t="s">
        <v>164</v>
      </c>
      <c r="F95" s="36" t="s">
        <v>136</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70</v>
      </c>
      <c r="E96" s="36" t="s">
        <v>164</v>
      </c>
      <c r="F96" s="36" t="s">
        <v>137</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70</v>
      </c>
      <c r="E97" s="36" t="s">
        <v>164</v>
      </c>
      <c r="F97" s="36" t="s">
        <v>138</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71</v>
      </c>
      <c r="E98" s="36" t="s">
        <v>164</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71</v>
      </c>
      <c r="E99" s="36" t="s">
        <v>164</v>
      </c>
      <c r="F99" s="36" t="s">
        <v>136</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71</v>
      </c>
      <c r="E100" s="36" t="s">
        <v>164</v>
      </c>
      <c r="F100" s="36" t="s">
        <v>137</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71</v>
      </c>
      <c r="E101" s="36" t="s">
        <v>164</v>
      </c>
      <c r="F101" s="36" t="s">
        <v>138</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72</v>
      </c>
      <c r="E102" s="36" t="s">
        <v>164</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72</v>
      </c>
      <c r="E103" s="36" t="s">
        <v>164</v>
      </c>
      <c r="F103" s="36" t="s">
        <v>136</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72</v>
      </c>
      <c r="E104" s="36" t="s">
        <v>164</v>
      </c>
      <c r="F104" s="36" t="s">
        <v>137</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72</v>
      </c>
      <c r="E105" s="36" t="s">
        <v>164</v>
      </c>
      <c r="F105" s="36" t="s">
        <v>138</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73</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73</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73</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73</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73</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73</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73</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73</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73</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73</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73</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73</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68</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68</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68</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68</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68</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68</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68</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68</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68</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68</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68</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68</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69</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69</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69</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69</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69</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69</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69</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69</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69</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69</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69</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69</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69</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69</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69</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69</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268</v>
      </c>
      <c r="E146" s="1" t="s">
        <v>164</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268</v>
      </c>
      <c r="E147" s="1" t="s">
        <v>164</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268</v>
      </c>
      <c r="E148" s="1" t="s">
        <v>164</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268</v>
      </c>
      <c r="E149" s="1" t="s">
        <v>164</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6</v>
      </c>
      <c r="E154" s="36" t="s">
        <v>145</v>
      </c>
      <c r="F154" s="36" t="s">
        <v>146</v>
      </c>
      <c r="G154" s="36" t="s">
        <v>165</v>
      </c>
      <c r="H154" s="36" t="s">
        <v>154</v>
      </c>
      <c r="I154" s="36" t="s">
        <v>186</v>
      </c>
      <c r="J154" s="36" t="s">
        <v>150</v>
      </c>
      <c r="K154" s="36" t="s">
        <v>187</v>
      </c>
      <c r="L154" s="36" t="s">
        <v>159</v>
      </c>
      <c r="M154" s="36" t="s">
        <v>188</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6</v>
      </c>
      <c r="E189" s="36" t="s">
        <v>145</v>
      </c>
      <c r="F189" s="36" t="s">
        <v>146</v>
      </c>
      <c r="G189" s="36" t="s">
        <v>165</v>
      </c>
      <c r="H189" s="36" t="s">
        <v>154</v>
      </c>
      <c r="I189" s="36" t="s">
        <v>186</v>
      </c>
      <c r="J189" s="36" t="s">
        <v>150</v>
      </c>
      <c r="K189" s="36" t="s">
        <v>189</v>
      </c>
      <c r="L189" s="36" t="s">
        <v>190</v>
      </c>
      <c r="M189" s="36" t="s">
        <v>159</v>
      </c>
      <c r="N189" s="36" t="s">
        <v>160</v>
      </c>
      <c r="O189" s="36" t="s">
        <v>161</v>
      </c>
      <c r="P189" s="36" t="s">
        <v>162</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163</v>
      </c>
      <c r="M220" s="1"/>
    </row>
    <row r="221" spans="4:16" x14ac:dyDescent="0.25">
      <c r="M221" s="1"/>
    </row>
    <row r="222" spans="4:16" x14ac:dyDescent="0.25">
      <c r="D222" s="36" t="s">
        <v>6</v>
      </c>
      <c r="E222" s="36" t="s">
        <v>145</v>
      </c>
      <c r="F222" s="36" t="s">
        <v>146</v>
      </c>
      <c r="G222" s="109" t="s">
        <v>104</v>
      </c>
      <c r="H222" s="109" t="s">
        <v>103</v>
      </c>
      <c r="I222" s="109" t="s">
        <v>127</v>
      </c>
      <c r="J222" s="109" t="s">
        <v>128</v>
      </c>
      <c r="K222" s="109" t="s">
        <v>129</v>
      </c>
      <c r="L222" s="109" t="s">
        <v>130</v>
      </c>
      <c r="M222" s="109" t="s">
        <v>131</v>
      </c>
      <c r="N222" s="109" t="s">
        <v>132</v>
      </c>
      <c r="O222" s="109" t="s">
        <v>133</v>
      </c>
      <c r="P222" s="109" t="s">
        <v>134</v>
      </c>
    </row>
    <row r="223" spans="4:16" x14ac:dyDescent="0.25">
      <c r="D223" s="36" t="s">
        <v>66</v>
      </c>
      <c r="E223" s="36" t="s">
        <v>164</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66</v>
      </c>
      <c r="E224" s="36" t="s">
        <v>164</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66</v>
      </c>
      <c r="E225" s="36" t="s">
        <v>164</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66</v>
      </c>
      <c r="E226" s="36" t="s">
        <v>164</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67</v>
      </c>
      <c r="E227" s="36" t="s">
        <v>164</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67</v>
      </c>
      <c r="E228" s="36" t="s">
        <v>164</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67</v>
      </c>
      <c r="E229" s="36" t="s">
        <v>164</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67</v>
      </c>
      <c r="E230" s="36" t="s">
        <v>164</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70</v>
      </c>
      <c r="E231" s="36" t="s">
        <v>164</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70</v>
      </c>
      <c r="E232" s="36" t="s">
        <v>164</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70</v>
      </c>
      <c r="E233" s="36" t="s">
        <v>164</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70</v>
      </c>
      <c r="E234" s="36" t="s">
        <v>164</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71</v>
      </c>
      <c r="E235" s="36" t="s">
        <v>164</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71</v>
      </c>
      <c r="E236" s="36" t="s">
        <v>164</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71</v>
      </c>
      <c r="E237" s="36" t="s">
        <v>164</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71</v>
      </c>
      <c r="E238" s="36" t="s">
        <v>164</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72</v>
      </c>
      <c r="E239" s="36" t="s">
        <v>164</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72</v>
      </c>
      <c r="E240" s="36" t="s">
        <v>164</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72</v>
      </c>
      <c r="E241" s="36" t="s">
        <v>164</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72</v>
      </c>
      <c r="E242" s="36" t="s">
        <v>164</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73</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73</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73</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73</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73</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73</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73</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73</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73</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73</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73</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73</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68</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68</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68</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68</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68</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68</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68</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68</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68</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68</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68</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68</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69</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69</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69</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69</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69</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69</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69</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69</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69</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69</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69</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69</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69</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69</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69</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69</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6</v>
      </c>
      <c r="E290" s="36" t="s">
        <v>145</v>
      </c>
      <c r="F290" s="36" t="s">
        <v>135</v>
      </c>
      <c r="G290" s="36" t="s">
        <v>136</v>
      </c>
      <c r="H290" s="36" t="s">
        <v>137</v>
      </c>
      <c r="I290" s="36" t="s">
        <v>138</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6</v>
      </c>
      <c r="E313" s="36" t="s">
        <v>145</v>
      </c>
      <c r="F313" s="36" t="s">
        <v>135</v>
      </c>
      <c r="G313" s="36" t="s">
        <v>136</v>
      </c>
      <c r="H313" s="36" t="s">
        <v>137</v>
      </c>
      <c r="I313" s="36" t="s">
        <v>138</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210</v>
      </c>
      <c r="M333" s="1"/>
    </row>
    <row r="334" spans="4:13" x14ac:dyDescent="0.25">
      <c r="D334" s="36" t="s">
        <v>102</v>
      </c>
      <c r="E334" s="36" t="s">
        <v>146</v>
      </c>
      <c r="F334" s="36" t="s">
        <v>194</v>
      </c>
      <c r="G334" s="36" t="s">
        <v>195</v>
      </c>
      <c r="I334" s="36" t="s">
        <v>102</v>
      </c>
      <c r="J334" s="36" t="s">
        <v>146</v>
      </c>
      <c r="K334" s="36" t="s">
        <v>194</v>
      </c>
      <c r="L334" s="36" t="s">
        <v>195</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208</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209</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208</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209</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6</v>
      </c>
      <c r="E350" s="36" t="s">
        <v>196</v>
      </c>
      <c r="F350" s="36" t="s">
        <v>197</v>
      </c>
      <c r="G350" s="36" t="s">
        <v>155</v>
      </c>
      <c r="H350" s="36" t="s">
        <v>156</v>
      </c>
      <c r="I350" s="36" t="s">
        <v>198</v>
      </c>
      <c r="J350" s="36" t="s">
        <v>159</v>
      </c>
      <c r="K350" s="36" t="s">
        <v>188</v>
      </c>
      <c r="L350" s="36" t="s">
        <v>199</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6</v>
      </c>
      <c r="E361" s="109" t="s">
        <v>104</v>
      </c>
      <c r="F361" s="109" t="s">
        <v>103</v>
      </c>
      <c r="G361" s="109" t="s">
        <v>127</v>
      </c>
      <c r="H361" s="109" t="s">
        <v>128</v>
      </c>
      <c r="I361" s="109" t="s">
        <v>129</v>
      </c>
      <c r="J361" s="109" t="s">
        <v>130</v>
      </c>
      <c r="K361" s="109" t="s">
        <v>131</v>
      </c>
      <c r="L361" s="109" t="s">
        <v>132</v>
      </c>
      <c r="M361" s="109" t="s">
        <v>133</v>
      </c>
      <c r="N361" s="109" t="s">
        <v>134</v>
      </c>
      <c r="O361" s="36" t="s">
        <v>199</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224</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6</v>
      </c>
      <c r="E377" s="36" t="s">
        <v>145</v>
      </c>
      <c r="F377" s="36" t="s">
        <v>110</v>
      </c>
      <c r="G377" s="36" t="s">
        <v>200</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6</v>
      </c>
      <c r="E400" s="36" t="s">
        <v>145</v>
      </c>
      <c r="F400" s="36" t="s">
        <v>110</v>
      </c>
      <c r="G400" s="36" t="s">
        <v>200</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pageSetup paperSize="9" orientation="portrait" r:id="rId1"/>
  <ignoredErrors>
    <ignoredError sqref="E223:P282" calculatedColumn="1"/>
  </ignoredErrors>
  <tableParts count="24">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zoomScale="85" zoomScaleNormal="85" workbookViewId="0">
      <selection activeCell="E7" sqref="E7:E1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62</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17</v>
      </c>
      <c r="E6" s="36" t="s">
        <v>18</v>
      </c>
      <c r="F6" s="36" t="s">
        <v>19</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20</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22</v>
      </c>
      <c r="E47" s="36" t="s">
        <v>25</v>
      </c>
      <c r="F47" s="36" t="s">
        <v>26</v>
      </c>
      <c r="G47" s="36" t="s">
        <v>27</v>
      </c>
      <c r="H47" s="36" t="s">
        <v>28</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7</v>
      </c>
      <c r="E63" s="36" t="s">
        <v>42</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7</v>
      </c>
      <c r="E89" s="36" t="s">
        <v>30</v>
      </c>
      <c r="F89" s="36" t="s">
        <v>31</v>
      </c>
      <c r="G89" s="36" t="s">
        <v>32</v>
      </c>
      <c r="H89" s="36" t="s">
        <v>33</v>
      </c>
      <c r="I89" s="36" t="s">
        <v>34</v>
      </c>
      <c r="J89" s="36" t="s">
        <v>35</v>
      </c>
      <c r="K89" s="36" t="s">
        <v>36</v>
      </c>
      <c r="L89" s="36" t="s">
        <v>37</v>
      </c>
      <c r="M89" s="36" t="s">
        <v>38</v>
      </c>
      <c r="N89" s="36" t="s">
        <v>39</v>
      </c>
      <c r="O89" s="36" t="s">
        <v>43</v>
      </c>
      <c r="P89" s="36" t="s">
        <v>40</v>
      </c>
      <c r="Q89" s="36" t="s">
        <v>44</v>
      </c>
      <c r="R89" s="36" t="s">
        <v>41</v>
      </c>
      <c r="S89" s="36" t="s">
        <v>45</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48</v>
      </c>
      <c r="E109" s="36" t="s">
        <v>30</v>
      </c>
      <c r="F109" s="36" t="s">
        <v>49</v>
      </c>
      <c r="G109" s="36" t="s">
        <v>50</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51</v>
      </c>
      <c r="E119" s="36" t="s">
        <v>52</v>
      </c>
      <c r="F119" s="36" t="s">
        <v>37</v>
      </c>
      <c r="G119" s="36" t="s">
        <v>38</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53</v>
      </c>
      <c r="E127" s="36" t="s">
        <v>54</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76</v>
      </c>
      <c r="E134" t="s">
        <v>77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119</v>
      </c>
      <c r="E142" s="36" t="s">
        <v>77</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55</v>
      </c>
      <c r="E153" s="36" t="s">
        <v>56</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88</v>
      </c>
      <c r="E186" s="36" t="s">
        <v>89</v>
      </c>
      <c r="F186" s="36" t="s">
        <v>90</v>
      </c>
      <c r="G186" s="36" t="s">
        <v>91</v>
      </c>
      <c r="H186" s="36" t="s">
        <v>29</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7</v>
      </c>
      <c r="E206" s="36" t="s">
        <v>121</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105</v>
      </c>
      <c r="E212" s="36" t="s">
        <v>146</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46</v>
      </c>
      <c r="E231" s="36" t="s">
        <v>237</v>
      </c>
      <c r="F231" s="35" t="s">
        <v>223</v>
      </c>
      <c r="G231" s="36" t="s">
        <v>238</v>
      </c>
      <c r="H231" s="36" t="s">
        <v>239</v>
      </c>
      <c r="I231" s="36" t="s">
        <v>240</v>
      </c>
      <c r="J231" s="36" t="s">
        <v>241</v>
      </c>
      <c r="K231" s="36" t="s">
        <v>242</v>
      </c>
      <c r="L231" s="36" t="s">
        <v>243</v>
      </c>
      <c r="M231" s="36" t="s">
        <v>244</v>
      </c>
      <c r="N231" s="36" t="s">
        <v>245</v>
      </c>
      <c r="O231" s="36" t="s">
        <v>246</v>
      </c>
      <c r="P231" s="36" t="s">
        <v>247</v>
      </c>
      <c r="Q231" s="36" t="s">
        <v>248</v>
      </c>
      <c r="R231" s="36" t="s">
        <v>110</v>
      </c>
      <c r="S231" s="36" t="s">
        <v>249</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269</v>
      </c>
      <c r="E257" s="36" t="s">
        <v>270</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63</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64</v>
      </c>
      <c r="E9" s="36" t="s">
        <v>16</v>
      </c>
      <c r="F9" s="36" t="s">
        <v>65</v>
      </c>
      <c r="G9" s="3"/>
    </row>
    <row r="10" spans="1:13" ht="20.100000000000001" customHeight="1" x14ac:dyDescent="0.25">
      <c r="A10" s="19" t="s">
        <v>61</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38</vt:i4>
      </vt:variant>
    </vt:vector>
  </HeadingPairs>
  <TitlesOfParts>
    <vt:vector size="47"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2026-06-25T01:45:16Z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