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F69BBB3-7A44-44C5-816C-CC1C2C94B486}" xr6:coauthVersionLast="47" xr6:coauthVersionMax="47" xr10:uidLastSave="{00000000-0000-0000-0000-000000000000}"/>
  <bookViews>
    <workbookView xWindow="1950" yWindow="1950" windowWidth="28800" windowHeight="15345" firstSheet="13" activeTab="13"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3"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'5.1.1.1-2 Inorganic fert N2O'!$D$59:$E$78</definedName>
    <definedName name="M2_Table_FertApplications">'5.1.1.1-2 Inorganic fert N2O'!$M$44:$W$59</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N2O'!$N$108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113" l="1"/>
  <c r="I56" i="116"/>
  <c r="I14" i="116"/>
  <c r="I125" i="115"/>
  <c r="J50" i="115"/>
  <c r="W59" i="69"/>
  <c r="W58" i="69"/>
  <c r="W57" i="69"/>
  <c r="W56" i="69"/>
  <c r="W55" i="69"/>
  <c r="I50" i="69"/>
  <c r="W49" i="69"/>
  <c r="W48" i="69"/>
  <c r="W47" i="69"/>
  <c r="W46" i="69"/>
  <c r="W45" i="69"/>
  <c r="E30" i="15"/>
  <c r="E33" i="15"/>
  <c r="E32" i="15"/>
  <c r="E31" i="15"/>
  <c r="J92" i="116"/>
  <c r="I126" i="115"/>
  <c r="J51" i="115"/>
  <c r="I20" i="114"/>
  <c r="K46" i="113"/>
  <c r="I51" i="74"/>
  <c r="S79" i="69"/>
  <c r="I51" i="69"/>
  <c r="G97" i="116"/>
  <c r="G149" i="115"/>
  <c r="G82" i="115"/>
  <c r="G53" i="113"/>
  <c r="P111" i="69"/>
  <c r="G83" i="69"/>
  <c r="E259" i="123" a="1"/>
  <c r="E259" i="123" s="1"/>
  <c r="D259" i="123" a="1"/>
  <c r="D259" i="123" s="1"/>
  <c r="E258" i="123" a="1"/>
  <c r="E258" i="123" s="1"/>
  <c r="D258" i="123" a="1"/>
  <c r="D258" i="123" s="1"/>
  <c r="D256" i="123" a="1"/>
  <c r="D256" i="123" s="1"/>
  <c r="D255" i="123" a="1"/>
  <c r="D255" i="123" s="1"/>
  <c r="D254" i="123" a="1"/>
  <c r="D254" i="123" s="1"/>
  <c r="D253" i="123" a="1"/>
  <c r="D253" i="123" s="1"/>
  <c r="S250" i="123" a="1"/>
  <c r="S250" i="123" s="1"/>
  <c r="R250" i="123" a="1"/>
  <c r="R250" i="123" s="1"/>
  <c r="Q250" i="123" a="1"/>
  <c r="Q250" i="123" s="1"/>
  <c r="P250" i="123" a="1"/>
  <c r="P250" i="123" s="1"/>
  <c r="O250" i="123" a="1"/>
  <c r="O250" i="123" s="1"/>
  <c r="N250" i="123" a="1"/>
  <c r="N250" i="123" s="1"/>
  <c r="M250" i="123" a="1"/>
  <c r="M250" i="123" s="1"/>
  <c r="L250" i="123" a="1"/>
  <c r="L250" i="123" s="1"/>
  <c r="K250" i="123" a="1"/>
  <c r="K250" i="123" s="1"/>
  <c r="J250" i="123" a="1"/>
  <c r="J250" i="123" s="1"/>
  <c r="I250" i="123" a="1"/>
  <c r="I250" i="123" s="1"/>
  <c r="H250" i="123" a="1"/>
  <c r="H250" i="123" s="1"/>
  <c r="G250" i="123" a="1"/>
  <c r="G250" i="123" s="1"/>
  <c r="F250" i="123" a="1"/>
  <c r="F250" i="123" s="1"/>
  <c r="E250" i="123" a="1"/>
  <c r="E250" i="123" s="1"/>
  <c r="D250" i="123" a="1"/>
  <c r="D250" i="123" s="1"/>
  <c r="S249" i="123" a="1"/>
  <c r="S249" i="123" s="1"/>
  <c r="R249" i="123" a="1"/>
  <c r="R249" i="123" s="1"/>
  <c r="Q249" i="123" a="1"/>
  <c r="Q249" i="123" s="1"/>
  <c r="P249" i="123" a="1"/>
  <c r="P249" i="123" s="1"/>
  <c r="O249" i="123" a="1"/>
  <c r="O249" i="123" s="1"/>
  <c r="N249" i="123" a="1"/>
  <c r="N249" i="123" s="1"/>
  <c r="M249" i="123" a="1"/>
  <c r="M249" i="123" s="1"/>
  <c r="L249" i="123" a="1"/>
  <c r="L249" i="123" s="1"/>
  <c r="K249" i="123" a="1"/>
  <c r="K249" i="123" s="1"/>
  <c r="J249" i="123" a="1"/>
  <c r="J249" i="123" s="1"/>
  <c r="I249" i="123" a="1"/>
  <c r="I249" i="123" s="1"/>
  <c r="H249" i="123" a="1"/>
  <c r="H249" i="123" s="1"/>
  <c r="G249" i="123" a="1"/>
  <c r="G249" i="123" s="1"/>
  <c r="F249" i="123" a="1"/>
  <c r="F249" i="123" s="1"/>
  <c r="E249" i="123" a="1"/>
  <c r="E249" i="123" s="1"/>
  <c r="D249" i="123" a="1"/>
  <c r="D249" i="123" s="1"/>
  <c r="S248" i="123" a="1"/>
  <c r="S248" i="123" s="1"/>
  <c r="R248" i="123" a="1"/>
  <c r="R248" i="123" s="1"/>
  <c r="Q248" i="123" a="1"/>
  <c r="Q248" i="123" s="1"/>
  <c r="P248" i="123" a="1"/>
  <c r="P248" i="123" s="1"/>
  <c r="O248" i="123" a="1"/>
  <c r="O248" i="123" s="1"/>
  <c r="N248" i="123" a="1"/>
  <c r="N248" i="123" s="1"/>
  <c r="M248" i="123" a="1"/>
  <c r="M248" i="123" s="1"/>
  <c r="L248" i="123" a="1"/>
  <c r="L248" i="123" s="1"/>
  <c r="K248" i="123" a="1"/>
  <c r="K248" i="123" s="1"/>
  <c r="J248" i="123" a="1"/>
  <c r="J248" i="123" s="1"/>
  <c r="I248" i="123" a="1"/>
  <c r="I248" i="123" s="1"/>
  <c r="H248" i="123" a="1"/>
  <c r="H248" i="123" s="1"/>
  <c r="G248" i="123" a="1"/>
  <c r="G248" i="123" s="1"/>
  <c r="F248" i="123" a="1"/>
  <c r="F248" i="123" s="1"/>
  <c r="E248" i="123" a="1"/>
  <c r="E248" i="123" s="1"/>
  <c r="D248" i="123" a="1"/>
  <c r="D248" i="123" s="1"/>
  <c r="S247" i="123" a="1"/>
  <c r="S247" i="123" s="1"/>
  <c r="R247" i="123" a="1"/>
  <c r="R247" i="123" s="1"/>
  <c r="Q247" i="123" a="1"/>
  <c r="Q247" i="123" s="1"/>
  <c r="P247" i="123" a="1"/>
  <c r="P247" i="123" s="1"/>
  <c r="O247" i="123" a="1"/>
  <c r="O247" i="123" s="1"/>
  <c r="N247" i="123" a="1"/>
  <c r="N247" i="123" s="1"/>
  <c r="M247" i="123" a="1"/>
  <c r="M247" i="123" s="1"/>
  <c r="L247" i="123" a="1"/>
  <c r="L247" i="123" s="1"/>
  <c r="K247" i="123" a="1"/>
  <c r="K247" i="123" s="1"/>
  <c r="J247" i="123" a="1"/>
  <c r="J247" i="123" s="1"/>
  <c r="I247" i="123" a="1"/>
  <c r="I247" i="123" s="1"/>
  <c r="H247" i="123" a="1"/>
  <c r="H247" i="123" s="1"/>
  <c r="G247" i="123" a="1"/>
  <c r="G247" i="123" s="1"/>
  <c r="F247" i="123" a="1"/>
  <c r="F247" i="123" s="1"/>
  <c r="E247" i="123" a="1"/>
  <c r="E247" i="123" s="1"/>
  <c r="D247" i="123" a="1"/>
  <c r="D247" i="123" s="1"/>
  <c r="S246" i="123" a="1"/>
  <c r="S246" i="123" s="1"/>
  <c r="R246" i="123" a="1"/>
  <c r="R246" i="123" s="1"/>
  <c r="Q246" i="123" a="1"/>
  <c r="Q246" i="123" s="1"/>
  <c r="P246" i="123" a="1"/>
  <c r="P246" i="123" s="1"/>
  <c r="O246" i="123" a="1"/>
  <c r="O246" i="123" s="1"/>
  <c r="N246" i="123" a="1"/>
  <c r="N246" i="123" s="1"/>
  <c r="M246" i="123" a="1"/>
  <c r="M246" i="123" s="1"/>
  <c r="L246" i="123" a="1"/>
  <c r="L246" i="123" s="1"/>
  <c r="K246" i="123" a="1"/>
  <c r="K246" i="123" s="1"/>
  <c r="J246" i="123" a="1"/>
  <c r="J246" i="123" s="1"/>
  <c r="I246" i="123" a="1"/>
  <c r="I246" i="123" s="1"/>
  <c r="H246" i="123" a="1"/>
  <c r="H246" i="123" s="1"/>
  <c r="G246" i="123" a="1"/>
  <c r="G246" i="123" s="1"/>
  <c r="F246" i="123" a="1"/>
  <c r="F246" i="123" s="1"/>
  <c r="E246" i="123" a="1"/>
  <c r="E246" i="123" s="1"/>
  <c r="D246" i="123" a="1"/>
  <c r="D246" i="123" s="1"/>
  <c r="S245" i="123" a="1"/>
  <c r="S245" i="123" s="1"/>
  <c r="R245" i="123" a="1"/>
  <c r="R245" i="123" s="1"/>
  <c r="Q245" i="123" a="1"/>
  <c r="Q245" i="123" s="1"/>
  <c r="P245" i="123" a="1"/>
  <c r="P245" i="123" s="1"/>
  <c r="O245" i="123" a="1"/>
  <c r="O245" i="123" s="1"/>
  <c r="N245" i="123" a="1"/>
  <c r="N245" i="123" s="1"/>
  <c r="M245" i="123" a="1"/>
  <c r="M245" i="123" s="1"/>
  <c r="L245" i="123" a="1"/>
  <c r="L245" i="123" s="1"/>
  <c r="K245" i="123" a="1"/>
  <c r="K245" i="123" s="1"/>
  <c r="J245" i="123" a="1"/>
  <c r="J245" i="123" s="1"/>
  <c r="I245" i="123" a="1"/>
  <c r="I245" i="123" s="1"/>
  <c r="H245" i="123" a="1"/>
  <c r="H245" i="123" s="1"/>
  <c r="G245" i="123" a="1"/>
  <c r="G245" i="123" s="1"/>
  <c r="F245" i="123" a="1"/>
  <c r="F245" i="123" s="1"/>
  <c r="E245" i="123" a="1"/>
  <c r="E245" i="123" s="1"/>
  <c r="D245" i="123" a="1"/>
  <c r="D245" i="123" s="1"/>
  <c r="S244" i="123" a="1"/>
  <c r="S244" i="123" s="1"/>
  <c r="R244" i="123" a="1"/>
  <c r="R244" i="123" s="1"/>
  <c r="Q244" i="123" a="1"/>
  <c r="Q244" i="123" s="1"/>
  <c r="P244" i="123" a="1"/>
  <c r="P244" i="123" s="1"/>
  <c r="O244" i="123" a="1"/>
  <c r="O244" i="123" s="1"/>
  <c r="N244" i="123" a="1"/>
  <c r="N244" i="123" s="1"/>
  <c r="M244" i="123" a="1"/>
  <c r="M244" i="123" s="1"/>
  <c r="L244" i="123" a="1"/>
  <c r="L244" i="123" s="1"/>
  <c r="K244" i="123" a="1"/>
  <c r="K244" i="123" s="1"/>
  <c r="J244" i="123" a="1"/>
  <c r="J244" i="123" s="1"/>
  <c r="I244" i="123" a="1"/>
  <c r="I244" i="123" s="1"/>
  <c r="H244" i="123" a="1"/>
  <c r="H244" i="123" s="1"/>
  <c r="G244" i="123" a="1"/>
  <c r="G244" i="123" s="1"/>
  <c r="F244" i="123" a="1"/>
  <c r="F244" i="123" s="1"/>
  <c r="E244" i="123" a="1"/>
  <c r="E244" i="123" s="1"/>
  <c r="D244" i="123" a="1"/>
  <c r="D244" i="123" s="1"/>
  <c r="S243" i="123" a="1"/>
  <c r="S243" i="123" s="1"/>
  <c r="R243" i="123" a="1"/>
  <c r="R243" i="123" s="1"/>
  <c r="Q243" i="123" a="1"/>
  <c r="Q243" i="123" s="1"/>
  <c r="P243" i="123" a="1"/>
  <c r="P243" i="123" s="1"/>
  <c r="O243" i="123" a="1"/>
  <c r="O243" i="123" s="1"/>
  <c r="N243" i="123" a="1"/>
  <c r="N243" i="123" s="1"/>
  <c r="M243" i="123" a="1"/>
  <c r="M243" i="123" s="1"/>
  <c r="L243" i="123" a="1"/>
  <c r="L243" i="123" s="1"/>
  <c r="K243" i="123" a="1"/>
  <c r="K243" i="123" s="1"/>
  <c r="J243" i="123" a="1"/>
  <c r="J243" i="123" s="1"/>
  <c r="I243" i="123" a="1"/>
  <c r="I243" i="123" s="1"/>
  <c r="H243" i="123" a="1"/>
  <c r="H243" i="123" s="1"/>
  <c r="G243" i="123" a="1"/>
  <c r="G243" i="123" s="1"/>
  <c r="F243" i="123" a="1"/>
  <c r="F243" i="123" s="1"/>
  <c r="E243" i="123" a="1"/>
  <c r="E243" i="123" s="1"/>
  <c r="D243" i="123" a="1"/>
  <c r="D243" i="123" s="1"/>
  <c r="S242" i="123" a="1"/>
  <c r="S242" i="123" s="1"/>
  <c r="R242" i="123" a="1"/>
  <c r="R242" i="123" s="1"/>
  <c r="Q242" i="123" a="1"/>
  <c r="Q242" i="123" s="1"/>
  <c r="P242" i="123" a="1"/>
  <c r="P242" i="123" s="1"/>
  <c r="O242" i="123" a="1"/>
  <c r="O242" i="123" s="1"/>
  <c r="N242" i="123" a="1"/>
  <c r="N242" i="123" s="1"/>
  <c r="M242" i="123" a="1"/>
  <c r="M242" i="123" s="1"/>
  <c r="L242" i="123" a="1"/>
  <c r="L242" i="123" s="1"/>
  <c r="K242" i="123" a="1"/>
  <c r="K242" i="123" s="1"/>
  <c r="J242" i="123" a="1"/>
  <c r="J242" i="123" s="1"/>
  <c r="I242" i="123" a="1"/>
  <c r="I242" i="123" s="1"/>
  <c r="H242" i="123" a="1"/>
  <c r="H242" i="123" s="1"/>
  <c r="G242" i="123" a="1"/>
  <c r="G242" i="123" s="1"/>
  <c r="F242" i="123" a="1"/>
  <c r="F242" i="123" s="1"/>
  <c r="E242" i="123" a="1"/>
  <c r="E242" i="123" s="1"/>
  <c r="D242" i="123" a="1"/>
  <c r="D242" i="123" s="1"/>
  <c r="S241" i="123" a="1"/>
  <c r="S241" i="123" s="1"/>
  <c r="R241" i="123" a="1"/>
  <c r="R241" i="123" s="1"/>
  <c r="Q241" i="123" a="1"/>
  <c r="Q241" i="123" s="1"/>
  <c r="P241" i="123" a="1"/>
  <c r="P241" i="123" s="1"/>
  <c r="O241" i="123" a="1"/>
  <c r="O241" i="123" s="1"/>
  <c r="N241" i="123" a="1"/>
  <c r="N241" i="123" s="1"/>
  <c r="M241" i="123" a="1"/>
  <c r="M241" i="123" s="1"/>
  <c r="L241" i="123" a="1"/>
  <c r="L241" i="123" s="1"/>
  <c r="K241" i="123" a="1"/>
  <c r="K241" i="123" s="1"/>
  <c r="J241" i="123" a="1"/>
  <c r="J241" i="123" s="1"/>
  <c r="I241" i="123" a="1"/>
  <c r="I241" i="123" s="1"/>
  <c r="H241" i="123" a="1"/>
  <c r="H241" i="123" s="1"/>
  <c r="G241" i="123" a="1"/>
  <c r="G241" i="123" s="1"/>
  <c r="F241" i="123" a="1"/>
  <c r="F241" i="123" s="1"/>
  <c r="E241" i="123" a="1"/>
  <c r="E241" i="123" s="1"/>
  <c r="D241" i="123" a="1"/>
  <c r="D241" i="123" s="1"/>
  <c r="S240" i="123" a="1"/>
  <c r="S240" i="123" s="1"/>
  <c r="R240" i="123" a="1"/>
  <c r="R240" i="123" s="1"/>
  <c r="Q240" i="123" a="1"/>
  <c r="Q240" i="123" s="1"/>
  <c r="P240" i="123" a="1"/>
  <c r="P240" i="123" s="1"/>
  <c r="O240" i="123" a="1"/>
  <c r="O240" i="123" s="1"/>
  <c r="N240" i="123" a="1"/>
  <c r="N240" i="123" s="1"/>
  <c r="M240" i="123" a="1"/>
  <c r="M240" i="123" s="1"/>
  <c r="L240" i="123" a="1"/>
  <c r="L240" i="123" s="1"/>
  <c r="K240" i="123" a="1"/>
  <c r="K240" i="123" s="1"/>
  <c r="J240" i="123" a="1"/>
  <c r="J240" i="123" s="1"/>
  <c r="I240" i="123" a="1"/>
  <c r="I240" i="123" s="1"/>
  <c r="H240" i="123" a="1"/>
  <c r="H240" i="123" s="1"/>
  <c r="G240" i="123" a="1"/>
  <c r="G240" i="123" s="1"/>
  <c r="F240" i="123" a="1"/>
  <c r="F240" i="123" s="1"/>
  <c r="E240" i="123" a="1"/>
  <c r="E240" i="123" s="1"/>
  <c r="D240" i="123" a="1"/>
  <c r="D240" i="123" s="1"/>
  <c r="S239" i="123" a="1"/>
  <c r="S239" i="123" s="1"/>
  <c r="R239" i="123" a="1"/>
  <c r="R239" i="123" s="1"/>
  <c r="Q239" i="123" a="1"/>
  <c r="Q239" i="123" s="1"/>
  <c r="P239" i="123" a="1"/>
  <c r="P239" i="123" s="1"/>
  <c r="O239" i="123" a="1"/>
  <c r="O239" i="123" s="1"/>
  <c r="N239" i="123" a="1"/>
  <c r="N239" i="123" s="1"/>
  <c r="M239" i="123" a="1"/>
  <c r="M239" i="123" s="1"/>
  <c r="L239" i="123" a="1"/>
  <c r="L239" i="123" s="1"/>
  <c r="K239" i="123" a="1"/>
  <c r="K239" i="123" s="1"/>
  <c r="J239" i="123" a="1"/>
  <c r="J239" i="123" s="1"/>
  <c r="I239" i="123" a="1"/>
  <c r="I239" i="123" s="1"/>
  <c r="H239" i="123" a="1"/>
  <c r="H239" i="123" s="1"/>
  <c r="G239" i="123" a="1"/>
  <c r="G239" i="123" s="1"/>
  <c r="F239" i="123" a="1"/>
  <c r="F239" i="123" s="1"/>
  <c r="E239" i="123" a="1"/>
  <c r="E239" i="123" s="1"/>
  <c r="D239" i="123" a="1"/>
  <c r="D239" i="123" s="1"/>
  <c r="S238" i="123" a="1"/>
  <c r="S238" i="123" s="1"/>
  <c r="R238" i="123" a="1"/>
  <c r="R238" i="123" s="1"/>
  <c r="Q238" i="123" a="1"/>
  <c r="Q238" i="123" s="1"/>
  <c r="P238" i="123" a="1"/>
  <c r="P238" i="123" s="1"/>
  <c r="O238" i="123" a="1"/>
  <c r="O238" i="123" s="1"/>
  <c r="N238" i="123" a="1"/>
  <c r="N238" i="123" s="1"/>
  <c r="M238" i="123" a="1"/>
  <c r="M238" i="123" s="1"/>
  <c r="L238" i="123" a="1"/>
  <c r="L238" i="123" s="1"/>
  <c r="K238" i="123" a="1"/>
  <c r="K238" i="123" s="1"/>
  <c r="J238" i="123" a="1"/>
  <c r="J238" i="123" s="1"/>
  <c r="I238" i="123" a="1"/>
  <c r="I238" i="123" s="1"/>
  <c r="H238" i="123" a="1"/>
  <c r="H238" i="123" s="1"/>
  <c r="G238" i="123" a="1"/>
  <c r="G238" i="123" s="1"/>
  <c r="F238" i="123" a="1"/>
  <c r="F238" i="123" s="1"/>
  <c r="E238" i="123" a="1"/>
  <c r="E238" i="123" s="1"/>
  <c r="D238" i="123" a="1"/>
  <c r="D238" i="123" s="1"/>
  <c r="S237" i="123" a="1"/>
  <c r="S237" i="123" s="1"/>
  <c r="R237" i="123" a="1"/>
  <c r="R237" i="123" s="1"/>
  <c r="Q237" i="123" a="1"/>
  <c r="Q237" i="123" s="1"/>
  <c r="P237" i="123" a="1"/>
  <c r="P237" i="123" s="1"/>
  <c r="O237" i="123" a="1"/>
  <c r="O237" i="123" s="1"/>
  <c r="N237" i="123" a="1"/>
  <c r="N237" i="123" s="1"/>
  <c r="M237" i="123" a="1"/>
  <c r="M237" i="123" s="1"/>
  <c r="L237" i="123" a="1"/>
  <c r="L237" i="123" s="1"/>
  <c r="K237" i="123" a="1"/>
  <c r="K237" i="123" s="1"/>
  <c r="J237" i="123" a="1"/>
  <c r="J237" i="123" s="1"/>
  <c r="I237" i="123" a="1"/>
  <c r="I237" i="123" s="1"/>
  <c r="H237" i="123" a="1"/>
  <c r="H237" i="123" s="1"/>
  <c r="G237" i="123" a="1"/>
  <c r="G237" i="123" s="1"/>
  <c r="F237" i="123" a="1"/>
  <c r="F237" i="123" s="1"/>
  <c r="E237" i="123" a="1"/>
  <c r="E237" i="123" s="1"/>
  <c r="D237" i="123" a="1"/>
  <c r="D237" i="123" s="1"/>
  <c r="S236" i="123" a="1"/>
  <c r="S236" i="123" s="1"/>
  <c r="R236" i="123" a="1"/>
  <c r="R236" i="123" s="1"/>
  <c r="Q236" i="123" a="1"/>
  <c r="Q236" i="123" s="1"/>
  <c r="P236" i="123" a="1"/>
  <c r="P236" i="123" s="1"/>
  <c r="O236" i="123" a="1"/>
  <c r="O236" i="123" s="1"/>
  <c r="N236" i="123" a="1"/>
  <c r="N236" i="123" s="1"/>
  <c r="M236" i="123" a="1"/>
  <c r="M236" i="123" s="1"/>
  <c r="L236" i="123" a="1"/>
  <c r="L236" i="123" s="1"/>
  <c r="K236" i="123" a="1"/>
  <c r="K236" i="123" s="1"/>
  <c r="J236" i="123" a="1"/>
  <c r="J236" i="123" s="1"/>
  <c r="I236" i="123" a="1"/>
  <c r="I236" i="123" s="1"/>
  <c r="H236" i="123" a="1"/>
  <c r="H236" i="123" s="1"/>
  <c r="G236" i="123" a="1"/>
  <c r="G236" i="123" s="1"/>
  <c r="F236" i="123" a="1"/>
  <c r="F236" i="123" s="1"/>
  <c r="E236" i="123" a="1"/>
  <c r="E236" i="123" s="1"/>
  <c r="D236" i="123" a="1"/>
  <c r="D236" i="123" s="1"/>
  <c r="S235" i="123" a="1"/>
  <c r="S235" i="123" s="1"/>
  <c r="R235" i="123" a="1"/>
  <c r="R235" i="123" s="1"/>
  <c r="Q235" i="123" a="1"/>
  <c r="Q235" i="123" s="1"/>
  <c r="P235" i="123" a="1"/>
  <c r="P235" i="123" s="1"/>
  <c r="O235" i="123" a="1"/>
  <c r="O235" i="123" s="1"/>
  <c r="N235" i="123" a="1"/>
  <c r="N235" i="123" s="1"/>
  <c r="M235" i="123" a="1"/>
  <c r="M235" i="123" s="1"/>
  <c r="L235" i="123" a="1"/>
  <c r="L235" i="123" s="1"/>
  <c r="K235" i="123" a="1"/>
  <c r="K235" i="123" s="1"/>
  <c r="J235" i="123" a="1"/>
  <c r="J235" i="123" s="1"/>
  <c r="I235" i="123" a="1"/>
  <c r="I235" i="123" s="1"/>
  <c r="H235" i="123" a="1"/>
  <c r="H235" i="123" s="1"/>
  <c r="G235" i="123" a="1"/>
  <c r="G235" i="123" s="1"/>
  <c r="F235" i="123" a="1"/>
  <c r="F235" i="123" s="1"/>
  <c r="E235" i="123" a="1"/>
  <c r="E235" i="123" s="1"/>
  <c r="D235" i="123" a="1"/>
  <c r="D235" i="123" s="1"/>
  <c r="S234" i="123" a="1"/>
  <c r="S234" i="123" s="1"/>
  <c r="R234" i="123" a="1"/>
  <c r="R234" i="123" s="1"/>
  <c r="Q234" i="123" a="1"/>
  <c r="Q234" i="123" s="1"/>
  <c r="P234" i="123" a="1"/>
  <c r="P234" i="123" s="1"/>
  <c r="O234" i="123" a="1"/>
  <c r="O234" i="123" s="1"/>
  <c r="N234" i="123" a="1"/>
  <c r="N234" i="123" s="1"/>
  <c r="M234" i="123" a="1"/>
  <c r="M234" i="123" s="1"/>
  <c r="L234" i="123" a="1"/>
  <c r="L234" i="123" s="1"/>
  <c r="K234" i="123" a="1"/>
  <c r="K234" i="123" s="1"/>
  <c r="J234" i="123" a="1"/>
  <c r="J234" i="123" s="1"/>
  <c r="I234" i="123" a="1"/>
  <c r="I234" i="123" s="1"/>
  <c r="H234" i="123" a="1"/>
  <c r="H234" i="123" s="1"/>
  <c r="G234" i="123" a="1"/>
  <c r="G234" i="123" s="1"/>
  <c r="F234" i="123" a="1"/>
  <c r="F234" i="123" s="1"/>
  <c r="E234" i="123" a="1"/>
  <c r="E234" i="123" s="1"/>
  <c r="D234" i="123" a="1"/>
  <c r="D234" i="123" s="1"/>
  <c r="S233" i="123" a="1"/>
  <c r="S233" i="123" s="1"/>
  <c r="R233" i="123" a="1"/>
  <c r="R233" i="123" s="1"/>
  <c r="Q233" i="123" a="1"/>
  <c r="Q233" i="123" s="1"/>
  <c r="P233" i="123" a="1"/>
  <c r="P233" i="123" s="1"/>
  <c r="O233" i="123" a="1"/>
  <c r="O233" i="123" s="1"/>
  <c r="N233" i="123" a="1"/>
  <c r="N233" i="123" s="1"/>
  <c r="M233" i="123" a="1"/>
  <c r="M233" i="123" s="1"/>
  <c r="L233" i="123" a="1"/>
  <c r="L233" i="123" s="1"/>
  <c r="K233" i="123" a="1"/>
  <c r="K233" i="123" s="1"/>
  <c r="J233" i="123" a="1"/>
  <c r="J233" i="123" s="1"/>
  <c r="I233" i="123" a="1"/>
  <c r="I233" i="123" s="1"/>
  <c r="H233" i="123" a="1"/>
  <c r="H233" i="123" s="1"/>
  <c r="G233" i="123" a="1"/>
  <c r="G233" i="123" s="1"/>
  <c r="F233" i="123" a="1"/>
  <c r="F233" i="123" s="1"/>
  <c r="E233" i="123" a="1"/>
  <c r="E233" i="123" s="1"/>
  <c r="D233" i="123" a="1"/>
  <c r="D233" i="123" s="1"/>
  <c r="S232" i="123" a="1"/>
  <c r="S232" i="123" s="1"/>
  <c r="R232" i="123" a="1"/>
  <c r="R232" i="123" s="1"/>
  <c r="Q232" i="123" a="1"/>
  <c r="Q232" i="123" s="1"/>
  <c r="P232" i="123" a="1"/>
  <c r="P232" i="123" s="1"/>
  <c r="O232" i="123" a="1"/>
  <c r="O232" i="123" s="1"/>
  <c r="N232" i="123" a="1"/>
  <c r="N232" i="123" s="1"/>
  <c r="M232" i="123" a="1"/>
  <c r="M232" i="123" s="1"/>
  <c r="L232" i="123" a="1"/>
  <c r="L232" i="123" s="1"/>
  <c r="K232" i="123" a="1"/>
  <c r="K232" i="123" s="1"/>
  <c r="J232" i="123" a="1"/>
  <c r="J232" i="123" s="1"/>
  <c r="I232" i="123" a="1"/>
  <c r="I232" i="123" s="1"/>
  <c r="H232" i="123" a="1"/>
  <c r="H232" i="123" s="1"/>
  <c r="G232" i="123" a="1"/>
  <c r="G232" i="123" s="1"/>
  <c r="F232" i="123" a="1"/>
  <c r="F232" i="123" s="1"/>
  <c r="E232" i="123" a="1"/>
  <c r="E232" i="123" s="1"/>
  <c r="D232" i="123" a="1"/>
  <c r="D232" i="123" s="1"/>
  <c r="D229" i="123" a="1"/>
  <c r="D229" i="123" s="1"/>
  <c r="D228" i="123" a="1"/>
  <c r="D228" i="123" s="1"/>
  <c r="D227" i="123" a="1"/>
  <c r="D227" i="123" s="1"/>
  <c r="E224" i="123" a="1"/>
  <c r="E224" i="123" s="1"/>
  <c r="D224" i="123" a="1"/>
  <c r="D224" i="123" s="1"/>
  <c r="E223" i="123" a="1"/>
  <c r="E223" i="123" s="1"/>
  <c r="D223" i="123" a="1"/>
  <c r="D223" i="123" s="1"/>
  <c r="E222" i="123" a="1"/>
  <c r="E222" i="123" s="1"/>
  <c r="D222" i="123" a="1"/>
  <c r="D222" i="123" s="1"/>
  <c r="E221" i="123"/>
  <c r="E221" i="123" a="1"/>
  <c r="D221" i="123" a="1"/>
  <c r="D221" i="123" s="1"/>
  <c r="E220" i="123" a="1"/>
  <c r="E220" i="123" s="1"/>
  <c r="D220" i="123" a="1"/>
  <c r="D220" i="123" s="1"/>
  <c r="E219" i="123" a="1"/>
  <c r="E219" i="123" s="1"/>
  <c r="D219" i="123" a="1"/>
  <c r="D219" i="123" s="1"/>
  <c r="E218" i="123" a="1"/>
  <c r="E218" i="123" s="1"/>
  <c r="D218" i="123" a="1"/>
  <c r="D218" i="123" s="1"/>
  <c r="E217" i="123" a="1"/>
  <c r="E217" i="123" s="1"/>
  <c r="D217" i="123" a="1"/>
  <c r="D217" i="123" s="1"/>
  <c r="E216" i="123" a="1"/>
  <c r="E216" i="123" s="1"/>
  <c r="D216" i="123" a="1"/>
  <c r="D216" i="123" s="1"/>
  <c r="E215" i="123" a="1"/>
  <c r="E215" i="123" s="1"/>
  <c r="D215" i="123" a="1"/>
  <c r="D215" i="123" s="1"/>
  <c r="E214" i="123" a="1"/>
  <c r="E214" i="123" s="1"/>
  <c r="D214" i="123" a="1"/>
  <c r="D214" i="123" s="1"/>
  <c r="E213" i="123" a="1"/>
  <c r="E213" i="123" s="1"/>
  <c r="D213" i="123" a="1"/>
  <c r="D213" i="123" s="1"/>
  <c r="D211" i="123"/>
  <c r="D211" i="123" a="1"/>
  <c r="E208" i="123" a="1"/>
  <c r="E208" i="123" s="1"/>
  <c r="D208" i="123" a="1"/>
  <c r="D208" i="123" s="1"/>
  <c r="E207" i="123" a="1"/>
  <c r="E207" i="123" s="1"/>
  <c r="D207" i="123" a="1"/>
  <c r="D207" i="123" s="1"/>
  <c r="D205" i="123" a="1"/>
  <c r="D205" i="123" s="1"/>
  <c r="D204" i="123" a="1"/>
  <c r="D204" i="123" s="1"/>
  <c r="D203" i="123" a="1"/>
  <c r="D203" i="123" s="1"/>
  <c r="D202" i="123" a="1"/>
  <c r="D202" i="123" s="1"/>
  <c r="H199" i="123" a="1"/>
  <c r="H199" i="123" s="1"/>
  <c r="G199" i="123" a="1"/>
  <c r="G199" i="123" s="1"/>
  <c r="F199" i="123" a="1"/>
  <c r="F199" i="123" s="1"/>
  <c r="E199" i="123" a="1"/>
  <c r="E199" i="123" s="1"/>
  <c r="D199" i="123" a="1"/>
  <c r="D199" i="123" s="1"/>
  <c r="H198" i="123" a="1"/>
  <c r="H198" i="123" s="1"/>
  <c r="G198" i="123" a="1"/>
  <c r="G198" i="123" s="1"/>
  <c r="F198" i="123" a="1"/>
  <c r="F198" i="123" s="1"/>
  <c r="E198" i="123" a="1"/>
  <c r="E198" i="123" s="1"/>
  <c r="D198" i="123" a="1"/>
  <c r="D198" i="123" s="1"/>
  <c r="H197" i="123" a="1"/>
  <c r="H197" i="123" s="1"/>
  <c r="G197" i="123" a="1"/>
  <c r="G197" i="123" s="1"/>
  <c r="F197" i="123" a="1"/>
  <c r="F197" i="123" s="1"/>
  <c r="E197" i="123" a="1"/>
  <c r="E197" i="123" s="1"/>
  <c r="D197" i="123" a="1"/>
  <c r="D197" i="123" s="1"/>
  <c r="H196" i="123" a="1"/>
  <c r="H196" i="123" s="1"/>
  <c r="G196" i="123" a="1"/>
  <c r="G196" i="123" s="1"/>
  <c r="F196" i="123" a="1"/>
  <c r="F196" i="123" s="1"/>
  <c r="E196" i="123" a="1"/>
  <c r="E196" i="123" s="1"/>
  <c r="D196" i="123" a="1"/>
  <c r="D196" i="123" s="1"/>
  <c r="H195" i="123" a="1"/>
  <c r="H195" i="123" s="1"/>
  <c r="G195" i="123" a="1"/>
  <c r="G195" i="123" s="1"/>
  <c r="F195" i="123" a="1"/>
  <c r="F195" i="123" s="1"/>
  <c r="E195" i="123" a="1"/>
  <c r="E195" i="123" s="1"/>
  <c r="D195" i="123" a="1"/>
  <c r="D195" i="123" s="1"/>
  <c r="H194" i="123" a="1"/>
  <c r="H194" i="123" s="1"/>
  <c r="G194" i="123" a="1"/>
  <c r="G194" i="123" s="1"/>
  <c r="F194" i="123" a="1"/>
  <c r="F194" i="123" s="1"/>
  <c r="E194" i="123" a="1"/>
  <c r="E194" i="123" s="1"/>
  <c r="D194" i="123" a="1"/>
  <c r="D194" i="123" s="1"/>
  <c r="H193" i="123" a="1"/>
  <c r="H193" i="123" s="1"/>
  <c r="G193" i="123" a="1"/>
  <c r="G193" i="123" s="1"/>
  <c r="F193" i="123" a="1"/>
  <c r="F193" i="123" s="1"/>
  <c r="E193" i="123" a="1"/>
  <c r="E193" i="123" s="1"/>
  <c r="D193" i="123" a="1"/>
  <c r="D193" i="123" s="1"/>
  <c r="H192" i="123" a="1"/>
  <c r="H192" i="123" s="1"/>
  <c r="G192" i="123" a="1"/>
  <c r="G192" i="123" s="1"/>
  <c r="F192" i="123" a="1"/>
  <c r="F192" i="123" s="1"/>
  <c r="E192" i="123" a="1"/>
  <c r="E192" i="123" s="1"/>
  <c r="D192" i="123" a="1"/>
  <c r="D192" i="123" s="1"/>
  <c r="H191" i="123" a="1"/>
  <c r="H191" i="123" s="1"/>
  <c r="G191" i="123" a="1"/>
  <c r="G191" i="123" s="1"/>
  <c r="F191" i="123" a="1"/>
  <c r="F191" i="123" s="1"/>
  <c r="E191" i="123" a="1"/>
  <c r="E191" i="123" s="1"/>
  <c r="D191" i="123" a="1"/>
  <c r="D191" i="123" s="1"/>
  <c r="H190" i="123" a="1"/>
  <c r="H190" i="123" s="1"/>
  <c r="G190" i="123" a="1"/>
  <c r="G190" i="123" s="1"/>
  <c r="F190" i="123" a="1"/>
  <c r="F190" i="123" s="1"/>
  <c r="E190" i="123" a="1"/>
  <c r="E190" i="123" s="1"/>
  <c r="D190" i="123" a="1"/>
  <c r="D190" i="123" s="1"/>
  <c r="H189" i="123" a="1"/>
  <c r="H189" i="123" s="1"/>
  <c r="G189" i="123" a="1"/>
  <c r="G189" i="123" s="1"/>
  <c r="F189" i="123" a="1"/>
  <c r="F189" i="123" s="1"/>
  <c r="E189" i="123" a="1"/>
  <c r="E189" i="123" s="1"/>
  <c r="D189" i="123" a="1"/>
  <c r="D189" i="123" s="1"/>
  <c r="H188" i="123" a="1"/>
  <c r="H188" i="123" s="1"/>
  <c r="G188" i="123" a="1"/>
  <c r="G188" i="123" s="1"/>
  <c r="F188" i="123" a="1"/>
  <c r="F188" i="123" s="1"/>
  <c r="E188" i="123" a="1"/>
  <c r="E188" i="123" s="1"/>
  <c r="D188" i="123" a="1"/>
  <c r="D188" i="123" s="1"/>
  <c r="H187" i="123" a="1"/>
  <c r="H187" i="123" s="1"/>
  <c r="G187" i="123" a="1"/>
  <c r="G187" i="123" s="1"/>
  <c r="F187" i="123" a="1"/>
  <c r="F187" i="123" s="1"/>
  <c r="E187" i="123" a="1"/>
  <c r="E187" i="123" s="1"/>
  <c r="D187" i="123" a="1"/>
  <c r="D187" i="123" s="1"/>
  <c r="D181" i="123" a="1"/>
  <c r="D181" i="123" s="1"/>
  <c r="D180" i="123" a="1"/>
  <c r="D180" i="123" s="1"/>
  <c r="D179" i="123" a="1"/>
  <c r="D179" i="123" s="1"/>
  <c r="D178" i="123" a="1"/>
  <c r="D178" i="123" s="1"/>
  <c r="E175" i="123" a="1"/>
  <c r="E175" i="123" s="1"/>
  <c r="D175" i="123"/>
  <c r="D175" i="123" a="1"/>
  <c r="D174" i="123" a="1"/>
  <c r="D174" i="123" s="1"/>
  <c r="D173" i="123" a="1"/>
  <c r="D173" i="123" s="1"/>
  <c r="D170" i="123" a="1"/>
  <c r="D170" i="123" s="1"/>
  <c r="D169" i="123" a="1"/>
  <c r="D169" i="123" s="1"/>
  <c r="D168" i="123" a="1"/>
  <c r="D168" i="123" s="1"/>
  <c r="D167" i="123" a="1"/>
  <c r="D167" i="123" s="1"/>
  <c r="D164" i="123" a="1"/>
  <c r="D164" i="123" s="1"/>
  <c r="D163" i="123" a="1"/>
  <c r="D163" i="123" s="1"/>
  <c r="D162" i="123" a="1"/>
  <c r="D162" i="123" s="1"/>
  <c r="D161" i="123" a="1"/>
  <c r="D161" i="123" s="1"/>
  <c r="E158" i="123" a="1"/>
  <c r="E158" i="123" s="1"/>
  <c r="D158" i="123" a="1"/>
  <c r="D158" i="123" s="1"/>
  <c r="E157" i="123" a="1"/>
  <c r="E157" i="123" s="1"/>
  <c r="D157" i="123" a="1"/>
  <c r="D157" i="123" s="1"/>
  <c r="E156" i="123" a="1"/>
  <c r="E156" i="123" s="1"/>
  <c r="D156" i="123" a="1"/>
  <c r="D156" i="123" s="1"/>
  <c r="E155" i="123" a="1"/>
  <c r="E155" i="123" s="1"/>
  <c r="D155" i="123" a="1"/>
  <c r="D155" i="123" s="1"/>
  <c r="E154" i="123" a="1"/>
  <c r="E154" i="123" s="1"/>
  <c r="D154" i="123" a="1"/>
  <c r="D154" i="123" s="1"/>
  <c r="D151" i="123" a="1"/>
  <c r="D151" i="123" s="1"/>
  <c r="D150" i="123" a="1"/>
  <c r="D150" i="123" s="1"/>
  <c r="E147" i="123" a="1"/>
  <c r="E147" i="123" s="1"/>
  <c r="D147" i="123" a="1"/>
  <c r="D147" i="123" s="1"/>
  <c r="E146" i="123" a="1"/>
  <c r="E146" i="123" s="1"/>
  <c r="D146" i="123" a="1"/>
  <c r="D146" i="123" s="1"/>
  <c r="E145" i="123" a="1"/>
  <c r="E145" i="123" s="1"/>
  <c r="D145" i="123" a="1"/>
  <c r="D145" i="123" s="1"/>
  <c r="E144" i="123" a="1"/>
  <c r="E144" i="123" s="1"/>
  <c r="D144" i="123" a="1"/>
  <c r="D144" i="123" s="1"/>
  <c r="E143" i="123" a="1"/>
  <c r="E143" i="123" s="1"/>
  <c r="D143" i="123" a="1"/>
  <c r="D143" i="123" s="1"/>
  <c r="D141" i="123" a="1"/>
  <c r="D141" i="123" s="1"/>
  <c r="D140" i="123" a="1"/>
  <c r="D140" i="123" s="1"/>
  <c r="D139" i="123" a="1"/>
  <c r="D139" i="123" s="1"/>
  <c r="E136" i="123" a="1"/>
  <c r="E136" i="123" s="1"/>
  <c r="D136" i="123" a="1"/>
  <c r="D136" i="123" s="1"/>
  <c r="E135" i="123" a="1"/>
  <c r="E135" i="123" s="1"/>
  <c r="D135" i="123" a="1"/>
  <c r="D135" i="123" s="1"/>
  <c r="D133" i="123" a="1"/>
  <c r="D133" i="123" s="1"/>
  <c r="D132" i="123" a="1"/>
  <c r="D132" i="123" s="1"/>
  <c r="E129" i="123" a="1"/>
  <c r="E129" i="123" s="1"/>
  <c r="D129" i="123" a="1"/>
  <c r="D129" i="123" s="1"/>
  <c r="E128" i="123" a="1"/>
  <c r="E128" i="123" s="1"/>
  <c r="D128" i="123" a="1"/>
  <c r="D128" i="123" s="1"/>
  <c r="D125" i="123" a="1"/>
  <c r="D125" i="123" s="1"/>
  <c r="D124" i="123" a="1"/>
  <c r="D124" i="123" s="1"/>
  <c r="G121" i="123" a="1"/>
  <c r="G121" i="123" s="1"/>
  <c r="F121" i="123" a="1"/>
  <c r="F121" i="123" s="1"/>
  <c r="E121" i="123" a="1"/>
  <c r="E121" i="123" s="1"/>
  <c r="D121" i="123" a="1"/>
  <c r="D121" i="123" s="1"/>
  <c r="G120" i="123" a="1"/>
  <c r="G120" i="123" s="1"/>
  <c r="F120" i="123" a="1"/>
  <c r="F120" i="123" s="1"/>
  <c r="E120" i="123" a="1"/>
  <c r="E120" i="123" s="1"/>
  <c r="D120" i="123" a="1"/>
  <c r="D120" i="123" s="1"/>
  <c r="D117" i="123" a="1"/>
  <c r="D117" i="123" s="1"/>
  <c r="D116" i="123" a="1"/>
  <c r="D116" i="123" s="1"/>
  <c r="D115" i="123" a="1"/>
  <c r="D115" i="123" s="1"/>
  <c r="G112" i="123" a="1"/>
  <c r="G112" i="123" s="1"/>
  <c r="F112" i="123" a="1"/>
  <c r="F112" i="123" s="1"/>
  <c r="E112" i="123" a="1"/>
  <c r="E112" i="123" s="1"/>
  <c r="D112" i="123" a="1"/>
  <c r="D112" i="123" s="1"/>
  <c r="G111" i="123" a="1"/>
  <c r="G111" i="123" s="1"/>
  <c r="F111" i="123" a="1"/>
  <c r="F111" i="123" s="1"/>
  <c r="E111" i="123" a="1"/>
  <c r="E111" i="123" s="1"/>
  <c r="D111" i="123" a="1"/>
  <c r="D111" i="123" s="1"/>
  <c r="G110" i="123" a="1"/>
  <c r="G110" i="123" s="1"/>
  <c r="F110" i="123" a="1"/>
  <c r="F110" i="123" s="1"/>
  <c r="E110" i="123" a="1"/>
  <c r="E110" i="123" s="1"/>
  <c r="D110" i="123" a="1"/>
  <c r="D110" i="123" s="1"/>
  <c r="D107" i="123"/>
  <c r="D107" i="123" a="1"/>
  <c r="D106" i="123" a="1"/>
  <c r="D106" i="123" s="1"/>
  <c r="D105" i="123" a="1"/>
  <c r="D105" i="123" s="1"/>
  <c r="D99" i="123" a="1"/>
  <c r="D99" i="123" s="1"/>
  <c r="S97" i="123" a="1"/>
  <c r="S97" i="123" s="1"/>
  <c r="R97" i="123" a="1"/>
  <c r="R97" i="123" s="1"/>
  <c r="Q97" i="123" a="1"/>
  <c r="Q97" i="123" s="1"/>
  <c r="P97" i="123" a="1"/>
  <c r="P97" i="123" s="1"/>
  <c r="O97" i="123" a="1"/>
  <c r="O97" i="123" s="1"/>
  <c r="N97" i="123" a="1"/>
  <c r="N97" i="123" s="1"/>
  <c r="M97" i="123" a="1"/>
  <c r="M97" i="123" s="1"/>
  <c r="L97" i="123" a="1"/>
  <c r="L97" i="123" s="1"/>
  <c r="K97" i="123" a="1"/>
  <c r="K97" i="123" s="1"/>
  <c r="J97" i="123" a="1"/>
  <c r="J97" i="123" s="1"/>
  <c r="I97" i="123" a="1"/>
  <c r="I97" i="123" s="1"/>
  <c r="H97" i="123" a="1"/>
  <c r="H97" i="123" s="1"/>
  <c r="G97" i="123" a="1"/>
  <c r="G97" i="123" s="1"/>
  <c r="F97" i="123" a="1"/>
  <c r="F97" i="123" s="1"/>
  <c r="E97" i="123" a="1"/>
  <c r="E97" i="123" s="1"/>
  <c r="D97" i="123" a="1"/>
  <c r="D97" i="123" s="1"/>
  <c r="S96" i="123" a="1"/>
  <c r="S96" i="123" s="1"/>
  <c r="R96" i="123" a="1"/>
  <c r="R96" i="123" s="1"/>
  <c r="Q96" i="123" a="1"/>
  <c r="Q96" i="123" s="1"/>
  <c r="P96" i="123" a="1"/>
  <c r="P96" i="123" s="1"/>
  <c r="O96" i="123" a="1"/>
  <c r="O96" i="123" s="1"/>
  <c r="N96" i="123" a="1"/>
  <c r="N96" i="123" s="1"/>
  <c r="M96" i="123" a="1"/>
  <c r="M96" i="123" s="1"/>
  <c r="L96" i="123" a="1"/>
  <c r="L96" i="123" s="1"/>
  <c r="K96" i="123" a="1"/>
  <c r="K96" i="123" s="1"/>
  <c r="J96" i="123" a="1"/>
  <c r="J96" i="123" s="1"/>
  <c r="I96" i="123" a="1"/>
  <c r="I96" i="123" s="1"/>
  <c r="H96" i="123" a="1"/>
  <c r="H96" i="123" s="1"/>
  <c r="G96" i="123" a="1"/>
  <c r="G96" i="123" s="1"/>
  <c r="F96" i="123" a="1"/>
  <c r="F96" i="123" s="1"/>
  <c r="E96" i="123" a="1"/>
  <c r="E96" i="123" s="1"/>
  <c r="D96" i="123" a="1"/>
  <c r="D96" i="123" s="1"/>
  <c r="S95" i="123" a="1"/>
  <c r="S95" i="123" s="1"/>
  <c r="R95" i="123" a="1"/>
  <c r="R95" i="123" s="1"/>
  <c r="Q95" i="123" a="1"/>
  <c r="Q95" i="123" s="1"/>
  <c r="P95" i="123" a="1"/>
  <c r="P95" i="123" s="1"/>
  <c r="O95" i="123" a="1"/>
  <c r="O95" i="123" s="1"/>
  <c r="N95" i="123" a="1"/>
  <c r="N95" i="123" s="1"/>
  <c r="M95" i="123" a="1"/>
  <c r="M95" i="123" s="1"/>
  <c r="L95" i="123" a="1"/>
  <c r="L95" i="123" s="1"/>
  <c r="K95" i="123" a="1"/>
  <c r="K95" i="123" s="1"/>
  <c r="J95" i="123" a="1"/>
  <c r="J95" i="123" s="1"/>
  <c r="I95" i="123" a="1"/>
  <c r="I95" i="123" s="1"/>
  <c r="H95" i="123" a="1"/>
  <c r="H95" i="123" s="1"/>
  <c r="G95" i="123" a="1"/>
  <c r="G95" i="123" s="1"/>
  <c r="F95" i="123" a="1"/>
  <c r="F95" i="123" s="1"/>
  <c r="E95" i="123" a="1"/>
  <c r="E95" i="123" s="1"/>
  <c r="D95" i="123" a="1"/>
  <c r="D95" i="123" s="1"/>
  <c r="S94" i="123" a="1"/>
  <c r="S94" i="123" s="1"/>
  <c r="R94" i="123" a="1"/>
  <c r="R94" i="123" s="1"/>
  <c r="Q94" i="123" a="1"/>
  <c r="Q94" i="123" s="1"/>
  <c r="P94" i="123" a="1"/>
  <c r="P94" i="123" s="1"/>
  <c r="O94" i="123" a="1"/>
  <c r="O94" i="123" s="1"/>
  <c r="N94" i="123" a="1"/>
  <c r="N94" i="123" s="1"/>
  <c r="M94" i="123" a="1"/>
  <c r="M94" i="123" s="1"/>
  <c r="L94" i="123" a="1"/>
  <c r="L94" i="123" s="1"/>
  <c r="K94" i="123" a="1"/>
  <c r="K94" i="123" s="1"/>
  <c r="J94" i="123" a="1"/>
  <c r="J94" i="123" s="1"/>
  <c r="I94" i="123" a="1"/>
  <c r="I94" i="123" s="1"/>
  <c r="H94" i="123" a="1"/>
  <c r="H94" i="123" s="1"/>
  <c r="G94" i="123" a="1"/>
  <c r="G94" i="123" s="1"/>
  <c r="F94" i="123" a="1"/>
  <c r="F94" i="123" s="1"/>
  <c r="E94" i="123" a="1"/>
  <c r="E94" i="123" s="1"/>
  <c r="D94" i="123" a="1"/>
  <c r="D94" i="123" s="1"/>
  <c r="S93" i="123" a="1"/>
  <c r="S93" i="123" s="1"/>
  <c r="R93" i="123" a="1"/>
  <c r="R93" i="123" s="1"/>
  <c r="Q93" i="123" a="1"/>
  <c r="Q93" i="123" s="1"/>
  <c r="P93" i="123" a="1"/>
  <c r="P93" i="123" s="1"/>
  <c r="O93" i="123" a="1"/>
  <c r="O93" i="123" s="1"/>
  <c r="N93" i="123" a="1"/>
  <c r="N93" i="123" s="1"/>
  <c r="M93" i="123" a="1"/>
  <c r="M93" i="123" s="1"/>
  <c r="L93" i="123" a="1"/>
  <c r="L93" i="123" s="1"/>
  <c r="K93" i="123" a="1"/>
  <c r="K93" i="123" s="1"/>
  <c r="J93" i="123" a="1"/>
  <c r="J93" i="123" s="1"/>
  <c r="I93" i="123" a="1"/>
  <c r="I93" i="123" s="1"/>
  <c r="H93" i="123" a="1"/>
  <c r="H93" i="123" s="1"/>
  <c r="G93" i="123" a="1"/>
  <c r="G93" i="123" s="1"/>
  <c r="F93" i="123" a="1"/>
  <c r="F93" i="123" s="1"/>
  <c r="E93" i="123" a="1"/>
  <c r="E93" i="123" s="1"/>
  <c r="D93" i="123" a="1"/>
  <c r="D93" i="123" s="1"/>
  <c r="S92" i="123" a="1"/>
  <c r="S92" i="123" s="1"/>
  <c r="R92" i="123" a="1"/>
  <c r="R92" i="123" s="1"/>
  <c r="Q92" i="123" a="1"/>
  <c r="Q92" i="123" s="1"/>
  <c r="P92" i="123" a="1"/>
  <c r="P92" i="123" s="1"/>
  <c r="O92" i="123" a="1"/>
  <c r="O92" i="123" s="1"/>
  <c r="N92" i="123" a="1"/>
  <c r="N92" i="123" s="1"/>
  <c r="M92" i="123" a="1"/>
  <c r="M92" i="123" s="1"/>
  <c r="L92" i="123" a="1"/>
  <c r="L92" i="123" s="1"/>
  <c r="K92" i="123" a="1"/>
  <c r="K92" i="123" s="1"/>
  <c r="J92" i="123" a="1"/>
  <c r="J92" i="123" s="1"/>
  <c r="I92" i="123" a="1"/>
  <c r="I92" i="123" s="1"/>
  <c r="H92" i="123" a="1"/>
  <c r="H92" i="123" s="1"/>
  <c r="G92" i="123" a="1"/>
  <c r="G92" i="123" s="1"/>
  <c r="F92" i="123" a="1"/>
  <c r="F92" i="123" s="1"/>
  <c r="E92" i="123" a="1"/>
  <c r="E92" i="123" s="1"/>
  <c r="D92" i="123" a="1"/>
  <c r="D92" i="123" s="1"/>
  <c r="S91" i="123" a="1"/>
  <c r="S91" i="123" s="1"/>
  <c r="R91" i="123" a="1"/>
  <c r="R91" i="123" s="1"/>
  <c r="Q91" i="123" a="1"/>
  <c r="Q91" i="123" s="1"/>
  <c r="P91" i="123" a="1"/>
  <c r="P91" i="123" s="1"/>
  <c r="O91" i="123" a="1"/>
  <c r="O91" i="123" s="1"/>
  <c r="N91" i="123" a="1"/>
  <c r="N91" i="123" s="1"/>
  <c r="M91" i="123" a="1"/>
  <c r="M91" i="123" s="1"/>
  <c r="L91" i="123" a="1"/>
  <c r="L91" i="123" s="1"/>
  <c r="K91" i="123" a="1"/>
  <c r="K91" i="123" s="1"/>
  <c r="J91" i="123" a="1"/>
  <c r="J91" i="123" s="1"/>
  <c r="I91" i="123" a="1"/>
  <c r="I91" i="123" s="1"/>
  <c r="H91" i="123" a="1"/>
  <c r="H91" i="123" s="1"/>
  <c r="G91" i="123" a="1"/>
  <c r="G91" i="123" s="1"/>
  <c r="F91" i="123" a="1"/>
  <c r="F91" i="123" s="1"/>
  <c r="E91" i="123" a="1"/>
  <c r="E91" i="123" s="1"/>
  <c r="D91" i="123" a="1"/>
  <c r="D91" i="123" s="1"/>
  <c r="S90" i="123" a="1"/>
  <c r="S90" i="123" s="1"/>
  <c r="R90" i="123" a="1"/>
  <c r="R90" i="123" s="1"/>
  <c r="Q90" i="123" a="1"/>
  <c r="Q90" i="123" s="1"/>
  <c r="P90" i="123" a="1"/>
  <c r="P90" i="123" s="1"/>
  <c r="O90" i="123" a="1"/>
  <c r="O90" i="123" s="1"/>
  <c r="N90" i="123" a="1"/>
  <c r="N90" i="123" s="1"/>
  <c r="M90" i="123" a="1"/>
  <c r="M90" i="123" s="1"/>
  <c r="L90" i="123" a="1"/>
  <c r="L90" i="123" s="1"/>
  <c r="K90" i="123" a="1"/>
  <c r="K90" i="123" s="1"/>
  <c r="J90" i="123" a="1"/>
  <c r="J90" i="123" s="1"/>
  <c r="I90" i="123" a="1"/>
  <c r="I90" i="123" s="1"/>
  <c r="H90" i="123" a="1"/>
  <c r="H90" i="123" s="1"/>
  <c r="G90" i="123" a="1"/>
  <c r="G90" i="123" s="1"/>
  <c r="F90" i="123" a="1"/>
  <c r="F90" i="123" s="1"/>
  <c r="E90" i="123" a="1"/>
  <c r="E90" i="123" s="1"/>
  <c r="D90" i="123" a="1"/>
  <c r="D90" i="123" s="1"/>
  <c r="D83" i="123" a="1"/>
  <c r="D83" i="123" s="1"/>
  <c r="D82" i="123"/>
  <c r="D82" i="123" a="1"/>
  <c r="D81" i="123" a="1"/>
  <c r="D81" i="123" s="1"/>
  <c r="E77" i="123" a="1"/>
  <c r="E77" i="123" s="1"/>
  <c r="D77" i="123" a="1"/>
  <c r="D77" i="123" s="1"/>
  <c r="E76" i="123" a="1"/>
  <c r="E76" i="123" s="1"/>
  <c r="D76" i="123" a="1"/>
  <c r="D76" i="123" s="1"/>
  <c r="E75" i="123" a="1"/>
  <c r="E75" i="123" s="1"/>
  <c r="D75" i="123" a="1"/>
  <c r="D75" i="123" s="1"/>
  <c r="E74" i="123" a="1"/>
  <c r="E74" i="123" s="1"/>
  <c r="D74" i="123" a="1"/>
  <c r="D74" i="123" s="1"/>
  <c r="E73" i="123" a="1"/>
  <c r="E73" i="123" s="1"/>
  <c r="D73" i="123" a="1"/>
  <c r="D73" i="123" s="1"/>
  <c r="E72" i="123" a="1"/>
  <c r="E72" i="123" s="1"/>
  <c r="D72" i="123" a="1"/>
  <c r="D72" i="123" s="1"/>
  <c r="E71" i="123" a="1"/>
  <c r="E71" i="123" s="1"/>
  <c r="D71" i="123" a="1"/>
  <c r="D71" i="123" s="1"/>
  <c r="E70" i="123" a="1"/>
  <c r="E70" i="123" s="1"/>
  <c r="D70" i="123" a="1"/>
  <c r="D70" i="123" s="1"/>
  <c r="E69" i="123" a="1"/>
  <c r="E69" i="123" s="1"/>
  <c r="D69" i="123" a="1"/>
  <c r="D69" i="123" s="1"/>
  <c r="E68" i="123" a="1"/>
  <c r="E68" i="123" s="1"/>
  <c r="D68" i="123" a="1"/>
  <c r="D68" i="123" s="1"/>
  <c r="E67" i="123" a="1"/>
  <c r="E67" i="123" s="1"/>
  <c r="D67" i="123" a="1"/>
  <c r="D67" i="123" s="1"/>
  <c r="E66" i="123" a="1"/>
  <c r="E66" i="123" s="1"/>
  <c r="D66" i="123" a="1"/>
  <c r="D66" i="123" s="1"/>
  <c r="E65" i="123" a="1"/>
  <c r="E65" i="123" s="1"/>
  <c r="D65" i="123" a="1"/>
  <c r="D65" i="123" s="1"/>
  <c r="E64" i="123" a="1"/>
  <c r="E64" i="123" s="1"/>
  <c r="D64" i="123" a="1"/>
  <c r="D64" i="123" s="1"/>
  <c r="D59" i="123" a="1"/>
  <c r="D59" i="123" s="1"/>
  <c r="D58" i="123" a="1"/>
  <c r="D58" i="123" s="1"/>
  <c r="D57" i="123" a="1"/>
  <c r="D57" i="123" s="1"/>
  <c r="G54" i="123" a="1"/>
  <c r="G54" i="123" s="1"/>
  <c r="F54" i="123" a="1"/>
  <c r="F54" i="123" s="1"/>
  <c r="E54" i="123" a="1"/>
  <c r="E54" i="123" s="1"/>
  <c r="D54" i="123" a="1"/>
  <c r="D54" i="123" s="1"/>
  <c r="G53" i="123" a="1"/>
  <c r="G53" i="123" s="1"/>
  <c r="F53" i="123" a="1"/>
  <c r="F53" i="123" s="1"/>
  <c r="E53" i="123" a="1"/>
  <c r="E53" i="123" s="1"/>
  <c r="D53" i="123" a="1"/>
  <c r="D53" i="123" s="1"/>
  <c r="G52" i="123" a="1"/>
  <c r="G52" i="123" s="1"/>
  <c r="F52" i="123" a="1"/>
  <c r="F52" i="123" s="1"/>
  <c r="E52" i="123" a="1"/>
  <c r="E52" i="123" s="1"/>
  <c r="D52" i="123" a="1"/>
  <c r="D52" i="123" s="1"/>
  <c r="G51" i="123" a="1"/>
  <c r="G51" i="123" s="1"/>
  <c r="F51" i="123" a="1"/>
  <c r="F51" i="123" s="1"/>
  <c r="E51" i="123" a="1"/>
  <c r="E51" i="123" s="1"/>
  <c r="D51" i="123" a="1"/>
  <c r="D51" i="123" s="1"/>
  <c r="G50" i="123" a="1"/>
  <c r="G50" i="123" s="1"/>
  <c r="F50" i="123" a="1"/>
  <c r="F50" i="123" s="1"/>
  <c r="E50" i="123" a="1"/>
  <c r="E50" i="123" s="1"/>
  <c r="D50" i="123" a="1"/>
  <c r="D50" i="123" s="1"/>
  <c r="G49" i="123" a="1"/>
  <c r="G49" i="123" s="1"/>
  <c r="F49" i="123" a="1"/>
  <c r="F49" i="123" s="1"/>
  <c r="E49" i="123" a="1"/>
  <c r="E49" i="123" s="1"/>
  <c r="D49" i="123" a="1"/>
  <c r="D49" i="123" s="1"/>
  <c r="G48" i="123" a="1"/>
  <c r="G48" i="123" s="1"/>
  <c r="F48" i="123" a="1"/>
  <c r="F48" i="123" s="1"/>
  <c r="E48" i="123" a="1"/>
  <c r="E48" i="123" s="1"/>
  <c r="D48" i="123" a="1"/>
  <c r="D48" i="123" s="1"/>
  <c r="D46" i="123" a="1"/>
  <c r="D46" i="123" s="1"/>
  <c r="D45" i="123" a="1"/>
  <c r="D45" i="123" s="1"/>
  <c r="E43" i="123" a="1"/>
  <c r="E43" i="123" s="1"/>
  <c r="D43" i="123" a="1"/>
  <c r="D43" i="123" s="1"/>
  <c r="E42" i="123" a="1"/>
  <c r="E42" i="123" s="1"/>
  <c r="D42" i="123" a="1"/>
  <c r="D42" i="123" s="1"/>
  <c r="E41" i="123" a="1"/>
  <c r="E41" i="123" s="1"/>
  <c r="D41" i="123" a="1"/>
  <c r="D41" i="123" s="1"/>
  <c r="E40" i="123" a="1"/>
  <c r="E40" i="123" s="1"/>
  <c r="D40" i="123" a="1"/>
  <c r="D40" i="123" s="1"/>
  <c r="E39" i="123" a="1"/>
  <c r="E39" i="123" s="1"/>
  <c r="D39" i="123" a="1"/>
  <c r="D39" i="123" s="1"/>
  <c r="E38" i="123" a="1"/>
  <c r="E38" i="123" s="1"/>
  <c r="D38" i="123" a="1"/>
  <c r="D38" i="123" s="1"/>
  <c r="E37" i="123" a="1"/>
  <c r="E37" i="123" s="1"/>
  <c r="D37" i="123" a="1"/>
  <c r="D37" i="123" s="1"/>
  <c r="D35" i="123" a="1"/>
  <c r="D35" i="123" s="1"/>
  <c r="D34" i="123" a="1"/>
  <c r="D34" i="123" s="1"/>
  <c r="D30" i="123" a="1"/>
  <c r="D30" i="123" s="1"/>
  <c r="D29" i="123" a="1"/>
  <c r="D29" i="123" s="1"/>
  <c r="D28" i="123" a="1"/>
  <c r="D28" i="123" s="1"/>
  <c r="D27" i="123" a="1"/>
  <c r="D27" i="123" s="1"/>
  <c r="D26" i="123" a="1"/>
  <c r="D26" i="123" s="1"/>
  <c r="D25" i="123" a="1"/>
  <c r="D25" i="123" s="1"/>
  <c r="D24" i="123" a="1"/>
  <c r="D24" i="123" s="1"/>
  <c r="D23" i="123" a="1"/>
  <c r="D23" i="123" s="1"/>
  <c r="D22" i="123" a="1"/>
  <c r="D22" i="123" s="1"/>
  <c r="D21" i="123" a="1"/>
  <c r="D21" i="123" s="1"/>
  <c r="D19" i="123" a="1"/>
  <c r="D19" i="123" s="1"/>
  <c r="D18" i="123" a="1"/>
  <c r="D18" i="123" s="1"/>
  <c r="F14" i="123" a="1"/>
  <c r="F14" i="123" s="1"/>
  <c r="E14" i="123" a="1"/>
  <c r="E14" i="123" s="1"/>
  <c r="D14" i="123" a="1"/>
  <c r="D14" i="123" s="1"/>
  <c r="F13" i="123" a="1"/>
  <c r="F13" i="123" s="1"/>
  <c r="E13" i="123" a="1"/>
  <c r="E13" i="123" s="1"/>
  <c r="D13" i="123" a="1"/>
  <c r="D13" i="123" s="1"/>
  <c r="F12" i="123" a="1"/>
  <c r="F12" i="123" s="1"/>
  <c r="E12" i="123" a="1"/>
  <c r="E12" i="123" s="1"/>
  <c r="D12" i="123" a="1"/>
  <c r="D12" i="123" s="1"/>
  <c r="F11" i="123" a="1"/>
  <c r="F11" i="123" s="1"/>
  <c r="E11" i="123" a="1"/>
  <c r="E11" i="123" s="1"/>
  <c r="D11" i="123" a="1"/>
  <c r="D11" i="123" s="1"/>
  <c r="F10" i="123" a="1"/>
  <c r="F10" i="123" s="1"/>
  <c r="E10" i="123" a="1"/>
  <c r="E10" i="123" s="1"/>
  <c r="D10" i="123" a="1"/>
  <c r="D10" i="123" s="1"/>
  <c r="F9" i="123" a="1"/>
  <c r="F9" i="123" s="1"/>
  <c r="E9" i="123" a="1"/>
  <c r="E9" i="123" s="1"/>
  <c r="D9" i="123" a="1"/>
  <c r="D9" i="123" s="1"/>
  <c r="F8" i="123" a="1"/>
  <c r="F8" i="123" s="1"/>
  <c r="E8" i="123" a="1"/>
  <c r="E8" i="123" s="1"/>
  <c r="D8" i="123" a="1"/>
  <c r="D8" i="123" s="1"/>
  <c r="A8" i="123"/>
  <c r="F7" i="123" a="1"/>
  <c r="F7" i="123" s="1"/>
  <c r="E7" i="123" a="1"/>
  <c r="E7" i="123" s="1"/>
  <c r="D7" i="123" a="1"/>
  <c r="D7" i="123" s="1"/>
  <c r="A7" i="123"/>
  <c r="D5" i="123" a="1"/>
  <c r="D5" i="123" s="1"/>
  <c r="A3" i="123"/>
  <c r="A8" i="71"/>
  <c r="A7" i="71"/>
  <c r="A3" i="71"/>
  <c r="F34" i="70"/>
  <c r="G34" i="70" s="1"/>
  <c r="F33" i="70"/>
  <c r="G33" i="70" s="1"/>
  <c r="F32" i="70"/>
  <c r="G32" i="70" s="1"/>
  <c r="F31" i="70"/>
  <c r="G31" i="70" s="1"/>
  <c r="F30" i="70"/>
  <c r="G30" i="70" s="1"/>
  <c r="F29" i="70"/>
  <c r="G29" i="70" s="1"/>
  <c r="F28" i="70"/>
  <c r="G28" i="70" s="1"/>
  <c r="G21" i="70"/>
  <c r="G20" i="70"/>
  <c r="G19" i="70"/>
  <c r="G18" i="70"/>
  <c r="G17" i="70"/>
  <c r="G16" i="70"/>
  <c r="G15" i="70"/>
  <c r="G14" i="70"/>
  <c r="G13" i="70"/>
  <c r="G12" i="70"/>
  <c r="AH223" i="110" a="1"/>
  <c r="AH223" i="110" s="1"/>
  <c r="AG223" i="110" a="1"/>
  <c r="AG223" i="110" s="1"/>
  <c r="AF223" i="110" a="1"/>
  <c r="AF223" i="110" s="1"/>
  <c r="AE223" i="110" a="1"/>
  <c r="AE223" i="110" s="1"/>
  <c r="AD223" i="110" a="1"/>
  <c r="AD223" i="110" s="1"/>
  <c r="AC223" i="110" a="1"/>
  <c r="AC223" i="110" s="1"/>
  <c r="AB223" i="110" a="1"/>
  <c r="AB223" i="110" s="1"/>
  <c r="AA223" i="110" a="1"/>
  <c r="AA223" i="110" s="1"/>
  <c r="Z223" i="110" a="1"/>
  <c r="Z223" i="110" s="1"/>
  <c r="Y223" i="110" a="1"/>
  <c r="Y223" i="110" s="1"/>
  <c r="X223" i="110" a="1"/>
  <c r="X223" i="110" s="1"/>
  <c r="W223" i="110" a="1"/>
  <c r="W223" i="110" s="1"/>
  <c r="V223" i="110" a="1"/>
  <c r="V223" i="110" s="1"/>
  <c r="U223" i="110" a="1"/>
  <c r="U223" i="110" s="1"/>
  <c r="T223" i="110" a="1"/>
  <c r="T223" i="110" s="1"/>
  <c r="S223" i="110" a="1"/>
  <c r="S223" i="110" s="1"/>
  <c r="R223" i="110" a="1"/>
  <c r="R223" i="110" s="1"/>
  <c r="Q223" i="110" a="1"/>
  <c r="Q223" i="110" s="1"/>
  <c r="P223" i="110" a="1"/>
  <c r="P223" i="110" s="1"/>
  <c r="O223" i="110" a="1"/>
  <c r="O223" i="110" s="1"/>
  <c r="N223" i="110" a="1"/>
  <c r="N223" i="110" s="1"/>
  <c r="M223" i="110" a="1"/>
  <c r="M223" i="110" s="1"/>
  <c r="L223" i="110" a="1"/>
  <c r="L223" i="110" s="1"/>
  <c r="K223" i="110" a="1"/>
  <c r="K223" i="110" s="1"/>
  <c r="J223" i="110" a="1"/>
  <c r="J223" i="110" s="1"/>
  <c r="I223" i="110" a="1"/>
  <c r="I223" i="110" s="1"/>
  <c r="H223" i="110" a="1"/>
  <c r="H223" i="110" s="1"/>
  <c r="G223" i="110" a="1"/>
  <c r="G223" i="110" s="1"/>
  <c r="F223" i="110" a="1"/>
  <c r="F223" i="110" s="1"/>
  <c r="E223" i="110" a="1"/>
  <c r="E223" i="110" s="1"/>
  <c r="D223" i="110" a="1"/>
  <c r="D223" i="110" s="1"/>
  <c r="AH222" i="110" a="1"/>
  <c r="AH222" i="110" s="1"/>
  <c r="AG222" i="110" a="1"/>
  <c r="AG222" i="110" s="1"/>
  <c r="AF222" i="110" a="1"/>
  <c r="AF222" i="110" s="1"/>
  <c r="AE222" i="110" a="1"/>
  <c r="AE222" i="110" s="1"/>
  <c r="AD222" i="110" a="1"/>
  <c r="AD222" i="110" s="1"/>
  <c r="AC222" i="110" a="1"/>
  <c r="AC222" i="110" s="1"/>
  <c r="AB222" i="110" a="1"/>
  <c r="AB222" i="110" s="1"/>
  <c r="AA222" i="110" a="1"/>
  <c r="AA222" i="110" s="1"/>
  <c r="Z222" i="110" a="1"/>
  <c r="Z222" i="110" s="1"/>
  <c r="Y222" i="110" a="1"/>
  <c r="Y222" i="110" s="1"/>
  <c r="X222" i="110" a="1"/>
  <c r="X222" i="110" s="1"/>
  <c r="W222" i="110" a="1"/>
  <c r="W222" i="110" s="1"/>
  <c r="V222" i="110" a="1"/>
  <c r="V222" i="110" s="1"/>
  <c r="U222" i="110" a="1"/>
  <c r="U222" i="110" s="1"/>
  <c r="T222" i="110" a="1"/>
  <c r="T222" i="110" s="1"/>
  <c r="S222" i="110" a="1"/>
  <c r="S222" i="110" s="1"/>
  <c r="R222" i="110" a="1"/>
  <c r="R222" i="110" s="1"/>
  <c r="Q222" i="110" a="1"/>
  <c r="Q222" i="110" s="1"/>
  <c r="P222" i="110" a="1"/>
  <c r="P222" i="110" s="1"/>
  <c r="O222" i="110" a="1"/>
  <c r="O222" i="110" s="1"/>
  <c r="N222" i="110" a="1"/>
  <c r="N222" i="110" s="1"/>
  <c r="M222" i="110" a="1"/>
  <c r="M222" i="110" s="1"/>
  <c r="L222" i="110" a="1"/>
  <c r="L222" i="110" s="1"/>
  <c r="K222" i="110" a="1"/>
  <c r="K222" i="110" s="1"/>
  <c r="J222" i="110" a="1"/>
  <c r="J222" i="110" s="1"/>
  <c r="I222" i="110" a="1"/>
  <c r="I222" i="110" s="1"/>
  <c r="H222" i="110" a="1"/>
  <c r="H222" i="110" s="1"/>
  <c r="G222" i="110" a="1"/>
  <c r="G222" i="110" s="1"/>
  <c r="F222" i="110" a="1"/>
  <c r="F222" i="110" s="1"/>
  <c r="E222" i="110" a="1"/>
  <c r="E222" i="110" s="1"/>
  <c r="D222" i="110" a="1"/>
  <c r="D222" i="110" s="1"/>
  <c r="AH221" i="110" a="1"/>
  <c r="AH221" i="110" s="1"/>
  <c r="AG221" i="110" a="1"/>
  <c r="AG221" i="110" s="1"/>
  <c r="AF221" i="110" a="1"/>
  <c r="AF221" i="110" s="1"/>
  <c r="AE221" i="110" a="1"/>
  <c r="AE221" i="110" s="1"/>
  <c r="AD221" i="110" a="1"/>
  <c r="AD221" i="110" s="1"/>
  <c r="AC221" i="110" a="1"/>
  <c r="AC221" i="110" s="1"/>
  <c r="AB221" i="110" a="1"/>
  <c r="AB221" i="110" s="1"/>
  <c r="AA221" i="110" a="1"/>
  <c r="AA221" i="110" s="1"/>
  <c r="Z221" i="110" a="1"/>
  <c r="Z221" i="110" s="1"/>
  <c r="Y221" i="110" a="1"/>
  <c r="Y221" i="110" s="1"/>
  <c r="X221" i="110" a="1"/>
  <c r="X221" i="110" s="1"/>
  <c r="W221" i="110" a="1"/>
  <c r="W221" i="110" s="1"/>
  <c r="V221" i="110" a="1"/>
  <c r="V221" i="110" s="1"/>
  <c r="U221" i="110" a="1"/>
  <c r="U221" i="110" s="1"/>
  <c r="T221" i="110" a="1"/>
  <c r="T221" i="110" s="1"/>
  <c r="S221" i="110" a="1"/>
  <c r="S221" i="110" s="1"/>
  <c r="R221" i="110" a="1"/>
  <c r="R221" i="110" s="1"/>
  <c r="Q221" i="110" a="1"/>
  <c r="Q221" i="110" s="1"/>
  <c r="P221" i="110" a="1"/>
  <c r="P221" i="110" s="1"/>
  <c r="O221" i="110" a="1"/>
  <c r="O221" i="110" s="1"/>
  <c r="N221" i="110" a="1"/>
  <c r="N221" i="110" s="1"/>
  <c r="M221" i="110" a="1"/>
  <c r="M221" i="110" s="1"/>
  <c r="L221" i="110" a="1"/>
  <c r="L221" i="110" s="1"/>
  <c r="K221" i="110" a="1"/>
  <c r="K221" i="110" s="1"/>
  <c r="J221" i="110" a="1"/>
  <c r="J221" i="110" s="1"/>
  <c r="I221" i="110" a="1"/>
  <c r="I221" i="110" s="1"/>
  <c r="H221" i="110" a="1"/>
  <c r="H221" i="110" s="1"/>
  <c r="G221" i="110" a="1"/>
  <c r="G221" i="110" s="1"/>
  <c r="F221" i="110" a="1"/>
  <c r="F221" i="110" s="1"/>
  <c r="E221" i="110" a="1"/>
  <c r="E221" i="110" s="1"/>
  <c r="D221" i="110" a="1"/>
  <c r="D221" i="110" s="1"/>
  <c r="AH220" i="110" a="1"/>
  <c r="AH220" i="110" s="1"/>
  <c r="AG220" i="110" a="1"/>
  <c r="AG220" i="110" s="1"/>
  <c r="AF220" i="110" a="1"/>
  <c r="AF220" i="110" s="1"/>
  <c r="AE220" i="110" a="1"/>
  <c r="AE220" i="110" s="1"/>
  <c r="AD220" i="110" a="1"/>
  <c r="AD220" i="110" s="1"/>
  <c r="AC220" i="110" a="1"/>
  <c r="AC220" i="110" s="1"/>
  <c r="AB220" i="110" a="1"/>
  <c r="AB220" i="110" s="1"/>
  <c r="AA220" i="110" a="1"/>
  <c r="AA220" i="110" s="1"/>
  <c r="Z220" i="110" a="1"/>
  <c r="Z220" i="110" s="1"/>
  <c r="Y220" i="110" a="1"/>
  <c r="Y220" i="110" s="1"/>
  <c r="X220" i="110" a="1"/>
  <c r="X220" i="110" s="1"/>
  <c r="W220" i="110" a="1"/>
  <c r="W220" i="110" s="1"/>
  <c r="V220" i="110" a="1"/>
  <c r="V220" i="110" s="1"/>
  <c r="U220" i="110" a="1"/>
  <c r="U220" i="110" s="1"/>
  <c r="T220" i="110" a="1"/>
  <c r="T220" i="110" s="1"/>
  <c r="S220" i="110" a="1"/>
  <c r="S220" i="110" s="1"/>
  <c r="R220" i="110" a="1"/>
  <c r="R220" i="110" s="1"/>
  <c r="Q220" i="110" a="1"/>
  <c r="Q220" i="110" s="1"/>
  <c r="P220" i="110" a="1"/>
  <c r="P220" i="110" s="1"/>
  <c r="O220" i="110" a="1"/>
  <c r="O220" i="110" s="1"/>
  <c r="N220" i="110" a="1"/>
  <c r="N220" i="110" s="1"/>
  <c r="M220" i="110" a="1"/>
  <c r="M220" i="110" s="1"/>
  <c r="L220" i="110" a="1"/>
  <c r="L220" i="110" s="1"/>
  <c r="K220" i="110" a="1"/>
  <c r="K220" i="110" s="1"/>
  <c r="J220" i="110" a="1"/>
  <c r="J220" i="110" s="1"/>
  <c r="I220" i="110" a="1"/>
  <c r="I220" i="110" s="1"/>
  <c r="H220" i="110" a="1"/>
  <c r="H220" i="110" s="1"/>
  <c r="G220" i="110" a="1"/>
  <c r="G220" i="110" s="1"/>
  <c r="F220" i="110" a="1"/>
  <c r="F220" i="110" s="1"/>
  <c r="E220" i="110" a="1"/>
  <c r="E220" i="110" s="1"/>
  <c r="D220" i="110" a="1"/>
  <c r="D220" i="110" s="1"/>
  <c r="AH219" i="110" a="1"/>
  <c r="AH219" i="110" s="1"/>
  <c r="AG219" i="110" a="1"/>
  <c r="AG219" i="110" s="1"/>
  <c r="AF219" i="110" a="1"/>
  <c r="AF219" i="110" s="1"/>
  <c r="AE219" i="110" a="1"/>
  <c r="AE219" i="110" s="1"/>
  <c r="AD219" i="110" a="1"/>
  <c r="AD219" i="110" s="1"/>
  <c r="AC219" i="110" a="1"/>
  <c r="AC219" i="110" s="1"/>
  <c r="AB219" i="110" a="1"/>
  <c r="AB219" i="110" s="1"/>
  <c r="AA219" i="110" a="1"/>
  <c r="AA219" i="110" s="1"/>
  <c r="Z219" i="110" a="1"/>
  <c r="Z219" i="110" s="1"/>
  <c r="Y219" i="110" a="1"/>
  <c r="Y219" i="110" s="1"/>
  <c r="X219" i="110" a="1"/>
  <c r="X219" i="110" s="1"/>
  <c r="W219" i="110" a="1"/>
  <c r="W219" i="110" s="1"/>
  <c r="V219" i="110" a="1"/>
  <c r="V219" i="110" s="1"/>
  <c r="U219" i="110" a="1"/>
  <c r="U219" i="110" s="1"/>
  <c r="T219" i="110" a="1"/>
  <c r="T219" i="110" s="1"/>
  <c r="S219" i="110" a="1"/>
  <c r="S219" i="110" s="1"/>
  <c r="R219" i="110" a="1"/>
  <c r="R219" i="110" s="1"/>
  <c r="Q219" i="110" a="1"/>
  <c r="Q219" i="110" s="1"/>
  <c r="P219" i="110" a="1"/>
  <c r="P219" i="110" s="1"/>
  <c r="O219" i="110" a="1"/>
  <c r="O219" i="110" s="1"/>
  <c r="N219" i="110" a="1"/>
  <c r="N219" i="110" s="1"/>
  <c r="M219" i="110" a="1"/>
  <c r="M219" i="110" s="1"/>
  <c r="L219" i="110" a="1"/>
  <c r="L219" i="110" s="1"/>
  <c r="K219" i="110" a="1"/>
  <c r="K219" i="110" s="1"/>
  <c r="J219" i="110" a="1"/>
  <c r="J219" i="110" s="1"/>
  <c r="I219" i="110" a="1"/>
  <c r="I219" i="110" s="1"/>
  <c r="H219" i="110" a="1"/>
  <c r="H219" i="110" s="1"/>
  <c r="G219" i="110" a="1"/>
  <c r="G219" i="110" s="1"/>
  <c r="F219" i="110" a="1"/>
  <c r="F219" i="110" s="1"/>
  <c r="E219" i="110" a="1"/>
  <c r="E219" i="110" s="1"/>
  <c r="D219" i="110" a="1"/>
  <c r="D219" i="110" s="1"/>
  <c r="AH218" i="110" a="1"/>
  <c r="AH218" i="110" s="1"/>
  <c r="AG218" i="110" a="1"/>
  <c r="AG218" i="110" s="1"/>
  <c r="AF218" i="110" a="1"/>
  <c r="AF218" i="110" s="1"/>
  <c r="AE218" i="110" a="1"/>
  <c r="AE218" i="110" s="1"/>
  <c r="AD218" i="110" a="1"/>
  <c r="AD218" i="110" s="1"/>
  <c r="AC218" i="110" a="1"/>
  <c r="AC218" i="110" s="1"/>
  <c r="AB218" i="110" a="1"/>
  <c r="AB218" i="110" s="1"/>
  <c r="AA218" i="110" a="1"/>
  <c r="AA218" i="110" s="1"/>
  <c r="Z218" i="110" a="1"/>
  <c r="Z218" i="110" s="1"/>
  <c r="Y218" i="110" a="1"/>
  <c r="Y218" i="110" s="1"/>
  <c r="X218" i="110" a="1"/>
  <c r="X218" i="110" s="1"/>
  <c r="W218" i="110" a="1"/>
  <c r="W218" i="110" s="1"/>
  <c r="V218" i="110" a="1"/>
  <c r="V218" i="110" s="1"/>
  <c r="U218" i="110" a="1"/>
  <c r="U218" i="110" s="1"/>
  <c r="T218" i="110" a="1"/>
  <c r="T218" i="110" s="1"/>
  <c r="S218" i="110" a="1"/>
  <c r="S218" i="110" s="1"/>
  <c r="R218" i="110" a="1"/>
  <c r="R218" i="110" s="1"/>
  <c r="Q218" i="110" a="1"/>
  <c r="Q218" i="110" s="1"/>
  <c r="P218" i="110" a="1"/>
  <c r="P218" i="110" s="1"/>
  <c r="O218" i="110" a="1"/>
  <c r="O218" i="110" s="1"/>
  <c r="N218" i="110" a="1"/>
  <c r="N218" i="110" s="1"/>
  <c r="M218" i="110" a="1"/>
  <c r="M218" i="110" s="1"/>
  <c r="L218" i="110" a="1"/>
  <c r="L218" i="110" s="1"/>
  <c r="K218" i="110" a="1"/>
  <c r="K218" i="110" s="1"/>
  <c r="J218" i="110" a="1"/>
  <c r="J218" i="110" s="1"/>
  <c r="I218" i="110" a="1"/>
  <c r="I218" i="110" s="1"/>
  <c r="H218" i="110" a="1"/>
  <c r="H218" i="110" s="1"/>
  <c r="G218" i="110" a="1"/>
  <c r="G218" i="110" s="1"/>
  <c r="F218" i="110" a="1"/>
  <c r="F218" i="110" s="1"/>
  <c r="E218" i="110" a="1"/>
  <c r="E218" i="110" s="1"/>
  <c r="D218" i="110" a="1"/>
  <c r="D218" i="110" s="1"/>
  <c r="AH217" i="110" a="1"/>
  <c r="AH217" i="110" s="1"/>
  <c r="AG217" i="110" a="1"/>
  <c r="AG217" i="110" s="1"/>
  <c r="AF217" i="110" a="1"/>
  <c r="AF217" i="110" s="1"/>
  <c r="AE217" i="110" a="1"/>
  <c r="AE217" i="110" s="1"/>
  <c r="AD217" i="110" a="1"/>
  <c r="AD217" i="110" s="1"/>
  <c r="AC217" i="110" a="1"/>
  <c r="AC217" i="110" s="1"/>
  <c r="AB217" i="110" a="1"/>
  <c r="AB217" i="110" s="1"/>
  <c r="AA217" i="110" a="1"/>
  <c r="AA217" i="110" s="1"/>
  <c r="Z217" i="110" a="1"/>
  <c r="Z217" i="110" s="1"/>
  <c r="Y217" i="110" a="1"/>
  <c r="Y217" i="110" s="1"/>
  <c r="X217" i="110" a="1"/>
  <c r="X217" i="110" s="1"/>
  <c r="W217" i="110" a="1"/>
  <c r="W217" i="110" s="1"/>
  <c r="V217" i="110" a="1"/>
  <c r="V217" i="110" s="1"/>
  <c r="U217" i="110" a="1"/>
  <c r="U217" i="110" s="1"/>
  <c r="T217" i="110" a="1"/>
  <c r="T217" i="110" s="1"/>
  <c r="S217" i="110" a="1"/>
  <c r="S217" i="110" s="1"/>
  <c r="R217" i="110" a="1"/>
  <c r="R217" i="110" s="1"/>
  <c r="Q217" i="110" a="1"/>
  <c r="Q217" i="110" s="1"/>
  <c r="P217" i="110" a="1"/>
  <c r="P217" i="110" s="1"/>
  <c r="O217" i="110" a="1"/>
  <c r="O217" i="110" s="1"/>
  <c r="N217" i="110" a="1"/>
  <c r="N217" i="110" s="1"/>
  <c r="M217" i="110" a="1"/>
  <c r="M217" i="110" s="1"/>
  <c r="L217" i="110" a="1"/>
  <c r="L217" i="110" s="1"/>
  <c r="K217" i="110" a="1"/>
  <c r="K217" i="110" s="1"/>
  <c r="J217" i="110" a="1"/>
  <c r="J217" i="110" s="1"/>
  <c r="I217" i="110" a="1"/>
  <c r="I217" i="110" s="1"/>
  <c r="H217" i="110" a="1"/>
  <c r="H217" i="110" s="1"/>
  <c r="G217" i="110" a="1"/>
  <c r="G217" i="110" s="1"/>
  <c r="F217" i="110" a="1"/>
  <c r="F217" i="110" s="1"/>
  <c r="E217" i="110" a="1"/>
  <c r="E217" i="110" s="1"/>
  <c r="D217" i="110" a="1"/>
  <c r="D217" i="110" s="1"/>
  <c r="AH216" i="110" a="1"/>
  <c r="AH216" i="110" s="1"/>
  <c r="AG216" i="110" a="1"/>
  <c r="AG216" i="110" s="1"/>
  <c r="AF216" i="110" a="1"/>
  <c r="AF216" i="110" s="1"/>
  <c r="AE216" i="110" a="1"/>
  <c r="AE216" i="110" s="1"/>
  <c r="AD216" i="110" a="1"/>
  <c r="AD216" i="110" s="1"/>
  <c r="AC216" i="110" a="1"/>
  <c r="AC216" i="110" s="1"/>
  <c r="AB216" i="110" a="1"/>
  <c r="AB216" i="110" s="1"/>
  <c r="AA216" i="110" a="1"/>
  <c r="AA216" i="110" s="1"/>
  <c r="Z216" i="110" a="1"/>
  <c r="Z216" i="110" s="1"/>
  <c r="Y216" i="110" a="1"/>
  <c r="Y216" i="110" s="1"/>
  <c r="X216" i="110" a="1"/>
  <c r="X216" i="110" s="1"/>
  <c r="W216" i="110" a="1"/>
  <c r="W216" i="110" s="1"/>
  <c r="V216" i="110" a="1"/>
  <c r="V216" i="110" s="1"/>
  <c r="U216" i="110" a="1"/>
  <c r="U216" i="110" s="1"/>
  <c r="T216" i="110" a="1"/>
  <c r="T216" i="110" s="1"/>
  <c r="S216" i="110" a="1"/>
  <c r="S216" i="110" s="1"/>
  <c r="R216" i="110" a="1"/>
  <c r="R216" i="110" s="1"/>
  <c r="Q216" i="110" a="1"/>
  <c r="Q216" i="110" s="1"/>
  <c r="P216" i="110" a="1"/>
  <c r="P216" i="110" s="1"/>
  <c r="O216" i="110" a="1"/>
  <c r="O216" i="110" s="1"/>
  <c r="N216" i="110" a="1"/>
  <c r="N216" i="110" s="1"/>
  <c r="M216" i="110" a="1"/>
  <c r="M216" i="110" s="1"/>
  <c r="L216" i="110" a="1"/>
  <c r="L216" i="110" s="1"/>
  <c r="K216" i="110" a="1"/>
  <c r="K216" i="110" s="1"/>
  <c r="J216" i="110" a="1"/>
  <c r="J216" i="110" s="1"/>
  <c r="I216" i="110" a="1"/>
  <c r="I216" i="110" s="1"/>
  <c r="H216" i="110" a="1"/>
  <c r="H216" i="110" s="1"/>
  <c r="G216" i="110" a="1"/>
  <c r="G216" i="110" s="1"/>
  <c r="F216" i="110" a="1"/>
  <c r="F216" i="110" s="1"/>
  <c r="E216" i="110" a="1"/>
  <c r="E216" i="110" s="1"/>
  <c r="D216" i="110" a="1"/>
  <c r="D216" i="110" s="1"/>
  <c r="AH215" i="110" a="1"/>
  <c r="AH215" i="110" s="1"/>
  <c r="AG215" i="110" a="1"/>
  <c r="AG215" i="110" s="1"/>
  <c r="AF215" i="110" a="1"/>
  <c r="AF215" i="110" s="1"/>
  <c r="AE215" i="110" a="1"/>
  <c r="AE215" i="110" s="1"/>
  <c r="AD215" i="110" a="1"/>
  <c r="AD215" i="110" s="1"/>
  <c r="AC215" i="110" a="1"/>
  <c r="AC215" i="110" s="1"/>
  <c r="AB215" i="110" a="1"/>
  <c r="AB215" i="110" s="1"/>
  <c r="AA215" i="110" a="1"/>
  <c r="AA215" i="110" s="1"/>
  <c r="Z215" i="110" a="1"/>
  <c r="Z215" i="110" s="1"/>
  <c r="Y215" i="110" a="1"/>
  <c r="Y215" i="110" s="1"/>
  <c r="X215" i="110" a="1"/>
  <c r="X215" i="110" s="1"/>
  <c r="W215" i="110" a="1"/>
  <c r="W215" i="110" s="1"/>
  <c r="V215" i="110" a="1"/>
  <c r="V215" i="110" s="1"/>
  <c r="U215" i="110" a="1"/>
  <c r="U215" i="110" s="1"/>
  <c r="T215" i="110" a="1"/>
  <c r="T215" i="110" s="1"/>
  <c r="S215" i="110" a="1"/>
  <c r="S215" i="110" s="1"/>
  <c r="R215" i="110" a="1"/>
  <c r="R215" i="110" s="1"/>
  <c r="Q215" i="110" a="1"/>
  <c r="Q215" i="110" s="1"/>
  <c r="P215" i="110" a="1"/>
  <c r="P215" i="110" s="1"/>
  <c r="O215" i="110" a="1"/>
  <c r="O215" i="110" s="1"/>
  <c r="N215" i="110" a="1"/>
  <c r="N215" i="110" s="1"/>
  <c r="M215" i="110" a="1"/>
  <c r="M215" i="110" s="1"/>
  <c r="L215" i="110" a="1"/>
  <c r="L215" i="110" s="1"/>
  <c r="K215" i="110" a="1"/>
  <c r="K215" i="110" s="1"/>
  <c r="J215" i="110" a="1"/>
  <c r="J215" i="110" s="1"/>
  <c r="I215" i="110" a="1"/>
  <c r="I215" i="110" s="1"/>
  <c r="H215" i="110" a="1"/>
  <c r="H215" i="110" s="1"/>
  <c r="G215" i="110" a="1"/>
  <c r="G215" i="110" s="1"/>
  <c r="F215" i="110" a="1"/>
  <c r="F215" i="110" s="1"/>
  <c r="E215" i="110" a="1"/>
  <c r="E215" i="110" s="1"/>
  <c r="D215" i="110" a="1"/>
  <c r="D215" i="110" s="1"/>
  <c r="AH214" i="110" a="1"/>
  <c r="AH214" i="110" s="1"/>
  <c r="AG214" i="110" a="1"/>
  <c r="AG214" i="110" s="1"/>
  <c r="AF214" i="110" a="1"/>
  <c r="AF214" i="110" s="1"/>
  <c r="AE214" i="110" a="1"/>
  <c r="AE214" i="110" s="1"/>
  <c r="AD214" i="110" a="1"/>
  <c r="AD214" i="110" s="1"/>
  <c r="AC214" i="110" a="1"/>
  <c r="AC214" i="110" s="1"/>
  <c r="AB214" i="110" a="1"/>
  <c r="AB214" i="110" s="1"/>
  <c r="AA214" i="110" a="1"/>
  <c r="AA214" i="110" s="1"/>
  <c r="Z214" i="110" a="1"/>
  <c r="Z214" i="110" s="1"/>
  <c r="Y214" i="110" a="1"/>
  <c r="Y214" i="110" s="1"/>
  <c r="X214" i="110" a="1"/>
  <c r="X214" i="110" s="1"/>
  <c r="W214" i="110" a="1"/>
  <c r="W214" i="110" s="1"/>
  <c r="V214" i="110" a="1"/>
  <c r="V214" i="110" s="1"/>
  <c r="U214" i="110" a="1"/>
  <c r="U214" i="110" s="1"/>
  <c r="T214" i="110" a="1"/>
  <c r="T214" i="110" s="1"/>
  <c r="S214" i="110" a="1"/>
  <c r="S214" i="110" s="1"/>
  <c r="R214" i="110" a="1"/>
  <c r="R214" i="110" s="1"/>
  <c r="Q214" i="110" a="1"/>
  <c r="Q214" i="110" s="1"/>
  <c r="P214" i="110" a="1"/>
  <c r="P214" i="110" s="1"/>
  <c r="O214" i="110" a="1"/>
  <c r="O214" i="110" s="1"/>
  <c r="N214" i="110" a="1"/>
  <c r="N214" i="110" s="1"/>
  <c r="M214" i="110" a="1"/>
  <c r="M214" i="110" s="1"/>
  <c r="L214" i="110" a="1"/>
  <c r="L214" i="110" s="1"/>
  <c r="K214" i="110" a="1"/>
  <c r="K214" i="110" s="1"/>
  <c r="J214" i="110" a="1"/>
  <c r="J214" i="110" s="1"/>
  <c r="I214" i="110" a="1"/>
  <c r="I214" i="110" s="1"/>
  <c r="H214" i="110" a="1"/>
  <c r="H214" i="110" s="1"/>
  <c r="G214" i="110" a="1"/>
  <c r="G214" i="110" s="1"/>
  <c r="F214" i="110" a="1"/>
  <c r="F214" i="110" s="1"/>
  <c r="E214" i="110" a="1"/>
  <c r="E214" i="110" s="1"/>
  <c r="D214" i="110" a="1"/>
  <c r="D214" i="110" s="1"/>
  <c r="AH213" i="110" a="1"/>
  <c r="AH213" i="110" s="1"/>
  <c r="AG213" i="110" a="1"/>
  <c r="AG213" i="110" s="1"/>
  <c r="AF213" i="110" a="1"/>
  <c r="AF213" i="110" s="1"/>
  <c r="AE213" i="110" a="1"/>
  <c r="AE213" i="110" s="1"/>
  <c r="AD213" i="110" a="1"/>
  <c r="AD213" i="110" s="1"/>
  <c r="AC213" i="110" a="1"/>
  <c r="AC213" i="110" s="1"/>
  <c r="AB213" i="110" a="1"/>
  <c r="AB213" i="110" s="1"/>
  <c r="AA213" i="110" a="1"/>
  <c r="AA213" i="110" s="1"/>
  <c r="Z213" i="110" a="1"/>
  <c r="Z213" i="110" s="1"/>
  <c r="Y213" i="110" a="1"/>
  <c r="Y213" i="110" s="1"/>
  <c r="X213" i="110" a="1"/>
  <c r="X213" i="110" s="1"/>
  <c r="W213" i="110" a="1"/>
  <c r="W213" i="110" s="1"/>
  <c r="V213" i="110" a="1"/>
  <c r="V213" i="110" s="1"/>
  <c r="U213" i="110" a="1"/>
  <c r="U213" i="110" s="1"/>
  <c r="T213" i="110" a="1"/>
  <c r="T213" i="110" s="1"/>
  <c r="S213" i="110" a="1"/>
  <c r="S213" i="110" s="1"/>
  <c r="R213" i="110" a="1"/>
  <c r="R213" i="110" s="1"/>
  <c r="Q213" i="110" a="1"/>
  <c r="Q213" i="110" s="1"/>
  <c r="P213" i="110" a="1"/>
  <c r="P213" i="110" s="1"/>
  <c r="O213" i="110" a="1"/>
  <c r="O213" i="110" s="1"/>
  <c r="N213" i="110" a="1"/>
  <c r="N213" i="110" s="1"/>
  <c r="M213" i="110" a="1"/>
  <c r="M213" i="110" s="1"/>
  <c r="L213" i="110" a="1"/>
  <c r="L213" i="110" s="1"/>
  <c r="K213" i="110" a="1"/>
  <c r="K213" i="110" s="1"/>
  <c r="J213" i="110" a="1"/>
  <c r="J213" i="110" s="1"/>
  <c r="I213" i="110" a="1"/>
  <c r="I213" i="110" s="1"/>
  <c r="H213" i="110" a="1"/>
  <c r="H213" i="110" s="1"/>
  <c r="G213" i="110" a="1"/>
  <c r="G213" i="110" s="1"/>
  <c r="F213" i="110" a="1"/>
  <c r="F213" i="110" s="1"/>
  <c r="E213" i="110" a="1"/>
  <c r="E213" i="110" s="1"/>
  <c r="D213" i="110" a="1"/>
  <c r="D213" i="110" s="1"/>
  <c r="AH212" i="110" a="1"/>
  <c r="AH212" i="110" s="1"/>
  <c r="AG212" i="110" a="1"/>
  <c r="AG212" i="110" s="1"/>
  <c r="AF212" i="110" a="1"/>
  <c r="AF212" i="110" s="1"/>
  <c r="AE212" i="110" a="1"/>
  <c r="AE212" i="110" s="1"/>
  <c r="AD212" i="110" a="1"/>
  <c r="AD212" i="110" s="1"/>
  <c r="AC212" i="110" a="1"/>
  <c r="AC212" i="110" s="1"/>
  <c r="AB212" i="110" a="1"/>
  <c r="AB212" i="110" s="1"/>
  <c r="AA212" i="110" a="1"/>
  <c r="AA212" i="110" s="1"/>
  <c r="Z212" i="110" a="1"/>
  <c r="Z212" i="110" s="1"/>
  <c r="Y212" i="110" a="1"/>
  <c r="Y212" i="110" s="1"/>
  <c r="X212" i="110" a="1"/>
  <c r="X212" i="110" s="1"/>
  <c r="W212" i="110" a="1"/>
  <c r="W212" i="110" s="1"/>
  <c r="V212" i="110" a="1"/>
  <c r="V212" i="110" s="1"/>
  <c r="U212" i="110" a="1"/>
  <c r="U212" i="110" s="1"/>
  <c r="T212" i="110" a="1"/>
  <c r="T212" i="110" s="1"/>
  <c r="S212" i="110" a="1"/>
  <c r="S212" i="110" s="1"/>
  <c r="R212" i="110" a="1"/>
  <c r="R212" i="110" s="1"/>
  <c r="Q212" i="110" a="1"/>
  <c r="Q212" i="110" s="1"/>
  <c r="P212" i="110" a="1"/>
  <c r="P212" i="110" s="1"/>
  <c r="O212" i="110" a="1"/>
  <c r="O212" i="110" s="1"/>
  <c r="N212" i="110" a="1"/>
  <c r="N212" i="110" s="1"/>
  <c r="M212" i="110" a="1"/>
  <c r="M212" i="110" s="1"/>
  <c r="L212" i="110" a="1"/>
  <c r="L212" i="110" s="1"/>
  <c r="K212" i="110" a="1"/>
  <c r="K212" i="110" s="1"/>
  <c r="J212" i="110" a="1"/>
  <c r="J212" i="110" s="1"/>
  <c r="I212" i="110" a="1"/>
  <c r="I212" i="110" s="1"/>
  <c r="H212" i="110" a="1"/>
  <c r="H212" i="110" s="1"/>
  <c r="G212" i="110" a="1"/>
  <c r="G212" i="110" s="1"/>
  <c r="F212" i="110" a="1"/>
  <c r="F212" i="110" s="1"/>
  <c r="E212" i="110" a="1"/>
  <c r="E212" i="110" s="1"/>
  <c r="D212" i="110" a="1"/>
  <c r="D212" i="110" s="1"/>
  <c r="AH211" i="110" a="1"/>
  <c r="AH211" i="110" s="1"/>
  <c r="AG211" i="110" a="1"/>
  <c r="AG211" i="110" s="1"/>
  <c r="AF211" i="110" a="1"/>
  <c r="AF211" i="110" s="1"/>
  <c r="AE211" i="110" a="1"/>
  <c r="AE211" i="110" s="1"/>
  <c r="AD211" i="110" a="1"/>
  <c r="AD211" i="110" s="1"/>
  <c r="AC211" i="110" a="1"/>
  <c r="AC211" i="110" s="1"/>
  <c r="AB211" i="110" a="1"/>
  <c r="AB211" i="110" s="1"/>
  <c r="AA211" i="110" a="1"/>
  <c r="AA211" i="110" s="1"/>
  <c r="Z211" i="110" a="1"/>
  <c r="Z211" i="110" s="1"/>
  <c r="Y211" i="110" a="1"/>
  <c r="Y211" i="110" s="1"/>
  <c r="X211" i="110" a="1"/>
  <c r="X211" i="110" s="1"/>
  <c r="W211" i="110" a="1"/>
  <c r="W211" i="110" s="1"/>
  <c r="V211" i="110" a="1"/>
  <c r="V211" i="110" s="1"/>
  <c r="U211" i="110" a="1"/>
  <c r="U211" i="110" s="1"/>
  <c r="T211" i="110" a="1"/>
  <c r="T211" i="110" s="1"/>
  <c r="S211" i="110" a="1"/>
  <c r="S211" i="110" s="1"/>
  <c r="R211" i="110" a="1"/>
  <c r="R211" i="110" s="1"/>
  <c r="Q211" i="110" a="1"/>
  <c r="Q211" i="110" s="1"/>
  <c r="P211" i="110" a="1"/>
  <c r="P211" i="110" s="1"/>
  <c r="O211" i="110" a="1"/>
  <c r="O211" i="110" s="1"/>
  <c r="N211" i="110" a="1"/>
  <c r="N211" i="110" s="1"/>
  <c r="M211" i="110" a="1"/>
  <c r="M211" i="110" s="1"/>
  <c r="L211" i="110" a="1"/>
  <c r="L211" i="110" s="1"/>
  <c r="K211" i="110" a="1"/>
  <c r="K211" i="110" s="1"/>
  <c r="J211" i="110" a="1"/>
  <c r="J211" i="110" s="1"/>
  <c r="I211" i="110" a="1"/>
  <c r="I211" i="110" s="1"/>
  <c r="H211" i="110" a="1"/>
  <c r="H211" i="110" s="1"/>
  <c r="G211" i="110" a="1"/>
  <c r="G211" i="110" s="1"/>
  <c r="F211" i="110" a="1"/>
  <c r="F211" i="110" s="1"/>
  <c r="E211" i="110" a="1"/>
  <c r="E211" i="110" s="1"/>
  <c r="D211" i="110" a="1"/>
  <c r="D211" i="110" s="1"/>
  <c r="AH210" i="110" a="1"/>
  <c r="AH210" i="110" s="1"/>
  <c r="AG210" i="110" a="1"/>
  <c r="AG210" i="110" s="1"/>
  <c r="AF210" i="110" a="1"/>
  <c r="AF210" i="110" s="1"/>
  <c r="AE210" i="110" a="1"/>
  <c r="AE210" i="110" s="1"/>
  <c r="AD210" i="110" a="1"/>
  <c r="AD210" i="110" s="1"/>
  <c r="AC210" i="110" a="1"/>
  <c r="AC210" i="110" s="1"/>
  <c r="AB210" i="110" a="1"/>
  <c r="AB210" i="110" s="1"/>
  <c r="AA210" i="110" a="1"/>
  <c r="AA210" i="110" s="1"/>
  <c r="Z210" i="110" a="1"/>
  <c r="Z210" i="110" s="1"/>
  <c r="Y210" i="110" a="1"/>
  <c r="Y210" i="110" s="1"/>
  <c r="X210" i="110" a="1"/>
  <c r="X210" i="110" s="1"/>
  <c r="W210" i="110" a="1"/>
  <c r="W210" i="110" s="1"/>
  <c r="V210" i="110" a="1"/>
  <c r="V210" i="110" s="1"/>
  <c r="U210" i="110" a="1"/>
  <c r="U210" i="110" s="1"/>
  <c r="T210" i="110" a="1"/>
  <c r="T210" i="110" s="1"/>
  <c r="S210" i="110" a="1"/>
  <c r="S210" i="110" s="1"/>
  <c r="R210" i="110" a="1"/>
  <c r="R210" i="110" s="1"/>
  <c r="Q210" i="110" a="1"/>
  <c r="Q210" i="110" s="1"/>
  <c r="P210" i="110" a="1"/>
  <c r="P210" i="110" s="1"/>
  <c r="O210" i="110" a="1"/>
  <c r="O210" i="110" s="1"/>
  <c r="N210" i="110" a="1"/>
  <c r="N210" i="110" s="1"/>
  <c r="M210" i="110" a="1"/>
  <c r="M210" i="110" s="1"/>
  <c r="L210" i="110" a="1"/>
  <c r="L210" i="110" s="1"/>
  <c r="K210" i="110" a="1"/>
  <c r="K210" i="110" s="1"/>
  <c r="J210" i="110" a="1"/>
  <c r="J210" i="110" s="1"/>
  <c r="I210" i="110" a="1"/>
  <c r="I210" i="110" s="1"/>
  <c r="H210" i="110" a="1"/>
  <c r="H210" i="110" s="1"/>
  <c r="G210" i="110" a="1"/>
  <c r="G210" i="110" s="1"/>
  <c r="F210" i="110" a="1"/>
  <c r="F210" i="110" s="1"/>
  <c r="E210" i="110" a="1"/>
  <c r="E210" i="110" s="1"/>
  <c r="D210" i="110" a="1"/>
  <c r="D210" i="110" s="1"/>
  <c r="AH209" i="110" a="1"/>
  <c r="AH209" i="110" s="1"/>
  <c r="AG209" i="110" a="1"/>
  <c r="AG209" i="110" s="1"/>
  <c r="AF209" i="110" a="1"/>
  <c r="AF209" i="110" s="1"/>
  <c r="AE209" i="110" a="1"/>
  <c r="AE209" i="110" s="1"/>
  <c r="AD209" i="110" a="1"/>
  <c r="AD209" i="110" s="1"/>
  <c r="AC209" i="110" a="1"/>
  <c r="AC209" i="110" s="1"/>
  <c r="AB209" i="110" a="1"/>
  <c r="AB209" i="110" s="1"/>
  <c r="AA209" i="110" a="1"/>
  <c r="AA209" i="110" s="1"/>
  <c r="Z209" i="110" a="1"/>
  <c r="Z209" i="110" s="1"/>
  <c r="Y209" i="110" a="1"/>
  <c r="Y209" i="110" s="1"/>
  <c r="X209" i="110" a="1"/>
  <c r="X209" i="110" s="1"/>
  <c r="W209" i="110" a="1"/>
  <c r="W209" i="110" s="1"/>
  <c r="V209" i="110" a="1"/>
  <c r="V209" i="110" s="1"/>
  <c r="U209" i="110" a="1"/>
  <c r="U209" i="110" s="1"/>
  <c r="T209" i="110" a="1"/>
  <c r="T209" i="110" s="1"/>
  <c r="S209" i="110" a="1"/>
  <c r="S209" i="110" s="1"/>
  <c r="R209" i="110" a="1"/>
  <c r="R209" i="110" s="1"/>
  <c r="Q209" i="110" a="1"/>
  <c r="Q209" i="110" s="1"/>
  <c r="P209" i="110" a="1"/>
  <c r="P209" i="110" s="1"/>
  <c r="O209" i="110" a="1"/>
  <c r="O209" i="110" s="1"/>
  <c r="N209" i="110" a="1"/>
  <c r="N209" i="110" s="1"/>
  <c r="M209" i="110" a="1"/>
  <c r="M209" i="110" s="1"/>
  <c r="L209" i="110" a="1"/>
  <c r="L209" i="110" s="1"/>
  <c r="K209" i="110" a="1"/>
  <c r="K209" i="110" s="1"/>
  <c r="J209" i="110" a="1"/>
  <c r="J209" i="110" s="1"/>
  <c r="I209" i="110" a="1"/>
  <c r="I209" i="110" s="1"/>
  <c r="H209" i="110" a="1"/>
  <c r="H209" i="110" s="1"/>
  <c r="G209" i="110" a="1"/>
  <c r="G209" i="110" s="1"/>
  <c r="F209" i="110" a="1"/>
  <c r="F209" i="110" s="1"/>
  <c r="E209" i="110" a="1"/>
  <c r="E209" i="110" s="1"/>
  <c r="D209" i="110" a="1"/>
  <c r="D209" i="110" s="1"/>
  <c r="AH208" i="110" a="1"/>
  <c r="AH208" i="110" s="1"/>
  <c r="AG208" i="110" a="1"/>
  <c r="AG208" i="110" s="1"/>
  <c r="AF208" i="110" a="1"/>
  <c r="AF208" i="110" s="1"/>
  <c r="AE208" i="110" a="1"/>
  <c r="AE208" i="110" s="1"/>
  <c r="AD208" i="110" a="1"/>
  <c r="AD208" i="110" s="1"/>
  <c r="AC208" i="110" a="1"/>
  <c r="AC208" i="110" s="1"/>
  <c r="AB208" i="110" a="1"/>
  <c r="AB208" i="110" s="1"/>
  <c r="AA208" i="110" a="1"/>
  <c r="AA208" i="110" s="1"/>
  <c r="Z208" i="110" a="1"/>
  <c r="Z208" i="110" s="1"/>
  <c r="Y208" i="110" a="1"/>
  <c r="Y208" i="110" s="1"/>
  <c r="X208" i="110" a="1"/>
  <c r="X208" i="110" s="1"/>
  <c r="W208" i="110" a="1"/>
  <c r="W208" i="110" s="1"/>
  <c r="V208" i="110" a="1"/>
  <c r="V208" i="110" s="1"/>
  <c r="U208" i="110" a="1"/>
  <c r="U208" i="110" s="1"/>
  <c r="T208" i="110" a="1"/>
  <c r="T208" i="110" s="1"/>
  <c r="S208" i="110" a="1"/>
  <c r="S208" i="110" s="1"/>
  <c r="R208" i="110" a="1"/>
  <c r="R208" i="110" s="1"/>
  <c r="Q208" i="110" a="1"/>
  <c r="Q208" i="110" s="1"/>
  <c r="P208" i="110" a="1"/>
  <c r="P208" i="110" s="1"/>
  <c r="O208" i="110" a="1"/>
  <c r="O208" i="110" s="1"/>
  <c r="N208" i="110" a="1"/>
  <c r="N208" i="110" s="1"/>
  <c r="M208" i="110" a="1"/>
  <c r="M208" i="110" s="1"/>
  <c r="L208" i="110" a="1"/>
  <c r="L208" i="110" s="1"/>
  <c r="K208" i="110" a="1"/>
  <c r="K208" i="110" s="1"/>
  <c r="J208" i="110" a="1"/>
  <c r="J208" i="110" s="1"/>
  <c r="I208" i="110" a="1"/>
  <c r="I208" i="110" s="1"/>
  <c r="H208" i="110" a="1"/>
  <c r="H208" i="110" s="1"/>
  <c r="G208" i="110" a="1"/>
  <c r="G208" i="110" s="1"/>
  <c r="F208" i="110" a="1"/>
  <c r="F208" i="110" s="1"/>
  <c r="E208" i="110" a="1"/>
  <c r="E208" i="110" s="1"/>
  <c r="D208" i="110" a="1"/>
  <c r="D208" i="110" s="1"/>
  <c r="AH207" i="110" a="1"/>
  <c r="AH207" i="110" s="1"/>
  <c r="AG207" i="110" a="1"/>
  <c r="AG207" i="110" s="1"/>
  <c r="AF207" i="110" a="1"/>
  <c r="AF207" i="110" s="1"/>
  <c r="AE207" i="110" a="1"/>
  <c r="AE207" i="110" s="1"/>
  <c r="AD207" i="110" a="1"/>
  <c r="AD207" i="110" s="1"/>
  <c r="AC207" i="110" a="1"/>
  <c r="AC207" i="110" s="1"/>
  <c r="AB207" i="110" a="1"/>
  <c r="AB207" i="110" s="1"/>
  <c r="AA207" i="110" a="1"/>
  <c r="AA207" i="110" s="1"/>
  <c r="Z207" i="110" a="1"/>
  <c r="Z207" i="110" s="1"/>
  <c r="Y207" i="110" a="1"/>
  <c r="Y207" i="110" s="1"/>
  <c r="X207" i="110" a="1"/>
  <c r="X207" i="110" s="1"/>
  <c r="W207" i="110" a="1"/>
  <c r="W207" i="110" s="1"/>
  <c r="V207" i="110" a="1"/>
  <c r="V207" i="110" s="1"/>
  <c r="U207" i="110" a="1"/>
  <c r="U207" i="110" s="1"/>
  <c r="T207" i="110" a="1"/>
  <c r="T207" i="110" s="1"/>
  <c r="S207" i="110" a="1"/>
  <c r="S207" i="110" s="1"/>
  <c r="R207" i="110" a="1"/>
  <c r="R207" i="110" s="1"/>
  <c r="Q207" i="110" a="1"/>
  <c r="Q207" i="110" s="1"/>
  <c r="P207" i="110" a="1"/>
  <c r="P207" i="110" s="1"/>
  <c r="O207" i="110" a="1"/>
  <c r="O207" i="110" s="1"/>
  <c r="N207" i="110" a="1"/>
  <c r="N207" i="110" s="1"/>
  <c r="M207" i="110" a="1"/>
  <c r="M207" i="110" s="1"/>
  <c r="L207" i="110" a="1"/>
  <c r="L207" i="110" s="1"/>
  <c r="K207" i="110" a="1"/>
  <c r="K207" i="110" s="1"/>
  <c r="J207" i="110" a="1"/>
  <c r="J207" i="110" s="1"/>
  <c r="I207" i="110" a="1"/>
  <c r="I207" i="110" s="1"/>
  <c r="H207" i="110" a="1"/>
  <c r="H207" i="110" s="1"/>
  <c r="G207" i="110" a="1"/>
  <c r="G207" i="110" s="1"/>
  <c r="F207" i="110" a="1"/>
  <c r="F207" i="110" s="1"/>
  <c r="E207" i="110" a="1"/>
  <c r="E207" i="110" s="1"/>
  <c r="D207" i="110" a="1"/>
  <c r="D207" i="110" s="1"/>
  <c r="AH206" i="110" a="1"/>
  <c r="AH206" i="110" s="1"/>
  <c r="AG206" i="110" a="1"/>
  <c r="AG206" i="110" s="1"/>
  <c r="AF206" i="110" a="1"/>
  <c r="AF206" i="110" s="1"/>
  <c r="AE206" i="110" a="1"/>
  <c r="AE206" i="110" s="1"/>
  <c r="AD206" i="110" a="1"/>
  <c r="AD206" i="110" s="1"/>
  <c r="AC206" i="110" a="1"/>
  <c r="AC206" i="110" s="1"/>
  <c r="AB206" i="110" a="1"/>
  <c r="AB206" i="110" s="1"/>
  <c r="AA206" i="110" a="1"/>
  <c r="AA206" i="110" s="1"/>
  <c r="Z206" i="110" a="1"/>
  <c r="Z206" i="110" s="1"/>
  <c r="Y206" i="110" a="1"/>
  <c r="Y206" i="110" s="1"/>
  <c r="X206" i="110" a="1"/>
  <c r="X206" i="110" s="1"/>
  <c r="W206" i="110" a="1"/>
  <c r="W206" i="110" s="1"/>
  <c r="V206" i="110" a="1"/>
  <c r="V206" i="110" s="1"/>
  <c r="U206" i="110" a="1"/>
  <c r="U206" i="110" s="1"/>
  <c r="T206" i="110" a="1"/>
  <c r="T206" i="110" s="1"/>
  <c r="S206" i="110" a="1"/>
  <c r="S206" i="110" s="1"/>
  <c r="R206" i="110" a="1"/>
  <c r="R206" i="110" s="1"/>
  <c r="Q206" i="110" a="1"/>
  <c r="Q206" i="110" s="1"/>
  <c r="P206" i="110" a="1"/>
  <c r="P206" i="110" s="1"/>
  <c r="O206" i="110" a="1"/>
  <c r="O206" i="110" s="1"/>
  <c r="N206" i="110" a="1"/>
  <c r="N206" i="110" s="1"/>
  <c r="M206" i="110" a="1"/>
  <c r="M206" i="110" s="1"/>
  <c r="L206" i="110" a="1"/>
  <c r="L206" i="110" s="1"/>
  <c r="K206" i="110" a="1"/>
  <c r="K206" i="110" s="1"/>
  <c r="J206" i="110" a="1"/>
  <c r="J206" i="110" s="1"/>
  <c r="I206" i="110" a="1"/>
  <c r="I206" i="110" s="1"/>
  <c r="H206" i="110" a="1"/>
  <c r="H206" i="110" s="1"/>
  <c r="G206" i="110" a="1"/>
  <c r="G206" i="110" s="1"/>
  <c r="F206" i="110" a="1"/>
  <c r="F206" i="110" s="1"/>
  <c r="E206" i="110" a="1"/>
  <c r="E206" i="110" s="1"/>
  <c r="D206" i="110" a="1"/>
  <c r="D206" i="110" s="1"/>
  <c r="AH205" i="110" a="1"/>
  <c r="AH205" i="110" s="1"/>
  <c r="AG205" i="110" a="1"/>
  <c r="AG205" i="110" s="1"/>
  <c r="AF205" i="110" a="1"/>
  <c r="AF205" i="110" s="1"/>
  <c r="AE205" i="110" a="1"/>
  <c r="AE205" i="110" s="1"/>
  <c r="AD205" i="110" a="1"/>
  <c r="AD205" i="110" s="1"/>
  <c r="AC205" i="110" a="1"/>
  <c r="AC205" i="110" s="1"/>
  <c r="AB205" i="110" a="1"/>
  <c r="AB205" i="110" s="1"/>
  <c r="AA205" i="110" a="1"/>
  <c r="AA205" i="110" s="1"/>
  <c r="Z205" i="110" a="1"/>
  <c r="Z205" i="110" s="1"/>
  <c r="Y205" i="110" a="1"/>
  <c r="Y205" i="110" s="1"/>
  <c r="X205" i="110" a="1"/>
  <c r="X205" i="110" s="1"/>
  <c r="W205" i="110" a="1"/>
  <c r="W205" i="110" s="1"/>
  <c r="V205" i="110" a="1"/>
  <c r="V205" i="110" s="1"/>
  <c r="U205" i="110" a="1"/>
  <c r="U205" i="110" s="1"/>
  <c r="T205" i="110" a="1"/>
  <c r="T205" i="110" s="1"/>
  <c r="S205" i="110" a="1"/>
  <c r="S205" i="110" s="1"/>
  <c r="R205" i="110" a="1"/>
  <c r="R205" i="110" s="1"/>
  <c r="Q205" i="110" a="1"/>
  <c r="Q205" i="110" s="1"/>
  <c r="P205" i="110" a="1"/>
  <c r="P205" i="110" s="1"/>
  <c r="O205" i="110" a="1"/>
  <c r="O205" i="110" s="1"/>
  <c r="N205" i="110" a="1"/>
  <c r="N205" i="110" s="1"/>
  <c r="M205" i="110" a="1"/>
  <c r="M205" i="110" s="1"/>
  <c r="L205" i="110" a="1"/>
  <c r="L205" i="110" s="1"/>
  <c r="K205" i="110" a="1"/>
  <c r="K205" i="110" s="1"/>
  <c r="J205" i="110" a="1"/>
  <c r="J205" i="110" s="1"/>
  <c r="I205" i="110" a="1"/>
  <c r="I205" i="110" s="1"/>
  <c r="H205" i="110" a="1"/>
  <c r="H205" i="110" s="1"/>
  <c r="G205" i="110" a="1"/>
  <c r="G205" i="110" s="1"/>
  <c r="F205" i="110" a="1"/>
  <c r="F205" i="110" s="1"/>
  <c r="E205" i="110" a="1"/>
  <c r="E205" i="110" s="1"/>
  <c r="D205" i="110" a="1"/>
  <c r="D205" i="110" s="1"/>
  <c r="AH204" i="110" a="1"/>
  <c r="AH204" i="110" s="1"/>
  <c r="AG204" i="110" a="1"/>
  <c r="AG204" i="110" s="1"/>
  <c r="AF204" i="110" a="1"/>
  <c r="AF204" i="110" s="1"/>
  <c r="AE204" i="110" a="1"/>
  <c r="AE204" i="110" s="1"/>
  <c r="AD204" i="110" a="1"/>
  <c r="AD204" i="110" s="1"/>
  <c r="AC204" i="110" a="1"/>
  <c r="AC204" i="110" s="1"/>
  <c r="AB204" i="110" a="1"/>
  <c r="AB204" i="110" s="1"/>
  <c r="AA204" i="110" a="1"/>
  <c r="AA204" i="110" s="1"/>
  <c r="Z204" i="110" a="1"/>
  <c r="Z204" i="110" s="1"/>
  <c r="Y204" i="110" a="1"/>
  <c r="Y204" i="110" s="1"/>
  <c r="X204" i="110" a="1"/>
  <c r="X204" i="110" s="1"/>
  <c r="W204" i="110" a="1"/>
  <c r="W204" i="110" s="1"/>
  <c r="V204" i="110" a="1"/>
  <c r="V204" i="110" s="1"/>
  <c r="U204" i="110" a="1"/>
  <c r="U204" i="110" s="1"/>
  <c r="T204" i="110" a="1"/>
  <c r="T204" i="110" s="1"/>
  <c r="S204" i="110" a="1"/>
  <c r="S204" i="110" s="1"/>
  <c r="R204" i="110" a="1"/>
  <c r="R204" i="110" s="1"/>
  <c r="Q204" i="110" a="1"/>
  <c r="Q204" i="110" s="1"/>
  <c r="P204" i="110" a="1"/>
  <c r="P204" i="110" s="1"/>
  <c r="O204" i="110" a="1"/>
  <c r="O204" i="110" s="1"/>
  <c r="N204" i="110" a="1"/>
  <c r="N204" i="110" s="1"/>
  <c r="M204" i="110" a="1"/>
  <c r="M204" i="110" s="1"/>
  <c r="L204" i="110" a="1"/>
  <c r="L204" i="110" s="1"/>
  <c r="K204" i="110" a="1"/>
  <c r="K204" i="110" s="1"/>
  <c r="J204" i="110" a="1"/>
  <c r="J204" i="110" s="1"/>
  <c r="I204" i="110" a="1"/>
  <c r="I204" i="110" s="1"/>
  <c r="H204" i="110" a="1"/>
  <c r="H204" i="110" s="1"/>
  <c r="G204" i="110" a="1"/>
  <c r="G204" i="110" s="1"/>
  <c r="F204" i="110" a="1"/>
  <c r="F204" i="110" s="1"/>
  <c r="E204" i="110" a="1"/>
  <c r="E204" i="110" s="1"/>
  <c r="D204" i="110" a="1"/>
  <c r="D204" i="110" s="1"/>
  <c r="AH203" i="110" a="1"/>
  <c r="AH203" i="110" s="1"/>
  <c r="AG203" i="110" a="1"/>
  <c r="AG203" i="110" s="1"/>
  <c r="AF203" i="110" a="1"/>
  <c r="AF203" i="110" s="1"/>
  <c r="AE203" i="110" a="1"/>
  <c r="AE203" i="110" s="1"/>
  <c r="AD203" i="110" a="1"/>
  <c r="AD203" i="110" s="1"/>
  <c r="AC203" i="110" a="1"/>
  <c r="AC203" i="110" s="1"/>
  <c r="AB203" i="110" a="1"/>
  <c r="AB203" i="110" s="1"/>
  <c r="AA203" i="110" a="1"/>
  <c r="AA203" i="110" s="1"/>
  <c r="Z203" i="110" a="1"/>
  <c r="Z203" i="110" s="1"/>
  <c r="Y203" i="110" a="1"/>
  <c r="Y203" i="110" s="1"/>
  <c r="X203" i="110" a="1"/>
  <c r="X203" i="110" s="1"/>
  <c r="W203" i="110" a="1"/>
  <c r="W203" i="110" s="1"/>
  <c r="V203" i="110" a="1"/>
  <c r="V203" i="110" s="1"/>
  <c r="U203" i="110" a="1"/>
  <c r="U203" i="110" s="1"/>
  <c r="T203" i="110" a="1"/>
  <c r="T203" i="110" s="1"/>
  <c r="S203" i="110" a="1"/>
  <c r="S203" i="110" s="1"/>
  <c r="R203" i="110" a="1"/>
  <c r="R203" i="110" s="1"/>
  <c r="Q203" i="110" a="1"/>
  <c r="Q203" i="110" s="1"/>
  <c r="P203" i="110" a="1"/>
  <c r="P203" i="110" s="1"/>
  <c r="O203" i="110" a="1"/>
  <c r="O203" i="110" s="1"/>
  <c r="N203" i="110" a="1"/>
  <c r="N203" i="110" s="1"/>
  <c r="M203" i="110" a="1"/>
  <c r="M203" i="110" s="1"/>
  <c r="L203" i="110" a="1"/>
  <c r="L203" i="110" s="1"/>
  <c r="K203" i="110" a="1"/>
  <c r="K203" i="110" s="1"/>
  <c r="J203" i="110" a="1"/>
  <c r="J203" i="110" s="1"/>
  <c r="I203" i="110" a="1"/>
  <c r="I203" i="110" s="1"/>
  <c r="H203" i="110" a="1"/>
  <c r="H203" i="110" s="1"/>
  <c r="G203" i="110" a="1"/>
  <c r="G203" i="110" s="1"/>
  <c r="F203" i="110" a="1"/>
  <c r="F203" i="110" s="1"/>
  <c r="E203" i="110" a="1"/>
  <c r="E203" i="110" s="1"/>
  <c r="D203" i="110" a="1"/>
  <c r="D203" i="110" s="1"/>
  <c r="AH202" i="110" a="1"/>
  <c r="AH202" i="110" s="1"/>
  <c r="AG202" i="110" a="1"/>
  <c r="AG202" i="110" s="1"/>
  <c r="AF202" i="110" a="1"/>
  <c r="AF202" i="110" s="1"/>
  <c r="AE202" i="110" a="1"/>
  <c r="AE202" i="110" s="1"/>
  <c r="AD202" i="110" a="1"/>
  <c r="AD202" i="110" s="1"/>
  <c r="AC202" i="110" a="1"/>
  <c r="AC202" i="110" s="1"/>
  <c r="AB202" i="110" a="1"/>
  <c r="AB202" i="110" s="1"/>
  <c r="AA202" i="110" a="1"/>
  <c r="AA202" i="110" s="1"/>
  <c r="Z202" i="110" a="1"/>
  <c r="Z202" i="110" s="1"/>
  <c r="Y202" i="110" a="1"/>
  <c r="Y202" i="110" s="1"/>
  <c r="X202" i="110" a="1"/>
  <c r="X202" i="110" s="1"/>
  <c r="W202" i="110" a="1"/>
  <c r="W202" i="110" s="1"/>
  <c r="V202" i="110" a="1"/>
  <c r="V202" i="110" s="1"/>
  <c r="U202" i="110" a="1"/>
  <c r="U202" i="110" s="1"/>
  <c r="T202" i="110" a="1"/>
  <c r="T202" i="110" s="1"/>
  <c r="S202" i="110" a="1"/>
  <c r="S202" i="110" s="1"/>
  <c r="R202" i="110" a="1"/>
  <c r="R202" i="110" s="1"/>
  <c r="Q202" i="110" a="1"/>
  <c r="Q202" i="110" s="1"/>
  <c r="P202" i="110" a="1"/>
  <c r="P202" i="110" s="1"/>
  <c r="O202" i="110" a="1"/>
  <c r="O202" i="110" s="1"/>
  <c r="N202" i="110" a="1"/>
  <c r="N202" i="110" s="1"/>
  <c r="M202" i="110" a="1"/>
  <c r="M202" i="110" s="1"/>
  <c r="L202" i="110" a="1"/>
  <c r="L202" i="110" s="1"/>
  <c r="K202" i="110" a="1"/>
  <c r="K202" i="110" s="1"/>
  <c r="J202" i="110" a="1"/>
  <c r="J202" i="110" s="1"/>
  <c r="I202" i="110" a="1"/>
  <c r="I202" i="110" s="1"/>
  <c r="H202" i="110" a="1"/>
  <c r="H202" i="110" s="1"/>
  <c r="G202" i="110" a="1"/>
  <c r="G202" i="110" s="1"/>
  <c r="F202" i="110" a="1"/>
  <c r="F202" i="110" s="1"/>
  <c r="E202" i="110" a="1"/>
  <c r="E202" i="110" s="1"/>
  <c r="D202" i="110" a="1"/>
  <c r="D202" i="110" s="1"/>
  <c r="AH201" i="110" a="1"/>
  <c r="AH201" i="110" s="1"/>
  <c r="AG201" i="110" a="1"/>
  <c r="AG201" i="110" s="1"/>
  <c r="AF201" i="110" a="1"/>
  <c r="AF201" i="110" s="1"/>
  <c r="AE201" i="110" a="1"/>
  <c r="AE201" i="110" s="1"/>
  <c r="AD201" i="110" a="1"/>
  <c r="AD201" i="110" s="1"/>
  <c r="AC201" i="110" a="1"/>
  <c r="AC201" i="110" s="1"/>
  <c r="AB201" i="110" a="1"/>
  <c r="AB201" i="110" s="1"/>
  <c r="AA201" i="110" a="1"/>
  <c r="AA201" i="110" s="1"/>
  <c r="Z201" i="110" a="1"/>
  <c r="Z201" i="110" s="1"/>
  <c r="Y201" i="110" a="1"/>
  <c r="Y201" i="110" s="1"/>
  <c r="X201" i="110" a="1"/>
  <c r="X201" i="110" s="1"/>
  <c r="W201" i="110" a="1"/>
  <c r="W201" i="110" s="1"/>
  <c r="V201" i="110" a="1"/>
  <c r="V201" i="110" s="1"/>
  <c r="U201" i="110" a="1"/>
  <c r="U201" i="110" s="1"/>
  <c r="T201" i="110" a="1"/>
  <c r="T201" i="110" s="1"/>
  <c r="S201" i="110" a="1"/>
  <c r="S201" i="110" s="1"/>
  <c r="R201" i="110" a="1"/>
  <c r="R201" i="110" s="1"/>
  <c r="Q201" i="110" a="1"/>
  <c r="Q201" i="110" s="1"/>
  <c r="P201" i="110" a="1"/>
  <c r="P201" i="110" s="1"/>
  <c r="O201" i="110" a="1"/>
  <c r="O201" i="110" s="1"/>
  <c r="N201" i="110" a="1"/>
  <c r="N201" i="110" s="1"/>
  <c r="M201" i="110" a="1"/>
  <c r="M201" i="110" s="1"/>
  <c r="L201" i="110" a="1"/>
  <c r="L201" i="110" s="1"/>
  <c r="K201" i="110" a="1"/>
  <c r="K201" i="110" s="1"/>
  <c r="J201" i="110" a="1"/>
  <c r="J201" i="110" s="1"/>
  <c r="I201" i="110" a="1"/>
  <c r="I201" i="110" s="1"/>
  <c r="H201" i="110" a="1"/>
  <c r="H201" i="110" s="1"/>
  <c r="G201" i="110" a="1"/>
  <c r="G201" i="110" s="1"/>
  <c r="F201" i="110" a="1"/>
  <c r="F201" i="110" s="1"/>
  <c r="E201" i="110" a="1"/>
  <c r="E201" i="110" s="1"/>
  <c r="D201" i="110" a="1"/>
  <c r="D201" i="110" s="1"/>
  <c r="AH200" i="110" a="1"/>
  <c r="AH200" i="110" s="1"/>
  <c r="AG200" i="110" a="1"/>
  <c r="AG200" i="110" s="1"/>
  <c r="AF200" i="110" a="1"/>
  <c r="AF200" i="110" s="1"/>
  <c r="AE200" i="110" a="1"/>
  <c r="AE200" i="110" s="1"/>
  <c r="AD200" i="110" a="1"/>
  <c r="AD200" i="110" s="1"/>
  <c r="AC200" i="110" a="1"/>
  <c r="AC200" i="110" s="1"/>
  <c r="AB200" i="110" a="1"/>
  <c r="AB200" i="110" s="1"/>
  <c r="AA200" i="110" a="1"/>
  <c r="AA200" i="110" s="1"/>
  <c r="Z200" i="110" a="1"/>
  <c r="Z200" i="110" s="1"/>
  <c r="Y200" i="110" a="1"/>
  <c r="Y200" i="110" s="1"/>
  <c r="X200" i="110" a="1"/>
  <c r="X200" i="110" s="1"/>
  <c r="W200" i="110" a="1"/>
  <c r="W200" i="110" s="1"/>
  <c r="V200" i="110" a="1"/>
  <c r="V200" i="110" s="1"/>
  <c r="U200" i="110" a="1"/>
  <c r="U200" i="110" s="1"/>
  <c r="T200" i="110" a="1"/>
  <c r="T200" i="110" s="1"/>
  <c r="S200" i="110" a="1"/>
  <c r="S200" i="110" s="1"/>
  <c r="R200" i="110" a="1"/>
  <c r="R200" i="110" s="1"/>
  <c r="Q200" i="110" a="1"/>
  <c r="Q200" i="110" s="1"/>
  <c r="P200" i="110" a="1"/>
  <c r="P200" i="110" s="1"/>
  <c r="O200" i="110" a="1"/>
  <c r="O200" i="110" s="1"/>
  <c r="N200" i="110" a="1"/>
  <c r="N200" i="110" s="1"/>
  <c r="M200" i="110" a="1"/>
  <c r="M200" i="110" s="1"/>
  <c r="L200" i="110" a="1"/>
  <c r="L200" i="110" s="1"/>
  <c r="K200" i="110" a="1"/>
  <c r="K200" i="110" s="1"/>
  <c r="J200" i="110" a="1"/>
  <c r="J200" i="110" s="1"/>
  <c r="I200" i="110" a="1"/>
  <c r="I200" i="110" s="1"/>
  <c r="H200" i="110" a="1"/>
  <c r="H200" i="110" s="1"/>
  <c r="G200" i="110" a="1"/>
  <c r="G200" i="110" s="1"/>
  <c r="F200" i="110" a="1"/>
  <c r="F200" i="110" s="1"/>
  <c r="E200" i="110" a="1"/>
  <c r="E200" i="110" s="1"/>
  <c r="D200" i="110" a="1"/>
  <c r="D200" i="110" s="1"/>
  <c r="AH199" i="110" a="1"/>
  <c r="AH199" i="110" s="1"/>
  <c r="AG199" i="110" a="1"/>
  <c r="AG199" i="110" s="1"/>
  <c r="AF199" i="110" a="1"/>
  <c r="AF199" i="110" s="1"/>
  <c r="AE199" i="110" a="1"/>
  <c r="AE199" i="110" s="1"/>
  <c r="AD199" i="110" a="1"/>
  <c r="AD199" i="110" s="1"/>
  <c r="AC199" i="110" a="1"/>
  <c r="AC199" i="110" s="1"/>
  <c r="AB199" i="110" a="1"/>
  <c r="AB199" i="110" s="1"/>
  <c r="AA199" i="110" a="1"/>
  <c r="AA199" i="110" s="1"/>
  <c r="Z199" i="110" a="1"/>
  <c r="Z199" i="110" s="1"/>
  <c r="Y199" i="110" a="1"/>
  <c r="Y199" i="110" s="1"/>
  <c r="X199" i="110" a="1"/>
  <c r="X199" i="110" s="1"/>
  <c r="W199" i="110" a="1"/>
  <c r="W199" i="110" s="1"/>
  <c r="V199" i="110" a="1"/>
  <c r="V199" i="110" s="1"/>
  <c r="U199" i="110" a="1"/>
  <c r="U199" i="110" s="1"/>
  <c r="T199" i="110" a="1"/>
  <c r="T199" i="110" s="1"/>
  <c r="S199" i="110" a="1"/>
  <c r="S199" i="110" s="1"/>
  <c r="R199" i="110" a="1"/>
  <c r="R199" i="110" s="1"/>
  <c r="Q199" i="110" a="1"/>
  <c r="Q199" i="110" s="1"/>
  <c r="P199" i="110" a="1"/>
  <c r="P199" i="110" s="1"/>
  <c r="O199" i="110" a="1"/>
  <c r="O199" i="110" s="1"/>
  <c r="N199" i="110" a="1"/>
  <c r="N199" i="110" s="1"/>
  <c r="M199" i="110" a="1"/>
  <c r="M199" i="110" s="1"/>
  <c r="L199" i="110" a="1"/>
  <c r="L199" i="110" s="1"/>
  <c r="K199" i="110" a="1"/>
  <c r="K199" i="110" s="1"/>
  <c r="J199" i="110" a="1"/>
  <c r="J199" i="110" s="1"/>
  <c r="I199" i="110" a="1"/>
  <c r="I199" i="110" s="1"/>
  <c r="H199" i="110" a="1"/>
  <c r="H199" i="110" s="1"/>
  <c r="G199" i="110" a="1"/>
  <c r="G199" i="110" s="1"/>
  <c r="F199" i="110" a="1"/>
  <c r="F199" i="110" s="1"/>
  <c r="E199" i="110" a="1"/>
  <c r="E199" i="110" s="1"/>
  <c r="D199" i="110" a="1"/>
  <c r="D199" i="110" s="1"/>
  <c r="AH198" i="110" a="1"/>
  <c r="AH198" i="110" s="1"/>
  <c r="AG198" i="110" a="1"/>
  <c r="AG198" i="110" s="1"/>
  <c r="AF198" i="110" a="1"/>
  <c r="AF198" i="110" s="1"/>
  <c r="AE198" i="110" a="1"/>
  <c r="AE198" i="110" s="1"/>
  <c r="AD198" i="110" a="1"/>
  <c r="AD198" i="110" s="1"/>
  <c r="AC198" i="110" a="1"/>
  <c r="AC198" i="110" s="1"/>
  <c r="AB198" i="110" a="1"/>
  <c r="AB198" i="110" s="1"/>
  <c r="AA198" i="110" a="1"/>
  <c r="AA198" i="110" s="1"/>
  <c r="Z198" i="110" a="1"/>
  <c r="Z198" i="110" s="1"/>
  <c r="Y198" i="110" a="1"/>
  <c r="Y198" i="110" s="1"/>
  <c r="X198" i="110" a="1"/>
  <c r="X198" i="110" s="1"/>
  <c r="W198" i="110" a="1"/>
  <c r="W198" i="110" s="1"/>
  <c r="V198" i="110" a="1"/>
  <c r="V198" i="110" s="1"/>
  <c r="U198" i="110" a="1"/>
  <c r="U198" i="110" s="1"/>
  <c r="T198" i="110" a="1"/>
  <c r="T198" i="110" s="1"/>
  <c r="S198" i="110" a="1"/>
  <c r="S198" i="110" s="1"/>
  <c r="R198" i="110" a="1"/>
  <c r="R198" i="110" s="1"/>
  <c r="Q198" i="110" a="1"/>
  <c r="Q198" i="110" s="1"/>
  <c r="P198" i="110" a="1"/>
  <c r="P198" i="110" s="1"/>
  <c r="O198" i="110" a="1"/>
  <c r="O198" i="110" s="1"/>
  <c r="N198" i="110" a="1"/>
  <c r="N198" i="110" s="1"/>
  <c r="M198" i="110" a="1"/>
  <c r="M198" i="110" s="1"/>
  <c r="L198" i="110" a="1"/>
  <c r="L198" i="110" s="1"/>
  <c r="K198" i="110" a="1"/>
  <c r="K198" i="110" s="1"/>
  <c r="J198" i="110" a="1"/>
  <c r="J198" i="110" s="1"/>
  <c r="I198" i="110" a="1"/>
  <c r="I198" i="110" s="1"/>
  <c r="H198" i="110" a="1"/>
  <c r="H198" i="110" s="1"/>
  <c r="G198" i="110" a="1"/>
  <c r="G198" i="110" s="1"/>
  <c r="F198" i="110" a="1"/>
  <c r="F198" i="110" s="1"/>
  <c r="E198" i="110" a="1"/>
  <c r="E198" i="110" s="1"/>
  <c r="D198" i="110" a="1"/>
  <c r="D198" i="110" s="1"/>
  <c r="AH197" i="110" a="1"/>
  <c r="AH197" i="110" s="1"/>
  <c r="AG197" i="110" a="1"/>
  <c r="AG197" i="110" s="1"/>
  <c r="AF197" i="110" a="1"/>
  <c r="AF197" i="110" s="1"/>
  <c r="AE197" i="110" a="1"/>
  <c r="AE197" i="110" s="1"/>
  <c r="AD197" i="110" a="1"/>
  <c r="AD197" i="110" s="1"/>
  <c r="AC197" i="110" a="1"/>
  <c r="AC197" i="110" s="1"/>
  <c r="AB197" i="110" a="1"/>
  <c r="AB197" i="110" s="1"/>
  <c r="AA197" i="110" a="1"/>
  <c r="AA197" i="110" s="1"/>
  <c r="Z197" i="110" a="1"/>
  <c r="Z197" i="110" s="1"/>
  <c r="Y197" i="110" a="1"/>
  <c r="Y197" i="110" s="1"/>
  <c r="X197" i="110" a="1"/>
  <c r="X197" i="110" s="1"/>
  <c r="W197" i="110" a="1"/>
  <c r="W197" i="110" s="1"/>
  <c r="V197" i="110" a="1"/>
  <c r="V197" i="110" s="1"/>
  <c r="U197" i="110" a="1"/>
  <c r="U197" i="110" s="1"/>
  <c r="T197" i="110" a="1"/>
  <c r="T197" i="110" s="1"/>
  <c r="S197" i="110" a="1"/>
  <c r="S197" i="110" s="1"/>
  <c r="R197" i="110" a="1"/>
  <c r="R197" i="110" s="1"/>
  <c r="Q197" i="110" a="1"/>
  <c r="Q197" i="110" s="1"/>
  <c r="P197" i="110" a="1"/>
  <c r="P197" i="110" s="1"/>
  <c r="O197" i="110" a="1"/>
  <c r="O197" i="110" s="1"/>
  <c r="N197" i="110" a="1"/>
  <c r="N197" i="110" s="1"/>
  <c r="M197" i="110" a="1"/>
  <c r="M197" i="110" s="1"/>
  <c r="L197" i="110" a="1"/>
  <c r="L197" i="110" s="1"/>
  <c r="K197" i="110" a="1"/>
  <c r="K197" i="110" s="1"/>
  <c r="J197" i="110" a="1"/>
  <c r="J197" i="110" s="1"/>
  <c r="I197" i="110" a="1"/>
  <c r="I197" i="110" s="1"/>
  <c r="H197" i="110" a="1"/>
  <c r="H197" i="110" s="1"/>
  <c r="G197" i="110" a="1"/>
  <c r="G197" i="110" s="1"/>
  <c r="F197" i="110" a="1"/>
  <c r="F197" i="110" s="1"/>
  <c r="E197" i="110" a="1"/>
  <c r="E197" i="110" s="1"/>
  <c r="D197" i="110" a="1"/>
  <c r="D197" i="110" s="1"/>
  <c r="AH196" i="110" a="1"/>
  <c r="AH196" i="110" s="1"/>
  <c r="AG196" i="110" a="1"/>
  <c r="AG196" i="110" s="1"/>
  <c r="AF196" i="110" a="1"/>
  <c r="AF196" i="110" s="1"/>
  <c r="AE196" i="110" a="1"/>
  <c r="AE196" i="110" s="1"/>
  <c r="AD196" i="110" a="1"/>
  <c r="AD196" i="110" s="1"/>
  <c r="AC196" i="110" a="1"/>
  <c r="AC196" i="110" s="1"/>
  <c r="AB196" i="110" a="1"/>
  <c r="AB196" i="110" s="1"/>
  <c r="AA196" i="110" a="1"/>
  <c r="AA196" i="110" s="1"/>
  <c r="Z196" i="110" a="1"/>
  <c r="Z196" i="110" s="1"/>
  <c r="Y196" i="110" a="1"/>
  <c r="Y196" i="110" s="1"/>
  <c r="X196" i="110" a="1"/>
  <c r="X196" i="110" s="1"/>
  <c r="W196" i="110" a="1"/>
  <c r="W196" i="110" s="1"/>
  <c r="V196" i="110" a="1"/>
  <c r="V196" i="110" s="1"/>
  <c r="U196" i="110" a="1"/>
  <c r="U196" i="110" s="1"/>
  <c r="T196" i="110" a="1"/>
  <c r="T196" i="110" s="1"/>
  <c r="S196" i="110" a="1"/>
  <c r="S196" i="110" s="1"/>
  <c r="R196" i="110" a="1"/>
  <c r="R196" i="110" s="1"/>
  <c r="Q196" i="110" a="1"/>
  <c r="Q196" i="110" s="1"/>
  <c r="P196" i="110" a="1"/>
  <c r="P196" i="110" s="1"/>
  <c r="O196" i="110" a="1"/>
  <c r="O196" i="110" s="1"/>
  <c r="N196" i="110" a="1"/>
  <c r="N196" i="110" s="1"/>
  <c r="M196" i="110" a="1"/>
  <c r="M196" i="110" s="1"/>
  <c r="L196" i="110" a="1"/>
  <c r="L196" i="110" s="1"/>
  <c r="K196" i="110" a="1"/>
  <c r="K196" i="110" s="1"/>
  <c r="J196" i="110" a="1"/>
  <c r="J196" i="110" s="1"/>
  <c r="I196" i="110" a="1"/>
  <c r="I196" i="110" s="1"/>
  <c r="H196" i="110" a="1"/>
  <c r="H196" i="110" s="1"/>
  <c r="G196" i="110" a="1"/>
  <c r="G196" i="110" s="1"/>
  <c r="F196" i="110" a="1"/>
  <c r="F196" i="110" s="1"/>
  <c r="E196" i="110" a="1"/>
  <c r="E196" i="110" s="1"/>
  <c r="D196" i="110" a="1"/>
  <c r="D196" i="110" s="1"/>
  <c r="AH195" i="110" a="1"/>
  <c r="AH195" i="110" s="1"/>
  <c r="AG195" i="110" a="1"/>
  <c r="AG195" i="110" s="1"/>
  <c r="AF195" i="110" a="1"/>
  <c r="AF195" i="110" s="1"/>
  <c r="AE195" i="110" a="1"/>
  <c r="AE195" i="110" s="1"/>
  <c r="AD195" i="110" a="1"/>
  <c r="AD195" i="110" s="1"/>
  <c r="AC195" i="110" a="1"/>
  <c r="AC195" i="110" s="1"/>
  <c r="AB195" i="110" a="1"/>
  <c r="AB195" i="110" s="1"/>
  <c r="AA195" i="110" a="1"/>
  <c r="AA195" i="110" s="1"/>
  <c r="Z195" i="110" a="1"/>
  <c r="Z195" i="110" s="1"/>
  <c r="Y195" i="110" a="1"/>
  <c r="Y195" i="110" s="1"/>
  <c r="X195" i="110" a="1"/>
  <c r="X195" i="110" s="1"/>
  <c r="W195" i="110" a="1"/>
  <c r="W195" i="110" s="1"/>
  <c r="V195" i="110" a="1"/>
  <c r="V195" i="110" s="1"/>
  <c r="U195" i="110" a="1"/>
  <c r="U195" i="110" s="1"/>
  <c r="T195" i="110" a="1"/>
  <c r="T195" i="110" s="1"/>
  <c r="S195" i="110" a="1"/>
  <c r="S195" i="110" s="1"/>
  <c r="R195" i="110" a="1"/>
  <c r="R195" i="110" s="1"/>
  <c r="Q195" i="110" a="1"/>
  <c r="Q195" i="110" s="1"/>
  <c r="P195" i="110" a="1"/>
  <c r="P195" i="110" s="1"/>
  <c r="O195" i="110" a="1"/>
  <c r="O195" i="110" s="1"/>
  <c r="N195" i="110" a="1"/>
  <c r="N195" i="110" s="1"/>
  <c r="M195" i="110" a="1"/>
  <c r="M195" i="110" s="1"/>
  <c r="L195" i="110" a="1"/>
  <c r="L195" i="110" s="1"/>
  <c r="K195" i="110" a="1"/>
  <c r="K195" i="110" s="1"/>
  <c r="J195" i="110" a="1"/>
  <c r="J195" i="110" s="1"/>
  <c r="I195" i="110" a="1"/>
  <c r="I195" i="110" s="1"/>
  <c r="H195" i="110" a="1"/>
  <c r="H195" i="110" s="1"/>
  <c r="G195" i="110" a="1"/>
  <c r="G195" i="110" s="1"/>
  <c r="F195" i="110" a="1"/>
  <c r="F195" i="110" s="1"/>
  <c r="E195" i="110" a="1"/>
  <c r="E195" i="110" s="1"/>
  <c r="D195" i="110" a="1"/>
  <c r="D195" i="110" s="1"/>
  <c r="AH194" i="110" a="1"/>
  <c r="AH194" i="110" s="1"/>
  <c r="AG194" i="110" a="1"/>
  <c r="AG194" i="110" s="1"/>
  <c r="AF194" i="110" a="1"/>
  <c r="AF194" i="110" s="1"/>
  <c r="AE194" i="110" a="1"/>
  <c r="AE194" i="110" s="1"/>
  <c r="AD194" i="110" a="1"/>
  <c r="AD194" i="110" s="1"/>
  <c r="AC194" i="110" a="1"/>
  <c r="AC194" i="110" s="1"/>
  <c r="AB194" i="110" a="1"/>
  <c r="AB194" i="110" s="1"/>
  <c r="AA194" i="110" a="1"/>
  <c r="AA194" i="110" s="1"/>
  <c r="Z194" i="110" a="1"/>
  <c r="Z194" i="110" s="1"/>
  <c r="Y194" i="110" a="1"/>
  <c r="Y194" i="110" s="1"/>
  <c r="X194" i="110" a="1"/>
  <c r="X194" i="110" s="1"/>
  <c r="W194" i="110" a="1"/>
  <c r="W194" i="110" s="1"/>
  <c r="V194" i="110" a="1"/>
  <c r="V194" i="110" s="1"/>
  <c r="U194" i="110" a="1"/>
  <c r="U194" i="110" s="1"/>
  <c r="T194" i="110" a="1"/>
  <c r="T194" i="110" s="1"/>
  <c r="S194" i="110" a="1"/>
  <c r="S194" i="110" s="1"/>
  <c r="R194" i="110" a="1"/>
  <c r="R194" i="110" s="1"/>
  <c r="Q194" i="110" a="1"/>
  <c r="Q194" i="110" s="1"/>
  <c r="P194" i="110" a="1"/>
  <c r="P194" i="110" s="1"/>
  <c r="O194" i="110" a="1"/>
  <c r="O194" i="110" s="1"/>
  <c r="N194" i="110" a="1"/>
  <c r="N194" i="110" s="1"/>
  <c r="M194" i="110" a="1"/>
  <c r="M194" i="110" s="1"/>
  <c r="L194" i="110" a="1"/>
  <c r="L194" i="110" s="1"/>
  <c r="K194" i="110" a="1"/>
  <c r="K194" i="110" s="1"/>
  <c r="J194" i="110" a="1"/>
  <c r="J194" i="110" s="1"/>
  <c r="I194" i="110" a="1"/>
  <c r="I194" i="110" s="1"/>
  <c r="H194" i="110" a="1"/>
  <c r="H194" i="110" s="1"/>
  <c r="G194" i="110" a="1"/>
  <c r="G194" i="110" s="1"/>
  <c r="F194" i="110" a="1"/>
  <c r="F194" i="110" s="1"/>
  <c r="E194" i="110" a="1"/>
  <c r="E194" i="110" s="1"/>
  <c r="D194" i="110" a="1"/>
  <c r="D194" i="110" s="1"/>
  <c r="AH193" i="110" a="1"/>
  <c r="AH193" i="110" s="1"/>
  <c r="AG193" i="110" a="1"/>
  <c r="AG193" i="110" s="1"/>
  <c r="AF193" i="110" a="1"/>
  <c r="AF193" i="110" s="1"/>
  <c r="AE193" i="110" a="1"/>
  <c r="AE193" i="110" s="1"/>
  <c r="AD193" i="110" a="1"/>
  <c r="AD193" i="110" s="1"/>
  <c r="AC193" i="110" a="1"/>
  <c r="AC193" i="110" s="1"/>
  <c r="AB193" i="110" a="1"/>
  <c r="AB193" i="110" s="1"/>
  <c r="AA193" i="110" a="1"/>
  <c r="AA193" i="110" s="1"/>
  <c r="Z193" i="110" a="1"/>
  <c r="Z193" i="110" s="1"/>
  <c r="Y193" i="110" a="1"/>
  <c r="Y193" i="110" s="1"/>
  <c r="X193" i="110" a="1"/>
  <c r="X193" i="110" s="1"/>
  <c r="W193" i="110" a="1"/>
  <c r="W193" i="110" s="1"/>
  <c r="V193" i="110" a="1"/>
  <c r="V193" i="110" s="1"/>
  <c r="U193" i="110" a="1"/>
  <c r="U193" i="110" s="1"/>
  <c r="T193" i="110" a="1"/>
  <c r="T193" i="110" s="1"/>
  <c r="S193" i="110" a="1"/>
  <c r="S193" i="110" s="1"/>
  <c r="R193" i="110" a="1"/>
  <c r="R193" i="110" s="1"/>
  <c r="Q193" i="110" a="1"/>
  <c r="Q193" i="110" s="1"/>
  <c r="P193" i="110" a="1"/>
  <c r="P193" i="110" s="1"/>
  <c r="O193" i="110" a="1"/>
  <c r="O193" i="110" s="1"/>
  <c r="N193" i="110" a="1"/>
  <c r="N193" i="110" s="1"/>
  <c r="M193" i="110" a="1"/>
  <c r="M193" i="110" s="1"/>
  <c r="L193" i="110" a="1"/>
  <c r="L193" i="110" s="1"/>
  <c r="K193" i="110" a="1"/>
  <c r="K193" i="110" s="1"/>
  <c r="J193" i="110" a="1"/>
  <c r="J193" i="110" s="1"/>
  <c r="I193" i="110" a="1"/>
  <c r="I193" i="110" s="1"/>
  <c r="H193" i="110" a="1"/>
  <c r="H193" i="110" s="1"/>
  <c r="G193" i="110" a="1"/>
  <c r="G193" i="110" s="1"/>
  <c r="F193" i="110" a="1"/>
  <c r="F193" i="110" s="1"/>
  <c r="E193" i="110" a="1"/>
  <c r="E193" i="110" s="1"/>
  <c r="D193" i="110" a="1"/>
  <c r="D193" i="110" s="1"/>
  <c r="AH192" i="110" a="1"/>
  <c r="AH192" i="110" s="1"/>
  <c r="AG192" i="110" a="1"/>
  <c r="AG192" i="110" s="1"/>
  <c r="AF192" i="110" a="1"/>
  <c r="AF192" i="110" s="1"/>
  <c r="AE192" i="110" a="1"/>
  <c r="AE192" i="110" s="1"/>
  <c r="AD192" i="110" a="1"/>
  <c r="AD192" i="110" s="1"/>
  <c r="AC192" i="110" a="1"/>
  <c r="AC192" i="110" s="1"/>
  <c r="AB192" i="110" a="1"/>
  <c r="AB192" i="110" s="1"/>
  <c r="AA192" i="110" a="1"/>
  <c r="AA192" i="110" s="1"/>
  <c r="Z192" i="110" a="1"/>
  <c r="Z192" i="110" s="1"/>
  <c r="Y192" i="110" a="1"/>
  <c r="Y192" i="110" s="1"/>
  <c r="X192" i="110" a="1"/>
  <c r="X192" i="110" s="1"/>
  <c r="W192" i="110" a="1"/>
  <c r="W192" i="110" s="1"/>
  <c r="V192" i="110" a="1"/>
  <c r="V192" i="110" s="1"/>
  <c r="U192" i="110" a="1"/>
  <c r="U192" i="110" s="1"/>
  <c r="T192" i="110" a="1"/>
  <c r="T192" i="110" s="1"/>
  <c r="S192" i="110" a="1"/>
  <c r="S192" i="110" s="1"/>
  <c r="R192" i="110" a="1"/>
  <c r="R192" i="110" s="1"/>
  <c r="Q192" i="110" a="1"/>
  <c r="Q192" i="110" s="1"/>
  <c r="P192" i="110" a="1"/>
  <c r="P192" i="110" s="1"/>
  <c r="O192" i="110" a="1"/>
  <c r="O192" i="110" s="1"/>
  <c r="N192" i="110" a="1"/>
  <c r="N192" i="110" s="1"/>
  <c r="M192" i="110" a="1"/>
  <c r="M192" i="110" s="1"/>
  <c r="L192" i="110" a="1"/>
  <c r="L192" i="110" s="1"/>
  <c r="K192" i="110" a="1"/>
  <c r="K192" i="110" s="1"/>
  <c r="J192" i="110" a="1"/>
  <c r="J192" i="110" s="1"/>
  <c r="I192" i="110" a="1"/>
  <c r="I192" i="110" s="1"/>
  <c r="H192" i="110" a="1"/>
  <c r="H192" i="110" s="1"/>
  <c r="G192" i="110" a="1"/>
  <c r="G192" i="110" s="1"/>
  <c r="F192" i="110" a="1"/>
  <c r="F192" i="110" s="1"/>
  <c r="E192" i="110" a="1"/>
  <c r="E192" i="110" s="1"/>
  <c r="D192" i="110" a="1"/>
  <c r="D192" i="110" s="1"/>
  <c r="AH191" i="110" a="1"/>
  <c r="AH191" i="110" s="1"/>
  <c r="AG191" i="110" a="1"/>
  <c r="AG191" i="110" s="1"/>
  <c r="AF191" i="110" a="1"/>
  <c r="AF191" i="110" s="1"/>
  <c r="AE191" i="110" a="1"/>
  <c r="AE191" i="110" s="1"/>
  <c r="AD191" i="110" a="1"/>
  <c r="AD191" i="110" s="1"/>
  <c r="AC191" i="110" a="1"/>
  <c r="AC191" i="110" s="1"/>
  <c r="AB191" i="110" a="1"/>
  <c r="AB191" i="110" s="1"/>
  <c r="AA191" i="110" a="1"/>
  <c r="AA191" i="110" s="1"/>
  <c r="Z191" i="110" a="1"/>
  <c r="Z191" i="110" s="1"/>
  <c r="Y191" i="110" a="1"/>
  <c r="Y191" i="110" s="1"/>
  <c r="X191" i="110" a="1"/>
  <c r="X191" i="110" s="1"/>
  <c r="W191" i="110" a="1"/>
  <c r="W191" i="110" s="1"/>
  <c r="V191" i="110" a="1"/>
  <c r="V191" i="110" s="1"/>
  <c r="U191" i="110" a="1"/>
  <c r="U191" i="110" s="1"/>
  <c r="T191" i="110" a="1"/>
  <c r="T191" i="110" s="1"/>
  <c r="S191" i="110" a="1"/>
  <c r="S191" i="110" s="1"/>
  <c r="R191" i="110" a="1"/>
  <c r="R191" i="110" s="1"/>
  <c r="Q191" i="110" a="1"/>
  <c r="Q191" i="110" s="1"/>
  <c r="P191" i="110" a="1"/>
  <c r="P191" i="110" s="1"/>
  <c r="O191" i="110" a="1"/>
  <c r="O191" i="110" s="1"/>
  <c r="N191" i="110" a="1"/>
  <c r="N191" i="110" s="1"/>
  <c r="M191" i="110" a="1"/>
  <c r="M191" i="110" s="1"/>
  <c r="L191" i="110" a="1"/>
  <c r="L191" i="110" s="1"/>
  <c r="K191" i="110" a="1"/>
  <c r="K191" i="110" s="1"/>
  <c r="J191" i="110" a="1"/>
  <c r="J191" i="110" s="1"/>
  <c r="I191" i="110" a="1"/>
  <c r="I191" i="110" s="1"/>
  <c r="H191" i="110" a="1"/>
  <c r="H191" i="110" s="1"/>
  <c r="G191" i="110" a="1"/>
  <c r="G191" i="110" s="1"/>
  <c r="F191" i="110" a="1"/>
  <c r="F191" i="110" s="1"/>
  <c r="E191" i="110" a="1"/>
  <c r="E191" i="110" s="1"/>
  <c r="D191" i="110" a="1"/>
  <c r="D191" i="110" s="1"/>
  <c r="AH190" i="110" a="1"/>
  <c r="AH190" i="110" s="1"/>
  <c r="AG190" i="110" a="1"/>
  <c r="AG190" i="110" s="1"/>
  <c r="AF190" i="110" a="1"/>
  <c r="AF190" i="110" s="1"/>
  <c r="AE190" i="110" a="1"/>
  <c r="AE190" i="110" s="1"/>
  <c r="AD190" i="110" a="1"/>
  <c r="AD190" i="110" s="1"/>
  <c r="AC190" i="110" a="1"/>
  <c r="AC190" i="110" s="1"/>
  <c r="AB190" i="110" a="1"/>
  <c r="AB190" i="110" s="1"/>
  <c r="AA190" i="110" a="1"/>
  <c r="AA190" i="110" s="1"/>
  <c r="Z190" i="110" a="1"/>
  <c r="Z190" i="110" s="1"/>
  <c r="Y190" i="110" a="1"/>
  <c r="Y190" i="110" s="1"/>
  <c r="X190" i="110" a="1"/>
  <c r="X190" i="110" s="1"/>
  <c r="W190" i="110" a="1"/>
  <c r="W190" i="110" s="1"/>
  <c r="V190" i="110" a="1"/>
  <c r="V190" i="110" s="1"/>
  <c r="U190" i="110" a="1"/>
  <c r="U190" i="110" s="1"/>
  <c r="T190" i="110" a="1"/>
  <c r="T190" i="110" s="1"/>
  <c r="S190" i="110" a="1"/>
  <c r="S190" i="110" s="1"/>
  <c r="R190" i="110" a="1"/>
  <c r="R190" i="110" s="1"/>
  <c r="Q190" i="110" a="1"/>
  <c r="Q190" i="110" s="1"/>
  <c r="P190" i="110" a="1"/>
  <c r="P190" i="110" s="1"/>
  <c r="O190" i="110" a="1"/>
  <c r="O190" i="110" s="1"/>
  <c r="N190" i="110" a="1"/>
  <c r="N190" i="110" s="1"/>
  <c r="M190" i="110" a="1"/>
  <c r="M190" i="110" s="1"/>
  <c r="L190" i="110" a="1"/>
  <c r="L190" i="110" s="1"/>
  <c r="K190" i="110" a="1"/>
  <c r="K190" i="110" s="1"/>
  <c r="J190" i="110" a="1"/>
  <c r="J190" i="110" s="1"/>
  <c r="I190" i="110" a="1"/>
  <c r="I190" i="110" s="1"/>
  <c r="H190" i="110" a="1"/>
  <c r="H190" i="110" s="1"/>
  <c r="G190" i="110" a="1"/>
  <c r="G190" i="110" s="1"/>
  <c r="F190" i="110" a="1"/>
  <c r="F190" i="110" s="1"/>
  <c r="E190" i="110" a="1"/>
  <c r="E190" i="110" s="1"/>
  <c r="D190" i="110" a="1"/>
  <c r="D190" i="110" s="1"/>
  <c r="AH189" i="110" a="1"/>
  <c r="AH189" i="110" s="1"/>
  <c r="AG189" i="110" a="1"/>
  <c r="AG189" i="110" s="1"/>
  <c r="AF189" i="110" a="1"/>
  <c r="AF189" i="110" s="1"/>
  <c r="AE189" i="110" a="1"/>
  <c r="AE189" i="110" s="1"/>
  <c r="AD189" i="110" a="1"/>
  <c r="AD189" i="110" s="1"/>
  <c r="AC189" i="110" a="1"/>
  <c r="AC189" i="110" s="1"/>
  <c r="AB189" i="110" a="1"/>
  <c r="AB189" i="110" s="1"/>
  <c r="AA189" i="110" a="1"/>
  <c r="AA189" i="110" s="1"/>
  <c r="Z189" i="110" a="1"/>
  <c r="Z189" i="110" s="1"/>
  <c r="Y189" i="110" a="1"/>
  <c r="Y189" i="110" s="1"/>
  <c r="X189" i="110" a="1"/>
  <c r="X189" i="110" s="1"/>
  <c r="W189" i="110" a="1"/>
  <c r="W189" i="110" s="1"/>
  <c r="V189" i="110" a="1"/>
  <c r="V189" i="110" s="1"/>
  <c r="U189" i="110" a="1"/>
  <c r="U189" i="110" s="1"/>
  <c r="T189" i="110" a="1"/>
  <c r="T189" i="110" s="1"/>
  <c r="S189" i="110" a="1"/>
  <c r="S189" i="110" s="1"/>
  <c r="R189" i="110" a="1"/>
  <c r="R189" i="110" s="1"/>
  <c r="Q189" i="110" a="1"/>
  <c r="Q189" i="110" s="1"/>
  <c r="P189" i="110" a="1"/>
  <c r="P189" i="110" s="1"/>
  <c r="O189" i="110" a="1"/>
  <c r="O189" i="110" s="1"/>
  <c r="N189" i="110" a="1"/>
  <c r="N189" i="110" s="1"/>
  <c r="M189" i="110" a="1"/>
  <c r="M189" i="110" s="1"/>
  <c r="L189" i="110" a="1"/>
  <c r="L189" i="110" s="1"/>
  <c r="K189" i="110" a="1"/>
  <c r="K189" i="110" s="1"/>
  <c r="J189" i="110" a="1"/>
  <c r="J189" i="110" s="1"/>
  <c r="I189" i="110" a="1"/>
  <c r="I189" i="110" s="1"/>
  <c r="H189" i="110" a="1"/>
  <c r="H189" i="110" s="1"/>
  <c r="G189" i="110" a="1"/>
  <c r="G189" i="110" s="1"/>
  <c r="F189" i="110" a="1"/>
  <c r="F189" i="110" s="1"/>
  <c r="E189" i="110" a="1"/>
  <c r="E189" i="110" s="1"/>
  <c r="D189" i="110" a="1"/>
  <c r="D189" i="110" s="1"/>
  <c r="AH188" i="110" a="1"/>
  <c r="AH188" i="110" s="1"/>
  <c r="AG188" i="110" a="1"/>
  <c r="AG188" i="110" s="1"/>
  <c r="AF188" i="110" a="1"/>
  <c r="AF188" i="110" s="1"/>
  <c r="AE188" i="110" a="1"/>
  <c r="AE188" i="110" s="1"/>
  <c r="AD188" i="110" a="1"/>
  <c r="AD188" i="110" s="1"/>
  <c r="AC188" i="110" a="1"/>
  <c r="AC188" i="110" s="1"/>
  <c r="AB188" i="110" a="1"/>
  <c r="AB188" i="110" s="1"/>
  <c r="AA188" i="110" a="1"/>
  <c r="AA188" i="110" s="1"/>
  <c r="Z188" i="110" a="1"/>
  <c r="Z188" i="110" s="1"/>
  <c r="Y188" i="110" a="1"/>
  <c r="Y188" i="110" s="1"/>
  <c r="X188" i="110" a="1"/>
  <c r="X188" i="110" s="1"/>
  <c r="W188" i="110" a="1"/>
  <c r="W188" i="110" s="1"/>
  <c r="V188" i="110" a="1"/>
  <c r="V188" i="110" s="1"/>
  <c r="U188" i="110" a="1"/>
  <c r="U188" i="110" s="1"/>
  <c r="T188" i="110" a="1"/>
  <c r="T188" i="110" s="1"/>
  <c r="S188" i="110" a="1"/>
  <c r="S188" i="110" s="1"/>
  <c r="R188" i="110" a="1"/>
  <c r="R188" i="110" s="1"/>
  <c r="Q188" i="110" a="1"/>
  <c r="Q188" i="110" s="1"/>
  <c r="P188" i="110" a="1"/>
  <c r="P188" i="110" s="1"/>
  <c r="O188" i="110" a="1"/>
  <c r="O188" i="110" s="1"/>
  <c r="N188" i="110" a="1"/>
  <c r="N188" i="110" s="1"/>
  <c r="M188" i="110" a="1"/>
  <c r="M188" i="110" s="1"/>
  <c r="L188" i="110" a="1"/>
  <c r="L188" i="110" s="1"/>
  <c r="K188" i="110" a="1"/>
  <c r="K188" i="110" s="1"/>
  <c r="J188" i="110" a="1"/>
  <c r="J188" i="110" s="1"/>
  <c r="I188" i="110" a="1"/>
  <c r="I188" i="110" s="1"/>
  <c r="H188" i="110" a="1"/>
  <c r="H188" i="110" s="1"/>
  <c r="G188" i="110" a="1"/>
  <c r="G188" i="110" s="1"/>
  <c r="F188" i="110" a="1"/>
  <c r="F188" i="110" s="1"/>
  <c r="E188" i="110" a="1"/>
  <c r="E188" i="110" s="1"/>
  <c r="D188" i="110" a="1"/>
  <c r="D188" i="110" s="1"/>
  <c r="AH187" i="110" a="1"/>
  <c r="AH187" i="110" s="1"/>
  <c r="AG187" i="110" a="1"/>
  <c r="AG187" i="110" s="1"/>
  <c r="AF187" i="110" a="1"/>
  <c r="AF187" i="110" s="1"/>
  <c r="AE187" i="110" a="1"/>
  <c r="AE187" i="110" s="1"/>
  <c r="AD187" i="110" a="1"/>
  <c r="AD187" i="110" s="1"/>
  <c r="AC187" i="110" a="1"/>
  <c r="AC187" i="110" s="1"/>
  <c r="AB187" i="110" a="1"/>
  <c r="AB187" i="110" s="1"/>
  <c r="AA187" i="110" a="1"/>
  <c r="AA187" i="110" s="1"/>
  <c r="Z187" i="110" a="1"/>
  <c r="Z187" i="110" s="1"/>
  <c r="Y187" i="110" a="1"/>
  <c r="Y187" i="110" s="1"/>
  <c r="X187" i="110" a="1"/>
  <c r="X187" i="110" s="1"/>
  <c r="W187" i="110" a="1"/>
  <c r="W187" i="110" s="1"/>
  <c r="V187" i="110" a="1"/>
  <c r="V187" i="110" s="1"/>
  <c r="U187" i="110" a="1"/>
  <c r="U187" i="110" s="1"/>
  <c r="T187" i="110" a="1"/>
  <c r="T187" i="110" s="1"/>
  <c r="S187" i="110" a="1"/>
  <c r="S187" i="110" s="1"/>
  <c r="R187" i="110" a="1"/>
  <c r="R187" i="110" s="1"/>
  <c r="Q187" i="110" a="1"/>
  <c r="Q187" i="110" s="1"/>
  <c r="P187" i="110" a="1"/>
  <c r="P187" i="110" s="1"/>
  <c r="O187" i="110" a="1"/>
  <c r="O187" i="110" s="1"/>
  <c r="N187" i="110" a="1"/>
  <c r="N187" i="110" s="1"/>
  <c r="M187" i="110" a="1"/>
  <c r="M187" i="110" s="1"/>
  <c r="L187" i="110" a="1"/>
  <c r="L187" i="110" s="1"/>
  <c r="K187" i="110" a="1"/>
  <c r="K187" i="110" s="1"/>
  <c r="J187" i="110" a="1"/>
  <c r="J187" i="110" s="1"/>
  <c r="I187" i="110" a="1"/>
  <c r="I187" i="110" s="1"/>
  <c r="H187" i="110" a="1"/>
  <c r="H187" i="110" s="1"/>
  <c r="G187" i="110" a="1"/>
  <c r="G187" i="110" s="1"/>
  <c r="F187" i="110" a="1"/>
  <c r="F187" i="110" s="1"/>
  <c r="E187" i="110" a="1"/>
  <c r="E187" i="110" s="1"/>
  <c r="D187" i="110" a="1"/>
  <c r="D187" i="110" s="1"/>
  <c r="AH186" i="110" a="1"/>
  <c r="AH186" i="110" s="1"/>
  <c r="AG186" i="110" a="1"/>
  <c r="AG186" i="110" s="1"/>
  <c r="AF186" i="110" a="1"/>
  <c r="AF186" i="110" s="1"/>
  <c r="AE186" i="110" a="1"/>
  <c r="AE186" i="110" s="1"/>
  <c r="AD186" i="110" a="1"/>
  <c r="AD186" i="110" s="1"/>
  <c r="AC186" i="110" a="1"/>
  <c r="AC186" i="110" s="1"/>
  <c r="AB186" i="110" a="1"/>
  <c r="AB186" i="110" s="1"/>
  <c r="AA186" i="110" a="1"/>
  <c r="AA186" i="110" s="1"/>
  <c r="Z186" i="110" a="1"/>
  <c r="Z186" i="110" s="1"/>
  <c r="Y186" i="110" a="1"/>
  <c r="Y186" i="110" s="1"/>
  <c r="X186" i="110" a="1"/>
  <c r="X186" i="110" s="1"/>
  <c r="W186" i="110" a="1"/>
  <c r="W186" i="110" s="1"/>
  <c r="V186" i="110" a="1"/>
  <c r="V186" i="110" s="1"/>
  <c r="U186" i="110" a="1"/>
  <c r="U186" i="110" s="1"/>
  <c r="T186" i="110" a="1"/>
  <c r="T186" i="110" s="1"/>
  <c r="S186" i="110" a="1"/>
  <c r="S186" i="110" s="1"/>
  <c r="R186" i="110" a="1"/>
  <c r="R186" i="110" s="1"/>
  <c r="Q186" i="110" a="1"/>
  <c r="Q186" i="110" s="1"/>
  <c r="P186" i="110" a="1"/>
  <c r="P186" i="110" s="1"/>
  <c r="O186" i="110" a="1"/>
  <c r="O186" i="110" s="1"/>
  <c r="N186" i="110" a="1"/>
  <c r="N186" i="110" s="1"/>
  <c r="M186" i="110" a="1"/>
  <c r="M186" i="110" s="1"/>
  <c r="L186" i="110" a="1"/>
  <c r="L186" i="110" s="1"/>
  <c r="K186" i="110" a="1"/>
  <c r="K186" i="110" s="1"/>
  <c r="J186" i="110" a="1"/>
  <c r="J186" i="110" s="1"/>
  <c r="I186" i="110" a="1"/>
  <c r="I186" i="110" s="1"/>
  <c r="H186" i="110" a="1"/>
  <c r="H186" i="110" s="1"/>
  <c r="G186" i="110" a="1"/>
  <c r="G186" i="110" s="1"/>
  <c r="F186" i="110" a="1"/>
  <c r="F186" i="110" s="1"/>
  <c r="E186" i="110" a="1"/>
  <c r="E186" i="110" s="1"/>
  <c r="D186" i="110" a="1"/>
  <c r="D186" i="110" s="1"/>
  <c r="AH185" i="110" a="1"/>
  <c r="AH185" i="110" s="1"/>
  <c r="AG185" i="110" a="1"/>
  <c r="AG185" i="110" s="1"/>
  <c r="AF185" i="110" a="1"/>
  <c r="AF185" i="110" s="1"/>
  <c r="AE185" i="110" a="1"/>
  <c r="AE185" i="110" s="1"/>
  <c r="AD185" i="110" a="1"/>
  <c r="AD185" i="110" s="1"/>
  <c r="AC185" i="110" a="1"/>
  <c r="AC185" i="110" s="1"/>
  <c r="AB185" i="110" a="1"/>
  <c r="AB185" i="110" s="1"/>
  <c r="AA185" i="110" a="1"/>
  <c r="AA185" i="110" s="1"/>
  <c r="Z185" i="110" a="1"/>
  <c r="Z185" i="110" s="1"/>
  <c r="Y185" i="110" a="1"/>
  <c r="Y185" i="110" s="1"/>
  <c r="X185" i="110" a="1"/>
  <c r="X185" i="110" s="1"/>
  <c r="W185" i="110" a="1"/>
  <c r="W185" i="110" s="1"/>
  <c r="V185" i="110" a="1"/>
  <c r="V185" i="110" s="1"/>
  <c r="U185" i="110" a="1"/>
  <c r="U185" i="110" s="1"/>
  <c r="T185" i="110" a="1"/>
  <c r="T185" i="110" s="1"/>
  <c r="S185" i="110" a="1"/>
  <c r="S185" i="110" s="1"/>
  <c r="R185" i="110" a="1"/>
  <c r="R185" i="110" s="1"/>
  <c r="Q185" i="110" a="1"/>
  <c r="Q185" i="110" s="1"/>
  <c r="P185" i="110" a="1"/>
  <c r="P185" i="110" s="1"/>
  <c r="O185" i="110" a="1"/>
  <c r="O185" i="110" s="1"/>
  <c r="N185" i="110" a="1"/>
  <c r="N185" i="110" s="1"/>
  <c r="M185" i="110" a="1"/>
  <c r="M185" i="110" s="1"/>
  <c r="L185" i="110" a="1"/>
  <c r="L185" i="110" s="1"/>
  <c r="K185" i="110" a="1"/>
  <c r="K185" i="110" s="1"/>
  <c r="J185" i="110" a="1"/>
  <c r="J185" i="110" s="1"/>
  <c r="I185" i="110" a="1"/>
  <c r="I185" i="110" s="1"/>
  <c r="H185" i="110" a="1"/>
  <c r="H185" i="110" s="1"/>
  <c r="G185" i="110" a="1"/>
  <c r="G185" i="110" s="1"/>
  <c r="F185" i="110" a="1"/>
  <c r="F185" i="110" s="1"/>
  <c r="E185" i="110" a="1"/>
  <c r="E185" i="110" s="1"/>
  <c r="D185" i="110" a="1"/>
  <c r="D185" i="110" s="1"/>
  <c r="AH184" i="110" a="1"/>
  <c r="AH184" i="110" s="1"/>
  <c r="AG184" i="110" a="1"/>
  <c r="AG184" i="110" s="1"/>
  <c r="AF184" i="110" a="1"/>
  <c r="AF184" i="110" s="1"/>
  <c r="AE184" i="110" a="1"/>
  <c r="AE184" i="110" s="1"/>
  <c r="AD184" i="110" a="1"/>
  <c r="AD184" i="110" s="1"/>
  <c r="AC184" i="110" a="1"/>
  <c r="AC184" i="110" s="1"/>
  <c r="AB184" i="110" a="1"/>
  <c r="AB184" i="110" s="1"/>
  <c r="AA184" i="110" a="1"/>
  <c r="AA184" i="110" s="1"/>
  <c r="Z184" i="110" a="1"/>
  <c r="Z184" i="110" s="1"/>
  <c r="Y184" i="110" a="1"/>
  <c r="Y184" i="110" s="1"/>
  <c r="X184" i="110" a="1"/>
  <c r="X184" i="110" s="1"/>
  <c r="W184" i="110" a="1"/>
  <c r="W184" i="110" s="1"/>
  <c r="V184" i="110" a="1"/>
  <c r="V184" i="110" s="1"/>
  <c r="U184" i="110" a="1"/>
  <c r="U184" i="110" s="1"/>
  <c r="T184" i="110" a="1"/>
  <c r="T184" i="110" s="1"/>
  <c r="S184" i="110" a="1"/>
  <c r="S184" i="110" s="1"/>
  <c r="R184" i="110" a="1"/>
  <c r="R184" i="110" s="1"/>
  <c r="Q184" i="110" a="1"/>
  <c r="Q184" i="110" s="1"/>
  <c r="P184" i="110" a="1"/>
  <c r="P184" i="110" s="1"/>
  <c r="O184" i="110" a="1"/>
  <c r="O184" i="110" s="1"/>
  <c r="N184" i="110" a="1"/>
  <c r="N184" i="110" s="1"/>
  <c r="M184" i="110" a="1"/>
  <c r="M184" i="110" s="1"/>
  <c r="L184" i="110" a="1"/>
  <c r="L184" i="110" s="1"/>
  <c r="K184" i="110" a="1"/>
  <c r="K184" i="110" s="1"/>
  <c r="J184" i="110" a="1"/>
  <c r="J184" i="110" s="1"/>
  <c r="I184" i="110" a="1"/>
  <c r="I184" i="110" s="1"/>
  <c r="H184" i="110" a="1"/>
  <c r="H184" i="110" s="1"/>
  <c r="G184" i="110" a="1"/>
  <c r="G184" i="110" s="1"/>
  <c r="F184" i="110" a="1"/>
  <c r="F184" i="110" s="1"/>
  <c r="E184" i="110" a="1"/>
  <c r="E184" i="110" s="1"/>
  <c r="D184" i="110" a="1"/>
  <c r="D184" i="110" s="1"/>
  <c r="AH183" i="110" a="1"/>
  <c r="AH183" i="110" s="1"/>
  <c r="AG183" i="110" a="1"/>
  <c r="AG183" i="110" s="1"/>
  <c r="AF183" i="110" a="1"/>
  <c r="AF183" i="110" s="1"/>
  <c r="AE183" i="110" a="1"/>
  <c r="AE183" i="110" s="1"/>
  <c r="AD183" i="110" a="1"/>
  <c r="AD183" i="110" s="1"/>
  <c r="AC183" i="110" a="1"/>
  <c r="AC183" i="110" s="1"/>
  <c r="AB183" i="110" a="1"/>
  <c r="AB183" i="110" s="1"/>
  <c r="AA183" i="110" a="1"/>
  <c r="AA183" i="110" s="1"/>
  <c r="Z183" i="110" a="1"/>
  <c r="Z183" i="110" s="1"/>
  <c r="Y183" i="110" a="1"/>
  <c r="Y183" i="110" s="1"/>
  <c r="X183" i="110" a="1"/>
  <c r="X183" i="110" s="1"/>
  <c r="W183" i="110" a="1"/>
  <c r="W183" i="110" s="1"/>
  <c r="V183" i="110" a="1"/>
  <c r="V183" i="110" s="1"/>
  <c r="U183" i="110" a="1"/>
  <c r="U183" i="110" s="1"/>
  <c r="T183" i="110" a="1"/>
  <c r="T183" i="110" s="1"/>
  <c r="S183" i="110" a="1"/>
  <c r="S183" i="110" s="1"/>
  <c r="R183" i="110" a="1"/>
  <c r="R183" i="110" s="1"/>
  <c r="Q183" i="110" a="1"/>
  <c r="Q183" i="110" s="1"/>
  <c r="P183" i="110" a="1"/>
  <c r="P183" i="110" s="1"/>
  <c r="O183" i="110" a="1"/>
  <c r="O183" i="110" s="1"/>
  <c r="N183" i="110" a="1"/>
  <c r="N183" i="110" s="1"/>
  <c r="M183" i="110" a="1"/>
  <c r="M183" i="110" s="1"/>
  <c r="L183" i="110" a="1"/>
  <c r="L183" i="110" s="1"/>
  <c r="K183" i="110" a="1"/>
  <c r="K183" i="110" s="1"/>
  <c r="J183" i="110" a="1"/>
  <c r="J183" i="110" s="1"/>
  <c r="I183" i="110" a="1"/>
  <c r="I183" i="110" s="1"/>
  <c r="H183" i="110" a="1"/>
  <c r="H183" i="110" s="1"/>
  <c r="G183" i="110" a="1"/>
  <c r="G183" i="110" s="1"/>
  <c r="F183" i="110" a="1"/>
  <c r="F183" i="110" s="1"/>
  <c r="E183" i="110" a="1"/>
  <c r="E183" i="110" s="1"/>
  <c r="D183" i="110" a="1"/>
  <c r="D183" i="110" s="1"/>
  <c r="AH182" i="110" a="1"/>
  <c r="AH182" i="110" s="1"/>
  <c r="AG182" i="110" a="1"/>
  <c r="AG182" i="110" s="1"/>
  <c r="AF182" i="110" a="1"/>
  <c r="AF182" i="110" s="1"/>
  <c r="AE182" i="110" a="1"/>
  <c r="AE182" i="110" s="1"/>
  <c r="AD182" i="110" a="1"/>
  <c r="AD182" i="110" s="1"/>
  <c r="AC182" i="110" a="1"/>
  <c r="AC182" i="110" s="1"/>
  <c r="AB182" i="110" a="1"/>
  <c r="AB182" i="110" s="1"/>
  <c r="AA182" i="110" a="1"/>
  <c r="AA182" i="110" s="1"/>
  <c r="Z182" i="110" a="1"/>
  <c r="Z182" i="110" s="1"/>
  <c r="Y182" i="110" a="1"/>
  <c r="Y182" i="110" s="1"/>
  <c r="X182" i="110" a="1"/>
  <c r="X182" i="110" s="1"/>
  <c r="W182" i="110" a="1"/>
  <c r="W182" i="110" s="1"/>
  <c r="V182" i="110" a="1"/>
  <c r="V182" i="110" s="1"/>
  <c r="U182" i="110" a="1"/>
  <c r="U182" i="110" s="1"/>
  <c r="T182" i="110" a="1"/>
  <c r="T182" i="110" s="1"/>
  <c r="S182" i="110" a="1"/>
  <c r="S182" i="110" s="1"/>
  <c r="R182" i="110" a="1"/>
  <c r="R182" i="110" s="1"/>
  <c r="Q182" i="110" a="1"/>
  <c r="Q182" i="110" s="1"/>
  <c r="P182" i="110" a="1"/>
  <c r="P182" i="110" s="1"/>
  <c r="O182" i="110" a="1"/>
  <c r="O182" i="110" s="1"/>
  <c r="N182" i="110" a="1"/>
  <c r="N182" i="110" s="1"/>
  <c r="M182" i="110" a="1"/>
  <c r="M182" i="110" s="1"/>
  <c r="L182" i="110" a="1"/>
  <c r="L182" i="110" s="1"/>
  <c r="K182" i="110" a="1"/>
  <c r="K182" i="110" s="1"/>
  <c r="J182" i="110" a="1"/>
  <c r="J182" i="110" s="1"/>
  <c r="I182" i="110" a="1"/>
  <c r="I182" i="110" s="1"/>
  <c r="H182" i="110" a="1"/>
  <c r="H182" i="110" s="1"/>
  <c r="G182" i="110" a="1"/>
  <c r="G182" i="110" s="1"/>
  <c r="F182" i="110" a="1"/>
  <c r="F182" i="110" s="1"/>
  <c r="E182" i="110" a="1"/>
  <c r="E182" i="110" s="1"/>
  <c r="D182" i="110" a="1"/>
  <c r="D182" i="110" s="1"/>
  <c r="AH181" i="110" a="1"/>
  <c r="AH181" i="110" s="1"/>
  <c r="AG181" i="110" a="1"/>
  <c r="AG181" i="110" s="1"/>
  <c r="AF181" i="110" a="1"/>
  <c r="AF181" i="110" s="1"/>
  <c r="AE181" i="110" a="1"/>
  <c r="AE181" i="110" s="1"/>
  <c r="AD181" i="110" a="1"/>
  <c r="AD181" i="110" s="1"/>
  <c r="AC181" i="110" a="1"/>
  <c r="AC181" i="110" s="1"/>
  <c r="AB181" i="110" a="1"/>
  <c r="AB181" i="110" s="1"/>
  <c r="AA181" i="110" a="1"/>
  <c r="AA181" i="110" s="1"/>
  <c r="Z181" i="110" a="1"/>
  <c r="Z181" i="110" s="1"/>
  <c r="Y181" i="110" a="1"/>
  <c r="Y181" i="110" s="1"/>
  <c r="X181" i="110" a="1"/>
  <c r="X181" i="110" s="1"/>
  <c r="W181" i="110" a="1"/>
  <c r="W181" i="110" s="1"/>
  <c r="V181" i="110" a="1"/>
  <c r="V181" i="110" s="1"/>
  <c r="U181" i="110" a="1"/>
  <c r="U181" i="110" s="1"/>
  <c r="T181" i="110" a="1"/>
  <c r="T181" i="110" s="1"/>
  <c r="S181" i="110" a="1"/>
  <c r="S181" i="110" s="1"/>
  <c r="R181" i="110" a="1"/>
  <c r="R181" i="110" s="1"/>
  <c r="Q181" i="110" a="1"/>
  <c r="Q181" i="110" s="1"/>
  <c r="P181" i="110" a="1"/>
  <c r="P181" i="110" s="1"/>
  <c r="O181" i="110" a="1"/>
  <c r="O181" i="110" s="1"/>
  <c r="N181" i="110" a="1"/>
  <c r="N181" i="110" s="1"/>
  <c r="M181" i="110" a="1"/>
  <c r="M181" i="110" s="1"/>
  <c r="L181" i="110" a="1"/>
  <c r="L181" i="110" s="1"/>
  <c r="K181" i="110" a="1"/>
  <c r="K181" i="110" s="1"/>
  <c r="J181" i="110" a="1"/>
  <c r="J181" i="110" s="1"/>
  <c r="I181" i="110" a="1"/>
  <c r="I181" i="110" s="1"/>
  <c r="H181" i="110" a="1"/>
  <c r="H181" i="110" s="1"/>
  <c r="G181" i="110" a="1"/>
  <c r="G181" i="110" s="1"/>
  <c r="F181" i="110" a="1"/>
  <c r="F181" i="110" s="1"/>
  <c r="E181" i="110" a="1"/>
  <c r="E181" i="110" s="1"/>
  <c r="D181" i="110" a="1"/>
  <c r="D181" i="110" s="1"/>
  <c r="AH180" i="110" a="1"/>
  <c r="AH180" i="110" s="1"/>
  <c r="AG180" i="110" a="1"/>
  <c r="AG180" i="110" s="1"/>
  <c r="AF180" i="110" a="1"/>
  <c r="AF180" i="110" s="1"/>
  <c r="AE180" i="110" a="1"/>
  <c r="AE180" i="110" s="1"/>
  <c r="AD180" i="110" a="1"/>
  <c r="AD180" i="110" s="1"/>
  <c r="AC180" i="110" a="1"/>
  <c r="AC180" i="110" s="1"/>
  <c r="AB180" i="110" a="1"/>
  <c r="AB180" i="110" s="1"/>
  <c r="AA180" i="110" a="1"/>
  <c r="AA180" i="110" s="1"/>
  <c r="Z180" i="110" a="1"/>
  <c r="Z180" i="110" s="1"/>
  <c r="Y180" i="110" a="1"/>
  <c r="Y180" i="110" s="1"/>
  <c r="X180" i="110" a="1"/>
  <c r="X180" i="110" s="1"/>
  <c r="W180" i="110" a="1"/>
  <c r="W180" i="110" s="1"/>
  <c r="V180" i="110" a="1"/>
  <c r="V180" i="110" s="1"/>
  <c r="U180" i="110" a="1"/>
  <c r="U180" i="110" s="1"/>
  <c r="T180" i="110" a="1"/>
  <c r="T180" i="110" s="1"/>
  <c r="S180" i="110" a="1"/>
  <c r="S180" i="110" s="1"/>
  <c r="R180" i="110" a="1"/>
  <c r="R180" i="110" s="1"/>
  <c r="Q180" i="110" a="1"/>
  <c r="Q180" i="110" s="1"/>
  <c r="P180" i="110" a="1"/>
  <c r="P180" i="110" s="1"/>
  <c r="O180" i="110" a="1"/>
  <c r="O180" i="110" s="1"/>
  <c r="N180" i="110" a="1"/>
  <c r="N180" i="110" s="1"/>
  <c r="M180" i="110" a="1"/>
  <c r="M180" i="110" s="1"/>
  <c r="L180" i="110" a="1"/>
  <c r="L180" i="110" s="1"/>
  <c r="K180" i="110" a="1"/>
  <c r="K180" i="110" s="1"/>
  <c r="J180" i="110" a="1"/>
  <c r="J180" i="110" s="1"/>
  <c r="I180" i="110" a="1"/>
  <c r="I180" i="110" s="1"/>
  <c r="H180" i="110" a="1"/>
  <c r="H180" i="110" s="1"/>
  <c r="G180" i="110" a="1"/>
  <c r="G180" i="110" s="1"/>
  <c r="F180" i="110" a="1"/>
  <c r="F180" i="110" s="1"/>
  <c r="E180" i="110" a="1"/>
  <c r="E180" i="110" s="1"/>
  <c r="D180" i="110" a="1"/>
  <c r="D180" i="110" s="1"/>
  <c r="AH179" i="110" a="1"/>
  <c r="AH179" i="110" s="1"/>
  <c r="AG179" i="110" a="1"/>
  <c r="AG179" i="110" s="1"/>
  <c r="AF179" i="110" a="1"/>
  <c r="AF179" i="110" s="1"/>
  <c r="AE179" i="110" a="1"/>
  <c r="AE179" i="110" s="1"/>
  <c r="AD179" i="110" a="1"/>
  <c r="AD179" i="110" s="1"/>
  <c r="AC179" i="110" a="1"/>
  <c r="AC179" i="110" s="1"/>
  <c r="AB179" i="110" a="1"/>
  <c r="AB179" i="110" s="1"/>
  <c r="AA179" i="110" a="1"/>
  <c r="AA179" i="110" s="1"/>
  <c r="Z179" i="110" a="1"/>
  <c r="Z179" i="110" s="1"/>
  <c r="Y179" i="110" a="1"/>
  <c r="Y179" i="110" s="1"/>
  <c r="X179" i="110" a="1"/>
  <c r="X179" i="110" s="1"/>
  <c r="W179" i="110" a="1"/>
  <c r="W179" i="110" s="1"/>
  <c r="V179" i="110" a="1"/>
  <c r="V179" i="110" s="1"/>
  <c r="U179" i="110" a="1"/>
  <c r="U179" i="110" s="1"/>
  <c r="T179" i="110" a="1"/>
  <c r="T179" i="110" s="1"/>
  <c r="S179" i="110" a="1"/>
  <c r="S179" i="110" s="1"/>
  <c r="R179" i="110" a="1"/>
  <c r="R179" i="110" s="1"/>
  <c r="Q179" i="110" a="1"/>
  <c r="Q179" i="110" s="1"/>
  <c r="P179" i="110" a="1"/>
  <c r="P179" i="110" s="1"/>
  <c r="O179" i="110" a="1"/>
  <c r="O179" i="110" s="1"/>
  <c r="N179" i="110" a="1"/>
  <c r="N179" i="110" s="1"/>
  <c r="M179" i="110" a="1"/>
  <c r="M179" i="110" s="1"/>
  <c r="L179" i="110" a="1"/>
  <c r="L179" i="110" s="1"/>
  <c r="K179" i="110" a="1"/>
  <c r="K179" i="110" s="1"/>
  <c r="J179" i="110" a="1"/>
  <c r="J179" i="110" s="1"/>
  <c r="I179" i="110" a="1"/>
  <c r="I179" i="110" s="1"/>
  <c r="H179" i="110" a="1"/>
  <c r="H179" i="110" s="1"/>
  <c r="G179" i="110" a="1"/>
  <c r="G179" i="110" s="1"/>
  <c r="F179" i="110" a="1"/>
  <c r="F179" i="110" s="1"/>
  <c r="E179" i="110" a="1"/>
  <c r="E179" i="110" s="1"/>
  <c r="D179" i="110" a="1"/>
  <c r="D179" i="110" s="1"/>
  <c r="AH178" i="110" a="1"/>
  <c r="AH178" i="110" s="1"/>
  <c r="AH177" i="110" a="1"/>
  <c r="AH177" i="110" s="1"/>
  <c r="AH176" i="110" a="1"/>
  <c r="AH176" i="110" s="1"/>
  <c r="AH175" i="110" a="1"/>
  <c r="AH175" i="110" s="1"/>
  <c r="AH174" i="110" a="1"/>
  <c r="AH174" i="110" s="1"/>
  <c r="AH173" i="110" a="1"/>
  <c r="AH173" i="110" s="1"/>
  <c r="AH172" i="110" a="1"/>
  <c r="AH172" i="110" s="1"/>
  <c r="AH171" i="110" a="1"/>
  <c r="AH171" i="110" s="1"/>
  <c r="AH170" i="110" a="1"/>
  <c r="AH170" i="110" s="1"/>
  <c r="AH169" i="110" a="1"/>
  <c r="AH169" i="110" s="1"/>
  <c r="AH168" i="110" a="1"/>
  <c r="AH168" i="110" s="1"/>
  <c r="AH167" i="110" a="1"/>
  <c r="AH167" i="110" s="1"/>
  <c r="AH166" i="110" a="1"/>
  <c r="AH166" i="110" s="1"/>
  <c r="AH165" i="110" a="1"/>
  <c r="AH165" i="110" s="1"/>
  <c r="AH164" i="110" a="1"/>
  <c r="AH164" i="110" s="1"/>
  <c r="AH163" i="110" a="1"/>
  <c r="AH163" i="110" s="1"/>
  <c r="AH162" i="110" a="1"/>
  <c r="AH162" i="110" s="1"/>
  <c r="AH161" i="110" a="1"/>
  <c r="AH161" i="110" s="1"/>
  <c r="AH160" i="110" a="1"/>
  <c r="AH160" i="110" s="1"/>
  <c r="AH159" i="110" a="1"/>
  <c r="AH159" i="110" s="1"/>
  <c r="AH158" i="110" a="1"/>
  <c r="AH158" i="110" s="1"/>
  <c r="AH157" i="110" a="1"/>
  <c r="AH157" i="110" s="1"/>
  <c r="AH156" i="110" a="1"/>
  <c r="AH156" i="110" s="1"/>
  <c r="AH155" i="110" a="1"/>
  <c r="AH155" i="110" s="1"/>
  <c r="AH154" i="110" a="1"/>
  <c r="AH154" i="110" s="1"/>
  <c r="AH153" i="110" a="1"/>
  <c r="AH153" i="110" s="1"/>
  <c r="AH152" i="110" a="1"/>
  <c r="AH152" i="110" s="1"/>
  <c r="AH151" i="110" a="1"/>
  <c r="AH151" i="110" s="1"/>
  <c r="AH150" i="110" a="1"/>
  <c r="AH150" i="110" s="1"/>
  <c r="AH149" i="110" a="1"/>
  <c r="AH149" i="110" s="1"/>
  <c r="AH148" i="110" a="1"/>
  <c r="AH148" i="110" s="1"/>
  <c r="AH147" i="110" a="1"/>
  <c r="AH147" i="110" s="1"/>
  <c r="AH146" i="110" a="1"/>
  <c r="AH146" i="110" s="1"/>
  <c r="AH145" i="110" a="1"/>
  <c r="AH145" i="110" s="1"/>
  <c r="AH144" i="110" a="1"/>
  <c r="AH144" i="110" s="1"/>
  <c r="AH143" i="110" a="1"/>
  <c r="AH143" i="110" s="1"/>
  <c r="AH142" i="110" a="1"/>
  <c r="AH142" i="110" s="1"/>
  <c r="AH141" i="110" a="1"/>
  <c r="AH141" i="110" s="1"/>
  <c r="AH140" i="110" a="1"/>
  <c r="AH140" i="110" s="1"/>
  <c r="AH139" i="110" a="1"/>
  <c r="AH139" i="110" s="1"/>
  <c r="AH138" i="110" a="1"/>
  <c r="AH138" i="110" s="1"/>
  <c r="AH137" i="110" a="1"/>
  <c r="AH137" i="110" s="1"/>
  <c r="AH136" i="110" a="1"/>
  <c r="AH136" i="110" s="1"/>
  <c r="AH135" i="110" a="1"/>
  <c r="AH135" i="110" s="1"/>
  <c r="AH134" i="110" a="1"/>
  <c r="AH134" i="110" s="1"/>
  <c r="AH133" i="110" a="1"/>
  <c r="AH133" i="110" s="1"/>
  <c r="AH132" i="110" a="1"/>
  <c r="AH132" i="110" s="1"/>
  <c r="AH131" i="110" a="1"/>
  <c r="AH131" i="110" s="1"/>
  <c r="AH130" i="110" a="1"/>
  <c r="AH130" i="110" s="1"/>
  <c r="AH129" i="110" a="1"/>
  <c r="AH129" i="110" s="1"/>
  <c r="AH128" i="110" a="1"/>
  <c r="AH128" i="110" s="1"/>
  <c r="AH127" i="110" a="1"/>
  <c r="AH127" i="110" s="1"/>
  <c r="AH126" i="110" a="1"/>
  <c r="AH126" i="110" s="1"/>
  <c r="AH125" i="110" a="1"/>
  <c r="AH125" i="110" s="1"/>
  <c r="AH124" i="110" a="1"/>
  <c r="AH124" i="110" s="1"/>
  <c r="AH123" i="110" a="1"/>
  <c r="AH123" i="110" s="1"/>
  <c r="AH122" i="110" a="1"/>
  <c r="AH122" i="110" s="1"/>
  <c r="AH121" i="110" a="1"/>
  <c r="AH121" i="110" s="1"/>
  <c r="AH120" i="110" a="1"/>
  <c r="AH120" i="110" s="1"/>
  <c r="AH119" i="110" a="1"/>
  <c r="AH119" i="110" s="1"/>
  <c r="AH118" i="110" a="1"/>
  <c r="AH118" i="110" s="1"/>
  <c r="AH117" i="110" a="1"/>
  <c r="AH117" i="110" s="1"/>
  <c r="AH116" i="110" a="1"/>
  <c r="AH116" i="110" s="1"/>
  <c r="AH115" i="110" a="1"/>
  <c r="AH115" i="110" s="1"/>
  <c r="AH114" i="110" a="1"/>
  <c r="AH114" i="110" s="1"/>
  <c r="AH113" i="110" a="1"/>
  <c r="AH113" i="110" s="1"/>
  <c r="AH112" i="110" a="1"/>
  <c r="AH112" i="110" s="1"/>
  <c r="AH111" i="110" a="1"/>
  <c r="AH111" i="110" s="1"/>
  <c r="AH110" i="110" a="1"/>
  <c r="AH110" i="110" s="1"/>
  <c r="AH109" i="110" a="1"/>
  <c r="AH109" i="110" s="1"/>
  <c r="AH108" i="110" a="1"/>
  <c r="AH108" i="110" s="1"/>
  <c r="AH107" i="110" a="1"/>
  <c r="AH107" i="110" s="1"/>
  <c r="AH106" i="110" a="1"/>
  <c r="AH106" i="110" s="1"/>
  <c r="AH105" i="110" a="1"/>
  <c r="AH105" i="110" s="1"/>
  <c r="AH104" i="110" a="1"/>
  <c r="AH104" i="110" s="1"/>
  <c r="AH103" i="110" a="1"/>
  <c r="AH103" i="110" s="1"/>
  <c r="AH102" i="110" a="1"/>
  <c r="AH102" i="110" s="1"/>
  <c r="AH101" i="110" a="1"/>
  <c r="AH101" i="110" s="1"/>
  <c r="AH100" i="110" a="1"/>
  <c r="AH100" i="110" s="1"/>
  <c r="AH99" i="110" a="1"/>
  <c r="AH99" i="110" s="1"/>
  <c r="AH98" i="110" a="1"/>
  <c r="AH98" i="110" s="1"/>
  <c r="AH97" i="110" a="1"/>
  <c r="AH97" i="110" s="1"/>
  <c r="AH96" i="110" a="1"/>
  <c r="AH96" i="110" s="1"/>
  <c r="AH95" i="110" a="1"/>
  <c r="AH95" i="110" s="1"/>
  <c r="AH94" i="110" a="1"/>
  <c r="AH94" i="110" s="1"/>
  <c r="AH93" i="110" a="1"/>
  <c r="AH93" i="110" s="1"/>
  <c r="AH92" i="110" a="1"/>
  <c r="AH92" i="110" s="1"/>
  <c r="AH91" i="110" a="1"/>
  <c r="AH91" i="110" s="1"/>
  <c r="AH90" i="110" a="1"/>
  <c r="AH90" i="110" s="1"/>
  <c r="AG178" i="110" a="1"/>
  <c r="AG178" i="110" s="1"/>
  <c r="AF178" i="110" a="1"/>
  <c r="AF178" i="110" s="1"/>
  <c r="AE178" i="110" a="1"/>
  <c r="AE178" i="110" s="1"/>
  <c r="AD178" i="110" a="1"/>
  <c r="AD178" i="110" s="1"/>
  <c r="AC178" i="110" a="1"/>
  <c r="AC178" i="110" s="1"/>
  <c r="AB178" i="110" a="1"/>
  <c r="AB178" i="110" s="1"/>
  <c r="AA178" i="110" a="1"/>
  <c r="AA178" i="110" s="1"/>
  <c r="Z178" i="110" a="1"/>
  <c r="Z178" i="110" s="1"/>
  <c r="Y178" i="110" a="1"/>
  <c r="Y178" i="110" s="1"/>
  <c r="X178" i="110" a="1"/>
  <c r="X178" i="110" s="1"/>
  <c r="W178" i="110" a="1"/>
  <c r="W178" i="110" s="1"/>
  <c r="V178" i="110" a="1"/>
  <c r="V178" i="110" s="1"/>
  <c r="U178" i="110" a="1"/>
  <c r="U178" i="110" s="1"/>
  <c r="T178" i="110" a="1"/>
  <c r="T178" i="110" s="1"/>
  <c r="S178" i="110" a="1"/>
  <c r="S178" i="110" s="1"/>
  <c r="R178" i="110" a="1"/>
  <c r="R178" i="110" s="1"/>
  <c r="Q178" i="110" a="1"/>
  <c r="Q178" i="110" s="1"/>
  <c r="P178" i="110" a="1"/>
  <c r="P178" i="110" s="1"/>
  <c r="O178" i="110" a="1"/>
  <c r="O178" i="110" s="1"/>
  <c r="N178" i="110" a="1"/>
  <c r="N178" i="110" s="1"/>
  <c r="M178" i="110" a="1"/>
  <c r="M178" i="110" s="1"/>
  <c r="L178" i="110" a="1"/>
  <c r="L178" i="110" s="1"/>
  <c r="K178" i="110" a="1"/>
  <c r="K178" i="110" s="1"/>
  <c r="J178" i="110" a="1"/>
  <c r="J178" i="110" s="1"/>
  <c r="I178" i="110" a="1"/>
  <c r="I178" i="110" s="1"/>
  <c r="H178" i="110" a="1"/>
  <c r="H178" i="110" s="1"/>
  <c r="G178" i="110" a="1"/>
  <c r="G178" i="110" s="1"/>
  <c r="F178" i="110" a="1"/>
  <c r="F178" i="110" s="1"/>
  <c r="E178" i="110" a="1"/>
  <c r="E178" i="110" s="1"/>
  <c r="D178" i="110" a="1"/>
  <c r="D178" i="110" s="1"/>
  <c r="AG177" i="110" a="1"/>
  <c r="AG177" i="110" s="1"/>
  <c r="AF177" i="110" a="1"/>
  <c r="AF177" i="110" s="1"/>
  <c r="AE177" i="110" a="1"/>
  <c r="AE177" i="110" s="1"/>
  <c r="AD177" i="110" a="1"/>
  <c r="AD177" i="110" s="1"/>
  <c r="AC177" i="110" a="1"/>
  <c r="AC177" i="110" s="1"/>
  <c r="AB177" i="110" a="1"/>
  <c r="AB177" i="110" s="1"/>
  <c r="AA177" i="110" a="1"/>
  <c r="AA177" i="110" s="1"/>
  <c r="Z177" i="110" a="1"/>
  <c r="Z177" i="110" s="1"/>
  <c r="Y177" i="110" a="1"/>
  <c r="Y177" i="110" s="1"/>
  <c r="X177" i="110" a="1"/>
  <c r="X177" i="110" s="1"/>
  <c r="W177" i="110" a="1"/>
  <c r="W177" i="110" s="1"/>
  <c r="V177" i="110" a="1"/>
  <c r="V177" i="110" s="1"/>
  <c r="U177" i="110" a="1"/>
  <c r="U177" i="110" s="1"/>
  <c r="T177" i="110" a="1"/>
  <c r="T177" i="110" s="1"/>
  <c r="S177" i="110" a="1"/>
  <c r="S177" i="110" s="1"/>
  <c r="R177" i="110" a="1"/>
  <c r="R177" i="110" s="1"/>
  <c r="Q177" i="110" a="1"/>
  <c r="Q177" i="110" s="1"/>
  <c r="P177" i="110" a="1"/>
  <c r="P177" i="110" s="1"/>
  <c r="O177" i="110" a="1"/>
  <c r="O177" i="110" s="1"/>
  <c r="N177" i="110" a="1"/>
  <c r="N177" i="110" s="1"/>
  <c r="M177" i="110" a="1"/>
  <c r="M177" i="110" s="1"/>
  <c r="L177" i="110" a="1"/>
  <c r="L177" i="110" s="1"/>
  <c r="K177" i="110" a="1"/>
  <c r="K177" i="110" s="1"/>
  <c r="J177" i="110" a="1"/>
  <c r="J177" i="110" s="1"/>
  <c r="I177" i="110" a="1"/>
  <c r="I177" i="110" s="1"/>
  <c r="H177" i="110" a="1"/>
  <c r="H177" i="110" s="1"/>
  <c r="G177" i="110" a="1"/>
  <c r="G177" i="110" s="1"/>
  <c r="F177" i="110" a="1"/>
  <c r="F177" i="110" s="1"/>
  <c r="E177" i="110" a="1"/>
  <c r="E177" i="110" s="1"/>
  <c r="D177" i="110" a="1"/>
  <c r="D177" i="110" s="1"/>
  <c r="AG176" i="110" a="1"/>
  <c r="AG176" i="110" s="1"/>
  <c r="AF176" i="110" a="1"/>
  <c r="AF176" i="110" s="1"/>
  <c r="AE176" i="110" a="1"/>
  <c r="AE176" i="110" s="1"/>
  <c r="AD176" i="110" a="1"/>
  <c r="AD176" i="110" s="1"/>
  <c r="AC176" i="110" a="1"/>
  <c r="AC176" i="110" s="1"/>
  <c r="AB176" i="110" a="1"/>
  <c r="AB176" i="110" s="1"/>
  <c r="AA176" i="110" a="1"/>
  <c r="AA176" i="110" s="1"/>
  <c r="Z176" i="110" a="1"/>
  <c r="Z176" i="110" s="1"/>
  <c r="Y176" i="110" a="1"/>
  <c r="Y176" i="110" s="1"/>
  <c r="X176" i="110" a="1"/>
  <c r="X176" i="110" s="1"/>
  <c r="W176" i="110" a="1"/>
  <c r="W176" i="110" s="1"/>
  <c r="V176" i="110" a="1"/>
  <c r="V176" i="110" s="1"/>
  <c r="U176" i="110" a="1"/>
  <c r="U176" i="110" s="1"/>
  <c r="T176" i="110" a="1"/>
  <c r="T176" i="110" s="1"/>
  <c r="S176" i="110" a="1"/>
  <c r="S176" i="110" s="1"/>
  <c r="R176" i="110" a="1"/>
  <c r="R176" i="110" s="1"/>
  <c r="Q176" i="110" a="1"/>
  <c r="Q176" i="110" s="1"/>
  <c r="P176" i="110" a="1"/>
  <c r="P176" i="110" s="1"/>
  <c r="O176" i="110" a="1"/>
  <c r="O176" i="110" s="1"/>
  <c r="N176" i="110" a="1"/>
  <c r="N176" i="110" s="1"/>
  <c r="M176" i="110" a="1"/>
  <c r="M176" i="110" s="1"/>
  <c r="L176" i="110" a="1"/>
  <c r="L176" i="110" s="1"/>
  <c r="K176" i="110" a="1"/>
  <c r="K176" i="110" s="1"/>
  <c r="J176" i="110" a="1"/>
  <c r="J176" i="110" s="1"/>
  <c r="I176" i="110" a="1"/>
  <c r="I176" i="110" s="1"/>
  <c r="H176" i="110" a="1"/>
  <c r="H176" i="110" s="1"/>
  <c r="G176" i="110" a="1"/>
  <c r="G176" i="110" s="1"/>
  <c r="F176" i="110" a="1"/>
  <c r="F176" i="110" s="1"/>
  <c r="E176" i="110" a="1"/>
  <c r="E176" i="110" s="1"/>
  <c r="D176" i="110" a="1"/>
  <c r="D176" i="110" s="1"/>
  <c r="AG175" i="110" a="1"/>
  <c r="AG175" i="110" s="1"/>
  <c r="AF175" i="110" a="1"/>
  <c r="AF175" i="110" s="1"/>
  <c r="AE175" i="110" a="1"/>
  <c r="AE175" i="110" s="1"/>
  <c r="AD175" i="110" a="1"/>
  <c r="AD175" i="110" s="1"/>
  <c r="AC175" i="110" a="1"/>
  <c r="AC175" i="110" s="1"/>
  <c r="AB175" i="110" a="1"/>
  <c r="AB175" i="110" s="1"/>
  <c r="AA175" i="110" a="1"/>
  <c r="AA175" i="110" s="1"/>
  <c r="Z175" i="110" a="1"/>
  <c r="Z175" i="110" s="1"/>
  <c r="Y175" i="110" a="1"/>
  <c r="Y175" i="110" s="1"/>
  <c r="X175" i="110" a="1"/>
  <c r="X175" i="110" s="1"/>
  <c r="W175" i="110" a="1"/>
  <c r="W175" i="110" s="1"/>
  <c r="V175" i="110" a="1"/>
  <c r="V175" i="110" s="1"/>
  <c r="U175" i="110" a="1"/>
  <c r="U175" i="110" s="1"/>
  <c r="T175" i="110" a="1"/>
  <c r="T175" i="110" s="1"/>
  <c r="S175" i="110" a="1"/>
  <c r="S175" i="110" s="1"/>
  <c r="R175" i="110" a="1"/>
  <c r="R175" i="110" s="1"/>
  <c r="Q175" i="110" a="1"/>
  <c r="Q175" i="110" s="1"/>
  <c r="P175" i="110" a="1"/>
  <c r="P175" i="110" s="1"/>
  <c r="O175" i="110" a="1"/>
  <c r="O175" i="110" s="1"/>
  <c r="N175" i="110" a="1"/>
  <c r="N175" i="110" s="1"/>
  <c r="M175" i="110" a="1"/>
  <c r="M175" i="110" s="1"/>
  <c r="L175" i="110" a="1"/>
  <c r="L175" i="110" s="1"/>
  <c r="K175" i="110" a="1"/>
  <c r="K175" i="110" s="1"/>
  <c r="J175" i="110" a="1"/>
  <c r="J175" i="110" s="1"/>
  <c r="I175" i="110" a="1"/>
  <c r="I175" i="110" s="1"/>
  <c r="H175" i="110" a="1"/>
  <c r="H175" i="110" s="1"/>
  <c r="G175" i="110" a="1"/>
  <c r="G175" i="110" s="1"/>
  <c r="F175" i="110" a="1"/>
  <c r="F175" i="110" s="1"/>
  <c r="E175" i="110" a="1"/>
  <c r="E175" i="110" s="1"/>
  <c r="D175" i="110" a="1"/>
  <c r="D175" i="110" s="1"/>
  <c r="AG174" i="110" a="1"/>
  <c r="AG174" i="110" s="1"/>
  <c r="AF174" i="110" a="1"/>
  <c r="AF174" i="110" s="1"/>
  <c r="AE174" i="110" a="1"/>
  <c r="AE174" i="110" s="1"/>
  <c r="AD174" i="110" a="1"/>
  <c r="AD174" i="110" s="1"/>
  <c r="AC174" i="110" a="1"/>
  <c r="AC174" i="110" s="1"/>
  <c r="AB174" i="110" a="1"/>
  <c r="AB174" i="110" s="1"/>
  <c r="AA174" i="110" a="1"/>
  <c r="AA174" i="110" s="1"/>
  <c r="Z174" i="110" a="1"/>
  <c r="Z174" i="110" s="1"/>
  <c r="Y174" i="110" a="1"/>
  <c r="Y174" i="110" s="1"/>
  <c r="X174" i="110" a="1"/>
  <c r="X174" i="110" s="1"/>
  <c r="W174" i="110" a="1"/>
  <c r="W174" i="110" s="1"/>
  <c r="V174" i="110" a="1"/>
  <c r="V174" i="110" s="1"/>
  <c r="U174" i="110" a="1"/>
  <c r="U174" i="110" s="1"/>
  <c r="T174" i="110" a="1"/>
  <c r="T174" i="110" s="1"/>
  <c r="S174" i="110" a="1"/>
  <c r="S174" i="110" s="1"/>
  <c r="R174" i="110" a="1"/>
  <c r="R174" i="110" s="1"/>
  <c r="Q174" i="110" a="1"/>
  <c r="Q174" i="110" s="1"/>
  <c r="P174" i="110" a="1"/>
  <c r="P174" i="110" s="1"/>
  <c r="O174" i="110" a="1"/>
  <c r="O174" i="110" s="1"/>
  <c r="N174" i="110" a="1"/>
  <c r="N174" i="110" s="1"/>
  <c r="M174" i="110" a="1"/>
  <c r="M174" i="110" s="1"/>
  <c r="L174" i="110" a="1"/>
  <c r="L174" i="110" s="1"/>
  <c r="K174" i="110" a="1"/>
  <c r="K174" i="110" s="1"/>
  <c r="J174" i="110" a="1"/>
  <c r="J174" i="110" s="1"/>
  <c r="I174" i="110" a="1"/>
  <c r="I174" i="110" s="1"/>
  <c r="H174" i="110" a="1"/>
  <c r="H174" i="110" s="1"/>
  <c r="G174" i="110" a="1"/>
  <c r="G174" i="110" s="1"/>
  <c r="F174" i="110" a="1"/>
  <c r="F174" i="110" s="1"/>
  <c r="E174" i="110" a="1"/>
  <c r="E174" i="110" s="1"/>
  <c r="D174" i="110" a="1"/>
  <c r="D174" i="110" s="1"/>
  <c r="AG173" i="110" a="1"/>
  <c r="AG173" i="110" s="1"/>
  <c r="AF173" i="110" a="1"/>
  <c r="AF173" i="110" s="1"/>
  <c r="AE173" i="110" a="1"/>
  <c r="AE173" i="110" s="1"/>
  <c r="AD173" i="110" a="1"/>
  <c r="AD173" i="110" s="1"/>
  <c r="AC173" i="110" a="1"/>
  <c r="AC173" i="110" s="1"/>
  <c r="AB173" i="110" a="1"/>
  <c r="AB173" i="110" s="1"/>
  <c r="AA173" i="110" a="1"/>
  <c r="AA173" i="110" s="1"/>
  <c r="Z173" i="110" a="1"/>
  <c r="Z173" i="110" s="1"/>
  <c r="Y173" i="110" a="1"/>
  <c r="Y173" i="110" s="1"/>
  <c r="X173" i="110" a="1"/>
  <c r="X173" i="110" s="1"/>
  <c r="W173" i="110" a="1"/>
  <c r="W173" i="110" s="1"/>
  <c r="V173" i="110" a="1"/>
  <c r="V173" i="110" s="1"/>
  <c r="U173" i="110" a="1"/>
  <c r="U173" i="110" s="1"/>
  <c r="T173" i="110" a="1"/>
  <c r="T173" i="110" s="1"/>
  <c r="S173" i="110" a="1"/>
  <c r="S173" i="110" s="1"/>
  <c r="R173" i="110" a="1"/>
  <c r="R173" i="110" s="1"/>
  <c r="Q173" i="110" a="1"/>
  <c r="Q173" i="110" s="1"/>
  <c r="P173" i="110" a="1"/>
  <c r="P173" i="110" s="1"/>
  <c r="O173" i="110" a="1"/>
  <c r="O173" i="110" s="1"/>
  <c r="N173" i="110" a="1"/>
  <c r="N173" i="110" s="1"/>
  <c r="M173" i="110" a="1"/>
  <c r="M173" i="110" s="1"/>
  <c r="L173" i="110" a="1"/>
  <c r="L173" i="110" s="1"/>
  <c r="K173" i="110" a="1"/>
  <c r="K173" i="110" s="1"/>
  <c r="J173" i="110" a="1"/>
  <c r="J173" i="110" s="1"/>
  <c r="I173" i="110" a="1"/>
  <c r="I173" i="110" s="1"/>
  <c r="H173" i="110" a="1"/>
  <c r="H173" i="110" s="1"/>
  <c r="G173" i="110" a="1"/>
  <c r="G173" i="110" s="1"/>
  <c r="F173" i="110" a="1"/>
  <c r="F173" i="110" s="1"/>
  <c r="E173" i="110" a="1"/>
  <c r="E173" i="110" s="1"/>
  <c r="D173" i="110" a="1"/>
  <c r="D173" i="110" s="1"/>
  <c r="AG172" i="110" a="1"/>
  <c r="AG172" i="110" s="1"/>
  <c r="AF172" i="110" a="1"/>
  <c r="AF172" i="110" s="1"/>
  <c r="AE172" i="110" a="1"/>
  <c r="AE172" i="110" s="1"/>
  <c r="AD172" i="110" a="1"/>
  <c r="AD172" i="110" s="1"/>
  <c r="AC172" i="110" a="1"/>
  <c r="AC172" i="110" s="1"/>
  <c r="AB172" i="110" a="1"/>
  <c r="AB172" i="110" s="1"/>
  <c r="AA172" i="110" a="1"/>
  <c r="AA172" i="110" s="1"/>
  <c r="Z172" i="110" a="1"/>
  <c r="Z172" i="110" s="1"/>
  <c r="Y172" i="110" a="1"/>
  <c r="Y172" i="110" s="1"/>
  <c r="X172" i="110" a="1"/>
  <c r="X172" i="110" s="1"/>
  <c r="W172" i="110" a="1"/>
  <c r="W172" i="110" s="1"/>
  <c r="V172" i="110" a="1"/>
  <c r="V172" i="110" s="1"/>
  <c r="U172" i="110" a="1"/>
  <c r="U172" i="110" s="1"/>
  <c r="T172" i="110" a="1"/>
  <c r="T172" i="110" s="1"/>
  <c r="S172" i="110" a="1"/>
  <c r="S172" i="110" s="1"/>
  <c r="R172" i="110" a="1"/>
  <c r="R172" i="110" s="1"/>
  <c r="Q172" i="110" a="1"/>
  <c r="Q172" i="110" s="1"/>
  <c r="P172" i="110" a="1"/>
  <c r="P172" i="110" s="1"/>
  <c r="O172" i="110" a="1"/>
  <c r="O172" i="110" s="1"/>
  <c r="N172" i="110" a="1"/>
  <c r="N172" i="110" s="1"/>
  <c r="M172" i="110" a="1"/>
  <c r="M172" i="110" s="1"/>
  <c r="L172" i="110" a="1"/>
  <c r="L172" i="110" s="1"/>
  <c r="K172" i="110" a="1"/>
  <c r="K172" i="110" s="1"/>
  <c r="J172" i="110" a="1"/>
  <c r="J172" i="110" s="1"/>
  <c r="I172" i="110" a="1"/>
  <c r="I172" i="110" s="1"/>
  <c r="H172" i="110" a="1"/>
  <c r="H172" i="110" s="1"/>
  <c r="G172" i="110" a="1"/>
  <c r="G172" i="110" s="1"/>
  <c r="F172" i="110" a="1"/>
  <c r="F172" i="110" s="1"/>
  <c r="E172" i="110" a="1"/>
  <c r="E172" i="110" s="1"/>
  <c r="D172" i="110" a="1"/>
  <c r="D172" i="110" s="1"/>
  <c r="AG171" i="110" a="1"/>
  <c r="AG171" i="110" s="1"/>
  <c r="AF171" i="110" a="1"/>
  <c r="AF171" i="110" s="1"/>
  <c r="AE171" i="110" a="1"/>
  <c r="AE171" i="110" s="1"/>
  <c r="AD171" i="110" a="1"/>
  <c r="AD171" i="110" s="1"/>
  <c r="AC171" i="110" a="1"/>
  <c r="AC171" i="110" s="1"/>
  <c r="AB171" i="110" a="1"/>
  <c r="AB171" i="110" s="1"/>
  <c r="AA171" i="110" a="1"/>
  <c r="AA171" i="110" s="1"/>
  <c r="Z171" i="110" a="1"/>
  <c r="Z171" i="110" s="1"/>
  <c r="Y171" i="110" a="1"/>
  <c r="Y171" i="110" s="1"/>
  <c r="X171" i="110" a="1"/>
  <c r="X171" i="110" s="1"/>
  <c r="W171" i="110" a="1"/>
  <c r="W171" i="110" s="1"/>
  <c r="V171" i="110" a="1"/>
  <c r="V171" i="110" s="1"/>
  <c r="U171" i="110" a="1"/>
  <c r="U171" i="110" s="1"/>
  <c r="T171" i="110" a="1"/>
  <c r="T171" i="110" s="1"/>
  <c r="S171" i="110" a="1"/>
  <c r="S171" i="110" s="1"/>
  <c r="R171" i="110" a="1"/>
  <c r="R171" i="110" s="1"/>
  <c r="Q171" i="110" a="1"/>
  <c r="Q171" i="110" s="1"/>
  <c r="P171" i="110" a="1"/>
  <c r="P171" i="110" s="1"/>
  <c r="O171" i="110" a="1"/>
  <c r="O171" i="110" s="1"/>
  <c r="N171" i="110" a="1"/>
  <c r="N171" i="110" s="1"/>
  <c r="M171" i="110" a="1"/>
  <c r="M171" i="110" s="1"/>
  <c r="L171" i="110" a="1"/>
  <c r="L171" i="110" s="1"/>
  <c r="K171" i="110" a="1"/>
  <c r="K171" i="110" s="1"/>
  <c r="J171" i="110" a="1"/>
  <c r="J171" i="110" s="1"/>
  <c r="I171" i="110" a="1"/>
  <c r="I171" i="110" s="1"/>
  <c r="H171" i="110" a="1"/>
  <c r="H171" i="110" s="1"/>
  <c r="G171" i="110" a="1"/>
  <c r="G171" i="110" s="1"/>
  <c r="F171" i="110" a="1"/>
  <c r="F171" i="110" s="1"/>
  <c r="E171" i="110" a="1"/>
  <c r="E171" i="110" s="1"/>
  <c r="D171" i="110" a="1"/>
  <c r="D171" i="110" s="1"/>
  <c r="AG170" i="110" a="1"/>
  <c r="AG170" i="110" s="1"/>
  <c r="AF170" i="110" a="1"/>
  <c r="AF170" i="110" s="1"/>
  <c r="AE170" i="110" a="1"/>
  <c r="AE170" i="110" s="1"/>
  <c r="AD170" i="110" a="1"/>
  <c r="AD170" i="110" s="1"/>
  <c r="AC170" i="110" a="1"/>
  <c r="AC170" i="110" s="1"/>
  <c r="AB170" i="110" a="1"/>
  <c r="AB170" i="110" s="1"/>
  <c r="AA170" i="110" a="1"/>
  <c r="AA170" i="110" s="1"/>
  <c r="Z170" i="110" a="1"/>
  <c r="Z170" i="110" s="1"/>
  <c r="Y170" i="110" a="1"/>
  <c r="Y170" i="110" s="1"/>
  <c r="X170" i="110" a="1"/>
  <c r="X170" i="110" s="1"/>
  <c r="W170" i="110" a="1"/>
  <c r="W170" i="110" s="1"/>
  <c r="V170" i="110" a="1"/>
  <c r="V170" i="110" s="1"/>
  <c r="U170" i="110" a="1"/>
  <c r="U170" i="110" s="1"/>
  <c r="T170" i="110" a="1"/>
  <c r="T170" i="110" s="1"/>
  <c r="S170" i="110" a="1"/>
  <c r="S170" i="110" s="1"/>
  <c r="R170" i="110" a="1"/>
  <c r="R170" i="110" s="1"/>
  <c r="Q170" i="110" a="1"/>
  <c r="Q170" i="110" s="1"/>
  <c r="P170" i="110" a="1"/>
  <c r="P170" i="110" s="1"/>
  <c r="O170" i="110" a="1"/>
  <c r="O170" i="110" s="1"/>
  <c r="N170" i="110" a="1"/>
  <c r="N170" i="110" s="1"/>
  <c r="M170" i="110" a="1"/>
  <c r="M170" i="110" s="1"/>
  <c r="L170" i="110" a="1"/>
  <c r="L170" i="110" s="1"/>
  <c r="K170" i="110" a="1"/>
  <c r="K170" i="110" s="1"/>
  <c r="J170" i="110" a="1"/>
  <c r="J170" i="110" s="1"/>
  <c r="I170" i="110" a="1"/>
  <c r="I170" i="110" s="1"/>
  <c r="H170" i="110" a="1"/>
  <c r="H170" i="110" s="1"/>
  <c r="G170" i="110" a="1"/>
  <c r="G170" i="110" s="1"/>
  <c r="F170" i="110" a="1"/>
  <c r="F170" i="110" s="1"/>
  <c r="E170" i="110" a="1"/>
  <c r="E170" i="110" s="1"/>
  <c r="D170" i="110" a="1"/>
  <c r="D170" i="110" s="1"/>
  <c r="AG169" i="110" a="1"/>
  <c r="AG169" i="110" s="1"/>
  <c r="AF169" i="110" a="1"/>
  <c r="AF169" i="110" s="1"/>
  <c r="AE169" i="110" a="1"/>
  <c r="AE169" i="110" s="1"/>
  <c r="AD169" i="110" a="1"/>
  <c r="AD169" i="110" s="1"/>
  <c r="AC169" i="110" a="1"/>
  <c r="AC169" i="110" s="1"/>
  <c r="AB169" i="110" a="1"/>
  <c r="AB169" i="110" s="1"/>
  <c r="AA169" i="110" a="1"/>
  <c r="AA169" i="110" s="1"/>
  <c r="Z169" i="110" a="1"/>
  <c r="Z169" i="110" s="1"/>
  <c r="Y169" i="110" a="1"/>
  <c r="Y169" i="110" s="1"/>
  <c r="X169" i="110" a="1"/>
  <c r="X169" i="110" s="1"/>
  <c r="W169" i="110" a="1"/>
  <c r="W169" i="110" s="1"/>
  <c r="V169" i="110" a="1"/>
  <c r="V169" i="110" s="1"/>
  <c r="U169" i="110" a="1"/>
  <c r="U169" i="110" s="1"/>
  <c r="T169" i="110" a="1"/>
  <c r="T169" i="110" s="1"/>
  <c r="S169" i="110" a="1"/>
  <c r="S169" i="110" s="1"/>
  <c r="R169" i="110" a="1"/>
  <c r="R169" i="110" s="1"/>
  <c r="Q169" i="110" a="1"/>
  <c r="Q169" i="110" s="1"/>
  <c r="P169" i="110" a="1"/>
  <c r="P169" i="110" s="1"/>
  <c r="O169" i="110" a="1"/>
  <c r="O169" i="110" s="1"/>
  <c r="N169" i="110" a="1"/>
  <c r="N169" i="110" s="1"/>
  <c r="M169" i="110" a="1"/>
  <c r="M169" i="110" s="1"/>
  <c r="L169" i="110" a="1"/>
  <c r="L169" i="110" s="1"/>
  <c r="K169" i="110" a="1"/>
  <c r="K169" i="110" s="1"/>
  <c r="J169" i="110" a="1"/>
  <c r="J169" i="110" s="1"/>
  <c r="I169" i="110" a="1"/>
  <c r="I169" i="110" s="1"/>
  <c r="H169" i="110" a="1"/>
  <c r="H169" i="110" s="1"/>
  <c r="G169" i="110" a="1"/>
  <c r="G169" i="110" s="1"/>
  <c r="F169" i="110" a="1"/>
  <c r="F169" i="110" s="1"/>
  <c r="E169" i="110" a="1"/>
  <c r="E169" i="110" s="1"/>
  <c r="D169" i="110" a="1"/>
  <c r="D169" i="110" s="1"/>
  <c r="AG168" i="110" a="1"/>
  <c r="AG168" i="110" s="1"/>
  <c r="AF168" i="110" a="1"/>
  <c r="AF168" i="110" s="1"/>
  <c r="AE168" i="110" a="1"/>
  <c r="AE168" i="110" s="1"/>
  <c r="AD168" i="110" a="1"/>
  <c r="AD168" i="110" s="1"/>
  <c r="AC168" i="110" a="1"/>
  <c r="AC168" i="110" s="1"/>
  <c r="AB168" i="110" a="1"/>
  <c r="AB168" i="110" s="1"/>
  <c r="AA168" i="110" a="1"/>
  <c r="AA168" i="110" s="1"/>
  <c r="Z168" i="110" a="1"/>
  <c r="Z168" i="110" s="1"/>
  <c r="Y168" i="110" a="1"/>
  <c r="Y168" i="110" s="1"/>
  <c r="X168" i="110" a="1"/>
  <c r="X168" i="110" s="1"/>
  <c r="W168" i="110" a="1"/>
  <c r="W168" i="110" s="1"/>
  <c r="V168" i="110" a="1"/>
  <c r="V168" i="110" s="1"/>
  <c r="U168" i="110" a="1"/>
  <c r="U168" i="110" s="1"/>
  <c r="T168" i="110" a="1"/>
  <c r="T168" i="110" s="1"/>
  <c r="S168" i="110" a="1"/>
  <c r="S168" i="110" s="1"/>
  <c r="R168" i="110" a="1"/>
  <c r="R168" i="110" s="1"/>
  <c r="Q168" i="110" a="1"/>
  <c r="Q168" i="110" s="1"/>
  <c r="P168" i="110" a="1"/>
  <c r="P168" i="110" s="1"/>
  <c r="O168" i="110" a="1"/>
  <c r="O168" i="110" s="1"/>
  <c r="N168" i="110" a="1"/>
  <c r="N168" i="110" s="1"/>
  <c r="M168" i="110" a="1"/>
  <c r="M168" i="110" s="1"/>
  <c r="L168" i="110" a="1"/>
  <c r="L168" i="110" s="1"/>
  <c r="K168" i="110" a="1"/>
  <c r="K168" i="110" s="1"/>
  <c r="J168" i="110" a="1"/>
  <c r="J168" i="110" s="1"/>
  <c r="I168" i="110" a="1"/>
  <c r="I168" i="110" s="1"/>
  <c r="H168" i="110" a="1"/>
  <c r="H168" i="110" s="1"/>
  <c r="G168" i="110" a="1"/>
  <c r="G168" i="110" s="1"/>
  <c r="F168" i="110" a="1"/>
  <c r="F168" i="110" s="1"/>
  <c r="E168" i="110" a="1"/>
  <c r="E168" i="110" s="1"/>
  <c r="D168" i="110" a="1"/>
  <c r="D168" i="110" s="1"/>
  <c r="AG167" i="110" a="1"/>
  <c r="AG167" i="110" s="1"/>
  <c r="AF167" i="110" a="1"/>
  <c r="AF167" i="110" s="1"/>
  <c r="AE167" i="110" a="1"/>
  <c r="AE167" i="110" s="1"/>
  <c r="AD167" i="110" a="1"/>
  <c r="AD167" i="110" s="1"/>
  <c r="AC167" i="110" a="1"/>
  <c r="AC167" i="110" s="1"/>
  <c r="AB167" i="110" a="1"/>
  <c r="AB167" i="110" s="1"/>
  <c r="AA167" i="110" a="1"/>
  <c r="AA167" i="110" s="1"/>
  <c r="Z167" i="110" a="1"/>
  <c r="Z167" i="110" s="1"/>
  <c r="Y167" i="110" a="1"/>
  <c r="Y167" i="110" s="1"/>
  <c r="X167" i="110" a="1"/>
  <c r="X167" i="110" s="1"/>
  <c r="W167" i="110" a="1"/>
  <c r="W167" i="110" s="1"/>
  <c r="V167" i="110" a="1"/>
  <c r="V167" i="110" s="1"/>
  <c r="U167" i="110" a="1"/>
  <c r="U167" i="110" s="1"/>
  <c r="T167" i="110" a="1"/>
  <c r="T167" i="110" s="1"/>
  <c r="S167" i="110" a="1"/>
  <c r="S167" i="110" s="1"/>
  <c r="R167" i="110" a="1"/>
  <c r="R167" i="110" s="1"/>
  <c r="Q167" i="110" a="1"/>
  <c r="Q167" i="110" s="1"/>
  <c r="P167" i="110" a="1"/>
  <c r="P167" i="110" s="1"/>
  <c r="O167" i="110" a="1"/>
  <c r="O167" i="110" s="1"/>
  <c r="N167" i="110" a="1"/>
  <c r="N167" i="110" s="1"/>
  <c r="M167" i="110" a="1"/>
  <c r="M167" i="110" s="1"/>
  <c r="L167" i="110" a="1"/>
  <c r="L167" i="110" s="1"/>
  <c r="K167" i="110" a="1"/>
  <c r="K167" i="110" s="1"/>
  <c r="J167" i="110" a="1"/>
  <c r="J167" i="110" s="1"/>
  <c r="I167" i="110" a="1"/>
  <c r="I167" i="110" s="1"/>
  <c r="H167" i="110" a="1"/>
  <c r="H167" i="110" s="1"/>
  <c r="G167" i="110" a="1"/>
  <c r="G167" i="110" s="1"/>
  <c r="F167" i="110" a="1"/>
  <c r="F167" i="110" s="1"/>
  <c r="E167" i="110" a="1"/>
  <c r="E167" i="110" s="1"/>
  <c r="D167" i="110" a="1"/>
  <c r="D167" i="110" s="1"/>
  <c r="AG166" i="110" a="1"/>
  <c r="AG166" i="110" s="1"/>
  <c r="AF166" i="110" a="1"/>
  <c r="AF166" i="110" s="1"/>
  <c r="AE166" i="110" a="1"/>
  <c r="AE166" i="110" s="1"/>
  <c r="AD166" i="110" a="1"/>
  <c r="AD166" i="110" s="1"/>
  <c r="AC166" i="110" a="1"/>
  <c r="AC166" i="110" s="1"/>
  <c r="AB166" i="110" a="1"/>
  <c r="AB166" i="110" s="1"/>
  <c r="AA166" i="110" a="1"/>
  <c r="AA166" i="110" s="1"/>
  <c r="Z166" i="110" a="1"/>
  <c r="Z166" i="110" s="1"/>
  <c r="Y166" i="110" a="1"/>
  <c r="Y166" i="110" s="1"/>
  <c r="X166" i="110" a="1"/>
  <c r="X166" i="110" s="1"/>
  <c r="W166" i="110" a="1"/>
  <c r="W166" i="110" s="1"/>
  <c r="V166" i="110" a="1"/>
  <c r="V166" i="110" s="1"/>
  <c r="U166" i="110" a="1"/>
  <c r="U166" i="110" s="1"/>
  <c r="T166" i="110" a="1"/>
  <c r="T166" i="110" s="1"/>
  <c r="S166" i="110" a="1"/>
  <c r="S166" i="110" s="1"/>
  <c r="R166" i="110" a="1"/>
  <c r="R166" i="110" s="1"/>
  <c r="Q166" i="110" a="1"/>
  <c r="Q166" i="110" s="1"/>
  <c r="P166" i="110" a="1"/>
  <c r="P166" i="110" s="1"/>
  <c r="O166" i="110" a="1"/>
  <c r="O166" i="110" s="1"/>
  <c r="N166" i="110" a="1"/>
  <c r="N166" i="110" s="1"/>
  <c r="M166" i="110" a="1"/>
  <c r="M166" i="110" s="1"/>
  <c r="L166" i="110" a="1"/>
  <c r="L166" i="110" s="1"/>
  <c r="K166" i="110" a="1"/>
  <c r="K166" i="110" s="1"/>
  <c r="J166" i="110" a="1"/>
  <c r="J166" i="110" s="1"/>
  <c r="I166" i="110" a="1"/>
  <c r="I166" i="110" s="1"/>
  <c r="H166" i="110" a="1"/>
  <c r="H166" i="110" s="1"/>
  <c r="G166" i="110" a="1"/>
  <c r="G166" i="110" s="1"/>
  <c r="F166" i="110" a="1"/>
  <c r="F166" i="110" s="1"/>
  <c r="E166" i="110" a="1"/>
  <c r="E166" i="110" s="1"/>
  <c r="D166" i="110" a="1"/>
  <c r="D166" i="110" s="1"/>
  <c r="AG165" i="110" a="1"/>
  <c r="AG165" i="110" s="1"/>
  <c r="AF165" i="110" a="1"/>
  <c r="AF165" i="110" s="1"/>
  <c r="AE165" i="110" a="1"/>
  <c r="AE165" i="110" s="1"/>
  <c r="AD165" i="110" a="1"/>
  <c r="AD165" i="110" s="1"/>
  <c r="AC165" i="110" a="1"/>
  <c r="AC165" i="110" s="1"/>
  <c r="AB165" i="110" a="1"/>
  <c r="AB165" i="110" s="1"/>
  <c r="AA165" i="110" a="1"/>
  <c r="AA165" i="110" s="1"/>
  <c r="Z165" i="110" a="1"/>
  <c r="Z165" i="110" s="1"/>
  <c r="Y165" i="110" a="1"/>
  <c r="Y165" i="110" s="1"/>
  <c r="X165" i="110" a="1"/>
  <c r="X165" i="110" s="1"/>
  <c r="W165" i="110" a="1"/>
  <c r="W165" i="110" s="1"/>
  <c r="V165" i="110" a="1"/>
  <c r="V165" i="110" s="1"/>
  <c r="U165" i="110" a="1"/>
  <c r="U165" i="110" s="1"/>
  <c r="T165" i="110" a="1"/>
  <c r="T165" i="110" s="1"/>
  <c r="S165" i="110" a="1"/>
  <c r="S165" i="110" s="1"/>
  <c r="R165" i="110" a="1"/>
  <c r="R165" i="110" s="1"/>
  <c r="Q165" i="110" a="1"/>
  <c r="Q165" i="110" s="1"/>
  <c r="P165" i="110" a="1"/>
  <c r="P165" i="110" s="1"/>
  <c r="O165" i="110" a="1"/>
  <c r="O165" i="110" s="1"/>
  <c r="N165" i="110" a="1"/>
  <c r="N165" i="110" s="1"/>
  <c r="M165" i="110" a="1"/>
  <c r="M165" i="110" s="1"/>
  <c r="L165" i="110" a="1"/>
  <c r="L165" i="110" s="1"/>
  <c r="K165" i="110" a="1"/>
  <c r="K165" i="110" s="1"/>
  <c r="J165" i="110" a="1"/>
  <c r="J165" i="110" s="1"/>
  <c r="I165" i="110" a="1"/>
  <c r="I165" i="110" s="1"/>
  <c r="H165" i="110" a="1"/>
  <c r="H165" i="110" s="1"/>
  <c r="G165" i="110" a="1"/>
  <c r="G165" i="110" s="1"/>
  <c r="F165" i="110" a="1"/>
  <c r="F165" i="110" s="1"/>
  <c r="E165" i="110" a="1"/>
  <c r="E165" i="110" s="1"/>
  <c r="D165" i="110" a="1"/>
  <c r="D165" i="110" s="1"/>
  <c r="AG164" i="110" a="1"/>
  <c r="AG164" i="110" s="1"/>
  <c r="AF164" i="110" a="1"/>
  <c r="AF164" i="110" s="1"/>
  <c r="AE164" i="110" a="1"/>
  <c r="AE164" i="110" s="1"/>
  <c r="AD164" i="110" a="1"/>
  <c r="AD164" i="110" s="1"/>
  <c r="AC164" i="110" a="1"/>
  <c r="AC164" i="110" s="1"/>
  <c r="AB164" i="110" a="1"/>
  <c r="AB164" i="110" s="1"/>
  <c r="AA164" i="110" a="1"/>
  <c r="AA164" i="110" s="1"/>
  <c r="Z164" i="110" a="1"/>
  <c r="Z164" i="110" s="1"/>
  <c r="Y164" i="110" a="1"/>
  <c r="Y164" i="110" s="1"/>
  <c r="X164" i="110" a="1"/>
  <c r="X164" i="110" s="1"/>
  <c r="W164" i="110" a="1"/>
  <c r="W164" i="110" s="1"/>
  <c r="V164" i="110" a="1"/>
  <c r="V164" i="110" s="1"/>
  <c r="U164" i="110" a="1"/>
  <c r="U164" i="110" s="1"/>
  <c r="T164" i="110" a="1"/>
  <c r="T164" i="110" s="1"/>
  <c r="S164" i="110" a="1"/>
  <c r="S164" i="110" s="1"/>
  <c r="R164" i="110" a="1"/>
  <c r="R164" i="110" s="1"/>
  <c r="Q164" i="110" a="1"/>
  <c r="Q164" i="110" s="1"/>
  <c r="P164" i="110" a="1"/>
  <c r="P164" i="110" s="1"/>
  <c r="O164" i="110" a="1"/>
  <c r="O164" i="110" s="1"/>
  <c r="N164" i="110" a="1"/>
  <c r="N164" i="110" s="1"/>
  <c r="M164" i="110" a="1"/>
  <c r="M164" i="110" s="1"/>
  <c r="L164" i="110" a="1"/>
  <c r="L164" i="110" s="1"/>
  <c r="K164" i="110" a="1"/>
  <c r="K164" i="110" s="1"/>
  <c r="J164" i="110" a="1"/>
  <c r="J164" i="110" s="1"/>
  <c r="I164" i="110" a="1"/>
  <c r="I164" i="110" s="1"/>
  <c r="H164" i="110" a="1"/>
  <c r="H164" i="110" s="1"/>
  <c r="G164" i="110" a="1"/>
  <c r="G164" i="110" s="1"/>
  <c r="F164" i="110" a="1"/>
  <c r="F164" i="110" s="1"/>
  <c r="E164" i="110" a="1"/>
  <c r="E164" i="110" s="1"/>
  <c r="D164" i="110" a="1"/>
  <c r="D164" i="110" s="1"/>
  <c r="AG163" i="110" a="1"/>
  <c r="AG163" i="110" s="1"/>
  <c r="AF163" i="110" a="1"/>
  <c r="AF163" i="110" s="1"/>
  <c r="AE163" i="110" a="1"/>
  <c r="AE163" i="110" s="1"/>
  <c r="AD163" i="110" a="1"/>
  <c r="AD163" i="110" s="1"/>
  <c r="AC163" i="110" a="1"/>
  <c r="AC163" i="110" s="1"/>
  <c r="AB163" i="110" a="1"/>
  <c r="AB163" i="110" s="1"/>
  <c r="AA163" i="110" a="1"/>
  <c r="AA163" i="110" s="1"/>
  <c r="Z163" i="110" a="1"/>
  <c r="Z163" i="110" s="1"/>
  <c r="Y163" i="110" a="1"/>
  <c r="Y163" i="110" s="1"/>
  <c r="X163" i="110" a="1"/>
  <c r="X163" i="110" s="1"/>
  <c r="W163" i="110" a="1"/>
  <c r="W163" i="110" s="1"/>
  <c r="V163" i="110" a="1"/>
  <c r="V163" i="110" s="1"/>
  <c r="U163" i="110" a="1"/>
  <c r="U163" i="110" s="1"/>
  <c r="T163" i="110" a="1"/>
  <c r="T163" i="110" s="1"/>
  <c r="S163" i="110" a="1"/>
  <c r="S163" i="110" s="1"/>
  <c r="R163" i="110" a="1"/>
  <c r="R163" i="110" s="1"/>
  <c r="Q163" i="110" a="1"/>
  <c r="Q163" i="110" s="1"/>
  <c r="P163" i="110" a="1"/>
  <c r="P163" i="110" s="1"/>
  <c r="O163" i="110" a="1"/>
  <c r="O163" i="110" s="1"/>
  <c r="N163" i="110" a="1"/>
  <c r="N163" i="110" s="1"/>
  <c r="M163" i="110" a="1"/>
  <c r="M163" i="110" s="1"/>
  <c r="L163" i="110" a="1"/>
  <c r="L163" i="110" s="1"/>
  <c r="K163" i="110" a="1"/>
  <c r="K163" i="110" s="1"/>
  <c r="J163" i="110" a="1"/>
  <c r="J163" i="110" s="1"/>
  <c r="I163" i="110" a="1"/>
  <c r="I163" i="110" s="1"/>
  <c r="H163" i="110" a="1"/>
  <c r="H163" i="110" s="1"/>
  <c r="G163" i="110" a="1"/>
  <c r="G163" i="110" s="1"/>
  <c r="F163" i="110" a="1"/>
  <c r="F163" i="110" s="1"/>
  <c r="E163" i="110" a="1"/>
  <c r="E163" i="110" s="1"/>
  <c r="D163" i="110" a="1"/>
  <c r="D163" i="110" s="1"/>
  <c r="AG162" i="110" a="1"/>
  <c r="AG162" i="110" s="1"/>
  <c r="AF162" i="110" a="1"/>
  <c r="AF162" i="110" s="1"/>
  <c r="AE162" i="110" a="1"/>
  <c r="AE162" i="110" s="1"/>
  <c r="AD162" i="110" a="1"/>
  <c r="AD162" i="110" s="1"/>
  <c r="AC162" i="110" a="1"/>
  <c r="AC162" i="110" s="1"/>
  <c r="AB162" i="110" a="1"/>
  <c r="AB162" i="110" s="1"/>
  <c r="AA162" i="110" a="1"/>
  <c r="AA162" i="110" s="1"/>
  <c r="Z162" i="110" a="1"/>
  <c r="Z162" i="110" s="1"/>
  <c r="Y162" i="110" a="1"/>
  <c r="Y162" i="110" s="1"/>
  <c r="X162" i="110" a="1"/>
  <c r="X162" i="110" s="1"/>
  <c r="W162" i="110" a="1"/>
  <c r="W162" i="110" s="1"/>
  <c r="V162" i="110" a="1"/>
  <c r="V162" i="110" s="1"/>
  <c r="U162" i="110" a="1"/>
  <c r="U162" i="110" s="1"/>
  <c r="T162" i="110" a="1"/>
  <c r="T162" i="110" s="1"/>
  <c r="S162" i="110" a="1"/>
  <c r="S162" i="110" s="1"/>
  <c r="R162" i="110" a="1"/>
  <c r="R162" i="110" s="1"/>
  <c r="Q162" i="110" a="1"/>
  <c r="Q162" i="110" s="1"/>
  <c r="P162" i="110" a="1"/>
  <c r="P162" i="110" s="1"/>
  <c r="O162" i="110" a="1"/>
  <c r="O162" i="110" s="1"/>
  <c r="N162" i="110" a="1"/>
  <c r="N162" i="110" s="1"/>
  <c r="M162" i="110" a="1"/>
  <c r="M162" i="110" s="1"/>
  <c r="L162" i="110" a="1"/>
  <c r="L162" i="110" s="1"/>
  <c r="K162" i="110" a="1"/>
  <c r="K162" i="110" s="1"/>
  <c r="J162" i="110" a="1"/>
  <c r="J162" i="110" s="1"/>
  <c r="I162" i="110" a="1"/>
  <c r="I162" i="110" s="1"/>
  <c r="H162" i="110" a="1"/>
  <c r="H162" i="110" s="1"/>
  <c r="G162" i="110" a="1"/>
  <c r="G162" i="110" s="1"/>
  <c r="F162" i="110" a="1"/>
  <c r="F162" i="110" s="1"/>
  <c r="E162" i="110" a="1"/>
  <c r="E162" i="110" s="1"/>
  <c r="D162" i="110" a="1"/>
  <c r="D162" i="110" s="1"/>
  <c r="AG161" i="110" a="1"/>
  <c r="AG161" i="110" s="1"/>
  <c r="AF161" i="110" a="1"/>
  <c r="AF161" i="110" s="1"/>
  <c r="AE161" i="110" a="1"/>
  <c r="AE161" i="110" s="1"/>
  <c r="AD161" i="110" a="1"/>
  <c r="AD161" i="110" s="1"/>
  <c r="AC161" i="110" a="1"/>
  <c r="AC161" i="110" s="1"/>
  <c r="AB161" i="110" a="1"/>
  <c r="AB161" i="110" s="1"/>
  <c r="AA161" i="110" a="1"/>
  <c r="AA161" i="110" s="1"/>
  <c r="Z161" i="110" a="1"/>
  <c r="Z161" i="110" s="1"/>
  <c r="Y161" i="110" a="1"/>
  <c r="Y161" i="110" s="1"/>
  <c r="X161" i="110" a="1"/>
  <c r="X161" i="110" s="1"/>
  <c r="W161" i="110" a="1"/>
  <c r="W161" i="110" s="1"/>
  <c r="V161" i="110" a="1"/>
  <c r="V161" i="110" s="1"/>
  <c r="U161" i="110" a="1"/>
  <c r="U161" i="110" s="1"/>
  <c r="T161" i="110" a="1"/>
  <c r="T161" i="110" s="1"/>
  <c r="S161" i="110" a="1"/>
  <c r="S161" i="110" s="1"/>
  <c r="R161" i="110" a="1"/>
  <c r="R161" i="110" s="1"/>
  <c r="Q161" i="110" a="1"/>
  <c r="Q161" i="110" s="1"/>
  <c r="P161" i="110" a="1"/>
  <c r="P161" i="110" s="1"/>
  <c r="O161" i="110" a="1"/>
  <c r="O161" i="110" s="1"/>
  <c r="N161" i="110" a="1"/>
  <c r="N161" i="110" s="1"/>
  <c r="M161" i="110" a="1"/>
  <c r="M161" i="110" s="1"/>
  <c r="L161" i="110" a="1"/>
  <c r="L161" i="110" s="1"/>
  <c r="K161" i="110" a="1"/>
  <c r="K161" i="110" s="1"/>
  <c r="J161" i="110" a="1"/>
  <c r="J161" i="110" s="1"/>
  <c r="I161" i="110" a="1"/>
  <c r="I161" i="110" s="1"/>
  <c r="H161" i="110" a="1"/>
  <c r="H161" i="110" s="1"/>
  <c r="G161" i="110" a="1"/>
  <c r="G161" i="110" s="1"/>
  <c r="F161" i="110" a="1"/>
  <c r="F161" i="110" s="1"/>
  <c r="E161" i="110" a="1"/>
  <c r="E161" i="110" s="1"/>
  <c r="D161" i="110" a="1"/>
  <c r="D161" i="110" s="1"/>
  <c r="AG160" i="110" a="1"/>
  <c r="AG160" i="110" s="1"/>
  <c r="AF160" i="110" a="1"/>
  <c r="AF160" i="110" s="1"/>
  <c r="AE160" i="110" a="1"/>
  <c r="AE160" i="110" s="1"/>
  <c r="AD160" i="110" a="1"/>
  <c r="AD160" i="110" s="1"/>
  <c r="AC160" i="110" a="1"/>
  <c r="AC160" i="110" s="1"/>
  <c r="AB160" i="110" a="1"/>
  <c r="AB160" i="110" s="1"/>
  <c r="AA160" i="110" a="1"/>
  <c r="AA160" i="110" s="1"/>
  <c r="Z160" i="110" a="1"/>
  <c r="Z160" i="110" s="1"/>
  <c r="Y160" i="110" a="1"/>
  <c r="Y160" i="110" s="1"/>
  <c r="X160" i="110" a="1"/>
  <c r="X160" i="110" s="1"/>
  <c r="W160" i="110" a="1"/>
  <c r="W160" i="110" s="1"/>
  <c r="V160" i="110" a="1"/>
  <c r="V160" i="110" s="1"/>
  <c r="U160" i="110" a="1"/>
  <c r="U160" i="110" s="1"/>
  <c r="T160" i="110" a="1"/>
  <c r="T160" i="110" s="1"/>
  <c r="S160" i="110" a="1"/>
  <c r="S160" i="110" s="1"/>
  <c r="R160" i="110" a="1"/>
  <c r="R160" i="110" s="1"/>
  <c r="Q160" i="110" a="1"/>
  <c r="Q160" i="110" s="1"/>
  <c r="P160" i="110" a="1"/>
  <c r="P160" i="110" s="1"/>
  <c r="O160" i="110" a="1"/>
  <c r="O160" i="110" s="1"/>
  <c r="N160" i="110" a="1"/>
  <c r="N160" i="110" s="1"/>
  <c r="M160" i="110" a="1"/>
  <c r="M160" i="110" s="1"/>
  <c r="L160" i="110" a="1"/>
  <c r="L160" i="110" s="1"/>
  <c r="K160" i="110" a="1"/>
  <c r="K160" i="110" s="1"/>
  <c r="J160" i="110" a="1"/>
  <c r="J160" i="110" s="1"/>
  <c r="I160" i="110" a="1"/>
  <c r="I160" i="110" s="1"/>
  <c r="H160" i="110" a="1"/>
  <c r="H160" i="110" s="1"/>
  <c r="G160" i="110" a="1"/>
  <c r="G160" i="110" s="1"/>
  <c r="F160" i="110" a="1"/>
  <c r="F160" i="110" s="1"/>
  <c r="E160" i="110" a="1"/>
  <c r="E160" i="110" s="1"/>
  <c r="D160" i="110" a="1"/>
  <c r="D160" i="110" s="1"/>
  <c r="AG159" i="110" a="1"/>
  <c r="AG159" i="110" s="1"/>
  <c r="AF159" i="110" a="1"/>
  <c r="AF159" i="110" s="1"/>
  <c r="AE159" i="110" a="1"/>
  <c r="AE159" i="110" s="1"/>
  <c r="AD159" i="110" a="1"/>
  <c r="AD159" i="110" s="1"/>
  <c r="AC159" i="110" a="1"/>
  <c r="AC159" i="110" s="1"/>
  <c r="AB159" i="110" a="1"/>
  <c r="AB159" i="110" s="1"/>
  <c r="AA159" i="110" a="1"/>
  <c r="AA159" i="110" s="1"/>
  <c r="Z159" i="110" a="1"/>
  <c r="Z159" i="110" s="1"/>
  <c r="Y159" i="110" a="1"/>
  <c r="Y159" i="110" s="1"/>
  <c r="X159" i="110" a="1"/>
  <c r="X159" i="110" s="1"/>
  <c r="W159" i="110" a="1"/>
  <c r="W159" i="110" s="1"/>
  <c r="V159" i="110" a="1"/>
  <c r="V159" i="110" s="1"/>
  <c r="U159" i="110" a="1"/>
  <c r="U159" i="110" s="1"/>
  <c r="T159" i="110" a="1"/>
  <c r="T159" i="110" s="1"/>
  <c r="S159" i="110" a="1"/>
  <c r="S159" i="110" s="1"/>
  <c r="R159" i="110" a="1"/>
  <c r="R159" i="110" s="1"/>
  <c r="Q159" i="110" a="1"/>
  <c r="Q159" i="110" s="1"/>
  <c r="P159" i="110" a="1"/>
  <c r="P159" i="110" s="1"/>
  <c r="O159" i="110" a="1"/>
  <c r="O159" i="110" s="1"/>
  <c r="N159" i="110" a="1"/>
  <c r="N159" i="110" s="1"/>
  <c r="M159" i="110" a="1"/>
  <c r="M159" i="110" s="1"/>
  <c r="L159" i="110" a="1"/>
  <c r="L159" i="110" s="1"/>
  <c r="K159" i="110" a="1"/>
  <c r="K159" i="110" s="1"/>
  <c r="J159" i="110" a="1"/>
  <c r="J159" i="110" s="1"/>
  <c r="I159" i="110" a="1"/>
  <c r="I159" i="110" s="1"/>
  <c r="H159" i="110" a="1"/>
  <c r="H159" i="110" s="1"/>
  <c r="G159" i="110" a="1"/>
  <c r="G159" i="110" s="1"/>
  <c r="F159" i="110" a="1"/>
  <c r="F159" i="110" s="1"/>
  <c r="E159" i="110" a="1"/>
  <c r="E159" i="110" s="1"/>
  <c r="D159" i="110" a="1"/>
  <c r="D159" i="110" s="1"/>
  <c r="AG158" i="110" a="1"/>
  <c r="AG158" i="110" s="1"/>
  <c r="AF158" i="110" a="1"/>
  <c r="AF158" i="110" s="1"/>
  <c r="AE158" i="110" a="1"/>
  <c r="AE158" i="110" s="1"/>
  <c r="AD158" i="110" a="1"/>
  <c r="AD158" i="110" s="1"/>
  <c r="AC158" i="110" a="1"/>
  <c r="AC158" i="110" s="1"/>
  <c r="AB158" i="110" a="1"/>
  <c r="AB158" i="110" s="1"/>
  <c r="AA158" i="110" a="1"/>
  <c r="AA158" i="110" s="1"/>
  <c r="Z158" i="110" a="1"/>
  <c r="Z158" i="110" s="1"/>
  <c r="Y158" i="110" a="1"/>
  <c r="Y158" i="110" s="1"/>
  <c r="X158" i="110" a="1"/>
  <c r="X158" i="110" s="1"/>
  <c r="W158" i="110" a="1"/>
  <c r="W158" i="110" s="1"/>
  <c r="V158" i="110" a="1"/>
  <c r="V158" i="110" s="1"/>
  <c r="U158" i="110" a="1"/>
  <c r="U158" i="110" s="1"/>
  <c r="T158" i="110" a="1"/>
  <c r="T158" i="110" s="1"/>
  <c r="S158" i="110" a="1"/>
  <c r="S158" i="110" s="1"/>
  <c r="R158" i="110" a="1"/>
  <c r="R158" i="110" s="1"/>
  <c r="Q158" i="110" a="1"/>
  <c r="Q158" i="110" s="1"/>
  <c r="P158" i="110" a="1"/>
  <c r="P158" i="110" s="1"/>
  <c r="O158" i="110" a="1"/>
  <c r="O158" i="110" s="1"/>
  <c r="N158" i="110" a="1"/>
  <c r="N158" i="110" s="1"/>
  <c r="M158" i="110" a="1"/>
  <c r="M158" i="110" s="1"/>
  <c r="L158" i="110" a="1"/>
  <c r="L158" i="110" s="1"/>
  <c r="K158" i="110" a="1"/>
  <c r="K158" i="110" s="1"/>
  <c r="J158" i="110" a="1"/>
  <c r="J158" i="110" s="1"/>
  <c r="I158" i="110" a="1"/>
  <c r="I158" i="110" s="1"/>
  <c r="H158" i="110" a="1"/>
  <c r="H158" i="110" s="1"/>
  <c r="G158" i="110" a="1"/>
  <c r="G158" i="110" s="1"/>
  <c r="F158" i="110" a="1"/>
  <c r="F158" i="110" s="1"/>
  <c r="E158" i="110" a="1"/>
  <c r="E158" i="110" s="1"/>
  <c r="D158" i="110" a="1"/>
  <c r="D158" i="110" s="1"/>
  <c r="AG157" i="110" a="1"/>
  <c r="AG157" i="110" s="1"/>
  <c r="AF157" i="110" a="1"/>
  <c r="AF157" i="110" s="1"/>
  <c r="AE157" i="110" a="1"/>
  <c r="AE157" i="110" s="1"/>
  <c r="AD157" i="110" a="1"/>
  <c r="AD157" i="110" s="1"/>
  <c r="AC157" i="110" a="1"/>
  <c r="AC157" i="110" s="1"/>
  <c r="AB157" i="110" a="1"/>
  <c r="AB157" i="110" s="1"/>
  <c r="AA157" i="110" a="1"/>
  <c r="AA157" i="110" s="1"/>
  <c r="Z157" i="110" a="1"/>
  <c r="Z157" i="110" s="1"/>
  <c r="Y157" i="110" a="1"/>
  <c r="Y157" i="110" s="1"/>
  <c r="X157" i="110" a="1"/>
  <c r="X157" i="110" s="1"/>
  <c r="W157" i="110" a="1"/>
  <c r="W157" i="110" s="1"/>
  <c r="V157" i="110" a="1"/>
  <c r="V157" i="110" s="1"/>
  <c r="U157" i="110" a="1"/>
  <c r="U157" i="110" s="1"/>
  <c r="T157" i="110" a="1"/>
  <c r="T157" i="110" s="1"/>
  <c r="S157" i="110" a="1"/>
  <c r="S157" i="110" s="1"/>
  <c r="R157" i="110" a="1"/>
  <c r="R157" i="110" s="1"/>
  <c r="Q157" i="110" a="1"/>
  <c r="Q157" i="110" s="1"/>
  <c r="P157" i="110" a="1"/>
  <c r="P157" i="110" s="1"/>
  <c r="O157" i="110" a="1"/>
  <c r="O157" i="110" s="1"/>
  <c r="N157" i="110" a="1"/>
  <c r="N157" i="110" s="1"/>
  <c r="M157" i="110" a="1"/>
  <c r="M157" i="110" s="1"/>
  <c r="L157" i="110" a="1"/>
  <c r="L157" i="110" s="1"/>
  <c r="K157" i="110" a="1"/>
  <c r="K157" i="110" s="1"/>
  <c r="J157" i="110" a="1"/>
  <c r="J157" i="110" s="1"/>
  <c r="I157" i="110" a="1"/>
  <c r="I157" i="110" s="1"/>
  <c r="H157" i="110" a="1"/>
  <c r="H157" i="110" s="1"/>
  <c r="G157" i="110" a="1"/>
  <c r="G157" i="110" s="1"/>
  <c r="F157" i="110" a="1"/>
  <c r="F157" i="110" s="1"/>
  <c r="E157" i="110" a="1"/>
  <c r="E157" i="110" s="1"/>
  <c r="D157" i="110" a="1"/>
  <c r="D157" i="110" s="1"/>
  <c r="AG156" i="110" a="1"/>
  <c r="AG156" i="110" s="1"/>
  <c r="AF156" i="110" a="1"/>
  <c r="AF156" i="110" s="1"/>
  <c r="AE156" i="110" a="1"/>
  <c r="AE156" i="110" s="1"/>
  <c r="AD156" i="110" a="1"/>
  <c r="AD156" i="110" s="1"/>
  <c r="AC156" i="110" a="1"/>
  <c r="AC156" i="110" s="1"/>
  <c r="AB156" i="110" a="1"/>
  <c r="AB156" i="110" s="1"/>
  <c r="AA156" i="110" a="1"/>
  <c r="AA156" i="110" s="1"/>
  <c r="Z156" i="110" a="1"/>
  <c r="Z156" i="110" s="1"/>
  <c r="Y156" i="110" a="1"/>
  <c r="Y156" i="110" s="1"/>
  <c r="X156" i="110" a="1"/>
  <c r="X156" i="110" s="1"/>
  <c r="W156" i="110" a="1"/>
  <c r="W156" i="110" s="1"/>
  <c r="V156" i="110" a="1"/>
  <c r="V156" i="110" s="1"/>
  <c r="U156" i="110" a="1"/>
  <c r="U156" i="110" s="1"/>
  <c r="T156" i="110" a="1"/>
  <c r="T156" i="110" s="1"/>
  <c r="S156" i="110" a="1"/>
  <c r="S156" i="110" s="1"/>
  <c r="R156" i="110" a="1"/>
  <c r="R156" i="110" s="1"/>
  <c r="Q156" i="110" a="1"/>
  <c r="Q156" i="110" s="1"/>
  <c r="P156" i="110" a="1"/>
  <c r="P156" i="110" s="1"/>
  <c r="O156" i="110" a="1"/>
  <c r="O156" i="110" s="1"/>
  <c r="N156" i="110" a="1"/>
  <c r="N156" i="110" s="1"/>
  <c r="M156" i="110" a="1"/>
  <c r="M156" i="110" s="1"/>
  <c r="L156" i="110" a="1"/>
  <c r="L156" i="110" s="1"/>
  <c r="K156" i="110" a="1"/>
  <c r="K156" i="110" s="1"/>
  <c r="J156" i="110" a="1"/>
  <c r="J156" i="110" s="1"/>
  <c r="I156" i="110" a="1"/>
  <c r="I156" i="110" s="1"/>
  <c r="H156" i="110" a="1"/>
  <c r="H156" i="110" s="1"/>
  <c r="G156" i="110" a="1"/>
  <c r="G156" i="110" s="1"/>
  <c r="F156" i="110" a="1"/>
  <c r="F156" i="110" s="1"/>
  <c r="E156" i="110" a="1"/>
  <c r="E156" i="110" s="1"/>
  <c r="D156" i="110" a="1"/>
  <c r="D156" i="110" s="1"/>
  <c r="AG155" i="110" a="1"/>
  <c r="AG155" i="110" s="1"/>
  <c r="AF155" i="110" a="1"/>
  <c r="AF155" i="110" s="1"/>
  <c r="AE155" i="110" a="1"/>
  <c r="AE155" i="110" s="1"/>
  <c r="AD155" i="110" a="1"/>
  <c r="AD155" i="110" s="1"/>
  <c r="AC155" i="110" a="1"/>
  <c r="AC155" i="110" s="1"/>
  <c r="AB155" i="110" a="1"/>
  <c r="AB155" i="110" s="1"/>
  <c r="AA155" i="110" a="1"/>
  <c r="AA155" i="110" s="1"/>
  <c r="Z155" i="110" a="1"/>
  <c r="Z155" i="110" s="1"/>
  <c r="Y155" i="110" a="1"/>
  <c r="Y155" i="110" s="1"/>
  <c r="X155" i="110" a="1"/>
  <c r="X155" i="110" s="1"/>
  <c r="W155" i="110" a="1"/>
  <c r="W155" i="110" s="1"/>
  <c r="V155" i="110" a="1"/>
  <c r="V155" i="110" s="1"/>
  <c r="U155" i="110" a="1"/>
  <c r="U155" i="110" s="1"/>
  <c r="T155" i="110" a="1"/>
  <c r="T155" i="110" s="1"/>
  <c r="S155" i="110" a="1"/>
  <c r="S155" i="110" s="1"/>
  <c r="R155" i="110" a="1"/>
  <c r="R155" i="110" s="1"/>
  <c r="Q155" i="110" a="1"/>
  <c r="Q155" i="110" s="1"/>
  <c r="P155" i="110" a="1"/>
  <c r="P155" i="110" s="1"/>
  <c r="O155" i="110" a="1"/>
  <c r="O155" i="110" s="1"/>
  <c r="N155" i="110" a="1"/>
  <c r="N155" i="110" s="1"/>
  <c r="M155" i="110" a="1"/>
  <c r="M155" i="110" s="1"/>
  <c r="L155" i="110" a="1"/>
  <c r="L155" i="110" s="1"/>
  <c r="K155" i="110" a="1"/>
  <c r="K155" i="110" s="1"/>
  <c r="J155" i="110" a="1"/>
  <c r="J155" i="110" s="1"/>
  <c r="I155" i="110" a="1"/>
  <c r="I155" i="110" s="1"/>
  <c r="H155" i="110" a="1"/>
  <c r="H155" i="110" s="1"/>
  <c r="G155" i="110" a="1"/>
  <c r="G155" i="110" s="1"/>
  <c r="F155" i="110" a="1"/>
  <c r="F155" i="110" s="1"/>
  <c r="E155" i="110" a="1"/>
  <c r="E155" i="110" s="1"/>
  <c r="D155" i="110" a="1"/>
  <c r="D155" i="110" s="1"/>
  <c r="AG154" i="110" a="1"/>
  <c r="AG154" i="110" s="1"/>
  <c r="AF154" i="110" a="1"/>
  <c r="AF154" i="110" s="1"/>
  <c r="AE154" i="110" a="1"/>
  <c r="AE154" i="110" s="1"/>
  <c r="AD154" i="110" a="1"/>
  <c r="AD154" i="110" s="1"/>
  <c r="AC154" i="110" a="1"/>
  <c r="AC154" i="110" s="1"/>
  <c r="AB154" i="110" a="1"/>
  <c r="AB154" i="110" s="1"/>
  <c r="AA154" i="110" a="1"/>
  <c r="AA154" i="110" s="1"/>
  <c r="Z154" i="110" a="1"/>
  <c r="Z154" i="110" s="1"/>
  <c r="Y154" i="110" a="1"/>
  <c r="Y154" i="110" s="1"/>
  <c r="X154" i="110" a="1"/>
  <c r="X154" i="110" s="1"/>
  <c r="W154" i="110" a="1"/>
  <c r="W154" i="110" s="1"/>
  <c r="V154" i="110" a="1"/>
  <c r="V154" i="110" s="1"/>
  <c r="U154" i="110" a="1"/>
  <c r="U154" i="110" s="1"/>
  <c r="T154" i="110" a="1"/>
  <c r="T154" i="110" s="1"/>
  <c r="S154" i="110" a="1"/>
  <c r="S154" i="110" s="1"/>
  <c r="R154" i="110" a="1"/>
  <c r="R154" i="110" s="1"/>
  <c r="Q154" i="110" a="1"/>
  <c r="Q154" i="110" s="1"/>
  <c r="P154" i="110" a="1"/>
  <c r="P154" i="110" s="1"/>
  <c r="O154" i="110" a="1"/>
  <c r="O154" i="110" s="1"/>
  <c r="N154" i="110" a="1"/>
  <c r="N154" i="110" s="1"/>
  <c r="M154" i="110" a="1"/>
  <c r="M154" i="110" s="1"/>
  <c r="L154" i="110" a="1"/>
  <c r="L154" i="110" s="1"/>
  <c r="K154" i="110" a="1"/>
  <c r="K154" i="110" s="1"/>
  <c r="J154" i="110" a="1"/>
  <c r="J154" i="110" s="1"/>
  <c r="I154" i="110" a="1"/>
  <c r="I154" i="110" s="1"/>
  <c r="H154" i="110" a="1"/>
  <c r="H154" i="110" s="1"/>
  <c r="G154" i="110" a="1"/>
  <c r="G154" i="110" s="1"/>
  <c r="F154" i="110" a="1"/>
  <c r="F154" i="110" s="1"/>
  <c r="E154" i="110" a="1"/>
  <c r="E154" i="110" s="1"/>
  <c r="D154" i="110" a="1"/>
  <c r="D154" i="110" s="1"/>
  <c r="AG153" i="110" a="1"/>
  <c r="AG153" i="110" s="1"/>
  <c r="AF153" i="110" a="1"/>
  <c r="AF153" i="110" s="1"/>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J153" i="110" a="1"/>
  <c r="J153" i="110" s="1"/>
  <c r="I153" i="110" a="1"/>
  <c r="I153" i="110" s="1"/>
  <c r="H153" i="110" a="1"/>
  <c r="H153" i="110" s="1"/>
  <c r="G153" i="110" a="1"/>
  <c r="G153" i="110" s="1"/>
  <c r="F153" i="110" a="1"/>
  <c r="F153" i="110" s="1"/>
  <c r="E153" i="110" a="1"/>
  <c r="E153" i="110" s="1"/>
  <c r="D153" i="110" a="1"/>
  <c r="D153" i="110" s="1"/>
  <c r="AG152" i="110" a="1"/>
  <c r="AG152" i="110" s="1"/>
  <c r="AF152" i="110" a="1"/>
  <c r="AF152"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J152" i="110" a="1"/>
  <c r="J152" i="110" s="1"/>
  <c r="I152" i="110" a="1"/>
  <c r="I152" i="110" s="1"/>
  <c r="H152" i="110" a="1"/>
  <c r="H152" i="110" s="1"/>
  <c r="G152" i="110" a="1"/>
  <c r="G152" i="110" s="1"/>
  <c r="F152" i="110" a="1"/>
  <c r="F152" i="110" s="1"/>
  <c r="E152" i="110" a="1"/>
  <c r="E152" i="110" s="1"/>
  <c r="D152" i="110" a="1"/>
  <c r="D152" i="110" s="1"/>
  <c r="AG151" i="110" a="1"/>
  <c r="AG151" i="110" s="1"/>
  <c r="AF151" i="110" a="1"/>
  <c r="AF151"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J151" i="110" a="1"/>
  <c r="J151" i="110" s="1"/>
  <c r="I151" i="110" a="1"/>
  <c r="I151" i="110" s="1"/>
  <c r="H151" i="110" a="1"/>
  <c r="H151" i="110" s="1"/>
  <c r="G151" i="110" a="1"/>
  <c r="G151" i="110" s="1"/>
  <c r="F151" i="110" a="1"/>
  <c r="F151" i="110" s="1"/>
  <c r="E151" i="110" a="1"/>
  <c r="E151" i="110" s="1"/>
  <c r="D151" i="110" a="1"/>
  <c r="D151" i="110" s="1"/>
  <c r="AG150" i="110" a="1"/>
  <c r="AG150" i="110" s="1"/>
  <c r="AF150" i="110" a="1"/>
  <c r="AF150"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J150" i="110" a="1"/>
  <c r="J150" i="110" s="1"/>
  <c r="I150" i="110" a="1"/>
  <c r="I150" i="110" s="1"/>
  <c r="H150" i="110" a="1"/>
  <c r="H150" i="110" s="1"/>
  <c r="G150" i="110" a="1"/>
  <c r="G150" i="110" s="1"/>
  <c r="F150" i="110" a="1"/>
  <c r="F150" i="110" s="1"/>
  <c r="E150" i="110" a="1"/>
  <c r="E150" i="110" s="1"/>
  <c r="D150" i="110" a="1"/>
  <c r="D150" i="110" s="1"/>
  <c r="AG149" i="110" a="1"/>
  <c r="AG149" i="110" s="1"/>
  <c r="AF149" i="110" a="1"/>
  <c r="AF149"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J149" i="110" a="1"/>
  <c r="J149" i="110" s="1"/>
  <c r="I149" i="110" a="1"/>
  <c r="I149" i="110" s="1"/>
  <c r="H149" i="110" a="1"/>
  <c r="H149" i="110" s="1"/>
  <c r="G149" i="110" a="1"/>
  <c r="G149" i="110" s="1"/>
  <c r="F149" i="110" a="1"/>
  <c r="F149" i="110" s="1"/>
  <c r="E149" i="110" a="1"/>
  <c r="E149" i="110" s="1"/>
  <c r="D149" i="110" a="1"/>
  <c r="D149" i="110" s="1"/>
  <c r="AG148" i="110" a="1"/>
  <c r="AG148" i="110" s="1"/>
  <c r="AF148" i="110" a="1"/>
  <c r="AF148"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J148" i="110" a="1"/>
  <c r="J148" i="110" s="1"/>
  <c r="I148" i="110" a="1"/>
  <c r="I148" i="110" s="1"/>
  <c r="H148" i="110" a="1"/>
  <c r="H148" i="110" s="1"/>
  <c r="G148" i="110" a="1"/>
  <c r="G148" i="110" s="1"/>
  <c r="F148" i="110" a="1"/>
  <c r="F148" i="110" s="1"/>
  <c r="E148" i="110" a="1"/>
  <c r="E148" i="110" s="1"/>
  <c r="D148" i="110" a="1"/>
  <c r="D148" i="110" s="1"/>
  <c r="AG147" i="110" a="1"/>
  <c r="AG147" i="110" s="1"/>
  <c r="AF147" i="110" a="1"/>
  <c r="AF147"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J147" i="110" a="1"/>
  <c r="J147" i="110" s="1"/>
  <c r="I147" i="110" a="1"/>
  <c r="I147" i="110" s="1"/>
  <c r="H147" i="110" a="1"/>
  <c r="H147" i="110" s="1"/>
  <c r="G147" i="110" a="1"/>
  <c r="G147" i="110" s="1"/>
  <c r="F147" i="110" a="1"/>
  <c r="F147" i="110" s="1"/>
  <c r="E147" i="110" a="1"/>
  <c r="E147" i="110" s="1"/>
  <c r="D147" i="110" a="1"/>
  <c r="D147" i="110" s="1"/>
  <c r="AG146" i="110" a="1"/>
  <c r="AG146" i="110" s="1"/>
  <c r="AF146" i="110" a="1"/>
  <c r="AF146"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J146" i="110" a="1"/>
  <c r="J146" i="110" s="1"/>
  <c r="I146" i="110" a="1"/>
  <c r="I146" i="110" s="1"/>
  <c r="H146" i="110" a="1"/>
  <c r="H146" i="110" s="1"/>
  <c r="G146" i="110" a="1"/>
  <c r="G146" i="110" s="1"/>
  <c r="F146" i="110" a="1"/>
  <c r="F146" i="110" s="1"/>
  <c r="E146" i="110" a="1"/>
  <c r="E146" i="110" s="1"/>
  <c r="D146" i="110" a="1"/>
  <c r="D146" i="110" s="1"/>
  <c r="AG145" i="110" a="1"/>
  <c r="AG145" i="110" s="1"/>
  <c r="AF145" i="110" a="1"/>
  <c r="AF145"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J145" i="110" a="1"/>
  <c r="J145" i="110" s="1"/>
  <c r="I145" i="110" a="1"/>
  <c r="I145" i="110" s="1"/>
  <c r="H145" i="110" a="1"/>
  <c r="H145" i="110" s="1"/>
  <c r="G145" i="110" a="1"/>
  <c r="G145" i="110" s="1"/>
  <c r="F145" i="110" a="1"/>
  <c r="F145" i="110" s="1"/>
  <c r="E145" i="110" a="1"/>
  <c r="E145" i="110" s="1"/>
  <c r="D145" i="110" a="1"/>
  <c r="D145" i="110" s="1"/>
  <c r="AG144" i="110" a="1"/>
  <c r="AG144" i="110" s="1"/>
  <c r="AF144" i="110" a="1"/>
  <c r="AF144"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J144" i="110" a="1"/>
  <c r="J144" i="110" s="1"/>
  <c r="I144" i="110" a="1"/>
  <c r="I144" i="110" s="1"/>
  <c r="H144" i="110" a="1"/>
  <c r="H144" i="110" s="1"/>
  <c r="G144" i="110" a="1"/>
  <c r="G144" i="110" s="1"/>
  <c r="F144" i="110" a="1"/>
  <c r="F144" i="110" s="1"/>
  <c r="E144" i="110" a="1"/>
  <c r="E144" i="110" s="1"/>
  <c r="D144" i="110" a="1"/>
  <c r="D144" i="110" s="1"/>
  <c r="AG143" i="110" a="1"/>
  <c r="AG143" i="110" s="1"/>
  <c r="AF143" i="110" a="1"/>
  <c r="AF143"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J143" i="110" a="1"/>
  <c r="J143" i="110" s="1"/>
  <c r="I143" i="110" a="1"/>
  <c r="I143" i="110" s="1"/>
  <c r="H143" i="110" a="1"/>
  <c r="H143" i="110" s="1"/>
  <c r="G143" i="110" a="1"/>
  <c r="G143" i="110" s="1"/>
  <c r="F143" i="110" a="1"/>
  <c r="F143" i="110" s="1"/>
  <c r="E143" i="110" a="1"/>
  <c r="E143" i="110" s="1"/>
  <c r="D143" i="110" a="1"/>
  <c r="D143" i="110" s="1"/>
  <c r="AG142" i="110" a="1"/>
  <c r="AG142" i="110" s="1"/>
  <c r="AF142" i="110" a="1"/>
  <c r="AF142"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J142" i="110" a="1"/>
  <c r="J142" i="110" s="1"/>
  <c r="I142" i="110" a="1"/>
  <c r="I142" i="110" s="1"/>
  <c r="H142" i="110" a="1"/>
  <c r="H142" i="110" s="1"/>
  <c r="G142" i="110" a="1"/>
  <c r="G142" i="110" s="1"/>
  <c r="F142" i="110" a="1"/>
  <c r="F142" i="110" s="1"/>
  <c r="E142" i="110" a="1"/>
  <c r="E142" i="110" s="1"/>
  <c r="D142" i="110" a="1"/>
  <c r="D142" i="110" s="1"/>
  <c r="AG141" i="110" a="1"/>
  <c r="AG141" i="110" s="1"/>
  <c r="AF141" i="110" a="1"/>
  <c r="AF141"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J141" i="110" a="1"/>
  <c r="J141" i="110" s="1"/>
  <c r="I141" i="110" a="1"/>
  <c r="I141" i="110" s="1"/>
  <c r="H141" i="110" a="1"/>
  <c r="H141" i="110" s="1"/>
  <c r="G141" i="110" a="1"/>
  <c r="G141" i="110" s="1"/>
  <c r="F141" i="110" a="1"/>
  <c r="F141" i="110" s="1"/>
  <c r="E141" i="110" a="1"/>
  <c r="E141" i="110" s="1"/>
  <c r="D141" i="110" a="1"/>
  <c r="D141" i="110" s="1"/>
  <c r="AG140" i="110" a="1"/>
  <c r="AG140" i="110" s="1"/>
  <c r="AF140" i="110" a="1"/>
  <c r="AF140"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J140" i="110" a="1"/>
  <c r="J140" i="110" s="1"/>
  <c r="I140" i="110" a="1"/>
  <c r="I140" i="110" s="1"/>
  <c r="H140" i="110" a="1"/>
  <c r="H140" i="110" s="1"/>
  <c r="G140" i="110" a="1"/>
  <c r="G140" i="110" s="1"/>
  <c r="F140" i="110" a="1"/>
  <c r="F140" i="110" s="1"/>
  <c r="E140" i="110" a="1"/>
  <c r="E140" i="110" s="1"/>
  <c r="D140" i="110" a="1"/>
  <c r="D140" i="110" s="1"/>
  <c r="AG139" i="110" a="1"/>
  <c r="AG139" i="110" s="1"/>
  <c r="AF139" i="110" a="1"/>
  <c r="AF139"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J139" i="110" a="1"/>
  <c r="J139" i="110" s="1"/>
  <c r="I139" i="110" a="1"/>
  <c r="I139" i="110" s="1"/>
  <c r="H139" i="110" a="1"/>
  <c r="H139" i="110" s="1"/>
  <c r="G139" i="110" a="1"/>
  <c r="G139" i="110" s="1"/>
  <c r="F139" i="110" a="1"/>
  <c r="F139" i="110" s="1"/>
  <c r="E139" i="110" a="1"/>
  <c r="E139" i="110" s="1"/>
  <c r="D139" i="110" a="1"/>
  <c r="D139" i="110" s="1"/>
  <c r="AG138" i="110" a="1"/>
  <c r="AG138" i="110" s="1"/>
  <c r="AF138" i="110" a="1"/>
  <c r="AF138"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J138" i="110" a="1"/>
  <c r="J138" i="110" s="1"/>
  <c r="I138" i="110" a="1"/>
  <c r="I138" i="110" s="1"/>
  <c r="H138" i="110" a="1"/>
  <c r="H138" i="110" s="1"/>
  <c r="G138" i="110" a="1"/>
  <c r="G138" i="110" s="1"/>
  <c r="F138" i="110" a="1"/>
  <c r="F138" i="110" s="1"/>
  <c r="E138" i="110" a="1"/>
  <c r="E138" i="110" s="1"/>
  <c r="D138" i="110" a="1"/>
  <c r="D138" i="110" s="1"/>
  <c r="AG137" i="110" a="1"/>
  <c r="AG137" i="110" s="1"/>
  <c r="AF137" i="110" a="1"/>
  <c r="AF137"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J137" i="110" a="1"/>
  <c r="J137" i="110" s="1"/>
  <c r="I137" i="110" a="1"/>
  <c r="I137" i="110" s="1"/>
  <c r="H137" i="110" a="1"/>
  <c r="H137" i="110" s="1"/>
  <c r="G137" i="110" a="1"/>
  <c r="G137" i="110" s="1"/>
  <c r="F137" i="110" a="1"/>
  <c r="F137" i="110" s="1"/>
  <c r="E137" i="110" a="1"/>
  <c r="E137" i="110" s="1"/>
  <c r="D137" i="110" a="1"/>
  <c r="D137" i="110" s="1"/>
  <c r="AG136" i="110" a="1"/>
  <c r="AG136" i="110" s="1"/>
  <c r="AF136" i="110" a="1"/>
  <c r="AF136"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J136" i="110" a="1"/>
  <c r="J136" i="110" s="1"/>
  <c r="I136" i="110" a="1"/>
  <c r="I136" i="110" s="1"/>
  <c r="H136" i="110" a="1"/>
  <c r="H136" i="110" s="1"/>
  <c r="G136" i="110" a="1"/>
  <c r="G136" i="110" s="1"/>
  <c r="F136" i="110" a="1"/>
  <c r="F136" i="110" s="1"/>
  <c r="E136" i="110" a="1"/>
  <c r="E136" i="110" s="1"/>
  <c r="D136" i="110" a="1"/>
  <c r="D136" i="110" s="1"/>
  <c r="AG135" i="110" a="1"/>
  <c r="AG135" i="110" s="1"/>
  <c r="AF135" i="110" a="1"/>
  <c r="AF135"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J135" i="110" a="1"/>
  <c r="J135" i="110" s="1"/>
  <c r="I135" i="110" a="1"/>
  <c r="I135" i="110" s="1"/>
  <c r="H135" i="110" a="1"/>
  <c r="H135" i="110" s="1"/>
  <c r="G135" i="110" a="1"/>
  <c r="G135" i="110" s="1"/>
  <c r="F135" i="110" a="1"/>
  <c r="F135" i="110" s="1"/>
  <c r="E135" i="110" a="1"/>
  <c r="E135" i="110" s="1"/>
  <c r="D135" i="110" a="1"/>
  <c r="D135" i="110" s="1"/>
  <c r="AG134" i="110" a="1"/>
  <c r="AG134" i="110" s="1"/>
  <c r="AF134" i="110" a="1"/>
  <c r="AF134"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J134" i="110" a="1"/>
  <c r="J134" i="110" s="1"/>
  <c r="I134" i="110" a="1"/>
  <c r="I134" i="110" s="1"/>
  <c r="H134" i="110" a="1"/>
  <c r="H134" i="110" s="1"/>
  <c r="G134" i="110" a="1"/>
  <c r="G134" i="110" s="1"/>
  <c r="F134" i="110" a="1"/>
  <c r="F134" i="110" s="1"/>
  <c r="E134" i="110" a="1"/>
  <c r="E134" i="110" s="1"/>
  <c r="D134" i="110" a="1"/>
  <c r="D134" i="110" s="1"/>
  <c r="AG133" i="110" a="1"/>
  <c r="AG133" i="110" s="1"/>
  <c r="AF133" i="110" a="1"/>
  <c r="AF133"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J133" i="110" a="1"/>
  <c r="J133" i="110" s="1"/>
  <c r="I133" i="110" a="1"/>
  <c r="I133" i="110" s="1"/>
  <c r="H133" i="110" a="1"/>
  <c r="H133" i="110" s="1"/>
  <c r="G133" i="110" a="1"/>
  <c r="G133" i="110" s="1"/>
  <c r="F133" i="110" a="1"/>
  <c r="F133" i="110" s="1"/>
  <c r="E133" i="110" a="1"/>
  <c r="E133" i="110" s="1"/>
  <c r="D133" i="110" a="1"/>
  <c r="D133" i="110" s="1"/>
  <c r="AG132" i="110" a="1"/>
  <c r="AG132" i="110" s="1"/>
  <c r="AF132" i="110" a="1"/>
  <c r="AF132"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J132" i="110" a="1"/>
  <c r="J132" i="110" s="1"/>
  <c r="I132" i="110" a="1"/>
  <c r="I132" i="110" s="1"/>
  <c r="H132" i="110" a="1"/>
  <c r="H132" i="110" s="1"/>
  <c r="G132" i="110" a="1"/>
  <c r="G132" i="110" s="1"/>
  <c r="F132" i="110" a="1"/>
  <c r="F132" i="110" s="1"/>
  <c r="E132" i="110" a="1"/>
  <c r="E132" i="110" s="1"/>
  <c r="D132" i="110" a="1"/>
  <c r="D132" i="110" s="1"/>
  <c r="AG131" i="110" a="1"/>
  <c r="AG131" i="110" s="1"/>
  <c r="AF131" i="110" a="1"/>
  <c r="AF131"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J131" i="110" a="1"/>
  <c r="J131" i="110" s="1"/>
  <c r="I131" i="110" a="1"/>
  <c r="I131" i="110" s="1"/>
  <c r="H131" i="110" a="1"/>
  <c r="H131" i="110" s="1"/>
  <c r="G131" i="110" a="1"/>
  <c r="G131" i="110" s="1"/>
  <c r="F131" i="110" a="1"/>
  <c r="F131" i="110" s="1"/>
  <c r="E131" i="110" a="1"/>
  <c r="E131" i="110" s="1"/>
  <c r="D131" i="110" a="1"/>
  <c r="D131" i="110" s="1"/>
  <c r="AG130" i="110" a="1"/>
  <c r="AG130" i="110" s="1"/>
  <c r="AF130" i="110" a="1"/>
  <c r="AF130"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J130" i="110" a="1"/>
  <c r="J130" i="110" s="1"/>
  <c r="I130" i="110" a="1"/>
  <c r="I130" i="110" s="1"/>
  <c r="H130" i="110" a="1"/>
  <c r="H130" i="110" s="1"/>
  <c r="G130" i="110" a="1"/>
  <c r="G130" i="110" s="1"/>
  <c r="F130" i="110" a="1"/>
  <c r="F130" i="110" s="1"/>
  <c r="E130" i="110" a="1"/>
  <c r="E130" i="110" s="1"/>
  <c r="D130" i="110" a="1"/>
  <c r="D130" i="110" s="1"/>
  <c r="AG129" i="110" a="1"/>
  <c r="AG129" i="110" s="1"/>
  <c r="AF129" i="110" a="1"/>
  <c r="AF129"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J129" i="110" a="1"/>
  <c r="J129" i="110" s="1"/>
  <c r="I129" i="110" a="1"/>
  <c r="I129" i="110" s="1"/>
  <c r="H129" i="110" a="1"/>
  <c r="H129" i="110" s="1"/>
  <c r="G129" i="110" a="1"/>
  <c r="G129" i="110" s="1"/>
  <c r="F129" i="110" a="1"/>
  <c r="F129" i="110" s="1"/>
  <c r="E129" i="110" a="1"/>
  <c r="E129" i="110" s="1"/>
  <c r="D129" i="110" a="1"/>
  <c r="D129" i="110" s="1"/>
  <c r="AG128" i="110" a="1"/>
  <c r="AG128" i="110" s="1"/>
  <c r="AF128" i="110" a="1"/>
  <c r="AF128"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J128" i="110" a="1"/>
  <c r="J128" i="110" s="1"/>
  <c r="I128" i="110" a="1"/>
  <c r="I128" i="110" s="1"/>
  <c r="H128" i="110" a="1"/>
  <c r="H128" i="110" s="1"/>
  <c r="G128" i="110" a="1"/>
  <c r="G128" i="110" s="1"/>
  <c r="F128" i="110" a="1"/>
  <c r="F128" i="110" s="1"/>
  <c r="E128" i="110" a="1"/>
  <c r="E128" i="110" s="1"/>
  <c r="D128" i="110" a="1"/>
  <c r="D128" i="110" s="1"/>
  <c r="AG127" i="110" a="1"/>
  <c r="AG127" i="110" s="1"/>
  <c r="AF127" i="110" a="1"/>
  <c r="AF127"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J127" i="110" a="1"/>
  <c r="J127" i="110" s="1"/>
  <c r="I127" i="110" a="1"/>
  <c r="I127" i="110" s="1"/>
  <c r="H127" i="110" a="1"/>
  <c r="H127" i="110" s="1"/>
  <c r="G127" i="110" a="1"/>
  <c r="G127" i="110" s="1"/>
  <c r="F127" i="110" a="1"/>
  <c r="F127" i="110" s="1"/>
  <c r="E127" i="110" a="1"/>
  <c r="E127" i="110" s="1"/>
  <c r="D127" i="110" a="1"/>
  <c r="D127" i="110" s="1"/>
  <c r="AG126" i="110" a="1"/>
  <c r="AG126" i="110" s="1"/>
  <c r="AF126" i="110" a="1"/>
  <c r="AF126"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J126" i="110" a="1"/>
  <c r="J126" i="110" s="1"/>
  <c r="I126" i="110" a="1"/>
  <c r="I126" i="110" s="1"/>
  <c r="H126" i="110" a="1"/>
  <c r="H126" i="110" s="1"/>
  <c r="G126" i="110" a="1"/>
  <c r="G126" i="110" s="1"/>
  <c r="F126" i="110" a="1"/>
  <c r="F126" i="110" s="1"/>
  <c r="E126" i="110" a="1"/>
  <c r="E126" i="110" s="1"/>
  <c r="D126" i="110" a="1"/>
  <c r="D126" i="110" s="1"/>
  <c r="AG125" i="110" a="1"/>
  <c r="AG125" i="110" s="1"/>
  <c r="AF125" i="110" a="1"/>
  <c r="AF125"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J125" i="110" a="1"/>
  <c r="J125" i="110" s="1"/>
  <c r="I125" i="110" a="1"/>
  <c r="I125" i="110" s="1"/>
  <c r="H125" i="110" a="1"/>
  <c r="H125" i="110" s="1"/>
  <c r="G125" i="110" a="1"/>
  <c r="G125" i="110" s="1"/>
  <c r="F125" i="110" a="1"/>
  <c r="F125" i="110" s="1"/>
  <c r="E125" i="110" a="1"/>
  <c r="E125" i="110" s="1"/>
  <c r="D125" i="110" a="1"/>
  <c r="D125" i="110" s="1"/>
  <c r="AG124" i="110" a="1"/>
  <c r="AG124" i="110" s="1"/>
  <c r="AF124" i="110" a="1"/>
  <c r="AF124"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J124" i="110" a="1"/>
  <c r="J124" i="110" s="1"/>
  <c r="I124" i="110" a="1"/>
  <c r="I124" i="110" s="1"/>
  <c r="H124" i="110" a="1"/>
  <c r="H124" i="110" s="1"/>
  <c r="G124" i="110" a="1"/>
  <c r="G124" i="110" s="1"/>
  <c r="F124" i="110" a="1"/>
  <c r="F124" i="110" s="1"/>
  <c r="E124" i="110" a="1"/>
  <c r="E124" i="110" s="1"/>
  <c r="D124" i="110" a="1"/>
  <c r="D124" i="110" s="1"/>
  <c r="AG123" i="110" a="1"/>
  <c r="AG123" i="110" s="1"/>
  <c r="AF123" i="110" a="1"/>
  <c r="AF123"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J123" i="110" a="1"/>
  <c r="J123" i="110" s="1"/>
  <c r="I123" i="110" a="1"/>
  <c r="I123" i="110" s="1"/>
  <c r="H123" i="110" a="1"/>
  <c r="H123" i="110" s="1"/>
  <c r="G123" i="110" a="1"/>
  <c r="G123" i="110" s="1"/>
  <c r="F123" i="110" a="1"/>
  <c r="F123" i="110" s="1"/>
  <c r="E123" i="110" a="1"/>
  <c r="E123" i="110" s="1"/>
  <c r="D123" i="110" a="1"/>
  <c r="D123" i="110" s="1"/>
  <c r="AG122" i="110" a="1"/>
  <c r="AG122" i="110" s="1"/>
  <c r="AF122" i="110" a="1"/>
  <c r="AF122"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J122" i="110" a="1"/>
  <c r="J122" i="110" s="1"/>
  <c r="I122" i="110" a="1"/>
  <c r="I122" i="110" s="1"/>
  <c r="H122" i="110" a="1"/>
  <c r="H122" i="110" s="1"/>
  <c r="G122" i="110" a="1"/>
  <c r="G122" i="110" s="1"/>
  <c r="F122" i="110" a="1"/>
  <c r="F122" i="110" s="1"/>
  <c r="E122" i="110" a="1"/>
  <c r="E122" i="110" s="1"/>
  <c r="D122" i="110" a="1"/>
  <c r="D122" i="110" s="1"/>
  <c r="AG121" i="110" a="1"/>
  <c r="AG121" i="110" s="1"/>
  <c r="AF121" i="110" a="1"/>
  <c r="AF121"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J121" i="110" a="1"/>
  <c r="J121" i="110" s="1"/>
  <c r="I121" i="110" a="1"/>
  <c r="I121" i="110" s="1"/>
  <c r="H121" i="110" a="1"/>
  <c r="H121" i="110" s="1"/>
  <c r="G121" i="110" a="1"/>
  <c r="G121" i="110" s="1"/>
  <c r="F121" i="110" a="1"/>
  <c r="F121" i="110" s="1"/>
  <c r="E121" i="110" a="1"/>
  <c r="E121" i="110" s="1"/>
  <c r="D121" i="110" a="1"/>
  <c r="D121" i="110" s="1"/>
  <c r="AG120" i="110" a="1"/>
  <c r="AG120" i="110" s="1"/>
  <c r="AF120" i="110" a="1"/>
  <c r="AF120"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J120" i="110" a="1"/>
  <c r="J120" i="110" s="1"/>
  <c r="I120" i="110" a="1"/>
  <c r="I120" i="110" s="1"/>
  <c r="H120" i="110" a="1"/>
  <c r="H120" i="110" s="1"/>
  <c r="G120" i="110" a="1"/>
  <c r="G120" i="110" s="1"/>
  <c r="F120" i="110" a="1"/>
  <c r="F120" i="110" s="1"/>
  <c r="E120" i="110" a="1"/>
  <c r="E120" i="110" s="1"/>
  <c r="D120" i="110" a="1"/>
  <c r="D120" i="110" s="1"/>
  <c r="P119" i="110" a="1"/>
  <c r="P119" i="110" s="1"/>
  <c r="O119" i="110" a="1"/>
  <c r="O119" i="110" s="1"/>
  <c r="P118" i="110" a="1"/>
  <c r="P118" i="110" s="1"/>
  <c r="O118" i="110" a="1"/>
  <c r="O118" i="110" s="1"/>
  <c r="P117" i="110" a="1"/>
  <c r="P117" i="110" s="1"/>
  <c r="O117" i="110" a="1"/>
  <c r="O117" i="110" s="1"/>
  <c r="P116" i="110" a="1"/>
  <c r="P116" i="110" s="1"/>
  <c r="O116" i="110" a="1"/>
  <c r="O116" i="110" s="1"/>
  <c r="P115" i="110" a="1"/>
  <c r="P115" i="110" s="1"/>
  <c r="O115" i="110" a="1"/>
  <c r="O115" i="110" s="1"/>
  <c r="P114" i="110" a="1"/>
  <c r="P114" i="110" s="1"/>
  <c r="O114" i="110" a="1"/>
  <c r="O114" i="110" s="1"/>
  <c r="P113" i="110" a="1"/>
  <c r="P113" i="110" s="1"/>
  <c r="O113" i="110" a="1"/>
  <c r="O113" i="110" s="1"/>
  <c r="P112" i="110" a="1"/>
  <c r="P112" i="110" s="1"/>
  <c r="O112" i="110" a="1"/>
  <c r="O112" i="110" s="1"/>
  <c r="P111" i="110" a="1"/>
  <c r="P111" i="110" s="1"/>
  <c r="O111" i="110" a="1"/>
  <c r="O111" i="110" s="1"/>
  <c r="P110" i="110" a="1"/>
  <c r="P110" i="110" s="1"/>
  <c r="O110" i="110" a="1"/>
  <c r="O110" i="110" s="1"/>
  <c r="P109" i="110" a="1"/>
  <c r="P109" i="110" s="1"/>
  <c r="O109" i="110" a="1"/>
  <c r="O109" i="110" s="1"/>
  <c r="P108" i="110" a="1"/>
  <c r="P108" i="110" s="1"/>
  <c r="O108" i="110" a="1"/>
  <c r="O108" i="110" s="1"/>
  <c r="P107" i="110" a="1"/>
  <c r="P107" i="110" s="1"/>
  <c r="O107" i="110" a="1"/>
  <c r="O107" i="110" s="1"/>
  <c r="P106" i="110" a="1"/>
  <c r="P106" i="110" s="1"/>
  <c r="O106" i="110" a="1"/>
  <c r="O106" i="110" s="1"/>
  <c r="P105" i="110" a="1"/>
  <c r="P105" i="110" s="1"/>
  <c r="O105" i="110" a="1"/>
  <c r="O105" i="110" s="1"/>
  <c r="P104" i="110" a="1"/>
  <c r="P104" i="110" s="1"/>
  <c r="O104" i="110" a="1"/>
  <c r="O104" i="110" s="1"/>
  <c r="P103" i="110" a="1"/>
  <c r="P103" i="110" s="1"/>
  <c r="O103" i="110" a="1"/>
  <c r="O103" i="110" s="1"/>
  <c r="P102" i="110" a="1"/>
  <c r="P102" i="110" s="1"/>
  <c r="O102" i="110" a="1"/>
  <c r="O102" i="110" s="1"/>
  <c r="P101" i="110" a="1"/>
  <c r="P101" i="110" s="1"/>
  <c r="O101" i="110" a="1"/>
  <c r="O101" i="110" s="1"/>
  <c r="P100" i="110" a="1"/>
  <c r="P100" i="110" s="1"/>
  <c r="O100" i="110" a="1"/>
  <c r="O100" i="110" s="1"/>
  <c r="P99" i="110" a="1"/>
  <c r="P99" i="110" s="1"/>
  <c r="O99" i="110" a="1"/>
  <c r="O99" i="110" s="1"/>
  <c r="P98" i="110" a="1"/>
  <c r="P98" i="110" s="1"/>
  <c r="O98" i="110" a="1"/>
  <c r="O98" i="110" s="1"/>
  <c r="P97" i="110" a="1"/>
  <c r="P97" i="110" s="1"/>
  <c r="O97" i="110" a="1"/>
  <c r="O97" i="110" s="1"/>
  <c r="P96" i="110" a="1"/>
  <c r="P96" i="110" s="1"/>
  <c r="O96" i="110" a="1"/>
  <c r="O96" i="110" s="1"/>
  <c r="P95" i="110" a="1"/>
  <c r="P95" i="110" s="1"/>
  <c r="O95" i="110" a="1"/>
  <c r="O95" i="110" s="1"/>
  <c r="P94" i="110" a="1"/>
  <c r="P94" i="110" s="1"/>
  <c r="O94" i="110" a="1"/>
  <c r="O94" i="110" s="1"/>
  <c r="P93" i="110" a="1"/>
  <c r="P93" i="110" s="1"/>
  <c r="O93" i="110" a="1"/>
  <c r="O93" i="110" s="1"/>
  <c r="P92" i="110" a="1"/>
  <c r="P92" i="110" s="1"/>
  <c r="O92" i="110" a="1"/>
  <c r="O92" i="110" s="1"/>
  <c r="P91" i="110" a="1"/>
  <c r="P91" i="110" s="1"/>
  <c r="O91" i="110" a="1"/>
  <c r="O91" i="110" s="1"/>
  <c r="P90" i="110" a="1"/>
  <c r="P90" i="110" s="1"/>
  <c r="O90" i="110" a="1"/>
  <c r="O90" i="110" s="1"/>
  <c r="AG119" i="110" a="1"/>
  <c r="AG119" i="110" s="1"/>
  <c r="AF119" i="110" a="1"/>
  <c r="AF119"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N119" i="110" a="1"/>
  <c r="N119" i="110" s="1"/>
  <c r="M119" i="110" a="1"/>
  <c r="M119" i="110" s="1"/>
  <c r="L119" i="110" a="1"/>
  <c r="L119" i="110" s="1"/>
  <c r="K119" i="110" a="1"/>
  <c r="K119" i="110" s="1"/>
  <c r="J119" i="110" a="1"/>
  <c r="J119" i="110" s="1"/>
  <c r="I119" i="110" a="1"/>
  <c r="I119" i="110" s="1"/>
  <c r="H119" i="110" a="1"/>
  <c r="H119" i="110" s="1"/>
  <c r="G119" i="110" a="1"/>
  <c r="G119" i="110" s="1"/>
  <c r="F119" i="110" a="1"/>
  <c r="F119" i="110" s="1"/>
  <c r="E119" i="110" a="1"/>
  <c r="E119" i="110" s="1"/>
  <c r="D119" i="110" a="1"/>
  <c r="D119" i="110" s="1"/>
  <c r="AG118" i="110" a="1"/>
  <c r="AG118" i="110" s="1"/>
  <c r="AF118" i="110" a="1"/>
  <c r="AF118"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N118" i="110" a="1"/>
  <c r="N118" i="110" s="1"/>
  <c r="M118" i="110" a="1"/>
  <c r="M118" i="110" s="1"/>
  <c r="L118" i="110" a="1"/>
  <c r="L118" i="110" s="1"/>
  <c r="K118" i="110" a="1"/>
  <c r="K118" i="110" s="1"/>
  <c r="J118" i="110" a="1"/>
  <c r="J118" i="110" s="1"/>
  <c r="I118" i="110" a="1"/>
  <c r="I118" i="110" s="1"/>
  <c r="H118" i="110" a="1"/>
  <c r="H118" i="110" s="1"/>
  <c r="G118" i="110" a="1"/>
  <c r="G118" i="110" s="1"/>
  <c r="F118" i="110" a="1"/>
  <c r="F118" i="110" s="1"/>
  <c r="E118" i="110" a="1"/>
  <c r="E118" i="110" s="1"/>
  <c r="D118" i="110" a="1"/>
  <c r="D118" i="110" s="1"/>
  <c r="AG117" i="110" a="1"/>
  <c r="AG117" i="110" s="1"/>
  <c r="AF117" i="110" a="1"/>
  <c r="AF117"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N117" i="110" a="1"/>
  <c r="N117" i="110" s="1"/>
  <c r="M117" i="110" a="1"/>
  <c r="M117" i="110" s="1"/>
  <c r="L117" i="110" a="1"/>
  <c r="L117" i="110" s="1"/>
  <c r="K117" i="110" a="1"/>
  <c r="K117" i="110" s="1"/>
  <c r="J117" i="110" a="1"/>
  <c r="J117" i="110" s="1"/>
  <c r="I117" i="110" a="1"/>
  <c r="I117" i="110" s="1"/>
  <c r="H117" i="110" a="1"/>
  <c r="H117" i="110" s="1"/>
  <c r="G117" i="110" a="1"/>
  <c r="G117" i="110" s="1"/>
  <c r="F117" i="110" a="1"/>
  <c r="F117" i="110" s="1"/>
  <c r="E117" i="110" a="1"/>
  <c r="E117" i="110" s="1"/>
  <c r="D117" i="110" a="1"/>
  <c r="D117" i="110" s="1"/>
  <c r="AG116" i="110" a="1"/>
  <c r="AG116" i="110" s="1"/>
  <c r="AF116" i="110" a="1"/>
  <c r="AF116"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N116" i="110" a="1"/>
  <c r="N116" i="110" s="1"/>
  <c r="M116" i="110" a="1"/>
  <c r="M116" i="110" s="1"/>
  <c r="L116" i="110" a="1"/>
  <c r="L116" i="110" s="1"/>
  <c r="K116" i="110" a="1"/>
  <c r="K116" i="110" s="1"/>
  <c r="J116" i="110" a="1"/>
  <c r="J116" i="110" s="1"/>
  <c r="I116" i="110" a="1"/>
  <c r="I116" i="110" s="1"/>
  <c r="H116" i="110" a="1"/>
  <c r="H116" i="110" s="1"/>
  <c r="G116" i="110" a="1"/>
  <c r="G116" i="110" s="1"/>
  <c r="F116" i="110" a="1"/>
  <c r="F116" i="110" s="1"/>
  <c r="E116" i="110" a="1"/>
  <c r="E116" i="110" s="1"/>
  <c r="D116" i="110" a="1"/>
  <c r="D116" i="110" s="1"/>
  <c r="AG115" i="110" a="1"/>
  <c r="AG115" i="110" s="1"/>
  <c r="AF115" i="110" a="1"/>
  <c r="AF115"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N115" i="110" a="1"/>
  <c r="N115" i="110" s="1"/>
  <c r="M115" i="110" a="1"/>
  <c r="M115" i="110" s="1"/>
  <c r="L115" i="110" a="1"/>
  <c r="L115" i="110" s="1"/>
  <c r="K115" i="110" a="1"/>
  <c r="K115" i="110" s="1"/>
  <c r="J115" i="110" a="1"/>
  <c r="J115" i="110" s="1"/>
  <c r="I115" i="110" a="1"/>
  <c r="I115" i="110" s="1"/>
  <c r="H115" i="110" a="1"/>
  <c r="H115" i="110" s="1"/>
  <c r="G115" i="110" a="1"/>
  <c r="G115" i="110" s="1"/>
  <c r="F115" i="110" a="1"/>
  <c r="F115" i="110" s="1"/>
  <c r="E115" i="110" a="1"/>
  <c r="E115" i="110" s="1"/>
  <c r="D115" i="110" a="1"/>
  <c r="D115" i="110" s="1"/>
  <c r="AG114" i="110" a="1"/>
  <c r="AG114" i="110" s="1"/>
  <c r="AF114" i="110" a="1"/>
  <c r="AF114"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N114" i="110" a="1"/>
  <c r="N114" i="110" s="1"/>
  <c r="M114" i="110" a="1"/>
  <c r="M114" i="110" s="1"/>
  <c r="L114" i="110" a="1"/>
  <c r="L114" i="110" s="1"/>
  <c r="K114" i="110" a="1"/>
  <c r="K114" i="110" s="1"/>
  <c r="J114" i="110" a="1"/>
  <c r="J114" i="110" s="1"/>
  <c r="I114" i="110" a="1"/>
  <c r="I114" i="110" s="1"/>
  <c r="H114" i="110" a="1"/>
  <c r="H114" i="110" s="1"/>
  <c r="G114" i="110" a="1"/>
  <c r="G114" i="110" s="1"/>
  <c r="F114" i="110" a="1"/>
  <c r="F114" i="110" s="1"/>
  <c r="E114" i="110" a="1"/>
  <c r="E114" i="110" s="1"/>
  <c r="D114" i="110" a="1"/>
  <c r="D114" i="110" s="1"/>
  <c r="AG113" i="110" a="1"/>
  <c r="AG113" i="110" s="1"/>
  <c r="AF113" i="110" a="1"/>
  <c r="AF113"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N113" i="110" a="1"/>
  <c r="N113" i="110" s="1"/>
  <c r="M113" i="110" a="1"/>
  <c r="M113" i="110" s="1"/>
  <c r="L113" i="110" a="1"/>
  <c r="L113" i="110" s="1"/>
  <c r="K113" i="110" a="1"/>
  <c r="K113" i="110" s="1"/>
  <c r="J113" i="110" a="1"/>
  <c r="J113" i="110" s="1"/>
  <c r="I113" i="110" a="1"/>
  <c r="I113" i="110" s="1"/>
  <c r="H113" i="110" a="1"/>
  <c r="H113" i="110" s="1"/>
  <c r="G113" i="110" a="1"/>
  <c r="G113" i="110" s="1"/>
  <c r="F113" i="110" a="1"/>
  <c r="F113" i="110" s="1"/>
  <c r="E113" i="110" a="1"/>
  <c r="E113" i="110" s="1"/>
  <c r="D113" i="110" a="1"/>
  <c r="D113" i="110" s="1"/>
  <c r="AG112" i="110" a="1"/>
  <c r="AG112" i="110" s="1"/>
  <c r="AF112" i="110" a="1"/>
  <c r="AF112"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N112" i="110" a="1"/>
  <c r="N112" i="110" s="1"/>
  <c r="M112" i="110" a="1"/>
  <c r="M112" i="110" s="1"/>
  <c r="L112" i="110" a="1"/>
  <c r="L112" i="110" s="1"/>
  <c r="K112" i="110" a="1"/>
  <c r="K112" i="110" s="1"/>
  <c r="J112" i="110" a="1"/>
  <c r="J112" i="110" s="1"/>
  <c r="I112" i="110" a="1"/>
  <c r="I112" i="110" s="1"/>
  <c r="H112" i="110" a="1"/>
  <c r="H112" i="110" s="1"/>
  <c r="G112" i="110" a="1"/>
  <c r="G112" i="110" s="1"/>
  <c r="F112" i="110" a="1"/>
  <c r="F112" i="110" s="1"/>
  <c r="E112" i="110" a="1"/>
  <c r="E112" i="110" s="1"/>
  <c r="D112" i="110" a="1"/>
  <c r="D112" i="110" s="1"/>
  <c r="AG111" i="110" a="1"/>
  <c r="AG111" i="110" s="1"/>
  <c r="AF111" i="110" a="1"/>
  <c r="AF111"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N111" i="110" a="1"/>
  <c r="N111" i="110" s="1"/>
  <c r="M111" i="110" a="1"/>
  <c r="M111" i="110" s="1"/>
  <c r="L111" i="110" a="1"/>
  <c r="L111" i="110" s="1"/>
  <c r="K111" i="110" a="1"/>
  <c r="K111" i="110" s="1"/>
  <c r="J111" i="110" a="1"/>
  <c r="J111" i="110" s="1"/>
  <c r="I111" i="110" a="1"/>
  <c r="I111" i="110" s="1"/>
  <c r="H111" i="110" a="1"/>
  <c r="H111" i="110" s="1"/>
  <c r="G111" i="110" a="1"/>
  <c r="G111" i="110" s="1"/>
  <c r="F111" i="110" a="1"/>
  <c r="F111" i="110" s="1"/>
  <c r="E111" i="110" a="1"/>
  <c r="E111" i="110" s="1"/>
  <c r="D111" i="110" a="1"/>
  <c r="D111" i="110" s="1"/>
  <c r="AG110" i="110" a="1"/>
  <c r="AG110" i="110" s="1"/>
  <c r="AF110" i="110" a="1"/>
  <c r="AF110"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N110" i="110" a="1"/>
  <c r="N110" i="110" s="1"/>
  <c r="M110" i="110" a="1"/>
  <c r="M110" i="110" s="1"/>
  <c r="L110" i="110" a="1"/>
  <c r="L110" i="110" s="1"/>
  <c r="K110" i="110" a="1"/>
  <c r="K110" i="110" s="1"/>
  <c r="J110" i="110" a="1"/>
  <c r="J110" i="110" s="1"/>
  <c r="I110" i="110" a="1"/>
  <c r="I110" i="110" s="1"/>
  <c r="H110" i="110" a="1"/>
  <c r="H110" i="110" s="1"/>
  <c r="G110" i="110" a="1"/>
  <c r="G110" i="110" s="1"/>
  <c r="F110" i="110" a="1"/>
  <c r="F110" i="110" s="1"/>
  <c r="E110" i="110" a="1"/>
  <c r="E110" i="110" s="1"/>
  <c r="D110" i="110" a="1"/>
  <c r="D110" i="110" s="1"/>
  <c r="AG109" i="110" a="1"/>
  <c r="AG109" i="110" s="1"/>
  <c r="AF109" i="110" a="1"/>
  <c r="AF109"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N109" i="110" a="1"/>
  <c r="N109" i="110" s="1"/>
  <c r="M109" i="110" a="1"/>
  <c r="M109" i="110" s="1"/>
  <c r="L109" i="110" a="1"/>
  <c r="L109" i="110" s="1"/>
  <c r="K109" i="110" a="1"/>
  <c r="K109" i="110" s="1"/>
  <c r="J109" i="110" a="1"/>
  <c r="J109" i="110" s="1"/>
  <c r="I109" i="110" a="1"/>
  <c r="I109" i="110" s="1"/>
  <c r="H109" i="110" a="1"/>
  <c r="H109" i="110" s="1"/>
  <c r="G109" i="110" a="1"/>
  <c r="G109" i="110" s="1"/>
  <c r="F109" i="110" a="1"/>
  <c r="F109" i="110" s="1"/>
  <c r="E109" i="110" a="1"/>
  <c r="E109" i="110" s="1"/>
  <c r="D109" i="110" a="1"/>
  <c r="D109" i="110" s="1"/>
  <c r="AG108" i="110" a="1"/>
  <c r="AG108" i="110" s="1"/>
  <c r="AF108" i="110" a="1"/>
  <c r="AF108"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N108" i="110" a="1"/>
  <c r="N108" i="110" s="1"/>
  <c r="M108" i="110" a="1"/>
  <c r="M108" i="110" s="1"/>
  <c r="L108" i="110" a="1"/>
  <c r="L108" i="110" s="1"/>
  <c r="K108" i="110" a="1"/>
  <c r="K108" i="110" s="1"/>
  <c r="J108" i="110" a="1"/>
  <c r="J108" i="110" s="1"/>
  <c r="I108" i="110" a="1"/>
  <c r="I108" i="110" s="1"/>
  <c r="H108" i="110" a="1"/>
  <c r="H108" i="110" s="1"/>
  <c r="G108" i="110" a="1"/>
  <c r="G108" i="110" s="1"/>
  <c r="F108" i="110" a="1"/>
  <c r="F108" i="110" s="1"/>
  <c r="E108" i="110" a="1"/>
  <c r="E108" i="110" s="1"/>
  <c r="D108" i="110" a="1"/>
  <c r="D108" i="110" s="1"/>
  <c r="AG107" i="110" a="1"/>
  <c r="AG107" i="110" s="1"/>
  <c r="AF107" i="110" a="1"/>
  <c r="AF107"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N107" i="110" a="1"/>
  <c r="N107" i="110" s="1"/>
  <c r="M107" i="110" a="1"/>
  <c r="M107" i="110" s="1"/>
  <c r="L107" i="110" a="1"/>
  <c r="L107" i="110" s="1"/>
  <c r="K107" i="110" a="1"/>
  <c r="K107" i="110" s="1"/>
  <c r="J107" i="110" a="1"/>
  <c r="J107" i="110" s="1"/>
  <c r="I107" i="110" a="1"/>
  <c r="I107" i="110" s="1"/>
  <c r="H107" i="110" a="1"/>
  <c r="H107" i="110" s="1"/>
  <c r="G107" i="110" a="1"/>
  <c r="G107" i="110" s="1"/>
  <c r="F107" i="110" a="1"/>
  <c r="F107" i="110" s="1"/>
  <c r="E107" i="110" a="1"/>
  <c r="E107" i="110" s="1"/>
  <c r="D107" i="110" a="1"/>
  <c r="D107" i="110" s="1"/>
  <c r="AG106" i="110" a="1"/>
  <c r="AG106" i="110" s="1"/>
  <c r="AF106" i="110" a="1"/>
  <c r="AF106"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N106" i="110" a="1"/>
  <c r="N106" i="110" s="1"/>
  <c r="M106" i="110" a="1"/>
  <c r="M106" i="110" s="1"/>
  <c r="L106" i="110" a="1"/>
  <c r="L106" i="110" s="1"/>
  <c r="K106" i="110" a="1"/>
  <c r="K106" i="110" s="1"/>
  <c r="J106" i="110" a="1"/>
  <c r="J106" i="110" s="1"/>
  <c r="I106" i="110" a="1"/>
  <c r="I106" i="110" s="1"/>
  <c r="H106" i="110" a="1"/>
  <c r="H106" i="110" s="1"/>
  <c r="G106" i="110" a="1"/>
  <c r="G106" i="110" s="1"/>
  <c r="F106" i="110" a="1"/>
  <c r="F106" i="110" s="1"/>
  <c r="E106" i="110" a="1"/>
  <c r="E106" i="110" s="1"/>
  <c r="D106" i="110" a="1"/>
  <c r="D106" i="110" s="1"/>
  <c r="AG105" i="110" a="1"/>
  <c r="AG105" i="110" s="1"/>
  <c r="AF105" i="110" a="1"/>
  <c r="AF105"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N105" i="110" a="1"/>
  <c r="N105" i="110" s="1"/>
  <c r="M105" i="110" a="1"/>
  <c r="M105" i="110" s="1"/>
  <c r="L105" i="110" a="1"/>
  <c r="L105" i="110" s="1"/>
  <c r="K105" i="110" a="1"/>
  <c r="K105" i="110" s="1"/>
  <c r="J105" i="110" a="1"/>
  <c r="J105" i="110" s="1"/>
  <c r="I105" i="110" a="1"/>
  <c r="I105" i="110" s="1"/>
  <c r="H105" i="110" a="1"/>
  <c r="H105" i="110" s="1"/>
  <c r="G105" i="110" a="1"/>
  <c r="G105" i="110" s="1"/>
  <c r="F105" i="110" a="1"/>
  <c r="F105" i="110" s="1"/>
  <c r="E105" i="110" a="1"/>
  <c r="E105" i="110" s="1"/>
  <c r="D105" i="110" a="1"/>
  <c r="D105" i="110" s="1"/>
  <c r="AG104" i="110" a="1"/>
  <c r="AG104" i="110" s="1"/>
  <c r="AF104" i="110" a="1"/>
  <c r="AF104"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N104" i="110" a="1"/>
  <c r="N104" i="110" s="1"/>
  <c r="M104" i="110" a="1"/>
  <c r="M104" i="110" s="1"/>
  <c r="L104" i="110" a="1"/>
  <c r="L104" i="110" s="1"/>
  <c r="K104" i="110" a="1"/>
  <c r="K104" i="110" s="1"/>
  <c r="J104" i="110" a="1"/>
  <c r="J104" i="110" s="1"/>
  <c r="I104" i="110" a="1"/>
  <c r="I104" i="110" s="1"/>
  <c r="H104" i="110" a="1"/>
  <c r="H104" i="110" s="1"/>
  <c r="G104" i="110" a="1"/>
  <c r="G104" i="110" s="1"/>
  <c r="F104" i="110" a="1"/>
  <c r="F104" i="110" s="1"/>
  <c r="E104" i="110" a="1"/>
  <c r="E104" i="110" s="1"/>
  <c r="D104" i="110" a="1"/>
  <c r="D104" i="110" s="1"/>
  <c r="AG103" i="110" a="1"/>
  <c r="AG103" i="110" s="1"/>
  <c r="AF103" i="110" a="1"/>
  <c r="AF103"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N103" i="110" a="1"/>
  <c r="N103" i="110" s="1"/>
  <c r="M103" i="110" a="1"/>
  <c r="M103" i="110" s="1"/>
  <c r="L103" i="110" a="1"/>
  <c r="L103" i="110" s="1"/>
  <c r="K103" i="110" a="1"/>
  <c r="K103" i="110" s="1"/>
  <c r="J103" i="110" a="1"/>
  <c r="J103" i="110" s="1"/>
  <c r="I103" i="110" a="1"/>
  <c r="I103" i="110" s="1"/>
  <c r="H103" i="110" a="1"/>
  <c r="H103" i="110" s="1"/>
  <c r="G103" i="110" a="1"/>
  <c r="G103" i="110" s="1"/>
  <c r="F103" i="110" a="1"/>
  <c r="F103" i="110" s="1"/>
  <c r="E103" i="110" a="1"/>
  <c r="E103" i="110" s="1"/>
  <c r="D103" i="110" a="1"/>
  <c r="D103" i="110" s="1"/>
  <c r="AG102" i="110" a="1"/>
  <c r="AG102" i="110" s="1"/>
  <c r="AF102" i="110" a="1"/>
  <c r="AF102"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N102" i="110" a="1"/>
  <c r="N102" i="110" s="1"/>
  <c r="M102" i="110" a="1"/>
  <c r="M102" i="110" s="1"/>
  <c r="L102" i="110" a="1"/>
  <c r="L102" i="110" s="1"/>
  <c r="K102" i="110" a="1"/>
  <c r="K102" i="110" s="1"/>
  <c r="J102" i="110" a="1"/>
  <c r="J102" i="110" s="1"/>
  <c r="I102" i="110" a="1"/>
  <c r="I102" i="110" s="1"/>
  <c r="H102" i="110" a="1"/>
  <c r="H102" i="110" s="1"/>
  <c r="G102" i="110" a="1"/>
  <c r="G102" i="110" s="1"/>
  <c r="F102" i="110" a="1"/>
  <c r="F102" i="110" s="1"/>
  <c r="E102" i="110" a="1"/>
  <c r="E102" i="110" s="1"/>
  <c r="D102" i="110" a="1"/>
  <c r="D102" i="110" s="1"/>
  <c r="AG101" i="110" a="1"/>
  <c r="AG101" i="110" s="1"/>
  <c r="AF101" i="110" a="1"/>
  <c r="AF101"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N101" i="110" a="1"/>
  <c r="N101" i="110" s="1"/>
  <c r="M101" i="110" a="1"/>
  <c r="M101" i="110" s="1"/>
  <c r="L101" i="110" a="1"/>
  <c r="L101" i="110" s="1"/>
  <c r="K101" i="110" a="1"/>
  <c r="K101" i="110" s="1"/>
  <c r="J101" i="110" a="1"/>
  <c r="J101" i="110" s="1"/>
  <c r="I101" i="110" a="1"/>
  <c r="I101" i="110" s="1"/>
  <c r="H101" i="110" a="1"/>
  <c r="H101" i="110" s="1"/>
  <c r="G101" i="110" a="1"/>
  <c r="G101" i="110" s="1"/>
  <c r="F101" i="110" a="1"/>
  <c r="F101" i="110" s="1"/>
  <c r="E101" i="110" a="1"/>
  <c r="E101" i="110" s="1"/>
  <c r="D101" i="110" a="1"/>
  <c r="D101" i="110" s="1"/>
  <c r="AG100" i="110" a="1"/>
  <c r="AG100" i="110" s="1"/>
  <c r="AF100" i="110" a="1"/>
  <c r="AF100"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N100" i="110" a="1"/>
  <c r="N100" i="110" s="1"/>
  <c r="M100" i="110" a="1"/>
  <c r="M100" i="110" s="1"/>
  <c r="L100" i="110" a="1"/>
  <c r="L100" i="110" s="1"/>
  <c r="K100" i="110" a="1"/>
  <c r="K100" i="110" s="1"/>
  <c r="J100" i="110" a="1"/>
  <c r="J100" i="110" s="1"/>
  <c r="I100" i="110" a="1"/>
  <c r="I100" i="110" s="1"/>
  <c r="H100" i="110" a="1"/>
  <c r="H100" i="110" s="1"/>
  <c r="G100" i="110" a="1"/>
  <c r="G100" i="110" s="1"/>
  <c r="F100" i="110" a="1"/>
  <c r="F100" i="110" s="1"/>
  <c r="E100" i="110" a="1"/>
  <c r="E100" i="110" s="1"/>
  <c r="D100" i="110" a="1"/>
  <c r="D100" i="110" s="1"/>
  <c r="AG99" i="110" a="1"/>
  <c r="AG99" i="110" s="1"/>
  <c r="AF99" i="110" a="1"/>
  <c r="AF99"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N99" i="110" a="1"/>
  <c r="N99" i="110" s="1"/>
  <c r="M99" i="110" a="1"/>
  <c r="M99" i="110" s="1"/>
  <c r="L99" i="110" a="1"/>
  <c r="L99" i="110" s="1"/>
  <c r="K99" i="110" a="1"/>
  <c r="K99" i="110" s="1"/>
  <c r="J99" i="110" a="1"/>
  <c r="J99" i="110" s="1"/>
  <c r="I99" i="110" a="1"/>
  <c r="I99" i="110" s="1"/>
  <c r="H99" i="110" a="1"/>
  <c r="H99" i="110" s="1"/>
  <c r="G99" i="110" a="1"/>
  <c r="G99" i="110" s="1"/>
  <c r="F99" i="110" a="1"/>
  <c r="F99" i="110" s="1"/>
  <c r="E99" i="110" a="1"/>
  <c r="E99" i="110" s="1"/>
  <c r="D99" i="110" a="1"/>
  <c r="D99" i="110" s="1"/>
  <c r="AG98" i="110" a="1"/>
  <c r="AG98" i="110" s="1"/>
  <c r="AF98" i="110" a="1"/>
  <c r="AF98"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N98" i="110" a="1"/>
  <c r="N98" i="110" s="1"/>
  <c r="M98" i="110" a="1"/>
  <c r="M98" i="110" s="1"/>
  <c r="L98" i="110" a="1"/>
  <c r="L98" i="110" s="1"/>
  <c r="K98" i="110" a="1"/>
  <c r="K98" i="110" s="1"/>
  <c r="J98" i="110" a="1"/>
  <c r="J98" i="110" s="1"/>
  <c r="I98" i="110" a="1"/>
  <c r="I98" i="110" s="1"/>
  <c r="H98" i="110" a="1"/>
  <c r="H98" i="110" s="1"/>
  <c r="G98" i="110" a="1"/>
  <c r="G98" i="110" s="1"/>
  <c r="F98" i="110" a="1"/>
  <c r="F98" i="110" s="1"/>
  <c r="E98" i="110" a="1"/>
  <c r="E98" i="110" s="1"/>
  <c r="D98" i="110" a="1"/>
  <c r="D98" i="110" s="1"/>
  <c r="AG97" i="110" a="1"/>
  <c r="AG97" i="110" s="1"/>
  <c r="AF97" i="110" a="1"/>
  <c r="AF97"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AG96" i="110" a="1"/>
  <c r="AG96" i="110" s="1"/>
  <c r="AF96" i="110" a="1"/>
  <c r="AF96"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AG95" i="110" a="1"/>
  <c r="AG95" i="110" s="1"/>
  <c r="AF95" i="110" a="1"/>
  <c r="AF95"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AG94" i="110" a="1"/>
  <c r="AG94" i="110" s="1"/>
  <c r="AF94" i="110" a="1"/>
  <c r="AF94"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AG93" i="110" a="1"/>
  <c r="AG93" i="110" s="1"/>
  <c r="AF93" i="110" a="1"/>
  <c r="AF93"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AG92" i="110" a="1"/>
  <c r="AG92" i="110" s="1"/>
  <c r="AF92" i="110" a="1"/>
  <c r="AF92"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AG91" i="110" a="1"/>
  <c r="AG91" i="110" s="1"/>
  <c r="AF91" i="110" a="1"/>
  <c r="AF91"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AG90" i="110" a="1"/>
  <c r="AG90" i="110" s="1"/>
  <c r="AF90" i="110" a="1"/>
  <c r="AF90"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H48" i="123" l="1"/>
  <c r="H51" i="123"/>
  <c r="F21" i="70"/>
  <c r="H54" i="123"/>
  <c r="H49" i="123"/>
  <c r="U12" i="70" a="1"/>
  <c r="U12" i="70" s="1"/>
  <c r="P13" i="70" a="1"/>
  <c r="P13" i="70" s="1"/>
  <c r="T14" i="70" a="1"/>
  <c r="T14" i="70" s="1"/>
  <c r="Z15" i="70"/>
  <c r="J15" i="70" a="1"/>
  <c r="J15" i="70" s="1"/>
  <c r="N16" i="70" a="1"/>
  <c r="N16" i="70" s="1"/>
  <c r="R17" i="70" a="1"/>
  <c r="R17" i="70" s="1"/>
  <c r="W18" i="70" a="1"/>
  <c r="W18" i="70" s="1"/>
  <c r="L19" i="70" a="1"/>
  <c r="L19" i="70" s="1"/>
  <c r="P20" i="70" a="1"/>
  <c r="P20" i="70" s="1"/>
  <c r="T21" i="70" a="1"/>
  <c r="T21" i="70" s="1"/>
  <c r="F12" i="70"/>
  <c r="O13" i="70" a="1"/>
  <c r="O13" i="70" s="1"/>
  <c r="S14" i="70" a="1"/>
  <c r="S14" i="70" s="1"/>
  <c r="Y15" i="70"/>
  <c r="H15" i="70"/>
  <c r="M16" i="70" a="1"/>
  <c r="M16" i="70" s="1"/>
  <c r="Q17" i="70" a="1"/>
  <c r="Q17" i="70" s="1"/>
  <c r="U18" i="70" a="1"/>
  <c r="U18" i="70" s="1"/>
  <c r="F18" i="70"/>
  <c r="K19" i="70" a="1"/>
  <c r="K19" i="70" s="1"/>
  <c r="O20" i="70" a="1"/>
  <c r="O20" i="70" s="1"/>
  <c r="S21" i="70" a="1"/>
  <c r="S21" i="70" s="1"/>
  <c r="H12" i="70"/>
  <c r="I12" i="70" s="1"/>
  <c r="N13" i="70" a="1"/>
  <c r="N13" i="70" s="1"/>
  <c r="R14" i="70" a="1"/>
  <c r="R14" i="70" s="1"/>
  <c r="W15" i="70" a="1"/>
  <c r="W15" i="70" s="1"/>
  <c r="L16" i="70" a="1"/>
  <c r="L16" i="70" s="1"/>
  <c r="P17" i="70" a="1"/>
  <c r="P17" i="70" s="1"/>
  <c r="T18" i="70" a="1"/>
  <c r="T18" i="70" s="1"/>
  <c r="Z19" i="70"/>
  <c r="J19" i="70" a="1"/>
  <c r="J19" i="70" s="1"/>
  <c r="N20" i="70" a="1"/>
  <c r="N20" i="70" s="1"/>
  <c r="R21" i="70" a="1"/>
  <c r="R21" i="70" s="1"/>
  <c r="J12" i="70" a="1"/>
  <c r="J12" i="70" s="1"/>
  <c r="W12" i="70" a="1"/>
  <c r="W12" i="70" s="1"/>
  <c r="M13" i="70" a="1"/>
  <c r="M13" i="70" s="1"/>
  <c r="Q14" i="70" a="1"/>
  <c r="Q14" i="70" s="1"/>
  <c r="U15" i="70" a="1"/>
  <c r="U15" i="70" s="1"/>
  <c r="F15" i="70"/>
  <c r="K16" i="70" a="1"/>
  <c r="K16" i="70" s="1"/>
  <c r="O17" i="70" a="1"/>
  <c r="O17" i="70" s="1"/>
  <c r="S18" i="70" a="1"/>
  <c r="S18" i="70" s="1"/>
  <c r="Y19" i="70"/>
  <c r="H19" i="70"/>
  <c r="M20" i="70" a="1"/>
  <c r="M20" i="70" s="1"/>
  <c r="Q21" i="70" a="1"/>
  <c r="Q21" i="70" s="1"/>
  <c r="H50" i="123"/>
  <c r="K12" i="70" a="1"/>
  <c r="K12" i="70" s="1"/>
  <c r="Y12" i="70"/>
  <c r="L13" i="70" a="1"/>
  <c r="L13" i="70" s="1"/>
  <c r="P14" i="70" a="1"/>
  <c r="P14" i="70" s="1"/>
  <c r="T15" i="70" a="1"/>
  <c r="T15" i="70" s="1"/>
  <c r="Z16" i="70"/>
  <c r="J16" i="70" a="1"/>
  <c r="J16" i="70" s="1"/>
  <c r="N17" i="70" a="1"/>
  <c r="N17" i="70" s="1"/>
  <c r="R18" i="70" a="1"/>
  <c r="R18" i="70" s="1"/>
  <c r="W19" i="70" a="1"/>
  <c r="W19" i="70" s="1"/>
  <c r="L20" i="70" a="1"/>
  <c r="L20" i="70" s="1"/>
  <c r="P21" i="70" a="1"/>
  <c r="P21" i="70" s="1"/>
  <c r="L12" i="70" a="1"/>
  <c r="L12" i="70" s="1"/>
  <c r="Z12" i="70"/>
  <c r="K13" i="70" a="1"/>
  <c r="K13" i="70" s="1"/>
  <c r="O14" i="70" a="1"/>
  <c r="O14" i="70" s="1"/>
  <c r="S15" i="70" a="1"/>
  <c r="S15" i="70" s="1"/>
  <c r="Y16" i="70"/>
  <c r="H16" i="70"/>
  <c r="M17" i="70" a="1"/>
  <c r="M17" i="70" s="1"/>
  <c r="Q18" i="70" a="1"/>
  <c r="Q18" i="70" s="1"/>
  <c r="U19" i="70" a="1"/>
  <c r="U19" i="70" s="1"/>
  <c r="F19" i="70"/>
  <c r="K20" i="70" a="1"/>
  <c r="K20" i="70" s="1"/>
  <c r="O21" i="70" a="1"/>
  <c r="O21" i="70" s="1"/>
  <c r="M12" i="70" a="1"/>
  <c r="M12" i="70" s="1"/>
  <c r="Z13" i="70"/>
  <c r="J13" i="70" a="1"/>
  <c r="J13" i="70" s="1"/>
  <c r="N14" i="70" a="1"/>
  <c r="N14" i="70" s="1"/>
  <c r="R15" i="70" a="1"/>
  <c r="R15" i="70" s="1"/>
  <c r="W16" i="70" a="1"/>
  <c r="W16" i="70" s="1"/>
  <c r="L17" i="70" a="1"/>
  <c r="L17" i="70" s="1"/>
  <c r="P18" i="70" a="1"/>
  <c r="P18" i="70" s="1"/>
  <c r="T19" i="70" a="1"/>
  <c r="T19" i="70" s="1"/>
  <c r="Z20" i="70"/>
  <c r="J20" i="70" a="1"/>
  <c r="J20" i="70" s="1"/>
  <c r="N21" i="70" a="1"/>
  <c r="N21" i="70" s="1"/>
  <c r="N12" i="70" a="1"/>
  <c r="N12" i="70" s="1"/>
  <c r="Y13" i="70"/>
  <c r="H13" i="70"/>
  <c r="I13" i="70" s="1"/>
  <c r="M14" i="70" a="1"/>
  <c r="M14" i="70" s="1"/>
  <c r="Q15" i="70" a="1"/>
  <c r="Q15" i="70" s="1"/>
  <c r="U16" i="70" a="1"/>
  <c r="U16" i="70" s="1"/>
  <c r="F16" i="70"/>
  <c r="K17" i="70" a="1"/>
  <c r="K17" i="70" s="1"/>
  <c r="O18" i="70" a="1"/>
  <c r="O18" i="70" s="1"/>
  <c r="S19" i="70" a="1"/>
  <c r="S19" i="70" s="1"/>
  <c r="Y20" i="70"/>
  <c r="H20" i="70"/>
  <c r="I20" i="70" s="1"/>
  <c r="M21" i="70" a="1"/>
  <c r="M21" i="70" s="1"/>
  <c r="O12" i="70" a="1"/>
  <c r="O12" i="70" s="1"/>
  <c r="W13" i="70" a="1"/>
  <c r="W13" i="70" s="1"/>
  <c r="L14" i="70" a="1"/>
  <c r="L14" i="70" s="1"/>
  <c r="P15" i="70" a="1"/>
  <c r="P15" i="70" s="1"/>
  <c r="T16" i="70" a="1"/>
  <c r="T16" i="70" s="1"/>
  <c r="Z17" i="70"/>
  <c r="J17" i="70" a="1"/>
  <c r="J17" i="70" s="1"/>
  <c r="N18" i="70" a="1"/>
  <c r="N18" i="70" s="1"/>
  <c r="R19" i="70" a="1"/>
  <c r="R19" i="70" s="1"/>
  <c r="W20" i="70" a="1"/>
  <c r="W20" i="70" s="1"/>
  <c r="L21" i="70" a="1"/>
  <c r="L21" i="70" s="1"/>
  <c r="P12" i="70" a="1"/>
  <c r="P12" i="70" s="1"/>
  <c r="U13" i="70" a="1"/>
  <c r="U13" i="70" s="1"/>
  <c r="F13" i="70"/>
  <c r="K14" i="70" a="1"/>
  <c r="K14" i="70" s="1"/>
  <c r="O15" i="70" a="1"/>
  <c r="O15" i="70" s="1"/>
  <c r="S16" i="70" a="1"/>
  <c r="S16" i="70" s="1"/>
  <c r="Y17" i="70"/>
  <c r="H17" i="70"/>
  <c r="I17" i="70" s="1"/>
  <c r="M18" i="70" a="1"/>
  <c r="M18" i="70" s="1"/>
  <c r="Q19" i="70" a="1"/>
  <c r="Q19" i="70" s="1"/>
  <c r="U20" i="70" a="1"/>
  <c r="U20" i="70" s="1"/>
  <c r="F20" i="70"/>
  <c r="K21" i="70" a="1"/>
  <c r="K21" i="70" s="1"/>
  <c r="Q12" i="70" a="1"/>
  <c r="Q12" i="70" s="1"/>
  <c r="T13" i="70" a="1"/>
  <c r="T13" i="70" s="1"/>
  <c r="Z14" i="70"/>
  <c r="J14" i="70" a="1"/>
  <c r="J14" i="70" s="1"/>
  <c r="N15" i="70" a="1"/>
  <c r="N15" i="70" s="1"/>
  <c r="R16" i="70" a="1"/>
  <c r="R16" i="70" s="1"/>
  <c r="W17" i="70" a="1"/>
  <c r="W17" i="70" s="1"/>
  <c r="L18" i="70" a="1"/>
  <c r="L18" i="70" s="1"/>
  <c r="P19" i="70" a="1"/>
  <c r="P19" i="70" s="1"/>
  <c r="T20" i="70" a="1"/>
  <c r="T20" i="70" s="1"/>
  <c r="Z21" i="70"/>
  <c r="J21" i="70" a="1"/>
  <c r="J21" i="70" s="1"/>
  <c r="R12" i="70" a="1"/>
  <c r="R12" i="70" s="1"/>
  <c r="S13" i="70" a="1"/>
  <c r="S13" i="70" s="1"/>
  <c r="Y14" i="70"/>
  <c r="H14" i="70"/>
  <c r="M15" i="70" a="1"/>
  <c r="M15" i="70" s="1"/>
  <c r="Q16" i="70" a="1"/>
  <c r="Q16" i="70" s="1"/>
  <c r="U17" i="70" a="1"/>
  <c r="U17" i="70" s="1"/>
  <c r="F17" i="70"/>
  <c r="K18" i="70" a="1"/>
  <c r="K18" i="70" s="1"/>
  <c r="O19" i="70" a="1"/>
  <c r="O19" i="70" s="1"/>
  <c r="S20" i="70" a="1"/>
  <c r="S20" i="70" s="1"/>
  <c r="Y21" i="70"/>
  <c r="H21" i="70"/>
  <c r="I21" i="70" s="1"/>
  <c r="S12" i="70" a="1"/>
  <c r="S12" i="70" s="1"/>
  <c r="R13" i="70" a="1"/>
  <c r="R13" i="70" s="1"/>
  <c r="W14" i="70" a="1"/>
  <c r="W14" i="70" s="1"/>
  <c r="L15" i="70" a="1"/>
  <c r="L15" i="70" s="1"/>
  <c r="P16" i="70" a="1"/>
  <c r="P16" i="70" s="1"/>
  <c r="T17" i="70" a="1"/>
  <c r="T17" i="70" s="1"/>
  <c r="Z18" i="70"/>
  <c r="J18" i="70" a="1"/>
  <c r="J18" i="70" s="1"/>
  <c r="N19" i="70" a="1"/>
  <c r="N19" i="70" s="1"/>
  <c r="R20" i="70" a="1"/>
  <c r="R20" i="70" s="1"/>
  <c r="W21" i="70" a="1"/>
  <c r="W21" i="70" s="1"/>
  <c r="H52" i="123"/>
  <c r="T12" i="70" a="1"/>
  <c r="T12" i="70" s="1"/>
  <c r="Q13" i="70" a="1"/>
  <c r="Q13" i="70" s="1"/>
  <c r="U14" i="70" a="1"/>
  <c r="U14" i="70" s="1"/>
  <c r="F14" i="70"/>
  <c r="K15" i="70" a="1"/>
  <c r="K15" i="70" s="1"/>
  <c r="O16" i="70" a="1"/>
  <c r="O16" i="70" s="1"/>
  <c r="S17" i="70" a="1"/>
  <c r="S17" i="70" s="1"/>
  <c r="Y18" i="70"/>
  <c r="H18" i="70"/>
  <c r="M19" i="70" a="1"/>
  <c r="M19" i="70" s="1"/>
  <c r="Q20" i="70" a="1"/>
  <c r="Q20" i="70" s="1"/>
  <c r="U21" i="70" a="1"/>
  <c r="U21" i="70" s="1"/>
  <c r="H53" i="123"/>
  <c r="I18" i="70"/>
  <c r="I19" i="70"/>
  <c r="I16" i="70"/>
  <c r="I15" i="70"/>
  <c r="I14" i="70"/>
  <c r="E29" i="15"/>
  <c r="E13" i="15"/>
  <c r="H56" i="70"/>
  <c r="H55" i="70"/>
  <c r="H54" i="70"/>
  <c r="F44" i="70"/>
  <c r="F43" i="70"/>
  <c r="F42" i="70"/>
  <c r="F27" i="70"/>
  <c r="F26" i="70"/>
  <c r="F25" i="70"/>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I60" i="116"/>
  <c r="I59" i="116"/>
  <c r="I58" i="116"/>
  <c r="I18" i="116"/>
  <c r="I17" i="116"/>
  <c r="I16" i="116"/>
  <c r="J53" i="115"/>
  <c r="J52" i="115"/>
  <c r="I128" i="115"/>
  <c r="I127" i="115"/>
  <c r="K47" i="113"/>
  <c r="I52" i="74"/>
  <c r="S83" i="69"/>
  <c r="S81" i="69"/>
  <c r="S80" i="69"/>
  <c r="I54" i="69"/>
  <c r="I52" i="69"/>
  <c r="E83" i="116"/>
  <c r="X12" i="70" l="1"/>
  <c r="G44" i="70"/>
  <c r="K44" i="70"/>
  <c r="G27" i="70"/>
  <c r="G56" i="70"/>
  <c r="I56" i="70"/>
  <c r="I129" i="115" l="1"/>
  <c r="K48" i="113"/>
  <c r="I55" i="69"/>
  <c r="J54" i="115"/>
  <c r="S84" i="69"/>
  <c r="J56" i="70"/>
  <c r="G43" i="70" l="1"/>
  <c r="K43" i="70"/>
  <c r="K42" i="70"/>
  <c r="D38" i="110" a="1"/>
  <c r="D38" i="110" s="1"/>
  <c r="E38" i="110" a="1"/>
  <c r="E38" i="110" s="1"/>
  <c r="F38" i="110" a="1"/>
  <c r="F38" i="110" s="1"/>
  <c r="G38" i="110" a="1"/>
  <c r="G38" i="110" s="1"/>
  <c r="H38" i="110" a="1"/>
  <c r="H38" i="110" s="1"/>
  <c r="I38" i="110" a="1"/>
  <c r="I38" i="110" s="1"/>
  <c r="G26"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D78" i="110" a="1"/>
  <c r="D78" i="110" s="1"/>
  <c r="D77" i="110" a="1"/>
  <c r="D77" i="110" s="1"/>
  <c r="D76" i="110" a="1"/>
  <c r="D76" i="110" s="1"/>
  <c r="E7" i="116" a="1"/>
  <c r="E49" i="116" a="1"/>
  <c r="I57" i="116" l="1"/>
  <c r="I15" i="116"/>
  <c r="E49" i="116"/>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55" i="70"/>
  <c r="I55" i="70"/>
  <c r="G54"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38" i="113" a="1"/>
  <c r="E118" i="115" a="1"/>
  <c r="E7" i="114" a="1"/>
  <c r="E7" i="115" a="1"/>
  <c r="E7" i="113" a="1"/>
  <c r="E90" i="115" a="1"/>
  <c r="E43" i="115" a="1"/>
  <c r="D66" i="116" l="1"/>
  <c r="D67" i="116"/>
  <c r="E105" i="115"/>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55" i="70"/>
  <c r="E65" i="116" l="1"/>
  <c r="E102" i="115"/>
  <c r="F102" i="115" s="1" a="1"/>
  <c r="F102" i="115" s="1"/>
  <c r="E134" i="115" s="1"/>
  <c r="I22" i="113" a="1"/>
  <c r="I22" i="113" s="1"/>
  <c r="I21" i="113" a="1"/>
  <c r="I21" i="113" s="1"/>
  <c r="E66" i="116" l="1"/>
  <c r="E103" i="115"/>
  <c r="F103" i="115" s="1" a="1"/>
  <c r="F103" i="115" s="1"/>
  <c r="E135" i="115" s="1"/>
  <c r="E67" i="116"/>
  <c r="E104" i="115"/>
  <c r="F104" i="115" s="1" a="1"/>
  <c r="F104" i="115" s="1"/>
  <c r="E136" i="115" s="1"/>
  <c r="E32" i="113"/>
  <c r="K44" i="113" s="1"/>
  <c r="G13" i="113" a="1"/>
  <c r="G13" i="113" s="1"/>
  <c r="D13" i="113" a="1"/>
  <c r="E11" i="113" a="1"/>
  <c r="E11" i="113" s="1"/>
  <c r="F32" i="113" s="1"/>
  <c r="E10" i="113" a="1"/>
  <c r="E10" i="113" s="1"/>
  <c r="D6" i="113" a="1"/>
  <c r="D6" i="113" s="1"/>
  <c r="D5" i="113" a="1"/>
  <c r="D5" i="113" s="1"/>
  <c r="F60" i="110" a="1"/>
  <c r="F60" i="110" s="1"/>
  <c r="E60" i="110" a="1"/>
  <c r="E60" i="110" s="1"/>
  <c r="I50" i="74"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77" i="69" a="1"/>
  <c r="S77" i="69" s="1"/>
  <c r="Q77" i="69" a="1"/>
  <c r="Q77" i="69" s="1"/>
  <c r="E43" i="74" a="1"/>
  <c r="D13" i="113" l="1"/>
  <c r="E43" i="74"/>
  <c r="I49" i="69" l="1" a="1"/>
  <c r="I49" i="69" s="1"/>
  <c r="G49" i="69" a="1"/>
  <c r="G49" i="69" s="1"/>
  <c r="I14" i="69" a="1"/>
  <c r="I14" i="69" s="1"/>
  <c r="I13" i="69" a="1"/>
  <c r="I13" i="69" s="1"/>
  <c r="G13" i="69" a="1"/>
  <c r="G13" i="69" s="1"/>
  <c r="I53" i="69" l="1"/>
  <c r="D49" i="74" a="1"/>
  <c r="D49" i="74" s="1"/>
  <c r="E47" i="74" a="1"/>
  <c r="E47" i="74" s="1"/>
  <c r="E46" i="74" a="1"/>
  <c r="E46" i="74" s="1"/>
  <c r="D42" i="74" a="1"/>
  <c r="D42" i="74" s="1"/>
  <c r="D41" i="74" a="1"/>
  <c r="D41" i="74" s="1"/>
  <c r="M69" i="69" a="1"/>
  <c r="M69" i="69" s="1"/>
  <c r="N75" i="69" a="1"/>
  <c r="N75" i="69" s="1"/>
  <c r="N74" i="69" a="1"/>
  <c r="N74" i="69" s="1"/>
  <c r="D13" i="74" a="1"/>
  <c r="D13" i="74" s="1"/>
  <c r="E11" i="74" a="1"/>
  <c r="E11" i="74" s="1"/>
  <c r="E10" i="74" a="1"/>
  <c r="E10" i="74" s="1"/>
  <c r="D6" i="74" a="1"/>
  <c r="D6" i="74" s="1"/>
  <c r="D5" i="74" a="1"/>
  <c r="D5" i="74" s="1"/>
  <c r="M77" i="69" a="1"/>
  <c r="M77" i="69" s="1"/>
  <c r="M68" i="69" a="1"/>
  <c r="M68" i="69" s="1"/>
  <c r="D49" i="69" a="1"/>
  <c r="D49"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54" i="70"/>
  <c r="G42" i="70"/>
  <c r="E25" i="114" s="1" a="1"/>
  <c r="E25" i="114" s="1"/>
  <c r="O113" i="69" a="1"/>
  <c r="O113" i="69" s="1"/>
  <c r="M110" i="69" a="1"/>
  <c r="M110" i="69" s="1"/>
  <c r="N97" i="69" a="1"/>
  <c r="N97" i="69" s="1"/>
  <c r="N87" i="69" a="1"/>
  <c r="N87" i="69" s="1"/>
  <c r="N55" i="69" a="1"/>
  <c r="N55" i="69" s="1"/>
  <c r="N45" i="69" a="1"/>
  <c r="N45" i="69" s="1"/>
  <c r="F85" i="69" a="1"/>
  <c r="F85" i="69" s="1"/>
  <c r="D82" i="69" a="1"/>
  <c r="D82" i="69" s="1"/>
  <c r="E42" i="69" a="1"/>
  <c r="N70" i="69" a="1"/>
  <c r="E7" i="74" a="1"/>
  <c r="F58" i="74" l="1"/>
  <c r="F78" i="74"/>
  <c r="J54" i="70"/>
  <c r="E7" i="74"/>
  <c r="N70" i="69"/>
  <c r="E42"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10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5" i="70"/>
  <c r="P55" i="69" a="1"/>
  <c r="F80" i="69"/>
  <c r="E7" i="69"/>
  <c r="P55" i="69" l="1"/>
  <c r="E146" i="115"/>
  <c r="E31" i="114"/>
  <c r="P45" i="69"/>
  <c r="G148" i="115" l="1"/>
  <c r="E151" i="115" s="1" a="1"/>
  <c r="E151" i="115" s="1"/>
  <c r="E12" i="13"/>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I37" i="110" l="1"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34" i="70" l="1"/>
  <c r="P33" i="70"/>
  <c r="P32" i="70"/>
  <c r="P31" i="70"/>
  <c r="P30" i="70"/>
  <c r="P29" i="70"/>
  <c r="P28" i="70"/>
  <c r="V16" i="70"/>
  <c r="X16" i="70" s="1"/>
  <c r="V15" i="70"/>
  <c r="X15" i="70" s="1"/>
  <c r="V21" i="70"/>
  <c r="X21" i="70" s="1"/>
  <c r="V14" i="70"/>
  <c r="X14" i="70" s="1"/>
  <c r="V12" i="70"/>
  <c r="V20" i="70"/>
  <c r="X20" i="70" s="1"/>
  <c r="V13" i="70"/>
  <c r="X13" i="70" s="1"/>
  <c r="V18" i="70"/>
  <c r="X18" i="70" s="1"/>
  <c r="V17" i="70"/>
  <c r="X17" i="70" s="1"/>
  <c r="V19" i="70"/>
  <c r="X19" i="70" s="1"/>
  <c r="P27" i="70"/>
  <c r="P26" i="70"/>
  <c r="D23" i="116" a="1"/>
  <c r="D23" i="116" s="1"/>
  <c r="D59" i="115" a="1"/>
  <c r="D59" i="115" s="1"/>
  <c r="D19" i="115" a="1"/>
  <c r="F37" i="115" s="1" a="1"/>
  <c r="F37" i="115" s="1"/>
  <c r="G37" i="115" s="1" a="1"/>
  <c r="G37" i="115" s="1"/>
  <c r="P25" i="70"/>
  <c r="D58" i="74" a="1"/>
  <c r="D58" i="74" s="1"/>
  <c r="D60" i="69" a="1"/>
  <c r="D60" i="69" s="1"/>
  <c r="D19" i="74" a="1"/>
  <c r="F37" i="74" s="1" a="1"/>
  <c r="F37" i="74" s="1"/>
  <c r="D19" i="69" a="1"/>
  <c r="F37" i="69" s="1" a="1"/>
  <c r="F37" i="69" s="1"/>
  <c r="O55" i="69" l="1"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V59" i="69" l="1" a="1"/>
  <c r="V59" i="69" s="1"/>
  <c r="S59" i="69" a="1"/>
  <c r="S59" i="69" s="1"/>
  <c r="T59" i="69"/>
  <c r="U59" i="69" s="1"/>
  <c r="R59" i="69" a="1"/>
  <c r="R59" i="69" s="1"/>
  <c r="Q59" i="69"/>
  <c r="T58" i="69"/>
  <c r="U58" i="69" s="1"/>
  <c r="V58" i="69" a="1"/>
  <c r="V58" i="69" s="1"/>
  <c r="S58" i="69" a="1"/>
  <c r="S58" i="69" s="1"/>
  <c r="R58" i="69" a="1"/>
  <c r="R58" i="69" s="1"/>
  <c r="Q58" i="69"/>
  <c r="E31" i="69" a="1"/>
  <c r="E31" i="69" s="1"/>
  <c r="G31" i="69" s="1" a="1"/>
  <c r="G31" i="69" s="1"/>
  <c r="E28" i="69" a="1"/>
  <c r="E28" i="69" s="1"/>
  <c r="G28" i="69" s="1" a="1"/>
  <c r="G28" i="69" s="1"/>
  <c r="E33" i="69" a="1"/>
  <c r="E33" i="69" s="1"/>
  <c r="G33" i="69" s="1" a="1"/>
  <c r="G33" i="69" s="1"/>
  <c r="E30" i="69" a="1"/>
  <c r="E30" i="69" s="1"/>
  <c r="G30" i="69" s="1" a="1"/>
  <c r="G30" i="69" s="1"/>
  <c r="E34" i="69" a="1"/>
  <c r="E34" i="69" s="1"/>
  <c r="G34" i="69" s="1" a="1"/>
  <c r="G34" i="69" s="1"/>
  <c r="E20" i="69" a="1"/>
  <c r="E20" i="69" s="1"/>
  <c r="G20" i="69" s="1" a="1"/>
  <c r="G20" i="69" s="1"/>
  <c r="E23" i="69" a="1"/>
  <c r="E23" i="69" s="1"/>
  <c r="G23" i="69" s="1" a="1"/>
  <c r="G23" i="69" s="1"/>
  <c r="E36" i="69" a="1"/>
  <c r="E36" i="69" s="1"/>
  <c r="G36" i="69" s="1" a="1"/>
  <c r="G36" i="69" s="1"/>
  <c r="E37" i="69" a="1"/>
  <c r="E37" i="69" s="1"/>
  <c r="G37" i="69" s="1" a="1"/>
  <c r="G37" i="69" s="1"/>
  <c r="E25" i="69" a="1"/>
  <c r="E25" i="69" s="1"/>
  <c r="G25" i="69" s="1" a="1"/>
  <c r="G25" i="69" s="1"/>
  <c r="E27" i="69" a="1"/>
  <c r="E27" i="69" s="1"/>
  <c r="G27" i="69" s="1" a="1"/>
  <c r="G27" i="69" s="1"/>
  <c r="E35" i="69" a="1"/>
  <c r="E35" i="69" s="1"/>
  <c r="G35" i="69" s="1" a="1"/>
  <c r="G35" i="69" s="1"/>
  <c r="E30" i="74" a="1"/>
  <c r="E30" i="74" s="1"/>
  <c r="G30" i="74" s="1" a="1"/>
  <c r="G30" i="74" s="1"/>
  <c r="E69" i="74" s="1" a="1"/>
  <c r="E69" i="74" s="1"/>
  <c r="E29" i="69" a="1"/>
  <c r="E29" i="69" s="1"/>
  <c r="G29" i="69" s="1" a="1"/>
  <c r="G29" i="69" s="1"/>
  <c r="E32" i="69" a="1"/>
  <c r="E32" i="69" s="1"/>
  <c r="G32" i="69" s="1" a="1"/>
  <c r="G32" i="69" s="1"/>
  <c r="E24" i="69" a="1"/>
  <c r="E24" i="69" s="1"/>
  <c r="G24" i="69" s="1" a="1"/>
  <c r="G24" i="69" s="1"/>
  <c r="E26" i="69" a="1"/>
  <c r="E26" i="69" s="1"/>
  <c r="G26" i="69" s="1" a="1"/>
  <c r="G26" i="69" s="1"/>
  <c r="E21" i="69" a="1"/>
  <c r="E21" i="69" s="1"/>
  <c r="G21" i="69" s="1" a="1"/>
  <c r="G21" i="69" s="1"/>
  <c r="E22" i="69" a="1"/>
  <c r="E22" i="69" s="1"/>
  <c r="G22" i="69" s="1" a="1"/>
  <c r="G22" i="69" s="1"/>
  <c r="E19" i="69" a="1"/>
  <c r="E19" i="69" s="1"/>
  <c r="G19" i="69" s="1" a="1"/>
  <c r="G19" i="69" s="1"/>
  <c r="T57" i="69"/>
  <c r="U57" i="69" s="1"/>
  <c r="Q57" i="69"/>
  <c r="S57" i="69" a="1"/>
  <c r="S57" i="69" s="1"/>
  <c r="R57" i="69" a="1"/>
  <c r="R57" i="69" s="1"/>
  <c r="E37" i="74" a="1"/>
  <c r="E37" i="74" s="1"/>
  <c r="G37" i="74" s="1" a="1"/>
  <c r="G37" i="74" s="1"/>
  <c r="E76" i="74" s="1" a="1"/>
  <c r="E76" i="74" s="1"/>
  <c r="E22" i="74" a="1"/>
  <c r="E22" i="74" s="1"/>
  <c r="G22" i="74" s="1" a="1"/>
  <c r="G22" i="74" s="1"/>
  <c r="E61" i="74" s="1" a="1"/>
  <c r="E61" i="74" s="1"/>
  <c r="E19" i="74" a="1"/>
  <c r="E19" i="74" s="1"/>
  <c r="G19" i="74" s="1" a="1"/>
  <c r="G19" i="74" s="1"/>
  <c r="E58" i="74" s="1" a="1"/>
  <c r="E58" i="74" s="1"/>
  <c r="E31" i="74" a="1"/>
  <c r="E31" i="74" s="1"/>
  <c r="G31" i="74" s="1" a="1"/>
  <c r="G31" i="74" s="1"/>
  <c r="E70" i="74" s="1" a="1"/>
  <c r="E70" i="74" s="1"/>
  <c r="E35" i="74" a="1"/>
  <c r="E35" i="74" s="1"/>
  <c r="G35" i="74" s="1" a="1"/>
  <c r="G35" i="74" s="1"/>
  <c r="E74" i="74" s="1" a="1"/>
  <c r="E74" i="74" s="1"/>
  <c r="E33" i="74" a="1"/>
  <c r="E33" i="74" s="1"/>
  <c r="G33" i="74" s="1" a="1"/>
  <c r="G33" i="74" s="1"/>
  <c r="E72" i="74" s="1" a="1"/>
  <c r="E72" i="74" s="1"/>
  <c r="E34" i="74" a="1"/>
  <c r="E34" i="74" s="1"/>
  <c r="G34" i="74" s="1" a="1"/>
  <c r="G34" i="74" s="1"/>
  <c r="E73" i="74" s="1" a="1"/>
  <c r="E73" i="74" s="1"/>
  <c r="E26" i="74" a="1"/>
  <c r="E26" i="74" s="1"/>
  <c r="G26" i="74" s="1" a="1"/>
  <c r="G26" i="74" s="1"/>
  <c r="E65" i="74" s="1" a="1"/>
  <c r="E65" i="74" s="1"/>
  <c r="E21" i="74" a="1"/>
  <c r="E21" i="74" s="1"/>
  <c r="G21" i="74" s="1" a="1"/>
  <c r="G21" i="74" s="1"/>
  <c r="E60" i="74" s="1" a="1"/>
  <c r="E60" i="74" s="1"/>
  <c r="E28" i="74" a="1"/>
  <c r="E28" i="74" s="1"/>
  <c r="G28" i="74" s="1" a="1"/>
  <c r="G28" i="74" s="1"/>
  <c r="E67" i="74" s="1" a="1"/>
  <c r="E67" i="74"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E20" i="74" a="1"/>
  <c r="E20" i="74" s="1"/>
  <c r="G20" i="74" s="1" a="1"/>
  <c r="G20" i="74" s="1"/>
  <c r="E59" i="74" s="1" a="1"/>
  <c r="E59" i="74" s="1"/>
  <c r="E27" i="74" a="1"/>
  <c r="E27" i="74" s="1"/>
  <c r="G27" i="74" s="1" a="1"/>
  <c r="G27" i="74" s="1"/>
  <c r="E66" i="74" s="1" a="1"/>
  <c r="E66" i="74" s="1"/>
  <c r="E24" i="74" a="1"/>
  <c r="E24" i="74" s="1"/>
  <c r="G24" i="74" s="1" a="1"/>
  <c r="G24" i="74" s="1"/>
  <c r="E63" i="74" s="1" a="1"/>
  <c r="E63" i="74" s="1"/>
  <c r="O55" i="69"/>
  <c r="Q56" i="69"/>
  <c r="T56" i="69"/>
  <c r="U56" i="69" s="1"/>
  <c r="S56" i="69" a="1"/>
  <c r="S56" i="69" s="1"/>
  <c r="R56" i="69" a="1"/>
  <c r="R56" i="69" s="1"/>
  <c r="O45" i="69" a="1"/>
  <c r="E21" i="115" l="1"/>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7" i="69" a="1"/>
  <c r="V57" i="69" s="1"/>
  <c r="S49" i="69" a="1"/>
  <c r="S49" i="69" s="1"/>
  <c r="T49" i="69"/>
  <c r="U49" i="69" s="1"/>
  <c r="R49" i="69" a="1"/>
  <c r="R49" i="69" s="1"/>
  <c r="Q49" i="69"/>
  <c r="R48" i="69" a="1"/>
  <c r="R48" i="69" s="1"/>
  <c r="T48" i="69"/>
  <c r="U48" i="69" s="1"/>
  <c r="S48" i="69" a="1"/>
  <c r="S48" i="69" s="1"/>
  <c r="Q48" i="69"/>
  <c r="S47" i="69" a="1"/>
  <c r="S47" i="69" s="1"/>
  <c r="T55" i="69"/>
  <c r="U55" i="69" s="1"/>
  <c r="E78" i="74"/>
  <c r="S55" i="69" a="1"/>
  <c r="S55" i="69" s="1"/>
  <c r="R55" i="69" a="1"/>
  <c r="R55" i="69" s="1"/>
  <c r="Q55" i="69"/>
  <c r="V56" i="69" a="1"/>
  <c r="V56" i="69" s="1"/>
  <c r="Q46" i="69"/>
  <c r="T46" i="69"/>
  <c r="U46" i="69" s="1"/>
  <c r="S46" i="69" a="1"/>
  <c r="S46" i="69" s="1"/>
  <c r="R46" i="69" a="1"/>
  <c r="R46" i="69" s="1"/>
  <c r="T47" i="69"/>
  <c r="U47" i="69" s="1"/>
  <c r="O45" i="69"/>
  <c r="R47" i="69" a="1"/>
  <c r="R47" i="69" s="1"/>
  <c r="Q47" i="69"/>
  <c r="E43" i="116" l="1"/>
  <c r="J89" i="116" s="1"/>
  <c r="E94" i="116" s="1" a="1"/>
  <c r="E94" i="116" s="1"/>
  <c r="E10" i="13"/>
  <c r="F10" i="13" s="1"/>
  <c r="H10" i="13"/>
  <c r="I10" i="13" s="1"/>
  <c r="V48" i="69" a="1"/>
  <c r="V48" i="69" s="1"/>
  <c r="V49" i="69" a="1"/>
  <c r="V49" i="69" s="1"/>
  <c r="S45" i="69" a="1"/>
  <c r="S45" i="69" s="1"/>
  <c r="V55" i="69" a="1"/>
  <c r="V55" i="69" s="1"/>
  <c r="E79" i="115"/>
  <c r="G81" i="115" s="1"/>
  <c r="T45" i="69"/>
  <c r="U45" i="69" s="1"/>
  <c r="Q45" i="69"/>
  <c r="R45" i="69" a="1"/>
  <c r="R45" i="69" s="1"/>
  <c r="V46" i="69" a="1"/>
  <c r="V46" i="69" s="1"/>
  <c r="V47" i="69" a="1"/>
  <c r="V47" i="69" s="1"/>
  <c r="E78" i="69" a="1"/>
  <c r="E78" i="69" s="1"/>
  <c r="E14" i="13" l="1"/>
  <c r="F14" i="13" s="1"/>
  <c r="G96" i="116"/>
  <c r="E99" i="116" s="1" a="1"/>
  <c r="E99" i="116" s="1"/>
  <c r="H14" i="13" s="1"/>
  <c r="I14" i="13" s="1"/>
  <c r="E13" i="13"/>
  <c r="F13" i="13" s="1"/>
  <c r="E84" i="115"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78" i="69" a="1"/>
  <c r="S78" i="69" s="1"/>
  <c r="E50" i="113" a="1"/>
  <c r="E50" i="113" s="1"/>
  <c r="O99" i="69" l="1" a="1"/>
  <c r="O99" i="69" s="1"/>
  <c r="P99" i="69" s="1" a="1"/>
  <c r="P99" i="69" s="1"/>
  <c r="O98" i="69" a="1"/>
  <c r="O98" i="69" s="1"/>
  <c r="O97" i="69" a="1"/>
  <c r="O97" i="69" s="1"/>
  <c r="O87" i="69" a="1"/>
  <c r="O87" i="69" s="1"/>
  <c r="P87" i="69" s="1" a="1"/>
  <c r="P87" i="69" s="1"/>
  <c r="O101" i="69" a="1"/>
  <c r="O101" i="69" s="1"/>
  <c r="P101" i="69" s="1" a="1"/>
  <c r="P101" i="69" s="1"/>
  <c r="O100" i="69" a="1"/>
  <c r="O100" i="69" s="1"/>
  <c r="P100" i="69" s="1" a="1"/>
  <c r="P100" i="69" s="1"/>
  <c r="O105" i="69" a="1"/>
  <c r="O105" i="69" s="1"/>
  <c r="P105" i="69" s="1" a="1"/>
  <c r="P105" i="69" s="1"/>
  <c r="O94" i="69" a="1"/>
  <c r="O94" i="69" s="1"/>
  <c r="P94" i="69" s="1" a="1"/>
  <c r="P94" i="69" s="1"/>
  <c r="O104" i="69" a="1"/>
  <c r="O104" i="69" s="1"/>
  <c r="P104" i="69" s="1" a="1"/>
  <c r="P104" i="69" s="1"/>
  <c r="O93" i="69" a="1"/>
  <c r="O93" i="69" s="1"/>
  <c r="P93" i="69" s="1" a="1"/>
  <c r="P93" i="69" s="1"/>
  <c r="O88" i="69" a="1"/>
  <c r="O88" i="69" s="1"/>
  <c r="P88" i="69" s="1" a="1"/>
  <c r="P88" i="69" s="1"/>
  <c r="O96" i="69" a="1"/>
  <c r="O96" i="69" s="1"/>
  <c r="P96" i="69" s="1" a="1"/>
  <c r="P96" i="69" s="1"/>
  <c r="O89" i="69" a="1"/>
  <c r="O89" i="69" s="1"/>
  <c r="P89" i="69" s="1" a="1"/>
  <c r="P89" i="69" s="1"/>
  <c r="O90" i="69" a="1"/>
  <c r="O90" i="69" s="1"/>
  <c r="P90" i="69" s="1" a="1"/>
  <c r="P90" i="69" s="1"/>
  <c r="O103" i="69" a="1"/>
  <c r="O103" i="69" s="1"/>
  <c r="P103" i="69" s="1" a="1"/>
  <c r="P103" i="69" s="1"/>
  <c r="O106" i="69" a="1"/>
  <c r="O106" i="69" s="1"/>
  <c r="P106" i="69" s="1" a="1"/>
  <c r="P106" i="69" s="1"/>
  <c r="O95" i="69" a="1"/>
  <c r="O95" i="69" s="1"/>
  <c r="P95" i="69" s="1" a="1"/>
  <c r="P95" i="69" s="1"/>
  <c r="O92" i="69" a="1"/>
  <c r="O92" i="69" s="1"/>
  <c r="P92" i="69" s="1" a="1"/>
  <c r="P92" i="69" s="1"/>
  <c r="O102" i="69" a="1"/>
  <c r="O102" i="69" s="1"/>
  <c r="P102" i="69" s="1" a="1"/>
  <c r="P102" i="69" s="1"/>
  <c r="O91" i="69" a="1"/>
  <c r="O91" i="69" s="1"/>
  <c r="P91" i="69" s="1" a="1"/>
  <c r="P91" i="69" s="1"/>
  <c r="E11" i="13"/>
  <c r="F11" i="13" s="1"/>
  <c r="G52" i="113"/>
  <c r="E55" i="113" s="1" a="1"/>
  <c r="E55" i="113" s="1"/>
  <c r="H11" i="13" s="1"/>
  <c r="I11" i="13" s="1"/>
  <c r="E80" i="69"/>
  <c r="P98" i="69" a="1"/>
  <c r="P98" i="69" s="1"/>
  <c r="P97" i="69" a="1"/>
  <c r="P97" i="69" s="1"/>
  <c r="N108" i="69" l="1"/>
  <c r="E9" i="13"/>
  <c r="G82" i="69"/>
  <c r="E85" i="69" s="1" a="1"/>
  <c r="E85" i="69" s="1"/>
  <c r="H9" i="13" s="1"/>
  <c r="H15" i="13" s="1"/>
  <c r="F9" i="13" l="1"/>
  <c r="P110" i="69"/>
  <c r="N113" i="69" s="1" a="1"/>
  <c r="N113" i="69" s="1"/>
  <c r="I9" i="13" s="1"/>
  <c r="I15" i="13" s="1"/>
  <c r="D40"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<sst xmlns="http://schemas.openxmlformats.org/spreadsheetml/2006/main" count="631" uniqueCount="378">
  <si>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</si>
  <si>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</si>
  <si>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</si>
  <si>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</si>
  <si>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</si>
  <si>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</si>
  <si>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</si>
  <si>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</si>
  <si>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</si>
  <si>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</si>
  <si>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</si>
  <si>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</si>
  <si>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</si>
  <si>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</si>
  <si>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</si>
  <si>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</si>
  <si>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</si>
  <si>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</si>
  <si>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</si>
  <si>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</si>
  <si>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</si>
  <si>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</si>
  <si>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</si>
  <si>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</si>
  <si>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</si>
  <si>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</si>
  <si>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</si>
  <si>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</si>
  <si>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</si>
  <si>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</si>
  <si>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</si>
  <si>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</si>
  <si>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</si>
  <si>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</si>
  <si>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</si>
  <si>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</si>
  <si>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</si>
  <si>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</si>
  <si>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</si>
  <si>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</si>
  <si>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</si>
  <si>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</si>
  <si>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</si>
  <si>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</si>
  <si>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</si>
  <si>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</si>
  <si>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</si>
  <si>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</si>
  <si>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</si>
  <si>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</si>
  <si>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</si>
  <si>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</si>
  <si>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</si>
  <si>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</si>
  <si>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</si>
  <si>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</si>
  <si>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</si>
  <si>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</si>
  <si>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</si>
  <si>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</si>
  <si>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</si>
  <si>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</si>
  <si>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</si>
  <si>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</si>
  <si>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</si>
  <si>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</si>
  <si>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</si>
  <si>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</si>
  <si>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</si>
  <si>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</si>
  <si>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</si>
  <si>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</si>
  <si>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</si>
  <si>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</si>
  <si>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</si>
  <si>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</si>
  <si>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</si>
  <si>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</si>
  <si>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</si>
  <si>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</si>
  <si>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</si>
  <si>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</si>
  <si>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</si>
  <si>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</si>
  <si>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</si>
  <si>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</si>
  <si>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</si>
  <si>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</si>
  <si>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</si>
  <si>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</si>
  <si>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</si>
  <si>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</si>
  <si>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</si>
  <si>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</si>
  <si>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</si>
  <si>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</si>
  <si>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</si>
  <si>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</si>
  <si>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</si>
  <si>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</si>
  <si>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</si>
  <si>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</si>
  <si>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</si>
  <si>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</si>
  <si>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</si>
  <si>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</si>
  <si>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</si>
  <si>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</si>
  <si>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</si>
  <si>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</si>
  <si>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</si>
  <si>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</si>
  <si>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</si>
  <si>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</si>
  <si>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</si>
  <si>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</si>
  <si>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</si>
  <si>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</si>
  <si>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</si>
  <si>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</si>
  <si>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</si>
  <si>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</si>
  <si>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</si>
  <si>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</si>
  <si>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</si>
  <si>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</si>
  <si>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</si>
  <si>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</si>
  <si>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</si>
  <si>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</si>
  <si>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</si>
  <si>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</si>
  <si>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</si>
  <si>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</si>
  <si>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</si>
  <si>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</si>
  <si>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</si>
  <si>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</si>
  <si>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</si>
  <si>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</si>
  <si>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</si>
  <si>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</si>
  <si>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</si>
  <si>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</si>
  <si>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</si>
  <si>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</si>
  <si>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</si>
  <si>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</si>
  <si>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</si>
  <si>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</si>
  <si>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</si>
  <si>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</si>
  <si>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</si>
  <si>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</si>
  <si>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</si>
  <si>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</si>
  <si>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</si>
  <si>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</si>
  <si>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</si>
  <si>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</si>
  <si>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</si>
  <si>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</si>
  <si>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</si>
  <si>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</si>
  <si>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</si>
  <si>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</si>
  <si>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</si>
  <si>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</si>
  <si>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</si>
  <si>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</si>
  <si>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</si>
  <si>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</si>
  <si>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</si>
  <si>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</si>
  <si>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</si>
  <si>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</si>
  <si>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</si>
  <si>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</si>
  <si>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</si>
  <si>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</si>
  <si>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</si>
  <si>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</si>
  <si>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</si>
  <si>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</si>
  <si>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</si>
  <si>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</si>
  <si>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</si>
  <si>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</si>
  <si>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</si>
  <si>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</si>
  <si>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</si>
  <si>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</si>
  <si>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</si>
  <si>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</si>
  <si>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</si>
  <si>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</si>
  <si>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</si>
  <si>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</si>
  <si>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</si>
  <si>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</si>
  <si>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</si>
  <si>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</si>
  <si>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</si>
  <si>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</si>
  <si>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</si>
  <si>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</si>
  <si>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</si>
  <si>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</si>
  <si>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</si>
  <si>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</si>
  <si>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</si>
  <si>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</si>
  <si>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</si>
  <si>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</si>
  <si>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</si>
  <si>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</si>
  <si>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</si>
  <si>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</si>
  <si>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</si>
  <si>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</si>
  <si>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</si>
  <si>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</si>
  <si>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Ingredient 10 percent</t>
  </si>
  <si>
    <t>Company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</si>
  <si>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</si>
  <si>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</si>
  <si>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</si>
  <si>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</si>
  <si>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</si>
  <si>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</si>
  <si>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</si>
  <si>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</si>
  <si>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</si>
  <si>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</si>
  <si>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</si>
  <si>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</si>
  <si>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</si>
  <si>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</si>
  <si>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</si>
  <si>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</si>
  <si>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</si>
  <si>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</si>
  <si>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</si>
  <si>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</si>
  <si>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</si>
  <si>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</si>
  <si>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</si>
  <si>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</si>
  <si>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</si>
  <si>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</si>
  <si>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</si>
  <si>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</si>
  <si>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</si>
  <si>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</si>
  <si>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</si>
  <si>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</si>
  <si>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</si>
  <si>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</si>
  <si>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</si>
  <si>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</si>
  <si>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</si>
  <si>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</si>
  <si>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</si>
  <si>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</si>
  <si>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</si>
  <si>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</si>
  <si>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</si>
  <si>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</si>
  <si>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</si>
  <si>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</si>
  <si>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</si>
  <si>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</si>
  <si>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</si>
  <si>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</si>
  <si>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</si>
  <si>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</si>
  <si>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</si>
  <si>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</si>
  <si>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</si>
  <si>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</si>
  <si>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</si>
  <si>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</si>
  <si>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</si>
  <si>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</si>
  <si>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</si>
  <si>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</si>
  <si>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</si>
  <si>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</si>
  <si>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</si>
  <si>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</si>
  <si>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</si>
  <si>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</si>
  <si>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</si>
  <si>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</si>
  <si>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</si>
  <si>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</si>
  <si>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</si>
  <si>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</si>
  <si>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</si>
  <si>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</si>
  <si>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</si>
  <si>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</si>
  <si>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</si>
  <si>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</si>
  <si>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</si>
  <si>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</si>
  <si>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</si>
  <si>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</si>
  <si>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My second custom blend</t>
  </si>
  <si>
    <t>Urea</t>
  </si>
  <si>
    <r>
      <t xml:space="preserve">Amount applied </t>
    </r>
    <r>
      <rPr>
        <sz val="11"/>
        <color theme="1"/>
        <rFont val="Times New Roman"/>
        <family val="1"/>
      </rPr>
      <t>per hectare</t>
    </r>
  </si>
  <si>
    <t xml:space="preserve">Nitrogen - Generic </t>
  </si>
  <si>
    <t>My third custom blend</t>
  </si>
  <si>
    <t>Ammonia</t>
  </si>
  <si>
    <t>Lime product 3</t>
  </si>
  <si>
    <t>Input - Fertiliser Production System</t>
  </si>
  <si>
    <t>FNorganicf</t>
  </si>
  <si>
    <t>Contains inhibitor</t>
  </si>
  <si>
    <t>N declared</t>
  </si>
  <si>
    <t>P declared</t>
  </si>
  <si>
    <t>K declared</t>
  </si>
  <si>
    <t>S declared</t>
  </si>
  <si>
    <t>Ingredient 10</t>
  </si>
  <si>
    <t>% N (Ingredients)</t>
  </si>
  <si>
    <t>% N (declared)</t>
  </si>
  <si>
    <t>Method 2 prioritises the 'Declared N' value for branded fertiliser products, meaning the amount of N delcared by the manufacturer is used instead of the product ingredients and estimated amount of N for each ingredient.</t>
  </si>
  <si>
    <t>Organic fertiliser applications</t>
  </si>
  <si>
    <t>Boost-It</t>
  </si>
  <si>
    <t>Cal-Gran 50/50</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</si>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</sst>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
      <sz val="11"/>
      <color theme="1"/>
      <name val="Times New Roman"/>
      <family val="2"/>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5" borderId="2">
      <alignment horizontal="center" vertical="center"/>
    </xf>
    <xf numFmtId="0" fontId="57" fillId="16"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6" borderId="2" xfId="66">
      <alignment horizontal="center" vertical="center"/>
    </xf>
    <xf numFmtId="0" fontId="58"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4"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65" fillId="4" borderId="2" xfId="67">
      <alignment horizontal="left" vertical="center"/>
    </xf>
    <xf numFmtId="0" fontId="65"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0" fillId="0" borderId="0" xfId="0" applyAlignment="1">
      <alignment vertical="center" wrapText="1"/>
    </xf>
    <xf numFmtId="0" fontId="40" fillId="4" borderId="0" xfId="8" applyAlignment="1">
      <alignment horizontal="center" vertical="center" wrapText="1"/>
    </xf>
    <xf numFmtId="0" fontId="0" fillId="4" borderId="2" xfId="55" applyFont="1" applyAlignment="1">
      <alignment horizontal="center" vertical="center" wrapText="1"/>
    </xf>
    <xf numFmtId="4" fontId="70" fillId="0" borderId="2" xfId="18" applyFont="1" applyAlignment="1">
      <alignment horizontal="center" vertical="center" wrapText="1"/>
    </xf>
    <xf numFmtId="0" fontId="18" fillId="0" borderId="0" xfId="34"/>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15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57"/>
      <tableStyleElement type="headerRow" dxfId="156"/>
      <tableStyleElement type="totalRow" dxfId="155"/>
      <tableStyleElement type="firstColumn" dxfId="154"/>
      <tableStyleElement type="firstRowStripe" dxfId="153"/>
      <tableStyleElement type="secondRowStripe" dxfId="152"/>
    </tableStyle>
    <tableStyle name="Equation table" pivot="0" count="6" xr9:uid="{B247698E-E41D-4CCD-AA0A-C14817E9DE65}">
      <tableStyleElement type="wholeTable" dxfId="151"/>
      <tableStyleElement type="headerRow" dxfId="150"/>
      <tableStyleElement type="totalRow" dxfId="149"/>
      <tableStyleElement type="firstColumn" dxfId="148"/>
      <tableStyleElement type="firstRowStripe" dxfId="147"/>
      <tableStyleElement type="secondRowStripe" dxfId="146"/>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70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Z21" headerRowDxfId="108" dataDxfId="107" totalsRowDxfId="106">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D8E438D7-21E3-48DD-9144-E15C10C5819E}" name="Product (select)" dataDxfId="105" totalsRowDxfId="104" dataCellStyle="Input select"/>
    <tableColumn id="23" xr3:uid="{59B08BC3-EF27-48EB-BCEA-84F2987787EF}" name="Amount applied per hectare" totalsRowFunction="custom" dataDxfId="103" totalsRowDxfId="102">
      <totalsRowFormula>SUM(Table_Input_InorganicFertiliser_Brands[[#Headers],[#Data],[Amount applied per hectare]])</totalsRowFormula>
    </tableColumn>
    <tableColumn id="12" xr3:uid="{80233E62-DDAA-41E2-908D-8BF8A861A382}" name="Application unit" dataDxfId="101" totalsRowDxfId="100" dataCellStyle="Input number 2 decimal places">
      <calculatedColumnFormula>IFERROR(_xlfn.XLOOKUP(Table_Input_InorganicFertiliser_Brands[[#This Row],[Product (select)]],FertiliserProducts[Product],FertiliserProducts[Unit]), "kg")</calculatedColumnFormula>
    </tableColumn>
    <tableColumn id="6" xr3:uid="{6844C17C-E015-4F91-924B-1E5867E2DFCF}" name="Application area (ha)" dataDxfId="99" totalsRowDxfId="98">
      <calculatedColumnFormula>X_Cell_Fertiliser_AreaUnderCropping</calculatedColumnFormula>
    </tableColumn>
    <tableColumn id="9" xr3:uid="{AB2DBAEB-99CF-4592-ABB8-65CF9108B710}" name="Density" dataDxfId="97" totalsRowDxfId="96" dataCellStyle="Input number general calculated">
      <calculatedColumnFormula>IFERROR(_xlfn.XLOOKUP(Table_Input_InorganicFertiliser_Brands[[#This Row],[Product (select)]],FertiliserProducts[Product],FertiliserProducts[Density]), 1)</calculatedColumnFormula>
    </tableColumn>
    <tableColumn id="1" xr3:uid="{3BF774D0-ADA2-40B3-9242-8DFBBB9443B7}" name="Total applied (kg)" dataDxfId="95" totalsRowDxfId="94"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93" totalsRowDxfId="92"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FertiliserProducts[#Headers])</calculatedColumnFormula>
    </tableColumn>
    <tableColumn id="4" xr3:uid="{E044E44D-94BE-4206-90A4-BA1AC9629175}" name="Ingredient 1 percent" dataDxfId="91"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FertiliserProducts[#Headers])</calculatedColumnFormula>
    </tableColumn>
    <tableColumn id="7" xr3:uid="{658506A8-773F-406D-BF6E-4A595EC2B83E}" name="Ingredient 2" dataDxfId="90"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FertiliserProducts[#Headers])</calculatedColumnFormula>
    </tableColumn>
    <tableColumn id="8" xr3:uid="{14C6792D-E1B3-4C47-95A3-750975538DDF}" name="Ingredient 2 percent" dataDxfId="89" totalsRowDxfId="88"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FertiliserProducts[#Headers])</calculatedColumnFormula>
    </tableColumn>
    <tableColumn id="10" xr3:uid="{AAA6B0A4-09BF-4E94-A9FE-688D347CF7F0}" name="Ingredient 3" dataDxfId="87" totalsRowDxfId="86"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FertiliserProducts[#Headers])</calculatedColumnFormula>
    </tableColumn>
    <tableColumn id="11" xr3:uid="{A67D8906-DD6A-480D-A8F6-E0E2FD65B673}" name="Ingredient 3 percent" dataDxfId="85" totalsRowDxfId="84"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FertiliserProducts[#Headers])</calculatedColumnFormula>
    </tableColumn>
    <tableColumn id="13" xr3:uid="{239B3315-A1C7-4286-B68A-3639868C0EF9}" name="Ingredient 4" dataDxfId="83" totalsRowDxfId="82"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FertiliserProducts[#Headers])</calculatedColumnFormula>
    </tableColumn>
    <tableColumn id="14" xr3:uid="{E99F178D-5310-4698-B219-B1950B041870}" name="Ingredient 4 percent" dataDxfId="81"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FertiliserProducts[#Headers])</calculatedColumnFormula>
    </tableColumn>
    <tableColumn id="16" xr3:uid="{3E5AE9CD-D391-4137-B063-ACC476CDF5C0}" name="Ingredient 5" dataDxfId="80"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FertiliserProducts[#Headers])</calculatedColumnFormula>
    </tableColumn>
    <tableColumn id="17" xr3:uid="{7C4F06C2-A537-435A-A087-76B91A9DF178}" name="Ingredient 5 percent" dataDxfId="79"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FertiliserProducts[#Headers])</calculatedColumnFormula>
    </tableColumn>
    <tableColumn id="19" xr3:uid="{F29E9025-612B-444E-ABC6-F122293B67EE}" name="Ingredient 6" dataDxfId="78"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FertiliserProducts[#Headers])</calculatedColumnFormula>
    </tableColumn>
    <tableColumn id="20" xr3:uid="{890ECB12-1799-4587-AABE-EB26A9F59082}" name="Ingredient 6 percent" dataDxfId="77"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FertiliserProducts[#Headers])</calculatedColumnFormula>
    </tableColumn>
    <tableColumn id="21" xr3:uid="{4D98BF73-3DEC-4661-A944-CB5D56072769}" name="% N (Ingredients)" dataDxfId="76" dataCellStyle="Input number general calculated">
      <calculatedColumnFormul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22" xr3:uid="{C9B7B696-4CA7-49B2-92FF-4C4D6479F598}" name="% N (declared)" dataDxfId="75" dataCellStyle="Content normal">
      <calculatedColumnFormula array="1">IFERROR(Fertiliser_InputFunctions.Fertiliser_FertiliserProductLookup(Table_Input_InorganicFertiliser_Brands[[#This Row],[Product (select)]], "N declared", FertiliserProducts[#Data], FertiliserProducts[Product], FertiliserProducts[#Headers])*0.01, 0)</calculatedColumnFormula>
    </tableColumn>
    <tableColumn id="5" xr3:uid="{79855DE6-CD57-4A4D-9E7A-DBDBAC0C93A1}" name="N application rate (kg/ha)" dataDxfId="74" totalsRowDxfId="73"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04D06624-34AF-43FA-AED1-16453D87BC8D}" name="Urea source" dataDxfId="72" totalsRowDxfId="71" dataCellStyle="Input number general calculated">
      <calculatedColumnFormula>IFERROR(_xlfn.XLOOKUP(Table_Input_InorganicFertiliser_Brands[[#This Row],[Product (select)]],FertiliserProducts[Product],FertiliserProducts[Urea source]), "")</calculatedColumnFormula>
    </tableColumn>
    <tableColumn id="18" xr3:uid="{9BDAF438-9ABD-4279-A4F5-8BE0B2E60216}" name="Ammonia source" dataDxfId="70" totalsRowDxfId="69" dataCellStyle="Input number general calculated">
      <calculatedColumnFormula>IFERROR(_xlfn.XLOOKUP(Table_Input_InorganicFertiliser_Brands[[#This Row],[Product (select)]],FertiliserProducts[Product],FertiliserProducts[Ammonia source]), "")</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4:R34" totalsRowShown="0" headerRowDxfId="68" dataDxfId="67">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66"/>
    <tableColumn id="3" xr3:uid="{7EF8A17B-D965-4D18-A7A2-D90F9F680015}" name="Application area (ha)" dataDxfId="65" dataCellStyle="Input number 2 decimal places">
      <calculatedColumnFormula>X_Cell_Fertiliser_AreaUnderCropping</calculatedColumnFormula>
    </tableColumn>
    <tableColumn id="4" xr3:uid="{B5004E38-6D68-4E13-BED4-CB556D548532}" name="Total applied (kg)" dataDxfId="64"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63" dataCellStyle="Input select"/>
    <tableColumn id="6" xr3:uid="{E4FC8E72-0059-40E6-A5E8-C29893BBF371}" name="Ingredient 1 percent" dataDxfId="62"/>
    <tableColumn id="8" xr3:uid="{3568E299-41D5-4DA4-822C-91EFC2C68B68}" name="Ingredient 2" dataDxfId="61" dataCellStyle="Input select"/>
    <tableColumn id="9" xr3:uid="{9DFD8E7A-8101-4927-89BF-3E994EB31F96}" name="Ingredient 2 percent" dataDxfId="60"/>
    <tableColumn id="11" xr3:uid="{A7F2C8C6-1FC3-42D4-A36B-254F6E195571}" name="Ingredient 3" dataDxfId="59" dataCellStyle="Input select"/>
    <tableColumn id="12" xr3:uid="{43F6AA9D-3E97-4BA6-8E27-81AE530E1428}" name="Ingredient 3 percent" dataDxfId="58"/>
    <tableColumn id="14" xr3:uid="{AAE79728-DB2A-45E8-B9AB-496D82682D02}" name="Ingredient 4" dataDxfId="57" dataCellStyle="Input select"/>
    <tableColumn id="15" xr3:uid="{48BA5E25-4596-49E4-8F81-BC0D52974ECA}" name="Ingredient 4 percent" dataCellStyle="Input percent"/>
    <tableColumn id="7" xr3:uid="{8A68B805-7FB6-49A9-B9BB-58ADF30E43B7}" name="N application rate (kg/ha)" dataDxfId="56"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41:K44" totalsRowShown="0" headerRowDxfId="55" dataDxfId="54"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53"/>
    <tableColumn id="2" xr3:uid="{B4EAD8A0-4563-4BA4-8C32-F444D747B623}" name="Amount applied (t/hectare)" dataDxfId="52"/>
    <tableColumn id="4" xr3:uid="{AEB6AB68-6478-4B2B-9B85-2B6FAFAF4B19}" name="Application area (ha)" dataDxfId="51" dataCellStyle="Input number 2 decimal places">
      <calculatedColumnFormula>X_Cell_Fertiliser_AreaUnderCropping</calculatedColumnFormula>
    </tableColumn>
    <tableColumn id="3" xr3:uid="{CB52F796-ECF9-4D56-B08E-72C1A090ECED}" name="Total amount applied (t)" dataDxfId="50"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49"/>
    <tableColumn id="8" xr3:uid="{E6AC5B83-E41F-4CA3-8CB5-DAE2C8D31386}" name="Percent Dolomite CaMg(CO3)2" dataDxfId="48"/>
    <tableColumn id="7" xr3:uid="{C2FA7C98-73DF-4B0B-9D0B-AF335608BA35}" name="Percent Gypsum" dataDxfId="47"/>
    <tableColumn id="10" xr3:uid="{4BF71EEB-80F3-4DB1-B0D1-D4D93983D919}" name="Total" dataDxfId="46"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53:J56" totalsRowShown="0" headerRowDxfId="45" dataDxfId="44"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43" dataCellStyle="Input select"/>
    <tableColumn id="5" xr3:uid="{A4835DDC-D01F-4121-BA81-061BD582AD81}" name="Percentage of N in fertiliser" dataDxfId="42"/>
    <tableColumn id="2" xr3:uid="{78F23607-4221-4C96-AE58-1738D148B281}" name="Amount applied (kg/hectare)" dataDxfId="41"/>
    <tableColumn id="11" xr3:uid="{743E34BE-5366-4C2E-A066-60503FC1C110}" name="Amount N applied (kg/hectare)" dataDxfId="40"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39" dataCellStyle="Input number 2 decimal places">
      <calculatedColumnFormula>X_Cell_Fertiliser_AreaUnderCropping</calculatedColumnFormula>
    </tableColumn>
    <tableColumn id="7" xr3:uid="{7CBB769C-0807-447F-BE25-34DAD65EC446}" name="Total organic fertliser applied" dataDxfId="38"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3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A3F0E066-456E-4CE4-AA6E-2432945E94BE}" name="Company" totalsRowFunction="custom" totalsRowDxfId="36">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A1127254-05BE-4396-ABB5-A675D872078F}"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38D957B7-EEA5-463D-BDB3-85B9FFD5BAA7}"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B66302A1-05EA-480E-AA2A-DA54BBD38A46}"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1DD9CD43-0FC6-467F-B81B-17F2B18D92A6}"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2726F29B-265E-4968-9BDB-0822F320EC19}"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BF1AF56A-2845-4920-860F-B10A736587C1}"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E2EDC11B-C8E4-42A8-A90F-976309289390}"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24252A97-7709-44EA-ABC3-5F607CC0348F}"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11AF6B47-3A72-4D46-9A4D-BBF30EC4193E}"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0AAFCB45-5C80-4123-8736-D764334BFDB4}"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FAD4B5F1-3400-4CEE-B90B-A7BEFD8FD0BF}" name="Ingredient 1" totalsRowFunction="custom" totalsRowCellStyle="Content normal">
      <totalsRowFormula array="1">Common_InputFunctions.Utility_DisplayArrayInTable(Fertiliser_SourceData.Fertiliser_Products_Data3(), FertiliserProducts[[#Headers],[Company]],61)</totalsRowFormula>
    </tableColumn>
    <tableColumn id="22" xr3:uid="{365CD43B-8B88-49DD-B070-7C93A1CF1F87}"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1191C429-7048-41F0-B9F1-7F3F733CF190}"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FA476FFC-F776-4F53-9E0E-72EDBA1D1AE9}"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659EB097-21AA-48F2-ABBA-84390DA814E8}"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41225C63-628E-47D6-9916-54724FB26AA0}"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5CC4BD9F-F4DC-4AFB-B330-906140042C26}"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C8419B25-8A41-4C9D-9C06-4A39DBA4FAEA}"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02EF3B5-039F-4565-B2D4-9A23C40746B9}"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AC8B170D-2E32-4FB7-BD07-9CD91A23BA09}"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D87106C6-8480-4F48-8501-41D31D7A5FF8}"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BA505D28-522B-43EB-A12C-7C8BE25DD8C7}"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3C80D87A-0310-479A-B767-6AACE3B3E29B}"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D58DC3E-C0F2-43B2-A1B0-76B51355BEA1}"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42E03324-7FDE-410D-A6C4-4B89738E9819}"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84EB4292-6D04-4B8E-8047-079CEB05EA1D}"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EC662245-DC04-4101-9534-1830E772B6D9}"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1CC52630-7C0B-476C-B2D2-4186BA938468}"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50F2BD5C-4FB9-4A6E-843C-95FB18A62F65}"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398AFAB9-7003-4491-9D14-B90545512D6D}" name="Ingredient 10 percent" totalsRow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35"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3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3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32" dataCellStyle="Content normal">
  <autoFilter ref="K19:L28" xr:uid="{27B93029-EB1F-4C4A-A946-CD673A8A6C46}">
    <filterColumn colId="0" hiddenButton="1"/>
    <filterColumn colId="1" hiddenButton="1"/>
  </autoFilter>
  <tableColumns count="2">
    <tableColumn id="1" xr3:uid="{7C622051-66CC-4C8F-B655-8BA4CF50466E}" name="Fertiliser type f" dataDxfId="31"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30"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29" dataCellStyle="Content normal">
  <autoFilter ref="Q19:R28" xr:uid="{791CEA59-796C-47AB-86BC-41E8F699030C}">
    <filterColumn colId="0" hiddenButton="1"/>
    <filterColumn colId="1" hiddenButton="1"/>
  </autoFilter>
  <tableColumns count="2">
    <tableColumn id="1" xr3:uid="{31D81A30-DB50-4875-A5AB-DFA2E5C18375}" name="Fertiliser type f" dataDxfId="28"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27"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97E25E-C043-4BCA-B569-D74E91CD0C0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60F01AF-C73B-474A-B3B2-8F9F1446C93C}" name="State/Territory">
      <calculatedColumnFormula array="1">Common_InputFunctions.Utility_DisplayArrayInTable(Common_SourceData.Common_SourceData_AustralianStatesTerritories_Data(),Table_AustralianStates[[#Headers],[State/Territory]],0)</calculatedColumnFormula>
    </tableColumn>
    <tableColumn id="2" xr3:uid="{EACA8471-186B-46FE-9DBC-82D0D5738F50}" name="Common Name">
      <calculatedColumnFormula array="1">Common_InputFunctions.Utility_DisplayArrayInTable(Common_SourceData.Common_SourceData_AustralianStatesTerritories_Data(),Table_AustralianStates[[#Headers],[State/Territory]],0)</calculatedColumnFormula>
    </tableColumn>
    <tableColumn id="3" xr3:uid="{D396AC92-484F-40D7-8DA1-DC574C4BF95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A6BAE0-4CDB-4F98-A31F-1DAD98B3EBFF}" name="Table_WASA4Areas" displayName="Table_WASA4Areas" ref="D20:D30" totalsRowShown="0">
  <autoFilter ref="D20:D30" xr:uid="{5FA81339-C6C8-4D36-BEEA-6C4AEDD9E676}">
    <filterColumn colId="0" hiddenButton="1"/>
  </autoFilter>
  <tableColumns count="1">
    <tableColumn id="1" xr3:uid="{2B0E3FA4-7098-4DC5-80F8-41592230545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E380718-715B-4FE2-8ACE-5622D979942D}" name="Table_GWPData" displayName="Table_GWPData" ref="D36:E43" totalsRowShown="0">
  <autoFilter ref="D36:E43" xr:uid="{B8E87A66-3E41-4AD3-925D-01EE21B43D7A}">
    <filterColumn colId="0" hiddenButton="1"/>
    <filterColumn colId="1" hiddenButton="1"/>
  </autoFilter>
  <tableColumns count="2">
    <tableColumn id="1" xr3:uid="{0F150627-1E83-412A-A5B5-3022AB108BD2}" name="Gas">
      <calculatedColumnFormula array="1">Common_InputFunctions.Utility_DisplayArrayInTable(Common_SourceData.Common_SourceData_GWP_Data(), Table_GWPData[[#Headers],[Gas]], 0)</calculatedColumnFormula>
    </tableColumn>
    <tableColumn id="2" xr3:uid="{06BC0298-F604-43B1-87A0-B36F3181745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6CF011C-B521-49A4-8C2A-B121722E69D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3EF2B7C-8DE0-40CD-B6C5-6C9934D9512C}" name="Gas">
      <calculatedColumnFormula array="1">Common_InputFunctions.Utility_DisplayArrayInTable(Common_SourceData.Common_SourceData_ConvertGasElementalToMolecular_Data(),Table_GasToMolecularConversionFactor[[#Headers],[Gas]], 0)</calculatedColumnFormula>
    </tableColumn>
    <tableColumn id="5" xr3:uid="{57186113-57BD-465C-8B05-AE03C58D4563}" name="Conversion factor">
      <calculatedColumnFormula array="1">Common_InputFunctions.Utility_DisplayArrayInTable(Common_SourceData.Common_SourceData_ConvertGasElementalToMolecular_Data(),Table_GasToMolecularConversionFactor[[#Headers],[Gas]], 0)</calculatedColumnFormula>
    </tableColumn>
    <tableColumn id="2" xr3:uid="{5FD2E0C1-0B68-4BA7-BE31-2FD28F1EBC6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21A69801-386F-4077-8CAA-A43B3F3F9F0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E064B31-1310-4579-9787-721E270B853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0142F7B-5FB8-4AEC-AF6A-63480E96D29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584CE52-BCCF-4F3D-824E-0FD814B82D9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8F0747E-D030-4BFF-A8D2-DC826BB47B87}" name="MAT" totalsRowDxfId="145" totalsRowCellStyle="Content bold">
      <calculatedColumnFormula array="1">Common_InputFunctions.Utility_DisplayArrayInTable(Common_SourceData.Common_SourceData_ClimateZones_Data(), Table_SourceData_ClimateZones[[#Headers],[Climate zone]], 0)</calculatedColumnFormula>
    </tableColumn>
    <tableColumn id="3" xr3:uid="{EA7EEBDD-8056-44A3-BB1E-63B8ECB4AFF3}" name="MAP" totalsRowDxfId="144" totalsRowCellStyle="Content bold">
      <calculatedColumnFormula array="1">Common_InputFunctions.Utility_DisplayArrayInTable(Common_SourceData.Common_SourceData_ClimateZones_Data(), Table_SourceData_ClimateZones[[#Headers],[Climate zone]], 0)</calculatedColumnFormula>
    </tableColumn>
    <tableColumn id="4" xr3:uid="{0BD09EB8-5DDB-4276-B5FA-7EF5736491D6}" name="Frost days per year" totalsRowDxfId="143" totalsRowCellStyle="Content bold">
      <calculatedColumnFormula array="1">Common_InputFunctions.Utility_DisplayArrayInTable(Common_SourceData.Common_SourceData_ClimateZones_Data(), Table_SourceData_ClimateZones[[#Headers],[Climate zone]], 0)</calculatedColumnFormula>
    </tableColumn>
    <tableColumn id="5" xr3:uid="{A661C8C5-28B1-4245-AF4D-EA6266DAB4A3}" name="Elevation" totalsRowDxfId="142" totalsRowCellStyle="Content bold">
      <calculatedColumnFormula array="1">Common_InputFunctions.Utility_DisplayArrayInTable(Common_SourceData.Common_SourceData_ClimateZones_Data(), Table_SourceData_ClimateZones[[#Headers],[Climate zone]], 0)</calculatedColumnFormula>
    </tableColumn>
    <tableColumn id="6" xr3:uid="{9ABB07A3-DAF7-40A1-ADF4-F16C6C8D00FC}" name="MAP:PET" totalsRowDxfId="141" totalsRowCellStyle="Content bold">
      <calculatedColumnFormula array="1">Common_InputFunctions.Utility_DisplayArrayInTable(Common_SourceData.Common_SourceData_ClimateZones_Data(), Table_SourceData_ClimateZones[[#Headers],[Climate zone]], 0)</calculatedColumnFormula>
    </tableColumn>
    <tableColumn id="7" xr3:uid="{BB10F1E2-CC93-425A-AF1C-66C0EC5F1AF6}" name="Min temp" totalsRowDxfId="140" totalsRowCellStyle="Content bold">
      <calculatedColumnFormula array="1">Common_InputFunctions.Utility_DisplayArrayInTable(Common_SourceData.Common_SourceData_ClimateZones_Data(), Table_SourceData_ClimateZones[[#Headers],[Climate zone]], 0)</calculatedColumnFormula>
    </tableColumn>
    <tableColumn id="8" xr3:uid="{0A816F7A-BF0B-4513-AA09-99BC4D120A1F}" name="Max temp" totalsRowDxfId="139" totalsRowCellStyle="Content bold">
      <calculatedColumnFormula array="1">Common_InputFunctions.Utility_DisplayArrayInTable(Common_SourceData.Common_SourceData_ClimateZones_Data(), Table_SourceData_ClimateZones[[#Headers],[Climate zone]], 0)</calculatedColumnFormula>
    </tableColumn>
    <tableColumn id="9" xr3:uid="{CB593AA5-BC4B-4FFE-87A2-0EB234BF4DCC}" name="Min rainfall" totalsRowDxfId="138" totalsRowCellStyle="Content bold">
      <calculatedColumnFormula array="1">Common_InputFunctions.Utility_DisplayArrayInTable(Common_SourceData.Common_SourceData_ClimateZones_Data(), Table_SourceData_ClimateZones[[#Headers],[Climate zone]], 0)</calculatedColumnFormula>
    </tableColumn>
    <tableColumn id="10" xr3:uid="{DE947ED9-4095-47CC-9200-BF99F3BEA883}" name="Max rainfall" totalsRowDxfId="137" totalsRowCellStyle="Content bold">
      <calculatedColumnFormula array="1">Common_InputFunctions.Utility_DisplayArrayInTable(Common_SourceData.Common_SourceData_ClimateZones_Data(), Table_SourceData_ClimateZones[[#Headers],[Climate zone]], 0)</calculatedColumnFormula>
    </tableColumn>
    <tableColumn id="11" xr3:uid="{50FEE152-58AA-4A02-AAE9-48B6DFF5BB14}" name="Min frost days" totalsRowDxfId="136" totalsRowCellStyle="Content bold">
      <calculatedColumnFormula array="1">Common_InputFunctions.Utility_DisplayArrayInTable(Common_SourceData.Common_SourceData_ClimateZones_Data(), Table_SourceData_ClimateZones[[#Headers],[Climate zone]], 0)</calculatedColumnFormula>
    </tableColumn>
    <tableColumn id="15" xr3:uid="{AE5DBA53-BA86-4BF7-B850-8719F7E74C50}" name="Max frost days"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12" xr3:uid="{B72DE320-446F-45B4-9D77-CC4B3E9189D1}" name="Min elevation"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16" xr3:uid="{E9BCFA5D-DAB1-4DD1-924D-D579ED22FA2F}" name="Max elevation"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13" xr3:uid="{48599381-4826-4836-A248-F49CF0D9D4B3}" name="Min MAP:PET"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17" xr3:uid="{B714725B-A8A5-4372-8005-D38E045A4C0C}" name="Max MAP:PET" totalsRowDxfId="13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AC93563-2B31-4DF6-B567-A7326135EBF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ADDF166-D759-49BC-BDEA-B237825FD75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FDE021-BB61-466C-8B41-6C43D406778B}" name="Wet or Dry Zone" totalsRowDxfId="13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285B294-34E7-4A0D-B2EF-D2C9F1FA5DB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62F8D4D-8B26-4CC6-BD4A-8995DD848A8F}" name="Temperature Zone">
      <calculatedColumnFormula array="1">Common_InputFunctions.Utility_DisplayArrayInTable(Common_SourceData.Common_SourceData_TemperatureZones_Data(),Table_SourceData_TemperatureZones[[#Headers],[Temperature Zone]],0)</calculatedColumnFormula>
    </tableColumn>
    <tableColumn id="2" xr3:uid="{9C57BDFB-886B-4EFF-8BF2-6A3E094E1885}" name="MAT">
      <calculatedColumnFormula array="1">Common_InputFunctions.Utility_DisplayArrayInTable(Common_SourceData.Common_SourceData_TemperatureZones_Data(),Table_SourceData_TemperatureZones[[#Headers],[Temperature Zone]],0)</calculatedColumnFormula>
    </tableColumn>
    <tableColumn id="3" xr3:uid="{9DB0F3F1-B39A-4741-B182-80EC68B09ACF}" name="Min MAT">
      <calculatedColumnFormula array="1">Common_InputFunctions.Utility_DisplayArrayInTable(Common_SourceData.Common_SourceData_TemperatureZones_Data(),Table_SourceData_TemperatureZones[[#Headers],[Temperature Zone]],0)</calculatedColumnFormula>
    </tableColumn>
    <tableColumn id="4" xr3:uid="{1857E0DD-0A25-490C-A63B-C9E0C3811F6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32BEFE2-C90E-4AB1-B125-8B835519514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AA2F4AA-92C9-4E82-AD95-C15863E90853}" name="Rainfall Zone">
      <calculatedColumnFormula array="1">Common_InputFunctions.Utility_DisplayArrayInTable(Common_SourceData.Common_SourceData_RainfallZones_Data(),Table_SourceData_RainfallZones[[#Headers],[Rainfall Zone]],0)</calculatedColumnFormula>
    </tableColumn>
    <tableColumn id="2" xr3:uid="{0B95B96C-8FA7-4C4D-A7CD-C92A6D0AD4AC}" name="Annual rainfall">
      <calculatedColumnFormula array="1">Common_InputFunctions.Utility_DisplayArrayInTable(Common_SourceData.Common_SourceData_RainfallZones_Data(),Table_SourceData_RainfallZones[[#Headers],[Rainfall Zone]],0)</calculatedColumnFormula>
    </tableColumn>
    <tableColumn id="3" xr3:uid="{FF111795-A7AF-4811-B427-EE97114D26D6}" name="Min rainfall">
      <calculatedColumnFormula array="1">Common_InputFunctions.Utility_DisplayArrayInTable(Common_SourceData.Common_SourceData_RainfallZones_Data(),Table_SourceData_RainfallZones[[#Headers],[Rainfall Zone]],0)</calculatedColumnFormula>
    </tableColumn>
    <tableColumn id="4" xr3:uid="{7B88BE76-06C8-4B7B-8DC6-FAEA1293D6E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1E5170C-9F97-419D-AECC-8AB25E2BFBB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8289DA5-71BE-45B3-AB4F-B20AD9192AE5}" name="Leaching Zone">
      <calculatedColumnFormula array="1">Common_InputFunctions.Utility_DisplayArrayInTable(Common_SourceData.Common_SourceData_LeachingZones_Data(), Table_SourceData_LeachingZones[[#Headers],[Leaching Zone]], 0)</calculatedColumnFormula>
    </tableColumn>
    <tableColumn id="2" xr3:uid="{8BD60813-F35D-42F0-A3B7-0369A52F364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FF68613-51F8-4696-B2B3-7773A5297FD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5D8F865-ACE8-4358-8997-A2C68E982DBA}" name="Data source">
      <calculatedColumnFormula array="1">Common_InputFunctions.Utility_DisplayArrayInTable(Common_SourceData.Common_SourceData_DataScores_Scope3_Data(), Table_SourceData_DataScores_Scope3[[#Headers],[Data source]], 0)</calculatedColumnFormula>
    </tableColumn>
    <tableColumn id="2" xr3:uid="{A2E234ED-1788-4E08-9CEC-9C9A9CE273C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26679A3-378C-43CD-9FAB-AA26EE321001}" name="Table_SourceData_FracWET" displayName="Table_SourceData_FracWET" ref="D134:E136" totalsRowShown="0">
  <autoFilter ref="D134:E136" xr:uid="{308E99BE-FE1F-47A4-B2CA-97217277C4E9}">
    <filterColumn colId="0" hiddenButton="1"/>
    <filterColumn colId="1" hiddenButton="1"/>
  </autoFilter>
  <tableColumns count="2">
    <tableColumn id="1" xr3:uid="{3900D1C1-2854-4E67-A0C2-52677B074095}" name="Is in leaching zone">
      <calculatedColumnFormula array="1">Common_InputFunctions.Utility_DisplayArrayInTable(Common_SourceData.Common_SourceData_FracWET_Data(),Table_SourceData_FracWET[[#Headers],[Is in leaching zone]],0)</calculatedColumnFormula>
    </tableColumn>
    <tableColumn id="2" xr3:uid="{F80F3E5E-2E95-48DB-BB65-DB66A8A93702}" name="FracWET" dataDxfId="12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0D61542-84B3-46F3-906A-589289E0577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18DBC55-15DB-4B25-9B9D-2AE745137E8C}" name="Production system j">
      <calculatedColumnFormula array="1">Common_InputFunctions.Utility_DisplayArrayInTable(Common_SourceData.Common_SourceData_EFN2O_Data(), Table_SourceData_Common_EFN2O[[#Headers],[Production system j]], 0)</calculatedColumnFormula>
    </tableColumn>
    <tableColumn id="2" xr3:uid="{7DC1211D-BA34-4B81-92D7-6B96FEB1CE26}" name="EFN2O">
      <calculatedColumnFormula array="1">Common_InputFunctions.Utility_DisplayArrayInTable(Common_SourceData.Common_SourceData_EFN2O_Data(), Table_SourceData_Common_EFN2O[[#Headers],[Production system j]], 0)</calculatedColumnFormula>
    </tableColumn>
    <tableColumn id="3" xr3:uid="{A9F60F27-44DA-4A8B-9896-5A1C53CFA553}" name="Production system only">
      <calculatedColumnFormula array="1">Common_InputFunctions.Utility_DisplayArrayInTable(Common_SourceData.Common_SourceData_EFN2O_Data(), Table_SourceData_Common_EFN2O[[#Headers],[Production system j]], 0)</calculatedColumnFormula>
    </tableColumn>
    <tableColumn id="4" xr3:uid="{2EDF799F-AE3F-4A04-9536-537D7F027AFA}" name="Irrigation method">
      <calculatedColumnFormula array="1">Common_InputFunctions.Utility_DisplayArrayInTable(Common_SourceData.Common_SourceData_EFN2O_Data(), Table_SourceData_Common_EFN2O[[#Headers],[Production system j]], 0)</calculatedColumnFormula>
    </tableColumn>
    <tableColumn id="5" xr3:uid="{2C9F3B7D-CB84-436D-92E8-0B5906C9A28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D356A5D-3212-49F1-9CC8-AD6D42023C7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AB09FDA-14C6-4A7E-A78F-DF3C3A571013}" name="Irrigation type i">
      <calculatedColumnFormula array="1">Common_InputFunctions.Utility_DisplayArrayInTable(Common_SourceData.Common_SourceData_FracWETIrrigation_Data(), Table_SourceData_FracWETIrrigation[[#Headers],[Irrigation type i]], 0)</calculatedColumnFormula>
    </tableColumn>
    <tableColumn id="2" xr3:uid="{CB6A1EB6-2B73-4E6F-971E-B64FF17A6E1C}" name="FracWET" dataDxfId="12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3E4B3903-C862-4746-A1FB-28A877BF680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5A5B519-DB07-484B-8EE7-3CC048471DDD}"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0901D56-0E06-49BA-9F4B-12450917B5AA}" name="EFPRP" dataDxfId="12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CD80EFB-6B43-4EB5-93B8-0EB0E747982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5319609-D9A8-48A8-8C88-5E216F0A9CC5}" name="Month">
      <calculatedColumnFormula array="1">Common_InputFunctions.Utility_DisplayArrayInTable(Common_SourceData.Common_SourceData_MonthsToSeasons_Data(), Table_SourceData_Common_MonthToSeason[[#Headers],[Month]], 0)</calculatedColumnFormula>
    </tableColumn>
    <tableColumn id="2" xr3:uid="{94F23219-B9B8-4525-860B-7A1D0D981CAA}" name="Season" dataDxfId="12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34A354E-CEC5-411C-860E-69EC270C7AB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5FC29F0-000B-4DB7-ADFB-BF8B0D44138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0175E4B-480C-46ED-9859-B52314A6F790}" name="MAT (ºC)"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37AEBEB-7B07-4EA3-9544-36D129AB81A3}" name="Anaerobic lagoon" dataDxfId="1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5B42ECF-3FEF-4AB0-8884-08A9C722725A}" name="Digester / covered lagoons" dataDxfId="1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D6020FB-A99C-4664-973E-4B387DC07301}" name="Liquid systems" dataDxfId="1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7556F9CC-791B-405B-9E51-EC90ABEE97FE}" name="Daily spread" dataDxfId="1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B4344B-C865-456F-AE48-59E7FF10A2EA}" name="Composting (passive windrow)" dataDxfId="1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F1667BD-D2FA-4413-A0D3-18AFF9420ED9}" name="Solid storage" dataDxfId="1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892AAEE-C5A2-4DE6-B75E-1CC60EE89603}" name="Pit storage" dataDxfId="1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729FAB8-27B0-422C-A0B7-A44F90D753CE}" name="Deep litter" dataDxfId="1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A21D1A9-D059-48E3-94A0-5407EB390345}" name="Poultry manure with bedding" dataDxfId="1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661FA1F-77A8-460E-B56D-66A29644E40B}" name="Poultry manure without bedding"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FCF7CD9-9F2E-4946-8CE9-DE7C0FFC665C}" name="Direct processing"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6DF2625-5CF2-4656-BE3E-F28EEC2BDF39}" name="Direct application"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D33DB1-79EE-471D-B14C-47187AA26BCC}" name="Pasture range and paddock"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B16EDCA-8ABF-4B0D-BB69-A12955E064D7}" name="MAT raw"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E523E57-BB8D-4438-946F-38640DE7211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36207-E9CB-4925-9C25-08328639EAB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F052B913-3ABB-4486-87D3-C6B5ADD067E4}" name="EFNi &amp; EFN2Oi" dataDxfId="11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4C26AE6-028B-4B8C-A784-FC642ACB1DDE}"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06108190-644D-4FF4-BC91-9A58BAB46DF1}" name="Description" dataDxfId="109" dataCellStyle="Content normal"/>
    <tableColumn id="1" xr3:uid="{43D0DE52-41E0-4450-B92F-DC00303BA415}" name="ID"/>
    <tableColumn id="3" xr3:uid="{91BE1EEA-299D-40E9-8CBE-BDE8527054BC}" name="Score"/>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DCA480C-2681-48D9-8A75-CFDBE76BF6C0}"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4751C319-668A-4242-A9E2-A9ACDA416466}" name="Description"/>
    <tableColumn id="2" xr3:uid="{9A2CB23A-E8E5-466B-BCF3-271819B9FBEA}" name="ID"/>
    <tableColumn id="3" xr3:uid="{42CDF700-40B1-4753-8EBF-115B4E51673E}"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EF3867A7-02D5-4133-99BA-2ADC5E493A38}"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A33A171D-771D-481E-8786-48E10000C673}" name="Description"/>
    <tableColumn id="2" xr3:uid="{1E637076-822D-4D87-86E6-C77C097367A9}" name="ID"/>
    <tableColumn id="3" xr3:uid="{5A5DC0CE-0ECC-4D1F-9AB1-6D0DC0FC9076}"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7F9300E-2FE3-4BE3-B63B-BF87F50D69E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A1790903-B3A9-4E05-8A81-10123F278A83}" name="Description"/>
    <tableColumn id="2" xr3:uid="{692A1158-2265-4A73-B312-6988BFB73A73}" name="ID"/>
    <tableColumn id="3" xr3:uid="{AE18775F-D13F-4011-B968-2E900FBAB5B4}"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4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21" Type="http://schemas.openxmlformats.org/officeDocument/2006/relationships/table" Target="../tables/table35.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20" Type="http://schemas.openxmlformats.org/officeDocument/2006/relationships/table" Target="../tables/table34.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19" Type="http://schemas.openxmlformats.org/officeDocument/2006/relationships/table" Target="../tables/table33.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 Id="rId22"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24" sqref="A24"/>
    </sheetView>
  </sheetViews>
  <sheetFormatPr defaultRowHeight="15" x14ac:dyDescent="0.25"/>
  <sheetData>
    <row r="1" spans="1:1" x14ac:dyDescent="0.25">
      <c r="A1" t="s">
        <v>329</v>
      </c>
    </row>
    <row r="3" spans="1:1" x14ac:dyDescent="0.25">
      <c r="A3" s="180" t="str">
        <f>HYPERLINK("#'Home'!A1", "Home")</f>
        <v>Home</v>
      </c>
    </row>
    <row r="6" spans="1:1" x14ac:dyDescent="0.25">
      <c r="A6" s="175"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66" t="s">
        <v>297</v>
      </c>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c r="AL1" s="167"/>
      <c r="AM1" s="167"/>
      <c r="AN1" s="167"/>
      <c r="AO1" s="167"/>
    </row>
    <row r="2" spans="1:42" ht="20.100000000000001" customHeight="1" x14ac:dyDescent="0.25">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8"/>
    </row>
    <row r="3" spans="1:42" ht="20.100000000000001" customHeight="1" x14ac:dyDescent="0.25">
      <c r="A3" s="17" t="str">
        <f>HYPERLINK("#'Home'!A1", "Home")</f>
        <v>Home</v>
      </c>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row>
    <row r="4" spans="1:42" ht="20.100000000000001" customHeight="1" x14ac:dyDescent="0.25">
      <c r="A4" s="107" t="str">
        <f>HYPERLINK("#'Overview'!A1", "Overview")</f>
        <v>Overview</v>
      </c>
    </row>
    <row r="5" spans="1:42" ht="20.100000000000001" customHeight="1" x14ac:dyDescent="0.25">
      <c r="A5" s="17" t="str">
        <f>HYPERLINK("#'Results'!A1", "Results")</f>
        <v>Results</v>
      </c>
      <c r="D5" s="104" t="s">
        <v>299</v>
      </c>
      <c r="E5" s="83"/>
      <c r="F5" s="83"/>
      <c r="G5" s="83"/>
      <c r="H5" s="83"/>
      <c r="I5" s="83"/>
      <c r="J5" s="83"/>
      <c r="K5" s="83"/>
      <c r="L5" s="83"/>
      <c r="M5" s="83"/>
      <c r="N5" s="83"/>
      <c r="O5" s="79"/>
    </row>
    <row r="6" spans="1:42" ht="20.100000000000001" customHeight="1" x14ac:dyDescent="0.25">
      <c r="D6" s="170" t="s">
        <v>300</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Fertiliser'!A1", "Fertiliser")</f>
        <v>Fertiliser</v>
      </c>
    </row>
    <row r="11" spans="1:42" ht="20.100000000000001" customHeight="1" x14ac:dyDescent="0.25"/>
    <row r="12" spans="1:42" ht="20.100000000000001" customHeight="1" x14ac:dyDescent="0.25"/>
    <row r="13" spans="1:42" ht="20.100000000000001" customHeight="1" x14ac:dyDescent="0.25">
      <c r="A13" s="18" t="s">
        <v>68</v>
      </c>
    </row>
    <row r="14" spans="1:42" ht="20.100000000000001" customHeight="1" x14ac:dyDescent="0.25">
      <c r="A14" s="17" t="str">
        <f>HYPERLINK("#'5.1.1.1-2 Inorganic fert N2O'!A1", "5.1.1.1-2 Inorganic fert N2O")</f>
        <v>5.1.1.1-2 Inorganic fert N2O</v>
      </c>
    </row>
    <row r="15" spans="1:42" ht="20.100000000000001" customHeight="1" x14ac:dyDescent="0.25">
      <c r="A15" s="17" t="str">
        <f>HYPERLINK("#'5.1.1.3-4 Inorganic fert CO2'!A1", "5.1.1.3-4 Inorganic fert CO2")</f>
        <v>5.1.1.3-4 Inorganic fert CO2</v>
      </c>
    </row>
    <row r="16" spans="1:42" ht="20.100000000000001" customHeight="1" x14ac:dyDescent="0.25">
      <c r="A16" s="17" t="str">
        <f>HYPERLINK("#'5.2.1.1-2 Organic Fert N2O'!A1", "5.2.1.1-2 Organic Fert N2O")</f>
        <v>5.2.1.1-2 Organic Fert N2O</v>
      </c>
    </row>
    <row r="17" spans="1:1" ht="20.100000000000001" customHeight="1" x14ac:dyDescent="0.25">
      <c r="A17" s="17" t="str">
        <f>HYPERLINK("#'5.3.1.1-2 Lime CO2'!A1", "5.3.1.1-2 Lime CO2")</f>
        <v>5.3.1.1-2 Lime CO2</v>
      </c>
    </row>
    <row r="18" spans="1:1" ht="20.100000000000001" customHeight="1" x14ac:dyDescent="0.25">
      <c r="A18" s="17" t="str">
        <f>HYPERLINK("#'5.4.1.1-4 Atmos deposition'!A1", "5.4.1.1-4 Atmos deposition")</f>
        <v>5.4.1.1-4 Atmos deposition</v>
      </c>
    </row>
    <row r="19" spans="1:1" ht="20.100000000000001" customHeight="1" x14ac:dyDescent="0.25">
      <c r="A19" s="17" t="str">
        <f>HYPERLINK("#'5.5.1.1-2 Leaching and runoff'!A1", "5.5.1.1-2 Leaching and runoff")</f>
        <v>5.5.1.1-2 Leaching and runoff</v>
      </c>
    </row>
    <row r="20" spans="1:1" ht="20.100000000000001" customHeight="1" x14ac:dyDescent="0.25"/>
    <row r="21" spans="1:1" ht="20.100000000000001" customHeight="1" x14ac:dyDescent="0.25"/>
    <row r="22" spans="1:1" ht="20.100000000000001" customHeight="1" x14ac:dyDescent="0.25">
      <c r="A22" s="175" t="s">
        <v>1</v>
      </c>
    </row>
    <row r="23" spans="1:1" ht="20.100000000000001" customHeight="1" x14ac:dyDescent="0.25">
      <c r="A23" s="17" t="str">
        <f>HYPERLINK("#'Constants - Fertiliser'!A1", "Constants - Fertiliser")</f>
        <v>Constants - Fertiliser</v>
      </c>
    </row>
    <row r="24" spans="1:1" ht="20.100000000000001" customHeight="1" x14ac:dyDescent="0.25">
      <c r="A24" s="17" t="str">
        <f>HYPERLINK("#'Constants - Common'!A1", "Constants - Common")</f>
        <v>Constants - Common</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294</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295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6" t="s">
        <v>298</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7" t="str">
        <f>HYPERLINK("#'Results'!A1", "Results")</f>
        <v>Results</v>
      </c>
      <c r="C5" s="21"/>
      <c r="D5" s="25"/>
      <c r="E5" s="26"/>
      <c r="F5" s="26"/>
      <c r="G5" s="26"/>
      <c r="H5" s="23"/>
      <c r="I5" s="21"/>
      <c r="J5" s="21"/>
      <c r="K5" s="21"/>
    </row>
    <row r="6" spans="1:11" ht="20.100000000000001" customHeight="1" x14ac:dyDescent="0.25">
      <c r="C6" s="21"/>
      <c r="D6" s="20" t="s">
        <v>293</v>
      </c>
      <c r="E6" s="2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2" t="s">
        <v>81</v>
      </c>
      <c r="E8" s="102" t="s">
        <v>94</v>
      </c>
      <c r="F8" s="102" t="s">
        <v>95</v>
      </c>
      <c r="G8" s="102" t="s">
        <v>88</v>
      </c>
      <c r="H8" s="102" t="s">
        <v>96</v>
      </c>
      <c r="I8" s="102" t="s">
        <v>97</v>
      </c>
      <c r="J8" s="102" t="s">
        <v>89</v>
      </c>
      <c r="K8" s="21"/>
    </row>
    <row r="9" spans="1:11" ht="20.100000000000001" customHeight="1" x14ac:dyDescent="0.25">
      <c r="A9" s="17" t="str">
        <f>HYPERLINK("#'Input - Site'!A1", "Site")</f>
        <v>Site</v>
      </c>
      <c r="C9" s="21"/>
      <c r="D9" s="1" t="s">
        <v>287</v>
      </c>
      <c r="E9" s="165">
        <f>VEERG_5_1_1_1__1_InorganicFertiliserApplicationN2OEmissions_Result_Method1</f>
        <v>0.20110749340000006</v>
      </c>
      <c r="F9" s="165">
        <f>VEERG_5_1_1_1__1_InorganicFertiliserApplicationN2OEmissions_Result_Method2</f>
        <v>0.20110750000000002</v>
      </c>
      <c r="G9" s="51" t="s">
        <v>100</v>
      </c>
      <c r="H9" s="100">
        <f>'5.1.1.1-2 Inorganic fert N2O'!E85</f>
        <v>53.293485751000013</v>
      </c>
      <c r="I9" s="100">
        <f>'5.1.1.1-2 Inorganic fert N2O'!N113</f>
        <v>53.293487500000005</v>
      </c>
      <c r="J9" s="51" t="s">
        <v>92</v>
      </c>
      <c r="K9" s="21"/>
    </row>
    <row r="10" spans="1:11" ht="20.100000000000001" customHeight="1" x14ac:dyDescent="0.25">
      <c r="A10" s="17" t="str">
        <f>HYPERLINK("#'Input - Fertiliser'!A1", "Fertiliser")</f>
        <v>Fertiliser</v>
      </c>
      <c r="C10" s="21"/>
      <c r="D10" s="1" t="s">
        <v>288</v>
      </c>
      <c r="E10" s="165">
        <f>VEERG_5_1_1_3__1_InorganicFertiliserApplicationCO2Emissions_Result_Method1</f>
        <v>18.492752666666668</v>
      </c>
      <c r="F10" s="165">
        <f>E10</f>
        <v>18.492752666666668</v>
      </c>
      <c r="G10" s="51" t="s">
        <v>252</v>
      </c>
      <c r="H10" s="100">
        <f>VEERG_5_1_1_3__1_InorganicFertiliserApplicationCO2Emissions_Result_Method1</f>
        <v>18.492752666666668</v>
      </c>
      <c r="I10" s="100">
        <f>H10</f>
        <v>18.492752666666668</v>
      </c>
      <c r="J10" s="51" t="s">
        <v>92</v>
      </c>
      <c r="K10" s="21"/>
    </row>
    <row r="11" spans="1:11" ht="20.100000000000001" customHeight="1" x14ac:dyDescent="0.25">
      <c r="C11" s="21"/>
      <c r="D11" s="1" t="s">
        <v>289</v>
      </c>
      <c r="E11" s="165">
        <f>VEERG_5_2_1_1__2_MassOfNitrogenInOrganicFertiliser_Result_Method1</f>
        <v>5.5785714285714293E-3</v>
      </c>
      <c r="F11" s="165">
        <f>E11</f>
        <v>5.5785714285714293E-3</v>
      </c>
      <c r="G11" s="51" t="s">
        <v>100</v>
      </c>
      <c r="H11" s="100">
        <f>'5.2.1.1-2 Organic Fert N2O'!$E$55</f>
        <v>1.4783214285714288</v>
      </c>
      <c r="I11" s="100">
        <f>H11</f>
        <v>1.4783214285714288</v>
      </c>
      <c r="J11" s="51" t="s">
        <v>92</v>
      </c>
      <c r="K11" s="21"/>
    </row>
    <row r="12" spans="1:11" ht="20.100000000000001" customHeight="1" x14ac:dyDescent="0.25">
      <c r="C12" s="21"/>
      <c r="D12" s="1" t="s">
        <v>290</v>
      </c>
      <c r="E12" s="165">
        <f>VEERG_5_3_1_1__1_LimeApplicationCO2Emissions_Result_Method1</f>
        <v>75.808333333333337</v>
      </c>
      <c r="F12" s="165">
        <f>E12</f>
        <v>75.808333333333337</v>
      </c>
      <c r="G12" s="51" t="s">
        <v>252</v>
      </c>
      <c r="H12" s="100">
        <f>VEERG_5_3_1_1__1_LimeApplicationCO2Emissions_Result_Method1</f>
        <v>75.808333333333337</v>
      </c>
      <c r="I12" s="100">
        <f>H12</f>
        <v>75.808333333333337</v>
      </c>
      <c r="J12" s="51" t="s">
        <v>92</v>
      </c>
      <c r="K12" s="21"/>
    </row>
    <row r="13" spans="1:11" ht="20.100000000000001" customHeight="1" x14ac:dyDescent="0.25">
      <c r="A13" s="18" t="s">
        <v>68</v>
      </c>
      <c r="C13" s="21"/>
      <c r="D13" s="1" t="s">
        <v>291</v>
      </c>
      <c r="E13" s="165">
        <f>VEERG_5_4_1_1__1_InorganicFertiliserAtmosphericDepositionN2OEmissions_Result_Method1 + VEERG_5_4_1_3__1_OrganicFertiliserAtmosphericDepositionN2OEmissions_Result_Method1</f>
        <v>2.564044901E-2</v>
      </c>
      <c r="F13" s="165">
        <f>E13</f>
        <v>2.564044901E-2</v>
      </c>
      <c r="G13" s="51" t="s">
        <v>100</v>
      </c>
      <c r="H13" s="100">
        <f>'5.4.1.1-4 Atmos deposition'!E84 + '5.4.1.1-4 Atmos deposition'!$E$151</f>
        <v>6.7947189876500005</v>
      </c>
      <c r="I13" s="100">
        <f>H13</f>
        <v>6.7947189876500005</v>
      </c>
      <c r="J13" s="51" t="s">
        <v>92</v>
      </c>
      <c r="K13" s="21"/>
    </row>
    <row r="14" spans="1:11" ht="20.100000000000001" customHeight="1" x14ac:dyDescent="0.25">
      <c r="A14" s="17" t="str">
        <f>HYPERLINK("#'5.1.1.1-2 Inorganic fert N2O'!A1", "5.1.1.1-2 Inorganic fert N2O")</f>
        <v>5.1.1.1-2 Inorganic fert N2O</v>
      </c>
      <c r="C14" s="21"/>
      <c r="D14" s="1" t="s">
        <v>292</v>
      </c>
      <c r="E14" s="165">
        <f>VEERG_5_5_1_1__1_FertiliserLeachingAndRunoffN2OEmissions_Result_Method1</f>
        <v>7.8791740367999977E-2</v>
      </c>
      <c r="F14" s="165">
        <f>E14</f>
        <v>7.8791740367999977E-2</v>
      </c>
      <c r="G14" s="51" t="s">
        <v>100</v>
      </c>
      <c r="H14" s="100">
        <f>'5.5.1.1-2 Leaching and runoff'!$E$99</f>
        <v>20.879811197519995</v>
      </c>
      <c r="I14" s="100">
        <f>H14</f>
        <v>20.879811197519995</v>
      </c>
      <c r="J14" s="51" t="s">
        <v>92</v>
      </c>
      <c r="K14" s="21"/>
    </row>
    <row r="15" spans="1:11" ht="20.100000000000001" customHeight="1" x14ac:dyDescent="0.3">
      <c r="A15" s="17" t="str">
        <f>HYPERLINK("#'5.1.1.3-4 Inorganic fert CO2'!A1", "5.1.1.3-4 Inorganic fert CO2")</f>
        <v>5.1.1.3-4 Inorganic fert CO2</v>
      </c>
      <c r="C15" s="21"/>
      <c r="D15" s="28" t="s">
        <v>87</v>
      </c>
      <c r="E15" s="22"/>
      <c r="F15" s="22"/>
      <c r="G15" s="28"/>
      <c r="H15" s="101">
        <f>SUM(H9:H14)</f>
        <v>176.74742336474145</v>
      </c>
      <c r="I15" s="101">
        <f>SUM(I9:I14)</f>
        <v>176.74742511374143</v>
      </c>
      <c r="J15" s="96" t="s">
        <v>92</v>
      </c>
      <c r="K15" s="21"/>
    </row>
    <row r="16" spans="1:11" ht="20.100000000000001" customHeight="1" x14ac:dyDescent="0.25">
      <c r="A16" s="17" t="str">
        <f>HYPERLINK("#'5.2.1.1-2 Organic Fert N2O'!A1", "5.2.1.1-2 Organic Fert N2O")</f>
        <v>5.2.1.1-2 Organic Fert N2O</v>
      </c>
      <c r="C16" s="21"/>
      <c r="D16" s="97"/>
      <c r="E16" s="97"/>
      <c r="F16" s="97"/>
      <c r="G16" s="97"/>
      <c r="H16" s="97"/>
      <c r="I16" s="97"/>
      <c r="J16" s="97"/>
      <c r="K16" s="21"/>
    </row>
    <row r="17" spans="1:11" ht="20.100000000000001" customHeight="1" x14ac:dyDescent="0.25">
      <c r="A17" s="17" t="str">
        <f>HYPERLINK("#'5.3.1.1-2 Lime CO2'!A1", "5.3.1.1-2 Lime CO2")</f>
        <v>5.3.1.1-2 Lime CO2</v>
      </c>
      <c r="C17" s="21"/>
      <c r="D17" s="97"/>
      <c r="E17" s="1"/>
      <c r="F17" s="1"/>
      <c r="G17" s="1"/>
      <c r="H17" s="1"/>
      <c r="I17" s="1"/>
      <c r="J17" s="21"/>
      <c r="K17" s="21"/>
    </row>
    <row r="18" spans="1:11" ht="20.100000000000001" customHeight="1" x14ac:dyDescent="0.25">
      <c r="A18" s="17" t="str">
        <f>HYPERLINK("#'5.4.1.1-4 Atmos deposition'!A1", "5.4.1.1-4 Atmos deposition")</f>
        <v>5.4.1.1-4 Atmos deposition</v>
      </c>
      <c r="C18" s="21"/>
      <c r="D18" s="105"/>
      <c r="E18" s="1"/>
      <c r="F18" s="1"/>
      <c r="G18" s="1"/>
      <c r="H18" s="1"/>
      <c r="I18" s="1"/>
      <c r="J18" s="21"/>
      <c r="K18" s="21"/>
    </row>
    <row r="19" spans="1:11" ht="20.100000000000001" customHeight="1" x14ac:dyDescent="0.25">
      <c r="A19" s="17" t="str">
        <f>HYPERLINK("#'5.5.1.1-2 Leaching and runoff'!A1", "5.5.1.1-2 Leaching and runoff")</f>
        <v>5.5.1.1-2 Leaching and runoff</v>
      </c>
      <c r="C19" s="21"/>
      <c r="D19" s="1"/>
      <c r="E19" s="1"/>
      <c r="F19" s="1"/>
      <c r="G19" s="1"/>
      <c r="H19" s="1"/>
      <c r="I19" s="1"/>
      <c r="J19" s="21"/>
      <c r="K19" s="21"/>
    </row>
    <row r="20" spans="1:11" ht="20.100000000000001" customHeight="1" x14ac:dyDescent="0.25">
      <c r="C20" s="21"/>
      <c r="D20" s="1"/>
      <c r="E20" s="1"/>
      <c r="F20" s="1"/>
      <c r="G20" s="1"/>
      <c r="H20" s="1"/>
      <c r="I20" s="1"/>
      <c r="J20" s="21"/>
      <c r="K20" s="21"/>
    </row>
    <row r="21" spans="1:11" ht="20.100000000000001" customHeight="1" x14ac:dyDescent="0.25">
      <c r="C21" s="21"/>
      <c r="D21" s="1"/>
      <c r="E21" s="103"/>
      <c r="F21" s="51"/>
      <c r="G21" s="1"/>
      <c r="H21" s="1"/>
      <c r="I21" s="21"/>
      <c r="J21" s="21"/>
      <c r="K21" s="21"/>
    </row>
    <row r="22" spans="1:11" ht="20.100000000000001" customHeight="1" x14ac:dyDescent="0.25">
      <c r="A22" s="175" t="s">
        <v>1</v>
      </c>
      <c r="C22" s="21"/>
      <c r="D22" s="1"/>
      <c r="E22" s="103"/>
      <c r="F22" s="51"/>
      <c r="G22" s="1"/>
      <c r="H22" s="1"/>
      <c r="I22" s="21"/>
      <c r="J22" s="21"/>
      <c r="K22" s="21"/>
    </row>
    <row r="23" spans="1:11" ht="20.100000000000001" customHeight="1" x14ac:dyDescent="0.3">
      <c r="A23" s="17" t="str">
        <f>HYPERLINK("#'Constants - Fertiliser'!A1", "Constants - Fertiliser")</f>
        <v>Constants - Fertiliser</v>
      </c>
      <c r="C23" s="21"/>
      <c r="D23" s="1"/>
      <c r="E23" s="1"/>
      <c r="F23" s="1"/>
      <c r="G23" s="1"/>
      <c r="H23" s="26"/>
      <c r="I23" s="21"/>
      <c r="J23" s="21"/>
      <c r="K23" s="21"/>
    </row>
    <row r="24" spans="1:11" ht="20.100000000000001" customHeight="1" x14ac:dyDescent="0.3">
      <c r="A24" s="17" t="str">
        <f>HYPERLINK("#'Constants - Common'!A1", "Constants - Common")</f>
        <v>Constants - Common</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9"/>
      <c r="J38" s="99"/>
      <c r="K38" s="21"/>
    </row>
    <row r="39" spans="3:11" ht="20.100000000000001" customHeight="1" x14ac:dyDescent="0.25">
      <c r="C39" s="21"/>
      <c r="D39" s="1"/>
      <c r="E39" s="1"/>
      <c r="F39" s="1"/>
      <c r="G39" s="1"/>
      <c r="H39" s="1"/>
      <c r="I39" s="99"/>
      <c r="J39" s="99"/>
      <c r="K39" s="21"/>
    </row>
    <row r="40" spans="3:11" ht="20.100000000000001" customHeight="1" x14ac:dyDescent="0.25">
      <c r="C40" s="21"/>
      <c r="D40" s="1"/>
      <c r="E40" s="1"/>
      <c r="F40" s="1"/>
      <c r="G40" s="1"/>
      <c r="H40" s="1"/>
      <c r="I40" s="99"/>
      <c r="J40" s="99"/>
      <c r="K40" s="21"/>
    </row>
    <row r="41" spans="3:11" ht="20.100000000000001" customHeight="1" x14ac:dyDescent="0.25">
      <c r="C41" s="21"/>
      <c r="D41" s="1"/>
      <c r="E41" s="1"/>
      <c r="F41" s="1"/>
      <c r="G41" s="1"/>
      <c r="H41" s="1"/>
      <c r="I41" s="99"/>
      <c r="J41" s="99"/>
      <c r="K41" s="21"/>
    </row>
    <row r="42" spans="3:11" ht="20.100000000000001" customHeight="1" x14ac:dyDescent="0.25">
      <c r="C42" s="21"/>
      <c r="D42" s="1"/>
      <c r="E42" s="1"/>
      <c r="F42" s="1"/>
      <c r="G42" s="1"/>
      <c r="H42" s="1"/>
      <c r="I42" s="99"/>
      <c r="J42" s="99"/>
      <c r="K42" s="21"/>
    </row>
    <row r="43" spans="3:11" ht="20.100000000000001" customHeight="1" x14ac:dyDescent="0.25">
      <c r="C43" s="21"/>
      <c r="D43" s="1"/>
      <c r="E43" s="1"/>
      <c r="F43" s="1"/>
      <c r="G43" s="1"/>
      <c r="H43" s="1"/>
      <c r="I43" s="99"/>
      <c r="J43" s="99"/>
      <c r="K43" s="21"/>
    </row>
    <row r="44" spans="3:11" ht="20.100000000000001" customHeight="1" x14ac:dyDescent="0.25">
      <c r="C44" s="21"/>
      <c r="D44" s="1"/>
      <c r="E44" s="1"/>
      <c r="F44" s="1"/>
      <c r="G44" s="1"/>
      <c r="H44" s="1"/>
      <c r="I44" s="99"/>
      <c r="J44" s="99"/>
      <c r="K44" s="21"/>
    </row>
    <row r="45" spans="3:11" ht="20.100000000000001" customHeight="1" x14ac:dyDescent="0.25">
      <c r="C45" s="21"/>
      <c r="D45" s="1"/>
      <c r="E45" s="1"/>
      <c r="F45" s="1"/>
      <c r="G45" s="1"/>
      <c r="H45" s="1"/>
      <c r="I45" s="99"/>
      <c r="J45" s="99"/>
      <c r="K45" s="21"/>
    </row>
    <row r="46" spans="3:11" ht="20.100000000000001" customHeight="1" x14ac:dyDescent="0.25">
      <c r="C46" s="21"/>
      <c r="D46" s="1"/>
      <c r="E46" s="1"/>
      <c r="F46" s="1"/>
      <c r="G46" s="1"/>
      <c r="H46" s="1"/>
      <c r="I46" s="99"/>
      <c r="J46" s="99"/>
      <c r="K46" s="21"/>
    </row>
    <row r="47" spans="3:11" ht="20.100000000000001" customHeight="1" x14ac:dyDescent="0.25">
      <c r="C47" s="21"/>
      <c r="D47" s="1"/>
      <c r="E47" s="1"/>
      <c r="F47" s="1"/>
      <c r="G47" s="1"/>
      <c r="H47" s="1"/>
      <c r="I47" s="99"/>
      <c r="J47" s="99"/>
      <c r="K47" s="21"/>
    </row>
    <row r="48" spans="3:11" ht="20.100000000000001" customHeight="1" x14ac:dyDescent="0.25">
      <c r="C48" s="21"/>
      <c r="D48" s="1"/>
      <c r="E48" s="1"/>
      <c r="F48" s="1"/>
      <c r="G48" s="1"/>
      <c r="H48" s="1"/>
      <c r="I48" s="99"/>
      <c r="J48" s="99"/>
      <c r="K48" s="21"/>
    </row>
    <row r="49" spans="3:11" ht="20.100000000000001" customHeight="1" x14ac:dyDescent="0.25">
      <c r="C49" s="21"/>
      <c r="D49" s="1"/>
      <c r="E49" s="1"/>
      <c r="F49" s="1"/>
      <c r="G49" s="1"/>
      <c r="H49" s="99"/>
      <c r="I49" s="99"/>
      <c r="J49" s="99"/>
      <c r="K49" s="21"/>
    </row>
    <row r="50" spans="3:11" ht="20.100000000000001" customHeight="1" x14ac:dyDescent="0.25">
      <c r="C50" s="21"/>
      <c r="D50" s="1"/>
      <c r="E50" s="1"/>
      <c r="F50" s="1"/>
      <c r="G50" s="1"/>
      <c r="H50" s="99"/>
      <c r="I50" s="99"/>
      <c r="J50" s="99"/>
      <c r="K50" s="21"/>
    </row>
    <row r="51" spans="3:11" ht="20.100000000000001" customHeight="1" x14ac:dyDescent="0.25">
      <c r="C51" s="21"/>
      <c r="D51" s="1"/>
      <c r="E51" s="1"/>
      <c r="F51" s="1"/>
      <c r="G51" s="1"/>
      <c r="H51" s="99"/>
      <c r="I51" s="99"/>
      <c r="J51" s="99"/>
      <c r="K51" s="21"/>
    </row>
    <row r="52" spans="3:11" ht="20.100000000000001" customHeight="1" x14ac:dyDescent="0.25">
      <c r="C52" s="21"/>
      <c r="D52" s="1"/>
      <c r="E52" s="1"/>
      <c r="F52" s="1"/>
      <c r="G52" s="1"/>
      <c r="H52" s="99"/>
      <c r="I52" s="99"/>
      <c r="J52" s="99"/>
      <c r="K52" s="21"/>
    </row>
    <row r="53" spans="3:11" ht="20.100000000000001" customHeight="1" x14ac:dyDescent="0.25">
      <c r="C53" s="21"/>
      <c r="D53" s="1"/>
      <c r="E53" s="1"/>
      <c r="F53" s="1"/>
      <c r="G53" s="1"/>
      <c r="H53" s="99"/>
      <c r="I53" s="99"/>
      <c r="J53" s="99"/>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66</v>
      </c>
      <c r="E8" s="32" t="s">
        <v>67</v>
      </c>
    </row>
    <row r="9" spans="1:24" ht="20.100000000000001" customHeight="1" x14ac:dyDescent="0.25">
      <c r="A9" s="106" t="str">
        <f>HYPERLINK("#'Input - Site'!A1", "Site")</f>
        <v>Site</v>
      </c>
      <c r="N9" s="41"/>
    </row>
    <row r="10" spans="1:24" ht="20.100000000000001" customHeight="1" x14ac:dyDescent="0.25">
      <c r="A10" s="17" t="str">
        <f>HYPERLINK("#'Input - Fertiliser'!A1", "Fertiliser")</f>
        <v>Fertiliser</v>
      </c>
      <c r="D10" s="86" t="s">
        <v>70</v>
      </c>
      <c r="E10" s="84"/>
      <c r="F10" s="87"/>
      <c r="G10" s="81"/>
      <c r="N10" s="41"/>
    </row>
    <row r="11" spans="1:24" ht="20.100000000000001" customHeight="1" x14ac:dyDescent="0.25">
      <c r="A11"/>
      <c r="N11" s="42"/>
    </row>
    <row r="12" spans="1:24" ht="20.100000000000001" customHeight="1" x14ac:dyDescent="0.25">
      <c r="A12"/>
      <c r="D12" s="10" t="s">
        <v>76</v>
      </c>
      <c r="E12" s="59">
        <v>45292</v>
      </c>
      <c r="F12" s="2" t="s">
        <v>64</v>
      </c>
    </row>
    <row r="13" spans="1:24" ht="20.100000000000001" customHeight="1" x14ac:dyDescent="0.25">
      <c r="A13" s="18" t="s">
        <v>68</v>
      </c>
      <c r="D13" s="10" t="s">
        <v>77</v>
      </c>
      <c r="E13" s="62">
        <f>DATE(YEAR(X_Cell_Site_StartDate)+1,MONTH(X_Cell_Site_StartDate),DAY(X_Cell_Site_StartDate))-1</f>
        <v>45657</v>
      </c>
      <c r="F13" s="2" t="s">
        <v>14</v>
      </c>
      <c r="N13" s="37"/>
      <c r="O13" s="37"/>
    </row>
    <row r="14" spans="1:24" ht="20.100000000000001" customHeight="1" x14ac:dyDescent="0.25">
      <c r="A14" s="17" t="str">
        <f>HYPERLINK("#'5.1.1.1-2 Inorganic fert N2O'!A1", "5.1.1.1-2 Inorganic fert N2O")</f>
        <v>5.1.1.1-2 Inorganic fert N2O</v>
      </c>
      <c r="N14" s="37"/>
      <c r="O14" s="37"/>
    </row>
    <row r="15" spans="1:24" ht="20.100000000000001" customHeight="1" x14ac:dyDescent="0.25">
      <c r="A15" s="17" t="str">
        <f>HYPERLINK("#'5.1.1.3-4 Inorganic fert CO2'!A1", "5.1.1.3-4 Inorganic fert CO2")</f>
        <v>5.1.1.3-4 Inorganic fert CO2</v>
      </c>
      <c r="N15" s="37"/>
      <c r="O15" s="37"/>
    </row>
    <row r="16" spans="1:24" ht="20.100000000000001" customHeight="1" x14ac:dyDescent="0.25">
      <c r="A16" s="17" t="str">
        <f>HYPERLINK("#'5.2.1.1-2 Organic Fert N2O'!A1", "5.2.1.1-2 Organic Fert N2O")</f>
        <v>5.2.1.1-2 Organic Fert N2O</v>
      </c>
      <c r="D16" s="6" t="s">
        <v>11</v>
      </c>
      <c r="N16" s="37"/>
      <c r="O16" s="37"/>
    </row>
    <row r="17" spans="1:25" ht="20.100000000000001" customHeight="1" x14ac:dyDescent="0.25">
      <c r="A17" s="17" t="str">
        <f>HYPERLINK("#'5.3.1.1-2 Lime CO2'!A1", "5.3.1.1-2 Lime CO2")</f>
        <v>5.3.1.1-2 Lime CO2</v>
      </c>
    </row>
    <row r="18" spans="1:25" ht="20.100000000000001" customHeight="1" x14ac:dyDescent="0.25">
      <c r="A18" s="17" t="str">
        <f>HYPERLINK("#'5.4.1.1-4 Atmos deposition'!A1", "5.4.1.1-4 Atmos deposition")</f>
        <v>5.4.1.1-4 Atmos deposition</v>
      </c>
      <c r="D18" s="88" t="s">
        <v>13</v>
      </c>
      <c r="E18" s="83"/>
      <c r="F18" s="83"/>
      <c r="G18" s="79"/>
    </row>
    <row r="19" spans="1:25" ht="20.100000000000001" customHeight="1" x14ac:dyDescent="0.25">
      <c r="A19" s="17" t="str">
        <f>HYPERLINK("#'5.5.1.1-2 Leaching and runoff'!A1", "5.5.1.1-2 Leaching and runoff")</f>
        <v>5.5.1.1-2 Leaching and runoff</v>
      </c>
      <c r="D19" s="85" t="s">
        <v>65</v>
      </c>
      <c r="E19" s="82"/>
      <c r="F19" s="82"/>
      <c r="G19" s="80"/>
      <c r="N19" s="39"/>
    </row>
    <row r="20" spans="1:25" ht="20.100000000000001" customHeight="1" x14ac:dyDescent="0.25">
      <c r="A20"/>
      <c r="D20" s="1"/>
      <c r="E20" s="30"/>
      <c r="F20" s="2"/>
      <c r="N20" s="40"/>
    </row>
    <row r="21" spans="1:25" ht="20.100000000000001" customHeight="1" x14ac:dyDescent="0.25">
      <c r="A21"/>
      <c r="D21" s="1" t="s">
        <v>5</v>
      </c>
      <c r="E21" s="38" t="s">
        <v>99</v>
      </c>
      <c r="F21" s="2" t="s">
        <v>8</v>
      </c>
    </row>
    <row r="22" spans="1:25" ht="20.100000000000001" customHeight="1" x14ac:dyDescent="0.25">
      <c r="A22" s="175" t="s">
        <v>1</v>
      </c>
      <c r="D22" s="1" t="s">
        <v>20</v>
      </c>
      <c r="E22" s="38" t="s">
        <v>29</v>
      </c>
      <c r="F22" s="2" t="s">
        <v>8</v>
      </c>
      <c r="G22" s="1"/>
    </row>
    <row r="23" spans="1:25" ht="20.100000000000001" customHeight="1" x14ac:dyDescent="0.25">
      <c r="A23" s="17" t="str">
        <f>HYPERLINK("#'Constants - Fertiliser'!A1", "Constants - Fertiliser")</f>
        <v>Constants - Fertiliser</v>
      </c>
      <c r="D23" s="1" t="s">
        <v>6</v>
      </c>
      <c r="E23" s="38" t="s">
        <v>75</v>
      </c>
      <c r="F23" s="2" t="s">
        <v>8</v>
      </c>
    </row>
    <row r="24" spans="1:25" ht="20.100000000000001" customHeight="1" x14ac:dyDescent="0.25">
      <c r="A24" s="17" t="str">
        <f>HYPERLINK("#'Constants - Common'!A1", "Constants - Common")</f>
        <v>Constants - Common</v>
      </c>
      <c r="D24" s="1" t="s">
        <v>34</v>
      </c>
      <c r="E24" s="32">
        <v>307.7</v>
      </c>
      <c r="F24" s="2" t="s">
        <v>48</v>
      </c>
    </row>
    <row r="25" spans="1:25" ht="20.100000000000001" customHeight="1" x14ac:dyDescent="0.25">
      <c r="A25"/>
      <c r="D25" s="1" t="s">
        <v>56</v>
      </c>
      <c r="E25" s="32">
        <v>18</v>
      </c>
      <c r="F25" s="2" t="s">
        <v>9</v>
      </c>
      <c r="N25" s="40"/>
    </row>
    <row r="26" spans="1:25" ht="20.100000000000001" customHeight="1" x14ac:dyDescent="0.25">
      <c r="A26"/>
      <c r="D26" s="1" t="s">
        <v>57</v>
      </c>
      <c r="E26" s="32">
        <v>599</v>
      </c>
      <c r="F26" s="2" t="s">
        <v>10</v>
      </c>
    </row>
    <row r="27" spans="1:25" ht="20.100000000000001" customHeight="1" x14ac:dyDescent="0.25">
      <c r="A27"/>
      <c r="D27" s="10" t="s">
        <v>58</v>
      </c>
      <c r="E27" s="32">
        <v>1326</v>
      </c>
      <c r="F27" s="2" t="s">
        <v>10</v>
      </c>
    </row>
    <row r="28" spans="1:25" ht="20.100000000000001" customHeight="1" x14ac:dyDescent="0.25">
      <c r="A28"/>
      <c r="D28" s="1" t="s">
        <v>59</v>
      </c>
      <c r="E28" s="32">
        <v>7</v>
      </c>
      <c r="F28" s="2" t="s">
        <v>49</v>
      </c>
    </row>
    <row r="29" spans="1:25" ht="20.100000000000001" customHeight="1" x14ac:dyDescent="0.25">
      <c r="A29"/>
      <c r="D29" s="10" t="s">
        <v>55</v>
      </c>
      <c r="E29" s="49">
        <f>X_Cell_Site_TotalRainfall/X_Cell_Site_PotentialEvapotranspiration</f>
        <v>0.45173453996983409</v>
      </c>
      <c r="F29" s="2"/>
    </row>
    <row r="30" spans="1:25" ht="20.100000000000001" customHeight="1" x14ac:dyDescent="0.25">
      <c r="A30"/>
      <c r="D30" s="10" t="s">
        <v>30</v>
      </c>
      <c r="E30" s="49" t="str">
        <f>Common_InputFunctions.Utility_LookupItemFromMinMax(X_Cell_Site_TotalRainfall,Table_SourceData_RainfallZones[Min rainfall],Table_SourceData_RainfallZones[Max rainfall],Table_SourceData_RainfallZones[Rainfall Zone])</f>
        <v>Low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72</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47</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dimension ref="A1:K8"/>
  <sheetViews>
    <sheetView showGridLines="0" zoomScaleNormal="100" workbookViewId="0">
      <selection activeCell="E28" sqref="E2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25.5" x14ac:dyDescent="0.35">
      <c r="A1" s="60" t="e" vm="1">
        <v>#VALUE!</v>
      </c>
      <c r="C1" s="60" t="s">
        <v>315</v>
      </c>
    </row>
    <row r="2" spans="1:11" s="9" customFormat="1" x14ac:dyDescent="0.25"/>
    <row r="3" spans="1:11" ht="20.25" x14ac:dyDescent="0.25">
      <c r="C3" s="15"/>
      <c r="D3" s="15"/>
      <c r="E3" s="15"/>
      <c r="F3" s="15"/>
      <c r="G3" s="15"/>
      <c r="H3" s="15"/>
      <c r="I3" s="15"/>
      <c r="J3" s="15"/>
      <c r="K3" s="15"/>
    </row>
    <row r="5" spans="1:11" x14ac:dyDescent="0.25">
      <c r="D5" s="1" t="s">
        <v>86</v>
      </c>
      <c r="E5" s="38" t="s">
        <v>130</v>
      </c>
      <c r="F5" s="2" t="s">
        <v>8</v>
      </c>
    </row>
    <row r="6" spans="1:11" x14ac:dyDescent="0.25">
      <c r="D6" s="1" t="s">
        <v>163</v>
      </c>
      <c r="E6" s="38" t="s">
        <v>140</v>
      </c>
      <c r="F6" s="2" t="s">
        <v>8</v>
      </c>
    </row>
    <row r="7" spans="1:11" x14ac:dyDescent="0.25">
      <c r="D7" s="1" t="s">
        <v>85</v>
      </c>
      <c r="E7" s="38" t="s">
        <v>131</v>
      </c>
      <c r="F7" s="2" t="s">
        <v>8</v>
      </c>
    </row>
    <row r="8" spans="1:11" x14ac:dyDescent="0.25">
      <c r="D8" s="1" t="s">
        <v>185</v>
      </c>
      <c r="E8" s="134">
        <v>100</v>
      </c>
      <c r="F8" s="2" t="s">
        <v>177</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78"/>
  <sheetViews>
    <sheetView showGridLines="0"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60" customFormat="1" ht="30" customHeight="1" x14ac:dyDescent="0.35">
      <c r="A1" s="60" t="e" vm="1">
        <v>#VALUE!</v>
      </c>
      <c r="C1" s="60" t="s">
        <v>296</v>
      </c>
    </row>
    <row r="2" spans="1:27" s="9" customFormat="1" ht="20.100000000000001" customHeight="1" x14ac:dyDescent="0.25">
      <c r="A2"/>
    </row>
    <row r="3" spans="1:27"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c r="Z3" s="15"/>
      <c r="AA3" s="15"/>
    </row>
    <row r="4" spans="1:27" ht="20.100000000000001" customHeight="1" x14ac:dyDescent="0.25">
      <c r="A4" s="17" t="str">
        <f>HYPERLINK("#'Overview'!A1", "Overview")</f>
        <v>Overview</v>
      </c>
    </row>
    <row r="5" spans="1:27" ht="20.100000000000001" customHeight="1" x14ac:dyDescent="0.25">
      <c r="A5" s="17" t="str">
        <f>HYPERLINK("#'Results'!A1", "Results")</f>
        <v>Results</v>
      </c>
      <c r="D5" s="6" t="s">
        <v>145</v>
      </c>
      <c r="E5" s="3"/>
      <c r="F5" s="3"/>
      <c r="G5" s="3"/>
      <c r="H5" s="3"/>
      <c r="I5" s="3"/>
      <c r="J5" s="3"/>
      <c r="K5" s="3"/>
      <c r="L5" s="3"/>
      <c r="M5" s="3"/>
    </row>
    <row r="6" spans="1:27" ht="20.100000000000001" customHeight="1" x14ac:dyDescent="0.25">
      <c r="D6" s="21"/>
      <c r="E6" s="21"/>
      <c r="F6" s="21"/>
      <c r="G6" s="21"/>
      <c r="H6" s="21"/>
      <c r="I6" s="21"/>
      <c r="J6" s="21"/>
      <c r="K6" s="21"/>
      <c r="L6" s="21"/>
      <c r="M6" s="21"/>
    </row>
    <row r="7" spans="1:27" ht="20.100000000000001" customHeight="1" x14ac:dyDescent="0.25">
      <c r="D7" s="104" t="s">
        <v>146</v>
      </c>
      <c r="E7" s="83"/>
      <c r="F7" s="83"/>
      <c r="G7" s="83"/>
      <c r="H7" s="79"/>
      <c r="I7" s="111"/>
      <c r="J7" s="112"/>
      <c r="K7" s="113"/>
      <c r="L7" s="113"/>
      <c r="M7" s="113"/>
    </row>
    <row r="8" spans="1:27" ht="20.100000000000001" customHeight="1" x14ac:dyDescent="0.25">
      <c r="A8" s="19" t="s">
        <v>0</v>
      </c>
      <c r="D8" s="85" t="s">
        <v>147</v>
      </c>
      <c r="E8" s="82"/>
      <c r="F8" s="82"/>
      <c r="G8" s="80"/>
      <c r="H8" s="136"/>
      <c r="I8" s="21"/>
      <c r="J8" s="21"/>
      <c r="K8" s="21"/>
      <c r="L8" s="21"/>
      <c r="M8" s="21"/>
    </row>
    <row r="9" spans="1:27" ht="20.100000000000001" customHeight="1" x14ac:dyDescent="0.25">
      <c r="A9" s="17" t="str">
        <f>HYPERLINK("#'Input - Site'!A1", "Site")</f>
        <v>Site</v>
      </c>
      <c r="D9" s="21"/>
      <c r="E9" s="21"/>
      <c r="F9" s="21"/>
      <c r="G9" s="21"/>
      <c r="H9" s="21"/>
      <c r="I9" s="21"/>
      <c r="J9" s="21"/>
      <c r="K9" s="21"/>
      <c r="L9" s="21"/>
      <c r="M9" s="21"/>
    </row>
    <row r="10" spans="1:27" ht="20.100000000000001" customHeight="1" x14ac:dyDescent="0.25">
      <c r="A10" s="106" t="str">
        <f>HYPERLINK("#'Input - Fertiliser'!A1", "Fertiliser")</f>
        <v>Fertiliser</v>
      </c>
      <c r="D10" s="45" t="s">
        <v>148</v>
      </c>
      <c r="E10" s="21"/>
      <c r="F10" s="21"/>
      <c r="G10" s="21"/>
      <c r="H10" s="21"/>
      <c r="I10" s="21"/>
      <c r="J10" s="21"/>
      <c r="K10" s="21"/>
      <c r="L10" s="21"/>
      <c r="M10" s="21"/>
    </row>
    <row r="11" spans="1:27" ht="20.100000000000001" customHeight="1" x14ac:dyDescent="0.25">
      <c r="D11" s="114" t="s">
        <v>149</v>
      </c>
      <c r="E11" s="115" t="s">
        <v>310</v>
      </c>
      <c r="F11" s="174" t="s">
        <v>302</v>
      </c>
      <c r="G11" s="115" t="s">
        <v>150</v>
      </c>
      <c r="H11" s="174" t="s">
        <v>303</v>
      </c>
      <c r="I11" s="115" t="s">
        <v>151</v>
      </c>
      <c r="J11" s="114" t="s">
        <v>114</v>
      </c>
      <c r="K11" s="114" t="s">
        <v>115</v>
      </c>
      <c r="L11" s="114" t="s">
        <v>116</v>
      </c>
      <c r="M11" s="114" t="s">
        <v>117</v>
      </c>
      <c r="N11" s="114" t="s">
        <v>118</v>
      </c>
      <c r="O11" s="114" t="s">
        <v>119</v>
      </c>
      <c r="P11" s="114" t="s">
        <v>120</v>
      </c>
      <c r="Q11" s="114" t="s">
        <v>121</v>
      </c>
      <c r="R11" s="114" t="s">
        <v>122</v>
      </c>
      <c r="S11" s="114" t="s">
        <v>123</v>
      </c>
      <c r="T11" s="114" t="s">
        <v>124</v>
      </c>
      <c r="U11" s="114" t="s">
        <v>125</v>
      </c>
      <c r="V11" s="114" t="s">
        <v>323</v>
      </c>
      <c r="W11" s="114" t="s">
        <v>324</v>
      </c>
      <c r="X11" s="114" t="s">
        <v>164</v>
      </c>
      <c r="Y11" s="114" t="s">
        <v>224</v>
      </c>
      <c r="Z11" s="114" t="s">
        <v>225</v>
      </c>
    </row>
    <row r="12" spans="1:27" ht="20.100000000000001" customHeight="1" x14ac:dyDescent="0.25">
      <c r="D12" s="120" t="s">
        <v>309</v>
      </c>
      <c r="E12" s="121">
        <v>100</v>
      </c>
      <c r="F12" s="49" t="str">
        <f>IFERROR(_xlfn.XLOOKUP(Table_Input_InorganicFertiliser_Brands[[#This Row],[Product (select)]],FertiliserProducts[Product],FertiliserProducts[Unit]), "kg")</f>
        <v>kg</v>
      </c>
      <c r="G12" s="121">
        <f t="shared" ref="G12:G21" si="0">X_Cell_Fertiliser_AreaUnderCropping</f>
        <v>100</v>
      </c>
      <c r="H12" s="178">
        <f>IFERROR(_xlfn.XLOOKUP(Table_Input_InorganicFertiliser_Brands[[#This Row],[Product (select)]],FertiliserProducts[Product],FertiliserProducts[Density]), 1)</f>
        <v>1</v>
      </c>
      <c r="I12" s="122">
        <f>(Table_Input_InorganicFertiliser_Brands[[#This Row],[Amount applied per hectare]]*Table_Input_InorganicFertiliser_Brands[[#This Row],[Density]])*Table_Input_InorganicFertiliser_Brands[[#This Row],[Application area (ha)]]</f>
        <v>10000</v>
      </c>
      <c r="J12" s="122"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22"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22"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22"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22"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22"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22"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22"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22"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22"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22"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22"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2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22" cm="1">
        <f t="array" ref="W12">IFERROR(Fertiliser_InputFunctions.Fertiliser_FertiliserProductLookup(Table_Input_InorganicFertiliser_Brands[[#This Row],[Product (select)]], "N declared", FertiliserProducts[#Data], FertiliserProducts[Product], FertiliserProducts[#Headers])*0.01, 0)</f>
        <v>0.46</v>
      </c>
      <c r="X12" s="12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22" t="str">
        <f>IFERROR(_xlfn.XLOOKUP(Table_Input_InorganicFertiliser_Brands[[#This Row],[Product (select)]],FertiliserProducts[Product],FertiliserProducts[Urea source]), "")</f>
        <v/>
      </c>
      <c r="Z12" s="122" t="str">
        <f>IFERROR(_xlfn.XLOOKUP(Table_Input_InorganicFertiliser_Brands[[#This Row],[Product (select)]],FertiliserProducts[Product],FertiliserProducts[Ammonia source]), "")</f>
        <v/>
      </c>
    </row>
    <row r="13" spans="1:27" ht="20.100000000000001" customHeight="1" x14ac:dyDescent="0.25">
      <c r="A13" s="18" t="s">
        <v>68</v>
      </c>
      <c r="D13" s="120" t="s">
        <v>327</v>
      </c>
      <c r="E13" s="121">
        <v>100</v>
      </c>
      <c r="F13" s="49" t="str">
        <f>IFERROR(_xlfn.XLOOKUP(Table_Input_InorganicFertiliser_Brands[[#This Row],[Product (select)]],FertiliserProducts[Product],FertiliserProducts[Unit]), "kg")</f>
        <v>kg</v>
      </c>
      <c r="G13" s="121">
        <f t="shared" si="0"/>
        <v>100</v>
      </c>
      <c r="H13" s="178">
        <f>IFERROR(_xlfn.XLOOKUP(Table_Input_InorganicFertiliser_Brands[[#This Row],[Product (select)]],FertiliserProducts[Product],FertiliserProducts[Density]), 1)</f>
        <v>1</v>
      </c>
      <c r="I13" s="122">
        <f>(Table_Input_InorganicFertiliser_Brands[[#This Row],[Amount applied per hectare]]*Table_Input_InorganicFertiliser_Brands[[#This Row],[Density]])*Table_Input_InorganicFertiliser_Brands[[#This Row],[Application area (ha)]]</f>
        <v>10000</v>
      </c>
      <c r="J13" s="122"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22"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22"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22"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22"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22"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22"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22"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22"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22"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22"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22"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2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77" cm="1">
        <f t="array" ref="W13">IFERROR(Fertiliser_InputFunctions.Fertiliser_FertiliserProductLookup(Table_Input_InorganicFertiliser_Brands[[#This Row],[Product (select)]], "N declared", FertiliserProducts[#Data], FertiliserProducts[Product], FertiliserProducts[#Headers])*0.01, 0)</f>
        <v>0.24</v>
      </c>
      <c r="X13" s="12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22" t="str">
        <f>IFERROR(_xlfn.XLOOKUP(Table_Input_InorganicFertiliser_Brands[[#This Row],[Product (select)]],FertiliserProducts[Product],FertiliserProducts[Urea source]), "")</f>
        <v/>
      </c>
      <c r="Z13" s="122" t="str">
        <f>IFERROR(_xlfn.XLOOKUP(Table_Input_InorganicFertiliser_Brands[[#This Row],[Product (select)]],FertiliserProducts[Product],FertiliserProducts[Ammonia source]), "")</f>
        <v/>
      </c>
    </row>
    <row r="14" spans="1:27" ht="20.100000000000001" customHeight="1" x14ac:dyDescent="0.25">
      <c r="A14" s="17" t="str">
        <f>HYPERLINK("#'5.1.1.1-2 Inorganic fert N2O'!A1", "5.1.1.1-2 Inorganic fert N2O")</f>
        <v>5.1.1.1-2 Inorganic fert N2O</v>
      </c>
      <c r="D14" s="120" t="s">
        <v>328</v>
      </c>
      <c r="E14" s="121">
        <v>100</v>
      </c>
      <c r="F14" s="49" t="str">
        <f>IFERROR(_xlfn.XLOOKUP(Table_Input_InorganicFertiliser_Brands[[#This Row],[Product (select)]],FertiliserProducts[Product],FertiliserProducts[Unit]), "kg")</f>
        <v>kg</v>
      </c>
      <c r="G14" s="121">
        <f t="shared" si="0"/>
        <v>100</v>
      </c>
      <c r="H14" s="178">
        <f>IFERROR(_xlfn.XLOOKUP(Table_Input_InorganicFertiliser_Brands[[#This Row],[Product (select)]],FertiliserProducts[Product],FertiliserProducts[Density]), 1)</f>
        <v>1</v>
      </c>
      <c r="I14" s="122">
        <f>(Table_Input_InorganicFertiliser_Brands[[#This Row],[Amount applied per hectare]]*Table_Input_InorganicFertiliser_Brands[[#This Row],[Density]])*Table_Input_InorganicFertiliser_Brands[[#This Row],[Application area (ha)]]</f>
        <v>10000</v>
      </c>
      <c r="J14" s="122"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22"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22"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22"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22"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22"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22"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22"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22"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22"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22"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22"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2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77" cm="1">
        <f t="array" ref="W14">IFERROR(Fertiliser_InputFunctions.Fertiliser_FertiliserProductLookup(Table_Input_InorganicFertiliser_Brands[[#This Row],[Product (select)]], "N declared", FertiliserProducts[#Data], FertiliserProducts[Product], FertiliserProducts[#Headers])*0.01, 0)</f>
        <v>0.17899999999999999</v>
      </c>
      <c r="X14" s="12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22" t="str">
        <f>IFERROR(_xlfn.XLOOKUP(Table_Input_InorganicFertiliser_Brands[[#This Row],[Product (select)]],FertiliserProducts[Product],FertiliserProducts[Urea source]), "")</f>
        <v/>
      </c>
      <c r="Z14" s="122" t="str">
        <f>IFERROR(_xlfn.XLOOKUP(Table_Input_InorganicFertiliser_Brands[[#This Row],[Product (select)]],FertiliserProducts[Product],FertiliserProducts[Ammonia source]), "")</f>
        <v/>
      </c>
    </row>
    <row r="15" spans="1:27" ht="20.100000000000001" customHeight="1" x14ac:dyDescent="0.25">
      <c r="A15" s="17" t="str">
        <f>HYPERLINK("#'5.1.1.3-4 Inorganic fert CO2'!A1", "5.1.1.3-4 Inorganic fert CO2")</f>
        <v>5.1.1.3-4 Inorganic fert CO2</v>
      </c>
      <c r="D15" s="120"/>
      <c r="E15" s="121"/>
      <c r="F15" s="49" t="str">
        <f>IFERROR(_xlfn.XLOOKUP(Table_Input_InorganicFertiliser_Brands[[#This Row],[Product (select)]],FertiliserProducts[Product],FertiliserProducts[Unit]), "kg")</f>
        <v>kg</v>
      </c>
      <c r="G15" s="121">
        <f t="shared" si="0"/>
        <v>100</v>
      </c>
      <c r="H15" s="178">
        <f>IFERROR(_xlfn.XLOOKUP(Table_Input_InorganicFertiliser_Brands[[#This Row],[Product (select)]],FertiliserProducts[Product],FertiliserProducts[Density]), 1)</f>
        <v>1</v>
      </c>
      <c r="I15" s="122">
        <f>(Table_Input_InorganicFertiliser_Brands[[#This Row],[Amount applied per hectare]]*Table_Input_InorganicFertiliser_Brands[[#This Row],[Density]])*Table_Input_InorganicFertiliser_Brands[[#This Row],[Application area (ha)]]</f>
        <v>0</v>
      </c>
      <c r="J15" s="122"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22"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22"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22"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22"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22"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22"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22"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22"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22"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22"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22"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2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77" cm="1">
        <f t="array" ref="W15">IFERROR(Fertiliser_InputFunctions.Fertiliser_FertiliserProductLookup(Table_Input_InorganicFertiliser_Brands[[#This Row],[Product (select)]], "N declared", FertiliserProducts[#Data], FertiliserProducts[Product], FertiliserProducts[#Headers])*0.01, 0)</f>
        <v>0</v>
      </c>
      <c r="X15" s="12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22" t="str">
        <f>IFERROR(_xlfn.XLOOKUP(Table_Input_InorganicFertiliser_Brands[[#This Row],[Product (select)]],FertiliserProducts[Product],FertiliserProducts[Urea source]), "")</f>
        <v/>
      </c>
      <c r="Z15" s="122" t="str">
        <f>IFERROR(_xlfn.XLOOKUP(Table_Input_InorganicFertiliser_Brands[[#This Row],[Product (select)]],FertiliserProducts[Product],FertiliserProducts[Ammonia source]), "")</f>
        <v/>
      </c>
    </row>
    <row r="16" spans="1:27" ht="20.100000000000001" customHeight="1" x14ac:dyDescent="0.25">
      <c r="A16" s="17" t="str">
        <f>HYPERLINK("#'5.2.1.1-2 Organic Fert N2O'!A1", "5.2.1.1-2 Organic Fert N2O")</f>
        <v>5.2.1.1-2 Organic Fert N2O</v>
      </c>
      <c r="D16" s="120"/>
      <c r="E16" s="121"/>
      <c r="F16" s="49" t="str">
        <f>IFERROR(_xlfn.XLOOKUP(Table_Input_InorganicFertiliser_Brands[[#This Row],[Product (select)]],FertiliserProducts[Product],FertiliserProducts[Unit]), "kg")</f>
        <v>kg</v>
      </c>
      <c r="G16" s="121">
        <f t="shared" si="0"/>
        <v>100</v>
      </c>
      <c r="H16" s="178">
        <f>IFERROR(_xlfn.XLOOKUP(Table_Input_InorganicFertiliser_Brands[[#This Row],[Product (select)]],FertiliserProducts[Product],FertiliserProducts[Density]), 1)</f>
        <v>1</v>
      </c>
      <c r="I16" s="122">
        <f>(Table_Input_InorganicFertiliser_Brands[[#This Row],[Amount applied per hectare]]*Table_Input_InorganicFertiliser_Brands[[#This Row],[Density]])*Table_Input_InorganicFertiliser_Brands[[#This Row],[Application area (ha)]]</f>
        <v>0</v>
      </c>
      <c r="J16" s="122"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22"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22"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22"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22"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22"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22"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22"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22"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22"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22"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22"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2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77" cm="1">
        <f t="array" ref="W16">IFERROR(Fertiliser_InputFunctions.Fertiliser_FertiliserProductLookup(Table_Input_InorganicFertiliser_Brands[[#This Row],[Product (select)]], "N declared", FertiliserProducts[#Data], FertiliserProducts[Product], FertiliserProducts[#Headers])*0.01, 0)</f>
        <v>0</v>
      </c>
      <c r="X16" s="12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22" t="str">
        <f>IFERROR(_xlfn.XLOOKUP(Table_Input_InorganicFertiliser_Brands[[#This Row],[Product (select)]],FertiliserProducts[Product],FertiliserProducts[Urea source]), "")</f>
        <v/>
      </c>
      <c r="Z16" s="122" t="str">
        <f>IFERROR(_xlfn.XLOOKUP(Table_Input_InorganicFertiliser_Brands[[#This Row],[Product (select)]],FertiliserProducts[Product],FertiliserProducts[Ammonia source]), "")</f>
        <v/>
      </c>
    </row>
    <row r="17" spans="1:26" ht="20.100000000000001" customHeight="1" x14ac:dyDescent="0.25">
      <c r="A17" s="17" t="str">
        <f>HYPERLINK("#'5.3.1.1-2 Lime CO2'!A1", "5.3.1.1-2 Lime CO2")</f>
        <v>5.3.1.1-2 Lime CO2</v>
      </c>
      <c r="D17" s="120"/>
      <c r="E17" s="121"/>
      <c r="F17" s="49" t="str">
        <f>IFERROR(_xlfn.XLOOKUP(Table_Input_InorganicFertiliser_Brands[[#This Row],[Product (select)]],FertiliserProducts[Product],FertiliserProducts[Unit]), "kg")</f>
        <v>kg</v>
      </c>
      <c r="G17" s="121">
        <f t="shared" si="0"/>
        <v>100</v>
      </c>
      <c r="H17" s="178">
        <f>IFERROR(_xlfn.XLOOKUP(Table_Input_InorganicFertiliser_Brands[[#This Row],[Product (select)]],FertiliserProducts[Product],FertiliserProducts[Density]), 1)</f>
        <v>1</v>
      </c>
      <c r="I17" s="122">
        <f>(Table_Input_InorganicFertiliser_Brands[[#This Row],[Amount applied per hectare]]*Table_Input_InorganicFertiliser_Brands[[#This Row],[Density]])*Table_Input_InorganicFertiliser_Brands[[#This Row],[Application area (ha)]]</f>
        <v>0</v>
      </c>
      <c r="J17" s="122"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22"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22"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22"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22"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22"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22"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22"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22"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22"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22"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22"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2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77" cm="1">
        <f t="array" ref="W17">IFERROR(Fertiliser_InputFunctions.Fertiliser_FertiliserProductLookup(Table_Input_InorganicFertiliser_Brands[[#This Row],[Product (select)]], "N declared", FertiliserProducts[#Data], FertiliserProducts[Product], FertiliserProducts[#Headers])*0.01, 0)</f>
        <v>0</v>
      </c>
      <c r="X17" s="12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22" t="str">
        <f>IFERROR(_xlfn.XLOOKUP(Table_Input_InorganicFertiliser_Brands[[#This Row],[Product (select)]],FertiliserProducts[Product],FertiliserProducts[Urea source]), "")</f>
        <v/>
      </c>
      <c r="Z17" s="122" t="str">
        <f>IFERROR(_xlfn.XLOOKUP(Table_Input_InorganicFertiliser_Brands[[#This Row],[Product (select)]],FertiliserProducts[Product],FertiliserProducts[Ammonia source]), "")</f>
        <v/>
      </c>
    </row>
    <row r="18" spans="1:26" ht="20.100000000000001" customHeight="1" x14ac:dyDescent="0.25">
      <c r="A18" s="17" t="str">
        <f>HYPERLINK("#'5.4.1.1-4 Atmos deposition'!A1", "5.4.1.1-4 Atmos deposition")</f>
        <v>5.4.1.1-4 Atmos deposition</v>
      </c>
      <c r="D18" s="120"/>
      <c r="E18" s="121"/>
      <c r="F18" s="49" t="str">
        <f>IFERROR(_xlfn.XLOOKUP(Table_Input_InorganicFertiliser_Brands[[#This Row],[Product (select)]],FertiliserProducts[Product],FertiliserProducts[Unit]), "kg")</f>
        <v>kg</v>
      </c>
      <c r="G18" s="121">
        <f t="shared" si="0"/>
        <v>100</v>
      </c>
      <c r="H18" s="178">
        <f>IFERROR(_xlfn.XLOOKUP(Table_Input_InorganicFertiliser_Brands[[#This Row],[Product (select)]],FertiliserProducts[Product],FertiliserProducts[Density]), 1)</f>
        <v>1</v>
      </c>
      <c r="I18" s="122">
        <f>(Table_Input_InorganicFertiliser_Brands[[#This Row],[Amount applied per hectare]]*Table_Input_InorganicFertiliser_Brands[[#This Row],[Density]])*Table_Input_InorganicFertiliser_Brands[[#This Row],[Application area (ha)]]</f>
        <v>0</v>
      </c>
      <c r="J18" s="122"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22"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22"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22"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22"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22"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22"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22"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22"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22"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22"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22"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2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77" cm="1">
        <f t="array" ref="W18">IFERROR(Fertiliser_InputFunctions.Fertiliser_FertiliserProductLookup(Table_Input_InorganicFertiliser_Brands[[#This Row],[Product (select)]], "N declared", FertiliserProducts[#Data], FertiliserProducts[Product], FertiliserProducts[#Headers])*0.01, 0)</f>
        <v>0</v>
      </c>
      <c r="X18" s="12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22" t="str">
        <f>IFERROR(_xlfn.XLOOKUP(Table_Input_InorganicFertiliser_Brands[[#This Row],[Product (select)]],FertiliserProducts[Product],FertiliserProducts[Urea source]), "")</f>
        <v/>
      </c>
      <c r="Z18" s="122" t="str">
        <f>IFERROR(_xlfn.XLOOKUP(Table_Input_InorganicFertiliser_Brands[[#This Row],[Product (select)]],FertiliserProducts[Product],FertiliserProducts[Ammonia source]), "")</f>
        <v/>
      </c>
    </row>
    <row r="19" spans="1:26" ht="20.100000000000001" customHeight="1" x14ac:dyDescent="0.25">
      <c r="A19" s="17" t="str">
        <f>HYPERLINK("#'5.5.1.1-2 Leaching and runoff'!A1", "5.5.1.1-2 Leaching and runoff")</f>
        <v>5.5.1.1-2 Leaching and runoff</v>
      </c>
      <c r="D19" s="120"/>
      <c r="E19" s="121"/>
      <c r="F19" s="49" t="str">
        <f>IFERROR(_xlfn.XLOOKUP(Table_Input_InorganicFertiliser_Brands[[#This Row],[Product (select)]],FertiliserProducts[Product],FertiliserProducts[Unit]), "kg")</f>
        <v>kg</v>
      </c>
      <c r="G19" s="121">
        <f t="shared" si="0"/>
        <v>100</v>
      </c>
      <c r="H19" s="178">
        <f>IFERROR(_xlfn.XLOOKUP(Table_Input_InorganicFertiliser_Brands[[#This Row],[Product (select)]],FertiliserProducts[Product],FertiliserProducts[Density]), 1)</f>
        <v>1</v>
      </c>
      <c r="I19" s="122">
        <f>(Table_Input_InorganicFertiliser_Brands[[#This Row],[Amount applied per hectare]]*Table_Input_InorganicFertiliser_Brands[[#This Row],[Density]])*Table_Input_InorganicFertiliser_Brands[[#This Row],[Application area (ha)]]</f>
        <v>0</v>
      </c>
      <c r="J19" s="122"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22"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22"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22"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22"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22"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22"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22"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22"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22"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22"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22"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2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77" cm="1">
        <f t="array" ref="W19">IFERROR(Fertiliser_InputFunctions.Fertiliser_FertiliserProductLookup(Table_Input_InorganicFertiliser_Brands[[#This Row],[Product (select)]], "N declared", FertiliserProducts[#Data], FertiliserProducts[Product], FertiliserProducts[#Headers])*0.01, 0)</f>
        <v>0</v>
      </c>
      <c r="X19" s="12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22" t="str">
        <f>IFERROR(_xlfn.XLOOKUP(Table_Input_InorganicFertiliser_Brands[[#This Row],[Product (select)]],FertiliserProducts[Product],FertiliserProducts[Urea source]), "")</f>
        <v/>
      </c>
      <c r="Z19" s="122" t="str">
        <f>IFERROR(_xlfn.XLOOKUP(Table_Input_InorganicFertiliser_Brands[[#This Row],[Product (select)]],FertiliserProducts[Product],FertiliserProducts[Ammonia source]), "")</f>
        <v/>
      </c>
    </row>
    <row r="20" spans="1:26" ht="20.100000000000001" customHeight="1" x14ac:dyDescent="0.25">
      <c r="D20" s="120"/>
      <c r="E20" s="121"/>
      <c r="F20" s="49" t="str">
        <f>IFERROR(_xlfn.XLOOKUP(Table_Input_InorganicFertiliser_Brands[[#This Row],[Product (select)]],FertiliserProducts[Product],FertiliserProducts[Unit]), "kg")</f>
        <v>kg</v>
      </c>
      <c r="G20" s="121">
        <f t="shared" si="0"/>
        <v>100</v>
      </c>
      <c r="H20" s="178">
        <f>IFERROR(_xlfn.XLOOKUP(Table_Input_InorganicFertiliser_Brands[[#This Row],[Product (select)]],FertiliserProducts[Product],FertiliserProducts[Density]), 1)</f>
        <v>1</v>
      </c>
      <c r="I20" s="122">
        <f>(Table_Input_InorganicFertiliser_Brands[[#This Row],[Amount applied per hectare]]*Table_Input_InorganicFertiliser_Brands[[#This Row],[Density]])*Table_Input_InorganicFertiliser_Brands[[#This Row],[Application area (ha)]]</f>
        <v>0</v>
      </c>
      <c r="J20" s="122"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22"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22"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22"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22"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22"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22"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22"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22"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22"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22"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22"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2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77" cm="1">
        <f t="array" ref="W20">IFERROR(Fertiliser_InputFunctions.Fertiliser_FertiliserProductLookup(Table_Input_InorganicFertiliser_Brands[[#This Row],[Product (select)]], "N declared", FertiliserProducts[#Data], FertiliserProducts[Product], FertiliserProducts[#Headers])*0.01, 0)</f>
        <v>0</v>
      </c>
      <c r="X20" s="12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22" t="str">
        <f>IFERROR(_xlfn.XLOOKUP(Table_Input_InorganicFertiliser_Brands[[#This Row],[Product (select)]],FertiliserProducts[Product],FertiliserProducts[Urea source]), "")</f>
        <v/>
      </c>
      <c r="Z20" s="122" t="str">
        <f>IFERROR(_xlfn.XLOOKUP(Table_Input_InorganicFertiliser_Brands[[#This Row],[Product (select)]],FertiliserProducts[Product],FertiliserProducts[Ammonia source]), "")</f>
        <v/>
      </c>
    </row>
    <row r="21" spans="1:26" ht="20.100000000000001" customHeight="1" x14ac:dyDescent="0.25">
      <c r="D21" s="120"/>
      <c r="E21" s="121"/>
      <c r="F21" s="49" t="str">
        <f>IFERROR(_xlfn.XLOOKUP(Table_Input_InorganicFertiliser_Brands[[#This Row],[Product (select)]],FertiliserProducts[Product],FertiliserProducts[Unit]), "kg")</f>
        <v>kg</v>
      </c>
      <c r="G21" s="121">
        <f t="shared" si="0"/>
        <v>100</v>
      </c>
      <c r="H21" s="178">
        <f>IFERROR(_xlfn.XLOOKUP(Table_Input_InorganicFertiliser_Brands[[#This Row],[Product (select)]],FertiliserProducts[Product],FertiliserProducts[Density]), 1)</f>
        <v>1</v>
      </c>
      <c r="I21" s="122">
        <f>(Table_Input_InorganicFertiliser_Brands[[#This Row],[Amount applied per hectare]]*Table_Input_InorganicFertiliser_Brands[[#This Row],[Density]])*Table_Input_InorganicFertiliser_Brands[[#This Row],[Application area (ha)]]</f>
        <v>0</v>
      </c>
      <c r="J21" s="122"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22"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22"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22"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22"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22"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22"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22"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22"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22"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22"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22"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2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77" cm="1">
        <f t="array" ref="W21">IFERROR(Fertiliser_InputFunctions.Fertiliser_FertiliserProductLookup(Table_Input_InorganicFertiliser_Brands[[#This Row],[Product (select)]], "N declared", FertiliserProducts[#Data], FertiliserProducts[Product], FertiliserProducts[#Headers])*0.01, 0)</f>
        <v>0</v>
      </c>
      <c r="X21" s="12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22" t="str">
        <f>IFERROR(_xlfn.XLOOKUP(Table_Input_InorganicFertiliser_Brands[[#This Row],[Product (select)]],FertiliserProducts[Product],FertiliserProducts[Urea source]), "")</f>
        <v/>
      </c>
      <c r="Z21" s="122" t="str">
        <f>IFERROR(_xlfn.XLOOKUP(Table_Input_InorganicFertiliser_Brands[[#This Row],[Product (select)]],FertiliserProducts[Product],FertiliserProducts[Ammonia source]), "")</f>
        <v/>
      </c>
    </row>
    <row r="22" spans="1:26" ht="20.100000000000001" customHeight="1" x14ac:dyDescent="0.25">
      <c r="A22" s="175" t="s">
        <v>1</v>
      </c>
      <c r="D22" s="123"/>
      <c r="E22" s="124"/>
      <c r="F22" s="125"/>
      <c r="G22" s="125"/>
      <c r="H22" s="125"/>
      <c r="I22" s="125"/>
      <c r="J22" s="126"/>
      <c r="K22" s="126"/>
      <c r="L22" s="127"/>
      <c r="M22" s="127"/>
      <c r="N22" s="128"/>
      <c r="O22" s="128"/>
      <c r="P22" s="128"/>
      <c r="Q22" s="128"/>
      <c r="R22" s="128"/>
      <c r="S22" s="128"/>
      <c r="T22" s="128"/>
      <c r="U22" s="128"/>
      <c r="V22" s="128"/>
      <c r="W22" s="128"/>
      <c r="X22" s="128"/>
    </row>
    <row r="23" spans="1:26" ht="20.100000000000001" customHeight="1" x14ac:dyDescent="0.25">
      <c r="A23" s="17" t="str">
        <f>HYPERLINK("#'Constants - Fertiliser'!A1", "Constants - Fertiliser")</f>
        <v>Constants - Fertiliser</v>
      </c>
      <c r="D23" s="129" t="s">
        <v>152</v>
      </c>
      <c r="E23" s="130"/>
      <c r="F23" s="130"/>
      <c r="G23" s="130"/>
      <c r="H23" s="130"/>
      <c r="I23" s="130"/>
      <c r="J23" s="130"/>
      <c r="K23" s="130"/>
      <c r="L23" s="130"/>
      <c r="M23" s="130"/>
      <c r="N23" s="128"/>
      <c r="O23" s="128"/>
      <c r="P23" s="128"/>
      <c r="Q23" s="128"/>
      <c r="R23" s="128"/>
      <c r="S23" s="128"/>
      <c r="T23" s="128"/>
      <c r="V23" s="128"/>
      <c r="W23" s="128"/>
      <c r="X23" s="128"/>
    </row>
    <row r="24" spans="1:26" ht="20.100000000000001" customHeight="1" x14ac:dyDescent="0.25">
      <c r="A24" s="17" t="str">
        <f>HYPERLINK("#'Constants - Common'!A1", "Constants - Common")</f>
        <v>Constants - Common</v>
      </c>
      <c r="D24" s="115" t="s">
        <v>153</v>
      </c>
      <c r="E24" s="115" t="s">
        <v>158</v>
      </c>
      <c r="F24" s="115" t="s">
        <v>150</v>
      </c>
      <c r="G24" s="115" t="s">
        <v>151</v>
      </c>
      <c r="H24" s="115" t="s">
        <v>154</v>
      </c>
      <c r="I24" s="115" t="s">
        <v>115</v>
      </c>
      <c r="J24" s="115" t="s">
        <v>116</v>
      </c>
      <c r="K24" s="115" t="s">
        <v>117</v>
      </c>
      <c r="L24" s="115" t="s">
        <v>118</v>
      </c>
      <c r="M24" s="115" t="s">
        <v>119</v>
      </c>
      <c r="N24" s="115" t="s">
        <v>120</v>
      </c>
      <c r="O24" s="115" t="s">
        <v>121</v>
      </c>
      <c r="P24" s="115" t="s">
        <v>164</v>
      </c>
      <c r="Q24" s="173" t="s">
        <v>304</v>
      </c>
      <c r="R24" s="173" t="s">
        <v>305</v>
      </c>
      <c r="S24" s="128"/>
      <c r="T24" s="128"/>
      <c r="V24" s="128"/>
      <c r="W24" s="128"/>
      <c r="X24" s="128"/>
    </row>
    <row r="25" spans="1:26" ht="20.100000000000001" customHeight="1" x14ac:dyDescent="0.25">
      <c r="D25" s="32" t="s">
        <v>155</v>
      </c>
      <c r="E25" s="115">
        <v>100</v>
      </c>
      <c r="F25" s="121">
        <f t="shared" ref="F25:F34" si="1">X_Cell_Fertiliser_AreaUnderCropping</f>
        <v>100</v>
      </c>
      <c r="G25" s="122">
        <f>Table_Input_InorganicFertiliser_Custom[[#This Row],[Amount applied (kg / ha)]]*Table_Input_InorganicFertiliser_Custom[[#This Row],[Application area (ha)]]</f>
        <v>10000</v>
      </c>
      <c r="H25" s="132" t="s">
        <v>306</v>
      </c>
      <c r="I25" s="135">
        <v>0.5</v>
      </c>
      <c r="J25" s="132" t="s">
        <v>307</v>
      </c>
      <c r="K25" s="135">
        <v>0.2</v>
      </c>
      <c r="L25" s="132" t="s">
        <v>156</v>
      </c>
      <c r="M25" s="135">
        <v>0.2</v>
      </c>
      <c r="N25" s="133" t="s">
        <v>157</v>
      </c>
      <c r="O25" s="163">
        <v>0.1</v>
      </c>
      <c r="P25"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38"/>
      <c r="R25" s="38"/>
      <c r="T25" s="50"/>
      <c r="V25" s="128"/>
    </row>
    <row r="26" spans="1:26" ht="20.100000000000001" customHeight="1" x14ac:dyDescent="0.25">
      <c r="D26" s="32" t="s">
        <v>308</v>
      </c>
      <c r="E26" s="115">
        <v>100</v>
      </c>
      <c r="F26" s="121">
        <f t="shared" si="1"/>
        <v>100</v>
      </c>
      <c r="G26" s="122">
        <f>Table_Input_InorganicFertiliser_Custom[[#This Row],[Amount applied (kg / ha)]]*Table_Input_InorganicFertiliser_Custom[[#This Row],[Application area (ha)]]</f>
        <v>10000</v>
      </c>
      <c r="H26" s="132" t="s">
        <v>309</v>
      </c>
      <c r="I26" s="164">
        <v>1</v>
      </c>
      <c r="J26" s="132"/>
      <c r="K26" s="164"/>
      <c r="L26" s="132"/>
      <c r="M26" s="164"/>
      <c r="N26" s="133"/>
      <c r="O26" s="163"/>
      <c r="P26"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38"/>
      <c r="R26" s="38"/>
      <c r="V26" s="128"/>
      <c r="W26" s="50"/>
    </row>
    <row r="27" spans="1:26" ht="20.100000000000001" customHeight="1" x14ac:dyDescent="0.25">
      <c r="D27" s="32" t="s">
        <v>312</v>
      </c>
      <c r="E27" s="115">
        <v>100</v>
      </c>
      <c r="F27" s="121">
        <f t="shared" si="1"/>
        <v>100</v>
      </c>
      <c r="G27" s="122">
        <f>Table_Input_InorganicFertiliser_Custom[[#This Row],[Amount applied (kg / ha)]]*Table_Input_InorganicFertiliser_Custom[[#This Row],[Application area (ha)]]</f>
        <v>10000</v>
      </c>
      <c r="H27" s="132" t="s">
        <v>313</v>
      </c>
      <c r="I27" s="164">
        <v>0.5</v>
      </c>
      <c r="J27" s="132"/>
      <c r="K27" s="164"/>
      <c r="L27" s="132"/>
      <c r="M27" s="164"/>
      <c r="N27" s="133"/>
      <c r="O27" s="163"/>
      <c r="P27"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38"/>
      <c r="R27" s="38"/>
      <c r="V27" s="128"/>
    </row>
    <row r="28" spans="1:26" ht="20.100000000000001" customHeight="1" x14ac:dyDescent="0.25">
      <c r="D28" s="32"/>
      <c r="E28" s="115"/>
      <c r="F28" s="179">
        <f t="shared" si="1"/>
        <v>100</v>
      </c>
      <c r="G28" s="122">
        <f>Table_Input_InorganicFertiliser_Custom[[#This Row],[Amount applied (kg / ha)]]*Table_Input_InorganicFertiliser_Custom[[#This Row],[Application area (ha)]]</f>
        <v>0</v>
      </c>
      <c r="H28" s="132"/>
      <c r="I28" s="164"/>
      <c r="J28" s="132"/>
      <c r="K28" s="164"/>
      <c r="L28" s="132"/>
      <c r="M28" s="164"/>
      <c r="N28" s="133"/>
      <c r="O28" s="163"/>
      <c r="P28"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38"/>
      <c r="R28" s="38"/>
      <c r="V28" s="50"/>
    </row>
    <row r="29" spans="1:26" ht="20.100000000000001" customHeight="1" x14ac:dyDescent="0.25">
      <c r="D29" s="32"/>
      <c r="E29" s="115"/>
      <c r="F29" s="179">
        <f t="shared" si="1"/>
        <v>100</v>
      </c>
      <c r="G29" s="122">
        <f>Table_Input_InorganicFertiliser_Custom[[#This Row],[Amount applied (kg / ha)]]*Table_Input_InorganicFertiliser_Custom[[#This Row],[Application area (ha)]]</f>
        <v>0</v>
      </c>
      <c r="H29" s="132"/>
      <c r="I29" s="164"/>
      <c r="J29" s="132"/>
      <c r="K29" s="164"/>
      <c r="L29" s="132"/>
      <c r="M29" s="164"/>
      <c r="N29" s="133"/>
      <c r="O29" s="163"/>
      <c r="P29"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38"/>
      <c r="R29" s="38"/>
    </row>
    <row r="30" spans="1:26" ht="20.100000000000001" customHeight="1" x14ac:dyDescent="0.25">
      <c r="D30" s="32"/>
      <c r="E30" s="115"/>
      <c r="F30" s="179">
        <f t="shared" si="1"/>
        <v>100</v>
      </c>
      <c r="G30" s="122">
        <f>Table_Input_InorganicFertiliser_Custom[[#This Row],[Amount applied (kg / ha)]]*Table_Input_InorganicFertiliser_Custom[[#This Row],[Application area (ha)]]</f>
        <v>0</v>
      </c>
      <c r="H30" s="132"/>
      <c r="I30" s="164"/>
      <c r="J30" s="132"/>
      <c r="K30" s="164"/>
      <c r="L30" s="132"/>
      <c r="M30" s="164"/>
      <c r="N30" s="133"/>
      <c r="O30" s="163"/>
      <c r="P30"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38"/>
      <c r="R30" s="38"/>
    </row>
    <row r="31" spans="1:26" ht="20.100000000000001" customHeight="1" x14ac:dyDescent="0.25">
      <c r="D31" s="32"/>
      <c r="E31" s="115"/>
      <c r="F31" s="179">
        <f t="shared" si="1"/>
        <v>100</v>
      </c>
      <c r="G31" s="122">
        <f>Table_Input_InorganicFertiliser_Custom[[#This Row],[Amount applied (kg / ha)]]*Table_Input_InorganicFertiliser_Custom[[#This Row],[Application area (ha)]]</f>
        <v>0</v>
      </c>
      <c r="H31" s="132"/>
      <c r="I31" s="164"/>
      <c r="J31" s="132"/>
      <c r="K31" s="164"/>
      <c r="L31" s="132"/>
      <c r="M31" s="164"/>
      <c r="N31" s="133"/>
      <c r="O31" s="163"/>
      <c r="P31"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38"/>
      <c r="R31" s="38"/>
    </row>
    <row r="32" spans="1:26" ht="20.100000000000001" customHeight="1" x14ac:dyDescent="0.25">
      <c r="D32" s="32"/>
      <c r="E32" s="115"/>
      <c r="F32" s="179">
        <f t="shared" si="1"/>
        <v>100</v>
      </c>
      <c r="G32" s="122">
        <f>Table_Input_InorganicFertiliser_Custom[[#This Row],[Amount applied (kg / ha)]]*Table_Input_InorganicFertiliser_Custom[[#This Row],[Application area (ha)]]</f>
        <v>0</v>
      </c>
      <c r="H32" s="132"/>
      <c r="I32" s="164"/>
      <c r="J32" s="132"/>
      <c r="K32" s="164"/>
      <c r="L32" s="132"/>
      <c r="M32" s="164"/>
      <c r="N32" s="133"/>
      <c r="O32" s="163"/>
      <c r="P32"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38"/>
      <c r="R32" s="38"/>
    </row>
    <row r="33" spans="1:27" ht="20.100000000000001" customHeight="1" x14ac:dyDescent="0.25">
      <c r="D33" s="32"/>
      <c r="E33" s="115"/>
      <c r="F33" s="179">
        <f t="shared" si="1"/>
        <v>100</v>
      </c>
      <c r="G33" s="122">
        <f>Table_Input_InorganicFertiliser_Custom[[#This Row],[Amount applied (kg / ha)]]*Table_Input_InorganicFertiliser_Custom[[#This Row],[Application area (ha)]]</f>
        <v>0</v>
      </c>
      <c r="H33" s="132"/>
      <c r="I33" s="164"/>
      <c r="J33" s="132"/>
      <c r="K33" s="164"/>
      <c r="L33" s="132"/>
      <c r="M33" s="164"/>
      <c r="N33" s="133"/>
      <c r="O33" s="163"/>
      <c r="P33"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38"/>
      <c r="R33" s="38"/>
    </row>
    <row r="34" spans="1:27" ht="20.100000000000001" customHeight="1" x14ac:dyDescent="0.25">
      <c r="D34" s="32"/>
      <c r="E34" s="115"/>
      <c r="F34" s="179">
        <f t="shared" si="1"/>
        <v>100</v>
      </c>
      <c r="G34" s="122">
        <f>Table_Input_InorganicFertiliser_Custom[[#This Row],[Amount applied (kg / ha)]]*Table_Input_InorganicFertiliser_Custom[[#This Row],[Application area (ha)]]</f>
        <v>0</v>
      </c>
      <c r="H34" s="132"/>
      <c r="I34" s="164"/>
      <c r="J34" s="132"/>
      <c r="K34" s="164"/>
      <c r="L34" s="132"/>
      <c r="M34" s="164"/>
      <c r="N34" s="133"/>
      <c r="O34" s="163"/>
      <c r="P34"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38"/>
      <c r="R34" s="38"/>
    </row>
    <row r="35" spans="1:27" ht="20.100000000000001" customHeight="1" x14ac:dyDescent="0.25"/>
    <row r="36" spans="1:27" ht="20.100000000000001" customHeight="1" x14ac:dyDescent="0.25">
      <c r="D36" s="6" t="s">
        <v>258</v>
      </c>
      <c r="E36" s="3"/>
      <c r="F36" s="3"/>
      <c r="G36" s="3"/>
      <c r="H36" s="3"/>
      <c r="I36" s="3"/>
      <c r="J36" s="3"/>
      <c r="K36" s="21"/>
      <c r="L36" s="21"/>
      <c r="M36" s="21"/>
    </row>
    <row r="37" spans="1:27" ht="20.100000000000001" customHeight="1" x14ac:dyDescent="0.25">
      <c r="D37" s="104" t="s">
        <v>186</v>
      </c>
      <c r="E37" s="83"/>
      <c r="F37" s="79"/>
      <c r="G37" s="104"/>
      <c r="H37" s="79"/>
      <c r="I37" s="3"/>
      <c r="J37" s="3"/>
      <c r="K37" s="21"/>
      <c r="L37" s="21"/>
      <c r="M37" s="3"/>
    </row>
    <row r="38" spans="1:27" ht="20.100000000000001" customHeight="1" x14ac:dyDescent="0.25">
      <c r="C38" s="128"/>
      <c r="D38" s="156" t="s">
        <v>187</v>
      </c>
      <c r="E38" s="157"/>
      <c r="F38" s="158"/>
      <c r="G38" s="156"/>
      <c r="H38" s="158"/>
      <c r="I38" s="21"/>
      <c r="J38" s="21"/>
      <c r="K38" s="21"/>
      <c r="L38" s="21"/>
      <c r="M38" s="21"/>
    </row>
    <row r="39" spans="1:27" ht="20.100000000000001" customHeight="1" x14ac:dyDescent="0.25">
      <c r="C39" s="128"/>
      <c r="D39" s="85" t="s">
        <v>147</v>
      </c>
      <c r="E39" s="82"/>
      <c r="F39" s="82"/>
      <c r="G39" s="82"/>
      <c r="H39" s="80"/>
      <c r="I39" s="21"/>
      <c r="J39" s="21"/>
      <c r="K39" s="21"/>
      <c r="L39" s="21"/>
      <c r="M39" s="3"/>
    </row>
    <row r="40" spans="1:27" s="131" customFormat="1" ht="20.100000000000001" customHeight="1" x14ac:dyDescent="0.25">
      <c r="A40"/>
      <c r="C40" s="1"/>
      <c r="D40" s="97" t="str">
        <f>IF(MAX(Table_Input_Lime[Total]) &gt; 1, "There can not be more than 100% ingredients in a product. Check the table below.", "")</f>
        <v/>
      </c>
      <c r="E40" s="1"/>
      <c r="F40" s="1"/>
      <c r="G40" s="1"/>
      <c r="H40" s="1"/>
      <c r="I40" s="1"/>
      <c r="J40" s="1"/>
      <c r="K40" s="1"/>
      <c r="L40" s="21"/>
      <c r="M40" s="3"/>
      <c r="N40" s="1"/>
      <c r="O40" s="1"/>
      <c r="P40" s="1"/>
      <c r="Q40" s="1"/>
      <c r="R40" s="1"/>
      <c r="S40" s="1"/>
      <c r="T40" s="1"/>
      <c r="U40" s="1"/>
      <c r="V40" s="1"/>
      <c r="W40" s="1"/>
      <c r="X40" s="1"/>
      <c r="Y40" s="1"/>
      <c r="Z40" s="1"/>
      <c r="AA40" s="1"/>
    </row>
    <row r="41" spans="1:27" s="131" customFormat="1" ht="20.100000000000001" customHeight="1" x14ac:dyDescent="0.25">
      <c r="A41"/>
      <c r="C41" s="1"/>
      <c r="D41" s="138" t="s">
        <v>113</v>
      </c>
      <c r="E41" s="138" t="s">
        <v>188</v>
      </c>
      <c r="F41" s="138" t="s">
        <v>150</v>
      </c>
      <c r="G41" s="138" t="s">
        <v>189</v>
      </c>
      <c r="H41" s="138" t="s">
        <v>190</v>
      </c>
      <c r="I41" s="138" t="s">
        <v>191</v>
      </c>
      <c r="J41" s="138" t="s">
        <v>192</v>
      </c>
      <c r="K41" s="138" t="s">
        <v>87</v>
      </c>
      <c r="L41" s="1"/>
      <c r="M41" s="1"/>
      <c r="N41" s="1"/>
      <c r="O41" s="1"/>
      <c r="P41" s="1"/>
      <c r="Q41" s="1"/>
      <c r="R41" s="1"/>
      <c r="S41" s="128"/>
      <c r="T41" s="1"/>
      <c r="U41" s="1"/>
      <c r="V41" s="1"/>
      <c r="W41" s="1"/>
      <c r="X41" s="1"/>
      <c r="Y41" s="1"/>
      <c r="Z41" s="1"/>
      <c r="AA41" s="1"/>
    </row>
    <row r="42" spans="1:27" ht="20.100000000000001" customHeight="1" x14ac:dyDescent="0.25">
      <c r="D42" s="139" t="s">
        <v>256</v>
      </c>
      <c r="E42" s="121">
        <v>1</v>
      </c>
      <c r="F42" s="121">
        <f>X_Cell_Fertiliser_AreaUnderCropping</f>
        <v>100</v>
      </c>
      <c r="G42" s="122">
        <f>IFERROR(Table_Input_Lime[[#This Row],[Amount applied (t/hectare)]]*Table_Input_Lime[[#This Row],[Application area (ha)]], 0)</f>
        <v>100</v>
      </c>
      <c r="H42" s="140">
        <v>0.8</v>
      </c>
      <c r="I42" s="140">
        <v>0.1</v>
      </c>
      <c r="J42" s="140">
        <v>0.1</v>
      </c>
      <c r="K42" s="159">
        <f>SUM(Table_Input_Lime[[#This Row],[Percent Lime CaCO3]:[Percent Gypsum]])</f>
        <v>1</v>
      </c>
      <c r="S42" s="128"/>
    </row>
    <row r="43" spans="1:27" ht="20.100000000000001" customHeight="1" x14ac:dyDescent="0.25">
      <c r="D43" s="139" t="s">
        <v>257</v>
      </c>
      <c r="E43" s="121">
        <v>1</v>
      </c>
      <c r="F43" s="121">
        <f>X_Cell_Fertiliser_AreaUnderCropping</f>
        <v>100</v>
      </c>
      <c r="G43" s="122">
        <f>IFERROR(Table_Input_Lime[[#This Row],[Amount applied (t/hectare)]]*Table_Input_Lime[[#This Row],[Application area (ha)]], 0)</f>
        <v>100</v>
      </c>
      <c r="H43" s="140">
        <v>1</v>
      </c>
      <c r="I43" s="140"/>
      <c r="J43" s="140"/>
      <c r="K43" s="159">
        <f>SUM(Table_Input_Lime[[#This Row],[Percent Lime CaCO3]:[Percent Gypsum]])</f>
        <v>1</v>
      </c>
    </row>
    <row r="44" spans="1:27" ht="20.100000000000001" customHeight="1" x14ac:dyDescent="0.25">
      <c r="D44" s="139" t="s">
        <v>314</v>
      </c>
      <c r="E44" s="121">
        <v>1</v>
      </c>
      <c r="F44" s="121">
        <f>X_Cell_Fertiliser_AreaUnderCropping</f>
        <v>100</v>
      </c>
      <c r="G44" s="122">
        <f>IFERROR(Table_Input_Lime[[#This Row],[Amount applied (t/hectare)]]*Table_Input_Lime[[#This Row],[Application area (ha)]], 0)</f>
        <v>100</v>
      </c>
      <c r="H44" s="140">
        <v>0</v>
      </c>
      <c r="I44" s="140"/>
      <c r="J44" s="140">
        <v>1</v>
      </c>
      <c r="K44" s="159">
        <f>SUM(Table_Input_Lime[[#This Row],[Percent Lime CaCO3]:[Percent Gypsum]])</f>
        <v>1</v>
      </c>
      <c r="L44" s="3"/>
    </row>
    <row r="45" spans="1:27" ht="20.100000000000001" customHeight="1" x14ac:dyDescent="0.25">
      <c r="L45" s="3"/>
      <c r="M45" s="3"/>
    </row>
    <row r="46" spans="1:27" ht="20.100000000000001" customHeight="1" x14ac:dyDescent="0.25">
      <c r="D46" s="21"/>
      <c r="E46" s="21"/>
      <c r="F46" s="21"/>
      <c r="G46" s="21"/>
      <c r="H46" s="21"/>
      <c r="I46" s="21"/>
      <c r="J46" s="21"/>
      <c r="L46" s="21"/>
      <c r="M46" s="3"/>
    </row>
    <row r="47" spans="1:27" ht="20.100000000000001" customHeight="1" x14ac:dyDescent="0.25">
      <c r="D47" s="21"/>
      <c r="E47" s="21"/>
      <c r="F47" s="21"/>
      <c r="G47" s="21"/>
      <c r="H47" s="21"/>
      <c r="I47" s="21"/>
      <c r="J47" s="137"/>
      <c r="K47" s="3"/>
      <c r="L47" s="21"/>
      <c r="M47" s="21"/>
    </row>
    <row r="48" spans="1:27" ht="20.100000000000001" customHeight="1" x14ac:dyDescent="0.25">
      <c r="D48" s="6" t="s">
        <v>326</v>
      </c>
      <c r="E48" s="3"/>
      <c r="F48" s="3"/>
      <c r="G48" s="3"/>
      <c r="H48" s="21"/>
      <c r="I48" s="21"/>
      <c r="J48" s="21"/>
      <c r="K48" s="21"/>
      <c r="L48" s="21"/>
      <c r="M48" s="21"/>
    </row>
    <row r="49" spans="4:18" ht="20.100000000000001" customHeight="1" x14ac:dyDescent="0.25">
      <c r="D49" s="21"/>
      <c r="E49" s="21"/>
      <c r="F49" s="21"/>
      <c r="G49" s="21"/>
      <c r="H49" s="21"/>
      <c r="I49" s="21"/>
      <c r="J49" s="21"/>
      <c r="K49" s="21"/>
      <c r="L49" s="21"/>
      <c r="M49" s="21"/>
      <c r="Q49" s="128"/>
      <c r="R49" s="128"/>
    </row>
    <row r="50" spans="4:18" ht="20.100000000000001" customHeight="1" x14ac:dyDescent="0.25">
      <c r="D50" s="104" t="s">
        <v>186</v>
      </c>
      <c r="E50" s="83"/>
      <c r="F50" s="83"/>
      <c r="G50" s="83"/>
      <c r="H50" s="79"/>
      <c r="I50" s="21"/>
      <c r="J50" s="21"/>
      <c r="K50" s="21"/>
      <c r="L50" s="21"/>
      <c r="M50" s="21"/>
      <c r="O50" s="128"/>
      <c r="P50" s="128"/>
      <c r="Q50" s="128"/>
      <c r="R50" s="128"/>
    </row>
    <row r="51" spans="4:18" ht="20.100000000000001" customHeight="1" x14ac:dyDescent="0.25">
      <c r="D51" s="85" t="s">
        <v>147</v>
      </c>
      <c r="E51" s="82"/>
      <c r="F51" s="82"/>
      <c r="G51" s="82"/>
      <c r="H51" s="80"/>
      <c r="I51" s="21"/>
      <c r="J51" s="21"/>
      <c r="K51" s="21"/>
      <c r="L51" s="130"/>
      <c r="M51" s="128"/>
      <c r="N51" s="128"/>
      <c r="O51" s="128"/>
      <c r="P51" s="128"/>
    </row>
    <row r="52" spans="4:18" ht="20.100000000000001" customHeight="1" x14ac:dyDescent="0.25">
      <c r="D52" s="21"/>
      <c r="E52" s="21"/>
      <c r="F52" s="21"/>
      <c r="G52" s="21"/>
      <c r="H52" s="21"/>
      <c r="I52" s="21"/>
      <c r="J52" s="21"/>
      <c r="K52" s="21"/>
      <c r="L52" s="130"/>
      <c r="M52" s="128"/>
      <c r="N52" s="128"/>
    </row>
    <row r="53" spans="4:18" ht="20.100000000000001" customHeight="1" x14ac:dyDescent="0.25">
      <c r="D53" s="138" t="s">
        <v>193</v>
      </c>
      <c r="E53" s="138" t="s">
        <v>194</v>
      </c>
      <c r="F53" s="138" t="s">
        <v>195</v>
      </c>
      <c r="G53" s="138" t="s">
        <v>196</v>
      </c>
      <c r="H53" s="138" t="s">
        <v>150</v>
      </c>
      <c r="I53" s="138" t="s">
        <v>197</v>
      </c>
      <c r="J53" s="138" t="s">
        <v>198</v>
      </c>
      <c r="K53" s="130"/>
    </row>
    <row r="54" spans="4:18" ht="20.100000000000001" customHeight="1" x14ac:dyDescent="0.25">
      <c r="D54" s="120" t="s">
        <v>234</v>
      </c>
      <c r="E54" s="140">
        <v>0.3</v>
      </c>
      <c r="F54" s="121">
        <v>10</v>
      </c>
      <c r="G54" s="122">
        <f>Table_Input_OrganicFertiliser[[#This Row],[Amount applied (kg/hectare)]]*Table_Input_OrganicFertiliser[[#This Row],[Percentage of N in fertiliser]]</f>
        <v>3</v>
      </c>
      <c r="H54" s="121">
        <f>X_Cell_Fertiliser_AreaUnderCropping</f>
        <v>100</v>
      </c>
      <c r="I54" s="122">
        <f>Table_Input_OrganicFertiliser[[#This Row],[Amount applied (kg/hectare)]]*Table_Input_OrganicFertiliser[[#This Row],[Application area (ha)]]</f>
        <v>1000</v>
      </c>
      <c r="J54" s="122">
        <f>IFERROR(Table_Input_OrganicFertiliser[[#This Row],[Amount N applied (kg/hectare)]]*Table_Input_OrganicFertiliser[[#This Row],[Application area (ha)]], 0)</f>
        <v>300</v>
      </c>
      <c r="K54" s="130"/>
    </row>
    <row r="55" spans="4:18" ht="20.100000000000001" customHeight="1" x14ac:dyDescent="0.25">
      <c r="D55" s="120" t="s">
        <v>232</v>
      </c>
      <c r="E55" s="140">
        <v>0.25</v>
      </c>
      <c r="F55" s="121">
        <v>10</v>
      </c>
      <c r="G55" s="122">
        <f>Table_Input_OrganicFertiliser[[#This Row],[Amount applied (kg/hectare)]]*Table_Input_OrganicFertiliser[[#This Row],[Percentage of N in fertiliser]]</f>
        <v>2.5</v>
      </c>
      <c r="H55" s="121">
        <f>X_Cell_Fertiliser_AreaUnderCropping</f>
        <v>100</v>
      </c>
      <c r="I55" s="122">
        <f>Table_Input_OrganicFertiliser[[#This Row],[Amount applied (kg/hectare)]]*Table_Input_OrganicFertiliser[[#This Row],[Application area (ha)]]</f>
        <v>1000</v>
      </c>
      <c r="J55" s="122">
        <f>IFERROR(Table_Input_OrganicFertiliser[[#This Row],[Amount N applied (kg/hectare)]]*Table_Input_OrganicFertiliser[[#This Row],[Application area (ha)]], 0)</f>
        <v>250</v>
      </c>
    </row>
    <row r="56" spans="4:18" ht="20.100000000000001" customHeight="1" x14ac:dyDescent="0.25">
      <c r="D56" s="120" t="s">
        <v>235</v>
      </c>
      <c r="E56" s="140">
        <v>0.16</v>
      </c>
      <c r="F56" s="121">
        <v>10</v>
      </c>
      <c r="G56" s="122">
        <f>Table_Input_OrganicFertiliser[[#This Row],[Amount applied (kg/hectare)]]*Table_Input_OrganicFertiliser[[#This Row],[Percentage of N in fertiliser]]</f>
        <v>1.6</v>
      </c>
      <c r="H56" s="121">
        <f>X_Cell_Fertiliser_AreaUnderCropping</f>
        <v>100</v>
      </c>
      <c r="I56" s="122">
        <f>Table_Input_OrganicFertiliser[[#This Row],[Amount applied (kg/hectare)]]*Table_Input_OrganicFertiliser[[#This Row],[Application area (ha)]]</f>
        <v>1000</v>
      </c>
      <c r="J56" s="122">
        <f>IFERROR(Table_Input_OrganicFertiliser[[#This Row],[Amount N applied (kg/hectare)]]*Table_Input_OrganicFertiliser[[#This Row],[Application area (ha)]], 0)</f>
        <v>160</v>
      </c>
    </row>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c r="M136" s="3"/>
    </row>
    <row r="137" spans="13:13" ht="20.100000000000001" customHeight="1" x14ac:dyDescent="0.25">
      <c r="M137" s="3"/>
    </row>
    <row r="138" spans="13:13" ht="20.100000000000001" customHeight="1" x14ac:dyDescent="0.25">
      <c r="M138" s="3"/>
    </row>
    <row r="139" spans="13:13" ht="20.100000000000001" customHeight="1" x14ac:dyDescent="0.25">
      <c r="M139" s="3"/>
    </row>
    <row r="140" spans="13:13" ht="20.100000000000001" customHeight="1" x14ac:dyDescent="0.25">
      <c r="M140" s="3"/>
    </row>
    <row r="141" spans="13:13" ht="20.100000000000001" customHeight="1" x14ac:dyDescent="0.25">
      <c r="M141" s="3"/>
    </row>
    <row r="142" spans="13:13" ht="20.100000000000001" customHeight="1" x14ac:dyDescent="0.25">
      <c r="M142" s="3"/>
    </row>
    <row r="143" spans="13:13" ht="20.100000000000001" customHeight="1" x14ac:dyDescent="0.25">
      <c r="M143" s="3"/>
    </row>
    <row r="144" spans="13:13" ht="20.100000000000001" customHeight="1" x14ac:dyDescent="0.25">
      <c r="M144" s="3"/>
    </row>
    <row r="145" spans="13:13" ht="20.100000000000001" customHeight="1" x14ac:dyDescent="0.25">
      <c r="M145" s="3"/>
    </row>
    <row r="146" spans="13:13" ht="20.100000000000001" customHeight="1" x14ac:dyDescent="0.25">
      <c r="M146" s="3"/>
    </row>
    <row r="147" spans="13:13" ht="20.100000000000001" customHeight="1" x14ac:dyDescent="0.25">
      <c r="M147" s="3"/>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2"/>
    </row>
    <row r="225" spans="12:12" x14ac:dyDescent="0.25">
      <c r="L225" s="2"/>
    </row>
    <row r="226" spans="12:12" x14ac:dyDescent="0.25">
      <c r="L226" s="2"/>
    </row>
    <row r="227" spans="12:12" x14ac:dyDescent="0.25">
      <c r="L227" s="2"/>
    </row>
    <row r="228" spans="12:12" x14ac:dyDescent="0.25">
      <c r="L228" s="2"/>
    </row>
    <row r="230" spans="12:12" x14ac:dyDescent="0.25">
      <c r="L230" s="2"/>
    </row>
    <row r="232" spans="12:12" x14ac:dyDescent="0.25">
      <c r="L232" s="2"/>
    </row>
    <row r="233" spans="12:12" x14ac:dyDescent="0.25">
      <c r="L233" s="2"/>
    </row>
    <row r="234" spans="12:12" x14ac:dyDescent="0.25">
      <c r="L234" s="2"/>
    </row>
    <row r="235" spans="12:12" x14ac:dyDescent="0.25">
      <c r="L235" s="2"/>
    </row>
    <row r="237" spans="12:12" x14ac:dyDescent="0.25">
      <c r="L237" s="2"/>
    </row>
    <row r="245" spans="12:12" x14ac:dyDescent="0.25">
      <c r="L245" s="2"/>
    </row>
    <row r="246" spans="12:12" x14ac:dyDescent="0.25">
      <c r="L246" s="2"/>
    </row>
    <row r="247" spans="12:12" x14ac:dyDescent="0.25">
      <c r="L247" s="2"/>
    </row>
    <row r="250" spans="12:12" x14ac:dyDescent="0.25">
      <c r="L250" s="2"/>
    </row>
    <row r="251" spans="12:12" x14ac:dyDescent="0.25">
      <c r="L251" s="2"/>
    </row>
    <row r="252" spans="12:12" x14ac:dyDescent="0.25">
      <c r="L252" s="2"/>
    </row>
    <row r="255" spans="12:12" x14ac:dyDescent="0.25">
      <c r="L255" s="2"/>
    </row>
    <row r="256" spans="12:12" x14ac:dyDescent="0.25">
      <c r="L256" s="2"/>
    </row>
    <row r="257" spans="11:12" x14ac:dyDescent="0.25">
      <c r="L257" s="2"/>
    </row>
    <row r="260" spans="11:12" x14ac:dyDescent="0.25">
      <c r="L260" s="2"/>
    </row>
    <row r="261" spans="11:12" x14ac:dyDescent="0.25">
      <c r="L261" s="2"/>
    </row>
    <row r="262" spans="11:12" x14ac:dyDescent="0.25">
      <c r="L262" s="2"/>
    </row>
    <row r="263" spans="11:12" x14ac:dyDescent="0.25">
      <c r="K263" s="2"/>
    </row>
    <row r="268" spans="11:12" x14ac:dyDescent="0.25">
      <c r="K268" s="2"/>
    </row>
    <row r="269" spans="11:12" x14ac:dyDescent="0.25">
      <c r="L269" s="2"/>
    </row>
    <row r="270" spans="11:12" x14ac:dyDescent="0.25">
      <c r="L270" s="2"/>
    </row>
    <row r="271" spans="11:12" x14ac:dyDescent="0.25">
      <c r="L271" s="2"/>
    </row>
    <row r="273" spans="11:12" x14ac:dyDescent="0.25">
      <c r="K273" s="2"/>
    </row>
    <row r="274" spans="11:12" x14ac:dyDescent="0.25">
      <c r="L274" s="2"/>
    </row>
    <row r="275" spans="11:12" x14ac:dyDescent="0.25">
      <c r="L275" s="2"/>
    </row>
    <row r="276" spans="11:12" x14ac:dyDescent="0.25">
      <c r="L276" s="2"/>
    </row>
    <row r="278" spans="11:12" x14ac:dyDescent="0.25">
      <c r="K278" s="2"/>
    </row>
    <row r="279" spans="11:12" x14ac:dyDescent="0.25">
      <c r="K279" s="2"/>
      <c r="L279" s="2"/>
    </row>
    <row r="280" spans="11:12" x14ac:dyDescent="0.25">
      <c r="K280" s="2"/>
      <c r="L280" s="2"/>
    </row>
    <row r="281" spans="11:12" x14ac:dyDescent="0.25">
      <c r="K281" s="2"/>
      <c r="L281" s="2"/>
    </row>
    <row r="282" spans="11:12" x14ac:dyDescent="0.25">
      <c r="K282" s="2"/>
    </row>
    <row r="284" spans="11:12" x14ac:dyDescent="0.25">
      <c r="K284" s="2"/>
      <c r="L284" s="2"/>
    </row>
    <row r="285" spans="11:12" x14ac:dyDescent="0.25">
      <c r="L285" s="2"/>
    </row>
    <row r="286" spans="11:12" x14ac:dyDescent="0.25">
      <c r="K286" s="2"/>
      <c r="L286" s="2"/>
    </row>
    <row r="287" spans="11:12" x14ac:dyDescent="0.25">
      <c r="K287" s="2"/>
    </row>
    <row r="288" spans="11:12" x14ac:dyDescent="0.25">
      <c r="K288" s="2"/>
    </row>
    <row r="289" spans="11:11" x14ac:dyDescent="0.25">
      <c r="K289" s="2"/>
    </row>
    <row r="291" spans="11:11" x14ac:dyDescent="0.25">
      <c r="K291" s="2"/>
    </row>
    <row r="297" spans="11:11" x14ac:dyDescent="0.25">
      <c r="K297" s="2"/>
    </row>
    <row r="302" spans="11:11" x14ac:dyDescent="0.25">
      <c r="K302" s="2"/>
    </row>
    <row r="307" spans="11:11" x14ac:dyDescent="0.25">
      <c r="K307" s="2"/>
    </row>
    <row r="312" spans="11:11" x14ac:dyDescent="0.25">
      <c r="K312" s="2"/>
    </row>
    <row r="313" spans="11:11" x14ac:dyDescent="0.25">
      <c r="K313" s="2"/>
    </row>
    <row r="314" spans="11:11" x14ac:dyDescent="0.25">
      <c r="K314" s="2"/>
    </row>
    <row r="315" spans="11:11" x14ac:dyDescent="0.25">
      <c r="K315" s="2"/>
    </row>
    <row r="316" spans="11:11" x14ac:dyDescent="0.25">
      <c r="K316" s="2"/>
    </row>
    <row r="318" spans="11:11" x14ac:dyDescent="0.25">
      <c r="K318" s="2"/>
    </row>
    <row r="320" spans="11:11" x14ac:dyDescent="0.25">
      <c r="K320" s="2"/>
    </row>
    <row r="321" spans="11:11" x14ac:dyDescent="0.25">
      <c r="K321" s="2"/>
    </row>
    <row r="322" spans="11:11" x14ac:dyDescent="0.25">
      <c r="K322" s="2"/>
    </row>
    <row r="323" spans="11:11" x14ac:dyDescent="0.25">
      <c r="K323" s="2"/>
    </row>
    <row r="325" spans="11:11" x14ac:dyDescent="0.25">
      <c r="K325" s="2"/>
    </row>
    <row r="333" spans="11:11" x14ac:dyDescent="0.25">
      <c r="K333" s="2"/>
    </row>
    <row r="334" spans="11:11" x14ac:dyDescent="0.25">
      <c r="K334" s="2"/>
    </row>
    <row r="335" spans="11:11" x14ac:dyDescent="0.25">
      <c r="K335" s="2"/>
    </row>
    <row r="338" spans="11:11" x14ac:dyDescent="0.25">
      <c r="K338" s="2"/>
    </row>
    <row r="339" spans="11:11" x14ac:dyDescent="0.25">
      <c r="K339" s="2"/>
    </row>
    <row r="340" spans="11:11" x14ac:dyDescent="0.25">
      <c r="K340" s="2"/>
    </row>
    <row r="343" spans="11:11" x14ac:dyDescent="0.25">
      <c r="K343" s="2"/>
    </row>
    <row r="344" spans="11:11" x14ac:dyDescent="0.25">
      <c r="K344" s="2"/>
    </row>
    <row r="345" spans="11:11" x14ac:dyDescent="0.25">
      <c r="K345" s="2"/>
    </row>
    <row r="348" spans="11:11" x14ac:dyDescent="0.25">
      <c r="K348" s="2"/>
    </row>
    <row r="349" spans="11:11" x14ac:dyDescent="0.25">
      <c r="K349" s="2"/>
    </row>
    <row r="350" spans="11:11" x14ac:dyDescent="0.25">
      <c r="K350" s="2"/>
    </row>
    <row r="357" spans="11:11" x14ac:dyDescent="0.25">
      <c r="K357" s="2"/>
    </row>
    <row r="358" spans="11:11" x14ac:dyDescent="0.25">
      <c r="K358" s="2"/>
    </row>
    <row r="359" spans="11:11" x14ac:dyDescent="0.25">
      <c r="K359" s="2"/>
    </row>
    <row r="362" spans="11:11" x14ac:dyDescent="0.25">
      <c r="K362" s="2"/>
    </row>
    <row r="363" spans="11:11" x14ac:dyDescent="0.25">
      <c r="K363" s="2"/>
    </row>
    <row r="364" spans="11:11" x14ac:dyDescent="0.25">
      <c r="K364" s="2"/>
    </row>
    <row r="367" spans="11:11" x14ac:dyDescent="0.25">
      <c r="K367" s="2"/>
    </row>
    <row r="368" spans="11:11" x14ac:dyDescent="0.25">
      <c r="K368" s="2"/>
    </row>
    <row r="369" spans="4:11" x14ac:dyDescent="0.25">
      <c r="K369" s="2"/>
    </row>
    <row r="372" spans="4:11" x14ac:dyDescent="0.25">
      <c r="K372" s="2"/>
    </row>
    <row r="373" spans="4:11" x14ac:dyDescent="0.25">
      <c r="K373" s="2"/>
    </row>
    <row r="374" spans="4:11" x14ac:dyDescent="0.25">
      <c r="K374" s="2"/>
    </row>
    <row r="378" spans="4:11" x14ac:dyDescent="0.25">
      <c r="D378" s="97"/>
    </row>
  </sheetData>
  <conditionalFormatting sqref="F155:F156">
    <cfRule type="cellIs" dxfId="26" priority="20" operator="lessThan">
      <formula>0</formula>
    </cfRule>
  </conditionalFormatting>
  <conditionalFormatting sqref="F167:F168">
    <cfRule type="cellIs" dxfId="25" priority="19" operator="lessThan">
      <formula>0</formula>
    </cfRule>
  </conditionalFormatting>
  <conditionalFormatting sqref="F179:F180">
    <cfRule type="cellIs" dxfId="24" priority="18" operator="lessThan">
      <formula>0</formula>
    </cfRule>
  </conditionalFormatting>
  <conditionalFormatting sqref="F267:F268">
    <cfRule type="cellIs" dxfId="23" priority="93" operator="lessThan">
      <formula>0</formula>
    </cfRule>
  </conditionalFormatting>
  <conditionalFormatting sqref="F272:F273">
    <cfRule type="cellIs" dxfId="22" priority="92" operator="lessThan">
      <formula>0</formula>
    </cfRule>
  </conditionalFormatting>
  <conditionalFormatting sqref="F277:F278">
    <cfRule type="cellIs" dxfId="21" priority="91" operator="lessThan">
      <formula>0</formula>
    </cfRule>
  </conditionalFormatting>
  <conditionalFormatting sqref="F301:F302">
    <cfRule type="cellIs" dxfId="20" priority="85" operator="lessThan">
      <formula>0</formula>
    </cfRule>
  </conditionalFormatting>
  <conditionalFormatting sqref="F306:F307">
    <cfRule type="cellIs" dxfId="19" priority="84" operator="lessThan">
      <formula>0</formula>
    </cfRule>
  </conditionalFormatting>
  <conditionalFormatting sqref="F311:F312">
    <cfRule type="cellIs" dxfId="18" priority="83" operator="lessThan">
      <formula>0</formula>
    </cfRule>
  </conditionalFormatting>
  <conditionalFormatting sqref="H53 F143:F144">
    <cfRule type="cellIs" dxfId="17" priority="21"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6" priority="79" operator="lessThan">
      <formula>0</formula>
    </cfRule>
  </conditionalFormatting>
  <conditionalFormatting sqref="I41:I44 I46:I47 F58 I75:I78 L198 K200 L202:L203 K204:K205 L206:L207 K208:K209 L212:L213 K214:K215 L216:L217 K218:K219 L223:L228 K225">
    <cfRule type="cellIs" dxfId="15" priority="62" operator="lessThan">
      <formula>0</formula>
    </cfRule>
  </conditionalFormatting>
  <conditionalFormatting sqref="I82 M119 I141:J141">
    <cfRule type="cellIs" dxfId="14" priority="74" operator="lessThan">
      <formula>0</formula>
    </cfRule>
  </conditionalFormatting>
  <conditionalFormatting sqref="I93:I95">
    <cfRule type="cellIs" dxfId="13" priority="4" operator="lessThan">
      <formula>0</formula>
    </cfRule>
  </conditionalFormatting>
  <conditionalFormatting sqref="I99:I102">
    <cfRule type="cellIs" dxfId="12" priority="3" operator="lessThan">
      <formula>0</formula>
    </cfRule>
  </conditionalFormatting>
  <conditionalFormatting sqref="I106:I110">
    <cfRule type="cellIs" dxfId="11" priority="1" operator="lessThan">
      <formula>0</formula>
    </cfRule>
  </conditionalFormatting>
  <conditionalFormatting sqref="J169">
    <cfRule type="cellIs" dxfId="10" priority="24" operator="lessThan">
      <formula>0</formula>
    </cfRule>
  </conditionalFormatting>
  <conditionalFormatting sqref="L131:L134">
    <cfRule type="cellIs" dxfId="9" priority="11" operator="lessThan">
      <formula>0</formula>
    </cfRule>
  </conditionalFormatting>
  <conditionalFormatting sqref="L137">
    <cfRule type="cellIs" dxfId="8" priority="17" operator="lessThan">
      <formula>0</formula>
    </cfRule>
  </conditionalFormatting>
  <conditionalFormatting sqref="L143:L146">
    <cfRule type="cellIs" dxfId="7" priority="10" operator="lessThan">
      <formula>0</formula>
    </cfRule>
  </conditionalFormatting>
  <conditionalFormatting sqref="L149">
    <cfRule type="cellIs" dxfId="6" priority="16" operator="lessThan">
      <formula>0</formula>
    </cfRule>
  </conditionalFormatting>
  <conditionalFormatting sqref="L155:L158">
    <cfRule type="cellIs" dxfId="5" priority="9" operator="lessThan">
      <formula>0</formula>
    </cfRule>
  </conditionalFormatting>
  <conditionalFormatting sqref="L161">
    <cfRule type="cellIs" dxfId="4" priority="15" operator="lessThan">
      <formula>0</formula>
    </cfRule>
  </conditionalFormatting>
  <conditionalFormatting sqref="L167:L170">
    <cfRule type="cellIs" dxfId="3" priority="8" operator="lessThan">
      <formula>0</formula>
    </cfRule>
  </conditionalFormatting>
  <conditionalFormatting sqref="L173">
    <cfRule type="cellIs" dxfId="2" priority="14" operator="lessThan">
      <formula>0</formula>
    </cfRule>
  </conditionalFormatting>
  <conditionalFormatting sqref="L177:L178">
    <cfRule type="cellIs" dxfId="1" priority="12" operator="lessThan">
      <formula>0</formula>
    </cfRule>
  </conditionalFormatting>
  <conditionalFormatting sqref="L230 L232:L235 L237 J245:J247 J250:J252">
    <cfRule type="cellIs" dxfId="0" priority="102" operator="lessThan">
      <formula>0</formula>
    </cfRule>
  </conditionalFormatting>
  <dataValidations count="9">
    <dataValidation type="list" allowBlank="1" showInputMessage="1" showErrorMessage="1" sqref="D294" xr:uid="{4E913AB3-F90B-4C35-BCE1-5DBB8FC05107}">
      <formula1>INDIRECT("Table_SourceData_PoultryMMSStage1[MMS]")</formula1>
    </dataValidation>
    <dataValidation type="list" allowBlank="1" showInputMessage="1" showErrorMessage="1" sqref="E242" xr:uid="{9FB53635-991F-44AA-A123-E8ABEF9EE0A6}">
      <formula1>INDIRECT("Table_SourceData_Dairy_ProductionSystemTemplates[Area]")</formula1>
    </dataValidation>
    <dataValidation type="list" allowBlank="1" showInputMessage="1" showErrorMessage="1" sqref="E266 E271 E276 E310 E305 E300 E178 E166 E142 E154" xr:uid="{00A4EA4C-90D3-4150-979D-4D71C7F37A31}">
      <formula1>"Yes, No"</formula1>
    </dataValidation>
    <dataValidation type="list" allowBlank="1" showInputMessage="1" showErrorMessage="1" sqref="E82" xr:uid="{DBA884B0-B52E-420E-8FD2-21B082EB75E2}">
      <formula1>INDIRECT("Table_SourceData_Swine_IrrigationMethods[Irrigation method]")</formula1>
    </dataValidation>
    <dataValidation type="list" allowBlank="1" showInputMessage="1" showErrorMessage="1" sqref="E81" xr:uid="{B95E29DC-96D0-4475-A29E-3F3A3B60CEA1}">
      <formula1>INDIRECT("Table_SourceData_Swine_CropProdSystems[Production system]")</formula1>
    </dataValidation>
    <dataValidation type="list" allowBlank="1" showInputMessage="1" showErrorMessage="1" sqref="H25:H34 J25:J34 L25:L34 N25:N34" xr:uid="{4A7ED0FB-DC6D-4B9E-B043-37B0C0BD600A}">
      <formula1>INDIRECT("Table_Fertiliser_ChemicalCompounds[Fertiliser type f]")</formula1>
    </dataValidation>
    <dataValidation type="list" allowBlank="1" showInputMessage="1" showErrorMessage="1" sqref="D54:D56" xr:uid="{23F8C720-A764-46DD-9B01-B7EA3D86E5AB}">
      <formula1>INDIRECT("Table_SourceData_OrganicFertiliserTypes[Organic fertiliser type]")</formula1>
    </dataValidation>
    <dataValidation type="list" allowBlank="1" showInputMessage="1" showErrorMessage="1" sqref="Q25:R34" xr:uid="{6D99C1CC-E467-4127-AA10-A6BB1059614B}">
      <formula1>INDIRECT("Table_SourceData_Fertiliser_UreaAmmoniaSources[Source]")</formula1>
    </dataValidation>
    <dataValidation type="list" allowBlank="1" showInputMessage="1" showErrorMessage="1" sqref="D12:D21" xr:uid="{08C802C0-BDB3-4C95-8EB1-A10E9DE0E90E}">
      <formula1>INDIRECT("FertiliserProducts[Product]")</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F80" zoomScaleNormal="100" workbookViewId="0">
      <selection activeCell="Q115" sqref="Q11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200</v>
      </c>
      <c r="K1"/>
    </row>
    <row r="2" spans="1:24" s="9" customFormat="1" ht="20.100000000000001" customHeight="1" x14ac:dyDescent="0.25">
      <c r="A2"/>
      <c r="K2"/>
    </row>
    <row r="3" spans="1:24" ht="20.100000000000001" customHeight="1" x14ac:dyDescent="0.25">
      <c r="A3" s="17" t="str">
        <f>HYPERLINK("#'Home'!A1", "Home")</f>
        <v>Home</v>
      </c>
      <c r="C3" s="4"/>
      <c r="D3" s="4" t="s">
        <v>79</v>
      </c>
      <c r="E3" s="4"/>
      <c r="F3" s="4"/>
      <c r="G3" s="4"/>
      <c r="H3" s="4"/>
      <c r="I3" s="4"/>
      <c r="J3" s="4"/>
      <c r="L3" s="4"/>
      <c r="M3" s="4" t="s">
        <v>80</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9" t="s">
        <v>0</v>
      </c>
    </row>
    <row r="9" spans="1:24" ht="20.100000000000001" customHeight="1" x14ac:dyDescent="0.25">
      <c r="A9" s="17" t="str">
        <f>HYPERLINK("#'Input - Site'!A1", "Site")</f>
        <v>Site</v>
      </c>
      <c r="M9" s="50" t="s">
        <v>24</v>
      </c>
      <c r="N9" s="1" t="str" cm="1">
        <f t="array" ref="N9">Fertiliser_Equations_InorganicN2O.VEERG_5_1_1_2__1_EmissionFactorIrrigatedMaize_Variable()</f>
        <v>EF_fjIrrigatedMaizeN2O</v>
      </c>
    </row>
    <row r="10" spans="1:24" ht="20.100000000000001" customHeight="1" x14ac:dyDescent="0.25">
      <c r="A10" s="17" t="str">
        <f>HYPERLINK("#'Input - Fertiliser'!A1", "Fertiliser")</f>
        <v>Fertiliser</v>
      </c>
      <c r="D10" s="50" t="s">
        <v>24</v>
      </c>
      <c r="E10" s="1" t="str" cm="1">
        <f t="array" ref="E10">Fertiliser_Equations_InorganicN2O.VEERG_5_1_1_1__2_MassOfNitrogenInInorganicFertiliser_Variable()</f>
        <v>MN_jf</v>
      </c>
      <c r="M10" s="50" t="s">
        <v>15</v>
      </c>
      <c r="N10" s="51" t="str" cm="1">
        <f t="array" ref="N10">Fertiliser_Equations_InorganicN2O.VEERG_5_1_1_2__1_EmissionFactorIrrigatedMaize_Unit()</f>
        <v>kg N2O-N/kg N applied</v>
      </c>
    </row>
    <row r="11" spans="1:24" ht="20.100000000000001" customHeight="1" x14ac:dyDescent="0.25">
      <c r="D11" s="50" t="s">
        <v>15</v>
      </c>
      <c r="E11" s="51" t="str" cm="1">
        <f t="array" ref="E11">Fertiliser_Equations_InorganicN2O.VEERG_5_1_1_1__2_MassOfNitrogenInInorganicFertiliser_Unit()</f>
        <v>kg N</v>
      </c>
    </row>
    <row r="12" spans="1:24" ht="20.100000000000001" customHeight="1" x14ac:dyDescent="0.25">
      <c r="M12" s="53" t="str" cm="1">
        <f t="array" ref="M12:N13">_xlfn.CHOOSECOLS(Fertiliser_Equations_InorganicN2O.VEERG_5_1_1_2__1_EmissionFactorIrrigatedMaize_Arguments(), 1, 2)</f>
        <v>N_fjIrrigatedMaize</v>
      </c>
      <c r="N12" s="54" t="str">
        <v>application rate of inorganic fertiliser type f in the irrigated maize crop</v>
      </c>
      <c r="O12" s="91"/>
      <c r="P12" s="53" t="str" cm="1">
        <f t="array" ref="P12:Q13">_xlfn.CHOOSECOLS(Fertiliser_Equations_InorganicN2O.VEERG_5_1_1_2__1_EmissionFactorIrrigatedMaize_Arguments(), 3,4)</f>
        <v>kg N/ha</v>
      </c>
      <c r="Q12" s="118" t="str">
        <v>Input</v>
      </c>
      <c r="R12" s="142" t="str" cm="1">
        <f t="array" aca="1" ref="R12" ca="1">HYPERLINK(Common_InputFunctions.Utility_SourceHyperlink($M$41), $M$41)</f>
        <v>M2_Table_FertApplications</v>
      </c>
      <c r="S12" s="119"/>
    </row>
    <row r="13" spans="1:24" ht="20.100000000000001" customHeight="1" x14ac:dyDescent="0.25">
      <c r="A13" s="18" t="s">
        <v>68</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8" t="str">
        <v>Input</v>
      </c>
      <c r="I13" s="141" t="str" cm="1">
        <f t="array" aca="1" ref="I13" ca="1">HYPERLINK(Common_InputFunctions.Utility_SourceHyperlink($D$16), $D$16)</f>
        <v>Table_MN_j_f</v>
      </c>
      <c r="M13" s="53" t="str">
        <v>f</v>
      </c>
      <c r="N13" s="54" t="str">
        <v>Inorganic fertiliser type</v>
      </c>
      <c r="O13" s="91"/>
      <c r="P13" s="53" t="str">
        <v/>
      </c>
      <c r="Q13" s="117" t="str">
        <v>Constant</v>
      </c>
      <c r="R13" s="54" t="s">
        <v>172</v>
      </c>
      <c r="S13" s="119"/>
    </row>
    <row r="14" spans="1:24" ht="20.100000000000001" customHeight="1" x14ac:dyDescent="0.25">
      <c r="A14" s="171" t="str">
        <f>HYPERLINK("#'5.1.1.1-2 Inorganic fert N2O'!A1", "5.1.1.1-2 Inorganic fert N2O")</f>
        <v>5.1.1.1-2 Inorganic fert N2O</v>
      </c>
      <c r="D14" s="53" t="str">
        <v>FN_inorganicf</v>
      </c>
      <c r="E14" s="54" t="str">
        <v xml:space="preserve">fraction of nitrogen in inorganic fertiliser type f </v>
      </c>
      <c r="F14" s="55"/>
      <c r="G14" s="53" t="str">
        <v>kg N/kg</v>
      </c>
      <c r="H14" s="117" t="str">
        <v>Constant</v>
      </c>
      <c r="I14" s="141" t="str" cm="1">
        <f t="array" aca="1" ref="I14" ca="1">HYPERLINK(Common_InputFunctions.Utility_SourceHyperlink($D$16), $D$16)</f>
        <v>Table_MN_j_f</v>
      </c>
    </row>
    <row r="15" spans="1:24" ht="20.100000000000001" customHeight="1" x14ac:dyDescent="0.25">
      <c r="A15" s="17" t="str">
        <f>HYPERLINK("#'5.1.1.3-4 Inorganic fert CO2'!A1", "5.1.1.3-4 Inorganic fert CO2")</f>
        <v>5.1.1.3-4 Inorganic fert CO2</v>
      </c>
    </row>
    <row r="16" spans="1:24" ht="20.100000000000001" customHeight="1" x14ac:dyDescent="0.25">
      <c r="A16" s="17" t="str">
        <f>HYPERLINK("#'5.2.1.1-2 Organic Fert N2O'!A1", "5.2.1.1-2 Organic Fert N2O")</f>
        <v>5.2.1.1-2 Organic Fert N2O</v>
      </c>
      <c r="D16" s="90" t="s">
        <v>144</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HYPERLINK("#'5.3.1.1-2 Lime CO2'!A1", "5.3.1.1-2 Lime CO2")</f>
        <v>5.3.1.1-2 Lime CO2</v>
      </c>
      <c r="D17" s="89" t="s">
        <v>160</v>
      </c>
      <c r="M17" s="5" t="str" cm="1">
        <f t="array" ref="M17">Fertiliser_Equations_InorganicN2O.VEERG_5_1_1_2__2_EmissionFactorNonIrrigatedGrainsHighRainfall_Source()</f>
        <v>VEERG 2026: 5.1.1.2, Equation (2)</v>
      </c>
    </row>
    <row r="18" spans="1:19" ht="20.100000000000001" customHeight="1" x14ac:dyDescent="0.25">
      <c r="A18" s="17" t="str">
        <f>HYPERLINK("#'5.4.1.1-4 Atmos deposition'!A1", "5.4.1.1-4 Atmos deposition")</f>
        <v>5.4.1.1-4 Atmos deposition</v>
      </c>
      <c r="D18" s="48" t="s">
        <v>111</v>
      </c>
      <c r="E18" s="110" t="s">
        <v>143</v>
      </c>
      <c r="F18" s="48" t="s">
        <v>142</v>
      </c>
      <c r="G18" s="48" t="s">
        <v>159</v>
      </c>
    </row>
    <row r="19" spans="1:19"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row>
    <row r="20" spans="1:19"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50" t="s">
        <v>24</v>
      </c>
      <c r="N20" s="1" t="str" cm="1">
        <f t="array" ref="N20">Fertiliser_Equations_InorganicN2O.VEERG_5_1_1_2__2_EmissionFactorNonIrrigatedGrainsHighRainfall_Variable()</f>
        <v>EF_fjNonIrrigatedGrainsN2O</v>
      </c>
    </row>
    <row r="21" spans="1:19"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11599.999400000001</v>
      </c>
      <c r="M21" s="50" t="s">
        <v>15</v>
      </c>
      <c r="N21" s="51" t="str" cm="1">
        <f t="array" ref="N21">Fertiliser_Equations_InorganicN2O.VEERG_5_1_1_2__2_EmissionFactorNonIrrigatedGrainsHighRainfall_Unit()</f>
        <v>kg N2O-N/kg N applied</v>
      </c>
    </row>
    <row r="22" spans="1:19" ht="20.100000000000001" customHeight="1" x14ac:dyDescent="0.25">
      <c r="A22" s="175"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row>
    <row r="23" spans="1:19"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53" t="str" cm="1">
        <f t="array" ref="M23:N24">_xlfn.CHOOSECOLS(Fertiliser_Equations_InorganicN2O.VEERG_5_1_1_2__2_EmissionFactorNonIrrigatedGrainsHighRainfall_Arguments(), 1, 2)</f>
        <v>N_fjNonIrrigatedGrains</v>
      </c>
      <c r="N23" s="54" t="str">
        <v>application rate of inorganic fertiliser type f in the grains crop</v>
      </c>
      <c r="O23" s="91"/>
      <c r="P23" s="53" t="str" cm="1">
        <f t="array" ref="P23:Q24">_xlfn.CHOOSECOLS(Fertiliser_Equations_InorganicN2O.VEERG_5_1_1_2__2_EmissionFactorNonIrrigatedGrainsHighRainfall_Arguments(), 3,4)</f>
        <v>kg N/ha</v>
      </c>
      <c r="Q23" s="118" t="str">
        <v>Input</v>
      </c>
      <c r="R23" s="142" t="str" cm="1">
        <f t="array" aca="1" ref="R23" ca="1">HYPERLINK(Common_InputFunctions.Utility_SourceHyperlink($M$41), $M$41)</f>
        <v>M2_Table_FertApplications</v>
      </c>
      <c r="S23" s="55"/>
    </row>
    <row r="24" spans="1:19"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J24" s="2"/>
      <c r="M24" s="53" t="str">
        <v>f</v>
      </c>
      <c r="N24" s="54" t="str">
        <v>Inorganic fertiliser type</v>
      </c>
      <c r="O24" s="91"/>
      <c r="P24" s="53" t="str">
        <v/>
      </c>
      <c r="Q24" s="117" t="str">
        <v>Constant</v>
      </c>
      <c r="R24" s="54" t="s">
        <v>172</v>
      </c>
      <c r="S24" s="55"/>
    </row>
    <row r="25" spans="1:19"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J25" s="2"/>
    </row>
    <row r="26" spans="1:19"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1240</v>
      </c>
    </row>
    <row r="27" spans="1:19"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550</v>
      </c>
      <c r="M27" s="6" t="str" cm="1">
        <f t="array" ref="M27">Fertiliser_Equations_InorganicN2O.VEERG_5_1_1_2__3_EmissionFactorCotton_Title()</f>
        <v>Emission factor for nitrous oxide for cotton</v>
      </c>
    </row>
    <row r="28" spans="1:19"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0</v>
      </c>
      <c r="M28" s="5" t="str" cm="1">
        <f t="array" ref="M28">Fertiliser_Equations_InorganicN2O.VEERG_5_1_1_2__3_EmissionFactorCotton_Source()</f>
        <v>VEERG 2026: 5.1.1.2, Equation (3)</v>
      </c>
    </row>
    <row r="29" spans="1:19"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row>
    <row r="30" spans="1:19"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row>
    <row r="31" spans="1:19"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row>
    <row r="32" spans="1:19"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c r="M32" s="50" t="s">
        <v>24</v>
      </c>
      <c r="N32" s="1" t="str" cm="1">
        <f t="array" ref="N32">Fertiliser_Equations_InorganicN2O.VEERG_5_1_1_2__3_EmissionFactorCotton_Variable()</f>
        <v>EF_fjCottonN2O</v>
      </c>
    </row>
    <row r="33" spans="3:23"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M33" s="50" t="s">
        <v>15</v>
      </c>
      <c r="N33" s="51" t="str" cm="1">
        <f t="array" ref="N33">Fertiliser_Equations_InorganicN2O.VEERG_5_1_1_2__3_EmissionFactorCotton_Unit()</f>
        <v>kg N2O-N/kg N applied</v>
      </c>
    </row>
    <row r="34" spans="3:23"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row>
    <row r="35" spans="3:23"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M35" s="53" t="str" cm="1">
        <f t="array" ref="M35:N36">_xlfn.CHOOSECOLS(Fertiliser_Equations_InorganicN2O.VEERG_5_1_1_2__3_EmissionFactorCotton_Arguments(), 1, 2)</f>
        <v>N_fjCotton</v>
      </c>
      <c r="N35" s="54" t="str">
        <v>application rate of inorganic fertiliser type f in the cotton crop</v>
      </c>
      <c r="O35" s="91"/>
      <c r="P35" s="54" t="str" cm="1">
        <f t="array" ref="P35:Q36">_xlfn.CHOOSECOLS(Fertiliser_Equations_InorganicN2O.VEERG_5_1_1_2__3_EmissionFactorCotton_Arguments(), 3,4)</f>
        <v>kg N/ha</v>
      </c>
      <c r="Q35" s="118" t="str">
        <v>Input</v>
      </c>
      <c r="R35" s="142" t="str" cm="1">
        <f t="array" aca="1" ref="R35" ca="1">HYPERLINK(Common_InputFunctions.Utility_SourceHyperlink($M$41), $M$41)</f>
        <v>M2_Table_FertApplications</v>
      </c>
      <c r="S35" s="55"/>
    </row>
    <row r="36" spans="3:23"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4117.5</v>
      </c>
      <c r="M36" s="53" t="str">
        <v>f</v>
      </c>
      <c r="N36" s="54" t="str">
        <v>Inorganic fertiliser type</v>
      </c>
      <c r="O36" s="91"/>
      <c r="P36" s="54" t="str">
        <v/>
      </c>
      <c r="Q36" s="117" t="str">
        <v>Constant</v>
      </c>
      <c r="R36" s="54" t="s">
        <v>172</v>
      </c>
      <c r="S36" s="55"/>
    </row>
    <row r="37" spans="3:23"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775</v>
      </c>
    </row>
    <row r="38" spans="3:23" ht="20.100000000000001" customHeight="1" x14ac:dyDescent="0.25">
      <c r="N38" s="97"/>
      <c r="O38" s="97"/>
      <c r="P38" s="97"/>
    </row>
    <row r="39" spans="3:23" ht="20.100000000000001" customHeight="1" x14ac:dyDescent="0.25">
      <c r="C39" s="43"/>
      <c r="D39" s="43"/>
      <c r="E39" s="43"/>
      <c r="F39" s="43"/>
      <c r="G39" s="43"/>
      <c r="H39" s="43"/>
      <c r="I39" s="43"/>
      <c r="J39" s="43"/>
      <c r="M39" s="97" t="s">
        <v>181</v>
      </c>
    </row>
    <row r="40" spans="3: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c r="M40" s="20" t="s">
        <v>325</v>
      </c>
      <c r="N40" s="20"/>
      <c r="O40" s="20"/>
      <c r="P40" s="20"/>
      <c r="Q40" s="20"/>
      <c r="R40" s="20"/>
      <c r="S40" s="20"/>
    </row>
    <row r="41" spans="3:23" ht="20.100000000000001" customHeight="1" x14ac:dyDescent="0.25">
      <c r="D41" s="5" t="str" cm="1">
        <f t="array" ref="D41">Fertiliser_Equations_InorganicN2O.VEERG_5_1_1_1__1_InorganicFertiliserApplicationN2OEmissions_Source()</f>
        <v>VEERG 2026: 5.1.1.1, Equation (1)</v>
      </c>
      <c r="M41" s="90" t="s">
        <v>173</v>
      </c>
      <c r="T41" s="98" t="s">
        <v>199</v>
      </c>
    </row>
    <row r="42" spans="3: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89" t="s">
        <v>171</v>
      </c>
    </row>
    <row r="43" spans="3:23" ht="20.100000000000001" customHeight="1" x14ac:dyDescent="0.25">
      <c r="F43" s="2"/>
      <c r="O43" s="116" t="s">
        <v>178</v>
      </c>
      <c r="P43" s="116" t="s">
        <v>177</v>
      </c>
      <c r="Q43" s="116" t="s">
        <v>141</v>
      </c>
      <c r="R43" s="116" t="str">
        <f>$N$10</f>
        <v>kg N2O-N/kg N applied</v>
      </c>
      <c r="S43" s="116" t="str">
        <f>$N$21</f>
        <v>kg N2O-N/kg N applied</v>
      </c>
      <c r="T43" s="116" t="s">
        <v>178</v>
      </c>
      <c r="U43" s="116" t="s">
        <v>141</v>
      </c>
      <c r="V43" s="116" t="str">
        <f>$N$33</f>
        <v>kg N2O-N/kg N applied</v>
      </c>
      <c r="W43" s="116" t="s">
        <v>179</v>
      </c>
    </row>
    <row r="44" spans="3:23" ht="20.100000000000001" customHeight="1" x14ac:dyDescent="0.25">
      <c r="F44" s="2"/>
      <c r="M44" s="48" t="s">
        <v>170</v>
      </c>
      <c r="N44" s="110" t="s">
        <v>170</v>
      </c>
      <c r="O44" s="110" t="s">
        <v>165</v>
      </c>
      <c r="P44" s="110" t="s">
        <v>166</v>
      </c>
      <c r="Q44" s="48" t="s">
        <v>167</v>
      </c>
      <c r="R44" s="48" t="str">
        <f>N9</f>
        <v>EF_fjIrrigatedMaizeN2O</v>
      </c>
      <c r="S44" s="48" t="str">
        <f>N20</f>
        <v>EF_fjNonIrrigatedGrainsN2O</v>
      </c>
      <c r="T44" s="48" t="s">
        <v>180</v>
      </c>
      <c r="U44" s="48" t="s">
        <v>176</v>
      </c>
      <c r="V44" s="48" t="str">
        <f>N32</f>
        <v>EF_fjCottonN2O</v>
      </c>
      <c r="W44" s="48" t="s">
        <v>226</v>
      </c>
    </row>
    <row r="45" spans="3:23" ht="20.100000000000001" customHeight="1" x14ac:dyDescent="0.25">
      <c r="F45" s="2"/>
      <c r="M45" s="49" t="s">
        <v>175</v>
      </c>
      <c r="N45" s="49" t="str" cm="1">
        <f t="array" ref="N45:N54">Table_Input_InorganicFertiliser_Brands[Product (select)]</f>
        <v>Urea</v>
      </c>
      <c r="O45" s="49" cm="1">
        <f t="array" ref="O45:O54">Table_Input_InorganicFertiliser_Brands[N application rate (kg/ha)]</f>
        <v>46</v>
      </c>
      <c r="P45" s="49" cm="1">
        <f t="array" ref="P45:P54">Table_Input_InorganicFertiliser_Brands[Application area (ha)]</f>
        <v>100</v>
      </c>
      <c r="Q45" s="49">
        <f>O45*P45</f>
        <v>4600</v>
      </c>
      <c r="R45" s="49" cm="1">
        <f t="array" ref="R45">IF(O45&gt;0, Fertiliser_Equations_InorganicN2O.VEERG_5_1_1_2__1_EmissionFactorIrrigatedMaize(O45), 0)</f>
        <v>1.3320000000000001E-3</v>
      </c>
      <c r="S45" s="49" cm="1">
        <f t="array" ref="S45">IF(O45&gt;0, Fertiliser_Equations_InorganicN2O.VEERG_5_1_1_2__2_EmissionFactorNonIrrigatedGrainsHighRainfall(O45), 0)</f>
        <v>4.2309999999999995E-3</v>
      </c>
      <c r="T45" s="49">
        <f>IF(O45&gt;0, MIN(300, O45), 0)</f>
        <v>46</v>
      </c>
      <c r="U45" s="49">
        <f>P45*T45</f>
        <v>4600</v>
      </c>
      <c r="V45" s="49" cm="1">
        <f t="array" ref="V45">IF(O45&gt;0, Fertiliser_Equations_InorganicN2O.VEERG_5_1_1_2__3_EmissionFactorCotton(T45), 0)</f>
        <v>2.9068248573243379E-5</v>
      </c>
      <c r="W45" s="49">
        <f>IF(O45&gt;0,Common_InputFunctions.Utility_LookupN2OEFFromProdIrrigationRainfall($S$80,$S$83,$S$84,Table_SourceData_Common_EFN2O[Production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46" spans="3:23" ht="20.100000000000001" customHeight="1" x14ac:dyDescent="0.25">
      <c r="D46" s="50" t="s">
        <v>24</v>
      </c>
      <c r="E46" s="1" t="str" cm="1">
        <f t="array" ref="E46">Fertiliser_Equations_InorganicN2O.VEERG_5_1_1_1__1_InorganicFertiliserApplicationN2OEmissions_Variable()</f>
        <v>E_N2O</v>
      </c>
      <c r="F46" s="2"/>
      <c r="M46" s="49" t="s">
        <v>175</v>
      </c>
      <c r="N46" s="49" t="str">
        <v>Boost-It</v>
      </c>
      <c r="O46" s="49">
        <v>24</v>
      </c>
      <c r="P46" s="49">
        <v>100</v>
      </c>
      <c r="Q46" s="49">
        <f>O46*P46</f>
        <v>2400</v>
      </c>
      <c r="R46" s="49" cm="1">
        <f t="array" ref="R46">IF(O46&gt;0, Fertiliser_Equations_InorganicN2O.VEERG_5_1_1_2__1_EmissionFactorIrrigatedMaize(O46), 0)</f>
        <v>-1.0000000000000009E-5</v>
      </c>
      <c r="S46" s="49" cm="1">
        <f t="array" ref="S46">IF(O46&gt;0, Fertiliser_Equations_InorganicN2O.VEERG_5_1_1_2__2_EmissionFactorNonIrrigatedGrainsHighRainfall(O46), 0)</f>
        <v>2.581E-3</v>
      </c>
      <c r="T46" s="49">
        <f t="shared" ref="T46:T49" si="0">IF(O46&gt;0, MIN(300, O46), 0)</f>
        <v>24</v>
      </c>
      <c r="U46" s="49">
        <f t="shared" ref="U46:U49" si="1">P46*T46</f>
        <v>2400</v>
      </c>
      <c r="V46" s="49" cm="1">
        <f t="array" ref="V46">IF(O46&gt;0, Fertiliser_Equations_InorganicN2O.VEERG_5_1_1_2__3_EmissionFactorCotton(T46), 0)</f>
        <v>2.9041716040887541E-5</v>
      </c>
      <c r="W46" s="49">
        <f>IF(O46&gt;0,Common_InputFunctions.Utility_LookupN2OEFFromProdIrrigationRainfall($S$80,$S$83,$S$84,Table_SourceData_Common_EFN2O[Production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47" spans="3:23" ht="20.100000000000001" customHeight="1" x14ac:dyDescent="0.25">
      <c r="D47" s="50" t="s">
        <v>15</v>
      </c>
      <c r="E47" s="51" t="str" cm="1">
        <f t="array" ref="E47">Fertiliser_Equations_InorganicN2O.VEERG_5_1_1_1__1_InorganicFertiliserApplicationN2OEmissions_Unit()</f>
        <v>t N2O</v>
      </c>
      <c r="F47" s="2"/>
      <c r="M47" s="49" t="s">
        <v>175</v>
      </c>
      <c r="N47" s="49" t="str">
        <v>Cal-Gran 50/50</v>
      </c>
      <c r="O47" s="49">
        <v>17.899999999999999</v>
      </c>
      <c r="P47" s="49">
        <v>100</v>
      </c>
      <c r="Q47" s="49">
        <f t="shared" ref="Q47:Q49" si="2">O47*P47</f>
        <v>1789.9999999999998</v>
      </c>
      <c r="R47" s="49" cm="1">
        <f t="array" ref="R47">IF(O47&gt;0, Fertiliser_Equations_InorganicN2O.VEERG_5_1_1_2__1_EmissionFactorIrrigatedMaize(O47), 0)</f>
        <v>-3.8210000000000007E-4</v>
      </c>
      <c r="S47" s="49" cm="1">
        <f t="array" ref="S47">IF(O47&gt;0, Fertiliser_Equations_InorganicN2O.VEERG_5_1_1_2__2_EmissionFactorNonIrrigatedGrainsHighRainfall(O47), 0)</f>
        <v>2.1235E-3</v>
      </c>
      <c r="T47" s="49">
        <f t="shared" si="0"/>
        <v>17.899999999999999</v>
      </c>
      <c r="U47" s="49">
        <f t="shared" si="1"/>
        <v>1789.9999999999998</v>
      </c>
      <c r="V47" s="49" cm="1">
        <f t="array" ref="V47">IF(O47&gt;0, Fertiliser_Equations_InorganicN2O.VEERG_5_1_1_2__3_EmissionFactorCotton(T47), 0)</f>
        <v>2.9036730348310381E-5</v>
      </c>
      <c r="W47" s="49">
        <f>IF(O47&gt;0,Common_InputFunctions.Utility_LookupN2OEFFromProdIrrigationRainfall($S$80,$S$83,$S$84,Table_SourceData_Common_EFN2O[Production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48" spans="3:23" ht="20.100000000000001" customHeight="1" x14ac:dyDescent="0.25">
      <c r="F48" s="2"/>
      <c r="M48" s="49" t="s">
        <v>175</v>
      </c>
      <c r="N48" s="49">
        <v>0</v>
      </c>
      <c r="O48" s="49">
        <v>0</v>
      </c>
      <c r="P48" s="49">
        <v>100</v>
      </c>
      <c r="Q48" s="49">
        <f t="shared" si="2"/>
        <v>0</v>
      </c>
      <c r="R48" s="49" cm="1">
        <f t="array" ref="R48">IF(O48&gt;0, Fertiliser_Equations_InorganicN2O.VEERG_5_1_1_2__1_EmissionFactorIrrigatedMaize(O48), 0)</f>
        <v>0</v>
      </c>
      <c r="S48" s="49" cm="1">
        <f t="array" ref="S48">IF(O48&gt;0, Fertiliser_Equations_InorganicN2O.VEERG_5_1_1_2__2_EmissionFactorNonIrrigatedGrainsHighRainfall(O48), 0)</f>
        <v>0</v>
      </c>
      <c r="T48" s="49">
        <f t="shared" si="0"/>
        <v>0</v>
      </c>
      <c r="U48" s="49">
        <f t="shared" si="1"/>
        <v>0</v>
      </c>
      <c r="V48" s="49" cm="1">
        <f t="array" ref="V48">IF(O48&gt;0, Fertiliser_Equations_InorganicN2O.VEERG_5_1_1_2__3_EmissionFactorCotton(T48), 0)</f>
        <v>0</v>
      </c>
      <c r="W48" s="49">
        <f>IF(O48&gt;0,Common_InputFunctions.Utility_LookupN2OEFFromProdIrrigationRainfall($S$80,$S$83,$S$84,Table_SourceData_Common_EFN2O[Production system only],Table_SourceData_Common_EFN2O[Irrigation method],Table_SourceData_Common_EFN2O[Rainfall zone],Table_SourceData_Common_EFN2O[EFN2O]), 0)</f>
        <v>0</v>
      </c>
    </row>
    <row r="49" spans="4:23" ht="20.100000000000001"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7" t="str">
        <v>Calculated from 5.1.1.1 (2)</v>
      </c>
      <c r="I49" s="141" t="str" cm="1">
        <f t="array" aca="1" ref="I49" ca="1">HYPERLINK(Common_InputFunctions.Utility_SourceHyperlink(D16), D16)</f>
        <v>Table_MN_j_f</v>
      </c>
      <c r="M49" s="49" t="s">
        <v>175</v>
      </c>
      <c r="N49" s="49">
        <v>0</v>
      </c>
      <c r="O49" s="49">
        <v>0</v>
      </c>
      <c r="P49" s="49">
        <v>100</v>
      </c>
      <c r="Q49" s="49">
        <f t="shared" si="2"/>
        <v>0</v>
      </c>
      <c r="R49" s="49" cm="1">
        <f t="array" ref="R49">IF(O49&gt;0, Fertiliser_Equations_InorganicN2O.VEERG_5_1_1_2__1_EmissionFactorIrrigatedMaize(O49), 0)</f>
        <v>0</v>
      </c>
      <c r="S49" s="49" cm="1">
        <f t="array" ref="S49">IF(O49&gt;0, Fertiliser_Equations_InorganicN2O.VEERG_5_1_1_2__2_EmissionFactorNonIrrigatedGrainsHighRainfall(O49), 0)</f>
        <v>0</v>
      </c>
      <c r="T49" s="49">
        <f t="shared" si="0"/>
        <v>0</v>
      </c>
      <c r="U49" s="49">
        <f t="shared" si="1"/>
        <v>0</v>
      </c>
      <c r="V49" s="49" cm="1">
        <f t="array" ref="V49">IF(O49&gt;0, Fertiliser_Equations_InorganicN2O.VEERG_5_1_1_2__3_EmissionFactorCotton(T49), 0)</f>
        <v>0</v>
      </c>
      <c r="W49" s="49">
        <f>IF(O49&gt;0,Common_InputFunctions.Utility_LookupN2OEFFromProdIrrigationRainfall($S$80,$S$83,$S$84,Table_SourceData_Common_EFN2O[Production system only],Table_SourceData_Common_EFN2O[Irrigation method],Table_SourceData_Common_EFN2O[Rainfall zone],Table_SourceData_Common_EFN2O[EFN2O]), 0)</f>
        <v>0</v>
      </c>
    </row>
    <row r="50" spans="4:23" ht="20.100000000000001" customHeight="1" x14ac:dyDescent="0.25">
      <c r="D50" s="53" t="str">
        <v>EF_jN2O</v>
      </c>
      <c r="E50" s="54" t="str">
        <v>emission factor for nitrous oxide for inorganic fertilisers</v>
      </c>
      <c r="F50" s="91"/>
      <c r="G50" s="53" t="str">
        <v>kg N2O-N/kg N applied</v>
      </c>
      <c r="H50" s="117"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49" t="s">
        <v>175</v>
      </c>
      <c r="N50" s="49">
        <v>0</v>
      </c>
      <c r="O50" s="49">
        <v>0</v>
      </c>
      <c r="P50" s="49">
        <v>100</v>
      </c>
      <c r="Q50" s="49"/>
      <c r="R50" s="49"/>
      <c r="S50" s="49"/>
      <c r="T50" s="49"/>
      <c r="U50" s="49"/>
      <c r="V50" s="49"/>
      <c r="W50" s="49"/>
    </row>
    <row r="51" spans="4:23" ht="20.100000000000001" customHeight="1" x14ac:dyDescent="0.25">
      <c r="D51" s="53" t="str">
        <v>C_N2O</v>
      </c>
      <c r="E51" s="54" t="str">
        <v>factor to convert elemental mass of nitrous oxide to molecular mass</v>
      </c>
      <c r="F51" s="91"/>
      <c r="G51" s="53" t="str">
        <v/>
      </c>
      <c r="H51" s="117" t="str">
        <v>Constant</v>
      </c>
      <c r="I51" s="53">
        <f>Common_InputFunctions.Utility_LookupValueInTableNumber("N2O",Table_GasToMolecularConversionFactor[Gas],Table_GasToMolecularConversionFactor[Conversion factor combined])</f>
        <v>1.5714285714285714</v>
      </c>
      <c r="M51" s="49" t="s">
        <v>175</v>
      </c>
      <c r="N51" s="49">
        <v>0</v>
      </c>
      <c r="O51" s="49">
        <v>0</v>
      </c>
      <c r="P51" s="49">
        <v>100</v>
      </c>
      <c r="Q51" s="49"/>
      <c r="R51" s="49"/>
      <c r="S51" s="49"/>
      <c r="T51" s="49"/>
      <c r="U51" s="49"/>
      <c r="V51" s="49"/>
      <c r="W51" s="49"/>
    </row>
    <row r="52" spans="4:23" ht="20.100000000000001" customHeight="1" x14ac:dyDescent="0.25">
      <c r="D52" s="53" t="str">
        <v>j</v>
      </c>
      <c r="E52" s="54" t="str">
        <v>Production system</v>
      </c>
      <c r="F52" s="91"/>
      <c r="G52" s="53" t="str">
        <v/>
      </c>
      <c r="H52" s="118" t="str">
        <v>Input</v>
      </c>
      <c r="I52" s="53" t="str">
        <f>X_Cell_Fertiliser_ProductionSystem</f>
        <v>Crop</v>
      </c>
      <c r="M52" s="49" t="s">
        <v>175</v>
      </c>
      <c r="N52" s="49">
        <v>0</v>
      </c>
      <c r="O52" s="49">
        <v>0</v>
      </c>
      <c r="P52" s="49">
        <v>100</v>
      </c>
      <c r="Q52" s="49"/>
      <c r="R52" s="49"/>
      <c r="S52" s="49"/>
      <c r="T52" s="49"/>
      <c r="U52" s="49"/>
      <c r="V52" s="49"/>
      <c r="W52" s="49"/>
    </row>
    <row r="53" spans="4:23" ht="20.100000000000001" customHeight="1" x14ac:dyDescent="0.25">
      <c r="D53" s="53" t="str">
        <v>f</v>
      </c>
      <c r="E53" s="54" t="str">
        <v>Inorganic fertiliser type</v>
      </c>
      <c r="F53" s="91"/>
      <c r="G53" s="53" t="str">
        <v/>
      </c>
      <c r="H53" s="117" t="str">
        <v>Constant</v>
      </c>
      <c r="I53" s="53" t="str">
        <f>"See " &amp; D57</f>
        <v>See M1_Table_E_N2O</v>
      </c>
      <c r="M53" s="49" t="s">
        <v>175</v>
      </c>
      <c r="N53" s="49">
        <v>0</v>
      </c>
      <c r="O53" s="49">
        <v>0</v>
      </c>
      <c r="P53" s="49">
        <v>100</v>
      </c>
      <c r="Q53" s="49"/>
      <c r="R53" s="49"/>
      <c r="S53" s="49"/>
      <c r="T53" s="49"/>
      <c r="U53" s="49"/>
      <c r="V53" s="49"/>
      <c r="W53" s="49"/>
    </row>
    <row r="54" spans="4:23" ht="20.100000000000001" customHeight="1" x14ac:dyDescent="0.25">
      <c r="D54" s="53" t="str">
        <v>ir</v>
      </c>
      <c r="E54" s="54" t="str">
        <v>irrigation method</v>
      </c>
      <c r="F54" s="91"/>
      <c r="G54" s="53" t="str">
        <v/>
      </c>
      <c r="H54" s="118" t="str">
        <v>Input</v>
      </c>
      <c r="I54" s="53" t="str">
        <f>X_Cell_Fertiliser_IrrigationMethod</f>
        <v>Sprinkler irrigation</v>
      </c>
      <c r="M54" s="49" t="s">
        <v>175</v>
      </c>
      <c r="N54" s="49">
        <v>0</v>
      </c>
      <c r="O54" s="49">
        <v>0</v>
      </c>
      <c r="P54" s="49">
        <v>100</v>
      </c>
      <c r="Q54" s="49"/>
      <c r="R54" s="49"/>
      <c r="S54" s="49"/>
      <c r="T54" s="49"/>
      <c r="U54" s="49"/>
      <c r="V54" s="49"/>
      <c r="W54" s="49"/>
    </row>
    <row r="55" spans="4:23" ht="20.100000000000001" customHeight="1" x14ac:dyDescent="0.25">
      <c r="D55" s="53" t="str">
        <v>z</v>
      </c>
      <c r="E55" s="54" t="str">
        <v>rainfall zone</v>
      </c>
      <c r="F55" s="91"/>
      <c r="G55" s="53" t="str">
        <v/>
      </c>
      <c r="H55" s="118" t="str">
        <v>Input</v>
      </c>
      <c r="I55" s="53" t="str">
        <f>X_Cell_Site_RainfallZone</f>
        <v>Low rainfall</v>
      </c>
      <c r="M55" s="49" t="s">
        <v>174</v>
      </c>
      <c r="N55" s="49" t="str" cm="1">
        <f t="array" ref="N55:N64">Table_Input_InorganicFertiliser_Custom[Custom blend name]</f>
        <v>My first custom blend</v>
      </c>
      <c r="O55" s="49" cm="1">
        <f t="array" ref="O55:O64">Table_Input_InorganicFertiliser_Custom[N application rate (kg/ha)]</f>
        <v>7.75</v>
      </c>
      <c r="P55" s="49" cm="1">
        <f t="array" ref="P55:P64">Table_Input_InorganicFertiliser_Custom[Application area (ha)]</f>
        <v>100</v>
      </c>
      <c r="Q55" s="49">
        <f>O55*P55</f>
        <v>775</v>
      </c>
      <c r="R55" s="49" cm="1">
        <f t="array" ref="R55">IF(O55&gt;0, Fertiliser_Equations_InorganicN2O.VEERG_5_1_1_2__1_EmissionFactorIrrigatedMaize(O55), 0)</f>
        <v>-1.00125E-3</v>
      </c>
      <c r="S55" s="49" cm="1">
        <f t="array" ref="S55">IF(O55&gt;0, Fertiliser_Equations_InorganicN2O.VEERG_5_1_1_2__2_EmissionFactorNonIrrigatedGrainsHighRainfall(O55), 0)</f>
        <v>1.36225E-3</v>
      </c>
      <c r="T55" s="49">
        <f>IF(O55&gt;0, MIN(300, O55), 0)</f>
        <v>7.75</v>
      </c>
      <c r="U55" s="49">
        <f>P55*T55</f>
        <v>775</v>
      </c>
      <c r="V55" s="49" cm="1">
        <f t="array" ref="V55">IF(O55&gt;0, Fertiliser_Equations_InorganicN2O.VEERG_5_1_1_2__3_EmissionFactorCotton(T55), 0)</f>
        <v>2.9029995329592254E-5</v>
      </c>
      <c r="W55" s="49">
        <f>IF(O55&gt;0,Common_InputFunctions.Utility_LookupN2OEFFromProdIrrigationRainfall($S$80,$S$83,$S$84,Table_SourceData_Common_EFN2O[Production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56" spans="4:23" ht="20.100000000000001" customHeight="1" x14ac:dyDescent="0.25">
      <c r="F56" s="2"/>
      <c r="M56" s="49" t="s">
        <v>174</v>
      </c>
      <c r="N56" s="49" t="str">
        <v>My second custom blend</v>
      </c>
      <c r="O56" s="49">
        <v>46</v>
      </c>
      <c r="P56" s="49">
        <v>100</v>
      </c>
      <c r="Q56" s="49">
        <f>O56*P56</f>
        <v>4600</v>
      </c>
      <c r="R56" s="49" cm="1">
        <f t="array" ref="R56">IF(O56&gt;0, Fertiliser_Equations_InorganicN2O.VEERG_5_1_1_2__1_EmissionFactorIrrigatedMaize(O56), 0)</f>
        <v>1.3320000000000001E-3</v>
      </c>
      <c r="S56" s="49" cm="1">
        <f t="array" ref="S56">IF(O56&gt;0, Fertiliser_Equations_InorganicN2O.VEERG_5_1_1_2__2_EmissionFactorNonIrrigatedGrainsHighRainfall(O56), 0)</f>
        <v>4.2309999999999995E-3</v>
      </c>
      <c r="T56" s="49">
        <f>IF(O56&gt;0, MIN(300, O56), 0)</f>
        <v>46</v>
      </c>
      <c r="U56" s="49">
        <f>P56*T56</f>
        <v>4600</v>
      </c>
      <c r="V56" s="49" cm="1">
        <f t="array" ref="V56">IF(O56&gt;0, Fertiliser_Equations_InorganicN2O.VEERG_5_1_1_2__3_EmissionFactorCotton(T56), 0)</f>
        <v>2.9068248573243379E-5</v>
      </c>
      <c r="W56" s="49">
        <f>IF(O56&gt;0,Common_InputFunctions.Utility_LookupN2OEFFromProdIrrigationRainfall($S$80,$S$83,$S$84,Table_SourceData_Common_EFN2O[Production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57" spans="4:23" ht="20.100000000000001" customHeight="1" x14ac:dyDescent="0.25">
      <c r="D57" s="90" t="s">
        <v>168</v>
      </c>
      <c r="F57" s="2"/>
      <c r="M57" s="49" t="s">
        <v>174</v>
      </c>
      <c r="N57" s="49" t="str">
        <v>My third custom blend</v>
      </c>
      <c r="O57" s="49">
        <v>41.174999999999997</v>
      </c>
      <c r="P57" s="49">
        <v>100</v>
      </c>
      <c r="Q57" s="49">
        <f>O57*P57</f>
        <v>4117.5</v>
      </c>
      <c r="R57" s="49" cm="1">
        <f t="array" ref="R57">IF(O57&gt;0, Fertiliser_Equations_InorganicN2O.VEERG_5_1_1_2__1_EmissionFactorIrrigatedMaize(O57), 0)</f>
        <v>1.0376749999999998E-3</v>
      </c>
      <c r="S57" s="49" cm="1">
        <f t="array" ref="S57">IF(O57&gt;0, Fertiliser_Equations_InorganicN2O.VEERG_5_1_1_2__2_EmissionFactorNonIrrigatedGrainsHighRainfall(O57), 0)</f>
        <v>3.8691250000000002E-3</v>
      </c>
      <c r="T57" s="49">
        <f>IF(O57&gt;0, MIN(300, O57), 0)</f>
        <v>41.174999999999997</v>
      </c>
      <c r="U57" s="49">
        <f>P57*T57</f>
        <v>4117.5</v>
      </c>
      <c r="V57" s="49" cm="1">
        <f t="array" ref="V57">IF(O57&gt;0, Fertiliser_Equations_InorganicN2O.VEERG_5_1_1_2__3_EmissionFactorCotton(T57), 0)</f>
        <v>2.9061000580963132E-5</v>
      </c>
      <c r="W57" s="49">
        <f>IF(O57&gt;0,Common_InputFunctions.Utility_LookupN2OEFFromProdIrrigationRainfall($S$80,$S$83,$S$84,Table_SourceData_Common_EFN2O[Production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58" spans="4:23" ht="20.100000000000001" customHeight="1" x14ac:dyDescent="0.25">
      <c r="D58" s="89" t="s">
        <v>169</v>
      </c>
      <c r="F58" s="2"/>
      <c r="M58" s="49" t="s">
        <v>174</v>
      </c>
      <c r="N58" s="49">
        <v>0</v>
      </c>
      <c r="O58" s="49">
        <v>0</v>
      </c>
      <c r="P58" s="49">
        <v>100</v>
      </c>
      <c r="Q58" s="49">
        <f>O58*P58</f>
        <v>0</v>
      </c>
      <c r="R58" s="49" cm="1">
        <f t="array" ref="R58">IF(O58&gt;0, Fertiliser_Equations_InorganicN2O.VEERG_5_1_1_2__1_EmissionFactorIrrigatedMaize(O58), 0)</f>
        <v>0</v>
      </c>
      <c r="S58" s="49" cm="1">
        <f t="array" ref="S58">IF(O58&gt;0, Fertiliser_Equations_InorganicN2O.VEERG_5_1_1_2__2_EmissionFactorNonIrrigatedGrainsHighRainfall(O58), 0)</f>
        <v>0</v>
      </c>
      <c r="T58" s="49">
        <f>IF(O58&gt;0, MIN(300, O58), 0)</f>
        <v>0</v>
      </c>
      <c r="U58" s="49">
        <f>P58*T58</f>
        <v>0</v>
      </c>
      <c r="V58" s="49" cm="1">
        <f t="array" ref="V58">IF(O58&gt;0, Fertiliser_Equations_InorganicN2O.VEERG_5_1_1_2__3_EmissionFactorCotton(T58), 0)</f>
        <v>0</v>
      </c>
      <c r="W58" s="49">
        <f>IF(O58&gt;0,Common_InputFunctions.Utility_LookupN2OEFFromProdIrrigationRainfall($S$80,$S$83,$S$84,Table_SourceData_Common_EFN2O[Production system only],Table_SourceData_Common_EFN2O[Irrigation method],Table_SourceData_Common_EFN2O[Rainfall zone],Table_SourceData_Common_EFN2O[EFN2O]), 0)</f>
        <v>0</v>
      </c>
    </row>
    <row r="59" spans="4:23" ht="20.100000000000001" customHeight="1" x14ac:dyDescent="0.25">
      <c r="D59" s="48" t="s">
        <v>111</v>
      </c>
      <c r="E59" s="48" t="s">
        <v>182</v>
      </c>
      <c r="M59" s="49" t="s">
        <v>174</v>
      </c>
      <c r="N59" s="49">
        <v>0</v>
      </c>
      <c r="O59" s="49">
        <v>0</v>
      </c>
      <c r="P59" s="49">
        <v>100</v>
      </c>
      <c r="Q59" s="49">
        <f>O59*P59</f>
        <v>0</v>
      </c>
      <c r="R59" s="49" cm="1">
        <f t="array" ref="R59">IF(O59&gt;0, Fertiliser_Equations_InorganicN2O.VEERG_5_1_1_2__1_EmissionFactorIrrigatedMaize(O59), 0)</f>
        <v>0</v>
      </c>
      <c r="S59" s="49" cm="1">
        <f t="array" ref="S59">IF(O59&gt;0, Fertiliser_Equations_InorganicN2O.VEERG_5_1_1_2__2_EmissionFactorNonIrrigatedGrainsHighRainfall(O59), 0)</f>
        <v>0</v>
      </c>
      <c r="T59" s="49">
        <f>IF(O59&gt;0, MIN(300, O59), 0)</f>
        <v>0</v>
      </c>
      <c r="U59" s="49">
        <f>P59*T59</f>
        <v>0</v>
      </c>
      <c r="V59" s="49" cm="1">
        <f t="array" ref="V59">IF(O59&gt;0, Fertiliser_Equations_InorganicN2O.VEERG_5_1_1_2__3_EmissionFactorCotton(T59), 0)</f>
        <v>0</v>
      </c>
      <c r="W59" s="49">
        <f>IF(O59&gt;0,Common_InputFunctions.Utility_LookupN2OEFFromProdIrrigationRainfall($S$80,$S$83,$S$84,Table_SourceData_Common_EFN2O[Production system only],Table_SourceData_Common_EFN2O[Irrigation method],Table_SourceData_Common_EFN2O[Rainfall zone],Table_SourceData_Common_EFN2O[EFN2O]), 0)</f>
        <v>0</v>
      </c>
    </row>
    <row r="60" spans="4:23" ht="20.100000000000001"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49" t="s">
        <v>174</v>
      </c>
      <c r="N60" s="49">
        <v>0</v>
      </c>
      <c r="O60" s="49">
        <v>0</v>
      </c>
      <c r="P60" s="49">
        <v>100</v>
      </c>
      <c r="Q60" s="49"/>
      <c r="R60" s="49"/>
      <c r="S60" s="49"/>
      <c r="T60" s="49"/>
      <c r="U60" s="49"/>
      <c r="V60" s="49"/>
      <c r="W60" s="49"/>
    </row>
    <row r="61" spans="4:23" ht="20.100000000000001" customHeight="1" x14ac:dyDescent="0.25">
      <c r="D61" s="49" t="str">
        <v>Diammonium phosphate (DAP)</v>
      </c>
      <c r="E61" s="49" cm="1">
        <f t="array" ref="E61">Fertiliser_Equations_InorganicN2O.VEERG_5_1_1_1__1_InorganicFertiliserApplicationN2OEmissions(G20,$I$50,$I$51)</f>
        <v>0</v>
      </c>
      <c r="M61" s="49" t="s">
        <v>174</v>
      </c>
      <c r="N61" s="49">
        <v>0</v>
      </c>
      <c r="O61" s="49">
        <v>0</v>
      </c>
      <c r="P61" s="49">
        <v>100</v>
      </c>
      <c r="Q61" s="49"/>
      <c r="R61" s="49"/>
      <c r="S61" s="49"/>
      <c r="T61" s="49"/>
      <c r="U61" s="49"/>
      <c r="V61" s="49"/>
      <c r="W61" s="49"/>
    </row>
    <row r="62" spans="4:23" ht="20.100000000000001" customHeight="1" x14ac:dyDescent="0.25">
      <c r="D62" s="49" t="str">
        <v>Urea</v>
      </c>
      <c r="E62" s="49" cm="1">
        <f t="array" ref="E62">Fertiliser_Equations_InorganicN2O.VEERG_5_1_1_1__1_InorganicFertiliserApplicationN2OEmissions(G21,$I$50,$I$51)</f>
        <v>0.12759999340000003</v>
      </c>
      <c r="M62" s="49" t="s">
        <v>174</v>
      </c>
      <c r="N62" s="49">
        <v>0</v>
      </c>
      <c r="O62" s="49">
        <v>0</v>
      </c>
      <c r="P62" s="49">
        <v>100</v>
      </c>
      <c r="Q62" s="49"/>
      <c r="R62" s="49"/>
      <c r="S62" s="49"/>
      <c r="T62" s="49"/>
      <c r="U62" s="49"/>
      <c r="V62" s="49"/>
      <c r="W62" s="49"/>
    </row>
    <row r="63" spans="4:23" ht="20.100000000000001" customHeight="1" x14ac:dyDescent="0.25">
      <c r="D63" s="49" t="str">
        <v>Sulphate of ammonia (SOA)</v>
      </c>
      <c r="E63" s="49" cm="1">
        <f t="array" ref="E63">Fertiliser_Equations_InorganicN2O.VEERG_5_1_1_1__1_InorganicFertiliserApplicationN2OEmissions(G22,$I$50,$I$51)</f>
        <v>0</v>
      </c>
      <c r="M63" s="49" t="s">
        <v>174</v>
      </c>
      <c r="N63" s="49">
        <v>0</v>
      </c>
      <c r="O63" s="49">
        <v>0</v>
      </c>
      <c r="P63" s="49">
        <v>100</v>
      </c>
      <c r="Q63" s="49"/>
      <c r="R63" s="49"/>
      <c r="S63" s="49"/>
      <c r="T63" s="49"/>
      <c r="U63" s="49"/>
      <c r="V63" s="49"/>
      <c r="W63" s="49"/>
    </row>
    <row r="64" spans="4:23" ht="20.100000000000001" customHeight="1" x14ac:dyDescent="0.25">
      <c r="D64" s="49" t="str">
        <v>Urea-ammonium nitrate (UAN)</v>
      </c>
      <c r="E64" s="49" cm="1">
        <f t="array" ref="E64">Fertiliser_Equations_InorganicN2O.VEERG_5_1_1_1__1_InorganicFertiliserApplicationN2OEmissions(G23,$I$50,$I$51)</f>
        <v>0</v>
      </c>
      <c r="M64" s="49" t="s">
        <v>174</v>
      </c>
      <c r="N64" s="49">
        <v>0</v>
      </c>
      <c r="O64" s="49">
        <v>0</v>
      </c>
      <c r="P64" s="49">
        <v>100</v>
      </c>
      <c r="Q64" s="49"/>
      <c r="R64" s="49"/>
      <c r="S64" s="49"/>
      <c r="T64" s="49"/>
      <c r="U64" s="49"/>
      <c r="V64" s="49"/>
      <c r="W64" s="49"/>
    </row>
    <row r="65" spans="4:24" ht="20.100000000000001" customHeight="1" x14ac:dyDescent="0.25">
      <c r="D65" s="49" t="str">
        <v>Ammonium nitrate (AN)</v>
      </c>
      <c r="E65" s="49" cm="1">
        <f t="array" ref="E65">Fertiliser_Equations_InorganicN2O.VEERG_5_1_1_1__1_InorganicFertiliserApplicationN2OEmissions(G24,$I$50,$I$51)</f>
        <v>0</v>
      </c>
    </row>
    <row r="66" spans="4:24" ht="20.100000000000001" customHeight="1" x14ac:dyDescent="0.25">
      <c r="D66" s="49" t="str">
        <v>Calcium ammonium nitrate (CAN)</v>
      </c>
      <c r="E66" s="49" cm="1">
        <f t="array" ref="E66">Fertiliser_Equations_InorganicN2O.VEERG_5_1_1_1__1_InorganicFertiliserApplicationN2OEmissions(G25,$I$50,$I$51)</f>
        <v>0</v>
      </c>
    </row>
    <row r="67" spans="4:24" ht="20.100000000000001" customHeight="1" x14ac:dyDescent="0.25">
      <c r="D67" s="49" t="str">
        <v>Nitrogen - Ammoniacal</v>
      </c>
      <c r="E67" s="49" cm="1">
        <f t="array" ref="E67">Fertiliser_Equations_InorganicN2O.VEERG_5_1_1_1__1_InorganicFertiliserApplicationN2OEmissions(G26,$I$50,$I$51)</f>
        <v>1.3639999999999999E-2</v>
      </c>
      <c r="L67" s="43"/>
      <c r="M67" s="43"/>
      <c r="N67" s="43"/>
      <c r="O67" s="43"/>
      <c r="P67" s="43"/>
      <c r="Q67" s="43"/>
      <c r="R67" s="43"/>
      <c r="S67" s="43"/>
      <c r="T67" s="43"/>
      <c r="U67" s="43"/>
      <c r="V67" s="43"/>
      <c r="W67" s="43"/>
      <c r="X67" s="43"/>
    </row>
    <row r="68" spans="4:24" ht="20.100000000000001" customHeight="1" x14ac:dyDescent="0.25">
      <c r="D68" s="49" t="str">
        <v>Nitrogen - Nitrate</v>
      </c>
      <c r="E68" s="49" cm="1">
        <f t="array" ref="E68">Fertiliser_Equations_InorganicN2O.VEERG_5_1_1_1__1_InorganicFertiliserApplicationN2OEmissions(G27,$I$50,$I$51)</f>
        <v>6.0499999999999998E-3</v>
      </c>
      <c r="M68" s="6" t="str" cm="1">
        <f t="array" ref="M68">Fertiliser_Equations_InorganicN2O.VEERG_5_1_1_1__1_InorganicFertiliserApplicationN2OEmissions_Title()</f>
        <v>Nitrous oxide emissions from the application of all inorganic fertiliser types f to all production systems j</v>
      </c>
    </row>
    <row r="69" spans="4:24" ht="20.100000000000001" customHeight="1" x14ac:dyDescent="0.25">
      <c r="D69" s="49" t="str">
        <v>Nitrogen - Generic</v>
      </c>
      <c r="E69" s="49" cm="1">
        <f t="array" ref="E69">Fertiliser_Equations_InorganicN2O.VEERG_5_1_1_1__1_InorganicFertiliserApplicationN2OEmissions(G28,$I$50,$I$51)</f>
        <v>0</v>
      </c>
      <c r="M69" s="5" t="str" cm="1">
        <f t="array" ref="M69">Fertiliser_Equations_InorganicN2O.VEERG_5_1_1_1__1_InorganicFertiliserApplicationN2OEmissions_Source()</f>
        <v>VEERG 2026: 5.1.1.1, Equation (1)</v>
      </c>
    </row>
    <row r="70" spans="4:24" ht="20.100000000000001" customHeight="1" x14ac:dyDescent="0.25">
      <c r="D70" s="49" t="str">
        <v>Phosphorus - Generic</v>
      </c>
      <c r="E70" s="49" cm="1">
        <f t="array" ref="E70">Fertiliser_Equations_InorganicN2O.VEERG_5_1_1_1__1_InorganicFertiliserApplicationN2OEmissions(G29,$I$50,$I$51)</f>
        <v>0</v>
      </c>
      <c r="M70" s="13" t="s">
        <v>21</v>
      </c>
      <c r="N70" s="13" t="str" cm="1">
        <f t="array" aca="1" ref="N70" ca="1">Common_InputFunctions.Utility_DisplayFunctionName($E$60)</f>
        <v>=Fertiliser_Equations_InorganicN2O.VEERG_5_1_1_1__1_InorganicFertiliserApplicationN2OEmissions</v>
      </c>
    </row>
    <row r="71" spans="4:24" ht="20.100000000000001" customHeight="1" x14ac:dyDescent="0.25">
      <c r="D71" s="49" t="str">
        <v>Potassium - Generic</v>
      </c>
      <c r="E71" s="49" cm="1">
        <f t="array" ref="E71">Fertiliser_Equations_InorganicN2O.VEERG_5_1_1_1__1_InorganicFertiliserApplicationN2OEmissions(G30,$I$50,$I$51)</f>
        <v>0</v>
      </c>
    </row>
    <row r="72" spans="4:24" ht="20.100000000000001" customHeight="1" x14ac:dyDescent="0.25">
      <c r="D72" s="49" t="str">
        <v>Sulfur - Generic</v>
      </c>
      <c r="E72" s="49" cm="1">
        <f t="array" ref="E72">Fertiliser_Equations_InorganicN2O.VEERG_5_1_1_1__1_InorganicFertiliserApplicationN2OEmissions(G31,$I$50,$I$51)</f>
        <v>0</v>
      </c>
    </row>
    <row r="73" spans="4:24" ht="20.100000000000001" customHeight="1" x14ac:dyDescent="0.25">
      <c r="D73" s="49" t="str">
        <v>Zinc - Generic</v>
      </c>
      <c r="E73" s="49" cm="1">
        <f t="array" ref="E73">Fertiliser_Equations_InorganicN2O.VEERG_5_1_1_1__1_InorganicFertiliserApplicationN2OEmissions(G32,$I$50,$I$51)</f>
        <v>0</v>
      </c>
    </row>
    <row r="74" spans="4:24" ht="20.100000000000001" customHeight="1" x14ac:dyDescent="0.25">
      <c r="D74" s="49" t="str">
        <v>Muriate of potash (MOP)</v>
      </c>
      <c r="E74" s="49" cm="1">
        <f t="array" ref="E74">Fertiliser_Equations_InorganicN2O.VEERG_5_1_1_1__1_InorganicFertiliserApplicationN2OEmissions(G33,$I$50,$I$51)</f>
        <v>0</v>
      </c>
      <c r="M74" s="50" t="s">
        <v>24</v>
      </c>
      <c r="N74" s="1" t="str" cm="1">
        <f t="array" ref="N74">Fertiliser_Equations_InorganicN2O.VEERG_5_1_1_1__1_InorganicFertiliserApplicationN2OEmissions_Variable()</f>
        <v>E_N2O</v>
      </c>
    </row>
    <row r="75" spans="4:24" ht="20.100000000000001" customHeight="1" x14ac:dyDescent="0.25">
      <c r="D75" s="49" t="str">
        <v>Double superphosphate</v>
      </c>
      <c r="E75" s="49" cm="1">
        <f t="array" ref="E75">Fertiliser_Equations_InorganicN2O.VEERG_5_1_1_1__1_InorganicFertiliserApplicationN2OEmissions(G34,$I$50,$I$51)</f>
        <v>0</v>
      </c>
      <c r="M75" s="50" t="s">
        <v>15</v>
      </c>
      <c r="N75" s="51" t="str" cm="1">
        <f t="array" ref="N75">Fertiliser_Equations_InorganicN2O.VEERG_5_1_1_1__1_InorganicFertiliserApplicationN2OEmissions_Unit()</f>
        <v>t N2O</v>
      </c>
    </row>
    <row r="76" spans="4:24" ht="20.100000000000001" customHeight="1" x14ac:dyDescent="0.25">
      <c r="D76" s="49" t="str">
        <v>Single superphosphate (SSP)</v>
      </c>
      <c r="E76" s="49" cm="1">
        <f t="array" ref="E76">Fertiliser_Equations_InorganicN2O.VEERG_5_1_1_1__1_InorganicFertiliserApplicationN2OEmissions(G35,$I$50,$I$51)</f>
        <v>0</v>
      </c>
    </row>
    <row r="77" spans="4:24" ht="20.100000000000001" customHeight="1" x14ac:dyDescent="0.25">
      <c r="D77" s="49" t="str">
        <v>Ammonia</v>
      </c>
      <c r="E77" s="49" cm="1">
        <f t="array" ref="E77">Fertiliser_Equations_InorganicN2O.VEERG_5_1_1_1__1_InorganicFertiliserApplicationN2OEmissions(G36,$I$50,$I$51)</f>
        <v>4.5292500000000006E-2</v>
      </c>
      <c r="M77" s="53" t="str" cm="1">
        <f t="array" ref="M77:N84">_xlfn.CHOOSECOLS(Fertiliser_Equations_InorganicN2O.VEERG_5_1_1_1__1_InorganicFertiliserApplicationN2OEmissions_Arguments_Method2(), 1, 2)</f>
        <v>MN_jf</v>
      </c>
      <c r="N77" s="54" t="str">
        <v>mass of nitrogen in inorganic fertiliser type f applied to production system j</v>
      </c>
      <c r="O77" s="91"/>
      <c r="P77" s="55"/>
      <c r="Q77" s="53" t="str" cm="1">
        <f t="array" ref="Q77:R84">_xlfn.CHOOSECOLS(Fertiliser_Equations_InorganicN2O.VEERG_5_1_1_1__1_InorganicFertiliserApplicationN2OEmissions_Arguments_Method2(), 3,4)</f>
        <v>kg N</v>
      </c>
      <c r="R77" s="117" t="str">
        <v>Calculated from 5.1.1.1 (2)</v>
      </c>
      <c r="S77" s="141" t="str" cm="1">
        <f t="array" aca="1" ref="S77" ca="1">HYPERLINK(Common_InputFunctions.Utility_SourceHyperlink(M41), M41)</f>
        <v>M2_Table_FertApplications</v>
      </c>
    </row>
    <row r="78" spans="4:24" ht="20.100000000000001" customHeight="1" x14ac:dyDescent="0.25">
      <c r="D78" s="49" t="str">
        <v>Calcium nitrate</v>
      </c>
      <c r="E78" s="49" cm="1">
        <f t="array" ref="E78">Fertiliser_Equations_InorganicN2O.VEERG_5_1_1_1__1_InorganicFertiliserApplicationN2OEmissions(G37,$I$50,$I$51)</f>
        <v>8.5250000000000013E-3</v>
      </c>
      <c r="M78" s="53" t="str">
        <v>EF_jN2O</v>
      </c>
      <c r="N78" s="54" t="str">
        <v>emission factor for nitrous oxide for inorganic fertilisers</v>
      </c>
      <c r="O78" s="91"/>
      <c r="P78" s="55"/>
      <c r="Q78" s="53" t="str">
        <v>kg N2O-N/kg N applied</v>
      </c>
      <c r="R78" s="117" t="str">
        <v>Calculated from 5.1.1.2 (1)(2)(3)</v>
      </c>
      <c r="S78" s="53" t="str" cm="1">
        <f t="array" ref="S78">_xlfn.IFS(
  AND(S80="crop", S81="grains", S83="not irrigated", S84="high rainfall"), $S$44,
  AND(S80="Crop", S81="maize", S83&lt;&gt;"not irrigated"), $R$44,
  AND(S80="Crop", S81="cotton"), $V$44,
  TRUE, $W$44
)</f>
        <v>EF_jN2O</v>
      </c>
    </row>
    <row r="79" spans="4:24" ht="20.100000000000001" customHeight="1" x14ac:dyDescent="0.25">
      <c r="M79" s="53" t="str">
        <v>C_N2O</v>
      </c>
      <c r="N79" s="54" t="str">
        <v>factor to convert elemental mass of nitrous oxide to molecular mass</v>
      </c>
      <c r="O79" s="91"/>
      <c r="P79" s="55"/>
      <c r="Q79" s="53" t="str">
        <v/>
      </c>
      <c r="R79" s="117" t="str">
        <v>Constant</v>
      </c>
      <c r="S79" s="53">
        <f>Common_InputFunctions.Utility_LookupValueInTableNumber("N2O",Table_GasToMolecularConversionFactor[Gas],Table_GasToMolecularConversionFactor[Conversion factor combined])</f>
        <v>1.5714285714285714</v>
      </c>
    </row>
    <row r="80" spans="4:24" ht="20.100000000000001" customHeight="1" x14ac:dyDescent="0.25">
      <c r="D80" s="92" t="s">
        <v>161</v>
      </c>
      <c r="E80" s="93">
        <f>SUM(E60:E78)</f>
        <v>0.20110749340000006</v>
      </c>
      <c r="F80" s="94" t="str">
        <f>$E$47</f>
        <v>t N2O</v>
      </c>
      <c r="M80" s="53" t="str">
        <v>j</v>
      </c>
      <c r="N80" s="54" t="str">
        <v>Production system</v>
      </c>
      <c r="O80" s="91"/>
      <c r="P80" s="55"/>
      <c r="Q80" s="53" t="str">
        <v/>
      </c>
      <c r="R80" s="118" t="str">
        <v>Input</v>
      </c>
      <c r="S80" s="53" t="str">
        <f>X_Cell_Fertiliser_ProductionSystem</f>
        <v>Crop</v>
      </c>
    </row>
    <row r="81" spans="4:19" ht="20.100000000000001" customHeight="1" x14ac:dyDescent="0.25">
      <c r="M81" s="53" t="str">
        <v>c</v>
      </c>
      <c r="N81" s="54" t="str">
        <v>Crop type</v>
      </c>
      <c r="O81" s="91"/>
      <c r="P81" s="55"/>
      <c r="Q81" s="53" t="str">
        <v/>
      </c>
      <c r="R81" s="118" t="str">
        <v>Input</v>
      </c>
      <c r="S81" s="53" t="str">
        <f>X_Cell_Fertiliser_CropType</f>
        <v>Grains</v>
      </c>
    </row>
    <row r="82" spans="4:19" ht="20.100000000000001" customHeight="1" x14ac:dyDescent="0.25">
      <c r="D82" s="53" t="str" cm="1">
        <f t="array" ref="D82:E83">Common_Equations.Common_ConvertN2OToCO2e_Arguments()</f>
        <v>EN2O</v>
      </c>
      <c r="E82" s="54" t="str">
        <v>Nitrous oxide emissions (t N2O)</v>
      </c>
      <c r="F82" s="95"/>
      <c r="G82" s="49">
        <f>VEERG_5_1_1_1__1_InorganicFertiliserApplicationN2OEmissions_Result_Method1</f>
        <v>0.20110749340000006</v>
      </c>
      <c r="M82" s="53" t="str">
        <v>f</v>
      </c>
      <c r="N82" s="54" t="str">
        <v>Inorganic fertiliser type</v>
      </c>
      <c r="O82" s="91"/>
      <c r="P82" s="55"/>
      <c r="Q82" s="53" t="str">
        <v/>
      </c>
      <c r="R82" s="117" t="str">
        <v>Constant</v>
      </c>
      <c r="S82" s="53" t="s">
        <v>184</v>
      </c>
    </row>
    <row r="83" spans="4:19" ht="20.100000000000001" customHeight="1" x14ac:dyDescent="0.25">
      <c r="D83" s="53" t="str">
        <v>GWPN2O</v>
      </c>
      <c r="E83" s="54" t="str">
        <v>Global warming potential for nitrous oxide (t CO2-e / t N2O)</v>
      </c>
      <c r="F83" s="95"/>
      <c r="G83" s="49">
        <f>Common_InputFunctions.Utility_LookupValueInTableNumber("N2O",Table_GWPData[Gas],Table_GWPData[CO2-e factor])</f>
        <v>265</v>
      </c>
      <c r="M83" s="53" t="str">
        <v>ir</v>
      </c>
      <c r="N83" s="54" t="str">
        <v>irrigation method</v>
      </c>
      <c r="O83" s="91"/>
      <c r="P83" s="55"/>
      <c r="Q83" s="53" t="str">
        <v/>
      </c>
      <c r="R83" s="118" t="str">
        <v>Input</v>
      </c>
      <c r="S83" s="53" t="str">
        <f>X_Cell_Fertiliser_IrrigationMethod</f>
        <v>Sprinkler irrigation</v>
      </c>
    </row>
    <row r="84" spans="4:19" ht="20.100000000000001" customHeight="1" x14ac:dyDescent="0.25">
      <c r="M84" s="54" t="str">
        <v>z</v>
      </c>
      <c r="N84" s="54" t="str">
        <v>rainfall zone</v>
      </c>
      <c r="O84" s="91"/>
      <c r="P84" s="91"/>
      <c r="Q84" s="53" t="str">
        <v/>
      </c>
      <c r="R84" s="118" t="str">
        <v>Input</v>
      </c>
      <c r="S84" s="53" t="str">
        <f>X_Cell_Site_RainfallZone</f>
        <v>Low rainfall</v>
      </c>
    </row>
    <row r="85" spans="4:19" ht="20.100000000000001" customHeight="1" x14ac:dyDescent="0.25">
      <c r="D85" s="43" t="s">
        <v>78</v>
      </c>
      <c r="E85" s="43" cm="1">
        <f t="array" ref="E85">Common_Equations.Common_ConvertN2OToCO2e(G82,G83)</f>
        <v>53.293485751000013</v>
      </c>
      <c r="F85" s="96" t="str" cm="1">
        <f t="array" ref="F85">Common_Equations.Common_ConvertN2OToCO2e_Unit()</f>
        <v>t CO2e</v>
      </c>
    </row>
    <row r="86" spans="4:19" ht="20.100000000000001" customHeight="1" x14ac:dyDescent="0.25">
      <c r="M86" s="48" t="s">
        <v>170</v>
      </c>
      <c r="N86" s="48" t="s">
        <v>170</v>
      </c>
      <c r="O86" s="48" t="s">
        <v>183</v>
      </c>
      <c r="P86" s="48" t="s">
        <v>182</v>
      </c>
    </row>
    <row r="87" spans="4:19" ht="20.100000000000001" customHeight="1" x14ac:dyDescent="0.25">
      <c r="M87" s="49" t="s">
        <v>175</v>
      </c>
      <c r="N87" s="49" t="str" cm="1">
        <f t="array" ref="N87:N96">Table_Input_InorganicFertiliser_Brands[Product (select)]</f>
        <v>Urea</v>
      </c>
      <c r="O87" s="49" cm="1">
        <f t="array" ref="O87">_xlfn.XLOOKUP(N87,$N$45:$N$64,_xlfn.XLOOKUP($S$78,$R$44:$W$44,$R$45:$W$64), "")</f>
        <v>7.0000000000000001E-3</v>
      </c>
      <c r="P87" s="49" cm="1">
        <f t="array" ref="P87">Fertiliser_Equations_InorganicN2O.VEERG_5_1_1_1__1_InorganicFertiliserApplicationN2OEmissions(Q45,O87,$S$79)</f>
        <v>5.0599999999999999E-2</v>
      </c>
    </row>
    <row r="88" spans="4:19" ht="20.100000000000001" customHeight="1" x14ac:dyDescent="0.25">
      <c r="M88" s="49" t="s">
        <v>175</v>
      </c>
      <c r="N88" s="49" t="str">
        <v>Boost-It</v>
      </c>
      <c r="O88" s="49" cm="1">
        <f t="array" ref="O88">_xlfn.XLOOKUP(N88,$N$45:$N$64,_xlfn.XLOOKUP($S$78,$R$44:$W$44,$R$45:$W$64), "")</f>
        <v>7.0000000000000001E-3</v>
      </c>
      <c r="P88" s="49" cm="1">
        <f t="array" ref="P88">Fertiliser_Equations_InorganicN2O.VEERG_5_1_1_1__1_InorganicFertiliserApplicationN2OEmissions(Q46,O88,$S$79)</f>
        <v>2.6400000000000003E-2</v>
      </c>
    </row>
    <row r="89" spans="4:19" ht="20.100000000000001" customHeight="1" x14ac:dyDescent="0.25">
      <c r="M89" s="49" t="s">
        <v>175</v>
      </c>
      <c r="N89" s="49" t="str">
        <v>Cal-Gran 50/50</v>
      </c>
      <c r="O89" s="49" cm="1">
        <f t="array" ref="O89">_xlfn.XLOOKUP(N89,$N$45:$N$64,_xlfn.XLOOKUP($S$78,$R$44:$W$44,$R$45:$W$64), "")</f>
        <v>7.0000000000000001E-3</v>
      </c>
      <c r="P89" s="49" cm="1">
        <f t="array" ref="P89">Fertiliser_Equations_InorganicN2O.VEERG_5_1_1_1__1_InorganicFertiliserApplicationN2OEmissions(Q47,O89,$S$79)</f>
        <v>1.9689999999999999E-2</v>
      </c>
    </row>
    <row r="90" spans="4:19" ht="20.100000000000001" customHeight="1" x14ac:dyDescent="0.25">
      <c r="M90" s="49" t="s">
        <v>175</v>
      </c>
      <c r="N90" s="49">
        <v>0</v>
      </c>
      <c r="O90" s="49" cm="1">
        <f t="array" ref="O90">_xlfn.XLOOKUP(N90,$N$45:$N$64,_xlfn.XLOOKUP($S$78,$R$44:$W$44,$R$45:$W$64), "")</f>
        <v>0</v>
      </c>
      <c r="P90" s="49" cm="1">
        <f t="array" ref="P90">Fertiliser_Equations_InorganicN2O.VEERG_5_1_1_1__1_InorganicFertiliserApplicationN2OEmissions(Q48,O90,$S$79)</f>
        <v>0</v>
      </c>
    </row>
    <row r="91" spans="4:19" ht="20.100000000000001" customHeight="1" x14ac:dyDescent="0.25">
      <c r="M91" s="49" t="s">
        <v>175</v>
      </c>
      <c r="N91" s="49">
        <v>0</v>
      </c>
      <c r="O91" s="49" cm="1">
        <f t="array" ref="O91">_xlfn.XLOOKUP(N91,$N$45:$N$64,_xlfn.XLOOKUP($S$78,$R$44:$W$44,$R$45:$W$64), "")</f>
        <v>0</v>
      </c>
      <c r="P91" s="49" cm="1">
        <f t="array" ref="P91">Fertiliser_Equations_InorganicN2O.VEERG_5_1_1_1__1_InorganicFertiliserApplicationN2OEmissions(Q49,O91,$S$79)</f>
        <v>0</v>
      </c>
    </row>
    <row r="92" spans="4:19" ht="20.100000000000001" customHeight="1" x14ac:dyDescent="0.25">
      <c r="M92" s="49" t="s">
        <v>175</v>
      </c>
      <c r="N92" s="49">
        <v>0</v>
      </c>
      <c r="O92" s="49" cm="1">
        <f t="array" ref="O92">_xlfn.XLOOKUP(N92,$N$45:$N$64,_xlfn.XLOOKUP($S$78,$R$44:$W$44,$R$45:$W$64), "")</f>
        <v>0</v>
      </c>
      <c r="P92" s="49" cm="1">
        <f t="array" ref="P92">Fertiliser_Equations_InorganicN2O.VEERG_5_1_1_1__1_InorganicFertiliserApplicationN2OEmissions(Q50,O92,$S$79)</f>
        <v>0</v>
      </c>
    </row>
    <row r="93" spans="4:19" ht="20.100000000000001" customHeight="1" x14ac:dyDescent="0.25">
      <c r="M93" s="49" t="s">
        <v>175</v>
      </c>
      <c r="N93" s="49">
        <v>0</v>
      </c>
      <c r="O93" s="49" cm="1">
        <f t="array" ref="O93">_xlfn.XLOOKUP(N93,$N$45:$N$64,_xlfn.XLOOKUP($S$78,$R$44:$W$44,$R$45:$W$64), "")</f>
        <v>0</v>
      </c>
      <c r="P93" s="49" cm="1">
        <f t="array" ref="P93">Fertiliser_Equations_InorganicN2O.VEERG_5_1_1_1__1_InorganicFertiliserApplicationN2OEmissions(Q51,O93,$S$79)</f>
        <v>0</v>
      </c>
    </row>
    <row r="94" spans="4:19" ht="20.100000000000001" customHeight="1" x14ac:dyDescent="0.25">
      <c r="M94" s="49" t="s">
        <v>175</v>
      </c>
      <c r="N94" s="49">
        <v>0</v>
      </c>
      <c r="O94" s="49" cm="1">
        <f t="array" ref="O94">_xlfn.XLOOKUP(N94,$N$45:$N$64,_xlfn.XLOOKUP($S$78,$R$44:$W$44,$R$45:$W$64), "")</f>
        <v>0</v>
      </c>
      <c r="P94" s="49" cm="1">
        <f t="array" ref="P94">Fertiliser_Equations_InorganicN2O.VEERG_5_1_1_1__1_InorganicFertiliserApplicationN2OEmissions(Q52,O94,$S$79)</f>
        <v>0</v>
      </c>
    </row>
    <row r="95" spans="4:19" ht="20.100000000000001" customHeight="1" x14ac:dyDescent="0.25">
      <c r="M95" s="49" t="s">
        <v>175</v>
      </c>
      <c r="N95" s="49">
        <v>0</v>
      </c>
      <c r="O95" s="49" cm="1">
        <f t="array" ref="O95">_xlfn.XLOOKUP(N95,$N$45:$N$64,_xlfn.XLOOKUP($S$78,$R$44:$W$44,$R$45:$W$64), "")</f>
        <v>0</v>
      </c>
      <c r="P95" s="49" cm="1">
        <f t="array" ref="P95">Fertiliser_Equations_InorganicN2O.VEERG_5_1_1_1__1_InorganicFertiliserApplicationN2OEmissions(Q53,O95,$S$79)</f>
        <v>0</v>
      </c>
    </row>
    <row r="96" spans="4:19" ht="20.100000000000001" customHeight="1" x14ac:dyDescent="0.25">
      <c r="M96" s="49" t="s">
        <v>175</v>
      </c>
      <c r="N96" s="49">
        <v>0</v>
      </c>
      <c r="O96" s="49" cm="1">
        <f t="array" ref="O96">_xlfn.XLOOKUP(N96,$N$45:$N$64,_xlfn.XLOOKUP($S$78,$R$44:$W$44,$R$45:$W$64), "")</f>
        <v>0</v>
      </c>
      <c r="P96" s="49" cm="1">
        <f t="array" ref="P96">Fertiliser_Equations_InorganicN2O.VEERG_5_1_1_1__1_InorganicFertiliserApplicationN2OEmissions(Q54,O96,$S$79)</f>
        <v>0</v>
      </c>
    </row>
    <row r="97" spans="13:16" ht="20.100000000000001" customHeight="1" x14ac:dyDescent="0.25">
      <c r="M97" s="49" t="s">
        <v>174</v>
      </c>
      <c r="N97" s="49" t="str" cm="1">
        <f t="array" ref="N97:N106">Table_Input_InorganicFertiliser_Custom[Custom blend name]</f>
        <v>My first custom blend</v>
      </c>
      <c r="O97" s="49" cm="1">
        <f t="array" ref="O97">_xlfn.XLOOKUP(N97,$N$45:$N$64,_xlfn.XLOOKUP($S$78,$R$44:$W$44,$R$45:$W$64), "")</f>
        <v>7.0000000000000001E-3</v>
      </c>
      <c r="P97" s="49" cm="1">
        <f t="array" ref="P97">Fertiliser_Equations_InorganicN2O.VEERG_5_1_1_1__1_InorganicFertiliserApplicationN2OEmissions(Q55,O97,$S$79)</f>
        <v>8.5250000000000013E-3</v>
      </c>
    </row>
    <row r="98" spans="13:16" ht="20.100000000000001" customHeight="1" x14ac:dyDescent="0.25">
      <c r="M98" s="49" t="s">
        <v>174</v>
      </c>
      <c r="N98" s="49" t="str">
        <v>My second custom blend</v>
      </c>
      <c r="O98" s="49" cm="1">
        <f t="array" ref="O98">_xlfn.XLOOKUP(N98,$N$45:$N$64,_xlfn.XLOOKUP($S$78,$R$44:$W$44,$R$45:$W$64), "")</f>
        <v>7.0000000000000001E-3</v>
      </c>
      <c r="P98" s="49" cm="1">
        <f t="array" ref="P98">Fertiliser_Equations_InorganicN2O.VEERG_5_1_1_1__1_InorganicFertiliserApplicationN2OEmissions(Q56,O98,$S$79)</f>
        <v>5.0599999999999999E-2</v>
      </c>
    </row>
    <row r="99" spans="13:16" ht="20.100000000000001" customHeight="1" x14ac:dyDescent="0.25">
      <c r="M99" s="49" t="s">
        <v>174</v>
      </c>
      <c r="N99" s="49" t="str">
        <v>My third custom blend</v>
      </c>
      <c r="O99" s="49" cm="1">
        <f t="array" ref="O99">_xlfn.XLOOKUP(N99,$N$45:$N$64,_xlfn.XLOOKUP($S$78,$R$44:$W$44,$R$45:$W$64), "")</f>
        <v>7.0000000000000001E-3</v>
      </c>
      <c r="P99" s="49" cm="1">
        <f t="array" ref="P99">Fertiliser_Equations_InorganicN2O.VEERG_5_1_1_1__1_InorganicFertiliserApplicationN2OEmissions(Q57,O99,$S$79)</f>
        <v>4.5292500000000006E-2</v>
      </c>
    </row>
    <row r="100" spans="13:16" ht="20.100000000000001" customHeight="1" x14ac:dyDescent="0.25">
      <c r="M100" s="49" t="s">
        <v>174</v>
      </c>
      <c r="N100" s="49">
        <v>0</v>
      </c>
      <c r="O100" s="49" cm="1">
        <f t="array" ref="O100">_xlfn.XLOOKUP(N100,$N$45:$N$64,_xlfn.XLOOKUP($S$78,$R$44:$W$44,$R$45:$W$64), "")</f>
        <v>0</v>
      </c>
      <c r="P100" s="49" cm="1">
        <f t="array" ref="P100">Fertiliser_Equations_InorganicN2O.VEERG_5_1_1_1__1_InorganicFertiliserApplicationN2OEmissions(Q58,O100,$S$79)</f>
        <v>0</v>
      </c>
    </row>
    <row r="101" spans="13:16" ht="20.100000000000001" customHeight="1" x14ac:dyDescent="0.25">
      <c r="M101" s="49" t="s">
        <v>174</v>
      </c>
      <c r="N101" s="49">
        <v>0</v>
      </c>
      <c r="O101" s="49" cm="1">
        <f t="array" ref="O101">_xlfn.XLOOKUP(N101,$N$45:$N$64,_xlfn.XLOOKUP($S$78,$R$44:$W$44,$R$45:$W$64), "")</f>
        <v>0</v>
      </c>
      <c r="P101" s="49" cm="1">
        <f t="array" ref="P101">Fertiliser_Equations_InorganicN2O.VEERG_5_1_1_1__1_InorganicFertiliserApplicationN2OEmissions(Q59,O101,$S$79)</f>
        <v>0</v>
      </c>
    </row>
    <row r="102" spans="13:16" ht="20.100000000000001" customHeight="1" x14ac:dyDescent="0.25">
      <c r="M102" s="49" t="s">
        <v>174</v>
      </c>
      <c r="N102" s="49">
        <v>0</v>
      </c>
      <c r="O102" s="49" cm="1">
        <f t="array" ref="O102">_xlfn.XLOOKUP(N102,$N$45:$N$64,_xlfn.XLOOKUP($S$78,$R$44:$W$44,$R$45:$W$64), "")</f>
        <v>0</v>
      </c>
      <c r="P102" s="49" cm="1">
        <f t="array" ref="P102">Fertiliser_Equations_InorganicN2O.VEERG_5_1_1_1__1_InorganicFertiliserApplicationN2OEmissions(Q60,O102,$S$79)</f>
        <v>0</v>
      </c>
    </row>
    <row r="103" spans="13:16" ht="20.100000000000001" customHeight="1" x14ac:dyDescent="0.25">
      <c r="M103" s="49" t="s">
        <v>174</v>
      </c>
      <c r="N103" s="49">
        <v>0</v>
      </c>
      <c r="O103" s="49" cm="1">
        <f t="array" ref="O103">_xlfn.XLOOKUP(N103,$N$45:$N$64,_xlfn.XLOOKUP($S$78,$R$44:$W$44,$R$45:$W$64), "")</f>
        <v>0</v>
      </c>
      <c r="P103" s="49" cm="1">
        <f t="array" ref="P103">Fertiliser_Equations_InorganicN2O.VEERG_5_1_1_1__1_InorganicFertiliserApplicationN2OEmissions(Q61,O103,$S$79)</f>
        <v>0</v>
      </c>
    </row>
    <row r="104" spans="13:16" ht="20.100000000000001" customHeight="1" x14ac:dyDescent="0.25">
      <c r="M104" s="49" t="s">
        <v>174</v>
      </c>
      <c r="N104" s="49">
        <v>0</v>
      </c>
      <c r="O104" s="49" cm="1">
        <f t="array" ref="O104">_xlfn.XLOOKUP(N104,$N$45:$N$64,_xlfn.XLOOKUP($S$78,$R$44:$W$44,$R$45:$W$64), "")</f>
        <v>0</v>
      </c>
      <c r="P104" s="49" cm="1">
        <f t="array" ref="P104">Fertiliser_Equations_InorganicN2O.VEERG_5_1_1_1__1_InorganicFertiliserApplicationN2OEmissions(Q62,O104,$S$79)</f>
        <v>0</v>
      </c>
    </row>
    <row r="105" spans="13:16" ht="20.100000000000001" customHeight="1" x14ac:dyDescent="0.25">
      <c r="M105" s="49" t="s">
        <v>174</v>
      </c>
      <c r="N105" s="49">
        <v>0</v>
      </c>
      <c r="O105" s="49" cm="1">
        <f t="array" ref="O105">_xlfn.XLOOKUP(N105,$N$45:$N$64,_xlfn.XLOOKUP($S$78,$R$44:$W$44,$R$45:$W$64), "")</f>
        <v>0</v>
      </c>
      <c r="P105" s="49" cm="1">
        <f t="array" ref="P105">Fertiliser_Equations_InorganicN2O.VEERG_5_1_1_1__1_InorganicFertiliserApplicationN2OEmissions(Q63,O105,$S$79)</f>
        <v>0</v>
      </c>
    </row>
    <row r="106" spans="13:16" ht="20.100000000000001" customHeight="1" x14ac:dyDescent="0.25">
      <c r="M106" s="49" t="s">
        <v>174</v>
      </c>
      <c r="N106" s="49">
        <v>0</v>
      </c>
      <c r="O106" s="49" cm="1">
        <f t="array" ref="O106">_xlfn.XLOOKUP(N106,$N$45:$N$64,_xlfn.XLOOKUP($S$78,$R$44:$W$44,$R$45:$W$64), "")</f>
        <v>0</v>
      </c>
      <c r="P106" s="49" cm="1">
        <f t="array" ref="P106">Fertiliser_Equations_InorganicN2O.VEERG_5_1_1_1__1_InorganicFertiliserApplicationN2OEmissions(Q64,O106,$S$79)</f>
        <v>0</v>
      </c>
    </row>
    <row r="107" spans="13:16" ht="20.100000000000001" customHeight="1" x14ac:dyDescent="0.25"/>
    <row r="108" spans="13:16" ht="20.100000000000001" customHeight="1" x14ac:dyDescent="0.25">
      <c r="M108" s="92" t="s">
        <v>161</v>
      </c>
      <c r="N108" s="93">
        <f>SUM(P87:P106)</f>
        <v>0.20110750000000002</v>
      </c>
      <c r="O108" s="94" t="str">
        <f>$E$47</f>
        <v>t N2O</v>
      </c>
    </row>
    <row r="109" spans="13:16" ht="20.100000000000001" customHeight="1" x14ac:dyDescent="0.25"/>
    <row r="110" spans="13:16" ht="20.100000000000001" customHeight="1" x14ac:dyDescent="0.25">
      <c r="M110" s="53" t="str" cm="1">
        <f t="array" ref="M110:N111">Common_Equations.Common_ConvertN2OToCO2e_Arguments()</f>
        <v>EN2O</v>
      </c>
      <c r="N110" s="54" t="str">
        <v>Nitrous oxide emissions (t N2O)</v>
      </c>
      <c r="O110" s="95"/>
      <c r="P110" s="49">
        <f>VEERG_5_1_1_1__1_InorganicFertiliserApplicationN2OEmissions_Result_Method2</f>
        <v>0.20110750000000002</v>
      </c>
    </row>
    <row r="111" spans="13:16" ht="20.100000000000001" customHeight="1" x14ac:dyDescent="0.25">
      <c r="M111" s="53" t="str">
        <v>GWPN2O</v>
      </c>
      <c r="N111" s="54" t="str">
        <v>Global warming potential for nitrous oxide (t CO2-e / t N2O)</v>
      </c>
      <c r="O111" s="95"/>
      <c r="P111" s="49">
        <f>Common_InputFunctions.Utility_LookupValueInTableNumber("N2O",Table_GWPData[Gas],Table_GWPData[CO2-e factor])</f>
        <v>265</v>
      </c>
    </row>
    <row r="112" spans="13:16" ht="20.100000000000001" customHeight="1" x14ac:dyDescent="0.25"/>
    <row r="113" spans="13:15" ht="20.100000000000001" customHeight="1" x14ac:dyDescent="0.25">
      <c r="M113" s="43" t="s">
        <v>78</v>
      </c>
      <c r="N113" s="43" cm="1">
        <f t="array" ref="N113">Common_Equations.Common_ConvertN2OToCO2e(P110,P111)</f>
        <v>53.293487500000005</v>
      </c>
      <c r="O113" s="96" t="str" cm="1">
        <f t="array" ref="O113">Common_Equations.Common_ConvertN2OToCO2e_Unit()</f>
        <v>t CO2e</v>
      </c>
    </row>
    <row r="114" spans="13:15" ht="20.100000000000001" customHeight="1" x14ac:dyDescent="0.25"/>
    <row r="115" spans="13:15" ht="20.100000000000001" customHeight="1" x14ac:dyDescent="0.25"/>
    <row r="116" spans="13:15" ht="20.100000000000001" customHeight="1" x14ac:dyDescent="0.25"/>
    <row r="117" spans="13:15" ht="20.100000000000001" customHeight="1" x14ac:dyDescent="0.25"/>
    <row r="118" spans="13:15" ht="20.100000000000001" customHeight="1" x14ac:dyDescent="0.25"/>
    <row r="119" spans="13:15" ht="20.100000000000001" customHeight="1" x14ac:dyDescent="0.25"/>
    <row r="120" spans="13:15" ht="20.100000000000001" customHeight="1" x14ac:dyDescent="0.25"/>
    <row r="121" spans="13:15" ht="20.100000000000001" customHeight="1" x14ac:dyDescent="0.25"/>
    <row r="122" spans="13:15" ht="20.100000000000001" customHeight="1" x14ac:dyDescent="0.25"/>
    <row r="123" spans="13:15" ht="20.100000000000001" customHeight="1" x14ac:dyDescent="0.25"/>
    <row r="124" spans="13:15" ht="20.100000000000001" customHeight="1" x14ac:dyDescent="0.25"/>
    <row r="125" spans="13:15" ht="20.100000000000001" customHeight="1" x14ac:dyDescent="0.25"/>
    <row r="126" spans="13:15" ht="20.100000000000001" customHeight="1" x14ac:dyDescent="0.25"/>
    <row r="127" spans="13:15" ht="20.100000000000001" customHeight="1" x14ac:dyDescent="0.25"/>
    <row r="128" spans="13:15"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9" zoomScaleNormal="100" workbookViewId="0">
      <selection activeCell="E36" sqref="E3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201</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D6" s="5" t="str" cm="1">
        <f t="array" ref="D6">Fertiliser_Equations_InorganicCO2.VEERG_5_1_1_3__2_MassOfUreaInInorganicFertiliser_Source()</f>
        <v>VEERG 2026: 5.1.1.3, Equation (2)</v>
      </c>
    </row>
    <row r="7" spans="1:21" ht="20.100000000000001" customHeight="1" x14ac:dyDescent="0.25">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100000000000001" customHeight="1" x14ac:dyDescent="0.25">
      <c r="D11" s="50" t="s">
        <v>15</v>
      </c>
      <c r="E11" s="51" t="str" cm="1">
        <f t="array" ref="E11">Fertiliser_Equations_InorganicCO2.VEERG_5_1_1_3__2_MassOfUreaInInorganicFertiliser_Unit()</f>
        <v>kg urea</v>
      </c>
    </row>
    <row r="12" spans="1:21" ht="20.100000000000001" customHeight="1" x14ac:dyDescent="0.25"/>
    <row r="13" spans="1:21" ht="20.100000000000001" customHeight="1" x14ac:dyDescent="0.25">
      <c r="A13" s="18" t="s">
        <v>68</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8" t="str">
        <v>Input</v>
      </c>
      <c r="I13" s="141" t="str" cm="1">
        <f t="array" aca="1" ref="I13" ca="1">HYPERLINK(Common_InputFunctions.Utility_SourceHyperlink($D$16), $D$16)</f>
        <v>Table_MU_j_f</v>
      </c>
    </row>
    <row r="14" spans="1:21" ht="20.100000000000001" customHeight="1" x14ac:dyDescent="0.25">
      <c r="A14" s="17" t="str">
        <f>HYPERLINK("#'5.1.1.1-2 Inorganic fert N2O'!A1", "5.1.1.1-2 Inorganic fert N2O")</f>
        <v>5.1.1.1-2 Inorganic fert N2O</v>
      </c>
      <c r="D14" s="53" t="str">
        <v>FU_f</v>
      </c>
      <c r="E14" s="54" t="str">
        <v>fraction of urea in fertiliser type f</v>
      </c>
      <c r="F14" s="55"/>
      <c r="G14" s="53" t="str">
        <v>kg urea/kg</v>
      </c>
      <c r="H14" s="117" t="str">
        <v>Lookup</v>
      </c>
      <c r="I14" s="141" t="str" cm="1">
        <f t="array" aca="1" ref="I14" ca="1">HYPERLINK(Common_InputFunctions.Utility_SourceHyperlink($D$16), $D$16)</f>
        <v>Table_MU_j_f</v>
      </c>
    </row>
    <row r="15" spans="1:21" ht="20.100000000000001" customHeight="1" x14ac:dyDescent="0.25">
      <c r="A15" s="171"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202</v>
      </c>
    </row>
    <row r="17" spans="1:7" ht="20.100000000000001" customHeight="1" x14ac:dyDescent="0.25">
      <c r="A17" s="17" t="str">
        <f>HYPERLINK("#'5.3.1.1-2 Lime CO2'!A1", "5.3.1.1-2 Lime CO2")</f>
        <v>5.3.1.1-2 Lime CO2</v>
      </c>
      <c r="D17" s="89" t="s">
        <v>203</v>
      </c>
    </row>
    <row r="18" spans="1:7" ht="20.100000000000001" customHeight="1" x14ac:dyDescent="0.25">
      <c r="A18" s="17" t="str">
        <f>HYPERLINK("#'5.4.1.1-4 Atmos deposition'!A1", "5.4.1.1-4 Atmos deposition")</f>
        <v>5.4.1.1-4 Atmos deposition</v>
      </c>
      <c r="D18" s="48" t="s">
        <v>111</v>
      </c>
      <c r="E18" s="110" t="s">
        <v>143</v>
      </c>
      <c r="F18" s="48" t="s">
        <v>204</v>
      </c>
      <c r="G18" s="48" t="s">
        <v>207</v>
      </c>
    </row>
    <row r="19" spans="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25217.39</v>
      </c>
    </row>
    <row r="22" spans="1:7" ht="20.100000000000001" customHeight="1" x14ac:dyDescent="0.25">
      <c r="A22" s="175"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100000000000001" customHeight="1" x14ac:dyDescent="0.25"/>
    <row r="39" spans="3:12" ht="20.100000000000001" customHeight="1" x14ac:dyDescent="0.25"/>
    <row r="40" spans="3:12" ht="20.100000000000001" customHeight="1" x14ac:dyDescent="0.25">
      <c r="C40" s="43"/>
      <c r="D40" s="43"/>
      <c r="E40" s="43"/>
      <c r="F40" s="43"/>
      <c r="G40" s="43"/>
      <c r="H40" s="43"/>
      <c r="I40" s="43"/>
      <c r="J40" s="43"/>
      <c r="K40" s="43"/>
      <c r="L40" s="43"/>
    </row>
    <row r="41" spans="3: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100000000000001" customHeight="1" x14ac:dyDescent="0.25">
      <c r="D42" s="5" t="str" cm="1">
        <f t="array" ref="D42">Fertiliser_Equations_InorganicCO2.VEERG_5_1_1_3__1_InorganicFertiliserApplicationCO2Emissions_Source()</f>
        <v>VEERG 2026: 5.1.1.3, Equation (1)</v>
      </c>
    </row>
    <row r="43" spans="3: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Fertiliser_Equations_InorganicCO2.VEERG_5_1_1_3__1_InorganicFertiliserApplicationCO2Emissions_Variable()</f>
        <v>E_CO2</v>
      </c>
    </row>
    <row r="47" spans="3:12" ht="20.100000000000001" customHeight="1" x14ac:dyDescent="0.25">
      <c r="D47" s="50" t="s">
        <v>15</v>
      </c>
      <c r="E47" s="51" t="str" cm="1">
        <f t="array" ref="E47">Fertiliser_Equations_InorganicCO2.VEERG_5_1_1_3__1_InorganicFertiliserApplicationCO2Emissions_Unit()</f>
        <v>t CO2</v>
      </c>
    </row>
    <row r="48" spans="3:12" ht="20.100000000000001" customHeight="1" x14ac:dyDescent="0.25"/>
    <row r="49" spans="4:9" ht="20.100000000000001"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7" t="str">
        <v>Calculated</v>
      </c>
      <c r="I49" s="141" t="str" cm="1">
        <f t="array" aca="1" ref="I49" ca="1">HYPERLINK(Common_InputFunctions.Utility_SourceHyperlink($D$16), $D$16)</f>
        <v>Table_MU_j_f</v>
      </c>
    </row>
    <row r="50" spans="4:9" ht="20.100000000000001" customHeight="1" x14ac:dyDescent="0.25">
      <c r="D50" s="53" t="str">
        <v>EF_ureaCO2</v>
      </c>
      <c r="E50" s="54" t="str">
        <v>emission factor for carbon emissions from urea-based fertilisers</v>
      </c>
      <c r="F50" s="55"/>
      <c r="G50" s="53" t="str">
        <v>kg C/kg urea</v>
      </c>
      <c r="H50" s="117" t="str">
        <v>Constant</v>
      </c>
      <c r="I50" s="53">
        <f>Fertiliser_EFUreaCO2_Data</f>
        <v>0.2</v>
      </c>
    </row>
    <row r="51" spans="4:9" ht="20.100000000000001" customHeight="1" x14ac:dyDescent="0.25">
      <c r="D51" s="53" t="str">
        <v>C_CO2</v>
      </c>
      <c r="E51" s="54" t="str">
        <v>factor to convert elemental mass of carbon to molecular mass of carbon dioxide</v>
      </c>
      <c r="F51" s="55"/>
      <c r="G51" s="53" t="str">
        <v/>
      </c>
      <c r="H51" s="117" t="str">
        <v>Constant</v>
      </c>
      <c r="I51" s="53">
        <f>Common_InputFunctions.Utility_LookupValueInTableNumber("CO2",Table_GasToMolecularConversionFactor[Gas], Table_GasToMolecularConversionFactor[Conversion factor combined])</f>
        <v>3.6666666666666665</v>
      </c>
    </row>
    <row r="52" spans="4:9" ht="20.100000000000001" customHeight="1" x14ac:dyDescent="0.25">
      <c r="D52" s="53" t="str">
        <v>j</v>
      </c>
      <c r="E52" s="54" t="str">
        <v>Production system</v>
      </c>
      <c r="F52" s="55"/>
      <c r="G52" s="53" t="str">
        <v/>
      </c>
      <c r="H52" s="118" t="str">
        <v>Input</v>
      </c>
      <c r="I52" s="53" t="str">
        <f>X_Cell_Fertiliser_ProductionSystem</f>
        <v>Crop</v>
      </c>
    </row>
    <row r="53" spans="4:9" ht="20.100000000000001" customHeight="1" x14ac:dyDescent="0.25">
      <c r="D53" s="53" t="str">
        <v>f</v>
      </c>
      <c r="E53" s="54" t="str">
        <v>Inorganic fertiliser type</v>
      </c>
      <c r="F53" s="55"/>
      <c r="G53" s="53" t="str">
        <v/>
      </c>
      <c r="H53" s="117" t="str">
        <v>Lookup</v>
      </c>
      <c r="I53" s="141" t="str" cm="1">
        <f t="array" aca="1" ref="I53" ca="1">HYPERLINK(Common_InputFunctions.Utility_SourceHyperlink($D$16), $D$16)</f>
        <v>Table_MU_j_f</v>
      </c>
    </row>
    <row r="54" spans="4:9" ht="20.100000000000001" customHeight="1" x14ac:dyDescent="0.25"/>
    <row r="55" spans="4:9" ht="20.100000000000001" customHeight="1" x14ac:dyDescent="0.25">
      <c r="D55" s="90" t="s">
        <v>205</v>
      </c>
    </row>
    <row r="56" spans="4:9" ht="20.100000000000001" customHeight="1" x14ac:dyDescent="0.25">
      <c r="D56" s="89" t="s">
        <v>206</v>
      </c>
    </row>
    <row r="57" spans="4:9" ht="20.100000000000001" customHeight="1" x14ac:dyDescent="0.25">
      <c r="D57" s="48" t="s">
        <v>111</v>
      </c>
      <c r="E57" s="48" t="s">
        <v>182</v>
      </c>
    </row>
    <row r="58" spans="4:9" ht="20.100000000000001"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100000000000001" customHeight="1" x14ac:dyDescent="0.25">
      <c r="D59" s="49" t="str">
        <v>Diammonium phosphate (DAP)</v>
      </c>
      <c r="E59" s="49" cm="1">
        <f t="array" ref="E59">Fertiliser_Equations_InorganicCO2.VEERG_5_1_1_3__1_InorganicFertiliserApplicationCO2Emissions(G20,$I$50,$I$51)</f>
        <v>0</v>
      </c>
    </row>
    <row r="60" spans="4:9" ht="20.100000000000001" customHeight="1" x14ac:dyDescent="0.25">
      <c r="D60" s="49" t="str">
        <v>Urea</v>
      </c>
      <c r="E60" s="49" cm="1">
        <f t="array" ref="E60">Fertiliser_Equations_InorganicCO2.VEERG_5_1_1_3__1_InorganicFertiliserApplicationCO2Emissions(G21,$I$50,$I$51)</f>
        <v>18.492752666666668</v>
      </c>
    </row>
    <row r="61" spans="4:9" ht="20.100000000000001" customHeight="1" x14ac:dyDescent="0.25">
      <c r="D61" s="49" t="str">
        <v>Sulphate of ammonia (SOA)</v>
      </c>
      <c r="E61" s="49" cm="1">
        <f t="array" ref="E61">Fertiliser_Equations_InorganicCO2.VEERG_5_1_1_3__1_InorganicFertiliserApplicationCO2Emissions(G22,$I$50,$I$51)</f>
        <v>0</v>
      </c>
    </row>
    <row r="62" spans="4:9" ht="20.100000000000001" customHeight="1" x14ac:dyDescent="0.25">
      <c r="D62" s="49" t="str">
        <v>Urea-ammonium nitrate (UAN)</v>
      </c>
      <c r="E62" s="49" cm="1">
        <f t="array" ref="E62">Fertiliser_Equations_InorganicCO2.VEERG_5_1_1_3__1_InorganicFertiliserApplicationCO2Emissions(G23,$I$50,$I$51)</f>
        <v>0</v>
      </c>
    </row>
    <row r="63" spans="4:9" ht="20.100000000000001" customHeight="1" x14ac:dyDescent="0.25">
      <c r="D63" s="49" t="str">
        <v>Ammonium nitrate (AN)</v>
      </c>
      <c r="E63" s="49" cm="1">
        <f t="array" ref="E63">Fertiliser_Equations_InorganicCO2.VEERG_5_1_1_3__1_InorganicFertiliserApplicationCO2Emissions(G24,$I$50,$I$51)</f>
        <v>0</v>
      </c>
    </row>
    <row r="64" spans="4:9" ht="20.100000000000001" customHeight="1" x14ac:dyDescent="0.25">
      <c r="D64" s="49" t="str">
        <v>Calcium ammonium nitrate (CAN)</v>
      </c>
      <c r="E64" s="49" cm="1">
        <f t="array" ref="E64">Fertiliser_Equations_InorganicCO2.VEERG_5_1_1_3__1_InorganicFertiliserApplicationCO2Emissions(G25,$I$50,$I$51)</f>
        <v>0</v>
      </c>
    </row>
    <row r="65" spans="4:6" ht="20.100000000000001" customHeight="1" x14ac:dyDescent="0.25">
      <c r="D65" s="49" t="str">
        <v>Nitrogen - Ammoniacal</v>
      </c>
      <c r="E65" s="49" cm="1">
        <f t="array" ref="E65">Fertiliser_Equations_InorganicCO2.VEERG_5_1_1_3__1_InorganicFertiliserApplicationCO2Emissions(G26,$I$50,$I$51)</f>
        <v>0</v>
      </c>
    </row>
    <row r="66" spans="4:6" ht="20.100000000000001" customHeight="1" x14ac:dyDescent="0.25">
      <c r="D66" s="49" t="str">
        <v>Nitrogen - Nitrate</v>
      </c>
      <c r="E66" s="49" cm="1">
        <f t="array" ref="E66">Fertiliser_Equations_InorganicCO2.VEERG_5_1_1_3__1_InorganicFertiliserApplicationCO2Emissions(G27,$I$50,$I$51)</f>
        <v>0</v>
      </c>
    </row>
    <row r="67" spans="4:6" ht="20.100000000000001" customHeight="1" x14ac:dyDescent="0.25">
      <c r="D67" s="49" t="str">
        <v>Nitrogen - Generic</v>
      </c>
      <c r="E67" s="49" cm="1">
        <f t="array" ref="E67">Fertiliser_Equations_InorganicCO2.VEERG_5_1_1_3__1_InorganicFertiliserApplicationCO2Emissions(G28,$I$50,$I$51)</f>
        <v>0</v>
      </c>
    </row>
    <row r="68" spans="4:6" ht="20.100000000000001" customHeight="1" x14ac:dyDescent="0.25">
      <c r="D68" s="49" t="str">
        <v>Phosphorus - Generic</v>
      </c>
      <c r="E68" s="49" cm="1">
        <f t="array" ref="E68">Fertiliser_Equations_InorganicCO2.VEERG_5_1_1_3__1_InorganicFertiliserApplicationCO2Emissions(G29,$I$50,$I$51)</f>
        <v>0</v>
      </c>
    </row>
    <row r="69" spans="4:6" ht="20.100000000000001" customHeight="1" x14ac:dyDescent="0.25">
      <c r="D69" s="49" t="str">
        <v>Potassium - Generic</v>
      </c>
      <c r="E69" s="49" cm="1">
        <f t="array" ref="E69">Fertiliser_Equations_InorganicCO2.VEERG_5_1_1_3__1_InorganicFertiliserApplicationCO2Emissions(G30,$I$50,$I$51)</f>
        <v>0</v>
      </c>
    </row>
    <row r="70" spans="4:6" ht="20.100000000000001" customHeight="1" x14ac:dyDescent="0.25">
      <c r="D70" s="49" t="str">
        <v>Sulfur - Generic</v>
      </c>
      <c r="E70" s="49" cm="1">
        <f t="array" ref="E70">Fertiliser_Equations_InorganicCO2.VEERG_5_1_1_3__1_InorganicFertiliserApplicationCO2Emissions(G31,$I$50,$I$51)</f>
        <v>0</v>
      </c>
    </row>
    <row r="71" spans="4:6" ht="20.100000000000001" customHeight="1" x14ac:dyDescent="0.25">
      <c r="D71" s="49" t="str">
        <v>Zinc - Generic</v>
      </c>
      <c r="E71" s="49" cm="1">
        <f t="array" ref="E71">Fertiliser_Equations_InorganicCO2.VEERG_5_1_1_3__1_InorganicFertiliserApplicationCO2Emissions(G32,$I$50,$I$51)</f>
        <v>0</v>
      </c>
    </row>
    <row r="72" spans="4:6" ht="20.100000000000001" customHeight="1" x14ac:dyDescent="0.25">
      <c r="D72" s="49" t="str">
        <v>Muriate of potash (MOP)</v>
      </c>
      <c r="E72" s="49" cm="1">
        <f t="array" ref="E72">Fertiliser_Equations_InorganicCO2.VEERG_5_1_1_3__1_InorganicFertiliserApplicationCO2Emissions(G33,$I$50,$I$51)</f>
        <v>0</v>
      </c>
    </row>
    <row r="73" spans="4:6" ht="20.100000000000001" customHeight="1" x14ac:dyDescent="0.25">
      <c r="D73" s="49" t="str">
        <v>Double superphosphate</v>
      </c>
      <c r="E73" s="49" cm="1">
        <f t="array" ref="E73">Fertiliser_Equations_InorganicCO2.VEERG_5_1_1_3__1_InorganicFertiliserApplicationCO2Emissions(G34,$I$50,$I$51)</f>
        <v>0</v>
      </c>
    </row>
    <row r="74" spans="4:6" ht="20.100000000000001" customHeight="1" x14ac:dyDescent="0.25">
      <c r="D74" s="49" t="str">
        <v>Single superphosphate (SSP)</v>
      </c>
      <c r="E74" s="49" cm="1">
        <f t="array" ref="E74">Fertiliser_Equations_InorganicCO2.VEERG_5_1_1_3__1_InorganicFertiliserApplicationCO2Emissions(G35,$I$50,$I$51)</f>
        <v>0</v>
      </c>
    </row>
    <row r="75" spans="4:6" ht="20.100000000000001" customHeight="1" x14ac:dyDescent="0.25">
      <c r="D75" s="49" t="str">
        <v>Ammonia</v>
      </c>
      <c r="E75" s="49" cm="1">
        <f t="array" ref="E75">Fertiliser_Equations_InorganicCO2.VEERG_5_1_1_3__1_InorganicFertiliserApplicationCO2Emissions(G36,$I$50,$I$51)</f>
        <v>0</v>
      </c>
    </row>
    <row r="76" spans="4:6" ht="20.100000000000001" customHeight="1" x14ac:dyDescent="0.25">
      <c r="D76" s="49" t="str">
        <v>Calcium nitrate</v>
      </c>
      <c r="E76" s="49" cm="1">
        <f t="array" ref="E76">Fertiliser_Equations_InorganicCO2.VEERG_5_1_1_3__1_InorganicFertiliserApplicationCO2Emissions(G37,$I$50,$I$51)</f>
        <v>0</v>
      </c>
    </row>
    <row r="77" spans="4:6" ht="20.100000000000001" customHeight="1" x14ac:dyDescent="0.25"/>
    <row r="78" spans="4:6" ht="20.100000000000001" customHeight="1" x14ac:dyDescent="0.25">
      <c r="D78" s="92" t="s">
        <v>227</v>
      </c>
      <c r="E78" s="93">
        <f>SUM(E58:E76)</f>
        <v>18.492752666666668</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5"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228</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D6" s="5" t="str" cm="1">
        <f t="array" ref="D6">Fertiliser_Equations_OrganicN2O.VEERG_5_2_1_1__2_MassOfNitrogenInOrganicFertiliser_Source()</f>
        <v>VEERG 2026: 5.2.1.1, Equation (2)</v>
      </c>
    </row>
    <row r="7" spans="1:21" ht="20.100000000000001" customHeight="1" x14ac:dyDescent="0.25">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Fertiliser_Equations_OrganicN2O.VEERG_5_2_1_1__2_MassOfNitrogenInOrganicFertiliser_Variable()</f>
        <v>MNSoil_jf</v>
      </c>
    </row>
    <row r="11" spans="1:21" ht="20.100000000000001" customHeight="1" x14ac:dyDescent="0.25">
      <c r="D11" s="50" t="s">
        <v>15</v>
      </c>
      <c r="E11" s="51" t="str" cm="1">
        <f t="array" ref="E11">Fertiliser_Equations_OrganicN2O.VEERG_5_2_1_1__2_MassOfNitrogenInOrganicFertiliser_Unit()</f>
        <v>kg N</v>
      </c>
    </row>
    <row r="12" spans="1:21" ht="20.100000000000001" customHeight="1" x14ac:dyDescent="0.25"/>
    <row r="13" spans="1:21" ht="20.100000000000001" customHeight="1" x14ac:dyDescent="0.25">
      <c r="A13" s="18" t="s">
        <v>68</v>
      </c>
      <c r="D13" s="53" t="str" cm="1">
        <f t="array" ref="D13:E15">_xlfn.CHOOSECOLS(Fertiliser_Equations_OrganicN2O.VEERG_5_2_1_1__2_MassOfNitrogenInOrganicFertiliser_Arguments(), 1, 2)</f>
        <v>M_organicjf</v>
      </c>
      <c r="E13" s="54" t="str">
        <v>mass of organic fertiliser type f applied to production system j</v>
      </c>
      <c r="F13" s="55"/>
      <c r="G13" s="143" t="str" cm="1">
        <f t="array" ref="G13:H15">_xlfn.CHOOSECOLS(Fertiliser_Equations_OrganicN2O.VEERG_5_2_1_1__2_MassOfNitrogenInOrganicFertiliser_Arguments(), 3,4)</f>
        <v>kg</v>
      </c>
      <c r="H13" s="118" t="str">
        <v>Input</v>
      </c>
      <c r="I13" s="141" t="str" cm="1">
        <f t="array" aca="1" ref="I13" ca="1">HYPERLINK(Common_InputFunctions.Utility_SourceHyperlink($D$17), $D$17)</f>
        <v>Table_MNSoil_j_f</v>
      </c>
    </row>
    <row r="14" spans="1:21" ht="20.100000000000001" customHeight="1" x14ac:dyDescent="0.25">
      <c r="A14" s="17" t="str">
        <f>HYPERLINK("#'5.1.1.1-2 Inorganic fert N2O'!A1", "5.1.1.1-2 Inorganic fert N2O")</f>
        <v>5.1.1.1-2 Inorganic fert N2O</v>
      </c>
      <c r="D14" s="53" t="str">
        <v>FN_organicf</v>
      </c>
      <c r="E14" s="54" t="str">
        <v>nitrogen fraction of organic fertiliser type f</v>
      </c>
      <c r="F14" s="55"/>
      <c r="G14" s="143" t="str">
        <v>kg N/kg</v>
      </c>
      <c r="H14" s="118" t="str">
        <v>Input</v>
      </c>
      <c r="I14" s="141" t="str" cm="1">
        <f t="array" aca="1" ref="I14" ca="1">HYPERLINK(Common_InputFunctions.Utility_SourceHyperlink($D$17), $D$17)</f>
        <v>Table_MNSoil_j_f</v>
      </c>
    </row>
    <row r="15" spans="1:21" ht="20.100000000000001" customHeight="1" x14ac:dyDescent="0.25">
      <c r="A15" s="17" t="str">
        <f>HYPERLINK("#'5.1.1.3-4 Inorganic fert CO2'!A1", "5.1.1.3-4 Inorganic fert CO2")</f>
        <v>5.1.1.3-4 Inorganic fert CO2</v>
      </c>
      <c r="D15" s="53" t="str">
        <v>f</v>
      </c>
      <c r="E15" s="54" t="str">
        <v>Organic fertiliser type</v>
      </c>
      <c r="F15" s="55"/>
      <c r="G15" s="143" t="str">
        <v/>
      </c>
      <c r="H15" s="118" t="str">
        <v>Input</v>
      </c>
      <c r="I15" s="141" t="str" cm="1">
        <f t="array" aca="1" ref="I15" ca="1">HYPERLINK(Common_InputFunctions.Utility_SourceHyperlink($D$17), $D$17)</f>
        <v>Table_MNSoil_j_f</v>
      </c>
    </row>
    <row r="16" spans="1:21" ht="20.100000000000001" customHeight="1" x14ac:dyDescent="0.25">
      <c r="A16" s="171" t="str">
        <f>HYPERLINK("#'5.2.1.1-2 Organic Fert N2O'!A1", "5.2.1.1-2 Organic Fert N2O")</f>
        <v>5.2.1.1-2 Organic Fert N2O</v>
      </c>
    </row>
    <row r="17" spans="1:10" ht="20.100000000000001" customHeight="1" x14ac:dyDescent="0.25">
      <c r="A17" s="17" t="str">
        <f>HYPERLINK("#'5.3.1.1-2 Lime CO2'!A1", "5.3.1.1-2 Lime CO2")</f>
        <v>5.3.1.1-2 Lime CO2</v>
      </c>
      <c r="D17" s="90" t="s">
        <v>236</v>
      </c>
    </row>
    <row r="18" spans="1:10" ht="20.100000000000001" customHeight="1" x14ac:dyDescent="0.25">
      <c r="A18" s="17" t="str">
        <f>HYPERLINK("#'5.4.1.1-4 Atmos deposition'!A1", "5.4.1.1-4 Atmos deposition")</f>
        <v>5.4.1.1-4 Atmos deposition</v>
      </c>
      <c r="D18" s="89" t="s">
        <v>242</v>
      </c>
    </row>
    <row r="19" spans="1:10" ht="20.100000000000001" customHeight="1" x14ac:dyDescent="0.25">
      <c r="A19" s="17" t="str">
        <f>HYPERLINK("#'5.5.1.1-2 Leaching and runoff'!A1", "5.5.1.1-2 Leaching and runoff")</f>
        <v>5.5.1.1-2 Leaching and runoff</v>
      </c>
      <c r="D19" s="110" t="s">
        <v>237</v>
      </c>
      <c r="E19" s="110" t="s">
        <v>238</v>
      </c>
      <c r="F19" s="110" t="s">
        <v>150</v>
      </c>
      <c r="G19" s="144" t="s">
        <v>239</v>
      </c>
      <c r="H19" s="110" t="s">
        <v>316</v>
      </c>
      <c r="I19" s="144" t="s">
        <v>240</v>
      </c>
    </row>
    <row r="20" spans="1:10" ht="20.100000000000001" customHeight="1" x14ac:dyDescent="0.25">
      <c r="D20" s="49" t="str" cm="1">
        <f t="array" ref="D20:D22">Table_Input_OrganicFertiliser[Organic fertiliser type (select)]</f>
        <v>Manure - Other</v>
      </c>
      <c r="E20" s="147" cm="1">
        <f t="array" ref="E20:E22">Table_Input_OrganicFertiliser[Amount applied (kg/hectare)]</f>
        <v>10</v>
      </c>
      <c r="F20" s="147" cm="1">
        <f t="array" ref="F20:F22">Table_Input_OrganicFertiliser[Application area (ha)]</f>
        <v>100</v>
      </c>
      <c r="G20" s="49" cm="1">
        <f t="array" ref="G20:G22">Table_Input_OrganicFertiliser[Amount applied (kg/hectare)]*Table_Input_OrganicFertiliser[Application area (ha)]</f>
        <v>1000</v>
      </c>
      <c r="H20" s="148" cm="1">
        <f t="array" ref="H20:H22">Table_Input_OrganicFertiliser[Percentage of N in fertiliser]</f>
        <v>0.3</v>
      </c>
      <c r="I20" s="49" cm="1">
        <f t="array" ref="I20">Fertiliser_Equations_OrganicN2O.VEERG_5_2_1_1__2_MassOfNitrogenInOrganicFertiliser(G20,H20)</f>
        <v>300</v>
      </c>
    </row>
    <row r="21" spans="1:10" ht="20.100000000000001" customHeight="1" x14ac:dyDescent="0.25">
      <c r="D21" s="49" t="str">
        <v>Manure - Poultry</v>
      </c>
      <c r="E21" s="49">
        <v>10</v>
      </c>
      <c r="F21" s="49">
        <v>100</v>
      </c>
      <c r="G21" s="49">
        <v>1000</v>
      </c>
      <c r="H21" s="49">
        <v>0.25</v>
      </c>
      <c r="I21" s="49" cm="1">
        <f t="array" ref="I21">Fertiliser_Equations_Organic.VEERG_5_2_1_1__2_MassOfNitrogenInOrganicFertiliser(G21,H21)</f>
        <v>250</v>
      </c>
    </row>
    <row r="22" spans="1:10" ht="20.100000000000001" customHeight="1" x14ac:dyDescent="0.25">
      <c r="A22" s="175" t="s">
        <v>1</v>
      </c>
      <c r="D22" s="49" t="str">
        <v>Other organic fertiliser</v>
      </c>
      <c r="E22" s="49">
        <v>10</v>
      </c>
      <c r="F22" s="49">
        <v>100</v>
      </c>
      <c r="G22" s="49">
        <v>1000</v>
      </c>
      <c r="H22" s="49">
        <v>0.16</v>
      </c>
      <c r="I22" s="49" cm="1">
        <f t="array" ref="I22">Fertiliser_Equations_Organic.VEERG_5_2_1_1__2_MassOfNitrogenInOrganicFertiliser(G22,H22)</f>
        <v>160</v>
      </c>
    </row>
    <row r="23" spans="1:10" ht="20.100000000000001"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100000000000001"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100000000000001" customHeight="1" x14ac:dyDescent="0.25">
      <c r="D25" s="49"/>
      <c r="E25" s="49"/>
      <c r="F25" s="49"/>
      <c r="G25" s="49"/>
      <c r="H25" s="49"/>
      <c r="I25" s="49" cm="1">
        <f t="array" ref="I25">Fertiliser_Equations_Organic.VEERG_5_2_1_1__2_MassOfNitrogenInOrganicFertiliser(G25,H25)</f>
        <v>0</v>
      </c>
    </row>
    <row r="26" spans="1:10" ht="20.100000000000001" customHeight="1" x14ac:dyDescent="0.25">
      <c r="D26" s="49"/>
      <c r="E26" s="49"/>
      <c r="F26" s="49"/>
      <c r="G26" s="49"/>
      <c r="H26" s="49"/>
      <c r="I26" s="49" cm="1">
        <f t="array" ref="I26">Fertiliser_Equations_Organic.VEERG_5_2_1_1__2_MassOfNitrogenInOrganicFertiliser(G26,H26)</f>
        <v>0</v>
      </c>
    </row>
    <row r="27" spans="1:10" ht="20.100000000000001" customHeight="1" x14ac:dyDescent="0.25">
      <c r="D27" s="49"/>
      <c r="E27" s="49"/>
      <c r="F27" s="49"/>
      <c r="G27" s="49"/>
      <c r="H27" s="49"/>
      <c r="I27" s="49" cm="1">
        <f t="array" ref="I27">Fertiliser_Equations_Organic.VEERG_5_2_1_1__2_MassOfNitrogenInOrganicFertiliser(G27,H27)</f>
        <v>0</v>
      </c>
    </row>
    <row r="28" spans="1:10" ht="20.100000000000001" customHeight="1" x14ac:dyDescent="0.25">
      <c r="D28" s="49"/>
      <c r="E28" s="49"/>
      <c r="F28" s="49"/>
      <c r="G28" s="49"/>
      <c r="H28" s="49"/>
      <c r="I28" s="49" cm="1">
        <f t="array" ref="I28">Fertiliser_Equations_Organic.VEERG_5_2_1_1__2_MassOfNitrogenInOrganicFertiliser(G28,H28)</f>
        <v>0</v>
      </c>
    </row>
    <row r="29" spans="1:10" ht="20.100000000000001" customHeight="1" x14ac:dyDescent="0.25">
      <c r="D29" s="49"/>
      <c r="E29" s="49"/>
      <c r="F29" s="49"/>
      <c r="G29" s="49"/>
      <c r="H29" s="49"/>
      <c r="I29" s="49" cm="1">
        <f t="array" ref="I29">Fertiliser_Equations_Organic.VEERG_5_2_1_1__2_MassOfNitrogenInOrganicFertiliser(G29,H29)</f>
        <v>0</v>
      </c>
    </row>
    <row r="30" spans="1:10" ht="20.100000000000001" customHeight="1" x14ac:dyDescent="0.25">
      <c r="D30" s="49"/>
      <c r="E30" s="49"/>
      <c r="F30" s="49"/>
      <c r="G30" s="49"/>
      <c r="H30" s="49"/>
      <c r="I30" s="49" cm="1">
        <f t="array" ref="I30">Fertiliser_Equations_Organic.VEERG_5_2_1_1__2_MassOfNitrogenInOrganicFertiliser(G30,H30)</f>
        <v>0</v>
      </c>
    </row>
    <row r="31" spans="1:10" ht="20.100000000000001" customHeight="1" x14ac:dyDescent="0.25">
      <c r="D31" s="108"/>
      <c r="E31" s="108"/>
      <c r="F31" s="108"/>
      <c r="G31" s="108"/>
      <c r="H31" s="108"/>
      <c r="I31" s="108"/>
      <c r="J31" s="108"/>
    </row>
    <row r="32" spans="1:10" ht="20.100000000000001" customHeight="1" x14ac:dyDescent="0.25">
      <c r="D32" s="145" t="s">
        <v>241</v>
      </c>
      <c r="E32" s="145">
        <f>SUM(I20:I30)</f>
        <v>710</v>
      </c>
      <c r="F32" s="146" t="str">
        <f>$E$11</f>
        <v>kg N</v>
      </c>
      <c r="G32" s="108"/>
      <c r="H32" s="108"/>
      <c r="I32" s="108"/>
      <c r="J32" s="108"/>
    </row>
    <row r="33" spans="3:12" ht="20.100000000000001" customHeight="1" x14ac:dyDescent="0.25"/>
    <row r="34" spans="3:12" ht="20.100000000000001" customHeight="1" x14ac:dyDescent="0.25"/>
    <row r="35" spans="3:12" ht="20.100000000000001" customHeight="1" x14ac:dyDescent="0.25">
      <c r="C35" s="152"/>
      <c r="D35" s="152"/>
      <c r="E35" s="152"/>
      <c r="F35" s="152"/>
      <c r="G35" s="152"/>
      <c r="H35" s="152"/>
      <c r="I35" s="152"/>
      <c r="J35" s="152"/>
      <c r="K35" s="152"/>
      <c r="L35" s="152"/>
    </row>
    <row r="36" spans="3: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100000000000001" customHeight="1" x14ac:dyDescent="0.25">
      <c r="D37" s="5" t="str" cm="1">
        <f t="array" ref="D37">Fertiliser_Equations_OrganicN2O.VEERG_5_2_1_1__1_OrganicFertiliserApplicationN2OEmissions_Source()</f>
        <v>VEERG 2026: 5.2.1.1, Equation (1)</v>
      </c>
    </row>
    <row r="38" spans="3:12" ht="20.100000000000001" customHeight="1" x14ac:dyDescent="0.25">
      <c r="D38" s="13" t="s">
        <v>21</v>
      </c>
      <c r="E38" s="13" t="str" cm="1">
        <f t="array" aca="1" ref="E38" ca="1">Common_InputFunctions.Utility_DisplayFunctionName($I$20)</f>
        <v>=Fertiliser_Equations_OrganicN2O.VEERG_5_2_1_1__2_MassOfNitrogenInOrganicFertiliser</v>
      </c>
    </row>
    <row r="39" spans="3:12" ht="20.100000000000001" customHeight="1" x14ac:dyDescent="0.25"/>
    <row r="40" spans="3:12" ht="20.100000000000001" customHeight="1" x14ac:dyDescent="0.25"/>
    <row r="41" spans="3:12" ht="20.100000000000001" customHeight="1" x14ac:dyDescent="0.25">
      <c r="D41" s="50" t="s">
        <v>24</v>
      </c>
      <c r="E41" s="1" t="str" cm="1">
        <f t="array" ref="E41">Fertiliser_Equations_OrganicN2O.VEERG_5_2_1_1__1_OrganicFertiliserApplicationN2OEmissions_Variable()</f>
        <v>E_N2O</v>
      </c>
    </row>
    <row r="42" spans="3:12" ht="20.100000000000001" customHeight="1" x14ac:dyDescent="0.25">
      <c r="D42" s="50" t="s">
        <v>15</v>
      </c>
      <c r="E42" s="51" t="str" cm="1">
        <f t="array" ref="E42">Fertiliser_Equations_OrganicN2O.VEERG_5_2_1_1__1_OrganicFertiliserApplicationN2OEmissions_Unit()</f>
        <v>t N2O</v>
      </c>
    </row>
    <row r="43" spans="3:12" ht="20.100000000000001" customHeight="1" x14ac:dyDescent="0.25"/>
    <row r="44" spans="3:12" ht="20.100000000000001" customHeight="1" x14ac:dyDescent="0.25">
      <c r="D44" s="143" t="str" cm="1">
        <f t="array" ref="D44:E48">_xlfn.CHOOSECOLS(Fertiliser_Equations_OrganicN2O.VEERG_5_2_1_1__1_OrganicFertiliserApplicationN2OEmissions_Arguments(), 1, 2)</f>
        <v>MNSoil_jf</v>
      </c>
      <c r="E44" s="150" t="str">
        <v>mass of nitrogen in organic fertiliser type f applied to production system j</v>
      </c>
      <c r="F44" s="151"/>
      <c r="G44" s="151"/>
      <c r="H44" s="149"/>
      <c r="I44" s="143" t="str" cm="1">
        <f t="array" ref="I44:J48">_xlfn.CHOOSECOLS(Fertiliser_Equations_OrganicN2O.VEERG_5_2_1_1__1_OrganicFertiliserApplicationN2OEmissions_Arguments(), 3,4)</f>
        <v>kg N</v>
      </c>
      <c r="J44" s="117" t="str">
        <v>Calculated from 5.2.1.1 (2)</v>
      </c>
      <c r="K44" s="143">
        <f>$E$32</f>
        <v>710</v>
      </c>
    </row>
    <row r="45" spans="3:12" ht="20.100000000000001" customHeight="1" x14ac:dyDescent="0.25">
      <c r="D45" s="143" t="str">
        <v>EF_N2Oi</v>
      </c>
      <c r="E45" s="150" t="str">
        <v>emission factor for direct nitrous oxide emissions from organic fertiliser applied to soils and aquatic systems in climate zone i</v>
      </c>
      <c r="F45" s="151"/>
      <c r="G45" s="151"/>
      <c r="H45" s="149"/>
      <c r="I45" s="143" t="str">
        <v>kg N2O-N/kg N</v>
      </c>
      <c r="J45" s="117" t="str">
        <v>Lookup</v>
      </c>
      <c r="K45" s="143">
        <f>Common_InputFunctions.Utility_LookupValueInTableNumber(K48, Table_SourceData_Common_EFOrganicFertCropResidues[Climate Zone],Table_SourceData_Common_EFOrganicFertCropResidues[EFNi &amp; EFN2Oi])</f>
        <v>5.0000000000000001E-3</v>
      </c>
    </row>
    <row r="46" spans="3:12" ht="20.100000000000001" customHeight="1" x14ac:dyDescent="0.25">
      <c r="D46" s="143" t="str">
        <v>C_N2O</v>
      </c>
      <c r="E46" s="150" t="str">
        <v>factor to convert elemental mass of nitrous oxide to molecular mass</v>
      </c>
      <c r="F46" s="151"/>
      <c r="G46" s="151"/>
      <c r="H46" s="149"/>
      <c r="I46" s="143" t="str">
        <v/>
      </c>
      <c r="J46" s="117" t="str">
        <v>Constant</v>
      </c>
      <c r="K46" s="53">
        <f>Common_InputFunctions.Utility_LookupValueInTableNumber("N2O",Table_GasToMolecularConversionFactor[Gas],Table_GasToMolecularConversionFactor[Conversion factor combined])</f>
        <v>1.5714285714285714</v>
      </c>
    </row>
    <row r="47" spans="3:12" ht="20.100000000000001" customHeight="1" x14ac:dyDescent="0.25">
      <c r="D47" s="143" t="str">
        <v>j</v>
      </c>
      <c r="E47" s="150" t="str">
        <v>Production system</v>
      </c>
      <c r="F47" s="151"/>
      <c r="G47" s="151"/>
      <c r="H47" s="149"/>
      <c r="I47" s="143" t="str">
        <v/>
      </c>
      <c r="J47" s="118" t="str">
        <v>Input</v>
      </c>
      <c r="K47" s="143" t="str">
        <f>X_Cell_Fertiliser_ProductionSystem</f>
        <v>Crop</v>
      </c>
    </row>
    <row r="48" spans="3:12" ht="20.100000000000001" customHeight="1" x14ac:dyDescent="0.25">
      <c r="D48" s="143" t="str">
        <v>i</v>
      </c>
      <c r="E48" s="150" t="str">
        <v>Wet or dry climate zone</v>
      </c>
      <c r="F48" s="151"/>
      <c r="G48" s="151"/>
      <c r="H48" s="149"/>
      <c r="I48" s="143" t="str">
        <v/>
      </c>
      <c r="J48" s="118" t="str">
        <v>Input</v>
      </c>
      <c r="K48" s="143" t="str">
        <f>X_Cell_Site_WetOrDryClimateZone</f>
        <v>Dry climate zone</v>
      </c>
    </row>
    <row r="49" spans="4:7" ht="20.100000000000001" customHeight="1" x14ac:dyDescent="0.25"/>
    <row r="50" spans="4:7" ht="20.100000000000001" customHeight="1" x14ac:dyDescent="0.25">
      <c r="D50" s="92" t="s">
        <v>161</v>
      </c>
      <c r="E50" s="93" cm="1">
        <f t="array" ref="E50">Fertiliser_Equations_OrganicN2O.VEERG_5_2_1_1__1_OrganicFertiliserApplicationN2OEmissions(K44,K45,K46)</f>
        <v>5.5785714285714293E-3</v>
      </c>
      <c r="F50" s="94" t="str">
        <f>$E$42</f>
        <v>t N2O</v>
      </c>
    </row>
    <row r="51" spans="4:7" ht="20.100000000000001" customHeight="1" x14ac:dyDescent="0.25"/>
    <row r="52" spans="4:7" ht="20.100000000000001" customHeight="1" x14ac:dyDescent="0.25">
      <c r="D52" s="53" t="str" cm="1">
        <f t="array" ref="D52:E53">Common_Equations.Common_ConvertN2OToCO2e_Arguments()</f>
        <v>EN2O</v>
      </c>
      <c r="E52" s="54" t="str">
        <v>Nitrous oxide emissions (t N2O)</v>
      </c>
      <c r="F52" s="95"/>
      <c r="G52" s="49">
        <f>VEERG_5_2_1_1__2_MassOfNitrogenInOrganicFertiliser_Result_Method1</f>
        <v>5.5785714285714293E-3</v>
      </c>
    </row>
    <row r="53" spans="4:7" ht="20.100000000000001"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100000000000001" customHeight="1" x14ac:dyDescent="0.25"/>
    <row r="55" spans="4:7" ht="20.100000000000001" customHeight="1" x14ac:dyDescent="0.25">
      <c r="D55" s="43" t="s">
        <v>78</v>
      </c>
      <c r="E55" s="43" cm="1">
        <f t="array" ref="E55">Common_Equations.Common_ConvertN2OToCO2e(G52,G53)</f>
        <v>1.4783214285714288</v>
      </c>
      <c r="F55" s="96"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245</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D6" s="5" t="str" cm="1">
        <f t="array" ref="D6">Fertiliser_Equations_Lime.VEERG_5_3_1_1__1_LimeApplicationCO2Emissions_Source()</f>
        <v>VEERG 2026: 5.3.1.1, Equation (1)</v>
      </c>
    </row>
    <row r="7" spans="1:21" ht="20.100000000000001" customHeight="1" x14ac:dyDescent="0.25">
      <c r="D7" s="13" t="s">
        <v>21</v>
      </c>
      <c r="E7" s="13" t="str" cm="1">
        <f t="array" aca="1" ref="E7" ca="1">Common_InputFunctions.Utility_DisplayFunctionName(H25)</f>
        <v>=Fertiliser_Equations_Lime.VEERG_5_3_1_1__1_LimeApplicationCO2Emissions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Fertiliser_Equations_Lime.VEERG_5_3_1_1__1_LimeApplicationCO2Emissions_Variable()</f>
        <v>E_lime</v>
      </c>
    </row>
    <row r="11" spans="1:21" ht="20.100000000000001" customHeight="1" x14ac:dyDescent="0.25">
      <c r="D11" s="50" t="s">
        <v>15</v>
      </c>
      <c r="E11" s="51" t="str" cm="1">
        <f t="array" ref="E11">Fertiliser_Equations_Lime.VEERG_5_3_1_1__1_LimeApplicationCO2Emissions_Unit()</f>
        <v>t CO2</v>
      </c>
    </row>
    <row r="12" spans="1:21" ht="20.100000000000001" customHeight="1" x14ac:dyDescent="0.25"/>
    <row r="13" spans="1:21" ht="20.100000000000001" customHeight="1" x14ac:dyDescent="0.25">
      <c r="A13" s="18" t="s">
        <v>68</v>
      </c>
      <c r="D13" s="143" t="str" cm="1">
        <f t="array" ref="D13:E20">_xlfn.CHOOSECOLS(Fertiliser_Equations_Lime.VEERG_5_3_1_1__1_LimeApplicationCO2Emissions_Arguments(), 1, 2)</f>
        <v>M_lime</v>
      </c>
      <c r="E13" s="150" t="str">
        <v>total mass of lime applied to production system</v>
      </c>
      <c r="F13" s="149"/>
      <c r="G13" s="143" t="str" cm="1">
        <f t="array" ref="G13:H20">_xlfn.CHOOSECOLS(Fertiliser_Equations_Lime.VEERG_5_3_1_1__1_LimeApplicationCO2Emissions_Arguments(), 3,4)</f>
        <v>kg</v>
      </c>
      <c r="H13" s="118" t="str">
        <v>Input</v>
      </c>
      <c r="I13" s="141" t="str" cm="1">
        <f t="array" aca="1" ref="I13" ca="1">HYPERLINK(Common_InputFunctions.Utility_SourceHyperlink($D$22), $D$22)</f>
        <v>Table_E_lime</v>
      </c>
    </row>
    <row r="14" spans="1:21" ht="20.100000000000001" customHeight="1" x14ac:dyDescent="0.25">
      <c r="A14" s="17" t="str">
        <f>HYPERLINK("#'5.1.1.1-2 Inorganic fert N2O'!A1", "5.1.1.1-2 Inorganic fert N2O")</f>
        <v>5.1.1.1-2 Inorganic fert N2O</v>
      </c>
      <c r="D14" s="143" t="str">
        <v>FracLime</v>
      </c>
      <c r="E14" s="150" t="str">
        <v>fraction of lime as limestone (CaCO3)</v>
      </c>
      <c r="F14" s="149"/>
      <c r="G14" s="143" t="str">
        <v>fraction</v>
      </c>
      <c r="H14" s="118" t="str">
        <v>Input</v>
      </c>
      <c r="I14" s="141" t="str" cm="1">
        <f t="array" aca="1" ref="I14" ca="1">HYPERLINK(Common_InputFunctions.Utility_SourceHyperlink($D$22), $D$22)</f>
        <v>Table_E_lime</v>
      </c>
    </row>
    <row r="15" spans="1:21" ht="20.100000000000001" customHeight="1" x14ac:dyDescent="0.25">
      <c r="A15" s="17" t="str">
        <f>HYPERLINK("#'5.1.1.3-4 Inorganic fert CO2'!A1", "5.1.1.3-4 Inorganic fert CO2")</f>
        <v>5.1.1.3-4 Inorganic fert CO2</v>
      </c>
      <c r="D15" s="143" t="str">
        <v>P_lime</v>
      </c>
      <c r="E15" s="150" t="str">
        <v>fractional purity of limestone</v>
      </c>
      <c r="F15" s="149"/>
      <c r="G15" s="143" t="str">
        <v>fraction</v>
      </c>
      <c r="H15" s="117" t="str">
        <v>Constant</v>
      </c>
      <c r="I15" s="143">
        <f>'Constants - Fertiliser'!$E$66</f>
        <v>0.9</v>
      </c>
    </row>
    <row r="16" spans="1:21" ht="20.100000000000001" customHeight="1" x14ac:dyDescent="0.25">
      <c r="A16" s="17" t="str">
        <f>HYPERLINK("#'5.2.1.1-2 Organic Fert N2O'!A1", "5.2.1.1-2 Organic Fert N2O")</f>
        <v>5.2.1.1-2 Organic Fert N2O</v>
      </c>
      <c r="D16" s="143" t="str">
        <v>EF_lime</v>
      </c>
      <c r="E16" s="150" t="str">
        <v>emission factor for limestone fraction of lime</v>
      </c>
      <c r="F16" s="149"/>
      <c r="G16" s="143" t="str">
        <v>kg C/kg</v>
      </c>
      <c r="H16" s="117" t="str">
        <v>Constant</v>
      </c>
      <c r="I16" s="143">
        <f>'Constants - Fertiliser'!$F$66</f>
        <v>0.12</v>
      </c>
    </row>
    <row r="17" spans="1:9" ht="20.100000000000001" customHeight="1" x14ac:dyDescent="0.25">
      <c r="A17" s="171" t="str">
        <f>HYPERLINK("#'5.3.1.1-2 Lime CO2'!A1", "5.3.1.1-2 Lime CO2")</f>
        <v>5.3.1.1-2 Lime CO2</v>
      </c>
      <c r="D17" s="143" t="str">
        <v>FracDol</v>
      </c>
      <c r="E17" s="150" t="str">
        <v>fraction of lime as dolomite</v>
      </c>
      <c r="F17" s="149"/>
      <c r="G17" s="143" t="str">
        <v>fraction</v>
      </c>
      <c r="H17" s="118" t="str">
        <v>Input</v>
      </c>
      <c r="I17" s="141" t="str" cm="1">
        <f t="array" aca="1" ref="I17" ca="1">HYPERLINK(Common_InputFunctions.Utility_SourceHyperlink($D$22), $D$22)</f>
        <v>Table_E_lime</v>
      </c>
    </row>
    <row r="18" spans="1:9" ht="20.100000000000001" customHeight="1" x14ac:dyDescent="0.25">
      <c r="A18" s="17" t="str">
        <f>HYPERLINK("#'5.4.1.1-4 Atmos deposition'!A1", "5.4.1.1-4 Atmos deposition")</f>
        <v>5.4.1.1-4 Atmos deposition</v>
      </c>
      <c r="D18" s="143" t="str">
        <v>P_dol</v>
      </c>
      <c r="E18" s="150" t="str">
        <v>fractional purity of dolomite</v>
      </c>
      <c r="F18" s="149"/>
      <c r="G18" s="143" t="str">
        <v>fraction</v>
      </c>
      <c r="H18" s="117" t="str">
        <v>Constant</v>
      </c>
      <c r="I18" s="143">
        <f>'Constants - Fertiliser'!$E$67</f>
        <v>0.95</v>
      </c>
    </row>
    <row r="19" spans="1:9" ht="20.100000000000001" customHeight="1" x14ac:dyDescent="0.25">
      <c r="A19" s="17" t="str">
        <f>HYPERLINK("#'5.5.1.1-2 Leaching and runoff'!A1", "5.5.1.1-2 Leaching and runoff")</f>
        <v>5.5.1.1-2 Leaching and runoff</v>
      </c>
      <c r="D19" s="143" t="str">
        <v>EF_dol</v>
      </c>
      <c r="E19" s="150" t="str">
        <v>emission factor for dolomite fraction of lime</v>
      </c>
      <c r="F19" s="149"/>
      <c r="G19" s="143" t="str">
        <v>kg C/kg</v>
      </c>
      <c r="H19" s="117" t="str">
        <v>Constant</v>
      </c>
      <c r="I19" s="143">
        <f>'Constants - Fertiliser'!$F$67</f>
        <v>0.13</v>
      </c>
    </row>
    <row r="20" spans="1:9" ht="20.100000000000001" customHeight="1" x14ac:dyDescent="0.25">
      <c r="D20" s="143" t="str">
        <v>C_CO2</v>
      </c>
      <c r="E20" s="150" t="str">
        <v>factor to convert elemental mass of carbon dioxide to molecular mass</v>
      </c>
      <c r="F20" s="149"/>
      <c r="G20" s="143" t="str">
        <v/>
      </c>
      <c r="H20" s="117" t="str">
        <v>Constant</v>
      </c>
      <c r="I20" s="5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A22" s="175" t="s">
        <v>1</v>
      </c>
      <c r="D22" s="90" t="s">
        <v>253</v>
      </c>
    </row>
    <row r="23" spans="1:9" ht="20.100000000000001" customHeight="1" x14ac:dyDescent="0.25">
      <c r="A23" s="17" t="str">
        <f>HYPERLINK("#'Constants - Fertiliser'!A1", "Constants - Fertiliser")</f>
        <v>Constants - Fertiliser</v>
      </c>
      <c r="D23" s="89" t="s">
        <v>258</v>
      </c>
    </row>
    <row r="24" spans="1:9" ht="20.100000000000001" customHeight="1" x14ac:dyDescent="0.25">
      <c r="A24" s="17" t="str">
        <f>HYPERLINK("#'Constants - Common'!A1", "Constants - Common")</f>
        <v>Constants - Common</v>
      </c>
      <c r="D24" s="110" t="s">
        <v>246</v>
      </c>
      <c r="E24" s="110" t="s">
        <v>247</v>
      </c>
      <c r="F24" s="110" t="s">
        <v>248</v>
      </c>
      <c r="G24" s="110" t="s">
        <v>249</v>
      </c>
      <c r="H24" s="48" t="s">
        <v>250</v>
      </c>
    </row>
    <row r="25" spans="1:9" ht="20.100000000000001" customHeight="1" x14ac:dyDescent="0.25">
      <c r="D25" s="49" t="str" cm="1">
        <f t="array" ref="D25:D27">Table_Input_Lime[Product]</f>
        <v>Lime product 1</v>
      </c>
      <c r="E25" s="153" cm="1">
        <f t="array" ref="E25:E27">Table_Input_Lime[Total amount applied (t)]*10^3</f>
        <v>100000</v>
      </c>
      <c r="F25" s="154" cm="1">
        <f t="array" ref="F25:F27">Table_Input_Lime[Percent Lime CaCO3]</f>
        <v>0.8</v>
      </c>
      <c r="G25" s="154" cm="1">
        <f t="array" ref="G25:G27">Table_Input_Lime[Percent Dolomite CaMg(CO3)2]</f>
        <v>0.1</v>
      </c>
      <c r="H25" s="49" cm="1">
        <f t="array" ref="H25">Fertiliser_Equations_Lime.VEERG_5_3_1_1__1_LimeApplicationCO2Emissions(E25,F25,$I$15,$I$16,G25,$I$18,$I$19,$I$20)</f>
        <v>36.208333333333329</v>
      </c>
    </row>
    <row r="26" spans="1:9" ht="20.100000000000001" customHeight="1" x14ac:dyDescent="0.25">
      <c r="D26" s="49" t="str">
        <v>Lime product 2</v>
      </c>
      <c r="E26" s="49">
        <v>100000</v>
      </c>
      <c r="F26" s="49">
        <v>1</v>
      </c>
      <c r="G26" s="49">
        <v>0</v>
      </c>
      <c r="H26" s="49" cm="1">
        <f t="array" ref="H26">Fertiliser_Equations_Lime.VEERG_5_3_1_1__1_LimeApplicationCO2Emissions(E26,F26,$I$15,$I$16,G26,$I$18,$I$19,$I$20)</f>
        <v>39.6</v>
      </c>
    </row>
    <row r="27" spans="1:9" ht="20.100000000000001" customHeight="1" x14ac:dyDescent="0.25">
      <c r="D27" s="49" t="str">
        <v>Lime product 3</v>
      </c>
      <c r="E27" s="49">
        <v>100000</v>
      </c>
      <c r="F27" s="49">
        <v>0</v>
      </c>
      <c r="G27" s="49">
        <v>0</v>
      </c>
      <c r="H27" s="49" cm="1">
        <f t="array" ref="H27">Fertiliser_Equations_Lime.VEERG_5_3_1_1__1_LimeApplicationCO2Emissions(E27,F27,$I$15,$I$16,G27,$I$18,$I$19,$I$20)</f>
        <v>0</v>
      </c>
    </row>
    <row r="28" spans="1:9" ht="20.100000000000001" customHeight="1" x14ac:dyDescent="0.25">
      <c r="D28" s="49"/>
      <c r="E28" s="49"/>
      <c r="F28" s="49"/>
      <c r="G28" s="49"/>
      <c r="H28" s="49" cm="1">
        <f t="array" ref="H28">Fertiliser_Equations_Lime.VEERG_5_3_1_1__1_LimeApplicationCO2Emissions(E28,F28,$I$15,$I$16,G28,$I$18,$I$19,$I$20)</f>
        <v>0</v>
      </c>
    </row>
    <row r="29" spans="1:9" ht="20.100000000000001" customHeight="1" x14ac:dyDescent="0.25">
      <c r="D29" s="49"/>
      <c r="E29" s="49"/>
      <c r="F29" s="49"/>
      <c r="G29" s="49"/>
      <c r="H29" s="49" cm="1">
        <f t="array" ref="H29">Fertiliser_Equations_Lime.VEERG_5_3_1_1__1_LimeApplicationCO2Emissions(E29,F29,$I$15,$I$16,G29,$I$18,$I$19,$I$20)</f>
        <v>0</v>
      </c>
    </row>
    <row r="30" spans="1:9" ht="20.100000000000001" customHeight="1" x14ac:dyDescent="0.25"/>
    <row r="31" spans="1:9" ht="20.100000000000001" customHeight="1" x14ac:dyDescent="0.25">
      <c r="D31" s="92" t="s">
        <v>251</v>
      </c>
      <c r="E31" s="93">
        <f>SUM(H25:H29)</f>
        <v>75.808333333333337</v>
      </c>
      <c r="F31" s="155" t="s">
        <v>252</v>
      </c>
    </row>
    <row r="32" spans="1: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07"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276</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5" t="str" cm="1">
        <f t="array" ref="D6">Fertiliser_Equations_AtmosphericDeposition.VEERG_5_4_1_1__2_MassOfNitrogenVolatilisedFromInorganicFertiliser_Source()</f>
        <v>VEERG 2026: 5.4.1.1, Equation (2)</v>
      </c>
    </row>
    <row r="7" spans="1:21" ht="20.100000000000001"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100000000000001" customHeight="1" x14ac:dyDescent="0.25">
      <c r="D11" s="50" t="s">
        <v>15</v>
      </c>
      <c r="E11" s="51" t="str" cm="1">
        <f t="array" ref="E11">Fertiliser_Equations_AtmosphericDeposition.VEERG_5_4_1_1__2_MassOfNitrogenVolatilisedFromInorganicFertiliser_Unit()</f>
        <v>kg N</v>
      </c>
    </row>
    <row r="12" spans="1:21" ht="20.100000000000001" customHeight="1" x14ac:dyDescent="0.25"/>
    <row r="13" spans="1:21" ht="20.100000000000001" customHeight="1" x14ac:dyDescent="0.25">
      <c r="A13" s="18" t="s">
        <v>68</v>
      </c>
      <c r="D13" s="143" t="str" cm="1">
        <f t="array" ref="D13:E14">_xlfn.CHOOSECOLS(Fertiliser_Equations_AtmosphericDeposition.VEERG_5_4_1_1__2_MassOfNitrogenVolatilisedFromInorganicFertiliser_Arguments(), 1, 2)</f>
        <v>MN_jf</v>
      </c>
      <c r="E13" s="150" t="str">
        <v>mass of nitrogen in inorganic fertiliser applied</v>
      </c>
      <c r="F13" s="149"/>
      <c r="G13" s="143" t="str" cm="1">
        <f t="array" ref="G13:H14">_xlfn.CHOOSECOLS(Fertiliser_Equations_AtmosphericDeposition.VEERG_5_4_1_1__2_MassOfNitrogenVolatilisedFromInorganicFertiliser_Arguments(), 3,4)</f>
        <v>kg N</v>
      </c>
      <c r="H13" s="117" t="str">
        <v>Calculated from 5.1.1.1 (2)</v>
      </c>
      <c r="I13" s="141" t="str" cm="1">
        <f t="array" aca="1" ref="I13" ca="1">HYPERLINK(Common_InputFunctions.Utility_SourceHyperlink($D$16),$D$16)</f>
        <v>Table_M_vol_inorganic_j_f</v>
      </c>
    </row>
    <row r="14" spans="1:21" ht="20.100000000000001" customHeight="1" x14ac:dyDescent="0.25">
      <c r="A14" s="17" t="str">
        <f>HYPERLINK("#'5.1.1.1-2 Inorganic fert N2O'!A1", "5.1.1.1-2 Inorganic fert N2O")</f>
        <v>5.1.1.1-2 Inorganic fert N2O</v>
      </c>
      <c r="D14" s="143" t="str">
        <v>FracGASF_f</v>
      </c>
      <c r="E14" s="150" t="str">
        <v>fraction of inorganic fertiliser that volatilises</v>
      </c>
      <c r="F14" s="149"/>
      <c r="G14" s="143" t="str">
        <v>(kg NH3-N + NOx-N)/kg N</v>
      </c>
      <c r="H14" s="117" t="str">
        <v>Constant</v>
      </c>
      <c r="I14" s="141" t="str" cm="1">
        <f t="array" aca="1" ref="I14" ca="1">HYPERLINK(Common_InputFunctions.Utility_SourceHyperlink($D$16),$D$16)</f>
        <v>Table_M_vol_inorganic_j_f</v>
      </c>
    </row>
    <row r="15" spans="1:21" ht="20.100000000000001" customHeight="1" x14ac:dyDescent="0.25">
      <c r="A15" s="17"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263</v>
      </c>
    </row>
    <row r="17" spans="1:8" ht="20.100000000000001" customHeight="1" x14ac:dyDescent="0.25">
      <c r="A17" s="17" t="str">
        <f>HYPERLINK("#'5.3.1.1-2 Lime CO2'!A1", "5.3.1.1-2 Lime CO2")</f>
        <v>5.3.1.1-2 Lime CO2</v>
      </c>
      <c r="D17" s="89" t="s">
        <v>264</v>
      </c>
    </row>
    <row r="18" spans="1:8" ht="20.100000000000001" customHeight="1" x14ac:dyDescent="0.25">
      <c r="A18" s="171" t="str">
        <f>HYPERLINK("#'5.4.1.1-4 Atmos deposition'!A1", "5.4.1.1-4 Atmos deposition")</f>
        <v>5.4.1.1-4 Atmos deposition</v>
      </c>
      <c r="D18" s="48" t="s">
        <v>259</v>
      </c>
      <c r="E18" s="48" t="s">
        <v>260</v>
      </c>
      <c r="F18" s="48" t="s">
        <v>109</v>
      </c>
      <c r="G18" s="160" t="s">
        <v>261</v>
      </c>
      <c r="H18" s="160" t="s">
        <v>262</v>
      </c>
    </row>
    <row r="19" spans="1:8"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100000000000001"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100000000000001" customHeight="1" x14ac:dyDescent="0.25">
      <c r="D21" s="49" t="str">
        <v>Urea</v>
      </c>
      <c r="E21" s="49">
        <f>INDEX(Table_MN_j_f,4,4)</f>
        <v>11599.999400000001</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1739.99991</v>
      </c>
    </row>
    <row r="22" spans="1:8" ht="20.100000000000001" customHeight="1" x14ac:dyDescent="0.25">
      <c r="A22" s="175"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100000000000001"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100000000000001"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100000000000001"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100000000000001" customHeight="1" x14ac:dyDescent="0.25">
      <c r="D26" s="49" t="str">
        <v>Nitrogen - Ammoniacal</v>
      </c>
      <c r="E26" s="49">
        <f>INDEX(Table_MN_j_f,9,4)</f>
        <v>1240</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99.2</v>
      </c>
    </row>
    <row r="27" spans="1:8" ht="20.100000000000001" customHeight="1" x14ac:dyDescent="0.25">
      <c r="D27" s="49" t="str">
        <v>Nitrogen - Nitrate</v>
      </c>
      <c r="E27" s="49">
        <f>INDEX(Table_MN_j_f,10,4)</f>
        <v>550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5.5</v>
      </c>
    </row>
    <row r="28" spans="1:8" ht="20.100000000000001" customHeight="1" x14ac:dyDescent="0.25">
      <c r="D28" s="49" t="str">
        <v>Nitrogen - Generic</v>
      </c>
      <c r="E28" s="49">
        <f>INDEX(Table_MN_j_f,11,4)</f>
        <v>0</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0</v>
      </c>
    </row>
    <row r="29" spans="1:8" ht="20.100000000000001"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100000000000001"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100000000000001"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100000000000001"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100000000000001"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100000000000001"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100000000000001"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100000000000001" customHeight="1" x14ac:dyDescent="0.25">
      <c r="D36" s="49" t="str">
        <v>Ammonia</v>
      </c>
      <c r="E36" s="49">
        <f>INDEX(Table_MN_j_f,19,4)</f>
        <v>4117.5</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329.40000000000003</v>
      </c>
    </row>
    <row r="37" spans="3:12" ht="20.100000000000001" customHeight="1" x14ac:dyDescent="0.25">
      <c r="D37" s="49" t="str">
        <v>Calcium nitrate</v>
      </c>
      <c r="E37" s="49">
        <f>INDEX(Table_MN_j_f,20,4)</f>
        <v>775</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7.75</v>
      </c>
    </row>
    <row r="38" spans="3:12" ht="20.100000000000001" customHeight="1" x14ac:dyDescent="0.25"/>
    <row r="39" spans="3:12" ht="20.100000000000001" customHeight="1" x14ac:dyDescent="0.25"/>
    <row r="40" spans="3:12" ht="20.100000000000001" customHeight="1" x14ac:dyDescent="0.25">
      <c r="C40" s="152"/>
      <c r="D40" s="152"/>
      <c r="E40" s="152"/>
      <c r="F40" s="152"/>
      <c r="G40" s="152"/>
      <c r="H40" s="152"/>
      <c r="I40" s="152"/>
      <c r="J40" s="152"/>
      <c r="K40" s="152"/>
      <c r="L40" s="152"/>
    </row>
    <row r="41" spans="3: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100000000000001" customHeight="1" x14ac:dyDescent="0.25">
      <c r="D42" s="5" t="str" cm="1">
        <f t="array" ref="D42">Fertiliser_Equations_AtmosphericDeposition.VEERG_5_4_1_1__1_InorganicFertiliserAtmosphericDepositionN2OEmissions_Source()</f>
        <v>VEERG 2026: 5.4.1.1, Equation (1)</v>
      </c>
    </row>
    <row r="43" spans="3: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Fertiliser_Equations_AtmosphericDeposition.VEERG_5_4_1_1__1_InorganicFertiliserAtmosphericDepositionN2OEmissions_Variable()</f>
        <v>E_adinorganic</v>
      </c>
    </row>
    <row r="47" spans="3:12" ht="20.100000000000001" customHeight="1" x14ac:dyDescent="0.25">
      <c r="D47" s="50" t="s">
        <v>15</v>
      </c>
      <c r="E47" s="51" t="str" cm="1">
        <f t="array" ref="E47">Fertiliser_Equations_AtmosphericDeposition.VEERG_5_4_1_1__1_InorganicFertiliserAtmosphericDepositionN2OEmissions_Unit()</f>
        <v>t N2O</v>
      </c>
    </row>
    <row r="48" spans="3:12" ht="20.100000000000001" customHeight="1" x14ac:dyDescent="0.25"/>
    <row r="49" spans="4:10" ht="20.100000000000001" customHeight="1" x14ac:dyDescent="0.25">
      <c r="D49" s="143" t="str" cm="1">
        <f t="array" ref="D49:E54">_xlfn.CHOOSECOLS(Fertiliser_Equations_AtmosphericDeposition.VEERG_5_4_1_1__1_InorganicFertiliserAtmosphericDepositionN2OEmissions_Arguments(), 1, 2)</f>
        <v>M_volinorganicjf</v>
      </c>
      <c r="E49" s="150" t="str">
        <v>mass of nitrogen volatilised from inorganic fertiliser applied to production system</v>
      </c>
      <c r="F49" s="151"/>
      <c r="G49" s="149"/>
      <c r="H49" s="143" t="str" cm="1">
        <f t="array" ref="H49:I54">_xlfn.CHOOSECOLS(Fertiliser_Equations_AtmosphericDeposition.VEERG_5_4_1_1__1_InorganicFertiliserAtmosphericDepositionN2OEmissions_Arguments(), 3,4)</f>
        <v>kg N</v>
      </c>
      <c r="I49" s="117" t="str">
        <v>Calculated from 5.4.1.1 (2)</v>
      </c>
      <c r="J49" s="141" t="str" cm="1">
        <f t="array" aca="1" ref="J49" ca="1">HYPERLINK(Common_InputFunctions.Utility_SourceHyperlink($D$16),$D$16)</f>
        <v>Table_M_vol_inorganic_j_f</v>
      </c>
    </row>
    <row r="50" spans="4:10" ht="20.100000000000001" customHeight="1" x14ac:dyDescent="0.25">
      <c r="D50" s="143" t="str">
        <v>EF_N2Oj</v>
      </c>
      <c r="E50" s="150" t="str">
        <v>emission factor for atmospheric deposition</v>
      </c>
      <c r="F50" s="151"/>
      <c r="G50" s="149"/>
      <c r="H50" s="143" t="str">
        <v>kg N2O-N/kg N</v>
      </c>
      <c r="I50" s="117" t="str">
        <v>Constant</v>
      </c>
      <c r="J50" s="143">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43" t="str">
        <v>C_N2O</v>
      </c>
      <c r="E51" s="150" t="str">
        <v>factor to convert elemental mass of nitrous oxide to molecular mass</v>
      </c>
      <c r="F51" s="151"/>
      <c r="G51" s="149"/>
      <c r="H51" s="143" t="str">
        <v/>
      </c>
      <c r="I51" s="117" t="str">
        <v>Constant</v>
      </c>
      <c r="J51" s="53">
        <f>Common_InputFunctions.Utility_LookupValueInTableNumber("N2O",Table_GasToMolecularConversionFactor[Gas],Table_GasToMolecularConversionFactor[Conversion factor combined])</f>
        <v>1.5714285714285714</v>
      </c>
    </row>
    <row r="52" spans="4:10" ht="20.100000000000001" customHeight="1" x14ac:dyDescent="0.25">
      <c r="D52" s="143" t="str">
        <v>j</v>
      </c>
      <c r="E52" s="150" t="str">
        <v>Production system</v>
      </c>
      <c r="F52" s="151"/>
      <c r="G52" s="149"/>
      <c r="H52" s="143" t="str">
        <v/>
      </c>
      <c r="I52" s="118" t="str">
        <v>Input</v>
      </c>
      <c r="J52" s="143" t="str">
        <f>X_Cell_Fertiliser_ProductionSystem</f>
        <v>Crop</v>
      </c>
    </row>
    <row r="53" spans="4:10" ht="20.100000000000001" customHeight="1" x14ac:dyDescent="0.25">
      <c r="D53" s="143" t="str">
        <v>ir</v>
      </c>
      <c r="E53" s="150" t="str">
        <v>irrigation method</v>
      </c>
      <c r="F53" s="151"/>
      <c r="G53" s="149"/>
      <c r="H53" s="143" t="str">
        <v/>
      </c>
      <c r="I53" s="118" t="str">
        <v>Input</v>
      </c>
      <c r="J53" s="143" t="str">
        <f>X_Cell_Fertiliser_IrrigationMethod</f>
        <v>Sprinkler irrigation</v>
      </c>
    </row>
    <row r="54" spans="4:10" ht="20.100000000000001" customHeight="1" x14ac:dyDescent="0.25">
      <c r="D54" s="143" t="str">
        <v>r</v>
      </c>
      <c r="E54" s="150" t="str">
        <v>rainfall region</v>
      </c>
      <c r="F54" s="151"/>
      <c r="G54" s="149"/>
      <c r="H54" s="143" t="str">
        <v/>
      </c>
      <c r="I54" s="118" t="str">
        <v>Input</v>
      </c>
      <c r="J54" s="143" t="str">
        <f>X_Cell_Site_RainfallZone</f>
        <v>Low rainfall</v>
      </c>
    </row>
    <row r="55" spans="4:10" ht="20.100000000000001" customHeight="1" x14ac:dyDescent="0.25"/>
    <row r="56" spans="4:10" ht="20.100000000000001" customHeight="1" x14ac:dyDescent="0.25">
      <c r="D56" s="90" t="s">
        <v>272</v>
      </c>
    </row>
    <row r="57" spans="4:10" ht="20.100000000000001" customHeight="1" x14ac:dyDescent="0.25">
      <c r="D57" s="89" t="s">
        <v>273</v>
      </c>
    </row>
    <row r="58" spans="4:10" ht="20.100000000000001" customHeight="1" x14ac:dyDescent="0.25">
      <c r="D58" s="48" t="s">
        <v>259</v>
      </c>
      <c r="E58" s="160" t="s">
        <v>262</v>
      </c>
      <c r="F58" s="160" t="s">
        <v>265</v>
      </c>
    </row>
    <row r="59" spans="4:10" ht="20.100000000000001"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100000000000001"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100000000000001" customHeight="1" x14ac:dyDescent="0.25">
      <c r="D61" s="49" t="str">
        <v>Urea</v>
      </c>
      <c r="E61" s="49">
        <f t="shared" si="0"/>
        <v>1739.99991</v>
      </c>
      <c r="F61" s="49" cm="1">
        <f t="array" ref="F61">Fertiliser_Equations_AtmosphericDeposition.VEERG_5_4_1_1__1_InorganicFertiliserAtmosphericDepositionN2OEmissions(E61,$J$50,$J$51)</f>
        <v>1.9139999010000002E-2</v>
      </c>
    </row>
    <row r="62" spans="4:10" ht="20.100000000000001"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100000000000001"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100000000000001"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100000000000001"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100000000000001" customHeight="1" x14ac:dyDescent="0.25">
      <c r="D66" s="49" t="str">
        <v>Nitrogen - Ammoniacal</v>
      </c>
      <c r="E66" s="49">
        <f t="shared" si="0"/>
        <v>99.2</v>
      </c>
      <c r="F66" s="49" cm="1">
        <f t="array" ref="F66">Fertiliser_Equations_AtmosphericDeposition.VEERG_5_4_1_1__1_InorganicFertiliserAtmosphericDepositionN2OEmissions(E66,$J$50,$J$51)</f>
        <v>1.0912000000000001E-3</v>
      </c>
    </row>
    <row r="67" spans="4:6" ht="20.100000000000001" customHeight="1" x14ac:dyDescent="0.25">
      <c r="D67" s="49" t="str">
        <v>Nitrogen - Nitrate</v>
      </c>
      <c r="E67" s="49">
        <f t="shared" si="0"/>
        <v>5.5</v>
      </c>
      <c r="F67" s="49" cm="1">
        <f t="array" ref="F67">Fertiliser_Equations_AtmosphericDeposition.VEERG_5_4_1_1__1_InorganicFertiliserAtmosphericDepositionN2OEmissions(E67,$J$50,$J$51)</f>
        <v>6.05E-5</v>
      </c>
    </row>
    <row r="68" spans="4:6" ht="20.100000000000001" customHeight="1" x14ac:dyDescent="0.25">
      <c r="D68" s="49" t="str">
        <v>Nitrogen - Generic</v>
      </c>
      <c r="E68" s="49">
        <f t="shared" si="0"/>
        <v>0</v>
      </c>
      <c r="F68" s="49" cm="1">
        <f t="array" ref="F68">Fertiliser_Equations_AtmosphericDeposition.VEERG_5_4_1_1__1_InorganicFertiliserAtmosphericDepositionN2OEmissions(E68,$J$50,$J$51)</f>
        <v>0</v>
      </c>
    </row>
    <row r="69" spans="4:6" ht="20.100000000000001"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100000000000001"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100000000000001"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100000000000001"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100000000000001"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100000000000001"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100000000000001"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100000000000001" customHeight="1" x14ac:dyDescent="0.25">
      <c r="D76" s="49" t="str">
        <v>Ammonia</v>
      </c>
      <c r="E76" s="49">
        <f t="shared" si="0"/>
        <v>329.40000000000003</v>
      </c>
      <c r="F76" s="49" cm="1">
        <f t="array" ref="F76">Fertiliser_Equations_AtmosphericDeposition.VEERG_5_4_1_1__1_InorganicFertiliserAtmosphericDepositionN2OEmissions(E76,$J$50,$J$51)</f>
        <v>3.6234000000000001E-3</v>
      </c>
    </row>
    <row r="77" spans="4:6" ht="20.100000000000001" customHeight="1" x14ac:dyDescent="0.25">
      <c r="D77" s="49" t="str">
        <v>Calcium nitrate</v>
      </c>
      <c r="E77" s="49">
        <f t="shared" si="0"/>
        <v>7.75</v>
      </c>
      <c r="F77" s="49"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2" t="s">
        <v>270</v>
      </c>
      <c r="E79" s="93">
        <f>SUM(F59:F77)</f>
        <v>2.4000349010000002E-2</v>
      </c>
      <c r="F79" s="94" t="str">
        <f>$E$47</f>
        <v>t N2O</v>
      </c>
    </row>
    <row r="80" spans="4:6" ht="20.100000000000001" customHeight="1" x14ac:dyDescent="0.25"/>
    <row r="81" spans="3:12" ht="20.100000000000001" customHeight="1" x14ac:dyDescent="0.25">
      <c r="D81" s="53" t="str" cm="1">
        <f t="array" ref="D81:E82">Common_Equations.Common_ConvertN2OToCO2e_Arguments()</f>
        <v>EN2O</v>
      </c>
      <c r="E81" s="54" t="str">
        <v>Nitrous oxide emissions (t N2O)</v>
      </c>
      <c r="F81" s="95"/>
      <c r="G81" s="49">
        <f>VEERG_5_4_1_1__1_InorganicFertiliserAtmosphericDepositionN2OEmissions_Result_Method1</f>
        <v>2.4000349010000002E-2</v>
      </c>
    </row>
    <row r="82" spans="3:12" ht="20.100000000000001"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100000000000001" customHeight="1" x14ac:dyDescent="0.25"/>
    <row r="84" spans="3:12" ht="20.100000000000001" customHeight="1" x14ac:dyDescent="0.25">
      <c r="D84" s="43" t="s">
        <v>78</v>
      </c>
      <c r="E84" s="43" cm="1">
        <f t="array" ref="E84">Common_Equations.Common_ConvertN2OToCO2e(G81,G82)</f>
        <v>6.3600924876500002</v>
      </c>
      <c r="F84" s="96"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2"/>
      <c r="D87" s="152"/>
      <c r="E87" s="152"/>
      <c r="F87" s="152"/>
      <c r="G87" s="152"/>
      <c r="H87" s="152"/>
      <c r="I87" s="152"/>
      <c r="J87" s="152"/>
      <c r="K87" s="152"/>
      <c r="L87" s="152"/>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0" t="s">
        <v>24</v>
      </c>
      <c r="E93" s="1" t="str" cm="1">
        <f t="array" ref="E93">Fertiliser_Equations_AtmosphericDeposition.VEERG_5_4_1_3__2_MassOfNitrogenVolatilisedFromOrganicFertiliser_Variable()</f>
        <v>M_volorganicjf</v>
      </c>
    </row>
    <row r="94" spans="3:12" ht="20.100000000000001" customHeight="1" x14ac:dyDescent="0.25">
      <c r="D94" s="50" t="s">
        <v>15</v>
      </c>
      <c r="E94" s="51"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3" t="str" cm="1">
        <f t="array" ref="D96:E97">_xlfn.CHOOSECOLS(Fertiliser_Equations_AtmosphericDeposition.VEERG_5_4_1_3__2_MassOfNitrogenVolatilisedFromOrganicFertiliser_Arguments(), 1, 2)</f>
        <v>MNSoil_jf</v>
      </c>
      <c r="E96" s="143" t="str">
        <v>mass of nitrogen in organic fertiliser type f applied to production system j</v>
      </c>
      <c r="F96" s="143"/>
      <c r="G96" s="143" t="str" cm="1">
        <f t="array" ref="G96:H97">_xlfn.CHOOSECOLS(Fertiliser_Equations_AtmosphericDeposition.VEERG_5_4_1_3__2_MassOfNitrogenVolatilisedFromOrganicFertiliser_Arguments(), 3,4)</f>
        <v>kg N</v>
      </c>
      <c r="H96" s="117" t="str">
        <v>Calculated from 5.2.1.1 (2)</v>
      </c>
      <c r="I96" s="141" t="str" cm="1">
        <f t="array" aca="1" ref="I96" ca="1">HYPERLINK(Common_InputFunctions.Utility_SourceHyperlink($D$99), $D$99)</f>
        <v>Table_M_vol_organic_j_f</v>
      </c>
    </row>
    <row r="97" spans="4:9" ht="20.100000000000001" customHeight="1" x14ac:dyDescent="0.25">
      <c r="D97" s="143" t="str">
        <v>FracGASM_soil</v>
      </c>
      <c r="E97" s="143" t="str">
        <v>fraction of organic fertiliser N that volatilises</v>
      </c>
      <c r="F97" s="143"/>
      <c r="G97" s="143" t="str">
        <v>(kg NH3-N + NOx-N)/kg N</v>
      </c>
      <c r="H97" s="117" t="str">
        <v>Constant</v>
      </c>
      <c r="I97" s="143">
        <f>Fertiliser_FracGASMSoil_Data</f>
        <v>0.21</v>
      </c>
    </row>
    <row r="98" spans="4:9" ht="20.100000000000001" customHeight="1" x14ac:dyDescent="0.25"/>
    <row r="99" spans="4:9" ht="20.100000000000001" customHeight="1" x14ac:dyDescent="0.25">
      <c r="D99" s="90" t="s">
        <v>266</v>
      </c>
    </row>
    <row r="100" spans="4:9" ht="20.100000000000001" customHeight="1" x14ac:dyDescent="0.25">
      <c r="D100" s="89" t="s">
        <v>267</v>
      </c>
    </row>
    <row r="101" spans="4:9" ht="20.100000000000001" customHeight="1" x14ac:dyDescent="0.25">
      <c r="D101" s="110" t="s">
        <v>237</v>
      </c>
      <c r="E101" s="144" t="s">
        <v>240</v>
      </c>
      <c r="F101" s="144" t="s">
        <v>269</v>
      </c>
    </row>
    <row r="102" spans="4:9" ht="20.100000000000001" customHeight="1" x14ac:dyDescent="0.25">
      <c r="D102" s="49" t="str" cm="1">
        <f t="array" ref="D102:D104">Table_Input_OrganicFertiliser[Organic fertiliser type (select)]</f>
        <v>Manure - Other</v>
      </c>
      <c r="E102" s="49">
        <f>INDEX(Table_MNSoil_j_f,2,6)</f>
        <v>300</v>
      </c>
      <c r="F102" s="49" cm="1">
        <f t="array" ref="F102">Fertiliser_Equations_AtmosphericDeposition.VEERG_5_4_1_3__2_MassOfNitrogenVolatilisedFromOrganicFertiliser(E102,$I$97)</f>
        <v>63</v>
      </c>
      <c r="G102" s="2" t="str">
        <f>$E$94</f>
        <v>kg N</v>
      </c>
    </row>
    <row r="103" spans="4:9" ht="20.100000000000001" customHeight="1" x14ac:dyDescent="0.25">
      <c r="D103" s="49" t="str">
        <v>Manure - Poultry</v>
      </c>
      <c r="E103" s="49">
        <f>INDEX(Table_MNSoil_j_f,3,6)</f>
        <v>250</v>
      </c>
      <c r="F103" s="49" cm="1">
        <f t="array" ref="F103">Fertiliser_Equations_AtmosphericDeposition.VEERG_5_4_1_3__2_MassOfNitrogenVolatilisedFromOrganicFertiliser(E103,$I$97)</f>
        <v>52.5</v>
      </c>
    </row>
    <row r="104" spans="4:9" ht="20.100000000000001" customHeight="1" x14ac:dyDescent="0.25">
      <c r="D104" s="49" t="str">
        <v>Other organic fertiliser</v>
      </c>
      <c r="E104" s="49">
        <f>INDEX(Table_MNSoil_j_f,4,6)</f>
        <v>160</v>
      </c>
      <c r="F104" s="49" cm="1">
        <f t="array" ref="F104">Fertiliser_Equations_AtmosphericDeposition.VEERG_5_4_1_3__2_MassOfNitrogenVolatilisedFromOrganicFertiliser(E104,$I$97)</f>
        <v>33.6</v>
      </c>
    </row>
    <row r="105" spans="4:9" ht="20.100000000000001" customHeight="1" x14ac:dyDescent="0.25">
      <c r="D105" s="49"/>
      <c r="E105" s="49">
        <f>'5.2.1.1-2 Organic Fert N2O'!I23</f>
        <v>0</v>
      </c>
      <c r="F105" s="49" cm="1">
        <f t="array" ref="F105">Fertiliser_Equations_AtmosphericDeposition.VEERG_5_4_1_3__2_MassOfNitrogenVolatilisedFromOrganicFertiliser(E105,$I$97)</f>
        <v>0</v>
      </c>
    </row>
    <row r="106" spans="4:9" ht="20.100000000000001" customHeight="1" x14ac:dyDescent="0.25">
      <c r="D106" s="49"/>
      <c r="E106" s="49">
        <f>'5.2.1.1-2 Organic Fert N2O'!I24</f>
        <v>0</v>
      </c>
      <c r="F106" s="49" cm="1">
        <f t="array" ref="F106">Fertiliser_Equations_AtmosphericDeposition.VEERG_5_4_1_3__2_MassOfNitrogenVolatilisedFromOrganicFertiliser(E106,$I$97)</f>
        <v>0</v>
      </c>
    </row>
    <row r="107" spans="4:9" ht="20.100000000000001" customHeight="1" x14ac:dyDescent="0.25">
      <c r="D107" s="49"/>
      <c r="E107" s="49">
        <f>'5.2.1.1-2 Organic Fert N2O'!I25</f>
        <v>0</v>
      </c>
      <c r="F107" s="49" cm="1">
        <f t="array" ref="F107">Fertiliser_Equations_AtmosphericDeposition.VEERG_5_4_1_3__2_MassOfNitrogenVolatilisedFromOrganicFertiliser(E107,$I$97)</f>
        <v>0</v>
      </c>
    </row>
    <row r="108" spans="4:9" ht="20.100000000000001" customHeight="1" x14ac:dyDescent="0.25">
      <c r="D108" s="49"/>
      <c r="E108" s="49">
        <f>'5.2.1.1-2 Organic Fert N2O'!I26</f>
        <v>0</v>
      </c>
      <c r="F108" s="49" cm="1">
        <f t="array" ref="F108">Fertiliser_Equations_AtmosphericDeposition.VEERG_5_4_1_3__2_MassOfNitrogenVolatilisedFromOrganicFertiliser(E108,$I$97)</f>
        <v>0</v>
      </c>
    </row>
    <row r="109" spans="4:9" ht="20.100000000000001" customHeight="1" x14ac:dyDescent="0.25">
      <c r="D109" s="49"/>
      <c r="E109" s="49">
        <f>'5.2.1.1-2 Organic Fert N2O'!I27</f>
        <v>0</v>
      </c>
      <c r="F109" s="49" cm="1">
        <f t="array" ref="F109">Fertiliser_Equations_AtmosphericDeposition.VEERG_5_4_1_3__2_MassOfNitrogenVolatilisedFromOrganicFertiliser(E109,$I$97)</f>
        <v>0</v>
      </c>
    </row>
    <row r="110" spans="4:9" ht="20.100000000000001" customHeight="1" x14ac:dyDescent="0.25">
      <c r="D110" s="49"/>
      <c r="E110" s="49">
        <f>'5.2.1.1-2 Organic Fert N2O'!I28</f>
        <v>0</v>
      </c>
      <c r="F110" s="49" cm="1">
        <f t="array" ref="F110">Fertiliser_Equations_AtmosphericDeposition.VEERG_5_4_1_3__2_MassOfNitrogenVolatilisedFromOrganicFertiliser(E110,$I$97)</f>
        <v>0</v>
      </c>
    </row>
    <row r="111" spans="4:9" ht="20.100000000000001" customHeight="1" x14ac:dyDescent="0.25">
      <c r="D111" s="49"/>
      <c r="E111" s="49">
        <f>'5.2.1.1-2 Organic Fert N2O'!I29</f>
        <v>0</v>
      </c>
      <c r="F111" s="49" cm="1">
        <f t="array" ref="F111">Fertiliser_Equations_AtmosphericDeposition.VEERG_5_4_1_3__2_MassOfNitrogenVolatilisedFromOrganicFertiliser(E111,$I$97)</f>
        <v>0</v>
      </c>
    </row>
    <row r="112" spans="4:9" ht="20.100000000000001" customHeight="1" x14ac:dyDescent="0.25">
      <c r="D112" s="49"/>
      <c r="E112" s="49">
        <f>'5.2.1.1-2 Organic Fert N2O'!I30</f>
        <v>0</v>
      </c>
      <c r="F112" s="49"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2"/>
      <c r="D115" s="152"/>
      <c r="E115" s="152"/>
      <c r="F115" s="152"/>
      <c r="G115" s="152"/>
      <c r="H115" s="152"/>
      <c r="I115" s="152"/>
      <c r="J115" s="152"/>
      <c r="K115" s="152"/>
      <c r="L115" s="152"/>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0" t="s">
        <v>24</v>
      </c>
      <c r="E121" s="1" t="str" cm="1">
        <f t="array" ref="E121">Fertiliser_Equations_AtmosphericDeposition.VEERG_5_4_1_3__1_OrganicFertiliserAtmosphericDepositionN2OEmissions_Variable()</f>
        <v>E_adorganic</v>
      </c>
    </row>
    <row r="122" spans="3:12" ht="20.100000000000001" customHeight="1" x14ac:dyDescent="0.25">
      <c r="D122" s="50" t="s">
        <v>15</v>
      </c>
      <c r="E122" s="51"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3" t="str" cm="1">
        <f t="array" ref="D124:E129">_xlfn.CHOOSECOLS(Fertiliser_Equations_AtmosphericDeposition.VEERG_5_4_1_3__1_OrganicFertiliserAtmosphericDepositionN2OEmissions_Arguments(), 1, 2)</f>
        <v>M_volorganicjf</v>
      </c>
      <c r="E124" s="150" t="str">
        <v>mass of nitrogen volatilised from organic fertiliser applied to production system</v>
      </c>
      <c r="F124" s="149"/>
      <c r="G124" s="143" t="str" cm="1">
        <f t="array" ref="G124:H129">_xlfn.CHOOSECOLS(Fertiliser_Equations_AtmosphericDeposition.VEERG_5_4_1_3__1_OrganicFertiliserAtmosphericDepositionN2OEmissions_Arguments(), 3,4)</f>
        <v>kg N</v>
      </c>
      <c r="H124" s="117" t="str">
        <v>Calculated from 5.4.1.3 (2)</v>
      </c>
      <c r="I124" s="141" t="str" cm="1">
        <f t="array" aca="1" ref="I124" ca="1">HYPERLINK(Common_InputFunctions.Utility_SourceHyperlink($D$99), $D$99)</f>
        <v>Table_M_vol_organic_j_f</v>
      </c>
    </row>
    <row r="125" spans="3:12" ht="20.100000000000001" customHeight="1" x14ac:dyDescent="0.25">
      <c r="D125" s="143" t="str">
        <v>EF_N2Oj</v>
      </c>
      <c r="E125" s="150" t="str">
        <v>emission factor for atmospheric deposition in production system j</v>
      </c>
      <c r="F125" s="149"/>
      <c r="G125" s="143" t="str">
        <v>kg N2O-N/kg N</v>
      </c>
      <c r="H125" s="117" t="str">
        <v>Constant</v>
      </c>
      <c r="I125" s="143">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3" t="str">
        <v>C_N2O</v>
      </c>
      <c r="E126" s="150" t="str">
        <v>factor to convert elemental mass of nitrous oxide to molecular mass</v>
      </c>
      <c r="F126" s="149"/>
      <c r="G126" s="143" t="str">
        <v/>
      </c>
      <c r="H126" s="117" t="str">
        <v>Constant</v>
      </c>
      <c r="I126" s="53">
        <f>Common_InputFunctions.Utility_LookupValueInTableNumber("N2O",Table_GasToMolecularConversionFactor[Gas],Table_GasToMolecularConversionFactor[Conversion factor combined])</f>
        <v>1.5714285714285714</v>
      </c>
    </row>
    <row r="127" spans="3:12" ht="20.100000000000001" customHeight="1" x14ac:dyDescent="0.25">
      <c r="D127" s="143" t="str">
        <v>j</v>
      </c>
      <c r="E127" s="150" t="str">
        <v>Production system</v>
      </c>
      <c r="F127" s="149"/>
      <c r="G127" s="143" t="str">
        <v/>
      </c>
      <c r="H127" s="118" t="str">
        <v>Input</v>
      </c>
      <c r="I127" s="143" t="str">
        <f>X_Cell_Fertiliser_ProductionSystem</f>
        <v>Crop</v>
      </c>
    </row>
    <row r="128" spans="3:12" ht="20.100000000000001" customHeight="1" x14ac:dyDescent="0.25">
      <c r="D128" s="143" t="str">
        <v>ir</v>
      </c>
      <c r="E128" s="150" t="str">
        <v>irrigation method</v>
      </c>
      <c r="F128" s="149"/>
      <c r="G128" s="143" t="str">
        <v/>
      </c>
      <c r="H128" s="118" t="str">
        <v>Input</v>
      </c>
      <c r="I128" s="143" t="str">
        <f>X_Cell_Fertiliser_IrrigationMethod</f>
        <v>Sprinkler irrigation</v>
      </c>
    </row>
    <row r="129" spans="4:9" ht="20.100000000000001" customHeight="1" x14ac:dyDescent="0.25">
      <c r="D129" s="143" t="str">
        <v>r</v>
      </c>
      <c r="E129" s="150" t="str">
        <v>rainfall region</v>
      </c>
      <c r="F129" s="149"/>
      <c r="G129" s="143" t="str">
        <v/>
      </c>
      <c r="H129" s="118" t="str">
        <v>Input</v>
      </c>
      <c r="I129" s="143" t="str">
        <f>X_Cell_Site_RainfallZone</f>
        <v>Low rainfall</v>
      </c>
    </row>
    <row r="130" spans="4:9" ht="20.100000000000001" customHeight="1" x14ac:dyDescent="0.25"/>
    <row r="131" spans="4:9" ht="20.100000000000001" customHeight="1" x14ac:dyDescent="0.25">
      <c r="D131" s="90" t="s">
        <v>274</v>
      </c>
    </row>
    <row r="132" spans="4:9" ht="20.100000000000001" customHeight="1" x14ac:dyDescent="0.25">
      <c r="D132" s="89" t="s">
        <v>275</v>
      </c>
    </row>
    <row r="133" spans="4:9" ht="20.100000000000001" customHeight="1" x14ac:dyDescent="0.25">
      <c r="D133" s="110" t="s">
        <v>237</v>
      </c>
      <c r="E133" s="144" t="s">
        <v>269</v>
      </c>
      <c r="F133" s="144" t="s">
        <v>268</v>
      </c>
    </row>
    <row r="134" spans="4:9" ht="20.100000000000001" customHeight="1" x14ac:dyDescent="0.25">
      <c r="D134" s="49" t="str" cm="1">
        <f t="array" ref="D134:D136">Table_Input_OrganicFertiliser[Organic fertiliser type (select)]</f>
        <v>Manure - Other</v>
      </c>
      <c r="E134" s="49">
        <f>F102</f>
        <v>63</v>
      </c>
      <c r="F134" s="49" cm="1">
        <f t="array" ref="F134">Fertiliser_Equations_AtmosphericDeposition.VEERG_5_4_1_3__1_OrganicFertiliserAtmosphericDepositionN2OEmissions(E134,$I$125,$I$126)</f>
        <v>6.9299999999999993E-4</v>
      </c>
    </row>
    <row r="135" spans="4:9" ht="20.100000000000001" customHeight="1" x14ac:dyDescent="0.25">
      <c r="D135" s="49" t="str">
        <v>Manure - Poultry</v>
      </c>
      <c r="E135" s="49">
        <f t="shared" ref="E135:E144" si="1">F103</f>
        <v>52.5</v>
      </c>
      <c r="F135" s="49" cm="1">
        <f t="array" ref="F135">Fertiliser_Equations_AtmosphericDeposition.VEERG_5_4_1_3__1_OrganicFertiliserAtmosphericDepositionN2OEmissions(E135,$I$125,$I$126)</f>
        <v>5.775E-4</v>
      </c>
    </row>
    <row r="136" spans="4:9" ht="20.100000000000001" customHeight="1" x14ac:dyDescent="0.25">
      <c r="D136" s="49" t="str">
        <v>Other organic fertiliser</v>
      </c>
      <c r="E136" s="49">
        <f t="shared" si="1"/>
        <v>33.6</v>
      </c>
      <c r="F136" s="49" cm="1">
        <f t="array" ref="F136">Fertiliser_Equations_AtmosphericDeposition.VEERG_5_4_1_3__1_OrganicFertiliserAtmosphericDepositionN2OEmissions(E136,$I$125,$I$126)</f>
        <v>3.6960000000000004E-4</v>
      </c>
    </row>
    <row r="137" spans="4:9" ht="20.100000000000001" customHeight="1" x14ac:dyDescent="0.25">
      <c r="D137" s="49"/>
      <c r="E137" s="49">
        <f t="shared" si="1"/>
        <v>0</v>
      </c>
      <c r="F137" s="49" cm="1">
        <f t="array" ref="F137">Fertiliser_Equations_AtmosphericDeposition.VEERG_5_4_1_3__1_OrganicFertiliserAtmosphericDepositionN2OEmissions(E137,$I$125,$I$126)</f>
        <v>0</v>
      </c>
    </row>
    <row r="138" spans="4:9" ht="20.100000000000001" customHeight="1" x14ac:dyDescent="0.25">
      <c r="D138" s="49"/>
      <c r="E138" s="49">
        <f t="shared" si="1"/>
        <v>0</v>
      </c>
      <c r="F138" s="49" cm="1">
        <f t="array" ref="F138">Fertiliser_Equations_AtmosphericDeposition.VEERG_5_4_1_3__1_OrganicFertiliserAtmosphericDepositionN2OEmissions(E138,$I$125,$I$126)</f>
        <v>0</v>
      </c>
    </row>
    <row r="139" spans="4:9" ht="20.100000000000001" customHeight="1" x14ac:dyDescent="0.25">
      <c r="D139" s="49"/>
      <c r="E139" s="49">
        <f t="shared" si="1"/>
        <v>0</v>
      </c>
      <c r="F139" s="49" cm="1">
        <f t="array" ref="F139">Fertiliser_Equations_AtmosphericDeposition.VEERG_5_4_1_3__1_OrganicFertiliserAtmosphericDepositionN2OEmissions(E139,$I$125,$I$126)</f>
        <v>0</v>
      </c>
    </row>
    <row r="140" spans="4:9" ht="20.100000000000001" customHeight="1" x14ac:dyDescent="0.25">
      <c r="D140" s="49"/>
      <c r="E140" s="49">
        <f t="shared" si="1"/>
        <v>0</v>
      </c>
      <c r="F140" s="49" cm="1">
        <f t="array" ref="F140">Fertiliser_Equations_AtmosphericDeposition.VEERG_5_4_1_3__1_OrganicFertiliserAtmosphericDepositionN2OEmissions(E140,$I$125,$I$126)</f>
        <v>0</v>
      </c>
    </row>
    <row r="141" spans="4:9" ht="20.100000000000001" customHeight="1" x14ac:dyDescent="0.25">
      <c r="D141" s="49"/>
      <c r="E141" s="49">
        <f t="shared" si="1"/>
        <v>0</v>
      </c>
      <c r="F141" s="49" cm="1">
        <f t="array" ref="F141">Fertiliser_Equations_AtmosphericDeposition.VEERG_5_4_1_3__1_OrganicFertiliserAtmosphericDepositionN2OEmissions(E141,$I$125,$I$126)</f>
        <v>0</v>
      </c>
    </row>
    <row r="142" spans="4:9" ht="20.100000000000001" customHeight="1" x14ac:dyDescent="0.25">
      <c r="D142" s="49"/>
      <c r="E142" s="49">
        <f t="shared" si="1"/>
        <v>0</v>
      </c>
      <c r="F142" s="49" cm="1">
        <f t="array" ref="F142">Fertiliser_Equations_AtmosphericDeposition.VEERG_5_4_1_3__1_OrganicFertiliserAtmosphericDepositionN2OEmissions(E142,$I$125,$I$126)</f>
        <v>0</v>
      </c>
    </row>
    <row r="143" spans="4:9" ht="20.100000000000001" customHeight="1" x14ac:dyDescent="0.25">
      <c r="D143" s="49"/>
      <c r="E143" s="49">
        <f t="shared" si="1"/>
        <v>0</v>
      </c>
      <c r="F143" s="49" cm="1">
        <f t="array" ref="F143">Fertiliser_Equations_AtmosphericDeposition.VEERG_5_4_1_3__1_OrganicFertiliserAtmosphericDepositionN2OEmissions(E143,$I$125,$I$126)</f>
        <v>0</v>
      </c>
    </row>
    <row r="144" spans="4:9" ht="20.100000000000001" customHeight="1" x14ac:dyDescent="0.25">
      <c r="D144" s="49"/>
      <c r="E144" s="49">
        <f t="shared" si="1"/>
        <v>0</v>
      </c>
      <c r="F144" s="49"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2" t="s">
        <v>271</v>
      </c>
      <c r="E146" s="93">
        <f>SUM(F134:F144)</f>
        <v>1.6401E-3</v>
      </c>
      <c r="F146" s="94" t="str">
        <f>$E$122</f>
        <v>t N2O</v>
      </c>
    </row>
    <row r="147" spans="4:7" ht="20.100000000000001" customHeight="1" x14ac:dyDescent="0.25"/>
    <row r="148" spans="4:7" ht="20.100000000000001" customHeight="1" x14ac:dyDescent="0.25">
      <c r="D148" s="53" t="str" cm="1">
        <f t="array" ref="D148:E149">Common_Equations.Common_ConvertN2OToCO2e_Arguments()</f>
        <v>EN2O</v>
      </c>
      <c r="E148" s="54" t="str">
        <v>Nitrous oxide emissions (t N2O)</v>
      </c>
      <c r="F148" s="95"/>
      <c r="G148" s="49">
        <f>VEERG_5_4_1_3__1_OrganicFertiliserAtmosphericDepositionN2OEmissions_Result_Method1</f>
        <v>1.6401E-3</v>
      </c>
    </row>
    <row r="149" spans="4:7" ht="20.100000000000001"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100000000000001" customHeight="1" x14ac:dyDescent="0.25"/>
    <row r="151" spans="4:7" ht="20.100000000000001" customHeight="1" x14ac:dyDescent="0.25">
      <c r="D151" s="43" t="s">
        <v>78</v>
      </c>
      <c r="E151" s="43" cm="1">
        <f t="array" ref="E151">Common_Equations.Common_ConvertN2OToCO2e(G148,G149)</f>
        <v>0.43462650000000003</v>
      </c>
      <c r="F151" s="96"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16" zoomScaleNormal="100" workbookViewId="0">
      <selection activeCell="I57" sqref="I5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277</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5" t="str" cm="1">
        <f t="array" ref="D6">Fertiliser_Equations_LeachingAndRunoff.VEERG_5_5_1_1__2_MassOfNitrogenLeachedFromInorganicFertiliser_Source()</f>
        <v>VEERG 2026: 5.5, Equation (2)</v>
      </c>
    </row>
    <row r="7" spans="1:20" ht="20.100000000000001" customHeight="1" x14ac:dyDescent="0.25">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100000000000001" customHeight="1" x14ac:dyDescent="0.25">
      <c r="D11" s="50" t="s">
        <v>15</v>
      </c>
      <c r="E11" s="51" t="str" cm="1">
        <f t="array" ref="E11">Fertiliser_Equations_LeachingAndRunoff.VEERG_5_5_1_1__2_MassOfNitrogenLeachedFromInorganicFertiliser_Unit()</f>
        <v>kg N</v>
      </c>
    </row>
    <row r="12" spans="1:20" ht="20.100000000000001" customHeight="1" x14ac:dyDescent="0.25"/>
    <row r="13" spans="1:20" ht="20.100000000000001" customHeight="1" x14ac:dyDescent="0.25">
      <c r="A13" s="18" t="s">
        <v>68</v>
      </c>
      <c r="D13" s="143" t="str" cm="1">
        <f t="array" ref="D13:E18">_xlfn.CHOOSECOLS(Fertiliser_Equations_LeachingAndRunoff.VEERG_5_5_1_1__2_MassOfNitrogenLeachedFromInorganicFertiliser_Arguments(), 1, 2)</f>
        <v>MN_jf</v>
      </c>
      <c r="E13" s="150" t="str">
        <v>mass of nitrogen in inorganic fertiliser</v>
      </c>
      <c r="F13" s="149"/>
      <c r="G13" s="143" t="str" cm="1">
        <f t="array" ref="G13:H18">_xlfn.CHOOSECOLS(Fertiliser_Equations_LeachingAndRunoff.VEERG_5_5_1_1__2_MassOfNitrogenLeachedFromInorganicFertiliser_Arguments(), 3,4)</f>
        <v>kg N</v>
      </c>
      <c r="H13" s="117" t="str">
        <v>Calculated from 5.1.1.1 (2)</v>
      </c>
      <c r="I13" s="141" t="str" cm="1">
        <f t="array" aca="1" ref="I13" ca="1">HYPERLINK(Common_InputFunctions.Utility_SourceHyperlink(D20), D20)</f>
        <v>Table_M_leach_inorganic_j</v>
      </c>
    </row>
    <row r="14" spans="1:20" ht="20.100000000000001" customHeight="1" x14ac:dyDescent="0.25">
      <c r="A14" s="17" t="str">
        <f>HYPERLINK("#'5.1.1.1-2 Inorganic fert N2O'!A1", "5.1.1.1-2 Inorganic fert N2O")</f>
        <v>5.1.1.1-2 Inorganic fert N2O</v>
      </c>
      <c r="D14" s="143" t="str">
        <v>FracWETj</v>
      </c>
      <c r="E14" s="150" t="str">
        <v>fraction of N available for leaching and runoff</v>
      </c>
      <c r="F14" s="149"/>
      <c r="G14" s="143" t="str">
        <v>fraction</v>
      </c>
      <c r="H14" s="117" t="str">
        <v>Constant</v>
      </c>
      <c r="I14" s="143">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5">
      <c r="A15" s="17" t="str">
        <f>HYPERLINK("#'5.1.1.3-4 Inorganic fert CO2'!A1", "5.1.1.3-4 Inorganic fert CO2")</f>
        <v>5.1.1.3-4 Inorganic fert CO2</v>
      </c>
      <c r="D15" s="143" t="str">
        <v>FracLEACH</v>
      </c>
      <c r="E15" s="150" t="str">
        <v>fraction of N that is lost through leaching and runoff</v>
      </c>
      <c r="F15" s="149"/>
      <c r="G15" s="143" t="str">
        <v>fraction</v>
      </c>
      <c r="H15" s="117" t="str">
        <v>Constant</v>
      </c>
      <c r="I15" s="143">
        <f>Fertiliser_FracLEACH_Data</f>
        <v>0.24</v>
      </c>
    </row>
    <row r="16" spans="1:20" ht="20.100000000000001" customHeight="1" x14ac:dyDescent="0.25">
      <c r="A16" s="17" t="str">
        <f>HYPERLINK("#'5.2.1.1-2 Organic Fert N2O'!A1", "5.2.1.1-2 Organic Fert N2O")</f>
        <v>5.2.1.1-2 Organic Fert N2O</v>
      </c>
      <c r="D16" s="143" t="str">
        <v>z</v>
      </c>
      <c r="E16" s="150" t="str">
        <v>location in leaching zone</v>
      </c>
      <c r="F16" s="149"/>
      <c r="G16" s="143" t="str">
        <v/>
      </c>
      <c r="H16" s="118" t="str">
        <v>Input</v>
      </c>
      <c r="I16" s="143" t="str">
        <f>X_Cell_Site_LeachingZone</f>
        <v>NO - Not in leaching zone</v>
      </c>
    </row>
    <row r="17" spans="1:9" ht="20.100000000000001" customHeight="1" x14ac:dyDescent="0.25">
      <c r="A17" s="17" t="str">
        <f>HYPERLINK("#'5.3.1.1-2 Lime CO2'!A1", "5.3.1.1-2 Lime CO2")</f>
        <v>5.3.1.1-2 Lime CO2</v>
      </c>
      <c r="D17" s="143" t="str">
        <v>j</v>
      </c>
      <c r="E17" s="150" t="str">
        <v>production system</v>
      </c>
      <c r="F17" s="149"/>
      <c r="G17" s="143" t="str">
        <v/>
      </c>
      <c r="H17" s="118" t="str">
        <v>Input</v>
      </c>
      <c r="I17" s="143" t="str">
        <f>X_Cell_Fertiliser_ProductionSystem</f>
        <v>Crop</v>
      </c>
    </row>
    <row r="18" spans="1:9" ht="20.100000000000001" customHeight="1" x14ac:dyDescent="0.25">
      <c r="A18" s="17" t="str">
        <f>HYPERLINK("#'5.4.1.1-4 Atmos deposition'!A1", "5.4.1.1-4 Atmos deposition")</f>
        <v>5.4.1.1-4 Atmos deposition</v>
      </c>
      <c r="D18" s="143" t="str">
        <v>ir</v>
      </c>
      <c r="E18" s="150" t="str">
        <v>irrigation method</v>
      </c>
      <c r="F18" s="149"/>
      <c r="G18" s="143" t="str">
        <v/>
      </c>
      <c r="H18" s="118" t="str">
        <v>Input</v>
      </c>
      <c r="I18" s="143" t="str">
        <f>X_Cell_Fertiliser_IrrigationMethod</f>
        <v>Sprinkler irrigation</v>
      </c>
    </row>
    <row r="19" spans="1:9" ht="20.100000000000001" customHeight="1" x14ac:dyDescent="0.25">
      <c r="A19" s="171" t="str">
        <f>HYPERLINK("#'5.5.1.1-2 Leaching and runoff'!A1", "5.5.1.1-2 Leaching and runoff")</f>
        <v>5.5.1.1-2 Leaching and runoff</v>
      </c>
    </row>
    <row r="20" spans="1:9" ht="20.100000000000001" customHeight="1" x14ac:dyDescent="0.25">
      <c r="D20" s="90" t="s">
        <v>279</v>
      </c>
    </row>
    <row r="21" spans="1:9" ht="20.100000000000001" customHeight="1" x14ac:dyDescent="0.25">
      <c r="D21" s="89" t="s">
        <v>282</v>
      </c>
    </row>
    <row r="22" spans="1:9" ht="20.100000000000001" customHeight="1" x14ac:dyDescent="0.25">
      <c r="A22" s="175" t="s">
        <v>1</v>
      </c>
      <c r="D22" s="48" t="s">
        <v>111</v>
      </c>
      <c r="E22" s="48" t="s">
        <v>260</v>
      </c>
      <c r="F22" s="48" t="s">
        <v>278</v>
      </c>
    </row>
    <row r="23" spans="1:9" ht="20.100000000000001"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100000000000001"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100000000000001" customHeight="1" x14ac:dyDescent="0.25">
      <c r="D25" s="49" t="str">
        <v>Urea</v>
      </c>
      <c r="E25" s="49">
        <f>INDEX(Table_MN_j_f,4,4)</f>
        <v>11599.999400000001</v>
      </c>
      <c r="F25" s="49" cm="1">
        <f t="array" ref="F25">Fertiliser_Equations_LeachingAndRunoff.VEERG_5_5_1_1__2_MassOfNitrogenLeachedFromInorganicFertiliser(E25, $I$14, $I$15)</f>
        <v>2783.9998559999999</v>
      </c>
    </row>
    <row r="26" spans="1:9" ht="20.100000000000001"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100000000000001"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100000000000001"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100000000000001"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100000000000001" customHeight="1" x14ac:dyDescent="0.25">
      <c r="D30" s="49" t="str">
        <v>Nitrogen - Ammoniacal</v>
      </c>
      <c r="E30" s="49">
        <f>INDEX(Table_MN_j_f,9,4)</f>
        <v>1240</v>
      </c>
      <c r="F30" s="49" cm="1">
        <f t="array" ref="F30">Fertiliser_Equations_LeachingAndRunoff.VEERG_5_5_1_1__2_MassOfNitrogenLeachedFromInorganicFertiliser(E30, $I$14, $I$15)</f>
        <v>297.59999999999997</v>
      </c>
    </row>
    <row r="31" spans="1:9" ht="20.100000000000001" customHeight="1" x14ac:dyDescent="0.25">
      <c r="D31" s="49" t="str">
        <v>Nitrogen - Nitrate</v>
      </c>
      <c r="E31" s="49">
        <f>INDEX(Table_MN_j_f,10,4)</f>
        <v>550</v>
      </c>
      <c r="F31" s="49" cm="1">
        <f t="array" ref="F31">Fertiliser_Equations_LeachingAndRunoff.VEERG_5_5_1_1__2_MassOfNitrogenLeachedFromInorganicFertiliser(E31, $I$14, $I$15)</f>
        <v>132</v>
      </c>
    </row>
    <row r="32" spans="1:9" ht="20.100000000000001" customHeight="1" x14ac:dyDescent="0.25">
      <c r="D32" s="49" t="str">
        <v>Nitrogen - Generic</v>
      </c>
      <c r="E32" s="49">
        <f>INDEX(Table_MN_j_f,11,4)</f>
        <v>0</v>
      </c>
      <c r="F32" s="49" cm="1">
        <f t="array" ref="F32">Fertiliser_Equations_LeachingAndRunoff.VEERG_5_5_1_1__2_MassOfNitrogenLeachedFromInorganicFertiliser(E32, $I$14, $I$15)</f>
        <v>0</v>
      </c>
    </row>
    <row r="33" spans="3:11" ht="20.100000000000001"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100000000000001"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100000000000001"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100000000000001"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100000000000001"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100000000000001"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100000000000001"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100000000000001" customHeight="1" x14ac:dyDescent="0.25">
      <c r="D40" s="49" t="str">
        <v>Ammonia</v>
      </c>
      <c r="E40" s="49">
        <f>INDEX(Table_MN_j_f,19,4)</f>
        <v>4117.5</v>
      </c>
      <c r="F40" s="49" cm="1">
        <f t="array" ref="F40">Fertiliser_Equations_LeachingAndRunoff.VEERG_5_5_1_1__2_MassOfNitrogenLeachedFromInorganicFertiliser(E40, $I$14, $I$15)</f>
        <v>988.19999999999993</v>
      </c>
    </row>
    <row r="41" spans="3:11" ht="20.100000000000001" customHeight="1" x14ac:dyDescent="0.25">
      <c r="D41" s="49" t="str">
        <v>Calcium nitrate</v>
      </c>
      <c r="E41" s="49">
        <f>INDEX(Table_MN_j_f,20,4)</f>
        <v>775</v>
      </c>
      <c r="F41" s="49" cm="1">
        <f t="array" ref="F41">Fertiliser_Equations_LeachingAndRunoff.VEERG_5_5_1_1__2_MassOfNitrogenLeachedFromInorganicFertiliser(E41, $I$14, $I$15)</f>
        <v>186</v>
      </c>
    </row>
    <row r="42" spans="3:11" ht="20.100000000000001" customHeight="1" x14ac:dyDescent="0.25"/>
    <row r="43" spans="3:11" ht="20.100000000000001" customHeight="1" x14ac:dyDescent="0.25">
      <c r="D43" s="145" t="s">
        <v>280</v>
      </c>
      <c r="E43" s="43">
        <f>SUM(F23:F41)</f>
        <v>4387.7998559999996</v>
      </c>
      <c r="F43" s="96" t="str">
        <f>$E$11</f>
        <v>kg N</v>
      </c>
    </row>
    <row r="44" spans="3:11" ht="20.100000000000001" customHeight="1" x14ac:dyDescent="0.25"/>
    <row r="45" spans="3:11" ht="20.100000000000001" customHeight="1" x14ac:dyDescent="0.25">
      <c r="C45" s="161"/>
      <c r="D45" s="161"/>
      <c r="E45" s="161"/>
      <c r="F45" s="161"/>
      <c r="G45" s="161"/>
      <c r="H45" s="161"/>
      <c r="I45" s="161"/>
      <c r="J45" s="161"/>
      <c r="K45" s="161"/>
    </row>
    <row r="46" spans="3:11" ht="20.100000000000001" customHeight="1" x14ac:dyDescent="0.25"/>
    <row r="47" spans="3: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0" t="s">
        <v>24</v>
      </c>
      <c r="E52" s="1" t="str" cm="1">
        <f t="array" ref="E52">Fertiliser_Equations_LeachingAndRunoff.VEERG_5_5_1_1__3_MassOfNitrogenLeachedFromOrganicFertiliser_Variable()</f>
        <v>M_leachorganicj</v>
      </c>
    </row>
    <row r="53" spans="4:9" ht="20.100000000000001" customHeight="1" x14ac:dyDescent="0.25">
      <c r="D53" s="50" t="s">
        <v>15</v>
      </c>
      <c r="E53" s="51"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3" t="str" cm="1">
        <f t="array" ref="D55:E60">_xlfn.CHOOSECOLS(Fertiliser_Equations_LeachingAndRunoff.VEERG_5_5_1_1__3_MassOfNitrogenLeachedFromOrganicFertiliser_Arguments(), 1, 2)</f>
        <v>MNSoil_jf</v>
      </c>
      <c r="E55" s="150" t="str">
        <v>mass of nitrogen in organic fertiliser</v>
      </c>
      <c r="F55" s="149"/>
      <c r="G55" s="143" t="str" cm="1">
        <f t="array" ref="G55:H60">_xlfn.CHOOSECOLS(Fertiliser_Equations_LeachingAndRunoff.VEERG_5_5_1_1__3_MassOfNitrogenLeachedFromOrganicFertiliser_Arguments(), 3,4)</f>
        <v>kg N</v>
      </c>
      <c r="H55" s="117" t="str">
        <v>Calculated from 5.2.1.1 (2)</v>
      </c>
      <c r="I55" s="141" t="str" cm="1">
        <f t="array" aca="1" ref="I55" ca="1">HYPERLINK(Common_InputFunctions.Utility_SourceHyperlink(D62), D62)</f>
        <v>Table_M_leach_organic_j</v>
      </c>
    </row>
    <row r="56" spans="4:9" ht="20.100000000000001" customHeight="1" x14ac:dyDescent="0.25">
      <c r="D56" s="143" t="str">
        <v>FracWETj</v>
      </c>
      <c r="E56" s="150" t="str">
        <v>fraction of N available for leaching and runoff</v>
      </c>
      <c r="F56" s="149"/>
      <c r="G56" s="143" t="str">
        <v>fraction</v>
      </c>
      <c r="H56" s="117" t="str">
        <v>Constant</v>
      </c>
      <c r="I56" s="143">
        <f>Common_InputFunctions.CommonCropping_GetFracWET(I58,I60,Table_SourceData_FracWET[Is in leaching zone],Table_SourceData_FracWET[FracWET],Table_SourceData_FracWETIrrigation[Irrigation type i],Table_SourceData_FracWETIrrigation[FracWET])</f>
        <v>1</v>
      </c>
    </row>
    <row r="57" spans="4:9" ht="20.100000000000001" customHeight="1" x14ac:dyDescent="0.25">
      <c r="D57" s="143" t="str">
        <v>FracLEACH</v>
      </c>
      <c r="E57" s="150" t="str">
        <v>fraction of N that is lost through leaching and runoff</v>
      </c>
      <c r="F57" s="149"/>
      <c r="G57" s="143" t="str">
        <v>fraction</v>
      </c>
      <c r="H57" s="117" t="str">
        <v>Constant</v>
      </c>
      <c r="I57" s="143">
        <f>Fertiliser_FracLEACH_Data</f>
        <v>0.24</v>
      </c>
    </row>
    <row r="58" spans="4:9" ht="20.100000000000001" customHeight="1" x14ac:dyDescent="0.25">
      <c r="D58" s="143" t="str">
        <v>z</v>
      </c>
      <c r="E58" s="150" t="str">
        <v>location in leaching zone</v>
      </c>
      <c r="F58" s="149"/>
      <c r="G58" s="143" t="str">
        <v/>
      </c>
      <c r="H58" s="118" t="str">
        <v>Input</v>
      </c>
      <c r="I58" s="143" t="str">
        <f>X_Cell_Site_LeachingZone</f>
        <v>NO - Not in leaching zone</v>
      </c>
    </row>
    <row r="59" spans="4:9" ht="20.100000000000001" customHeight="1" x14ac:dyDescent="0.25">
      <c r="D59" s="143" t="str">
        <v>j</v>
      </c>
      <c r="E59" s="150" t="str">
        <v>production system</v>
      </c>
      <c r="F59" s="149"/>
      <c r="G59" s="143" t="str">
        <v/>
      </c>
      <c r="H59" s="118" t="str">
        <v>Input</v>
      </c>
      <c r="I59" s="143" t="str">
        <f>X_Cell_Fertiliser_ProductionSystem</f>
        <v>Crop</v>
      </c>
    </row>
    <row r="60" spans="4:9" ht="20.100000000000001" customHeight="1" x14ac:dyDescent="0.25">
      <c r="D60" s="143" t="str">
        <v>ir</v>
      </c>
      <c r="E60" s="150" t="str">
        <v>irrigation method</v>
      </c>
      <c r="F60" s="149"/>
      <c r="G60" s="143" t="str">
        <v/>
      </c>
      <c r="H60" s="118" t="str">
        <v>Input</v>
      </c>
      <c r="I60" s="143" t="str">
        <f>X_Cell_Fertiliser_IrrigationMethod</f>
        <v>Sprinkler irrigation</v>
      </c>
    </row>
    <row r="61" spans="4:9" ht="20.100000000000001" customHeight="1" x14ac:dyDescent="0.25"/>
    <row r="62" spans="4:9" ht="20.100000000000001" customHeight="1" x14ac:dyDescent="0.25">
      <c r="D62" s="90" t="s">
        <v>281</v>
      </c>
    </row>
    <row r="63" spans="4:9" ht="20.100000000000001" customHeight="1" x14ac:dyDescent="0.25">
      <c r="D63" s="89" t="s">
        <v>283</v>
      </c>
    </row>
    <row r="64" spans="4:9" ht="20.100000000000001" customHeight="1" x14ac:dyDescent="0.25">
      <c r="D64" s="110" t="s">
        <v>237</v>
      </c>
      <c r="E64" s="162" t="s">
        <v>240</v>
      </c>
      <c r="F64" s="48" t="s">
        <v>284</v>
      </c>
    </row>
    <row r="65" spans="3:11" ht="20.100000000000001" customHeight="1" x14ac:dyDescent="0.25">
      <c r="D65" s="49" t="str">
        <f>INDEX(Table_MNSoil_j_f,2,1)</f>
        <v>Manure - Other</v>
      </c>
      <c r="E65" s="49">
        <f>INDEX(Table_MNSoil_j_f,2,6)</f>
        <v>300</v>
      </c>
      <c r="F65" s="49" cm="1">
        <f t="array" ref="F65">Fertiliser_Equations_LeachingAndRunoff.VEERG_5_5_1_1__3_MassOfNitrogenLeachedFromOrganicFertiliser(E65,$I$56, $I$57)</f>
        <v>72</v>
      </c>
    </row>
    <row r="66" spans="3:11" ht="20.100000000000001" customHeight="1" x14ac:dyDescent="0.25">
      <c r="D66" s="49" t="str">
        <f>INDEX(Table_MNSoil_j_f,3,1)</f>
        <v>Manure - Poultry</v>
      </c>
      <c r="E66" s="49">
        <f>INDEX(Table_MNSoil_j_f,3,6)</f>
        <v>250</v>
      </c>
      <c r="F66" s="49" cm="1">
        <f t="array" ref="F66">Fertiliser_Equations_LeachingAndRunoff.VEERG_5_5_1_1__3_MassOfNitrogenLeachedFromOrganicFertiliser(E66,$I$56, $I$57)</f>
        <v>60</v>
      </c>
    </row>
    <row r="67" spans="3:11" ht="20.100000000000001" customHeight="1" x14ac:dyDescent="0.25">
      <c r="D67" s="49" t="str">
        <f>INDEX(Table_MNSoil_j_f,4,1)</f>
        <v>Other organic fertiliser</v>
      </c>
      <c r="E67" s="49">
        <f>INDEX(Table_MNSoil_j_f,4,6)</f>
        <v>160</v>
      </c>
      <c r="F67" s="49" cm="1">
        <f t="array" ref="F67">Fertiliser_Equations_LeachingAndRunoff.VEERG_5_5_1_1__3_MassOfNitrogenLeachedFromOrganicFertiliser(E67,$I$56, $I$57)</f>
        <v>38.4</v>
      </c>
    </row>
    <row r="68" spans="3:11" ht="20.100000000000001"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100000000000001"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100000000000001"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100000000000001"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100000000000001"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100000000000001"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100000000000001"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100000000000001"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5" t="s">
        <v>285</v>
      </c>
      <c r="E77" s="43">
        <f>SUM(F65:F75)</f>
        <v>170.4</v>
      </c>
      <c r="F77" s="96" t="str">
        <f>$E$53</f>
        <v>kg N</v>
      </c>
    </row>
    <row r="78" spans="3:11" ht="20.100000000000001" customHeight="1" x14ac:dyDescent="0.25"/>
    <row r="79" spans="3:11" ht="20.100000000000001" customHeight="1" x14ac:dyDescent="0.25">
      <c r="C79" s="161"/>
      <c r="D79" s="161"/>
      <c r="E79" s="161"/>
      <c r="F79" s="161"/>
      <c r="G79" s="161"/>
      <c r="H79" s="161"/>
      <c r="I79" s="161"/>
      <c r="J79" s="161"/>
      <c r="K79" s="161"/>
    </row>
    <row r="80" spans="3: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0" t="s">
        <v>24</v>
      </c>
      <c r="E86" s="1" t="str" cm="1">
        <f t="array" ref="E86">Fertiliser_Equations_LeachingAndRunoff.VEERG_5_5_1_1__1_FertiliserLeachingAndRunoffN2OEmissions_Variable()</f>
        <v>E_fertleach</v>
      </c>
    </row>
    <row r="87" spans="4:10" ht="20.100000000000001" customHeight="1" x14ac:dyDescent="0.25">
      <c r="D87" s="50" t="s">
        <v>15</v>
      </c>
      <c r="E87" s="51"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3" t="str" cm="1">
        <f t="array" ref="D89:E92">_xlfn.CHOOSECOLS(Fertiliser_Equations_LeachingAndRunoff.VEERG_5_5_1_1__1_FertiliserLeachingAndRunoffN2OEmissions_Arguments(), 1, 2)</f>
        <v>M_leachinorganicj</v>
      </c>
      <c r="E89" s="150" t="str">
        <v>mass of nitrogen lost through leaching and runoff from inorganic fertiliser application in production system j</v>
      </c>
      <c r="F89" s="151"/>
      <c r="G89" s="149"/>
      <c r="H89" s="143" t="str" cm="1">
        <f t="array" ref="H89:I92">_xlfn.CHOOSECOLS(Fertiliser_Equations_LeachingAndRunoff.VEERG_5_5_1_1__1_FertiliserLeachingAndRunoffN2OEmissions_Arguments(), 3,4)</f>
        <v>kg N</v>
      </c>
      <c r="I89" s="117" t="str">
        <v>Calculated from 5.5.1.1 (2)</v>
      </c>
      <c r="J89" s="143">
        <f>$E$43</f>
        <v>4387.7998559999996</v>
      </c>
    </row>
    <row r="90" spans="4:10" ht="20.100000000000001" customHeight="1" x14ac:dyDescent="0.25">
      <c r="D90" s="143" t="str">
        <v>M_leachorganicj</v>
      </c>
      <c r="E90" s="150" t="str">
        <v>mass of nitrogen lost through leaching and runoff from organic fertiliser application</v>
      </c>
      <c r="F90" s="151"/>
      <c r="G90" s="149"/>
      <c r="H90" s="143" t="str">
        <v>kg N</v>
      </c>
      <c r="I90" s="117" t="str">
        <v>Calculated from 5.5.1.1 (3)</v>
      </c>
      <c r="J90" s="143">
        <f>$E$77</f>
        <v>170.4</v>
      </c>
    </row>
    <row r="91" spans="4:10" ht="20.100000000000001" customHeight="1" x14ac:dyDescent="0.25">
      <c r="D91" s="143" t="str">
        <v>EF_leach</v>
      </c>
      <c r="E91" s="150" t="str">
        <v>emission factor for nitrogen leaching and runoff</v>
      </c>
      <c r="F91" s="151"/>
      <c r="G91" s="149"/>
      <c r="H91" s="143" t="str">
        <v>kg N2O-N/kg N</v>
      </c>
      <c r="I91" s="117" t="str">
        <v>Constant</v>
      </c>
      <c r="J91" s="143">
        <f>Fertiliser_EFLeach_Data</f>
        <v>1.0999999999999999E-2</v>
      </c>
    </row>
    <row r="92" spans="4:10" ht="20.100000000000001" customHeight="1" x14ac:dyDescent="0.25">
      <c r="D92" s="143" t="str">
        <v>C_N2O</v>
      </c>
      <c r="E92" s="150" t="str">
        <v>factor to convert elemental mass of nitrous oxide to molecular mass</v>
      </c>
      <c r="F92" s="151"/>
      <c r="G92" s="149"/>
      <c r="H92" s="143" t="str">
        <v/>
      </c>
      <c r="I92" s="117" t="str">
        <v>Constant</v>
      </c>
      <c r="J92" s="5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2" t="s">
        <v>286</v>
      </c>
      <c r="E94" s="93" cm="1">
        <f t="array" ref="E94">Fertiliser_Equations_LeachingAndRunoff.VEERG_5_5_1_1__1_FertiliserLeachingAndRunoffN2OEmissions(J89,J90,J91,J92)</f>
        <v>7.8791740367999977E-2</v>
      </c>
      <c r="F94" s="94" t="str">
        <f>$E$87</f>
        <v>t N2O</v>
      </c>
    </row>
    <row r="95" spans="4:10" ht="20.100000000000001" customHeight="1" x14ac:dyDescent="0.25"/>
    <row r="96" spans="4:10" ht="20.100000000000001" customHeight="1" x14ac:dyDescent="0.25">
      <c r="D96" s="53" t="str" cm="1">
        <f t="array" ref="D96:E97">Common_Equations.Common_ConvertN2OToCO2e_Arguments()</f>
        <v>EN2O</v>
      </c>
      <c r="E96" s="54" t="str">
        <v>Nitrous oxide emissions (t N2O)</v>
      </c>
      <c r="F96" s="95"/>
      <c r="G96" s="49">
        <f>VEERG_5_5_1_1__1_FertiliserLeachingAndRunoffN2OEmissions_Result_Method1</f>
        <v>7.8791740367999977E-2</v>
      </c>
    </row>
    <row r="97" spans="4:7" ht="20.100000000000001"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100000000000001" customHeight="1" x14ac:dyDescent="0.25"/>
    <row r="99" spans="4:7" ht="20.100000000000001" customHeight="1" x14ac:dyDescent="0.25">
      <c r="D99" s="43" t="s">
        <v>78</v>
      </c>
      <c r="E99" s="43" cm="1">
        <f t="array" ref="E99">Common_Equations.Common_ConvertN2OToCO2e(G96,G97)</f>
        <v>20.879811197519995</v>
      </c>
      <c r="F99" s="96"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M223"/>
  <sheetViews>
    <sheetView showGridLines="0" topLeftCell="A126" zoomScaleNormal="100" workbookViewId="0"/>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8" customFormat="1" ht="30" customHeight="1" x14ac:dyDescent="0.35">
      <c r="A1" s="60" t="e" vm="1">
        <v>#VALUE!</v>
      </c>
      <c r="C1" s="8" t="s">
        <v>108</v>
      </c>
      <c r="AF1" s="1"/>
      <c r="AG1" s="1"/>
      <c r="AH1" s="1"/>
      <c r="AI1" s="1"/>
      <c r="AJ1" s="1"/>
    </row>
    <row r="2" spans="1:36" s="9" customFormat="1" ht="20.100000000000001" customHeight="1" x14ac:dyDescent="0.25">
      <c r="A2"/>
      <c r="AF2" s="1"/>
      <c r="AG2" s="1"/>
      <c r="AH2" s="1"/>
      <c r="AI2" s="1"/>
      <c r="AJ2" s="1"/>
    </row>
    <row r="3" spans="1:36"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row>
    <row r="4" spans="1:36" ht="20.100000000000001" customHeight="1" x14ac:dyDescent="0.25">
      <c r="A4" s="17" t="str">
        <f>HYPERLINK("#'Overview'!A1", "Overview")</f>
        <v>Overview</v>
      </c>
    </row>
    <row r="5" spans="1:36" ht="20.100000000000001" customHeight="1" x14ac:dyDescent="0.25">
      <c r="A5" s="17" t="str">
        <f>HYPERLINK("#'Results'!A1", "Results")</f>
        <v>Results</v>
      </c>
      <c r="D5" s="6" t="str" cm="1">
        <f t="array" ref="D5">Fertiliser_SourceData.Fertiliser_ChemicalCompoundElements_Title()</f>
        <v>Common inorganic fertilisers</v>
      </c>
      <c r="E5" s="108"/>
      <c r="F5" s="108"/>
      <c r="G5" s="108"/>
      <c r="H5" s="108"/>
      <c r="I5" s="108"/>
      <c r="J5" s="108"/>
    </row>
    <row r="6" spans="1:36" ht="20.100000000000001"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52" t="str" cm="1">
        <f t="array" ref="D7:D18">Fertiliser_SourceData.Fertiliser_ChemicalCompoundElements_Variation()</f>
        <v>VARIATION ON SOURCE</v>
      </c>
    </row>
    <row r="8" spans="1:36" ht="20.100000000000001" customHeight="1" x14ac:dyDescent="0.25">
      <c r="A8" s="19" t="s">
        <v>0</v>
      </c>
      <c r="D8" s="52" t="str">
        <v>Added 'Basis' column to allow cross-referencing with table Table A.2.2.6: Fraction of inorganic fertiliser f that volatilises as NH3 and NOx ((kg NH3-N + NOx-N)/kg N) (FracGASFf)</v>
      </c>
    </row>
    <row r="9" spans="1:36" ht="20.100000000000001" customHeight="1" x14ac:dyDescent="0.25">
      <c r="A9" s="17" t="str">
        <f>HYPERLINK("#'Input - Site'!A1", "Site")</f>
        <v>Site</v>
      </c>
      <c r="D9" s="52" t="str">
        <v>Added extra fertiliser types and generic chemical compounds to allow for custom NPKS blends</v>
      </c>
    </row>
    <row r="10" spans="1:36" ht="20.100000000000001" customHeight="1" x14ac:dyDescent="0.25">
      <c r="A10" s="17" t="str">
        <f>HYPERLINK("#'Input - Fertiliser'!A1", "Fertiliser")</f>
        <v>Fertiliser</v>
      </c>
      <c r="D10" s="52" t="str">
        <v>Added extra 'Scope 3 definition' column to allow mapping with scope 3 data</v>
      </c>
    </row>
    <row r="11" spans="1:36" ht="20.100000000000001" customHeight="1" x14ac:dyDescent="0.25">
      <c r="D11" s="52" t="str">
        <v>Added 'Source' column</v>
      </c>
    </row>
    <row r="12" spans="1:36" ht="20.100000000000001" customHeight="1" x14ac:dyDescent="0.25">
      <c r="D12" s="52" t="str">
        <v>Combined data from Table A.2.2.3 and Table A.2.2.4 into one table to aid lookup.</v>
      </c>
    </row>
    <row r="13" spans="1:36" ht="20.100000000000001" customHeight="1" x14ac:dyDescent="0.25">
      <c r="A13" s="18" t="s">
        <v>68</v>
      </c>
      <c r="D13" s="52" t="str">
        <v>Excluded 'References' column</v>
      </c>
    </row>
    <row r="14" spans="1:36" ht="20.100000000000001" customHeight="1" x14ac:dyDescent="0.25">
      <c r="A14" s="17" t="str">
        <f>HYPERLINK("#'5.1.1.1-2 Inorganic fert N2O'!A1", "5.1.1.1-2 Inorganic fert N2O")</f>
        <v>5.1.1.1-2 Inorganic fert N2O</v>
      </c>
      <c r="D14" s="52" t="str">
        <v>Excluded 'Ammonium sulfate' as it is a duplicate of 'Sulphate of ammonia (SOA)'</v>
      </c>
    </row>
    <row r="15" spans="1:36" ht="20.100000000000001" customHeight="1" x14ac:dyDescent="0.25">
      <c r="A15" s="17" t="str">
        <f>HYPERLINK("#'5.1.1.3-4 Inorganic fert CO2'!A1", "5.1.1.3-4 Inorganic fert CO2")</f>
        <v>5.1.1.3-4 Inorganic fert CO2</v>
      </c>
      <c r="D15" s="52" t="str">
        <v>Excluded 'Calcium nitrate' as no scope 3 value available.</v>
      </c>
    </row>
    <row r="16" spans="1:36" ht="20.100000000000001"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100000000000001"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7" t="str">
        <f>HYPERLINK("#'5.5.1.1-2 Leaching and runoff'!A1", "5.5.1.1-2 Leaching and runoff")</f>
        <v>5.5.1.1-2 Leaching and runoff</v>
      </c>
      <c r="D19" t="s">
        <v>111</v>
      </c>
      <c r="E19" t="s">
        <v>127</v>
      </c>
      <c r="F19" t="s">
        <v>126</v>
      </c>
      <c r="G19" t="s">
        <v>109</v>
      </c>
      <c r="H19" t="s">
        <v>128</v>
      </c>
      <c r="I19" t="s">
        <v>110</v>
      </c>
      <c r="K19" s="36" t="s">
        <v>111</v>
      </c>
      <c r="L19" s="36" t="s">
        <v>127</v>
      </c>
      <c r="Q19" s="36" t="s">
        <v>111</v>
      </c>
      <c r="R19" s="36" t="s">
        <v>127</v>
      </c>
      <c r="V19" s="36" t="s">
        <v>110</v>
      </c>
    </row>
    <row r="20" spans="1:22" ht="20.100000000000001" customHeight="1" x14ac:dyDescent="0.25">
      <c r="D20" s="109" t="str" cm="1">
        <f t="array" ref="D20">Common_InputFunctions.Utility_DisplayArrayInTable(Fertiliser_SourceData.Fertiliser_ChemicalCompoundElements_Data(),Table_Fertiliser_ChemicalCompounds[[#Headers],[Fertiliser type f]], 0)</f>
        <v>Monoammonium phosphate (MAP)</v>
      </c>
      <c r="E20" s="109" cm="1">
        <f t="array" ref="E20">Common_InputFunctions.Utility_DisplayArrayInTable(Fertiliser_SourceData.Fertiliser_ChemicalCompoundElements_Data(),Table_Fertiliser_ChemicalCompounds[[#Headers],[Fertiliser type f]], 0)</f>
        <v>0.1</v>
      </c>
      <c r="F20" s="109" cm="1">
        <f t="array" ref="F20">Common_InputFunctions.Utility_DisplayArrayInTable(Fertiliser_SourceData.Fertiliser_ChemicalCompoundElements_Data(),Table_Fertiliser_ChemicalCompounds[[#Headers],[Fertiliser type f]], 0)</f>
        <v>0</v>
      </c>
      <c r="G20" s="109" t="str" cm="1">
        <f t="array" ref="G20">Common_InputFunctions.Utility_DisplayArrayInTable(Fertiliser_SourceData.Fertiliser_ChemicalCompoundElements_Data(),Table_Fertiliser_ChemicalCompounds[[#Headers],[Fertiliser type f]], 0)</f>
        <v>Ammonium-based fertilisers</v>
      </c>
      <c r="H20" s="109" t="str" cm="1">
        <f t="array" ref="H20">Common_InputFunctions.Utility_DisplayArrayInTable(Fertiliser_SourceData.Fertiliser_ChemicalCompoundElements_Data(),Table_Fertiliser_ChemicalCompounds[[#Headers],[Fertiliser type f]], 0)</f>
        <v>Monoammonium phosphate (MAP)</v>
      </c>
      <c r="I20" s="109"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09" t="str" cm="1">
        <f t="array" ref="D21">Common_InputFunctions.Utility_DisplayArrayInTable(Fertiliser_SourceData.Fertiliser_ChemicalCompoundElements_Data(),Table_Fertiliser_ChemicalCompounds[[#Headers],[Fertiliser type f]], 0)</f>
        <v>Diammonium phosphate (DAP)</v>
      </c>
      <c r="E21" s="109" cm="1">
        <f t="array" ref="E21">Common_InputFunctions.Utility_DisplayArrayInTable(Fertiliser_SourceData.Fertiliser_ChemicalCompoundElements_Data(),Table_Fertiliser_ChemicalCompounds[[#Headers],[Fertiliser type f]], 0)</f>
        <v>0.18</v>
      </c>
      <c r="F21" s="109" cm="1">
        <f t="array" ref="F21">Common_InputFunctions.Utility_DisplayArrayInTable(Fertiliser_SourceData.Fertiliser_ChemicalCompoundElements_Data(),Table_Fertiliser_ChemicalCompounds[[#Headers],[Fertiliser type f]], 0)</f>
        <v>0</v>
      </c>
      <c r="G21" s="109" t="str" cm="1">
        <f t="array" ref="G21">Common_InputFunctions.Utility_DisplayArrayInTable(Fertiliser_SourceData.Fertiliser_ChemicalCompoundElements_Data(),Table_Fertiliser_ChemicalCompounds[[#Headers],[Fertiliser type f]], 0)</f>
        <v>Ammonium-based fertilisers</v>
      </c>
      <c r="H21" s="109" t="str" cm="1">
        <f t="array" ref="H21">Common_InputFunctions.Utility_DisplayArrayInTable(Fertiliser_SourceData.Fertiliser_ChemicalCompoundElements_Data(),Table_Fertiliser_ChemicalCompounds[[#Headers],[Fertiliser type f]], 0)</f>
        <v>Diammonium phosphate (DAP)</v>
      </c>
      <c r="I21" s="109"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75" t="s">
        <v>1</v>
      </c>
      <c r="D22" s="109" t="str" cm="1">
        <f t="array" ref="D22">Common_InputFunctions.Utility_DisplayArrayInTable(Fertiliser_SourceData.Fertiliser_ChemicalCompoundElements_Data(),Table_Fertiliser_ChemicalCompounds[[#Headers],[Fertiliser type f]], 0)</f>
        <v>Urea</v>
      </c>
      <c r="E22" s="109" cm="1">
        <f t="array" ref="E22">Common_InputFunctions.Utility_DisplayArrayInTable(Fertiliser_SourceData.Fertiliser_ChemicalCompoundElements_Data(),Table_Fertiliser_ChemicalCompounds[[#Headers],[Fertiliser type f]], 0)</f>
        <v>0.46</v>
      </c>
      <c r="F22" s="109" cm="1">
        <f t="array" ref="F22">Common_InputFunctions.Utility_DisplayArrayInTable(Fertiliser_SourceData.Fertiliser_ChemicalCompoundElements_Data(),Table_Fertiliser_ChemicalCompounds[[#Headers],[Fertiliser type f]], 0)</f>
        <v>1</v>
      </c>
      <c r="G22" s="109" t="str" cm="1">
        <f t="array" ref="G22">Common_InputFunctions.Utility_DisplayArrayInTable(Fertiliser_SourceData.Fertiliser_ChemicalCompoundElements_Data(),Table_Fertiliser_ChemicalCompounds[[#Headers],[Fertiliser type f]], 0)</f>
        <v>Urea-based fertilisers</v>
      </c>
      <c r="H22" s="109" t="str" cm="1">
        <f t="array" ref="H22">Common_InputFunctions.Utility_DisplayArrayInTable(Fertiliser_SourceData.Fertiliser_ChemicalCompoundElements_Data(),Table_Fertiliser_ChemicalCompounds[[#Headers],[Fertiliser type f]], 0)</f>
        <v>Urea</v>
      </c>
      <c r="I22" s="109"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2" t="str">
        <f>HYPERLINK("#'Constants - Fertiliser'!A1", "Constants - Fertiliser")</f>
        <v>Constants - Fertiliser</v>
      </c>
      <c r="D23" s="109" t="str" cm="1">
        <f t="array" ref="D23">Common_InputFunctions.Utility_DisplayArrayInTable(Fertiliser_SourceData.Fertiliser_ChemicalCompoundElements_Data(),Table_Fertiliser_ChemicalCompounds[[#Headers],[Fertiliser type f]], 0)</f>
        <v>Sulphate of ammonia (SOA)</v>
      </c>
      <c r="E23" s="109" cm="1">
        <f t="array" ref="E23">Common_InputFunctions.Utility_DisplayArrayInTable(Fertiliser_SourceData.Fertiliser_ChemicalCompoundElements_Data(),Table_Fertiliser_ChemicalCompounds[[#Headers],[Fertiliser type f]], 0)</f>
        <v>0.21</v>
      </c>
      <c r="F23" s="109" cm="1">
        <f t="array" ref="F23">Common_InputFunctions.Utility_DisplayArrayInTable(Fertiliser_SourceData.Fertiliser_ChemicalCompoundElements_Data(),Table_Fertiliser_ChemicalCompounds[[#Headers],[Fertiliser type f]], 0)</f>
        <v>0</v>
      </c>
      <c r="G23" s="109" t="str" cm="1">
        <f t="array" ref="G23">Common_InputFunctions.Utility_DisplayArrayInTable(Fertiliser_SourceData.Fertiliser_ChemicalCompoundElements_Data(),Table_Fertiliser_ChemicalCompounds[[#Headers],[Fertiliser type f]], 0)</f>
        <v>Ammonium-based fertilisers</v>
      </c>
      <c r="H23" s="109" t="str" cm="1">
        <f t="array" ref="H23">Common_InputFunctions.Utility_DisplayArrayInTable(Fertiliser_SourceData.Fertiliser_ChemicalCompoundElements_Data(),Table_Fertiliser_ChemicalCompounds[[#Headers],[Fertiliser type f]], 0)</f>
        <v>Sulphate of ammonia (SOA)</v>
      </c>
      <c r="I23" s="109"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7" t="str">
        <f>HYPERLINK("#'Constants - Common'!A1", "Constants - Common")</f>
        <v>Constants - Common</v>
      </c>
      <c r="D24" s="109" t="str" cm="1">
        <f t="array" ref="D24">Common_InputFunctions.Utility_DisplayArrayInTable(Fertiliser_SourceData.Fertiliser_ChemicalCompoundElements_Data(),Table_Fertiliser_ChemicalCompounds[[#Headers],[Fertiliser type f]], 0)</f>
        <v>Urea-ammonium nitrate (UAN)</v>
      </c>
      <c r="E24" s="109" cm="1">
        <f t="array" ref="E24">Common_InputFunctions.Utility_DisplayArrayInTable(Fertiliser_SourceData.Fertiliser_ChemicalCompoundElements_Data(),Table_Fertiliser_ChemicalCompounds[[#Headers],[Fertiliser type f]], 0)</f>
        <v>0.32</v>
      </c>
      <c r="F24" s="109" cm="1">
        <f t="array" ref="F24">Common_InputFunctions.Utility_DisplayArrayInTable(Fertiliser_SourceData.Fertiliser_ChemicalCompoundElements_Data(),Table_Fertiliser_ChemicalCompounds[[#Headers],[Fertiliser type f]], 0)</f>
        <v>0.35</v>
      </c>
      <c r="G24" s="109" t="str" cm="1">
        <f t="array" ref="G24">Common_InputFunctions.Utility_DisplayArrayInTable(Fertiliser_SourceData.Fertiliser_ChemicalCompoundElements_Data(),Table_Fertiliser_ChemicalCompounds[[#Headers],[Fertiliser type f]], 0)</f>
        <v>Urea-based fertilisers</v>
      </c>
      <c r="H24" s="109" t="str" cm="1">
        <f t="array" ref="H24">Common_InputFunctions.Utility_DisplayArrayInTable(Fertiliser_SourceData.Fertiliser_ChemicalCompoundElements_Data(),Table_Fertiliser_ChemicalCompounds[[#Headers],[Fertiliser type f]], 0)</f>
        <v>Urea-ammonium nitrate (UAN)</v>
      </c>
      <c r="I24" s="109"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100000000000001" customHeight="1" x14ac:dyDescent="0.25">
      <c r="D25" s="109" t="str" cm="1">
        <f t="array" ref="D25">Common_InputFunctions.Utility_DisplayArrayInTable(Fertiliser_SourceData.Fertiliser_ChemicalCompoundElements_Data(),Table_Fertiliser_ChemicalCompounds[[#Headers],[Fertiliser type f]], 0)</f>
        <v>Ammonium nitrate (AN)</v>
      </c>
      <c r="E25" s="109" cm="1">
        <f t="array" ref="E25">Common_InputFunctions.Utility_DisplayArrayInTable(Fertiliser_SourceData.Fertiliser_ChemicalCompoundElements_Data(),Table_Fertiliser_ChemicalCompounds[[#Headers],[Fertiliser type f]], 0)</f>
        <v>0.33700000000000002</v>
      </c>
      <c r="F25" s="109" cm="1">
        <f t="array" ref="F25">Common_InputFunctions.Utility_DisplayArrayInTable(Fertiliser_SourceData.Fertiliser_ChemicalCompoundElements_Data(),Table_Fertiliser_ChemicalCompounds[[#Headers],[Fertiliser type f]], 0)</f>
        <v>0</v>
      </c>
      <c r="G25" s="109" t="str" cm="1">
        <f t="array" ref="G25">Common_InputFunctions.Utility_DisplayArrayInTable(Fertiliser_SourceData.Fertiliser_ChemicalCompoundElements_Data(),Table_Fertiliser_ChemicalCompounds[[#Headers],[Fertiliser type f]], 0)</f>
        <v>Ammonium-nitrate based fertilisers</v>
      </c>
      <c r="H25" s="109" t="str" cm="1">
        <f t="array" ref="H25">Common_InputFunctions.Utility_DisplayArrayInTable(Fertiliser_SourceData.Fertiliser_ChemicalCompoundElements_Data(),Table_Fertiliser_ChemicalCompounds[[#Headers],[Fertiliser type f]], 0)</f>
        <v>Ammonium nitrate (AN)</v>
      </c>
      <c r="I25" s="109"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100000000000001" customHeight="1" x14ac:dyDescent="0.25">
      <c r="D26" s="109" t="str" cm="1">
        <f t="array" ref="D26">Common_InputFunctions.Utility_DisplayArrayInTable(Fertiliser_SourceData.Fertiliser_ChemicalCompoundElements_Data(),Table_Fertiliser_ChemicalCompounds[[#Headers],[Fertiliser type f]], 0)</f>
        <v>Calcium ammonium nitrate (CAN)</v>
      </c>
      <c r="E26" s="109" cm="1">
        <f t="array" ref="E26">Common_InputFunctions.Utility_DisplayArrayInTable(Fertiliser_SourceData.Fertiliser_ChemicalCompoundElements_Data(),Table_Fertiliser_ChemicalCompounds[[#Headers],[Fertiliser type f]], 0)</f>
        <v>0.27</v>
      </c>
      <c r="F26" s="109" cm="1">
        <f t="array" ref="F26">Common_InputFunctions.Utility_DisplayArrayInTable(Fertiliser_SourceData.Fertiliser_ChemicalCompoundElements_Data(),Table_Fertiliser_ChemicalCompounds[[#Headers],[Fertiliser type f]], 0)</f>
        <v>0</v>
      </c>
      <c r="G26" s="109" t="str" cm="1">
        <f t="array" ref="G26">Common_InputFunctions.Utility_DisplayArrayInTable(Fertiliser_SourceData.Fertiliser_ChemicalCompoundElements_Data(),Table_Fertiliser_ChemicalCompounds[[#Headers],[Fertiliser type f]], 0)</f>
        <v>Ammonium-nitrate based fertilisers</v>
      </c>
      <c r="H26" s="109" t="str" cm="1">
        <f t="array" ref="H26">Common_InputFunctions.Utility_DisplayArrayInTable(Fertiliser_SourceData.Fertiliser_ChemicalCompoundElements_Data(),Table_Fertiliser_ChemicalCompounds[[#Headers],[Fertiliser type f]], 0)</f>
        <v>Calcium ammonium nitrate (CAN)</v>
      </c>
      <c r="I26" s="109"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100000000000001" customHeight="1" x14ac:dyDescent="0.25">
      <c r="D27" s="109" t="str" cm="1">
        <f t="array" ref="D27">Common_InputFunctions.Utility_DisplayArrayInTable(Fertiliser_SourceData.Fertiliser_ChemicalCompoundElements_Data(),Table_Fertiliser_ChemicalCompounds[[#Headers],[Fertiliser type f]], 0)</f>
        <v>Nitrogen - Ammoniacal</v>
      </c>
      <c r="E27" s="109" cm="1">
        <f t="array" ref="E27">Common_InputFunctions.Utility_DisplayArrayInTable(Fertiliser_SourceData.Fertiliser_ChemicalCompoundElements_Data(),Table_Fertiliser_ChemicalCompounds[[#Headers],[Fertiliser type f]], 0)</f>
        <v>1</v>
      </c>
      <c r="F27" s="109" cm="1">
        <f t="array" ref="F27">Common_InputFunctions.Utility_DisplayArrayInTable(Fertiliser_SourceData.Fertiliser_ChemicalCompoundElements_Data(),Table_Fertiliser_ChemicalCompounds[[#Headers],[Fertiliser type f]], 0)</f>
        <v>0</v>
      </c>
      <c r="G27" s="109" t="str" cm="1">
        <f t="array" ref="G27">Common_InputFunctions.Utility_DisplayArrayInTable(Fertiliser_SourceData.Fertiliser_ChemicalCompoundElements_Data(),Table_Fertiliser_ChemicalCompounds[[#Headers],[Fertiliser type f]], 0)</f>
        <v>Ammonium-based fertilisers</v>
      </c>
      <c r="H27" s="109" t="str" cm="1">
        <f t="array" ref="H27">Common_InputFunctions.Utility_DisplayArrayInTable(Fertiliser_SourceData.Fertiliser_ChemicalCompoundElements_Data(),Table_Fertiliser_ChemicalCompounds[[#Headers],[Fertiliser type f]], 0)</f>
        <v>Nitrogen - Ammoniacal</v>
      </c>
      <c r="I27" s="109"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100000000000001" customHeight="1" x14ac:dyDescent="0.25">
      <c r="D28" s="109" t="str" cm="1">
        <f t="array" ref="D28">Common_InputFunctions.Utility_DisplayArrayInTable(Fertiliser_SourceData.Fertiliser_ChemicalCompoundElements_Data(),Table_Fertiliser_ChemicalCompounds[[#Headers],[Fertiliser type f]], 0)</f>
        <v>Nitrogen - Nitrate</v>
      </c>
      <c r="E28" s="109" cm="1">
        <f t="array" ref="E28">Common_InputFunctions.Utility_DisplayArrayInTable(Fertiliser_SourceData.Fertiliser_ChemicalCompoundElements_Data(),Table_Fertiliser_ChemicalCompounds[[#Headers],[Fertiliser type f]], 0)</f>
        <v>1</v>
      </c>
      <c r="F28" s="109" cm="1">
        <f t="array" ref="F28">Common_InputFunctions.Utility_DisplayArrayInTable(Fertiliser_SourceData.Fertiliser_ChemicalCompoundElements_Data(),Table_Fertiliser_ChemicalCompounds[[#Headers],[Fertiliser type f]], 0)</f>
        <v>0</v>
      </c>
      <c r="G28" s="109" t="str" cm="1">
        <f t="array" ref="G28">Common_InputFunctions.Utility_DisplayArrayInTable(Fertiliser_SourceData.Fertiliser_ChemicalCompoundElements_Data(),Table_Fertiliser_ChemicalCompounds[[#Headers],[Fertiliser type f]], 0)</f>
        <v>Nitrate-based fertilisers</v>
      </c>
      <c r="H28" s="109" t="str" cm="1">
        <f t="array" ref="H28">Common_InputFunctions.Utility_DisplayArrayInTable(Fertiliser_SourceData.Fertiliser_ChemicalCompoundElements_Data(),Table_Fertiliser_ChemicalCompounds[[#Headers],[Fertiliser type f]], 0)</f>
        <v>Nitrogen from Nitrate</v>
      </c>
      <c r="I28" s="109"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100000000000001" customHeight="1" x14ac:dyDescent="0.25">
      <c r="D29" s="109" t="str" cm="1">
        <f t="array" ref="D29">Common_InputFunctions.Utility_DisplayArrayInTable(Fertiliser_SourceData.Fertiliser_ChemicalCompoundElements_Data(),Table_Fertiliser_ChemicalCompounds[[#Headers],[Fertiliser type f]], 0)</f>
        <v>Nitrogen - Generic</v>
      </c>
      <c r="E29" s="109" cm="1">
        <f t="array" ref="E29">Common_InputFunctions.Utility_DisplayArrayInTable(Fertiliser_SourceData.Fertiliser_ChemicalCompoundElements_Data(),Table_Fertiliser_ChemicalCompounds[[#Headers],[Fertiliser type f]], 0)</f>
        <v>1</v>
      </c>
      <c r="F29" s="109" cm="1">
        <f t="array" ref="F29">Common_InputFunctions.Utility_DisplayArrayInTable(Fertiliser_SourceData.Fertiliser_ChemicalCompoundElements_Data(),Table_Fertiliser_ChemicalCompounds[[#Headers],[Fertiliser type f]], 0)</f>
        <v>0</v>
      </c>
      <c r="G29" s="109" t="str" cm="1">
        <f t="array" ref="G29">Common_InputFunctions.Utility_DisplayArrayInTable(Fertiliser_SourceData.Fertiliser_ChemicalCompoundElements_Data(),Table_Fertiliser_ChemicalCompounds[[#Headers],[Fertiliser type f]], 0)</f>
        <v>Urea-based fertilisers</v>
      </c>
      <c r="H29" s="109" t="str" cm="1">
        <f t="array" ref="H29">Common_InputFunctions.Utility_DisplayArrayInTable(Fertiliser_SourceData.Fertiliser_ChemicalCompoundElements_Data(),Table_Fertiliser_ChemicalCompounds[[#Headers],[Fertiliser type f]], 0)</f>
        <v>Nitrogen from fertiliser</v>
      </c>
      <c r="I29" s="109"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09" t="str" cm="1">
        <f t="array" ref="D30">Common_InputFunctions.Utility_DisplayArrayInTable(Fertiliser_SourceData.Fertiliser_ChemicalCompoundElements_Data(),Table_Fertiliser_ChemicalCompounds[[#Headers],[Fertiliser type f]], 0)</f>
        <v>Phosphorus - Generic</v>
      </c>
      <c r="E30" s="109" cm="1">
        <f t="array" ref="E30">Common_InputFunctions.Utility_DisplayArrayInTable(Fertiliser_SourceData.Fertiliser_ChemicalCompoundElements_Data(),Table_Fertiliser_ChemicalCompounds[[#Headers],[Fertiliser type f]], 0)</f>
        <v>0</v>
      </c>
      <c r="F30" s="109" cm="1">
        <f t="array" ref="F30">Common_InputFunctions.Utility_DisplayArrayInTable(Fertiliser_SourceData.Fertiliser_ChemicalCompoundElements_Data(),Table_Fertiliser_ChemicalCompounds[[#Headers],[Fertiliser type f]], 0)</f>
        <v>0</v>
      </c>
      <c r="G30" s="109" t="str" cm="1">
        <f t="array" ref="G30">Common_InputFunctions.Utility_DisplayArrayInTable(Fertiliser_SourceData.Fertiliser_ChemicalCompoundElements_Data(),Table_Fertiliser_ChemicalCompounds[[#Headers],[Fertiliser type f]], 0)</f>
        <v>Other fertilisers</v>
      </c>
      <c r="H30" s="109" t="str" cm="1">
        <f t="array" ref="H30">Common_InputFunctions.Utility_DisplayArrayInTable(Fertiliser_SourceData.Fertiliser_ChemicalCompoundElements_Data(),Table_Fertiliser_ChemicalCompounds[[#Headers],[Fertiliser type f]], 0)</f>
        <v>Phosphorus from fertiliser</v>
      </c>
      <c r="I30" s="109"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09" t="str" cm="1">
        <f t="array" ref="D31">Common_InputFunctions.Utility_DisplayArrayInTable(Fertiliser_SourceData.Fertiliser_ChemicalCompoundElements_Data(),Table_Fertiliser_ChemicalCompounds[[#Headers],[Fertiliser type f]], 0)</f>
        <v>Potassium - Generic</v>
      </c>
      <c r="E31" s="109" cm="1">
        <f t="array" ref="E31">Common_InputFunctions.Utility_DisplayArrayInTable(Fertiliser_SourceData.Fertiliser_ChemicalCompoundElements_Data(),Table_Fertiliser_ChemicalCompounds[[#Headers],[Fertiliser type f]], 0)</f>
        <v>0</v>
      </c>
      <c r="F31" s="109" cm="1">
        <f t="array" ref="F31">Common_InputFunctions.Utility_DisplayArrayInTable(Fertiliser_SourceData.Fertiliser_ChemicalCompoundElements_Data(),Table_Fertiliser_ChemicalCompounds[[#Headers],[Fertiliser type f]], 0)</f>
        <v>0</v>
      </c>
      <c r="G31" s="109" t="str" cm="1">
        <f t="array" ref="G31">Common_InputFunctions.Utility_DisplayArrayInTable(Fertiliser_SourceData.Fertiliser_ChemicalCompoundElements_Data(),Table_Fertiliser_ChemicalCompounds[[#Headers],[Fertiliser type f]], 0)</f>
        <v>Other fertilisers</v>
      </c>
      <c r="H31" s="109" t="str" cm="1">
        <f t="array" ref="H31">Common_InputFunctions.Utility_DisplayArrayInTable(Fertiliser_SourceData.Fertiliser_ChemicalCompoundElements_Data(),Table_Fertiliser_ChemicalCompounds[[#Headers],[Fertiliser type f]], 0)</f>
        <v>Potassium from fertiliser</v>
      </c>
      <c r="I31" s="109"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09" t="str" cm="1">
        <f t="array" ref="D32">Common_InputFunctions.Utility_DisplayArrayInTable(Fertiliser_SourceData.Fertiliser_ChemicalCompoundElements_Data(),Table_Fertiliser_ChemicalCompounds[[#Headers],[Fertiliser type f]], 0)</f>
        <v>Sulfur - Generic</v>
      </c>
      <c r="E32" s="109" cm="1">
        <f t="array" ref="E32">Common_InputFunctions.Utility_DisplayArrayInTable(Fertiliser_SourceData.Fertiliser_ChemicalCompoundElements_Data(),Table_Fertiliser_ChemicalCompounds[[#Headers],[Fertiliser type f]], 0)</f>
        <v>0</v>
      </c>
      <c r="F32" s="109" cm="1">
        <f t="array" ref="F32">Common_InputFunctions.Utility_DisplayArrayInTable(Fertiliser_SourceData.Fertiliser_ChemicalCompoundElements_Data(),Table_Fertiliser_ChemicalCompounds[[#Headers],[Fertiliser type f]], 0)</f>
        <v>0</v>
      </c>
      <c r="G32" s="109" t="str" cm="1">
        <f t="array" ref="G32">Common_InputFunctions.Utility_DisplayArrayInTable(Fertiliser_SourceData.Fertiliser_ChemicalCompoundElements_Data(),Table_Fertiliser_ChemicalCompounds[[#Headers],[Fertiliser type f]], 0)</f>
        <v>Other fertilisers</v>
      </c>
      <c r="H32" s="109" t="str" cm="1">
        <f t="array" ref="H32">Common_InputFunctions.Utility_DisplayArrayInTable(Fertiliser_SourceData.Fertiliser_ChemicalCompoundElements_Data(),Table_Fertiliser_ChemicalCompounds[[#Headers],[Fertiliser type f]], 0)</f>
        <v>Sulfur from fertiliser</v>
      </c>
      <c r="I32" s="109"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09" t="str" cm="1">
        <f t="array" ref="D33">Common_InputFunctions.Utility_DisplayArrayInTable(Fertiliser_SourceData.Fertiliser_ChemicalCompoundElements_Data(),Table_Fertiliser_ChemicalCompounds[[#Headers],[Fertiliser type f]], 0)</f>
        <v>Zinc - Generic</v>
      </c>
      <c r="E33" s="109" cm="1">
        <f t="array" ref="E33">Common_InputFunctions.Utility_DisplayArrayInTable(Fertiliser_SourceData.Fertiliser_ChemicalCompoundElements_Data(),Table_Fertiliser_ChemicalCompounds[[#Headers],[Fertiliser type f]], 0)</f>
        <v>0</v>
      </c>
      <c r="F33" s="109" cm="1">
        <f t="array" ref="F33">Common_InputFunctions.Utility_DisplayArrayInTable(Fertiliser_SourceData.Fertiliser_ChemicalCompoundElements_Data(),Table_Fertiliser_ChemicalCompounds[[#Headers],[Fertiliser type f]], 0)</f>
        <v>0</v>
      </c>
      <c r="G33" s="109" t="str" cm="1">
        <f t="array" ref="G33">Common_InputFunctions.Utility_DisplayArrayInTable(Fertiliser_SourceData.Fertiliser_ChemicalCompoundElements_Data(),Table_Fertiliser_ChemicalCompounds[[#Headers],[Fertiliser type f]], 0)</f>
        <v>Other fertilisers</v>
      </c>
      <c r="H33" s="109" t="str" cm="1">
        <f t="array" ref="H33">Common_InputFunctions.Utility_DisplayArrayInTable(Fertiliser_SourceData.Fertiliser_ChemicalCompoundElements_Data(),Table_Fertiliser_ChemicalCompounds[[#Headers],[Fertiliser type f]], 0)</f>
        <v>Zinc from fertiliser</v>
      </c>
      <c r="I33" s="109"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09" t="str" cm="1">
        <f t="array" ref="D34">Common_InputFunctions.Utility_DisplayArrayInTable(Fertiliser_SourceData.Fertiliser_ChemicalCompoundElements_Data(),Table_Fertiliser_ChemicalCompounds[[#Headers],[Fertiliser type f]], 0)</f>
        <v>Muriate of potash (MOP)</v>
      </c>
      <c r="E34" s="109" cm="1">
        <f t="array" ref="E34">Common_InputFunctions.Utility_DisplayArrayInTable(Fertiliser_SourceData.Fertiliser_ChemicalCompoundElements_Data(),Table_Fertiliser_ChemicalCompounds[[#Headers],[Fertiliser type f]], 0)</f>
        <v>0</v>
      </c>
      <c r="F34" s="109" cm="1">
        <f t="array" ref="F34">Common_InputFunctions.Utility_DisplayArrayInTable(Fertiliser_SourceData.Fertiliser_ChemicalCompoundElements_Data(),Table_Fertiliser_ChemicalCompounds[[#Headers],[Fertiliser type f]], 0)</f>
        <v>0</v>
      </c>
      <c r="G34" s="109" t="str" cm="1">
        <f t="array" ref="G34">Common_InputFunctions.Utility_DisplayArrayInTable(Fertiliser_SourceData.Fertiliser_ChemicalCompoundElements_Data(),Table_Fertiliser_ChemicalCompounds[[#Headers],[Fertiliser type f]], 0)</f>
        <v>Other fertilisers</v>
      </c>
      <c r="H34" s="109" t="str" cm="1">
        <f t="array" ref="H34">Common_InputFunctions.Utility_DisplayArrayInTable(Fertiliser_SourceData.Fertiliser_ChemicalCompoundElements_Data(),Table_Fertiliser_ChemicalCompounds[[#Headers],[Fertiliser type f]], 0)</f>
        <v>Muriate of potash (MOP)</v>
      </c>
      <c r="I34" s="109"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09" t="str" cm="1">
        <f t="array" ref="D35">Common_InputFunctions.Utility_DisplayArrayInTable(Fertiliser_SourceData.Fertiliser_ChemicalCompoundElements_Data(),Table_Fertiliser_ChemicalCompounds[[#Headers],[Fertiliser type f]], 0)</f>
        <v>Double superphosphate</v>
      </c>
      <c r="E35" s="109" cm="1">
        <f t="array" ref="E35">Common_InputFunctions.Utility_DisplayArrayInTable(Fertiliser_SourceData.Fertiliser_ChemicalCompoundElements_Data(),Table_Fertiliser_ChemicalCompounds[[#Headers],[Fertiliser type f]], 0)</f>
        <v>0</v>
      </c>
      <c r="F35" s="109" cm="1">
        <f t="array" ref="F35">Common_InputFunctions.Utility_DisplayArrayInTable(Fertiliser_SourceData.Fertiliser_ChemicalCompoundElements_Data(),Table_Fertiliser_ChemicalCompounds[[#Headers],[Fertiliser type f]], 0)</f>
        <v>0</v>
      </c>
      <c r="G35" s="109" t="str" cm="1">
        <f t="array" ref="G35">Common_InputFunctions.Utility_DisplayArrayInTable(Fertiliser_SourceData.Fertiliser_ChemicalCompoundElements_Data(),Table_Fertiliser_ChemicalCompounds[[#Headers],[Fertiliser type f]], 0)</f>
        <v>Other fertilisers</v>
      </c>
      <c r="H35" s="109" t="str" cm="1">
        <f t="array" ref="H35">Common_InputFunctions.Utility_DisplayArrayInTable(Fertiliser_SourceData.Fertiliser_ChemicalCompoundElements_Data(),Table_Fertiliser_ChemicalCompounds[[#Headers],[Fertiliser type f]], 0)</f>
        <v>Double superphosphate</v>
      </c>
      <c r="I35" s="109"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09" t="str" cm="1">
        <f t="array" ref="D36">Common_InputFunctions.Utility_DisplayArrayInTable(Fertiliser_SourceData.Fertiliser_ChemicalCompoundElements_Data(),Table_Fertiliser_ChemicalCompounds[[#Headers],[Fertiliser type f]], 0)</f>
        <v>Single superphosphate (SSP)</v>
      </c>
      <c r="E36" s="109" cm="1">
        <f t="array" ref="E36">Common_InputFunctions.Utility_DisplayArrayInTable(Fertiliser_SourceData.Fertiliser_ChemicalCompoundElements_Data(),Table_Fertiliser_ChemicalCompounds[[#Headers],[Fertiliser type f]], 0)</f>
        <v>0</v>
      </c>
      <c r="F36" s="109" cm="1">
        <f t="array" ref="F36">Common_InputFunctions.Utility_DisplayArrayInTable(Fertiliser_SourceData.Fertiliser_ChemicalCompoundElements_Data(),Table_Fertiliser_ChemicalCompounds[[#Headers],[Fertiliser type f]], 0)</f>
        <v>0</v>
      </c>
      <c r="G36" s="109" t="str" cm="1">
        <f t="array" ref="G36">Common_InputFunctions.Utility_DisplayArrayInTable(Fertiliser_SourceData.Fertiliser_ChemicalCompoundElements_Data(),Table_Fertiliser_ChemicalCompounds[[#Headers],[Fertiliser type f]], 0)</f>
        <v>Other fertilisers</v>
      </c>
      <c r="H36" s="109" t="str" cm="1">
        <f t="array" ref="H36">Common_InputFunctions.Utility_DisplayArrayInTable(Fertiliser_SourceData.Fertiliser_ChemicalCompoundElements_Data(),Table_Fertiliser_ChemicalCompounds[[#Headers],[Fertiliser type f]], 0)</f>
        <v>Single superphosphate (SSP)</v>
      </c>
      <c r="I36" s="109"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09" t="str" cm="1">
        <f t="array" ref="D37">Common_InputFunctions.Utility_DisplayArrayInTable(Fertiliser_SourceData.Fertiliser_ChemicalCompoundElements_Data(),Table_Fertiliser_ChemicalCompounds[[#Headers],[Fertiliser type f]], 0)</f>
        <v>Ammonia</v>
      </c>
      <c r="E37" s="109" cm="1">
        <f t="array" ref="E37">Common_InputFunctions.Utility_DisplayArrayInTable(Fertiliser_SourceData.Fertiliser_ChemicalCompoundElements_Data(),Table_Fertiliser_ChemicalCompounds[[#Headers],[Fertiliser type f]], 0)</f>
        <v>0.82350000000000001</v>
      </c>
      <c r="F37" s="109" cm="1">
        <f t="array" ref="F37">Common_InputFunctions.Utility_DisplayArrayInTable(Fertiliser_SourceData.Fertiliser_ChemicalCompoundElements_Data(),Table_Fertiliser_ChemicalCompounds[[#Headers],[Fertiliser type f]], 0)</f>
        <v>0</v>
      </c>
      <c r="G37" s="109" t="str" cm="1">
        <f t="array" ref="G37">Common_InputFunctions.Utility_DisplayArrayInTable(Fertiliser_SourceData.Fertiliser_ChemicalCompoundElements_Data(),Table_Fertiliser_ChemicalCompounds[[#Headers],[Fertiliser type f]], 0)</f>
        <v>Ammonium-based fertilisers</v>
      </c>
      <c r="H37" s="109" t="str" cm="1">
        <f t="array" ref="H37">Common_InputFunctions.Utility_DisplayArrayInTable(Fertiliser_SourceData.Fertiliser_ChemicalCompoundElements_Data(),Table_Fertiliser_ChemicalCompounds[[#Headers],[Fertiliser type f]], 0)</f>
        <v>Ammonia</v>
      </c>
      <c r="I37" s="109"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301</v>
      </c>
      <c r="F40" s="6" t="s">
        <v>162</v>
      </c>
      <c r="H40" s="6" t="s">
        <v>132</v>
      </c>
      <c r="J40" s="6" t="s">
        <v>229</v>
      </c>
    </row>
    <row r="41" spans="4:10" ht="20.100000000000001" customHeight="1" x14ac:dyDescent="0.25">
      <c r="D41" s="36" t="s">
        <v>86</v>
      </c>
      <c r="F41" s="36" t="s">
        <v>86</v>
      </c>
      <c r="H41" s="36" t="s">
        <v>85</v>
      </c>
      <c r="J41" s="36" t="s">
        <v>230</v>
      </c>
    </row>
    <row r="42" spans="4:10" ht="20.100000000000001" customHeight="1" x14ac:dyDescent="0.25">
      <c r="D42" s="36" t="s">
        <v>133</v>
      </c>
      <c r="F42" s="36" t="s">
        <v>133</v>
      </c>
      <c r="H42" s="36" t="s">
        <v>134</v>
      </c>
      <c r="J42" s="36" t="s">
        <v>231</v>
      </c>
    </row>
    <row r="43" spans="4:10" ht="20.100000000000001" customHeight="1" x14ac:dyDescent="0.25">
      <c r="D43" s="1" t="s">
        <v>130</v>
      </c>
      <c r="F43" s="1" t="s">
        <v>140</v>
      </c>
      <c r="H43" s="36" t="s">
        <v>135</v>
      </c>
      <c r="J43" s="1" t="s">
        <v>232</v>
      </c>
    </row>
    <row r="44" spans="4:10" ht="20.100000000000001" customHeight="1" x14ac:dyDescent="0.25">
      <c r="F44" s="1" t="s">
        <v>138</v>
      </c>
      <c r="H44" s="1" t="s">
        <v>131</v>
      </c>
      <c r="J44" s="1" t="s">
        <v>233</v>
      </c>
    </row>
    <row r="45" spans="4:10" ht="20.100000000000001" customHeight="1" x14ac:dyDescent="0.25">
      <c r="F45" s="1" t="s">
        <v>139</v>
      </c>
      <c r="H45" s="1" t="s">
        <v>136</v>
      </c>
      <c r="J45" s="1" t="s">
        <v>234</v>
      </c>
    </row>
    <row r="46" spans="4:10" ht="20.100000000000001" customHeight="1" x14ac:dyDescent="0.25">
      <c r="H46" s="1" t="s">
        <v>137</v>
      </c>
      <c r="J46" s="1" t="s">
        <v>235</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08"/>
    </row>
    <row r="49" spans="4:8" ht="20.100000000000001" customHeight="1" x14ac:dyDescent="0.25">
      <c r="D49" s="5" t="str" cm="1">
        <f t="array" ref="D49">Fertiliser_SourceData.Fertiliser_FracGASF_Source()</f>
        <v>Table A.2.2.6: Fraction of inorganic fertiliser f that volatilises as NH3 and NOx ((kg NH3-N + NOx-N)/kg N) (FracGASFf)</v>
      </c>
      <c r="G49" s="108"/>
    </row>
    <row r="50" spans="4:8" ht="20.100000000000001" customHeight="1" x14ac:dyDescent="0.25">
      <c r="D50" s="36" t="s">
        <v>111</v>
      </c>
      <c r="E50" s="36" t="s">
        <v>129</v>
      </c>
      <c r="G50" s="108"/>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8"/>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8"/>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8"/>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8"/>
      <c r="H54" s="108"/>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8"/>
      <c r="H55" s="108"/>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246</v>
      </c>
      <c r="E65" s="36" t="s">
        <v>254</v>
      </c>
      <c r="F65" s="36" t="s">
        <v>255</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100000000000001" customHeight="1" x14ac:dyDescent="0.25"/>
    <row r="80" spans="4:6" ht="20.100000000000001" customHeight="1" x14ac:dyDescent="0.25"/>
    <row r="81" spans="4:39" ht="20.100000000000001" customHeight="1" x14ac:dyDescent="0.25">
      <c r="D81" s="6" t="str" cm="1">
        <f t="array" ref="D81">Fertiliser_SourceData.Fertiliser_EFLeach_Title()</f>
        <v>Emission factor for nitrogen leaching and runoff</v>
      </c>
    </row>
    <row r="82" spans="4:39" ht="20.100000000000001" customHeight="1" x14ac:dyDescent="0.25">
      <c r="D82" s="5" t="str" cm="1">
        <f t="array" ref="D82">Fertiliser_SourceData.Fertiliser_EFLeach_Source()</f>
        <v>VEERG 2026: 5.5.2.3 Constant Parameters</v>
      </c>
    </row>
    <row r="83" spans="4:39" ht="20.100000000000001"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c r="N86" s="1" t="s">
        <v>311</v>
      </c>
    </row>
    <row r="87" spans="4:39" ht="20.100000000000001" customHeight="1" x14ac:dyDescent="0.25">
      <c r="D87" s="6" t="s">
        <v>112</v>
      </c>
      <c r="E87" s="108"/>
      <c r="F87" s="108"/>
      <c r="G87" s="108"/>
      <c r="H87" s="108"/>
      <c r="I87" s="108"/>
      <c r="J87" s="108"/>
      <c r="K87" s="108"/>
      <c r="L87" s="108"/>
      <c r="N87" s="108" t="s">
        <v>311</v>
      </c>
      <c r="O87" s="108"/>
      <c r="P87" s="108"/>
      <c r="Q87" s="108"/>
      <c r="R87" s="108"/>
      <c r="S87" s="108"/>
      <c r="T87" s="108"/>
      <c r="U87" s="108"/>
    </row>
    <row r="88" spans="4:39" ht="20.100000000000001" customHeight="1" x14ac:dyDescent="0.25">
      <c r="D88" s="108"/>
    </row>
    <row r="89" spans="4:39" ht="20.100000000000001" customHeight="1" x14ac:dyDescent="0.25">
      <c r="D89" s="176" t="s">
        <v>223</v>
      </c>
      <c r="E89" s="36" t="s">
        <v>113</v>
      </c>
      <c r="F89" s="36" t="s">
        <v>15</v>
      </c>
      <c r="G89" s="115" t="s">
        <v>303</v>
      </c>
      <c r="H89" s="115" t="s">
        <v>317</v>
      </c>
      <c r="I89" s="115" t="s">
        <v>224</v>
      </c>
      <c r="J89" s="115" t="s">
        <v>225</v>
      </c>
      <c r="K89" s="115" t="s">
        <v>318</v>
      </c>
      <c r="L89" s="115" t="s">
        <v>319</v>
      </c>
      <c r="M89" s="115" t="s">
        <v>320</v>
      </c>
      <c r="N89" s="115" t="s">
        <v>321</v>
      </c>
      <c r="O89" s="115" t="s">
        <v>114</v>
      </c>
      <c r="P89" s="115" t="s">
        <v>115</v>
      </c>
      <c r="Q89" s="36" t="s">
        <v>116</v>
      </c>
      <c r="R89" s="36" t="s">
        <v>117</v>
      </c>
      <c r="S89" s="36" t="s">
        <v>118</v>
      </c>
      <c r="T89" s="36" t="s">
        <v>119</v>
      </c>
      <c r="U89" s="115" t="s">
        <v>120</v>
      </c>
      <c r="V89" s="115" t="s">
        <v>121</v>
      </c>
      <c r="W89" s="36" t="s">
        <v>122</v>
      </c>
      <c r="X89" s="115" t="s">
        <v>123</v>
      </c>
      <c r="Y89" s="115" t="s">
        <v>124</v>
      </c>
      <c r="Z89" s="115" t="s">
        <v>125</v>
      </c>
      <c r="AA89" s="115" t="s">
        <v>216</v>
      </c>
      <c r="AB89" s="115" t="s">
        <v>217</v>
      </c>
      <c r="AC89" s="36" t="s">
        <v>218</v>
      </c>
      <c r="AD89" s="36" t="s">
        <v>219</v>
      </c>
      <c r="AE89" s="36" t="s">
        <v>220</v>
      </c>
      <c r="AF89" s="36" t="s">
        <v>221</v>
      </c>
      <c r="AG89" s="36" t="s">
        <v>322</v>
      </c>
      <c r="AH89" s="36" t="s">
        <v>222</v>
      </c>
      <c r="AK89" s="1"/>
      <c r="AL89" s="1"/>
      <c r="AM89" s="1"/>
    </row>
    <row r="90" spans="4:39" ht="20.100000000000001" customHeight="1" x14ac:dyDescent="0.25">
      <c r="D90" s="109" t="str" cm="1">
        <f t="array" ref="D90">Common_InputFunctions.Utility_DisplayArrayInTable(Fertiliser_SourceData.Fertiliser_Products_Data1(), FertiliserProducts[[#Headers],[Company]],1)</f>
        <v>Campbells fertilisers Australia</v>
      </c>
      <c r="E90" s="109" t="str" cm="1">
        <f t="array" ref="E90">Common_InputFunctions.Utility_DisplayArrayInTable(Fertiliser_SourceData.Fertiliser_Products_Data1(), FertiliserProducts[[#Headers],[Company]],1)</f>
        <v>Aqua Finish</v>
      </c>
      <c r="F90" s="109" t="str" cm="1">
        <f t="array" ref="F90">Common_InputFunctions.Utility_DisplayArrayInTable(Fertiliser_SourceData.Fertiliser_Products_Data1(), FertiliserProducts[[#Headers],[Company]],1)</f>
        <v>L</v>
      </c>
      <c r="G90" s="109" cm="1">
        <f t="array" ref="G90">Common_InputFunctions.Utility_DisplayArrayInTable(Fertiliser_SourceData.Fertiliser_Products_Data1(), FertiliserProducts[[#Headers],[Company]],1)</f>
        <v>1.26</v>
      </c>
      <c r="H90" s="109" t="str" cm="1">
        <f t="array" ref="H90">Common_InputFunctions.Utility_DisplayArrayInTable(Fertiliser_SourceData.Fertiliser_Products_Data1(), FertiliserProducts[[#Headers],[Company]],1)</f>
        <v/>
      </c>
      <c r="I90" s="109" t="str" cm="1">
        <f t="array" ref="I90">Common_InputFunctions.Utility_DisplayArrayInTable(Fertiliser_SourceData.Fertiliser_Products_Data1(), FertiliserProducts[[#Headers],[Company]],1)</f>
        <v/>
      </c>
      <c r="J90" s="109" t="str" cm="1">
        <f t="array" ref="J90">Common_InputFunctions.Utility_DisplayArrayInTable(Fertiliser_SourceData.Fertiliser_Products_Data1(), FertiliserProducts[[#Headers],[Company]],1)</f>
        <v/>
      </c>
      <c r="K90" s="109" cm="1">
        <f t="array" ref="K90">Common_InputFunctions.Utility_DisplayArrayInTable(Fertiliser_SourceData.Fertiliser_Products_Data1(), FertiliserProducts[[#Headers],[Company]],1)</f>
        <v>2.6</v>
      </c>
      <c r="L90" s="109" cm="1">
        <f t="array" ref="L90">Common_InputFunctions.Utility_DisplayArrayInTable(Fertiliser_SourceData.Fertiliser_Products_Data1(), FertiliserProducts[[#Headers],[Company]],1)</f>
        <v>4</v>
      </c>
      <c r="M90" s="109" cm="1">
        <f t="array" ref="M90">Common_InputFunctions.Utility_DisplayArrayInTable(Fertiliser_SourceData.Fertiliser_Products_Data1(), FertiliserProducts[[#Headers],[Company]],1)</f>
        <v>22.5</v>
      </c>
      <c r="N90" s="109" t="str" cm="1">
        <f t="array" ref="N90">Common_InputFunctions.Utility_DisplayArrayInTable(Fertiliser_SourceData.Fertiliser_Products_Data1(), FertiliserProducts[[#Headers],[Company]],1)</f>
        <v/>
      </c>
      <c r="O90" s="109" t="str" cm="1">
        <f t="array" ref="O90">Common_InputFunctions.Utility_DisplayArrayInTable(Fertiliser_SourceData.Fertiliser_Products_Data1(), FertiliserProducts[[#Headers],[Company]],1)</f>
        <v>Potassium - Generic</v>
      </c>
      <c r="P90" s="109" cm="1">
        <f t="array" ref="P90">Common_InputFunctions.Utility_DisplayArrayInTable(Fertiliser_SourceData.Fertiliser_Products_Data1(), FertiliserProducts[[#Headers],[Company]],1)</f>
        <v>0.22500000000000001</v>
      </c>
      <c r="Q90" s="109" t="str" cm="1">
        <f t="array" ref="Q90">Common_InputFunctions.Utility_DisplayArrayInTable(Fertiliser_SourceData.Fertiliser_Products_Data1(), FertiliserProducts[[#Headers],[Company]],1)</f>
        <v>Phosphorus - Generic</v>
      </c>
      <c r="R90" s="109" cm="1">
        <f t="array" ref="R90">Common_InputFunctions.Utility_DisplayArrayInTable(Fertiliser_SourceData.Fertiliser_Products_Data1(), FertiliserProducts[[#Headers],[Company]],1)</f>
        <v>0.04</v>
      </c>
      <c r="S90" s="109" t="str" cm="1">
        <f t="array" ref="S90">Common_InputFunctions.Utility_DisplayArrayInTable(Fertiliser_SourceData.Fertiliser_Products_Data1(), FertiliserProducts[[#Headers],[Company]],1)</f>
        <v>Nitrogen - Generic</v>
      </c>
      <c r="T90" s="109" cm="1">
        <f t="array" ref="T90">Common_InputFunctions.Utility_DisplayArrayInTable(Fertiliser_SourceData.Fertiliser_Products_Data1(), FertiliserProducts[[#Headers],[Company]],1)</f>
        <v>2.5999999999999999E-2</v>
      </c>
      <c r="U90" s="109" t="str" cm="1">
        <f t="array" ref="U90">Common_InputFunctions.Utility_DisplayArrayInTable(Fertiliser_SourceData.Fertiliser_Products_Data1(), FertiliserProducts[[#Headers],[Company]],1)</f>
        <v/>
      </c>
      <c r="V90" s="109" t="str" cm="1">
        <f t="array" ref="V90">Common_InputFunctions.Utility_DisplayArrayInTable(Fertiliser_SourceData.Fertiliser_Products_Data1(), FertiliserProducts[[#Headers],[Company]],1)</f>
        <v/>
      </c>
      <c r="W90" s="109" t="str" cm="1">
        <f t="array" ref="W90">Common_InputFunctions.Utility_DisplayArrayInTable(Fertiliser_SourceData.Fertiliser_Products_Data1(), FertiliserProducts[[#Headers],[Company]],1)</f>
        <v/>
      </c>
      <c r="X90" s="109" t="str" cm="1">
        <f t="array" ref="X90">Common_InputFunctions.Utility_DisplayArrayInTable(Fertiliser_SourceData.Fertiliser_Products_Data1(), FertiliserProducts[[#Headers],[Company]],1)</f>
        <v/>
      </c>
      <c r="Y90" s="109" t="str" cm="1">
        <f t="array" ref="Y90">Common_InputFunctions.Utility_DisplayArrayInTable(Fertiliser_SourceData.Fertiliser_Products_Data1(), FertiliserProducts[[#Headers],[Company]],1)</f>
        <v/>
      </c>
      <c r="Z90" s="109" t="str" cm="1">
        <f t="array" ref="Z90">Common_InputFunctions.Utility_DisplayArrayInTable(Fertiliser_SourceData.Fertiliser_Products_Data1(), FertiliserProducts[[#Headers],[Company]],1)</f>
        <v/>
      </c>
      <c r="AA90" s="109" t="str" cm="1">
        <f t="array" ref="AA90">Common_InputFunctions.Utility_DisplayArrayInTable(Fertiliser_SourceData.Fertiliser_Products_Data1(), FertiliserProducts[[#Headers],[Company]],1)</f>
        <v/>
      </c>
      <c r="AB90" s="109" t="str" cm="1">
        <f t="array" ref="AB90">Common_InputFunctions.Utility_DisplayArrayInTable(Fertiliser_SourceData.Fertiliser_Products_Data1(), FertiliserProducts[[#Headers],[Company]],1)</f>
        <v/>
      </c>
      <c r="AC90" s="109" t="str" cm="1">
        <f t="array" ref="AC90">Common_InputFunctions.Utility_DisplayArrayInTable(Fertiliser_SourceData.Fertiliser_Products_Data1(), FertiliserProducts[[#Headers],[Company]],1)</f>
        <v/>
      </c>
      <c r="AD90" s="109" t="str" cm="1">
        <f t="array" ref="AD90">Common_InputFunctions.Utility_DisplayArrayInTable(Fertiliser_SourceData.Fertiliser_Products_Data1(), FertiliserProducts[[#Headers],[Company]],1)</f>
        <v/>
      </c>
      <c r="AE90" s="109" t="str" cm="1">
        <f t="array" ref="AE90">Common_InputFunctions.Utility_DisplayArrayInTable(Fertiliser_SourceData.Fertiliser_Products_Data1(), FertiliserProducts[[#Headers],[Company]],1)</f>
        <v/>
      </c>
      <c r="AF90" s="109" t="str" cm="1">
        <f t="array" ref="AF90">Common_InputFunctions.Utility_DisplayArrayInTable(Fertiliser_SourceData.Fertiliser_Products_Data1(), FertiliserProducts[[#Headers],[Company]],1)</f>
        <v/>
      </c>
      <c r="AG90" s="109" t="str" cm="1">
        <f t="array" ref="AG90">Common_InputFunctions.Utility_DisplayArrayInTable(Fertiliser_SourceData.Fertiliser_Products_Data1(), FertiliserProducts[[#Headers],[Company]],1)</f>
        <v/>
      </c>
      <c r="AH90" s="109" t="str" cm="1">
        <f t="array" ref="AH90">Common_InputFunctions.Utility_DisplayArrayInTable(Fertiliser_SourceData.Fertiliser_Products_Data1(), FertiliserProducts[[#Headers],[Company]],1)</f>
        <v/>
      </c>
      <c r="AK90" s="1"/>
      <c r="AL90" s="1"/>
      <c r="AM90" s="1"/>
    </row>
    <row r="91" spans="4:39" ht="20.100000000000001" customHeight="1" x14ac:dyDescent="0.25">
      <c r="D91" s="109" t="str" cm="1">
        <f t="array" ref="D91">Common_InputFunctions.Utility_DisplayArrayInTable(Fertiliser_SourceData.Fertiliser_Products_Data1(), FertiliserProducts[[#Headers],[Company]],1)</f>
        <v>Campbells fertilisers Australia</v>
      </c>
      <c r="E91" s="109" t="str" cm="1">
        <f t="array" ref="E91">Common_InputFunctions.Utility_DisplayArrayInTable(Fertiliser_SourceData.Fertiliser_Products_Data1(), FertiliserProducts[[#Headers],[Company]],1)</f>
        <v>Aqua Grow</v>
      </c>
      <c r="F91" s="109" t="str" cm="1">
        <f t="array" ref="F91">Common_InputFunctions.Utility_DisplayArrayInTable(Fertiliser_SourceData.Fertiliser_Products_Data1(), FertiliserProducts[[#Headers],[Company]],1)</f>
        <v>L</v>
      </c>
      <c r="G91" s="109" cm="1">
        <f t="array" ref="G91">Common_InputFunctions.Utility_DisplayArrayInTable(Fertiliser_SourceData.Fertiliser_Products_Data1(), FertiliserProducts[[#Headers],[Company]],1)</f>
        <v>1.26</v>
      </c>
      <c r="H91" s="109" t="str" cm="1">
        <f t="array" ref="H91">Common_InputFunctions.Utility_DisplayArrayInTable(Fertiliser_SourceData.Fertiliser_Products_Data1(), FertiliserProducts[[#Headers],[Company]],1)</f>
        <v/>
      </c>
      <c r="I91" s="109" t="str" cm="1">
        <f t="array" ref="I91">Common_InputFunctions.Utility_DisplayArrayInTable(Fertiliser_SourceData.Fertiliser_Products_Data1(), FertiliserProducts[[#Headers],[Company]],1)</f>
        <v/>
      </c>
      <c r="J91" s="109" t="str" cm="1">
        <f t="array" ref="J91">Common_InputFunctions.Utility_DisplayArrayInTable(Fertiliser_SourceData.Fertiliser_Products_Data1(), FertiliserProducts[[#Headers],[Company]],1)</f>
        <v/>
      </c>
      <c r="K91" s="109" cm="1">
        <f t="array" ref="K91">Common_InputFunctions.Utility_DisplayArrayInTable(Fertiliser_SourceData.Fertiliser_Products_Data1(), FertiliserProducts[[#Headers],[Company]],1)</f>
        <v>9.6</v>
      </c>
      <c r="L91" s="109" cm="1">
        <f t="array" ref="L91">Common_InputFunctions.Utility_DisplayArrayInTable(Fertiliser_SourceData.Fertiliser_Products_Data1(), FertiliserProducts[[#Headers],[Company]],1)</f>
        <v>5</v>
      </c>
      <c r="M91" s="109" cm="1">
        <f t="array" ref="M91">Common_InputFunctions.Utility_DisplayArrayInTable(Fertiliser_SourceData.Fertiliser_Products_Data1(), FertiliserProducts[[#Headers],[Company]],1)</f>
        <v>10.5</v>
      </c>
      <c r="N91" s="109" t="str" cm="1">
        <f t="array" ref="N91">Common_InputFunctions.Utility_DisplayArrayInTable(Fertiliser_SourceData.Fertiliser_Products_Data1(), FertiliserProducts[[#Headers],[Company]],1)</f>
        <v/>
      </c>
      <c r="O91" s="109" t="str" cm="1">
        <f t="array" ref="O91">Common_InputFunctions.Utility_DisplayArrayInTable(Fertiliser_SourceData.Fertiliser_Products_Data1(), FertiliserProducts[[#Headers],[Company]],1)</f>
        <v>Potassium - Generic</v>
      </c>
      <c r="P91" s="109" cm="1">
        <f t="array" ref="P91">Common_InputFunctions.Utility_DisplayArrayInTable(Fertiliser_SourceData.Fertiliser_Products_Data1(), FertiliserProducts[[#Headers],[Company]],1)</f>
        <v>0.105</v>
      </c>
      <c r="Q91" s="109" t="str" cm="1">
        <f t="array" ref="Q91">Common_InputFunctions.Utility_DisplayArrayInTable(Fertiliser_SourceData.Fertiliser_Products_Data1(), FertiliserProducts[[#Headers],[Company]],1)</f>
        <v>Nitrogen - Generic</v>
      </c>
      <c r="R91" s="109" cm="1">
        <f t="array" ref="R91">Common_InputFunctions.Utility_DisplayArrayInTable(Fertiliser_SourceData.Fertiliser_Products_Data1(), FertiliserProducts[[#Headers],[Company]],1)</f>
        <v>9.6000000000000002E-2</v>
      </c>
      <c r="S91" s="109" t="str" cm="1">
        <f t="array" ref="S91">Common_InputFunctions.Utility_DisplayArrayInTable(Fertiliser_SourceData.Fertiliser_Products_Data1(), FertiliserProducts[[#Headers],[Company]],1)</f>
        <v>Phosphorus - Generic</v>
      </c>
      <c r="T91" s="109" cm="1">
        <f t="array" ref="T91">Common_InputFunctions.Utility_DisplayArrayInTable(Fertiliser_SourceData.Fertiliser_Products_Data1(), FertiliserProducts[[#Headers],[Company]],1)</f>
        <v>0.05</v>
      </c>
      <c r="U91" s="109" t="str" cm="1">
        <f t="array" ref="U91">Common_InputFunctions.Utility_DisplayArrayInTable(Fertiliser_SourceData.Fertiliser_Products_Data1(), FertiliserProducts[[#Headers],[Company]],1)</f>
        <v/>
      </c>
      <c r="V91" s="109" t="str" cm="1">
        <f t="array" ref="V91">Common_InputFunctions.Utility_DisplayArrayInTable(Fertiliser_SourceData.Fertiliser_Products_Data1(), FertiliserProducts[[#Headers],[Company]],1)</f>
        <v/>
      </c>
      <c r="W91" s="109" t="str" cm="1">
        <f t="array" ref="W91">Common_InputFunctions.Utility_DisplayArrayInTable(Fertiliser_SourceData.Fertiliser_Products_Data1(), FertiliserProducts[[#Headers],[Company]],1)</f>
        <v/>
      </c>
      <c r="X91" s="109" t="str" cm="1">
        <f t="array" ref="X91">Common_InputFunctions.Utility_DisplayArrayInTable(Fertiliser_SourceData.Fertiliser_Products_Data1(), FertiliserProducts[[#Headers],[Company]],1)</f>
        <v/>
      </c>
      <c r="Y91" s="109" t="str" cm="1">
        <f t="array" ref="Y91">Common_InputFunctions.Utility_DisplayArrayInTable(Fertiliser_SourceData.Fertiliser_Products_Data1(), FertiliserProducts[[#Headers],[Company]],1)</f>
        <v/>
      </c>
      <c r="Z91" s="109" t="str" cm="1">
        <f t="array" ref="Z91">Common_InputFunctions.Utility_DisplayArrayInTable(Fertiliser_SourceData.Fertiliser_Products_Data1(), FertiliserProducts[[#Headers],[Company]],1)</f>
        <v/>
      </c>
      <c r="AA91" s="109" t="str" cm="1">
        <f t="array" ref="AA91">Common_InputFunctions.Utility_DisplayArrayInTable(Fertiliser_SourceData.Fertiliser_Products_Data1(), FertiliserProducts[[#Headers],[Company]],1)</f>
        <v/>
      </c>
      <c r="AB91" s="109" t="str" cm="1">
        <f t="array" ref="AB91">Common_InputFunctions.Utility_DisplayArrayInTable(Fertiliser_SourceData.Fertiliser_Products_Data1(), FertiliserProducts[[#Headers],[Company]],1)</f>
        <v/>
      </c>
      <c r="AC91" s="109" t="str" cm="1">
        <f t="array" ref="AC91">Common_InputFunctions.Utility_DisplayArrayInTable(Fertiliser_SourceData.Fertiliser_Products_Data1(), FertiliserProducts[[#Headers],[Company]],1)</f>
        <v/>
      </c>
      <c r="AD91" s="109" t="str" cm="1">
        <f t="array" ref="AD91">Common_InputFunctions.Utility_DisplayArrayInTable(Fertiliser_SourceData.Fertiliser_Products_Data1(), FertiliserProducts[[#Headers],[Company]],1)</f>
        <v/>
      </c>
      <c r="AE91" s="109" t="str" cm="1">
        <f t="array" ref="AE91">Common_InputFunctions.Utility_DisplayArrayInTable(Fertiliser_SourceData.Fertiliser_Products_Data1(), FertiliserProducts[[#Headers],[Company]],1)</f>
        <v/>
      </c>
      <c r="AF91" s="109" t="str" cm="1">
        <f t="array" ref="AF91">Common_InputFunctions.Utility_DisplayArrayInTable(Fertiliser_SourceData.Fertiliser_Products_Data1(), FertiliserProducts[[#Headers],[Company]],1)</f>
        <v/>
      </c>
      <c r="AG91" s="109" t="str" cm="1">
        <f t="array" ref="AG91">Common_InputFunctions.Utility_DisplayArrayInTable(Fertiliser_SourceData.Fertiliser_Products_Data1(), FertiliserProducts[[#Headers],[Company]],1)</f>
        <v/>
      </c>
      <c r="AH91" s="109" t="str" cm="1">
        <f t="array" ref="AH91">Common_InputFunctions.Utility_DisplayArrayInTable(Fertiliser_SourceData.Fertiliser_Products_Data1(), FertiliserProducts[[#Headers],[Company]],1)</f>
        <v/>
      </c>
      <c r="AK91" s="1"/>
      <c r="AL91" s="1"/>
      <c r="AM91" s="1"/>
    </row>
    <row r="92" spans="4:39" ht="20.100000000000001" customHeight="1" x14ac:dyDescent="0.25">
      <c r="D92" s="109" t="str" cm="1">
        <f t="array" ref="D92">Common_InputFunctions.Utility_DisplayArrayInTable(Fertiliser_SourceData.Fertiliser_Products_Data1(), FertiliserProducts[[#Headers],[Company]],1)</f>
        <v>Campbells fertilisers Australia</v>
      </c>
      <c r="E92" s="109" t="str" cm="1">
        <f t="array" ref="E92">Common_InputFunctions.Utility_DisplayArrayInTable(Fertiliser_SourceData.Fertiliser_Products_Data1(), FertiliserProducts[[#Headers],[Company]],1)</f>
        <v>Aqua Nitro AN</v>
      </c>
      <c r="F92" s="109" t="str" cm="1">
        <f t="array" ref="F92">Common_InputFunctions.Utility_DisplayArrayInTable(Fertiliser_SourceData.Fertiliser_Products_Data1(), FertiliserProducts[[#Headers],[Company]],1)</f>
        <v>L</v>
      </c>
      <c r="G92" s="109" cm="1">
        <f t="array" ref="G92">Common_InputFunctions.Utility_DisplayArrayInTable(Fertiliser_SourceData.Fertiliser_Products_Data1(), FertiliserProducts[[#Headers],[Company]],1)</f>
        <v>1.24</v>
      </c>
      <c r="H92" s="109" t="str" cm="1">
        <f t="array" ref="H92">Common_InputFunctions.Utility_DisplayArrayInTable(Fertiliser_SourceData.Fertiliser_Products_Data1(), FertiliserProducts[[#Headers],[Company]],1)</f>
        <v/>
      </c>
      <c r="I92" s="109" t="str" cm="1">
        <f t="array" ref="I92">Common_InputFunctions.Utility_DisplayArrayInTable(Fertiliser_SourceData.Fertiliser_Products_Data1(), FertiliserProducts[[#Headers],[Company]],1)</f>
        <v/>
      </c>
      <c r="J92" s="109" t="str" cm="1">
        <f t="array" ref="J92">Common_InputFunctions.Utility_DisplayArrayInTable(Fertiliser_SourceData.Fertiliser_Products_Data1(), FertiliserProducts[[#Headers],[Company]],1)</f>
        <v/>
      </c>
      <c r="K92" s="109" cm="1">
        <f t="array" ref="K92">Common_InputFunctions.Utility_DisplayArrayInTable(Fertiliser_SourceData.Fertiliser_Products_Data1(), FertiliserProducts[[#Headers],[Company]],1)</f>
        <v>22.3</v>
      </c>
      <c r="L92" s="109" t="str" cm="1">
        <f t="array" ref="L92">Common_InputFunctions.Utility_DisplayArrayInTable(Fertiliser_SourceData.Fertiliser_Products_Data1(), FertiliserProducts[[#Headers],[Company]],1)</f>
        <v/>
      </c>
      <c r="M92" s="109" t="str" cm="1">
        <f t="array" ref="M92">Common_InputFunctions.Utility_DisplayArrayInTable(Fertiliser_SourceData.Fertiliser_Products_Data1(), FertiliserProducts[[#Headers],[Company]],1)</f>
        <v/>
      </c>
      <c r="N92" s="109" t="str" cm="1">
        <f t="array" ref="N92">Common_InputFunctions.Utility_DisplayArrayInTable(Fertiliser_SourceData.Fertiliser_Products_Data1(), FertiliserProducts[[#Headers],[Company]],1)</f>
        <v/>
      </c>
      <c r="O92" s="109" t="str" cm="1">
        <f t="array" ref="O92">Common_InputFunctions.Utility_DisplayArrayInTable(Fertiliser_SourceData.Fertiliser_Products_Data1(), FertiliserProducts[[#Headers],[Company]],1)</f>
        <v>Nitrogen - Ammoniacal</v>
      </c>
      <c r="P92" s="109" cm="1">
        <f t="array" ref="P92">Common_InputFunctions.Utility_DisplayArrayInTable(Fertiliser_SourceData.Fertiliser_Products_Data1(), FertiliserProducts[[#Headers],[Company]],1)</f>
        <v>0.223</v>
      </c>
      <c r="Q92" s="109" t="str" cm="1">
        <f t="array" ref="Q92">Common_InputFunctions.Utility_DisplayArrayInTable(Fertiliser_SourceData.Fertiliser_Products_Data1(), FertiliserProducts[[#Headers],[Company]],1)</f>
        <v/>
      </c>
      <c r="R92" s="109" t="str" cm="1">
        <f t="array" ref="R92">Common_InputFunctions.Utility_DisplayArrayInTable(Fertiliser_SourceData.Fertiliser_Products_Data1(), FertiliserProducts[[#Headers],[Company]],1)</f>
        <v/>
      </c>
      <c r="S92" s="109" t="str" cm="1">
        <f t="array" ref="S92">Common_InputFunctions.Utility_DisplayArrayInTable(Fertiliser_SourceData.Fertiliser_Products_Data1(), FertiliserProducts[[#Headers],[Company]],1)</f>
        <v/>
      </c>
      <c r="T92" s="109" t="str" cm="1">
        <f t="array" ref="T92">Common_InputFunctions.Utility_DisplayArrayInTable(Fertiliser_SourceData.Fertiliser_Products_Data1(), FertiliserProducts[[#Headers],[Company]],1)</f>
        <v/>
      </c>
      <c r="U92" s="109" t="str" cm="1">
        <f t="array" ref="U92">Common_InputFunctions.Utility_DisplayArrayInTable(Fertiliser_SourceData.Fertiliser_Products_Data1(), FertiliserProducts[[#Headers],[Company]],1)</f>
        <v/>
      </c>
      <c r="V92" s="109" t="str" cm="1">
        <f t="array" ref="V92">Common_InputFunctions.Utility_DisplayArrayInTable(Fertiliser_SourceData.Fertiliser_Products_Data1(), FertiliserProducts[[#Headers],[Company]],1)</f>
        <v/>
      </c>
      <c r="W92" s="109" t="str" cm="1">
        <f t="array" ref="W92">Common_InputFunctions.Utility_DisplayArrayInTable(Fertiliser_SourceData.Fertiliser_Products_Data1(), FertiliserProducts[[#Headers],[Company]],1)</f>
        <v/>
      </c>
      <c r="X92" s="109" t="str" cm="1">
        <f t="array" ref="X92">Common_InputFunctions.Utility_DisplayArrayInTable(Fertiliser_SourceData.Fertiliser_Products_Data1(), FertiliserProducts[[#Headers],[Company]],1)</f>
        <v/>
      </c>
      <c r="Y92" s="109" t="str" cm="1">
        <f t="array" ref="Y92">Common_InputFunctions.Utility_DisplayArrayInTable(Fertiliser_SourceData.Fertiliser_Products_Data1(), FertiliserProducts[[#Headers],[Company]],1)</f>
        <v/>
      </c>
      <c r="Z92" s="109" t="str" cm="1">
        <f t="array" ref="Z92">Common_InputFunctions.Utility_DisplayArrayInTable(Fertiliser_SourceData.Fertiliser_Products_Data1(), FertiliserProducts[[#Headers],[Company]],1)</f>
        <v/>
      </c>
      <c r="AA92" s="109" t="str" cm="1">
        <f t="array" ref="AA92">Common_InputFunctions.Utility_DisplayArrayInTable(Fertiliser_SourceData.Fertiliser_Products_Data1(), FertiliserProducts[[#Headers],[Company]],1)</f>
        <v/>
      </c>
      <c r="AB92" s="109" t="str" cm="1">
        <f t="array" ref="AB92">Common_InputFunctions.Utility_DisplayArrayInTable(Fertiliser_SourceData.Fertiliser_Products_Data1(), FertiliserProducts[[#Headers],[Company]],1)</f>
        <v/>
      </c>
      <c r="AC92" s="109" t="str" cm="1">
        <f t="array" ref="AC92">Common_InputFunctions.Utility_DisplayArrayInTable(Fertiliser_SourceData.Fertiliser_Products_Data1(), FertiliserProducts[[#Headers],[Company]],1)</f>
        <v/>
      </c>
      <c r="AD92" s="109" t="str" cm="1">
        <f t="array" ref="AD92">Common_InputFunctions.Utility_DisplayArrayInTable(Fertiliser_SourceData.Fertiliser_Products_Data1(), FertiliserProducts[[#Headers],[Company]],1)</f>
        <v/>
      </c>
      <c r="AE92" s="109" t="str" cm="1">
        <f t="array" ref="AE92">Common_InputFunctions.Utility_DisplayArrayInTable(Fertiliser_SourceData.Fertiliser_Products_Data1(), FertiliserProducts[[#Headers],[Company]],1)</f>
        <v/>
      </c>
      <c r="AF92" s="109" t="str" cm="1">
        <f t="array" ref="AF92">Common_InputFunctions.Utility_DisplayArrayInTable(Fertiliser_SourceData.Fertiliser_Products_Data1(), FertiliserProducts[[#Headers],[Company]],1)</f>
        <v/>
      </c>
      <c r="AG92" s="109" t="str" cm="1">
        <f t="array" ref="AG92">Common_InputFunctions.Utility_DisplayArrayInTable(Fertiliser_SourceData.Fertiliser_Products_Data1(), FertiliserProducts[[#Headers],[Company]],1)</f>
        <v/>
      </c>
      <c r="AH92" s="109" t="str" cm="1">
        <f t="array" ref="AH92">Common_InputFunctions.Utility_DisplayArrayInTable(Fertiliser_SourceData.Fertiliser_Products_Data1(), FertiliserProducts[[#Headers],[Company]],1)</f>
        <v/>
      </c>
      <c r="AK92" s="1"/>
      <c r="AL92" s="1"/>
      <c r="AM92" s="1"/>
    </row>
    <row r="93" spans="4:39" ht="20.100000000000001" customHeight="1" x14ac:dyDescent="0.25">
      <c r="D93" s="109" t="str" cm="1">
        <f t="array" ref="D93">Common_InputFunctions.Utility_DisplayArrayInTable(Fertiliser_SourceData.Fertiliser_Products_Data1(), FertiliserProducts[[#Headers],[Company]],1)</f>
        <v>Campbells fertilisers Australia</v>
      </c>
      <c r="E93" s="109" t="str" cm="1">
        <f t="array" ref="E93">Common_InputFunctions.Utility_DisplayArrayInTable(Fertiliser_SourceData.Fertiliser_Products_Data1(), FertiliserProducts[[#Headers],[Company]],1)</f>
        <v>Aqua NitroCal</v>
      </c>
      <c r="F93" s="109" t="str" cm="1">
        <f t="array" ref="F93">Common_InputFunctions.Utility_DisplayArrayInTable(Fertiliser_SourceData.Fertiliser_Products_Data1(), FertiliserProducts[[#Headers],[Company]],1)</f>
        <v>L</v>
      </c>
      <c r="G93" s="109" cm="1">
        <f t="array" ref="G93">Common_InputFunctions.Utility_DisplayArrayInTable(Fertiliser_SourceData.Fertiliser_Products_Data1(), FertiliserProducts[[#Headers],[Company]],1)</f>
        <v>1.5</v>
      </c>
      <c r="H93" s="109" t="str" cm="1">
        <f t="array" ref="H93">Common_InputFunctions.Utility_DisplayArrayInTable(Fertiliser_SourceData.Fertiliser_Products_Data1(), FertiliserProducts[[#Headers],[Company]],1)</f>
        <v/>
      </c>
      <c r="I93" s="109" t="str" cm="1">
        <f t="array" ref="I93">Common_InputFunctions.Utility_DisplayArrayInTable(Fertiliser_SourceData.Fertiliser_Products_Data1(), FertiliserProducts[[#Headers],[Company]],1)</f>
        <v/>
      </c>
      <c r="J93" s="109" t="str" cm="1">
        <f t="array" ref="J93">Common_InputFunctions.Utility_DisplayArrayInTable(Fertiliser_SourceData.Fertiliser_Products_Data1(), FertiliserProducts[[#Headers],[Company]],1)</f>
        <v/>
      </c>
      <c r="K93" s="109" cm="1">
        <f t="array" ref="K93">Common_InputFunctions.Utility_DisplayArrayInTable(Fertiliser_SourceData.Fertiliser_Products_Data1(), FertiliserProducts[[#Headers],[Company]],1)</f>
        <v>13.2</v>
      </c>
      <c r="L93" s="109" t="str" cm="1">
        <f t="array" ref="L93">Common_InputFunctions.Utility_DisplayArrayInTable(Fertiliser_SourceData.Fertiliser_Products_Data1(), FertiliserProducts[[#Headers],[Company]],1)</f>
        <v/>
      </c>
      <c r="M93" s="109" t="str" cm="1">
        <f t="array" ref="M93">Common_InputFunctions.Utility_DisplayArrayInTable(Fertiliser_SourceData.Fertiliser_Products_Data1(), FertiliserProducts[[#Headers],[Company]],1)</f>
        <v/>
      </c>
      <c r="N93" s="109" t="str" cm="1">
        <f t="array" ref="N93">Common_InputFunctions.Utility_DisplayArrayInTable(Fertiliser_SourceData.Fertiliser_Products_Data1(), FertiliserProducts[[#Headers],[Company]],1)</f>
        <v/>
      </c>
      <c r="O93" s="109" t="str" cm="1">
        <f t="array" ref="O93">Common_InputFunctions.Utility_DisplayArrayInTable(Fertiliser_SourceData.Fertiliser_Products_Data1(), FertiliserProducts[[#Headers],[Company]],1)</f>
        <v>Calcium</v>
      </c>
      <c r="P93" s="109" cm="1">
        <f t="array" ref="P93">Common_InputFunctions.Utility_DisplayArrayInTable(Fertiliser_SourceData.Fertiliser_Products_Data1(), FertiliserProducts[[#Headers],[Company]],1)</f>
        <v>0.16200000000000001</v>
      </c>
      <c r="Q93" s="109" t="str" cm="1">
        <f t="array" ref="Q93">Common_InputFunctions.Utility_DisplayArrayInTable(Fertiliser_SourceData.Fertiliser_Products_Data1(), FertiliserProducts[[#Headers],[Company]],1)</f>
        <v>Nitrogen - Nitrate</v>
      </c>
      <c r="R93" s="109" cm="1">
        <f t="array" ref="R93">Common_InputFunctions.Utility_DisplayArrayInTable(Fertiliser_SourceData.Fertiliser_Products_Data1(), FertiliserProducts[[#Headers],[Company]],1)</f>
        <v>0.13200000000000001</v>
      </c>
      <c r="S93" s="109" t="str" cm="1">
        <f t="array" ref="S93">Common_InputFunctions.Utility_DisplayArrayInTable(Fertiliser_SourceData.Fertiliser_Products_Data1(), FertiliserProducts[[#Headers],[Company]],1)</f>
        <v/>
      </c>
      <c r="T93" s="109" t="str" cm="1">
        <f t="array" ref="T93">Common_InputFunctions.Utility_DisplayArrayInTable(Fertiliser_SourceData.Fertiliser_Products_Data1(), FertiliserProducts[[#Headers],[Company]],1)</f>
        <v/>
      </c>
      <c r="U93" s="109" t="str" cm="1">
        <f t="array" ref="U93">Common_InputFunctions.Utility_DisplayArrayInTable(Fertiliser_SourceData.Fertiliser_Products_Data1(), FertiliserProducts[[#Headers],[Company]],1)</f>
        <v/>
      </c>
      <c r="V93" s="109" t="str" cm="1">
        <f t="array" ref="V93">Common_InputFunctions.Utility_DisplayArrayInTable(Fertiliser_SourceData.Fertiliser_Products_Data1(), FertiliserProducts[[#Headers],[Company]],1)</f>
        <v/>
      </c>
      <c r="W93" s="109" t="str" cm="1">
        <f t="array" ref="W93">Common_InputFunctions.Utility_DisplayArrayInTable(Fertiliser_SourceData.Fertiliser_Products_Data1(), FertiliserProducts[[#Headers],[Company]],1)</f>
        <v/>
      </c>
      <c r="X93" s="109" t="str" cm="1">
        <f t="array" ref="X93">Common_InputFunctions.Utility_DisplayArrayInTable(Fertiliser_SourceData.Fertiliser_Products_Data1(), FertiliserProducts[[#Headers],[Company]],1)</f>
        <v/>
      </c>
      <c r="Y93" s="109" t="str" cm="1">
        <f t="array" ref="Y93">Common_InputFunctions.Utility_DisplayArrayInTable(Fertiliser_SourceData.Fertiliser_Products_Data1(), FertiliserProducts[[#Headers],[Company]],1)</f>
        <v/>
      </c>
      <c r="Z93" s="109" t="str" cm="1">
        <f t="array" ref="Z93">Common_InputFunctions.Utility_DisplayArrayInTable(Fertiliser_SourceData.Fertiliser_Products_Data1(), FertiliserProducts[[#Headers],[Company]],1)</f>
        <v/>
      </c>
      <c r="AA93" s="109" t="str" cm="1">
        <f t="array" ref="AA93">Common_InputFunctions.Utility_DisplayArrayInTable(Fertiliser_SourceData.Fertiliser_Products_Data1(), FertiliserProducts[[#Headers],[Company]],1)</f>
        <v/>
      </c>
      <c r="AB93" s="109" t="str" cm="1">
        <f t="array" ref="AB93">Common_InputFunctions.Utility_DisplayArrayInTable(Fertiliser_SourceData.Fertiliser_Products_Data1(), FertiliserProducts[[#Headers],[Company]],1)</f>
        <v/>
      </c>
      <c r="AC93" s="109" t="str" cm="1">
        <f t="array" ref="AC93">Common_InputFunctions.Utility_DisplayArrayInTable(Fertiliser_SourceData.Fertiliser_Products_Data1(), FertiliserProducts[[#Headers],[Company]],1)</f>
        <v/>
      </c>
      <c r="AD93" s="109" t="str" cm="1">
        <f t="array" ref="AD93">Common_InputFunctions.Utility_DisplayArrayInTable(Fertiliser_SourceData.Fertiliser_Products_Data1(), FertiliserProducts[[#Headers],[Company]],1)</f>
        <v/>
      </c>
      <c r="AE93" s="109" t="str" cm="1">
        <f t="array" ref="AE93">Common_InputFunctions.Utility_DisplayArrayInTable(Fertiliser_SourceData.Fertiliser_Products_Data1(), FertiliserProducts[[#Headers],[Company]],1)</f>
        <v/>
      </c>
      <c r="AF93" s="109" t="str" cm="1">
        <f t="array" ref="AF93">Common_InputFunctions.Utility_DisplayArrayInTable(Fertiliser_SourceData.Fertiliser_Products_Data1(), FertiliserProducts[[#Headers],[Company]],1)</f>
        <v/>
      </c>
      <c r="AG93" s="109" t="str" cm="1">
        <f t="array" ref="AG93">Common_InputFunctions.Utility_DisplayArrayInTable(Fertiliser_SourceData.Fertiliser_Products_Data1(), FertiliserProducts[[#Headers],[Company]],1)</f>
        <v/>
      </c>
      <c r="AH93" s="109" t="str" cm="1">
        <f t="array" ref="AH93">Common_InputFunctions.Utility_DisplayArrayInTable(Fertiliser_SourceData.Fertiliser_Products_Data1(), FertiliserProducts[[#Headers],[Company]],1)</f>
        <v/>
      </c>
      <c r="AK93" s="1"/>
      <c r="AL93" s="1"/>
      <c r="AM93" s="1"/>
    </row>
    <row r="94" spans="4:39" ht="20.100000000000001" customHeight="1" x14ac:dyDescent="0.25">
      <c r="D94" s="109" t="str" cm="1">
        <f t="array" ref="D94">Common_InputFunctions.Utility_DisplayArrayInTable(Fertiliser_SourceData.Fertiliser_Products_Data1(), FertiliserProducts[[#Headers],[Company]],1)</f>
        <v>Campbells fertilisers Australia</v>
      </c>
      <c r="E94" s="109" t="str" cm="1">
        <f t="array" ref="E94">Common_InputFunctions.Utility_DisplayArrayInTable(Fertiliser_SourceData.Fertiliser_Products_Data1(), FertiliserProducts[[#Headers],[Company]],1)</f>
        <v>Aqua NitroCal (VI)</v>
      </c>
      <c r="F94" s="109" t="str" cm="1">
        <f t="array" ref="F94">Common_InputFunctions.Utility_DisplayArrayInTable(Fertiliser_SourceData.Fertiliser_Products_Data1(), FertiliserProducts[[#Headers],[Company]],1)</f>
        <v>L</v>
      </c>
      <c r="G94" s="109" cm="1">
        <f t="array" ref="G94">Common_InputFunctions.Utility_DisplayArrayInTable(Fertiliser_SourceData.Fertiliser_Products_Data1(), FertiliserProducts[[#Headers],[Company]],1)</f>
        <v>1.5</v>
      </c>
      <c r="H94" s="109" t="str" cm="1">
        <f t="array" ref="H94">Common_InputFunctions.Utility_DisplayArrayInTable(Fertiliser_SourceData.Fertiliser_Products_Data1(), FertiliserProducts[[#Headers],[Company]],1)</f>
        <v/>
      </c>
      <c r="I94" s="109" t="str" cm="1">
        <f t="array" ref="I94">Common_InputFunctions.Utility_DisplayArrayInTable(Fertiliser_SourceData.Fertiliser_Products_Data1(), FertiliserProducts[[#Headers],[Company]],1)</f>
        <v/>
      </c>
      <c r="J94" s="109" t="str" cm="1">
        <f t="array" ref="J94">Common_InputFunctions.Utility_DisplayArrayInTable(Fertiliser_SourceData.Fertiliser_Products_Data1(), FertiliserProducts[[#Headers],[Company]],1)</f>
        <v/>
      </c>
      <c r="K94" s="109" cm="1">
        <f t="array" ref="K94">Common_InputFunctions.Utility_DisplayArrayInTable(Fertiliser_SourceData.Fertiliser_Products_Data1(), FertiliserProducts[[#Headers],[Company]],1)</f>
        <v>13.2</v>
      </c>
      <c r="L94" s="109" t="str" cm="1">
        <f t="array" ref="L94">Common_InputFunctions.Utility_DisplayArrayInTable(Fertiliser_SourceData.Fertiliser_Products_Data1(), FertiliserProducts[[#Headers],[Company]],1)</f>
        <v/>
      </c>
      <c r="M94" s="109" t="str" cm="1">
        <f t="array" ref="M94">Common_InputFunctions.Utility_DisplayArrayInTable(Fertiliser_SourceData.Fertiliser_Products_Data1(), FertiliserProducts[[#Headers],[Company]],1)</f>
        <v/>
      </c>
      <c r="N94" s="109" t="str" cm="1">
        <f t="array" ref="N94">Common_InputFunctions.Utility_DisplayArrayInTable(Fertiliser_SourceData.Fertiliser_Products_Data1(), FertiliserProducts[[#Headers],[Company]],1)</f>
        <v/>
      </c>
      <c r="O94" s="109" t="str" cm="1">
        <f t="array" ref="O94">Common_InputFunctions.Utility_DisplayArrayInTable(Fertiliser_SourceData.Fertiliser_Products_Data1(), FertiliserProducts[[#Headers],[Company]],1)</f>
        <v>Calcium</v>
      </c>
      <c r="P94" s="109" cm="1">
        <f t="array" ref="P94">Common_InputFunctions.Utility_DisplayArrayInTable(Fertiliser_SourceData.Fertiliser_Products_Data1(), FertiliserProducts[[#Headers],[Company]],1)</f>
        <v>0.187</v>
      </c>
      <c r="Q94" s="109" t="str" cm="1">
        <f t="array" ref="Q94">Common_InputFunctions.Utility_DisplayArrayInTable(Fertiliser_SourceData.Fertiliser_Products_Data1(), FertiliserProducts[[#Headers],[Company]],1)</f>
        <v>Nitrogen - Nitrate</v>
      </c>
      <c r="R94" s="109" cm="1">
        <f t="array" ref="R94">Common_InputFunctions.Utility_DisplayArrayInTable(Fertiliser_SourceData.Fertiliser_Products_Data1(), FertiliserProducts[[#Headers],[Company]],1)</f>
        <v>0.13200000000000001</v>
      </c>
      <c r="S94" s="109" t="str" cm="1">
        <f t="array" ref="S94">Common_InputFunctions.Utility_DisplayArrayInTable(Fertiliser_SourceData.Fertiliser_Products_Data1(), FertiliserProducts[[#Headers],[Company]],1)</f>
        <v/>
      </c>
      <c r="T94" s="109" t="str" cm="1">
        <f t="array" ref="T94">Common_InputFunctions.Utility_DisplayArrayInTable(Fertiliser_SourceData.Fertiliser_Products_Data1(), FertiliserProducts[[#Headers],[Company]],1)</f>
        <v/>
      </c>
      <c r="U94" s="109" t="str" cm="1">
        <f t="array" ref="U94">Common_InputFunctions.Utility_DisplayArrayInTable(Fertiliser_SourceData.Fertiliser_Products_Data1(), FertiliserProducts[[#Headers],[Company]],1)</f>
        <v/>
      </c>
      <c r="V94" s="109" t="str" cm="1">
        <f t="array" ref="V94">Common_InputFunctions.Utility_DisplayArrayInTable(Fertiliser_SourceData.Fertiliser_Products_Data1(), FertiliserProducts[[#Headers],[Company]],1)</f>
        <v/>
      </c>
      <c r="W94" s="109" t="str" cm="1">
        <f t="array" ref="W94">Common_InputFunctions.Utility_DisplayArrayInTable(Fertiliser_SourceData.Fertiliser_Products_Data1(), FertiliserProducts[[#Headers],[Company]],1)</f>
        <v/>
      </c>
      <c r="X94" s="109" t="str" cm="1">
        <f t="array" ref="X94">Common_InputFunctions.Utility_DisplayArrayInTable(Fertiliser_SourceData.Fertiliser_Products_Data1(), FertiliserProducts[[#Headers],[Company]],1)</f>
        <v/>
      </c>
      <c r="Y94" s="109" t="str" cm="1">
        <f t="array" ref="Y94">Common_InputFunctions.Utility_DisplayArrayInTable(Fertiliser_SourceData.Fertiliser_Products_Data1(), FertiliserProducts[[#Headers],[Company]],1)</f>
        <v/>
      </c>
      <c r="Z94" s="109" t="str" cm="1">
        <f t="array" ref="Z94">Common_InputFunctions.Utility_DisplayArrayInTable(Fertiliser_SourceData.Fertiliser_Products_Data1(), FertiliserProducts[[#Headers],[Company]],1)</f>
        <v/>
      </c>
      <c r="AA94" s="109" t="str" cm="1">
        <f t="array" ref="AA94">Common_InputFunctions.Utility_DisplayArrayInTable(Fertiliser_SourceData.Fertiliser_Products_Data1(), FertiliserProducts[[#Headers],[Company]],1)</f>
        <v/>
      </c>
      <c r="AB94" s="109" t="str" cm="1">
        <f t="array" ref="AB94">Common_InputFunctions.Utility_DisplayArrayInTable(Fertiliser_SourceData.Fertiliser_Products_Data1(), FertiliserProducts[[#Headers],[Company]],1)</f>
        <v/>
      </c>
      <c r="AC94" s="109" t="str" cm="1">
        <f t="array" ref="AC94">Common_InputFunctions.Utility_DisplayArrayInTable(Fertiliser_SourceData.Fertiliser_Products_Data1(), FertiliserProducts[[#Headers],[Company]],1)</f>
        <v/>
      </c>
      <c r="AD94" s="109" t="str" cm="1">
        <f t="array" ref="AD94">Common_InputFunctions.Utility_DisplayArrayInTable(Fertiliser_SourceData.Fertiliser_Products_Data1(), FertiliserProducts[[#Headers],[Company]],1)</f>
        <v/>
      </c>
      <c r="AE94" s="109" t="str" cm="1">
        <f t="array" ref="AE94">Common_InputFunctions.Utility_DisplayArrayInTable(Fertiliser_SourceData.Fertiliser_Products_Data1(), FertiliserProducts[[#Headers],[Company]],1)</f>
        <v/>
      </c>
      <c r="AF94" s="109" t="str" cm="1">
        <f t="array" ref="AF94">Common_InputFunctions.Utility_DisplayArrayInTable(Fertiliser_SourceData.Fertiliser_Products_Data1(), FertiliserProducts[[#Headers],[Company]],1)</f>
        <v/>
      </c>
      <c r="AG94" s="109" t="str" cm="1">
        <f t="array" ref="AG94">Common_InputFunctions.Utility_DisplayArrayInTable(Fertiliser_SourceData.Fertiliser_Products_Data1(), FertiliserProducts[[#Headers],[Company]],1)</f>
        <v/>
      </c>
      <c r="AH94" s="109" t="str" cm="1">
        <f t="array" ref="AH94">Common_InputFunctions.Utility_DisplayArrayInTable(Fertiliser_SourceData.Fertiliser_Products_Data1(), FertiliserProducts[[#Headers],[Company]],1)</f>
        <v/>
      </c>
      <c r="AK94" s="1"/>
      <c r="AL94" s="1"/>
      <c r="AM94" s="1"/>
    </row>
    <row r="95" spans="4:39" ht="20.100000000000001" customHeight="1" x14ac:dyDescent="0.25">
      <c r="D95" s="109" t="str" cm="1">
        <f t="array" ref="D95">Common_InputFunctions.Utility_DisplayArrayInTable(Fertiliser_SourceData.Fertiliser_Products_Data1(), FertiliserProducts[[#Headers],[Company]],1)</f>
        <v>Campbells fertilisers Australia</v>
      </c>
      <c r="E95" s="109" t="str" cm="1">
        <f t="array" ref="E95">Common_InputFunctions.Utility_DisplayArrayInTable(Fertiliser_SourceData.Fertiliser_Products_Data1(), FertiliserProducts[[#Headers],[Company]],1)</f>
        <v>Aqua NitroCal Ultimate</v>
      </c>
      <c r="F95" s="109" t="str" cm="1">
        <f t="array" ref="F95">Common_InputFunctions.Utility_DisplayArrayInTable(Fertiliser_SourceData.Fertiliser_Products_Data1(), FertiliserProducts[[#Headers],[Company]],1)</f>
        <v>L</v>
      </c>
      <c r="G95" s="109" cm="1">
        <f t="array" ref="G95">Common_InputFunctions.Utility_DisplayArrayInTable(Fertiliser_SourceData.Fertiliser_Products_Data1(), FertiliserProducts[[#Headers],[Company]],1)</f>
        <v>1.5</v>
      </c>
      <c r="H95" s="109" t="str" cm="1">
        <f t="array" ref="H95">Common_InputFunctions.Utility_DisplayArrayInTable(Fertiliser_SourceData.Fertiliser_Products_Data1(), FertiliserProducts[[#Headers],[Company]],1)</f>
        <v/>
      </c>
      <c r="I95" s="109" t="str" cm="1">
        <f t="array" ref="I95">Common_InputFunctions.Utility_DisplayArrayInTable(Fertiliser_SourceData.Fertiliser_Products_Data1(), FertiliserProducts[[#Headers],[Company]],1)</f>
        <v/>
      </c>
      <c r="J95" s="109" t="str" cm="1">
        <f t="array" ref="J95">Common_InputFunctions.Utility_DisplayArrayInTable(Fertiliser_SourceData.Fertiliser_Products_Data1(), FertiliserProducts[[#Headers],[Company]],1)</f>
        <v/>
      </c>
      <c r="K95" s="109" cm="1">
        <f t="array" ref="K95">Common_InputFunctions.Utility_DisplayArrayInTable(Fertiliser_SourceData.Fertiliser_Products_Data1(), FertiliserProducts[[#Headers],[Company]],1)</f>
        <v>13.2</v>
      </c>
      <c r="L95" s="109" t="str" cm="1">
        <f t="array" ref="L95">Common_InputFunctions.Utility_DisplayArrayInTable(Fertiliser_SourceData.Fertiliser_Products_Data1(), FertiliserProducts[[#Headers],[Company]],1)</f>
        <v/>
      </c>
      <c r="M95" s="109" t="str" cm="1">
        <f t="array" ref="M95">Common_InputFunctions.Utility_DisplayArrayInTable(Fertiliser_SourceData.Fertiliser_Products_Data1(), FertiliserProducts[[#Headers],[Company]],1)</f>
        <v/>
      </c>
      <c r="N95" s="109" t="str" cm="1">
        <f t="array" ref="N95">Common_InputFunctions.Utility_DisplayArrayInTable(Fertiliser_SourceData.Fertiliser_Products_Data1(), FertiliserProducts[[#Headers],[Company]],1)</f>
        <v/>
      </c>
      <c r="O95" s="109" t="str" cm="1">
        <f t="array" ref="O95">Common_InputFunctions.Utility_DisplayArrayInTable(Fertiliser_SourceData.Fertiliser_Products_Data1(), FertiliserProducts[[#Headers],[Company]],1)</f>
        <v>Calcium</v>
      </c>
      <c r="P95" s="109" cm="1">
        <f t="array" ref="P95">Common_InputFunctions.Utility_DisplayArrayInTable(Fertiliser_SourceData.Fertiliser_Products_Data1(), FertiliserProducts[[#Headers],[Company]],1)</f>
        <v>0.183</v>
      </c>
      <c r="Q95" s="109" t="str" cm="1">
        <f t="array" ref="Q95">Common_InputFunctions.Utility_DisplayArrayInTable(Fertiliser_SourceData.Fertiliser_Products_Data1(), FertiliserProducts[[#Headers],[Company]],1)</f>
        <v>Nitrogen - Nitrate</v>
      </c>
      <c r="R95" s="109" cm="1">
        <f t="array" ref="R95">Common_InputFunctions.Utility_DisplayArrayInTable(Fertiliser_SourceData.Fertiliser_Products_Data1(), FertiliserProducts[[#Headers],[Company]],1)</f>
        <v>0.13200000000000001</v>
      </c>
      <c r="S95" s="109" t="str" cm="1">
        <f t="array" ref="S95">Common_InputFunctions.Utility_DisplayArrayInTable(Fertiliser_SourceData.Fertiliser_Products_Data1(), FertiliserProducts[[#Headers],[Company]],1)</f>
        <v/>
      </c>
      <c r="T95" s="109" t="str" cm="1">
        <f t="array" ref="T95">Common_InputFunctions.Utility_DisplayArrayInTable(Fertiliser_SourceData.Fertiliser_Products_Data1(), FertiliserProducts[[#Headers],[Company]],1)</f>
        <v/>
      </c>
      <c r="U95" s="109" t="str" cm="1">
        <f t="array" ref="U95">Common_InputFunctions.Utility_DisplayArrayInTable(Fertiliser_SourceData.Fertiliser_Products_Data1(), FertiliserProducts[[#Headers],[Company]],1)</f>
        <v/>
      </c>
      <c r="V95" s="109" t="str" cm="1">
        <f t="array" ref="V95">Common_InputFunctions.Utility_DisplayArrayInTable(Fertiliser_SourceData.Fertiliser_Products_Data1(), FertiliserProducts[[#Headers],[Company]],1)</f>
        <v/>
      </c>
      <c r="W95" s="109" t="str" cm="1">
        <f t="array" ref="W95">Common_InputFunctions.Utility_DisplayArrayInTable(Fertiliser_SourceData.Fertiliser_Products_Data1(), FertiliserProducts[[#Headers],[Company]],1)</f>
        <v/>
      </c>
      <c r="X95" s="109" t="str" cm="1">
        <f t="array" ref="X95">Common_InputFunctions.Utility_DisplayArrayInTable(Fertiliser_SourceData.Fertiliser_Products_Data1(), FertiliserProducts[[#Headers],[Company]],1)</f>
        <v/>
      </c>
      <c r="Y95" s="109" t="str" cm="1">
        <f t="array" ref="Y95">Common_InputFunctions.Utility_DisplayArrayInTable(Fertiliser_SourceData.Fertiliser_Products_Data1(), FertiliserProducts[[#Headers],[Company]],1)</f>
        <v/>
      </c>
      <c r="Z95" s="109" t="str" cm="1">
        <f t="array" ref="Z95">Common_InputFunctions.Utility_DisplayArrayInTable(Fertiliser_SourceData.Fertiliser_Products_Data1(), FertiliserProducts[[#Headers],[Company]],1)</f>
        <v/>
      </c>
      <c r="AA95" s="109" t="str" cm="1">
        <f t="array" ref="AA95">Common_InputFunctions.Utility_DisplayArrayInTable(Fertiliser_SourceData.Fertiliser_Products_Data1(), FertiliserProducts[[#Headers],[Company]],1)</f>
        <v/>
      </c>
      <c r="AB95" s="109" t="str" cm="1">
        <f t="array" ref="AB95">Common_InputFunctions.Utility_DisplayArrayInTable(Fertiliser_SourceData.Fertiliser_Products_Data1(), FertiliserProducts[[#Headers],[Company]],1)</f>
        <v/>
      </c>
      <c r="AC95" s="109" t="str" cm="1">
        <f t="array" ref="AC95">Common_InputFunctions.Utility_DisplayArrayInTable(Fertiliser_SourceData.Fertiliser_Products_Data1(), FertiliserProducts[[#Headers],[Company]],1)</f>
        <v/>
      </c>
      <c r="AD95" s="109" t="str" cm="1">
        <f t="array" ref="AD95">Common_InputFunctions.Utility_DisplayArrayInTable(Fertiliser_SourceData.Fertiliser_Products_Data1(), FertiliserProducts[[#Headers],[Company]],1)</f>
        <v/>
      </c>
      <c r="AE95" s="109" t="str" cm="1">
        <f t="array" ref="AE95">Common_InputFunctions.Utility_DisplayArrayInTable(Fertiliser_SourceData.Fertiliser_Products_Data1(), FertiliserProducts[[#Headers],[Company]],1)</f>
        <v/>
      </c>
      <c r="AF95" s="109" t="str" cm="1">
        <f t="array" ref="AF95">Common_InputFunctions.Utility_DisplayArrayInTable(Fertiliser_SourceData.Fertiliser_Products_Data1(), FertiliserProducts[[#Headers],[Company]],1)</f>
        <v/>
      </c>
      <c r="AG95" s="109" t="str" cm="1">
        <f t="array" ref="AG95">Common_InputFunctions.Utility_DisplayArrayInTable(Fertiliser_SourceData.Fertiliser_Products_Data1(), FertiliserProducts[[#Headers],[Company]],1)</f>
        <v/>
      </c>
      <c r="AH95" s="109" t="str" cm="1">
        <f t="array" ref="AH95">Common_InputFunctions.Utility_DisplayArrayInTable(Fertiliser_SourceData.Fertiliser_Products_Data1(), FertiliserProducts[[#Headers],[Company]],1)</f>
        <v/>
      </c>
      <c r="AK95" s="1"/>
      <c r="AL95" s="1"/>
      <c r="AM95" s="1"/>
    </row>
    <row r="96" spans="4:39" ht="20.100000000000001" customHeight="1" x14ac:dyDescent="0.25">
      <c r="D96" s="109" t="str" cm="1">
        <f t="array" ref="D96">Common_InputFunctions.Utility_DisplayArrayInTable(Fertiliser_SourceData.Fertiliser_Products_Data1(), FertiliserProducts[[#Headers],[Company]],1)</f>
        <v>Campbells fertilisers Australia</v>
      </c>
      <c r="E96" s="109" t="str" cm="1">
        <f t="array" ref="E96">Common_InputFunctions.Utility_DisplayArrayInTable(Fertiliser_SourceData.Fertiliser_Products_Data1(), FertiliserProducts[[#Headers],[Company]],1)</f>
        <v>Aqua Start</v>
      </c>
      <c r="F96" s="109" t="str" cm="1">
        <f t="array" ref="F96">Common_InputFunctions.Utility_DisplayArrayInTable(Fertiliser_SourceData.Fertiliser_Products_Data1(), FertiliserProducts[[#Headers],[Company]],1)</f>
        <v>L</v>
      </c>
      <c r="G96" s="109" cm="1">
        <f t="array" ref="G96">Common_InputFunctions.Utility_DisplayArrayInTable(Fertiliser_SourceData.Fertiliser_Products_Data1(), FertiliserProducts[[#Headers],[Company]],1)</f>
        <v>1.25</v>
      </c>
      <c r="H96" s="109" t="str" cm="1">
        <f t="array" ref="H96">Common_InputFunctions.Utility_DisplayArrayInTable(Fertiliser_SourceData.Fertiliser_Products_Data1(), FertiliserProducts[[#Headers],[Company]],1)</f>
        <v/>
      </c>
      <c r="I96" s="109" t="str" cm="1">
        <f t="array" ref="I96">Common_InputFunctions.Utility_DisplayArrayInTable(Fertiliser_SourceData.Fertiliser_Products_Data1(), FertiliserProducts[[#Headers],[Company]],1)</f>
        <v/>
      </c>
      <c r="J96" s="109" t="str" cm="1">
        <f t="array" ref="J96">Common_InputFunctions.Utility_DisplayArrayInTable(Fertiliser_SourceData.Fertiliser_Products_Data1(), FertiliserProducts[[#Headers],[Company]],1)</f>
        <v/>
      </c>
      <c r="K96" s="109" cm="1">
        <f t="array" ref="K96">Common_InputFunctions.Utility_DisplayArrayInTable(Fertiliser_SourceData.Fertiliser_Products_Data1(), FertiliserProducts[[#Headers],[Company]],1)</f>
        <v>10.3</v>
      </c>
      <c r="L96" s="109" cm="1">
        <f t="array" ref="L96">Common_InputFunctions.Utility_DisplayArrayInTable(Fertiliser_SourceData.Fertiliser_Products_Data1(), FertiliserProducts[[#Headers],[Company]],1)</f>
        <v>10</v>
      </c>
      <c r="M96" s="109" cm="1">
        <f t="array" ref="M96">Common_InputFunctions.Utility_DisplayArrayInTable(Fertiliser_SourceData.Fertiliser_Products_Data1(), FertiliserProducts[[#Headers],[Company]],1)</f>
        <v>3.4</v>
      </c>
      <c r="N96" s="109" t="str" cm="1">
        <f t="array" ref="N96">Common_InputFunctions.Utility_DisplayArrayInTable(Fertiliser_SourceData.Fertiliser_Products_Data1(), FertiliserProducts[[#Headers],[Company]],1)</f>
        <v/>
      </c>
      <c r="O96" s="109" t="str" cm="1">
        <f t="array" ref="O96">Common_InputFunctions.Utility_DisplayArrayInTable(Fertiliser_SourceData.Fertiliser_Products_Data1(), FertiliserProducts[[#Headers],[Company]],1)</f>
        <v>Nitrogen - Generic</v>
      </c>
      <c r="P96" s="109" cm="1">
        <f t="array" ref="P96">Common_InputFunctions.Utility_DisplayArrayInTable(Fertiliser_SourceData.Fertiliser_Products_Data1(), FertiliserProducts[[#Headers],[Company]],1)</f>
        <v>0.10299999999999999</v>
      </c>
      <c r="Q96" s="109" t="str" cm="1">
        <f t="array" ref="Q96">Common_InputFunctions.Utility_DisplayArrayInTable(Fertiliser_SourceData.Fertiliser_Products_Data1(), FertiliserProducts[[#Headers],[Company]],1)</f>
        <v>Phosphorus - Generic</v>
      </c>
      <c r="R96" s="109" cm="1">
        <f t="array" ref="R96">Common_InputFunctions.Utility_DisplayArrayInTable(Fertiliser_SourceData.Fertiliser_Products_Data1(), FertiliserProducts[[#Headers],[Company]],1)</f>
        <v>0.1</v>
      </c>
      <c r="S96" s="109" t="str" cm="1">
        <f t="array" ref="S96">Common_InputFunctions.Utility_DisplayArrayInTable(Fertiliser_SourceData.Fertiliser_Products_Data1(), FertiliserProducts[[#Headers],[Company]],1)</f>
        <v>Potassium - Generic</v>
      </c>
      <c r="T96" s="109" cm="1">
        <f t="array" ref="T96">Common_InputFunctions.Utility_DisplayArrayInTable(Fertiliser_SourceData.Fertiliser_Products_Data1(), FertiliserProducts[[#Headers],[Company]],1)</f>
        <v>3.4000000000000002E-2</v>
      </c>
      <c r="U96" s="109" t="str" cm="1">
        <f t="array" ref="U96">Common_InputFunctions.Utility_DisplayArrayInTable(Fertiliser_SourceData.Fertiliser_Products_Data1(), FertiliserProducts[[#Headers],[Company]],1)</f>
        <v/>
      </c>
      <c r="V96" s="109" t="str" cm="1">
        <f t="array" ref="V96">Common_InputFunctions.Utility_DisplayArrayInTable(Fertiliser_SourceData.Fertiliser_Products_Data1(), FertiliserProducts[[#Headers],[Company]],1)</f>
        <v/>
      </c>
      <c r="W96" s="109" t="str" cm="1">
        <f t="array" ref="W96">Common_InputFunctions.Utility_DisplayArrayInTable(Fertiliser_SourceData.Fertiliser_Products_Data1(), FertiliserProducts[[#Headers],[Company]],1)</f>
        <v/>
      </c>
      <c r="X96" s="109" t="str" cm="1">
        <f t="array" ref="X96">Common_InputFunctions.Utility_DisplayArrayInTable(Fertiliser_SourceData.Fertiliser_Products_Data1(), FertiliserProducts[[#Headers],[Company]],1)</f>
        <v/>
      </c>
      <c r="Y96" s="109" t="str" cm="1">
        <f t="array" ref="Y96">Common_InputFunctions.Utility_DisplayArrayInTable(Fertiliser_SourceData.Fertiliser_Products_Data1(), FertiliserProducts[[#Headers],[Company]],1)</f>
        <v/>
      </c>
      <c r="Z96" s="109" t="str" cm="1">
        <f t="array" ref="Z96">Common_InputFunctions.Utility_DisplayArrayInTable(Fertiliser_SourceData.Fertiliser_Products_Data1(), FertiliserProducts[[#Headers],[Company]],1)</f>
        <v/>
      </c>
      <c r="AA96" s="109" t="str" cm="1">
        <f t="array" ref="AA96">Common_InputFunctions.Utility_DisplayArrayInTable(Fertiliser_SourceData.Fertiliser_Products_Data1(), FertiliserProducts[[#Headers],[Company]],1)</f>
        <v/>
      </c>
      <c r="AB96" s="109" t="str" cm="1">
        <f t="array" ref="AB96">Common_InputFunctions.Utility_DisplayArrayInTable(Fertiliser_SourceData.Fertiliser_Products_Data1(), FertiliserProducts[[#Headers],[Company]],1)</f>
        <v/>
      </c>
      <c r="AC96" s="109" t="str" cm="1">
        <f t="array" ref="AC96">Common_InputFunctions.Utility_DisplayArrayInTable(Fertiliser_SourceData.Fertiliser_Products_Data1(), FertiliserProducts[[#Headers],[Company]],1)</f>
        <v/>
      </c>
      <c r="AD96" s="109" t="str" cm="1">
        <f t="array" ref="AD96">Common_InputFunctions.Utility_DisplayArrayInTable(Fertiliser_SourceData.Fertiliser_Products_Data1(), FertiliserProducts[[#Headers],[Company]],1)</f>
        <v/>
      </c>
      <c r="AE96" s="109" t="str" cm="1">
        <f t="array" ref="AE96">Common_InputFunctions.Utility_DisplayArrayInTable(Fertiliser_SourceData.Fertiliser_Products_Data1(), FertiliserProducts[[#Headers],[Company]],1)</f>
        <v/>
      </c>
      <c r="AF96" s="109" t="str" cm="1">
        <f t="array" ref="AF96">Common_InputFunctions.Utility_DisplayArrayInTable(Fertiliser_SourceData.Fertiliser_Products_Data1(), FertiliserProducts[[#Headers],[Company]],1)</f>
        <v/>
      </c>
      <c r="AG96" s="109" t="str" cm="1">
        <f t="array" ref="AG96">Common_InputFunctions.Utility_DisplayArrayInTable(Fertiliser_SourceData.Fertiliser_Products_Data1(), FertiliserProducts[[#Headers],[Company]],1)</f>
        <v/>
      </c>
      <c r="AH96" s="109" t="str" cm="1">
        <f t="array" ref="AH96">Common_InputFunctions.Utility_DisplayArrayInTable(Fertiliser_SourceData.Fertiliser_Products_Data1(), FertiliserProducts[[#Headers],[Company]],1)</f>
        <v/>
      </c>
      <c r="AK96" s="1"/>
      <c r="AL96" s="1"/>
      <c r="AM96" s="1"/>
    </row>
    <row r="97" spans="4:39" ht="20.100000000000001" customHeight="1" x14ac:dyDescent="0.25">
      <c r="D97" s="109" t="str" cm="1">
        <f t="array" ref="D97">Common_InputFunctions.Utility_DisplayArrayInTable(Fertiliser_SourceData.Fertiliser_Products_Data1(), FertiliserProducts[[#Headers],[Company]],1)</f>
        <v>Campbells fertilisers Australia</v>
      </c>
      <c r="E97" s="109" t="str" cm="1">
        <f t="array" ref="E97">Common_InputFunctions.Utility_DisplayArrayInTable(Fertiliser_SourceData.Fertiliser_Products_Data1(), FertiliserProducts[[#Headers],[Company]],1)</f>
        <v>Aqua Thio-Complete</v>
      </c>
      <c r="F97" s="109" t="str" cm="1">
        <f t="array" ref="F97">Common_InputFunctions.Utility_DisplayArrayInTable(Fertiliser_SourceData.Fertiliser_Products_Data1(), FertiliserProducts[[#Headers],[Company]],1)</f>
        <v>L</v>
      </c>
      <c r="G97" s="109" cm="1">
        <f t="array" ref="G97">Common_InputFunctions.Utility_DisplayArrayInTable(Fertiliser_SourceData.Fertiliser_Products_Data1(), FertiliserProducts[[#Headers],[Company]],1)</f>
        <v>1.43</v>
      </c>
      <c r="H97" s="109" t="str" cm="1">
        <f t="array" ref="H97">Common_InputFunctions.Utility_DisplayArrayInTable(Fertiliser_SourceData.Fertiliser_Products_Data1(), FertiliserProducts[[#Headers],[Company]],1)</f>
        <v/>
      </c>
      <c r="I97" s="109" t="str" cm="1">
        <f t="array" ref="I97">Common_InputFunctions.Utility_DisplayArrayInTable(Fertiliser_SourceData.Fertiliser_Products_Data1(), FertiliserProducts[[#Headers],[Company]],1)</f>
        <v/>
      </c>
      <c r="J97" s="109" t="str" cm="1">
        <f t="array" ref="J97">Common_InputFunctions.Utility_DisplayArrayInTable(Fertiliser_SourceData.Fertiliser_Products_Data1(), FertiliserProducts[[#Headers],[Company]],1)</f>
        <v/>
      </c>
      <c r="K97" s="109" cm="1">
        <f t="array" ref="K97">Common_InputFunctions.Utility_DisplayArrayInTable(Fertiliser_SourceData.Fertiliser_Products_Data1(), FertiliserProducts[[#Headers],[Company]],1)</f>
        <v>2.5</v>
      </c>
      <c r="L97" s="109" cm="1">
        <f t="array" ref="L97">Common_InputFunctions.Utility_DisplayArrayInTable(Fertiliser_SourceData.Fertiliser_Products_Data1(), FertiliserProducts[[#Headers],[Company]],1)</f>
        <v>3.8</v>
      </c>
      <c r="M97" s="109" cm="1">
        <f t="array" ref="M97">Common_InputFunctions.Utility_DisplayArrayInTable(Fertiliser_SourceData.Fertiliser_Products_Data1(), FertiliserProducts[[#Headers],[Company]],1)</f>
        <v>22.5</v>
      </c>
      <c r="N97" s="109" t="str" cm="1">
        <f t="array" ref="N97">Common_InputFunctions.Utility_DisplayArrayInTable(Fertiliser_SourceData.Fertiliser_Products_Data1(), FertiliserProducts[[#Headers],[Company]],1)</f>
        <v/>
      </c>
      <c r="O97" s="109" t="str" cm="1">
        <f t="array" ref="O97">Common_InputFunctions.Utility_DisplayArrayInTable(Fertiliser_SourceData.Fertiliser_Products_Data1(), FertiliserProducts[[#Headers],[Company]],1)</f>
        <v>Potassium - Generic</v>
      </c>
      <c r="P97" s="109" cm="1">
        <f t="array" ref="P97">Common_InputFunctions.Utility_DisplayArrayInTable(Fertiliser_SourceData.Fertiliser_Products_Data1(), FertiliserProducts[[#Headers],[Company]],1)</f>
        <v>0.22500000000000001</v>
      </c>
      <c r="Q97" s="109" t="str" cm="1">
        <f t="array" ref="Q97">Common_InputFunctions.Utility_DisplayArrayInTable(Fertiliser_SourceData.Fertiliser_Products_Data1(), FertiliserProducts[[#Headers],[Company]],1)</f>
        <v>Phosphorus - Generic</v>
      </c>
      <c r="R97" s="109" cm="1">
        <f t="array" ref="R97">Common_InputFunctions.Utility_DisplayArrayInTable(Fertiliser_SourceData.Fertiliser_Products_Data1(), FertiliserProducts[[#Headers],[Company]],1)</f>
        <v>3.7999999999999999E-2</v>
      </c>
      <c r="S97" s="109" t="str" cm="1">
        <f t="array" ref="S97">Common_InputFunctions.Utility_DisplayArrayInTable(Fertiliser_SourceData.Fertiliser_Products_Data1(), FertiliserProducts[[#Headers],[Company]],1)</f>
        <v>Nitrogen - Generic</v>
      </c>
      <c r="T97" s="109" cm="1">
        <f t="array" ref="T97">Common_InputFunctions.Utility_DisplayArrayInTable(Fertiliser_SourceData.Fertiliser_Products_Data1(), FertiliserProducts[[#Headers],[Company]],1)</f>
        <v>2.5000000000000001E-2</v>
      </c>
      <c r="U97" s="109" t="str" cm="1">
        <f t="array" ref="U97">Common_InputFunctions.Utility_DisplayArrayInTable(Fertiliser_SourceData.Fertiliser_Products_Data1(), FertiliserProducts[[#Headers],[Company]],1)</f>
        <v/>
      </c>
      <c r="V97" s="109" t="str" cm="1">
        <f t="array" ref="V97">Common_InputFunctions.Utility_DisplayArrayInTable(Fertiliser_SourceData.Fertiliser_Products_Data1(), FertiliserProducts[[#Headers],[Company]],1)</f>
        <v/>
      </c>
      <c r="W97" s="109" t="str" cm="1">
        <f t="array" ref="W97">Common_InputFunctions.Utility_DisplayArrayInTable(Fertiliser_SourceData.Fertiliser_Products_Data1(), FertiliserProducts[[#Headers],[Company]],1)</f>
        <v/>
      </c>
      <c r="X97" s="109" t="str" cm="1">
        <f t="array" ref="X97">Common_InputFunctions.Utility_DisplayArrayInTable(Fertiliser_SourceData.Fertiliser_Products_Data1(), FertiliserProducts[[#Headers],[Company]],1)</f>
        <v/>
      </c>
      <c r="Y97" s="109" t="str" cm="1">
        <f t="array" ref="Y97">Common_InputFunctions.Utility_DisplayArrayInTable(Fertiliser_SourceData.Fertiliser_Products_Data1(), FertiliserProducts[[#Headers],[Company]],1)</f>
        <v/>
      </c>
      <c r="Z97" s="109" t="str" cm="1">
        <f t="array" ref="Z97">Common_InputFunctions.Utility_DisplayArrayInTable(Fertiliser_SourceData.Fertiliser_Products_Data1(), FertiliserProducts[[#Headers],[Company]],1)</f>
        <v/>
      </c>
      <c r="AA97" s="109" t="str" cm="1">
        <f t="array" ref="AA97">Common_InputFunctions.Utility_DisplayArrayInTable(Fertiliser_SourceData.Fertiliser_Products_Data1(), FertiliserProducts[[#Headers],[Company]],1)</f>
        <v/>
      </c>
      <c r="AB97" s="109" t="str" cm="1">
        <f t="array" ref="AB97">Common_InputFunctions.Utility_DisplayArrayInTable(Fertiliser_SourceData.Fertiliser_Products_Data1(), FertiliserProducts[[#Headers],[Company]],1)</f>
        <v/>
      </c>
      <c r="AC97" s="109" t="str" cm="1">
        <f t="array" ref="AC97">Common_InputFunctions.Utility_DisplayArrayInTable(Fertiliser_SourceData.Fertiliser_Products_Data1(), FertiliserProducts[[#Headers],[Company]],1)</f>
        <v/>
      </c>
      <c r="AD97" s="109" t="str" cm="1">
        <f t="array" ref="AD97">Common_InputFunctions.Utility_DisplayArrayInTable(Fertiliser_SourceData.Fertiliser_Products_Data1(), FertiliserProducts[[#Headers],[Company]],1)</f>
        <v/>
      </c>
      <c r="AE97" s="109" t="str" cm="1">
        <f t="array" ref="AE97">Common_InputFunctions.Utility_DisplayArrayInTable(Fertiliser_SourceData.Fertiliser_Products_Data1(), FertiliserProducts[[#Headers],[Company]],1)</f>
        <v/>
      </c>
      <c r="AF97" s="109" t="str" cm="1">
        <f t="array" ref="AF97">Common_InputFunctions.Utility_DisplayArrayInTable(Fertiliser_SourceData.Fertiliser_Products_Data1(), FertiliserProducts[[#Headers],[Company]],1)</f>
        <v/>
      </c>
      <c r="AG97" s="109" t="str" cm="1">
        <f t="array" ref="AG97">Common_InputFunctions.Utility_DisplayArrayInTable(Fertiliser_SourceData.Fertiliser_Products_Data1(), FertiliserProducts[[#Headers],[Company]],1)</f>
        <v/>
      </c>
      <c r="AH97" s="109" t="str" cm="1">
        <f t="array" ref="AH97">Common_InputFunctions.Utility_DisplayArrayInTable(Fertiliser_SourceData.Fertiliser_Products_Data1(), FertiliserProducts[[#Headers],[Company]],1)</f>
        <v/>
      </c>
      <c r="AK97" s="1"/>
      <c r="AL97" s="1"/>
      <c r="AM97" s="1"/>
    </row>
    <row r="98" spans="4:39" ht="20.100000000000001" customHeight="1" x14ac:dyDescent="0.25">
      <c r="D98" s="109" t="str" cm="1">
        <f t="array" ref="D98">Common_InputFunctions.Utility_DisplayArrayInTable(Fertiliser_SourceData.Fertiliser_Products_Data1(), FertiliserProducts[[#Headers],[Company]],1)</f>
        <v>Campbells fertilisers Australia</v>
      </c>
      <c r="E98" s="109" t="str" cm="1">
        <f t="array" ref="E98">Common_InputFunctions.Utility_DisplayArrayInTable(Fertiliser_SourceData.Fertiliser_Products_Data1(), FertiliserProducts[[#Headers],[Company]],1)</f>
        <v>Aqua Thio-Emerge</v>
      </c>
      <c r="F98" s="109" t="str" cm="1">
        <f t="array" ref="F98">Common_InputFunctions.Utility_DisplayArrayInTable(Fertiliser_SourceData.Fertiliser_Products_Data1(), FertiliserProducts[[#Headers],[Company]],1)</f>
        <v>L</v>
      </c>
      <c r="G98" s="109" cm="1">
        <f t="array" ref="G98">Common_InputFunctions.Utility_DisplayArrayInTable(Fertiliser_SourceData.Fertiliser_Products_Data1(), FertiliserProducts[[#Headers],[Company]],1)</f>
        <v>1.29</v>
      </c>
      <c r="H98" s="109" t="str" cm="1">
        <f t="array" ref="H98">Common_InputFunctions.Utility_DisplayArrayInTable(Fertiliser_SourceData.Fertiliser_Products_Data1(), FertiliserProducts[[#Headers],[Company]],1)</f>
        <v/>
      </c>
      <c r="I98" s="109" t="str" cm="1">
        <f t="array" ref="I98">Common_InputFunctions.Utility_DisplayArrayInTable(Fertiliser_SourceData.Fertiliser_Products_Data1(), FertiliserProducts[[#Headers],[Company]],1)</f>
        <v/>
      </c>
      <c r="J98" s="109" t="str" cm="1">
        <f t="array" ref="J98">Common_InputFunctions.Utility_DisplayArrayInTable(Fertiliser_SourceData.Fertiliser_Products_Data1(), FertiliserProducts[[#Headers],[Company]],1)</f>
        <v/>
      </c>
      <c r="K98" s="109" cm="1">
        <f t="array" ref="K98">Common_InputFunctions.Utility_DisplayArrayInTable(Fertiliser_SourceData.Fertiliser_Products_Data1(), FertiliserProducts[[#Headers],[Company]],1)</f>
        <v>10.5</v>
      </c>
      <c r="L98" s="109" cm="1">
        <f t="array" ref="L98">Common_InputFunctions.Utility_DisplayArrayInTable(Fertiliser_SourceData.Fertiliser_Products_Data1(), FertiliserProducts[[#Headers],[Company]],1)</f>
        <v>9.4</v>
      </c>
      <c r="M98" s="109" cm="1">
        <f t="array" ref="M98">Common_InputFunctions.Utility_DisplayArrayInTable(Fertiliser_SourceData.Fertiliser_Products_Data1(), FertiliserProducts[[#Headers],[Company]],1)</f>
        <v>4</v>
      </c>
      <c r="N98" s="109" cm="1">
        <f t="array" ref="N98">Common_InputFunctions.Utility_DisplayArrayInTable(Fertiliser_SourceData.Fertiliser_Products_Data1(), FertiliserProducts[[#Headers],[Company]],1)</f>
        <v>3</v>
      </c>
      <c r="O98" s="109" t="str" cm="1">
        <f t="array" ref="O98">Common_InputFunctions.Utility_DisplayArrayInTable(Fertiliser_SourceData.Fertiliser_Products_Data1(), FertiliserProducts[[#Headers],[Company]],1)</f>
        <v>Nitrogen - Generic</v>
      </c>
      <c r="P98" s="109" cm="1">
        <f t="array" ref="P98">Common_InputFunctions.Utility_DisplayArrayInTable(Fertiliser_SourceData.Fertiliser_Products_Data1(), FertiliserProducts[[#Headers],[Company]],1)</f>
        <v>0.105</v>
      </c>
      <c r="Q98" s="109" t="str" cm="1">
        <f t="array" ref="Q98">Common_InputFunctions.Utility_DisplayArrayInTable(Fertiliser_SourceData.Fertiliser_Products_Data1(), FertiliserProducts[[#Headers],[Company]],1)</f>
        <v>Phosphorus - Generic</v>
      </c>
      <c r="R98" s="109" cm="1">
        <f t="array" ref="R98">Common_InputFunctions.Utility_DisplayArrayInTable(Fertiliser_SourceData.Fertiliser_Products_Data1(), FertiliserProducts[[#Headers],[Company]],1)</f>
        <v>9.4E-2</v>
      </c>
      <c r="S98" s="109" t="str" cm="1">
        <f t="array" ref="S98">Common_InputFunctions.Utility_DisplayArrayInTable(Fertiliser_SourceData.Fertiliser_Products_Data1(), FertiliserProducts[[#Headers],[Company]],1)</f>
        <v>Potassium - Generic</v>
      </c>
      <c r="T98" s="109" cm="1">
        <f t="array" ref="T98">Common_InputFunctions.Utility_DisplayArrayInTable(Fertiliser_SourceData.Fertiliser_Products_Data1(), FertiliserProducts[[#Headers],[Company]],1)</f>
        <v>0.04</v>
      </c>
      <c r="U98" s="109" t="str" cm="1">
        <f t="array" ref="U98">Common_InputFunctions.Utility_DisplayArrayInTable(Fertiliser_SourceData.Fertiliser_Products_Data1(), FertiliserProducts[[#Headers],[Company]],1)</f>
        <v>Sulfur - Generic</v>
      </c>
      <c r="V98" s="109" cm="1">
        <f t="array" ref="V98">Common_InputFunctions.Utility_DisplayArrayInTable(Fertiliser_SourceData.Fertiliser_Products_Data1(), FertiliserProducts[[#Headers],[Company]],1)</f>
        <v>0.03</v>
      </c>
      <c r="W98" s="109" t="str" cm="1">
        <f t="array" ref="W98">Common_InputFunctions.Utility_DisplayArrayInTable(Fertiliser_SourceData.Fertiliser_Products_Data1(), FertiliserProducts[[#Headers],[Company]],1)</f>
        <v/>
      </c>
      <c r="X98" s="109" t="str" cm="1">
        <f t="array" ref="X98">Common_InputFunctions.Utility_DisplayArrayInTable(Fertiliser_SourceData.Fertiliser_Products_Data1(), FertiliserProducts[[#Headers],[Company]],1)</f>
        <v/>
      </c>
      <c r="Y98" s="109" t="str" cm="1">
        <f t="array" ref="Y98">Common_InputFunctions.Utility_DisplayArrayInTable(Fertiliser_SourceData.Fertiliser_Products_Data1(), FertiliserProducts[[#Headers],[Company]],1)</f>
        <v/>
      </c>
      <c r="Z98" s="109" t="str" cm="1">
        <f t="array" ref="Z98">Common_InputFunctions.Utility_DisplayArrayInTable(Fertiliser_SourceData.Fertiliser_Products_Data1(), FertiliserProducts[[#Headers],[Company]],1)</f>
        <v/>
      </c>
      <c r="AA98" s="109" t="str" cm="1">
        <f t="array" ref="AA98">Common_InputFunctions.Utility_DisplayArrayInTable(Fertiliser_SourceData.Fertiliser_Products_Data1(), FertiliserProducts[[#Headers],[Company]],1)</f>
        <v/>
      </c>
      <c r="AB98" s="109" t="str" cm="1">
        <f t="array" ref="AB98">Common_InputFunctions.Utility_DisplayArrayInTable(Fertiliser_SourceData.Fertiliser_Products_Data1(), FertiliserProducts[[#Headers],[Company]],1)</f>
        <v/>
      </c>
      <c r="AC98" s="109" t="str" cm="1">
        <f t="array" ref="AC98">Common_InputFunctions.Utility_DisplayArrayInTable(Fertiliser_SourceData.Fertiliser_Products_Data1(), FertiliserProducts[[#Headers],[Company]],1)</f>
        <v/>
      </c>
      <c r="AD98" s="109" t="str" cm="1">
        <f t="array" ref="AD98">Common_InputFunctions.Utility_DisplayArrayInTable(Fertiliser_SourceData.Fertiliser_Products_Data1(), FertiliserProducts[[#Headers],[Company]],1)</f>
        <v/>
      </c>
      <c r="AE98" s="109" t="str" cm="1">
        <f t="array" ref="AE98">Common_InputFunctions.Utility_DisplayArrayInTable(Fertiliser_SourceData.Fertiliser_Products_Data1(), FertiliserProducts[[#Headers],[Company]],1)</f>
        <v/>
      </c>
      <c r="AF98" s="109" t="str" cm="1">
        <f t="array" ref="AF98">Common_InputFunctions.Utility_DisplayArrayInTable(Fertiliser_SourceData.Fertiliser_Products_Data1(), FertiliserProducts[[#Headers],[Company]],1)</f>
        <v/>
      </c>
      <c r="AG98" s="109" t="str" cm="1">
        <f t="array" ref="AG98">Common_InputFunctions.Utility_DisplayArrayInTable(Fertiliser_SourceData.Fertiliser_Products_Data1(), FertiliserProducts[[#Headers],[Company]],1)</f>
        <v/>
      </c>
      <c r="AH98" s="109" t="str" cm="1">
        <f t="array" ref="AH98">Common_InputFunctions.Utility_DisplayArrayInTable(Fertiliser_SourceData.Fertiliser_Products_Data1(), FertiliserProducts[[#Headers],[Company]],1)</f>
        <v/>
      </c>
      <c r="AK98" s="1"/>
      <c r="AL98" s="1"/>
      <c r="AM98" s="1"/>
    </row>
    <row r="99" spans="4:39" ht="20.100000000000001" customHeight="1" x14ac:dyDescent="0.25">
      <c r="D99" s="109" t="str" cm="1">
        <f t="array" ref="D99">Common_InputFunctions.Utility_DisplayArrayInTable(Fertiliser_SourceData.Fertiliser_Products_Data1(), FertiliserProducts[[#Headers],[Company]],1)</f>
        <v>Campbells fertilisers Australia</v>
      </c>
      <c r="E99" s="109" t="str" cm="1">
        <f t="array" ref="E99">Common_InputFunctions.Utility_DisplayArrayInTable(Fertiliser_SourceData.Fertiliser_Products_Data1(), FertiliserProducts[[#Headers],[Company]],1)</f>
        <v>Aqua Thio-Flourish</v>
      </c>
      <c r="F99" s="109" t="str" cm="1">
        <f t="array" ref="F99">Common_InputFunctions.Utility_DisplayArrayInTable(Fertiliser_SourceData.Fertiliser_Products_Data1(), FertiliserProducts[[#Headers],[Company]],1)</f>
        <v>L</v>
      </c>
      <c r="G99" s="109" cm="1">
        <f t="array" ref="G99">Common_InputFunctions.Utility_DisplayArrayInTable(Fertiliser_SourceData.Fertiliser_Products_Data1(), FertiliserProducts[[#Headers],[Company]],1)</f>
        <v>1.32</v>
      </c>
      <c r="H99" s="109" t="str" cm="1">
        <f t="array" ref="H99">Common_InputFunctions.Utility_DisplayArrayInTable(Fertiliser_SourceData.Fertiliser_Products_Data1(), FertiliserProducts[[#Headers],[Company]],1)</f>
        <v/>
      </c>
      <c r="I99" s="109" t="str" cm="1">
        <f t="array" ref="I99">Common_InputFunctions.Utility_DisplayArrayInTable(Fertiliser_SourceData.Fertiliser_Products_Data1(), FertiliserProducts[[#Headers],[Company]],1)</f>
        <v/>
      </c>
      <c r="J99" s="109" t="str" cm="1">
        <f t="array" ref="J99">Common_InputFunctions.Utility_DisplayArrayInTable(Fertiliser_SourceData.Fertiliser_Products_Data1(), FertiliserProducts[[#Headers],[Company]],1)</f>
        <v/>
      </c>
      <c r="K99" s="109" cm="1">
        <f t="array" ref="K99">Common_InputFunctions.Utility_DisplayArrayInTable(Fertiliser_SourceData.Fertiliser_Products_Data1(), FertiliserProducts[[#Headers],[Company]],1)</f>
        <v>9.5</v>
      </c>
      <c r="L99" s="109" cm="1">
        <f t="array" ref="L99">Common_InputFunctions.Utility_DisplayArrayInTable(Fertiliser_SourceData.Fertiliser_Products_Data1(), FertiliserProducts[[#Headers],[Company]],1)</f>
        <v>4.7</v>
      </c>
      <c r="M99" s="109" cm="1">
        <f t="array" ref="M99">Common_InputFunctions.Utility_DisplayArrayInTable(Fertiliser_SourceData.Fertiliser_Products_Data1(), FertiliserProducts[[#Headers],[Company]],1)</f>
        <v>10.8</v>
      </c>
      <c r="N99" s="109" cm="1">
        <f t="array" ref="N99">Common_InputFunctions.Utility_DisplayArrayInTable(Fertiliser_SourceData.Fertiliser_Products_Data1(), FertiliserProducts[[#Headers],[Company]],1)</f>
        <v>8.1</v>
      </c>
      <c r="O99" s="109" t="str" cm="1">
        <f t="array" ref="O99">Common_InputFunctions.Utility_DisplayArrayInTable(Fertiliser_SourceData.Fertiliser_Products_Data1(), FertiliserProducts[[#Headers],[Company]],1)</f>
        <v>Potassium - Generic</v>
      </c>
      <c r="P99" s="109" cm="1">
        <f t="array" ref="P99">Common_InputFunctions.Utility_DisplayArrayInTable(Fertiliser_SourceData.Fertiliser_Products_Data1(), FertiliserProducts[[#Headers],[Company]],1)</f>
        <v>0.108</v>
      </c>
      <c r="Q99" s="109" t="str" cm="1">
        <f t="array" ref="Q99">Common_InputFunctions.Utility_DisplayArrayInTable(Fertiliser_SourceData.Fertiliser_Products_Data1(), FertiliserProducts[[#Headers],[Company]],1)</f>
        <v>Nitrogen - Generic</v>
      </c>
      <c r="R99" s="109" cm="1">
        <f t="array" ref="R99">Common_InputFunctions.Utility_DisplayArrayInTable(Fertiliser_SourceData.Fertiliser_Products_Data1(), FertiliserProducts[[#Headers],[Company]],1)</f>
        <v>9.5000000000000001E-2</v>
      </c>
      <c r="S99" s="109" t="str" cm="1">
        <f t="array" ref="S99">Common_InputFunctions.Utility_DisplayArrayInTable(Fertiliser_SourceData.Fertiliser_Products_Data1(), FertiliserProducts[[#Headers],[Company]],1)</f>
        <v>Sulfur - Generic</v>
      </c>
      <c r="T99" s="109" cm="1">
        <f t="array" ref="T99">Common_InputFunctions.Utility_DisplayArrayInTable(Fertiliser_SourceData.Fertiliser_Products_Data1(), FertiliserProducts[[#Headers],[Company]],1)</f>
        <v>8.1000000000000003E-2</v>
      </c>
      <c r="U99" s="109" t="str" cm="1">
        <f t="array" ref="U99">Common_InputFunctions.Utility_DisplayArrayInTable(Fertiliser_SourceData.Fertiliser_Products_Data1(), FertiliserProducts[[#Headers],[Company]],1)</f>
        <v>Phosphorus - Generic</v>
      </c>
      <c r="V99" s="109" cm="1">
        <f t="array" ref="V99">Common_InputFunctions.Utility_DisplayArrayInTable(Fertiliser_SourceData.Fertiliser_Products_Data1(), FertiliserProducts[[#Headers],[Company]],1)</f>
        <v>4.7E-2</v>
      </c>
      <c r="W99" s="109" t="str" cm="1">
        <f t="array" ref="W99">Common_InputFunctions.Utility_DisplayArrayInTable(Fertiliser_SourceData.Fertiliser_Products_Data1(), FertiliserProducts[[#Headers],[Company]],1)</f>
        <v/>
      </c>
      <c r="X99" s="109" t="str" cm="1">
        <f t="array" ref="X99">Common_InputFunctions.Utility_DisplayArrayInTable(Fertiliser_SourceData.Fertiliser_Products_Data1(), FertiliserProducts[[#Headers],[Company]],1)</f>
        <v/>
      </c>
      <c r="Y99" s="109" t="str" cm="1">
        <f t="array" ref="Y99">Common_InputFunctions.Utility_DisplayArrayInTable(Fertiliser_SourceData.Fertiliser_Products_Data1(), FertiliserProducts[[#Headers],[Company]],1)</f>
        <v/>
      </c>
      <c r="Z99" s="109" t="str" cm="1">
        <f t="array" ref="Z99">Common_InputFunctions.Utility_DisplayArrayInTable(Fertiliser_SourceData.Fertiliser_Products_Data1(), FertiliserProducts[[#Headers],[Company]],1)</f>
        <v/>
      </c>
      <c r="AA99" s="109" t="str" cm="1">
        <f t="array" ref="AA99">Common_InputFunctions.Utility_DisplayArrayInTable(Fertiliser_SourceData.Fertiliser_Products_Data1(), FertiliserProducts[[#Headers],[Company]],1)</f>
        <v/>
      </c>
      <c r="AB99" s="109" t="str" cm="1">
        <f t="array" ref="AB99">Common_InputFunctions.Utility_DisplayArrayInTable(Fertiliser_SourceData.Fertiliser_Products_Data1(), FertiliserProducts[[#Headers],[Company]],1)</f>
        <v/>
      </c>
      <c r="AC99" s="109" t="str" cm="1">
        <f t="array" ref="AC99">Common_InputFunctions.Utility_DisplayArrayInTable(Fertiliser_SourceData.Fertiliser_Products_Data1(), FertiliserProducts[[#Headers],[Company]],1)</f>
        <v/>
      </c>
      <c r="AD99" s="109" t="str" cm="1">
        <f t="array" ref="AD99">Common_InputFunctions.Utility_DisplayArrayInTable(Fertiliser_SourceData.Fertiliser_Products_Data1(), FertiliserProducts[[#Headers],[Company]],1)</f>
        <v/>
      </c>
      <c r="AE99" s="109" t="str" cm="1">
        <f t="array" ref="AE99">Common_InputFunctions.Utility_DisplayArrayInTable(Fertiliser_SourceData.Fertiliser_Products_Data1(), FertiliserProducts[[#Headers],[Company]],1)</f>
        <v/>
      </c>
      <c r="AF99" s="109" t="str" cm="1">
        <f t="array" ref="AF99">Common_InputFunctions.Utility_DisplayArrayInTable(Fertiliser_SourceData.Fertiliser_Products_Data1(), FertiliserProducts[[#Headers],[Company]],1)</f>
        <v/>
      </c>
      <c r="AG99" s="109" t="str" cm="1">
        <f t="array" ref="AG99">Common_InputFunctions.Utility_DisplayArrayInTable(Fertiliser_SourceData.Fertiliser_Products_Data1(), FertiliserProducts[[#Headers],[Company]],1)</f>
        <v/>
      </c>
      <c r="AH99" s="109" t="str" cm="1">
        <f t="array" ref="AH99">Common_InputFunctions.Utility_DisplayArrayInTable(Fertiliser_SourceData.Fertiliser_Products_Data1(), FertiliserProducts[[#Headers],[Company]],1)</f>
        <v/>
      </c>
      <c r="AK99" s="1"/>
      <c r="AL99" s="1"/>
      <c r="AM99" s="1"/>
    </row>
    <row r="100" spans="4:39" ht="20.100000000000001" customHeight="1" x14ac:dyDescent="0.25">
      <c r="D100" s="109" t="str" cm="1">
        <f t="array" ref="D100">Common_InputFunctions.Utility_DisplayArrayInTable(Fertiliser_SourceData.Fertiliser_Products_Data1(), FertiliserProducts[[#Headers],[Company]],1)</f>
        <v>Campbells fertilisers Australia</v>
      </c>
      <c r="E100" s="109" t="str" cm="1">
        <f t="array" ref="E100">Common_InputFunctions.Utility_DisplayArrayInTable(Fertiliser_SourceData.Fertiliser_Products_Data1(), FertiliserProducts[[#Headers],[Company]],1)</f>
        <v>Boost-It</v>
      </c>
      <c r="F100" s="109" t="str" cm="1">
        <f t="array" ref="F100">Common_InputFunctions.Utility_DisplayArrayInTable(Fertiliser_SourceData.Fertiliser_Products_Data1(), FertiliserProducts[[#Headers],[Company]],1)</f>
        <v>kg</v>
      </c>
      <c r="G100" s="109" cm="1">
        <f t="array" ref="G100">Common_InputFunctions.Utility_DisplayArrayInTable(Fertiliser_SourceData.Fertiliser_Products_Data1(), FertiliserProducts[[#Headers],[Company]],1)</f>
        <v>1</v>
      </c>
      <c r="H100" s="109" t="str" cm="1">
        <f t="array" ref="H100">Common_InputFunctions.Utility_DisplayArrayInTable(Fertiliser_SourceData.Fertiliser_Products_Data1(), FertiliserProducts[[#Headers],[Company]],1)</f>
        <v/>
      </c>
      <c r="I100" s="109" t="str" cm="1">
        <f t="array" ref="I100">Common_InputFunctions.Utility_DisplayArrayInTable(Fertiliser_SourceData.Fertiliser_Products_Data1(), FertiliserProducts[[#Headers],[Company]],1)</f>
        <v/>
      </c>
      <c r="J100" s="109" t="str" cm="1">
        <f t="array" ref="J100">Common_InputFunctions.Utility_DisplayArrayInTable(Fertiliser_SourceData.Fertiliser_Products_Data1(), FertiliserProducts[[#Headers],[Company]],1)</f>
        <v/>
      </c>
      <c r="K100" s="109" cm="1">
        <f t="array" ref="K100">Common_InputFunctions.Utility_DisplayArrayInTable(Fertiliser_SourceData.Fertiliser_Products_Data1(), FertiliserProducts[[#Headers],[Company]],1)</f>
        <v>24</v>
      </c>
      <c r="L100" s="109" cm="1">
        <f t="array" ref="L100">Common_InputFunctions.Utility_DisplayArrayInTable(Fertiliser_SourceData.Fertiliser_Products_Data1(), FertiliserProducts[[#Headers],[Company]],1)</f>
        <v>5.2</v>
      </c>
      <c r="M100" s="109" cm="1">
        <f t="array" ref="M100">Common_InputFunctions.Utility_DisplayArrayInTable(Fertiliser_SourceData.Fertiliser_Products_Data1(), FertiliserProducts[[#Headers],[Company]],1)</f>
        <v>8</v>
      </c>
      <c r="N100" s="109" cm="1">
        <f t="array" ref="N100">Common_InputFunctions.Utility_DisplayArrayInTable(Fertiliser_SourceData.Fertiliser_Products_Data1(), FertiliserProducts[[#Headers],[Company]],1)</f>
        <v>5.3</v>
      </c>
      <c r="O100" s="109" t="str" cm="1">
        <f t="array" ref="O100">Common_InputFunctions.Utility_DisplayArrayInTable(Fertiliser_SourceData.Fertiliser_Products_Data1(), FertiliserProducts[[#Headers],[Company]],1)</f>
        <v>Urea</v>
      </c>
      <c r="P100" s="109" cm="1">
        <f t="array" ref="P100">Common_InputFunctions.Utility_DisplayArrayInTable(Fertiliser_SourceData.Fertiliser_Products_Data1(), FertiliserProducts[[#Headers],[Company]],1)</f>
        <v>0.52173899999999995</v>
      </c>
      <c r="Q100" s="109" t="str" cm="1">
        <f t="array" ref="Q100">Common_InputFunctions.Utility_DisplayArrayInTable(Fertiliser_SourceData.Fertiliser_Products_Data1(), FertiliserProducts[[#Headers],[Company]],1)</f>
        <v>Potassium - Generic</v>
      </c>
      <c r="R100" s="109" cm="1">
        <f t="array" ref="R100">Common_InputFunctions.Utility_DisplayArrayInTable(Fertiliser_SourceData.Fertiliser_Products_Data1(), FertiliserProducts[[#Headers],[Company]],1)</f>
        <v>0.08</v>
      </c>
      <c r="S100" s="109" t="str" cm="1">
        <f t="array" ref="S100">Common_InputFunctions.Utility_DisplayArrayInTable(Fertiliser_SourceData.Fertiliser_Products_Data1(), FertiliserProducts[[#Headers],[Company]],1)</f>
        <v>Sulfur - Generic</v>
      </c>
      <c r="T100" s="109" cm="1">
        <f t="array" ref="T100">Common_InputFunctions.Utility_DisplayArrayInTable(Fertiliser_SourceData.Fertiliser_Products_Data1(), FertiliserProducts[[#Headers],[Company]],1)</f>
        <v>5.2999999999999999E-2</v>
      </c>
      <c r="U100" s="109" t="str" cm="1">
        <f t="array" ref="U100">Common_InputFunctions.Utility_DisplayArrayInTable(Fertiliser_SourceData.Fertiliser_Products_Data1(), FertiliserProducts[[#Headers],[Company]],1)</f>
        <v>Phosphorus - Generic</v>
      </c>
      <c r="V100" s="109" cm="1">
        <f t="array" ref="V100">Common_InputFunctions.Utility_DisplayArrayInTable(Fertiliser_SourceData.Fertiliser_Products_Data1(), FertiliserProducts[[#Headers],[Company]],1)</f>
        <v>5.1999999999999998E-2</v>
      </c>
      <c r="W100" s="109" t="str" cm="1">
        <f t="array" ref="W100">Common_InputFunctions.Utility_DisplayArrayInTable(Fertiliser_SourceData.Fertiliser_Products_Data1(), FertiliserProducts[[#Headers],[Company]],1)</f>
        <v>Magnesium</v>
      </c>
      <c r="X100" s="109" cm="1">
        <f t="array" ref="X100">Common_InputFunctions.Utility_DisplayArrayInTable(Fertiliser_SourceData.Fertiliser_Products_Data1(), FertiliserProducts[[#Headers],[Company]],1)</f>
        <v>1.2999999999999999E-2</v>
      </c>
      <c r="Y100" s="109" t="str" cm="1">
        <f t="array" ref="Y100">Common_InputFunctions.Utility_DisplayArrayInTable(Fertiliser_SourceData.Fertiliser_Products_Data1(), FertiliserProducts[[#Headers],[Company]],1)</f>
        <v>Zinc</v>
      </c>
      <c r="Z100" s="109" cm="1">
        <f t="array" ref="Z100">Common_InputFunctions.Utility_DisplayArrayInTable(Fertiliser_SourceData.Fertiliser_Products_Data1(), FertiliserProducts[[#Headers],[Company]],1)</f>
        <v>2E-3</v>
      </c>
      <c r="AA100" s="109" t="str" cm="1">
        <f t="array" ref="AA100">Common_InputFunctions.Utility_DisplayArrayInTable(Fertiliser_SourceData.Fertiliser_Products_Data1(), FertiliserProducts[[#Headers],[Company]],1)</f>
        <v>Manganese</v>
      </c>
      <c r="AB100" s="109" cm="1">
        <f t="array" ref="AB100">Common_InputFunctions.Utility_DisplayArrayInTable(Fertiliser_SourceData.Fertiliser_Products_Data1(), FertiliserProducts[[#Headers],[Company]],1)</f>
        <v>3.5000000000000001E-3</v>
      </c>
      <c r="AC100" s="109" t="str" cm="1">
        <f t="array" ref="AC100">Common_InputFunctions.Utility_DisplayArrayInTable(Fertiliser_SourceData.Fertiliser_Products_Data1(), FertiliserProducts[[#Headers],[Company]],1)</f>
        <v>Iron</v>
      </c>
      <c r="AD100" s="109" cm="1">
        <f t="array" ref="AD100">Common_InputFunctions.Utility_DisplayArrayInTable(Fertiliser_SourceData.Fertiliser_Products_Data1(), FertiliserProducts[[#Headers],[Company]],1)</f>
        <v>1.2999999999999999E-3</v>
      </c>
      <c r="AE100" s="109" t="str" cm="1">
        <f t="array" ref="AE100">Common_InputFunctions.Utility_DisplayArrayInTable(Fertiliser_SourceData.Fertiliser_Products_Data1(), FertiliserProducts[[#Headers],[Company]],1)</f>
        <v>Copper</v>
      </c>
      <c r="AF100" s="109" cm="1">
        <f t="array" ref="AF100">Common_InputFunctions.Utility_DisplayArrayInTable(Fertiliser_SourceData.Fertiliser_Products_Data1(), FertiliserProducts[[#Headers],[Company]],1)</f>
        <v>6.9999999999999999E-4</v>
      </c>
      <c r="AG100" s="109" t="str" cm="1">
        <f t="array" ref="AG100">Common_InputFunctions.Utility_DisplayArrayInTable(Fertiliser_SourceData.Fertiliser_Products_Data1(), FertiliserProducts[[#Headers],[Company]],1)</f>
        <v>Boron</v>
      </c>
      <c r="AH100" s="109"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09" t="str" cm="1">
        <f t="array" ref="D101">Common_InputFunctions.Utility_DisplayArrayInTable(Fertiliser_SourceData.Fertiliser_Products_Data1(), FertiliserProducts[[#Headers],[Company]],1)</f>
        <v>Campbells fertilisers Australia</v>
      </c>
      <c r="E101" s="109" t="str" cm="1">
        <f t="array" ref="E101">Common_InputFunctions.Utility_DisplayArrayInTable(Fertiliser_SourceData.Fertiliser_Products_Data1(), FertiliserProducts[[#Headers],[Company]],1)</f>
        <v>Bronze</v>
      </c>
      <c r="F101" s="109" t="str" cm="1">
        <f t="array" ref="F101">Common_InputFunctions.Utility_DisplayArrayInTable(Fertiliser_SourceData.Fertiliser_Products_Data1(), FertiliserProducts[[#Headers],[Company]],1)</f>
        <v>kg</v>
      </c>
      <c r="G101" s="109" cm="1">
        <f t="array" ref="G101">Common_InputFunctions.Utility_DisplayArrayInTable(Fertiliser_SourceData.Fertiliser_Products_Data1(), FertiliserProducts[[#Headers],[Company]],1)</f>
        <v>1</v>
      </c>
      <c r="H101" s="109" t="str" cm="1">
        <f t="array" ref="H101">Common_InputFunctions.Utility_DisplayArrayInTable(Fertiliser_SourceData.Fertiliser_Products_Data1(), FertiliserProducts[[#Headers],[Company]],1)</f>
        <v/>
      </c>
      <c r="I101" s="109" t="str" cm="1">
        <f t="array" ref="I101">Common_InputFunctions.Utility_DisplayArrayInTable(Fertiliser_SourceData.Fertiliser_Products_Data1(), FertiliserProducts[[#Headers],[Company]],1)</f>
        <v/>
      </c>
      <c r="J101" s="109" t="str" cm="1">
        <f t="array" ref="J101">Common_InputFunctions.Utility_DisplayArrayInTable(Fertiliser_SourceData.Fertiliser_Products_Data1(), FertiliserProducts[[#Headers],[Company]],1)</f>
        <v/>
      </c>
      <c r="K101" s="109" cm="1">
        <f t="array" ref="K101">Common_InputFunctions.Utility_DisplayArrayInTable(Fertiliser_SourceData.Fertiliser_Products_Data1(), FertiliserProducts[[#Headers],[Company]],1)</f>
        <v>17</v>
      </c>
      <c r="L101" s="109" cm="1">
        <f t="array" ref="L101">Common_InputFunctions.Utility_DisplayArrayInTable(Fertiliser_SourceData.Fertiliser_Products_Data1(), FertiliserProducts[[#Headers],[Company]],1)</f>
        <v>0.04</v>
      </c>
      <c r="M101" s="109" cm="1">
        <f t="array" ref="M101">Common_InputFunctions.Utility_DisplayArrayInTable(Fertiliser_SourceData.Fertiliser_Products_Data1(), FertiliserProducts[[#Headers],[Company]],1)</f>
        <v>11.6</v>
      </c>
      <c r="N101" s="109" cm="1">
        <f t="array" ref="N101">Common_InputFunctions.Utility_DisplayArrayInTable(Fertiliser_SourceData.Fertiliser_Products_Data1(), FertiliserProducts[[#Headers],[Company]],1)</f>
        <v>0.5</v>
      </c>
      <c r="O101" s="109" t="str" cm="1">
        <f t="array" ref="O101">Common_InputFunctions.Utility_DisplayArrayInTable(Fertiliser_SourceData.Fertiliser_Products_Data1(), FertiliserProducts[[#Headers],[Company]],1)</f>
        <v>Muriate of potash (MOP)</v>
      </c>
      <c r="P101" s="109" cm="1">
        <f t="array" ref="P101">Common_InputFunctions.Utility_DisplayArrayInTable(Fertiliser_SourceData.Fertiliser_Products_Data1(), FertiliserProducts[[#Headers],[Company]],1)</f>
        <v>0.23200000000000001</v>
      </c>
      <c r="Q101" s="109" t="str" cm="1">
        <f t="array" ref="Q101">Common_InputFunctions.Utility_DisplayArrayInTable(Fertiliser_SourceData.Fertiliser_Products_Data1(), FertiliserProducts[[#Headers],[Company]],1)</f>
        <v>Nitrogen - Generic</v>
      </c>
      <c r="R101" s="109" cm="1">
        <f t="array" ref="R101">Common_InputFunctions.Utility_DisplayArrayInTable(Fertiliser_SourceData.Fertiliser_Products_Data1(), FertiliserProducts[[#Headers],[Company]],1)</f>
        <v>0.17</v>
      </c>
      <c r="S101" s="109" t="str" cm="1">
        <f t="array" ref="S101">Common_InputFunctions.Utility_DisplayArrayInTable(Fertiliser_SourceData.Fertiliser_Products_Data1(), FertiliserProducts[[#Headers],[Company]],1)</f>
        <v>Sulfur - Generic</v>
      </c>
      <c r="T101" s="109" cm="1">
        <f t="array" ref="T101">Common_InputFunctions.Utility_DisplayArrayInTable(Fertiliser_SourceData.Fertiliser_Products_Data1(), FertiliserProducts[[#Headers],[Company]],1)</f>
        <v>5.0000000000000001E-3</v>
      </c>
      <c r="U101" s="109" t="str" cm="1">
        <f t="array" ref="U101">Common_InputFunctions.Utility_DisplayArrayInTable(Fertiliser_SourceData.Fertiliser_Products_Data1(), FertiliserProducts[[#Headers],[Company]],1)</f>
        <v>Magnesium</v>
      </c>
      <c r="V101" s="109" cm="1">
        <f t="array" ref="V101">Common_InputFunctions.Utility_DisplayArrayInTable(Fertiliser_SourceData.Fertiliser_Products_Data1(), FertiliserProducts[[#Headers],[Company]],1)</f>
        <v>2.3999999999999998E-3</v>
      </c>
      <c r="W101" s="109" t="str" cm="1">
        <f t="array" ref="W101">Common_InputFunctions.Utility_DisplayArrayInTable(Fertiliser_SourceData.Fertiliser_Products_Data1(), FertiliserProducts[[#Headers],[Company]],1)</f>
        <v>Phosphorus - Generic</v>
      </c>
      <c r="X101" s="109" cm="1">
        <f t="array" ref="X101">Common_InputFunctions.Utility_DisplayArrayInTable(Fertiliser_SourceData.Fertiliser_Products_Data1(), FertiliserProducts[[#Headers],[Company]],1)</f>
        <v>4.0000000000000002E-4</v>
      </c>
      <c r="Y101" s="109" t="str" cm="1">
        <f t="array" ref="Y101">Common_InputFunctions.Utility_DisplayArrayInTable(Fertiliser_SourceData.Fertiliser_Products_Data1(), FertiliserProducts[[#Headers],[Company]],1)</f>
        <v/>
      </c>
      <c r="Z101" s="109" t="str" cm="1">
        <f t="array" ref="Z101">Common_InputFunctions.Utility_DisplayArrayInTable(Fertiliser_SourceData.Fertiliser_Products_Data1(), FertiliserProducts[[#Headers],[Company]],1)</f>
        <v/>
      </c>
      <c r="AA101" s="109" t="str" cm="1">
        <f t="array" ref="AA101">Common_InputFunctions.Utility_DisplayArrayInTable(Fertiliser_SourceData.Fertiliser_Products_Data1(), FertiliserProducts[[#Headers],[Company]],1)</f>
        <v/>
      </c>
      <c r="AB101" s="109" t="str" cm="1">
        <f t="array" ref="AB101">Common_InputFunctions.Utility_DisplayArrayInTable(Fertiliser_SourceData.Fertiliser_Products_Data1(), FertiliserProducts[[#Headers],[Company]],1)</f>
        <v/>
      </c>
      <c r="AC101" s="109" t="str" cm="1">
        <f t="array" ref="AC101">Common_InputFunctions.Utility_DisplayArrayInTable(Fertiliser_SourceData.Fertiliser_Products_Data1(), FertiliserProducts[[#Headers],[Company]],1)</f>
        <v/>
      </c>
      <c r="AD101" s="109" t="str" cm="1">
        <f t="array" ref="AD101">Common_InputFunctions.Utility_DisplayArrayInTable(Fertiliser_SourceData.Fertiliser_Products_Data1(), FertiliserProducts[[#Headers],[Company]],1)</f>
        <v/>
      </c>
      <c r="AE101" s="109" t="str" cm="1">
        <f t="array" ref="AE101">Common_InputFunctions.Utility_DisplayArrayInTable(Fertiliser_SourceData.Fertiliser_Products_Data1(), FertiliserProducts[[#Headers],[Company]],1)</f>
        <v/>
      </c>
      <c r="AF101" s="109" t="str" cm="1">
        <f t="array" ref="AF101">Common_InputFunctions.Utility_DisplayArrayInTable(Fertiliser_SourceData.Fertiliser_Products_Data1(), FertiliserProducts[[#Headers],[Company]],1)</f>
        <v/>
      </c>
      <c r="AG101" s="109" t="str" cm="1">
        <f t="array" ref="AG101">Common_InputFunctions.Utility_DisplayArrayInTable(Fertiliser_SourceData.Fertiliser_Products_Data1(), FertiliserProducts[[#Headers],[Company]],1)</f>
        <v/>
      </c>
      <c r="AH101" s="109"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09" t="str" cm="1">
        <f t="array" ref="D102">Common_InputFunctions.Utility_DisplayArrayInTable(Fertiliser_SourceData.Fertiliser_Products_Data1(), FertiliserProducts[[#Headers],[Company]],1)</f>
        <v>Campbells fertilisers Australia</v>
      </c>
      <c r="E102" s="109" t="str" cm="1">
        <f t="array" ref="E102">Common_InputFunctions.Utility_DisplayArrayInTable(Fertiliser_SourceData.Fertiliser_Products_Data1(), FertiliserProducts[[#Headers],[Company]],1)</f>
        <v>Calbit C</v>
      </c>
      <c r="F102" s="109" t="str" cm="1">
        <f t="array" ref="F102">Common_InputFunctions.Utility_DisplayArrayInTable(Fertiliser_SourceData.Fertiliser_Products_Data1(), FertiliserProducts[[#Headers],[Company]],1)</f>
        <v>L</v>
      </c>
      <c r="G102" s="109" cm="1">
        <f t="array" ref="G102">Common_InputFunctions.Utility_DisplayArrayInTable(Fertiliser_SourceData.Fertiliser_Products_Data1(), FertiliserProducts[[#Headers],[Company]],1)</f>
        <v>1.45</v>
      </c>
      <c r="H102" s="109" t="str" cm="1">
        <f t="array" ref="H102">Common_InputFunctions.Utility_DisplayArrayInTable(Fertiliser_SourceData.Fertiliser_Products_Data1(), FertiliserProducts[[#Headers],[Company]],1)</f>
        <v/>
      </c>
      <c r="I102" s="109" t="str" cm="1">
        <f t="array" ref="I102">Common_InputFunctions.Utility_DisplayArrayInTable(Fertiliser_SourceData.Fertiliser_Products_Data1(), FertiliserProducts[[#Headers],[Company]],1)</f>
        <v/>
      </c>
      <c r="J102" s="109" t="str" cm="1">
        <f t="array" ref="J102">Common_InputFunctions.Utility_DisplayArrayInTable(Fertiliser_SourceData.Fertiliser_Products_Data1(), FertiliserProducts[[#Headers],[Company]],1)</f>
        <v/>
      </c>
      <c r="K102" s="109" t="str" cm="1">
        <f t="array" ref="K102">Common_InputFunctions.Utility_DisplayArrayInTable(Fertiliser_SourceData.Fertiliser_Products_Data1(), FertiliserProducts[[#Headers],[Company]],1)</f>
        <v/>
      </c>
      <c r="L102" s="109" t="str" cm="1">
        <f t="array" ref="L102">Common_InputFunctions.Utility_DisplayArrayInTable(Fertiliser_SourceData.Fertiliser_Products_Data1(), FertiliserProducts[[#Headers],[Company]],1)</f>
        <v/>
      </c>
      <c r="M102" s="109" t="str" cm="1">
        <f t="array" ref="M102">Common_InputFunctions.Utility_DisplayArrayInTable(Fertiliser_SourceData.Fertiliser_Products_Data1(), FertiliserProducts[[#Headers],[Company]],1)</f>
        <v/>
      </c>
      <c r="N102" s="109" t="str" cm="1">
        <f t="array" ref="N102">Common_InputFunctions.Utility_DisplayArrayInTable(Fertiliser_SourceData.Fertiliser_Products_Data1(), FertiliserProducts[[#Headers],[Company]],1)</f>
        <v/>
      </c>
      <c r="O102" s="109" t="str" cm="1">
        <f t="array" ref="O102">Common_InputFunctions.Utility_DisplayArrayInTable(Fertiliser_SourceData.Fertiliser_Products_Data1(), FertiliserProducts[[#Headers],[Company]],1)</f>
        <v>Calcium</v>
      </c>
      <c r="P102" s="109" cm="1">
        <f t="array" ref="P102">Common_InputFunctions.Utility_DisplayArrayInTable(Fertiliser_SourceData.Fertiliser_Products_Data1(), FertiliserProducts[[#Headers],[Company]],1)</f>
        <v>0.107</v>
      </c>
      <c r="Q102" s="109" t="str" cm="1">
        <f t="array" ref="Q102">Common_InputFunctions.Utility_DisplayArrayInTable(Fertiliser_SourceData.Fertiliser_Products_Data1(), FertiliserProducts[[#Headers],[Company]],1)</f>
        <v/>
      </c>
      <c r="R102" s="109" t="str" cm="1">
        <f t="array" ref="R102">Common_InputFunctions.Utility_DisplayArrayInTable(Fertiliser_SourceData.Fertiliser_Products_Data1(), FertiliserProducts[[#Headers],[Company]],1)</f>
        <v/>
      </c>
      <c r="S102" s="109" t="str" cm="1">
        <f t="array" ref="S102">Common_InputFunctions.Utility_DisplayArrayInTable(Fertiliser_SourceData.Fertiliser_Products_Data1(), FertiliserProducts[[#Headers],[Company]],1)</f>
        <v/>
      </c>
      <c r="T102" s="109" t="str" cm="1">
        <f t="array" ref="T102">Common_InputFunctions.Utility_DisplayArrayInTable(Fertiliser_SourceData.Fertiliser_Products_Data1(), FertiliserProducts[[#Headers],[Company]],1)</f>
        <v/>
      </c>
      <c r="U102" s="109" t="str" cm="1">
        <f t="array" ref="U102">Common_InputFunctions.Utility_DisplayArrayInTable(Fertiliser_SourceData.Fertiliser_Products_Data1(), FertiliserProducts[[#Headers],[Company]],1)</f>
        <v/>
      </c>
      <c r="V102" s="109" t="str" cm="1">
        <f t="array" ref="V102">Common_InputFunctions.Utility_DisplayArrayInTable(Fertiliser_SourceData.Fertiliser_Products_Data1(), FertiliserProducts[[#Headers],[Company]],1)</f>
        <v/>
      </c>
      <c r="W102" s="109" t="str" cm="1">
        <f t="array" ref="W102">Common_InputFunctions.Utility_DisplayArrayInTable(Fertiliser_SourceData.Fertiliser_Products_Data1(), FertiliserProducts[[#Headers],[Company]],1)</f>
        <v/>
      </c>
      <c r="X102" s="109" t="str" cm="1">
        <f t="array" ref="X102">Common_InputFunctions.Utility_DisplayArrayInTable(Fertiliser_SourceData.Fertiliser_Products_Data1(), FertiliserProducts[[#Headers],[Company]],1)</f>
        <v/>
      </c>
      <c r="Y102" s="109" t="str" cm="1">
        <f t="array" ref="Y102">Common_InputFunctions.Utility_DisplayArrayInTable(Fertiliser_SourceData.Fertiliser_Products_Data1(), FertiliserProducts[[#Headers],[Company]],1)</f>
        <v/>
      </c>
      <c r="Z102" s="109" t="str" cm="1">
        <f t="array" ref="Z102">Common_InputFunctions.Utility_DisplayArrayInTable(Fertiliser_SourceData.Fertiliser_Products_Data1(), FertiliserProducts[[#Headers],[Company]],1)</f>
        <v/>
      </c>
      <c r="AA102" s="109" t="str" cm="1">
        <f t="array" ref="AA102">Common_InputFunctions.Utility_DisplayArrayInTable(Fertiliser_SourceData.Fertiliser_Products_Data1(), FertiliserProducts[[#Headers],[Company]],1)</f>
        <v/>
      </c>
      <c r="AB102" s="109" t="str" cm="1">
        <f t="array" ref="AB102">Common_InputFunctions.Utility_DisplayArrayInTable(Fertiliser_SourceData.Fertiliser_Products_Data1(), FertiliserProducts[[#Headers],[Company]],1)</f>
        <v/>
      </c>
      <c r="AC102" s="109" t="str" cm="1">
        <f t="array" ref="AC102">Common_InputFunctions.Utility_DisplayArrayInTable(Fertiliser_SourceData.Fertiliser_Products_Data1(), FertiliserProducts[[#Headers],[Company]],1)</f>
        <v/>
      </c>
      <c r="AD102" s="109" t="str" cm="1">
        <f t="array" ref="AD102">Common_InputFunctions.Utility_DisplayArrayInTable(Fertiliser_SourceData.Fertiliser_Products_Data1(), FertiliserProducts[[#Headers],[Company]],1)</f>
        <v/>
      </c>
      <c r="AE102" s="109" t="str" cm="1">
        <f t="array" ref="AE102">Common_InputFunctions.Utility_DisplayArrayInTable(Fertiliser_SourceData.Fertiliser_Products_Data1(), FertiliserProducts[[#Headers],[Company]],1)</f>
        <v/>
      </c>
      <c r="AF102" s="109" t="str" cm="1">
        <f t="array" ref="AF102">Common_InputFunctions.Utility_DisplayArrayInTable(Fertiliser_SourceData.Fertiliser_Products_Data1(), FertiliserProducts[[#Headers],[Company]],1)</f>
        <v/>
      </c>
      <c r="AG102" s="109" t="str" cm="1">
        <f t="array" ref="AG102">Common_InputFunctions.Utility_DisplayArrayInTable(Fertiliser_SourceData.Fertiliser_Products_Data1(), FertiliserProducts[[#Headers],[Company]],1)</f>
        <v/>
      </c>
      <c r="AH102" s="109"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09" t="str" cm="1">
        <f t="array" ref="D103">Common_InputFunctions.Utility_DisplayArrayInTable(Fertiliser_SourceData.Fertiliser_Products_Data1(), FertiliserProducts[[#Headers],[Company]],1)</f>
        <v>Campbells fertilisers Australia</v>
      </c>
      <c r="E103" s="109" t="str" cm="1">
        <f t="array" ref="E103">Common_InputFunctions.Utility_DisplayArrayInTable(Fertiliser_SourceData.Fertiliser_Products_Data1(), FertiliserProducts[[#Headers],[Company]],1)</f>
        <v>Compass</v>
      </c>
      <c r="F103" s="109" t="str" cm="1">
        <f t="array" ref="F103">Common_InputFunctions.Utility_DisplayArrayInTable(Fertiliser_SourceData.Fertiliser_Products_Data1(), FertiliserProducts[[#Headers],[Company]],1)</f>
        <v>kg</v>
      </c>
      <c r="G103" s="109" cm="1">
        <f t="array" ref="G103">Common_InputFunctions.Utility_DisplayArrayInTable(Fertiliser_SourceData.Fertiliser_Products_Data1(), FertiliserProducts[[#Headers],[Company]],1)</f>
        <v>1</v>
      </c>
      <c r="H103" s="109" t="str" cm="1">
        <f t="array" ref="H103">Common_InputFunctions.Utility_DisplayArrayInTable(Fertiliser_SourceData.Fertiliser_Products_Data1(), FertiliserProducts[[#Headers],[Company]],1)</f>
        <v/>
      </c>
      <c r="I103" s="109" t="str" cm="1">
        <f t="array" ref="I103">Common_InputFunctions.Utility_DisplayArrayInTable(Fertiliser_SourceData.Fertiliser_Products_Data1(), FertiliserProducts[[#Headers],[Company]],1)</f>
        <v/>
      </c>
      <c r="J103" s="109" t="str" cm="1">
        <f t="array" ref="J103">Common_InputFunctions.Utility_DisplayArrayInTable(Fertiliser_SourceData.Fertiliser_Products_Data1(), FertiliserProducts[[#Headers],[Company]],1)</f>
        <v/>
      </c>
      <c r="K103" s="109" cm="1">
        <f t="array" ref="K103">Common_InputFunctions.Utility_DisplayArrayInTable(Fertiliser_SourceData.Fertiliser_Products_Data1(), FertiliserProducts[[#Headers],[Company]],1)</f>
        <v>15</v>
      </c>
      <c r="L103" s="109" cm="1">
        <f t="array" ref="L103">Common_InputFunctions.Utility_DisplayArrayInTable(Fertiliser_SourceData.Fertiliser_Products_Data1(), FertiliserProducts[[#Headers],[Company]],1)</f>
        <v>6.5</v>
      </c>
      <c r="M103" s="109" cm="1">
        <f t="array" ref="M103">Common_InputFunctions.Utility_DisplayArrayInTable(Fertiliser_SourceData.Fertiliser_Products_Data1(), FertiliserProducts[[#Headers],[Company]],1)</f>
        <v>12.5</v>
      </c>
      <c r="N103" s="109" cm="1">
        <f t="array" ref="N103">Common_InputFunctions.Utility_DisplayArrayInTable(Fertiliser_SourceData.Fertiliser_Products_Data1(), FertiliserProducts[[#Headers],[Company]],1)</f>
        <v>6</v>
      </c>
      <c r="O103" s="109" t="str" cm="1">
        <f t="array" ref="O103">Common_InputFunctions.Utility_DisplayArrayInTable(Fertiliser_SourceData.Fertiliser_Products_Data1(), FertiliserProducts[[#Headers],[Company]],1)</f>
        <v>Nitrogen - Ammoniacal</v>
      </c>
      <c r="P103" s="109" cm="1">
        <f t="array" ref="P103">Common_InputFunctions.Utility_DisplayArrayInTable(Fertiliser_SourceData.Fertiliser_Products_Data1(), FertiliserProducts[[#Headers],[Company]],1)</f>
        <v>7.4999999999999997E-2</v>
      </c>
      <c r="Q103" s="109" t="str" cm="1">
        <f t="array" ref="Q103">Common_InputFunctions.Utility_DisplayArrayInTable(Fertiliser_SourceData.Fertiliser_Products_Data1(), FertiliserProducts[[#Headers],[Company]],1)</f>
        <v>Nitrogen - Nitrate</v>
      </c>
      <c r="R103" s="109" cm="1">
        <f t="array" ref="R103">Common_InputFunctions.Utility_DisplayArrayInTable(Fertiliser_SourceData.Fertiliser_Products_Data1(), FertiliserProducts[[#Headers],[Company]],1)</f>
        <v>7.4999999999999997E-2</v>
      </c>
      <c r="S103" s="109" t="str" cm="1">
        <f t="array" ref="S103">Common_InputFunctions.Utility_DisplayArrayInTable(Fertiliser_SourceData.Fertiliser_Products_Data1(), FertiliserProducts[[#Headers],[Company]],1)</f>
        <v>Potassium - Generic</v>
      </c>
      <c r="T103" s="109" cm="1">
        <f t="array" ref="T103">Common_InputFunctions.Utility_DisplayArrayInTable(Fertiliser_SourceData.Fertiliser_Products_Data1(), FertiliserProducts[[#Headers],[Company]],1)</f>
        <v>0.125</v>
      </c>
      <c r="U103" s="109" t="str" cm="1">
        <f t="array" ref="U103">Common_InputFunctions.Utility_DisplayArrayInTable(Fertiliser_SourceData.Fertiliser_Products_Data1(), FertiliserProducts[[#Headers],[Company]],1)</f>
        <v>Phosphorus - Generic</v>
      </c>
      <c r="V103" s="109" cm="1">
        <f t="array" ref="V103">Common_InputFunctions.Utility_DisplayArrayInTable(Fertiliser_SourceData.Fertiliser_Products_Data1(), FertiliserProducts[[#Headers],[Company]],1)</f>
        <v>6.5000000000000002E-2</v>
      </c>
      <c r="W103" s="109" t="str" cm="1">
        <f t="array" ref="W103">Common_InputFunctions.Utility_DisplayArrayInTable(Fertiliser_SourceData.Fertiliser_Products_Data1(), FertiliserProducts[[#Headers],[Company]],1)</f>
        <v>Sulfur - Generic</v>
      </c>
      <c r="X103" s="109" cm="1">
        <f t="array" ref="X103">Common_InputFunctions.Utility_DisplayArrayInTable(Fertiliser_SourceData.Fertiliser_Products_Data1(), FertiliserProducts[[#Headers],[Company]],1)</f>
        <v>0.06</v>
      </c>
      <c r="Y103" s="109" t="str" cm="1">
        <f t="array" ref="Y103">Common_InputFunctions.Utility_DisplayArrayInTable(Fertiliser_SourceData.Fertiliser_Products_Data1(), FertiliserProducts[[#Headers],[Company]],1)</f>
        <v/>
      </c>
      <c r="Z103" s="109" t="str" cm="1">
        <f t="array" ref="Z103">Common_InputFunctions.Utility_DisplayArrayInTable(Fertiliser_SourceData.Fertiliser_Products_Data1(), FertiliserProducts[[#Headers],[Company]],1)</f>
        <v/>
      </c>
      <c r="AA103" s="109" t="str" cm="1">
        <f t="array" ref="AA103">Common_InputFunctions.Utility_DisplayArrayInTable(Fertiliser_SourceData.Fertiliser_Products_Data1(), FertiliserProducts[[#Headers],[Company]],1)</f>
        <v/>
      </c>
      <c r="AB103" s="109" t="str" cm="1">
        <f t="array" ref="AB103">Common_InputFunctions.Utility_DisplayArrayInTable(Fertiliser_SourceData.Fertiliser_Products_Data1(), FertiliserProducts[[#Headers],[Company]],1)</f>
        <v/>
      </c>
      <c r="AC103" s="109" t="str" cm="1">
        <f t="array" ref="AC103">Common_InputFunctions.Utility_DisplayArrayInTable(Fertiliser_SourceData.Fertiliser_Products_Data1(), FertiliserProducts[[#Headers],[Company]],1)</f>
        <v/>
      </c>
      <c r="AD103" s="109" t="str" cm="1">
        <f t="array" ref="AD103">Common_InputFunctions.Utility_DisplayArrayInTable(Fertiliser_SourceData.Fertiliser_Products_Data1(), FertiliserProducts[[#Headers],[Company]],1)</f>
        <v/>
      </c>
      <c r="AE103" s="109" t="str" cm="1">
        <f t="array" ref="AE103">Common_InputFunctions.Utility_DisplayArrayInTable(Fertiliser_SourceData.Fertiliser_Products_Data1(), FertiliserProducts[[#Headers],[Company]],1)</f>
        <v/>
      </c>
      <c r="AF103" s="109" t="str" cm="1">
        <f t="array" ref="AF103">Common_InputFunctions.Utility_DisplayArrayInTable(Fertiliser_SourceData.Fertiliser_Products_Data1(), FertiliserProducts[[#Headers],[Company]],1)</f>
        <v/>
      </c>
      <c r="AG103" s="109" t="str" cm="1">
        <f t="array" ref="AG103">Common_InputFunctions.Utility_DisplayArrayInTable(Fertiliser_SourceData.Fertiliser_Products_Data1(), FertiliserProducts[[#Headers],[Company]],1)</f>
        <v/>
      </c>
      <c r="AH103" s="109"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09" t="str" cm="1">
        <f t="array" ref="D104">Common_InputFunctions.Utility_DisplayArrayInTable(Fertiliser_SourceData.Fertiliser_Products_Data1(), FertiliserProducts[[#Headers],[Company]],1)</f>
        <v>Campbells fertilisers Australia</v>
      </c>
      <c r="E104" s="109" t="str" cm="1">
        <f t="array" ref="E104">Common_InputFunctions.Utility_DisplayArrayInTable(Fertiliser_SourceData.Fertiliser_Products_Data1(), FertiliserProducts[[#Headers],[Company]],1)</f>
        <v>CoRoN 12-0-10</v>
      </c>
      <c r="F104" s="109" t="str" cm="1">
        <f t="array" ref="F104">Common_InputFunctions.Utility_DisplayArrayInTable(Fertiliser_SourceData.Fertiliser_Products_Data1(), FertiliserProducts[[#Headers],[Company]],1)</f>
        <v>L</v>
      </c>
      <c r="G104" s="109" cm="1">
        <f t="array" ref="G104">Common_InputFunctions.Utility_DisplayArrayInTable(Fertiliser_SourceData.Fertiliser_Products_Data1(), FertiliserProducts[[#Headers],[Company]],1)</f>
        <v>1.2150000000000001</v>
      </c>
      <c r="H104" s="109" t="str" cm="1">
        <f t="array" ref="H104">Common_InputFunctions.Utility_DisplayArrayInTable(Fertiliser_SourceData.Fertiliser_Products_Data1(), FertiliserProducts[[#Headers],[Company]],1)</f>
        <v/>
      </c>
      <c r="I104" s="109" t="str" cm="1">
        <f t="array" ref="I104">Common_InputFunctions.Utility_DisplayArrayInTable(Fertiliser_SourceData.Fertiliser_Products_Data1(), FertiliserProducts[[#Headers],[Company]],1)</f>
        <v/>
      </c>
      <c r="J104" s="109" t="str" cm="1">
        <f t="array" ref="J104">Common_InputFunctions.Utility_DisplayArrayInTable(Fertiliser_SourceData.Fertiliser_Products_Data1(), FertiliserProducts[[#Headers],[Company]],1)</f>
        <v/>
      </c>
      <c r="K104" s="109" cm="1">
        <f t="array" ref="K104">Common_InputFunctions.Utility_DisplayArrayInTable(Fertiliser_SourceData.Fertiliser_Products_Data1(), FertiliserProducts[[#Headers],[Company]],1)</f>
        <v>12</v>
      </c>
      <c r="L104" s="109" t="str" cm="1">
        <f t="array" ref="L104">Common_InputFunctions.Utility_DisplayArrayInTable(Fertiliser_SourceData.Fertiliser_Products_Data1(), FertiliserProducts[[#Headers],[Company]],1)</f>
        <v/>
      </c>
      <c r="M104" s="109" cm="1">
        <f t="array" ref="M104">Common_InputFunctions.Utility_DisplayArrayInTable(Fertiliser_SourceData.Fertiliser_Products_Data1(), FertiliserProducts[[#Headers],[Company]],1)</f>
        <v>10</v>
      </c>
      <c r="N104" s="109" t="str" cm="1">
        <f t="array" ref="N104">Common_InputFunctions.Utility_DisplayArrayInTable(Fertiliser_SourceData.Fertiliser_Products_Data1(), FertiliserProducts[[#Headers],[Company]],1)</f>
        <v/>
      </c>
      <c r="O104" s="109" t="str" cm="1">
        <f t="array" ref="O104">Common_InputFunctions.Utility_DisplayArrayInTable(Fertiliser_SourceData.Fertiliser_Products_Data1(), FertiliserProducts[[#Headers],[Company]],1)</f>
        <v>Urea</v>
      </c>
      <c r="P104" s="109" cm="1">
        <f t="array" ref="P104">Common_InputFunctions.Utility_DisplayArrayInTable(Fertiliser_SourceData.Fertiliser_Products_Data1(), FertiliserProducts[[#Headers],[Company]],1)</f>
        <v>0.19565199999999999</v>
      </c>
      <c r="Q104" s="109" t="str" cm="1">
        <f t="array" ref="Q104">Common_InputFunctions.Utility_DisplayArrayInTable(Fertiliser_SourceData.Fertiliser_Products_Data1(), FertiliserProducts[[#Headers],[Company]],1)</f>
        <v>Potassium - Generic</v>
      </c>
      <c r="R104" s="109" cm="1">
        <f t="array" ref="R104">Common_InputFunctions.Utility_DisplayArrayInTable(Fertiliser_SourceData.Fertiliser_Products_Data1(), FertiliserProducts[[#Headers],[Company]],1)</f>
        <v>0.1</v>
      </c>
      <c r="S104" s="109" t="str" cm="1">
        <f t="array" ref="S104">Common_InputFunctions.Utility_DisplayArrayInTable(Fertiliser_SourceData.Fertiliser_Products_Data1(), FertiliserProducts[[#Headers],[Company]],1)</f>
        <v>Nitrogen - Generic</v>
      </c>
      <c r="T104" s="109" cm="1">
        <f t="array" ref="T104">Common_InputFunctions.Utility_DisplayArrayInTable(Fertiliser_SourceData.Fertiliser_Products_Data1(), FertiliserProducts[[#Headers],[Company]],1)</f>
        <v>0.03</v>
      </c>
      <c r="U104" s="109" t="str" cm="1">
        <f t="array" ref="U104">Common_InputFunctions.Utility_DisplayArrayInTable(Fertiliser_SourceData.Fertiliser_Products_Data1(), FertiliserProducts[[#Headers],[Company]],1)</f>
        <v>Boron</v>
      </c>
      <c r="V104" s="109" cm="1">
        <f t="array" ref="V104">Common_InputFunctions.Utility_DisplayArrayInTable(Fertiliser_SourceData.Fertiliser_Products_Data1(), FertiliserProducts[[#Headers],[Company]],1)</f>
        <v>5.0000000000000001E-3</v>
      </c>
      <c r="W104" s="109" t="str" cm="1">
        <f t="array" ref="W104">Common_InputFunctions.Utility_DisplayArrayInTable(Fertiliser_SourceData.Fertiliser_Products_Data1(), FertiliserProducts[[#Headers],[Company]],1)</f>
        <v/>
      </c>
      <c r="X104" s="109" t="str" cm="1">
        <f t="array" ref="X104">Common_InputFunctions.Utility_DisplayArrayInTable(Fertiliser_SourceData.Fertiliser_Products_Data1(), FertiliserProducts[[#Headers],[Company]],1)</f>
        <v/>
      </c>
      <c r="Y104" s="109" t="str" cm="1">
        <f t="array" ref="Y104">Common_InputFunctions.Utility_DisplayArrayInTable(Fertiliser_SourceData.Fertiliser_Products_Data1(), FertiliserProducts[[#Headers],[Company]],1)</f>
        <v/>
      </c>
      <c r="Z104" s="109" t="str" cm="1">
        <f t="array" ref="Z104">Common_InputFunctions.Utility_DisplayArrayInTable(Fertiliser_SourceData.Fertiliser_Products_Data1(), FertiliserProducts[[#Headers],[Company]],1)</f>
        <v/>
      </c>
      <c r="AA104" s="109" t="str" cm="1">
        <f t="array" ref="AA104">Common_InputFunctions.Utility_DisplayArrayInTable(Fertiliser_SourceData.Fertiliser_Products_Data1(), FertiliserProducts[[#Headers],[Company]],1)</f>
        <v/>
      </c>
      <c r="AB104" s="109" t="str" cm="1">
        <f t="array" ref="AB104">Common_InputFunctions.Utility_DisplayArrayInTable(Fertiliser_SourceData.Fertiliser_Products_Data1(), FertiliserProducts[[#Headers],[Company]],1)</f>
        <v/>
      </c>
      <c r="AC104" s="109" t="str" cm="1">
        <f t="array" ref="AC104">Common_InputFunctions.Utility_DisplayArrayInTable(Fertiliser_SourceData.Fertiliser_Products_Data1(), FertiliserProducts[[#Headers],[Company]],1)</f>
        <v/>
      </c>
      <c r="AD104" s="109" t="str" cm="1">
        <f t="array" ref="AD104">Common_InputFunctions.Utility_DisplayArrayInTable(Fertiliser_SourceData.Fertiliser_Products_Data1(), FertiliserProducts[[#Headers],[Company]],1)</f>
        <v/>
      </c>
      <c r="AE104" s="109" t="str" cm="1">
        <f t="array" ref="AE104">Common_InputFunctions.Utility_DisplayArrayInTable(Fertiliser_SourceData.Fertiliser_Products_Data1(), FertiliserProducts[[#Headers],[Company]],1)</f>
        <v/>
      </c>
      <c r="AF104" s="109" t="str" cm="1">
        <f t="array" ref="AF104">Common_InputFunctions.Utility_DisplayArrayInTable(Fertiliser_SourceData.Fertiliser_Products_Data1(), FertiliserProducts[[#Headers],[Company]],1)</f>
        <v/>
      </c>
      <c r="AG104" s="109" t="str" cm="1">
        <f t="array" ref="AG104">Common_InputFunctions.Utility_DisplayArrayInTable(Fertiliser_SourceData.Fertiliser_Products_Data1(), FertiliserProducts[[#Headers],[Company]],1)</f>
        <v/>
      </c>
      <c r="AH104" s="109"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09" t="str" cm="1">
        <f t="array" ref="D105">Common_InputFunctions.Utility_DisplayArrayInTable(Fertiliser_SourceData.Fertiliser_Products_Data1(), FertiliserProducts[[#Headers],[Company]],1)</f>
        <v>Campbells fertilisers Australia</v>
      </c>
      <c r="E105" s="109" t="str" cm="1">
        <f t="array" ref="E105">Common_InputFunctions.Utility_DisplayArrayInTable(Fertiliser_SourceData.Fertiliser_Products_Data1(), FertiliserProducts[[#Headers],[Company]],1)</f>
        <v>Maximum Quick-N</v>
      </c>
      <c r="F105" s="109" t="str" cm="1">
        <f t="array" ref="F105">Common_InputFunctions.Utility_DisplayArrayInTable(Fertiliser_SourceData.Fertiliser_Products_Data1(), FertiliserProducts[[#Headers],[Company]],1)</f>
        <v>kg</v>
      </c>
      <c r="G105" s="109" cm="1">
        <f t="array" ref="G105">Common_InputFunctions.Utility_DisplayArrayInTable(Fertiliser_SourceData.Fertiliser_Products_Data1(), FertiliserProducts[[#Headers],[Company]],1)</f>
        <v>1</v>
      </c>
      <c r="H105" s="109" t="str" cm="1">
        <f t="array" ref="H105">Common_InputFunctions.Utility_DisplayArrayInTable(Fertiliser_SourceData.Fertiliser_Products_Data1(), FertiliserProducts[[#Headers],[Company]],1)</f>
        <v/>
      </c>
      <c r="I105" s="109" t="str" cm="1">
        <f t="array" ref="I105">Common_InputFunctions.Utility_DisplayArrayInTable(Fertiliser_SourceData.Fertiliser_Products_Data1(), FertiliserProducts[[#Headers],[Company]],1)</f>
        <v/>
      </c>
      <c r="J105" s="109" t="str" cm="1">
        <f t="array" ref="J105">Common_InputFunctions.Utility_DisplayArrayInTable(Fertiliser_SourceData.Fertiliser_Products_Data1(), FertiliserProducts[[#Headers],[Company]],1)</f>
        <v/>
      </c>
      <c r="K105" s="109" cm="1">
        <f t="array" ref="K105">Common_InputFunctions.Utility_DisplayArrayInTable(Fertiliser_SourceData.Fertiliser_Products_Data1(), FertiliserProducts[[#Headers],[Company]],1)</f>
        <v>21.66</v>
      </c>
      <c r="L105" s="109" t="str" cm="1">
        <f t="array" ref="L105">Common_InputFunctions.Utility_DisplayArrayInTable(Fertiliser_SourceData.Fertiliser_Products_Data1(), FertiliserProducts[[#Headers],[Company]],1)</f>
        <v/>
      </c>
      <c r="M105" s="109" t="str" cm="1">
        <f t="array" ref="M105">Common_InputFunctions.Utility_DisplayArrayInTable(Fertiliser_SourceData.Fertiliser_Products_Data1(), FertiliserProducts[[#Headers],[Company]],1)</f>
        <v/>
      </c>
      <c r="N105" s="109" cm="1">
        <f t="array" ref="N105">Common_InputFunctions.Utility_DisplayArrayInTable(Fertiliser_SourceData.Fertiliser_Products_Data1(), FertiliserProducts[[#Headers],[Company]],1)</f>
        <v>13.2</v>
      </c>
      <c r="O105" s="109" t="str" cm="1">
        <f t="array" ref="O105">Common_InputFunctions.Utility_DisplayArrayInTable(Fertiliser_SourceData.Fertiliser_Products_Data1(), FertiliserProducts[[#Headers],[Company]],1)</f>
        <v>Sulphate of ammonia (SOA)</v>
      </c>
      <c r="P105" s="109" cm="1">
        <f t="array" ref="P105">Common_InputFunctions.Utility_DisplayArrayInTable(Fertiliser_SourceData.Fertiliser_Products_Data1(), FertiliserProducts[[#Headers],[Company]],1)</f>
        <v>0.55000000000000004</v>
      </c>
      <c r="Q105" s="109" t="str" cm="1">
        <f t="array" ref="Q105">Common_InputFunctions.Utility_DisplayArrayInTable(Fertiliser_SourceData.Fertiliser_Products_Data1(), FertiliserProducts[[#Headers],[Company]],1)</f>
        <v>Ammonium nitrate (AN)</v>
      </c>
      <c r="R105" s="109" cm="1">
        <f t="array" ref="R105">Common_InputFunctions.Utility_DisplayArrayInTable(Fertiliser_SourceData.Fertiliser_Products_Data1(), FertiliserProducts[[#Headers],[Company]],1)</f>
        <v>0.3</v>
      </c>
      <c r="S105" s="109" t="str" cm="1">
        <f t="array" ref="S105">Common_InputFunctions.Utility_DisplayArrayInTable(Fertiliser_SourceData.Fertiliser_Products_Data1(), FertiliserProducts[[#Headers],[Company]],1)</f>
        <v/>
      </c>
      <c r="T105" s="109" t="str" cm="1">
        <f t="array" ref="T105">Common_InputFunctions.Utility_DisplayArrayInTable(Fertiliser_SourceData.Fertiliser_Products_Data1(), FertiliserProducts[[#Headers],[Company]],1)</f>
        <v/>
      </c>
      <c r="U105" s="109" t="str" cm="1">
        <f t="array" ref="U105">Common_InputFunctions.Utility_DisplayArrayInTable(Fertiliser_SourceData.Fertiliser_Products_Data1(), FertiliserProducts[[#Headers],[Company]],1)</f>
        <v/>
      </c>
      <c r="V105" s="109" t="str" cm="1">
        <f t="array" ref="V105">Common_InputFunctions.Utility_DisplayArrayInTable(Fertiliser_SourceData.Fertiliser_Products_Data1(), FertiliserProducts[[#Headers],[Company]],1)</f>
        <v/>
      </c>
      <c r="W105" s="109" t="str" cm="1">
        <f t="array" ref="W105">Common_InputFunctions.Utility_DisplayArrayInTable(Fertiliser_SourceData.Fertiliser_Products_Data1(), FertiliserProducts[[#Headers],[Company]],1)</f>
        <v/>
      </c>
      <c r="X105" s="109" t="str" cm="1">
        <f t="array" ref="X105">Common_InputFunctions.Utility_DisplayArrayInTable(Fertiliser_SourceData.Fertiliser_Products_Data1(), FertiliserProducts[[#Headers],[Company]],1)</f>
        <v/>
      </c>
      <c r="Y105" s="109" t="str" cm="1">
        <f t="array" ref="Y105">Common_InputFunctions.Utility_DisplayArrayInTable(Fertiliser_SourceData.Fertiliser_Products_Data1(), FertiliserProducts[[#Headers],[Company]],1)</f>
        <v/>
      </c>
      <c r="Z105" s="109" t="str" cm="1">
        <f t="array" ref="Z105">Common_InputFunctions.Utility_DisplayArrayInTable(Fertiliser_SourceData.Fertiliser_Products_Data1(), FertiliserProducts[[#Headers],[Company]],1)</f>
        <v/>
      </c>
      <c r="AA105" s="109" t="str" cm="1">
        <f t="array" ref="AA105">Common_InputFunctions.Utility_DisplayArrayInTable(Fertiliser_SourceData.Fertiliser_Products_Data1(), FertiliserProducts[[#Headers],[Company]],1)</f>
        <v/>
      </c>
      <c r="AB105" s="109" t="str" cm="1">
        <f t="array" ref="AB105">Common_InputFunctions.Utility_DisplayArrayInTable(Fertiliser_SourceData.Fertiliser_Products_Data1(), FertiliserProducts[[#Headers],[Company]],1)</f>
        <v/>
      </c>
      <c r="AC105" s="109" t="str" cm="1">
        <f t="array" ref="AC105">Common_InputFunctions.Utility_DisplayArrayInTable(Fertiliser_SourceData.Fertiliser_Products_Data1(), FertiliserProducts[[#Headers],[Company]],1)</f>
        <v/>
      </c>
      <c r="AD105" s="109" t="str" cm="1">
        <f t="array" ref="AD105">Common_InputFunctions.Utility_DisplayArrayInTable(Fertiliser_SourceData.Fertiliser_Products_Data1(), FertiliserProducts[[#Headers],[Company]],1)</f>
        <v/>
      </c>
      <c r="AE105" s="109" t="str" cm="1">
        <f t="array" ref="AE105">Common_InputFunctions.Utility_DisplayArrayInTable(Fertiliser_SourceData.Fertiliser_Products_Data1(), FertiliserProducts[[#Headers],[Company]],1)</f>
        <v/>
      </c>
      <c r="AF105" s="109" t="str" cm="1">
        <f t="array" ref="AF105">Common_InputFunctions.Utility_DisplayArrayInTable(Fertiliser_SourceData.Fertiliser_Products_Data1(), FertiliserProducts[[#Headers],[Company]],1)</f>
        <v/>
      </c>
      <c r="AG105" s="109" t="str" cm="1">
        <f t="array" ref="AG105">Common_InputFunctions.Utility_DisplayArrayInTable(Fertiliser_SourceData.Fertiliser_Products_Data1(), FertiliserProducts[[#Headers],[Company]],1)</f>
        <v/>
      </c>
      <c r="AH105" s="109"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09" t="str" cm="1">
        <f t="array" ref="D106">Common_InputFunctions.Utility_DisplayArrayInTable(Fertiliser_SourceData.Fertiliser_Products_Data1(), FertiliserProducts[[#Headers],[Company]],1)</f>
        <v>SL Tec</v>
      </c>
      <c r="E106" s="109" t="str" cm="1">
        <f t="array" ref="E106">Common_InputFunctions.Utility_DisplayArrayInTable(Fertiliser_SourceData.Fertiliser_Products_Data1(), FertiliserProducts[[#Headers],[Company]],1)</f>
        <v>Crop Booster PLUS</v>
      </c>
      <c r="F106" s="109" t="str" cm="1">
        <f t="array" ref="F106">Common_InputFunctions.Utility_DisplayArrayInTable(Fertiliser_SourceData.Fertiliser_Products_Data1(), FertiliserProducts[[#Headers],[Company]],1)</f>
        <v>L</v>
      </c>
      <c r="G106" s="109" cm="1">
        <f t="array" ref="G106">Common_InputFunctions.Utility_DisplayArrayInTable(Fertiliser_SourceData.Fertiliser_Products_Data1(), FertiliserProducts[[#Headers],[Company]],1)</f>
        <v>1.319</v>
      </c>
      <c r="H106" s="109" t="str" cm="1">
        <f t="array" ref="H106">Common_InputFunctions.Utility_DisplayArrayInTable(Fertiliser_SourceData.Fertiliser_Products_Data1(), FertiliserProducts[[#Headers],[Company]],1)</f>
        <v/>
      </c>
      <c r="I106" s="109" t="str" cm="1">
        <f t="array" ref="I106">Common_InputFunctions.Utility_DisplayArrayInTable(Fertiliser_SourceData.Fertiliser_Products_Data1(), FertiliserProducts[[#Headers],[Company]],1)</f>
        <v/>
      </c>
      <c r="J106" s="109" t="str" cm="1">
        <f t="array" ref="J106">Common_InputFunctions.Utility_DisplayArrayInTable(Fertiliser_SourceData.Fertiliser_Products_Data1(), FertiliserProducts[[#Headers],[Company]],1)</f>
        <v/>
      </c>
      <c r="K106" s="109" cm="1">
        <f t="array" ref="K106">Common_InputFunctions.Utility_DisplayArrayInTable(Fertiliser_SourceData.Fertiliser_Products_Data1(), FertiliserProducts[[#Headers],[Company]],1)</f>
        <v>5</v>
      </c>
      <c r="L106" s="109" cm="1">
        <f t="array" ref="L106">Common_InputFunctions.Utility_DisplayArrayInTable(Fertiliser_SourceData.Fertiliser_Products_Data1(), FertiliserProducts[[#Headers],[Company]],1)</f>
        <v>15</v>
      </c>
      <c r="M106" s="109" cm="1">
        <f t="array" ref="M106">Common_InputFunctions.Utility_DisplayArrayInTable(Fertiliser_SourceData.Fertiliser_Products_Data1(), FertiliserProducts[[#Headers],[Company]],1)</f>
        <v>2.1</v>
      </c>
      <c r="N106" s="109" t="str" cm="1">
        <f t="array" ref="N106">Common_InputFunctions.Utility_DisplayArrayInTable(Fertiliser_SourceData.Fertiliser_Products_Data1(), FertiliserProducts[[#Headers],[Company]],1)</f>
        <v/>
      </c>
      <c r="O106" s="109" t="str" cm="1">
        <f t="array" ref="O106">Common_InputFunctions.Utility_DisplayArrayInTable(Fertiliser_SourceData.Fertiliser_Products_Data1(), FertiliserProducts[[#Headers],[Company]],1)</f>
        <v>Phosphorus - Generic</v>
      </c>
      <c r="P106" s="109" cm="1">
        <f t="array" ref="P106">Common_InputFunctions.Utility_DisplayArrayInTable(Fertiliser_SourceData.Fertiliser_Products_Data1(), FertiliserProducts[[#Headers],[Company]],1)</f>
        <v>0.15</v>
      </c>
      <c r="Q106" s="109" t="str" cm="1">
        <f t="array" ref="Q106">Common_InputFunctions.Utility_DisplayArrayInTable(Fertiliser_SourceData.Fertiliser_Products_Data1(), FertiliserProducts[[#Headers],[Company]],1)</f>
        <v>Calcium</v>
      </c>
      <c r="R106" s="109" cm="1">
        <f t="array" ref="R106">Common_InputFunctions.Utility_DisplayArrayInTable(Fertiliser_SourceData.Fertiliser_Products_Data1(), FertiliserProducts[[#Headers],[Company]],1)</f>
        <v>0.04</v>
      </c>
      <c r="S106" s="109" t="str" cm="1">
        <f t="array" ref="S106">Common_InputFunctions.Utility_DisplayArrayInTable(Fertiliser_SourceData.Fertiliser_Products_Data1(), FertiliserProducts[[#Headers],[Company]],1)</f>
        <v>Nitrogen - Ammoniacal</v>
      </c>
      <c r="T106" s="109" cm="1">
        <f t="array" ref="T106">Common_InputFunctions.Utility_DisplayArrayInTable(Fertiliser_SourceData.Fertiliser_Products_Data1(), FertiliserProducts[[#Headers],[Company]],1)</f>
        <v>2.9000000000000001E-2</v>
      </c>
      <c r="U106" s="109" t="str" cm="1">
        <f t="array" ref="U106">Common_InputFunctions.Utility_DisplayArrayInTable(Fertiliser_SourceData.Fertiliser_Products_Data1(), FertiliserProducts[[#Headers],[Company]],1)</f>
        <v>Nitrogen - Nitrate</v>
      </c>
      <c r="V106" s="109" cm="1">
        <f t="array" ref="V106">Common_InputFunctions.Utility_DisplayArrayInTable(Fertiliser_SourceData.Fertiliser_Products_Data1(), FertiliserProducts[[#Headers],[Company]],1)</f>
        <v>2.1000000000000001E-2</v>
      </c>
      <c r="W106" s="109" t="str" cm="1">
        <f t="array" ref="W106">Common_InputFunctions.Utility_DisplayArrayInTable(Fertiliser_SourceData.Fertiliser_Products_Data1(), FertiliserProducts[[#Headers],[Company]],1)</f>
        <v>Potassium - Generic</v>
      </c>
      <c r="X106" s="109" cm="1">
        <f t="array" ref="X106">Common_InputFunctions.Utility_DisplayArrayInTable(Fertiliser_SourceData.Fertiliser_Products_Data1(), FertiliserProducts[[#Headers],[Company]],1)</f>
        <v>2.1000000000000001E-2</v>
      </c>
      <c r="Y106" s="109" t="str" cm="1">
        <f t="array" ref="Y106">Common_InputFunctions.Utility_DisplayArrayInTable(Fertiliser_SourceData.Fertiliser_Products_Data1(), FertiliserProducts[[#Headers],[Company]],1)</f>
        <v>Copper</v>
      </c>
      <c r="Z106" s="109" cm="1">
        <f t="array" ref="Z106">Common_InputFunctions.Utility_DisplayArrayInTable(Fertiliser_SourceData.Fertiliser_Products_Data1(), FertiliserProducts[[#Headers],[Company]],1)</f>
        <v>5.0000000000000001E-3</v>
      </c>
      <c r="AA106" s="109" t="str" cm="1">
        <f t="array" ref="AA106">Common_InputFunctions.Utility_DisplayArrayInTable(Fertiliser_SourceData.Fertiliser_Products_Data1(), FertiliserProducts[[#Headers],[Company]],1)</f>
        <v>Zinc</v>
      </c>
      <c r="AB106" s="109" cm="1">
        <f t="array" ref="AB106">Common_InputFunctions.Utility_DisplayArrayInTable(Fertiliser_SourceData.Fertiliser_Products_Data1(), FertiliserProducts[[#Headers],[Company]],1)</f>
        <v>4.0000000000000001E-3</v>
      </c>
      <c r="AC106" s="109" t="str" cm="1">
        <f t="array" ref="AC106">Common_InputFunctions.Utility_DisplayArrayInTable(Fertiliser_SourceData.Fertiliser_Products_Data1(), FertiliserProducts[[#Headers],[Company]],1)</f>
        <v>Manganese</v>
      </c>
      <c r="AD106" s="109" cm="1">
        <f t="array" ref="AD106">Common_InputFunctions.Utility_DisplayArrayInTable(Fertiliser_SourceData.Fertiliser_Products_Data1(), FertiliserProducts[[#Headers],[Company]],1)</f>
        <v>4.0000000000000001E-3</v>
      </c>
      <c r="AE106" s="109" t="str" cm="1">
        <f t="array" ref="AE106">Common_InputFunctions.Utility_DisplayArrayInTable(Fertiliser_SourceData.Fertiliser_Products_Data1(), FertiliserProducts[[#Headers],[Company]],1)</f>
        <v>Magnesium</v>
      </c>
      <c r="AF106" s="109" cm="1">
        <f t="array" ref="AF106">Common_InputFunctions.Utility_DisplayArrayInTable(Fertiliser_SourceData.Fertiliser_Products_Data1(), FertiliserProducts[[#Headers],[Company]],1)</f>
        <v>2E-3</v>
      </c>
      <c r="AG106" s="109" t="str" cm="1">
        <f t="array" ref="AG106">Common_InputFunctions.Utility_DisplayArrayInTable(Fertiliser_SourceData.Fertiliser_Products_Data1(), FertiliserProducts[[#Headers],[Company]],1)</f>
        <v/>
      </c>
      <c r="AH106" s="109"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09" t="str" cm="1">
        <f t="array" ref="D107">Common_InputFunctions.Utility_DisplayArrayInTable(Fertiliser_SourceData.Fertiliser_Products_Data1(), FertiliserProducts[[#Headers],[Company]],1)</f>
        <v>Risso-Chemical</v>
      </c>
      <c r="E107" s="109" t="str" cm="1">
        <f t="array" ref="E107">Common_InputFunctions.Utility_DisplayArrayInTable(Fertiliser_SourceData.Fertiliser_Products_Data1(), FertiliserProducts[[#Headers],[Company]],1)</f>
        <v>Ammonium Bicarbonate</v>
      </c>
      <c r="F107" s="109" t="str" cm="1">
        <f t="array" ref="F107">Common_InputFunctions.Utility_DisplayArrayInTable(Fertiliser_SourceData.Fertiliser_Products_Data1(), FertiliserProducts[[#Headers],[Company]],1)</f>
        <v>kg</v>
      </c>
      <c r="G107" s="109" cm="1">
        <f t="array" ref="G107">Common_InputFunctions.Utility_DisplayArrayInTable(Fertiliser_SourceData.Fertiliser_Products_Data1(), FertiliserProducts[[#Headers],[Company]],1)</f>
        <v>1</v>
      </c>
      <c r="H107" s="109" t="str" cm="1">
        <f t="array" ref="H107">Common_InputFunctions.Utility_DisplayArrayInTable(Fertiliser_SourceData.Fertiliser_Products_Data1(), FertiliserProducts[[#Headers],[Company]],1)</f>
        <v/>
      </c>
      <c r="I107" s="109" t="str" cm="1">
        <f t="array" ref="I107">Common_InputFunctions.Utility_DisplayArrayInTable(Fertiliser_SourceData.Fertiliser_Products_Data1(), FertiliserProducts[[#Headers],[Company]],1)</f>
        <v/>
      </c>
      <c r="J107" s="109" t="str" cm="1">
        <f t="array" ref="J107">Common_InputFunctions.Utility_DisplayArrayInTable(Fertiliser_SourceData.Fertiliser_Products_Data1(), FertiliserProducts[[#Headers],[Company]],1)</f>
        <v>China</v>
      </c>
      <c r="K107" s="109" cm="1">
        <f t="array" ref="K107">Common_InputFunctions.Utility_DisplayArrayInTable(Fertiliser_SourceData.Fertiliser_Products_Data1(), FertiliserProducts[[#Headers],[Company]],1)</f>
        <v>17.7</v>
      </c>
      <c r="L107" s="109" t="str" cm="1">
        <f t="array" ref="L107">Common_InputFunctions.Utility_DisplayArrayInTable(Fertiliser_SourceData.Fertiliser_Products_Data1(), FertiliserProducts[[#Headers],[Company]],1)</f>
        <v/>
      </c>
      <c r="M107" s="109" t="str" cm="1">
        <f t="array" ref="M107">Common_InputFunctions.Utility_DisplayArrayInTable(Fertiliser_SourceData.Fertiliser_Products_Data1(), FertiliserProducts[[#Headers],[Company]],1)</f>
        <v/>
      </c>
      <c r="N107" s="109" t="str" cm="1">
        <f t="array" ref="N107">Common_InputFunctions.Utility_DisplayArrayInTable(Fertiliser_SourceData.Fertiliser_Products_Data1(), FertiliserProducts[[#Headers],[Company]],1)</f>
        <v/>
      </c>
      <c r="O107" s="109" t="str" cm="1">
        <f t="array" ref="O107">Common_InputFunctions.Utility_DisplayArrayInTable(Fertiliser_SourceData.Fertiliser_Products_Data1(), FertiliserProducts[[#Headers],[Company]],1)</f>
        <v>Nitrogen - Ammoniacal</v>
      </c>
      <c r="P107" s="109" cm="1">
        <f t="array" ref="P107">Common_InputFunctions.Utility_DisplayArrayInTable(Fertiliser_SourceData.Fertiliser_Products_Data1(), FertiliserProducts[[#Headers],[Company]],1)</f>
        <v>0.17699999999999999</v>
      </c>
      <c r="Q107" s="109" t="str" cm="1">
        <f t="array" ref="Q107">Common_InputFunctions.Utility_DisplayArrayInTable(Fertiliser_SourceData.Fertiliser_Products_Data1(), FertiliserProducts[[#Headers],[Company]],1)</f>
        <v/>
      </c>
      <c r="R107" s="109" t="str" cm="1">
        <f t="array" ref="R107">Common_InputFunctions.Utility_DisplayArrayInTable(Fertiliser_SourceData.Fertiliser_Products_Data1(), FertiliserProducts[[#Headers],[Company]],1)</f>
        <v/>
      </c>
      <c r="S107" s="109" t="str" cm="1">
        <f t="array" ref="S107">Common_InputFunctions.Utility_DisplayArrayInTable(Fertiliser_SourceData.Fertiliser_Products_Data1(), FertiliserProducts[[#Headers],[Company]],1)</f>
        <v/>
      </c>
      <c r="T107" s="109" t="str" cm="1">
        <f t="array" ref="T107">Common_InputFunctions.Utility_DisplayArrayInTable(Fertiliser_SourceData.Fertiliser_Products_Data1(), FertiliserProducts[[#Headers],[Company]],1)</f>
        <v/>
      </c>
      <c r="U107" s="109" t="str" cm="1">
        <f t="array" ref="U107">Common_InputFunctions.Utility_DisplayArrayInTable(Fertiliser_SourceData.Fertiliser_Products_Data1(), FertiliserProducts[[#Headers],[Company]],1)</f>
        <v/>
      </c>
      <c r="V107" s="109" t="str" cm="1">
        <f t="array" ref="V107">Common_InputFunctions.Utility_DisplayArrayInTable(Fertiliser_SourceData.Fertiliser_Products_Data1(), FertiliserProducts[[#Headers],[Company]],1)</f>
        <v/>
      </c>
      <c r="W107" s="109" t="str" cm="1">
        <f t="array" ref="W107">Common_InputFunctions.Utility_DisplayArrayInTable(Fertiliser_SourceData.Fertiliser_Products_Data1(), FertiliserProducts[[#Headers],[Company]],1)</f>
        <v/>
      </c>
      <c r="X107" s="109" t="str" cm="1">
        <f t="array" ref="X107">Common_InputFunctions.Utility_DisplayArrayInTable(Fertiliser_SourceData.Fertiliser_Products_Data1(), FertiliserProducts[[#Headers],[Company]],1)</f>
        <v/>
      </c>
      <c r="Y107" s="109" t="str" cm="1">
        <f t="array" ref="Y107">Common_InputFunctions.Utility_DisplayArrayInTable(Fertiliser_SourceData.Fertiliser_Products_Data1(), FertiliserProducts[[#Headers],[Company]],1)</f>
        <v/>
      </c>
      <c r="Z107" s="109" t="str" cm="1">
        <f t="array" ref="Z107">Common_InputFunctions.Utility_DisplayArrayInTable(Fertiliser_SourceData.Fertiliser_Products_Data1(), FertiliserProducts[[#Headers],[Company]],1)</f>
        <v/>
      </c>
      <c r="AA107" s="109" t="str" cm="1">
        <f t="array" ref="AA107">Common_InputFunctions.Utility_DisplayArrayInTable(Fertiliser_SourceData.Fertiliser_Products_Data1(), FertiliserProducts[[#Headers],[Company]],1)</f>
        <v/>
      </c>
      <c r="AB107" s="109" t="str" cm="1">
        <f t="array" ref="AB107">Common_InputFunctions.Utility_DisplayArrayInTable(Fertiliser_SourceData.Fertiliser_Products_Data1(), FertiliserProducts[[#Headers],[Company]],1)</f>
        <v/>
      </c>
      <c r="AC107" s="109" t="str" cm="1">
        <f t="array" ref="AC107">Common_InputFunctions.Utility_DisplayArrayInTable(Fertiliser_SourceData.Fertiliser_Products_Data1(), FertiliserProducts[[#Headers],[Company]],1)</f>
        <v/>
      </c>
      <c r="AD107" s="109" t="str" cm="1">
        <f t="array" ref="AD107">Common_InputFunctions.Utility_DisplayArrayInTable(Fertiliser_SourceData.Fertiliser_Products_Data1(), FertiliserProducts[[#Headers],[Company]],1)</f>
        <v/>
      </c>
      <c r="AE107" s="109" t="str" cm="1">
        <f t="array" ref="AE107">Common_InputFunctions.Utility_DisplayArrayInTable(Fertiliser_SourceData.Fertiliser_Products_Data1(), FertiliserProducts[[#Headers],[Company]],1)</f>
        <v/>
      </c>
      <c r="AF107" s="109" t="str" cm="1">
        <f t="array" ref="AF107">Common_InputFunctions.Utility_DisplayArrayInTable(Fertiliser_SourceData.Fertiliser_Products_Data1(), FertiliserProducts[[#Headers],[Company]],1)</f>
        <v/>
      </c>
      <c r="AG107" s="109" t="str" cm="1">
        <f t="array" ref="AG107">Common_InputFunctions.Utility_DisplayArrayInTable(Fertiliser_SourceData.Fertiliser_Products_Data1(), FertiliserProducts[[#Headers],[Company]],1)</f>
        <v/>
      </c>
      <c r="AH107" s="109"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09" t="str" cm="1">
        <f t="array" ref="D108">Common_InputFunctions.Utility_DisplayArrayInTable(Fertiliser_SourceData.Fertiliser_Products_Data1(), FertiliserProducts[[#Headers],[Company]],1)</f>
        <v>Risso-Chemical</v>
      </c>
      <c r="E108" s="109" t="str" cm="1">
        <f t="array" ref="E108">Common_InputFunctions.Utility_DisplayArrayInTable(Fertiliser_SourceData.Fertiliser_Products_Data1(), FertiliserProducts[[#Headers],[Company]],1)</f>
        <v>Ammonium Sulfate</v>
      </c>
      <c r="F108" s="109" t="str" cm="1">
        <f t="array" ref="F108">Common_InputFunctions.Utility_DisplayArrayInTable(Fertiliser_SourceData.Fertiliser_Products_Data1(), FertiliserProducts[[#Headers],[Company]],1)</f>
        <v>kg</v>
      </c>
      <c r="G108" s="109" cm="1">
        <f t="array" ref="G108">Common_InputFunctions.Utility_DisplayArrayInTable(Fertiliser_SourceData.Fertiliser_Products_Data1(), FertiliserProducts[[#Headers],[Company]],1)</f>
        <v>1</v>
      </c>
      <c r="H108" s="109" t="str" cm="1">
        <f t="array" ref="H108">Common_InputFunctions.Utility_DisplayArrayInTable(Fertiliser_SourceData.Fertiliser_Products_Data1(), FertiliserProducts[[#Headers],[Company]],1)</f>
        <v/>
      </c>
      <c r="I108" s="109" t="str" cm="1">
        <f t="array" ref="I108">Common_InputFunctions.Utility_DisplayArrayInTable(Fertiliser_SourceData.Fertiliser_Products_Data1(), FertiliserProducts[[#Headers],[Company]],1)</f>
        <v/>
      </c>
      <c r="J108" s="109" t="str" cm="1">
        <f t="array" ref="J108">Common_InputFunctions.Utility_DisplayArrayInTable(Fertiliser_SourceData.Fertiliser_Products_Data1(), FertiliserProducts[[#Headers],[Company]],1)</f>
        <v>China</v>
      </c>
      <c r="K108" s="109" cm="1">
        <f t="array" ref="K108">Common_InputFunctions.Utility_DisplayArrayInTable(Fertiliser_SourceData.Fertiliser_Products_Data1(), FertiliserProducts[[#Headers],[Company]],1)</f>
        <v>21</v>
      </c>
      <c r="L108" s="109" t="str" cm="1">
        <f t="array" ref="L108">Common_InputFunctions.Utility_DisplayArrayInTable(Fertiliser_SourceData.Fertiliser_Products_Data1(), FertiliserProducts[[#Headers],[Company]],1)</f>
        <v/>
      </c>
      <c r="M108" s="109" t="str" cm="1">
        <f t="array" ref="M108">Common_InputFunctions.Utility_DisplayArrayInTable(Fertiliser_SourceData.Fertiliser_Products_Data1(), FertiliserProducts[[#Headers],[Company]],1)</f>
        <v/>
      </c>
      <c r="N108" s="109" cm="1">
        <f t="array" ref="N108">Common_InputFunctions.Utility_DisplayArrayInTable(Fertiliser_SourceData.Fertiliser_Products_Data1(), FertiliserProducts[[#Headers],[Company]],1)</f>
        <v>24</v>
      </c>
      <c r="O108" s="109" t="str" cm="1">
        <f t="array" ref="O108">Common_InputFunctions.Utility_DisplayArrayInTable(Fertiliser_SourceData.Fertiliser_Products_Data1(), FertiliserProducts[[#Headers],[Company]],1)</f>
        <v>Sulfur - Generic</v>
      </c>
      <c r="P108" s="109" cm="1">
        <f t="array" ref="P108">Common_InputFunctions.Utility_DisplayArrayInTable(Fertiliser_SourceData.Fertiliser_Products_Data1(), FertiliserProducts[[#Headers],[Company]],1)</f>
        <v>0.24</v>
      </c>
      <c r="Q108" s="109" t="str" cm="1">
        <f t="array" ref="Q108">Common_InputFunctions.Utility_DisplayArrayInTable(Fertiliser_SourceData.Fertiliser_Products_Data1(), FertiliserProducts[[#Headers],[Company]],1)</f>
        <v>Nitrogen - Ammoniacal</v>
      </c>
      <c r="R108" s="109" cm="1">
        <f t="array" ref="R108">Common_InputFunctions.Utility_DisplayArrayInTable(Fertiliser_SourceData.Fertiliser_Products_Data1(), FertiliserProducts[[#Headers],[Company]],1)</f>
        <v>0.21</v>
      </c>
      <c r="S108" s="109" t="str" cm="1">
        <f t="array" ref="S108">Common_InputFunctions.Utility_DisplayArrayInTable(Fertiliser_SourceData.Fertiliser_Products_Data1(), FertiliserProducts[[#Headers],[Company]],1)</f>
        <v/>
      </c>
      <c r="T108" s="109" t="str" cm="1">
        <f t="array" ref="T108">Common_InputFunctions.Utility_DisplayArrayInTable(Fertiliser_SourceData.Fertiliser_Products_Data1(), FertiliserProducts[[#Headers],[Company]],1)</f>
        <v/>
      </c>
      <c r="U108" s="109" t="str" cm="1">
        <f t="array" ref="U108">Common_InputFunctions.Utility_DisplayArrayInTable(Fertiliser_SourceData.Fertiliser_Products_Data1(), FertiliserProducts[[#Headers],[Company]],1)</f>
        <v/>
      </c>
      <c r="V108" s="109" t="str" cm="1">
        <f t="array" ref="V108">Common_InputFunctions.Utility_DisplayArrayInTable(Fertiliser_SourceData.Fertiliser_Products_Data1(), FertiliserProducts[[#Headers],[Company]],1)</f>
        <v/>
      </c>
      <c r="W108" s="109" t="str" cm="1">
        <f t="array" ref="W108">Common_InputFunctions.Utility_DisplayArrayInTable(Fertiliser_SourceData.Fertiliser_Products_Data1(), FertiliserProducts[[#Headers],[Company]],1)</f>
        <v/>
      </c>
      <c r="X108" s="109" t="str" cm="1">
        <f t="array" ref="X108">Common_InputFunctions.Utility_DisplayArrayInTable(Fertiliser_SourceData.Fertiliser_Products_Data1(), FertiliserProducts[[#Headers],[Company]],1)</f>
        <v/>
      </c>
      <c r="Y108" s="109" t="str" cm="1">
        <f t="array" ref="Y108">Common_InputFunctions.Utility_DisplayArrayInTable(Fertiliser_SourceData.Fertiliser_Products_Data1(), FertiliserProducts[[#Headers],[Company]],1)</f>
        <v/>
      </c>
      <c r="Z108" s="109" t="str" cm="1">
        <f t="array" ref="Z108">Common_InputFunctions.Utility_DisplayArrayInTable(Fertiliser_SourceData.Fertiliser_Products_Data1(), FertiliserProducts[[#Headers],[Company]],1)</f>
        <v/>
      </c>
      <c r="AA108" s="109" t="str" cm="1">
        <f t="array" ref="AA108">Common_InputFunctions.Utility_DisplayArrayInTable(Fertiliser_SourceData.Fertiliser_Products_Data1(), FertiliserProducts[[#Headers],[Company]],1)</f>
        <v/>
      </c>
      <c r="AB108" s="109" t="str" cm="1">
        <f t="array" ref="AB108">Common_InputFunctions.Utility_DisplayArrayInTable(Fertiliser_SourceData.Fertiliser_Products_Data1(), FertiliserProducts[[#Headers],[Company]],1)</f>
        <v/>
      </c>
      <c r="AC108" s="109" t="str" cm="1">
        <f t="array" ref="AC108">Common_InputFunctions.Utility_DisplayArrayInTable(Fertiliser_SourceData.Fertiliser_Products_Data1(), FertiliserProducts[[#Headers],[Company]],1)</f>
        <v/>
      </c>
      <c r="AD108" s="109" t="str" cm="1">
        <f t="array" ref="AD108">Common_InputFunctions.Utility_DisplayArrayInTable(Fertiliser_SourceData.Fertiliser_Products_Data1(), FertiliserProducts[[#Headers],[Company]],1)</f>
        <v/>
      </c>
      <c r="AE108" s="109" t="str" cm="1">
        <f t="array" ref="AE108">Common_InputFunctions.Utility_DisplayArrayInTable(Fertiliser_SourceData.Fertiliser_Products_Data1(), FertiliserProducts[[#Headers],[Company]],1)</f>
        <v/>
      </c>
      <c r="AF108" s="109" t="str" cm="1">
        <f t="array" ref="AF108">Common_InputFunctions.Utility_DisplayArrayInTable(Fertiliser_SourceData.Fertiliser_Products_Data1(), FertiliserProducts[[#Headers],[Company]],1)</f>
        <v/>
      </c>
      <c r="AG108" s="109" t="str" cm="1">
        <f t="array" ref="AG108">Common_InputFunctions.Utility_DisplayArrayInTable(Fertiliser_SourceData.Fertiliser_Products_Data1(), FertiliserProducts[[#Headers],[Company]],1)</f>
        <v/>
      </c>
      <c r="AH108" s="109"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09" t="str" cm="1">
        <f t="array" ref="D109">Common_InputFunctions.Utility_DisplayArrayInTable(Fertiliser_SourceData.Fertiliser_Products_Data1(), FertiliserProducts[[#Headers],[Company]],1)</f>
        <v>Ravensdown</v>
      </c>
      <c r="E109" s="109" t="str" cm="1">
        <f t="array" ref="E109">Common_InputFunctions.Utility_DisplayArrayInTable(Fertiliser_SourceData.Fertiliser_Products_Data1(), FertiliserProducts[[#Headers],[Company]],1)</f>
        <v>Ammonium Sulphate - Granular</v>
      </c>
      <c r="F109" s="109" t="str" cm="1">
        <f t="array" ref="F109">Common_InputFunctions.Utility_DisplayArrayInTable(Fertiliser_SourceData.Fertiliser_Products_Data1(), FertiliserProducts[[#Headers],[Company]],1)</f>
        <v>kg</v>
      </c>
      <c r="G109" s="109" cm="1">
        <f t="array" ref="G109">Common_InputFunctions.Utility_DisplayArrayInTable(Fertiliser_SourceData.Fertiliser_Products_Data1(), FertiliserProducts[[#Headers],[Company]],1)</f>
        <v>1</v>
      </c>
      <c r="H109" s="109" t="str" cm="1">
        <f t="array" ref="H109">Common_InputFunctions.Utility_DisplayArrayInTable(Fertiliser_SourceData.Fertiliser_Products_Data1(), FertiliserProducts[[#Headers],[Company]],1)</f>
        <v/>
      </c>
      <c r="I109" s="109" t="str" cm="1">
        <f t="array" ref="I109">Common_InputFunctions.Utility_DisplayArrayInTable(Fertiliser_SourceData.Fertiliser_Products_Data1(), FertiliserProducts[[#Headers],[Company]],1)</f>
        <v/>
      </c>
      <c r="J109" s="109" t="str" cm="1">
        <f t="array" ref="J109">Common_InputFunctions.Utility_DisplayArrayInTable(Fertiliser_SourceData.Fertiliser_Products_Data1(), FertiliserProducts[[#Headers],[Company]],1)</f>
        <v/>
      </c>
      <c r="K109" s="109" cm="1">
        <f t="array" ref="K109">Common_InputFunctions.Utility_DisplayArrayInTable(Fertiliser_SourceData.Fertiliser_Products_Data1(), FertiliserProducts[[#Headers],[Company]],1)</f>
        <v>21</v>
      </c>
      <c r="L109" s="109" t="str" cm="1">
        <f t="array" ref="L109">Common_InputFunctions.Utility_DisplayArrayInTable(Fertiliser_SourceData.Fertiliser_Products_Data1(), FertiliserProducts[[#Headers],[Company]],1)</f>
        <v/>
      </c>
      <c r="M109" s="109" t="str" cm="1">
        <f t="array" ref="M109">Common_InputFunctions.Utility_DisplayArrayInTable(Fertiliser_SourceData.Fertiliser_Products_Data1(), FertiliserProducts[[#Headers],[Company]],1)</f>
        <v/>
      </c>
      <c r="N109" s="109" cm="1">
        <f t="array" ref="N109">Common_InputFunctions.Utility_DisplayArrayInTable(Fertiliser_SourceData.Fertiliser_Products_Data1(), FertiliserProducts[[#Headers],[Company]],1)</f>
        <v>24</v>
      </c>
      <c r="O109" s="109" t="str" cm="1">
        <f t="array" ref="O109">Common_InputFunctions.Utility_DisplayArrayInTable(Fertiliser_SourceData.Fertiliser_Products_Data1(), FertiliserProducts[[#Headers],[Company]],1)</f>
        <v>Sulphate of ammonia (SOA)</v>
      </c>
      <c r="P109" s="109" cm="1">
        <f t="array" ref="P109">Common_InputFunctions.Utility_DisplayArrayInTable(Fertiliser_SourceData.Fertiliser_Products_Data1(), FertiliserProducts[[#Headers],[Company]],1)</f>
        <v>1</v>
      </c>
      <c r="Q109" s="109" t="str" cm="1">
        <f t="array" ref="Q109">Common_InputFunctions.Utility_DisplayArrayInTable(Fertiliser_SourceData.Fertiliser_Products_Data1(), FertiliserProducts[[#Headers],[Company]],1)</f>
        <v/>
      </c>
      <c r="R109" s="109" t="str" cm="1">
        <f t="array" ref="R109">Common_InputFunctions.Utility_DisplayArrayInTable(Fertiliser_SourceData.Fertiliser_Products_Data1(), FertiliserProducts[[#Headers],[Company]],1)</f>
        <v/>
      </c>
      <c r="S109" s="109" t="str" cm="1">
        <f t="array" ref="S109">Common_InputFunctions.Utility_DisplayArrayInTable(Fertiliser_SourceData.Fertiliser_Products_Data1(), FertiliserProducts[[#Headers],[Company]],1)</f>
        <v/>
      </c>
      <c r="T109" s="109" t="str" cm="1">
        <f t="array" ref="T109">Common_InputFunctions.Utility_DisplayArrayInTable(Fertiliser_SourceData.Fertiliser_Products_Data1(), FertiliserProducts[[#Headers],[Company]],1)</f>
        <v/>
      </c>
      <c r="U109" s="109" t="str" cm="1">
        <f t="array" ref="U109">Common_InputFunctions.Utility_DisplayArrayInTable(Fertiliser_SourceData.Fertiliser_Products_Data1(), FertiliserProducts[[#Headers],[Company]],1)</f>
        <v/>
      </c>
      <c r="V109" s="109" t="str" cm="1">
        <f t="array" ref="V109">Common_InputFunctions.Utility_DisplayArrayInTable(Fertiliser_SourceData.Fertiliser_Products_Data1(), FertiliserProducts[[#Headers],[Company]],1)</f>
        <v/>
      </c>
      <c r="W109" s="109" t="str" cm="1">
        <f t="array" ref="W109">Common_InputFunctions.Utility_DisplayArrayInTable(Fertiliser_SourceData.Fertiliser_Products_Data1(), FertiliserProducts[[#Headers],[Company]],1)</f>
        <v/>
      </c>
      <c r="X109" s="109" t="str" cm="1">
        <f t="array" ref="X109">Common_InputFunctions.Utility_DisplayArrayInTable(Fertiliser_SourceData.Fertiliser_Products_Data1(), FertiliserProducts[[#Headers],[Company]],1)</f>
        <v/>
      </c>
      <c r="Y109" s="109" t="str" cm="1">
        <f t="array" ref="Y109">Common_InputFunctions.Utility_DisplayArrayInTable(Fertiliser_SourceData.Fertiliser_Products_Data1(), FertiliserProducts[[#Headers],[Company]],1)</f>
        <v/>
      </c>
      <c r="Z109" s="109" t="str" cm="1">
        <f t="array" ref="Z109">Common_InputFunctions.Utility_DisplayArrayInTable(Fertiliser_SourceData.Fertiliser_Products_Data1(), FertiliserProducts[[#Headers],[Company]],1)</f>
        <v/>
      </c>
      <c r="AA109" s="109" t="str" cm="1">
        <f t="array" ref="AA109">Common_InputFunctions.Utility_DisplayArrayInTable(Fertiliser_SourceData.Fertiliser_Products_Data1(), FertiliserProducts[[#Headers],[Company]],1)</f>
        <v/>
      </c>
      <c r="AB109" s="109" t="str" cm="1">
        <f t="array" ref="AB109">Common_InputFunctions.Utility_DisplayArrayInTable(Fertiliser_SourceData.Fertiliser_Products_Data1(), FertiliserProducts[[#Headers],[Company]],1)</f>
        <v/>
      </c>
      <c r="AC109" s="109" t="str" cm="1">
        <f t="array" ref="AC109">Common_InputFunctions.Utility_DisplayArrayInTable(Fertiliser_SourceData.Fertiliser_Products_Data1(), FertiliserProducts[[#Headers],[Company]],1)</f>
        <v/>
      </c>
      <c r="AD109" s="109" t="str" cm="1">
        <f t="array" ref="AD109">Common_InputFunctions.Utility_DisplayArrayInTable(Fertiliser_SourceData.Fertiliser_Products_Data1(), FertiliserProducts[[#Headers],[Company]],1)</f>
        <v/>
      </c>
      <c r="AE109" s="109" t="str" cm="1">
        <f t="array" ref="AE109">Common_InputFunctions.Utility_DisplayArrayInTable(Fertiliser_SourceData.Fertiliser_Products_Data1(), FertiliserProducts[[#Headers],[Company]],1)</f>
        <v/>
      </c>
      <c r="AF109" s="109" t="str" cm="1">
        <f t="array" ref="AF109">Common_InputFunctions.Utility_DisplayArrayInTable(Fertiliser_SourceData.Fertiliser_Products_Data1(), FertiliserProducts[[#Headers],[Company]],1)</f>
        <v/>
      </c>
      <c r="AG109" s="109" t="str" cm="1">
        <f t="array" ref="AG109">Common_InputFunctions.Utility_DisplayArrayInTable(Fertiliser_SourceData.Fertiliser_Products_Data1(), FertiliserProducts[[#Headers],[Company]],1)</f>
        <v/>
      </c>
      <c r="AH109" s="109"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09" t="str" cm="1">
        <f t="array" ref="D110">Common_InputFunctions.Utility_DisplayArrayInTable(Fertiliser_SourceData.Fertiliser_Products_Data1(), FertiliserProducts[[#Headers],[Company]],1)</f>
        <v>Impact Fertilisers</v>
      </c>
      <c r="E110" s="109" t="str" cm="1">
        <f t="array" ref="E110">Common_InputFunctions.Utility_DisplayArrayInTable(Fertiliser_SourceData.Fertiliser_Products_Data1(), FertiliserProducts[[#Headers],[Company]],1)</f>
        <v>Di-Ammonium Phosphate (DAP)</v>
      </c>
      <c r="F110" s="109" t="str" cm="1">
        <f t="array" ref="F110">Common_InputFunctions.Utility_DisplayArrayInTable(Fertiliser_SourceData.Fertiliser_Products_Data1(), FertiliserProducts[[#Headers],[Company]],1)</f>
        <v>kg</v>
      </c>
      <c r="G110" s="109" cm="1">
        <f t="array" ref="G110">Common_InputFunctions.Utility_DisplayArrayInTable(Fertiliser_SourceData.Fertiliser_Products_Data1(), FertiliserProducts[[#Headers],[Company]],1)</f>
        <v>1</v>
      </c>
      <c r="H110" s="109" t="str" cm="1">
        <f t="array" ref="H110">Common_InputFunctions.Utility_DisplayArrayInTable(Fertiliser_SourceData.Fertiliser_Products_Data1(), FertiliserProducts[[#Headers],[Company]],1)</f>
        <v/>
      </c>
      <c r="I110" s="109" t="str" cm="1">
        <f t="array" ref="I110">Common_InputFunctions.Utility_DisplayArrayInTable(Fertiliser_SourceData.Fertiliser_Products_Data1(), FertiliserProducts[[#Headers],[Company]],1)</f>
        <v/>
      </c>
      <c r="J110" s="109" t="str" cm="1">
        <f t="array" ref="J110">Common_InputFunctions.Utility_DisplayArrayInTable(Fertiliser_SourceData.Fertiliser_Products_Data1(), FertiliserProducts[[#Headers],[Company]],1)</f>
        <v/>
      </c>
      <c r="K110" s="109" cm="1">
        <f t="array" ref="K110">Common_InputFunctions.Utility_DisplayArrayInTable(Fertiliser_SourceData.Fertiliser_Products_Data1(), FertiliserProducts[[#Headers],[Company]],1)</f>
        <v>18</v>
      </c>
      <c r="L110" s="109" cm="1">
        <f t="array" ref="L110">Common_InputFunctions.Utility_DisplayArrayInTable(Fertiliser_SourceData.Fertiliser_Products_Data1(), FertiliserProducts[[#Headers],[Company]],1)</f>
        <v>20</v>
      </c>
      <c r="M110" s="109" t="str" cm="1">
        <f t="array" ref="M110">Common_InputFunctions.Utility_DisplayArrayInTable(Fertiliser_SourceData.Fertiliser_Products_Data1(), FertiliserProducts[[#Headers],[Company]],1)</f>
        <v/>
      </c>
      <c r="N110" s="109" t="str" cm="1">
        <f t="array" ref="N110">Common_InputFunctions.Utility_DisplayArrayInTable(Fertiliser_SourceData.Fertiliser_Products_Data1(), FertiliserProducts[[#Headers],[Company]],1)</f>
        <v/>
      </c>
      <c r="O110" s="109" t="str" cm="1">
        <f t="array" ref="O110">Common_InputFunctions.Utility_DisplayArrayInTable(Fertiliser_SourceData.Fertiliser_Products_Data1(), FertiliserProducts[[#Headers],[Company]],1)</f>
        <v>Diammonium phosphate (DAP)</v>
      </c>
      <c r="P110" s="109" cm="1">
        <f t="array" ref="P110">Common_InputFunctions.Utility_DisplayArrayInTable(Fertiliser_SourceData.Fertiliser_Products_Data1(), FertiliserProducts[[#Headers],[Company]],1)</f>
        <v>1</v>
      </c>
      <c r="Q110" s="109" t="str" cm="1">
        <f t="array" ref="Q110">Common_InputFunctions.Utility_DisplayArrayInTable(Fertiliser_SourceData.Fertiliser_Products_Data1(), FertiliserProducts[[#Headers],[Company]],1)</f>
        <v/>
      </c>
      <c r="R110" s="109" t="str" cm="1">
        <f t="array" ref="R110">Common_InputFunctions.Utility_DisplayArrayInTable(Fertiliser_SourceData.Fertiliser_Products_Data1(), FertiliserProducts[[#Headers],[Company]],1)</f>
        <v/>
      </c>
      <c r="S110" s="109" t="str" cm="1">
        <f t="array" ref="S110">Common_InputFunctions.Utility_DisplayArrayInTable(Fertiliser_SourceData.Fertiliser_Products_Data1(), FertiliserProducts[[#Headers],[Company]],1)</f>
        <v/>
      </c>
      <c r="T110" s="109" t="str" cm="1">
        <f t="array" ref="T110">Common_InputFunctions.Utility_DisplayArrayInTable(Fertiliser_SourceData.Fertiliser_Products_Data1(), FertiliserProducts[[#Headers],[Company]],1)</f>
        <v/>
      </c>
      <c r="U110" s="109" t="str" cm="1">
        <f t="array" ref="U110">Common_InputFunctions.Utility_DisplayArrayInTable(Fertiliser_SourceData.Fertiliser_Products_Data1(), FertiliserProducts[[#Headers],[Company]],1)</f>
        <v/>
      </c>
      <c r="V110" s="109" t="str" cm="1">
        <f t="array" ref="V110">Common_InputFunctions.Utility_DisplayArrayInTable(Fertiliser_SourceData.Fertiliser_Products_Data1(), FertiliserProducts[[#Headers],[Company]],1)</f>
        <v/>
      </c>
      <c r="W110" s="109" t="str" cm="1">
        <f t="array" ref="W110">Common_InputFunctions.Utility_DisplayArrayInTable(Fertiliser_SourceData.Fertiliser_Products_Data1(), FertiliserProducts[[#Headers],[Company]],1)</f>
        <v/>
      </c>
      <c r="X110" s="109" t="str" cm="1">
        <f t="array" ref="X110">Common_InputFunctions.Utility_DisplayArrayInTable(Fertiliser_SourceData.Fertiliser_Products_Data1(), FertiliserProducts[[#Headers],[Company]],1)</f>
        <v/>
      </c>
      <c r="Y110" s="109" t="str" cm="1">
        <f t="array" ref="Y110">Common_InputFunctions.Utility_DisplayArrayInTable(Fertiliser_SourceData.Fertiliser_Products_Data1(), FertiliserProducts[[#Headers],[Company]],1)</f>
        <v/>
      </c>
      <c r="Z110" s="109" t="str" cm="1">
        <f t="array" ref="Z110">Common_InputFunctions.Utility_DisplayArrayInTable(Fertiliser_SourceData.Fertiliser_Products_Data1(), FertiliserProducts[[#Headers],[Company]],1)</f>
        <v/>
      </c>
      <c r="AA110" s="109" t="str" cm="1">
        <f t="array" ref="AA110">Common_InputFunctions.Utility_DisplayArrayInTable(Fertiliser_SourceData.Fertiliser_Products_Data1(), FertiliserProducts[[#Headers],[Company]],1)</f>
        <v/>
      </c>
      <c r="AB110" s="109" t="str" cm="1">
        <f t="array" ref="AB110">Common_InputFunctions.Utility_DisplayArrayInTable(Fertiliser_SourceData.Fertiliser_Products_Data1(), FertiliserProducts[[#Headers],[Company]],1)</f>
        <v/>
      </c>
      <c r="AC110" s="109" t="str" cm="1">
        <f t="array" ref="AC110">Common_InputFunctions.Utility_DisplayArrayInTable(Fertiliser_SourceData.Fertiliser_Products_Data1(), FertiliserProducts[[#Headers],[Company]],1)</f>
        <v/>
      </c>
      <c r="AD110" s="109" t="str" cm="1">
        <f t="array" ref="AD110">Common_InputFunctions.Utility_DisplayArrayInTable(Fertiliser_SourceData.Fertiliser_Products_Data1(), FertiliserProducts[[#Headers],[Company]],1)</f>
        <v/>
      </c>
      <c r="AE110" s="109" t="str" cm="1">
        <f t="array" ref="AE110">Common_InputFunctions.Utility_DisplayArrayInTable(Fertiliser_SourceData.Fertiliser_Products_Data1(), FertiliserProducts[[#Headers],[Company]],1)</f>
        <v/>
      </c>
      <c r="AF110" s="109" t="str" cm="1">
        <f t="array" ref="AF110">Common_InputFunctions.Utility_DisplayArrayInTable(Fertiliser_SourceData.Fertiliser_Products_Data1(), FertiliserProducts[[#Headers],[Company]],1)</f>
        <v/>
      </c>
      <c r="AG110" s="109" t="str" cm="1">
        <f t="array" ref="AG110">Common_InputFunctions.Utility_DisplayArrayInTable(Fertiliser_SourceData.Fertiliser_Products_Data1(), FertiliserProducts[[#Headers],[Company]],1)</f>
        <v/>
      </c>
      <c r="AH110" s="109"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09" t="str" cm="1">
        <f t="array" ref="D111">Common_InputFunctions.Utility_DisplayArrayInTable(Fertiliser_SourceData.Fertiliser_Products_Data1(), FertiliserProducts[[#Headers],[Company]],1)</f>
        <v>Incitec Pivot Fertilisers</v>
      </c>
      <c r="E111" s="109" t="str" cm="1">
        <f t="array" ref="E111">Common_InputFunctions.Utility_DisplayArrayInTable(Fertiliser_SourceData.Fertiliser_Products_Data1(), FertiliserProducts[[#Headers],[Company]],1)</f>
        <v>Basalt BooSSta</v>
      </c>
      <c r="F111" s="109" t="str" cm="1">
        <f t="array" ref="F111">Common_InputFunctions.Utility_DisplayArrayInTable(Fertiliser_SourceData.Fertiliser_Products_Data1(), FertiliserProducts[[#Headers],[Company]],1)</f>
        <v>kg</v>
      </c>
      <c r="G111" s="109" cm="1">
        <f t="array" ref="G111">Common_InputFunctions.Utility_DisplayArrayInTable(Fertiliser_SourceData.Fertiliser_Products_Data1(), FertiliserProducts[[#Headers],[Company]],1)</f>
        <v>1</v>
      </c>
      <c r="H111" s="109" t="str" cm="1">
        <f t="array" ref="H111">Common_InputFunctions.Utility_DisplayArrayInTable(Fertiliser_SourceData.Fertiliser_Products_Data1(), FertiliserProducts[[#Headers],[Company]],1)</f>
        <v/>
      </c>
      <c r="I111" s="109" t="str" cm="1">
        <f t="array" ref="I111">Common_InputFunctions.Utility_DisplayArrayInTable(Fertiliser_SourceData.Fertiliser_Products_Data1(), FertiliserProducts[[#Headers],[Company]],1)</f>
        <v/>
      </c>
      <c r="J111" s="109" t="str" cm="1">
        <f t="array" ref="J111">Common_InputFunctions.Utility_DisplayArrayInTable(Fertiliser_SourceData.Fertiliser_Products_Data1(), FertiliserProducts[[#Headers],[Company]],1)</f>
        <v/>
      </c>
      <c r="K111" s="109" cm="1">
        <f t="array" ref="K111">Common_InputFunctions.Utility_DisplayArrayInTable(Fertiliser_SourceData.Fertiliser_Products_Data1(), FertiliserProducts[[#Headers],[Company]],1)</f>
        <v>8</v>
      </c>
      <c r="L111" s="109" cm="1">
        <f t="array" ref="L111">Common_InputFunctions.Utility_DisplayArrayInTable(Fertiliser_SourceData.Fertiliser_Products_Data1(), FertiliserProducts[[#Headers],[Company]],1)</f>
        <v>14</v>
      </c>
      <c r="M111" s="109" t="str" cm="1">
        <f t="array" ref="M111">Common_InputFunctions.Utility_DisplayArrayInTable(Fertiliser_SourceData.Fertiliser_Products_Data1(), FertiliserProducts[[#Headers],[Company]],1)</f>
        <v/>
      </c>
      <c r="N111" s="109" cm="1">
        <f t="array" ref="N111">Common_InputFunctions.Utility_DisplayArrayInTable(Fertiliser_SourceData.Fertiliser_Products_Data1(), FertiliserProducts[[#Headers],[Company]],1)</f>
        <v>27.6</v>
      </c>
      <c r="O111" s="109" t="str" cm="1">
        <f t="array" ref="O111">Common_InputFunctions.Utility_DisplayArrayInTable(Fertiliser_SourceData.Fertiliser_Products_Data1(), FertiliserProducts[[#Headers],[Company]],1)</f>
        <v>Sulfur - Generic</v>
      </c>
      <c r="P111" s="109" cm="1">
        <f t="array" ref="P111">Common_InputFunctions.Utility_DisplayArrayInTable(Fertiliser_SourceData.Fertiliser_Products_Data1(), FertiliserProducts[[#Headers],[Company]],1)</f>
        <v>0.27600000000000002</v>
      </c>
      <c r="Q111" s="109" t="str" cm="1">
        <f t="array" ref="Q111">Common_InputFunctions.Utility_DisplayArrayInTable(Fertiliser_SourceData.Fertiliser_Products_Data1(), FertiliserProducts[[#Headers],[Company]],1)</f>
        <v>Phosphorus - Generic</v>
      </c>
      <c r="R111" s="109" cm="1">
        <f t="array" ref="R111">Common_InputFunctions.Utility_DisplayArrayInTable(Fertiliser_SourceData.Fertiliser_Products_Data1(), FertiliserProducts[[#Headers],[Company]],1)</f>
        <v>0.14000000000000001</v>
      </c>
      <c r="S111" s="109" t="str" cm="1">
        <f t="array" ref="S111">Common_InputFunctions.Utility_DisplayArrayInTable(Fertiliser_SourceData.Fertiliser_Products_Data1(), FertiliserProducts[[#Headers],[Company]],1)</f>
        <v>Nitrogen - Generic</v>
      </c>
      <c r="T111" s="109" cm="1">
        <f t="array" ref="T111">Common_InputFunctions.Utility_DisplayArrayInTable(Fertiliser_SourceData.Fertiliser_Products_Data1(), FertiliserProducts[[#Headers],[Company]],1)</f>
        <v>0.08</v>
      </c>
      <c r="U111" s="109" t="str" cm="1">
        <f t="array" ref="U111">Common_InputFunctions.Utility_DisplayArrayInTable(Fertiliser_SourceData.Fertiliser_Products_Data1(), FertiliserProducts[[#Headers],[Company]],1)</f>
        <v>Fluoride</v>
      </c>
      <c r="V111" s="109" cm="1">
        <f t="array" ref="V111">Common_InputFunctions.Utility_DisplayArrayInTable(Fertiliser_SourceData.Fertiliser_Products_Data1(), FertiliserProducts[[#Headers],[Company]],1)</f>
        <v>2.4E-2</v>
      </c>
      <c r="W111" s="109" t="str" cm="1">
        <f t="array" ref="W111">Common_InputFunctions.Utility_DisplayArrayInTable(Fertiliser_SourceData.Fertiliser_Products_Data1(), FertiliserProducts[[#Headers],[Company]],1)</f>
        <v/>
      </c>
      <c r="X111" s="109" t="str" cm="1">
        <f t="array" ref="X111">Common_InputFunctions.Utility_DisplayArrayInTable(Fertiliser_SourceData.Fertiliser_Products_Data1(), FertiliserProducts[[#Headers],[Company]],1)</f>
        <v/>
      </c>
      <c r="Y111" s="109" t="str" cm="1">
        <f t="array" ref="Y111">Common_InputFunctions.Utility_DisplayArrayInTable(Fertiliser_SourceData.Fertiliser_Products_Data1(), FertiliserProducts[[#Headers],[Company]],1)</f>
        <v/>
      </c>
      <c r="Z111" s="109" t="str" cm="1">
        <f t="array" ref="Z111">Common_InputFunctions.Utility_DisplayArrayInTable(Fertiliser_SourceData.Fertiliser_Products_Data1(), FertiliserProducts[[#Headers],[Company]],1)</f>
        <v/>
      </c>
      <c r="AA111" s="109" t="str" cm="1">
        <f t="array" ref="AA111">Common_InputFunctions.Utility_DisplayArrayInTable(Fertiliser_SourceData.Fertiliser_Products_Data1(), FertiliserProducts[[#Headers],[Company]],1)</f>
        <v/>
      </c>
      <c r="AB111" s="109" t="str" cm="1">
        <f t="array" ref="AB111">Common_InputFunctions.Utility_DisplayArrayInTable(Fertiliser_SourceData.Fertiliser_Products_Data1(), FertiliserProducts[[#Headers],[Company]],1)</f>
        <v/>
      </c>
      <c r="AC111" s="109" t="str" cm="1">
        <f t="array" ref="AC111">Common_InputFunctions.Utility_DisplayArrayInTable(Fertiliser_SourceData.Fertiliser_Products_Data1(), FertiliserProducts[[#Headers],[Company]],1)</f>
        <v/>
      </c>
      <c r="AD111" s="109" t="str" cm="1">
        <f t="array" ref="AD111">Common_InputFunctions.Utility_DisplayArrayInTable(Fertiliser_SourceData.Fertiliser_Products_Data1(), FertiliserProducts[[#Headers],[Company]],1)</f>
        <v/>
      </c>
      <c r="AE111" s="109" t="str" cm="1">
        <f t="array" ref="AE111">Common_InputFunctions.Utility_DisplayArrayInTable(Fertiliser_SourceData.Fertiliser_Products_Data1(), FertiliserProducts[[#Headers],[Company]],1)</f>
        <v/>
      </c>
      <c r="AF111" s="109" t="str" cm="1">
        <f t="array" ref="AF111">Common_InputFunctions.Utility_DisplayArrayInTable(Fertiliser_SourceData.Fertiliser_Products_Data1(), FertiliserProducts[[#Headers],[Company]],1)</f>
        <v/>
      </c>
      <c r="AG111" s="109" t="str" cm="1">
        <f t="array" ref="AG111">Common_InputFunctions.Utility_DisplayArrayInTable(Fertiliser_SourceData.Fertiliser_Products_Data1(), FertiliserProducts[[#Headers],[Company]],1)</f>
        <v/>
      </c>
      <c r="AH111" s="109"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09" t="str" cm="1">
        <f t="array" ref="D112">Common_InputFunctions.Utility_DisplayArrayInTable(Fertiliser_SourceData.Fertiliser_Products_Data1(), FertiliserProducts[[#Headers],[Company]],1)</f>
        <v>Summit Fertilizers</v>
      </c>
      <c r="E112" s="109" t="str" cm="1">
        <f t="array" ref="E112">Common_InputFunctions.Utility_DisplayArrayInTable(Fertiliser_SourceData.Fertiliser_Products_Data1(), FertiliserProducts[[#Headers],[Company]],1)</f>
        <v>DAPSZC</v>
      </c>
      <c r="F112" s="109" t="str" cm="1">
        <f t="array" ref="F112">Common_InputFunctions.Utility_DisplayArrayInTable(Fertiliser_SourceData.Fertiliser_Products_Data1(), FertiliserProducts[[#Headers],[Company]],1)</f>
        <v>kg</v>
      </c>
      <c r="G112" s="109" cm="1">
        <f t="array" ref="G112">Common_InputFunctions.Utility_DisplayArrayInTable(Fertiliser_SourceData.Fertiliser_Products_Data1(), FertiliserProducts[[#Headers],[Company]],1)</f>
        <v>1</v>
      </c>
      <c r="H112" s="109" t="str" cm="1">
        <f t="array" ref="H112">Common_InputFunctions.Utility_DisplayArrayInTable(Fertiliser_SourceData.Fertiliser_Products_Data1(), FertiliserProducts[[#Headers],[Company]],1)</f>
        <v/>
      </c>
      <c r="I112" s="109" t="str" cm="1">
        <f t="array" ref="I112">Common_InputFunctions.Utility_DisplayArrayInTable(Fertiliser_SourceData.Fertiliser_Products_Data1(), FertiliserProducts[[#Headers],[Company]],1)</f>
        <v/>
      </c>
      <c r="J112" s="109" t="str" cm="1">
        <f t="array" ref="J112">Common_InputFunctions.Utility_DisplayArrayInTable(Fertiliser_SourceData.Fertiliser_Products_Data1(), FertiliserProducts[[#Headers],[Company]],1)</f>
        <v/>
      </c>
      <c r="K112" s="109" cm="1">
        <f t="array" ref="K112">Common_InputFunctions.Utility_DisplayArrayInTable(Fertiliser_SourceData.Fertiliser_Products_Data1(), FertiliserProducts[[#Headers],[Company]],1)</f>
        <v>16.899999999999999</v>
      </c>
      <c r="L112" s="109" cm="1">
        <f t="array" ref="L112">Common_InputFunctions.Utility_DisplayArrayInTable(Fertiliser_SourceData.Fertiliser_Products_Data1(), FertiliserProducts[[#Headers],[Company]],1)</f>
        <v>18.2</v>
      </c>
      <c r="M112" s="109" t="str" cm="1">
        <f t="array" ref="M112">Common_InputFunctions.Utility_DisplayArrayInTable(Fertiliser_SourceData.Fertiliser_Products_Data1(), FertiliserProducts[[#Headers],[Company]],1)</f>
        <v/>
      </c>
      <c r="N112" s="109" cm="1">
        <f t="array" ref="N112">Common_InputFunctions.Utility_DisplayArrayInTable(Fertiliser_SourceData.Fertiliser_Products_Data1(), FertiliserProducts[[#Headers],[Company]],1)</f>
        <v>8</v>
      </c>
      <c r="O112" s="109" t="str" cm="1">
        <f t="array" ref="O112">Common_InputFunctions.Utility_DisplayArrayInTable(Fertiliser_SourceData.Fertiliser_Products_Data1(), FertiliserProducts[[#Headers],[Company]],1)</f>
        <v>Phosphorus - Generic</v>
      </c>
      <c r="P112" s="109" cm="1">
        <f t="array" ref="P112">Common_InputFunctions.Utility_DisplayArrayInTable(Fertiliser_SourceData.Fertiliser_Products_Data1(), FertiliserProducts[[#Headers],[Company]],1)</f>
        <v>0.182</v>
      </c>
      <c r="Q112" s="109" t="str" cm="1">
        <f t="array" ref="Q112">Common_InputFunctions.Utility_DisplayArrayInTable(Fertiliser_SourceData.Fertiliser_Products_Data1(), FertiliserProducts[[#Headers],[Company]],1)</f>
        <v>Nitrogen - Generic</v>
      </c>
      <c r="R112" s="109" cm="1">
        <f t="array" ref="R112">Common_InputFunctions.Utility_DisplayArrayInTable(Fertiliser_SourceData.Fertiliser_Products_Data1(), FertiliserProducts[[#Headers],[Company]],1)</f>
        <v>0.16900000000000001</v>
      </c>
      <c r="S112" s="109" t="str" cm="1">
        <f t="array" ref="S112">Common_InputFunctions.Utility_DisplayArrayInTable(Fertiliser_SourceData.Fertiliser_Products_Data1(), FertiliserProducts[[#Headers],[Company]],1)</f>
        <v>Sulfur - Generic</v>
      </c>
      <c r="T112" s="109" cm="1">
        <f t="array" ref="T112">Common_InputFunctions.Utility_DisplayArrayInTable(Fertiliser_SourceData.Fertiliser_Products_Data1(), FertiliserProducts[[#Headers],[Company]],1)</f>
        <v>0.08</v>
      </c>
      <c r="U112" s="109" t="str" cm="1">
        <f t="array" ref="U112">Common_InputFunctions.Utility_DisplayArrayInTable(Fertiliser_SourceData.Fertiliser_Products_Data1(), FertiliserProducts[[#Headers],[Company]],1)</f>
        <v>Zinc</v>
      </c>
      <c r="V112" s="109" cm="1">
        <f t="array" ref="V112">Common_InputFunctions.Utility_DisplayArrayInTable(Fertiliser_SourceData.Fertiliser_Products_Data1(), FertiliserProducts[[#Headers],[Company]],1)</f>
        <v>2E-3</v>
      </c>
      <c r="W112" s="109" t="str" cm="1">
        <f t="array" ref="W112">Common_InputFunctions.Utility_DisplayArrayInTable(Fertiliser_SourceData.Fertiliser_Products_Data1(), FertiliserProducts[[#Headers],[Company]],1)</f>
        <v>Copper</v>
      </c>
      <c r="X112" s="109" cm="1">
        <f t="array" ref="X112">Common_InputFunctions.Utility_DisplayArrayInTable(Fertiliser_SourceData.Fertiliser_Products_Data1(), FertiliserProducts[[#Headers],[Company]],1)</f>
        <v>1E-3</v>
      </c>
      <c r="Y112" s="109" t="str" cm="1">
        <f t="array" ref="Y112">Common_InputFunctions.Utility_DisplayArrayInTable(Fertiliser_SourceData.Fertiliser_Products_Data1(), FertiliserProducts[[#Headers],[Company]],1)</f>
        <v/>
      </c>
      <c r="Z112" s="109" t="str" cm="1">
        <f t="array" ref="Z112">Common_InputFunctions.Utility_DisplayArrayInTable(Fertiliser_SourceData.Fertiliser_Products_Data1(), FertiliserProducts[[#Headers],[Company]],1)</f>
        <v/>
      </c>
      <c r="AA112" s="109" t="str" cm="1">
        <f t="array" ref="AA112">Common_InputFunctions.Utility_DisplayArrayInTable(Fertiliser_SourceData.Fertiliser_Products_Data1(), FertiliserProducts[[#Headers],[Company]],1)</f>
        <v/>
      </c>
      <c r="AB112" s="109" t="str" cm="1">
        <f t="array" ref="AB112">Common_InputFunctions.Utility_DisplayArrayInTable(Fertiliser_SourceData.Fertiliser_Products_Data1(), FertiliserProducts[[#Headers],[Company]],1)</f>
        <v/>
      </c>
      <c r="AC112" s="109" t="str" cm="1">
        <f t="array" ref="AC112">Common_InputFunctions.Utility_DisplayArrayInTable(Fertiliser_SourceData.Fertiliser_Products_Data1(), FertiliserProducts[[#Headers],[Company]],1)</f>
        <v/>
      </c>
      <c r="AD112" s="109" t="str" cm="1">
        <f t="array" ref="AD112">Common_InputFunctions.Utility_DisplayArrayInTable(Fertiliser_SourceData.Fertiliser_Products_Data1(), FertiliserProducts[[#Headers],[Company]],1)</f>
        <v/>
      </c>
      <c r="AE112" s="109" t="str" cm="1">
        <f t="array" ref="AE112">Common_InputFunctions.Utility_DisplayArrayInTable(Fertiliser_SourceData.Fertiliser_Products_Data1(), FertiliserProducts[[#Headers],[Company]],1)</f>
        <v/>
      </c>
      <c r="AF112" s="109" t="str" cm="1">
        <f t="array" ref="AF112">Common_InputFunctions.Utility_DisplayArrayInTable(Fertiliser_SourceData.Fertiliser_Products_Data1(), FertiliserProducts[[#Headers],[Company]],1)</f>
        <v/>
      </c>
      <c r="AG112" s="109" t="str" cm="1">
        <f t="array" ref="AG112">Common_InputFunctions.Utility_DisplayArrayInTable(Fertiliser_SourceData.Fertiliser_Products_Data1(), FertiliserProducts[[#Headers],[Company]],1)</f>
        <v/>
      </c>
      <c r="AH112" s="109"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09" t="str" cm="1">
        <f t="array" ref="D113">Common_InputFunctions.Utility_DisplayArrayInTable(Fertiliser_SourceData.Fertiliser_Products_Data1(), FertiliserProducts[[#Headers],[Company]],1)</f>
        <v>Incitec Pivot Fertilisers</v>
      </c>
      <c r="E113" s="109" t="str" cm="1">
        <f t="array" ref="E113">Common_InputFunctions.Utility_DisplayArrayInTable(Fertiliser_SourceData.Fertiliser_Products_Data1(), FertiliserProducts[[#Headers],[Company]],1)</f>
        <v>Easy N</v>
      </c>
      <c r="F113" s="109" t="str" cm="1">
        <f t="array" ref="F113">Common_InputFunctions.Utility_DisplayArrayInTable(Fertiliser_SourceData.Fertiliser_Products_Data1(), FertiliserProducts[[#Headers],[Company]],1)</f>
        <v>L</v>
      </c>
      <c r="G113" s="109" cm="1">
        <f t="array" ref="G113">Common_InputFunctions.Utility_DisplayArrayInTable(Fertiliser_SourceData.Fertiliser_Products_Data1(), FertiliserProducts[[#Headers],[Company]],1)</f>
        <v>1.32</v>
      </c>
      <c r="H113" s="109" t="str" cm="1">
        <f t="array" ref="H113">Common_InputFunctions.Utility_DisplayArrayInTable(Fertiliser_SourceData.Fertiliser_Products_Data1(), FertiliserProducts[[#Headers],[Company]],1)</f>
        <v/>
      </c>
      <c r="I113" s="109" t="str" cm="1">
        <f t="array" ref="I113">Common_InputFunctions.Utility_DisplayArrayInTable(Fertiliser_SourceData.Fertiliser_Products_Data1(), FertiliserProducts[[#Headers],[Company]],1)</f>
        <v/>
      </c>
      <c r="J113" s="109" t="str" cm="1">
        <f t="array" ref="J113">Common_InputFunctions.Utility_DisplayArrayInTable(Fertiliser_SourceData.Fertiliser_Products_Data1(), FertiliserProducts[[#Headers],[Company]],1)</f>
        <v/>
      </c>
      <c r="K113" s="109" cm="1">
        <f t="array" ref="K113">Common_InputFunctions.Utility_DisplayArrayInTable(Fertiliser_SourceData.Fertiliser_Products_Data1(), FertiliserProducts[[#Headers],[Company]],1)</f>
        <v>42.5</v>
      </c>
      <c r="L113" s="109" t="str" cm="1">
        <f t="array" ref="L113">Common_InputFunctions.Utility_DisplayArrayInTable(Fertiliser_SourceData.Fertiliser_Products_Data1(), FertiliserProducts[[#Headers],[Company]],1)</f>
        <v/>
      </c>
      <c r="M113" s="109" t="str" cm="1">
        <f t="array" ref="M113">Common_InputFunctions.Utility_DisplayArrayInTable(Fertiliser_SourceData.Fertiliser_Products_Data1(), FertiliserProducts[[#Headers],[Company]],1)</f>
        <v/>
      </c>
      <c r="N113" s="109" t="str" cm="1">
        <f t="array" ref="N113">Common_InputFunctions.Utility_DisplayArrayInTable(Fertiliser_SourceData.Fertiliser_Products_Data1(), FertiliserProducts[[#Headers],[Company]],1)</f>
        <v/>
      </c>
      <c r="O113" s="109" t="str" cm="1">
        <f t="array" ref="O113">Common_InputFunctions.Utility_DisplayArrayInTable(Fertiliser_SourceData.Fertiliser_Products_Data1(), FertiliserProducts[[#Headers],[Company]],1)</f>
        <v>Urea</v>
      </c>
      <c r="P113" s="109" cm="1">
        <f t="array" ref="P113">Common_InputFunctions.Utility_DisplayArrayInTable(Fertiliser_SourceData.Fertiliser_Products_Data1(), FertiliserProducts[[#Headers],[Company]],1)</f>
        <v>0.467391</v>
      </c>
      <c r="Q113" s="109" t="str" cm="1">
        <f t="array" ref="Q113">Common_InputFunctions.Utility_DisplayArrayInTable(Fertiliser_SourceData.Fertiliser_Products_Data1(), FertiliserProducts[[#Headers],[Company]],1)</f>
        <v>Nitrogen - Nitrate</v>
      </c>
      <c r="R113" s="109" cm="1">
        <f t="array" ref="R113">Common_InputFunctions.Utility_DisplayArrayInTable(Fertiliser_SourceData.Fertiliser_Products_Data1(), FertiliserProducts[[#Headers],[Company]],1)</f>
        <v>0.105</v>
      </c>
      <c r="S113" s="109" t="str" cm="1">
        <f t="array" ref="S113">Common_InputFunctions.Utility_DisplayArrayInTable(Fertiliser_SourceData.Fertiliser_Products_Data1(), FertiliserProducts[[#Headers],[Company]],1)</f>
        <v>Nitrogen - Ammoniacal</v>
      </c>
      <c r="T113" s="109" cm="1">
        <f t="array" ref="T113">Common_InputFunctions.Utility_DisplayArrayInTable(Fertiliser_SourceData.Fertiliser_Products_Data1(), FertiliserProducts[[#Headers],[Company]],1)</f>
        <v>0.105</v>
      </c>
      <c r="U113" s="109" t="str" cm="1">
        <f t="array" ref="U113">Common_InputFunctions.Utility_DisplayArrayInTable(Fertiliser_SourceData.Fertiliser_Products_Data1(), FertiliserProducts[[#Headers],[Company]],1)</f>
        <v>Biuret</v>
      </c>
      <c r="V113" s="109" cm="1">
        <f t="array" ref="V113">Common_InputFunctions.Utility_DisplayArrayInTable(Fertiliser_SourceData.Fertiliser_Products_Data1(), FertiliserProducts[[#Headers],[Company]],1)</f>
        <v>6.0000000000000001E-3</v>
      </c>
      <c r="W113" s="109" t="str" cm="1">
        <f t="array" ref="W113">Common_InputFunctions.Utility_DisplayArrayInTable(Fertiliser_SourceData.Fertiliser_Products_Data1(), FertiliserProducts[[#Headers],[Company]],1)</f>
        <v/>
      </c>
      <c r="X113" s="109" t="str" cm="1">
        <f t="array" ref="X113">Common_InputFunctions.Utility_DisplayArrayInTable(Fertiliser_SourceData.Fertiliser_Products_Data1(), FertiliserProducts[[#Headers],[Company]],1)</f>
        <v/>
      </c>
      <c r="Y113" s="109" t="str" cm="1">
        <f t="array" ref="Y113">Common_InputFunctions.Utility_DisplayArrayInTable(Fertiliser_SourceData.Fertiliser_Products_Data1(), FertiliserProducts[[#Headers],[Company]],1)</f>
        <v/>
      </c>
      <c r="Z113" s="109" t="str" cm="1">
        <f t="array" ref="Z113">Common_InputFunctions.Utility_DisplayArrayInTable(Fertiliser_SourceData.Fertiliser_Products_Data1(), FertiliserProducts[[#Headers],[Company]],1)</f>
        <v/>
      </c>
      <c r="AA113" s="109" t="str" cm="1">
        <f t="array" ref="AA113">Common_InputFunctions.Utility_DisplayArrayInTable(Fertiliser_SourceData.Fertiliser_Products_Data1(), FertiliserProducts[[#Headers],[Company]],1)</f>
        <v/>
      </c>
      <c r="AB113" s="109" t="str" cm="1">
        <f t="array" ref="AB113">Common_InputFunctions.Utility_DisplayArrayInTable(Fertiliser_SourceData.Fertiliser_Products_Data1(), FertiliserProducts[[#Headers],[Company]],1)</f>
        <v/>
      </c>
      <c r="AC113" s="109" t="str" cm="1">
        <f t="array" ref="AC113">Common_InputFunctions.Utility_DisplayArrayInTable(Fertiliser_SourceData.Fertiliser_Products_Data1(), FertiliserProducts[[#Headers],[Company]],1)</f>
        <v/>
      </c>
      <c r="AD113" s="109" t="str" cm="1">
        <f t="array" ref="AD113">Common_InputFunctions.Utility_DisplayArrayInTable(Fertiliser_SourceData.Fertiliser_Products_Data1(), FertiliserProducts[[#Headers],[Company]],1)</f>
        <v/>
      </c>
      <c r="AE113" s="109" t="str" cm="1">
        <f t="array" ref="AE113">Common_InputFunctions.Utility_DisplayArrayInTable(Fertiliser_SourceData.Fertiliser_Products_Data1(), FertiliserProducts[[#Headers],[Company]],1)</f>
        <v/>
      </c>
      <c r="AF113" s="109" t="str" cm="1">
        <f t="array" ref="AF113">Common_InputFunctions.Utility_DisplayArrayInTable(Fertiliser_SourceData.Fertiliser_Products_Data1(), FertiliserProducts[[#Headers],[Company]],1)</f>
        <v/>
      </c>
      <c r="AG113" s="109" t="str" cm="1">
        <f t="array" ref="AG113">Common_InputFunctions.Utility_DisplayArrayInTable(Fertiliser_SourceData.Fertiliser_Products_Data1(), FertiliserProducts[[#Headers],[Company]],1)</f>
        <v/>
      </c>
      <c r="AH113" s="109"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09" t="str" cm="1">
        <f t="array" ref="D114">Common_InputFunctions.Utility_DisplayArrayInTable(Fertiliser_SourceData.Fertiliser_Products_Data1(), FertiliserProducts[[#Headers],[Company]],1)</f>
        <v>Risso-Chemical</v>
      </c>
      <c r="E114" s="109" t="str" cm="1">
        <f t="array" ref="E114">Common_InputFunctions.Utility_DisplayArrayInTable(Fertiliser_SourceData.Fertiliser_Products_Data1(), FertiliserProducts[[#Headers],[Company]],1)</f>
        <v>Calcium Ammonium nitrate</v>
      </c>
      <c r="F114" s="109" t="str" cm="1">
        <f t="array" ref="F114">Common_InputFunctions.Utility_DisplayArrayInTable(Fertiliser_SourceData.Fertiliser_Products_Data1(), FertiliserProducts[[#Headers],[Company]],1)</f>
        <v>kg</v>
      </c>
      <c r="G114" s="109" cm="1">
        <f t="array" ref="G114">Common_InputFunctions.Utility_DisplayArrayInTable(Fertiliser_SourceData.Fertiliser_Products_Data1(), FertiliserProducts[[#Headers],[Company]],1)</f>
        <v>1</v>
      </c>
      <c r="H114" s="109" t="str" cm="1">
        <f t="array" ref="H114">Common_InputFunctions.Utility_DisplayArrayInTable(Fertiliser_SourceData.Fertiliser_Products_Data1(), FertiliserProducts[[#Headers],[Company]],1)</f>
        <v/>
      </c>
      <c r="I114" s="109" t="str" cm="1">
        <f t="array" ref="I114">Common_InputFunctions.Utility_DisplayArrayInTable(Fertiliser_SourceData.Fertiliser_Products_Data1(), FertiliserProducts[[#Headers],[Company]],1)</f>
        <v/>
      </c>
      <c r="J114" s="109" t="str" cm="1">
        <f t="array" ref="J114">Common_InputFunctions.Utility_DisplayArrayInTable(Fertiliser_SourceData.Fertiliser_Products_Data1(), FertiliserProducts[[#Headers],[Company]],1)</f>
        <v>China</v>
      </c>
      <c r="K114" s="109" cm="1">
        <f t="array" ref="K114">Common_InputFunctions.Utility_DisplayArrayInTable(Fertiliser_SourceData.Fertiliser_Products_Data1(), FertiliserProducts[[#Headers],[Company]],1)</f>
        <v>40.5</v>
      </c>
      <c r="L114" s="109" t="str" cm="1">
        <f t="array" ref="L114">Common_InputFunctions.Utility_DisplayArrayInTable(Fertiliser_SourceData.Fertiliser_Products_Data1(), FertiliserProducts[[#Headers],[Company]],1)</f>
        <v/>
      </c>
      <c r="M114" s="109" t="str" cm="1">
        <f t="array" ref="M114">Common_InputFunctions.Utility_DisplayArrayInTable(Fertiliser_SourceData.Fertiliser_Products_Data1(), FertiliserProducts[[#Headers],[Company]],1)</f>
        <v/>
      </c>
      <c r="N114" s="109" t="str" cm="1">
        <f t="array" ref="N114">Common_InputFunctions.Utility_DisplayArrayInTable(Fertiliser_SourceData.Fertiliser_Products_Data1(), FertiliserProducts[[#Headers],[Company]],1)</f>
        <v/>
      </c>
      <c r="O114" s="109" t="str" cm="1">
        <f t="array" ref="O114">Common_InputFunctions.Utility_DisplayArrayInTable(Fertiliser_SourceData.Fertiliser_Products_Data1(), FertiliserProducts[[#Headers],[Company]],1)</f>
        <v>Nitrogen - Ammoniacal</v>
      </c>
      <c r="P114" s="109" cm="1">
        <f t="array" ref="P114">Common_InputFunctions.Utility_DisplayArrayInTable(Fertiliser_SourceData.Fertiliser_Products_Data1(), FertiliserProducts[[#Headers],[Company]],1)</f>
        <v>0.27</v>
      </c>
      <c r="Q114" s="109" t="str" cm="1">
        <f t="array" ref="Q114">Common_InputFunctions.Utility_DisplayArrayInTable(Fertiliser_SourceData.Fertiliser_Products_Data1(), FertiliserProducts[[#Headers],[Company]],1)</f>
        <v>Nitrogen - Nitrate</v>
      </c>
      <c r="R114" s="109" cm="1">
        <f t="array" ref="R114">Common_InputFunctions.Utility_DisplayArrayInTable(Fertiliser_SourceData.Fertiliser_Products_Data1(), FertiliserProducts[[#Headers],[Company]],1)</f>
        <v>0.13500000000000001</v>
      </c>
      <c r="S114" s="109" t="str" cm="1">
        <f t="array" ref="S114">Common_InputFunctions.Utility_DisplayArrayInTable(Fertiliser_SourceData.Fertiliser_Products_Data1(), FertiliserProducts[[#Headers],[Company]],1)</f>
        <v>Calcium</v>
      </c>
      <c r="T114" s="109" cm="1">
        <f t="array" ref="T114">Common_InputFunctions.Utility_DisplayArrayInTable(Fertiliser_SourceData.Fertiliser_Products_Data1(), FertiliserProducts[[#Headers],[Company]],1)</f>
        <v>0.12</v>
      </c>
      <c r="U114" s="109" t="str" cm="1">
        <f t="array" ref="U114">Common_InputFunctions.Utility_DisplayArrayInTable(Fertiliser_SourceData.Fertiliser_Products_Data1(), FertiliserProducts[[#Headers],[Company]],1)</f>
        <v/>
      </c>
      <c r="V114" s="109" t="str" cm="1">
        <f t="array" ref="V114">Common_InputFunctions.Utility_DisplayArrayInTable(Fertiliser_SourceData.Fertiliser_Products_Data1(), FertiliserProducts[[#Headers],[Company]],1)</f>
        <v/>
      </c>
      <c r="W114" s="109" t="str" cm="1">
        <f t="array" ref="W114">Common_InputFunctions.Utility_DisplayArrayInTable(Fertiliser_SourceData.Fertiliser_Products_Data1(), FertiliserProducts[[#Headers],[Company]],1)</f>
        <v/>
      </c>
      <c r="X114" s="109" t="str" cm="1">
        <f t="array" ref="X114">Common_InputFunctions.Utility_DisplayArrayInTable(Fertiliser_SourceData.Fertiliser_Products_Data1(), FertiliserProducts[[#Headers],[Company]],1)</f>
        <v/>
      </c>
      <c r="Y114" s="109" t="str" cm="1">
        <f t="array" ref="Y114">Common_InputFunctions.Utility_DisplayArrayInTable(Fertiliser_SourceData.Fertiliser_Products_Data1(), FertiliserProducts[[#Headers],[Company]],1)</f>
        <v/>
      </c>
      <c r="Z114" s="109" t="str" cm="1">
        <f t="array" ref="Z114">Common_InputFunctions.Utility_DisplayArrayInTable(Fertiliser_SourceData.Fertiliser_Products_Data1(), FertiliserProducts[[#Headers],[Company]],1)</f>
        <v/>
      </c>
      <c r="AA114" s="109" t="str" cm="1">
        <f t="array" ref="AA114">Common_InputFunctions.Utility_DisplayArrayInTable(Fertiliser_SourceData.Fertiliser_Products_Data1(), FertiliserProducts[[#Headers],[Company]],1)</f>
        <v/>
      </c>
      <c r="AB114" s="109" t="str" cm="1">
        <f t="array" ref="AB114">Common_InputFunctions.Utility_DisplayArrayInTable(Fertiliser_SourceData.Fertiliser_Products_Data1(), FertiliserProducts[[#Headers],[Company]],1)</f>
        <v/>
      </c>
      <c r="AC114" s="109" t="str" cm="1">
        <f t="array" ref="AC114">Common_InputFunctions.Utility_DisplayArrayInTable(Fertiliser_SourceData.Fertiliser_Products_Data1(), FertiliserProducts[[#Headers],[Company]],1)</f>
        <v/>
      </c>
      <c r="AD114" s="109" t="str" cm="1">
        <f t="array" ref="AD114">Common_InputFunctions.Utility_DisplayArrayInTable(Fertiliser_SourceData.Fertiliser_Products_Data1(), FertiliserProducts[[#Headers],[Company]],1)</f>
        <v/>
      </c>
      <c r="AE114" s="109" t="str" cm="1">
        <f t="array" ref="AE114">Common_InputFunctions.Utility_DisplayArrayInTable(Fertiliser_SourceData.Fertiliser_Products_Data1(), FertiliserProducts[[#Headers],[Company]],1)</f>
        <v/>
      </c>
      <c r="AF114" s="109" t="str" cm="1">
        <f t="array" ref="AF114">Common_InputFunctions.Utility_DisplayArrayInTable(Fertiliser_SourceData.Fertiliser_Products_Data1(), FertiliserProducts[[#Headers],[Company]],1)</f>
        <v/>
      </c>
      <c r="AG114" s="109" t="str" cm="1">
        <f t="array" ref="AG114">Common_InputFunctions.Utility_DisplayArrayInTable(Fertiliser_SourceData.Fertiliser_Products_Data1(), FertiliserProducts[[#Headers],[Company]],1)</f>
        <v/>
      </c>
      <c r="AH114" s="109"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09" t="str" cm="1">
        <f t="array" ref="D115">Common_InputFunctions.Utility_DisplayArrayInTable(Fertiliser_SourceData.Fertiliser_Products_Data1(), FertiliserProducts[[#Headers],[Company]],1)</f>
        <v>SL Tec</v>
      </c>
      <c r="E115" s="109" t="str" cm="1">
        <f t="array" ref="E115">Common_InputFunctions.Utility_DisplayArrayInTable(Fertiliser_SourceData.Fertiliser_Products_Data1(), FertiliserProducts[[#Headers],[Company]],1)</f>
        <v>CellCAL Plus</v>
      </c>
      <c r="F115" s="109" t="str" cm="1">
        <f t="array" ref="F115">Common_InputFunctions.Utility_DisplayArrayInTable(Fertiliser_SourceData.Fertiliser_Products_Data1(), FertiliserProducts[[#Headers],[Company]],1)</f>
        <v>L</v>
      </c>
      <c r="G115" s="109" cm="1">
        <f t="array" ref="G115">Common_InputFunctions.Utility_DisplayArrayInTable(Fertiliser_SourceData.Fertiliser_Products_Data1(), FertiliserProducts[[#Headers],[Company]],1)</f>
        <v>1.1379999999999999</v>
      </c>
      <c r="H115" s="109" t="str" cm="1">
        <f t="array" ref="H115">Common_InputFunctions.Utility_DisplayArrayInTable(Fertiliser_SourceData.Fertiliser_Products_Data1(), FertiliserProducts[[#Headers],[Company]],1)</f>
        <v/>
      </c>
      <c r="I115" s="109" t="str" cm="1">
        <f t="array" ref="I115">Common_InputFunctions.Utility_DisplayArrayInTable(Fertiliser_SourceData.Fertiliser_Products_Data1(), FertiliserProducts[[#Headers],[Company]],1)</f>
        <v/>
      </c>
      <c r="J115" s="109" t="str" cm="1">
        <f t="array" ref="J115">Common_InputFunctions.Utility_DisplayArrayInTable(Fertiliser_SourceData.Fertiliser_Products_Data1(), FertiliserProducts[[#Headers],[Company]],1)</f>
        <v/>
      </c>
      <c r="K115" s="109" t="str" cm="1">
        <f t="array" ref="K115">Common_InputFunctions.Utility_DisplayArrayInTable(Fertiliser_SourceData.Fertiliser_Products_Data1(), FertiliserProducts[[#Headers],[Company]],1)</f>
        <v/>
      </c>
      <c r="L115" s="109" t="str" cm="1">
        <f t="array" ref="L115">Common_InputFunctions.Utility_DisplayArrayInTable(Fertiliser_SourceData.Fertiliser_Products_Data1(), FertiliserProducts[[#Headers],[Company]],1)</f>
        <v/>
      </c>
      <c r="M115" s="109" t="str" cm="1">
        <f t="array" ref="M115">Common_InputFunctions.Utility_DisplayArrayInTable(Fertiliser_SourceData.Fertiliser_Products_Data1(), FertiliserProducts[[#Headers],[Company]],1)</f>
        <v/>
      </c>
      <c r="N115" s="109" t="str" cm="1">
        <f t="array" ref="N115">Common_InputFunctions.Utility_DisplayArrayInTable(Fertiliser_SourceData.Fertiliser_Products_Data1(), FertiliserProducts[[#Headers],[Company]],1)</f>
        <v/>
      </c>
      <c r="O115" s="109" t="str" cm="1">
        <f t="array" ref="O115">Common_InputFunctions.Utility_DisplayArrayInTable(Fertiliser_SourceData.Fertiliser_Products_Data1(), FertiliserProducts[[#Headers],[Company]],1)</f>
        <v>Calcium</v>
      </c>
      <c r="P115" s="109" cm="1">
        <f t="array" ref="P115">Common_InputFunctions.Utility_DisplayArrayInTable(Fertiliser_SourceData.Fertiliser_Products_Data1(), FertiliserProducts[[#Headers],[Company]],1)</f>
        <v>5.8999999999999997E-2</v>
      </c>
      <c r="Q115" s="109" t="str" cm="1">
        <f t="array" ref="Q115">Common_InputFunctions.Utility_DisplayArrayInTable(Fertiliser_SourceData.Fertiliser_Products_Data1(), FertiliserProducts[[#Headers],[Company]],1)</f>
        <v>Copper</v>
      </c>
      <c r="R115" s="109" cm="1">
        <f t="array" ref="R115">Common_InputFunctions.Utility_DisplayArrayInTable(Fertiliser_SourceData.Fertiliser_Products_Data1(), FertiliserProducts[[#Headers],[Company]],1)</f>
        <v>3.0000000000000001E-3</v>
      </c>
      <c r="S115" s="109" t="str" cm="1">
        <f t="array" ref="S115">Common_InputFunctions.Utility_DisplayArrayInTable(Fertiliser_SourceData.Fertiliser_Products_Data1(), FertiliserProducts[[#Headers],[Company]],1)</f>
        <v>Boron</v>
      </c>
      <c r="T115" s="109" cm="1">
        <f t="array" ref="T115">Common_InputFunctions.Utility_DisplayArrayInTable(Fertiliser_SourceData.Fertiliser_Products_Data1(), FertiliserProducts[[#Headers],[Company]],1)</f>
        <v>1E-3</v>
      </c>
      <c r="U115" s="109" t="str" cm="1">
        <f t="array" ref="U115">Common_InputFunctions.Utility_DisplayArrayInTable(Fertiliser_SourceData.Fertiliser_Products_Data1(), FertiliserProducts[[#Headers],[Company]],1)</f>
        <v/>
      </c>
      <c r="V115" s="109" t="str" cm="1">
        <f t="array" ref="V115">Common_InputFunctions.Utility_DisplayArrayInTable(Fertiliser_SourceData.Fertiliser_Products_Data1(), FertiliserProducts[[#Headers],[Company]],1)</f>
        <v/>
      </c>
      <c r="W115" s="109" t="str" cm="1">
        <f t="array" ref="W115">Common_InputFunctions.Utility_DisplayArrayInTable(Fertiliser_SourceData.Fertiliser_Products_Data1(), FertiliserProducts[[#Headers],[Company]],1)</f>
        <v/>
      </c>
      <c r="X115" s="109" t="str" cm="1">
        <f t="array" ref="X115">Common_InputFunctions.Utility_DisplayArrayInTable(Fertiliser_SourceData.Fertiliser_Products_Data1(), FertiliserProducts[[#Headers],[Company]],1)</f>
        <v/>
      </c>
      <c r="Y115" s="109" t="str" cm="1">
        <f t="array" ref="Y115">Common_InputFunctions.Utility_DisplayArrayInTable(Fertiliser_SourceData.Fertiliser_Products_Data1(), FertiliserProducts[[#Headers],[Company]],1)</f>
        <v/>
      </c>
      <c r="Z115" s="109" t="str" cm="1">
        <f t="array" ref="Z115">Common_InputFunctions.Utility_DisplayArrayInTable(Fertiliser_SourceData.Fertiliser_Products_Data1(), FertiliserProducts[[#Headers],[Company]],1)</f>
        <v/>
      </c>
      <c r="AA115" s="109" t="str" cm="1">
        <f t="array" ref="AA115">Common_InputFunctions.Utility_DisplayArrayInTable(Fertiliser_SourceData.Fertiliser_Products_Data1(), FertiliserProducts[[#Headers],[Company]],1)</f>
        <v/>
      </c>
      <c r="AB115" s="109" t="str" cm="1">
        <f t="array" ref="AB115">Common_InputFunctions.Utility_DisplayArrayInTable(Fertiliser_SourceData.Fertiliser_Products_Data1(), FertiliserProducts[[#Headers],[Company]],1)</f>
        <v/>
      </c>
      <c r="AC115" s="109" t="str" cm="1">
        <f t="array" ref="AC115">Common_InputFunctions.Utility_DisplayArrayInTable(Fertiliser_SourceData.Fertiliser_Products_Data1(), FertiliserProducts[[#Headers],[Company]],1)</f>
        <v/>
      </c>
      <c r="AD115" s="109" t="str" cm="1">
        <f t="array" ref="AD115">Common_InputFunctions.Utility_DisplayArrayInTable(Fertiliser_SourceData.Fertiliser_Products_Data1(), FertiliserProducts[[#Headers],[Company]],1)</f>
        <v/>
      </c>
      <c r="AE115" s="109" t="str" cm="1">
        <f t="array" ref="AE115">Common_InputFunctions.Utility_DisplayArrayInTable(Fertiliser_SourceData.Fertiliser_Products_Data1(), FertiliserProducts[[#Headers],[Company]],1)</f>
        <v/>
      </c>
      <c r="AF115" s="109" t="str" cm="1">
        <f t="array" ref="AF115">Common_InputFunctions.Utility_DisplayArrayInTable(Fertiliser_SourceData.Fertiliser_Products_Data1(), FertiliserProducts[[#Headers],[Company]],1)</f>
        <v/>
      </c>
      <c r="AG115" s="109" t="str" cm="1">
        <f t="array" ref="AG115">Common_InputFunctions.Utility_DisplayArrayInTable(Fertiliser_SourceData.Fertiliser_Products_Data1(), FertiliserProducts[[#Headers],[Company]],1)</f>
        <v/>
      </c>
      <c r="AH115" s="109"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09" t="str" cm="1">
        <f t="array" ref="D116">Common_InputFunctions.Utility_DisplayArrayInTable(Fertiliser_SourceData.Fertiliser_Products_Data1(), FertiliserProducts[[#Headers],[Company]],1)</f>
        <v>Incitec Pivot Fertilisers</v>
      </c>
      <c r="E116" s="109" t="str" cm="1">
        <f t="array" ref="E116">Common_InputFunctions.Utility_DisplayArrayInTable(Fertiliser_SourceData.Fertiliser_Products_Data1(), FertiliserProducts[[#Headers],[Company]],1)</f>
        <v>CK55</v>
      </c>
      <c r="F116" s="109" t="str" cm="1">
        <f t="array" ref="F116">Common_InputFunctions.Utility_DisplayArrayInTable(Fertiliser_SourceData.Fertiliser_Products_Data1(), FertiliserProducts[[#Headers],[Company]],1)</f>
        <v>kg</v>
      </c>
      <c r="G116" s="109" cm="1">
        <f t="array" ref="G116">Common_InputFunctions.Utility_DisplayArrayInTable(Fertiliser_SourceData.Fertiliser_Products_Data1(), FertiliserProducts[[#Headers],[Company]],1)</f>
        <v>1</v>
      </c>
      <c r="H116" s="109" t="str" cm="1">
        <f t="array" ref="H116">Common_InputFunctions.Utility_DisplayArrayInTable(Fertiliser_SourceData.Fertiliser_Products_Data1(), FertiliserProducts[[#Headers],[Company]],1)</f>
        <v/>
      </c>
      <c r="I116" s="109" t="str" cm="1">
        <f t="array" ref="I116">Common_InputFunctions.Utility_DisplayArrayInTable(Fertiliser_SourceData.Fertiliser_Products_Data1(), FertiliserProducts[[#Headers],[Company]],1)</f>
        <v/>
      </c>
      <c r="J116" s="109" t="str" cm="1">
        <f t="array" ref="J116">Common_InputFunctions.Utility_DisplayArrayInTable(Fertiliser_SourceData.Fertiliser_Products_Data1(), FertiliserProducts[[#Headers],[Company]],1)</f>
        <v/>
      </c>
      <c r="K116" s="109" cm="1">
        <f t="array" ref="K116">Common_InputFunctions.Utility_DisplayArrayInTable(Fertiliser_SourceData.Fertiliser_Products_Data1(), FertiliserProducts[[#Headers],[Company]],1)</f>
        <v>13.5</v>
      </c>
      <c r="L116" s="109" cm="1">
        <f t="array" ref="L116">Common_InputFunctions.Utility_DisplayArrayInTable(Fertiliser_SourceData.Fertiliser_Products_Data1(), FertiliserProducts[[#Headers],[Company]],1)</f>
        <v>15</v>
      </c>
      <c r="M116" s="109" cm="1">
        <f t="array" ref="M116">Common_InputFunctions.Utility_DisplayArrayInTable(Fertiliser_SourceData.Fertiliser_Products_Data1(), FertiliserProducts[[#Headers],[Company]],1)</f>
        <v>6.25</v>
      </c>
      <c r="N116" s="109" cm="1">
        <f t="array" ref="N116">Common_InputFunctions.Utility_DisplayArrayInTable(Fertiliser_SourceData.Fertiliser_Products_Data1(), FertiliserProducts[[#Headers],[Company]],1)</f>
        <v>1.2</v>
      </c>
      <c r="O116" s="109" t="str" cm="1">
        <f t="array" ref="O116">Common_InputFunctions.Utility_DisplayArrayInTable(Fertiliser_SourceData.Fertiliser_Products_Data1(), FertiliserProducts[[#Headers],[Company]],1)</f>
        <v>Phosphorus - Generic</v>
      </c>
      <c r="P116" s="109" cm="1">
        <f t="array" ref="P116">Common_InputFunctions.Utility_DisplayArrayInTable(Fertiliser_SourceData.Fertiliser_Products_Data1(), FertiliserProducts[[#Headers],[Company]],1)</f>
        <v>0.15</v>
      </c>
      <c r="Q116" s="109" t="str" cm="1">
        <f t="array" ref="Q116">Common_InputFunctions.Utility_DisplayArrayInTable(Fertiliser_SourceData.Fertiliser_Products_Data1(), FertiliserProducts[[#Headers],[Company]],1)</f>
        <v>Nitrogen - Ammoniacal</v>
      </c>
      <c r="R116" s="109" cm="1">
        <f t="array" ref="R116">Common_InputFunctions.Utility_DisplayArrayInTable(Fertiliser_SourceData.Fertiliser_Products_Data1(), FertiliserProducts[[#Headers],[Company]],1)</f>
        <v>0.13500000000000001</v>
      </c>
      <c r="S116" s="109" t="str" cm="1">
        <f t="array" ref="S116">Common_InputFunctions.Utility_DisplayArrayInTable(Fertiliser_SourceData.Fertiliser_Products_Data1(), FertiliserProducts[[#Headers],[Company]],1)</f>
        <v>Muriate of potash (MOP)</v>
      </c>
      <c r="T116" s="109" cm="1">
        <f t="array" ref="T116">Common_InputFunctions.Utility_DisplayArrayInTable(Fertiliser_SourceData.Fertiliser_Products_Data1(), FertiliserProducts[[#Headers],[Company]],1)</f>
        <v>0.125</v>
      </c>
      <c r="U116" s="109" t="str" cm="1">
        <f t="array" ref="U116">Common_InputFunctions.Utility_DisplayArrayInTable(Fertiliser_SourceData.Fertiliser_Products_Data1(), FertiliserProducts[[#Headers],[Company]],1)</f>
        <v>Fluoride</v>
      </c>
      <c r="V116" s="109" cm="1">
        <f t="array" ref="V116">Common_InputFunctions.Utility_DisplayArrayInTable(Fertiliser_SourceData.Fertiliser_Products_Data1(), FertiliserProducts[[#Headers],[Company]],1)</f>
        <v>2.3E-2</v>
      </c>
      <c r="W116" s="109" t="str" cm="1">
        <f t="array" ref="W116">Common_InputFunctions.Utility_DisplayArrayInTable(Fertiliser_SourceData.Fertiliser_Products_Data1(), FertiliserProducts[[#Headers],[Company]],1)</f>
        <v>Sulfur - Generic</v>
      </c>
      <c r="X116" s="109" cm="1">
        <f t="array" ref="X116">Common_InputFunctions.Utility_DisplayArrayInTable(Fertiliser_SourceData.Fertiliser_Products_Data1(), FertiliserProducts[[#Headers],[Company]],1)</f>
        <v>1.2E-2</v>
      </c>
      <c r="Y116" s="109" t="str" cm="1">
        <f t="array" ref="Y116">Common_InputFunctions.Utility_DisplayArrayInTable(Fertiliser_SourceData.Fertiliser_Products_Data1(), FertiliserProducts[[#Headers],[Company]],1)</f>
        <v/>
      </c>
      <c r="Z116" s="109" t="str" cm="1">
        <f t="array" ref="Z116">Common_InputFunctions.Utility_DisplayArrayInTable(Fertiliser_SourceData.Fertiliser_Products_Data1(), FertiliserProducts[[#Headers],[Company]],1)</f>
        <v/>
      </c>
      <c r="AA116" s="109" t="str" cm="1">
        <f t="array" ref="AA116">Common_InputFunctions.Utility_DisplayArrayInTable(Fertiliser_SourceData.Fertiliser_Products_Data1(), FertiliserProducts[[#Headers],[Company]],1)</f>
        <v/>
      </c>
      <c r="AB116" s="109" t="str" cm="1">
        <f t="array" ref="AB116">Common_InputFunctions.Utility_DisplayArrayInTable(Fertiliser_SourceData.Fertiliser_Products_Data1(), FertiliserProducts[[#Headers],[Company]],1)</f>
        <v/>
      </c>
      <c r="AC116" s="109" t="str" cm="1">
        <f t="array" ref="AC116">Common_InputFunctions.Utility_DisplayArrayInTable(Fertiliser_SourceData.Fertiliser_Products_Data1(), FertiliserProducts[[#Headers],[Company]],1)</f>
        <v/>
      </c>
      <c r="AD116" s="109" t="str" cm="1">
        <f t="array" ref="AD116">Common_InputFunctions.Utility_DisplayArrayInTable(Fertiliser_SourceData.Fertiliser_Products_Data1(), FertiliserProducts[[#Headers],[Company]],1)</f>
        <v/>
      </c>
      <c r="AE116" s="109" t="str" cm="1">
        <f t="array" ref="AE116">Common_InputFunctions.Utility_DisplayArrayInTable(Fertiliser_SourceData.Fertiliser_Products_Data1(), FertiliserProducts[[#Headers],[Company]],1)</f>
        <v/>
      </c>
      <c r="AF116" s="109" t="str" cm="1">
        <f t="array" ref="AF116">Common_InputFunctions.Utility_DisplayArrayInTable(Fertiliser_SourceData.Fertiliser_Products_Data1(), FertiliserProducts[[#Headers],[Company]],1)</f>
        <v/>
      </c>
      <c r="AG116" s="109" t="str" cm="1">
        <f t="array" ref="AG116">Common_InputFunctions.Utility_DisplayArrayInTable(Fertiliser_SourceData.Fertiliser_Products_Data1(), FertiliserProducts[[#Headers],[Company]],1)</f>
        <v/>
      </c>
      <c r="AH116" s="109"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09" t="str" cm="1">
        <f t="array" ref="D117">Common_InputFunctions.Utility_DisplayArrayInTable(Fertiliser_SourceData.Fertiliser_Products_Data1(), FertiliserProducts[[#Headers],[Company]],1)</f>
        <v>Switch Ag</v>
      </c>
      <c r="E117" s="109" t="str" cm="1">
        <f t="array" ref="E117">Common_InputFunctions.Utility_DisplayArrayInTable(Fertiliser_SourceData.Fertiliser_Products_Data1(), FertiliserProducts[[#Headers],[Company]],1)</f>
        <v>Crop K</v>
      </c>
      <c r="F117" s="109" t="str" cm="1">
        <f t="array" ref="F117">Common_InputFunctions.Utility_DisplayArrayInTable(Fertiliser_SourceData.Fertiliser_Products_Data1(), FertiliserProducts[[#Headers],[Company]],1)</f>
        <v>L</v>
      </c>
      <c r="G117" s="109" cm="1">
        <f t="array" ref="G117">Common_InputFunctions.Utility_DisplayArrayInTable(Fertiliser_SourceData.Fertiliser_Products_Data1(), FertiliserProducts[[#Headers],[Company]],1)</f>
        <v>1.25</v>
      </c>
      <c r="H117" s="109" t="str" cm="1">
        <f t="array" ref="H117">Common_InputFunctions.Utility_DisplayArrayInTable(Fertiliser_SourceData.Fertiliser_Products_Data1(), FertiliserProducts[[#Headers],[Company]],1)</f>
        <v/>
      </c>
      <c r="I117" s="109" t="str" cm="1">
        <f t="array" ref="I117">Common_InputFunctions.Utility_DisplayArrayInTable(Fertiliser_SourceData.Fertiliser_Products_Data1(), FertiliserProducts[[#Headers],[Company]],1)</f>
        <v/>
      </c>
      <c r="J117" s="109" t="str" cm="1">
        <f t="array" ref="J117">Common_InputFunctions.Utility_DisplayArrayInTable(Fertiliser_SourceData.Fertiliser_Products_Data1(), FertiliserProducts[[#Headers],[Company]],1)</f>
        <v/>
      </c>
      <c r="K117" s="109" cm="1">
        <f t="array" ref="K117">Common_InputFunctions.Utility_DisplayArrayInTable(Fertiliser_SourceData.Fertiliser_Products_Data1(), FertiliserProducts[[#Headers],[Company]],1)</f>
        <v>3</v>
      </c>
      <c r="L117" s="109" t="str" cm="1">
        <f t="array" ref="L117">Common_InputFunctions.Utility_DisplayArrayInTable(Fertiliser_SourceData.Fertiliser_Products_Data1(), FertiliserProducts[[#Headers],[Company]],1)</f>
        <v/>
      </c>
      <c r="M117" s="109" cm="1">
        <f t="array" ref="M117">Common_InputFunctions.Utility_DisplayArrayInTable(Fertiliser_SourceData.Fertiliser_Products_Data1(), FertiliserProducts[[#Headers],[Company]],1)</f>
        <v>21</v>
      </c>
      <c r="N117" s="109" t="str" cm="1">
        <f t="array" ref="N117">Common_InputFunctions.Utility_DisplayArrayInTable(Fertiliser_SourceData.Fertiliser_Products_Data1(), FertiliserProducts[[#Headers],[Company]],1)</f>
        <v/>
      </c>
      <c r="O117" s="109" t="str" cm="1">
        <f t="array" ref="O117">Common_InputFunctions.Utility_DisplayArrayInTable(Fertiliser_SourceData.Fertiliser_Products_Data1(), FertiliserProducts[[#Headers],[Company]],1)</f>
        <v>Potassium - Generic</v>
      </c>
      <c r="P117" s="109" cm="1">
        <f t="array" ref="P117">Common_InputFunctions.Utility_DisplayArrayInTable(Fertiliser_SourceData.Fertiliser_Products_Data1(), FertiliserProducts[[#Headers],[Company]],1)</f>
        <v>0.21</v>
      </c>
      <c r="Q117" s="109" t="str" cm="1">
        <f t="array" ref="Q117">Common_InputFunctions.Utility_DisplayArrayInTable(Fertiliser_SourceData.Fertiliser_Products_Data1(), FertiliserProducts[[#Headers],[Company]],1)</f>
        <v>Nitrogen - Generic</v>
      </c>
      <c r="R117" s="109" cm="1">
        <f t="array" ref="R117">Common_InputFunctions.Utility_DisplayArrayInTable(Fertiliser_SourceData.Fertiliser_Products_Data1(), FertiliserProducts[[#Headers],[Company]],1)</f>
        <v>0.03</v>
      </c>
      <c r="S117" s="109" t="str" cm="1">
        <f t="array" ref="S117">Common_InputFunctions.Utility_DisplayArrayInTable(Fertiliser_SourceData.Fertiliser_Products_Data1(), FertiliserProducts[[#Headers],[Company]],1)</f>
        <v/>
      </c>
      <c r="T117" s="109" t="str" cm="1">
        <f t="array" ref="T117">Common_InputFunctions.Utility_DisplayArrayInTable(Fertiliser_SourceData.Fertiliser_Products_Data1(), FertiliserProducts[[#Headers],[Company]],1)</f>
        <v/>
      </c>
      <c r="U117" s="109" t="str" cm="1">
        <f t="array" ref="U117">Common_InputFunctions.Utility_DisplayArrayInTable(Fertiliser_SourceData.Fertiliser_Products_Data1(), FertiliserProducts[[#Headers],[Company]],1)</f>
        <v/>
      </c>
      <c r="V117" s="109" t="str" cm="1">
        <f t="array" ref="V117">Common_InputFunctions.Utility_DisplayArrayInTable(Fertiliser_SourceData.Fertiliser_Products_Data1(), FertiliserProducts[[#Headers],[Company]],1)</f>
        <v/>
      </c>
      <c r="W117" s="109" t="str" cm="1">
        <f t="array" ref="W117">Common_InputFunctions.Utility_DisplayArrayInTable(Fertiliser_SourceData.Fertiliser_Products_Data1(), FertiliserProducts[[#Headers],[Company]],1)</f>
        <v/>
      </c>
      <c r="X117" s="109" t="str" cm="1">
        <f t="array" ref="X117">Common_InputFunctions.Utility_DisplayArrayInTable(Fertiliser_SourceData.Fertiliser_Products_Data1(), FertiliserProducts[[#Headers],[Company]],1)</f>
        <v/>
      </c>
      <c r="Y117" s="109" t="str" cm="1">
        <f t="array" ref="Y117">Common_InputFunctions.Utility_DisplayArrayInTable(Fertiliser_SourceData.Fertiliser_Products_Data1(), FertiliserProducts[[#Headers],[Company]],1)</f>
        <v/>
      </c>
      <c r="Z117" s="109" t="str" cm="1">
        <f t="array" ref="Z117">Common_InputFunctions.Utility_DisplayArrayInTable(Fertiliser_SourceData.Fertiliser_Products_Data1(), FertiliserProducts[[#Headers],[Company]],1)</f>
        <v/>
      </c>
      <c r="AA117" s="109" t="str" cm="1">
        <f t="array" ref="AA117">Common_InputFunctions.Utility_DisplayArrayInTable(Fertiliser_SourceData.Fertiliser_Products_Data1(), FertiliserProducts[[#Headers],[Company]],1)</f>
        <v/>
      </c>
      <c r="AB117" s="109" t="str" cm="1">
        <f t="array" ref="AB117">Common_InputFunctions.Utility_DisplayArrayInTable(Fertiliser_SourceData.Fertiliser_Products_Data1(), FertiliserProducts[[#Headers],[Company]],1)</f>
        <v/>
      </c>
      <c r="AC117" s="109" t="str" cm="1">
        <f t="array" ref="AC117">Common_InputFunctions.Utility_DisplayArrayInTable(Fertiliser_SourceData.Fertiliser_Products_Data1(), FertiliserProducts[[#Headers],[Company]],1)</f>
        <v/>
      </c>
      <c r="AD117" s="109" t="str" cm="1">
        <f t="array" ref="AD117">Common_InputFunctions.Utility_DisplayArrayInTable(Fertiliser_SourceData.Fertiliser_Products_Data1(), FertiliserProducts[[#Headers],[Company]],1)</f>
        <v/>
      </c>
      <c r="AE117" s="109" t="str" cm="1">
        <f t="array" ref="AE117">Common_InputFunctions.Utility_DisplayArrayInTable(Fertiliser_SourceData.Fertiliser_Products_Data1(), FertiliserProducts[[#Headers],[Company]],1)</f>
        <v/>
      </c>
      <c r="AF117" s="109" t="str" cm="1">
        <f t="array" ref="AF117">Common_InputFunctions.Utility_DisplayArrayInTable(Fertiliser_SourceData.Fertiliser_Products_Data1(), FertiliserProducts[[#Headers],[Company]],1)</f>
        <v/>
      </c>
      <c r="AG117" s="109" t="str" cm="1">
        <f t="array" ref="AG117">Common_InputFunctions.Utility_DisplayArrayInTable(Fertiliser_SourceData.Fertiliser_Products_Data1(), FertiliserProducts[[#Headers],[Company]],1)</f>
        <v/>
      </c>
      <c r="AH117" s="109"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09" t="str" cm="1">
        <f t="array" ref="D118">Common_InputFunctions.Utility_DisplayArrayInTable(Fertiliser_SourceData.Fertiliser_Products_Data1(), FertiliserProducts[[#Headers],[Company]],1)</f>
        <v>Switch Ag</v>
      </c>
      <c r="E118" s="109" t="str" cm="1">
        <f t="array" ref="E118">Common_InputFunctions.Utility_DisplayArrayInTable(Fertiliser_SourceData.Fertiliser_Products_Data1(), FertiliserProducts[[#Headers],[Company]],1)</f>
        <v>Crop Starter</v>
      </c>
      <c r="F118" s="109" t="str" cm="1">
        <f t="array" ref="F118">Common_InputFunctions.Utility_DisplayArrayInTable(Fertiliser_SourceData.Fertiliser_Products_Data1(), FertiliserProducts[[#Headers],[Company]],1)</f>
        <v>L</v>
      </c>
      <c r="G118" s="109" cm="1">
        <f t="array" ref="G118">Common_InputFunctions.Utility_DisplayArrayInTable(Fertiliser_SourceData.Fertiliser_Products_Data1(), FertiliserProducts[[#Headers],[Company]],1)</f>
        <v>1.2</v>
      </c>
      <c r="H118" s="109" t="str" cm="1">
        <f t="array" ref="H118">Common_InputFunctions.Utility_DisplayArrayInTable(Fertiliser_SourceData.Fertiliser_Products_Data1(), FertiliserProducts[[#Headers],[Company]],1)</f>
        <v/>
      </c>
      <c r="I118" s="109" t="str" cm="1">
        <f t="array" ref="I118">Common_InputFunctions.Utility_DisplayArrayInTable(Fertiliser_SourceData.Fertiliser_Products_Data1(), FertiliserProducts[[#Headers],[Company]],1)</f>
        <v/>
      </c>
      <c r="J118" s="109" t="str" cm="1">
        <f t="array" ref="J118">Common_InputFunctions.Utility_DisplayArrayInTable(Fertiliser_SourceData.Fertiliser_Products_Data1(), FertiliserProducts[[#Headers],[Company]],1)</f>
        <v/>
      </c>
      <c r="K118" s="109" cm="1">
        <f t="array" ref="K118">Common_InputFunctions.Utility_DisplayArrayInTable(Fertiliser_SourceData.Fertiliser_Products_Data1(), FertiliserProducts[[#Headers],[Company]],1)</f>
        <v>5</v>
      </c>
      <c r="L118" s="109" cm="1">
        <f t="array" ref="L118">Common_InputFunctions.Utility_DisplayArrayInTable(Fertiliser_SourceData.Fertiliser_Products_Data1(), FertiliserProducts[[#Headers],[Company]],1)</f>
        <v>3</v>
      </c>
      <c r="M118" s="109" cm="1">
        <f t="array" ref="M118">Common_InputFunctions.Utility_DisplayArrayInTable(Fertiliser_SourceData.Fertiliser_Products_Data1(), FertiliserProducts[[#Headers],[Company]],1)</f>
        <v>8</v>
      </c>
      <c r="N118" s="109" t="str" cm="1">
        <f t="array" ref="N118">Common_InputFunctions.Utility_DisplayArrayInTable(Fertiliser_SourceData.Fertiliser_Products_Data1(), FertiliserProducts[[#Headers],[Company]],1)</f>
        <v/>
      </c>
      <c r="O118" s="109" t="str" cm="1">
        <f t="array" ref="O118">Common_InputFunctions.Utility_DisplayArrayInTable(Fertiliser_SourceData.Fertiliser_Products_Data1(), FertiliserProducts[[#Headers],[Company]],1)</f>
        <v>Potassium - Generic</v>
      </c>
      <c r="P118" s="109" cm="1">
        <f t="array" ref="P118">Common_InputFunctions.Utility_DisplayArrayInTable(Fertiliser_SourceData.Fertiliser_Products_Data1(), FertiliserProducts[[#Headers],[Company]],1)</f>
        <v>0.08</v>
      </c>
      <c r="Q118" s="109" t="str" cm="1">
        <f t="array" ref="Q118">Common_InputFunctions.Utility_DisplayArrayInTable(Fertiliser_SourceData.Fertiliser_Products_Data1(), FertiliserProducts[[#Headers],[Company]],1)</f>
        <v>Nitrogen - Generic</v>
      </c>
      <c r="R118" s="109" cm="1">
        <f t="array" ref="R118">Common_InputFunctions.Utility_DisplayArrayInTable(Fertiliser_SourceData.Fertiliser_Products_Data1(), FertiliserProducts[[#Headers],[Company]],1)</f>
        <v>0.05</v>
      </c>
      <c r="S118" s="109" t="str" cm="1">
        <f t="array" ref="S118">Common_InputFunctions.Utility_DisplayArrayInTable(Fertiliser_SourceData.Fertiliser_Products_Data1(), FertiliserProducts[[#Headers],[Company]],1)</f>
        <v>Phosphorus - Generic</v>
      </c>
      <c r="T118" s="109" cm="1">
        <f t="array" ref="T118">Common_InputFunctions.Utility_DisplayArrayInTable(Fertiliser_SourceData.Fertiliser_Products_Data1(), FertiliserProducts[[#Headers],[Company]],1)</f>
        <v>0.03</v>
      </c>
      <c r="U118" s="109" t="str" cm="1">
        <f t="array" ref="U118">Common_InputFunctions.Utility_DisplayArrayInTable(Fertiliser_SourceData.Fertiliser_Products_Data1(), FertiliserProducts[[#Headers],[Company]],1)</f>
        <v/>
      </c>
      <c r="V118" s="109" t="str" cm="1">
        <f t="array" ref="V118">Common_InputFunctions.Utility_DisplayArrayInTable(Fertiliser_SourceData.Fertiliser_Products_Data1(), FertiliserProducts[[#Headers],[Company]],1)</f>
        <v/>
      </c>
      <c r="W118" s="109" t="str" cm="1">
        <f t="array" ref="W118">Common_InputFunctions.Utility_DisplayArrayInTable(Fertiliser_SourceData.Fertiliser_Products_Data1(), FertiliserProducts[[#Headers],[Company]],1)</f>
        <v/>
      </c>
      <c r="X118" s="109" t="str" cm="1">
        <f t="array" ref="X118">Common_InputFunctions.Utility_DisplayArrayInTable(Fertiliser_SourceData.Fertiliser_Products_Data1(), FertiliserProducts[[#Headers],[Company]],1)</f>
        <v/>
      </c>
      <c r="Y118" s="109" t="str" cm="1">
        <f t="array" ref="Y118">Common_InputFunctions.Utility_DisplayArrayInTable(Fertiliser_SourceData.Fertiliser_Products_Data1(), FertiliserProducts[[#Headers],[Company]],1)</f>
        <v/>
      </c>
      <c r="Z118" s="109" t="str" cm="1">
        <f t="array" ref="Z118">Common_InputFunctions.Utility_DisplayArrayInTable(Fertiliser_SourceData.Fertiliser_Products_Data1(), FertiliserProducts[[#Headers],[Company]],1)</f>
        <v/>
      </c>
      <c r="AA118" s="109" t="str" cm="1">
        <f t="array" ref="AA118">Common_InputFunctions.Utility_DisplayArrayInTable(Fertiliser_SourceData.Fertiliser_Products_Data1(), FertiliserProducts[[#Headers],[Company]],1)</f>
        <v/>
      </c>
      <c r="AB118" s="109" t="str" cm="1">
        <f t="array" ref="AB118">Common_InputFunctions.Utility_DisplayArrayInTable(Fertiliser_SourceData.Fertiliser_Products_Data1(), FertiliserProducts[[#Headers],[Company]],1)</f>
        <v/>
      </c>
      <c r="AC118" s="109" t="str" cm="1">
        <f t="array" ref="AC118">Common_InputFunctions.Utility_DisplayArrayInTable(Fertiliser_SourceData.Fertiliser_Products_Data1(), FertiliserProducts[[#Headers],[Company]],1)</f>
        <v/>
      </c>
      <c r="AD118" s="109" t="str" cm="1">
        <f t="array" ref="AD118">Common_InputFunctions.Utility_DisplayArrayInTable(Fertiliser_SourceData.Fertiliser_Products_Data1(), FertiliserProducts[[#Headers],[Company]],1)</f>
        <v/>
      </c>
      <c r="AE118" s="109" t="str" cm="1">
        <f t="array" ref="AE118">Common_InputFunctions.Utility_DisplayArrayInTable(Fertiliser_SourceData.Fertiliser_Products_Data1(), FertiliserProducts[[#Headers],[Company]],1)</f>
        <v/>
      </c>
      <c r="AF118" s="109" t="str" cm="1">
        <f t="array" ref="AF118">Common_InputFunctions.Utility_DisplayArrayInTable(Fertiliser_SourceData.Fertiliser_Products_Data1(), FertiliserProducts[[#Headers],[Company]],1)</f>
        <v/>
      </c>
      <c r="AG118" s="109" t="str" cm="1">
        <f t="array" ref="AG118">Common_InputFunctions.Utility_DisplayArrayInTable(Fertiliser_SourceData.Fertiliser_Products_Data1(), FertiliserProducts[[#Headers],[Company]],1)</f>
        <v/>
      </c>
      <c r="AH118" s="109"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09" t="str" cm="1">
        <f t="array" ref="D119">Common_InputFunctions.Utility_DisplayArrayInTable(Fertiliser_SourceData.Fertiliser_Products_Data1(), FertiliserProducts[[#Headers],[Company]],1)</f>
        <v>Incitec Pivot Fertilisers</v>
      </c>
      <c r="E119" s="109" t="str" cm="1">
        <f t="array" ref="E119">Common_InputFunctions.Utility_DisplayArrayInTable(Fertiliser_SourceData.Fertiliser_Products_Data1(), FertiliserProducts[[#Headers],[Company]],1)</f>
        <v>Gran-Am</v>
      </c>
      <c r="F119" s="109" t="str" cm="1">
        <f t="array" ref="F119">Common_InputFunctions.Utility_DisplayArrayInTable(Fertiliser_SourceData.Fertiliser_Products_Data1(), FertiliserProducts[[#Headers],[Company]],1)</f>
        <v>kg</v>
      </c>
      <c r="G119" s="109" cm="1">
        <f t="array" ref="G119">Common_InputFunctions.Utility_DisplayArrayInTable(Fertiliser_SourceData.Fertiliser_Products_Data1(), FertiliserProducts[[#Headers],[Company]],1)</f>
        <v>1</v>
      </c>
      <c r="H119" s="109" t="str" cm="1">
        <f t="array" ref="H119">Common_InputFunctions.Utility_DisplayArrayInTable(Fertiliser_SourceData.Fertiliser_Products_Data1(), FertiliserProducts[[#Headers],[Company]],1)</f>
        <v/>
      </c>
      <c r="I119" s="109" t="str" cm="1">
        <f t="array" ref="I119">Common_InputFunctions.Utility_DisplayArrayInTable(Fertiliser_SourceData.Fertiliser_Products_Data1(), FertiliserProducts[[#Headers],[Company]],1)</f>
        <v/>
      </c>
      <c r="J119" s="109" t="str" cm="1">
        <f t="array" ref="J119">Common_InputFunctions.Utility_DisplayArrayInTable(Fertiliser_SourceData.Fertiliser_Products_Data1(), FertiliserProducts[[#Headers],[Company]],1)</f>
        <v/>
      </c>
      <c r="K119" s="109" cm="1">
        <f t="array" ref="K119">Common_InputFunctions.Utility_DisplayArrayInTable(Fertiliser_SourceData.Fertiliser_Products_Data1(), FertiliserProducts[[#Headers],[Company]],1)</f>
        <v>21</v>
      </c>
      <c r="L119" s="109" t="str" cm="1">
        <f t="array" ref="L119">Common_InputFunctions.Utility_DisplayArrayInTable(Fertiliser_SourceData.Fertiliser_Products_Data1(), FertiliserProducts[[#Headers],[Company]],1)</f>
        <v/>
      </c>
      <c r="M119" s="109" t="str" cm="1">
        <f t="array" ref="M119">Common_InputFunctions.Utility_DisplayArrayInTable(Fertiliser_SourceData.Fertiliser_Products_Data1(), FertiliserProducts[[#Headers],[Company]],1)</f>
        <v/>
      </c>
      <c r="N119" s="109" cm="1">
        <f t="array" ref="N119">Common_InputFunctions.Utility_DisplayArrayInTable(Fertiliser_SourceData.Fertiliser_Products_Data1(), FertiliserProducts[[#Headers],[Company]],1)</f>
        <v>24</v>
      </c>
      <c r="O119" s="109" t="str" cm="1">
        <f t="array" ref="O119">Common_InputFunctions.Utility_DisplayArrayInTable(Fertiliser_SourceData.Fertiliser_Products_Data1(), FertiliserProducts[[#Headers],[Company]],1)</f>
        <v>Sulphate of ammonia (SOA)</v>
      </c>
      <c r="P119" s="109" cm="1">
        <f t="array" ref="P119">Common_InputFunctions.Utility_DisplayArrayInTable(Fertiliser_SourceData.Fertiliser_Products_Data1(), FertiliserProducts[[#Headers],[Company]],1)</f>
        <v>1</v>
      </c>
      <c r="Q119" s="109" t="str" cm="1">
        <f t="array" ref="Q119">Common_InputFunctions.Utility_DisplayArrayInTable(Fertiliser_SourceData.Fertiliser_Products_Data1(), FertiliserProducts[[#Headers],[Company]],1)</f>
        <v/>
      </c>
      <c r="R119" s="109" t="str" cm="1">
        <f t="array" ref="R119">Common_InputFunctions.Utility_DisplayArrayInTable(Fertiliser_SourceData.Fertiliser_Products_Data1(), FertiliserProducts[[#Headers],[Company]],1)</f>
        <v/>
      </c>
      <c r="S119" s="109" t="str" cm="1">
        <f t="array" ref="S119">Common_InputFunctions.Utility_DisplayArrayInTable(Fertiliser_SourceData.Fertiliser_Products_Data1(), FertiliserProducts[[#Headers],[Company]],1)</f>
        <v/>
      </c>
      <c r="T119" s="109" t="str" cm="1">
        <f t="array" ref="T119">Common_InputFunctions.Utility_DisplayArrayInTable(Fertiliser_SourceData.Fertiliser_Products_Data1(), FertiliserProducts[[#Headers],[Company]],1)</f>
        <v/>
      </c>
      <c r="U119" s="109" t="str" cm="1">
        <f t="array" ref="U119">Common_InputFunctions.Utility_DisplayArrayInTable(Fertiliser_SourceData.Fertiliser_Products_Data1(), FertiliserProducts[[#Headers],[Company]],1)</f>
        <v/>
      </c>
      <c r="V119" s="109" t="str" cm="1">
        <f t="array" ref="V119">Common_InputFunctions.Utility_DisplayArrayInTable(Fertiliser_SourceData.Fertiliser_Products_Data1(), FertiliserProducts[[#Headers],[Company]],1)</f>
        <v/>
      </c>
      <c r="W119" s="109" t="str" cm="1">
        <f t="array" ref="W119">Common_InputFunctions.Utility_DisplayArrayInTable(Fertiliser_SourceData.Fertiliser_Products_Data1(), FertiliserProducts[[#Headers],[Company]],1)</f>
        <v/>
      </c>
      <c r="X119" s="109" t="str" cm="1">
        <f t="array" ref="X119">Common_InputFunctions.Utility_DisplayArrayInTable(Fertiliser_SourceData.Fertiliser_Products_Data1(), FertiliserProducts[[#Headers],[Company]],1)</f>
        <v/>
      </c>
      <c r="Y119" s="109" t="str" cm="1">
        <f t="array" ref="Y119">Common_InputFunctions.Utility_DisplayArrayInTable(Fertiliser_SourceData.Fertiliser_Products_Data1(), FertiliserProducts[[#Headers],[Company]],1)</f>
        <v/>
      </c>
      <c r="Z119" s="109" t="str" cm="1">
        <f t="array" ref="Z119">Common_InputFunctions.Utility_DisplayArrayInTable(Fertiliser_SourceData.Fertiliser_Products_Data1(), FertiliserProducts[[#Headers],[Company]],1)</f>
        <v/>
      </c>
      <c r="AA119" s="109" t="str" cm="1">
        <f t="array" ref="AA119">Common_InputFunctions.Utility_DisplayArrayInTable(Fertiliser_SourceData.Fertiliser_Products_Data1(), FertiliserProducts[[#Headers],[Company]],1)</f>
        <v/>
      </c>
      <c r="AB119" s="109" t="str" cm="1">
        <f t="array" ref="AB119">Common_InputFunctions.Utility_DisplayArrayInTable(Fertiliser_SourceData.Fertiliser_Products_Data1(), FertiliserProducts[[#Headers],[Company]],1)</f>
        <v/>
      </c>
      <c r="AC119" s="109" t="str" cm="1">
        <f t="array" ref="AC119">Common_InputFunctions.Utility_DisplayArrayInTable(Fertiliser_SourceData.Fertiliser_Products_Data1(), FertiliserProducts[[#Headers],[Company]],1)</f>
        <v/>
      </c>
      <c r="AD119" s="109" t="str" cm="1">
        <f t="array" ref="AD119">Common_InputFunctions.Utility_DisplayArrayInTable(Fertiliser_SourceData.Fertiliser_Products_Data1(), FertiliserProducts[[#Headers],[Company]],1)</f>
        <v/>
      </c>
      <c r="AE119" s="109" t="str" cm="1">
        <f t="array" ref="AE119">Common_InputFunctions.Utility_DisplayArrayInTable(Fertiliser_SourceData.Fertiliser_Products_Data1(), FertiliserProducts[[#Headers],[Company]],1)</f>
        <v/>
      </c>
      <c r="AF119" s="109" t="str" cm="1">
        <f t="array" ref="AF119">Common_InputFunctions.Utility_DisplayArrayInTable(Fertiliser_SourceData.Fertiliser_Products_Data1(), FertiliserProducts[[#Headers],[Company]],1)</f>
        <v/>
      </c>
      <c r="AG119" s="109" t="str" cm="1">
        <f t="array" ref="AG119">Common_InputFunctions.Utility_DisplayArrayInTable(Fertiliser_SourceData.Fertiliser_Products_Data1(), FertiliserProducts[[#Headers],[Company]],1)</f>
        <v/>
      </c>
      <c r="AH119" s="109"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09" t="str" cm="1">
        <f t="array" ref="D120">Common_InputFunctions.Utility_DisplayArrayInTable(Fertiliser_SourceData.Fertiliser_Products_Data2(), FertiliserProducts[[#Headers],[Company]],31)</f>
        <v>Campbells fertilisers Australia</v>
      </c>
      <c r="E120" s="109" t="str" cm="1">
        <f t="array" ref="E120">Common_InputFunctions.Utility_DisplayArrayInTable(Fertiliser_SourceData.Fertiliser_Products_Data2(), FertiliserProducts[[#Headers],[Company]],31)</f>
        <v>Encal</v>
      </c>
      <c r="F120" s="109" t="str" cm="1">
        <f t="array" ref="F120">Common_InputFunctions.Utility_DisplayArrayInTable(Fertiliser_SourceData.Fertiliser_Products_Data2(), FertiliserProducts[[#Headers],[Company]],31)</f>
        <v>L</v>
      </c>
      <c r="G120" s="109" cm="1">
        <f t="array" ref="G120">Common_InputFunctions.Utility_DisplayArrayInTable(Fertiliser_SourceData.Fertiliser_Products_Data2(), FertiliserProducts[[#Headers],[Company]],31)</f>
        <v>1.5</v>
      </c>
      <c r="H120" s="109" t="str" cm="1">
        <f t="array" ref="H120">Common_InputFunctions.Utility_DisplayArrayInTable(Fertiliser_SourceData.Fertiliser_Products_Data2(), FertiliserProducts[[#Headers],[Company]],31)</f>
        <v/>
      </c>
      <c r="I120" s="109" t="str" cm="1">
        <f t="array" ref="I120">Common_InputFunctions.Utility_DisplayArrayInTable(Fertiliser_SourceData.Fertiliser_Products_Data2(), FertiliserProducts[[#Headers],[Company]],31)</f>
        <v/>
      </c>
      <c r="J120" s="109" t="str" cm="1">
        <f t="array" ref="J120">Common_InputFunctions.Utility_DisplayArrayInTable(Fertiliser_SourceData.Fertiliser_Products_Data2(), FertiliserProducts[[#Headers],[Company]],31)</f>
        <v/>
      </c>
      <c r="K120" s="109" cm="1">
        <f t="array" ref="K120">Common_InputFunctions.Utility_DisplayArrayInTable(Fertiliser_SourceData.Fertiliser_Products_Data2(), FertiliserProducts[[#Headers],[Company]],31)</f>
        <v>9</v>
      </c>
      <c r="L120" s="109" t="str" cm="1">
        <f t="array" ref="L120">Common_InputFunctions.Utility_DisplayArrayInTable(Fertiliser_SourceData.Fertiliser_Products_Data2(), FertiliserProducts[[#Headers],[Company]],31)</f>
        <v/>
      </c>
      <c r="M120" s="109" t="str" cm="1">
        <f t="array" ref="M120">Common_InputFunctions.Utility_DisplayArrayInTable(Fertiliser_SourceData.Fertiliser_Products_Data2(), FertiliserProducts[[#Headers],[Company]],31)</f>
        <v/>
      </c>
      <c r="N120" s="109" cm="1">
        <f t="array" ref="N120">Common_InputFunctions.Utility_DisplayArrayInTable(Fertiliser_SourceData.Fertiliser_Products_Data2(), FertiliserProducts[[#Headers],[Company]],31)</f>
        <v>13.94</v>
      </c>
      <c r="O120" s="109" t="str" cm="1">
        <f t="array" ref="O120">Common_InputFunctions.Utility_DisplayArrayInTable(Fertiliser_SourceData.Fertiliser_Products_Data2(), FertiliserProducts[[#Headers],[Company]],31)</f>
        <v>Sulphate of ammonia (SOA)</v>
      </c>
      <c r="P120" s="109" cm="1">
        <f t="array" ref="P120">Common_InputFunctions.Utility_DisplayArrayInTable(Fertiliser_SourceData.Fertiliser_Products_Data2(), FertiliserProducts[[#Headers],[Company]],31)</f>
        <v>0.58064499999999997</v>
      </c>
      <c r="Q120" s="109" t="str" cm="1">
        <f t="array" ref="Q120">Common_InputFunctions.Utility_DisplayArrayInTable(Fertiliser_SourceData.Fertiliser_Products_Data2(), FertiliserProducts[[#Headers],[Company]],31)</f>
        <v>Magnesium</v>
      </c>
      <c r="R120" s="109" cm="1">
        <f t="array" ref="R120">Common_InputFunctions.Utility_DisplayArrayInTable(Fertiliser_SourceData.Fertiliser_Products_Data2(), FertiliserProducts[[#Headers],[Company]],31)</f>
        <v>1.2E-2</v>
      </c>
      <c r="S120" s="109" t="str" cm="1">
        <f t="array" ref="S120">Common_InputFunctions.Utility_DisplayArrayInTable(Fertiliser_SourceData.Fertiliser_Products_Data2(), FertiliserProducts[[#Headers],[Company]],31)</f>
        <v/>
      </c>
      <c r="T120" s="109" t="str" cm="1">
        <f t="array" ref="T120">Common_InputFunctions.Utility_DisplayArrayInTable(Fertiliser_SourceData.Fertiliser_Products_Data2(), FertiliserProducts[[#Headers],[Company]],31)</f>
        <v/>
      </c>
      <c r="U120" s="109" t="str" cm="1">
        <f t="array" ref="U120">Common_InputFunctions.Utility_DisplayArrayInTable(Fertiliser_SourceData.Fertiliser_Products_Data2(), FertiliserProducts[[#Headers],[Company]],31)</f>
        <v/>
      </c>
      <c r="V120" s="109" t="str" cm="1">
        <f t="array" ref="V120">Common_InputFunctions.Utility_DisplayArrayInTable(Fertiliser_SourceData.Fertiliser_Products_Data2(), FertiliserProducts[[#Headers],[Company]],31)</f>
        <v/>
      </c>
      <c r="W120" s="109" t="str" cm="1">
        <f t="array" ref="W120">Common_InputFunctions.Utility_DisplayArrayInTable(Fertiliser_SourceData.Fertiliser_Products_Data2(), FertiliserProducts[[#Headers],[Company]],31)</f>
        <v/>
      </c>
      <c r="X120" s="109" t="str" cm="1">
        <f t="array" ref="X120">Common_InputFunctions.Utility_DisplayArrayInTable(Fertiliser_SourceData.Fertiliser_Products_Data2(), FertiliserProducts[[#Headers],[Company]],31)</f>
        <v/>
      </c>
      <c r="Y120" s="109" t="str" cm="1">
        <f t="array" ref="Y120">Common_InputFunctions.Utility_DisplayArrayInTable(Fertiliser_SourceData.Fertiliser_Products_Data2(), FertiliserProducts[[#Headers],[Company]],31)</f>
        <v/>
      </c>
      <c r="Z120" s="109" t="str" cm="1">
        <f t="array" ref="Z120">Common_InputFunctions.Utility_DisplayArrayInTable(Fertiliser_SourceData.Fertiliser_Products_Data2(), FertiliserProducts[[#Headers],[Company]],31)</f>
        <v/>
      </c>
      <c r="AA120" s="109" t="str" cm="1">
        <f t="array" ref="AA120">Common_InputFunctions.Utility_DisplayArrayInTable(Fertiliser_SourceData.Fertiliser_Products_Data2(), FertiliserProducts[[#Headers],[Company]],31)</f>
        <v/>
      </c>
      <c r="AB120" s="109" t="str" cm="1">
        <f t="array" ref="AB120">Common_InputFunctions.Utility_DisplayArrayInTable(Fertiliser_SourceData.Fertiliser_Products_Data2(), FertiliserProducts[[#Headers],[Company]],31)</f>
        <v/>
      </c>
      <c r="AC120" s="109" t="str" cm="1">
        <f t="array" ref="AC120">Common_InputFunctions.Utility_DisplayArrayInTable(Fertiliser_SourceData.Fertiliser_Products_Data2(), FertiliserProducts[[#Headers],[Company]],31)</f>
        <v/>
      </c>
      <c r="AD120" s="109" t="str" cm="1">
        <f t="array" ref="AD120">Common_InputFunctions.Utility_DisplayArrayInTable(Fertiliser_SourceData.Fertiliser_Products_Data2(), FertiliserProducts[[#Headers],[Company]],31)</f>
        <v/>
      </c>
      <c r="AE120" s="109" t="str" cm="1">
        <f t="array" ref="AE120">Common_InputFunctions.Utility_DisplayArrayInTable(Fertiliser_SourceData.Fertiliser_Products_Data2(), FertiliserProducts[[#Headers],[Company]],31)</f>
        <v/>
      </c>
      <c r="AF120" s="109" t="str" cm="1">
        <f t="array" ref="AF120">Common_InputFunctions.Utility_DisplayArrayInTable(Fertiliser_SourceData.Fertiliser_Products_Data2(), FertiliserProducts[[#Headers],[Company]],31)</f>
        <v/>
      </c>
      <c r="AG120" s="109" t="str" cm="1">
        <f t="array" ref="AG120">Common_InputFunctions.Utility_DisplayArrayInTable(Fertiliser_SourceData.Fertiliser_Products_Data2(), FertiliserProducts[[#Headers],[Company]],31)</f>
        <v/>
      </c>
      <c r="AH120" s="109"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09" t="str" cm="1">
        <f t="array" ref="D121">Common_InputFunctions.Utility_DisplayArrayInTable(Fertiliser_SourceData.Fertiliser_Products_Data2(), FertiliserProducts[[#Headers],[Company]],31)</f>
        <v>Incitec Pivot Fertilisers</v>
      </c>
      <c r="E121" s="109" t="str" cm="1">
        <f t="array" ref="E121">Common_InputFunctions.Utility_DisplayArrayInTable(Fertiliser_SourceData.Fertiliser_Products_Data2(), FertiliserProducts[[#Headers],[Company]],31)</f>
        <v>Granulock SS</v>
      </c>
      <c r="F121" s="109" t="str" cm="1">
        <f t="array" ref="F121">Common_InputFunctions.Utility_DisplayArrayInTable(Fertiliser_SourceData.Fertiliser_Products_Data2(), FertiliserProducts[[#Headers],[Company]],31)</f>
        <v>kg</v>
      </c>
      <c r="G121" s="109" cm="1">
        <f t="array" ref="G121">Common_InputFunctions.Utility_DisplayArrayInTable(Fertiliser_SourceData.Fertiliser_Products_Data2(), FertiliserProducts[[#Headers],[Company]],31)</f>
        <v>1</v>
      </c>
      <c r="H121" s="109" t="str" cm="1">
        <f t="array" ref="H121">Common_InputFunctions.Utility_DisplayArrayInTable(Fertiliser_SourceData.Fertiliser_Products_Data2(), FertiliserProducts[[#Headers],[Company]],31)</f>
        <v/>
      </c>
      <c r="I121" s="109" t="str" cm="1">
        <f t="array" ref="I121">Common_InputFunctions.Utility_DisplayArrayInTable(Fertiliser_SourceData.Fertiliser_Products_Data2(), FertiliserProducts[[#Headers],[Company]],31)</f>
        <v/>
      </c>
      <c r="J121" s="109" t="str" cm="1">
        <f t="array" ref="J121">Common_InputFunctions.Utility_DisplayArrayInTable(Fertiliser_SourceData.Fertiliser_Products_Data2(), FertiliserProducts[[#Headers],[Company]],31)</f>
        <v/>
      </c>
      <c r="K121" s="109" cm="1">
        <f t="array" ref="K121">Common_InputFunctions.Utility_DisplayArrayInTable(Fertiliser_SourceData.Fertiliser_Products_Data2(), FertiliserProducts[[#Headers],[Company]],31)</f>
        <v>10</v>
      </c>
      <c r="L121" s="109" cm="1">
        <f t="array" ref="L121">Common_InputFunctions.Utility_DisplayArrayInTable(Fertiliser_SourceData.Fertiliser_Products_Data2(), FertiliserProducts[[#Headers],[Company]],31)</f>
        <v>17.5</v>
      </c>
      <c r="M121" s="109" t="str" cm="1">
        <f t="array" ref="M121">Common_InputFunctions.Utility_DisplayArrayInTable(Fertiliser_SourceData.Fertiliser_Products_Data2(), FertiliserProducts[[#Headers],[Company]],31)</f>
        <v/>
      </c>
      <c r="N121" s="109" cm="1">
        <f t="array" ref="N121">Common_InputFunctions.Utility_DisplayArrayInTable(Fertiliser_SourceData.Fertiliser_Products_Data2(), FertiliserProducts[[#Headers],[Company]],31)</f>
        <v>12</v>
      </c>
      <c r="O121" s="109" t="str" cm="1">
        <f t="array" ref="O121">Common_InputFunctions.Utility_DisplayArrayInTable(Fertiliser_SourceData.Fertiliser_Products_Data2(), FertiliserProducts[[#Headers],[Company]],31)</f>
        <v>Phosphorus - Generic</v>
      </c>
      <c r="P121" s="109" cm="1">
        <f t="array" ref="P121">Common_InputFunctions.Utility_DisplayArrayInTable(Fertiliser_SourceData.Fertiliser_Products_Data2(), FertiliserProducts[[#Headers],[Company]],31)</f>
        <v>0.17499999999999999</v>
      </c>
      <c r="Q121" s="109" t="str" cm="1">
        <f t="array" ref="Q121">Common_InputFunctions.Utility_DisplayArrayInTable(Fertiliser_SourceData.Fertiliser_Products_Data2(), FertiliserProducts[[#Headers],[Company]],31)</f>
        <v>Sulfur - Generic</v>
      </c>
      <c r="R121" s="109" cm="1">
        <f t="array" ref="R121">Common_InputFunctions.Utility_DisplayArrayInTable(Fertiliser_SourceData.Fertiliser_Products_Data2(), FertiliserProducts[[#Headers],[Company]],31)</f>
        <v>0.12</v>
      </c>
      <c r="S121" s="109" t="str" cm="1">
        <f t="array" ref="S121">Common_InputFunctions.Utility_DisplayArrayInTable(Fertiliser_SourceData.Fertiliser_Products_Data2(), FertiliserProducts[[#Headers],[Company]],31)</f>
        <v>Nitrogen - Ammoniacal</v>
      </c>
      <c r="T121" s="109" cm="1">
        <f t="array" ref="T121">Common_InputFunctions.Utility_DisplayArrayInTable(Fertiliser_SourceData.Fertiliser_Products_Data2(), FertiliserProducts[[#Headers],[Company]],31)</f>
        <v>0.1</v>
      </c>
      <c r="U121" s="109" t="str" cm="1">
        <f t="array" ref="U121">Common_InputFunctions.Utility_DisplayArrayInTable(Fertiliser_SourceData.Fertiliser_Products_Data2(), FertiliserProducts[[#Headers],[Company]],31)</f>
        <v>Fluoride</v>
      </c>
      <c r="V121" s="109" cm="1">
        <f t="array" ref="V121">Common_InputFunctions.Utility_DisplayArrayInTable(Fertiliser_SourceData.Fertiliser_Products_Data2(), FertiliserProducts[[#Headers],[Company]],31)</f>
        <v>0.03</v>
      </c>
      <c r="W121" s="109" t="str" cm="1">
        <f t="array" ref="W121">Common_InputFunctions.Utility_DisplayArrayInTable(Fertiliser_SourceData.Fertiliser_Products_Data2(), FertiliserProducts[[#Headers],[Company]],31)</f>
        <v/>
      </c>
      <c r="X121" s="109" t="str" cm="1">
        <f t="array" ref="X121">Common_InputFunctions.Utility_DisplayArrayInTable(Fertiliser_SourceData.Fertiliser_Products_Data2(), FertiliserProducts[[#Headers],[Company]],31)</f>
        <v/>
      </c>
      <c r="Y121" s="109" t="str" cm="1">
        <f t="array" ref="Y121">Common_InputFunctions.Utility_DisplayArrayInTable(Fertiliser_SourceData.Fertiliser_Products_Data2(), FertiliserProducts[[#Headers],[Company]],31)</f>
        <v/>
      </c>
      <c r="Z121" s="109" t="str" cm="1">
        <f t="array" ref="Z121">Common_InputFunctions.Utility_DisplayArrayInTable(Fertiliser_SourceData.Fertiliser_Products_Data2(), FertiliserProducts[[#Headers],[Company]],31)</f>
        <v/>
      </c>
      <c r="AA121" s="109" t="str" cm="1">
        <f t="array" ref="AA121">Common_InputFunctions.Utility_DisplayArrayInTable(Fertiliser_SourceData.Fertiliser_Products_Data2(), FertiliserProducts[[#Headers],[Company]],31)</f>
        <v/>
      </c>
      <c r="AB121" s="109" t="str" cm="1">
        <f t="array" ref="AB121">Common_InputFunctions.Utility_DisplayArrayInTable(Fertiliser_SourceData.Fertiliser_Products_Data2(), FertiliserProducts[[#Headers],[Company]],31)</f>
        <v/>
      </c>
      <c r="AC121" s="109" t="str" cm="1">
        <f t="array" ref="AC121">Common_InputFunctions.Utility_DisplayArrayInTable(Fertiliser_SourceData.Fertiliser_Products_Data2(), FertiliserProducts[[#Headers],[Company]],31)</f>
        <v/>
      </c>
      <c r="AD121" s="109" t="str" cm="1">
        <f t="array" ref="AD121">Common_InputFunctions.Utility_DisplayArrayInTable(Fertiliser_SourceData.Fertiliser_Products_Data2(), FertiliserProducts[[#Headers],[Company]],31)</f>
        <v/>
      </c>
      <c r="AE121" s="109" t="str" cm="1">
        <f t="array" ref="AE121">Common_InputFunctions.Utility_DisplayArrayInTable(Fertiliser_SourceData.Fertiliser_Products_Data2(), FertiliserProducts[[#Headers],[Company]],31)</f>
        <v/>
      </c>
      <c r="AF121" s="109" t="str" cm="1">
        <f t="array" ref="AF121">Common_InputFunctions.Utility_DisplayArrayInTable(Fertiliser_SourceData.Fertiliser_Products_Data2(), FertiliserProducts[[#Headers],[Company]],31)</f>
        <v/>
      </c>
      <c r="AG121" s="109" t="str" cm="1">
        <f t="array" ref="AG121">Common_InputFunctions.Utility_DisplayArrayInTable(Fertiliser_SourceData.Fertiliser_Products_Data2(), FertiliserProducts[[#Headers],[Company]],31)</f>
        <v/>
      </c>
      <c r="AH121" s="109"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09" t="str" cm="1">
        <f t="array" ref="D122">Common_InputFunctions.Utility_DisplayArrayInTable(Fertiliser_SourceData.Fertiliser_Products_Data2(), FertiliserProducts[[#Headers],[Company]],31)</f>
        <v>Incitec Pivot Fertilisers</v>
      </c>
      <c r="E122" s="109" t="str" cm="1">
        <f t="array" ref="E122">Common_InputFunctions.Utility_DisplayArrayInTable(Fertiliser_SourceData.Fertiliser_Products_Data2(), FertiliserProducts[[#Headers],[Company]],31)</f>
        <v>Granulock Z</v>
      </c>
      <c r="F122" s="109" t="str" cm="1">
        <f t="array" ref="F122">Common_InputFunctions.Utility_DisplayArrayInTable(Fertiliser_SourceData.Fertiliser_Products_Data2(), FertiliserProducts[[#Headers],[Company]],31)</f>
        <v>kg</v>
      </c>
      <c r="G122" s="109" cm="1">
        <f t="array" ref="G122">Common_InputFunctions.Utility_DisplayArrayInTable(Fertiliser_SourceData.Fertiliser_Products_Data2(), FertiliserProducts[[#Headers],[Company]],31)</f>
        <v>1</v>
      </c>
      <c r="H122" s="109" t="str" cm="1">
        <f t="array" ref="H122">Common_InputFunctions.Utility_DisplayArrayInTable(Fertiliser_SourceData.Fertiliser_Products_Data2(), FertiliserProducts[[#Headers],[Company]],31)</f>
        <v/>
      </c>
      <c r="I122" s="109" t="str" cm="1">
        <f t="array" ref="I122">Common_InputFunctions.Utility_DisplayArrayInTable(Fertiliser_SourceData.Fertiliser_Products_Data2(), FertiliserProducts[[#Headers],[Company]],31)</f>
        <v/>
      </c>
      <c r="J122" s="109" t="str" cm="1">
        <f t="array" ref="J122">Common_InputFunctions.Utility_DisplayArrayInTable(Fertiliser_SourceData.Fertiliser_Products_Data2(), FertiliserProducts[[#Headers],[Company]],31)</f>
        <v/>
      </c>
      <c r="K122" s="109" cm="1">
        <f t="array" ref="K122">Common_InputFunctions.Utility_DisplayArrayInTable(Fertiliser_SourceData.Fertiliser_Products_Data2(), FertiliserProducts[[#Headers],[Company]],31)</f>
        <v>11</v>
      </c>
      <c r="L122" s="109" cm="1">
        <f t="array" ref="L122">Common_InputFunctions.Utility_DisplayArrayInTable(Fertiliser_SourceData.Fertiliser_Products_Data2(), FertiliserProducts[[#Headers],[Company]],31)</f>
        <v>21.8</v>
      </c>
      <c r="M122" s="109" t="str" cm="1">
        <f t="array" ref="M122">Common_InputFunctions.Utility_DisplayArrayInTable(Fertiliser_SourceData.Fertiliser_Products_Data2(), FertiliserProducts[[#Headers],[Company]],31)</f>
        <v/>
      </c>
      <c r="N122" s="109" cm="1">
        <f t="array" ref="N122">Common_InputFunctions.Utility_DisplayArrayInTable(Fertiliser_SourceData.Fertiliser_Products_Data2(), FertiliserProducts[[#Headers],[Company]],31)</f>
        <v>4</v>
      </c>
      <c r="O122" s="109" t="str" cm="1">
        <f t="array" ref="O122">Common_InputFunctions.Utility_DisplayArrayInTable(Fertiliser_SourceData.Fertiliser_Products_Data2(), FertiliserProducts[[#Headers],[Company]],31)</f>
        <v>Phosphorus - Generic</v>
      </c>
      <c r="P122" s="109" cm="1">
        <f t="array" ref="P122">Common_InputFunctions.Utility_DisplayArrayInTable(Fertiliser_SourceData.Fertiliser_Products_Data2(), FertiliserProducts[[#Headers],[Company]],31)</f>
        <v>0.218</v>
      </c>
      <c r="Q122" s="109" t="str" cm="1">
        <f t="array" ref="Q122">Common_InputFunctions.Utility_DisplayArrayInTable(Fertiliser_SourceData.Fertiliser_Products_Data2(), FertiliserProducts[[#Headers],[Company]],31)</f>
        <v>Nitrogen - Generic</v>
      </c>
      <c r="R122" s="109" cm="1">
        <f t="array" ref="R122">Common_InputFunctions.Utility_DisplayArrayInTable(Fertiliser_SourceData.Fertiliser_Products_Data2(), FertiliserProducts[[#Headers],[Company]],31)</f>
        <v>0.11</v>
      </c>
      <c r="S122" s="109" t="str" cm="1">
        <f t="array" ref="S122">Common_InputFunctions.Utility_DisplayArrayInTable(Fertiliser_SourceData.Fertiliser_Products_Data2(), FertiliserProducts[[#Headers],[Company]],31)</f>
        <v>Sulfur - Generic</v>
      </c>
      <c r="T122" s="109" cm="1">
        <f t="array" ref="T122">Common_InputFunctions.Utility_DisplayArrayInTable(Fertiliser_SourceData.Fertiliser_Products_Data2(), FertiliserProducts[[#Headers],[Company]],31)</f>
        <v>0.04</v>
      </c>
      <c r="U122" s="109" t="str" cm="1">
        <f t="array" ref="U122">Common_InputFunctions.Utility_DisplayArrayInTable(Fertiliser_SourceData.Fertiliser_Products_Data2(), FertiliserProducts[[#Headers],[Company]],31)</f>
        <v>Fluoride</v>
      </c>
      <c r="V122" s="109" cm="1">
        <f t="array" ref="V122">Common_InputFunctions.Utility_DisplayArrayInTable(Fertiliser_SourceData.Fertiliser_Products_Data2(), FertiliserProducts[[#Headers],[Company]],31)</f>
        <v>0.03</v>
      </c>
      <c r="W122" s="109" t="str" cm="1">
        <f t="array" ref="W122">Common_InputFunctions.Utility_DisplayArrayInTable(Fertiliser_SourceData.Fertiliser_Products_Data2(), FertiliserProducts[[#Headers],[Company]],31)</f>
        <v>Zinc</v>
      </c>
      <c r="X122" s="109" cm="1">
        <f t="array" ref="X122">Common_InputFunctions.Utility_DisplayArrayInTable(Fertiliser_SourceData.Fertiliser_Products_Data2(), FertiliserProducts[[#Headers],[Company]],31)</f>
        <v>0.01</v>
      </c>
      <c r="Y122" s="109" t="str" cm="1">
        <f t="array" ref="Y122">Common_InputFunctions.Utility_DisplayArrayInTable(Fertiliser_SourceData.Fertiliser_Products_Data2(), FertiliserProducts[[#Headers],[Company]],31)</f>
        <v/>
      </c>
      <c r="Z122" s="109" t="str" cm="1">
        <f t="array" ref="Z122">Common_InputFunctions.Utility_DisplayArrayInTable(Fertiliser_SourceData.Fertiliser_Products_Data2(), FertiliserProducts[[#Headers],[Company]],31)</f>
        <v/>
      </c>
      <c r="AA122" s="109" t="str" cm="1">
        <f t="array" ref="AA122">Common_InputFunctions.Utility_DisplayArrayInTable(Fertiliser_SourceData.Fertiliser_Products_Data2(), FertiliserProducts[[#Headers],[Company]],31)</f>
        <v/>
      </c>
      <c r="AB122" s="109" t="str" cm="1">
        <f t="array" ref="AB122">Common_InputFunctions.Utility_DisplayArrayInTable(Fertiliser_SourceData.Fertiliser_Products_Data2(), FertiliserProducts[[#Headers],[Company]],31)</f>
        <v/>
      </c>
      <c r="AC122" s="109" t="str" cm="1">
        <f t="array" ref="AC122">Common_InputFunctions.Utility_DisplayArrayInTable(Fertiliser_SourceData.Fertiliser_Products_Data2(), FertiliserProducts[[#Headers],[Company]],31)</f>
        <v/>
      </c>
      <c r="AD122" s="109" t="str" cm="1">
        <f t="array" ref="AD122">Common_InputFunctions.Utility_DisplayArrayInTable(Fertiliser_SourceData.Fertiliser_Products_Data2(), FertiliserProducts[[#Headers],[Company]],31)</f>
        <v/>
      </c>
      <c r="AE122" s="109" t="str" cm="1">
        <f t="array" ref="AE122">Common_InputFunctions.Utility_DisplayArrayInTable(Fertiliser_SourceData.Fertiliser_Products_Data2(), FertiliserProducts[[#Headers],[Company]],31)</f>
        <v/>
      </c>
      <c r="AF122" s="109" t="str" cm="1">
        <f t="array" ref="AF122">Common_InputFunctions.Utility_DisplayArrayInTable(Fertiliser_SourceData.Fertiliser_Products_Data2(), FertiliserProducts[[#Headers],[Company]],31)</f>
        <v/>
      </c>
      <c r="AG122" s="109" t="str" cm="1">
        <f t="array" ref="AG122">Common_InputFunctions.Utility_DisplayArrayInTable(Fertiliser_SourceData.Fertiliser_Products_Data2(), FertiliserProducts[[#Headers],[Company]],31)</f>
        <v/>
      </c>
      <c r="AH122" s="109"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09" t="str" cm="1">
        <f t="array" ref="D123">Common_InputFunctions.Utility_DisplayArrayInTable(Fertiliser_SourceData.Fertiliser_Products_Data2(), FertiliserProducts[[#Headers],[Company]],31)</f>
        <v>Incitec Pivot Fertilisers</v>
      </c>
      <c r="E123" s="109" t="str" cm="1">
        <f t="array" ref="E123">Common_InputFunctions.Utility_DisplayArrayInTable(Fertiliser_SourceData.Fertiliser_Products_Data2(), FertiliserProducts[[#Headers],[Company]],31)</f>
        <v>Farm Ag Leichhardt</v>
      </c>
      <c r="F123" s="109" t="str" cm="1">
        <f t="array" ref="F123">Common_InputFunctions.Utility_DisplayArrayInTable(Fertiliser_SourceData.Fertiliser_Products_Data2(), FertiliserProducts[[#Headers],[Company]],31)</f>
        <v>kg</v>
      </c>
      <c r="G123" s="109" cm="1">
        <f t="array" ref="G123">Common_InputFunctions.Utility_DisplayArrayInTable(Fertiliser_SourceData.Fertiliser_Products_Data2(), FertiliserProducts[[#Headers],[Company]],31)</f>
        <v>1</v>
      </c>
      <c r="H123" s="109" t="str" cm="1">
        <f t="array" ref="H123">Common_InputFunctions.Utility_DisplayArrayInTable(Fertiliser_SourceData.Fertiliser_Products_Data2(), FertiliserProducts[[#Headers],[Company]],31)</f>
        <v/>
      </c>
      <c r="I123" s="109" t="str" cm="1">
        <f t="array" ref="I123">Common_InputFunctions.Utility_DisplayArrayInTable(Fertiliser_SourceData.Fertiliser_Products_Data2(), FertiliserProducts[[#Headers],[Company]],31)</f>
        <v/>
      </c>
      <c r="J123" s="109" t="str" cm="1">
        <f t="array" ref="J123">Common_InputFunctions.Utility_DisplayArrayInTable(Fertiliser_SourceData.Fertiliser_Products_Data2(), FertiliserProducts[[#Headers],[Company]],31)</f>
        <v/>
      </c>
      <c r="K123" s="109" cm="1">
        <f t="array" ref="K123">Common_InputFunctions.Utility_DisplayArrayInTable(Fertiliser_SourceData.Fertiliser_Products_Data2(), FertiliserProducts[[#Headers],[Company]],31)</f>
        <v>32.5</v>
      </c>
      <c r="L123" s="109" cm="1">
        <f t="array" ref="L123">Common_InputFunctions.Utility_DisplayArrayInTable(Fertiliser_SourceData.Fertiliser_Products_Data2(), FertiliserProducts[[#Headers],[Company]],31)</f>
        <v>5.4</v>
      </c>
      <c r="M123" s="109" cm="1">
        <f t="array" ref="M123">Common_InputFunctions.Utility_DisplayArrayInTable(Fertiliser_SourceData.Fertiliser_Products_Data2(), FertiliserProducts[[#Headers],[Company]],31)</f>
        <v>6.25</v>
      </c>
      <c r="N123" s="109" t="str" cm="1">
        <f t="array" ref="N123">Common_InputFunctions.Utility_DisplayArrayInTable(Fertiliser_SourceData.Fertiliser_Products_Data2(), FertiliserProducts[[#Headers],[Company]],31)</f>
        <v/>
      </c>
      <c r="O123" s="109" t="str" cm="1">
        <f t="array" ref="O123">Common_InputFunctions.Utility_DisplayArrayInTable(Fertiliser_SourceData.Fertiliser_Products_Data2(), FertiliserProducts[[#Headers],[Company]],31)</f>
        <v>Urea</v>
      </c>
      <c r="P123" s="109" cm="1">
        <f t="array" ref="P123">Common_InputFunctions.Utility_DisplayArrayInTable(Fertiliser_SourceData.Fertiliser_Products_Data2(), FertiliserProducts[[#Headers],[Company]],31)</f>
        <v>0.6</v>
      </c>
      <c r="Q123" s="109" t="str" cm="1">
        <f t="array" ref="Q123">Common_InputFunctions.Utility_DisplayArrayInTable(Fertiliser_SourceData.Fertiliser_Products_Data2(), FertiliserProducts[[#Headers],[Company]],31)</f>
        <v>Nitrogen - Ammoniacal</v>
      </c>
      <c r="R123" s="109" cm="1">
        <f t="array" ref="R123">Common_InputFunctions.Utility_DisplayArrayInTable(Fertiliser_SourceData.Fertiliser_Products_Data2(), FertiliserProducts[[#Headers],[Company]],31)</f>
        <v>4.9000000000000002E-2</v>
      </c>
      <c r="S123" s="109" t="str" cm="1">
        <f t="array" ref="S123">Common_InputFunctions.Utility_DisplayArrayInTable(Fertiliser_SourceData.Fertiliser_Products_Data2(), FertiliserProducts[[#Headers],[Company]],31)</f>
        <v>Phosphorus - Generic</v>
      </c>
      <c r="T123" s="109" cm="1">
        <f t="array" ref="T123">Common_InputFunctions.Utility_DisplayArrayInTable(Fertiliser_SourceData.Fertiliser_Products_Data2(), FertiliserProducts[[#Headers],[Company]],31)</f>
        <v>5.3999999999999999E-2</v>
      </c>
      <c r="U123" s="109" t="str" cm="1">
        <f t="array" ref="U123">Common_InputFunctions.Utility_DisplayArrayInTable(Fertiliser_SourceData.Fertiliser_Products_Data2(), FertiliserProducts[[#Headers],[Company]],31)</f>
        <v>Muriate of potash (MOP)</v>
      </c>
      <c r="V123" s="109" cm="1">
        <f t="array" ref="V123">Common_InputFunctions.Utility_DisplayArrayInTable(Fertiliser_SourceData.Fertiliser_Products_Data2(), FertiliserProducts[[#Headers],[Company]],31)</f>
        <v>0.125</v>
      </c>
      <c r="W123" s="109" t="str" cm="1">
        <f t="array" ref="W123">Common_InputFunctions.Utility_DisplayArrayInTable(Fertiliser_SourceData.Fertiliser_Products_Data2(), FertiliserProducts[[#Headers],[Company]],31)</f>
        <v/>
      </c>
      <c r="X123" s="109" t="str" cm="1">
        <f t="array" ref="X123">Common_InputFunctions.Utility_DisplayArrayInTable(Fertiliser_SourceData.Fertiliser_Products_Data2(), FertiliserProducts[[#Headers],[Company]],31)</f>
        <v/>
      </c>
      <c r="Y123" s="109" t="str" cm="1">
        <f t="array" ref="Y123">Common_InputFunctions.Utility_DisplayArrayInTable(Fertiliser_SourceData.Fertiliser_Products_Data2(), FertiliserProducts[[#Headers],[Company]],31)</f>
        <v/>
      </c>
      <c r="Z123" s="109" t="str" cm="1">
        <f t="array" ref="Z123">Common_InputFunctions.Utility_DisplayArrayInTable(Fertiliser_SourceData.Fertiliser_Products_Data2(), FertiliserProducts[[#Headers],[Company]],31)</f>
        <v/>
      </c>
      <c r="AA123" s="109" t="str" cm="1">
        <f t="array" ref="AA123">Common_InputFunctions.Utility_DisplayArrayInTable(Fertiliser_SourceData.Fertiliser_Products_Data2(), FertiliserProducts[[#Headers],[Company]],31)</f>
        <v/>
      </c>
      <c r="AB123" s="109" t="str" cm="1">
        <f t="array" ref="AB123">Common_InputFunctions.Utility_DisplayArrayInTable(Fertiliser_SourceData.Fertiliser_Products_Data2(), FertiliserProducts[[#Headers],[Company]],31)</f>
        <v/>
      </c>
      <c r="AC123" s="109" t="str" cm="1">
        <f t="array" ref="AC123">Common_InputFunctions.Utility_DisplayArrayInTable(Fertiliser_SourceData.Fertiliser_Products_Data2(), FertiliserProducts[[#Headers],[Company]],31)</f>
        <v/>
      </c>
      <c r="AD123" s="109" t="str" cm="1">
        <f t="array" ref="AD123">Common_InputFunctions.Utility_DisplayArrayInTable(Fertiliser_SourceData.Fertiliser_Products_Data2(), FertiliserProducts[[#Headers],[Company]],31)</f>
        <v/>
      </c>
      <c r="AE123" s="109" t="str" cm="1">
        <f t="array" ref="AE123">Common_InputFunctions.Utility_DisplayArrayInTable(Fertiliser_SourceData.Fertiliser_Products_Data2(), FertiliserProducts[[#Headers],[Company]],31)</f>
        <v/>
      </c>
      <c r="AF123" s="109" t="str" cm="1">
        <f t="array" ref="AF123">Common_InputFunctions.Utility_DisplayArrayInTable(Fertiliser_SourceData.Fertiliser_Products_Data2(), FertiliserProducts[[#Headers],[Company]],31)</f>
        <v/>
      </c>
      <c r="AG123" s="109" t="str" cm="1">
        <f t="array" ref="AG123">Common_InputFunctions.Utility_DisplayArrayInTable(Fertiliser_SourceData.Fertiliser_Products_Data2(), FertiliserProducts[[#Headers],[Company]],31)</f>
        <v/>
      </c>
      <c r="AH123" s="109"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09" t="str" cm="1">
        <f t="array" ref="D124">Common_InputFunctions.Utility_DisplayArrayInTable(Fertiliser_SourceData.Fertiliser_Products_Data2(), FertiliserProducts[[#Headers],[Company]],31)</f>
        <v>Ravensdown</v>
      </c>
      <c r="E124" s="109" t="str" cm="1">
        <f t="array" ref="E124">Common_InputFunctions.Utility_DisplayArrayInTable(Fertiliser_SourceData.Fertiliser_Products_Data2(), FertiliserProducts[[#Headers],[Company]],31)</f>
        <v>Flexi-N NBPT</v>
      </c>
      <c r="F124" s="109" t="str" cm="1">
        <f t="array" ref="F124">Common_InputFunctions.Utility_DisplayArrayInTable(Fertiliser_SourceData.Fertiliser_Products_Data2(), FertiliserProducts[[#Headers],[Company]],31)</f>
        <v>kg</v>
      </c>
      <c r="G124" s="109" cm="1">
        <f t="array" ref="G124">Common_InputFunctions.Utility_DisplayArrayInTable(Fertiliser_SourceData.Fertiliser_Products_Data2(), FertiliserProducts[[#Headers],[Company]],31)</f>
        <v>1</v>
      </c>
      <c r="H124" s="109" t="str" cm="1">
        <f t="array" ref="H124">Common_InputFunctions.Utility_DisplayArrayInTable(Fertiliser_SourceData.Fertiliser_Products_Data2(), FertiliserProducts[[#Headers],[Company]],31)</f>
        <v>Yes</v>
      </c>
      <c r="I124" s="109" t="str" cm="1">
        <f t="array" ref="I124">Common_InputFunctions.Utility_DisplayArrayInTable(Fertiliser_SourceData.Fertiliser_Products_Data2(), FertiliserProducts[[#Headers],[Company]],31)</f>
        <v/>
      </c>
      <c r="J124" s="109" t="str" cm="1">
        <f t="array" ref="J124">Common_InputFunctions.Utility_DisplayArrayInTable(Fertiliser_SourceData.Fertiliser_Products_Data2(), FertiliserProducts[[#Headers],[Company]],31)</f>
        <v/>
      </c>
      <c r="K124" s="109" cm="1">
        <f t="array" ref="K124">Common_InputFunctions.Utility_DisplayArrayInTable(Fertiliser_SourceData.Fertiliser_Products_Data2(), FertiliserProducts[[#Headers],[Company]],31)</f>
        <v>45.54</v>
      </c>
      <c r="L124" s="109" t="str" cm="1">
        <f t="array" ref="L124">Common_InputFunctions.Utility_DisplayArrayInTable(Fertiliser_SourceData.Fertiliser_Products_Data2(), FertiliserProducts[[#Headers],[Company]],31)</f>
        <v/>
      </c>
      <c r="M124" s="109" t="str" cm="1">
        <f t="array" ref="M124">Common_InputFunctions.Utility_DisplayArrayInTable(Fertiliser_SourceData.Fertiliser_Products_Data2(), FertiliserProducts[[#Headers],[Company]],31)</f>
        <v/>
      </c>
      <c r="N124" s="109" t="str" cm="1">
        <f t="array" ref="N124">Common_InputFunctions.Utility_DisplayArrayInTable(Fertiliser_SourceData.Fertiliser_Products_Data2(), FertiliserProducts[[#Headers],[Company]],31)</f>
        <v/>
      </c>
      <c r="O124" s="109" t="str" cm="1">
        <f t="array" ref="O124">Common_InputFunctions.Utility_DisplayArrayInTable(Fertiliser_SourceData.Fertiliser_Products_Data2(), FertiliserProducts[[#Headers],[Company]],31)</f>
        <v>Urea</v>
      </c>
      <c r="P124" s="109" cm="1">
        <f t="array" ref="P124">Common_InputFunctions.Utility_DisplayArrayInTable(Fertiliser_SourceData.Fertiliser_Products_Data2(), FertiliserProducts[[#Headers],[Company]],31)</f>
        <v>0.99</v>
      </c>
      <c r="Q124" s="109" t="str" cm="1">
        <f t="array" ref="Q124">Common_InputFunctions.Utility_DisplayArrayInTable(Fertiliser_SourceData.Fertiliser_Products_Data2(), FertiliserProducts[[#Headers],[Company]],31)</f>
        <v/>
      </c>
      <c r="R124" s="109" t="str" cm="1">
        <f t="array" ref="R124">Common_InputFunctions.Utility_DisplayArrayInTable(Fertiliser_SourceData.Fertiliser_Products_Data2(), FertiliserProducts[[#Headers],[Company]],31)</f>
        <v/>
      </c>
      <c r="S124" s="109" t="str" cm="1">
        <f t="array" ref="S124">Common_InputFunctions.Utility_DisplayArrayInTable(Fertiliser_SourceData.Fertiliser_Products_Data2(), FertiliserProducts[[#Headers],[Company]],31)</f>
        <v/>
      </c>
      <c r="T124" s="109" t="str" cm="1">
        <f t="array" ref="T124">Common_InputFunctions.Utility_DisplayArrayInTable(Fertiliser_SourceData.Fertiliser_Products_Data2(), FertiliserProducts[[#Headers],[Company]],31)</f>
        <v/>
      </c>
      <c r="U124" s="109" t="str" cm="1">
        <f t="array" ref="U124">Common_InputFunctions.Utility_DisplayArrayInTable(Fertiliser_SourceData.Fertiliser_Products_Data2(), FertiliserProducts[[#Headers],[Company]],31)</f>
        <v/>
      </c>
      <c r="V124" s="109" t="str" cm="1">
        <f t="array" ref="V124">Common_InputFunctions.Utility_DisplayArrayInTable(Fertiliser_SourceData.Fertiliser_Products_Data2(), FertiliserProducts[[#Headers],[Company]],31)</f>
        <v/>
      </c>
      <c r="W124" s="109" t="str" cm="1">
        <f t="array" ref="W124">Common_InputFunctions.Utility_DisplayArrayInTable(Fertiliser_SourceData.Fertiliser_Products_Data2(), FertiliserProducts[[#Headers],[Company]],31)</f>
        <v/>
      </c>
      <c r="X124" s="109" t="str" cm="1">
        <f t="array" ref="X124">Common_InputFunctions.Utility_DisplayArrayInTable(Fertiliser_SourceData.Fertiliser_Products_Data2(), FertiliserProducts[[#Headers],[Company]],31)</f>
        <v/>
      </c>
      <c r="Y124" s="109" t="str" cm="1">
        <f t="array" ref="Y124">Common_InputFunctions.Utility_DisplayArrayInTable(Fertiliser_SourceData.Fertiliser_Products_Data2(), FertiliserProducts[[#Headers],[Company]],31)</f>
        <v/>
      </c>
      <c r="Z124" s="109" t="str" cm="1">
        <f t="array" ref="Z124">Common_InputFunctions.Utility_DisplayArrayInTable(Fertiliser_SourceData.Fertiliser_Products_Data2(), FertiliserProducts[[#Headers],[Company]],31)</f>
        <v/>
      </c>
      <c r="AA124" s="109" t="str" cm="1">
        <f t="array" ref="AA124">Common_InputFunctions.Utility_DisplayArrayInTable(Fertiliser_SourceData.Fertiliser_Products_Data2(), FertiliserProducts[[#Headers],[Company]],31)</f>
        <v/>
      </c>
      <c r="AB124" s="109" t="str" cm="1">
        <f t="array" ref="AB124">Common_InputFunctions.Utility_DisplayArrayInTable(Fertiliser_SourceData.Fertiliser_Products_Data2(), FertiliserProducts[[#Headers],[Company]],31)</f>
        <v/>
      </c>
      <c r="AC124" s="109" t="str" cm="1">
        <f t="array" ref="AC124">Common_InputFunctions.Utility_DisplayArrayInTable(Fertiliser_SourceData.Fertiliser_Products_Data2(), FertiliserProducts[[#Headers],[Company]],31)</f>
        <v/>
      </c>
      <c r="AD124" s="109" t="str" cm="1">
        <f t="array" ref="AD124">Common_InputFunctions.Utility_DisplayArrayInTable(Fertiliser_SourceData.Fertiliser_Products_Data2(), FertiliserProducts[[#Headers],[Company]],31)</f>
        <v/>
      </c>
      <c r="AE124" s="109" t="str" cm="1">
        <f t="array" ref="AE124">Common_InputFunctions.Utility_DisplayArrayInTable(Fertiliser_SourceData.Fertiliser_Products_Data2(), FertiliserProducts[[#Headers],[Company]],31)</f>
        <v/>
      </c>
      <c r="AF124" s="109" t="str" cm="1">
        <f t="array" ref="AF124">Common_InputFunctions.Utility_DisplayArrayInTable(Fertiliser_SourceData.Fertiliser_Products_Data2(), FertiliserProducts[[#Headers],[Company]],31)</f>
        <v/>
      </c>
      <c r="AG124" s="109" t="str" cm="1">
        <f t="array" ref="AG124">Common_InputFunctions.Utility_DisplayArrayInTable(Fertiliser_SourceData.Fertiliser_Products_Data2(), FertiliserProducts[[#Headers],[Company]],31)</f>
        <v/>
      </c>
      <c r="AH124" s="109"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09" t="str" cm="1">
        <f t="array" ref="D125">Common_InputFunctions.Utility_DisplayArrayInTable(Fertiliser_SourceData.Fertiliser_Products_Data2(), FertiliserProducts[[#Headers],[Company]],31)</f>
        <v>Campbells fertilisers Australia</v>
      </c>
      <c r="E125" s="109" t="str" cm="1">
        <f t="array" ref="E125">Common_InputFunctions.Utility_DisplayArrayInTable(Fertiliser_SourceData.Fertiliser_Products_Data2(), FertiliserProducts[[#Headers],[Company]],31)</f>
        <v>Gold Premium</v>
      </c>
      <c r="F125" s="109" t="str" cm="1">
        <f t="array" ref="F125">Common_InputFunctions.Utility_DisplayArrayInTable(Fertiliser_SourceData.Fertiliser_Products_Data2(), FertiliserProducts[[#Headers],[Company]],31)</f>
        <v>kg</v>
      </c>
      <c r="G125" s="109" cm="1">
        <f t="array" ref="G125">Common_InputFunctions.Utility_DisplayArrayInTable(Fertiliser_SourceData.Fertiliser_Products_Data2(), FertiliserProducts[[#Headers],[Company]],31)</f>
        <v>1</v>
      </c>
      <c r="H125" s="109" t="str" cm="1">
        <f t="array" ref="H125">Common_InputFunctions.Utility_DisplayArrayInTable(Fertiliser_SourceData.Fertiliser_Products_Data2(), FertiliserProducts[[#Headers],[Company]],31)</f>
        <v/>
      </c>
      <c r="I125" s="109" t="str" cm="1">
        <f t="array" ref="I125">Common_InputFunctions.Utility_DisplayArrayInTable(Fertiliser_SourceData.Fertiliser_Products_Data2(), FertiliserProducts[[#Headers],[Company]],31)</f>
        <v/>
      </c>
      <c r="J125" s="109" t="str" cm="1">
        <f t="array" ref="J125">Common_InputFunctions.Utility_DisplayArrayInTable(Fertiliser_SourceData.Fertiliser_Products_Data2(), FertiliserProducts[[#Headers],[Company]],31)</f>
        <v/>
      </c>
      <c r="K125" s="109" cm="1">
        <f t="array" ref="K125">Common_InputFunctions.Utility_DisplayArrayInTable(Fertiliser_SourceData.Fertiliser_Products_Data2(), FertiliserProducts[[#Headers],[Company]],31)</f>
        <v>14.87</v>
      </c>
      <c r="L125" s="109" cm="1">
        <f t="array" ref="L125">Common_InputFunctions.Utility_DisplayArrayInTable(Fertiliser_SourceData.Fertiliser_Products_Data2(), FertiliserProducts[[#Headers],[Company]],31)</f>
        <v>2.2000000000000002</v>
      </c>
      <c r="M125" s="109" cm="1">
        <f t="array" ref="M125">Common_InputFunctions.Utility_DisplayArrayInTable(Fertiliser_SourceData.Fertiliser_Products_Data2(), FertiliserProducts[[#Headers],[Company]],31)</f>
        <v>16.600000000000001</v>
      </c>
      <c r="N125" s="109" cm="1">
        <f t="array" ref="N125">Common_InputFunctions.Utility_DisplayArrayInTable(Fertiliser_SourceData.Fertiliser_Products_Data2(), FertiliserProducts[[#Headers],[Company]],31)</f>
        <v>8</v>
      </c>
      <c r="O125" s="109" t="str" cm="1">
        <f t="array" ref="O125">Common_InputFunctions.Utility_DisplayArrayInTable(Fertiliser_SourceData.Fertiliser_Products_Data2(), FertiliserProducts[[#Headers],[Company]],31)</f>
        <v>Ammonium nitrate (AN)</v>
      </c>
      <c r="P125" s="109" cm="1">
        <f t="array" ref="P125">Common_InputFunctions.Utility_DisplayArrayInTable(Fertiliser_SourceData.Fertiliser_Products_Data2(), FertiliserProducts[[#Headers],[Company]],31)</f>
        <v>0.44117600000000001</v>
      </c>
      <c r="Q125" s="109" t="str" cm="1">
        <f t="array" ref="Q125">Common_InputFunctions.Utility_DisplayArrayInTable(Fertiliser_SourceData.Fertiliser_Products_Data2(), FertiliserProducts[[#Headers],[Company]],31)</f>
        <v>Potassium - Generic</v>
      </c>
      <c r="R125" s="109" cm="1">
        <f t="array" ref="R125">Common_InputFunctions.Utility_DisplayArrayInTable(Fertiliser_SourceData.Fertiliser_Products_Data2(), FertiliserProducts[[#Headers],[Company]],31)</f>
        <v>0.16600000000000001</v>
      </c>
      <c r="S125" s="109" t="str" cm="1">
        <f t="array" ref="S125">Common_InputFunctions.Utility_DisplayArrayInTable(Fertiliser_SourceData.Fertiliser_Products_Data2(), FertiliserProducts[[#Headers],[Company]],31)</f>
        <v>Sulfur - Generic</v>
      </c>
      <c r="T125" s="109" cm="1">
        <f t="array" ref="T125">Common_InputFunctions.Utility_DisplayArrayInTable(Fertiliser_SourceData.Fertiliser_Products_Data2(), FertiliserProducts[[#Headers],[Company]],31)</f>
        <v>0.08</v>
      </c>
      <c r="U125" s="109" t="str" cm="1">
        <f t="array" ref="U125">Common_InputFunctions.Utility_DisplayArrayInTable(Fertiliser_SourceData.Fertiliser_Products_Data2(), FertiliserProducts[[#Headers],[Company]],31)</f>
        <v>Phosphorus - Generic</v>
      </c>
      <c r="V125" s="109" cm="1">
        <f t="array" ref="V125">Common_InputFunctions.Utility_DisplayArrayInTable(Fertiliser_SourceData.Fertiliser_Products_Data2(), FertiliserProducts[[#Headers],[Company]],31)</f>
        <v>2.1999999999999999E-2</v>
      </c>
      <c r="W125" s="109" t="str" cm="1">
        <f t="array" ref="W125">Common_InputFunctions.Utility_DisplayArrayInTable(Fertiliser_SourceData.Fertiliser_Products_Data2(), FertiliserProducts[[#Headers],[Company]],31)</f>
        <v>Magnesium</v>
      </c>
      <c r="X125" s="109" cm="1">
        <f t="array" ref="X125">Common_InputFunctions.Utility_DisplayArrayInTable(Fertiliser_SourceData.Fertiliser_Products_Data2(), FertiliserProducts[[#Headers],[Company]],31)</f>
        <v>1.2E-2</v>
      </c>
      <c r="Y125" s="109" t="str" cm="1">
        <f t="array" ref="Y125">Common_InputFunctions.Utility_DisplayArrayInTable(Fertiliser_SourceData.Fertiliser_Products_Data2(), FertiliserProducts[[#Headers],[Company]],31)</f>
        <v>Boron</v>
      </c>
      <c r="Z125" s="109" cm="1">
        <f t="array" ref="Z125">Common_InputFunctions.Utility_DisplayArrayInTable(Fertiliser_SourceData.Fertiliser_Products_Data2(), FertiliserProducts[[#Headers],[Company]],31)</f>
        <v>2.0000000000000001E-4</v>
      </c>
      <c r="AA125" s="109" t="str" cm="1">
        <f t="array" ref="AA125">Common_InputFunctions.Utility_DisplayArrayInTable(Fertiliser_SourceData.Fertiliser_Products_Data2(), FertiliserProducts[[#Headers],[Company]],31)</f>
        <v>Zinc</v>
      </c>
      <c r="AB125" s="109" cm="1">
        <f t="array" ref="AB125">Common_InputFunctions.Utility_DisplayArrayInTable(Fertiliser_SourceData.Fertiliser_Products_Data2(), FertiliserProducts[[#Headers],[Company]],31)</f>
        <v>1E-4</v>
      </c>
      <c r="AC125" s="109" t="str" cm="1">
        <f t="array" ref="AC125">Common_InputFunctions.Utility_DisplayArrayInTable(Fertiliser_SourceData.Fertiliser_Products_Data2(), FertiliserProducts[[#Headers],[Company]],31)</f>
        <v/>
      </c>
      <c r="AD125" s="109" t="str" cm="1">
        <f t="array" ref="AD125">Common_InputFunctions.Utility_DisplayArrayInTable(Fertiliser_SourceData.Fertiliser_Products_Data2(), FertiliserProducts[[#Headers],[Company]],31)</f>
        <v/>
      </c>
      <c r="AE125" s="109" t="str" cm="1">
        <f t="array" ref="AE125">Common_InputFunctions.Utility_DisplayArrayInTable(Fertiliser_SourceData.Fertiliser_Products_Data2(), FertiliserProducts[[#Headers],[Company]],31)</f>
        <v/>
      </c>
      <c r="AF125" s="109" t="str" cm="1">
        <f t="array" ref="AF125">Common_InputFunctions.Utility_DisplayArrayInTable(Fertiliser_SourceData.Fertiliser_Products_Data2(), FertiliserProducts[[#Headers],[Company]],31)</f>
        <v/>
      </c>
      <c r="AG125" s="109" t="str" cm="1">
        <f t="array" ref="AG125">Common_InputFunctions.Utility_DisplayArrayInTable(Fertiliser_SourceData.Fertiliser_Products_Data2(), FertiliserProducts[[#Headers],[Company]],31)</f>
        <v/>
      </c>
      <c r="AH125" s="109"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09" t="str" cm="1">
        <f t="array" ref="D126">Common_InputFunctions.Utility_DisplayArrayInTable(Fertiliser_SourceData.Fertiliser_Products_Data2(), FertiliserProducts[[#Headers],[Company]],31)</f>
        <v>SL Tec</v>
      </c>
      <c r="E126" s="109" t="str" cm="1">
        <f t="array" ref="E126">Common_InputFunctions.Utility_DisplayArrayInTable(Fertiliser_SourceData.Fertiliser_Products_Data2(), FertiliserProducts[[#Headers],[Company]],31)</f>
        <v>High NS</v>
      </c>
      <c r="F126" s="109" t="str" cm="1">
        <f t="array" ref="F126">Common_InputFunctions.Utility_DisplayArrayInTable(Fertiliser_SourceData.Fertiliser_Products_Data2(), FertiliserProducts[[#Headers],[Company]],31)</f>
        <v>L</v>
      </c>
      <c r="G126" s="109" cm="1">
        <f t="array" ref="G126">Common_InputFunctions.Utility_DisplayArrayInTable(Fertiliser_SourceData.Fertiliser_Products_Data2(), FertiliserProducts[[#Headers],[Company]],31)</f>
        <v>1.2989999999999999</v>
      </c>
      <c r="H126" s="109" t="str" cm="1">
        <f t="array" ref="H126">Common_InputFunctions.Utility_DisplayArrayInTable(Fertiliser_SourceData.Fertiliser_Products_Data2(), FertiliserProducts[[#Headers],[Company]],31)</f>
        <v/>
      </c>
      <c r="I126" s="109" t="str" cm="1">
        <f t="array" ref="I126">Common_InputFunctions.Utility_DisplayArrayInTable(Fertiliser_SourceData.Fertiliser_Products_Data2(), FertiliserProducts[[#Headers],[Company]],31)</f>
        <v/>
      </c>
      <c r="J126" s="109" t="str" cm="1">
        <f t="array" ref="J126">Common_InputFunctions.Utility_DisplayArrayInTable(Fertiliser_SourceData.Fertiliser_Products_Data2(), FertiliserProducts[[#Headers],[Company]],31)</f>
        <v/>
      </c>
      <c r="K126" s="109" cm="1">
        <f t="array" ref="K126">Common_InputFunctions.Utility_DisplayArrayInTable(Fertiliser_SourceData.Fertiliser_Products_Data2(), FertiliserProducts[[#Headers],[Company]],31)</f>
        <v>38</v>
      </c>
      <c r="L126" s="109" t="str" cm="1">
        <f t="array" ref="L126">Common_InputFunctions.Utility_DisplayArrayInTable(Fertiliser_SourceData.Fertiliser_Products_Data2(), FertiliserProducts[[#Headers],[Company]],31)</f>
        <v/>
      </c>
      <c r="M126" s="109" t="str" cm="1">
        <f t="array" ref="M126">Common_InputFunctions.Utility_DisplayArrayInTable(Fertiliser_SourceData.Fertiliser_Products_Data2(), FertiliserProducts[[#Headers],[Company]],31)</f>
        <v/>
      </c>
      <c r="N126" s="109" cm="1">
        <f t="array" ref="N126">Common_InputFunctions.Utility_DisplayArrayInTable(Fertiliser_SourceData.Fertiliser_Products_Data2(), FertiliserProducts[[#Headers],[Company]],31)</f>
        <v>2</v>
      </c>
      <c r="O126" s="109" t="str" cm="1">
        <f t="array" ref="O126">Common_InputFunctions.Utility_DisplayArrayInTable(Fertiliser_SourceData.Fertiliser_Products_Data2(), FertiliserProducts[[#Headers],[Company]],31)</f>
        <v>Urea</v>
      </c>
      <c r="P126" s="109" cm="1">
        <f t="array" ref="P126">Common_InputFunctions.Utility_DisplayArrayInTable(Fertiliser_SourceData.Fertiliser_Products_Data2(), FertiliserProducts[[#Headers],[Company]],31)</f>
        <v>0.46087</v>
      </c>
      <c r="Q126" s="109" t="str" cm="1">
        <f t="array" ref="Q126">Common_InputFunctions.Utility_DisplayArrayInTable(Fertiliser_SourceData.Fertiliser_Products_Data2(), FertiliserProducts[[#Headers],[Company]],31)</f>
        <v>Nitrogen - Ammoniacal</v>
      </c>
      <c r="R126" s="109" cm="1">
        <f t="array" ref="R126">Common_InputFunctions.Utility_DisplayArrayInTable(Fertiliser_SourceData.Fertiliser_Products_Data2(), FertiliserProducts[[#Headers],[Company]],31)</f>
        <v>9.1999999999999998E-2</v>
      </c>
      <c r="S126" s="109" t="str" cm="1">
        <f t="array" ref="S126">Common_InputFunctions.Utility_DisplayArrayInTable(Fertiliser_SourceData.Fertiliser_Products_Data2(), FertiliserProducts[[#Headers],[Company]],31)</f>
        <v>Nitrogen - Nitrate</v>
      </c>
      <c r="T126" s="109" cm="1">
        <f t="array" ref="T126">Common_InputFunctions.Utility_DisplayArrayInTable(Fertiliser_SourceData.Fertiliser_Products_Data2(), FertiliserProducts[[#Headers],[Company]],31)</f>
        <v>7.5999999999999998E-2</v>
      </c>
      <c r="U126" s="109" t="str" cm="1">
        <f t="array" ref="U126">Common_InputFunctions.Utility_DisplayArrayInTable(Fertiliser_SourceData.Fertiliser_Products_Data2(), FertiliserProducts[[#Headers],[Company]],31)</f>
        <v>Sulfur - Generic</v>
      </c>
      <c r="V126" s="109" cm="1">
        <f t="array" ref="V126">Common_InputFunctions.Utility_DisplayArrayInTable(Fertiliser_SourceData.Fertiliser_Products_Data2(), FertiliserProducts[[#Headers],[Company]],31)</f>
        <v>0.02</v>
      </c>
      <c r="W126" s="109" t="str" cm="1">
        <f t="array" ref="W126">Common_InputFunctions.Utility_DisplayArrayInTable(Fertiliser_SourceData.Fertiliser_Products_Data2(), FertiliserProducts[[#Headers],[Company]],31)</f>
        <v/>
      </c>
      <c r="X126" s="109" t="str" cm="1">
        <f t="array" ref="X126">Common_InputFunctions.Utility_DisplayArrayInTable(Fertiliser_SourceData.Fertiliser_Products_Data2(), FertiliserProducts[[#Headers],[Company]],31)</f>
        <v/>
      </c>
      <c r="Y126" s="109" t="str" cm="1">
        <f t="array" ref="Y126">Common_InputFunctions.Utility_DisplayArrayInTable(Fertiliser_SourceData.Fertiliser_Products_Data2(), FertiliserProducts[[#Headers],[Company]],31)</f>
        <v/>
      </c>
      <c r="Z126" s="109" t="str" cm="1">
        <f t="array" ref="Z126">Common_InputFunctions.Utility_DisplayArrayInTable(Fertiliser_SourceData.Fertiliser_Products_Data2(), FertiliserProducts[[#Headers],[Company]],31)</f>
        <v/>
      </c>
      <c r="AA126" s="109" t="str" cm="1">
        <f t="array" ref="AA126">Common_InputFunctions.Utility_DisplayArrayInTable(Fertiliser_SourceData.Fertiliser_Products_Data2(), FertiliserProducts[[#Headers],[Company]],31)</f>
        <v/>
      </c>
      <c r="AB126" s="109" t="str" cm="1">
        <f t="array" ref="AB126">Common_InputFunctions.Utility_DisplayArrayInTable(Fertiliser_SourceData.Fertiliser_Products_Data2(), FertiliserProducts[[#Headers],[Company]],31)</f>
        <v/>
      </c>
      <c r="AC126" s="109" t="str" cm="1">
        <f t="array" ref="AC126">Common_InputFunctions.Utility_DisplayArrayInTable(Fertiliser_SourceData.Fertiliser_Products_Data2(), FertiliserProducts[[#Headers],[Company]],31)</f>
        <v/>
      </c>
      <c r="AD126" s="109" t="str" cm="1">
        <f t="array" ref="AD126">Common_InputFunctions.Utility_DisplayArrayInTable(Fertiliser_SourceData.Fertiliser_Products_Data2(), FertiliserProducts[[#Headers],[Company]],31)</f>
        <v/>
      </c>
      <c r="AE126" s="109" t="str" cm="1">
        <f t="array" ref="AE126">Common_InputFunctions.Utility_DisplayArrayInTable(Fertiliser_SourceData.Fertiliser_Products_Data2(), FertiliserProducts[[#Headers],[Company]],31)</f>
        <v/>
      </c>
      <c r="AF126" s="109" t="str" cm="1">
        <f t="array" ref="AF126">Common_InputFunctions.Utility_DisplayArrayInTable(Fertiliser_SourceData.Fertiliser_Products_Data2(), FertiliserProducts[[#Headers],[Company]],31)</f>
        <v/>
      </c>
      <c r="AG126" s="109" t="str" cm="1">
        <f t="array" ref="AG126">Common_InputFunctions.Utility_DisplayArrayInTable(Fertiliser_SourceData.Fertiliser_Products_Data2(), FertiliserProducts[[#Headers],[Company]],31)</f>
        <v/>
      </c>
      <c r="AH126" s="109"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09" t="str" cm="1">
        <f t="array" ref="D127">Common_InputFunctions.Utility_DisplayArrayInTable(Fertiliser_SourceData.Fertiliser_Products_Data2(), FertiliserProducts[[#Headers],[Company]],31)</f>
        <v>Impact Fertilisers</v>
      </c>
      <c r="E127" s="109" t="str" cm="1">
        <f t="array" ref="E127">Common_InputFunctions.Utility_DisplayArrayInTable(Fertiliser_SourceData.Fertiliser_Products_Data2(), FertiliserProducts[[#Headers],[Company]],31)</f>
        <v>Impact SSP</v>
      </c>
      <c r="F127" s="109" t="str" cm="1">
        <f t="array" ref="F127">Common_InputFunctions.Utility_DisplayArrayInTable(Fertiliser_SourceData.Fertiliser_Products_Data2(), FertiliserProducts[[#Headers],[Company]],31)</f>
        <v>kg</v>
      </c>
      <c r="G127" s="109" cm="1">
        <f t="array" ref="G127">Common_InputFunctions.Utility_DisplayArrayInTable(Fertiliser_SourceData.Fertiliser_Products_Data2(), FertiliserProducts[[#Headers],[Company]],31)</f>
        <v>1</v>
      </c>
      <c r="H127" s="109" t="str" cm="1">
        <f t="array" ref="H127">Common_InputFunctions.Utility_DisplayArrayInTable(Fertiliser_SourceData.Fertiliser_Products_Data2(), FertiliserProducts[[#Headers],[Company]],31)</f>
        <v/>
      </c>
      <c r="I127" s="109" t="str" cm="1">
        <f t="array" ref="I127">Common_InputFunctions.Utility_DisplayArrayInTable(Fertiliser_SourceData.Fertiliser_Products_Data2(), FertiliserProducts[[#Headers],[Company]],31)</f>
        <v/>
      </c>
      <c r="J127" s="109" t="str" cm="1">
        <f t="array" ref="J127">Common_InputFunctions.Utility_DisplayArrayInTable(Fertiliser_SourceData.Fertiliser_Products_Data2(), FertiliserProducts[[#Headers],[Company]],31)</f>
        <v/>
      </c>
      <c r="K127" s="109" t="str" cm="1">
        <f t="array" ref="K127">Common_InputFunctions.Utility_DisplayArrayInTable(Fertiliser_SourceData.Fertiliser_Products_Data2(), FertiliserProducts[[#Headers],[Company]],31)</f>
        <v/>
      </c>
      <c r="L127" s="109" cm="1">
        <f t="array" ref="L127">Common_InputFunctions.Utility_DisplayArrayInTable(Fertiliser_SourceData.Fertiliser_Products_Data2(), FertiliserProducts[[#Headers],[Company]],31)</f>
        <v>8.8000000000000007</v>
      </c>
      <c r="M127" s="109" t="str" cm="1">
        <f t="array" ref="M127">Common_InputFunctions.Utility_DisplayArrayInTable(Fertiliser_SourceData.Fertiliser_Products_Data2(), FertiliserProducts[[#Headers],[Company]],31)</f>
        <v/>
      </c>
      <c r="N127" s="109" cm="1">
        <f t="array" ref="N127">Common_InputFunctions.Utility_DisplayArrayInTable(Fertiliser_SourceData.Fertiliser_Products_Data2(), FertiliserProducts[[#Headers],[Company]],31)</f>
        <v>11</v>
      </c>
      <c r="O127" s="109" t="str" cm="1">
        <f t="array" ref="O127">Common_InputFunctions.Utility_DisplayArrayInTable(Fertiliser_SourceData.Fertiliser_Products_Data2(), FertiliserProducts[[#Headers],[Company]],31)</f>
        <v>Single superphosphate (SSP)</v>
      </c>
      <c r="P127" s="109" cm="1">
        <f t="array" ref="P127">Common_InputFunctions.Utility_DisplayArrayInTable(Fertiliser_SourceData.Fertiliser_Products_Data2(), FertiliserProducts[[#Headers],[Company]],31)</f>
        <v>1</v>
      </c>
      <c r="Q127" s="109" t="str" cm="1">
        <f t="array" ref="Q127">Common_InputFunctions.Utility_DisplayArrayInTable(Fertiliser_SourceData.Fertiliser_Products_Data2(), FertiliserProducts[[#Headers],[Company]],31)</f>
        <v/>
      </c>
      <c r="R127" s="109" t="str" cm="1">
        <f t="array" ref="R127">Common_InputFunctions.Utility_DisplayArrayInTable(Fertiliser_SourceData.Fertiliser_Products_Data2(), FertiliserProducts[[#Headers],[Company]],31)</f>
        <v/>
      </c>
      <c r="S127" s="109" t="str" cm="1">
        <f t="array" ref="S127">Common_InputFunctions.Utility_DisplayArrayInTable(Fertiliser_SourceData.Fertiliser_Products_Data2(), FertiliserProducts[[#Headers],[Company]],31)</f>
        <v/>
      </c>
      <c r="T127" s="109" t="str" cm="1">
        <f t="array" ref="T127">Common_InputFunctions.Utility_DisplayArrayInTable(Fertiliser_SourceData.Fertiliser_Products_Data2(), FertiliserProducts[[#Headers],[Company]],31)</f>
        <v/>
      </c>
      <c r="U127" s="109" t="str" cm="1">
        <f t="array" ref="U127">Common_InputFunctions.Utility_DisplayArrayInTable(Fertiliser_SourceData.Fertiliser_Products_Data2(), FertiliserProducts[[#Headers],[Company]],31)</f>
        <v/>
      </c>
      <c r="V127" s="109" t="str" cm="1">
        <f t="array" ref="V127">Common_InputFunctions.Utility_DisplayArrayInTable(Fertiliser_SourceData.Fertiliser_Products_Data2(), FertiliserProducts[[#Headers],[Company]],31)</f>
        <v/>
      </c>
      <c r="W127" s="109" t="str" cm="1">
        <f t="array" ref="W127">Common_InputFunctions.Utility_DisplayArrayInTable(Fertiliser_SourceData.Fertiliser_Products_Data2(), FertiliserProducts[[#Headers],[Company]],31)</f>
        <v/>
      </c>
      <c r="X127" s="109" t="str" cm="1">
        <f t="array" ref="X127">Common_InputFunctions.Utility_DisplayArrayInTable(Fertiliser_SourceData.Fertiliser_Products_Data2(), FertiliserProducts[[#Headers],[Company]],31)</f>
        <v/>
      </c>
      <c r="Y127" s="109" t="str" cm="1">
        <f t="array" ref="Y127">Common_InputFunctions.Utility_DisplayArrayInTable(Fertiliser_SourceData.Fertiliser_Products_Data2(), FertiliserProducts[[#Headers],[Company]],31)</f>
        <v/>
      </c>
      <c r="Z127" s="109" t="str" cm="1">
        <f t="array" ref="Z127">Common_InputFunctions.Utility_DisplayArrayInTable(Fertiliser_SourceData.Fertiliser_Products_Data2(), FertiliserProducts[[#Headers],[Company]],31)</f>
        <v/>
      </c>
      <c r="AA127" s="109" t="str" cm="1">
        <f t="array" ref="AA127">Common_InputFunctions.Utility_DisplayArrayInTable(Fertiliser_SourceData.Fertiliser_Products_Data2(), FertiliserProducts[[#Headers],[Company]],31)</f>
        <v/>
      </c>
      <c r="AB127" s="109" t="str" cm="1">
        <f t="array" ref="AB127">Common_InputFunctions.Utility_DisplayArrayInTable(Fertiliser_SourceData.Fertiliser_Products_Data2(), FertiliserProducts[[#Headers],[Company]],31)</f>
        <v/>
      </c>
      <c r="AC127" s="109" t="str" cm="1">
        <f t="array" ref="AC127">Common_InputFunctions.Utility_DisplayArrayInTable(Fertiliser_SourceData.Fertiliser_Products_Data2(), FertiliserProducts[[#Headers],[Company]],31)</f>
        <v/>
      </c>
      <c r="AD127" s="109" t="str" cm="1">
        <f t="array" ref="AD127">Common_InputFunctions.Utility_DisplayArrayInTable(Fertiliser_SourceData.Fertiliser_Products_Data2(), FertiliserProducts[[#Headers],[Company]],31)</f>
        <v/>
      </c>
      <c r="AE127" s="109" t="str" cm="1">
        <f t="array" ref="AE127">Common_InputFunctions.Utility_DisplayArrayInTable(Fertiliser_SourceData.Fertiliser_Products_Data2(), FertiliserProducts[[#Headers],[Company]],31)</f>
        <v/>
      </c>
      <c r="AF127" s="109" t="str" cm="1">
        <f t="array" ref="AF127">Common_InputFunctions.Utility_DisplayArrayInTable(Fertiliser_SourceData.Fertiliser_Products_Data2(), FertiliserProducts[[#Headers],[Company]],31)</f>
        <v/>
      </c>
      <c r="AG127" s="109" t="str" cm="1">
        <f t="array" ref="AG127">Common_InputFunctions.Utility_DisplayArrayInTable(Fertiliser_SourceData.Fertiliser_Products_Data2(), FertiliserProducts[[#Headers],[Company]],31)</f>
        <v/>
      </c>
      <c r="AH127" s="109"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09" t="str" cm="1">
        <f t="array" ref="D128">Common_InputFunctions.Utility_DisplayArrayInTable(Fertiliser_SourceData.Fertiliser_Products_Data2(), FertiliserProducts[[#Headers],[Company]],31)</f>
        <v>Switch Ag</v>
      </c>
      <c r="E128" s="109" t="str" cm="1">
        <f t="array" ref="E128">Common_InputFunctions.Utility_DisplayArrayInTable(Fertiliser_SourceData.Fertiliser_Products_Data2(), FertiliserProducts[[#Headers],[Company]],31)</f>
        <v>In Crop</v>
      </c>
      <c r="F128" s="109" t="str" cm="1">
        <f t="array" ref="F128">Common_InputFunctions.Utility_DisplayArrayInTable(Fertiliser_SourceData.Fertiliser_Products_Data2(), FertiliserProducts[[#Headers],[Company]],31)</f>
        <v>L</v>
      </c>
      <c r="G128" s="109" cm="1">
        <f t="array" ref="G128">Common_InputFunctions.Utility_DisplayArrayInTable(Fertiliser_SourceData.Fertiliser_Products_Data2(), FertiliserProducts[[#Headers],[Company]],31)</f>
        <v>1.2</v>
      </c>
      <c r="H128" s="109" t="str" cm="1">
        <f t="array" ref="H128">Common_InputFunctions.Utility_DisplayArrayInTable(Fertiliser_SourceData.Fertiliser_Products_Data2(), FertiliserProducts[[#Headers],[Company]],31)</f>
        <v/>
      </c>
      <c r="I128" s="109" t="str" cm="1">
        <f t="array" ref="I128">Common_InputFunctions.Utility_DisplayArrayInTable(Fertiliser_SourceData.Fertiliser_Products_Data2(), FertiliserProducts[[#Headers],[Company]],31)</f>
        <v/>
      </c>
      <c r="J128" s="109" t="str" cm="1">
        <f t="array" ref="J128">Common_InputFunctions.Utility_DisplayArrayInTable(Fertiliser_SourceData.Fertiliser_Products_Data2(), FertiliserProducts[[#Headers],[Company]],31)</f>
        <v/>
      </c>
      <c r="K128" s="109" cm="1">
        <f t="array" ref="K128">Common_InputFunctions.Utility_DisplayArrayInTable(Fertiliser_SourceData.Fertiliser_Products_Data2(), FertiliserProducts[[#Headers],[Company]],31)</f>
        <v>10</v>
      </c>
      <c r="L128" s="109" cm="1">
        <f t="array" ref="L128">Common_InputFunctions.Utility_DisplayArrayInTable(Fertiliser_SourceData.Fertiliser_Products_Data2(), FertiliserProducts[[#Headers],[Company]],31)</f>
        <v>1</v>
      </c>
      <c r="M128" s="109" cm="1">
        <f t="array" ref="M128">Common_InputFunctions.Utility_DisplayArrayInTable(Fertiliser_SourceData.Fertiliser_Products_Data2(), FertiliserProducts[[#Headers],[Company]],31)</f>
        <v>11</v>
      </c>
      <c r="N128" s="109" t="str" cm="1">
        <f t="array" ref="N128">Common_InputFunctions.Utility_DisplayArrayInTable(Fertiliser_SourceData.Fertiliser_Products_Data2(), FertiliserProducts[[#Headers],[Company]],31)</f>
        <v/>
      </c>
      <c r="O128" s="109" t="str" cm="1">
        <f t="array" ref="O128">Common_InputFunctions.Utility_DisplayArrayInTable(Fertiliser_SourceData.Fertiliser_Products_Data2(), FertiliserProducts[[#Headers],[Company]],31)</f>
        <v>Potassium - Generic</v>
      </c>
      <c r="P128" s="109" cm="1">
        <f t="array" ref="P128">Common_InputFunctions.Utility_DisplayArrayInTable(Fertiliser_SourceData.Fertiliser_Products_Data2(), FertiliserProducts[[#Headers],[Company]],31)</f>
        <v>0.11</v>
      </c>
      <c r="Q128" s="109" t="str" cm="1">
        <f t="array" ref="Q128">Common_InputFunctions.Utility_DisplayArrayInTable(Fertiliser_SourceData.Fertiliser_Products_Data2(), FertiliserProducts[[#Headers],[Company]],31)</f>
        <v>Nitrogen - Generic</v>
      </c>
      <c r="R128" s="109" cm="1">
        <f t="array" ref="R128">Common_InputFunctions.Utility_DisplayArrayInTable(Fertiliser_SourceData.Fertiliser_Products_Data2(), FertiliserProducts[[#Headers],[Company]],31)</f>
        <v>0.1</v>
      </c>
      <c r="S128" s="109" t="str" cm="1">
        <f t="array" ref="S128">Common_InputFunctions.Utility_DisplayArrayInTable(Fertiliser_SourceData.Fertiliser_Products_Data2(), FertiliserProducts[[#Headers],[Company]],31)</f>
        <v>Phosphorus - Generic</v>
      </c>
      <c r="T128" s="109" cm="1">
        <f t="array" ref="T128">Common_InputFunctions.Utility_DisplayArrayInTable(Fertiliser_SourceData.Fertiliser_Products_Data2(), FertiliserProducts[[#Headers],[Company]],31)</f>
        <v>0.01</v>
      </c>
      <c r="U128" s="109" t="str" cm="1">
        <f t="array" ref="U128">Common_InputFunctions.Utility_DisplayArrayInTable(Fertiliser_SourceData.Fertiliser_Products_Data2(), FertiliserProducts[[#Headers],[Company]],31)</f>
        <v/>
      </c>
      <c r="V128" s="109" t="str" cm="1">
        <f t="array" ref="V128">Common_InputFunctions.Utility_DisplayArrayInTable(Fertiliser_SourceData.Fertiliser_Products_Data2(), FertiliserProducts[[#Headers],[Company]],31)</f>
        <v/>
      </c>
      <c r="W128" s="109" t="str" cm="1">
        <f t="array" ref="W128">Common_InputFunctions.Utility_DisplayArrayInTable(Fertiliser_SourceData.Fertiliser_Products_Data2(), FertiliserProducts[[#Headers],[Company]],31)</f>
        <v/>
      </c>
      <c r="X128" s="109" t="str" cm="1">
        <f t="array" ref="X128">Common_InputFunctions.Utility_DisplayArrayInTable(Fertiliser_SourceData.Fertiliser_Products_Data2(), FertiliserProducts[[#Headers],[Company]],31)</f>
        <v/>
      </c>
      <c r="Y128" s="109" t="str" cm="1">
        <f t="array" ref="Y128">Common_InputFunctions.Utility_DisplayArrayInTable(Fertiliser_SourceData.Fertiliser_Products_Data2(), FertiliserProducts[[#Headers],[Company]],31)</f>
        <v/>
      </c>
      <c r="Z128" s="109" t="str" cm="1">
        <f t="array" ref="Z128">Common_InputFunctions.Utility_DisplayArrayInTable(Fertiliser_SourceData.Fertiliser_Products_Data2(), FertiliserProducts[[#Headers],[Company]],31)</f>
        <v/>
      </c>
      <c r="AA128" s="109" t="str" cm="1">
        <f t="array" ref="AA128">Common_InputFunctions.Utility_DisplayArrayInTable(Fertiliser_SourceData.Fertiliser_Products_Data2(), FertiliserProducts[[#Headers],[Company]],31)</f>
        <v/>
      </c>
      <c r="AB128" s="109" t="str" cm="1">
        <f t="array" ref="AB128">Common_InputFunctions.Utility_DisplayArrayInTable(Fertiliser_SourceData.Fertiliser_Products_Data2(), FertiliserProducts[[#Headers],[Company]],31)</f>
        <v/>
      </c>
      <c r="AC128" s="109" t="str" cm="1">
        <f t="array" ref="AC128">Common_InputFunctions.Utility_DisplayArrayInTable(Fertiliser_SourceData.Fertiliser_Products_Data2(), FertiliserProducts[[#Headers],[Company]],31)</f>
        <v/>
      </c>
      <c r="AD128" s="109" t="str" cm="1">
        <f t="array" ref="AD128">Common_InputFunctions.Utility_DisplayArrayInTable(Fertiliser_SourceData.Fertiliser_Products_Data2(), FertiliserProducts[[#Headers],[Company]],31)</f>
        <v/>
      </c>
      <c r="AE128" s="109" t="str" cm="1">
        <f t="array" ref="AE128">Common_InputFunctions.Utility_DisplayArrayInTable(Fertiliser_SourceData.Fertiliser_Products_Data2(), FertiliserProducts[[#Headers],[Company]],31)</f>
        <v/>
      </c>
      <c r="AF128" s="109" t="str" cm="1">
        <f t="array" ref="AF128">Common_InputFunctions.Utility_DisplayArrayInTable(Fertiliser_SourceData.Fertiliser_Products_Data2(), FertiliserProducts[[#Headers],[Company]],31)</f>
        <v/>
      </c>
      <c r="AG128" s="109" t="str" cm="1">
        <f t="array" ref="AG128">Common_InputFunctions.Utility_DisplayArrayInTable(Fertiliser_SourceData.Fertiliser_Products_Data2(), FertiliserProducts[[#Headers],[Company]],31)</f>
        <v/>
      </c>
      <c r="AH128" s="109"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09" t="str" cm="1">
        <f t="array" ref="D129">Common_InputFunctions.Utility_DisplayArrayInTable(Fertiliser_SourceData.Fertiliser_Products_Data2(), FertiliserProducts[[#Headers],[Company]],31)</f>
        <v>Switch Ag</v>
      </c>
      <c r="E129" s="109" t="str" cm="1">
        <f t="array" ref="E129">Common_InputFunctions.Utility_DisplayArrayInTable(Fertiliser_SourceData.Fertiliser_Products_Data2(), FertiliserProducts[[#Headers],[Company]],31)</f>
        <v>K20</v>
      </c>
      <c r="F129" s="109" t="str" cm="1">
        <f t="array" ref="F129">Common_InputFunctions.Utility_DisplayArrayInTable(Fertiliser_SourceData.Fertiliser_Products_Data2(), FertiliserProducts[[#Headers],[Company]],31)</f>
        <v>L</v>
      </c>
      <c r="G129" s="109" cm="1">
        <f t="array" ref="G129">Common_InputFunctions.Utility_DisplayArrayInTable(Fertiliser_SourceData.Fertiliser_Products_Data2(), FertiliserProducts[[#Headers],[Company]],31)</f>
        <v>1.3</v>
      </c>
      <c r="H129" s="109" t="str" cm="1">
        <f t="array" ref="H129">Common_InputFunctions.Utility_DisplayArrayInTable(Fertiliser_SourceData.Fertiliser_Products_Data2(), FertiliserProducts[[#Headers],[Company]],31)</f>
        <v/>
      </c>
      <c r="I129" s="109" t="str" cm="1">
        <f t="array" ref="I129">Common_InputFunctions.Utility_DisplayArrayInTable(Fertiliser_SourceData.Fertiliser_Products_Data2(), FertiliserProducts[[#Headers],[Company]],31)</f>
        <v/>
      </c>
      <c r="J129" s="109" t="str" cm="1">
        <f t="array" ref="J129">Common_InputFunctions.Utility_DisplayArrayInTable(Fertiliser_SourceData.Fertiliser_Products_Data2(), FertiliserProducts[[#Headers],[Company]],31)</f>
        <v/>
      </c>
      <c r="K129" s="109" cm="1">
        <f t="array" ref="K129">Common_InputFunctions.Utility_DisplayArrayInTable(Fertiliser_SourceData.Fertiliser_Products_Data2(), FertiliserProducts[[#Headers],[Company]],31)</f>
        <v>3</v>
      </c>
      <c r="L129" s="109" t="str" cm="1">
        <f t="array" ref="L129">Common_InputFunctions.Utility_DisplayArrayInTable(Fertiliser_SourceData.Fertiliser_Products_Data2(), FertiliserProducts[[#Headers],[Company]],31)</f>
        <v/>
      </c>
      <c r="M129" s="109" cm="1">
        <f t="array" ref="M129">Common_InputFunctions.Utility_DisplayArrayInTable(Fertiliser_SourceData.Fertiliser_Products_Data2(), FertiliserProducts[[#Headers],[Company]],31)</f>
        <v>22</v>
      </c>
      <c r="N129" s="109" t="str" cm="1">
        <f t="array" ref="N129">Common_InputFunctions.Utility_DisplayArrayInTable(Fertiliser_SourceData.Fertiliser_Products_Data2(), FertiliserProducts[[#Headers],[Company]],31)</f>
        <v/>
      </c>
      <c r="O129" s="109" t="str" cm="1">
        <f t="array" ref="O129">Common_InputFunctions.Utility_DisplayArrayInTable(Fertiliser_SourceData.Fertiliser_Products_Data2(), FertiliserProducts[[#Headers],[Company]],31)</f>
        <v>Potassium - Generic</v>
      </c>
      <c r="P129" s="109" cm="1">
        <f t="array" ref="P129">Common_InputFunctions.Utility_DisplayArrayInTable(Fertiliser_SourceData.Fertiliser_Products_Data2(), FertiliserProducts[[#Headers],[Company]],31)</f>
        <v>0.22</v>
      </c>
      <c r="Q129" s="109" t="str" cm="1">
        <f t="array" ref="Q129">Common_InputFunctions.Utility_DisplayArrayInTable(Fertiliser_SourceData.Fertiliser_Products_Data2(), FertiliserProducts[[#Headers],[Company]],31)</f>
        <v>Nitrogen - Generic</v>
      </c>
      <c r="R129" s="109" cm="1">
        <f t="array" ref="R129">Common_InputFunctions.Utility_DisplayArrayInTable(Fertiliser_SourceData.Fertiliser_Products_Data2(), FertiliserProducts[[#Headers],[Company]],31)</f>
        <v>0.03</v>
      </c>
      <c r="S129" s="109" t="str" cm="1">
        <f t="array" ref="S129">Common_InputFunctions.Utility_DisplayArrayInTable(Fertiliser_SourceData.Fertiliser_Products_Data2(), FertiliserProducts[[#Headers],[Company]],31)</f>
        <v/>
      </c>
      <c r="T129" s="109" t="str" cm="1">
        <f t="array" ref="T129">Common_InputFunctions.Utility_DisplayArrayInTable(Fertiliser_SourceData.Fertiliser_Products_Data2(), FertiliserProducts[[#Headers],[Company]],31)</f>
        <v/>
      </c>
      <c r="U129" s="109" t="str" cm="1">
        <f t="array" ref="U129">Common_InputFunctions.Utility_DisplayArrayInTable(Fertiliser_SourceData.Fertiliser_Products_Data2(), FertiliserProducts[[#Headers],[Company]],31)</f>
        <v/>
      </c>
      <c r="V129" s="109" t="str" cm="1">
        <f t="array" ref="V129">Common_InputFunctions.Utility_DisplayArrayInTable(Fertiliser_SourceData.Fertiliser_Products_Data2(), FertiliserProducts[[#Headers],[Company]],31)</f>
        <v/>
      </c>
      <c r="W129" s="109" t="str" cm="1">
        <f t="array" ref="W129">Common_InputFunctions.Utility_DisplayArrayInTable(Fertiliser_SourceData.Fertiliser_Products_Data2(), FertiliserProducts[[#Headers],[Company]],31)</f>
        <v/>
      </c>
      <c r="X129" s="109" t="str" cm="1">
        <f t="array" ref="X129">Common_InputFunctions.Utility_DisplayArrayInTable(Fertiliser_SourceData.Fertiliser_Products_Data2(), FertiliserProducts[[#Headers],[Company]],31)</f>
        <v/>
      </c>
      <c r="Y129" s="109" t="str" cm="1">
        <f t="array" ref="Y129">Common_InputFunctions.Utility_DisplayArrayInTable(Fertiliser_SourceData.Fertiliser_Products_Data2(), FertiliserProducts[[#Headers],[Company]],31)</f>
        <v/>
      </c>
      <c r="Z129" s="109" t="str" cm="1">
        <f t="array" ref="Z129">Common_InputFunctions.Utility_DisplayArrayInTable(Fertiliser_SourceData.Fertiliser_Products_Data2(), FertiliserProducts[[#Headers],[Company]],31)</f>
        <v/>
      </c>
      <c r="AA129" s="109" t="str" cm="1">
        <f t="array" ref="AA129">Common_InputFunctions.Utility_DisplayArrayInTable(Fertiliser_SourceData.Fertiliser_Products_Data2(), FertiliserProducts[[#Headers],[Company]],31)</f>
        <v/>
      </c>
      <c r="AB129" s="109" t="str" cm="1">
        <f t="array" ref="AB129">Common_InputFunctions.Utility_DisplayArrayInTable(Fertiliser_SourceData.Fertiliser_Products_Data2(), FertiliserProducts[[#Headers],[Company]],31)</f>
        <v/>
      </c>
      <c r="AC129" s="109" t="str" cm="1">
        <f t="array" ref="AC129">Common_InputFunctions.Utility_DisplayArrayInTable(Fertiliser_SourceData.Fertiliser_Products_Data2(), FertiliserProducts[[#Headers],[Company]],31)</f>
        <v/>
      </c>
      <c r="AD129" s="109" t="str" cm="1">
        <f t="array" ref="AD129">Common_InputFunctions.Utility_DisplayArrayInTable(Fertiliser_SourceData.Fertiliser_Products_Data2(), FertiliserProducts[[#Headers],[Company]],31)</f>
        <v/>
      </c>
      <c r="AE129" s="109" t="str" cm="1">
        <f t="array" ref="AE129">Common_InputFunctions.Utility_DisplayArrayInTable(Fertiliser_SourceData.Fertiliser_Products_Data2(), FertiliserProducts[[#Headers],[Company]],31)</f>
        <v/>
      </c>
      <c r="AF129" s="109" t="str" cm="1">
        <f t="array" ref="AF129">Common_InputFunctions.Utility_DisplayArrayInTable(Fertiliser_SourceData.Fertiliser_Products_Data2(), FertiliserProducts[[#Headers],[Company]],31)</f>
        <v/>
      </c>
      <c r="AG129" s="109" t="str" cm="1">
        <f t="array" ref="AG129">Common_InputFunctions.Utility_DisplayArrayInTable(Fertiliser_SourceData.Fertiliser_Products_Data2(), FertiliserProducts[[#Headers],[Company]],31)</f>
        <v/>
      </c>
      <c r="AH129" s="109"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09" t="str" cm="1">
        <f t="array" ref="D130">Common_InputFunctions.Utility_DisplayArrayInTable(Fertiliser_SourceData.Fertiliser_Products_Data2(), FertiliserProducts[[#Headers],[Company]],31)</f>
        <v>Loveland Agriproducts</v>
      </c>
      <c r="E130" s="109" t="str" cm="1">
        <f t="array" ref="E130">Common_InputFunctions.Utility_DisplayArrayInTable(Fertiliser_SourceData.Fertiliser_Products_Data2(), FertiliserProducts[[#Headers],[Company]],31)</f>
        <v>Maximum N-Pact</v>
      </c>
      <c r="F130" s="109" t="str" cm="1">
        <f t="array" ref="F130">Common_InputFunctions.Utility_DisplayArrayInTable(Fertiliser_SourceData.Fertiliser_Products_Data2(), FertiliserProducts[[#Headers],[Company]],31)</f>
        <v>L</v>
      </c>
      <c r="G130" s="109" cm="1">
        <f t="array" ref="G130">Common_InputFunctions.Utility_DisplayArrayInTable(Fertiliser_SourceData.Fertiliser_Products_Data2(), FertiliserProducts[[#Headers],[Company]],31)</f>
        <v>1.1850000000000001</v>
      </c>
      <c r="H130" s="109" t="str" cm="1">
        <f t="array" ref="H130">Common_InputFunctions.Utility_DisplayArrayInTable(Fertiliser_SourceData.Fertiliser_Products_Data2(), FertiliserProducts[[#Headers],[Company]],31)</f>
        <v/>
      </c>
      <c r="I130" s="109" t="str" cm="1">
        <f t="array" ref="I130">Common_InputFunctions.Utility_DisplayArrayInTable(Fertiliser_SourceData.Fertiliser_Products_Data2(), FertiliserProducts[[#Headers],[Company]],31)</f>
        <v/>
      </c>
      <c r="J130" s="109" t="str" cm="1">
        <f t="array" ref="J130">Common_InputFunctions.Utility_DisplayArrayInTable(Fertiliser_SourceData.Fertiliser_Products_Data2(), FertiliserProducts[[#Headers],[Company]],31)</f>
        <v/>
      </c>
      <c r="K130" s="109" cm="1">
        <f t="array" ref="K130">Common_InputFunctions.Utility_DisplayArrayInTable(Fertiliser_SourceData.Fertiliser_Products_Data2(), FertiliserProducts[[#Headers],[Company]],31)</f>
        <v>23.8</v>
      </c>
      <c r="L130" s="109" t="str" cm="1">
        <f t="array" ref="L130">Common_InputFunctions.Utility_DisplayArrayInTable(Fertiliser_SourceData.Fertiliser_Products_Data2(), FertiliserProducts[[#Headers],[Company]],31)</f>
        <v/>
      </c>
      <c r="M130" s="109" t="str" cm="1">
        <f t="array" ref="M130">Common_InputFunctions.Utility_DisplayArrayInTable(Fertiliser_SourceData.Fertiliser_Products_Data2(), FertiliserProducts[[#Headers],[Company]],31)</f>
        <v/>
      </c>
      <c r="N130" s="109" t="str" cm="1">
        <f t="array" ref="N130">Common_InputFunctions.Utility_DisplayArrayInTable(Fertiliser_SourceData.Fertiliser_Products_Data2(), FertiliserProducts[[#Headers],[Company]],31)</f>
        <v/>
      </c>
      <c r="O130" s="109" t="str" cm="1">
        <f t="array" ref="O130">Common_InputFunctions.Utility_DisplayArrayInTable(Fertiliser_SourceData.Fertiliser_Products_Data2(), FertiliserProducts[[#Headers],[Company]],31)</f>
        <v>Urea</v>
      </c>
      <c r="P130" s="109" cm="1">
        <f t="array" ref="P130">Common_InputFunctions.Utility_DisplayArrayInTable(Fertiliser_SourceData.Fertiliser_Products_Data2(), FertiliserProducts[[#Headers],[Company]],31)</f>
        <v>0.51739100000000005</v>
      </c>
      <c r="Q130" s="109" t="str" cm="1">
        <f t="array" ref="Q130">Common_InputFunctions.Utility_DisplayArrayInTable(Fertiliser_SourceData.Fertiliser_Products_Data2(), FertiliserProducts[[#Headers],[Company]],31)</f>
        <v/>
      </c>
      <c r="R130" s="109" t="str" cm="1">
        <f t="array" ref="R130">Common_InputFunctions.Utility_DisplayArrayInTable(Fertiliser_SourceData.Fertiliser_Products_Data2(), FertiliserProducts[[#Headers],[Company]],31)</f>
        <v/>
      </c>
      <c r="S130" s="109" t="str" cm="1">
        <f t="array" ref="S130">Common_InputFunctions.Utility_DisplayArrayInTable(Fertiliser_SourceData.Fertiliser_Products_Data2(), FertiliserProducts[[#Headers],[Company]],31)</f>
        <v/>
      </c>
      <c r="T130" s="109" t="str" cm="1">
        <f t="array" ref="T130">Common_InputFunctions.Utility_DisplayArrayInTable(Fertiliser_SourceData.Fertiliser_Products_Data2(), FertiliserProducts[[#Headers],[Company]],31)</f>
        <v/>
      </c>
      <c r="U130" s="109" t="str" cm="1">
        <f t="array" ref="U130">Common_InputFunctions.Utility_DisplayArrayInTable(Fertiliser_SourceData.Fertiliser_Products_Data2(), FertiliserProducts[[#Headers],[Company]],31)</f>
        <v/>
      </c>
      <c r="V130" s="109" t="str" cm="1">
        <f t="array" ref="V130">Common_InputFunctions.Utility_DisplayArrayInTable(Fertiliser_SourceData.Fertiliser_Products_Data2(), FertiliserProducts[[#Headers],[Company]],31)</f>
        <v/>
      </c>
      <c r="W130" s="109" t="str" cm="1">
        <f t="array" ref="W130">Common_InputFunctions.Utility_DisplayArrayInTable(Fertiliser_SourceData.Fertiliser_Products_Data2(), FertiliserProducts[[#Headers],[Company]],31)</f>
        <v/>
      </c>
      <c r="X130" s="109" t="str" cm="1">
        <f t="array" ref="X130">Common_InputFunctions.Utility_DisplayArrayInTable(Fertiliser_SourceData.Fertiliser_Products_Data2(), FertiliserProducts[[#Headers],[Company]],31)</f>
        <v/>
      </c>
      <c r="Y130" s="109" t="str" cm="1">
        <f t="array" ref="Y130">Common_InputFunctions.Utility_DisplayArrayInTable(Fertiliser_SourceData.Fertiliser_Products_Data2(), FertiliserProducts[[#Headers],[Company]],31)</f>
        <v/>
      </c>
      <c r="Z130" s="109" t="str" cm="1">
        <f t="array" ref="Z130">Common_InputFunctions.Utility_DisplayArrayInTable(Fertiliser_SourceData.Fertiliser_Products_Data2(), FertiliserProducts[[#Headers],[Company]],31)</f>
        <v/>
      </c>
      <c r="AA130" s="109" t="str" cm="1">
        <f t="array" ref="AA130">Common_InputFunctions.Utility_DisplayArrayInTable(Fertiliser_SourceData.Fertiliser_Products_Data2(), FertiliserProducts[[#Headers],[Company]],31)</f>
        <v/>
      </c>
      <c r="AB130" s="109" t="str" cm="1">
        <f t="array" ref="AB130">Common_InputFunctions.Utility_DisplayArrayInTable(Fertiliser_SourceData.Fertiliser_Products_Data2(), FertiliserProducts[[#Headers],[Company]],31)</f>
        <v/>
      </c>
      <c r="AC130" s="109" t="str" cm="1">
        <f t="array" ref="AC130">Common_InputFunctions.Utility_DisplayArrayInTable(Fertiliser_SourceData.Fertiliser_Products_Data2(), FertiliserProducts[[#Headers],[Company]],31)</f>
        <v/>
      </c>
      <c r="AD130" s="109" t="str" cm="1">
        <f t="array" ref="AD130">Common_InputFunctions.Utility_DisplayArrayInTable(Fertiliser_SourceData.Fertiliser_Products_Data2(), FertiliserProducts[[#Headers],[Company]],31)</f>
        <v/>
      </c>
      <c r="AE130" s="109" t="str" cm="1">
        <f t="array" ref="AE130">Common_InputFunctions.Utility_DisplayArrayInTable(Fertiliser_SourceData.Fertiliser_Products_Data2(), FertiliserProducts[[#Headers],[Company]],31)</f>
        <v/>
      </c>
      <c r="AF130" s="109" t="str" cm="1">
        <f t="array" ref="AF130">Common_InputFunctions.Utility_DisplayArrayInTable(Fertiliser_SourceData.Fertiliser_Products_Data2(), FertiliserProducts[[#Headers],[Company]],31)</f>
        <v/>
      </c>
      <c r="AG130" s="109" t="str" cm="1">
        <f t="array" ref="AG130">Common_InputFunctions.Utility_DisplayArrayInTable(Fertiliser_SourceData.Fertiliser_Products_Data2(), FertiliserProducts[[#Headers],[Company]],31)</f>
        <v/>
      </c>
      <c r="AH130" s="109"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09" t="str" cm="1">
        <f t="array" ref="D131">Common_InputFunctions.Utility_DisplayArrayInTable(Fertiliser_SourceData.Fertiliser_Products_Data2(), FertiliserProducts[[#Headers],[Company]],31)</f>
        <v>SL Tec</v>
      </c>
      <c r="E131" s="109" t="str" cm="1">
        <f t="array" ref="E131">Common_InputFunctions.Utility_DisplayArrayInTable(Fertiliser_SourceData.Fertiliser_Products_Data2(), FertiliserProducts[[#Headers],[Company]],31)</f>
        <v>Nitro Combi TE</v>
      </c>
      <c r="F131" s="109" t="str" cm="1">
        <f t="array" ref="F131">Common_InputFunctions.Utility_DisplayArrayInTable(Fertiliser_SourceData.Fertiliser_Products_Data2(), FertiliserProducts[[#Headers],[Company]],31)</f>
        <v>L</v>
      </c>
      <c r="G131" s="109" cm="1">
        <f t="array" ref="G131">Common_InputFunctions.Utility_DisplayArrayInTable(Fertiliser_SourceData.Fertiliser_Products_Data2(), FertiliserProducts[[#Headers],[Company]],31)</f>
        <v>1.2549999999999999</v>
      </c>
      <c r="H131" s="109" t="str" cm="1">
        <f t="array" ref="H131">Common_InputFunctions.Utility_DisplayArrayInTable(Fertiliser_SourceData.Fertiliser_Products_Data2(), FertiliserProducts[[#Headers],[Company]],31)</f>
        <v/>
      </c>
      <c r="I131" s="109" t="str" cm="1">
        <f t="array" ref="I131">Common_InputFunctions.Utility_DisplayArrayInTable(Fertiliser_SourceData.Fertiliser_Products_Data2(), FertiliserProducts[[#Headers],[Company]],31)</f>
        <v/>
      </c>
      <c r="J131" s="109" t="str" cm="1">
        <f t="array" ref="J131">Common_InputFunctions.Utility_DisplayArrayInTable(Fertiliser_SourceData.Fertiliser_Products_Data2(), FertiliserProducts[[#Headers],[Company]],31)</f>
        <v/>
      </c>
      <c r="K131" s="109" t="str" cm="1">
        <f t="array" ref="K131">Common_InputFunctions.Utility_DisplayArrayInTable(Fertiliser_SourceData.Fertiliser_Products_Data2(), FertiliserProducts[[#Headers],[Company]],31)</f>
        <v/>
      </c>
      <c r="L131" s="109" t="str" cm="1">
        <f t="array" ref="L131">Common_InputFunctions.Utility_DisplayArrayInTable(Fertiliser_SourceData.Fertiliser_Products_Data2(), FertiliserProducts[[#Headers],[Company]],31)</f>
        <v/>
      </c>
      <c r="M131" s="109" cm="1">
        <f t="array" ref="M131">Common_InputFunctions.Utility_DisplayArrayInTable(Fertiliser_SourceData.Fertiliser_Products_Data2(), FertiliserProducts[[#Headers],[Company]],31)</f>
        <v>0.1</v>
      </c>
      <c r="N131" s="109" cm="1">
        <f t="array" ref="N131">Common_InputFunctions.Utility_DisplayArrayInTable(Fertiliser_SourceData.Fertiliser_Products_Data2(), FertiliserProducts[[#Headers],[Company]],31)</f>
        <v>4.4000000000000004</v>
      </c>
      <c r="O131" s="109" t="str" cm="1">
        <f t="array" ref="O131">Common_InputFunctions.Utility_DisplayArrayInTable(Fertiliser_SourceData.Fertiliser_Products_Data2(), FertiliserProducts[[#Headers],[Company]],31)</f>
        <v>Sulfur - Generic</v>
      </c>
      <c r="P131" s="109" cm="1">
        <f t="array" ref="P131">Common_InputFunctions.Utility_DisplayArrayInTable(Fertiliser_SourceData.Fertiliser_Products_Data2(), FertiliserProducts[[#Headers],[Company]],31)</f>
        <v>4.3999999999999997E-2</v>
      </c>
      <c r="Q131" s="109" t="str" cm="1">
        <f t="array" ref="Q131">Common_InputFunctions.Utility_DisplayArrayInTable(Fertiliser_SourceData.Fertiliser_Products_Data2(), FertiliserProducts[[#Headers],[Company]],31)</f>
        <v>Zinc</v>
      </c>
      <c r="R131" s="109" cm="1">
        <f t="array" ref="R131">Common_InputFunctions.Utility_DisplayArrayInTable(Fertiliser_SourceData.Fertiliser_Products_Data2(), FertiliserProducts[[#Headers],[Company]],31)</f>
        <v>2.1999999999999999E-2</v>
      </c>
      <c r="S131" s="109" t="str" cm="1">
        <f t="array" ref="S131">Common_InputFunctions.Utility_DisplayArrayInTable(Fertiliser_SourceData.Fertiliser_Products_Data2(), FertiliserProducts[[#Headers],[Company]],31)</f>
        <v>Iron</v>
      </c>
      <c r="T131" s="109" cm="1">
        <f t="array" ref="T131">Common_InputFunctions.Utility_DisplayArrayInTable(Fertiliser_SourceData.Fertiliser_Products_Data2(), FertiliserProducts[[#Headers],[Company]],31)</f>
        <v>2.1999999999999999E-2</v>
      </c>
      <c r="U131" s="109" t="str" cm="1">
        <f t="array" ref="U131">Common_InputFunctions.Utility_DisplayArrayInTable(Fertiliser_SourceData.Fertiliser_Products_Data2(), FertiliserProducts[[#Headers],[Company]],31)</f>
        <v>Manganese</v>
      </c>
      <c r="V131" s="109" cm="1">
        <f t="array" ref="V131">Common_InputFunctions.Utility_DisplayArrayInTable(Fertiliser_SourceData.Fertiliser_Products_Data2(), FertiliserProducts[[#Headers],[Company]],31)</f>
        <v>1.6E-2</v>
      </c>
      <c r="W131" s="109" t="str" cm="1">
        <f t="array" ref="W131">Common_InputFunctions.Utility_DisplayArrayInTable(Fertiliser_SourceData.Fertiliser_Products_Data2(), FertiliserProducts[[#Headers],[Company]],31)</f>
        <v>Boron</v>
      </c>
      <c r="X131" s="109" cm="1">
        <f t="array" ref="X131">Common_InputFunctions.Utility_DisplayArrayInTable(Fertiliser_SourceData.Fertiliser_Products_Data2(), FertiliserProducts[[#Headers],[Company]],31)</f>
        <v>8.0000000000000002E-3</v>
      </c>
      <c r="Y131" s="109" t="str" cm="1">
        <f t="array" ref="Y131">Common_InputFunctions.Utility_DisplayArrayInTable(Fertiliser_SourceData.Fertiliser_Products_Data2(), FertiliserProducts[[#Headers],[Company]],31)</f>
        <v>Magnesium</v>
      </c>
      <c r="Z131" s="109" cm="1">
        <f t="array" ref="Z131">Common_InputFunctions.Utility_DisplayArrayInTable(Fertiliser_SourceData.Fertiliser_Products_Data2(), FertiliserProducts[[#Headers],[Company]],31)</f>
        <v>7.0000000000000001E-3</v>
      </c>
      <c r="AA131" s="109" t="str" cm="1">
        <f t="array" ref="AA131">Common_InputFunctions.Utility_DisplayArrayInTable(Fertiliser_SourceData.Fertiliser_Products_Data2(), FertiliserProducts[[#Headers],[Company]],31)</f>
        <v>Fulvic acid (organic)</v>
      </c>
      <c r="AB131" s="109" cm="1">
        <f t="array" ref="AB131">Common_InputFunctions.Utility_DisplayArrayInTable(Fertiliser_SourceData.Fertiliser_Products_Data2(), FertiliserProducts[[#Headers],[Company]],31)</f>
        <v>5.0000000000000001E-3</v>
      </c>
      <c r="AC131" s="109" t="str" cm="1">
        <f t="array" ref="AC131">Common_InputFunctions.Utility_DisplayArrayInTable(Fertiliser_SourceData.Fertiliser_Products_Data2(), FertiliserProducts[[#Headers],[Company]],31)</f>
        <v>Copper</v>
      </c>
      <c r="AD131" s="109" cm="1">
        <f t="array" ref="AD131">Common_InputFunctions.Utility_DisplayArrayInTable(Fertiliser_SourceData.Fertiliser_Products_Data2(), FertiliserProducts[[#Headers],[Company]],31)</f>
        <v>3.0000000000000001E-3</v>
      </c>
      <c r="AE131" s="109" t="str" cm="1">
        <f t="array" ref="AE131">Common_InputFunctions.Utility_DisplayArrayInTable(Fertiliser_SourceData.Fertiliser_Products_Data2(), FertiliserProducts[[#Headers],[Company]],31)</f>
        <v>Potassium - Generic</v>
      </c>
      <c r="AF131" s="109" cm="1">
        <f t="array" ref="AF131">Common_InputFunctions.Utility_DisplayArrayInTable(Fertiliser_SourceData.Fertiliser_Products_Data2(), FertiliserProducts[[#Headers],[Company]],31)</f>
        <v>1E-3</v>
      </c>
      <c r="AG131" s="109" t="str" cm="1">
        <f t="array" ref="AG131">Common_InputFunctions.Utility_DisplayArrayInTable(Fertiliser_SourceData.Fertiliser_Products_Data2(), FertiliserProducts[[#Headers],[Company]],31)</f>
        <v>Molybdenum</v>
      </c>
      <c r="AH131" s="109"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09" t="str" cm="1">
        <f t="array" ref="D132">Common_InputFunctions.Utility_DisplayArrayInTable(Fertiliser_SourceData.Fertiliser_Products_Data2(), FertiliserProducts[[#Headers],[Company]],31)</f>
        <v>Switch Ag</v>
      </c>
      <c r="E132" s="109" t="str" cm="1">
        <f t="array" ref="E132">Common_InputFunctions.Utility_DisplayArrayInTable(Fertiliser_SourceData.Fertiliser_Products_Data2(), FertiliserProducts[[#Headers],[Company]],31)</f>
        <v>PastureMAXX</v>
      </c>
      <c r="F132" s="109" t="str" cm="1">
        <f t="array" ref="F132">Common_InputFunctions.Utility_DisplayArrayInTable(Fertiliser_SourceData.Fertiliser_Products_Data2(), FertiliserProducts[[#Headers],[Company]],31)</f>
        <v>L</v>
      </c>
      <c r="G132" s="109" cm="1">
        <f t="array" ref="G132">Common_InputFunctions.Utility_DisplayArrayInTable(Fertiliser_SourceData.Fertiliser_Products_Data2(), FertiliserProducts[[#Headers],[Company]],31)</f>
        <v>1.23</v>
      </c>
      <c r="H132" s="109" t="str" cm="1">
        <f t="array" ref="H132">Common_InputFunctions.Utility_DisplayArrayInTable(Fertiliser_SourceData.Fertiliser_Products_Data2(), FertiliserProducts[[#Headers],[Company]],31)</f>
        <v/>
      </c>
      <c r="I132" s="109" t="str" cm="1">
        <f t="array" ref="I132">Common_InputFunctions.Utility_DisplayArrayInTable(Fertiliser_SourceData.Fertiliser_Products_Data2(), FertiliserProducts[[#Headers],[Company]],31)</f>
        <v/>
      </c>
      <c r="J132" s="109" t="str" cm="1">
        <f t="array" ref="J132">Common_InputFunctions.Utility_DisplayArrayInTable(Fertiliser_SourceData.Fertiliser_Products_Data2(), FertiliserProducts[[#Headers],[Company]],31)</f>
        <v/>
      </c>
      <c r="K132" s="109" cm="1">
        <f t="array" ref="K132">Common_InputFunctions.Utility_DisplayArrayInTable(Fertiliser_SourceData.Fertiliser_Products_Data2(), FertiliserProducts[[#Headers],[Company]],31)</f>
        <v>9.7100000000000009</v>
      </c>
      <c r="L132" s="109" t="str" cm="1">
        <f t="array" ref="L132">Common_InputFunctions.Utility_DisplayArrayInTable(Fertiliser_SourceData.Fertiliser_Products_Data2(), FertiliserProducts[[#Headers],[Company]],31)</f>
        <v/>
      </c>
      <c r="M132" s="109" cm="1">
        <f t="array" ref="M132">Common_InputFunctions.Utility_DisplayArrayInTable(Fertiliser_SourceData.Fertiliser_Products_Data2(), FertiliserProducts[[#Headers],[Company]],31)</f>
        <v>3.25</v>
      </c>
      <c r="N132" s="109" cm="1">
        <f t="array" ref="N132">Common_InputFunctions.Utility_DisplayArrayInTable(Fertiliser_SourceData.Fertiliser_Products_Data2(), FertiliserProducts[[#Headers],[Company]],31)</f>
        <v>2.11</v>
      </c>
      <c r="O132" s="109" t="str" cm="1">
        <f t="array" ref="O132">Common_InputFunctions.Utility_DisplayArrayInTable(Fertiliser_SourceData.Fertiliser_Products_Data2(), FertiliserProducts[[#Headers],[Company]],31)</f>
        <v>Nitrogen - Generic</v>
      </c>
      <c r="P132" s="109" cm="1">
        <f t="array" ref="P132">Common_InputFunctions.Utility_DisplayArrayInTable(Fertiliser_SourceData.Fertiliser_Products_Data2(), FertiliserProducts[[#Headers],[Company]],31)</f>
        <v>9.7100000000000006E-2</v>
      </c>
      <c r="Q132" s="109" t="str" cm="1">
        <f t="array" ref="Q132">Common_InputFunctions.Utility_DisplayArrayInTable(Fertiliser_SourceData.Fertiliser_Products_Data2(), FertiliserProducts[[#Headers],[Company]],31)</f>
        <v>Potassium - Generic</v>
      </c>
      <c r="R132" s="109" cm="1">
        <f t="array" ref="R132">Common_InputFunctions.Utility_DisplayArrayInTable(Fertiliser_SourceData.Fertiliser_Products_Data2(), FertiliserProducts[[#Headers],[Company]],31)</f>
        <v>3.2500000000000001E-2</v>
      </c>
      <c r="S132" s="109" t="str" cm="1">
        <f t="array" ref="S132">Common_InputFunctions.Utility_DisplayArrayInTable(Fertiliser_SourceData.Fertiliser_Products_Data2(), FertiliserProducts[[#Headers],[Company]],31)</f>
        <v>Sulfur - Generic</v>
      </c>
      <c r="T132" s="109" cm="1">
        <f t="array" ref="T132">Common_InputFunctions.Utility_DisplayArrayInTable(Fertiliser_SourceData.Fertiliser_Products_Data2(), FertiliserProducts[[#Headers],[Company]],31)</f>
        <v>2.1100000000000001E-2</v>
      </c>
      <c r="U132" s="109" t="str" cm="1">
        <f t="array" ref="U132">Common_InputFunctions.Utility_DisplayArrayInTable(Fertiliser_SourceData.Fertiliser_Products_Data2(), FertiliserProducts[[#Headers],[Company]],31)</f>
        <v>Zinc</v>
      </c>
      <c r="V132" s="109" cm="1">
        <f t="array" ref="V132">Common_InputFunctions.Utility_DisplayArrayInTable(Fertiliser_SourceData.Fertiliser_Products_Data2(), FertiliserProducts[[#Headers],[Company]],31)</f>
        <v>1.4999999999999999E-2</v>
      </c>
      <c r="W132" s="109" t="str" cm="1">
        <f t="array" ref="W132">Common_InputFunctions.Utility_DisplayArrayInTable(Fertiliser_SourceData.Fertiliser_Products_Data2(), FertiliserProducts[[#Headers],[Company]],31)</f>
        <v>Iron</v>
      </c>
      <c r="X132" s="109" cm="1">
        <f t="array" ref="X132">Common_InputFunctions.Utility_DisplayArrayInTable(Fertiliser_SourceData.Fertiliser_Products_Data2(), FertiliserProducts[[#Headers],[Company]],31)</f>
        <v>1.11E-2</v>
      </c>
      <c r="Y132" s="109" t="str" cm="1">
        <f t="array" ref="Y132">Common_InputFunctions.Utility_DisplayArrayInTable(Fertiliser_SourceData.Fertiliser_Products_Data2(), FertiliserProducts[[#Headers],[Company]],31)</f>
        <v>Manganese</v>
      </c>
      <c r="Z132" s="109" cm="1">
        <f t="array" ref="Z132">Common_InputFunctions.Utility_DisplayArrayInTable(Fertiliser_SourceData.Fertiliser_Products_Data2(), FertiliserProducts[[#Headers],[Company]],31)</f>
        <v>1.15E-2</v>
      </c>
      <c r="AA132" s="109" t="str" cm="1">
        <f t="array" ref="AA132">Common_InputFunctions.Utility_DisplayArrayInTable(Fertiliser_SourceData.Fertiliser_Products_Data2(), FertiliserProducts[[#Headers],[Company]],31)</f>
        <v>Magnesium</v>
      </c>
      <c r="AB132" s="109" cm="1">
        <f t="array" ref="AB132">Common_InputFunctions.Utility_DisplayArrayInTable(Fertiliser_SourceData.Fertiliser_Products_Data2(), FertiliserProducts[[#Headers],[Company]],31)</f>
        <v>4.4999999999999997E-3</v>
      </c>
      <c r="AC132" s="109" t="str" cm="1">
        <f t="array" ref="AC132">Common_InputFunctions.Utility_DisplayArrayInTable(Fertiliser_SourceData.Fertiliser_Products_Data2(), FertiliserProducts[[#Headers],[Company]],31)</f>
        <v>Boron</v>
      </c>
      <c r="AD132" s="109" cm="1">
        <f t="array" ref="AD132">Common_InputFunctions.Utility_DisplayArrayInTable(Fertiliser_SourceData.Fertiliser_Products_Data2(), FertiliserProducts[[#Headers],[Company]],31)</f>
        <v>2E-3</v>
      </c>
      <c r="AE132" s="109" t="str" cm="1">
        <f t="array" ref="AE132">Common_InputFunctions.Utility_DisplayArrayInTable(Fertiliser_SourceData.Fertiliser_Products_Data2(), FertiliserProducts[[#Headers],[Company]],31)</f>
        <v/>
      </c>
      <c r="AF132" s="109" t="str" cm="1">
        <f t="array" ref="AF132">Common_InputFunctions.Utility_DisplayArrayInTable(Fertiliser_SourceData.Fertiliser_Products_Data2(), FertiliserProducts[[#Headers],[Company]],31)</f>
        <v/>
      </c>
      <c r="AG132" s="109" t="str" cm="1">
        <f t="array" ref="AG132">Common_InputFunctions.Utility_DisplayArrayInTable(Fertiliser_SourceData.Fertiliser_Products_Data2(), FertiliserProducts[[#Headers],[Company]],31)</f>
        <v/>
      </c>
      <c r="AH132" s="109"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09" t="str" cm="1">
        <f t="array" ref="D133">Common_InputFunctions.Utility_DisplayArrayInTable(Fertiliser_SourceData.Fertiliser_Products_Data2(), FertiliserProducts[[#Headers],[Company]],31)</f>
        <v>Campbells fertilisers Australia</v>
      </c>
      <c r="E133" s="109" t="str" cm="1">
        <f t="array" ref="E133">Common_InputFunctions.Utility_DisplayArrayInTable(Fertiliser_SourceData.Fertiliser_Products_Data2(), FertiliserProducts[[#Headers],[Company]],31)</f>
        <v>Platinum Nergetic</v>
      </c>
      <c r="F133" s="109" t="str" cm="1">
        <f t="array" ref="F133">Common_InputFunctions.Utility_DisplayArrayInTable(Fertiliser_SourceData.Fertiliser_Products_Data2(), FertiliserProducts[[#Headers],[Company]],31)</f>
        <v>kg</v>
      </c>
      <c r="G133" s="109" cm="1">
        <f t="array" ref="G133">Common_InputFunctions.Utility_DisplayArrayInTable(Fertiliser_SourceData.Fertiliser_Products_Data2(), FertiliserProducts[[#Headers],[Company]],31)</f>
        <v>1</v>
      </c>
      <c r="H133" s="109" t="str" cm="1">
        <f t="array" ref="H133">Common_InputFunctions.Utility_DisplayArrayInTable(Fertiliser_SourceData.Fertiliser_Products_Data2(), FertiliserProducts[[#Headers],[Company]],31)</f>
        <v/>
      </c>
      <c r="I133" s="109" t="str" cm="1">
        <f t="array" ref="I133">Common_InputFunctions.Utility_DisplayArrayInTable(Fertiliser_SourceData.Fertiliser_Products_Data2(), FertiliserProducts[[#Headers],[Company]],31)</f>
        <v/>
      </c>
      <c r="J133" s="109" t="str" cm="1">
        <f t="array" ref="J133">Common_InputFunctions.Utility_DisplayArrayInTable(Fertiliser_SourceData.Fertiliser_Products_Data2(), FertiliserProducts[[#Headers],[Company]],31)</f>
        <v/>
      </c>
      <c r="K133" s="109" cm="1">
        <f t="array" ref="K133">Common_InputFunctions.Utility_DisplayArrayInTable(Fertiliser_SourceData.Fertiliser_Products_Data2(), FertiliserProducts[[#Headers],[Company]],31)</f>
        <v>10</v>
      </c>
      <c r="L133" s="109" cm="1">
        <f t="array" ref="L133">Common_InputFunctions.Utility_DisplayArrayInTable(Fertiliser_SourceData.Fertiliser_Products_Data2(), FertiliserProducts[[#Headers],[Company]],31)</f>
        <v>10.9</v>
      </c>
      <c r="M133" s="109" cm="1">
        <f t="array" ref="M133">Common_InputFunctions.Utility_DisplayArrayInTable(Fertiliser_SourceData.Fertiliser_Products_Data2(), FertiliserProducts[[#Headers],[Company]],31)</f>
        <v>10</v>
      </c>
      <c r="N133" s="109" cm="1">
        <f t="array" ref="N133">Common_InputFunctions.Utility_DisplayArrayInTable(Fertiliser_SourceData.Fertiliser_Products_Data2(), FertiliserProducts[[#Headers],[Company]],31)</f>
        <v>4.34</v>
      </c>
      <c r="O133" s="109" t="str" cm="1">
        <f t="array" ref="O133">Common_InputFunctions.Utility_DisplayArrayInTable(Fertiliser_SourceData.Fertiliser_Products_Data2(), FertiliserProducts[[#Headers],[Company]],31)</f>
        <v>Monoammonium phosphate (MAP)</v>
      </c>
      <c r="P133" s="109" cm="1">
        <f t="array" ref="P133">Common_InputFunctions.Utility_DisplayArrayInTable(Fertiliser_SourceData.Fertiliser_Products_Data2(), FertiliserProducts[[#Headers],[Company]],31)</f>
        <v>0.4178</v>
      </c>
      <c r="Q133" s="109" t="str" cm="1">
        <f t="array" ref="Q133">Common_InputFunctions.Utility_DisplayArrayInTable(Fertiliser_SourceData.Fertiliser_Products_Data2(), FertiliserProducts[[#Headers],[Company]],31)</f>
        <v>Ammonium nitrate (AN)</v>
      </c>
      <c r="R133" s="109" cm="1">
        <f t="array" ref="R133">Common_InputFunctions.Utility_DisplayArrayInTable(Fertiliser_SourceData.Fertiliser_Products_Data2(), FertiliserProducts[[#Headers],[Company]],31)</f>
        <v>0.17280000000000001</v>
      </c>
      <c r="S133" s="109" t="str" cm="1">
        <f t="array" ref="S133">Common_InputFunctions.Utility_DisplayArrayInTable(Fertiliser_SourceData.Fertiliser_Products_Data2(), FertiliserProducts[[#Headers],[Company]],31)</f>
        <v>Potassium sulphate</v>
      </c>
      <c r="T133" s="109" cm="1">
        <f t="array" ref="T133">Common_InputFunctions.Utility_DisplayArrayInTable(Fertiliser_SourceData.Fertiliser_Products_Data2(), FertiliserProducts[[#Headers],[Company]],31)</f>
        <v>0.24096400000000001</v>
      </c>
      <c r="U133" s="109" t="str" cm="1">
        <f t="array" ref="U133">Common_InputFunctions.Utility_DisplayArrayInTable(Fertiliser_SourceData.Fertiliser_Products_Data2(), FertiliserProducts[[#Headers],[Company]],31)</f>
        <v>Double superphosphate</v>
      </c>
      <c r="V133" s="109" cm="1">
        <f t="array" ref="V133">Common_InputFunctions.Utility_DisplayArrayInTable(Fertiliser_SourceData.Fertiliser_Products_Data2(), FertiliserProducts[[#Headers],[Company]],31)</f>
        <v>0.1</v>
      </c>
      <c r="W133" s="109" t="str" cm="1">
        <f t="array" ref="W133">Common_InputFunctions.Utility_DisplayArrayInTable(Fertiliser_SourceData.Fertiliser_Products_Data2(), FertiliserProducts[[#Headers],[Company]],31)</f>
        <v>Magnesium</v>
      </c>
      <c r="X133" s="109" cm="1">
        <f t="array" ref="X133">Common_InputFunctions.Utility_DisplayArrayInTable(Fertiliser_SourceData.Fertiliser_Products_Data2(), FertiliserProducts[[#Headers],[Company]],31)</f>
        <v>1.2E-2</v>
      </c>
      <c r="Y133" s="109" t="str" cm="1">
        <f t="array" ref="Y133">Common_InputFunctions.Utility_DisplayArrayInTable(Fertiliser_SourceData.Fertiliser_Products_Data2(), FertiliserProducts[[#Headers],[Company]],31)</f>
        <v>Zinc</v>
      </c>
      <c r="Z133" s="109" cm="1">
        <f t="array" ref="Z133">Common_InputFunctions.Utility_DisplayArrayInTable(Fertiliser_SourceData.Fertiliser_Products_Data2(), FertiliserProducts[[#Headers],[Company]],31)</f>
        <v>3.5999999999999999E-3</v>
      </c>
      <c r="AA133" s="109" t="str" cm="1">
        <f t="array" ref="AA133">Common_InputFunctions.Utility_DisplayArrayInTable(Fertiliser_SourceData.Fertiliser_Products_Data2(), FertiliserProducts[[#Headers],[Company]],31)</f>
        <v>Boron</v>
      </c>
      <c r="AB133" s="109" cm="1">
        <f t="array" ref="AB133">Common_InputFunctions.Utility_DisplayArrayInTable(Fertiliser_SourceData.Fertiliser_Products_Data2(), FertiliserProducts[[#Headers],[Company]],31)</f>
        <v>1E-3</v>
      </c>
      <c r="AC133" s="109" t="str" cm="1">
        <f t="array" ref="AC133">Common_InputFunctions.Utility_DisplayArrayInTable(Fertiliser_SourceData.Fertiliser_Products_Data2(), FertiliserProducts[[#Headers],[Company]],31)</f>
        <v>Glaze Extend G3 Flexi</v>
      </c>
      <c r="AD133" s="109" cm="1">
        <f t="array" ref="AD133">Common_InputFunctions.Utility_DisplayArrayInTable(Fertiliser_SourceData.Fertiliser_Products_Data2(), FertiliserProducts[[#Headers],[Company]],31)</f>
        <v>5.1900000000000002E-2</v>
      </c>
      <c r="AE133" s="109" t="str" cm="1">
        <f t="array" ref="AE133">Common_InputFunctions.Utility_DisplayArrayInTable(Fertiliser_SourceData.Fertiliser_Products_Data2(), FertiliserProducts[[#Headers],[Company]],31)</f>
        <v/>
      </c>
      <c r="AF133" s="109" t="str" cm="1">
        <f t="array" ref="AF133">Common_InputFunctions.Utility_DisplayArrayInTable(Fertiliser_SourceData.Fertiliser_Products_Data2(), FertiliserProducts[[#Headers],[Company]],31)</f>
        <v/>
      </c>
      <c r="AG133" s="109" t="str" cm="1">
        <f t="array" ref="AG133">Common_InputFunctions.Utility_DisplayArrayInTable(Fertiliser_SourceData.Fertiliser_Products_Data2(), FertiliserProducts[[#Headers],[Company]],31)</f>
        <v/>
      </c>
      <c r="AH133" s="109"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09" t="str" cm="1">
        <f t="array" ref="D134">Common_InputFunctions.Utility_DisplayArrayInTable(Fertiliser_SourceData.Fertiliser_Products_Data2(), FertiliserProducts[[#Headers],[Company]],31)</f>
        <v>Impact Fertilisers</v>
      </c>
      <c r="E134" s="109" t="str" cm="1">
        <f t="array" ref="E134">Common_InputFunctions.Utility_DisplayArrayInTable(Fertiliser_SourceData.Fertiliser_Products_Data2(), FertiliserProducts[[#Headers],[Company]],31)</f>
        <v>Sulphate of ammonia (SOA)</v>
      </c>
      <c r="F134" s="109" t="str" cm="1">
        <f t="array" ref="F134">Common_InputFunctions.Utility_DisplayArrayInTable(Fertiliser_SourceData.Fertiliser_Products_Data2(), FertiliserProducts[[#Headers],[Company]],31)</f>
        <v>kg</v>
      </c>
      <c r="G134" s="109" cm="1">
        <f t="array" ref="G134">Common_InputFunctions.Utility_DisplayArrayInTable(Fertiliser_SourceData.Fertiliser_Products_Data2(), FertiliserProducts[[#Headers],[Company]],31)</f>
        <v>1</v>
      </c>
      <c r="H134" s="109" t="str" cm="1">
        <f t="array" ref="H134">Common_InputFunctions.Utility_DisplayArrayInTable(Fertiliser_SourceData.Fertiliser_Products_Data2(), FertiliserProducts[[#Headers],[Company]],31)</f>
        <v/>
      </c>
      <c r="I134" s="109" t="str" cm="1">
        <f t="array" ref="I134">Common_InputFunctions.Utility_DisplayArrayInTable(Fertiliser_SourceData.Fertiliser_Products_Data2(), FertiliserProducts[[#Headers],[Company]],31)</f>
        <v/>
      </c>
      <c r="J134" s="109" t="str" cm="1">
        <f t="array" ref="J134">Common_InputFunctions.Utility_DisplayArrayInTable(Fertiliser_SourceData.Fertiliser_Products_Data2(), FertiliserProducts[[#Headers],[Company]],31)</f>
        <v/>
      </c>
      <c r="K134" s="109" cm="1">
        <f t="array" ref="K134">Common_InputFunctions.Utility_DisplayArrayInTable(Fertiliser_SourceData.Fertiliser_Products_Data2(), FertiliserProducts[[#Headers],[Company]],31)</f>
        <v>21</v>
      </c>
      <c r="L134" s="109" t="str" cm="1">
        <f t="array" ref="L134">Common_InputFunctions.Utility_DisplayArrayInTable(Fertiliser_SourceData.Fertiliser_Products_Data2(), FertiliserProducts[[#Headers],[Company]],31)</f>
        <v/>
      </c>
      <c r="M134" s="109" t="str" cm="1">
        <f t="array" ref="M134">Common_InputFunctions.Utility_DisplayArrayInTable(Fertiliser_SourceData.Fertiliser_Products_Data2(), FertiliserProducts[[#Headers],[Company]],31)</f>
        <v/>
      </c>
      <c r="N134" s="109" cm="1">
        <f t="array" ref="N134">Common_InputFunctions.Utility_DisplayArrayInTable(Fertiliser_SourceData.Fertiliser_Products_Data2(), FertiliserProducts[[#Headers],[Company]],31)</f>
        <v>24</v>
      </c>
      <c r="O134" s="109" t="str" cm="1">
        <f t="array" ref="O134">Common_InputFunctions.Utility_DisplayArrayInTable(Fertiliser_SourceData.Fertiliser_Products_Data2(), FertiliserProducts[[#Headers],[Company]],31)</f>
        <v>Sulphate of ammonia (SOA)</v>
      </c>
      <c r="P134" s="109" cm="1">
        <f t="array" ref="P134">Common_InputFunctions.Utility_DisplayArrayInTable(Fertiliser_SourceData.Fertiliser_Products_Data2(), FertiliserProducts[[#Headers],[Company]],31)</f>
        <v>1</v>
      </c>
      <c r="Q134" s="109" t="str" cm="1">
        <f t="array" ref="Q134">Common_InputFunctions.Utility_DisplayArrayInTable(Fertiliser_SourceData.Fertiliser_Products_Data2(), FertiliserProducts[[#Headers],[Company]],31)</f>
        <v/>
      </c>
      <c r="R134" s="109" t="str" cm="1">
        <f t="array" ref="R134">Common_InputFunctions.Utility_DisplayArrayInTable(Fertiliser_SourceData.Fertiliser_Products_Data2(), FertiliserProducts[[#Headers],[Company]],31)</f>
        <v/>
      </c>
      <c r="S134" s="109" t="str" cm="1">
        <f t="array" ref="S134">Common_InputFunctions.Utility_DisplayArrayInTable(Fertiliser_SourceData.Fertiliser_Products_Data2(), FertiliserProducts[[#Headers],[Company]],31)</f>
        <v/>
      </c>
      <c r="T134" s="109" t="str" cm="1">
        <f t="array" ref="T134">Common_InputFunctions.Utility_DisplayArrayInTable(Fertiliser_SourceData.Fertiliser_Products_Data2(), FertiliserProducts[[#Headers],[Company]],31)</f>
        <v/>
      </c>
      <c r="U134" s="109" t="str" cm="1">
        <f t="array" ref="U134">Common_InputFunctions.Utility_DisplayArrayInTable(Fertiliser_SourceData.Fertiliser_Products_Data2(), FertiliserProducts[[#Headers],[Company]],31)</f>
        <v/>
      </c>
      <c r="V134" s="109" t="str" cm="1">
        <f t="array" ref="V134">Common_InputFunctions.Utility_DisplayArrayInTable(Fertiliser_SourceData.Fertiliser_Products_Data2(), FertiliserProducts[[#Headers],[Company]],31)</f>
        <v/>
      </c>
      <c r="W134" s="109" t="str" cm="1">
        <f t="array" ref="W134">Common_InputFunctions.Utility_DisplayArrayInTable(Fertiliser_SourceData.Fertiliser_Products_Data2(), FertiliserProducts[[#Headers],[Company]],31)</f>
        <v/>
      </c>
      <c r="X134" s="109" t="str" cm="1">
        <f t="array" ref="X134">Common_InputFunctions.Utility_DisplayArrayInTable(Fertiliser_SourceData.Fertiliser_Products_Data2(), FertiliserProducts[[#Headers],[Company]],31)</f>
        <v/>
      </c>
      <c r="Y134" s="109" t="str" cm="1">
        <f t="array" ref="Y134">Common_InputFunctions.Utility_DisplayArrayInTable(Fertiliser_SourceData.Fertiliser_Products_Data2(), FertiliserProducts[[#Headers],[Company]],31)</f>
        <v/>
      </c>
      <c r="Z134" s="109" t="str" cm="1">
        <f t="array" ref="Z134">Common_InputFunctions.Utility_DisplayArrayInTable(Fertiliser_SourceData.Fertiliser_Products_Data2(), FertiliserProducts[[#Headers],[Company]],31)</f>
        <v/>
      </c>
      <c r="AA134" s="109" t="str" cm="1">
        <f t="array" ref="AA134">Common_InputFunctions.Utility_DisplayArrayInTable(Fertiliser_SourceData.Fertiliser_Products_Data2(), FertiliserProducts[[#Headers],[Company]],31)</f>
        <v/>
      </c>
      <c r="AB134" s="109" t="str" cm="1">
        <f t="array" ref="AB134">Common_InputFunctions.Utility_DisplayArrayInTable(Fertiliser_SourceData.Fertiliser_Products_Data2(), FertiliserProducts[[#Headers],[Company]],31)</f>
        <v/>
      </c>
      <c r="AC134" s="109" t="str" cm="1">
        <f t="array" ref="AC134">Common_InputFunctions.Utility_DisplayArrayInTable(Fertiliser_SourceData.Fertiliser_Products_Data2(), FertiliserProducts[[#Headers],[Company]],31)</f>
        <v/>
      </c>
      <c r="AD134" s="109" t="str" cm="1">
        <f t="array" ref="AD134">Common_InputFunctions.Utility_DisplayArrayInTable(Fertiliser_SourceData.Fertiliser_Products_Data2(), FertiliserProducts[[#Headers],[Company]],31)</f>
        <v/>
      </c>
      <c r="AE134" s="109" t="str" cm="1">
        <f t="array" ref="AE134">Common_InputFunctions.Utility_DisplayArrayInTable(Fertiliser_SourceData.Fertiliser_Products_Data2(), FertiliserProducts[[#Headers],[Company]],31)</f>
        <v/>
      </c>
      <c r="AF134" s="109" t="str" cm="1">
        <f t="array" ref="AF134">Common_InputFunctions.Utility_DisplayArrayInTable(Fertiliser_SourceData.Fertiliser_Products_Data2(), FertiliserProducts[[#Headers],[Company]],31)</f>
        <v/>
      </c>
      <c r="AG134" s="109" t="str" cm="1">
        <f t="array" ref="AG134">Common_InputFunctions.Utility_DisplayArrayInTable(Fertiliser_SourceData.Fertiliser_Products_Data2(), FertiliserProducts[[#Headers],[Company]],31)</f>
        <v/>
      </c>
      <c r="AH134" s="109"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09" t="str" cm="1">
        <f t="array" ref="D135">Common_InputFunctions.Utility_DisplayArrayInTable(Fertiliser_SourceData.Fertiliser_Products_Data2(), FertiliserProducts[[#Headers],[Company]],31)</f>
        <v>Impact Fertilisers</v>
      </c>
      <c r="E135" s="109" t="str" cm="1">
        <f t="array" ref="E135">Common_InputFunctions.Utility_DisplayArrayInTable(Fertiliser_SourceData.Fertiliser_Products_Data2(), FertiliserProducts[[#Headers],[Company]],31)</f>
        <v>Mono-Ammonium Phosphate (MAP)</v>
      </c>
      <c r="F135" s="109" t="str" cm="1">
        <f t="array" ref="F135">Common_InputFunctions.Utility_DisplayArrayInTable(Fertiliser_SourceData.Fertiliser_Products_Data2(), FertiliserProducts[[#Headers],[Company]],31)</f>
        <v>kg</v>
      </c>
      <c r="G135" s="109" cm="1">
        <f t="array" ref="G135">Common_InputFunctions.Utility_DisplayArrayInTable(Fertiliser_SourceData.Fertiliser_Products_Data2(), FertiliserProducts[[#Headers],[Company]],31)</f>
        <v>1</v>
      </c>
      <c r="H135" s="109" t="str" cm="1">
        <f t="array" ref="H135">Common_InputFunctions.Utility_DisplayArrayInTable(Fertiliser_SourceData.Fertiliser_Products_Data2(), FertiliserProducts[[#Headers],[Company]],31)</f>
        <v/>
      </c>
      <c r="I135" s="109" t="str" cm="1">
        <f t="array" ref="I135">Common_InputFunctions.Utility_DisplayArrayInTable(Fertiliser_SourceData.Fertiliser_Products_Data2(), FertiliserProducts[[#Headers],[Company]],31)</f>
        <v/>
      </c>
      <c r="J135" s="109" t="str" cm="1">
        <f t="array" ref="J135">Common_InputFunctions.Utility_DisplayArrayInTable(Fertiliser_SourceData.Fertiliser_Products_Data2(), FertiliserProducts[[#Headers],[Company]],31)</f>
        <v/>
      </c>
      <c r="K135" s="109" cm="1">
        <f t="array" ref="K135">Common_InputFunctions.Utility_DisplayArrayInTable(Fertiliser_SourceData.Fertiliser_Products_Data2(), FertiliserProducts[[#Headers],[Company]],31)</f>
        <v>10</v>
      </c>
      <c r="L135" s="109" cm="1">
        <f t="array" ref="L135">Common_InputFunctions.Utility_DisplayArrayInTable(Fertiliser_SourceData.Fertiliser_Products_Data2(), FertiliserProducts[[#Headers],[Company]],31)</f>
        <v>21.9</v>
      </c>
      <c r="M135" s="109" t="str" cm="1">
        <f t="array" ref="M135">Common_InputFunctions.Utility_DisplayArrayInTable(Fertiliser_SourceData.Fertiliser_Products_Data2(), FertiliserProducts[[#Headers],[Company]],31)</f>
        <v/>
      </c>
      <c r="N135" s="109" cm="1">
        <f t="array" ref="N135">Common_InputFunctions.Utility_DisplayArrayInTable(Fertiliser_SourceData.Fertiliser_Products_Data2(), FertiliserProducts[[#Headers],[Company]],31)</f>
        <v>1.5</v>
      </c>
      <c r="O135" s="109" t="str" cm="1">
        <f t="array" ref="O135">Common_InputFunctions.Utility_DisplayArrayInTable(Fertiliser_SourceData.Fertiliser_Products_Data2(), FertiliserProducts[[#Headers],[Company]],31)</f>
        <v>Monoammonium phosphate (MAP)</v>
      </c>
      <c r="P135" s="109" cm="1">
        <f t="array" ref="P135">Common_InputFunctions.Utility_DisplayArrayInTable(Fertiliser_SourceData.Fertiliser_Products_Data2(), FertiliserProducts[[#Headers],[Company]],31)</f>
        <v>1</v>
      </c>
      <c r="Q135" s="109" t="str" cm="1">
        <f t="array" ref="Q135">Common_InputFunctions.Utility_DisplayArrayInTable(Fertiliser_SourceData.Fertiliser_Products_Data2(), FertiliserProducts[[#Headers],[Company]],31)</f>
        <v/>
      </c>
      <c r="R135" s="109" t="str" cm="1">
        <f t="array" ref="R135">Common_InputFunctions.Utility_DisplayArrayInTable(Fertiliser_SourceData.Fertiliser_Products_Data2(), FertiliserProducts[[#Headers],[Company]],31)</f>
        <v/>
      </c>
      <c r="S135" s="109" t="str" cm="1">
        <f t="array" ref="S135">Common_InputFunctions.Utility_DisplayArrayInTable(Fertiliser_SourceData.Fertiliser_Products_Data2(), FertiliserProducts[[#Headers],[Company]],31)</f>
        <v/>
      </c>
      <c r="T135" s="109" t="str" cm="1">
        <f t="array" ref="T135">Common_InputFunctions.Utility_DisplayArrayInTable(Fertiliser_SourceData.Fertiliser_Products_Data2(), FertiliserProducts[[#Headers],[Company]],31)</f>
        <v/>
      </c>
      <c r="U135" s="109" t="str" cm="1">
        <f t="array" ref="U135">Common_InputFunctions.Utility_DisplayArrayInTable(Fertiliser_SourceData.Fertiliser_Products_Data2(), FertiliserProducts[[#Headers],[Company]],31)</f>
        <v/>
      </c>
      <c r="V135" s="109" t="str" cm="1">
        <f t="array" ref="V135">Common_InputFunctions.Utility_DisplayArrayInTable(Fertiliser_SourceData.Fertiliser_Products_Data2(), FertiliserProducts[[#Headers],[Company]],31)</f>
        <v/>
      </c>
      <c r="W135" s="109" t="str" cm="1">
        <f t="array" ref="W135">Common_InputFunctions.Utility_DisplayArrayInTable(Fertiliser_SourceData.Fertiliser_Products_Data2(), FertiliserProducts[[#Headers],[Company]],31)</f>
        <v/>
      </c>
      <c r="X135" s="109" t="str" cm="1">
        <f t="array" ref="X135">Common_InputFunctions.Utility_DisplayArrayInTable(Fertiliser_SourceData.Fertiliser_Products_Data2(), FertiliserProducts[[#Headers],[Company]],31)</f>
        <v/>
      </c>
      <c r="Y135" s="109" t="str" cm="1">
        <f t="array" ref="Y135">Common_InputFunctions.Utility_DisplayArrayInTable(Fertiliser_SourceData.Fertiliser_Products_Data2(), FertiliserProducts[[#Headers],[Company]],31)</f>
        <v/>
      </c>
      <c r="Z135" s="109" t="str" cm="1">
        <f t="array" ref="Z135">Common_InputFunctions.Utility_DisplayArrayInTable(Fertiliser_SourceData.Fertiliser_Products_Data2(), FertiliserProducts[[#Headers],[Company]],31)</f>
        <v/>
      </c>
      <c r="AA135" s="109" t="str" cm="1">
        <f t="array" ref="AA135">Common_InputFunctions.Utility_DisplayArrayInTable(Fertiliser_SourceData.Fertiliser_Products_Data2(), FertiliserProducts[[#Headers],[Company]],31)</f>
        <v/>
      </c>
      <c r="AB135" s="109" t="str" cm="1">
        <f t="array" ref="AB135">Common_InputFunctions.Utility_DisplayArrayInTable(Fertiliser_SourceData.Fertiliser_Products_Data2(), FertiliserProducts[[#Headers],[Company]],31)</f>
        <v/>
      </c>
      <c r="AC135" s="109" t="str" cm="1">
        <f t="array" ref="AC135">Common_InputFunctions.Utility_DisplayArrayInTable(Fertiliser_SourceData.Fertiliser_Products_Data2(), FertiliserProducts[[#Headers],[Company]],31)</f>
        <v/>
      </c>
      <c r="AD135" s="109" t="str" cm="1">
        <f t="array" ref="AD135">Common_InputFunctions.Utility_DisplayArrayInTable(Fertiliser_SourceData.Fertiliser_Products_Data2(), FertiliserProducts[[#Headers],[Company]],31)</f>
        <v/>
      </c>
      <c r="AE135" s="109" t="str" cm="1">
        <f t="array" ref="AE135">Common_InputFunctions.Utility_DisplayArrayInTable(Fertiliser_SourceData.Fertiliser_Products_Data2(), FertiliserProducts[[#Headers],[Company]],31)</f>
        <v/>
      </c>
      <c r="AF135" s="109" t="str" cm="1">
        <f t="array" ref="AF135">Common_InputFunctions.Utility_DisplayArrayInTable(Fertiliser_SourceData.Fertiliser_Products_Data2(), FertiliserProducts[[#Headers],[Company]],31)</f>
        <v/>
      </c>
      <c r="AG135" s="109" t="str" cm="1">
        <f t="array" ref="AG135">Common_InputFunctions.Utility_DisplayArrayInTable(Fertiliser_SourceData.Fertiliser_Products_Data2(), FertiliserProducts[[#Headers],[Company]],31)</f>
        <v/>
      </c>
      <c r="AH135" s="109"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09" t="str" cm="1">
        <f t="array" ref="D136">Common_InputFunctions.Utility_DisplayArrayInTable(Fertiliser_SourceData.Fertiliser_Products_Data2(), FertiliserProducts[[#Headers],[Company]],31)</f>
        <v>Impact Fertilisers</v>
      </c>
      <c r="E136" s="109" t="str" cm="1">
        <f t="array" ref="E136">Common_InputFunctions.Utility_DisplayArrayInTable(Fertiliser_SourceData.Fertiliser_Products_Data2(), FertiliserProducts[[#Headers],[Company]],31)</f>
        <v>Urea</v>
      </c>
      <c r="F136" s="109" t="str" cm="1">
        <f t="array" ref="F136">Common_InputFunctions.Utility_DisplayArrayInTable(Fertiliser_SourceData.Fertiliser_Products_Data2(), FertiliserProducts[[#Headers],[Company]],31)</f>
        <v>kg</v>
      </c>
      <c r="G136" s="109" cm="1">
        <f t="array" ref="G136">Common_InputFunctions.Utility_DisplayArrayInTable(Fertiliser_SourceData.Fertiliser_Products_Data2(), FertiliserProducts[[#Headers],[Company]],31)</f>
        <v>1</v>
      </c>
      <c r="H136" s="109" t="str" cm="1">
        <f t="array" ref="H136">Common_InputFunctions.Utility_DisplayArrayInTable(Fertiliser_SourceData.Fertiliser_Products_Data2(), FertiliserProducts[[#Headers],[Company]],31)</f>
        <v/>
      </c>
      <c r="I136" s="109" t="str" cm="1">
        <f t="array" ref="I136">Common_InputFunctions.Utility_DisplayArrayInTable(Fertiliser_SourceData.Fertiliser_Products_Data2(), FertiliserProducts[[#Headers],[Company]],31)</f>
        <v/>
      </c>
      <c r="J136" s="109" t="str" cm="1">
        <f t="array" ref="J136">Common_InputFunctions.Utility_DisplayArrayInTable(Fertiliser_SourceData.Fertiliser_Products_Data2(), FertiliserProducts[[#Headers],[Company]],31)</f>
        <v/>
      </c>
      <c r="K136" s="109" cm="1">
        <f t="array" ref="K136">Common_InputFunctions.Utility_DisplayArrayInTable(Fertiliser_SourceData.Fertiliser_Products_Data2(), FertiliserProducts[[#Headers],[Company]],31)</f>
        <v>46</v>
      </c>
      <c r="L136" s="109" t="str" cm="1">
        <f t="array" ref="L136">Common_InputFunctions.Utility_DisplayArrayInTable(Fertiliser_SourceData.Fertiliser_Products_Data2(), FertiliserProducts[[#Headers],[Company]],31)</f>
        <v/>
      </c>
      <c r="M136" s="109" t="str" cm="1">
        <f t="array" ref="M136">Common_InputFunctions.Utility_DisplayArrayInTable(Fertiliser_SourceData.Fertiliser_Products_Data2(), FertiliserProducts[[#Headers],[Company]],31)</f>
        <v/>
      </c>
      <c r="N136" s="109" t="str" cm="1">
        <f t="array" ref="N136">Common_InputFunctions.Utility_DisplayArrayInTable(Fertiliser_SourceData.Fertiliser_Products_Data2(), FertiliserProducts[[#Headers],[Company]],31)</f>
        <v/>
      </c>
      <c r="O136" s="109" t="str" cm="1">
        <f t="array" ref="O136">Common_InputFunctions.Utility_DisplayArrayInTable(Fertiliser_SourceData.Fertiliser_Products_Data2(), FertiliserProducts[[#Headers],[Company]],31)</f>
        <v>Urea</v>
      </c>
      <c r="P136" s="109" cm="1">
        <f t="array" ref="P136">Common_InputFunctions.Utility_DisplayArrayInTable(Fertiliser_SourceData.Fertiliser_Products_Data2(), FertiliserProducts[[#Headers],[Company]],31)</f>
        <v>1</v>
      </c>
      <c r="Q136" s="109" t="str" cm="1">
        <f t="array" ref="Q136">Common_InputFunctions.Utility_DisplayArrayInTable(Fertiliser_SourceData.Fertiliser_Products_Data2(), FertiliserProducts[[#Headers],[Company]],31)</f>
        <v/>
      </c>
      <c r="R136" s="109" t="str" cm="1">
        <f t="array" ref="R136">Common_InputFunctions.Utility_DisplayArrayInTable(Fertiliser_SourceData.Fertiliser_Products_Data2(), FertiliserProducts[[#Headers],[Company]],31)</f>
        <v/>
      </c>
      <c r="S136" s="109" t="str" cm="1">
        <f t="array" ref="S136">Common_InputFunctions.Utility_DisplayArrayInTable(Fertiliser_SourceData.Fertiliser_Products_Data2(), FertiliserProducts[[#Headers],[Company]],31)</f>
        <v/>
      </c>
      <c r="T136" s="109" t="str" cm="1">
        <f t="array" ref="T136">Common_InputFunctions.Utility_DisplayArrayInTable(Fertiliser_SourceData.Fertiliser_Products_Data2(), FertiliserProducts[[#Headers],[Company]],31)</f>
        <v/>
      </c>
      <c r="U136" s="109" t="str" cm="1">
        <f t="array" ref="U136">Common_InputFunctions.Utility_DisplayArrayInTable(Fertiliser_SourceData.Fertiliser_Products_Data2(), FertiliserProducts[[#Headers],[Company]],31)</f>
        <v/>
      </c>
      <c r="V136" s="109" t="str" cm="1">
        <f t="array" ref="V136">Common_InputFunctions.Utility_DisplayArrayInTable(Fertiliser_SourceData.Fertiliser_Products_Data2(), FertiliserProducts[[#Headers],[Company]],31)</f>
        <v/>
      </c>
      <c r="W136" s="109" t="str" cm="1">
        <f t="array" ref="W136">Common_InputFunctions.Utility_DisplayArrayInTable(Fertiliser_SourceData.Fertiliser_Products_Data2(), FertiliserProducts[[#Headers],[Company]],31)</f>
        <v/>
      </c>
      <c r="X136" s="109" t="str" cm="1">
        <f t="array" ref="X136">Common_InputFunctions.Utility_DisplayArrayInTable(Fertiliser_SourceData.Fertiliser_Products_Data2(), FertiliserProducts[[#Headers],[Company]],31)</f>
        <v/>
      </c>
      <c r="Y136" s="109" t="str" cm="1">
        <f t="array" ref="Y136">Common_InputFunctions.Utility_DisplayArrayInTable(Fertiliser_SourceData.Fertiliser_Products_Data2(), FertiliserProducts[[#Headers],[Company]],31)</f>
        <v/>
      </c>
      <c r="Z136" s="109" t="str" cm="1">
        <f t="array" ref="Z136">Common_InputFunctions.Utility_DisplayArrayInTable(Fertiliser_SourceData.Fertiliser_Products_Data2(), FertiliserProducts[[#Headers],[Company]],31)</f>
        <v/>
      </c>
      <c r="AA136" s="109" t="str" cm="1">
        <f t="array" ref="AA136">Common_InputFunctions.Utility_DisplayArrayInTable(Fertiliser_SourceData.Fertiliser_Products_Data2(), FertiliserProducts[[#Headers],[Company]],31)</f>
        <v/>
      </c>
      <c r="AB136" s="109" t="str" cm="1">
        <f t="array" ref="AB136">Common_InputFunctions.Utility_DisplayArrayInTable(Fertiliser_SourceData.Fertiliser_Products_Data2(), FertiliserProducts[[#Headers],[Company]],31)</f>
        <v/>
      </c>
      <c r="AC136" s="109" t="str" cm="1">
        <f t="array" ref="AC136">Common_InputFunctions.Utility_DisplayArrayInTable(Fertiliser_SourceData.Fertiliser_Products_Data2(), FertiliserProducts[[#Headers],[Company]],31)</f>
        <v/>
      </c>
      <c r="AD136" s="109" t="str" cm="1">
        <f t="array" ref="AD136">Common_InputFunctions.Utility_DisplayArrayInTable(Fertiliser_SourceData.Fertiliser_Products_Data2(), FertiliserProducts[[#Headers],[Company]],31)</f>
        <v/>
      </c>
      <c r="AE136" s="109" t="str" cm="1">
        <f t="array" ref="AE136">Common_InputFunctions.Utility_DisplayArrayInTable(Fertiliser_SourceData.Fertiliser_Products_Data2(), FertiliserProducts[[#Headers],[Company]],31)</f>
        <v/>
      </c>
      <c r="AF136" s="109" t="str" cm="1">
        <f t="array" ref="AF136">Common_InputFunctions.Utility_DisplayArrayInTable(Fertiliser_SourceData.Fertiliser_Products_Data2(), FertiliserProducts[[#Headers],[Company]],31)</f>
        <v/>
      </c>
      <c r="AG136" s="109" t="str" cm="1">
        <f t="array" ref="AG136">Common_InputFunctions.Utility_DisplayArrayInTable(Fertiliser_SourceData.Fertiliser_Products_Data2(), FertiliserProducts[[#Headers],[Company]],31)</f>
        <v/>
      </c>
      <c r="AH136" s="109"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09" t="str" cm="1">
        <f t="array" ref="D137">Common_InputFunctions.Utility_DisplayArrayInTable(Fertiliser_SourceData.Fertiliser_Products_Data2(), FertiliserProducts[[#Headers],[Company]],31)</f>
        <v>Koch Fertiliser Australia</v>
      </c>
      <c r="E137" s="109" t="str" cm="1">
        <f t="array" ref="E137">Common_InputFunctions.Utility_DisplayArrayInTable(Fertiliser_SourceData.Fertiliser_Products_Data2(), FertiliserProducts[[#Headers],[Company]],31)</f>
        <v>Muriate of potash (MOP)</v>
      </c>
      <c r="F137" s="109" t="str" cm="1">
        <f t="array" ref="F137">Common_InputFunctions.Utility_DisplayArrayInTable(Fertiliser_SourceData.Fertiliser_Products_Data2(), FertiliserProducts[[#Headers],[Company]],31)</f>
        <v>kg</v>
      </c>
      <c r="G137" s="109" cm="1">
        <f t="array" ref="G137">Common_InputFunctions.Utility_DisplayArrayInTable(Fertiliser_SourceData.Fertiliser_Products_Data2(), FertiliserProducts[[#Headers],[Company]],31)</f>
        <v>1</v>
      </c>
      <c r="H137" s="109" t="str" cm="1">
        <f t="array" ref="H137">Common_InputFunctions.Utility_DisplayArrayInTable(Fertiliser_SourceData.Fertiliser_Products_Data2(), FertiliserProducts[[#Headers],[Company]],31)</f>
        <v/>
      </c>
      <c r="I137" s="109" t="str" cm="1">
        <f t="array" ref="I137">Common_InputFunctions.Utility_DisplayArrayInTable(Fertiliser_SourceData.Fertiliser_Products_Data2(), FertiliserProducts[[#Headers],[Company]],31)</f>
        <v/>
      </c>
      <c r="J137" s="109" t="str" cm="1">
        <f t="array" ref="J137">Common_InputFunctions.Utility_DisplayArrayInTable(Fertiliser_SourceData.Fertiliser_Products_Data2(), FertiliserProducts[[#Headers],[Company]],31)</f>
        <v/>
      </c>
      <c r="K137" s="109" t="str" cm="1">
        <f t="array" ref="K137">Common_InputFunctions.Utility_DisplayArrayInTable(Fertiliser_SourceData.Fertiliser_Products_Data2(), FertiliserProducts[[#Headers],[Company]],31)</f>
        <v/>
      </c>
      <c r="L137" s="109" t="str" cm="1">
        <f t="array" ref="L137">Common_InputFunctions.Utility_DisplayArrayInTable(Fertiliser_SourceData.Fertiliser_Products_Data2(), FertiliserProducts[[#Headers],[Company]],31)</f>
        <v/>
      </c>
      <c r="M137" s="109" cm="1">
        <f t="array" ref="M137">Common_InputFunctions.Utility_DisplayArrayInTable(Fertiliser_SourceData.Fertiliser_Products_Data2(), FertiliserProducts[[#Headers],[Company]],31)</f>
        <v>50</v>
      </c>
      <c r="N137" s="109" t="str" cm="1">
        <f t="array" ref="N137">Common_InputFunctions.Utility_DisplayArrayInTable(Fertiliser_SourceData.Fertiliser_Products_Data2(), FertiliserProducts[[#Headers],[Company]],31)</f>
        <v/>
      </c>
      <c r="O137" s="109" t="str" cm="1">
        <f t="array" ref="O137">Common_InputFunctions.Utility_DisplayArrayInTable(Fertiliser_SourceData.Fertiliser_Products_Data2(), FertiliserProducts[[#Headers],[Company]],31)</f>
        <v>Muriate of potash (MOP)</v>
      </c>
      <c r="P137" s="109" cm="1">
        <f t="array" ref="P137">Common_InputFunctions.Utility_DisplayArrayInTable(Fertiliser_SourceData.Fertiliser_Products_Data2(), FertiliserProducts[[#Headers],[Company]],31)</f>
        <v>1</v>
      </c>
      <c r="Q137" s="109" t="str" cm="1">
        <f t="array" ref="Q137">Common_InputFunctions.Utility_DisplayArrayInTable(Fertiliser_SourceData.Fertiliser_Products_Data2(), FertiliserProducts[[#Headers],[Company]],31)</f>
        <v/>
      </c>
      <c r="R137" s="109" t="str" cm="1">
        <f t="array" ref="R137">Common_InputFunctions.Utility_DisplayArrayInTable(Fertiliser_SourceData.Fertiliser_Products_Data2(), FertiliserProducts[[#Headers],[Company]],31)</f>
        <v/>
      </c>
      <c r="S137" s="109" t="str" cm="1">
        <f t="array" ref="S137">Common_InputFunctions.Utility_DisplayArrayInTable(Fertiliser_SourceData.Fertiliser_Products_Data2(), FertiliserProducts[[#Headers],[Company]],31)</f>
        <v/>
      </c>
      <c r="T137" s="109" t="str" cm="1">
        <f t="array" ref="T137">Common_InputFunctions.Utility_DisplayArrayInTable(Fertiliser_SourceData.Fertiliser_Products_Data2(), FertiliserProducts[[#Headers],[Company]],31)</f>
        <v/>
      </c>
      <c r="U137" s="109" t="str" cm="1">
        <f t="array" ref="U137">Common_InputFunctions.Utility_DisplayArrayInTable(Fertiliser_SourceData.Fertiliser_Products_Data2(), FertiliserProducts[[#Headers],[Company]],31)</f>
        <v/>
      </c>
      <c r="V137" s="109" t="str" cm="1">
        <f t="array" ref="V137">Common_InputFunctions.Utility_DisplayArrayInTable(Fertiliser_SourceData.Fertiliser_Products_Data2(), FertiliserProducts[[#Headers],[Company]],31)</f>
        <v/>
      </c>
      <c r="W137" s="109" t="str" cm="1">
        <f t="array" ref="W137">Common_InputFunctions.Utility_DisplayArrayInTable(Fertiliser_SourceData.Fertiliser_Products_Data2(), FertiliserProducts[[#Headers],[Company]],31)</f>
        <v/>
      </c>
      <c r="X137" s="109" t="str" cm="1">
        <f t="array" ref="X137">Common_InputFunctions.Utility_DisplayArrayInTable(Fertiliser_SourceData.Fertiliser_Products_Data2(), FertiliserProducts[[#Headers],[Company]],31)</f>
        <v/>
      </c>
      <c r="Y137" s="109" t="str" cm="1">
        <f t="array" ref="Y137">Common_InputFunctions.Utility_DisplayArrayInTable(Fertiliser_SourceData.Fertiliser_Products_Data2(), FertiliserProducts[[#Headers],[Company]],31)</f>
        <v/>
      </c>
      <c r="Z137" s="109" t="str" cm="1">
        <f t="array" ref="Z137">Common_InputFunctions.Utility_DisplayArrayInTable(Fertiliser_SourceData.Fertiliser_Products_Data2(), FertiliserProducts[[#Headers],[Company]],31)</f>
        <v/>
      </c>
      <c r="AA137" s="109" t="str" cm="1">
        <f t="array" ref="AA137">Common_InputFunctions.Utility_DisplayArrayInTable(Fertiliser_SourceData.Fertiliser_Products_Data2(), FertiliserProducts[[#Headers],[Company]],31)</f>
        <v/>
      </c>
      <c r="AB137" s="109" t="str" cm="1">
        <f t="array" ref="AB137">Common_InputFunctions.Utility_DisplayArrayInTable(Fertiliser_SourceData.Fertiliser_Products_Data2(), FertiliserProducts[[#Headers],[Company]],31)</f>
        <v/>
      </c>
      <c r="AC137" s="109" t="str" cm="1">
        <f t="array" ref="AC137">Common_InputFunctions.Utility_DisplayArrayInTable(Fertiliser_SourceData.Fertiliser_Products_Data2(), FertiliserProducts[[#Headers],[Company]],31)</f>
        <v/>
      </c>
      <c r="AD137" s="109" t="str" cm="1">
        <f t="array" ref="AD137">Common_InputFunctions.Utility_DisplayArrayInTable(Fertiliser_SourceData.Fertiliser_Products_Data2(), FertiliserProducts[[#Headers],[Company]],31)</f>
        <v/>
      </c>
      <c r="AE137" s="109" t="str" cm="1">
        <f t="array" ref="AE137">Common_InputFunctions.Utility_DisplayArrayInTable(Fertiliser_SourceData.Fertiliser_Products_Data2(), FertiliserProducts[[#Headers],[Company]],31)</f>
        <v/>
      </c>
      <c r="AF137" s="109" t="str" cm="1">
        <f t="array" ref="AF137">Common_InputFunctions.Utility_DisplayArrayInTable(Fertiliser_SourceData.Fertiliser_Products_Data2(), FertiliserProducts[[#Headers],[Company]],31)</f>
        <v/>
      </c>
      <c r="AG137" s="109" t="str" cm="1">
        <f t="array" ref="AG137">Common_InputFunctions.Utility_DisplayArrayInTable(Fertiliser_SourceData.Fertiliser_Products_Data2(), FertiliserProducts[[#Headers],[Company]],31)</f>
        <v/>
      </c>
      <c r="AH137" s="109"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09" t="str" cm="1">
        <f t="array" ref="D138">Common_InputFunctions.Utility_DisplayArrayInTable(Fertiliser_SourceData.Fertiliser_Products_Data2(), FertiliserProducts[[#Headers],[Company]],31)</f>
        <v>Risso-Chemical</v>
      </c>
      <c r="E138" s="109" t="str" cm="1">
        <f t="array" ref="E138">Common_InputFunctions.Utility_DisplayArrayInTable(Fertiliser_SourceData.Fertiliser_Products_Data2(), FertiliserProducts[[#Headers],[Company]],31)</f>
        <v>Urea Ammonium nitrate (UAN 32-0-0)</v>
      </c>
      <c r="F138" s="109" t="str" cm="1">
        <f t="array" ref="F138">Common_InputFunctions.Utility_DisplayArrayInTable(Fertiliser_SourceData.Fertiliser_Products_Data2(), FertiliserProducts[[#Headers],[Company]],31)</f>
        <v>L</v>
      </c>
      <c r="G138" s="109" cm="1">
        <f t="array" ref="G138">Common_InputFunctions.Utility_DisplayArrayInTable(Fertiliser_SourceData.Fertiliser_Products_Data2(), FertiliserProducts[[#Headers],[Company]],31)</f>
        <v>1.32</v>
      </c>
      <c r="H138" s="109" t="str" cm="1">
        <f t="array" ref="H138">Common_InputFunctions.Utility_DisplayArrayInTable(Fertiliser_SourceData.Fertiliser_Products_Data2(), FertiliserProducts[[#Headers],[Company]],31)</f>
        <v/>
      </c>
      <c r="I138" s="109" t="str" cm="1">
        <f t="array" ref="I138">Common_InputFunctions.Utility_DisplayArrayInTable(Fertiliser_SourceData.Fertiliser_Products_Data2(), FertiliserProducts[[#Headers],[Company]],31)</f>
        <v>China</v>
      </c>
      <c r="J138" s="109" t="str" cm="1">
        <f t="array" ref="J138">Common_InputFunctions.Utility_DisplayArrayInTable(Fertiliser_SourceData.Fertiliser_Products_Data2(), FertiliserProducts[[#Headers],[Company]],31)</f>
        <v>China</v>
      </c>
      <c r="K138" s="109" cm="1">
        <f t="array" ref="K138">Common_InputFunctions.Utility_DisplayArrayInTable(Fertiliser_SourceData.Fertiliser_Products_Data2(), FertiliserProducts[[#Headers],[Company]],31)</f>
        <v>32</v>
      </c>
      <c r="L138" s="109" t="str" cm="1">
        <f t="array" ref="L138">Common_InputFunctions.Utility_DisplayArrayInTable(Fertiliser_SourceData.Fertiliser_Products_Data2(), FertiliserProducts[[#Headers],[Company]],31)</f>
        <v/>
      </c>
      <c r="M138" s="109" t="str" cm="1">
        <f t="array" ref="M138">Common_InputFunctions.Utility_DisplayArrayInTable(Fertiliser_SourceData.Fertiliser_Products_Data2(), FertiliserProducts[[#Headers],[Company]],31)</f>
        <v/>
      </c>
      <c r="N138" s="109" t="str" cm="1">
        <f t="array" ref="N138">Common_InputFunctions.Utility_DisplayArrayInTable(Fertiliser_SourceData.Fertiliser_Products_Data2(), FertiliserProducts[[#Headers],[Company]],31)</f>
        <v/>
      </c>
      <c r="O138" s="109" t="str" cm="1">
        <f t="array" ref="O138">Common_InputFunctions.Utility_DisplayArrayInTable(Fertiliser_SourceData.Fertiliser_Products_Data2(), FertiliserProducts[[#Headers],[Company]],31)</f>
        <v>Urea-ammonium nitrate (UAN)</v>
      </c>
      <c r="P138" s="109" cm="1">
        <f t="array" ref="P138">Common_InputFunctions.Utility_DisplayArrayInTable(Fertiliser_SourceData.Fertiliser_Products_Data2(), FertiliserProducts[[#Headers],[Company]],31)</f>
        <v>1</v>
      </c>
      <c r="Q138" s="109" t="str" cm="1">
        <f t="array" ref="Q138">Common_InputFunctions.Utility_DisplayArrayInTable(Fertiliser_SourceData.Fertiliser_Products_Data2(), FertiliserProducts[[#Headers],[Company]],31)</f>
        <v/>
      </c>
      <c r="R138" s="109" t="str" cm="1">
        <f t="array" ref="R138">Common_InputFunctions.Utility_DisplayArrayInTable(Fertiliser_SourceData.Fertiliser_Products_Data2(), FertiliserProducts[[#Headers],[Company]],31)</f>
        <v/>
      </c>
      <c r="S138" s="109" t="str" cm="1">
        <f t="array" ref="S138">Common_InputFunctions.Utility_DisplayArrayInTable(Fertiliser_SourceData.Fertiliser_Products_Data2(), FertiliserProducts[[#Headers],[Company]],31)</f>
        <v/>
      </c>
      <c r="T138" s="109" t="str" cm="1">
        <f t="array" ref="T138">Common_InputFunctions.Utility_DisplayArrayInTable(Fertiliser_SourceData.Fertiliser_Products_Data2(), FertiliserProducts[[#Headers],[Company]],31)</f>
        <v/>
      </c>
      <c r="U138" s="109" t="str" cm="1">
        <f t="array" ref="U138">Common_InputFunctions.Utility_DisplayArrayInTable(Fertiliser_SourceData.Fertiliser_Products_Data2(), FertiliserProducts[[#Headers],[Company]],31)</f>
        <v/>
      </c>
      <c r="V138" s="109" t="str" cm="1">
        <f t="array" ref="V138">Common_InputFunctions.Utility_DisplayArrayInTable(Fertiliser_SourceData.Fertiliser_Products_Data2(), FertiliserProducts[[#Headers],[Company]],31)</f>
        <v/>
      </c>
      <c r="W138" s="109" t="str" cm="1">
        <f t="array" ref="W138">Common_InputFunctions.Utility_DisplayArrayInTable(Fertiliser_SourceData.Fertiliser_Products_Data2(), FertiliserProducts[[#Headers],[Company]],31)</f>
        <v/>
      </c>
      <c r="X138" s="109" t="str" cm="1">
        <f t="array" ref="X138">Common_InputFunctions.Utility_DisplayArrayInTable(Fertiliser_SourceData.Fertiliser_Products_Data2(), FertiliserProducts[[#Headers],[Company]],31)</f>
        <v/>
      </c>
      <c r="Y138" s="109" t="str" cm="1">
        <f t="array" ref="Y138">Common_InputFunctions.Utility_DisplayArrayInTable(Fertiliser_SourceData.Fertiliser_Products_Data2(), FertiliserProducts[[#Headers],[Company]],31)</f>
        <v/>
      </c>
      <c r="Z138" s="109" t="str" cm="1">
        <f t="array" ref="Z138">Common_InputFunctions.Utility_DisplayArrayInTable(Fertiliser_SourceData.Fertiliser_Products_Data2(), FertiliserProducts[[#Headers],[Company]],31)</f>
        <v/>
      </c>
      <c r="AA138" s="109" t="str" cm="1">
        <f t="array" ref="AA138">Common_InputFunctions.Utility_DisplayArrayInTable(Fertiliser_SourceData.Fertiliser_Products_Data2(), FertiliserProducts[[#Headers],[Company]],31)</f>
        <v/>
      </c>
      <c r="AB138" s="109" t="str" cm="1">
        <f t="array" ref="AB138">Common_InputFunctions.Utility_DisplayArrayInTable(Fertiliser_SourceData.Fertiliser_Products_Data2(), FertiliserProducts[[#Headers],[Company]],31)</f>
        <v/>
      </c>
      <c r="AC138" s="109" t="str" cm="1">
        <f t="array" ref="AC138">Common_InputFunctions.Utility_DisplayArrayInTable(Fertiliser_SourceData.Fertiliser_Products_Data2(), FertiliserProducts[[#Headers],[Company]],31)</f>
        <v/>
      </c>
      <c r="AD138" s="109" t="str" cm="1">
        <f t="array" ref="AD138">Common_InputFunctions.Utility_DisplayArrayInTable(Fertiliser_SourceData.Fertiliser_Products_Data2(), FertiliserProducts[[#Headers],[Company]],31)</f>
        <v/>
      </c>
      <c r="AE138" s="109" t="str" cm="1">
        <f t="array" ref="AE138">Common_InputFunctions.Utility_DisplayArrayInTable(Fertiliser_SourceData.Fertiliser_Products_Data2(), FertiliserProducts[[#Headers],[Company]],31)</f>
        <v/>
      </c>
      <c r="AF138" s="109" t="str" cm="1">
        <f t="array" ref="AF138">Common_InputFunctions.Utility_DisplayArrayInTable(Fertiliser_SourceData.Fertiliser_Products_Data2(), FertiliserProducts[[#Headers],[Company]],31)</f>
        <v/>
      </c>
      <c r="AG138" s="109" t="str" cm="1">
        <f t="array" ref="AG138">Common_InputFunctions.Utility_DisplayArrayInTable(Fertiliser_SourceData.Fertiliser_Products_Data2(), FertiliserProducts[[#Headers],[Company]],31)</f>
        <v/>
      </c>
      <c r="AH138" s="109"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09" t="str" cm="1">
        <f t="array" ref="D139">Common_InputFunctions.Utility_DisplayArrayInTable(Fertiliser_SourceData.Fertiliser_Products_Data2(), FertiliserProducts[[#Headers],[Company]],31)</f>
        <v>Risso-Chemical</v>
      </c>
      <c r="E139" s="109" t="str" cm="1">
        <f t="array" ref="E139">Common_InputFunctions.Utility_DisplayArrayInTable(Fertiliser_SourceData.Fertiliser_Products_Data2(), FertiliserProducts[[#Headers],[Company]],31)</f>
        <v>Polypeptide Urea</v>
      </c>
      <c r="F139" s="109" t="str" cm="1">
        <f t="array" ref="F139">Common_InputFunctions.Utility_DisplayArrayInTable(Fertiliser_SourceData.Fertiliser_Products_Data2(), FertiliserProducts[[#Headers],[Company]],31)</f>
        <v>kg</v>
      </c>
      <c r="G139" s="109" cm="1">
        <f t="array" ref="G139">Common_InputFunctions.Utility_DisplayArrayInTable(Fertiliser_SourceData.Fertiliser_Products_Data2(), FertiliserProducts[[#Headers],[Company]],31)</f>
        <v>1</v>
      </c>
      <c r="H139" s="109" t="str" cm="1">
        <f t="array" ref="H139">Common_InputFunctions.Utility_DisplayArrayInTable(Fertiliser_SourceData.Fertiliser_Products_Data2(), FertiliserProducts[[#Headers],[Company]],31)</f>
        <v/>
      </c>
      <c r="I139" s="109" t="str" cm="1">
        <f t="array" ref="I139">Common_InputFunctions.Utility_DisplayArrayInTable(Fertiliser_SourceData.Fertiliser_Products_Data2(), FertiliserProducts[[#Headers],[Company]],31)</f>
        <v>China</v>
      </c>
      <c r="J139" s="109" t="str" cm="1">
        <f t="array" ref="J139">Common_InputFunctions.Utility_DisplayArrayInTable(Fertiliser_SourceData.Fertiliser_Products_Data2(), FertiliserProducts[[#Headers],[Company]],31)</f>
        <v/>
      </c>
      <c r="K139" s="109" cm="1">
        <f t="array" ref="K139">Common_InputFunctions.Utility_DisplayArrayInTable(Fertiliser_SourceData.Fertiliser_Products_Data2(), FertiliserProducts[[#Headers],[Company]],31)</f>
        <v>46</v>
      </c>
      <c r="L139" s="109" t="str" cm="1">
        <f t="array" ref="L139">Common_InputFunctions.Utility_DisplayArrayInTable(Fertiliser_SourceData.Fertiliser_Products_Data2(), FertiliserProducts[[#Headers],[Company]],31)</f>
        <v/>
      </c>
      <c r="M139" s="109" t="str" cm="1">
        <f t="array" ref="M139">Common_InputFunctions.Utility_DisplayArrayInTable(Fertiliser_SourceData.Fertiliser_Products_Data2(), FertiliserProducts[[#Headers],[Company]],31)</f>
        <v/>
      </c>
      <c r="N139" s="109" t="str" cm="1">
        <f t="array" ref="N139">Common_InputFunctions.Utility_DisplayArrayInTable(Fertiliser_SourceData.Fertiliser_Products_Data2(), FertiliserProducts[[#Headers],[Company]],31)</f>
        <v/>
      </c>
      <c r="O139" s="109" t="str" cm="1">
        <f t="array" ref="O139">Common_InputFunctions.Utility_DisplayArrayInTable(Fertiliser_SourceData.Fertiliser_Products_Data2(), FertiliserProducts[[#Headers],[Company]],31)</f>
        <v>Urea</v>
      </c>
      <c r="P139" s="109" cm="1">
        <f t="array" ref="P139">Common_InputFunctions.Utility_DisplayArrayInTable(Fertiliser_SourceData.Fertiliser_Products_Data2(), FertiliserProducts[[#Headers],[Company]],31)</f>
        <v>1</v>
      </c>
      <c r="Q139" s="109" t="str" cm="1">
        <f t="array" ref="Q139">Common_InputFunctions.Utility_DisplayArrayInTable(Fertiliser_SourceData.Fertiliser_Products_Data2(), FertiliserProducts[[#Headers],[Company]],31)</f>
        <v>Polypeptide (amino acids)</v>
      </c>
      <c r="R139" s="109" cm="1">
        <f t="array" ref="R139">Common_InputFunctions.Utility_DisplayArrayInTable(Fertiliser_SourceData.Fertiliser_Products_Data2(), FertiliserProducts[[#Headers],[Company]],31)</f>
        <v>0</v>
      </c>
      <c r="S139" s="109" t="str" cm="1">
        <f t="array" ref="S139">Common_InputFunctions.Utility_DisplayArrayInTable(Fertiliser_SourceData.Fertiliser_Products_Data2(), FertiliserProducts[[#Headers],[Company]],31)</f>
        <v/>
      </c>
      <c r="T139" s="109" t="str" cm="1">
        <f t="array" ref="T139">Common_InputFunctions.Utility_DisplayArrayInTable(Fertiliser_SourceData.Fertiliser_Products_Data2(), FertiliserProducts[[#Headers],[Company]],31)</f>
        <v/>
      </c>
      <c r="U139" s="109" t="str" cm="1">
        <f t="array" ref="U139">Common_InputFunctions.Utility_DisplayArrayInTable(Fertiliser_SourceData.Fertiliser_Products_Data2(), FertiliserProducts[[#Headers],[Company]],31)</f>
        <v/>
      </c>
      <c r="V139" s="109" t="str" cm="1">
        <f t="array" ref="V139">Common_InputFunctions.Utility_DisplayArrayInTable(Fertiliser_SourceData.Fertiliser_Products_Data2(), FertiliserProducts[[#Headers],[Company]],31)</f>
        <v/>
      </c>
      <c r="W139" s="109" t="str" cm="1">
        <f t="array" ref="W139">Common_InputFunctions.Utility_DisplayArrayInTable(Fertiliser_SourceData.Fertiliser_Products_Data2(), FertiliserProducts[[#Headers],[Company]],31)</f>
        <v/>
      </c>
      <c r="X139" s="109" t="str" cm="1">
        <f t="array" ref="X139">Common_InputFunctions.Utility_DisplayArrayInTable(Fertiliser_SourceData.Fertiliser_Products_Data2(), FertiliserProducts[[#Headers],[Company]],31)</f>
        <v/>
      </c>
      <c r="Y139" s="109" t="str" cm="1">
        <f t="array" ref="Y139">Common_InputFunctions.Utility_DisplayArrayInTable(Fertiliser_SourceData.Fertiliser_Products_Data2(), FertiliserProducts[[#Headers],[Company]],31)</f>
        <v/>
      </c>
      <c r="Z139" s="109" t="str" cm="1">
        <f t="array" ref="Z139">Common_InputFunctions.Utility_DisplayArrayInTable(Fertiliser_SourceData.Fertiliser_Products_Data2(), FertiliserProducts[[#Headers],[Company]],31)</f>
        <v/>
      </c>
      <c r="AA139" s="109" t="str" cm="1">
        <f t="array" ref="AA139">Common_InputFunctions.Utility_DisplayArrayInTable(Fertiliser_SourceData.Fertiliser_Products_Data2(), FertiliserProducts[[#Headers],[Company]],31)</f>
        <v/>
      </c>
      <c r="AB139" s="109" t="str" cm="1">
        <f t="array" ref="AB139">Common_InputFunctions.Utility_DisplayArrayInTable(Fertiliser_SourceData.Fertiliser_Products_Data2(), FertiliserProducts[[#Headers],[Company]],31)</f>
        <v/>
      </c>
      <c r="AC139" s="109" t="str" cm="1">
        <f t="array" ref="AC139">Common_InputFunctions.Utility_DisplayArrayInTable(Fertiliser_SourceData.Fertiliser_Products_Data2(), FertiliserProducts[[#Headers],[Company]],31)</f>
        <v/>
      </c>
      <c r="AD139" s="109" t="str" cm="1">
        <f t="array" ref="AD139">Common_InputFunctions.Utility_DisplayArrayInTable(Fertiliser_SourceData.Fertiliser_Products_Data2(), FertiliserProducts[[#Headers],[Company]],31)</f>
        <v/>
      </c>
      <c r="AE139" s="109" t="str" cm="1">
        <f t="array" ref="AE139">Common_InputFunctions.Utility_DisplayArrayInTable(Fertiliser_SourceData.Fertiliser_Products_Data2(), FertiliserProducts[[#Headers],[Company]],31)</f>
        <v/>
      </c>
      <c r="AF139" s="109" t="str" cm="1">
        <f t="array" ref="AF139">Common_InputFunctions.Utility_DisplayArrayInTable(Fertiliser_SourceData.Fertiliser_Products_Data2(), FertiliserProducts[[#Headers],[Company]],31)</f>
        <v/>
      </c>
      <c r="AG139" s="109" t="str" cm="1">
        <f t="array" ref="AG139">Common_InputFunctions.Utility_DisplayArrayInTable(Fertiliser_SourceData.Fertiliser_Products_Data2(), FertiliserProducts[[#Headers],[Company]],31)</f>
        <v/>
      </c>
      <c r="AH139" s="109"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09" t="str" cm="1">
        <f t="array" ref="D140">Common_InputFunctions.Utility_DisplayArrayInTable(Fertiliser_SourceData.Fertiliser_Products_Data2(), FertiliserProducts[[#Headers],[Company]],31)</f>
        <v>Yara Australia</v>
      </c>
      <c r="E140" s="109" t="str" cm="1">
        <f t="array" ref="E140">Common_InputFunctions.Utility_DisplayArrayInTable(Fertiliser_SourceData.Fertiliser_Products_Data2(), FertiliserProducts[[#Headers],[Company]],31)</f>
        <v>YaraTera CALCINIT</v>
      </c>
      <c r="F140" s="109" t="str" cm="1">
        <f t="array" ref="F140">Common_InputFunctions.Utility_DisplayArrayInTable(Fertiliser_SourceData.Fertiliser_Products_Data2(), FertiliserProducts[[#Headers],[Company]],31)</f>
        <v>kg</v>
      </c>
      <c r="G140" s="109" cm="1">
        <f t="array" ref="G140">Common_InputFunctions.Utility_DisplayArrayInTable(Fertiliser_SourceData.Fertiliser_Products_Data2(), FertiliserProducts[[#Headers],[Company]],31)</f>
        <v>1</v>
      </c>
      <c r="H140" s="109" t="str" cm="1">
        <f t="array" ref="H140">Common_InputFunctions.Utility_DisplayArrayInTable(Fertiliser_SourceData.Fertiliser_Products_Data2(), FertiliserProducts[[#Headers],[Company]],31)</f>
        <v/>
      </c>
      <c r="I140" s="109" t="str" cm="1">
        <f t="array" ref="I140">Common_InputFunctions.Utility_DisplayArrayInTable(Fertiliser_SourceData.Fertiliser_Products_Data2(), FertiliserProducts[[#Headers],[Company]],31)</f>
        <v/>
      </c>
      <c r="J140" s="109" t="str" cm="1">
        <f t="array" ref="J140">Common_InputFunctions.Utility_DisplayArrayInTable(Fertiliser_SourceData.Fertiliser_Products_Data2(), FertiliserProducts[[#Headers],[Company]],31)</f>
        <v/>
      </c>
      <c r="K140" s="109" cm="1">
        <f t="array" ref="K140">Common_InputFunctions.Utility_DisplayArrayInTable(Fertiliser_SourceData.Fertiliser_Products_Data2(), FertiliserProducts[[#Headers],[Company]],31)</f>
        <v>15.5</v>
      </c>
      <c r="L140" s="109" t="str" cm="1">
        <f t="array" ref="L140">Common_InputFunctions.Utility_DisplayArrayInTable(Fertiliser_SourceData.Fertiliser_Products_Data2(), FertiliserProducts[[#Headers],[Company]],31)</f>
        <v/>
      </c>
      <c r="M140" s="109" t="str" cm="1">
        <f t="array" ref="M140">Common_InputFunctions.Utility_DisplayArrayInTable(Fertiliser_SourceData.Fertiliser_Products_Data2(), FertiliserProducts[[#Headers],[Company]],31)</f>
        <v/>
      </c>
      <c r="N140" s="109" t="str" cm="1">
        <f t="array" ref="N140">Common_InputFunctions.Utility_DisplayArrayInTable(Fertiliser_SourceData.Fertiliser_Products_Data2(), FertiliserProducts[[#Headers],[Company]],31)</f>
        <v/>
      </c>
      <c r="O140" s="109" t="str" cm="1">
        <f t="array" ref="O140">Common_InputFunctions.Utility_DisplayArrayInTable(Fertiliser_SourceData.Fertiliser_Products_Data2(), FertiliserProducts[[#Headers],[Company]],31)</f>
        <v>Calcium nitrate</v>
      </c>
      <c r="P140" s="109" cm="1">
        <f t="array" ref="P140">Common_InputFunctions.Utility_DisplayArrayInTable(Fertiliser_SourceData.Fertiliser_Products_Data2(), FertiliserProducts[[#Headers],[Company]],31)</f>
        <v>1</v>
      </c>
      <c r="Q140" s="109" t="str" cm="1">
        <f t="array" ref="Q140">Common_InputFunctions.Utility_DisplayArrayInTable(Fertiliser_SourceData.Fertiliser_Products_Data2(), FertiliserProducts[[#Headers],[Company]],31)</f>
        <v/>
      </c>
      <c r="R140" s="109" t="str" cm="1">
        <f t="array" ref="R140">Common_InputFunctions.Utility_DisplayArrayInTable(Fertiliser_SourceData.Fertiliser_Products_Data2(), FertiliserProducts[[#Headers],[Company]],31)</f>
        <v/>
      </c>
      <c r="S140" s="109" t="str" cm="1">
        <f t="array" ref="S140">Common_InputFunctions.Utility_DisplayArrayInTable(Fertiliser_SourceData.Fertiliser_Products_Data2(), FertiliserProducts[[#Headers],[Company]],31)</f>
        <v/>
      </c>
      <c r="T140" s="109" t="str" cm="1">
        <f t="array" ref="T140">Common_InputFunctions.Utility_DisplayArrayInTable(Fertiliser_SourceData.Fertiliser_Products_Data2(), FertiliserProducts[[#Headers],[Company]],31)</f>
        <v/>
      </c>
      <c r="U140" s="109" t="str" cm="1">
        <f t="array" ref="U140">Common_InputFunctions.Utility_DisplayArrayInTable(Fertiliser_SourceData.Fertiliser_Products_Data2(), FertiliserProducts[[#Headers],[Company]],31)</f>
        <v/>
      </c>
      <c r="V140" s="109" t="str" cm="1">
        <f t="array" ref="V140">Common_InputFunctions.Utility_DisplayArrayInTable(Fertiliser_SourceData.Fertiliser_Products_Data2(), FertiliserProducts[[#Headers],[Company]],31)</f>
        <v/>
      </c>
      <c r="W140" s="109" t="str" cm="1">
        <f t="array" ref="W140">Common_InputFunctions.Utility_DisplayArrayInTable(Fertiliser_SourceData.Fertiliser_Products_Data2(), FertiliserProducts[[#Headers],[Company]],31)</f>
        <v/>
      </c>
      <c r="X140" s="109" t="str" cm="1">
        <f t="array" ref="X140">Common_InputFunctions.Utility_DisplayArrayInTable(Fertiliser_SourceData.Fertiliser_Products_Data2(), FertiliserProducts[[#Headers],[Company]],31)</f>
        <v/>
      </c>
      <c r="Y140" s="109" t="str" cm="1">
        <f t="array" ref="Y140">Common_InputFunctions.Utility_DisplayArrayInTable(Fertiliser_SourceData.Fertiliser_Products_Data2(), FertiliserProducts[[#Headers],[Company]],31)</f>
        <v/>
      </c>
      <c r="Z140" s="109" t="str" cm="1">
        <f t="array" ref="Z140">Common_InputFunctions.Utility_DisplayArrayInTable(Fertiliser_SourceData.Fertiliser_Products_Data2(), FertiliserProducts[[#Headers],[Company]],31)</f>
        <v/>
      </c>
      <c r="AA140" s="109" t="str" cm="1">
        <f t="array" ref="AA140">Common_InputFunctions.Utility_DisplayArrayInTable(Fertiliser_SourceData.Fertiliser_Products_Data2(), FertiliserProducts[[#Headers],[Company]],31)</f>
        <v/>
      </c>
      <c r="AB140" s="109" t="str" cm="1">
        <f t="array" ref="AB140">Common_InputFunctions.Utility_DisplayArrayInTable(Fertiliser_SourceData.Fertiliser_Products_Data2(), FertiliserProducts[[#Headers],[Company]],31)</f>
        <v/>
      </c>
      <c r="AC140" s="109" t="str" cm="1">
        <f t="array" ref="AC140">Common_InputFunctions.Utility_DisplayArrayInTable(Fertiliser_SourceData.Fertiliser_Products_Data2(), FertiliserProducts[[#Headers],[Company]],31)</f>
        <v/>
      </c>
      <c r="AD140" s="109" t="str" cm="1">
        <f t="array" ref="AD140">Common_InputFunctions.Utility_DisplayArrayInTable(Fertiliser_SourceData.Fertiliser_Products_Data2(), FertiliserProducts[[#Headers],[Company]],31)</f>
        <v/>
      </c>
      <c r="AE140" s="109" t="str" cm="1">
        <f t="array" ref="AE140">Common_InputFunctions.Utility_DisplayArrayInTable(Fertiliser_SourceData.Fertiliser_Products_Data2(), FertiliserProducts[[#Headers],[Company]],31)</f>
        <v/>
      </c>
      <c r="AF140" s="109" t="str" cm="1">
        <f t="array" ref="AF140">Common_InputFunctions.Utility_DisplayArrayInTable(Fertiliser_SourceData.Fertiliser_Products_Data2(), FertiliserProducts[[#Headers],[Company]],31)</f>
        <v/>
      </c>
      <c r="AG140" s="109" t="str" cm="1">
        <f t="array" ref="AG140">Common_InputFunctions.Utility_DisplayArrayInTable(Fertiliser_SourceData.Fertiliser_Products_Data2(), FertiliserProducts[[#Headers],[Company]],31)</f>
        <v/>
      </c>
      <c r="AH140" s="109"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09" t="str" cm="1">
        <f t="array" ref="D141">Common_InputFunctions.Utility_DisplayArrayInTable(Fertiliser_SourceData.Fertiliser_Products_Data2(), FertiliserProducts[[#Headers],[Company]],31)</f>
        <v>Yara Australia</v>
      </c>
      <c r="E141" s="109" t="str" cm="1">
        <f t="array" ref="E141">Common_InputFunctions.Utility_DisplayArrayInTable(Fertiliser_SourceData.Fertiliser_Products_Data2(), FertiliserProducts[[#Headers],[Company]],31)</f>
        <v>YaraLiva NITRABOR</v>
      </c>
      <c r="F141" s="109" t="str" cm="1">
        <f t="array" ref="F141">Common_InputFunctions.Utility_DisplayArrayInTable(Fertiliser_SourceData.Fertiliser_Products_Data2(), FertiliserProducts[[#Headers],[Company]],31)</f>
        <v>kg</v>
      </c>
      <c r="G141" s="109" cm="1">
        <f t="array" ref="G141">Common_InputFunctions.Utility_DisplayArrayInTable(Fertiliser_SourceData.Fertiliser_Products_Data2(), FertiliserProducts[[#Headers],[Company]],31)</f>
        <v>1</v>
      </c>
      <c r="H141" s="109" t="str" cm="1">
        <f t="array" ref="H141">Common_InputFunctions.Utility_DisplayArrayInTable(Fertiliser_SourceData.Fertiliser_Products_Data2(), FertiliserProducts[[#Headers],[Company]],31)</f>
        <v/>
      </c>
      <c r="I141" s="109" t="str" cm="1">
        <f t="array" ref="I141">Common_InputFunctions.Utility_DisplayArrayInTable(Fertiliser_SourceData.Fertiliser_Products_Data2(), FertiliserProducts[[#Headers],[Company]],31)</f>
        <v/>
      </c>
      <c r="J141" s="109" t="str" cm="1">
        <f t="array" ref="J141">Common_InputFunctions.Utility_DisplayArrayInTable(Fertiliser_SourceData.Fertiliser_Products_Data2(), FertiliserProducts[[#Headers],[Company]],31)</f>
        <v/>
      </c>
      <c r="K141" s="109" cm="1">
        <f t="array" ref="K141">Common_InputFunctions.Utility_DisplayArrayInTable(Fertiliser_SourceData.Fertiliser_Products_Data2(), FertiliserProducts[[#Headers],[Company]],31)</f>
        <v>15.4</v>
      </c>
      <c r="L141" s="109" t="str" cm="1">
        <f t="array" ref="L141">Common_InputFunctions.Utility_DisplayArrayInTable(Fertiliser_SourceData.Fertiliser_Products_Data2(), FertiliserProducts[[#Headers],[Company]],31)</f>
        <v/>
      </c>
      <c r="M141" s="109" t="str" cm="1">
        <f t="array" ref="M141">Common_InputFunctions.Utility_DisplayArrayInTable(Fertiliser_SourceData.Fertiliser_Products_Data2(), FertiliserProducts[[#Headers],[Company]],31)</f>
        <v/>
      </c>
      <c r="N141" s="109" t="str" cm="1">
        <f t="array" ref="N141">Common_InputFunctions.Utility_DisplayArrayInTable(Fertiliser_SourceData.Fertiliser_Products_Data2(), FertiliserProducts[[#Headers],[Company]],31)</f>
        <v/>
      </c>
      <c r="O141" s="109" t="str" cm="1">
        <f t="array" ref="O141">Common_InputFunctions.Utility_DisplayArrayInTable(Fertiliser_SourceData.Fertiliser_Products_Data2(), FertiliserProducts[[#Headers],[Company]],31)</f>
        <v>Calcium nitrate</v>
      </c>
      <c r="P141" s="109" cm="1">
        <f t="array" ref="P141">Common_InputFunctions.Utility_DisplayArrayInTable(Fertiliser_SourceData.Fertiliser_Products_Data2(), FertiliserProducts[[#Headers],[Company]],31)</f>
        <v>0.99354799999999999</v>
      </c>
      <c r="Q141" s="109" t="str" cm="1">
        <f t="array" ref="Q141">Common_InputFunctions.Utility_DisplayArrayInTable(Fertiliser_SourceData.Fertiliser_Products_Data2(), FertiliserProducts[[#Headers],[Company]],31)</f>
        <v>Boron</v>
      </c>
      <c r="R141" s="109" cm="1">
        <f t="array" ref="R141">Common_InputFunctions.Utility_DisplayArrayInTable(Fertiliser_SourceData.Fertiliser_Products_Data2(), FertiliserProducts[[#Headers],[Company]],31)</f>
        <v>3.0000000000000001E-3</v>
      </c>
      <c r="S141" s="109" t="str" cm="1">
        <f t="array" ref="S141">Common_InputFunctions.Utility_DisplayArrayInTable(Fertiliser_SourceData.Fertiliser_Products_Data2(), FertiliserProducts[[#Headers],[Company]],31)</f>
        <v/>
      </c>
      <c r="T141" s="109" t="str" cm="1">
        <f t="array" ref="T141">Common_InputFunctions.Utility_DisplayArrayInTable(Fertiliser_SourceData.Fertiliser_Products_Data2(), FertiliserProducts[[#Headers],[Company]],31)</f>
        <v/>
      </c>
      <c r="U141" s="109" t="str" cm="1">
        <f t="array" ref="U141">Common_InputFunctions.Utility_DisplayArrayInTable(Fertiliser_SourceData.Fertiliser_Products_Data2(), FertiliserProducts[[#Headers],[Company]],31)</f>
        <v/>
      </c>
      <c r="V141" s="109" t="str" cm="1">
        <f t="array" ref="V141">Common_InputFunctions.Utility_DisplayArrayInTable(Fertiliser_SourceData.Fertiliser_Products_Data2(), FertiliserProducts[[#Headers],[Company]],31)</f>
        <v/>
      </c>
      <c r="W141" s="109" t="str" cm="1">
        <f t="array" ref="W141">Common_InputFunctions.Utility_DisplayArrayInTable(Fertiliser_SourceData.Fertiliser_Products_Data2(), FertiliserProducts[[#Headers],[Company]],31)</f>
        <v/>
      </c>
      <c r="X141" s="109" t="str" cm="1">
        <f t="array" ref="X141">Common_InputFunctions.Utility_DisplayArrayInTable(Fertiliser_SourceData.Fertiliser_Products_Data2(), FertiliserProducts[[#Headers],[Company]],31)</f>
        <v/>
      </c>
      <c r="Y141" s="109" t="str" cm="1">
        <f t="array" ref="Y141">Common_InputFunctions.Utility_DisplayArrayInTable(Fertiliser_SourceData.Fertiliser_Products_Data2(), FertiliserProducts[[#Headers],[Company]],31)</f>
        <v/>
      </c>
      <c r="Z141" s="109" t="str" cm="1">
        <f t="array" ref="Z141">Common_InputFunctions.Utility_DisplayArrayInTable(Fertiliser_SourceData.Fertiliser_Products_Data2(), FertiliserProducts[[#Headers],[Company]],31)</f>
        <v/>
      </c>
      <c r="AA141" s="109" t="str" cm="1">
        <f t="array" ref="AA141">Common_InputFunctions.Utility_DisplayArrayInTable(Fertiliser_SourceData.Fertiliser_Products_Data2(), FertiliserProducts[[#Headers],[Company]],31)</f>
        <v/>
      </c>
      <c r="AB141" s="109" t="str" cm="1">
        <f t="array" ref="AB141">Common_InputFunctions.Utility_DisplayArrayInTable(Fertiliser_SourceData.Fertiliser_Products_Data2(), FertiliserProducts[[#Headers],[Company]],31)</f>
        <v/>
      </c>
      <c r="AC141" s="109" t="str" cm="1">
        <f t="array" ref="AC141">Common_InputFunctions.Utility_DisplayArrayInTable(Fertiliser_SourceData.Fertiliser_Products_Data2(), FertiliserProducts[[#Headers],[Company]],31)</f>
        <v/>
      </c>
      <c r="AD141" s="109" t="str" cm="1">
        <f t="array" ref="AD141">Common_InputFunctions.Utility_DisplayArrayInTable(Fertiliser_SourceData.Fertiliser_Products_Data2(), FertiliserProducts[[#Headers],[Company]],31)</f>
        <v/>
      </c>
      <c r="AE141" s="109" t="str" cm="1">
        <f t="array" ref="AE141">Common_InputFunctions.Utility_DisplayArrayInTable(Fertiliser_SourceData.Fertiliser_Products_Data2(), FertiliserProducts[[#Headers],[Company]],31)</f>
        <v/>
      </c>
      <c r="AF141" s="109" t="str" cm="1">
        <f t="array" ref="AF141">Common_InputFunctions.Utility_DisplayArrayInTable(Fertiliser_SourceData.Fertiliser_Products_Data2(), FertiliserProducts[[#Headers],[Company]],31)</f>
        <v/>
      </c>
      <c r="AG141" s="109" t="str" cm="1">
        <f t="array" ref="AG141">Common_InputFunctions.Utility_DisplayArrayInTable(Fertiliser_SourceData.Fertiliser_Products_Data2(), FertiliserProducts[[#Headers],[Company]],31)</f>
        <v/>
      </c>
      <c r="AH141" s="109"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09" t="str" cm="1">
        <f t="array" ref="D142">Common_InputFunctions.Utility_DisplayArrayInTable(Fertiliser_SourceData.Fertiliser_Products_Data2(), FertiliserProducts[[#Headers],[Company]],31)</f>
        <v>Yara Australia</v>
      </c>
      <c r="E142" s="109" t="str" cm="1">
        <f t="array" ref="E142">Common_InputFunctions.Utility_DisplayArrayInTable(Fertiliser_SourceData.Fertiliser_Products_Data2(), FertiliserProducts[[#Headers],[Company]],31)</f>
        <v>YaraMila COMPLEX</v>
      </c>
      <c r="F142" s="109" t="str" cm="1">
        <f t="array" ref="F142">Common_InputFunctions.Utility_DisplayArrayInTable(Fertiliser_SourceData.Fertiliser_Products_Data2(), FertiliserProducts[[#Headers],[Company]],31)</f>
        <v>kg</v>
      </c>
      <c r="G142" s="109" cm="1">
        <f t="array" ref="G142">Common_InputFunctions.Utility_DisplayArrayInTable(Fertiliser_SourceData.Fertiliser_Products_Data2(), FertiliserProducts[[#Headers],[Company]],31)</f>
        <v>1</v>
      </c>
      <c r="H142" s="109" t="str" cm="1">
        <f t="array" ref="H142">Common_InputFunctions.Utility_DisplayArrayInTable(Fertiliser_SourceData.Fertiliser_Products_Data2(), FertiliserProducts[[#Headers],[Company]],31)</f>
        <v/>
      </c>
      <c r="I142" s="109" t="str" cm="1">
        <f t="array" ref="I142">Common_InputFunctions.Utility_DisplayArrayInTable(Fertiliser_SourceData.Fertiliser_Products_Data2(), FertiliserProducts[[#Headers],[Company]],31)</f>
        <v/>
      </c>
      <c r="J142" s="109" t="str" cm="1">
        <f t="array" ref="J142">Common_InputFunctions.Utility_DisplayArrayInTable(Fertiliser_SourceData.Fertiliser_Products_Data2(), FertiliserProducts[[#Headers],[Company]],31)</f>
        <v/>
      </c>
      <c r="K142" s="109" cm="1">
        <f t="array" ref="K142">Common_InputFunctions.Utility_DisplayArrayInTable(Fertiliser_SourceData.Fertiliser_Products_Data2(), FertiliserProducts[[#Headers],[Company]],31)</f>
        <v>12</v>
      </c>
      <c r="L142" s="109" cm="1">
        <f t="array" ref="L142">Common_InputFunctions.Utility_DisplayArrayInTable(Fertiliser_SourceData.Fertiliser_Products_Data2(), FertiliserProducts[[#Headers],[Company]],31)</f>
        <v>5</v>
      </c>
      <c r="M142" s="109" cm="1">
        <f t="array" ref="M142">Common_InputFunctions.Utility_DisplayArrayInTable(Fertiliser_SourceData.Fertiliser_Products_Data2(), FertiliserProducts[[#Headers],[Company]],31)</f>
        <v>15</v>
      </c>
      <c r="N142" s="109" cm="1">
        <f t="array" ref="N142">Common_InputFunctions.Utility_DisplayArrayInTable(Fertiliser_SourceData.Fertiliser_Products_Data2(), FertiliserProducts[[#Headers],[Company]],31)</f>
        <v>8</v>
      </c>
      <c r="O142" s="109" t="str" cm="1">
        <f t="array" ref="O142">Common_InputFunctions.Utility_DisplayArrayInTable(Fertiliser_SourceData.Fertiliser_Products_Data2(), FertiliserProducts[[#Headers],[Company]],31)</f>
        <v>Nitrogen - Nitrate</v>
      </c>
      <c r="P142" s="109" cm="1">
        <f t="array" ref="P142">Common_InputFunctions.Utility_DisplayArrayInTable(Fertiliser_SourceData.Fertiliser_Products_Data2(), FertiliserProducts[[#Headers],[Company]],31)</f>
        <v>0.05</v>
      </c>
      <c r="Q142" s="109" t="str" cm="1">
        <f t="array" ref="Q142">Common_InputFunctions.Utility_DisplayArrayInTable(Fertiliser_SourceData.Fertiliser_Products_Data2(), FertiliserProducts[[#Headers],[Company]],31)</f>
        <v>Nitrogen - Ammoniacal</v>
      </c>
      <c r="R142" s="109" cm="1">
        <f t="array" ref="R142">Common_InputFunctions.Utility_DisplayArrayInTable(Fertiliser_SourceData.Fertiliser_Products_Data2(), FertiliserProducts[[#Headers],[Company]],31)</f>
        <v>7.0000000000000007E-2</v>
      </c>
      <c r="S142" s="109" t="str" cm="1">
        <f t="array" ref="S142">Common_InputFunctions.Utility_DisplayArrayInTable(Fertiliser_SourceData.Fertiliser_Products_Data2(), FertiliserProducts[[#Headers],[Company]],31)</f>
        <v>Phosphorus - Generic</v>
      </c>
      <c r="T142" s="109" cm="1">
        <f t="array" ref="T142">Common_InputFunctions.Utility_DisplayArrayInTable(Fertiliser_SourceData.Fertiliser_Products_Data2(), FertiliserProducts[[#Headers],[Company]],31)</f>
        <v>0.05</v>
      </c>
      <c r="U142" s="109" t="str" cm="1">
        <f t="array" ref="U142">Common_InputFunctions.Utility_DisplayArrayInTable(Fertiliser_SourceData.Fertiliser_Products_Data2(), FertiliserProducts[[#Headers],[Company]],31)</f>
        <v>Potassium - Generic</v>
      </c>
      <c r="V142" s="109" cm="1">
        <f t="array" ref="V142">Common_InputFunctions.Utility_DisplayArrayInTable(Fertiliser_SourceData.Fertiliser_Products_Data2(), FertiliserProducts[[#Headers],[Company]],31)</f>
        <v>0.15</v>
      </c>
      <c r="W142" s="109" t="str" cm="1">
        <f t="array" ref="W142">Common_InputFunctions.Utility_DisplayArrayInTable(Fertiliser_SourceData.Fertiliser_Products_Data2(), FertiliserProducts[[#Headers],[Company]],31)</f>
        <v>Sulfur - Generic</v>
      </c>
      <c r="X142" s="109" cm="1">
        <f t="array" ref="X142">Common_InputFunctions.Utility_DisplayArrayInTable(Fertiliser_SourceData.Fertiliser_Products_Data2(), FertiliserProducts[[#Headers],[Company]],31)</f>
        <v>0.08</v>
      </c>
      <c r="Y142" s="109" t="str" cm="1">
        <f t="array" ref="Y142">Common_InputFunctions.Utility_DisplayArrayInTable(Fertiliser_SourceData.Fertiliser_Products_Data2(), FertiliserProducts[[#Headers],[Company]],31)</f>
        <v>Magnesium</v>
      </c>
      <c r="Z142" s="109" cm="1">
        <f t="array" ref="Z142">Common_InputFunctions.Utility_DisplayArrayInTable(Fertiliser_SourceData.Fertiliser_Products_Data2(), FertiliserProducts[[#Headers],[Company]],31)</f>
        <v>1.6E-2</v>
      </c>
      <c r="AA142" s="109" t="str" cm="1">
        <f t="array" ref="AA142">Common_InputFunctions.Utility_DisplayArrayInTable(Fertiliser_SourceData.Fertiliser_Products_Data2(), FertiliserProducts[[#Headers],[Company]],31)</f>
        <v>Zinc</v>
      </c>
      <c r="AB142" s="109" cm="1">
        <f t="array" ref="AB142">Common_InputFunctions.Utility_DisplayArrayInTable(Fertiliser_SourceData.Fertiliser_Products_Data2(), FertiliserProducts[[#Headers],[Company]],31)</f>
        <v>2.0000000000000001E-4</v>
      </c>
      <c r="AC142" s="109" t="str" cm="1">
        <f t="array" ref="AC142">Common_InputFunctions.Utility_DisplayArrayInTable(Fertiliser_SourceData.Fertiliser_Products_Data2(), FertiliserProducts[[#Headers],[Company]],31)</f>
        <v>Boron</v>
      </c>
      <c r="AD142" s="109" cm="1">
        <f t="array" ref="AD142">Common_InputFunctions.Utility_DisplayArrayInTable(Fertiliser_SourceData.Fertiliser_Products_Data2(), FertiliserProducts[[#Headers],[Company]],31)</f>
        <v>1.4999999999999999E-4</v>
      </c>
      <c r="AE142" s="109" t="str" cm="1">
        <f t="array" ref="AE142">Common_InputFunctions.Utility_DisplayArrayInTable(Fertiliser_SourceData.Fertiliser_Products_Data2(), FertiliserProducts[[#Headers],[Company]],31)</f>
        <v/>
      </c>
      <c r="AF142" s="109" t="str" cm="1">
        <f t="array" ref="AF142">Common_InputFunctions.Utility_DisplayArrayInTable(Fertiliser_SourceData.Fertiliser_Products_Data2(), FertiliserProducts[[#Headers],[Company]],31)</f>
        <v/>
      </c>
      <c r="AG142" s="109" t="str" cm="1">
        <f t="array" ref="AG142">Common_InputFunctions.Utility_DisplayArrayInTable(Fertiliser_SourceData.Fertiliser_Products_Data2(), FertiliserProducts[[#Headers],[Company]],31)</f>
        <v/>
      </c>
      <c r="AH142" s="109"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09" t="str" cm="1">
        <f t="array" ref="D143">Common_InputFunctions.Utility_DisplayArrayInTable(Fertiliser_SourceData.Fertiliser_Products_Data2(), FertiliserProducts[[#Headers],[Company]],31)</f>
        <v>Yara Australia</v>
      </c>
      <c r="E143" s="109" t="str" cm="1">
        <f t="array" ref="E143">Common_InputFunctions.Utility_DisplayArrayInTable(Fertiliser_SourceData.Fertiliser_Products_Data2(), FertiliserProducts[[#Headers],[Company]],31)</f>
        <v>YaraRega 9-0-30 (14)</v>
      </c>
      <c r="F143" s="109" t="str" cm="1">
        <f t="array" ref="F143">Common_InputFunctions.Utility_DisplayArrayInTable(Fertiliser_SourceData.Fertiliser_Products_Data2(), FertiliserProducts[[#Headers],[Company]],31)</f>
        <v>kg</v>
      </c>
      <c r="G143" s="109" cm="1">
        <f t="array" ref="G143">Common_InputFunctions.Utility_DisplayArrayInTable(Fertiliser_SourceData.Fertiliser_Products_Data2(), FertiliserProducts[[#Headers],[Company]],31)</f>
        <v>1</v>
      </c>
      <c r="H143" s="109" t="str" cm="1">
        <f t="array" ref="H143">Common_InputFunctions.Utility_DisplayArrayInTable(Fertiliser_SourceData.Fertiliser_Products_Data2(), FertiliserProducts[[#Headers],[Company]],31)</f>
        <v/>
      </c>
      <c r="I143" s="109" t="str" cm="1">
        <f t="array" ref="I143">Common_InputFunctions.Utility_DisplayArrayInTable(Fertiliser_SourceData.Fertiliser_Products_Data2(), FertiliserProducts[[#Headers],[Company]],31)</f>
        <v/>
      </c>
      <c r="J143" s="109" t="str" cm="1">
        <f t="array" ref="J143">Common_InputFunctions.Utility_DisplayArrayInTable(Fertiliser_SourceData.Fertiliser_Products_Data2(), FertiliserProducts[[#Headers],[Company]],31)</f>
        <v/>
      </c>
      <c r="K143" s="109" cm="1">
        <f t="array" ref="K143">Common_InputFunctions.Utility_DisplayArrayInTable(Fertiliser_SourceData.Fertiliser_Products_Data2(), FertiliserProducts[[#Headers],[Company]],31)</f>
        <v>9</v>
      </c>
      <c r="L143" s="109" t="str" cm="1">
        <f t="array" ref="L143">Common_InputFunctions.Utility_DisplayArrayInTable(Fertiliser_SourceData.Fertiliser_Products_Data2(), FertiliserProducts[[#Headers],[Company]],31)</f>
        <v/>
      </c>
      <c r="M143" s="109" cm="1">
        <f t="array" ref="M143">Common_InputFunctions.Utility_DisplayArrayInTable(Fertiliser_SourceData.Fertiliser_Products_Data2(), FertiliserProducts[[#Headers],[Company]],31)</f>
        <v>30</v>
      </c>
      <c r="N143" s="109" cm="1">
        <f t="array" ref="N143">Common_InputFunctions.Utility_DisplayArrayInTable(Fertiliser_SourceData.Fertiliser_Products_Data2(), FertiliserProducts[[#Headers],[Company]],31)</f>
        <v>14</v>
      </c>
      <c r="O143" s="109" t="str" cm="1">
        <f t="array" ref="O143">Common_InputFunctions.Utility_DisplayArrayInTable(Fertiliser_SourceData.Fertiliser_Products_Data2(), FertiliserProducts[[#Headers],[Company]],31)</f>
        <v>Potassium - Generic</v>
      </c>
      <c r="P143" s="109" cm="1">
        <f t="array" ref="P143">Common_InputFunctions.Utility_DisplayArrayInTable(Fertiliser_SourceData.Fertiliser_Products_Data2(), FertiliserProducts[[#Headers],[Company]],31)</f>
        <v>0.3</v>
      </c>
      <c r="Q143" s="109" t="str" cm="1">
        <f t="array" ref="Q143">Common_InputFunctions.Utility_DisplayArrayInTable(Fertiliser_SourceData.Fertiliser_Products_Data2(), FertiliserProducts[[#Headers],[Company]],31)</f>
        <v>Sulfur - Generic</v>
      </c>
      <c r="R143" s="109" cm="1">
        <f t="array" ref="R143">Common_InputFunctions.Utility_DisplayArrayInTable(Fertiliser_SourceData.Fertiliser_Products_Data2(), FertiliserProducts[[#Headers],[Company]],31)</f>
        <v>0.14000000000000001</v>
      </c>
      <c r="S143" s="109" t="str" cm="1">
        <f t="array" ref="S143">Common_InputFunctions.Utility_DisplayArrayInTable(Fertiliser_SourceData.Fertiliser_Products_Data2(), FertiliserProducts[[#Headers],[Company]],31)</f>
        <v>Nitrogen - Nitrate</v>
      </c>
      <c r="T143" s="109" cm="1">
        <f t="array" ref="T143">Common_InputFunctions.Utility_DisplayArrayInTable(Fertiliser_SourceData.Fertiliser_Products_Data2(), FertiliserProducts[[#Headers],[Company]],31)</f>
        <v>4.4999999999999998E-2</v>
      </c>
      <c r="U143" s="109" t="str" cm="1">
        <f t="array" ref="U143">Common_InputFunctions.Utility_DisplayArrayInTable(Fertiliser_SourceData.Fertiliser_Products_Data2(), FertiliserProducts[[#Headers],[Company]],31)</f>
        <v>Nitrogen - Ammoniacal</v>
      </c>
      <c r="V143" s="109" cm="1">
        <f t="array" ref="V143">Common_InputFunctions.Utility_DisplayArrayInTable(Fertiliser_SourceData.Fertiliser_Products_Data2(), FertiliserProducts[[#Headers],[Company]],31)</f>
        <v>4.4999999999999998E-2</v>
      </c>
      <c r="W143" s="109" t="str" cm="1">
        <f t="array" ref="W143">Common_InputFunctions.Utility_DisplayArrayInTable(Fertiliser_SourceData.Fertiliser_Products_Data2(), FertiliserProducts[[#Headers],[Company]],31)</f>
        <v/>
      </c>
      <c r="X143" s="109" t="str" cm="1">
        <f t="array" ref="X143">Common_InputFunctions.Utility_DisplayArrayInTable(Fertiliser_SourceData.Fertiliser_Products_Data2(), FertiliserProducts[[#Headers],[Company]],31)</f>
        <v/>
      </c>
      <c r="Y143" s="109" t="str" cm="1">
        <f t="array" ref="Y143">Common_InputFunctions.Utility_DisplayArrayInTable(Fertiliser_SourceData.Fertiliser_Products_Data2(), FertiliserProducts[[#Headers],[Company]],31)</f>
        <v/>
      </c>
      <c r="Z143" s="109" t="str" cm="1">
        <f t="array" ref="Z143">Common_InputFunctions.Utility_DisplayArrayInTable(Fertiliser_SourceData.Fertiliser_Products_Data2(), FertiliserProducts[[#Headers],[Company]],31)</f>
        <v/>
      </c>
      <c r="AA143" s="109" t="str" cm="1">
        <f t="array" ref="AA143">Common_InputFunctions.Utility_DisplayArrayInTable(Fertiliser_SourceData.Fertiliser_Products_Data2(), FertiliserProducts[[#Headers],[Company]],31)</f>
        <v/>
      </c>
      <c r="AB143" s="109" t="str" cm="1">
        <f t="array" ref="AB143">Common_InputFunctions.Utility_DisplayArrayInTable(Fertiliser_SourceData.Fertiliser_Products_Data2(), FertiliserProducts[[#Headers],[Company]],31)</f>
        <v/>
      </c>
      <c r="AC143" s="109" t="str" cm="1">
        <f t="array" ref="AC143">Common_InputFunctions.Utility_DisplayArrayInTable(Fertiliser_SourceData.Fertiliser_Products_Data2(), FertiliserProducts[[#Headers],[Company]],31)</f>
        <v/>
      </c>
      <c r="AD143" s="109" t="str" cm="1">
        <f t="array" ref="AD143">Common_InputFunctions.Utility_DisplayArrayInTable(Fertiliser_SourceData.Fertiliser_Products_Data2(), FertiliserProducts[[#Headers],[Company]],31)</f>
        <v/>
      </c>
      <c r="AE143" s="109" t="str" cm="1">
        <f t="array" ref="AE143">Common_InputFunctions.Utility_DisplayArrayInTable(Fertiliser_SourceData.Fertiliser_Products_Data2(), FertiliserProducts[[#Headers],[Company]],31)</f>
        <v/>
      </c>
      <c r="AF143" s="109" t="str" cm="1">
        <f t="array" ref="AF143">Common_InputFunctions.Utility_DisplayArrayInTable(Fertiliser_SourceData.Fertiliser_Products_Data2(), FertiliserProducts[[#Headers],[Company]],31)</f>
        <v/>
      </c>
      <c r="AG143" s="109" t="str" cm="1">
        <f t="array" ref="AG143">Common_InputFunctions.Utility_DisplayArrayInTable(Fertiliser_SourceData.Fertiliser_Products_Data2(), FertiliserProducts[[#Headers],[Company]],31)</f>
        <v/>
      </c>
      <c r="AH143" s="109"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09" t="str" cm="1">
        <f t="array" ref="D144">Common_InputFunctions.Utility_DisplayArrayInTable(Fertiliser_SourceData.Fertiliser_Products_Data2(), FertiliserProducts[[#Headers],[Company]],31)</f>
        <v>Yara Australia</v>
      </c>
      <c r="E144" s="109" t="str" cm="1">
        <f t="array" ref="E144">Common_InputFunctions.Utility_DisplayArrayInTable(Fertiliser_SourceData.Fertiliser_Products_Data2(), FertiliserProducts[[#Headers],[Company]],31)</f>
        <v>YaraRega 13-2-21</v>
      </c>
      <c r="F144" s="109" t="str" cm="1">
        <f t="array" ref="F144">Common_InputFunctions.Utility_DisplayArrayInTable(Fertiliser_SourceData.Fertiliser_Products_Data2(), FertiliserProducts[[#Headers],[Company]],31)</f>
        <v>kg</v>
      </c>
      <c r="G144" s="109" cm="1">
        <f t="array" ref="G144">Common_InputFunctions.Utility_DisplayArrayInTable(Fertiliser_SourceData.Fertiliser_Products_Data2(), FertiliserProducts[[#Headers],[Company]],31)</f>
        <v>1</v>
      </c>
      <c r="H144" s="109" t="str" cm="1">
        <f t="array" ref="H144">Common_InputFunctions.Utility_DisplayArrayInTable(Fertiliser_SourceData.Fertiliser_Products_Data2(), FertiliserProducts[[#Headers],[Company]],31)</f>
        <v/>
      </c>
      <c r="I144" s="109" t="str" cm="1">
        <f t="array" ref="I144">Common_InputFunctions.Utility_DisplayArrayInTable(Fertiliser_SourceData.Fertiliser_Products_Data2(), FertiliserProducts[[#Headers],[Company]],31)</f>
        <v/>
      </c>
      <c r="J144" s="109" t="str" cm="1">
        <f t="array" ref="J144">Common_InputFunctions.Utility_DisplayArrayInTable(Fertiliser_SourceData.Fertiliser_Products_Data2(), FertiliserProducts[[#Headers],[Company]],31)</f>
        <v/>
      </c>
      <c r="K144" s="109" cm="1">
        <f t="array" ref="K144">Common_InputFunctions.Utility_DisplayArrayInTable(Fertiliser_SourceData.Fertiliser_Products_Data2(), FertiliserProducts[[#Headers],[Company]],31)</f>
        <v>13</v>
      </c>
      <c r="L144" s="109" cm="1">
        <f t="array" ref="L144">Common_InputFunctions.Utility_DisplayArrayInTable(Fertiliser_SourceData.Fertiliser_Products_Data2(), FertiliserProducts[[#Headers],[Company]],31)</f>
        <v>1.75</v>
      </c>
      <c r="M144" s="109" cm="1">
        <f t="array" ref="M144">Common_InputFunctions.Utility_DisplayArrayInTable(Fertiliser_SourceData.Fertiliser_Products_Data2(), FertiliserProducts[[#Headers],[Company]],31)</f>
        <v>21</v>
      </c>
      <c r="N144" s="109" cm="1">
        <f t="array" ref="N144">Common_InputFunctions.Utility_DisplayArrayInTable(Fertiliser_SourceData.Fertiliser_Products_Data2(), FertiliserProducts[[#Headers],[Company]],31)</f>
        <v>10.8</v>
      </c>
      <c r="O144" s="109" t="str" cm="1">
        <f t="array" ref="O144">Common_InputFunctions.Utility_DisplayArrayInTable(Fertiliser_SourceData.Fertiliser_Products_Data2(), FertiliserProducts[[#Headers],[Company]],31)</f>
        <v>Potassium - Generic</v>
      </c>
      <c r="P144" s="109" cm="1">
        <f t="array" ref="P144">Common_InputFunctions.Utility_DisplayArrayInTable(Fertiliser_SourceData.Fertiliser_Products_Data2(), FertiliserProducts[[#Headers],[Company]],31)</f>
        <v>0.21</v>
      </c>
      <c r="Q144" s="109" t="str" cm="1">
        <f t="array" ref="Q144">Common_InputFunctions.Utility_DisplayArrayInTable(Fertiliser_SourceData.Fertiliser_Products_Data2(), FertiliserProducts[[#Headers],[Company]],31)</f>
        <v>Sulfur - Generic</v>
      </c>
      <c r="R144" s="109" cm="1">
        <f t="array" ref="R144">Common_InputFunctions.Utility_DisplayArrayInTable(Fertiliser_SourceData.Fertiliser_Products_Data2(), FertiliserProducts[[#Headers],[Company]],31)</f>
        <v>0.108</v>
      </c>
      <c r="S144" s="109" t="str" cm="1">
        <f t="array" ref="S144">Common_InputFunctions.Utility_DisplayArrayInTable(Fertiliser_SourceData.Fertiliser_Products_Data2(), FertiliserProducts[[#Headers],[Company]],31)</f>
        <v>Nitrogen - Ammoniacal</v>
      </c>
      <c r="T144" s="109" cm="1">
        <f t="array" ref="T144">Common_InputFunctions.Utility_DisplayArrayInTable(Fertiliser_SourceData.Fertiliser_Products_Data2(), FertiliserProducts[[#Headers],[Company]],31)</f>
        <v>7.6999999999999999E-2</v>
      </c>
      <c r="U144" s="109" t="str" cm="1">
        <f t="array" ref="U144">Common_InputFunctions.Utility_DisplayArrayInTable(Fertiliser_SourceData.Fertiliser_Products_Data2(), FertiliserProducts[[#Headers],[Company]],31)</f>
        <v>Nitrogen - Nitrate</v>
      </c>
      <c r="V144" s="109" cm="1">
        <f t="array" ref="V144">Common_InputFunctions.Utility_DisplayArrayInTable(Fertiliser_SourceData.Fertiliser_Products_Data2(), FertiliserProducts[[#Headers],[Company]],31)</f>
        <v>5.2999999999999999E-2</v>
      </c>
      <c r="W144" s="109" t="str" cm="1">
        <f t="array" ref="W144">Common_InputFunctions.Utility_DisplayArrayInTable(Fertiliser_SourceData.Fertiliser_Products_Data2(), FertiliserProducts[[#Headers],[Company]],31)</f>
        <v>Phosphorus - Generic</v>
      </c>
      <c r="X144" s="109" cm="1">
        <f t="array" ref="X144">Common_InputFunctions.Utility_DisplayArrayInTable(Fertiliser_SourceData.Fertiliser_Products_Data2(), FertiliserProducts[[#Headers],[Company]],31)</f>
        <v>1.7500000000000002E-2</v>
      </c>
      <c r="Y144" s="109" t="str" cm="1">
        <f t="array" ref="Y144">Common_InputFunctions.Utility_DisplayArrayInTable(Fertiliser_SourceData.Fertiliser_Products_Data2(), FertiliserProducts[[#Headers],[Company]],31)</f>
        <v>Magnesium</v>
      </c>
      <c r="Z144" s="109" cm="1">
        <f t="array" ref="Z144">Common_InputFunctions.Utility_DisplayArrayInTable(Fertiliser_SourceData.Fertiliser_Products_Data2(), FertiliserProducts[[#Headers],[Company]],31)</f>
        <v>4.0000000000000001E-3</v>
      </c>
      <c r="AA144" s="109" t="str" cm="1">
        <f t="array" ref="AA144">Common_InputFunctions.Utility_DisplayArrayInTable(Fertiliser_SourceData.Fertiliser_Products_Data2(), FertiliserProducts[[#Headers],[Company]],31)</f>
        <v>Zinc</v>
      </c>
      <c r="AB144" s="109" cm="1">
        <f t="array" ref="AB144">Common_InputFunctions.Utility_DisplayArrayInTable(Fertiliser_SourceData.Fertiliser_Products_Data2(), FertiliserProducts[[#Headers],[Company]],31)</f>
        <v>8.0000000000000004E-4</v>
      </c>
      <c r="AC144" s="109" t="str" cm="1">
        <f t="array" ref="AC144">Common_InputFunctions.Utility_DisplayArrayInTable(Fertiliser_SourceData.Fertiliser_Products_Data2(), FertiliserProducts[[#Headers],[Company]],31)</f>
        <v>Boron</v>
      </c>
      <c r="AD144" s="109" cm="1">
        <f t="array" ref="AD144">Common_InputFunctions.Utility_DisplayArrayInTable(Fertiliser_SourceData.Fertiliser_Products_Data2(), FertiliserProducts[[#Headers],[Company]],31)</f>
        <v>8.0000000000000004E-4</v>
      </c>
      <c r="AE144" s="109" t="str" cm="1">
        <f t="array" ref="AE144">Common_InputFunctions.Utility_DisplayArrayInTable(Fertiliser_SourceData.Fertiliser_Products_Data2(), FertiliserProducts[[#Headers],[Company]],31)</f>
        <v/>
      </c>
      <c r="AF144" s="109" t="str" cm="1">
        <f t="array" ref="AF144">Common_InputFunctions.Utility_DisplayArrayInTable(Fertiliser_SourceData.Fertiliser_Products_Data2(), FertiliserProducts[[#Headers],[Company]],31)</f>
        <v/>
      </c>
      <c r="AG144" s="109" t="str" cm="1">
        <f t="array" ref="AG144">Common_InputFunctions.Utility_DisplayArrayInTable(Fertiliser_SourceData.Fertiliser_Products_Data2(), FertiliserProducts[[#Headers],[Company]],31)</f>
        <v/>
      </c>
      <c r="AH144" s="109"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09" t="str" cm="1">
        <f t="array" ref="D145">Common_InputFunctions.Utility_DisplayArrayInTable(Fertiliser_SourceData.Fertiliser_Products_Data2(), FertiliserProducts[[#Headers],[Company]],31)</f>
        <v>Yara Australia</v>
      </c>
      <c r="E145" s="109" t="str" cm="1">
        <f t="array" ref="E145">Common_InputFunctions.Utility_DisplayArrayInTable(Fertiliser_SourceData.Fertiliser_Products_Data2(), FertiliserProducts[[#Headers],[Company]],31)</f>
        <v>YaraRega 15-7-13 (7S)</v>
      </c>
      <c r="F145" s="109" t="str" cm="1">
        <f t="array" ref="F145">Common_InputFunctions.Utility_DisplayArrayInTable(Fertiliser_SourceData.Fertiliser_Products_Data2(), FertiliserProducts[[#Headers],[Company]],31)</f>
        <v>kg</v>
      </c>
      <c r="G145" s="109" cm="1">
        <f t="array" ref="G145">Common_InputFunctions.Utility_DisplayArrayInTable(Fertiliser_SourceData.Fertiliser_Products_Data2(), FertiliserProducts[[#Headers],[Company]],31)</f>
        <v>1</v>
      </c>
      <c r="H145" s="109" t="str" cm="1">
        <f t="array" ref="H145">Common_InputFunctions.Utility_DisplayArrayInTable(Fertiliser_SourceData.Fertiliser_Products_Data2(), FertiliserProducts[[#Headers],[Company]],31)</f>
        <v/>
      </c>
      <c r="I145" s="109" t="str" cm="1">
        <f t="array" ref="I145">Common_InputFunctions.Utility_DisplayArrayInTable(Fertiliser_SourceData.Fertiliser_Products_Data2(), FertiliserProducts[[#Headers],[Company]],31)</f>
        <v/>
      </c>
      <c r="J145" s="109" t="str" cm="1">
        <f t="array" ref="J145">Common_InputFunctions.Utility_DisplayArrayInTable(Fertiliser_SourceData.Fertiliser_Products_Data2(), FertiliserProducts[[#Headers],[Company]],31)</f>
        <v/>
      </c>
      <c r="K145" s="109" cm="1">
        <f t="array" ref="K145">Common_InputFunctions.Utility_DisplayArrayInTable(Fertiliser_SourceData.Fertiliser_Products_Data2(), FertiliserProducts[[#Headers],[Company]],31)</f>
        <v>15</v>
      </c>
      <c r="L145" s="109" cm="1">
        <f t="array" ref="L145">Common_InputFunctions.Utility_DisplayArrayInTable(Fertiliser_SourceData.Fertiliser_Products_Data2(), FertiliserProducts[[#Headers],[Company]],31)</f>
        <v>6.5</v>
      </c>
      <c r="M145" s="109" cm="1">
        <f t="array" ref="M145">Common_InputFunctions.Utility_DisplayArrayInTable(Fertiliser_SourceData.Fertiliser_Products_Data2(), FertiliserProducts[[#Headers],[Company]],31)</f>
        <v>12.5</v>
      </c>
      <c r="N145" s="109" cm="1">
        <f t="array" ref="N145">Common_InputFunctions.Utility_DisplayArrayInTable(Fertiliser_SourceData.Fertiliser_Products_Data2(), FertiliserProducts[[#Headers],[Company]],31)</f>
        <v>7.2</v>
      </c>
      <c r="O145" s="109" t="str" cm="1">
        <f t="array" ref="O145">Common_InputFunctions.Utility_DisplayArrayInTable(Fertiliser_SourceData.Fertiliser_Products_Data2(), FertiliserProducts[[#Headers],[Company]],31)</f>
        <v>Nitrogen - Nitrate</v>
      </c>
      <c r="P145" s="109" cm="1">
        <f t="array" ref="P145">Common_InputFunctions.Utility_DisplayArrayInTable(Fertiliser_SourceData.Fertiliser_Products_Data2(), FertiliserProducts[[#Headers],[Company]],31)</f>
        <v>9.5000000000000001E-2</v>
      </c>
      <c r="Q145" s="109" t="str" cm="1">
        <f t="array" ref="Q145">Common_InputFunctions.Utility_DisplayArrayInTable(Fertiliser_SourceData.Fertiliser_Products_Data2(), FertiliserProducts[[#Headers],[Company]],31)</f>
        <v>Potassium - Generic</v>
      </c>
      <c r="R145" s="109" cm="1">
        <f t="array" ref="R145">Common_InputFunctions.Utility_DisplayArrayInTable(Fertiliser_SourceData.Fertiliser_Products_Data2(), FertiliserProducts[[#Headers],[Company]],31)</f>
        <v>0.125</v>
      </c>
      <c r="S145" s="109" t="str" cm="1">
        <f t="array" ref="S145">Common_InputFunctions.Utility_DisplayArrayInTable(Fertiliser_SourceData.Fertiliser_Products_Data2(), FertiliserProducts[[#Headers],[Company]],31)</f>
        <v>Sulfur - Generic</v>
      </c>
      <c r="T145" s="109" cm="1">
        <f t="array" ref="T145">Common_InputFunctions.Utility_DisplayArrayInTable(Fertiliser_SourceData.Fertiliser_Products_Data2(), FertiliserProducts[[#Headers],[Company]],31)</f>
        <v>7.1999999999999995E-2</v>
      </c>
      <c r="U145" s="109" t="str" cm="1">
        <f t="array" ref="U145">Common_InputFunctions.Utility_DisplayArrayInTable(Fertiliser_SourceData.Fertiliser_Products_Data2(), FertiliserProducts[[#Headers],[Company]],31)</f>
        <v>Phosphorus - Generic</v>
      </c>
      <c r="V145" s="109" cm="1">
        <f t="array" ref="V145">Common_InputFunctions.Utility_DisplayArrayInTable(Fertiliser_SourceData.Fertiliser_Products_Data2(), FertiliserProducts[[#Headers],[Company]],31)</f>
        <v>6.5000000000000002E-2</v>
      </c>
      <c r="W145" s="109" t="str" cm="1">
        <f t="array" ref="W145">Common_InputFunctions.Utility_DisplayArrayInTable(Fertiliser_SourceData.Fertiliser_Products_Data2(), FertiliserProducts[[#Headers],[Company]],31)</f>
        <v>Nitrogen - Ammoniacal</v>
      </c>
      <c r="X145" s="109" cm="1">
        <f t="array" ref="X145">Common_InputFunctions.Utility_DisplayArrayInTable(Fertiliser_SourceData.Fertiliser_Products_Data2(), FertiliserProducts[[#Headers],[Company]],31)</f>
        <v>5.5E-2</v>
      </c>
      <c r="Y145" s="109" t="str" cm="1">
        <f t="array" ref="Y145">Common_InputFunctions.Utility_DisplayArrayInTable(Fertiliser_SourceData.Fertiliser_Products_Data2(), FertiliserProducts[[#Headers],[Company]],31)</f>
        <v>Magnesium</v>
      </c>
      <c r="Z145" s="109" cm="1">
        <f t="array" ref="Z145">Common_InputFunctions.Utility_DisplayArrayInTable(Fertiliser_SourceData.Fertiliser_Products_Data2(), FertiliserProducts[[#Headers],[Company]],31)</f>
        <v>6.6E-3</v>
      </c>
      <c r="AA145" s="109" t="str" cm="1">
        <f t="array" ref="AA145">Common_InputFunctions.Utility_DisplayArrayInTable(Fertiliser_SourceData.Fertiliser_Products_Data2(), FertiliserProducts[[#Headers],[Company]],31)</f>
        <v>Boron</v>
      </c>
      <c r="AB145" s="109" cm="1">
        <f t="array" ref="AB145">Common_InputFunctions.Utility_DisplayArrayInTable(Fertiliser_SourceData.Fertiliser_Products_Data2(), FertiliserProducts[[#Headers],[Company]],31)</f>
        <v>1E-3</v>
      </c>
      <c r="AC145" s="109" t="str" cm="1">
        <f t="array" ref="AC145">Common_InputFunctions.Utility_DisplayArrayInTable(Fertiliser_SourceData.Fertiliser_Products_Data2(), FertiliserProducts[[#Headers],[Company]],31)</f>
        <v>Zinc</v>
      </c>
      <c r="AD145" s="109" cm="1">
        <f t="array" ref="AD145">Common_InputFunctions.Utility_DisplayArrayInTable(Fertiliser_SourceData.Fertiliser_Products_Data2(), FertiliserProducts[[#Headers],[Company]],31)</f>
        <v>5.9999999999999995E-4</v>
      </c>
      <c r="AE145" s="109" t="str" cm="1">
        <f t="array" ref="AE145">Common_InputFunctions.Utility_DisplayArrayInTable(Fertiliser_SourceData.Fertiliser_Products_Data2(), FertiliserProducts[[#Headers],[Company]],31)</f>
        <v/>
      </c>
      <c r="AF145" s="109" t="str" cm="1">
        <f t="array" ref="AF145">Common_InputFunctions.Utility_DisplayArrayInTable(Fertiliser_SourceData.Fertiliser_Products_Data2(), FertiliserProducts[[#Headers],[Company]],31)</f>
        <v/>
      </c>
      <c r="AG145" s="109" t="str" cm="1">
        <f t="array" ref="AG145">Common_InputFunctions.Utility_DisplayArrayInTable(Fertiliser_SourceData.Fertiliser_Products_Data2(), FertiliserProducts[[#Headers],[Company]],31)</f>
        <v/>
      </c>
      <c r="AH145" s="109"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09" t="str" cm="1">
        <f t="array" ref="D146">Common_InputFunctions.Utility_DisplayArrayInTable(Fertiliser_SourceData.Fertiliser_Products_Data2(), FertiliserProducts[[#Headers],[Company]],31)</f>
        <v>Yara Australia</v>
      </c>
      <c r="E146" s="109" t="str" cm="1">
        <f t="array" ref="E146">Common_InputFunctions.Utility_DisplayArrayInTable(Fertiliser_SourceData.Fertiliser_Products_Data2(), FertiliserProducts[[#Headers],[Company]],31)</f>
        <v>YaraTera CALCINIT B</v>
      </c>
      <c r="F146" s="109" t="str" cm="1">
        <f t="array" ref="F146">Common_InputFunctions.Utility_DisplayArrayInTable(Fertiliser_SourceData.Fertiliser_Products_Data2(), FertiliserProducts[[#Headers],[Company]],31)</f>
        <v>kg</v>
      </c>
      <c r="G146" s="109" cm="1">
        <f t="array" ref="G146">Common_InputFunctions.Utility_DisplayArrayInTable(Fertiliser_SourceData.Fertiliser_Products_Data2(), FertiliserProducts[[#Headers],[Company]],31)</f>
        <v>1</v>
      </c>
      <c r="H146" s="109" t="str" cm="1">
        <f t="array" ref="H146">Common_InputFunctions.Utility_DisplayArrayInTable(Fertiliser_SourceData.Fertiliser_Products_Data2(), FertiliserProducts[[#Headers],[Company]],31)</f>
        <v/>
      </c>
      <c r="I146" s="109" t="str" cm="1">
        <f t="array" ref="I146">Common_InputFunctions.Utility_DisplayArrayInTable(Fertiliser_SourceData.Fertiliser_Products_Data2(), FertiliserProducts[[#Headers],[Company]],31)</f>
        <v/>
      </c>
      <c r="J146" s="109" t="str" cm="1">
        <f t="array" ref="J146">Common_InputFunctions.Utility_DisplayArrayInTable(Fertiliser_SourceData.Fertiliser_Products_Data2(), FertiliserProducts[[#Headers],[Company]],31)</f>
        <v/>
      </c>
      <c r="K146" s="109" cm="1">
        <f t="array" ref="K146">Common_InputFunctions.Utility_DisplayArrayInTable(Fertiliser_SourceData.Fertiliser_Products_Data2(), FertiliserProducts[[#Headers],[Company]],31)</f>
        <v>15.5</v>
      </c>
      <c r="L146" s="109" t="str" cm="1">
        <f t="array" ref="L146">Common_InputFunctions.Utility_DisplayArrayInTable(Fertiliser_SourceData.Fertiliser_Products_Data2(), FertiliserProducts[[#Headers],[Company]],31)</f>
        <v/>
      </c>
      <c r="M146" s="109" t="str" cm="1">
        <f t="array" ref="M146">Common_InputFunctions.Utility_DisplayArrayInTable(Fertiliser_SourceData.Fertiliser_Products_Data2(), FertiliserProducts[[#Headers],[Company]],31)</f>
        <v/>
      </c>
      <c r="N146" s="109" t="str" cm="1">
        <f t="array" ref="N146">Common_InputFunctions.Utility_DisplayArrayInTable(Fertiliser_SourceData.Fertiliser_Products_Data2(), FertiliserProducts[[#Headers],[Company]],31)</f>
        <v/>
      </c>
      <c r="O146" s="109" t="str" cm="1">
        <f t="array" ref="O146">Common_InputFunctions.Utility_DisplayArrayInTable(Fertiliser_SourceData.Fertiliser_Products_Data2(), FertiliserProducts[[#Headers],[Company]],31)</f>
        <v>Calcium nitrate</v>
      </c>
      <c r="P146" s="109" cm="1">
        <f t="array" ref="P146">Common_InputFunctions.Utility_DisplayArrayInTable(Fertiliser_SourceData.Fertiliser_Products_Data2(), FertiliserProducts[[#Headers],[Company]],31)</f>
        <v>1</v>
      </c>
      <c r="Q146" s="109" t="str" cm="1">
        <f t="array" ref="Q146">Common_InputFunctions.Utility_DisplayArrayInTable(Fertiliser_SourceData.Fertiliser_Products_Data2(), FertiliserProducts[[#Headers],[Company]],31)</f>
        <v>Boron</v>
      </c>
      <c r="R146" s="109" cm="1">
        <f t="array" ref="R146">Common_InputFunctions.Utility_DisplayArrayInTable(Fertiliser_SourceData.Fertiliser_Products_Data2(), FertiliserProducts[[#Headers],[Company]],31)</f>
        <v>1E-3</v>
      </c>
      <c r="S146" s="109" t="str" cm="1">
        <f t="array" ref="S146">Common_InputFunctions.Utility_DisplayArrayInTable(Fertiliser_SourceData.Fertiliser_Products_Data2(), FertiliserProducts[[#Headers],[Company]],31)</f>
        <v/>
      </c>
      <c r="T146" s="109" t="str" cm="1">
        <f t="array" ref="T146">Common_InputFunctions.Utility_DisplayArrayInTable(Fertiliser_SourceData.Fertiliser_Products_Data2(), FertiliserProducts[[#Headers],[Company]],31)</f>
        <v/>
      </c>
      <c r="U146" s="109" t="str" cm="1">
        <f t="array" ref="U146">Common_InputFunctions.Utility_DisplayArrayInTable(Fertiliser_SourceData.Fertiliser_Products_Data2(), FertiliserProducts[[#Headers],[Company]],31)</f>
        <v/>
      </c>
      <c r="V146" s="109" t="str" cm="1">
        <f t="array" ref="V146">Common_InputFunctions.Utility_DisplayArrayInTable(Fertiliser_SourceData.Fertiliser_Products_Data2(), FertiliserProducts[[#Headers],[Company]],31)</f>
        <v/>
      </c>
      <c r="W146" s="109" t="str" cm="1">
        <f t="array" ref="W146">Common_InputFunctions.Utility_DisplayArrayInTable(Fertiliser_SourceData.Fertiliser_Products_Data2(), FertiliserProducts[[#Headers],[Company]],31)</f>
        <v/>
      </c>
      <c r="X146" s="109" t="str" cm="1">
        <f t="array" ref="X146">Common_InputFunctions.Utility_DisplayArrayInTable(Fertiliser_SourceData.Fertiliser_Products_Data2(), FertiliserProducts[[#Headers],[Company]],31)</f>
        <v/>
      </c>
      <c r="Y146" s="109" t="str" cm="1">
        <f t="array" ref="Y146">Common_InputFunctions.Utility_DisplayArrayInTable(Fertiliser_SourceData.Fertiliser_Products_Data2(), FertiliserProducts[[#Headers],[Company]],31)</f>
        <v/>
      </c>
      <c r="Z146" s="109" t="str" cm="1">
        <f t="array" ref="Z146">Common_InputFunctions.Utility_DisplayArrayInTable(Fertiliser_SourceData.Fertiliser_Products_Data2(), FertiliserProducts[[#Headers],[Company]],31)</f>
        <v/>
      </c>
      <c r="AA146" s="109" t="str" cm="1">
        <f t="array" ref="AA146">Common_InputFunctions.Utility_DisplayArrayInTable(Fertiliser_SourceData.Fertiliser_Products_Data2(), FertiliserProducts[[#Headers],[Company]],31)</f>
        <v/>
      </c>
      <c r="AB146" s="109" t="str" cm="1">
        <f t="array" ref="AB146">Common_InputFunctions.Utility_DisplayArrayInTable(Fertiliser_SourceData.Fertiliser_Products_Data2(), FertiliserProducts[[#Headers],[Company]],31)</f>
        <v/>
      </c>
      <c r="AC146" s="109" t="str" cm="1">
        <f t="array" ref="AC146">Common_InputFunctions.Utility_DisplayArrayInTable(Fertiliser_SourceData.Fertiliser_Products_Data2(), FertiliserProducts[[#Headers],[Company]],31)</f>
        <v/>
      </c>
      <c r="AD146" s="109" t="str" cm="1">
        <f t="array" ref="AD146">Common_InputFunctions.Utility_DisplayArrayInTable(Fertiliser_SourceData.Fertiliser_Products_Data2(), FertiliserProducts[[#Headers],[Company]],31)</f>
        <v/>
      </c>
      <c r="AE146" s="109" t="str" cm="1">
        <f t="array" ref="AE146">Common_InputFunctions.Utility_DisplayArrayInTable(Fertiliser_SourceData.Fertiliser_Products_Data2(), FertiliserProducts[[#Headers],[Company]],31)</f>
        <v/>
      </c>
      <c r="AF146" s="109" t="str" cm="1">
        <f t="array" ref="AF146">Common_InputFunctions.Utility_DisplayArrayInTable(Fertiliser_SourceData.Fertiliser_Products_Data2(), FertiliserProducts[[#Headers],[Company]],31)</f>
        <v/>
      </c>
      <c r="AG146" s="109" t="str" cm="1">
        <f t="array" ref="AG146">Common_InputFunctions.Utility_DisplayArrayInTable(Fertiliser_SourceData.Fertiliser_Products_Data2(), FertiliserProducts[[#Headers],[Company]],31)</f>
        <v/>
      </c>
      <c r="AH146" s="109"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09" t="str" cm="1">
        <f t="array" ref="D147">Common_InputFunctions.Utility_DisplayArrayInTable(Fertiliser_SourceData.Fertiliser_Products_Data2(), FertiliserProducts[[#Headers],[Company]],31)</f>
        <v>Yara Australia</v>
      </c>
      <c r="E147" s="109" t="str" cm="1">
        <f t="array" ref="E147">Common_InputFunctions.Utility_DisplayArrayInTable(Fertiliser_SourceData.Fertiliser_Products_Data2(), FertiliserProducts[[#Headers],[Company]],31)</f>
        <v>YaraTera KRISTA MAP</v>
      </c>
      <c r="F147" s="109" t="str" cm="1">
        <f t="array" ref="F147">Common_InputFunctions.Utility_DisplayArrayInTable(Fertiliser_SourceData.Fertiliser_Products_Data2(), FertiliserProducts[[#Headers],[Company]],31)</f>
        <v>kg</v>
      </c>
      <c r="G147" s="109" cm="1">
        <f t="array" ref="G147">Common_InputFunctions.Utility_DisplayArrayInTable(Fertiliser_SourceData.Fertiliser_Products_Data2(), FertiliserProducts[[#Headers],[Company]],31)</f>
        <v>1</v>
      </c>
      <c r="H147" s="109" t="str" cm="1">
        <f t="array" ref="H147">Common_InputFunctions.Utility_DisplayArrayInTable(Fertiliser_SourceData.Fertiliser_Products_Data2(), FertiliserProducts[[#Headers],[Company]],31)</f>
        <v/>
      </c>
      <c r="I147" s="109" t="str" cm="1">
        <f t="array" ref="I147">Common_InputFunctions.Utility_DisplayArrayInTable(Fertiliser_SourceData.Fertiliser_Products_Data2(), FertiliserProducts[[#Headers],[Company]],31)</f>
        <v/>
      </c>
      <c r="J147" s="109" t="str" cm="1">
        <f t="array" ref="J147">Common_InputFunctions.Utility_DisplayArrayInTable(Fertiliser_SourceData.Fertiliser_Products_Data2(), FertiliserProducts[[#Headers],[Company]],31)</f>
        <v/>
      </c>
      <c r="K147" s="109" cm="1">
        <f t="array" ref="K147">Common_InputFunctions.Utility_DisplayArrayInTable(Fertiliser_SourceData.Fertiliser_Products_Data2(), FertiliserProducts[[#Headers],[Company]],31)</f>
        <v>10</v>
      </c>
      <c r="L147" s="109" cm="1">
        <f t="array" ref="L147">Common_InputFunctions.Utility_DisplayArrayInTable(Fertiliser_SourceData.Fertiliser_Products_Data2(), FertiliserProducts[[#Headers],[Company]],31)</f>
        <v>21.9</v>
      </c>
      <c r="M147" s="109" t="str" cm="1">
        <f t="array" ref="M147">Common_InputFunctions.Utility_DisplayArrayInTable(Fertiliser_SourceData.Fertiliser_Products_Data2(), FertiliserProducts[[#Headers],[Company]],31)</f>
        <v/>
      </c>
      <c r="N147" s="109" t="str" cm="1">
        <f t="array" ref="N147">Common_InputFunctions.Utility_DisplayArrayInTable(Fertiliser_SourceData.Fertiliser_Products_Data2(), FertiliserProducts[[#Headers],[Company]],31)</f>
        <v/>
      </c>
      <c r="O147" s="109" t="str" cm="1">
        <f t="array" ref="O147">Common_InputFunctions.Utility_DisplayArrayInTable(Fertiliser_SourceData.Fertiliser_Products_Data2(), FertiliserProducts[[#Headers],[Company]],31)</f>
        <v>Monoammonium phosphate (MAP)</v>
      </c>
      <c r="P147" s="109" cm="1">
        <f t="array" ref="P147">Common_InputFunctions.Utility_DisplayArrayInTable(Fertiliser_SourceData.Fertiliser_Products_Data2(), FertiliserProducts[[#Headers],[Company]],31)</f>
        <v>1</v>
      </c>
      <c r="Q147" s="109" t="str" cm="1">
        <f t="array" ref="Q147">Common_InputFunctions.Utility_DisplayArrayInTable(Fertiliser_SourceData.Fertiliser_Products_Data2(), FertiliserProducts[[#Headers],[Company]],31)</f>
        <v/>
      </c>
      <c r="R147" s="109" t="str" cm="1">
        <f t="array" ref="R147">Common_InputFunctions.Utility_DisplayArrayInTable(Fertiliser_SourceData.Fertiliser_Products_Data2(), FertiliserProducts[[#Headers],[Company]],31)</f>
        <v/>
      </c>
      <c r="S147" s="109" t="str" cm="1">
        <f t="array" ref="S147">Common_InputFunctions.Utility_DisplayArrayInTable(Fertiliser_SourceData.Fertiliser_Products_Data2(), FertiliserProducts[[#Headers],[Company]],31)</f>
        <v/>
      </c>
      <c r="T147" s="109" t="str" cm="1">
        <f t="array" ref="T147">Common_InputFunctions.Utility_DisplayArrayInTable(Fertiliser_SourceData.Fertiliser_Products_Data2(), FertiliserProducts[[#Headers],[Company]],31)</f>
        <v/>
      </c>
      <c r="U147" s="109" t="str" cm="1">
        <f t="array" ref="U147">Common_InputFunctions.Utility_DisplayArrayInTable(Fertiliser_SourceData.Fertiliser_Products_Data2(), FertiliserProducts[[#Headers],[Company]],31)</f>
        <v/>
      </c>
      <c r="V147" s="109" t="str" cm="1">
        <f t="array" ref="V147">Common_InputFunctions.Utility_DisplayArrayInTable(Fertiliser_SourceData.Fertiliser_Products_Data2(), FertiliserProducts[[#Headers],[Company]],31)</f>
        <v/>
      </c>
      <c r="W147" s="109" t="str" cm="1">
        <f t="array" ref="W147">Common_InputFunctions.Utility_DisplayArrayInTable(Fertiliser_SourceData.Fertiliser_Products_Data2(), FertiliserProducts[[#Headers],[Company]],31)</f>
        <v/>
      </c>
      <c r="X147" s="109" t="str" cm="1">
        <f t="array" ref="X147">Common_InputFunctions.Utility_DisplayArrayInTable(Fertiliser_SourceData.Fertiliser_Products_Data2(), FertiliserProducts[[#Headers],[Company]],31)</f>
        <v/>
      </c>
      <c r="Y147" s="109" t="str" cm="1">
        <f t="array" ref="Y147">Common_InputFunctions.Utility_DisplayArrayInTable(Fertiliser_SourceData.Fertiliser_Products_Data2(), FertiliserProducts[[#Headers],[Company]],31)</f>
        <v/>
      </c>
      <c r="Z147" s="109" t="str" cm="1">
        <f t="array" ref="Z147">Common_InputFunctions.Utility_DisplayArrayInTable(Fertiliser_SourceData.Fertiliser_Products_Data2(), FertiliserProducts[[#Headers],[Company]],31)</f>
        <v/>
      </c>
      <c r="AA147" s="109" t="str" cm="1">
        <f t="array" ref="AA147">Common_InputFunctions.Utility_DisplayArrayInTable(Fertiliser_SourceData.Fertiliser_Products_Data2(), FertiliserProducts[[#Headers],[Company]],31)</f>
        <v/>
      </c>
      <c r="AB147" s="109" t="str" cm="1">
        <f t="array" ref="AB147">Common_InputFunctions.Utility_DisplayArrayInTable(Fertiliser_SourceData.Fertiliser_Products_Data2(), FertiliserProducts[[#Headers],[Company]],31)</f>
        <v/>
      </c>
      <c r="AC147" s="109" t="str" cm="1">
        <f t="array" ref="AC147">Common_InputFunctions.Utility_DisplayArrayInTable(Fertiliser_SourceData.Fertiliser_Products_Data2(), FertiliserProducts[[#Headers],[Company]],31)</f>
        <v/>
      </c>
      <c r="AD147" s="109" t="str" cm="1">
        <f t="array" ref="AD147">Common_InputFunctions.Utility_DisplayArrayInTable(Fertiliser_SourceData.Fertiliser_Products_Data2(), FertiliserProducts[[#Headers],[Company]],31)</f>
        <v/>
      </c>
      <c r="AE147" s="109" t="str" cm="1">
        <f t="array" ref="AE147">Common_InputFunctions.Utility_DisplayArrayInTable(Fertiliser_SourceData.Fertiliser_Products_Data2(), FertiliserProducts[[#Headers],[Company]],31)</f>
        <v/>
      </c>
      <c r="AF147" s="109" t="str" cm="1">
        <f t="array" ref="AF147">Common_InputFunctions.Utility_DisplayArrayInTable(Fertiliser_SourceData.Fertiliser_Products_Data2(), FertiliserProducts[[#Headers],[Company]],31)</f>
        <v/>
      </c>
      <c r="AG147" s="109" t="str" cm="1">
        <f t="array" ref="AG147">Common_InputFunctions.Utility_DisplayArrayInTable(Fertiliser_SourceData.Fertiliser_Products_Data2(), FertiliserProducts[[#Headers],[Company]],31)</f>
        <v/>
      </c>
      <c r="AH147" s="109"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09" t="str" cm="1">
        <f t="array" ref="D148">Common_InputFunctions.Utility_DisplayArrayInTable(Fertiliser_SourceData.Fertiliser_Products_Data2(), FertiliserProducts[[#Headers],[Company]],31)</f>
        <v>Yara Australia</v>
      </c>
      <c r="E148" s="109" t="str" cm="1">
        <f t="array" ref="E148">Common_InputFunctions.Utility_DisplayArrayInTable(Fertiliser_SourceData.Fertiliser_Products_Data2(), FertiliserProducts[[#Headers],[Company]],31)</f>
        <v>YaraTera KRISTALON RED</v>
      </c>
      <c r="F148" s="109" t="str" cm="1">
        <f t="array" ref="F148">Common_InputFunctions.Utility_DisplayArrayInTable(Fertiliser_SourceData.Fertiliser_Products_Data2(), FertiliserProducts[[#Headers],[Company]],31)</f>
        <v>kg</v>
      </c>
      <c r="G148" s="109" cm="1">
        <f t="array" ref="G148">Common_InputFunctions.Utility_DisplayArrayInTable(Fertiliser_SourceData.Fertiliser_Products_Data2(), FertiliserProducts[[#Headers],[Company]],31)</f>
        <v>1</v>
      </c>
      <c r="H148" s="109" t="str" cm="1">
        <f t="array" ref="H148">Common_InputFunctions.Utility_DisplayArrayInTable(Fertiliser_SourceData.Fertiliser_Products_Data2(), FertiliserProducts[[#Headers],[Company]],31)</f>
        <v/>
      </c>
      <c r="I148" s="109" t="str" cm="1">
        <f t="array" ref="I148">Common_InputFunctions.Utility_DisplayArrayInTable(Fertiliser_SourceData.Fertiliser_Products_Data2(), FertiliserProducts[[#Headers],[Company]],31)</f>
        <v/>
      </c>
      <c r="J148" s="109" t="str" cm="1">
        <f t="array" ref="J148">Common_InputFunctions.Utility_DisplayArrayInTable(Fertiliser_SourceData.Fertiliser_Products_Data2(), FertiliserProducts[[#Headers],[Company]],31)</f>
        <v/>
      </c>
      <c r="K148" s="109" cm="1">
        <f t="array" ref="K148">Common_InputFunctions.Utility_DisplayArrayInTable(Fertiliser_SourceData.Fertiliser_Products_Data2(), FertiliserProducts[[#Headers],[Company]],31)</f>
        <v>12</v>
      </c>
      <c r="L148" s="109" cm="1">
        <f t="array" ref="L148">Common_InputFunctions.Utility_DisplayArrayInTable(Fertiliser_SourceData.Fertiliser_Products_Data2(), FertiliserProducts[[#Headers],[Company]],31)</f>
        <v>5.2</v>
      </c>
      <c r="M148" s="109" cm="1">
        <f t="array" ref="M148">Common_InputFunctions.Utility_DisplayArrayInTable(Fertiliser_SourceData.Fertiliser_Products_Data2(), FertiliserProducts[[#Headers],[Company]],31)</f>
        <v>29.9</v>
      </c>
      <c r="N148" s="109" cm="1">
        <f t="array" ref="N148">Common_InputFunctions.Utility_DisplayArrayInTable(Fertiliser_SourceData.Fertiliser_Products_Data2(), FertiliserProducts[[#Headers],[Company]],31)</f>
        <v>1</v>
      </c>
      <c r="O148" s="109" t="str" cm="1">
        <f t="array" ref="O148">Common_InputFunctions.Utility_DisplayArrayInTable(Fertiliser_SourceData.Fertiliser_Products_Data2(), FertiliserProducts[[#Headers],[Company]],31)</f>
        <v>Potassium - Generic</v>
      </c>
      <c r="P148" s="109" cm="1">
        <f t="array" ref="P148">Common_InputFunctions.Utility_DisplayArrayInTable(Fertiliser_SourceData.Fertiliser_Products_Data2(), FertiliserProducts[[#Headers],[Company]],31)</f>
        <v>0.29899999999999999</v>
      </c>
      <c r="Q148" s="109" t="str" cm="1">
        <f t="array" ref="Q148">Common_InputFunctions.Utility_DisplayArrayInTable(Fertiliser_SourceData.Fertiliser_Products_Data2(), FertiliserProducts[[#Headers],[Company]],31)</f>
        <v>Nitrogen - Nitrate</v>
      </c>
      <c r="R148" s="109" cm="1">
        <f t="array" ref="R148">Common_InputFunctions.Utility_DisplayArrayInTable(Fertiliser_SourceData.Fertiliser_Products_Data2(), FertiliserProducts[[#Headers],[Company]],31)</f>
        <v>0.10100000000000001</v>
      </c>
      <c r="S148" s="109" t="str" cm="1">
        <f t="array" ref="S148">Common_InputFunctions.Utility_DisplayArrayInTable(Fertiliser_SourceData.Fertiliser_Products_Data2(), FertiliserProducts[[#Headers],[Company]],31)</f>
        <v>Phosphorus - Generic</v>
      </c>
      <c r="T148" s="109" cm="1">
        <f t="array" ref="T148">Common_InputFunctions.Utility_DisplayArrayInTable(Fertiliser_SourceData.Fertiliser_Products_Data2(), FertiliserProducts[[#Headers],[Company]],31)</f>
        <v>5.1999999999999998E-2</v>
      </c>
      <c r="U148" s="109" t="str" cm="1">
        <f t="array" ref="U148">Common_InputFunctions.Utility_DisplayArrayInTable(Fertiliser_SourceData.Fertiliser_Products_Data2(), FertiliserProducts[[#Headers],[Company]],31)</f>
        <v>Nitrogen - Ammoniacal</v>
      </c>
      <c r="V148" s="109" cm="1">
        <f t="array" ref="V148">Common_InputFunctions.Utility_DisplayArrayInTable(Fertiliser_SourceData.Fertiliser_Products_Data2(), FertiliserProducts[[#Headers],[Company]],31)</f>
        <v>1.9E-2</v>
      </c>
      <c r="W148" s="109" t="str" cm="1">
        <f t="array" ref="W148">Common_InputFunctions.Utility_DisplayArrayInTable(Fertiliser_SourceData.Fertiliser_Products_Data2(), FertiliserProducts[[#Headers],[Company]],31)</f>
        <v>Sulfur - Generic</v>
      </c>
      <c r="X148" s="109" cm="1">
        <f t="array" ref="X148">Common_InputFunctions.Utility_DisplayArrayInTable(Fertiliser_SourceData.Fertiliser_Products_Data2(), FertiliserProducts[[#Headers],[Company]],31)</f>
        <v>0.01</v>
      </c>
      <c r="Y148" s="109" t="str" cm="1">
        <f t="array" ref="Y148">Common_InputFunctions.Utility_DisplayArrayInTable(Fertiliser_SourceData.Fertiliser_Products_Data2(), FertiliserProducts[[#Headers],[Company]],31)</f>
        <v>Magnesium</v>
      </c>
      <c r="Z148" s="109" cm="1">
        <f t="array" ref="Z148">Common_InputFunctions.Utility_DisplayArrayInTable(Fertiliser_SourceData.Fertiliser_Products_Data2(), FertiliserProducts[[#Headers],[Company]],31)</f>
        <v>6.0000000000000001E-3</v>
      </c>
      <c r="AA148" s="109" t="str" cm="1">
        <f t="array" ref="AA148">Common_InputFunctions.Utility_DisplayArrayInTable(Fertiliser_SourceData.Fertiliser_Products_Data2(), FertiliserProducts[[#Headers],[Company]],31)</f>
        <v>Iron</v>
      </c>
      <c r="AB148" s="109" cm="1">
        <f t="array" ref="AB148">Common_InputFunctions.Utility_DisplayArrayInTable(Fertiliser_SourceData.Fertiliser_Products_Data2(), FertiliserProducts[[#Headers],[Company]],31)</f>
        <v>6.9999999999999999E-4</v>
      </c>
      <c r="AC148" s="109" t="str" cm="1">
        <f t="array" ref="AC148">Common_InputFunctions.Utility_DisplayArrayInTable(Fertiliser_SourceData.Fertiliser_Products_Data2(), FertiliserProducts[[#Headers],[Company]],31)</f>
        <v>Manganese</v>
      </c>
      <c r="AD148" s="109" cm="1">
        <f t="array" ref="AD148">Common_InputFunctions.Utility_DisplayArrayInTable(Fertiliser_SourceData.Fertiliser_Products_Data2(), FertiliserProducts[[#Headers],[Company]],31)</f>
        <v>4.0000000000000002E-4</v>
      </c>
      <c r="AE148" s="109" t="str" cm="1">
        <f t="array" ref="AE148">Common_InputFunctions.Utility_DisplayArrayInTable(Fertiliser_SourceData.Fertiliser_Products_Data2(), FertiliserProducts[[#Headers],[Company]],31)</f>
        <v>Zinc</v>
      </c>
      <c r="AF148" s="109" cm="1">
        <f t="array" ref="AF148">Common_InputFunctions.Utility_DisplayArrayInTable(Fertiliser_SourceData.Fertiliser_Products_Data2(), FertiliserProducts[[#Headers],[Company]],31)</f>
        <v>2.5000000000000001E-4</v>
      </c>
      <c r="AG148" s="109" t="str" cm="1">
        <f t="array" ref="AG148">Common_InputFunctions.Utility_DisplayArrayInTable(Fertiliser_SourceData.Fertiliser_Products_Data2(), FertiliserProducts[[#Headers],[Company]],31)</f>
        <v>Boron</v>
      </c>
      <c r="AH148" s="109"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09" t="str" cm="1">
        <f t="array" ref="D149">Common_InputFunctions.Utility_DisplayArrayInTable(Fertiliser_SourceData.Fertiliser_Products_Data2(), FertiliserProducts[[#Headers],[Company]],31)</f>
        <v>Yara Australia</v>
      </c>
      <c r="E149" s="109" t="str" cm="1">
        <f t="array" ref="E149">Common_InputFunctions.Utility_DisplayArrayInTable(Fertiliser_SourceData.Fertiliser_Products_Data2(), FertiliserProducts[[#Headers],[Company]],31)</f>
        <v>YaraTera KRISTALON SPECIAL</v>
      </c>
      <c r="F149" s="109" t="str" cm="1">
        <f t="array" ref="F149">Common_InputFunctions.Utility_DisplayArrayInTable(Fertiliser_SourceData.Fertiliser_Products_Data2(), FertiliserProducts[[#Headers],[Company]],31)</f>
        <v>kg</v>
      </c>
      <c r="G149" s="109" cm="1">
        <f t="array" ref="G149">Common_InputFunctions.Utility_DisplayArrayInTable(Fertiliser_SourceData.Fertiliser_Products_Data2(), FertiliserProducts[[#Headers],[Company]],31)</f>
        <v>1</v>
      </c>
      <c r="H149" s="109" t="str" cm="1">
        <f t="array" ref="H149">Common_InputFunctions.Utility_DisplayArrayInTable(Fertiliser_SourceData.Fertiliser_Products_Data2(), FertiliserProducts[[#Headers],[Company]],31)</f>
        <v/>
      </c>
      <c r="I149" s="109" t="str" cm="1">
        <f t="array" ref="I149">Common_InputFunctions.Utility_DisplayArrayInTable(Fertiliser_SourceData.Fertiliser_Products_Data2(), FertiliserProducts[[#Headers],[Company]],31)</f>
        <v/>
      </c>
      <c r="J149" s="109" t="str" cm="1">
        <f t="array" ref="J149">Common_InputFunctions.Utility_DisplayArrayInTable(Fertiliser_SourceData.Fertiliser_Products_Data2(), FertiliserProducts[[#Headers],[Company]],31)</f>
        <v/>
      </c>
      <c r="K149" s="109" cm="1">
        <f t="array" ref="K149">Common_InputFunctions.Utility_DisplayArrayInTable(Fertiliser_SourceData.Fertiliser_Products_Data2(), FertiliserProducts[[#Headers],[Company]],31)</f>
        <v>18</v>
      </c>
      <c r="L149" s="109" cm="1">
        <f t="array" ref="L149">Common_InputFunctions.Utility_DisplayArrayInTable(Fertiliser_SourceData.Fertiliser_Products_Data2(), FertiliserProducts[[#Headers],[Company]],31)</f>
        <v>7.9</v>
      </c>
      <c r="M149" s="109" cm="1">
        <f t="array" ref="M149">Common_InputFunctions.Utility_DisplayArrayInTable(Fertiliser_SourceData.Fertiliser_Products_Data2(), FertiliserProducts[[#Headers],[Company]],31)</f>
        <v>14.9</v>
      </c>
      <c r="N149" s="109" cm="1">
        <f t="array" ref="N149">Common_InputFunctions.Utility_DisplayArrayInTable(Fertiliser_SourceData.Fertiliser_Products_Data2(), FertiliserProducts[[#Headers],[Company]],31)</f>
        <v>2</v>
      </c>
      <c r="O149" s="109" t="str" cm="1">
        <f t="array" ref="O149">Common_InputFunctions.Utility_DisplayArrayInTable(Fertiliser_SourceData.Fertiliser_Products_Data2(), FertiliserProducts[[#Headers],[Company]],31)</f>
        <v>Potassium - Generic</v>
      </c>
      <c r="P149" s="109" cm="1">
        <f t="array" ref="P149">Common_InputFunctions.Utility_DisplayArrayInTable(Fertiliser_SourceData.Fertiliser_Products_Data2(), FertiliserProducts[[#Headers],[Company]],31)</f>
        <v>0.14899999999999999</v>
      </c>
      <c r="Q149" s="109" t="str" cm="1">
        <f t="array" ref="Q149">Common_InputFunctions.Utility_DisplayArrayInTable(Fertiliser_SourceData.Fertiliser_Products_Data2(), FertiliserProducts[[#Headers],[Company]],31)</f>
        <v>Urea</v>
      </c>
      <c r="R149" s="109" cm="1">
        <f t="array" ref="R149">Common_InputFunctions.Utility_DisplayArrayInTable(Fertiliser_SourceData.Fertiliser_Products_Data2(), FertiliserProducts[[#Headers],[Company]],31)</f>
        <v>0.21304300000000001</v>
      </c>
      <c r="S149" s="109" t="str" cm="1">
        <f t="array" ref="S149">Common_InputFunctions.Utility_DisplayArrayInTable(Fertiliser_SourceData.Fertiliser_Products_Data2(), FertiliserProducts[[#Headers],[Company]],31)</f>
        <v>Phosphorus - Generic</v>
      </c>
      <c r="T149" s="109" cm="1">
        <f t="array" ref="T149">Common_InputFunctions.Utility_DisplayArrayInTable(Fertiliser_SourceData.Fertiliser_Products_Data2(), FertiliserProducts[[#Headers],[Company]],31)</f>
        <v>7.9000000000000001E-2</v>
      </c>
      <c r="U149" s="109" t="str" cm="1">
        <f t="array" ref="U149">Common_InputFunctions.Utility_DisplayArrayInTable(Fertiliser_SourceData.Fertiliser_Products_Data2(), FertiliserProducts[[#Headers],[Company]],31)</f>
        <v>Nitrogen - Nitrate</v>
      </c>
      <c r="V149" s="109" cm="1">
        <f t="array" ref="V149">Common_InputFunctions.Utility_DisplayArrayInTable(Fertiliser_SourceData.Fertiliser_Products_Data2(), FertiliserProducts[[#Headers],[Company]],31)</f>
        <v>4.9000000000000002E-2</v>
      </c>
      <c r="W149" s="109" t="str" cm="1">
        <f t="array" ref="W149">Common_InputFunctions.Utility_DisplayArrayInTable(Fertiliser_SourceData.Fertiliser_Products_Data2(), FertiliserProducts[[#Headers],[Company]],31)</f>
        <v>Nitrogen - Ammoniacal</v>
      </c>
      <c r="X149" s="109" cm="1">
        <f t="array" ref="X149">Common_InputFunctions.Utility_DisplayArrayInTable(Fertiliser_SourceData.Fertiliser_Products_Data2(), FertiliserProducts[[#Headers],[Company]],31)</f>
        <v>3.3000000000000002E-2</v>
      </c>
      <c r="Y149" s="109" t="str" cm="1">
        <f t="array" ref="Y149">Common_InputFunctions.Utility_DisplayArrayInTable(Fertiliser_SourceData.Fertiliser_Products_Data2(), FertiliserProducts[[#Headers],[Company]],31)</f>
        <v>Sulfur - Generic</v>
      </c>
      <c r="Z149" s="109" cm="1">
        <f t="array" ref="Z149">Common_InputFunctions.Utility_DisplayArrayInTable(Fertiliser_SourceData.Fertiliser_Products_Data2(), FertiliserProducts[[#Headers],[Company]],31)</f>
        <v>0.02</v>
      </c>
      <c r="AA149" s="109" t="str" cm="1">
        <f t="array" ref="AA149">Common_InputFunctions.Utility_DisplayArrayInTable(Fertiliser_SourceData.Fertiliser_Products_Data2(), FertiliserProducts[[#Headers],[Company]],31)</f>
        <v>Magnesium</v>
      </c>
      <c r="AB149" s="109" cm="1">
        <f t="array" ref="AB149">Common_InputFunctions.Utility_DisplayArrayInTable(Fertiliser_SourceData.Fertiliser_Products_Data2(), FertiliserProducts[[#Headers],[Company]],31)</f>
        <v>1.7999999999999999E-2</v>
      </c>
      <c r="AC149" s="109" t="str" cm="1">
        <f t="array" ref="AC149">Common_InputFunctions.Utility_DisplayArrayInTable(Fertiliser_SourceData.Fertiliser_Products_Data2(), FertiliserProducts[[#Headers],[Company]],31)</f>
        <v>Iron</v>
      </c>
      <c r="AD149" s="109" cm="1">
        <f t="array" ref="AD149">Common_InputFunctions.Utility_DisplayArrayInTable(Fertiliser_SourceData.Fertiliser_Products_Data2(), FertiliserProducts[[#Headers],[Company]],31)</f>
        <v>6.9999999999999999E-4</v>
      </c>
      <c r="AE149" s="109" t="str" cm="1">
        <f t="array" ref="AE149">Common_InputFunctions.Utility_DisplayArrayInTable(Fertiliser_SourceData.Fertiliser_Products_Data2(), FertiliserProducts[[#Headers],[Company]],31)</f>
        <v>Manganese</v>
      </c>
      <c r="AF149" s="109" cm="1">
        <f t="array" ref="AF149">Common_InputFunctions.Utility_DisplayArrayInTable(Fertiliser_SourceData.Fertiliser_Products_Data2(), FertiliserProducts[[#Headers],[Company]],31)</f>
        <v>4.0000000000000002E-4</v>
      </c>
      <c r="AG149" s="109" t="str" cm="1">
        <f t="array" ref="AG149">Common_InputFunctions.Utility_DisplayArrayInTable(Fertiliser_SourceData.Fertiliser_Products_Data2(), FertiliserProducts[[#Headers],[Company]],31)</f>
        <v>Zinc</v>
      </c>
      <c r="AH149" s="109"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09" t="str" cm="1">
        <f t="array" ref="D150">Common_InputFunctions.Utility_DisplayArrayInTable(Fertiliser_SourceData.Fertiliser_Products_Data3(), FertiliserProducts[[#Headers],[Company]],61)</f>
        <v>Yara Australia</v>
      </c>
      <c r="E150" s="109" t="str" cm="1">
        <f t="array" ref="E150">Common_InputFunctions.Utility_DisplayArrayInTable(Fertiliser_SourceData.Fertiliser_Products_Data3(), FertiliserProducts[[#Headers],[Company]],61)</f>
        <v>YaraMila 21-7-3(4)</v>
      </c>
      <c r="F150" s="109" t="str" cm="1">
        <f t="array" ref="F150">Common_InputFunctions.Utility_DisplayArrayInTable(Fertiliser_SourceData.Fertiliser_Products_Data3(), FertiliserProducts[[#Headers],[Company]],61)</f>
        <v>kg</v>
      </c>
      <c r="G150" s="109" cm="1">
        <f t="array" ref="G150">Common_InputFunctions.Utility_DisplayArrayInTable(Fertiliser_SourceData.Fertiliser_Products_Data3(), FertiliserProducts[[#Headers],[Company]],61)</f>
        <v>1</v>
      </c>
      <c r="H150" s="109" t="str" cm="1">
        <f t="array" ref="H150">Common_InputFunctions.Utility_DisplayArrayInTable(Fertiliser_SourceData.Fertiliser_Products_Data3(), FertiliserProducts[[#Headers],[Company]],61)</f>
        <v/>
      </c>
      <c r="I150" s="109" t="str" cm="1">
        <f t="array" ref="I150">Common_InputFunctions.Utility_DisplayArrayInTable(Fertiliser_SourceData.Fertiliser_Products_Data3(), FertiliserProducts[[#Headers],[Company]],61)</f>
        <v/>
      </c>
      <c r="J150" s="109" t="str" cm="1">
        <f t="array" ref="J150">Common_InputFunctions.Utility_DisplayArrayInTable(Fertiliser_SourceData.Fertiliser_Products_Data3(), FertiliserProducts[[#Headers],[Company]],61)</f>
        <v/>
      </c>
      <c r="K150" s="109" cm="1">
        <f t="array" ref="K150">Common_InputFunctions.Utility_DisplayArrayInTable(Fertiliser_SourceData.Fertiliser_Products_Data3(), FertiliserProducts[[#Headers],[Company]],61)</f>
        <v>21</v>
      </c>
      <c r="L150" s="109" cm="1">
        <f t="array" ref="L150">Common_InputFunctions.Utility_DisplayArrayInTable(Fertiliser_SourceData.Fertiliser_Products_Data3(), FertiliserProducts[[#Headers],[Company]],61)</f>
        <v>7.4</v>
      </c>
      <c r="M150" s="109" cm="1">
        <f t="array" ref="M150">Common_InputFunctions.Utility_DisplayArrayInTable(Fertiliser_SourceData.Fertiliser_Products_Data3(), FertiliserProducts[[#Headers],[Company]],61)</f>
        <v>2.5</v>
      </c>
      <c r="N150" s="109" cm="1">
        <f t="array" ref="N150">Common_InputFunctions.Utility_DisplayArrayInTable(Fertiliser_SourceData.Fertiliser_Products_Data3(), FertiliserProducts[[#Headers],[Company]],61)</f>
        <v>4</v>
      </c>
      <c r="O150" s="109" t="str" cm="1">
        <f t="array" ref="O150">Common_InputFunctions.Utility_DisplayArrayInTable(Fertiliser_SourceData.Fertiliser_Products_Data3(), FertiliserProducts[[#Headers],[Company]],61)</f>
        <v>Nitrogen - Nitrate</v>
      </c>
      <c r="P150" s="109" cm="1">
        <f t="array" ref="P150">Common_InputFunctions.Utility_DisplayArrayInTable(Fertiliser_SourceData.Fertiliser_Products_Data3(), FertiliserProducts[[#Headers],[Company]],61)</f>
        <v>0.105</v>
      </c>
      <c r="Q150" s="109" t="str" cm="1">
        <f t="array" ref="Q150">Common_InputFunctions.Utility_DisplayArrayInTable(Fertiliser_SourceData.Fertiliser_Products_Data3(), FertiliserProducts[[#Headers],[Company]],61)</f>
        <v>Nitrogen - Ammoniacal</v>
      </c>
      <c r="R150" s="109" cm="1">
        <f t="array" ref="R150">Common_InputFunctions.Utility_DisplayArrayInTable(Fertiliser_SourceData.Fertiliser_Products_Data3(), FertiliserProducts[[#Headers],[Company]],61)</f>
        <v>0.105</v>
      </c>
      <c r="S150" s="109" t="str" cm="1">
        <f t="array" ref="S150">Common_InputFunctions.Utility_DisplayArrayInTable(Fertiliser_SourceData.Fertiliser_Products_Data3(), FertiliserProducts[[#Headers],[Company]],61)</f>
        <v>Phosphorus - Generic</v>
      </c>
      <c r="T150" s="109" cm="1">
        <f t="array" ref="T150">Common_InputFunctions.Utility_DisplayArrayInTable(Fertiliser_SourceData.Fertiliser_Products_Data3(), FertiliserProducts[[#Headers],[Company]],61)</f>
        <v>7.3999999999999996E-2</v>
      </c>
      <c r="U150" s="109" t="str" cm="1">
        <f t="array" ref="U150">Common_InputFunctions.Utility_DisplayArrayInTable(Fertiliser_SourceData.Fertiliser_Products_Data3(), FertiliserProducts[[#Headers],[Company]],61)</f>
        <v>Sulfur - Generic</v>
      </c>
      <c r="V150" s="109" cm="1">
        <f t="array" ref="V150">Common_InputFunctions.Utility_DisplayArrayInTable(Fertiliser_SourceData.Fertiliser_Products_Data3(), FertiliserProducts[[#Headers],[Company]],61)</f>
        <v>0.04</v>
      </c>
      <c r="W150" s="109" t="str" cm="1">
        <f t="array" ref="W150">Common_InputFunctions.Utility_DisplayArrayInTable(Fertiliser_SourceData.Fertiliser_Products_Data3(), FertiliserProducts[[#Headers],[Company]],61)</f>
        <v>Potassium - Generic</v>
      </c>
      <c r="X150" s="109" cm="1">
        <f t="array" ref="X150">Common_InputFunctions.Utility_DisplayArrayInTable(Fertiliser_SourceData.Fertiliser_Products_Data3(), FertiliserProducts[[#Headers],[Company]],61)</f>
        <v>2.5000000000000001E-2</v>
      </c>
      <c r="Y150" s="109" t="str" cm="1">
        <f t="array" ref="Y150">Common_InputFunctions.Utility_DisplayArrayInTable(Fertiliser_SourceData.Fertiliser_Products_Data3(), FertiliserProducts[[#Headers],[Company]],61)</f>
        <v>Magnesium</v>
      </c>
      <c r="Z150" s="109" cm="1">
        <f t="array" ref="Z150">Common_InputFunctions.Utility_DisplayArrayInTable(Fertiliser_SourceData.Fertiliser_Products_Data3(), FertiliserProducts[[#Headers],[Company]],61)</f>
        <v>4.0000000000000001E-3</v>
      </c>
      <c r="AA150" s="109" t="str" cm="1">
        <f t="array" ref="AA150">Common_InputFunctions.Utility_DisplayArrayInTable(Fertiliser_SourceData.Fertiliser_Products_Data3(), FertiliserProducts[[#Headers],[Company]],61)</f>
        <v>Zinc</v>
      </c>
      <c r="AB150" s="109" cm="1">
        <f t="array" ref="AB150">Common_InputFunctions.Utility_DisplayArrayInTable(Fertiliser_SourceData.Fertiliser_Products_Data3(), FertiliserProducts[[#Headers],[Company]],61)</f>
        <v>1.5E-3</v>
      </c>
      <c r="AC150" s="109" t="str" cm="1">
        <f t="array" ref="AC150">Common_InputFunctions.Utility_DisplayArrayInTable(Fertiliser_SourceData.Fertiliser_Products_Data3(), FertiliserProducts[[#Headers],[Company]],61)</f>
        <v/>
      </c>
      <c r="AD150" s="109" t="str" cm="1">
        <f t="array" ref="AD150">Common_InputFunctions.Utility_DisplayArrayInTable(Fertiliser_SourceData.Fertiliser_Products_Data3(), FertiliserProducts[[#Headers],[Company]],61)</f>
        <v/>
      </c>
      <c r="AE150" s="109" t="str" cm="1">
        <f t="array" ref="AE150">Common_InputFunctions.Utility_DisplayArrayInTable(Fertiliser_SourceData.Fertiliser_Products_Data3(), FertiliserProducts[[#Headers],[Company]],61)</f>
        <v/>
      </c>
      <c r="AF150" s="109" t="str" cm="1">
        <f t="array" ref="AF150">Common_InputFunctions.Utility_DisplayArrayInTable(Fertiliser_SourceData.Fertiliser_Products_Data3(), FertiliserProducts[[#Headers],[Company]],61)</f>
        <v/>
      </c>
      <c r="AG150" s="109" t="str" cm="1">
        <f t="array" ref="AG150">Common_InputFunctions.Utility_DisplayArrayInTable(Fertiliser_SourceData.Fertiliser_Products_Data3(), FertiliserProducts[[#Headers],[Company]],61)</f>
        <v/>
      </c>
      <c r="AH150" s="109"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09" t="str" cm="1">
        <f t="array" ref="D151">Common_InputFunctions.Utility_DisplayArrayInTable(Fertiliser_SourceData.Fertiliser_Products_Data3(), FertiliserProducts[[#Headers],[Company]],61)</f>
        <v>Yara Australia</v>
      </c>
      <c r="E151" s="109" t="str" cm="1">
        <f t="array" ref="E151">Common_InputFunctions.Utility_DisplayArrayInTable(Fertiliser_SourceData.Fertiliser_Products_Data3(), FertiliserProducts[[#Headers],[Company]],61)</f>
        <v>YaraTera KRISTALON SCARLET</v>
      </c>
      <c r="F151" s="109" t="str" cm="1">
        <f t="array" ref="F151">Common_InputFunctions.Utility_DisplayArrayInTable(Fertiliser_SourceData.Fertiliser_Products_Data3(), FertiliserProducts[[#Headers],[Company]],61)</f>
        <v>kg</v>
      </c>
      <c r="G151" s="109" cm="1">
        <f t="array" ref="G151">Common_InputFunctions.Utility_DisplayArrayInTable(Fertiliser_SourceData.Fertiliser_Products_Data3(), FertiliserProducts[[#Headers],[Company]],61)</f>
        <v>1</v>
      </c>
      <c r="H151" s="109" t="str" cm="1">
        <f t="array" ref="H151">Common_InputFunctions.Utility_DisplayArrayInTable(Fertiliser_SourceData.Fertiliser_Products_Data3(), FertiliserProducts[[#Headers],[Company]],61)</f>
        <v/>
      </c>
      <c r="I151" s="109" t="str" cm="1">
        <f t="array" ref="I151">Common_InputFunctions.Utility_DisplayArrayInTable(Fertiliser_SourceData.Fertiliser_Products_Data3(), FertiliserProducts[[#Headers],[Company]],61)</f>
        <v/>
      </c>
      <c r="J151" s="109" t="str" cm="1">
        <f t="array" ref="J151">Common_InputFunctions.Utility_DisplayArrayInTable(Fertiliser_SourceData.Fertiliser_Products_Data3(), FertiliserProducts[[#Headers],[Company]],61)</f>
        <v/>
      </c>
      <c r="K151" s="109" cm="1">
        <f t="array" ref="K151">Common_InputFunctions.Utility_DisplayArrayInTable(Fertiliser_SourceData.Fertiliser_Products_Data3(), FertiliserProducts[[#Headers],[Company]],61)</f>
        <v>7.5</v>
      </c>
      <c r="L151" s="109" t="str" cm="1">
        <f t="array" ref="L151">Common_InputFunctions.Utility_DisplayArrayInTable(Fertiliser_SourceData.Fertiliser_Products_Data3(), FertiliserProducts[[#Headers],[Company]],61)</f>
        <v/>
      </c>
      <c r="M151" s="109" cm="1">
        <f t="array" ref="M151">Common_InputFunctions.Utility_DisplayArrayInTable(Fertiliser_SourceData.Fertiliser_Products_Data3(), FertiliserProducts[[#Headers],[Company]],61)</f>
        <v>29.9</v>
      </c>
      <c r="N151" s="109" cm="1">
        <f t="array" ref="N151">Common_InputFunctions.Utility_DisplayArrayInTable(Fertiliser_SourceData.Fertiliser_Products_Data3(), FertiliserProducts[[#Headers],[Company]],61)</f>
        <v>4</v>
      </c>
      <c r="O151" s="109" t="str" cm="1">
        <f t="array" ref="O151">Common_InputFunctions.Utility_DisplayArrayInTable(Fertiliser_SourceData.Fertiliser_Products_Data3(), FertiliserProducts[[#Headers],[Company]],61)</f>
        <v>Potassium - Generic</v>
      </c>
      <c r="P151" s="109" cm="1">
        <f t="array" ref="P151">Common_InputFunctions.Utility_DisplayArrayInTable(Fertiliser_SourceData.Fertiliser_Products_Data3(), FertiliserProducts[[#Headers],[Company]],61)</f>
        <v>0.29899999999999999</v>
      </c>
      <c r="Q151" s="109" t="str" cm="1">
        <f t="array" ref="Q151">Common_InputFunctions.Utility_DisplayArrayInTable(Fertiliser_SourceData.Fertiliser_Products_Data3(), FertiliserProducts[[#Headers],[Company]],61)</f>
        <v>Nitrogen - Nitrate</v>
      </c>
      <c r="R151" s="109" cm="1">
        <f t="array" ref="R151">Common_InputFunctions.Utility_DisplayArrayInTable(Fertiliser_SourceData.Fertiliser_Products_Data3(), FertiliserProducts[[#Headers],[Company]],61)</f>
        <v>5.1999999999999998E-2</v>
      </c>
      <c r="S151" s="109" t="str" cm="1">
        <f t="array" ref="S151">Common_InputFunctions.Utility_DisplayArrayInTable(Fertiliser_SourceData.Fertiliser_Products_Data3(), FertiliserProducts[[#Headers],[Company]],61)</f>
        <v>Sulfur - Generic</v>
      </c>
      <c r="T151" s="109" cm="1">
        <f t="array" ref="T151">Common_InputFunctions.Utility_DisplayArrayInTable(Fertiliser_SourceData.Fertiliser_Products_Data3(), FertiliserProducts[[#Headers],[Company]],61)</f>
        <v>0.04</v>
      </c>
      <c r="U151" s="109" t="str" cm="1">
        <f t="array" ref="U151">Common_InputFunctions.Utility_DisplayArrayInTable(Fertiliser_SourceData.Fertiliser_Products_Data3(), FertiliserProducts[[#Headers],[Company]],61)</f>
        <v>Magnesium</v>
      </c>
      <c r="V151" s="109" cm="1">
        <f t="array" ref="V151">Common_InputFunctions.Utility_DisplayArrayInTable(Fertiliser_SourceData.Fertiliser_Products_Data3(), FertiliserProducts[[#Headers],[Company]],61)</f>
        <v>2.7E-2</v>
      </c>
      <c r="W151" s="109" t="str" cm="1">
        <f t="array" ref="W151">Common_InputFunctions.Utility_DisplayArrayInTable(Fertiliser_SourceData.Fertiliser_Products_Data3(), FertiliserProducts[[#Headers],[Company]],61)</f>
        <v>Nitrogen - Ammoniacal</v>
      </c>
      <c r="X151" s="109" cm="1">
        <f t="array" ref="X151">Common_InputFunctions.Utility_DisplayArrayInTable(Fertiliser_SourceData.Fertiliser_Products_Data3(), FertiliserProducts[[#Headers],[Company]],61)</f>
        <v>2.3E-2</v>
      </c>
      <c r="Y151" s="109" t="str" cm="1">
        <f t="array" ref="Y151">Common_InputFunctions.Utility_DisplayArrayInTable(Fertiliser_SourceData.Fertiliser_Products_Data3(), FertiliserProducts[[#Headers],[Company]],61)</f>
        <v/>
      </c>
      <c r="Z151" s="109" t="str" cm="1">
        <f t="array" ref="Z151">Common_InputFunctions.Utility_DisplayArrayInTable(Fertiliser_SourceData.Fertiliser_Products_Data3(), FertiliserProducts[[#Headers],[Company]],61)</f>
        <v/>
      </c>
      <c r="AA151" s="109" t="str" cm="1">
        <f t="array" ref="AA151">Common_InputFunctions.Utility_DisplayArrayInTable(Fertiliser_SourceData.Fertiliser_Products_Data3(), FertiliserProducts[[#Headers],[Company]],61)</f>
        <v/>
      </c>
      <c r="AB151" s="109" t="str" cm="1">
        <f t="array" ref="AB151">Common_InputFunctions.Utility_DisplayArrayInTable(Fertiliser_SourceData.Fertiliser_Products_Data3(), FertiliserProducts[[#Headers],[Company]],61)</f>
        <v/>
      </c>
      <c r="AC151" s="109" t="str" cm="1">
        <f t="array" ref="AC151">Common_InputFunctions.Utility_DisplayArrayInTable(Fertiliser_SourceData.Fertiliser_Products_Data3(), FertiliserProducts[[#Headers],[Company]],61)</f>
        <v/>
      </c>
      <c r="AD151" s="109" t="str" cm="1">
        <f t="array" ref="AD151">Common_InputFunctions.Utility_DisplayArrayInTable(Fertiliser_SourceData.Fertiliser_Products_Data3(), FertiliserProducts[[#Headers],[Company]],61)</f>
        <v/>
      </c>
      <c r="AE151" s="109" t="str" cm="1">
        <f t="array" ref="AE151">Common_InputFunctions.Utility_DisplayArrayInTable(Fertiliser_SourceData.Fertiliser_Products_Data3(), FertiliserProducts[[#Headers],[Company]],61)</f>
        <v/>
      </c>
      <c r="AF151" s="109" t="str" cm="1">
        <f t="array" ref="AF151">Common_InputFunctions.Utility_DisplayArrayInTable(Fertiliser_SourceData.Fertiliser_Products_Data3(), FertiliserProducts[[#Headers],[Company]],61)</f>
        <v/>
      </c>
      <c r="AG151" s="109" t="str" cm="1">
        <f t="array" ref="AG151">Common_InputFunctions.Utility_DisplayArrayInTable(Fertiliser_SourceData.Fertiliser_Products_Data3(), FertiliserProducts[[#Headers],[Company]],61)</f>
        <v/>
      </c>
      <c r="AH151" s="109"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09" t="str" cm="1">
        <f t="array" ref="D152">Common_InputFunctions.Utility_DisplayArrayInTable(Fertiliser_SourceData.Fertiliser_Products_Data3(), FertiliserProducts[[#Headers],[Company]],61)</f>
        <v>Campbells fertilisers Australia</v>
      </c>
      <c r="E152" s="109" t="str" cm="1">
        <f t="array" ref="E152">Common_InputFunctions.Utility_DisplayArrayInTable(Fertiliser_SourceData.Fertiliser_Products_Data3(), FertiliserProducts[[#Headers],[Company]],61)</f>
        <v>Solu-MAP</v>
      </c>
      <c r="F152" s="109" t="str" cm="1">
        <f t="array" ref="F152">Common_InputFunctions.Utility_DisplayArrayInTable(Fertiliser_SourceData.Fertiliser_Products_Data3(), FertiliserProducts[[#Headers],[Company]],61)</f>
        <v>kg</v>
      </c>
      <c r="G152" s="109" cm="1">
        <f t="array" ref="G152">Common_InputFunctions.Utility_DisplayArrayInTable(Fertiliser_SourceData.Fertiliser_Products_Data3(), FertiliserProducts[[#Headers],[Company]],61)</f>
        <v>1</v>
      </c>
      <c r="H152" s="109" t="str" cm="1">
        <f t="array" ref="H152">Common_InputFunctions.Utility_DisplayArrayInTable(Fertiliser_SourceData.Fertiliser_Products_Data3(), FertiliserProducts[[#Headers],[Company]],61)</f>
        <v/>
      </c>
      <c r="I152" s="109" t="str" cm="1">
        <f t="array" ref="I152">Common_InputFunctions.Utility_DisplayArrayInTable(Fertiliser_SourceData.Fertiliser_Products_Data3(), FertiliserProducts[[#Headers],[Company]],61)</f>
        <v/>
      </c>
      <c r="J152" s="109" t="str" cm="1">
        <f t="array" ref="J152">Common_InputFunctions.Utility_DisplayArrayInTable(Fertiliser_SourceData.Fertiliser_Products_Data3(), FertiliserProducts[[#Headers],[Company]],61)</f>
        <v/>
      </c>
      <c r="K152" s="109" cm="1">
        <f t="array" ref="K152">Common_InputFunctions.Utility_DisplayArrayInTable(Fertiliser_SourceData.Fertiliser_Products_Data3(), FertiliserProducts[[#Headers],[Company]],61)</f>
        <v>10</v>
      </c>
      <c r="L152" s="109" cm="1">
        <f t="array" ref="L152">Common_InputFunctions.Utility_DisplayArrayInTable(Fertiliser_SourceData.Fertiliser_Products_Data3(), FertiliserProducts[[#Headers],[Company]],61)</f>
        <v>21.9</v>
      </c>
      <c r="M152" s="109" t="str" cm="1">
        <f t="array" ref="M152">Common_InputFunctions.Utility_DisplayArrayInTable(Fertiliser_SourceData.Fertiliser_Products_Data3(), FertiliserProducts[[#Headers],[Company]],61)</f>
        <v/>
      </c>
      <c r="N152" s="109" t="str" cm="1">
        <f t="array" ref="N152">Common_InputFunctions.Utility_DisplayArrayInTable(Fertiliser_SourceData.Fertiliser_Products_Data3(), FertiliserProducts[[#Headers],[Company]],61)</f>
        <v/>
      </c>
      <c r="O152" s="109" t="str" cm="1">
        <f t="array" ref="O152">Common_InputFunctions.Utility_DisplayArrayInTable(Fertiliser_SourceData.Fertiliser_Products_Data3(), FertiliserProducts[[#Headers],[Company]],61)</f>
        <v>Monoammonium phosphate (MAP)</v>
      </c>
      <c r="P152" s="109" cm="1">
        <f t="array" ref="P152">Common_InputFunctions.Utility_DisplayArrayInTable(Fertiliser_SourceData.Fertiliser_Products_Data3(), FertiliserProducts[[#Headers],[Company]],61)</f>
        <v>1</v>
      </c>
      <c r="Q152" s="109" t="str" cm="1">
        <f t="array" ref="Q152">Common_InputFunctions.Utility_DisplayArrayInTable(Fertiliser_SourceData.Fertiliser_Products_Data3(), FertiliserProducts[[#Headers],[Company]],61)</f>
        <v/>
      </c>
      <c r="R152" s="109" t="str" cm="1">
        <f t="array" ref="R152">Common_InputFunctions.Utility_DisplayArrayInTable(Fertiliser_SourceData.Fertiliser_Products_Data3(), FertiliserProducts[[#Headers],[Company]],61)</f>
        <v/>
      </c>
      <c r="S152" s="109" t="str" cm="1">
        <f t="array" ref="S152">Common_InputFunctions.Utility_DisplayArrayInTable(Fertiliser_SourceData.Fertiliser_Products_Data3(), FertiliserProducts[[#Headers],[Company]],61)</f>
        <v/>
      </c>
      <c r="T152" s="109" t="str" cm="1">
        <f t="array" ref="T152">Common_InputFunctions.Utility_DisplayArrayInTable(Fertiliser_SourceData.Fertiliser_Products_Data3(), FertiliserProducts[[#Headers],[Company]],61)</f>
        <v/>
      </c>
      <c r="U152" s="109" t="str" cm="1">
        <f t="array" ref="U152">Common_InputFunctions.Utility_DisplayArrayInTable(Fertiliser_SourceData.Fertiliser_Products_Data3(), FertiliserProducts[[#Headers],[Company]],61)</f>
        <v/>
      </c>
      <c r="V152" s="109" t="str" cm="1">
        <f t="array" ref="V152">Common_InputFunctions.Utility_DisplayArrayInTable(Fertiliser_SourceData.Fertiliser_Products_Data3(), FertiliserProducts[[#Headers],[Company]],61)</f>
        <v/>
      </c>
      <c r="W152" s="109" t="str" cm="1">
        <f t="array" ref="W152">Common_InputFunctions.Utility_DisplayArrayInTable(Fertiliser_SourceData.Fertiliser_Products_Data3(), FertiliserProducts[[#Headers],[Company]],61)</f>
        <v/>
      </c>
      <c r="X152" s="109" t="str" cm="1">
        <f t="array" ref="X152">Common_InputFunctions.Utility_DisplayArrayInTable(Fertiliser_SourceData.Fertiliser_Products_Data3(), FertiliserProducts[[#Headers],[Company]],61)</f>
        <v/>
      </c>
      <c r="Y152" s="109" t="str" cm="1">
        <f t="array" ref="Y152">Common_InputFunctions.Utility_DisplayArrayInTable(Fertiliser_SourceData.Fertiliser_Products_Data3(), FertiliserProducts[[#Headers],[Company]],61)</f>
        <v/>
      </c>
      <c r="Z152" s="109" t="str" cm="1">
        <f t="array" ref="Z152">Common_InputFunctions.Utility_DisplayArrayInTable(Fertiliser_SourceData.Fertiliser_Products_Data3(), FertiliserProducts[[#Headers],[Company]],61)</f>
        <v/>
      </c>
      <c r="AA152" s="109" t="str" cm="1">
        <f t="array" ref="AA152">Common_InputFunctions.Utility_DisplayArrayInTable(Fertiliser_SourceData.Fertiliser_Products_Data3(), FertiliserProducts[[#Headers],[Company]],61)</f>
        <v/>
      </c>
      <c r="AB152" s="109" t="str" cm="1">
        <f t="array" ref="AB152">Common_InputFunctions.Utility_DisplayArrayInTable(Fertiliser_SourceData.Fertiliser_Products_Data3(), FertiliserProducts[[#Headers],[Company]],61)</f>
        <v/>
      </c>
      <c r="AC152" s="109" t="str" cm="1">
        <f t="array" ref="AC152">Common_InputFunctions.Utility_DisplayArrayInTable(Fertiliser_SourceData.Fertiliser_Products_Data3(), FertiliserProducts[[#Headers],[Company]],61)</f>
        <v/>
      </c>
      <c r="AD152" s="109" t="str" cm="1">
        <f t="array" ref="AD152">Common_InputFunctions.Utility_DisplayArrayInTable(Fertiliser_SourceData.Fertiliser_Products_Data3(), FertiliserProducts[[#Headers],[Company]],61)</f>
        <v/>
      </c>
      <c r="AE152" s="109" t="str" cm="1">
        <f t="array" ref="AE152">Common_InputFunctions.Utility_DisplayArrayInTable(Fertiliser_SourceData.Fertiliser_Products_Data3(), FertiliserProducts[[#Headers],[Company]],61)</f>
        <v/>
      </c>
      <c r="AF152" s="109" t="str" cm="1">
        <f t="array" ref="AF152">Common_InputFunctions.Utility_DisplayArrayInTable(Fertiliser_SourceData.Fertiliser_Products_Data3(), FertiliserProducts[[#Headers],[Company]],61)</f>
        <v/>
      </c>
      <c r="AG152" s="109" t="str" cm="1">
        <f t="array" ref="AG152">Common_InputFunctions.Utility_DisplayArrayInTable(Fertiliser_SourceData.Fertiliser_Products_Data3(), FertiliserProducts[[#Headers],[Company]],61)</f>
        <v/>
      </c>
      <c r="AH152" s="109"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09" t="str" cm="1">
        <f t="array" ref="D153">Common_InputFunctions.Utility_DisplayArrayInTable(Fertiliser_SourceData.Fertiliser_Products_Data3(), FertiliserProducts[[#Headers],[Company]],61)</f>
        <v>Campbells fertilisers Australia</v>
      </c>
      <c r="E153" s="109" t="str" cm="1">
        <f t="array" ref="E153">Common_InputFunctions.Utility_DisplayArrayInTable(Fertiliser_SourceData.Fertiliser_Products_Data3(), FertiliserProducts[[#Headers],[Company]],61)</f>
        <v>Solu-Sam</v>
      </c>
      <c r="F153" s="109" t="str" cm="1">
        <f t="array" ref="F153">Common_InputFunctions.Utility_DisplayArrayInTable(Fertiliser_SourceData.Fertiliser_Products_Data3(), FertiliserProducts[[#Headers],[Company]],61)</f>
        <v>kg</v>
      </c>
      <c r="G153" s="109" cm="1">
        <f t="array" ref="G153">Common_InputFunctions.Utility_DisplayArrayInTable(Fertiliser_SourceData.Fertiliser_Products_Data3(), FertiliserProducts[[#Headers],[Company]],61)</f>
        <v>1</v>
      </c>
      <c r="H153" s="109" t="str" cm="1">
        <f t="array" ref="H153">Common_InputFunctions.Utility_DisplayArrayInTable(Fertiliser_SourceData.Fertiliser_Products_Data3(), FertiliserProducts[[#Headers],[Company]],61)</f>
        <v/>
      </c>
      <c r="I153" s="109" t="str" cm="1">
        <f t="array" ref="I153">Common_InputFunctions.Utility_DisplayArrayInTable(Fertiliser_SourceData.Fertiliser_Products_Data3(), FertiliserProducts[[#Headers],[Company]],61)</f>
        <v/>
      </c>
      <c r="J153" s="109" t="str" cm="1">
        <f t="array" ref="J153">Common_InputFunctions.Utility_DisplayArrayInTable(Fertiliser_SourceData.Fertiliser_Products_Data3(), FertiliserProducts[[#Headers],[Company]],61)</f>
        <v/>
      </c>
      <c r="K153" s="109" cm="1">
        <f t="array" ref="K153">Common_InputFunctions.Utility_DisplayArrayInTable(Fertiliser_SourceData.Fertiliser_Products_Data3(), FertiliserProducts[[#Headers],[Company]],61)</f>
        <v>21</v>
      </c>
      <c r="L153" s="109" t="str" cm="1">
        <f t="array" ref="L153">Common_InputFunctions.Utility_DisplayArrayInTable(Fertiliser_SourceData.Fertiliser_Products_Data3(), FertiliserProducts[[#Headers],[Company]],61)</f>
        <v/>
      </c>
      <c r="M153" s="109" t="str" cm="1">
        <f t="array" ref="M153">Common_InputFunctions.Utility_DisplayArrayInTable(Fertiliser_SourceData.Fertiliser_Products_Data3(), FertiliserProducts[[#Headers],[Company]],61)</f>
        <v/>
      </c>
      <c r="N153" s="109" cm="1">
        <f t="array" ref="N153">Common_InputFunctions.Utility_DisplayArrayInTable(Fertiliser_SourceData.Fertiliser_Products_Data3(), FertiliserProducts[[#Headers],[Company]],61)</f>
        <v>24</v>
      </c>
      <c r="O153" s="109" t="str" cm="1">
        <f t="array" ref="O153">Common_InputFunctions.Utility_DisplayArrayInTable(Fertiliser_SourceData.Fertiliser_Products_Data3(), FertiliserProducts[[#Headers],[Company]],61)</f>
        <v>Sulphate of ammonia (SOA)</v>
      </c>
      <c r="P153" s="109" cm="1">
        <f t="array" ref="P153">Common_InputFunctions.Utility_DisplayArrayInTable(Fertiliser_SourceData.Fertiliser_Products_Data3(), FertiliserProducts[[#Headers],[Company]],61)</f>
        <v>1</v>
      </c>
      <c r="Q153" s="109" t="str" cm="1">
        <f t="array" ref="Q153">Common_InputFunctions.Utility_DisplayArrayInTable(Fertiliser_SourceData.Fertiliser_Products_Data3(), FertiliserProducts[[#Headers],[Company]],61)</f>
        <v/>
      </c>
      <c r="R153" s="109" t="str" cm="1">
        <f t="array" ref="R153">Common_InputFunctions.Utility_DisplayArrayInTable(Fertiliser_SourceData.Fertiliser_Products_Data3(), FertiliserProducts[[#Headers],[Company]],61)</f>
        <v/>
      </c>
      <c r="S153" s="109" t="str" cm="1">
        <f t="array" ref="S153">Common_InputFunctions.Utility_DisplayArrayInTable(Fertiliser_SourceData.Fertiliser_Products_Data3(), FertiliserProducts[[#Headers],[Company]],61)</f>
        <v/>
      </c>
      <c r="T153" s="109" t="str" cm="1">
        <f t="array" ref="T153">Common_InputFunctions.Utility_DisplayArrayInTable(Fertiliser_SourceData.Fertiliser_Products_Data3(), FertiliserProducts[[#Headers],[Company]],61)</f>
        <v/>
      </c>
      <c r="U153" s="109" t="str" cm="1">
        <f t="array" ref="U153">Common_InputFunctions.Utility_DisplayArrayInTable(Fertiliser_SourceData.Fertiliser_Products_Data3(), FertiliserProducts[[#Headers],[Company]],61)</f>
        <v/>
      </c>
      <c r="V153" s="109" t="str" cm="1">
        <f t="array" ref="V153">Common_InputFunctions.Utility_DisplayArrayInTable(Fertiliser_SourceData.Fertiliser_Products_Data3(), FertiliserProducts[[#Headers],[Company]],61)</f>
        <v/>
      </c>
      <c r="W153" s="109" t="str" cm="1">
        <f t="array" ref="W153">Common_InputFunctions.Utility_DisplayArrayInTable(Fertiliser_SourceData.Fertiliser_Products_Data3(), FertiliserProducts[[#Headers],[Company]],61)</f>
        <v/>
      </c>
      <c r="X153" s="109" t="str" cm="1">
        <f t="array" ref="X153">Common_InputFunctions.Utility_DisplayArrayInTable(Fertiliser_SourceData.Fertiliser_Products_Data3(), FertiliserProducts[[#Headers],[Company]],61)</f>
        <v/>
      </c>
      <c r="Y153" s="109" t="str" cm="1">
        <f t="array" ref="Y153">Common_InputFunctions.Utility_DisplayArrayInTable(Fertiliser_SourceData.Fertiliser_Products_Data3(), FertiliserProducts[[#Headers],[Company]],61)</f>
        <v/>
      </c>
      <c r="Z153" s="109" t="str" cm="1">
        <f t="array" ref="Z153">Common_InputFunctions.Utility_DisplayArrayInTable(Fertiliser_SourceData.Fertiliser_Products_Data3(), FertiliserProducts[[#Headers],[Company]],61)</f>
        <v/>
      </c>
      <c r="AA153" s="109" t="str" cm="1">
        <f t="array" ref="AA153">Common_InputFunctions.Utility_DisplayArrayInTable(Fertiliser_SourceData.Fertiliser_Products_Data3(), FertiliserProducts[[#Headers],[Company]],61)</f>
        <v/>
      </c>
      <c r="AB153" s="109" t="str" cm="1">
        <f t="array" ref="AB153">Common_InputFunctions.Utility_DisplayArrayInTable(Fertiliser_SourceData.Fertiliser_Products_Data3(), FertiliserProducts[[#Headers],[Company]],61)</f>
        <v/>
      </c>
      <c r="AC153" s="109" t="str" cm="1">
        <f t="array" ref="AC153">Common_InputFunctions.Utility_DisplayArrayInTable(Fertiliser_SourceData.Fertiliser_Products_Data3(), FertiliserProducts[[#Headers],[Company]],61)</f>
        <v/>
      </c>
      <c r="AD153" s="109" t="str" cm="1">
        <f t="array" ref="AD153">Common_InputFunctions.Utility_DisplayArrayInTable(Fertiliser_SourceData.Fertiliser_Products_Data3(), FertiliserProducts[[#Headers],[Company]],61)</f>
        <v/>
      </c>
      <c r="AE153" s="109" t="str" cm="1">
        <f t="array" ref="AE153">Common_InputFunctions.Utility_DisplayArrayInTable(Fertiliser_SourceData.Fertiliser_Products_Data3(), FertiliserProducts[[#Headers],[Company]],61)</f>
        <v/>
      </c>
      <c r="AF153" s="109" t="str" cm="1">
        <f t="array" ref="AF153">Common_InputFunctions.Utility_DisplayArrayInTable(Fertiliser_SourceData.Fertiliser_Products_Data3(), FertiliserProducts[[#Headers],[Company]],61)</f>
        <v/>
      </c>
      <c r="AG153" s="109" t="str" cm="1">
        <f t="array" ref="AG153">Common_InputFunctions.Utility_DisplayArrayInTable(Fertiliser_SourceData.Fertiliser_Products_Data3(), FertiliserProducts[[#Headers],[Company]],61)</f>
        <v/>
      </c>
      <c r="AH153" s="109"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09" t="str" cm="1">
        <f t="array" ref="D154">Common_InputFunctions.Utility_DisplayArrayInTable(Fertiliser_SourceData.Fertiliser_Products_Data3(), FertiliserProducts[[#Headers],[Company]],61)</f>
        <v>Campbells fertilisers Australia</v>
      </c>
      <c r="E154" s="109" t="str" cm="1">
        <f t="array" ref="E154">Common_InputFunctions.Utility_DisplayArrayInTable(Fertiliser_SourceData.Fertiliser_Products_Data3(), FertiliserProducts[[#Headers],[Company]],61)</f>
        <v>Rustica Plus</v>
      </c>
      <c r="F154" s="109" t="str" cm="1">
        <f t="array" ref="F154">Common_InputFunctions.Utility_DisplayArrayInTable(Fertiliser_SourceData.Fertiliser_Products_Data3(), FertiliserProducts[[#Headers],[Company]],61)</f>
        <v>kg</v>
      </c>
      <c r="G154" s="109" cm="1">
        <f t="array" ref="G154">Common_InputFunctions.Utility_DisplayArrayInTable(Fertiliser_SourceData.Fertiliser_Products_Data3(), FertiliserProducts[[#Headers],[Company]],61)</f>
        <v>1</v>
      </c>
      <c r="H154" s="109" t="str" cm="1">
        <f t="array" ref="H154">Common_InputFunctions.Utility_DisplayArrayInTable(Fertiliser_SourceData.Fertiliser_Products_Data3(), FertiliserProducts[[#Headers],[Company]],61)</f>
        <v/>
      </c>
      <c r="I154" s="109" t="str" cm="1">
        <f t="array" ref="I154">Common_InputFunctions.Utility_DisplayArrayInTable(Fertiliser_SourceData.Fertiliser_Products_Data3(), FertiliserProducts[[#Headers],[Company]],61)</f>
        <v/>
      </c>
      <c r="J154" s="109" t="str" cm="1">
        <f t="array" ref="J154">Common_InputFunctions.Utility_DisplayArrayInTable(Fertiliser_SourceData.Fertiliser_Products_Data3(), FertiliserProducts[[#Headers],[Company]],61)</f>
        <v/>
      </c>
      <c r="K154" s="109" cm="1">
        <f t="array" ref="K154">Common_InputFunctions.Utility_DisplayArrayInTable(Fertiliser_SourceData.Fertiliser_Products_Data3(), FertiliserProducts[[#Headers],[Company]],61)</f>
        <v>12</v>
      </c>
      <c r="L154" s="109" cm="1">
        <f t="array" ref="L154">Common_InputFunctions.Utility_DisplayArrayInTable(Fertiliser_SourceData.Fertiliser_Products_Data3(), FertiliserProducts[[#Headers],[Company]],61)</f>
        <v>5</v>
      </c>
      <c r="M154" s="109" cm="1">
        <f t="array" ref="M154">Common_InputFunctions.Utility_DisplayArrayInTable(Fertiliser_SourceData.Fertiliser_Products_Data3(), FertiliserProducts[[#Headers],[Company]],61)</f>
        <v>14</v>
      </c>
      <c r="N154" s="109" cm="1">
        <f t="array" ref="N154">Common_InputFunctions.Utility_DisplayArrayInTable(Fertiliser_SourceData.Fertiliser_Products_Data3(), FertiliserProducts[[#Headers],[Company]],61)</f>
        <v>9.6999999999999993</v>
      </c>
      <c r="O154" s="109" t="str" cm="1">
        <f t="array" ref="O154">Common_InputFunctions.Utility_DisplayArrayInTable(Fertiliser_SourceData.Fertiliser_Products_Data3(), FertiliserProducts[[#Headers],[Company]],61)</f>
        <v>Potassium - Generic</v>
      </c>
      <c r="P154" s="109" cm="1">
        <f t="array" ref="P154">Common_InputFunctions.Utility_DisplayArrayInTable(Fertiliser_SourceData.Fertiliser_Products_Data3(), FertiliserProducts[[#Headers],[Company]],61)</f>
        <v>0.14000000000000001</v>
      </c>
      <c r="Q154" s="109" t="str" cm="1">
        <f t="array" ref="Q154">Common_InputFunctions.Utility_DisplayArrayInTable(Fertiliser_SourceData.Fertiliser_Products_Data3(), FertiliserProducts[[#Headers],[Company]],61)</f>
        <v>Sulfur - Generic</v>
      </c>
      <c r="R154" s="109" cm="1">
        <f t="array" ref="R154">Common_InputFunctions.Utility_DisplayArrayInTable(Fertiliser_SourceData.Fertiliser_Products_Data3(), FertiliserProducts[[#Headers],[Company]],61)</f>
        <v>9.7000000000000003E-2</v>
      </c>
      <c r="S154" s="109" t="str" cm="1">
        <f t="array" ref="S154">Common_InputFunctions.Utility_DisplayArrayInTable(Fertiliser_SourceData.Fertiliser_Products_Data3(), FertiliserProducts[[#Headers],[Company]],61)</f>
        <v>Nitrogen - Nitrate</v>
      </c>
      <c r="T154" s="109" cm="1">
        <f t="array" ref="T154">Common_InputFunctions.Utility_DisplayArrayInTable(Fertiliser_SourceData.Fertiliser_Products_Data3(), FertiliserProducts[[#Headers],[Company]],61)</f>
        <v>0.06</v>
      </c>
      <c r="U154" s="109" t="str" cm="1">
        <f t="array" ref="U154">Common_InputFunctions.Utility_DisplayArrayInTable(Fertiliser_SourceData.Fertiliser_Products_Data3(), FertiliserProducts[[#Headers],[Company]],61)</f>
        <v>Nitrogen - Ammoniacal</v>
      </c>
      <c r="V154" s="109" cm="1">
        <f t="array" ref="V154">Common_InputFunctions.Utility_DisplayArrayInTable(Fertiliser_SourceData.Fertiliser_Products_Data3(), FertiliserProducts[[#Headers],[Company]],61)</f>
        <v>0.06</v>
      </c>
      <c r="W154" s="109" t="str" cm="1">
        <f t="array" ref="W154">Common_InputFunctions.Utility_DisplayArrayInTable(Fertiliser_SourceData.Fertiliser_Products_Data3(), FertiliserProducts[[#Headers],[Company]],61)</f>
        <v>Phosphorus - Generic</v>
      </c>
      <c r="X154" s="109" cm="1">
        <f t="array" ref="X154">Common_InputFunctions.Utility_DisplayArrayInTable(Fertiliser_SourceData.Fertiliser_Products_Data3(), FertiliserProducts[[#Headers],[Company]],61)</f>
        <v>0.05</v>
      </c>
      <c r="Y154" s="109" t="str" cm="1">
        <f t="array" ref="Y154">Common_InputFunctions.Utility_DisplayArrayInTable(Fertiliser_SourceData.Fertiliser_Products_Data3(), FertiliserProducts[[#Headers],[Company]],61)</f>
        <v>Calcium</v>
      </c>
      <c r="Z154" s="109" cm="1">
        <f t="array" ref="Z154">Common_InputFunctions.Utility_DisplayArrayInTable(Fertiliser_SourceData.Fertiliser_Products_Data3(), FertiliserProducts[[#Headers],[Company]],61)</f>
        <v>3.1E-2</v>
      </c>
      <c r="AA154" s="109" t="str" cm="1">
        <f t="array" ref="AA154">Common_InputFunctions.Utility_DisplayArrayInTable(Fertiliser_SourceData.Fertiliser_Products_Data3(), FertiliserProducts[[#Headers],[Company]],61)</f>
        <v>Magnesium</v>
      </c>
      <c r="AB154" s="109" cm="1">
        <f t="array" ref="AB154">Common_InputFunctions.Utility_DisplayArrayInTable(Fertiliser_SourceData.Fertiliser_Products_Data3(), FertiliserProducts[[#Headers],[Company]],61)</f>
        <v>1.2E-2</v>
      </c>
      <c r="AC154" s="109" t="str" cm="1">
        <f t="array" ref="AC154">Common_InputFunctions.Utility_DisplayArrayInTable(Fertiliser_SourceData.Fertiliser_Products_Data3(), FertiliserProducts[[#Headers],[Company]],61)</f>
        <v>Zinc</v>
      </c>
      <c r="AD154" s="109" cm="1">
        <f t="array" ref="AD154">Common_InputFunctions.Utility_DisplayArrayInTable(Fertiliser_SourceData.Fertiliser_Products_Data3(), FertiliserProducts[[#Headers],[Company]],61)</f>
        <v>1E-3</v>
      </c>
      <c r="AE154" s="109" t="str" cm="1">
        <f t="array" ref="AE154">Common_InputFunctions.Utility_DisplayArrayInTable(Fertiliser_SourceData.Fertiliser_Products_Data3(), FertiliserProducts[[#Headers],[Company]],61)</f>
        <v>Boron</v>
      </c>
      <c r="AF154" s="109" cm="1">
        <f t="array" ref="AF154">Common_InputFunctions.Utility_DisplayArrayInTable(Fertiliser_SourceData.Fertiliser_Products_Data3(), FertiliserProducts[[#Headers],[Company]],61)</f>
        <v>2.0000000000000001E-4</v>
      </c>
      <c r="AG154" s="109" t="str" cm="1">
        <f t="array" ref="AG154">Common_InputFunctions.Utility_DisplayArrayInTable(Fertiliser_SourceData.Fertiliser_Products_Data3(), FertiliserProducts[[#Headers],[Company]],61)</f>
        <v/>
      </c>
      <c r="AH154" s="109" t="str" cm="1">
        <f t="array" ref="AH154">Common_InputFunctions.Utility_DisplayArrayInTable(Fertiliser_SourceData.Fertiliser_Products_Data3(), FertiliserProducts[[#Headers],[Company]],61)</f>
        <v/>
      </c>
      <c r="AK154" s="1"/>
    </row>
    <row r="155" spans="4:39" ht="20.100000000000001" customHeight="1" x14ac:dyDescent="0.25">
      <c r="D155" s="109" t="str" cm="1">
        <f t="array" ref="D155">Common_InputFunctions.Utility_DisplayArrayInTable(Fertiliser_SourceData.Fertiliser_Products_Data3(), FertiliserProducts[[#Headers],[Company]],61)</f>
        <v>Campbells fertilisers Australia</v>
      </c>
      <c r="E155" s="109" t="str" cm="1">
        <f t="array" ref="E155">Common_InputFunctions.Utility_DisplayArrayInTable(Fertiliser_SourceData.Fertiliser_Products_Data3(), FertiliserProducts[[#Headers],[Company]],61)</f>
        <v>Platinum Plus</v>
      </c>
      <c r="F155" s="109" t="str" cm="1">
        <f t="array" ref="F155">Common_InputFunctions.Utility_DisplayArrayInTable(Fertiliser_SourceData.Fertiliser_Products_Data3(), FertiliserProducts[[#Headers],[Company]],61)</f>
        <v>kg</v>
      </c>
      <c r="G155" s="109" cm="1">
        <f t="array" ref="G155">Common_InputFunctions.Utility_DisplayArrayInTable(Fertiliser_SourceData.Fertiliser_Products_Data3(), FertiliserProducts[[#Headers],[Company]],61)</f>
        <v>1</v>
      </c>
      <c r="H155" s="109" t="str" cm="1">
        <f t="array" ref="H155">Common_InputFunctions.Utility_DisplayArrayInTable(Fertiliser_SourceData.Fertiliser_Products_Data3(), FertiliserProducts[[#Headers],[Company]],61)</f>
        <v/>
      </c>
      <c r="I155" s="109" t="str" cm="1">
        <f t="array" ref="I155">Common_InputFunctions.Utility_DisplayArrayInTable(Fertiliser_SourceData.Fertiliser_Products_Data3(), FertiliserProducts[[#Headers],[Company]],61)</f>
        <v/>
      </c>
      <c r="J155" s="109" t="str" cm="1">
        <f t="array" ref="J155">Common_InputFunctions.Utility_DisplayArrayInTable(Fertiliser_SourceData.Fertiliser_Products_Data3(), FertiliserProducts[[#Headers],[Company]],61)</f>
        <v/>
      </c>
      <c r="K155" s="109" cm="1">
        <f t="array" ref="K155">Common_InputFunctions.Utility_DisplayArrayInTable(Fertiliser_SourceData.Fertiliser_Products_Data3(), FertiliserProducts[[#Headers],[Company]],61)</f>
        <v>10</v>
      </c>
      <c r="L155" s="109" cm="1">
        <f t="array" ref="L155">Common_InputFunctions.Utility_DisplayArrayInTable(Fertiliser_SourceData.Fertiliser_Products_Data3(), FertiliserProducts[[#Headers],[Company]],61)</f>
        <v>11</v>
      </c>
      <c r="M155" s="109" cm="1">
        <f t="array" ref="M155">Common_InputFunctions.Utility_DisplayArrayInTable(Fertiliser_SourceData.Fertiliser_Products_Data3(), FertiliserProducts[[#Headers],[Company]],61)</f>
        <v>10</v>
      </c>
      <c r="N155" s="109" cm="1">
        <f t="array" ref="N155">Common_InputFunctions.Utility_DisplayArrayInTable(Fertiliser_SourceData.Fertiliser_Products_Data3(), FertiliserProducts[[#Headers],[Company]],61)</f>
        <v>6</v>
      </c>
      <c r="O155" s="109" t="str" cm="1">
        <f t="array" ref="O155">Common_InputFunctions.Utility_DisplayArrayInTable(Fertiliser_SourceData.Fertiliser_Products_Data3(), FertiliserProducts[[#Headers],[Company]],61)</f>
        <v>Phosphorus - Generic</v>
      </c>
      <c r="P155" s="109" cm="1">
        <f t="array" ref="P155">Common_InputFunctions.Utility_DisplayArrayInTable(Fertiliser_SourceData.Fertiliser_Products_Data3(), FertiliserProducts[[#Headers],[Company]],61)</f>
        <v>0.11</v>
      </c>
      <c r="Q155" s="109" t="str" cm="1">
        <f t="array" ref="Q155">Common_InputFunctions.Utility_DisplayArrayInTable(Fertiliser_SourceData.Fertiliser_Products_Data3(), FertiliserProducts[[#Headers],[Company]],61)</f>
        <v>Potassium - Generic</v>
      </c>
      <c r="R155" s="109" cm="1">
        <f t="array" ref="R155">Common_InputFunctions.Utility_DisplayArrayInTable(Fertiliser_SourceData.Fertiliser_Products_Data3(), FertiliserProducts[[#Headers],[Company]],61)</f>
        <v>0.1</v>
      </c>
      <c r="S155" s="109" t="str" cm="1">
        <f t="array" ref="S155">Common_InputFunctions.Utility_DisplayArrayInTable(Fertiliser_SourceData.Fertiliser_Products_Data3(), FertiliserProducts[[#Headers],[Company]],61)</f>
        <v>Sulfur - Generic</v>
      </c>
      <c r="T155" s="109" cm="1">
        <f t="array" ref="T155">Common_InputFunctions.Utility_DisplayArrayInTable(Fertiliser_SourceData.Fertiliser_Products_Data3(), FertiliserProducts[[#Headers],[Company]],61)</f>
        <v>0.06</v>
      </c>
      <c r="U155" s="109" t="str" cm="1">
        <f t="array" ref="U155">Common_InputFunctions.Utility_DisplayArrayInTable(Fertiliser_SourceData.Fertiliser_Products_Data3(), FertiliserProducts[[#Headers],[Company]],61)</f>
        <v>Nitrogen - Nitrate</v>
      </c>
      <c r="V155" s="109" cm="1">
        <f t="array" ref="V155">Common_InputFunctions.Utility_DisplayArrayInTable(Fertiliser_SourceData.Fertiliser_Products_Data3(), FertiliserProducts[[#Headers],[Company]],61)</f>
        <v>0.05</v>
      </c>
      <c r="W155" s="109" t="str" cm="1">
        <f t="array" ref="W155">Common_InputFunctions.Utility_DisplayArrayInTable(Fertiliser_SourceData.Fertiliser_Products_Data3(), FertiliserProducts[[#Headers],[Company]],61)</f>
        <v>Nitrogen - Ammoniacal</v>
      </c>
      <c r="X155" s="109" cm="1">
        <f t="array" ref="X155">Common_InputFunctions.Utility_DisplayArrayInTable(Fertiliser_SourceData.Fertiliser_Products_Data3(), FertiliserProducts[[#Headers],[Company]],61)</f>
        <v>0.05</v>
      </c>
      <c r="Y155" s="109" t="str" cm="1">
        <f t="array" ref="Y155">Common_InputFunctions.Utility_DisplayArrayInTable(Fertiliser_SourceData.Fertiliser_Products_Data3(), FertiliserProducts[[#Headers],[Company]],61)</f>
        <v>Calcium</v>
      </c>
      <c r="Z155" s="109" cm="1">
        <f t="array" ref="Z155">Common_InputFunctions.Utility_DisplayArrayInTable(Fertiliser_SourceData.Fertiliser_Products_Data3(), FertiliserProducts[[#Headers],[Company]],61)</f>
        <v>4.2999999999999997E-2</v>
      </c>
      <c r="AA155" s="109" t="str" cm="1">
        <f t="array" ref="AA155">Common_InputFunctions.Utility_DisplayArrayInTable(Fertiliser_SourceData.Fertiliser_Products_Data3(), FertiliserProducts[[#Headers],[Company]],61)</f>
        <v>Magnesium</v>
      </c>
      <c r="AB155" s="109" cm="1">
        <f t="array" ref="AB155">Common_InputFunctions.Utility_DisplayArrayInTable(Fertiliser_SourceData.Fertiliser_Products_Data3(), FertiliserProducts[[#Headers],[Company]],61)</f>
        <v>1.2E-2</v>
      </c>
      <c r="AC155" s="109" t="str" cm="1">
        <f t="array" ref="AC155">Common_InputFunctions.Utility_DisplayArrayInTable(Fertiliser_SourceData.Fertiliser_Products_Data3(), FertiliserProducts[[#Headers],[Company]],61)</f>
        <v>Zinc</v>
      </c>
      <c r="AD155" s="109" cm="1">
        <f t="array" ref="AD155">Common_InputFunctions.Utility_DisplayArrayInTable(Fertiliser_SourceData.Fertiliser_Products_Data3(), FertiliserProducts[[#Headers],[Company]],61)</f>
        <v>3.5999999999999999E-3</v>
      </c>
      <c r="AE155" s="109" t="str" cm="1">
        <f t="array" ref="AE155">Common_InputFunctions.Utility_DisplayArrayInTable(Fertiliser_SourceData.Fertiliser_Products_Data3(), FertiliserProducts[[#Headers],[Company]],61)</f>
        <v>Boron</v>
      </c>
      <c r="AF155" s="109" cm="1">
        <f t="array" ref="AF155">Common_InputFunctions.Utility_DisplayArrayInTable(Fertiliser_SourceData.Fertiliser_Products_Data3(), FertiliserProducts[[#Headers],[Company]],61)</f>
        <v>1E-3</v>
      </c>
      <c r="AG155" s="109" t="str" cm="1">
        <f t="array" ref="AG155">Common_InputFunctions.Utility_DisplayArrayInTable(Fertiliser_SourceData.Fertiliser_Products_Data3(), FertiliserProducts[[#Headers],[Company]],61)</f>
        <v/>
      </c>
      <c r="AH155" s="109" t="str" cm="1">
        <f t="array" ref="AH155">Common_InputFunctions.Utility_DisplayArrayInTable(Fertiliser_SourceData.Fertiliser_Products_Data3(), FertiliserProducts[[#Headers],[Company]],61)</f>
        <v/>
      </c>
      <c r="AK155" s="1"/>
    </row>
    <row r="156" spans="4:39" ht="20.100000000000001" customHeight="1" x14ac:dyDescent="0.25">
      <c r="D156" s="109" t="str" cm="1">
        <f t="array" ref="D156">Common_InputFunctions.Utility_DisplayArrayInTable(Fertiliser_SourceData.Fertiliser_Products_Data3(), FertiliserProducts[[#Headers],[Company]],61)</f>
        <v>Campbells fertilisers Australia</v>
      </c>
      <c r="E156" s="109" t="str" cm="1">
        <f t="array" ref="E156">Common_InputFunctions.Utility_DisplayArrayInTable(Fertiliser_SourceData.Fertiliser_Products_Data3(), FertiliserProducts[[#Headers],[Company]],61)</f>
        <v>Tropika</v>
      </c>
      <c r="F156" s="109" t="str" cm="1">
        <f t="array" ref="F156">Common_InputFunctions.Utility_DisplayArrayInTable(Fertiliser_SourceData.Fertiliser_Products_Data3(), FertiliserProducts[[#Headers],[Company]],61)</f>
        <v>kg</v>
      </c>
      <c r="G156" s="109" cm="1">
        <f t="array" ref="G156">Common_InputFunctions.Utility_DisplayArrayInTable(Fertiliser_SourceData.Fertiliser_Products_Data3(), FertiliserProducts[[#Headers],[Company]],61)</f>
        <v>1</v>
      </c>
      <c r="H156" s="109" t="str" cm="1">
        <f t="array" ref="H156">Common_InputFunctions.Utility_DisplayArrayInTable(Fertiliser_SourceData.Fertiliser_Products_Data3(), FertiliserProducts[[#Headers],[Company]],61)</f>
        <v/>
      </c>
      <c r="I156" s="109" t="str" cm="1">
        <f t="array" ref="I156">Common_InputFunctions.Utility_DisplayArrayInTable(Fertiliser_SourceData.Fertiliser_Products_Data3(), FertiliserProducts[[#Headers],[Company]],61)</f>
        <v/>
      </c>
      <c r="J156" s="109" t="str" cm="1">
        <f t="array" ref="J156">Common_InputFunctions.Utility_DisplayArrayInTable(Fertiliser_SourceData.Fertiliser_Products_Data3(), FertiliserProducts[[#Headers],[Company]],61)</f>
        <v/>
      </c>
      <c r="K156" s="109" cm="1">
        <f t="array" ref="K156">Common_InputFunctions.Utility_DisplayArrayInTable(Fertiliser_SourceData.Fertiliser_Products_Data3(), FertiliserProducts[[#Headers],[Company]],61)</f>
        <v>11</v>
      </c>
      <c r="L156" s="109" cm="1">
        <f t="array" ref="L156">Common_InputFunctions.Utility_DisplayArrayInTable(Fertiliser_SourceData.Fertiliser_Products_Data3(), FertiliserProducts[[#Headers],[Company]],61)</f>
        <v>2.6</v>
      </c>
      <c r="M156" s="109" cm="1">
        <f t="array" ref="M156">Common_InputFunctions.Utility_DisplayArrayInTable(Fertiliser_SourceData.Fertiliser_Products_Data3(), FertiliserProducts[[#Headers],[Company]],61)</f>
        <v>20.8</v>
      </c>
      <c r="N156" s="109" cm="1">
        <f t="array" ref="N156">Common_InputFunctions.Utility_DisplayArrayInTable(Fertiliser_SourceData.Fertiliser_Products_Data3(), FertiliserProducts[[#Headers],[Company]],61)</f>
        <v>4</v>
      </c>
      <c r="O156" s="109" t="str" cm="1">
        <f t="array" ref="O156">Common_InputFunctions.Utility_DisplayArrayInTable(Fertiliser_SourceData.Fertiliser_Products_Data3(), FertiliserProducts[[#Headers],[Company]],61)</f>
        <v>Nitrogen - Nitrate</v>
      </c>
      <c r="P156" s="109" cm="1">
        <f t="array" ref="P156">Common_InputFunctions.Utility_DisplayArrayInTable(Fertiliser_SourceData.Fertiliser_Products_Data3(), FertiliserProducts[[#Headers],[Company]],61)</f>
        <v>5.5E-2</v>
      </c>
      <c r="Q156" s="109" t="str" cm="1">
        <f t="array" ref="Q156">Common_InputFunctions.Utility_DisplayArrayInTable(Fertiliser_SourceData.Fertiliser_Products_Data3(), FertiliserProducts[[#Headers],[Company]],61)</f>
        <v>Nitrogen - Ammoniacal</v>
      </c>
      <c r="R156" s="109" cm="1">
        <f t="array" ref="R156">Common_InputFunctions.Utility_DisplayArrayInTable(Fertiliser_SourceData.Fertiliser_Products_Data3(), FertiliserProducts[[#Headers],[Company]],61)</f>
        <v>5.5E-2</v>
      </c>
      <c r="S156" s="109" t="str" cm="1">
        <f t="array" ref="S156">Common_InputFunctions.Utility_DisplayArrayInTable(Fertiliser_SourceData.Fertiliser_Products_Data3(), FertiliserProducts[[#Headers],[Company]],61)</f>
        <v>Phosphorus - Generic</v>
      </c>
      <c r="T156" s="109" cm="1">
        <f t="array" ref="T156">Common_InputFunctions.Utility_DisplayArrayInTable(Fertiliser_SourceData.Fertiliser_Products_Data3(), FertiliserProducts[[#Headers],[Company]],61)</f>
        <v>2.5999999999999999E-2</v>
      </c>
      <c r="U156" s="109" t="str" cm="1">
        <f t="array" ref="U156">Common_InputFunctions.Utility_DisplayArrayInTable(Fertiliser_SourceData.Fertiliser_Products_Data3(), FertiliserProducts[[#Headers],[Company]],61)</f>
        <v>Potassium - Generic</v>
      </c>
      <c r="V156" s="109" cm="1">
        <f t="array" ref="V156">Common_InputFunctions.Utility_DisplayArrayInTable(Fertiliser_SourceData.Fertiliser_Products_Data3(), FertiliserProducts[[#Headers],[Company]],61)</f>
        <v>0.20799999999999999</v>
      </c>
      <c r="W156" s="109" t="str" cm="1">
        <f t="array" ref="W156">Common_InputFunctions.Utility_DisplayArrayInTable(Fertiliser_SourceData.Fertiliser_Products_Data3(), FertiliserProducts[[#Headers],[Company]],61)</f>
        <v>Sulfur - Generic</v>
      </c>
      <c r="X156" s="109" cm="1">
        <f t="array" ref="X156">Common_InputFunctions.Utility_DisplayArrayInTable(Fertiliser_SourceData.Fertiliser_Products_Data3(), FertiliserProducts[[#Headers],[Company]],61)</f>
        <v>0.04</v>
      </c>
      <c r="Y156" s="109" t="str" cm="1">
        <f t="array" ref="Y156">Common_InputFunctions.Utility_DisplayArrayInTable(Fertiliser_SourceData.Fertiliser_Products_Data3(), FertiliserProducts[[#Headers],[Company]],61)</f>
        <v>Magnesium</v>
      </c>
      <c r="Z156" s="109" cm="1">
        <f t="array" ref="Z156">Common_InputFunctions.Utility_DisplayArrayInTable(Fertiliser_SourceData.Fertiliser_Products_Data3(), FertiliserProducts[[#Headers],[Company]],61)</f>
        <v>2.4E-2</v>
      </c>
      <c r="AA156" s="109" t="str" cm="1">
        <f t="array" ref="AA156">Common_InputFunctions.Utility_DisplayArrayInTable(Fertiliser_SourceData.Fertiliser_Products_Data3(), FertiliserProducts[[#Headers],[Company]],61)</f>
        <v/>
      </c>
      <c r="AB156" s="109" t="str" cm="1">
        <f t="array" ref="AB156">Common_InputFunctions.Utility_DisplayArrayInTable(Fertiliser_SourceData.Fertiliser_Products_Data3(), FertiliserProducts[[#Headers],[Company]],61)</f>
        <v/>
      </c>
      <c r="AC156" s="109" t="str" cm="1">
        <f t="array" ref="AC156">Common_InputFunctions.Utility_DisplayArrayInTable(Fertiliser_SourceData.Fertiliser_Products_Data3(), FertiliserProducts[[#Headers],[Company]],61)</f>
        <v/>
      </c>
      <c r="AD156" s="109" t="str" cm="1">
        <f t="array" ref="AD156">Common_InputFunctions.Utility_DisplayArrayInTable(Fertiliser_SourceData.Fertiliser_Products_Data3(), FertiliserProducts[[#Headers],[Company]],61)</f>
        <v/>
      </c>
      <c r="AE156" s="109" t="str" cm="1">
        <f t="array" ref="AE156">Common_InputFunctions.Utility_DisplayArrayInTable(Fertiliser_SourceData.Fertiliser_Products_Data3(), FertiliserProducts[[#Headers],[Company]],61)</f>
        <v/>
      </c>
      <c r="AF156" s="109" t="str" cm="1">
        <f t="array" ref="AF156">Common_InputFunctions.Utility_DisplayArrayInTable(Fertiliser_SourceData.Fertiliser_Products_Data3(), FertiliserProducts[[#Headers],[Company]],61)</f>
        <v/>
      </c>
      <c r="AG156" s="109" t="str" cm="1">
        <f t="array" ref="AG156">Common_InputFunctions.Utility_DisplayArrayInTable(Fertiliser_SourceData.Fertiliser_Products_Data3(), FertiliserProducts[[#Headers],[Company]],61)</f>
        <v/>
      </c>
      <c r="AH156" s="109" t="str" cm="1">
        <f t="array" ref="AH156">Common_InputFunctions.Utility_DisplayArrayInTable(Fertiliser_SourceData.Fertiliser_Products_Data3(), FertiliserProducts[[#Headers],[Company]],61)</f>
        <v/>
      </c>
      <c r="AK156" s="1"/>
    </row>
    <row r="157" spans="4:39" ht="20.100000000000001" customHeight="1" x14ac:dyDescent="0.25">
      <c r="D157" s="109" t="str" cm="1">
        <f t="array" ref="D157">Common_InputFunctions.Utility_DisplayArrayInTable(Fertiliser_SourceData.Fertiliser_Products_Data3(), FertiliserProducts[[#Headers],[Company]],61)</f>
        <v>Campbells fertilisers Australia</v>
      </c>
      <c r="E157" s="109" t="str" cm="1">
        <f t="array" ref="E157">Common_InputFunctions.Utility_DisplayArrayInTable(Fertiliser_SourceData.Fertiliser_Products_Data3(), FertiliserProducts[[#Headers],[Company]],61)</f>
        <v>Rustica Nergetic</v>
      </c>
      <c r="F157" s="109" t="str" cm="1">
        <f t="array" ref="F157">Common_InputFunctions.Utility_DisplayArrayInTable(Fertiliser_SourceData.Fertiliser_Products_Data3(), FertiliserProducts[[#Headers],[Company]],61)</f>
        <v>kg</v>
      </c>
      <c r="G157" s="109" cm="1">
        <f t="array" ref="G157">Common_InputFunctions.Utility_DisplayArrayInTable(Fertiliser_SourceData.Fertiliser_Products_Data3(), FertiliserProducts[[#Headers],[Company]],61)</f>
        <v>1</v>
      </c>
      <c r="H157" s="109" t="str" cm="1">
        <f t="array" ref="H157">Common_InputFunctions.Utility_DisplayArrayInTable(Fertiliser_SourceData.Fertiliser_Products_Data3(), FertiliserProducts[[#Headers],[Company]],61)</f>
        <v/>
      </c>
      <c r="I157" s="109" t="str" cm="1">
        <f t="array" ref="I157">Common_InputFunctions.Utility_DisplayArrayInTable(Fertiliser_SourceData.Fertiliser_Products_Data3(), FertiliserProducts[[#Headers],[Company]],61)</f>
        <v/>
      </c>
      <c r="J157" s="109" t="str" cm="1">
        <f t="array" ref="J157">Common_InputFunctions.Utility_DisplayArrayInTable(Fertiliser_SourceData.Fertiliser_Products_Data3(), FertiliserProducts[[#Headers],[Company]],61)</f>
        <v/>
      </c>
      <c r="K157" s="109" cm="1">
        <f t="array" ref="K157">Common_InputFunctions.Utility_DisplayArrayInTable(Fertiliser_SourceData.Fertiliser_Products_Data3(), FertiliserProducts[[#Headers],[Company]],61)</f>
        <v>12</v>
      </c>
      <c r="L157" s="109" cm="1">
        <f t="array" ref="L157">Common_InputFunctions.Utility_DisplayArrayInTable(Fertiliser_SourceData.Fertiliser_Products_Data3(), FertiliserProducts[[#Headers],[Company]],61)</f>
        <v>5.2</v>
      </c>
      <c r="M157" s="109" cm="1">
        <f t="array" ref="M157">Common_InputFunctions.Utility_DisplayArrayInTable(Fertiliser_SourceData.Fertiliser_Products_Data3(), FertiliserProducts[[#Headers],[Company]],61)</f>
        <v>14.1</v>
      </c>
      <c r="N157" s="109" cm="1">
        <f t="array" ref="N157">Common_InputFunctions.Utility_DisplayArrayInTable(Fertiliser_SourceData.Fertiliser_Products_Data3(), FertiliserProducts[[#Headers],[Company]],61)</f>
        <v>9.6</v>
      </c>
      <c r="O157" s="109" t="str" cm="1">
        <f t="array" ref="O157">Common_InputFunctions.Utility_DisplayArrayInTable(Fertiliser_SourceData.Fertiliser_Products_Data3(), FertiliserProducts[[#Headers],[Company]],61)</f>
        <v>Potassium - Generic</v>
      </c>
      <c r="P157" s="109" cm="1">
        <f t="array" ref="P157">Common_InputFunctions.Utility_DisplayArrayInTable(Fertiliser_SourceData.Fertiliser_Products_Data3(), FertiliserProducts[[#Headers],[Company]],61)</f>
        <v>0.14099999999999999</v>
      </c>
      <c r="Q157" s="109" t="str" cm="1">
        <f t="array" ref="Q157">Common_InputFunctions.Utility_DisplayArrayInTable(Fertiliser_SourceData.Fertiliser_Products_Data3(), FertiliserProducts[[#Headers],[Company]],61)</f>
        <v>Sulfur - Generic</v>
      </c>
      <c r="R157" s="109" cm="1">
        <f t="array" ref="R157">Common_InputFunctions.Utility_DisplayArrayInTable(Fertiliser_SourceData.Fertiliser_Products_Data3(), FertiliserProducts[[#Headers],[Company]],61)</f>
        <v>9.6000000000000002E-2</v>
      </c>
      <c r="S157" s="109" t="str" cm="1">
        <f t="array" ref="S157">Common_InputFunctions.Utility_DisplayArrayInTable(Fertiliser_SourceData.Fertiliser_Products_Data3(), FertiliserProducts[[#Headers],[Company]],61)</f>
        <v>Nitrogen - Nitrate</v>
      </c>
      <c r="T157" s="109" cm="1">
        <f t="array" ref="T157">Common_InputFunctions.Utility_DisplayArrayInTable(Fertiliser_SourceData.Fertiliser_Products_Data3(), FertiliserProducts[[#Headers],[Company]],61)</f>
        <v>0.06</v>
      </c>
      <c r="U157" s="109" t="str" cm="1">
        <f t="array" ref="U157">Common_InputFunctions.Utility_DisplayArrayInTable(Fertiliser_SourceData.Fertiliser_Products_Data3(), FertiliserProducts[[#Headers],[Company]],61)</f>
        <v>Nitrogen - Ammoniacal</v>
      </c>
      <c r="V157" s="109" cm="1">
        <f t="array" ref="V157">Common_InputFunctions.Utility_DisplayArrayInTable(Fertiliser_SourceData.Fertiliser_Products_Data3(), FertiliserProducts[[#Headers],[Company]],61)</f>
        <v>0.06</v>
      </c>
      <c r="W157" s="109" t="str" cm="1">
        <f t="array" ref="W157">Common_InputFunctions.Utility_DisplayArrayInTable(Fertiliser_SourceData.Fertiliser_Products_Data3(), FertiliserProducts[[#Headers],[Company]],61)</f>
        <v>Phosphorus - Generic</v>
      </c>
      <c r="X157" s="109" cm="1">
        <f t="array" ref="X157">Common_InputFunctions.Utility_DisplayArrayInTable(Fertiliser_SourceData.Fertiliser_Products_Data3(), FertiliserProducts[[#Headers],[Company]],61)</f>
        <v>5.1999999999999998E-2</v>
      </c>
      <c r="Y157" s="109" t="str" cm="1">
        <f t="array" ref="Y157">Common_InputFunctions.Utility_DisplayArrayInTable(Fertiliser_SourceData.Fertiliser_Products_Data3(), FertiliserProducts[[#Headers],[Company]],61)</f>
        <v>Magnesium</v>
      </c>
      <c r="Z157" s="109" cm="1">
        <f t="array" ref="Z157">Common_InputFunctions.Utility_DisplayArrayInTable(Fertiliser_SourceData.Fertiliser_Products_Data3(), FertiliserProducts[[#Headers],[Company]],61)</f>
        <v>1.2E-2</v>
      </c>
      <c r="AA157" s="109" t="str" cm="1">
        <f t="array" ref="AA157">Common_InputFunctions.Utility_DisplayArrayInTable(Fertiliser_SourceData.Fertiliser_Products_Data3(), FertiliserProducts[[#Headers],[Company]],61)</f>
        <v>Zinc</v>
      </c>
      <c r="AB157" s="109" cm="1">
        <f t="array" ref="AB157">Common_InputFunctions.Utility_DisplayArrayInTable(Fertiliser_SourceData.Fertiliser_Products_Data3(), FertiliserProducts[[#Headers],[Company]],61)</f>
        <v>8.0000000000000004E-4</v>
      </c>
      <c r="AC157" s="109" t="str" cm="1">
        <f t="array" ref="AC157">Common_InputFunctions.Utility_DisplayArrayInTable(Fertiliser_SourceData.Fertiliser_Products_Data3(), FertiliserProducts[[#Headers],[Company]],61)</f>
        <v>Iron</v>
      </c>
      <c r="AD157" s="109" cm="1">
        <f t="array" ref="AD157">Common_InputFunctions.Utility_DisplayArrayInTable(Fertiliser_SourceData.Fertiliser_Products_Data3(), FertiliserProducts[[#Headers],[Company]],61)</f>
        <v>6.9999999999999999E-4</v>
      </c>
      <c r="AE157" s="109" t="str" cm="1">
        <f t="array" ref="AE157">Common_InputFunctions.Utility_DisplayArrayInTable(Fertiliser_SourceData.Fertiliser_Products_Data3(), FertiliserProducts[[#Headers],[Company]],61)</f>
        <v>Manganese</v>
      </c>
      <c r="AF157" s="109" cm="1">
        <f t="array" ref="AF157">Common_InputFunctions.Utility_DisplayArrayInTable(Fertiliser_SourceData.Fertiliser_Products_Data3(), FertiliserProducts[[#Headers],[Company]],61)</f>
        <v>5.9999999999999995E-4</v>
      </c>
      <c r="AG157" s="109" t="str" cm="1">
        <f t="array" ref="AG157">Common_InputFunctions.Utility_DisplayArrayInTable(Fertiliser_SourceData.Fertiliser_Products_Data3(), FertiliserProducts[[#Headers],[Company]],61)</f>
        <v>Boron</v>
      </c>
      <c r="AH157" s="109" cm="1">
        <f t="array" ref="AH157">Common_InputFunctions.Utility_DisplayArrayInTable(Fertiliser_SourceData.Fertiliser_Products_Data3(), FertiliserProducts[[#Headers],[Company]],61)</f>
        <v>2.0000000000000001E-4</v>
      </c>
      <c r="AK157" s="1"/>
    </row>
    <row r="158" spans="4:39" ht="20.100000000000001" customHeight="1" x14ac:dyDescent="0.25">
      <c r="D158" s="109" t="str" cm="1">
        <f t="array" ref="D158">Common_InputFunctions.Utility_DisplayArrayInTable(Fertiliser_SourceData.Fertiliser_Products_Data3(), FertiliserProducts[[#Headers],[Company]],61)</f>
        <v>Campbells fertilisers Australia</v>
      </c>
      <c r="E158" s="109" t="str" cm="1">
        <f t="array" ref="E158">Common_InputFunctions.Utility_DisplayArrayInTable(Fertiliser_SourceData.Fertiliser_Products_Data3(), FertiliserProducts[[#Headers],[Company]],61)</f>
        <v>Quick-N Nergetic</v>
      </c>
      <c r="F158" s="109" t="str" cm="1">
        <f t="array" ref="F158">Common_InputFunctions.Utility_DisplayArrayInTable(Fertiliser_SourceData.Fertiliser_Products_Data3(), FertiliserProducts[[#Headers],[Company]],61)</f>
        <v>kg</v>
      </c>
      <c r="G158" s="109" cm="1">
        <f t="array" ref="G158">Common_InputFunctions.Utility_DisplayArrayInTable(Fertiliser_SourceData.Fertiliser_Products_Data3(), FertiliserProducts[[#Headers],[Company]],61)</f>
        <v>1</v>
      </c>
      <c r="H158" s="109" t="str" cm="1">
        <f t="array" ref="H158">Common_InputFunctions.Utility_DisplayArrayInTable(Fertiliser_SourceData.Fertiliser_Products_Data3(), FertiliserProducts[[#Headers],[Company]],61)</f>
        <v/>
      </c>
      <c r="I158" s="109" t="str" cm="1">
        <f t="array" ref="I158">Common_InputFunctions.Utility_DisplayArrayInTable(Fertiliser_SourceData.Fertiliser_Products_Data3(), FertiliserProducts[[#Headers],[Company]],61)</f>
        <v/>
      </c>
      <c r="J158" s="109" t="str" cm="1">
        <f t="array" ref="J158">Common_InputFunctions.Utility_DisplayArrayInTable(Fertiliser_SourceData.Fertiliser_Products_Data3(), FertiliserProducts[[#Headers],[Company]],61)</f>
        <v/>
      </c>
      <c r="K158" s="109" cm="1">
        <f t="array" ref="K158">Common_InputFunctions.Utility_DisplayArrayInTable(Fertiliser_SourceData.Fertiliser_Products_Data3(), FertiliserProducts[[#Headers],[Company]],61)</f>
        <v>25</v>
      </c>
      <c r="L158" s="109" t="str" cm="1">
        <f t="array" ref="L158">Common_InputFunctions.Utility_DisplayArrayInTable(Fertiliser_SourceData.Fertiliser_Products_Data3(), FertiliserProducts[[#Headers],[Company]],61)</f>
        <v/>
      </c>
      <c r="M158" s="109" t="str" cm="1">
        <f t="array" ref="M158">Common_InputFunctions.Utility_DisplayArrayInTable(Fertiliser_SourceData.Fertiliser_Products_Data3(), FertiliserProducts[[#Headers],[Company]],61)</f>
        <v/>
      </c>
      <c r="N158" s="109" cm="1">
        <f t="array" ref="N158">Common_InputFunctions.Utility_DisplayArrayInTable(Fertiliser_SourceData.Fertiliser_Products_Data3(), FertiliserProducts[[#Headers],[Company]],61)</f>
        <v>12.8</v>
      </c>
      <c r="O158" s="109" t="str" cm="1">
        <f t="array" ref="O158">Common_InputFunctions.Utility_DisplayArrayInTable(Fertiliser_SourceData.Fertiliser_Products_Data3(), FertiliserProducts[[#Headers],[Company]],61)</f>
        <v>Sulphate of ammonia (SOA)</v>
      </c>
      <c r="P158" s="109" cm="1">
        <f t="array" ref="P158">Common_InputFunctions.Utility_DisplayArrayInTable(Fertiliser_SourceData.Fertiliser_Products_Data3(), FertiliserProducts[[#Headers],[Company]],61)</f>
        <v>0.53333299999999995</v>
      </c>
      <c r="Q158" s="109" t="str" cm="1">
        <f t="array" ref="Q158">Common_InputFunctions.Utility_DisplayArrayInTable(Fertiliser_SourceData.Fertiliser_Products_Data3(), FertiliserProducts[[#Headers],[Company]],61)</f>
        <v>Ammonium nitrate (AN)</v>
      </c>
      <c r="R158" s="109" cm="1">
        <f t="array" ref="R158">Common_InputFunctions.Utility_DisplayArrayInTable(Fertiliser_SourceData.Fertiliser_Products_Data3(), FertiliserProducts[[#Headers],[Company]],61)</f>
        <v>0.40949600000000003</v>
      </c>
      <c r="S158" s="109" t="str" cm="1">
        <f t="array" ref="S158">Common_InputFunctions.Utility_DisplayArrayInTable(Fertiliser_SourceData.Fertiliser_Products_Data3(), FertiliserProducts[[#Headers],[Company]],61)</f>
        <v>Zinc</v>
      </c>
      <c r="T158" s="109" cm="1">
        <f t="array" ref="T158">Common_InputFunctions.Utility_DisplayArrayInTable(Fertiliser_SourceData.Fertiliser_Products_Data3(), FertiliserProducts[[#Headers],[Company]],61)</f>
        <v>1E-3</v>
      </c>
      <c r="U158" s="109" t="str" cm="1">
        <f t="array" ref="U158">Common_InputFunctions.Utility_DisplayArrayInTable(Fertiliser_SourceData.Fertiliser_Products_Data3(), FertiliserProducts[[#Headers],[Company]],61)</f>
        <v>Manganese</v>
      </c>
      <c r="V158" s="109" cm="1">
        <f t="array" ref="V158">Common_InputFunctions.Utility_DisplayArrayInTable(Fertiliser_SourceData.Fertiliser_Products_Data3(), FertiliserProducts[[#Headers],[Company]],61)</f>
        <v>1E-3</v>
      </c>
      <c r="W158" s="109" t="str" cm="1">
        <f t="array" ref="W158">Common_InputFunctions.Utility_DisplayArrayInTable(Fertiliser_SourceData.Fertiliser_Products_Data3(), FertiliserProducts[[#Headers],[Company]],61)</f>
        <v>Boron</v>
      </c>
      <c r="X158" s="109" cm="1">
        <f t="array" ref="X158">Common_InputFunctions.Utility_DisplayArrayInTable(Fertiliser_SourceData.Fertiliser_Products_Data3(), FertiliserProducts[[#Headers],[Company]],61)</f>
        <v>1E-4</v>
      </c>
      <c r="Y158" s="109" t="str" cm="1">
        <f t="array" ref="Y158">Common_InputFunctions.Utility_DisplayArrayInTable(Fertiliser_SourceData.Fertiliser_Products_Data3(), FertiliserProducts[[#Headers],[Company]],61)</f>
        <v>Molybdenum</v>
      </c>
      <c r="Z158" s="109" cm="1">
        <f t="array" ref="Z158">Common_InputFunctions.Utility_DisplayArrayInTable(Fertiliser_SourceData.Fertiliser_Products_Data3(), FertiliserProducts[[#Headers],[Company]],61)</f>
        <v>1.0000000000000001E-5</v>
      </c>
      <c r="AA158" s="109" t="str" cm="1">
        <f t="array" ref="AA158">Common_InputFunctions.Utility_DisplayArrayInTable(Fertiliser_SourceData.Fertiliser_Products_Data3(), FertiliserProducts[[#Headers],[Company]],61)</f>
        <v/>
      </c>
      <c r="AB158" s="109" t="str" cm="1">
        <f t="array" ref="AB158">Common_InputFunctions.Utility_DisplayArrayInTable(Fertiliser_SourceData.Fertiliser_Products_Data3(), FertiliserProducts[[#Headers],[Company]],61)</f>
        <v/>
      </c>
      <c r="AC158" s="109" t="str" cm="1">
        <f t="array" ref="AC158">Common_InputFunctions.Utility_DisplayArrayInTable(Fertiliser_SourceData.Fertiliser_Products_Data3(), FertiliserProducts[[#Headers],[Company]],61)</f>
        <v/>
      </c>
      <c r="AD158" s="109" t="str" cm="1">
        <f t="array" ref="AD158">Common_InputFunctions.Utility_DisplayArrayInTable(Fertiliser_SourceData.Fertiliser_Products_Data3(), FertiliserProducts[[#Headers],[Company]],61)</f>
        <v/>
      </c>
      <c r="AE158" s="109" t="str" cm="1">
        <f t="array" ref="AE158">Common_InputFunctions.Utility_DisplayArrayInTable(Fertiliser_SourceData.Fertiliser_Products_Data3(), FertiliserProducts[[#Headers],[Company]],61)</f>
        <v/>
      </c>
      <c r="AF158" s="109" t="str" cm="1">
        <f t="array" ref="AF158">Common_InputFunctions.Utility_DisplayArrayInTable(Fertiliser_SourceData.Fertiliser_Products_Data3(), FertiliserProducts[[#Headers],[Company]],61)</f>
        <v/>
      </c>
      <c r="AG158" s="109" t="str" cm="1">
        <f t="array" ref="AG158">Common_InputFunctions.Utility_DisplayArrayInTable(Fertiliser_SourceData.Fertiliser_Products_Data3(), FertiliserProducts[[#Headers],[Company]],61)</f>
        <v/>
      </c>
      <c r="AH158" s="109" t="str" cm="1">
        <f t="array" ref="AH158">Common_InputFunctions.Utility_DisplayArrayInTable(Fertiliser_SourceData.Fertiliser_Products_Data3(), FertiliserProducts[[#Headers],[Company]],61)</f>
        <v/>
      </c>
      <c r="AK158" s="1"/>
    </row>
    <row r="159" spans="4:39" ht="20.100000000000001" customHeight="1" x14ac:dyDescent="0.25">
      <c r="D159" s="109" t="str" cm="1">
        <f t="array" ref="D159">Common_InputFunctions.Utility_DisplayArrayInTable(Fertiliser_SourceData.Fertiliser_Products_Data3(), FertiliserProducts[[#Headers],[Company]],61)</f>
        <v>FertPro Manufacturing Pty. Ltd.</v>
      </c>
      <c r="E159" s="109" t="str" cm="1">
        <f t="array" ref="E159">Common_InputFunctions.Utility_DisplayArrayInTable(Fertiliser_SourceData.Fertiliser_Products_Data3(), FertiliserProducts[[#Headers],[Company]],61)</f>
        <v>(SSP) Single Super Fertiliser</v>
      </c>
      <c r="F159" s="109" t="str" cm="1">
        <f t="array" ref="F159">Common_InputFunctions.Utility_DisplayArrayInTable(Fertiliser_SourceData.Fertiliser_Products_Data3(), FertiliserProducts[[#Headers],[Company]],61)</f>
        <v>kg</v>
      </c>
      <c r="G159" s="109" cm="1">
        <f t="array" ref="G159">Common_InputFunctions.Utility_DisplayArrayInTable(Fertiliser_SourceData.Fertiliser_Products_Data3(), FertiliserProducts[[#Headers],[Company]],61)</f>
        <v>1</v>
      </c>
      <c r="H159" s="109" t="str" cm="1">
        <f t="array" ref="H159">Common_InputFunctions.Utility_DisplayArrayInTable(Fertiliser_SourceData.Fertiliser_Products_Data3(), FertiliserProducts[[#Headers],[Company]],61)</f>
        <v/>
      </c>
      <c r="I159" s="109" t="str" cm="1">
        <f t="array" ref="I159">Common_InputFunctions.Utility_DisplayArrayInTable(Fertiliser_SourceData.Fertiliser_Products_Data3(), FertiliserProducts[[#Headers],[Company]],61)</f>
        <v/>
      </c>
      <c r="J159" s="109" t="str" cm="1">
        <f t="array" ref="J159">Common_InputFunctions.Utility_DisplayArrayInTable(Fertiliser_SourceData.Fertiliser_Products_Data3(), FertiliserProducts[[#Headers],[Company]],61)</f>
        <v/>
      </c>
      <c r="K159" s="109" t="str" cm="1">
        <f t="array" ref="K159">Common_InputFunctions.Utility_DisplayArrayInTable(Fertiliser_SourceData.Fertiliser_Products_Data3(), FertiliserProducts[[#Headers],[Company]],61)</f>
        <v/>
      </c>
      <c r="L159" s="109" cm="1">
        <f t="array" ref="L159">Common_InputFunctions.Utility_DisplayArrayInTable(Fertiliser_SourceData.Fertiliser_Products_Data3(), FertiliserProducts[[#Headers],[Company]],61)</f>
        <v>8.8000000000000007</v>
      </c>
      <c r="M159" s="109" t="str" cm="1">
        <f t="array" ref="M159">Common_InputFunctions.Utility_DisplayArrayInTable(Fertiliser_SourceData.Fertiliser_Products_Data3(), FertiliserProducts[[#Headers],[Company]],61)</f>
        <v/>
      </c>
      <c r="N159" s="109" cm="1">
        <f t="array" ref="N159">Common_InputFunctions.Utility_DisplayArrayInTable(Fertiliser_SourceData.Fertiliser_Products_Data3(), FertiliserProducts[[#Headers],[Company]],61)</f>
        <v>11</v>
      </c>
      <c r="O159" s="109" t="str" cm="1">
        <f t="array" ref="O159">Common_InputFunctions.Utility_DisplayArrayInTable(Fertiliser_SourceData.Fertiliser_Products_Data3(), FertiliserProducts[[#Headers],[Company]],61)</f>
        <v>Single superphosphate (SSP)</v>
      </c>
      <c r="P159" s="109" cm="1">
        <f t="array" ref="P159">Common_InputFunctions.Utility_DisplayArrayInTable(Fertiliser_SourceData.Fertiliser_Products_Data3(), FertiliserProducts[[#Headers],[Company]],61)</f>
        <v>1</v>
      </c>
      <c r="Q159" s="109" t="str" cm="1">
        <f t="array" ref="Q159">Common_InputFunctions.Utility_DisplayArrayInTable(Fertiliser_SourceData.Fertiliser_Products_Data3(), FertiliserProducts[[#Headers],[Company]],61)</f>
        <v/>
      </c>
      <c r="R159" s="109" t="str" cm="1">
        <f t="array" ref="R159">Common_InputFunctions.Utility_DisplayArrayInTable(Fertiliser_SourceData.Fertiliser_Products_Data3(), FertiliserProducts[[#Headers],[Company]],61)</f>
        <v/>
      </c>
      <c r="S159" s="109" t="str" cm="1">
        <f t="array" ref="S159">Common_InputFunctions.Utility_DisplayArrayInTable(Fertiliser_SourceData.Fertiliser_Products_Data3(), FertiliserProducts[[#Headers],[Company]],61)</f>
        <v/>
      </c>
      <c r="T159" s="109" t="str" cm="1">
        <f t="array" ref="T159">Common_InputFunctions.Utility_DisplayArrayInTable(Fertiliser_SourceData.Fertiliser_Products_Data3(), FertiliserProducts[[#Headers],[Company]],61)</f>
        <v/>
      </c>
      <c r="U159" s="109" t="str" cm="1">
        <f t="array" ref="U159">Common_InputFunctions.Utility_DisplayArrayInTable(Fertiliser_SourceData.Fertiliser_Products_Data3(), FertiliserProducts[[#Headers],[Company]],61)</f>
        <v/>
      </c>
      <c r="V159" s="109" t="str" cm="1">
        <f t="array" ref="V159">Common_InputFunctions.Utility_DisplayArrayInTable(Fertiliser_SourceData.Fertiliser_Products_Data3(), FertiliserProducts[[#Headers],[Company]],61)</f>
        <v/>
      </c>
      <c r="W159" s="109" t="str" cm="1">
        <f t="array" ref="W159">Common_InputFunctions.Utility_DisplayArrayInTable(Fertiliser_SourceData.Fertiliser_Products_Data3(), FertiliserProducts[[#Headers],[Company]],61)</f>
        <v/>
      </c>
      <c r="X159" s="109" t="str" cm="1">
        <f t="array" ref="X159">Common_InputFunctions.Utility_DisplayArrayInTable(Fertiliser_SourceData.Fertiliser_Products_Data3(), FertiliserProducts[[#Headers],[Company]],61)</f>
        <v/>
      </c>
      <c r="Y159" s="109" t="str" cm="1">
        <f t="array" ref="Y159">Common_InputFunctions.Utility_DisplayArrayInTable(Fertiliser_SourceData.Fertiliser_Products_Data3(), FertiliserProducts[[#Headers],[Company]],61)</f>
        <v/>
      </c>
      <c r="Z159" s="109" t="str" cm="1">
        <f t="array" ref="Z159">Common_InputFunctions.Utility_DisplayArrayInTable(Fertiliser_SourceData.Fertiliser_Products_Data3(), FertiliserProducts[[#Headers],[Company]],61)</f>
        <v/>
      </c>
      <c r="AA159" s="109" t="str" cm="1">
        <f t="array" ref="AA159">Common_InputFunctions.Utility_DisplayArrayInTable(Fertiliser_SourceData.Fertiliser_Products_Data3(), FertiliserProducts[[#Headers],[Company]],61)</f>
        <v/>
      </c>
      <c r="AB159" s="109" t="str" cm="1">
        <f t="array" ref="AB159">Common_InputFunctions.Utility_DisplayArrayInTable(Fertiliser_SourceData.Fertiliser_Products_Data3(), FertiliserProducts[[#Headers],[Company]],61)</f>
        <v/>
      </c>
      <c r="AC159" s="109" t="str" cm="1">
        <f t="array" ref="AC159">Common_InputFunctions.Utility_DisplayArrayInTable(Fertiliser_SourceData.Fertiliser_Products_Data3(), FertiliserProducts[[#Headers],[Company]],61)</f>
        <v/>
      </c>
      <c r="AD159" s="109" t="str" cm="1">
        <f t="array" ref="AD159">Common_InputFunctions.Utility_DisplayArrayInTable(Fertiliser_SourceData.Fertiliser_Products_Data3(), FertiliserProducts[[#Headers],[Company]],61)</f>
        <v/>
      </c>
      <c r="AE159" s="109" t="str" cm="1">
        <f t="array" ref="AE159">Common_InputFunctions.Utility_DisplayArrayInTable(Fertiliser_SourceData.Fertiliser_Products_Data3(), FertiliserProducts[[#Headers],[Company]],61)</f>
        <v/>
      </c>
      <c r="AF159" s="109" t="str" cm="1">
        <f t="array" ref="AF159">Common_InputFunctions.Utility_DisplayArrayInTable(Fertiliser_SourceData.Fertiliser_Products_Data3(), FertiliserProducts[[#Headers],[Company]],61)</f>
        <v/>
      </c>
      <c r="AG159" s="109" t="str" cm="1">
        <f t="array" ref="AG159">Common_InputFunctions.Utility_DisplayArrayInTable(Fertiliser_SourceData.Fertiliser_Products_Data3(), FertiliserProducts[[#Headers],[Company]],61)</f>
        <v/>
      </c>
      <c r="AH159" s="109" t="str" cm="1">
        <f t="array" ref="AH159">Common_InputFunctions.Utility_DisplayArrayInTable(Fertiliser_SourceData.Fertiliser_Products_Data3(), FertiliserProducts[[#Headers],[Company]],61)</f>
        <v/>
      </c>
      <c r="AK159" s="1"/>
    </row>
    <row r="160" spans="4:39" ht="20.100000000000001" customHeight="1" x14ac:dyDescent="0.25">
      <c r="D160" s="109" t="str" cm="1">
        <f t="array" ref="D160">Common_InputFunctions.Utility_DisplayArrayInTable(Fertiliser_SourceData.Fertiliser_Products_Data3(), FertiliserProducts[[#Headers],[Company]],61)</f>
        <v>Impact Fertilisers</v>
      </c>
      <c r="E160" s="109" t="str" cm="1">
        <f t="array" ref="E160">Common_InputFunctions.Utility_DisplayArrayInTable(Fertiliser_SourceData.Fertiliser_Products_Data3(), FertiliserProducts[[#Headers],[Company]],61)</f>
        <v>ZincStar</v>
      </c>
      <c r="F160" s="109" t="str" cm="1">
        <f t="array" ref="F160">Common_InputFunctions.Utility_DisplayArrayInTable(Fertiliser_SourceData.Fertiliser_Products_Data3(), FertiliserProducts[[#Headers],[Company]],61)</f>
        <v>kg</v>
      </c>
      <c r="G160" s="109" cm="1">
        <f t="array" ref="G160">Common_InputFunctions.Utility_DisplayArrayInTable(Fertiliser_SourceData.Fertiliser_Products_Data3(), FertiliserProducts[[#Headers],[Company]],61)</f>
        <v>1</v>
      </c>
      <c r="H160" s="109" t="str" cm="1">
        <f t="array" ref="H160">Common_InputFunctions.Utility_DisplayArrayInTable(Fertiliser_SourceData.Fertiliser_Products_Data3(), FertiliserProducts[[#Headers],[Company]],61)</f>
        <v/>
      </c>
      <c r="I160" s="109" t="str" cm="1">
        <f t="array" ref="I160">Common_InputFunctions.Utility_DisplayArrayInTable(Fertiliser_SourceData.Fertiliser_Products_Data3(), FertiliserProducts[[#Headers],[Company]],61)</f>
        <v/>
      </c>
      <c r="J160" s="109" t="str" cm="1">
        <f t="array" ref="J160">Common_InputFunctions.Utility_DisplayArrayInTable(Fertiliser_SourceData.Fertiliser_Products_Data3(), FertiliserProducts[[#Headers],[Company]],61)</f>
        <v/>
      </c>
      <c r="K160" s="109" cm="1">
        <f t="array" ref="K160">Common_InputFunctions.Utility_DisplayArrayInTable(Fertiliser_SourceData.Fertiliser_Products_Data3(), FertiliserProducts[[#Headers],[Company]],61)</f>
        <v>10</v>
      </c>
      <c r="L160" s="109" cm="1">
        <f t="array" ref="L160">Common_InputFunctions.Utility_DisplayArrayInTable(Fertiliser_SourceData.Fertiliser_Products_Data3(), FertiliserProducts[[#Headers],[Company]],61)</f>
        <v>21.9</v>
      </c>
      <c r="M160" s="109" cm="1">
        <f t="array" ref="M160">Common_InputFunctions.Utility_DisplayArrayInTable(Fertiliser_SourceData.Fertiliser_Products_Data3(), FertiliserProducts[[#Headers],[Company]],61)</f>
        <v>0</v>
      </c>
      <c r="N160" s="109" cm="1">
        <f t="array" ref="N160">Common_InputFunctions.Utility_DisplayArrayInTable(Fertiliser_SourceData.Fertiliser_Products_Data3(), FertiliserProducts[[#Headers],[Company]],61)</f>
        <v>2</v>
      </c>
      <c r="O160" s="109" t="str" cm="1">
        <f t="array" ref="O160">Common_InputFunctions.Utility_DisplayArrayInTable(Fertiliser_SourceData.Fertiliser_Products_Data3(), FertiliserProducts[[#Headers],[Company]],61)</f>
        <v>Monoammonium phosphate (MAP)</v>
      </c>
      <c r="P160" s="109" cm="1">
        <f t="array" ref="P160">Common_InputFunctions.Utility_DisplayArrayInTable(Fertiliser_SourceData.Fertiliser_Products_Data3(), FertiliserProducts[[#Headers],[Company]],61)</f>
        <v>1</v>
      </c>
      <c r="Q160" s="109" t="str" cm="1">
        <f t="array" ref="Q160">Common_InputFunctions.Utility_DisplayArrayInTable(Fertiliser_SourceData.Fertiliser_Products_Data3(), FertiliserProducts[[#Headers],[Company]],61)</f>
        <v>Zinc</v>
      </c>
      <c r="R160" s="109" cm="1">
        <f t="array" ref="R160">Common_InputFunctions.Utility_DisplayArrayInTable(Fertiliser_SourceData.Fertiliser_Products_Data3(), FertiliserProducts[[#Headers],[Company]],61)</f>
        <v>0.01</v>
      </c>
      <c r="S160" s="109" t="str" cm="1">
        <f t="array" ref="S160">Common_InputFunctions.Utility_DisplayArrayInTable(Fertiliser_SourceData.Fertiliser_Products_Data3(), FertiliserProducts[[#Headers],[Company]],61)</f>
        <v/>
      </c>
      <c r="T160" s="109" t="str" cm="1">
        <f t="array" ref="T160">Common_InputFunctions.Utility_DisplayArrayInTable(Fertiliser_SourceData.Fertiliser_Products_Data3(), FertiliserProducts[[#Headers],[Company]],61)</f>
        <v/>
      </c>
      <c r="U160" s="109" t="str" cm="1">
        <f t="array" ref="U160">Common_InputFunctions.Utility_DisplayArrayInTable(Fertiliser_SourceData.Fertiliser_Products_Data3(), FertiliserProducts[[#Headers],[Company]],61)</f>
        <v/>
      </c>
      <c r="V160" s="109" t="str" cm="1">
        <f t="array" ref="V160">Common_InputFunctions.Utility_DisplayArrayInTable(Fertiliser_SourceData.Fertiliser_Products_Data3(), FertiliserProducts[[#Headers],[Company]],61)</f>
        <v/>
      </c>
      <c r="W160" s="109" t="str" cm="1">
        <f t="array" ref="W160">Common_InputFunctions.Utility_DisplayArrayInTable(Fertiliser_SourceData.Fertiliser_Products_Data3(), FertiliserProducts[[#Headers],[Company]],61)</f>
        <v/>
      </c>
      <c r="X160" s="109" t="str" cm="1">
        <f t="array" ref="X160">Common_InputFunctions.Utility_DisplayArrayInTable(Fertiliser_SourceData.Fertiliser_Products_Data3(), FertiliserProducts[[#Headers],[Company]],61)</f>
        <v/>
      </c>
      <c r="Y160" s="109" t="str" cm="1">
        <f t="array" ref="Y160">Common_InputFunctions.Utility_DisplayArrayInTable(Fertiliser_SourceData.Fertiliser_Products_Data3(), FertiliserProducts[[#Headers],[Company]],61)</f>
        <v/>
      </c>
      <c r="Z160" s="109" t="str" cm="1">
        <f t="array" ref="Z160">Common_InputFunctions.Utility_DisplayArrayInTable(Fertiliser_SourceData.Fertiliser_Products_Data3(), FertiliserProducts[[#Headers],[Company]],61)</f>
        <v/>
      </c>
      <c r="AA160" s="109" t="str" cm="1">
        <f t="array" ref="AA160">Common_InputFunctions.Utility_DisplayArrayInTable(Fertiliser_SourceData.Fertiliser_Products_Data3(), FertiliserProducts[[#Headers],[Company]],61)</f>
        <v/>
      </c>
      <c r="AB160" s="109" t="str" cm="1">
        <f t="array" ref="AB160">Common_InputFunctions.Utility_DisplayArrayInTable(Fertiliser_SourceData.Fertiliser_Products_Data3(), FertiliserProducts[[#Headers],[Company]],61)</f>
        <v/>
      </c>
      <c r="AC160" s="109" t="str" cm="1">
        <f t="array" ref="AC160">Common_InputFunctions.Utility_DisplayArrayInTable(Fertiliser_SourceData.Fertiliser_Products_Data3(), FertiliserProducts[[#Headers],[Company]],61)</f>
        <v/>
      </c>
      <c r="AD160" s="109" t="str" cm="1">
        <f t="array" ref="AD160">Common_InputFunctions.Utility_DisplayArrayInTable(Fertiliser_SourceData.Fertiliser_Products_Data3(), FertiliserProducts[[#Headers],[Company]],61)</f>
        <v/>
      </c>
      <c r="AE160" s="109" t="str" cm="1">
        <f t="array" ref="AE160">Common_InputFunctions.Utility_DisplayArrayInTable(Fertiliser_SourceData.Fertiliser_Products_Data3(), FertiliserProducts[[#Headers],[Company]],61)</f>
        <v/>
      </c>
      <c r="AF160" s="109" t="str" cm="1">
        <f t="array" ref="AF160">Common_InputFunctions.Utility_DisplayArrayInTable(Fertiliser_SourceData.Fertiliser_Products_Data3(), FertiliserProducts[[#Headers],[Company]],61)</f>
        <v/>
      </c>
      <c r="AG160" s="109" t="str" cm="1">
        <f t="array" ref="AG160">Common_InputFunctions.Utility_DisplayArrayInTable(Fertiliser_SourceData.Fertiliser_Products_Data3(), FertiliserProducts[[#Headers],[Company]],61)</f>
        <v/>
      </c>
      <c r="AH160" s="109" t="str" cm="1">
        <f t="array" ref="AH160">Common_InputFunctions.Utility_DisplayArrayInTable(Fertiliser_SourceData.Fertiliser_Products_Data3(), FertiliserProducts[[#Headers],[Company]],61)</f>
        <v/>
      </c>
      <c r="AK160" s="1"/>
    </row>
    <row r="161" spans="4:37" ht="20.100000000000001" customHeight="1" x14ac:dyDescent="0.25">
      <c r="D161" s="109" t="str" cm="1">
        <f t="array" ref="D161">Common_InputFunctions.Utility_DisplayArrayInTable(Fertiliser_SourceData.Fertiliser_Products_Data3(), FertiliserProducts[[#Headers],[Company]],61)</f>
        <v>Baileys (Simplot) [listed as Impact]</v>
      </c>
      <c r="E161" s="109" t="str" cm="1">
        <f t="array" ref="E161">Common_InputFunctions.Utility_DisplayArrayInTable(Fertiliser_SourceData.Fertiliser_Products_Data3(), FertiliserProducts[[#Headers],[Company]],61)</f>
        <v>Apex GaIXe Low P 21-1-6</v>
      </c>
      <c r="F161" s="109" t="str" cm="1">
        <f t="array" ref="F161">Common_InputFunctions.Utility_DisplayArrayInTable(Fertiliser_SourceData.Fertiliser_Products_Data3(), FertiliserProducts[[#Headers],[Company]],61)</f>
        <v>kg</v>
      </c>
      <c r="G161" s="109" cm="1">
        <f t="array" ref="G161">Common_InputFunctions.Utility_DisplayArrayInTable(Fertiliser_SourceData.Fertiliser_Products_Data3(), FertiliserProducts[[#Headers],[Company]],61)</f>
        <v>1</v>
      </c>
      <c r="H161" s="109" t="str" cm="1">
        <f t="array" ref="H161">Common_InputFunctions.Utility_DisplayArrayInTable(Fertiliser_SourceData.Fertiliser_Products_Data3(), FertiliserProducts[[#Headers],[Company]],61)</f>
        <v/>
      </c>
      <c r="I161" s="109" t="str" cm="1">
        <f t="array" ref="I161">Common_InputFunctions.Utility_DisplayArrayInTable(Fertiliser_SourceData.Fertiliser_Products_Data3(), FertiliserProducts[[#Headers],[Company]],61)</f>
        <v/>
      </c>
      <c r="J161" s="109" t="str" cm="1">
        <f t="array" ref="J161">Common_InputFunctions.Utility_DisplayArrayInTable(Fertiliser_SourceData.Fertiliser_Products_Data3(), FertiliserProducts[[#Headers],[Company]],61)</f>
        <v/>
      </c>
      <c r="K161" s="109" cm="1">
        <f t="array" ref="K161">Common_InputFunctions.Utility_DisplayArrayInTable(Fertiliser_SourceData.Fertiliser_Products_Data3(), FertiliserProducts[[#Headers],[Company]],61)</f>
        <v>21</v>
      </c>
      <c r="L161" s="109" cm="1">
        <f t="array" ref="L161">Common_InputFunctions.Utility_DisplayArrayInTable(Fertiliser_SourceData.Fertiliser_Products_Data3(), FertiliserProducts[[#Headers],[Company]],61)</f>
        <v>0.86</v>
      </c>
      <c r="M161" s="109" cm="1">
        <f t="array" ref="M161">Common_InputFunctions.Utility_DisplayArrayInTable(Fertiliser_SourceData.Fertiliser_Products_Data3(), FertiliserProducts[[#Headers],[Company]],61)</f>
        <v>5.8</v>
      </c>
      <c r="N161" s="109" cm="1">
        <f t="array" ref="N161">Common_InputFunctions.Utility_DisplayArrayInTable(Fertiliser_SourceData.Fertiliser_Products_Data3(), FertiliserProducts[[#Headers],[Company]],61)</f>
        <v>4.2</v>
      </c>
      <c r="O161" s="109" t="str" cm="1">
        <f t="array" ref="O161">Common_InputFunctions.Utility_DisplayArrayInTable(Fertiliser_SourceData.Fertiliser_Products_Data3(), FertiliserProducts[[#Headers],[Company]],61)</f>
        <v>Nitrogen - Generic</v>
      </c>
      <c r="P161" s="109" cm="1">
        <f t="array" ref="P161">Common_InputFunctions.Utility_DisplayArrayInTable(Fertiliser_SourceData.Fertiliser_Products_Data3(), FertiliserProducts[[#Headers],[Company]],61)</f>
        <v>0.21</v>
      </c>
      <c r="Q161" s="109" t="str" cm="1">
        <f t="array" ref="Q161">Common_InputFunctions.Utility_DisplayArrayInTable(Fertiliser_SourceData.Fertiliser_Products_Data3(), FertiliserProducts[[#Headers],[Company]],61)</f>
        <v>Potassium - Generic</v>
      </c>
      <c r="R161" s="109" cm="1">
        <f t="array" ref="R161">Common_InputFunctions.Utility_DisplayArrayInTable(Fertiliser_SourceData.Fertiliser_Products_Data3(), FertiliserProducts[[#Headers],[Company]],61)</f>
        <v>5.8000000000000003E-2</v>
      </c>
      <c r="S161" s="109" t="str" cm="1">
        <f t="array" ref="S161">Common_InputFunctions.Utility_DisplayArrayInTable(Fertiliser_SourceData.Fertiliser_Products_Data3(), FertiliserProducts[[#Headers],[Company]],61)</f>
        <v>Sulfur - Generic</v>
      </c>
      <c r="T161" s="109" cm="1">
        <f t="array" ref="T161">Common_InputFunctions.Utility_DisplayArrayInTable(Fertiliser_SourceData.Fertiliser_Products_Data3(), FertiliserProducts[[#Headers],[Company]],61)</f>
        <v>4.2000000000000003E-2</v>
      </c>
      <c r="U161" s="109" t="str" cm="1">
        <f t="array" ref="U161">Common_InputFunctions.Utility_DisplayArrayInTable(Fertiliser_SourceData.Fertiliser_Products_Data3(), FertiliserProducts[[#Headers],[Company]],61)</f>
        <v>Phosphorus - Generic</v>
      </c>
      <c r="V161" s="109" cm="1">
        <f t="array" ref="V161">Common_InputFunctions.Utility_DisplayArrayInTable(Fertiliser_SourceData.Fertiliser_Products_Data3(), FertiliserProducts[[#Headers],[Company]],61)</f>
        <v>8.6E-3</v>
      </c>
      <c r="W161" s="109" t="str" cm="1">
        <f t="array" ref="W161">Common_InputFunctions.Utility_DisplayArrayInTable(Fertiliser_SourceData.Fertiliser_Products_Data3(), FertiliserProducts[[#Headers],[Company]],61)</f>
        <v/>
      </c>
      <c r="X161" s="109" t="str" cm="1">
        <f t="array" ref="X161">Common_InputFunctions.Utility_DisplayArrayInTable(Fertiliser_SourceData.Fertiliser_Products_Data3(), FertiliserProducts[[#Headers],[Company]],61)</f>
        <v/>
      </c>
      <c r="Y161" s="109" t="str" cm="1">
        <f t="array" ref="Y161">Common_InputFunctions.Utility_DisplayArrayInTable(Fertiliser_SourceData.Fertiliser_Products_Data3(), FertiliserProducts[[#Headers],[Company]],61)</f>
        <v/>
      </c>
      <c r="Z161" s="109" t="str" cm="1">
        <f t="array" ref="Z161">Common_InputFunctions.Utility_DisplayArrayInTable(Fertiliser_SourceData.Fertiliser_Products_Data3(), FertiliserProducts[[#Headers],[Company]],61)</f>
        <v/>
      </c>
      <c r="AA161" s="109" t="str" cm="1">
        <f t="array" ref="AA161">Common_InputFunctions.Utility_DisplayArrayInTable(Fertiliser_SourceData.Fertiliser_Products_Data3(), FertiliserProducts[[#Headers],[Company]],61)</f>
        <v/>
      </c>
      <c r="AB161" s="109" t="str" cm="1">
        <f t="array" ref="AB161">Common_InputFunctions.Utility_DisplayArrayInTable(Fertiliser_SourceData.Fertiliser_Products_Data3(), FertiliserProducts[[#Headers],[Company]],61)</f>
        <v/>
      </c>
      <c r="AC161" s="109" t="str" cm="1">
        <f t="array" ref="AC161">Common_InputFunctions.Utility_DisplayArrayInTable(Fertiliser_SourceData.Fertiliser_Products_Data3(), FertiliserProducts[[#Headers],[Company]],61)</f>
        <v/>
      </c>
      <c r="AD161" s="109" t="str" cm="1">
        <f t="array" ref="AD161">Common_InputFunctions.Utility_DisplayArrayInTable(Fertiliser_SourceData.Fertiliser_Products_Data3(), FertiliserProducts[[#Headers],[Company]],61)</f>
        <v/>
      </c>
      <c r="AE161" s="109" t="str" cm="1">
        <f t="array" ref="AE161">Common_InputFunctions.Utility_DisplayArrayInTable(Fertiliser_SourceData.Fertiliser_Products_Data3(), FertiliserProducts[[#Headers],[Company]],61)</f>
        <v/>
      </c>
      <c r="AF161" s="109" t="str" cm="1">
        <f t="array" ref="AF161">Common_InputFunctions.Utility_DisplayArrayInTable(Fertiliser_SourceData.Fertiliser_Products_Data3(), FertiliserProducts[[#Headers],[Company]],61)</f>
        <v/>
      </c>
      <c r="AG161" s="109" t="str" cm="1">
        <f t="array" ref="AG161">Common_InputFunctions.Utility_DisplayArrayInTable(Fertiliser_SourceData.Fertiliser_Products_Data3(), FertiliserProducts[[#Headers],[Company]],61)</f>
        <v/>
      </c>
      <c r="AH161" s="109" t="str" cm="1">
        <f t="array" ref="AH161">Common_InputFunctions.Utility_DisplayArrayInTable(Fertiliser_SourceData.Fertiliser_Products_Data3(), FertiliserProducts[[#Headers],[Company]],61)</f>
        <v/>
      </c>
      <c r="AK161" s="1"/>
    </row>
    <row r="162" spans="4:37" ht="20.100000000000001" customHeight="1" x14ac:dyDescent="0.25">
      <c r="D162" s="109" t="str" cm="1">
        <f t="array" ref="D162">Common_InputFunctions.Utility_DisplayArrayInTable(Fertiliser_SourceData.Fertiliser_Products_Data3(), FertiliserProducts[[#Headers],[Company]],61)</f>
        <v>Incitec Pivot Fertilisers</v>
      </c>
      <c r="E162" s="109" t="str" cm="1">
        <f t="array" ref="E162">Common_InputFunctions.Utility_DisplayArrayInTable(Fertiliser_SourceData.Fertiliser_Products_Data3(), FertiliserProducts[[#Headers],[Company]],61)</f>
        <v>SuPerfect</v>
      </c>
      <c r="F162" s="109" t="str" cm="1">
        <f t="array" ref="F162">Common_InputFunctions.Utility_DisplayArrayInTable(Fertiliser_SourceData.Fertiliser_Products_Data3(), FertiliserProducts[[#Headers],[Company]],61)</f>
        <v>kg</v>
      </c>
      <c r="G162" s="109" cm="1">
        <f t="array" ref="G162">Common_InputFunctions.Utility_DisplayArrayInTable(Fertiliser_SourceData.Fertiliser_Products_Data3(), FertiliserProducts[[#Headers],[Company]],61)</f>
        <v>1</v>
      </c>
      <c r="H162" s="109" t="str" cm="1">
        <f t="array" ref="H162">Common_InputFunctions.Utility_DisplayArrayInTable(Fertiliser_SourceData.Fertiliser_Products_Data3(), FertiliserProducts[[#Headers],[Company]],61)</f>
        <v/>
      </c>
      <c r="I162" s="109" t="str" cm="1">
        <f t="array" ref="I162">Common_InputFunctions.Utility_DisplayArrayInTable(Fertiliser_SourceData.Fertiliser_Products_Data3(), FertiliserProducts[[#Headers],[Company]],61)</f>
        <v/>
      </c>
      <c r="J162" s="109" t="str" cm="1">
        <f t="array" ref="J162">Common_InputFunctions.Utility_DisplayArrayInTable(Fertiliser_SourceData.Fertiliser_Products_Data3(), FertiliserProducts[[#Headers],[Company]],61)</f>
        <v/>
      </c>
      <c r="K162" s="109" t="str" cm="1">
        <f t="array" ref="K162">Common_InputFunctions.Utility_DisplayArrayInTable(Fertiliser_SourceData.Fertiliser_Products_Data3(), FertiliserProducts[[#Headers],[Company]],61)</f>
        <v/>
      </c>
      <c r="L162" s="109" cm="1">
        <f t="array" ref="L162">Common_InputFunctions.Utility_DisplayArrayInTable(Fertiliser_SourceData.Fertiliser_Products_Data3(), FertiliserProducts[[#Headers],[Company]],61)</f>
        <v>8.8000000000000007</v>
      </c>
      <c r="M162" s="109" t="str" cm="1">
        <f t="array" ref="M162">Common_InputFunctions.Utility_DisplayArrayInTable(Fertiliser_SourceData.Fertiliser_Products_Data3(), FertiliserProducts[[#Headers],[Company]],61)</f>
        <v/>
      </c>
      <c r="N162" s="109" cm="1">
        <f t="array" ref="N162">Common_InputFunctions.Utility_DisplayArrayInTable(Fertiliser_SourceData.Fertiliser_Products_Data3(), FertiliserProducts[[#Headers],[Company]],61)</f>
        <v>11</v>
      </c>
      <c r="O162" s="109" t="str" cm="1">
        <f t="array" ref="O162">Common_InputFunctions.Utility_DisplayArrayInTable(Fertiliser_SourceData.Fertiliser_Products_Data3(), FertiliserProducts[[#Headers],[Company]],61)</f>
        <v>Single superphosphate (SSP)</v>
      </c>
      <c r="P162" s="109" cm="1">
        <f t="array" ref="P162">Common_InputFunctions.Utility_DisplayArrayInTable(Fertiliser_SourceData.Fertiliser_Products_Data3(), FertiliserProducts[[#Headers],[Company]],61)</f>
        <v>1</v>
      </c>
      <c r="Q162" s="109" t="str" cm="1">
        <f t="array" ref="Q162">Common_InputFunctions.Utility_DisplayArrayInTable(Fertiliser_SourceData.Fertiliser_Products_Data3(), FertiliserProducts[[#Headers],[Company]],61)</f>
        <v/>
      </c>
      <c r="R162" s="109" t="str" cm="1">
        <f t="array" ref="R162">Common_InputFunctions.Utility_DisplayArrayInTable(Fertiliser_SourceData.Fertiliser_Products_Data3(), FertiliserProducts[[#Headers],[Company]],61)</f>
        <v/>
      </c>
      <c r="S162" s="109" t="str" cm="1">
        <f t="array" ref="S162">Common_InputFunctions.Utility_DisplayArrayInTable(Fertiliser_SourceData.Fertiliser_Products_Data3(), FertiliserProducts[[#Headers],[Company]],61)</f>
        <v/>
      </c>
      <c r="T162" s="109" t="str" cm="1">
        <f t="array" ref="T162">Common_InputFunctions.Utility_DisplayArrayInTable(Fertiliser_SourceData.Fertiliser_Products_Data3(), FertiliserProducts[[#Headers],[Company]],61)</f>
        <v/>
      </c>
      <c r="U162" s="109" t="str" cm="1">
        <f t="array" ref="U162">Common_InputFunctions.Utility_DisplayArrayInTable(Fertiliser_SourceData.Fertiliser_Products_Data3(), FertiliserProducts[[#Headers],[Company]],61)</f>
        <v/>
      </c>
      <c r="V162" s="109" t="str" cm="1">
        <f t="array" ref="V162">Common_InputFunctions.Utility_DisplayArrayInTable(Fertiliser_SourceData.Fertiliser_Products_Data3(), FertiliserProducts[[#Headers],[Company]],61)</f>
        <v/>
      </c>
      <c r="W162" s="109" t="str" cm="1">
        <f t="array" ref="W162">Common_InputFunctions.Utility_DisplayArrayInTable(Fertiliser_SourceData.Fertiliser_Products_Data3(), FertiliserProducts[[#Headers],[Company]],61)</f>
        <v/>
      </c>
      <c r="X162" s="109" t="str" cm="1">
        <f t="array" ref="X162">Common_InputFunctions.Utility_DisplayArrayInTable(Fertiliser_SourceData.Fertiliser_Products_Data3(), FertiliserProducts[[#Headers],[Company]],61)</f>
        <v/>
      </c>
      <c r="Y162" s="109" t="str" cm="1">
        <f t="array" ref="Y162">Common_InputFunctions.Utility_DisplayArrayInTable(Fertiliser_SourceData.Fertiliser_Products_Data3(), FertiliserProducts[[#Headers],[Company]],61)</f>
        <v/>
      </c>
      <c r="Z162" s="109" t="str" cm="1">
        <f t="array" ref="Z162">Common_InputFunctions.Utility_DisplayArrayInTable(Fertiliser_SourceData.Fertiliser_Products_Data3(), FertiliserProducts[[#Headers],[Company]],61)</f>
        <v/>
      </c>
      <c r="AA162" s="109" t="str" cm="1">
        <f t="array" ref="AA162">Common_InputFunctions.Utility_DisplayArrayInTable(Fertiliser_SourceData.Fertiliser_Products_Data3(), FertiliserProducts[[#Headers],[Company]],61)</f>
        <v/>
      </c>
      <c r="AB162" s="109" t="str" cm="1">
        <f t="array" ref="AB162">Common_InputFunctions.Utility_DisplayArrayInTable(Fertiliser_SourceData.Fertiliser_Products_Data3(), FertiliserProducts[[#Headers],[Company]],61)</f>
        <v/>
      </c>
      <c r="AC162" s="109" t="str" cm="1">
        <f t="array" ref="AC162">Common_InputFunctions.Utility_DisplayArrayInTable(Fertiliser_SourceData.Fertiliser_Products_Data3(), FertiliserProducts[[#Headers],[Company]],61)</f>
        <v/>
      </c>
      <c r="AD162" s="109" t="str" cm="1">
        <f t="array" ref="AD162">Common_InputFunctions.Utility_DisplayArrayInTable(Fertiliser_SourceData.Fertiliser_Products_Data3(), FertiliserProducts[[#Headers],[Company]],61)</f>
        <v/>
      </c>
      <c r="AE162" s="109" t="str" cm="1">
        <f t="array" ref="AE162">Common_InputFunctions.Utility_DisplayArrayInTable(Fertiliser_SourceData.Fertiliser_Products_Data3(), FertiliserProducts[[#Headers],[Company]],61)</f>
        <v/>
      </c>
      <c r="AF162" s="109" t="str" cm="1">
        <f t="array" ref="AF162">Common_InputFunctions.Utility_DisplayArrayInTable(Fertiliser_SourceData.Fertiliser_Products_Data3(), FertiliserProducts[[#Headers],[Company]],61)</f>
        <v/>
      </c>
      <c r="AG162" s="109" t="str" cm="1">
        <f t="array" ref="AG162">Common_InputFunctions.Utility_DisplayArrayInTable(Fertiliser_SourceData.Fertiliser_Products_Data3(), FertiliserProducts[[#Headers],[Company]],61)</f>
        <v/>
      </c>
      <c r="AH162" s="109" t="str" cm="1">
        <f t="array" ref="AH162">Common_InputFunctions.Utility_DisplayArrayInTable(Fertiliser_SourceData.Fertiliser_Products_Data3(), FertiliserProducts[[#Headers],[Company]],61)</f>
        <v/>
      </c>
      <c r="AK162" s="1"/>
    </row>
    <row r="163" spans="4:37" ht="20.100000000000001" customHeight="1" x14ac:dyDescent="0.25">
      <c r="D163" s="109" t="str" cm="1">
        <f t="array" ref="D163">Common_InputFunctions.Utility_DisplayArrayInTable(Fertiliser_SourceData.Fertiliser_Products_Data3(), FertiliserProducts[[#Headers],[Company]],61)</f>
        <v>Incitec Pivot Fertilisers [listed as Summit]</v>
      </c>
      <c r="E163" s="109" t="str" cm="1">
        <f t="array" ref="E163">Common_InputFunctions.Utility_DisplayArrayInTable(Fertiliser_SourceData.Fertiliser_Products_Data3(), FertiliserProducts[[#Headers],[Company]],61)</f>
        <v>Big N</v>
      </c>
      <c r="F163" s="109" t="str" cm="1">
        <f t="array" ref="F163">Common_InputFunctions.Utility_DisplayArrayInTable(Fertiliser_SourceData.Fertiliser_Products_Data3(), FertiliserProducts[[#Headers],[Company]],61)</f>
        <v>kg</v>
      </c>
      <c r="G163" s="109" cm="1">
        <f t="array" ref="G163">Common_InputFunctions.Utility_DisplayArrayInTable(Fertiliser_SourceData.Fertiliser_Products_Data3(), FertiliserProducts[[#Headers],[Company]],61)</f>
        <v>1</v>
      </c>
      <c r="H163" s="109" t="str" cm="1">
        <f t="array" ref="H163">Common_InputFunctions.Utility_DisplayArrayInTable(Fertiliser_SourceData.Fertiliser_Products_Data3(), FertiliserProducts[[#Headers],[Company]],61)</f>
        <v/>
      </c>
      <c r="I163" s="109" t="str" cm="1">
        <f t="array" ref="I163">Common_InputFunctions.Utility_DisplayArrayInTable(Fertiliser_SourceData.Fertiliser_Products_Data3(), FertiliserProducts[[#Headers],[Company]],61)</f>
        <v/>
      </c>
      <c r="J163" s="109" t="str" cm="1">
        <f t="array" ref="J163">Common_InputFunctions.Utility_DisplayArrayInTable(Fertiliser_SourceData.Fertiliser_Products_Data3(), FertiliserProducts[[#Headers],[Company]],61)</f>
        <v/>
      </c>
      <c r="K163" s="109" cm="1">
        <f t="array" ref="K163">Common_InputFunctions.Utility_DisplayArrayInTable(Fertiliser_SourceData.Fertiliser_Products_Data3(), FertiliserProducts[[#Headers],[Company]],61)</f>
        <v>82.35</v>
      </c>
      <c r="L163" s="109" t="str" cm="1">
        <f t="array" ref="L163">Common_InputFunctions.Utility_DisplayArrayInTable(Fertiliser_SourceData.Fertiliser_Products_Data3(), FertiliserProducts[[#Headers],[Company]],61)</f>
        <v/>
      </c>
      <c r="M163" s="109" t="str" cm="1">
        <f t="array" ref="M163">Common_InputFunctions.Utility_DisplayArrayInTable(Fertiliser_SourceData.Fertiliser_Products_Data3(), FertiliserProducts[[#Headers],[Company]],61)</f>
        <v/>
      </c>
      <c r="N163" s="109" t="str" cm="1">
        <f t="array" ref="N163">Common_InputFunctions.Utility_DisplayArrayInTable(Fertiliser_SourceData.Fertiliser_Products_Data3(), FertiliserProducts[[#Headers],[Company]],61)</f>
        <v/>
      </c>
      <c r="O163" s="109" t="str" cm="1">
        <f t="array" ref="O163">Common_InputFunctions.Utility_DisplayArrayInTable(Fertiliser_SourceData.Fertiliser_Products_Data3(), FertiliserProducts[[#Headers],[Company]],61)</f>
        <v>Ammonia</v>
      </c>
      <c r="P163" s="109" cm="1">
        <f t="array" ref="P163">Common_InputFunctions.Utility_DisplayArrayInTable(Fertiliser_SourceData.Fertiliser_Products_Data3(), FertiliserProducts[[#Headers],[Company]],61)</f>
        <v>1</v>
      </c>
      <c r="Q163" s="109" t="str" cm="1">
        <f t="array" ref="Q163">Common_InputFunctions.Utility_DisplayArrayInTable(Fertiliser_SourceData.Fertiliser_Products_Data3(), FertiliserProducts[[#Headers],[Company]],61)</f>
        <v/>
      </c>
      <c r="R163" s="109" t="str" cm="1">
        <f t="array" ref="R163">Common_InputFunctions.Utility_DisplayArrayInTable(Fertiliser_SourceData.Fertiliser_Products_Data3(), FertiliserProducts[[#Headers],[Company]],61)</f>
        <v/>
      </c>
      <c r="S163" s="109" t="str" cm="1">
        <f t="array" ref="S163">Common_InputFunctions.Utility_DisplayArrayInTable(Fertiliser_SourceData.Fertiliser_Products_Data3(), FertiliserProducts[[#Headers],[Company]],61)</f>
        <v/>
      </c>
      <c r="T163" s="109" t="str" cm="1">
        <f t="array" ref="T163">Common_InputFunctions.Utility_DisplayArrayInTable(Fertiliser_SourceData.Fertiliser_Products_Data3(), FertiliserProducts[[#Headers],[Company]],61)</f>
        <v/>
      </c>
      <c r="U163" s="109" t="str" cm="1">
        <f t="array" ref="U163">Common_InputFunctions.Utility_DisplayArrayInTable(Fertiliser_SourceData.Fertiliser_Products_Data3(), FertiliserProducts[[#Headers],[Company]],61)</f>
        <v/>
      </c>
      <c r="V163" s="109" t="str" cm="1">
        <f t="array" ref="V163">Common_InputFunctions.Utility_DisplayArrayInTable(Fertiliser_SourceData.Fertiliser_Products_Data3(), FertiliserProducts[[#Headers],[Company]],61)</f>
        <v/>
      </c>
      <c r="W163" s="109" t="str" cm="1">
        <f t="array" ref="W163">Common_InputFunctions.Utility_DisplayArrayInTable(Fertiliser_SourceData.Fertiliser_Products_Data3(), FertiliserProducts[[#Headers],[Company]],61)</f>
        <v/>
      </c>
      <c r="X163" s="109" t="str" cm="1">
        <f t="array" ref="X163">Common_InputFunctions.Utility_DisplayArrayInTable(Fertiliser_SourceData.Fertiliser_Products_Data3(), FertiliserProducts[[#Headers],[Company]],61)</f>
        <v/>
      </c>
      <c r="Y163" s="109" t="str" cm="1">
        <f t="array" ref="Y163">Common_InputFunctions.Utility_DisplayArrayInTable(Fertiliser_SourceData.Fertiliser_Products_Data3(), FertiliserProducts[[#Headers],[Company]],61)</f>
        <v/>
      </c>
      <c r="Z163" s="109" t="str" cm="1">
        <f t="array" ref="Z163">Common_InputFunctions.Utility_DisplayArrayInTable(Fertiliser_SourceData.Fertiliser_Products_Data3(), FertiliserProducts[[#Headers],[Company]],61)</f>
        <v/>
      </c>
      <c r="AA163" s="109" t="str" cm="1">
        <f t="array" ref="AA163">Common_InputFunctions.Utility_DisplayArrayInTable(Fertiliser_SourceData.Fertiliser_Products_Data3(), FertiliserProducts[[#Headers],[Company]],61)</f>
        <v/>
      </c>
      <c r="AB163" s="109" t="str" cm="1">
        <f t="array" ref="AB163">Common_InputFunctions.Utility_DisplayArrayInTable(Fertiliser_SourceData.Fertiliser_Products_Data3(), FertiliserProducts[[#Headers],[Company]],61)</f>
        <v/>
      </c>
      <c r="AC163" s="109" t="str" cm="1">
        <f t="array" ref="AC163">Common_InputFunctions.Utility_DisplayArrayInTable(Fertiliser_SourceData.Fertiliser_Products_Data3(), FertiliserProducts[[#Headers],[Company]],61)</f>
        <v/>
      </c>
      <c r="AD163" s="109" t="str" cm="1">
        <f t="array" ref="AD163">Common_InputFunctions.Utility_DisplayArrayInTable(Fertiliser_SourceData.Fertiliser_Products_Data3(), FertiliserProducts[[#Headers],[Company]],61)</f>
        <v/>
      </c>
      <c r="AE163" s="109" t="str" cm="1">
        <f t="array" ref="AE163">Common_InputFunctions.Utility_DisplayArrayInTable(Fertiliser_SourceData.Fertiliser_Products_Data3(), FertiliserProducts[[#Headers],[Company]],61)</f>
        <v/>
      </c>
      <c r="AF163" s="109" t="str" cm="1">
        <f t="array" ref="AF163">Common_InputFunctions.Utility_DisplayArrayInTable(Fertiliser_SourceData.Fertiliser_Products_Data3(), FertiliserProducts[[#Headers],[Company]],61)</f>
        <v/>
      </c>
      <c r="AG163" s="109" t="str" cm="1">
        <f t="array" ref="AG163">Common_InputFunctions.Utility_DisplayArrayInTable(Fertiliser_SourceData.Fertiliser_Products_Data3(), FertiliserProducts[[#Headers],[Company]],61)</f>
        <v/>
      </c>
      <c r="AH163" s="109" t="str" cm="1">
        <f t="array" ref="AH163">Common_InputFunctions.Utility_DisplayArrayInTable(Fertiliser_SourceData.Fertiliser_Products_Data3(), FertiliserProducts[[#Headers],[Company]],61)</f>
        <v/>
      </c>
      <c r="AK163" s="1"/>
    </row>
    <row r="164" spans="4:37" ht="20.100000000000001" customHeight="1" x14ac:dyDescent="0.25">
      <c r="D164" s="109" t="str" cm="1">
        <f t="array" ref="D164">Common_InputFunctions.Utility_DisplayArrayInTable(Fertiliser_SourceData.Fertiliser_Products_Data3(), FertiliserProducts[[#Headers],[Company]],61)</f>
        <v>Incitec Pivot Fertilisers</v>
      </c>
      <c r="E164" s="109" t="str" cm="1">
        <f t="array" ref="E164">Common_InputFunctions.Utility_DisplayArrayInTable(Fertiliser_SourceData.Fertiliser_Products_Data3(), FertiliserProducts[[#Headers],[Company]],61)</f>
        <v>Entec Urea</v>
      </c>
      <c r="F164" s="109" t="str" cm="1">
        <f t="array" ref="F164">Common_InputFunctions.Utility_DisplayArrayInTable(Fertiliser_SourceData.Fertiliser_Products_Data3(), FertiliserProducts[[#Headers],[Company]],61)</f>
        <v>kg</v>
      </c>
      <c r="G164" s="109" cm="1">
        <f t="array" ref="G164">Common_InputFunctions.Utility_DisplayArrayInTable(Fertiliser_SourceData.Fertiliser_Products_Data3(), FertiliserProducts[[#Headers],[Company]],61)</f>
        <v>1</v>
      </c>
      <c r="H164" s="109" t="str" cm="1">
        <f t="array" ref="H164">Common_InputFunctions.Utility_DisplayArrayInTable(Fertiliser_SourceData.Fertiliser_Products_Data3(), FertiliserProducts[[#Headers],[Company]],61)</f>
        <v>Yes</v>
      </c>
      <c r="I164" s="109" t="str" cm="1">
        <f t="array" ref="I164">Common_InputFunctions.Utility_DisplayArrayInTable(Fertiliser_SourceData.Fertiliser_Products_Data3(), FertiliserProducts[[#Headers],[Company]],61)</f>
        <v/>
      </c>
      <c r="J164" s="109" t="str" cm="1">
        <f t="array" ref="J164">Common_InputFunctions.Utility_DisplayArrayInTable(Fertiliser_SourceData.Fertiliser_Products_Data3(), FertiliserProducts[[#Headers],[Company]],61)</f>
        <v/>
      </c>
      <c r="K164" s="109" cm="1">
        <f t="array" ref="K164">Common_InputFunctions.Utility_DisplayArrayInTable(Fertiliser_SourceData.Fertiliser_Products_Data3(), FertiliserProducts[[#Headers],[Company]],61)</f>
        <v>46</v>
      </c>
      <c r="L164" s="109" t="str" cm="1">
        <f t="array" ref="L164">Common_InputFunctions.Utility_DisplayArrayInTable(Fertiliser_SourceData.Fertiliser_Products_Data3(), FertiliserProducts[[#Headers],[Company]],61)</f>
        <v/>
      </c>
      <c r="M164" s="109" t="str" cm="1">
        <f t="array" ref="M164">Common_InputFunctions.Utility_DisplayArrayInTable(Fertiliser_SourceData.Fertiliser_Products_Data3(), FertiliserProducts[[#Headers],[Company]],61)</f>
        <v/>
      </c>
      <c r="N164" s="109" t="str" cm="1">
        <f t="array" ref="N164">Common_InputFunctions.Utility_DisplayArrayInTable(Fertiliser_SourceData.Fertiliser_Products_Data3(), FertiliserProducts[[#Headers],[Company]],61)</f>
        <v/>
      </c>
      <c r="O164" s="109" t="str" cm="1">
        <f t="array" ref="O164">Common_InputFunctions.Utility_DisplayArrayInTable(Fertiliser_SourceData.Fertiliser_Products_Data3(), FertiliserProducts[[#Headers],[Company]],61)</f>
        <v>Urea</v>
      </c>
      <c r="P164" s="109" cm="1">
        <f t="array" ref="P164">Common_InputFunctions.Utility_DisplayArrayInTable(Fertiliser_SourceData.Fertiliser_Products_Data3(), FertiliserProducts[[#Headers],[Company]],61)</f>
        <v>1</v>
      </c>
      <c r="Q164" s="109" t="str" cm="1">
        <f t="array" ref="Q164">Common_InputFunctions.Utility_DisplayArrayInTable(Fertiliser_SourceData.Fertiliser_Products_Data3(), FertiliserProducts[[#Headers],[Company]],61)</f>
        <v/>
      </c>
      <c r="R164" s="109" t="str" cm="1">
        <f t="array" ref="R164">Common_InputFunctions.Utility_DisplayArrayInTable(Fertiliser_SourceData.Fertiliser_Products_Data3(), FertiliserProducts[[#Headers],[Company]],61)</f>
        <v/>
      </c>
      <c r="S164" s="109" t="str" cm="1">
        <f t="array" ref="S164">Common_InputFunctions.Utility_DisplayArrayInTable(Fertiliser_SourceData.Fertiliser_Products_Data3(), FertiliserProducts[[#Headers],[Company]],61)</f>
        <v/>
      </c>
      <c r="T164" s="109" t="str" cm="1">
        <f t="array" ref="T164">Common_InputFunctions.Utility_DisplayArrayInTable(Fertiliser_SourceData.Fertiliser_Products_Data3(), FertiliserProducts[[#Headers],[Company]],61)</f>
        <v/>
      </c>
      <c r="U164" s="109" t="str" cm="1">
        <f t="array" ref="U164">Common_InputFunctions.Utility_DisplayArrayInTable(Fertiliser_SourceData.Fertiliser_Products_Data3(), FertiliserProducts[[#Headers],[Company]],61)</f>
        <v/>
      </c>
      <c r="V164" s="109" t="str" cm="1">
        <f t="array" ref="V164">Common_InputFunctions.Utility_DisplayArrayInTable(Fertiliser_SourceData.Fertiliser_Products_Data3(), FertiliserProducts[[#Headers],[Company]],61)</f>
        <v/>
      </c>
      <c r="W164" s="109" t="str" cm="1">
        <f t="array" ref="W164">Common_InputFunctions.Utility_DisplayArrayInTable(Fertiliser_SourceData.Fertiliser_Products_Data3(), FertiliserProducts[[#Headers],[Company]],61)</f>
        <v/>
      </c>
      <c r="X164" s="109" t="str" cm="1">
        <f t="array" ref="X164">Common_InputFunctions.Utility_DisplayArrayInTable(Fertiliser_SourceData.Fertiliser_Products_Data3(), FertiliserProducts[[#Headers],[Company]],61)</f>
        <v/>
      </c>
      <c r="Y164" s="109" t="str" cm="1">
        <f t="array" ref="Y164">Common_InputFunctions.Utility_DisplayArrayInTable(Fertiliser_SourceData.Fertiliser_Products_Data3(), FertiliserProducts[[#Headers],[Company]],61)</f>
        <v/>
      </c>
      <c r="Z164" s="109" t="str" cm="1">
        <f t="array" ref="Z164">Common_InputFunctions.Utility_DisplayArrayInTable(Fertiliser_SourceData.Fertiliser_Products_Data3(), FertiliserProducts[[#Headers],[Company]],61)</f>
        <v/>
      </c>
      <c r="AA164" s="109" t="str" cm="1">
        <f t="array" ref="AA164">Common_InputFunctions.Utility_DisplayArrayInTable(Fertiliser_SourceData.Fertiliser_Products_Data3(), FertiliserProducts[[#Headers],[Company]],61)</f>
        <v/>
      </c>
      <c r="AB164" s="109" t="str" cm="1">
        <f t="array" ref="AB164">Common_InputFunctions.Utility_DisplayArrayInTable(Fertiliser_SourceData.Fertiliser_Products_Data3(), FertiliserProducts[[#Headers],[Company]],61)</f>
        <v/>
      </c>
      <c r="AC164" s="109" t="str" cm="1">
        <f t="array" ref="AC164">Common_InputFunctions.Utility_DisplayArrayInTable(Fertiliser_SourceData.Fertiliser_Products_Data3(), FertiliserProducts[[#Headers],[Company]],61)</f>
        <v/>
      </c>
      <c r="AD164" s="109" t="str" cm="1">
        <f t="array" ref="AD164">Common_InputFunctions.Utility_DisplayArrayInTable(Fertiliser_SourceData.Fertiliser_Products_Data3(), FertiliserProducts[[#Headers],[Company]],61)</f>
        <v/>
      </c>
      <c r="AE164" s="109" t="str" cm="1">
        <f t="array" ref="AE164">Common_InputFunctions.Utility_DisplayArrayInTable(Fertiliser_SourceData.Fertiliser_Products_Data3(), FertiliserProducts[[#Headers],[Company]],61)</f>
        <v/>
      </c>
      <c r="AF164" s="109" t="str" cm="1">
        <f t="array" ref="AF164">Common_InputFunctions.Utility_DisplayArrayInTable(Fertiliser_SourceData.Fertiliser_Products_Data3(), FertiliserProducts[[#Headers],[Company]],61)</f>
        <v/>
      </c>
      <c r="AG164" s="109" t="str" cm="1">
        <f t="array" ref="AG164">Common_InputFunctions.Utility_DisplayArrayInTable(Fertiliser_SourceData.Fertiliser_Products_Data3(), FertiliserProducts[[#Headers],[Company]],61)</f>
        <v/>
      </c>
      <c r="AH164" s="109" t="str" cm="1">
        <f t="array" ref="AH164">Common_InputFunctions.Utility_DisplayArrayInTable(Fertiliser_SourceData.Fertiliser_Products_Data3(), FertiliserProducts[[#Headers],[Company]],61)</f>
        <v/>
      </c>
      <c r="AK164" s="1"/>
    </row>
    <row r="165" spans="4:37" ht="20.100000000000001" customHeight="1" x14ac:dyDescent="0.25">
      <c r="D165" s="109" t="str" cm="1">
        <f t="array" ref="D165">Common_InputFunctions.Utility_DisplayArrayInTable(Fertiliser_SourceData.Fertiliser_Products_Data3(), FertiliserProducts[[#Headers],[Company]],61)</f>
        <v>Incitec Pivot Fertilisers (or Ravensdown - see note)</v>
      </c>
      <c r="E165" s="109" t="str" cm="1">
        <f t="array" ref="E165">Common_InputFunctions.Utility_DisplayArrayInTable(Fertiliser_SourceData.Fertiliser_Products_Data3(), FertiliserProducts[[#Headers],[Company]],61)</f>
        <v>Flexi-N NI only</v>
      </c>
      <c r="F165" s="109" t="str" cm="1">
        <f t="array" ref="F165">Common_InputFunctions.Utility_DisplayArrayInTable(Fertiliser_SourceData.Fertiliser_Products_Data3(), FertiliserProducts[[#Headers],[Company]],61)</f>
        <v>kg</v>
      </c>
      <c r="G165" s="109" cm="1">
        <f t="array" ref="G165">Common_InputFunctions.Utility_DisplayArrayInTable(Fertiliser_SourceData.Fertiliser_Products_Data3(), FertiliserProducts[[#Headers],[Company]],61)</f>
        <v>1</v>
      </c>
      <c r="H165" s="109" t="str" cm="1">
        <f t="array" ref="H165">Common_InputFunctions.Utility_DisplayArrayInTable(Fertiliser_SourceData.Fertiliser_Products_Data3(), FertiliserProducts[[#Headers],[Company]],61)</f>
        <v>Yes</v>
      </c>
      <c r="I165" s="109" t="str" cm="1">
        <f t="array" ref="I165">Common_InputFunctions.Utility_DisplayArrayInTable(Fertiliser_SourceData.Fertiliser_Products_Data3(), FertiliserProducts[[#Headers],[Company]],61)</f>
        <v/>
      </c>
      <c r="J165" s="109" t="str" cm="1">
        <f t="array" ref="J165">Common_InputFunctions.Utility_DisplayArrayInTable(Fertiliser_SourceData.Fertiliser_Products_Data3(), FertiliserProducts[[#Headers],[Company]],61)</f>
        <v/>
      </c>
      <c r="K165" s="109" cm="1">
        <f t="array" ref="K165">Common_InputFunctions.Utility_DisplayArrayInTable(Fertiliser_SourceData.Fertiliser_Products_Data3(), FertiliserProducts[[#Headers],[Company]],61)</f>
        <v>45.54</v>
      </c>
      <c r="L165" s="109" t="str" cm="1">
        <f t="array" ref="L165">Common_InputFunctions.Utility_DisplayArrayInTable(Fertiliser_SourceData.Fertiliser_Products_Data3(), FertiliserProducts[[#Headers],[Company]],61)</f>
        <v/>
      </c>
      <c r="M165" s="109" t="str" cm="1">
        <f t="array" ref="M165">Common_InputFunctions.Utility_DisplayArrayInTable(Fertiliser_SourceData.Fertiliser_Products_Data3(), FertiliserProducts[[#Headers],[Company]],61)</f>
        <v/>
      </c>
      <c r="N165" s="109" t="str" cm="1">
        <f t="array" ref="N165">Common_InputFunctions.Utility_DisplayArrayInTable(Fertiliser_SourceData.Fertiliser_Products_Data3(), FertiliserProducts[[#Headers],[Company]],61)</f>
        <v/>
      </c>
      <c r="O165" s="109" t="str" cm="1">
        <f t="array" ref="O165">Common_InputFunctions.Utility_DisplayArrayInTable(Fertiliser_SourceData.Fertiliser_Products_Data3(), FertiliserProducts[[#Headers],[Company]],61)</f>
        <v>Urea</v>
      </c>
      <c r="P165" s="109" cm="1">
        <f t="array" ref="P165">Common_InputFunctions.Utility_DisplayArrayInTable(Fertiliser_SourceData.Fertiliser_Products_Data3(), FertiliserProducts[[#Headers],[Company]],61)</f>
        <v>0.99</v>
      </c>
      <c r="Q165" s="109" t="str" cm="1">
        <f t="array" ref="Q165">Common_InputFunctions.Utility_DisplayArrayInTable(Fertiliser_SourceData.Fertiliser_Products_Data3(), FertiliserProducts[[#Headers],[Company]],61)</f>
        <v>Urease/nitrification inhibitor</v>
      </c>
      <c r="R165" s="109" cm="1">
        <f t="array" ref="R165">Common_InputFunctions.Utility_DisplayArrayInTable(Fertiliser_SourceData.Fertiliser_Products_Data3(), FertiliserProducts[[#Headers],[Company]],61)</f>
        <v>0.01</v>
      </c>
      <c r="S165" s="109" t="str" cm="1">
        <f t="array" ref="S165">Common_InputFunctions.Utility_DisplayArrayInTable(Fertiliser_SourceData.Fertiliser_Products_Data3(), FertiliserProducts[[#Headers],[Company]],61)</f>
        <v/>
      </c>
      <c r="T165" s="109" t="str" cm="1">
        <f t="array" ref="T165">Common_InputFunctions.Utility_DisplayArrayInTable(Fertiliser_SourceData.Fertiliser_Products_Data3(), FertiliserProducts[[#Headers],[Company]],61)</f>
        <v/>
      </c>
      <c r="U165" s="109" t="str" cm="1">
        <f t="array" ref="U165">Common_InputFunctions.Utility_DisplayArrayInTable(Fertiliser_SourceData.Fertiliser_Products_Data3(), FertiliserProducts[[#Headers],[Company]],61)</f>
        <v/>
      </c>
      <c r="V165" s="109" t="str" cm="1">
        <f t="array" ref="V165">Common_InputFunctions.Utility_DisplayArrayInTable(Fertiliser_SourceData.Fertiliser_Products_Data3(), FertiliserProducts[[#Headers],[Company]],61)</f>
        <v/>
      </c>
      <c r="W165" s="109" t="str" cm="1">
        <f t="array" ref="W165">Common_InputFunctions.Utility_DisplayArrayInTable(Fertiliser_SourceData.Fertiliser_Products_Data3(), FertiliserProducts[[#Headers],[Company]],61)</f>
        <v/>
      </c>
      <c r="X165" s="109" t="str" cm="1">
        <f t="array" ref="X165">Common_InputFunctions.Utility_DisplayArrayInTable(Fertiliser_SourceData.Fertiliser_Products_Data3(), FertiliserProducts[[#Headers],[Company]],61)</f>
        <v/>
      </c>
      <c r="Y165" s="109" t="str" cm="1">
        <f t="array" ref="Y165">Common_InputFunctions.Utility_DisplayArrayInTable(Fertiliser_SourceData.Fertiliser_Products_Data3(), FertiliserProducts[[#Headers],[Company]],61)</f>
        <v/>
      </c>
      <c r="Z165" s="109" t="str" cm="1">
        <f t="array" ref="Z165">Common_InputFunctions.Utility_DisplayArrayInTable(Fertiliser_SourceData.Fertiliser_Products_Data3(), FertiliserProducts[[#Headers],[Company]],61)</f>
        <v/>
      </c>
      <c r="AA165" s="109" t="str" cm="1">
        <f t="array" ref="AA165">Common_InputFunctions.Utility_DisplayArrayInTable(Fertiliser_SourceData.Fertiliser_Products_Data3(), FertiliserProducts[[#Headers],[Company]],61)</f>
        <v/>
      </c>
      <c r="AB165" s="109" t="str" cm="1">
        <f t="array" ref="AB165">Common_InputFunctions.Utility_DisplayArrayInTable(Fertiliser_SourceData.Fertiliser_Products_Data3(), FertiliserProducts[[#Headers],[Company]],61)</f>
        <v/>
      </c>
      <c r="AC165" s="109" t="str" cm="1">
        <f t="array" ref="AC165">Common_InputFunctions.Utility_DisplayArrayInTable(Fertiliser_SourceData.Fertiliser_Products_Data3(), FertiliserProducts[[#Headers],[Company]],61)</f>
        <v/>
      </c>
      <c r="AD165" s="109" t="str" cm="1">
        <f t="array" ref="AD165">Common_InputFunctions.Utility_DisplayArrayInTable(Fertiliser_SourceData.Fertiliser_Products_Data3(), FertiliserProducts[[#Headers],[Company]],61)</f>
        <v/>
      </c>
      <c r="AE165" s="109" t="str" cm="1">
        <f t="array" ref="AE165">Common_InputFunctions.Utility_DisplayArrayInTable(Fertiliser_SourceData.Fertiliser_Products_Data3(), FertiliserProducts[[#Headers],[Company]],61)</f>
        <v/>
      </c>
      <c r="AF165" s="109" t="str" cm="1">
        <f t="array" ref="AF165">Common_InputFunctions.Utility_DisplayArrayInTable(Fertiliser_SourceData.Fertiliser_Products_Data3(), FertiliserProducts[[#Headers],[Company]],61)</f>
        <v/>
      </c>
      <c r="AG165" s="109" t="str" cm="1">
        <f t="array" ref="AG165">Common_InputFunctions.Utility_DisplayArrayInTable(Fertiliser_SourceData.Fertiliser_Products_Data3(), FertiliserProducts[[#Headers],[Company]],61)</f>
        <v/>
      </c>
      <c r="AH165" s="109" t="str" cm="1">
        <f t="array" ref="AH165">Common_InputFunctions.Utility_DisplayArrayInTable(Fertiliser_SourceData.Fertiliser_Products_Data3(), FertiliserProducts[[#Headers],[Company]],61)</f>
        <v/>
      </c>
      <c r="AK165" s="1"/>
    </row>
    <row r="166" spans="4:37" x14ac:dyDescent="0.25">
      <c r="D166" s="109" t="str" cm="1">
        <f t="array" ref="D166">Common_InputFunctions.Utility_DisplayArrayInTable(Fertiliser_SourceData.Fertiliser_Products_Data3(), FertiliserProducts[[#Headers],[Company]],61)</f>
        <v>Nutri-Tech Solutions (NTS)</v>
      </c>
      <c r="E166" s="109" t="str" cm="1">
        <f t="array" ref="E166">Common_InputFunctions.Utility_DisplayArrayInTable(Fertiliser_SourceData.Fertiliser_Products_Data3(), FertiliserProducts[[#Headers],[Company]],61)</f>
        <v>Muriate Of Potash MOP</v>
      </c>
      <c r="F166" s="109" t="str" cm="1">
        <f t="array" ref="F166">Common_InputFunctions.Utility_DisplayArrayInTable(Fertiliser_SourceData.Fertiliser_Products_Data3(), FertiliserProducts[[#Headers],[Company]],61)</f>
        <v>kg</v>
      </c>
      <c r="G166" s="109" cm="1">
        <f t="array" ref="G166">Common_InputFunctions.Utility_DisplayArrayInTable(Fertiliser_SourceData.Fertiliser_Products_Data3(), FertiliserProducts[[#Headers],[Company]],61)</f>
        <v>1</v>
      </c>
      <c r="H166" s="109" t="str" cm="1">
        <f t="array" ref="H166">Common_InputFunctions.Utility_DisplayArrayInTable(Fertiliser_SourceData.Fertiliser_Products_Data3(), FertiliserProducts[[#Headers],[Company]],61)</f>
        <v/>
      </c>
      <c r="I166" s="109" t="str" cm="1">
        <f t="array" ref="I166">Common_InputFunctions.Utility_DisplayArrayInTable(Fertiliser_SourceData.Fertiliser_Products_Data3(), FertiliserProducts[[#Headers],[Company]],61)</f>
        <v/>
      </c>
      <c r="J166" s="109" t="str" cm="1">
        <f t="array" ref="J166">Common_InputFunctions.Utility_DisplayArrayInTable(Fertiliser_SourceData.Fertiliser_Products_Data3(), FertiliserProducts[[#Headers],[Company]],61)</f>
        <v/>
      </c>
      <c r="K166" s="109" t="str" cm="1">
        <f t="array" ref="K166">Common_InputFunctions.Utility_DisplayArrayInTable(Fertiliser_SourceData.Fertiliser_Products_Data3(), FertiliserProducts[[#Headers],[Company]],61)</f>
        <v/>
      </c>
      <c r="L166" s="109" t="str" cm="1">
        <f t="array" ref="L166">Common_InputFunctions.Utility_DisplayArrayInTable(Fertiliser_SourceData.Fertiliser_Products_Data3(), FertiliserProducts[[#Headers],[Company]],61)</f>
        <v/>
      </c>
      <c r="M166" s="109" cm="1">
        <f t="array" ref="M166">Common_InputFunctions.Utility_DisplayArrayInTable(Fertiliser_SourceData.Fertiliser_Products_Data3(), FertiliserProducts[[#Headers],[Company]],61)</f>
        <v>50</v>
      </c>
      <c r="N166" s="109" t="str" cm="1">
        <f t="array" ref="N166">Common_InputFunctions.Utility_DisplayArrayInTable(Fertiliser_SourceData.Fertiliser_Products_Data3(), FertiliserProducts[[#Headers],[Company]],61)</f>
        <v/>
      </c>
      <c r="O166" s="109" t="str" cm="1">
        <f t="array" ref="O166">Common_InputFunctions.Utility_DisplayArrayInTable(Fertiliser_SourceData.Fertiliser_Products_Data3(), FertiliserProducts[[#Headers],[Company]],61)</f>
        <v>Muriate of potash (MOP)</v>
      </c>
      <c r="P166" s="109" cm="1">
        <f t="array" ref="P166">Common_InputFunctions.Utility_DisplayArrayInTable(Fertiliser_SourceData.Fertiliser_Products_Data3(), FertiliserProducts[[#Headers],[Company]],61)</f>
        <v>1</v>
      </c>
      <c r="Q166" s="109" t="str" cm="1">
        <f t="array" ref="Q166">Common_InputFunctions.Utility_DisplayArrayInTable(Fertiliser_SourceData.Fertiliser_Products_Data3(), FertiliserProducts[[#Headers],[Company]],61)</f>
        <v/>
      </c>
      <c r="R166" s="109" t="str" cm="1">
        <f t="array" ref="R166">Common_InputFunctions.Utility_DisplayArrayInTable(Fertiliser_SourceData.Fertiliser_Products_Data3(), FertiliserProducts[[#Headers],[Company]],61)</f>
        <v/>
      </c>
      <c r="S166" s="109" t="str" cm="1">
        <f t="array" ref="S166">Common_InputFunctions.Utility_DisplayArrayInTable(Fertiliser_SourceData.Fertiliser_Products_Data3(), FertiliserProducts[[#Headers],[Company]],61)</f>
        <v/>
      </c>
      <c r="T166" s="109" t="str" cm="1">
        <f t="array" ref="T166">Common_InputFunctions.Utility_DisplayArrayInTable(Fertiliser_SourceData.Fertiliser_Products_Data3(), FertiliserProducts[[#Headers],[Company]],61)</f>
        <v/>
      </c>
      <c r="U166" s="109" t="str" cm="1">
        <f t="array" ref="U166">Common_InputFunctions.Utility_DisplayArrayInTable(Fertiliser_SourceData.Fertiliser_Products_Data3(), FertiliserProducts[[#Headers],[Company]],61)</f>
        <v/>
      </c>
      <c r="V166" s="109" t="str" cm="1">
        <f t="array" ref="V166">Common_InputFunctions.Utility_DisplayArrayInTable(Fertiliser_SourceData.Fertiliser_Products_Data3(), FertiliserProducts[[#Headers],[Company]],61)</f>
        <v/>
      </c>
      <c r="W166" s="109" t="str" cm="1">
        <f t="array" ref="W166">Common_InputFunctions.Utility_DisplayArrayInTable(Fertiliser_SourceData.Fertiliser_Products_Data3(), FertiliserProducts[[#Headers],[Company]],61)</f>
        <v/>
      </c>
      <c r="X166" s="109" t="str" cm="1">
        <f t="array" ref="X166">Common_InputFunctions.Utility_DisplayArrayInTable(Fertiliser_SourceData.Fertiliser_Products_Data3(), FertiliserProducts[[#Headers],[Company]],61)</f>
        <v/>
      </c>
      <c r="Y166" s="109" t="str" cm="1">
        <f t="array" ref="Y166">Common_InputFunctions.Utility_DisplayArrayInTable(Fertiliser_SourceData.Fertiliser_Products_Data3(), FertiliserProducts[[#Headers],[Company]],61)</f>
        <v/>
      </c>
      <c r="Z166" s="109" t="str" cm="1">
        <f t="array" ref="Z166">Common_InputFunctions.Utility_DisplayArrayInTable(Fertiliser_SourceData.Fertiliser_Products_Data3(), FertiliserProducts[[#Headers],[Company]],61)</f>
        <v/>
      </c>
      <c r="AA166" s="109" t="str" cm="1">
        <f t="array" ref="AA166">Common_InputFunctions.Utility_DisplayArrayInTable(Fertiliser_SourceData.Fertiliser_Products_Data3(), FertiliserProducts[[#Headers],[Company]],61)</f>
        <v/>
      </c>
      <c r="AB166" s="109" t="str" cm="1">
        <f t="array" ref="AB166">Common_InputFunctions.Utility_DisplayArrayInTable(Fertiliser_SourceData.Fertiliser_Products_Data3(), FertiliserProducts[[#Headers],[Company]],61)</f>
        <v/>
      </c>
      <c r="AC166" s="109" t="str" cm="1">
        <f t="array" ref="AC166">Common_InputFunctions.Utility_DisplayArrayInTable(Fertiliser_SourceData.Fertiliser_Products_Data3(), FertiliserProducts[[#Headers],[Company]],61)</f>
        <v/>
      </c>
      <c r="AD166" s="109" t="str" cm="1">
        <f t="array" ref="AD166">Common_InputFunctions.Utility_DisplayArrayInTable(Fertiliser_SourceData.Fertiliser_Products_Data3(), FertiliserProducts[[#Headers],[Company]],61)</f>
        <v/>
      </c>
      <c r="AE166" s="109" t="str" cm="1">
        <f t="array" ref="AE166">Common_InputFunctions.Utility_DisplayArrayInTable(Fertiliser_SourceData.Fertiliser_Products_Data3(), FertiliserProducts[[#Headers],[Company]],61)</f>
        <v/>
      </c>
      <c r="AF166" s="109" t="str" cm="1">
        <f t="array" ref="AF166">Common_InputFunctions.Utility_DisplayArrayInTable(Fertiliser_SourceData.Fertiliser_Products_Data3(), FertiliserProducts[[#Headers],[Company]],61)</f>
        <v/>
      </c>
      <c r="AG166" s="109" t="str" cm="1">
        <f t="array" ref="AG166">Common_InputFunctions.Utility_DisplayArrayInTable(Fertiliser_SourceData.Fertiliser_Products_Data3(), FertiliserProducts[[#Headers],[Company]],61)</f>
        <v/>
      </c>
      <c r="AH166" s="109" t="str" cm="1">
        <f t="array" ref="AH166">Common_InputFunctions.Utility_DisplayArrayInTable(Fertiliser_SourceData.Fertiliser_Products_Data3(), FertiliserProducts[[#Headers],[Company]],61)</f>
        <v/>
      </c>
      <c r="AK166" s="1"/>
    </row>
    <row r="167" spans="4:37" x14ac:dyDescent="0.25">
      <c r="D167" s="109" t="str" cm="1">
        <f t="array" ref="D167">Common_InputFunctions.Utility_DisplayArrayInTable(Fertiliser_SourceData.Fertiliser_Products_Data3(), FertiliserProducts[[#Headers],[Company]],61)</f>
        <v>Nuturf</v>
      </c>
      <c r="E167" s="109" t="str" cm="1">
        <f t="array" ref="E167">Common_InputFunctions.Utility_DisplayArrayInTable(Fertiliser_SourceData.Fertiliser_Products_Data3(), FertiliserProducts[[#Headers],[Company]],61)</f>
        <v>MAP NUTURF</v>
      </c>
      <c r="F167" s="109" t="str" cm="1">
        <f t="array" ref="F167">Common_InputFunctions.Utility_DisplayArrayInTable(Fertiliser_SourceData.Fertiliser_Products_Data3(), FertiliserProducts[[#Headers],[Company]],61)</f>
        <v>kg</v>
      </c>
      <c r="G167" s="109" cm="1">
        <f t="array" ref="G167">Common_InputFunctions.Utility_DisplayArrayInTable(Fertiliser_SourceData.Fertiliser_Products_Data3(), FertiliserProducts[[#Headers],[Company]],61)</f>
        <v>1</v>
      </c>
      <c r="H167" s="109" t="str" cm="1">
        <f t="array" ref="H167">Common_InputFunctions.Utility_DisplayArrayInTable(Fertiliser_SourceData.Fertiliser_Products_Data3(), FertiliserProducts[[#Headers],[Company]],61)</f>
        <v/>
      </c>
      <c r="I167" s="109" t="str" cm="1">
        <f t="array" ref="I167">Common_InputFunctions.Utility_DisplayArrayInTable(Fertiliser_SourceData.Fertiliser_Products_Data3(), FertiliserProducts[[#Headers],[Company]],61)</f>
        <v/>
      </c>
      <c r="J167" s="109" t="str" cm="1">
        <f t="array" ref="J167">Common_InputFunctions.Utility_DisplayArrayInTable(Fertiliser_SourceData.Fertiliser_Products_Data3(), FertiliserProducts[[#Headers],[Company]],61)</f>
        <v/>
      </c>
      <c r="K167" s="109" cm="1">
        <f t="array" ref="K167">Common_InputFunctions.Utility_DisplayArrayInTable(Fertiliser_SourceData.Fertiliser_Products_Data3(), FertiliserProducts[[#Headers],[Company]],61)</f>
        <v>10</v>
      </c>
      <c r="L167" s="109" cm="1">
        <f t="array" ref="L167">Common_InputFunctions.Utility_DisplayArrayInTable(Fertiliser_SourceData.Fertiliser_Products_Data3(), FertiliserProducts[[#Headers],[Company]],61)</f>
        <v>21.9</v>
      </c>
      <c r="M167" s="109" t="str" cm="1">
        <f t="array" ref="M167">Common_InputFunctions.Utility_DisplayArrayInTable(Fertiliser_SourceData.Fertiliser_Products_Data3(), FertiliserProducts[[#Headers],[Company]],61)</f>
        <v/>
      </c>
      <c r="N167" s="109" t="str" cm="1">
        <f t="array" ref="N167">Common_InputFunctions.Utility_DisplayArrayInTable(Fertiliser_SourceData.Fertiliser_Products_Data3(), FertiliserProducts[[#Headers],[Company]],61)</f>
        <v/>
      </c>
      <c r="O167" s="109" t="str" cm="1">
        <f t="array" ref="O167">Common_InputFunctions.Utility_DisplayArrayInTable(Fertiliser_SourceData.Fertiliser_Products_Data3(), FertiliserProducts[[#Headers],[Company]],61)</f>
        <v>Monoammonium phosphate (MAP)</v>
      </c>
      <c r="P167" s="109" cm="1">
        <f t="array" ref="P167">Common_InputFunctions.Utility_DisplayArrayInTable(Fertiliser_SourceData.Fertiliser_Products_Data3(), FertiliserProducts[[#Headers],[Company]],61)</f>
        <v>1</v>
      </c>
      <c r="Q167" s="109" t="str" cm="1">
        <f t="array" ref="Q167">Common_InputFunctions.Utility_DisplayArrayInTable(Fertiliser_SourceData.Fertiliser_Products_Data3(), FertiliserProducts[[#Headers],[Company]],61)</f>
        <v/>
      </c>
      <c r="R167" s="109" t="str" cm="1">
        <f t="array" ref="R167">Common_InputFunctions.Utility_DisplayArrayInTable(Fertiliser_SourceData.Fertiliser_Products_Data3(), FertiliserProducts[[#Headers],[Company]],61)</f>
        <v/>
      </c>
      <c r="S167" s="109" t="str" cm="1">
        <f t="array" ref="S167">Common_InputFunctions.Utility_DisplayArrayInTable(Fertiliser_SourceData.Fertiliser_Products_Data3(), FertiliserProducts[[#Headers],[Company]],61)</f>
        <v/>
      </c>
      <c r="T167" s="109" t="str" cm="1">
        <f t="array" ref="T167">Common_InputFunctions.Utility_DisplayArrayInTable(Fertiliser_SourceData.Fertiliser_Products_Data3(), FertiliserProducts[[#Headers],[Company]],61)</f>
        <v/>
      </c>
      <c r="U167" s="109" t="str" cm="1">
        <f t="array" ref="U167">Common_InputFunctions.Utility_DisplayArrayInTable(Fertiliser_SourceData.Fertiliser_Products_Data3(), FertiliserProducts[[#Headers],[Company]],61)</f>
        <v/>
      </c>
      <c r="V167" s="109" t="str" cm="1">
        <f t="array" ref="V167">Common_InputFunctions.Utility_DisplayArrayInTable(Fertiliser_SourceData.Fertiliser_Products_Data3(), FertiliserProducts[[#Headers],[Company]],61)</f>
        <v/>
      </c>
      <c r="W167" s="109" t="str" cm="1">
        <f t="array" ref="W167">Common_InputFunctions.Utility_DisplayArrayInTable(Fertiliser_SourceData.Fertiliser_Products_Data3(), FertiliserProducts[[#Headers],[Company]],61)</f>
        <v/>
      </c>
      <c r="X167" s="109" t="str" cm="1">
        <f t="array" ref="X167">Common_InputFunctions.Utility_DisplayArrayInTable(Fertiliser_SourceData.Fertiliser_Products_Data3(), FertiliserProducts[[#Headers],[Company]],61)</f>
        <v/>
      </c>
      <c r="Y167" s="109" t="str" cm="1">
        <f t="array" ref="Y167">Common_InputFunctions.Utility_DisplayArrayInTable(Fertiliser_SourceData.Fertiliser_Products_Data3(), FertiliserProducts[[#Headers],[Company]],61)</f>
        <v/>
      </c>
      <c r="Z167" s="109" t="str" cm="1">
        <f t="array" ref="Z167">Common_InputFunctions.Utility_DisplayArrayInTable(Fertiliser_SourceData.Fertiliser_Products_Data3(), FertiliserProducts[[#Headers],[Company]],61)</f>
        <v/>
      </c>
      <c r="AA167" s="109" t="str" cm="1">
        <f t="array" ref="AA167">Common_InputFunctions.Utility_DisplayArrayInTable(Fertiliser_SourceData.Fertiliser_Products_Data3(), FertiliserProducts[[#Headers],[Company]],61)</f>
        <v/>
      </c>
      <c r="AB167" s="109" t="str" cm="1">
        <f t="array" ref="AB167">Common_InputFunctions.Utility_DisplayArrayInTable(Fertiliser_SourceData.Fertiliser_Products_Data3(), FertiliserProducts[[#Headers],[Company]],61)</f>
        <v/>
      </c>
      <c r="AC167" s="109" t="str" cm="1">
        <f t="array" ref="AC167">Common_InputFunctions.Utility_DisplayArrayInTable(Fertiliser_SourceData.Fertiliser_Products_Data3(), FertiliserProducts[[#Headers],[Company]],61)</f>
        <v/>
      </c>
      <c r="AD167" s="109" t="str" cm="1">
        <f t="array" ref="AD167">Common_InputFunctions.Utility_DisplayArrayInTable(Fertiliser_SourceData.Fertiliser_Products_Data3(), FertiliserProducts[[#Headers],[Company]],61)</f>
        <v/>
      </c>
      <c r="AE167" s="109" t="str" cm="1">
        <f t="array" ref="AE167">Common_InputFunctions.Utility_DisplayArrayInTable(Fertiliser_SourceData.Fertiliser_Products_Data3(), FertiliserProducts[[#Headers],[Company]],61)</f>
        <v/>
      </c>
      <c r="AF167" s="109" t="str" cm="1">
        <f t="array" ref="AF167">Common_InputFunctions.Utility_DisplayArrayInTable(Fertiliser_SourceData.Fertiliser_Products_Data3(), FertiliserProducts[[#Headers],[Company]],61)</f>
        <v/>
      </c>
      <c r="AG167" s="109" t="str" cm="1">
        <f t="array" ref="AG167">Common_InputFunctions.Utility_DisplayArrayInTable(Fertiliser_SourceData.Fertiliser_Products_Data3(), FertiliserProducts[[#Headers],[Company]],61)</f>
        <v/>
      </c>
      <c r="AH167" s="109" t="str" cm="1">
        <f t="array" ref="AH167">Common_InputFunctions.Utility_DisplayArrayInTable(Fertiliser_SourceData.Fertiliser_Products_Data3(), FertiliserProducts[[#Headers],[Company]],61)</f>
        <v/>
      </c>
      <c r="AK167" s="1"/>
    </row>
    <row r="168" spans="4:37" x14ac:dyDescent="0.25">
      <c r="D168" s="109" t="str" cm="1">
        <f t="array" ref="D168">Common_InputFunctions.Utility_DisplayArrayInTable(Fertiliser_SourceData.Fertiliser_Products_Data3(), FertiliserProducts[[#Headers],[Company]],61)</f>
        <v>Campbells fertilisers Australia</v>
      </c>
      <c r="E168" s="109" t="str" cm="1">
        <f t="array" ref="E168">Common_InputFunctions.Utility_DisplayArrayInTable(Fertiliser_SourceData.Fertiliser_Products_Data3(), FertiliserProducts[[#Headers],[Company]],61)</f>
        <v>Quick-N</v>
      </c>
      <c r="F168" s="109" t="str" cm="1">
        <f t="array" ref="F168">Common_InputFunctions.Utility_DisplayArrayInTable(Fertiliser_SourceData.Fertiliser_Products_Data3(), FertiliserProducts[[#Headers],[Company]],61)</f>
        <v>kg</v>
      </c>
      <c r="G168" s="109" cm="1">
        <f t="array" ref="G168">Common_InputFunctions.Utility_DisplayArrayInTable(Fertiliser_SourceData.Fertiliser_Products_Data3(), FertiliserProducts[[#Headers],[Company]],61)</f>
        <v>1</v>
      </c>
      <c r="H168" s="109" t="str" cm="1">
        <f t="array" ref="H168">Common_InputFunctions.Utility_DisplayArrayInTable(Fertiliser_SourceData.Fertiliser_Products_Data3(), FertiliserProducts[[#Headers],[Company]],61)</f>
        <v/>
      </c>
      <c r="I168" s="109" t="str" cm="1">
        <f t="array" ref="I168">Common_InputFunctions.Utility_DisplayArrayInTable(Fertiliser_SourceData.Fertiliser_Products_Data3(), FertiliserProducts[[#Headers],[Company]],61)</f>
        <v/>
      </c>
      <c r="J168" s="109" t="str" cm="1">
        <f t="array" ref="J168">Common_InputFunctions.Utility_DisplayArrayInTable(Fertiliser_SourceData.Fertiliser_Products_Data3(), FertiliserProducts[[#Headers],[Company]],61)</f>
        <v/>
      </c>
      <c r="K168" s="109" cm="1">
        <f t="array" ref="K168">Common_InputFunctions.Utility_DisplayArrayInTable(Fertiliser_SourceData.Fertiliser_Products_Data3(), FertiliserProducts[[#Headers],[Company]],61)</f>
        <v>26</v>
      </c>
      <c r="L168" s="109" t="str" cm="1">
        <f t="array" ref="L168">Common_InputFunctions.Utility_DisplayArrayInTable(Fertiliser_SourceData.Fertiliser_Products_Data3(), FertiliserProducts[[#Headers],[Company]],61)</f>
        <v/>
      </c>
      <c r="M168" s="109" t="str" cm="1">
        <f t="array" ref="M168">Common_InputFunctions.Utility_DisplayArrayInTable(Fertiliser_SourceData.Fertiliser_Products_Data3(), FertiliserProducts[[#Headers],[Company]],61)</f>
        <v/>
      </c>
      <c r="N168" s="109" cm="1">
        <f t="array" ref="N168">Common_InputFunctions.Utility_DisplayArrayInTable(Fertiliser_SourceData.Fertiliser_Products_Data3(), FertiliserProducts[[#Headers],[Company]],61)</f>
        <v>13</v>
      </c>
      <c r="O168" s="109" t="str" cm="1">
        <f t="array" ref="O168">Common_InputFunctions.Utility_DisplayArrayInTable(Fertiliser_SourceData.Fertiliser_Products_Data3(), FertiliserProducts[[#Headers],[Company]],61)</f>
        <v>Sulphate of ammonia (SOA)</v>
      </c>
      <c r="P168" s="109" cm="1">
        <f t="array" ref="P168">Common_InputFunctions.Utility_DisplayArrayInTable(Fertiliser_SourceData.Fertiliser_Products_Data3(), FertiliserProducts[[#Headers],[Company]],61)</f>
        <v>0.54166700000000001</v>
      </c>
      <c r="Q168" s="109" t="str" cm="1">
        <f t="array" ref="Q168">Common_InputFunctions.Utility_DisplayArrayInTable(Fertiliser_SourceData.Fertiliser_Products_Data3(), FertiliserProducts[[#Headers],[Company]],61)</f>
        <v>Ammonium nitrate (AN)</v>
      </c>
      <c r="R168" s="109" cm="1">
        <f t="array" ref="R168">Common_InputFunctions.Utility_DisplayArrayInTable(Fertiliser_SourceData.Fertiliser_Products_Data3(), FertiliserProducts[[#Headers],[Company]],61)</f>
        <v>0.43397599999999997</v>
      </c>
      <c r="S168" s="109" t="str" cm="1">
        <f t="array" ref="S168">Common_InputFunctions.Utility_DisplayArrayInTable(Fertiliser_SourceData.Fertiliser_Products_Data3(), FertiliserProducts[[#Headers],[Company]],61)</f>
        <v/>
      </c>
      <c r="T168" s="109" t="str" cm="1">
        <f t="array" ref="T168">Common_InputFunctions.Utility_DisplayArrayInTable(Fertiliser_SourceData.Fertiliser_Products_Data3(), FertiliserProducts[[#Headers],[Company]],61)</f>
        <v/>
      </c>
      <c r="U168" s="109" t="str" cm="1">
        <f t="array" ref="U168">Common_InputFunctions.Utility_DisplayArrayInTable(Fertiliser_SourceData.Fertiliser_Products_Data3(), FertiliserProducts[[#Headers],[Company]],61)</f>
        <v/>
      </c>
      <c r="V168" s="109" t="str" cm="1">
        <f t="array" ref="V168">Common_InputFunctions.Utility_DisplayArrayInTable(Fertiliser_SourceData.Fertiliser_Products_Data3(), FertiliserProducts[[#Headers],[Company]],61)</f>
        <v/>
      </c>
      <c r="W168" s="109" t="str" cm="1">
        <f t="array" ref="W168">Common_InputFunctions.Utility_DisplayArrayInTable(Fertiliser_SourceData.Fertiliser_Products_Data3(), FertiliserProducts[[#Headers],[Company]],61)</f>
        <v/>
      </c>
      <c r="X168" s="109" t="str" cm="1">
        <f t="array" ref="X168">Common_InputFunctions.Utility_DisplayArrayInTable(Fertiliser_SourceData.Fertiliser_Products_Data3(), FertiliserProducts[[#Headers],[Company]],61)</f>
        <v/>
      </c>
      <c r="Y168" s="109" t="str" cm="1">
        <f t="array" ref="Y168">Common_InputFunctions.Utility_DisplayArrayInTable(Fertiliser_SourceData.Fertiliser_Products_Data3(), FertiliserProducts[[#Headers],[Company]],61)</f>
        <v/>
      </c>
      <c r="Z168" s="109" t="str" cm="1">
        <f t="array" ref="Z168">Common_InputFunctions.Utility_DisplayArrayInTable(Fertiliser_SourceData.Fertiliser_Products_Data3(), FertiliserProducts[[#Headers],[Company]],61)</f>
        <v/>
      </c>
      <c r="AA168" s="109" t="str" cm="1">
        <f t="array" ref="AA168">Common_InputFunctions.Utility_DisplayArrayInTable(Fertiliser_SourceData.Fertiliser_Products_Data3(), FertiliserProducts[[#Headers],[Company]],61)</f>
        <v/>
      </c>
      <c r="AB168" s="109" t="str" cm="1">
        <f t="array" ref="AB168">Common_InputFunctions.Utility_DisplayArrayInTable(Fertiliser_SourceData.Fertiliser_Products_Data3(), FertiliserProducts[[#Headers],[Company]],61)</f>
        <v/>
      </c>
      <c r="AC168" s="109" t="str" cm="1">
        <f t="array" ref="AC168">Common_InputFunctions.Utility_DisplayArrayInTable(Fertiliser_SourceData.Fertiliser_Products_Data3(), FertiliserProducts[[#Headers],[Company]],61)</f>
        <v/>
      </c>
      <c r="AD168" s="109" t="str" cm="1">
        <f t="array" ref="AD168">Common_InputFunctions.Utility_DisplayArrayInTable(Fertiliser_SourceData.Fertiliser_Products_Data3(), FertiliserProducts[[#Headers],[Company]],61)</f>
        <v/>
      </c>
      <c r="AE168" s="109" t="str" cm="1">
        <f t="array" ref="AE168">Common_InputFunctions.Utility_DisplayArrayInTable(Fertiliser_SourceData.Fertiliser_Products_Data3(), FertiliserProducts[[#Headers],[Company]],61)</f>
        <v/>
      </c>
      <c r="AF168" s="109" t="str" cm="1">
        <f t="array" ref="AF168">Common_InputFunctions.Utility_DisplayArrayInTable(Fertiliser_SourceData.Fertiliser_Products_Data3(), FertiliserProducts[[#Headers],[Company]],61)</f>
        <v/>
      </c>
      <c r="AG168" s="109" t="str" cm="1">
        <f t="array" ref="AG168">Common_InputFunctions.Utility_DisplayArrayInTable(Fertiliser_SourceData.Fertiliser_Products_Data3(), FertiliserProducts[[#Headers],[Company]],61)</f>
        <v/>
      </c>
      <c r="AH168" s="109" t="str" cm="1">
        <f t="array" ref="AH168">Common_InputFunctions.Utility_DisplayArrayInTable(Fertiliser_SourceData.Fertiliser_Products_Data3(), FertiliserProducts[[#Headers],[Company]],61)</f>
        <v/>
      </c>
      <c r="AK168" s="1"/>
    </row>
    <row r="169" spans="4:37" x14ac:dyDescent="0.25">
      <c r="D169" s="109" t="str" cm="1">
        <f t="array" ref="D169">Common_InputFunctions.Utility_DisplayArrayInTable(Fertiliser_SourceData.Fertiliser_Products_Data3(), FertiliserProducts[[#Headers],[Company]],61)</f>
        <v>SLTEC Fertilizers</v>
      </c>
      <c r="E169" s="109" t="str" cm="1">
        <f t="array" ref="E169">Common_InputFunctions.Utility_DisplayArrayInTable(Fertiliser_SourceData.Fertiliser_Products_Data3(), FertiliserProducts[[#Headers],[Company]],61)</f>
        <v>UAS</v>
      </c>
      <c r="F169" s="109" t="str" cm="1">
        <f t="array" ref="F169">Common_InputFunctions.Utility_DisplayArrayInTable(Fertiliser_SourceData.Fertiliser_Products_Data3(), FertiliserProducts[[#Headers],[Company]],61)</f>
        <v>L</v>
      </c>
      <c r="G169" s="109" cm="1">
        <f t="array" ref="G169">Common_InputFunctions.Utility_DisplayArrayInTable(Fertiliser_SourceData.Fertiliser_Products_Data3(), FertiliserProducts[[#Headers],[Company]],61)</f>
        <v>1.2350000000000001</v>
      </c>
      <c r="H169" s="109" t="str" cm="1">
        <f t="array" ref="H169">Common_InputFunctions.Utility_DisplayArrayInTable(Fertiliser_SourceData.Fertiliser_Products_Data3(), FertiliserProducts[[#Headers],[Company]],61)</f>
        <v/>
      </c>
      <c r="I169" s="109" t="str" cm="1">
        <f t="array" ref="I169">Common_InputFunctions.Utility_DisplayArrayInTable(Fertiliser_SourceData.Fertiliser_Products_Data3(), FertiliserProducts[[#Headers],[Company]],61)</f>
        <v/>
      </c>
      <c r="J169" s="109" t="str" cm="1">
        <f t="array" ref="J169">Common_InputFunctions.Utility_DisplayArrayInTable(Fertiliser_SourceData.Fertiliser_Products_Data3(), FertiliserProducts[[#Headers],[Company]],61)</f>
        <v/>
      </c>
      <c r="K169" s="109" cm="1">
        <f t="array" ref="K169">Common_InputFunctions.Utility_DisplayArrayInTable(Fertiliser_SourceData.Fertiliser_Products_Data3(), FertiliserProducts[[#Headers],[Company]],61)</f>
        <v>26.6</v>
      </c>
      <c r="L169" s="109" t="str" cm="1">
        <f t="array" ref="L169">Common_InputFunctions.Utility_DisplayArrayInTable(Fertiliser_SourceData.Fertiliser_Products_Data3(), FertiliserProducts[[#Headers],[Company]],61)</f>
        <v/>
      </c>
      <c r="M169" s="109" t="str" cm="1">
        <f t="array" ref="M169">Common_InputFunctions.Utility_DisplayArrayInTable(Fertiliser_SourceData.Fertiliser_Products_Data3(), FertiliserProducts[[#Headers],[Company]],61)</f>
        <v/>
      </c>
      <c r="N169" s="109" cm="1">
        <f t="array" ref="N169">Common_InputFunctions.Utility_DisplayArrayInTable(Fertiliser_SourceData.Fertiliser_Products_Data3(), FertiliserProducts[[#Headers],[Company]],61)</f>
        <v>6.7</v>
      </c>
      <c r="O169" s="109" t="str" cm="1">
        <f t="array" ref="O169">Common_InputFunctions.Utility_DisplayArrayInTable(Fertiliser_SourceData.Fertiliser_Products_Data3(), FertiliserProducts[[#Headers],[Company]],61)</f>
        <v>Urea</v>
      </c>
      <c r="P169" s="109" cm="1">
        <f t="array" ref="P169">Common_InputFunctions.Utility_DisplayArrayInTable(Fertiliser_SourceData.Fertiliser_Products_Data3(), FertiliserProducts[[#Headers],[Company]],61)</f>
        <v>0.45081500000000002</v>
      </c>
      <c r="Q169" s="109" t="str" cm="1">
        <f t="array" ref="Q169">Common_InputFunctions.Utility_DisplayArrayInTable(Fertiliser_SourceData.Fertiliser_Products_Data3(), FertiliserProducts[[#Headers],[Company]],61)</f>
        <v>Sulphate of ammonia (SOA)</v>
      </c>
      <c r="R169" s="109" cm="1">
        <f t="array" ref="R169">Common_InputFunctions.Utility_DisplayArrayInTable(Fertiliser_SourceData.Fertiliser_Products_Data3(), FertiliserProducts[[#Headers],[Company]],61)</f>
        <v>0.279167</v>
      </c>
      <c r="S169" s="109" t="str" cm="1">
        <f t="array" ref="S169">Common_InputFunctions.Utility_DisplayArrayInTable(Fertiliser_SourceData.Fertiliser_Products_Data3(), FertiliserProducts[[#Headers],[Company]],61)</f>
        <v/>
      </c>
      <c r="T169" s="109" t="str" cm="1">
        <f t="array" ref="T169">Common_InputFunctions.Utility_DisplayArrayInTable(Fertiliser_SourceData.Fertiliser_Products_Data3(), FertiliserProducts[[#Headers],[Company]],61)</f>
        <v/>
      </c>
      <c r="U169" s="109" t="str" cm="1">
        <f t="array" ref="U169">Common_InputFunctions.Utility_DisplayArrayInTable(Fertiliser_SourceData.Fertiliser_Products_Data3(), FertiliserProducts[[#Headers],[Company]],61)</f>
        <v/>
      </c>
      <c r="V169" s="109" t="str" cm="1">
        <f t="array" ref="V169">Common_InputFunctions.Utility_DisplayArrayInTable(Fertiliser_SourceData.Fertiliser_Products_Data3(), FertiliserProducts[[#Headers],[Company]],61)</f>
        <v/>
      </c>
      <c r="W169" s="109" t="str" cm="1">
        <f t="array" ref="W169">Common_InputFunctions.Utility_DisplayArrayInTable(Fertiliser_SourceData.Fertiliser_Products_Data3(), FertiliserProducts[[#Headers],[Company]],61)</f>
        <v/>
      </c>
      <c r="X169" s="109" t="str" cm="1">
        <f t="array" ref="X169">Common_InputFunctions.Utility_DisplayArrayInTable(Fertiliser_SourceData.Fertiliser_Products_Data3(), FertiliserProducts[[#Headers],[Company]],61)</f>
        <v/>
      </c>
      <c r="Y169" s="109" t="str" cm="1">
        <f t="array" ref="Y169">Common_InputFunctions.Utility_DisplayArrayInTable(Fertiliser_SourceData.Fertiliser_Products_Data3(), FertiliserProducts[[#Headers],[Company]],61)</f>
        <v/>
      </c>
      <c r="Z169" s="109" t="str" cm="1">
        <f t="array" ref="Z169">Common_InputFunctions.Utility_DisplayArrayInTable(Fertiliser_SourceData.Fertiliser_Products_Data3(), FertiliserProducts[[#Headers],[Company]],61)</f>
        <v/>
      </c>
      <c r="AA169" s="109" t="str" cm="1">
        <f t="array" ref="AA169">Common_InputFunctions.Utility_DisplayArrayInTable(Fertiliser_SourceData.Fertiliser_Products_Data3(), FertiliserProducts[[#Headers],[Company]],61)</f>
        <v/>
      </c>
      <c r="AB169" s="109" t="str" cm="1">
        <f t="array" ref="AB169">Common_InputFunctions.Utility_DisplayArrayInTable(Fertiliser_SourceData.Fertiliser_Products_Data3(), FertiliserProducts[[#Headers],[Company]],61)</f>
        <v/>
      </c>
      <c r="AC169" s="109" t="str" cm="1">
        <f t="array" ref="AC169">Common_InputFunctions.Utility_DisplayArrayInTable(Fertiliser_SourceData.Fertiliser_Products_Data3(), FertiliserProducts[[#Headers],[Company]],61)</f>
        <v/>
      </c>
      <c r="AD169" s="109" t="str" cm="1">
        <f t="array" ref="AD169">Common_InputFunctions.Utility_DisplayArrayInTable(Fertiliser_SourceData.Fertiliser_Products_Data3(), FertiliserProducts[[#Headers],[Company]],61)</f>
        <v/>
      </c>
      <c r="AE169" s="109" t="str" cm="1">
        <f t="array" ref="AE169">Common_InputFunctions.Utility_DisplayArrayInTable(Fertiliser_SourceData.Fertiliser_Products_Data3(), FertiliserProducts[[#Headers],[Company]],61)</f>
        <v/>
      </c>
      <c r="AF169" s="109" t="str" cm="1">
        <f t="array" ref="AF169">Common_InputFunctions.Utility_DisplayArrayInTable(Fertiliser_SourceData.Fertiliser_Products_Data3(), FertiliserProducts[[#Headers],[Company]],61)</f>
        <v/>
      </c>
      <c r="AG169" s="109" t="str" cm="1">
        <f t="array" ref="AG169">Common_InputFunctions.Utility_DisplayArrayInTable(Fertiliser_SourceData.Fertiliser_Products_Data3(), FertiliserProducts[[#Headers],[Company]],61)</f>
        <v/>
      </c>
      <c r="AH169" s="109" t="str" cm="1">
        <f t="array" ref="AH169">Common_InputFunctions.Utility_DisplayArrayInTable(Fertiliser_SourceData.Fertiliser_Products_Data3(), FertiliserProducts[[#Headers],[Company]],61)</f>
        <v/>
      </c>
      <c r="AK169" s="1"/>
    </row>
    <row r="170" spans="4:37" x14ac:dyDescent="0.25">
      <c r="D170" s="109" t="str" cm="1">
        <f t="array" ref="D170">Common_InputFunctions.Utility_DisplayArrayInTable(Fertiliser_SourceData.Fertiliser_Products_Data3(), FertiliserProducts[[#Headers],[Company]],61)</f>
        <v>SLTEC Fertilizers</v>
      </c>
      <c r="E170" s="109" t="str" cm="1">
        <f t="array" ref="E170">Common_InputFunctions.Utility_DisplayArrayInTable(Fertiliser_SourceData.Fertiliser_Products_Data3(), FertiliserProducts[[#Headers],[Company]],61)</f>
        <v>Triazone Urea</v>
      </c>
      <c r="F170" s="109" t="str" cm="1">
        <f t="array" ref="F170">Common_InputFunctions.Utility_DisplayArrayInTable(Fertiliser_SourceData.Fertiliser_Products_Data3(), FertiliserProducts[[#Headers],[Company]],61)</f>
        <v>L</v>
      </c>
      <c r="G170" s="109" cm="1">
        <f t="array" ref="G170">Common_InputFunctions.Utility_DisplayArrayInTable(Fertiliser_SourceData.Fertiliser_Products_Data3(), FertiliserProducts[[#Headers],[Company]],61)</f>
        <v>1.28</v>
      </c>
      <c r="H170" s="109" t="str" cm="1">
        <f t="array" ref="H170">Common_InputFunctions.Utility_DisplayArrayInTable(Fertiliser_SourceData.Fertiliser_Products_Data3(), FertiliserProducts[[#Headers],[Company]],61)</f>
        <v/>
      </c>
      <c r="I170" s="109" t="str" cm="1">
        <f t="array" ref="I170">Common_InputFunctions.Utility_DisplayArrayInTable(Fertiliser_SourceData.Fertiliser_Products_Data3(), FertiliserProducts[[#Headers],[Company]],61)</f>
        <v/>
      </c>
      <c r="J170" s="109" t="str" cm="1">
        <f t="array" ref="J170">Common_InputFunctions.Utility_DisplayArrayInTable(Fertiliser_SourceData.Fertiliser_Products_Data3(), FertiliserProducts[[#Headers],[Company]],61)</f>
        <v/>
      </c>
      <c r="K170" s="109" cm="1">
        <f t="array" ref="K170">Common_InputFunctions.Utility_DisplayArrayInTable(Fertiliser_SourceData.Fertiliser_Products_Data3(), FertiliserProducts[[#Headers],[Company]],61)</f>
        <v>0</v>
      </c>
      <c r="L170" s="109" t="str" cm="1">
        <f t="array" ref="L170">Common_InputFunctions.Utility_DisplayArrayInTable(Fertiliser_SourceData.Fertiliser_Products_Data3(), FertiliserProducts[[#Headers],[Company]],61)</f>
        <v/>
      </c>
      <c r="M170" s="109" t="str" cm="1">
        <f t="array" ref="M170">Common_InputFunctions.Utility_DisplayArrayInTable(Fertiliser_SourceData.Fertiliser_Products_Data3(), FertiliserProducts[[#Headers],[Company]],61)</f>
        <v/>
      </c>
      <c r="N170" s="109" t="str" cm="1">
        <f t="array" ref="N170">Common_InputFunctions.Utility_DisplayArrayInTable(Fertiliser_SourceData.Fertiliser_Products_Data3(), FertiliserProducts[[#Headers],[Company]],61)</f>
        <v/>
      </c>
      <c r="O170" s="109" t="str" cm="1">
        <f t="array" ref="O170">Common_InputFunctions.Utility_DisplayArrayInTable(Fertiliser_SourceData.Fertiliser_Products_Data3(), FertiliserProducts[[#Headers],[Company]],61)</f>
        <v>Urea</v>
      </c>
      <c r="P170" s="109" cm="1">
        <f t="array" ref="P170">Common_InputFunctions.Utility_DisplayArrayInTable(Fertiliser_SourceData.Fertiliser_Products_Data3(), FertiliserProducts[[#Headers],[Company]],61)</f>
        <v>0.65217400000000003</v>
      </c>
      <c r="Q170" s="109" t="str" cm="1">
        <f t="array" ref="Q170">Common_InputFunctions.Utility_DisplayArrayInTable(Fertiliser_SourceData.Fertiliser_Products_Data3(), FertiliserProducts[[#Headers],[Company]],61)</f>
        <v/>
      </c>
      <c r="R170" s="109" t="str" cm="1">
        <f t="array" ref="R170">Common_InputFunctions.Utility_DisplayArrayInTable(Fertiliser_SourceData.Fertiliser_Products_Data3(), FertiliserProducts[[#Headers],[Company]],61)</f>
        <v/>
      </c>
      <c r="S170" s="109" t="str" cm="1">
        <f t="array" ref="S170">Common_InputFunctions.Utility_DisplayArrayInTable(Fertiliser_SourceData.Fertiliser_Products_Data3(), FertiliserProducts[[#Headers],[Company]],61)</f>
        <v/>
      </c>
      <c r="T170" s="109" t="str" cm="1">
        <f t="array" ref="T170">Common_InputFunctions.Utility_DisplayArrayInTable(Fertiliser_SourceData.Fertiliser_Products_Data3(), FertiliserProducts[[#Headers],[Company]],61)</f>
        <v/>
      </c>
      <c r="U170" s="109" t="str" cm="1">
        <f t="array" ref="U170">Common_InputFunctions.Utility_DisplayArrayInTable(Fertiliser_SourceData.Fertiliser_Products_Data3(), FertiliserProducts[[#Headers],[Company]],61)</f>
        <v/>
      </c>
      <c r="V170" s="109" t="str" cm="1">
        <f t="array" ref="V170">Common_InputFunctions.Utility_DisplayArrayInTable(Fertiliser_SourceData.Fertiliser_Products_Data3(), FertiliserProducts[[#Headers],[Company]],61)</f>
        <v/>
      </c>
      <c r="W170" s="109" t="str" cm="1">
        <f t="array" ref="W170">Common_InputFunctions.Utility_DisplayArrayInTable(Fertiliser_SourceData.Fertiliser_Products_Data3(), FertiliserProducts[[#Headers],[Company]],61)</f>
        <v/>
      </c>
      <c r="X170" s="109" t="str" cm="1">
        <f t="array" ref="X170">Common_InputFunctions.Utility_DisplayArrayInTable(Fertiliser_SourceData.Fertiliser_Products_Data3(), FertiliserProducts[[#Headers],[Company]],61)</f>
        <v/>
      </c>
      <c r="Y170" s="109" t="str" cm="1">
        <f t="array" ref="Y170">Common_InputFunctions.Utility_DisplayArrayInTable(Fertiliser_SourceData.Fertiliser_Products_Data3(), FertiliserProducts[[#Headers],[Company]],61)</f>
        <v/>
      </c>
      <c r="Z170" s="109" t="str" cm="1">
        <f t="array" ref="Z170">Common_InputFunctions.Utility_DisplayArrayInTable(Fertiliser_SourceData.Fertiliser_Products_Data3(), FertiliserProducts[[#Headers],[Company]],61)</f>
        <v/>
      </c>
      <c r="AA170" s="109" t="str" cm="1">
        <f t="array" ref="AA170">Common_InputFunctions.Utility_DisplayArrayInTable(Fertiliser_SourceData.Fertiliser_Products_Data3(), FertiliserProducts[[#Headers],[Company]],61)</f>
        <v/>
      </c>
      <c r="AB170" s="109" t="str" cm="1">
        <f t="array" ref="AB170">Common_InputFunctions.Utility_DisplayArrayInTable(Fertiliser_SourceData.Fertiliser_Products_Data3(), FertiliserProducts[[#Headers],[Company]],61)</f>
        <v/>
      </c>
      <c r="AC170" s="109" t="str" cm="1">
        <f t="array" ref="AC170">Common_InputFunctions.Utility_DisplayArrayInTable(Fertiliser_SourceData.Fertiliser_Products_Data3(), FertiliserProducts[[#Headers],[Company]],61)</f>
        <v/>
      </c>
      <c r="AD170" s="109" t="str" cm="1">
        <f t="array" ref="AD170">Common_InputFunctions.Utility_DisplayArrayInTable(Fertiliser_SourceData.Fertiliser_Products_Data3(), FertiliserProducts[[#Headers],[Company]],61)</f>
        <v/>
      </c>
      <c r="AE170" s="109" t="str" cm="1">
        <f t="array" ref="AE170">Common_InputFunctions.Utility_DisplayArrayInTable(Fertiliser_SourceData.Fertiliser_Products_Data3(), FertiliserProducts[[#Headers],[Company]],61)</f>
        <v/>
      </c>
      <c r="AF170" s="109" t="str" cm="1">
        <f t="array" ref="AF170">Common_InputFunctions.Utility_DisplayArrayInTable(Fertiliser_SourceData.Fertiliser_Products_Data3(), FertiliserProducts[[#Headers],[Company]],61)</f>
        <v/>
      </c>
      <c r="AG170" s="109" t="str" cm="1">
        <f t="array" ref="AG170">Common_InputFunctions.Utility_DisplayArrayInTable(Fertiliser_SourceData.Fertiliser_Products_Data3(), FertiliserProducts[[#Headers],[Company]],61)</f>
        <v/>
      </c>
      <c r="AH170" s="109" t="str" cm="1">
        <f t="array" ref="AH170">Common_InputFunctions.Utility_DisplayArrayInTable(Fertiliser_SourceData.Fertiliser_Products_Data3(), FertiliserProducts[[#Headers],[Company]],61)</f>
        <v/>
      </c>
      <c r="AK170" s="1"/>
    </row>
    <row r="171" spans="4:37" x14ac:dyDescent="0.25">
      <c r="D171" s="109" t="str" cm="1">
        <f t="array" ref="D171">Common_InputFunctions.Utility_DisplayArrayInTable(Fertiliser_SourceData.Fertiliser_Products_Data3(), FertiliserProducts[[#Headers],[Company]],61)</f>
        <v>Marnco [listed as SLTEC]</v>
      </c>
      <c r="E171" s="109" t="str" cm="1">
        <f t="array" ref="E171">Common_InputFunctions.Utility_DisplayArrayInTable(Fertiliser_SourceData.Fertiliser_Products_Data3(), FertiliserProducts[[#Headers],[Company]],61)</f>
        <v>Ammo 36N</v>
      </c>
      <c r="F171" s="109" t="str" cm="1">
        <f t="array" ref="F171">Common_InputFunctions.Utility_DisplayArrayInTable(Fertiliser_SourceData.Fertiliser_Products_Data3(), FertiliserProducts[[#Headers],[Company]],61)</f>
        <v>kg</v>
      </c>
      <c r="G171" s="109" cm="1">
        <f t="array" ref="G171">Common_InputFunctions.Utility_DisplayArrayInTable(Fertiliser_SourceData.Fertiliser_Products_Data3(), FertiliserProducts[[#Headers],[Company]],61)</f>
        <v>1</v>
      </c>
      <c r="H171" s="109" t="str" cm="1">
        <f t="array" ref="H171">Common_InputFunctions.Utility_DisplayArrayInTable(Fertiliser_SourceData.Fertiliser_Products_Data3(), FertiliserProducts[[#Headers],[Company]],61)</f>
        <v/>
      </c>
      <c r="I171" s="109" t="str" cm="1">
        <f t="array" ref="I171">Common_InputFunctions.Utility_DisplayArrayInTable(Fertiliser_SourceData.Fertiliser_Products_Data3(), FertiliserProducts[[#Headers],[Company]],61)</f>
        <v/>
      </c>
      <c r="J171" s="109" t="str" cm="1">
        <f t="array" ref="J171">Common_InputFunctions.Utility_DisplayArrayInTable(Fertiliser_SourceData.Fertiliser_Products_Data3(), FertiliserProducts[[#Headers],[Company]],61)</f>
        <v/>
      </c>
      <c r="K171" s="109" cm="1">
        <f t="array" ref="K171">Common_InputFunctions.Utility_DisplayArrayInTable(Fertiliser_SourceData.Fertiliser_Products_Data3(), FertiliserProducts[[#Headers],[Company]],61)</f>
        <v>36</v>
      </c>
      <c r="L171" s="109" t="str" cm="1">
        <f t="array" ref="L171">Common_InputFunctions.Utility_DisplayArrayInTable(Fertiliser_SourceData.Fertiliser_Products_Data3(), FertiliserProducts[[#Headers],[Company]],61)</f>
        <v/>
      </c>
      <c r="M171" s="109" t="str" cm="1">
        <f t="array" ref="M171">Common_InputFunctions.Utility_DisplayArrayInTable(Fertiliser_SourceData.Fertiliser_Products_Data3(), FertiliserProducts[[#Headers],[Company]],61)</f>
        <v/>
      </c>
      <c r="N171" s="109" cm="1">
        <f t="array" ref="N171">Common_InputFunctions.Utility_DisplayArrayInTable(Fertiliser_SourceData.Fertiliser_Products_Data3(), FertiliserProducts[[#Headers],[Company]],61)</f>
        <v>9.6</v>
      </c>
      <c r="O171" s="109" t="str" cm="1">
        <f t="array" ref="O171">Common_InputFunctions.Utility_DisplayArrayInTable(Fertiliser_SourceData.Fertiliser_Products_Data3(), FertiliserProducts[[#Headers],[Company]],61)</f>
        <v>Nitrogen - Generic</v>
      </c>
      <c r="P171" s="109" cm="1">
        <f t="array" ref="P171">Common_InputFunctions.Utility_DisplayArrayInTable(Fertiliser_SourceData.Fertiliser_Products_Data3(), FertiliserProducts[[#Headers],[Company]],61)</f>
        <v>0.36</v>
      </c>
      <c r="Q171" s="109" t="str" cm="1">
        <f t="array" ref="Q171">Common_InputFunctions.Utility_DisplayArrayInTable(Fertiliser_SourceData.Fertiliser_Products_Data3(), FertiliserProducts[[#Headers],[Company]],61)</f>
        <v>Sulfur - Generic</v>
      </c>
      <c r="R171" s="109" cm="1">
        <f t="array" ref="R171">Common_InputFunctions.Utility_DisplayArrayInTable(Fertiliser_SourceData.Fertiliser_Products_Data3(), FertiliserProducts[[#Headers],[Company]],61)</f>
        <v>9.6000000000000002E-2</v>
      </c>
      <c r="S171" s="109" t="str" cm="1">
        <f t="array" ref="S171">Common_InputFunctions.Utility_DisplayArrayInTable(Fertiliser_SourceData.Fertiliser_Products_Data3(), FertiliserProducts[[#Headers],[Company]],61)</f>
        <v/>
      </c>
      <c r="T171" s="109" t="str" cm="1">
        <f t="array" ref="T171">Common_InputFunctions.Utility_DisplayArrayInTable(Fertiliser_SourceData.Fertiliser_Products_Data3(), FertiliserProducts[[#Headers],[Company]],61)</f>
        <v/>
      </c>
      <c r="U171" s="109" t="str" cm="1">
        <f t="array" ref="U171">Common_InputFunctions.Utility_DisplayArrayInTable(Fertiliser_SourceData.Fertiliser_Products_Data3(), FertiliserProducts[[#Headers],[Company]],61)</f>
        <v/>
      </c>
      <c r="V171" s="109" t="str" cm="1">
        <f t="array" ref="V171">Common_InputFunctions.Utility_DisplayArrayInTable(Fertiliser_SourceData.Fertiliser_Products_Data3(), FertiliserProducts[[#Headers],[Company]],61)</f>
        <v/>
      </c>
      <c r="W171" s="109" t="str" cm="1">
        <f t="array" ref="W171">Common_InputFunctions.Utility_DisplayArrayInTable(Fertiliser_SourceData.Fertiliser_Products_Data3(), FertiliserProducts[[#Headers],[Company]],61)</f>
        <v/>
      </c>
      <c r="X171" s="109" t="str" cm="1">
        <f t="array" ref="X171">Common_InputFunctions.Utility_DisplayArrayInTable(Fertiliser_SourceData.Fertiliser_Products_Data3(), FertiliserProducts[[#Headers],[Company]],61)</f>
        <v/>
      </c>
      <c r="Y171" s="109" t="str" cm="1">
        <f t="array" ref="Y171">Common_InputFunctions.Utility_DisplayArrayInTable(Fertiliser_SourceData.Fertiliser_Products_Data3(), FertiliserProducts[[#Headers],[Company]],61)</f>
        <v/>
      </c>
      <c r="Z171" s="109" t="str" cm="1">
        <f t="array" ref="Z171">Common_InputFunctions.Utility_DisplayArrayInTable(Fertiliser_SourceData.Fertiliser_Products_Data3(), FertiliserProducts[[#Headers],[Company]],61)</f>
        <v/>
      </c>
      <c r="AA171" s="109" t="str" cm="1">
        <f t="array" ref="AA171">Common_InputFunctions.Utility_DisplayArrayInTable(Fertiliser_SourceData.Fertiliser_Products_Data3(), FertiliserProducts[[#Headers],[Company]],61)</f>
        <v/>
      </c>
      <c r="AB171" s="109" t="str" cm="1">
        <f t="array" ref="AB171">Common_InputFunctions.Utility_DisplayArrayInTable(Fertiliser_SourceData.Fertiliser_Products_Data3(), FertiliserProducts[[#Headers],[Company]],61)</f>
        <v/>
      </c>
      <c r="AC171" s="109" t="str" cm="1">
        <f t="array" ref="AC171">Common_InputFunctions.Utility_DisplayArrayInTable(Fertiliser_SourceData.Fertiliser_Products_Data3(), FertiliserProducts[[#Headers],[Company]],61)</f>
        <v/>
      </c>
      <c r="AD171" s="109" t="str" cm="1">
        <f t="array" ref="AD171">Common_InputFunctions.Utility_DisplayArrayInTable(Fertiliser_SourceData.Fertiliser_Products_Data3(), FertiliserProducts[[#Headers],[Company]],61)</f>
        <v/>
      </c>
      <c r="AE171" s="109" t="str" cm="1">
        <f t="array" ref="AE171">Common_InputFunctions.Utility_DisplayArrayInTable(Fertiliser_SourceData.Fertiliser_Products_Data3(), FertiliserProducts[[#Headers],[Company]],61)</f>
        <v/>
      </c>
      <c r="AF171" s="109" t="str" cm="1">
        <f t="array" ref="AF171">Common_InputFunctions.Utility_DisplayArrayInTable(Fertiliser_SourceData.Fertiliser_Products_Data3(), FertiliserProducts[[#Headers],[Company]],61)</f>
        <v/>
      </c>
      <c r="AG171" s="109" t="str" cm="1">
        <f t="array" ref="AG171">Common_InputFunctions.Utility_DisplayArrayInTable(Fertiliser_SourceData.Fertiliser_Products_Data3(), FertiliserProducts[[#Headers],[Company]],61)</f>
        <v/>
      </c>
      <c r="AH171" s="109" t="str" cm="1">
        <f t="array" ref="AH171">Common_InputFunctions.Utility_DisplayArrayInTable(Fertiliser_SourceData.Fertiliser_Products_Data3(), FertiliserProducts[[#Headers],[Company]],61)</f>
        <v/>
      </c>
      <c r="AK171" s="1"/>
    </row>
    <row r="172" spans="4:37" x14ac:dyDescent="0.25">
      <c r="D172" s="109" t="str" cm="1">
        <f t="array" ref="D172">Common_InputFunctions.Utility_DisplayArrayInTable(Fertiliser_SourceData.Fertiliser_Products_Data3(), FertiliserProducts[[#Headers],[Company]],61)</f>
        <v>Risso-Chemical</v>
      </c>
      <c r="E172" s="109" t="str" cm="1">
        <f t="array" ref="E172">Common_InputFunctions.Utility_DisplayArrayInTable(Fertiliser_SourceData.Fertiliser_Products_Data3(), FertiliserProducts[[#Headers],[Company]],61)</f>
        <v>Risso Liquid NPK (200-200-200)</v>
      </c>
      <c r="F172" s="109" t="str" cm="1">
        <f t="array" ref="F172">Common_InputFunctions.Utility_DisplayArrayInTable(Fertiliser_SourceData.Fertiliser_Products_Data3(), FertiliserProducts[[#Headers],[Company]],61)</f>
        <v>L</v>
      </c>
      <c r="G172" s="109" cm="1">
        <f t="array" ref="G172">Common_InputFunctions.Utility_DisplayArrayInTable(Fertiliser_SourceData.Fertiliser_Products_Data3(), FertiliserProducts[[#Headers],[Company]],61)</f>
        <v>1.3</v>
      </c>
      <c r="H172" s="109" t="str" cm="1">
        <f t="array" ref="H172">Common_InputFunctions.Utility_DisplayArrayInTable(Fertiliser_SourceData.Fertiliser_Products_Data3(), FertiliserProducts[[#Headers],[Company]],61)</f>
        <v/>
      </c>
      <c r="I172" s="109" t="str" cm="1">
        <f t="array" ref="I172">Common_InputFunctions.Utility_DisplayArrayInTable(Fertiliser_SourceData.Fertiliser_Products_Data3(), FertiliserProducts[[#Headers],[Company]],61)</f>
        <v/>
      </c>
      <c r="J172" s="109" t="str" cm="1">
        <f t="array" ref="J172">Common_InputFunctions.Utility_DisplayArrayInTable(Fertiliser_SourceData.Fertiliser_Products_Data3(), FertiliserProducts[[#Headers],[Company]],61)</f>
        <v/>
      </c>
      <c r="K172" s="109" cm="1">
        <f t="array" ref="K172">Common_InputFunctions.Utility_DisplayArrayInTable(Fertiliser_SourceData.Fertiliser_Products_Data3(), FertiliserProducts[[#Headers],[Company]],61)</f>
        <v>20</v>
      </c>
      <c r="L172" s="109" cm="1">
        <f t="array" ref="L172">Common_InputFunctions.Utility_DisplayArrayInTable(Fertiliser_SourceData.Fertiliser_Products_Data3(), FertiliserProducts[[#Headers],[Company]],61)</f>
        <v>8.73</v>
      </c>
      <c r="M172" s="109" cm="1">
        <f t="array" ref="M172">Common_InputFunctions.Utility_DisplayArrayInTable(Fertiliser_SourceData.Fertiliser_Products_Data3(), FertiliserProducts[[#Headers],[Company]],61)</f>
        <v>16.600000000000001</v>
      </c>
      <c r="N172" s="109" t="str" cm="1">
        <f t="array" ref="N172">Common_InputFunctions.Utility_DisplayArrayInTable(Fertiliser_SourceData.Fertiliser_Products_Data3(), FertiliserProducts[[#Headers],[Company]],61)</f>
        <v/>
      </c>
      <c r="O172" s="109" t="str" cm="1">
        <f t="array" ref="O172">Common_InputFunctions.Utility_DisplayArrayInTable(Fertiliser_SourceData.Fertiliser_Products_Data3(), FertiliserProducts[[#Headers],[Company]],61)</f>
        <v>Nitrogen - Generic</v>
      </c>
      <c r="P172" s="109" cm="1">
        <f t="array" ref="P172">Common_InputFunctions.Utility_DisplayArrayInTable(Fertiliser_SourceData.Fertiliser_Products_Data3(), FertiliserProducts[[#Headers],[Company]],61)</f>
        <v>0.2</v>
      </c>
      <c r="Q172" s="109" t="str" cm="1">
        <f t="array" ref="Q172">Common_InputFunctions.Utility_DisplayArrayInTable(Fertiliser_SourceData.Fertiliser_Products_Data3(), FertiliserProducts[[#Headers],[Company]],61)</f>
        <v>Phosphorus - Generic</v>
      </c>
      <c r="R172" s="109" cm="1">
        <f t="array" ref="R172">Common_InputFunctions.Utility_DisplayArrayInTable(Fertiliser_SourceData.Fertiliser_Products_Data3(), FertiliserProducts[[#Headers],[Company]],61)</f>
        <v>8.7279999999999996E-2</v>
      </c>
      <c r="S172" s="109" t="str" cm="1">
        <f t="array" ref="S172">Common_InputFunctions.Utility_DisplayArrayInTable(Fertiliser_SourceData.Fertiliser_Products_Data3(), FertiliserProducts[[#Headers],[Company]],61)</f>
        <v>Potassium - Generic</v>
      </c>
      <c r="T172" s="109" cm="1">
        <f t="array" ref="T172">Common_InputFunctions.Utility_DisplayArrayInTable(Fertiliser_SourceData.Fertiliser_Products_Data3(), FertiliserProducts[[#Headers],[Company]],61)</f>
        <v>0.16602</v>
      </c>
      <c r="U172" s="109" t="str" cm="1">
        <f t="array" ref="U172">Common_InputFunctions.Utility_DisplayArrayInTable(Fertiliser_SourceData.Fertiliser_Products_Data3(), FertiliserProducts[[#Headers],[Company]],61)</f>
        <v/>
      </c>
      <c r="V172" s="109" t="str" cm="1">
        <f t="array" ref="V172">Common_InputFunctions.Utility_DisplayArrayInTable(Fertiliser_SourceData.Fertiliser_Products_Data3(), FertiliserProducts[[#Headers],[Company]],61)</f>
        <v/>
      </c>
      <c r="W172" s="109" t="str" cm="1">
        <f t="array" ref="W172">Common_InputFunctions.Utility_DisplayArrayInTable(Fertiliser_SourceData.Fertiliser_Products_Data3(), FertiliserProducts[[#Headers],[Company]],61)</f>
        <v/>
      </c>
      <c r="X172" s="109" t="str" cm="1">
        <f t="array" ref="X172">Common_InputFunctions.Utility_DisplayArrayInTable(Fertiliser_SourceData.Fertiliser_Products_Data3(), FertiliserProducts[[#Headers],[Company]],61)</f>
        <v/>
      </c>
      <c r="Y172" s="109" t="str" cm="1">
        <f t="array" ref="Y172">Common_InputFunctions.Utility_DisplayArrayInTable(Fertiliser_SourceData.Fertiliser_Products_Data3(), FertiliserProducts[[#Headers],[Company]],61)</f>
        <v/>
      </c>
      <c r="Z172" s="109" t="str" cm="1">
        <f t="array" ref="Z172">Common_InputFunctions.Utility_DisplayArrayInTable(Fertiliser_SourceData.Fertiliser_Products_Data3(), FertiliserProducts[[#Headers],[Company]],61)</f>
        <v/>
      </c>
      <c r="AA172" s="109" t="str" cm="1">
        <f t="array" ref="AA172">Common_InputFunctions.Utility_DisplayArrayInTable(Fertiliser_SourceData.Fertiliser_Products_Data3(), FertiliserProducts[[#Headers],[Company]],61)</f>
        <v/>
      </c>
      <c r="AB172" s="109" t="str" cm="1">
        <f t="array" ref="AB172">Common_InputFunctions.Utility_DisplayArrayInTable(Fertiliser_SourceData.Fertiliser_Products_Data3(), FertiliserProducts[[#Headers],[Company]],61)</f>
        <v/>
      </c>
      <c r="AC172" s="109" t="str" cm="1">
        <f t="array" ref="AC172">Common_InputFunctions.Utility_DisplayArrayInTable(Fertiliser_SourceData.Fertiliser_Products_Data3(), FertiliserProducts[[#Headers],[Company]],61)</f>
        <v/>
      </c>
      <c r="AD172" s="109" t="str" cm="1">
        <f t="array" ref="AD172">Common_InputFunctions.Utility_DisplayArrayInTable(Fertiliser_SourceData.Fertiliser_Products_Data3(), FertiliserProducts[[#Headers],[Company]],61)</f>
        <v/>
      </c>
      <c r="AE172" s="109" t="str" cm="1">
        <f t="array" ref="AE172">Common_InputFunctions.Utility_DisplayArrayInTable(Fertiliser_SourceData.Fertiliser_Products_Data3(), FertiliserProducts[[#Headers],[Company]],61)</f>
        <v/>
      </c>
      <c r="AF172" s="109" t="str" cm="1">
        <f t="array" ref="AF172">Common_InputFunctions.Utility_DisplayArrayInTable(Fertiliser_SourceData.Fertiliser_Products_Data3(), FertiliserProducts[[#Headers],[Company]],61)</f>
        <v/>
      </c>
      <c r="AG172" s="109" t="str" cm="1">
        <f t="array" ref="AG172">Common_InputFunctions.Utility_DisplayArrayInTable(Fertiliser_SourceData.Fertiliser_Products_Data3(), FertiliserProducts[[#Headers],[Company]],61)</f>
        <v/>
      </c>
      <c r="AH172" s="109" t="str" cm="1">
        <f t="array" ref="AH172">Common_InputFunctions.Utility_DisplayArrayInTable(Fertiliser_SourceData.Fertiliser_Products_Data3(), FertiliserProducts[[#Headers],[Company]],61)</f>
        <v/>
      </c>
      <c r="AK172" s="1"/>
    </row>
    <row r="173" spans="4:37" x14ac:dyDescent="0.25">
      <c r="D173" s="109" t="str" cm="1">
        <f t="array" ref="D173">Common_InputFunctions.Utility_DisplayArrayInTable(Fertiliser_SourceData.Fertiliser_Products_Data3(), FertiliserProducts[[#Headers],[Company]],61)</f>
        <v>Turf Group Australia (Simplot)</v>
      </c>
      <c r="E173" s="109" t="str" cm="1">
        <f t="array" ref="E173">Common_InputFunctions.Utility_DisplayArrayInTable(Fertiliser_SourceData.Fertiliser_Products_Data3(), FertiliserProducts[[#Headers],[Company]],61)</f>
        <v>Super Cal 15-0-12</v>
      </c>
      <c r="F173" s="109" t="str" cm="1">
        <f t="array" ref="F173">Common_InputFunctions.Utility_DisplayArrayInTable(Fertiliser_SourceData.Fertiliser_Products_Data3(), FertiliserProducts[[#Headers],[Company]],61)</f>
        <v>kg</v>
      </c>
      <c r="G173" s="109" cm="1">
        <f t="array" ref="G173">Common_InputFunctions.Utility_DisplayArrayInTable(Fertiliser_SourceData.Fertiliser_Products_Data3(), FertiliserProducts[[#Headers],[Company]],61)</f>
        <v>1</v>
      </c>
      <c r="H173" s="109" t="str" cm="1">
        <f t="array" ref="H173">Common_InputFunctions.Utility_DisplayArrayInTable(Fertiliser_SourceData.Fertiliser_Products_Data3(), FertiliserProducts[[#Headers],[Company]],61)</f>
        <v/>
      </c>
      <c r="I173" s="109" t="str" cm="1">
        <f t="array" ref="I173">Common_InputFunctions.Utility_DisplayArrayInTable(Fertiliser_SourceData.Fertiliser_Products_Data3(), FertiliserProducts[[#Headers],[Company]],61)</f>
        <v/>
      </c>
      <c r="J173" s="109" t="str" cm="1">
        <f t="array" ref="J173">Common_InputFunctions.Utility_DisplayArrayInTable(Fertiliser_SourceData.Fertiliser_Products_Data3(), FertiliserProducts[[#Headers],[Company]],61)</f>
        <v/>
      </c>
      <c r="K173" s="109" cm="1">
        <f t="array" ref="K173">Common_InputFunctions.Utility_DisplayArrayInTable(Fertiliser_SourceData.Fertiliser_Products_Data3(), FertiliserProducts[[#Headers],[Company]],61)</f>
        <v>15</v>
      </c>
      <c r="L173" s="109" t="str" cm="1">
        <f t="array" ref="L173">Common_InputFunctions.Utility_DisplayArrayInTable(Fertiliser_SourceData.Fertiliser_Products_Data3(), FertiliserProducts[[#Headers],[Company]],61)</f>
        <v/>
      </c>
      <c r="M173" s="109" cm="1">
        <f t="array" ref="M173">Common_InputFunctions.Utility_DisplayArrayInTable(Fertiliser_SourceData.Fertiliser_Products_Data3(), FertiliserProducts[[#Headers],[Company]],61)</f>
        <v>9.9600000000000009</v>
      </c>
      <c r="N173" s="109" t="str" cm="1">
        <f t="array" ref="N173">Common_InputFunctions.Utility_DisplayArrayInTable(Fertiliser_SourceData.Fertiliser_Products_Data3(), FertiliserProducts[[#Headers],[Company]],61)</f>
        <v/>
      </c>
      <c r="O173" s="109" t="str" cm="1">
        <f t="array" ref="O173">Common_InputFunctions.Utility_DisplayArrayInTable(Fertiliser_SourceData.Fertiliser_Products_Data3(), FertiliserProducts[[#Headers],[Company]],61)</f>
        <v>Nitrogen - Nitrate</v>
      </c>
      <c r="P173" s="109" cm="1">
        <f t="array" ref="P173">Common_InputFunctions.Utility_DisplayArrayInTable(Fertiliser_SourceData.Fertiliser_Products_Data3(), FertiliserProducts[[#Headers],[Company]],61)</f>
        <v>8.4737000000000007E-2</v>
      </c>
      <c r="Q173" s="109" t="str" cm="1">
        <f t="array" ref="Q173">Common_InputFunctions.Utility_DisplayArrayInTable(Fertiliser_SourceData.Fertiliser_Products_Data3(), FertiliserProducts[[#Headers],[Company]],61)</f>
        <v>Potassium - Generic</v>
      </c>
      <c r="R173" s="109" cm="1">
        <f t="array" ref="R173">Common_InputFunctions.Utility_DisplayArrayInTable(Fertiliser_SourceData.Fertiliser_Products_Data3(), FertiliserProducts[[#Headers],[Company]],61)</f>
        <v>9.9612000000000006E-2</v>
      </c>
      <c r="S173" s="109" t="str" cm="1">
        <f t="array" ref="S173">Common_InputFunctions.Utility_DisplayArrayInTable(Fertiliser_SourceData.Fertiliser_Products_Data3(), FertiliserProducts[[#Headers],[Company]],61)</f>
        <v>Calcium nitrate</v>
      </c>
      <c r="T173" s="109" cm="1">
        <f t="array" ref="T173">Common_InputFunctions.Utility_DisplayArrayInTable(Fertiliser_SourceData.Fertiliser_Products_Data3(), FertiliserProducts[[#Headers],[Company]],61)</f>
        <v>0.42105300000000001</v>
      </c>
      <c r="U173" s="109" t="str" cm="1">
        <f t="array" ref="U173">Common_InputFunctions.Utility_DisplayArrayInTable(Fertiliser_SourceData.Fertiliser_Products_Data3(), FertiliserProducts[[#Headers],[Company]],61)</f>
        <v>Magnesium</v>
      </c>
      <c r="V173" s="109" cm="1">
        <f t="array" ref="V173">Common_InputFunctions.Utility_DisplayArrayInTable(Fertiliser_SourceData.Fertiliser_Products_Data3(), FertiliserProducts[[#Headers],[Company]],61)</f>
        <v>5.0000000000000001E-3</v>
      </c>
      <c r="W173" s="109" t="str" cm="1">
        <f t="array" ref="W173">Common_InputFunctions.Utility_DisplayArrayInTable(Fertiliser_SourceData.Fertiliser_Products_Data3(), FertiliserProducts[[#Headers],[Company]],61)</f>
        <v>Boron</v>
      </c>
      <c r="X173" s="109" cm="1">
        <f t="array" ref="X173">Common_InputFunctions.Utility_DisplayArrayInTable(Fertiliser_SourceData.Fertiliser_Products_Data3(), FertiliserProducts[[#Headers],[Company]],61)</f>
        <v>2.0000000000000001E-4</v>
      </c>
      <c r="Y173" s="109" t="str" cm="1">
        <f t="array" ref="Y173">Common_InputFunctions.Utility_DisplayArrayInTable(Fertiliser_SourceData.Fertiliser_Products_Data3(), FertiliserProducts[[#Headers],[Company]],61)</f>
        <v/>
      </c>
      <c r="Z173" s="109" t="str" cm="1">
        <f t="array" ref="Z173">Common_InputFunctions.Utility_DisplayArrayInTable(Fertiliser_SourceData.Fertiliser_Products_Data3(), FertiliserProducts[[#Headers],[Company]],61)</f>
        <v/>
      </c>
      <c r="AA173" s="109" t="str" cm="1">
        <f t="array" ref="AA173">Common_InputFunctions.Utility_DisplayArrayInTable(Fertiliser_SourceData.Fertiliser_Products_Data3(), FertiliserProducts[[#Headers],[Company]],61)</f>
        <v/>
      </c>
      <c r="AB173" s="109" t="str" cm="1">
        <f t="array" ref="AB173">Common_InputFunctions.Utility_DisplayArrayInTable(Fertiliser_SourceData.Fertiliser_Products_Data3(), FertiliserProducts[[#Headers],[Company]],61)</f>
        <v/>
      </c>
      <c r="AC173" s="109" t="str" cm="1">
        <f t="array" ref="AC173">Common_InputFunctions.Utility_DisplayArrayInTable(Fertiliser_SourceData.Fertiliser_Products_Data3(), FertiliserProducts[[#Headers],[Company]],61)</f>
        <v/>
      </c>
      <c r="AD173" s="109" t="str" cm="1">
        <f t="array" ref="AD173">Common_InputFunctions.Utility_DisplayArrayInTable(Fertiliser_SourceData.Fertiliser_Products_Data3(), FertiliserProducts[[#Headers],[Company]],61)</f>
        <v/>
      </c>
      <c r="AE173" s="109" t="str" cm="1">
        <f t="array" ref="AE173">Common_InputFunctions.Utility_DisplayArrayInTable(Fertiliser_SourceData.Fertiliser_Products_Data3(), FertiliserProducts[[#Headers],[Company]],61)</f>
        <v/>
      </c>
      <c r="AF173" s="109" t="str" cm="1">
        <f t="array" ref="AF173">Common_InputFunctions.Utility_DisplayArrayInTable(Fertiliser_SourceData.Fertiliser_Products_Data3(), FertiliserProducts[[#Headers],[Company]],61)</f>
        <v/>
      </c>
      <c r="AG173" s="109" t="str" cm="1">
        <f t="array" ref="AG173">Common_InputFunctions.Utility_DisplayArrayInTable(Fertiliser_SourceData.Fertiliser_Products_Data3(), FertiliserProducts[[#Headers],[Company]],61)</f>
        <v/>
      </c>
      <c r="AH173" s="109" t="str" cm="1">
        <f t="array" ref="AH173">Common_InputFunctions.Utility_DisplayArrayInTable(Fertiliser_SourceData.Fertiliser_Products_Data3(), FertiliserProducts[[#Headers],[Company]],61)</f>
        <v/>
      </c>
      <c r="AK173" s="1"/>
    </row>
    <row r="174" spans="4:37" x14ac:dyDescent="0.25">
      <c r="D174" s="109" t="str" cm="1">
        <f t="array" ref="D174">Common_InputFunctions.Utility_DisplayArrayInTable(Fertiliser_SourceData.Fertiliser_Products_Data3(), FertiliserProducts[[#Headers],[Company]],61)</f>
        <v>Incitec Pivot Fertilisers</v>
      </c>
      <c r="E174" s="109" t="str" cm="1">
        <f t="array" ref="E174">Common_InputFunctions.Utility_DisplayArrayInTable(Fertiliser_SourceData.Fertiliser_Products_Data3(), FertiliserProducts[[#Headers],[Company]],61)</f>
        <v>CK 88</v>
      </c>
      <c r="F174" s="109" t="str" cm="1">
        <f t="array" ref="F174">Common_InputFunctions.Utility_DisplayArrayInTable(Fertiliser_SourceData.Fertiliser_Products_Data3(), FertiliserProducts[[#Headers],[Company]],61)</f>
        <v>kg</v>
      </c>
      <c r="G174" s="109" cm="1">
        <f t="array" ref="G174">Common_InputFunctions.Utility_DisplayArrayInTable(Fertiliser_SourceData.Fertiliser_Products_Data3(), FertiliserProducts[[#Headers],[Company]],61)</f>
        <v>1</v>
      </c>
      <c r="H174" s="109" t="str" cm="1">
        <f t="array" ref="H174">Common_InputFunctions.Utility_DisplayArrayInTable(Fertiliser_SourceData.Fertiliser_Products_Data3(), FertiliserProducts[[#Headers],[Company]],61)</f>
        <v/>
      </c>
      <c r="I174" s="109" t="str" cm="1">
        <f t="array" ref="I174">Common_InputFunctions.Utility_DisplayArrayInTable(Fertiliser_SourceData.Fertiliser_Products_Data3(), FertiliserProducts[[#Headers],[Company]],61)</f>
        <v/>
      </c>
      <c r="J174" s="109" t="str" cm="1">
        <f t="array" ref="J174">Common_InputFunctions.Utility_DisplayArrayInTable(Fertiliser_SourceData.Fertiliser_Products_Data3(), FertiliserProducts[[#Headers],[Company]],61)</f>
        <v/>
      </c>
      <c r="K174" s="109" cm="1">
        <f t="array" ref="K174">Common_InputFunctions.Utility_DisplayArrayInTable(Fertiliser_SourceData.Fertiliser_Products_Data3(), FertiliserProducts[[#Headers],[Company]],61)</f>
        <v>15.1</v>
      </c>
      <c r="L174" s="109" cm="1">
        <f t="array" ref="L174">Common_InputFunctions.Utility_DisplayArrayInTable(Fertiliser_SourceData.Fertiliser_Products_Data3(), FertiliserProducts[[#Headers],[Company]],61)</f>
        <v>4.4000000000000004</v>
      </c>
      <c r="M174" s="109" cm="1">
        <f t="array" ref="M174">Common_InputFunctions.Utility_DisplayArrayInTable(Fertiliser_SourceData.Fertiliser_Products_Data3(), FertiliserProducts[[#Headers],[Company]],61)</f>
        <v>11.5</v>
      </c>
      <c r="N174" s="109" cm="1">
        <f t="array" ref="N174">Common_InputFunctions.Utility_DisplayArrayInTable(Fertiliser_SourceData.Fertiliser_Products_Data3(), FertiliserProducts[[#Headers],[Company]],61)</f>
        <v>13.6</v>
      </c>
      <c r="O174" s="109" t="str" cm="1">
        <f t="array" ref="O174">Common_InputFunctions.Utility_DisplayArrayInTable(Fertiliser_SourceData.Fertiliser_Products_Data3(), FertiliserProducts[[#Headers],[Company]],61)</f>
        <v>Nitrogen - Generic</v>
      </c>
      <c r="P174" s="109" cm="1">
        <f t="array" ref="P174">Common_InputFunctions.Utility_DisplayArrayInTable(Fertiliser_SourceData.Fertiliser_Products_Data3(), FertiliserProducts[[#Headers],[Company]],61)</f>
        <v>0.151</v>
      </c>
      <c r="Q174" s="109" t="str" cm="1">
        <f t="array" ref="Q174">Common_InputFunctions.Utility_DisplayArrayInTable(Fertiliser_SourceData.Fertiliser_Products_Data3(), FertiliserProducts[[#Headers],[Company]],61)</f>
        <v>Phosphorus - Generic</v>
      </c>
      <c r="R174" s="109" cm="1">
        <f t="array" ref="R174">Common_InputFunctions.Utility_DisplayArrayInTable(Fertiliser_SourceData.Fertiliser_Products_Data3(), FertiliserProducts[[#Headers],[Company]],61)</f>
        <v>4.3999999999999997E-2</v>
      </c>
      <c r="S174" s="109" t="str" cm="1">
        <f t="array" ref="S174">Common_InputFunctions.Utility_DisplayArrayInTable(Fertiliser_SourceData.Fertiliser_Products_Data3(), FertiliserProducts[[#Headers],[Company]],61)</f>
        <v>Potassium - Generic</v>
      </c>
      <c r="T174" s="109" cm="1">
        <f t="array" ref="T174">Common_InputFunctions.Utility_DisplayArrayInTable(Fertiliser_SourceData.Fertiliser_Products_Data3(), FertiliserProducts[[#Headers],[Company]],61)</f>
        <v>0.115</v>
      </c>
      <c r="U174" s="109" t="str" cm="1">
        <f t="array" ref="U174">Common_InputFunctions.Utility_DisplayArrayInTable(Fertiliser_SourceData.Fertiliser_Products_Data3(), FertiliserProducts[[#Headers],[Company]],61)</f>
        <v>Sulfur - Generic</v>
      </c>
      <c r="V174" s="109" cm="1">
        <f t="array" ref="V174">Common_InputFunctions.Utility_DisplayArrayInTable(Fertiliser_SourceData.Fertiliser_Products_Data3(), FertiliserProducts[[#Headers],[Company]],61)</f>
        <v>0.13600000000000001</v>
      </c>
      <c r="W174" s="109" t="str" cm="1">
        <f t="array" ref="W174">Common_InputFunctions.Utility_DisplayArrayInTable(Fertiliser_SourceData.Fertiliser_Products_Data3(), FertiliserProducts[[#Headers],[Company]],61)</f>
        <v/>
      </c>
      <c r="X174" s="109" t="str" cm="1">
        <f t="array" ref="X174">Common_InputFunctions.Utility_DisplayArrayInTable(Fertiliser_SourceData.Fertiliser_Products_Data3(), FertiliserProducts[[#Headers],[Company]],61)</f>
        <v/>
      </c>
      <c r="Y174" s="109" t="str" cm="1">
        <f t="array" ref="Y174">Common_InputFunctions.Utility_DisplayArrayInTable(Fertiliser_SourceData.Fertiliser_Products_Data3(), FertiliserProducts[[#Headers],[Company]],61)</f>
        <v/>
      </c>
      <c r="Z174" s="109" t="str" cm="1">
        <f t="array" ref="Z174">Common_InputFunctions.Utility_DisplayArrayInTable(Fertiliser_SourceData.Fertiliser_Products_Data3(), FertiliserProducts[[#Headers],[Company]],61)</f>
        <v/>
      </c>
      <c r="AA174" s="109" t="str" cm="1">
        <f t="array" ref="AA174">Common_InputFunctions.Utility_DisplayArrayInTable(Fertiliser_SourceData.Fertiliser_Products_Data3(), FertiliserProducts[[#Headers],[Company]],61)</f>
        <v/>
      </c>
      <c r="AB174" s="109" t="str" cm="1">
        <f t="array" ref="AB174">Common_InputFunctions.Utility_DisplayArrayInTable(Fertiliser_SourceData.Fertiliser_Products_Data3(), FertiliserProducts[[#Headers],[Company]],61)</f>
        <v/>
      </c>
      <c r="AC174" s="109" t="str" cm="1">
        <f t="array" ref="AC174">Common_InputFunctions.Utility_DisplayArrayInTable(Fertiliser_SourceData.Fertiliser_Products_Data3(), FertiliserProducts[[#Headers],[Company]],61)</f>
        <v/>
      </c>
      <c r="AD174" s="109" t="str" cm="1">
        <f t="array" ref="AD174">Common_InputFunctions.Utility_DisplayArrayInTable(Fertiliser_SourceData.Fertiliser_Products_Data3(), FertiliserProducts[[#Headers],[Company]],61)</f>
        <v/>
      </c>
      <c r="AE174" s="109" t="str" cm="1">
        <f t="array" ref="AE174">Common_InputFunctions.Utility_DisplayArrayInTable(Fertiliser_SourceData.Fertiliser_Products_Data3(), FertiliserProducts[[#Headers],[Company]],61)</f>
        <v/>
      </c>
      <c r="AF174" s="109" t="str" cm="1">
        <f t="array" ref="AF174">Common_InputFunctions.Utility_DisplayArrayInTable(Fertiliser_SourceData.Fertiliser_Products_Data3(), FertiliserProducts[[#Headers],[Company]],61)</f>
        <v/>
      </c>
      <c r="AG174" s="109" t="str" cm="1">
        <f t="array" ref="AG174">Common_InputFunctions.Utility_DisplayArrayInTable(Fertiliser_SourceData.Fertiliser_Products_Data3(), FertiliserProducts[[#Headers],[Company]],61)</f>
        <v/>
      </c>
      <c r="AH174" s="109" t="str" cm="1">
        <f t="array" ref="AH174">Common_InputFunctions.Utility_DisplayArrayInTable(Fertiliser_SourceData.Fertiliser_Products_Data3(), FertiliserProducts[[#Headers],[Company]],61)</f>
        <v/>
      </c>
      <c r="AK174" s="1"/>
    </row>
    <row r="175" spans="4:37" x14ac:dyDescent="0.25">
      <c r="D175" s="109" t="str" cm="1">
        <f t="array" ref="D175">Common_InputFunctions.Utility_DisplayArrayInTable(Fertiliser_SourceData.Fertiliser_Products_Data3(), FertiliserProducts[[#Headers],[Company]],61)</f>
        <v>Incitec Pivot Fertilisers</v>
      </c>
      <c r="E175" s="109" t="str" cm="1">
        <f t="array" ref="E175">Common_InputFunctions.Utility_DisplayArrayInTable(Fertiliser_SourceData.Fertiliser_Products_Data3(), FertiliserProducts[[#Headers],[Company]],61)</f>
        <v>CropLift 15</v>
      </c>
      <c r="F175" s="109" t="str" cm="1">
        <f t="array" ref="F175">Common_InputFunctions.Utility_DisplayArrayInTable(Fertiliser_SourceData.Fertiliser_Products_Data3(), FertiliserProducts[[#Headers],[Company]],61)</f>
        <v>kg</v>
      </c>
      <c r="G175" s="109" cm="1">
        <f t="array" ref="G175">Common_InputFunctions.Utility_DisplayArrayInTable(Fertiliser_SourceData.Fertiliser_Products_Data3(), FertiliserProducts[[#Headers],[Company]],61)</f>
        <v>1</v>
      </c>
      <c r="H175" s="109" t="str" cm="1">
        <f t="array" ref="H175">Common_InputFunctions.Utility_DisplayArrayInTable(Fertiliser_SourceData.Fertiliser_Products_Data3(), FertiliserProducts[[#Headers],[Company]],61)</f>
        <v/>
      </c>
      <c r="I175" s="109" t="str" cm="1">
        <f t="array" ref="I175">Common_InputFunctions.Utility_DisplayArrayInTable(Fertiliser_SourceData.Fertiliser_Products_Data3(), FertiliserProducts[[#Headers],[Company]],61)</f>
        <v/>
      </c>
      <c r="J175" s="109" t="str" cm="1">
        <f t="array" ref="J175">Common_InputFunctions.Utility_DisplayArrayInTable(Fertiliser_SourceData.Fertiliser_Products_Data3(), FertiliserProducts[[#Headers],[Company]],61)</f>
        <v/>
      </c>
      <c r="K175" s="109" cm="1">
        <f t="array" ref="K175">Common_InputFunctions.Utility_DisplayArrayInTable(Fertiliser_SourceData.Fertiliser_Products_Data3(), FertiliserProducts[[#Headers],[Company]],61)</f>
        <v>14.6</v>
      </c>
      <c r="L175" s="109" cm="1">
        <f t="array" ref="L175">Common_InputFunctions.Utility_DisplayArrayInTable(Fertiliser_SourceData.Fertiliser_Products_Data3(), FertiliserProducts[[#Headers],[Company]],61)</f>
        <v>12.1</v>
      </c>
      <c r="M175" s="109" t="str" cm="1">
        <f t="array" ref="M175">Common_InputFunctions.Utility_DisplayArrayInTable(Fertiliser_SourceData.Fertiliser_Products_Data3(), FertiliserProducts[[#Headers],[Company]],61)</f>
        <v/>
      </c>
      <c r="N175" s="109" cm="1">
        <f t="array" ref="N175">Common_InputFunctions.Utility_DisplayArrayInTable(Fertiliser_SourceData.Fertiliser_Products_Data3(), FertiliserProducts[[#Headers],[Company]],61)</f>
        <v>11.6</v>
      </c>
      <c r="O175" s="109" t="str" cm="1">
        <f t="array" ref="O175">Common_InputFunctions.Utility_DisplayArrayInTable(Fertiliser_SourceData.Fertiliser_Products_Data3(), FertiliserProducts[[#Headers],[Company]],61)</f>
        <v>Nitrogen - Generic</v>
      </c>
      <c r="P175" s="109" cm="1">
        <f t="array" ref="P175">Common_InputFunctions.Utility_DisplayArrayInTable(Fertiliser_SourceData.Fertiliser_Products_Data3(), FertiliserProducts[[#Headers],[Company]],61)</f>
        <v>0.14599999999999999</v>
      </c>
      <c r="Q175" s="109" t="str" cm="1">
        <f t="array" ref="Q175">Common_InputFunctions.Utility_DisplayArrayInTable(Fertiliser_SourceData.Fertiliser_Products_Data3(), FertiliserProducts[[#Headers],[Company]],61)</f>
        <v>Phosphorus - Generic</v>
      </c>
      <c r="R175" s="109" cm="1">
        <f t="array" ref="R175">Common_InputFunctions.Utility_DisplayArrayInTable(Fertiliser_SourceData.Fertiliser_Products_Data3(), FertiliserProducts[[#Headers],[Company]],61)</f>
        <v>0.121</v>
      </c>
      <c r="S175" s="109" t="str" cm="1">
        <f t="array" ref="S175">Common_InputFunctions.Utility_DisplayArrayInTable(Fertiliser_SourceData.Fertiliser_Products_Data3(), FertiliserProducts[[#Headers],[Company]],61)</f>
        <v>Sulfur - Generic</v>
      </c>
      <c r="T175" s="109" cm="1">
        <f t="array" ref="T175">Common_InputFunctions.Utility_DisplayArrayInTable(Fertiliser_SourceData.Fertiliser_Products_Data3(), FertiliserProducts[[#Headers],[Company]],61)</f>
        <v>0.11600000000000001</v>
      </c>
      <c r="U175" s="109" t="str" cm="1">
        <f t="array" ref="U175">Common_InputFunctions.Utility_DisplayArrayInTable(Fertiliser_SourceData.Fertiliser_Products_Data3(), FertiliserProducts[[#Headers],[Company]],61)</f>
        <v/>
      </c>
      <c r="V175" s="109" t="str" cm="1">
        <f t="array" ref="V175">Common_InputFunctions.Utility_DisplayArrayInTable(Fertiliser_SourceData.Fertiliser_Products_Data3(), FertiliserProducts[[#Headers],[Company]],61)</f>
        <v/>
      </c>
      <c r="W175" s="109" t="str" cm="1">
        <f t="array" ref="W175">Common_InputFunctions.Utility_DisplayArrayInTable(Fertiliser_SourceData.Fertiliser_Products_Data3(), FertiliserProducts[[#Headers],[Company]],61)</f>
        <v/>
      </c>
      <c r="X175" s="109" t="str" cm="1">
        <f t="array" ref="X175">Common_InputFunctions.Utility_DisplayArrayInTable(Fertiliser_SourceData.Fertiliser_Products_Data3(), FertiliserProducts[[#Headers],[Company]],61)</f>
        <v/>
      </c>
      <c r="Y175" s="109" t="str" cm="1">
        <f t="array" ref="Y175">Common_InputFunctions.Utility_DisplayArrayInTable(Fertiliser_SourceData.Fertiliser_Products_Data3(), FertiliserProducts[[#Headers],[Company]],61)</f>
        <v/>
      </c>
      <c r="Z175" s="109" t="str" cm="1">
        <f t="array" ref="Z175">Common_InputFunctions.Utility_DisplayArrayInTable(Fertiliser_SourceData.Fertiliser_Products_Data3(), FertiliserProducts[[#Headers],[Company]],61)</f>
        <v/>
      </c>
      <c r="AA175" s="109" t="str" cm="1">
        <f t="array" ref="AA175">Common_InputFunctions.Utility_DisplayArrayInTable(Fertiliser_SourceData.Fertiliser_Products_Data3(), FertiliserProducts[[#Headers],[Company]],61)</f>
        <v/>
      </c>
      <c r="AB175" s="109" t="str" cm="1">
        <f t="array" ref="AB175">Common_InputFunctions.Utility_DisplayArrayInTable(Fertiliser_SourceData.Fertiliser_Products_Data3(), FertiliserProducts[[#Headers],[Company]],61)</f>
        <v/>
      </c>
      <c r="AC175" s="109" t="str" cm="1">
        <f t="array" ref="AC175">Common_InputFunctions.Utility_DisplayArrayInTable(Fertiliser_SourceData.Fertiliser_Products_Data3(), FertiliserProducts[[#Headers],[Company]],61)</f>
        <v/>
      </c>
      <c r="AD175" s="109" t="str" cm="1">
        <f t="array" ref="AD175">Common_InputFunctions.Utility_DisplayArrayInTable(Fertiliser_SourceData.Fertiliser_Products_Data3(), FertiliserProducts[[#Headers],[Company]],61)</f>
        <v/>
      </c>
      <c r="AE175" s="109" t="str" cm="1">
        <f t="array" ref="AE175">Common_InputFunctions.Utility_DisplayArrayInTable(Fertiliser_SourceData.Fertiliser_Products_Data3(), FertiliserProducts[[#Headers],[Company]],61)</f>
        <v/>
      </c>
      <c r="AF175" s="109" t="str" cm="1">
        <f t="array" ref="AF175">Common_InputFunctions.Utility_DisplayArrayInTable(Fertiliser_SourceData.Fertiliser_Products_Data3(), FertiliserProducts[[#Headers],[Company]],61)</f>
        <v/>
      </c>
      <c r="AG175" s="109" t="str" cm="1">
        <f t="array" ref="AG175">Common_InputFunctions.Utility_DisplayArrayInTable(Fertiliser_SourceData.Fertiliser_Products_Data3(), FertiliserProducts[[#Headers],[Company]],61)</f>
        <v/>
      </c>
      <c r="AH175" s="109" t="str" cm="1">
        <f t="array" ref="AH175">Common_InputFunctions.Utility_DisplayArrayInTable(Fertiliser_SourceData.Fertiliser_Products_Data3(), FertiliserProducts[[#Headers],[Company]],61)</f>
        <v/>
      </c>
      <c r="AK175" s="1"/>
    </row>
    <row r="176" spans="4:37" x14ac:dyDescent="0.25">
      <c r="D176" s="109" t="str" cm="1">
        <f t="array" ref="D176">Common_InputFunctions.Utility_DisplayArrayInTable(Fertiliser_SourceData.Fertiliser_Products_Data3(), FertiliserProducts[[#Headers],[Company]],61)</f>
        <v>Incitec Pivot Fertilisers</v>
      </c>
      <c r="E176" s="109" t="str" cm="1">
        <f t="array" ref="E176">Common_InputFunctions.Utility_DisplayArrayInTable(Fertiliser_SourceData.Fertiliser_Products_Data3(), FertiliserProducts[[#Headers],[Company]],61)</f>
        <v>NPKS 19-13-0-9</v>
      </c>
      <c r="F176" s="109" t="str" cm="1">
        <f t="array" ref="F176">Common_InputFunctions.Utility_DisplayArrayInTable(Fertiliser_SourceData.Fertiliser_Products_Data3(), FertiliserProducts[[#Headers],[Company]],61)</f>
        <v>kg</v>
      </c>
      <c r="G176" s="109" cm="1">
        <f t="array" ref="G176">Common_InputFunctions.Utility_DisplayArrayInTable(Fertiliser_SourceData.Fertiliser_Products_Data3(), FertiliserProducts[[#Headers],[Company]],61)</f>
        <v>1</v>
      </c>
      <c r="H176" s="109" t="str" cm="1">
        <f t="array" ref="H176">Common_InputFunctions.Utility_DisplayArrayInTable(Fertiliser_SourceData.Fertiliser_Products_Data3(), FertiliserProducts[[#Headers],[Company]],61)</f>
        <v/>
      </c>
      <c r="I176" s="109" t="str" cm="1">
        <f t="array" ref="I176">Common_InputFunctions.Utility_DisplayArrayInTable(Fertiliser_SourceData.Fertiliser_Products_Data3(), FertiliserProducts[[#Headers],[Company]],61)</f>
        <v/>
      </c>
      <c r="J176" s="109" t="str" cm="1">
        <f t="array" ref="J176">Common_InputFunctions.Utility_DisplayArrayInTable(Fertiliser_SourceData.Fertiliser_Products_Data3(), FertiliserProducts[[#Headers],[Company]],61)</f>
        <v/>
      </c>
      <c r="K176" s="109" cm="1">
        <f t="array" ref="K176">Common_InputFunctions.Utility_DisplayArrayInTable(Fertiliser_SourceData.Fertiliser_Products_Data3(), FertiliserProducts[[#Headers],[Company]],61)</f>
        <v>19</v>
      </c>
      <c r="L176" s="109" cm="1">
        <f t="array" ref="L176">Common_InputFunctions.Utility_DisplayArrayInTable(Fertiliser_SourceData.Fertiliser_Products_Data3(), FertiliserProducts[[#Headers],[Company]],61)</f>
        <v>13</v>
      </c>
      <c r="M176" s="109" cm="1">
        <f t="array" ref="M176">Common_InputFunctions.Utility_DisplayArrayInTable(Fertiliser_SourceData.Fertiliser_Products_Data3(), FertiliserProducts[[#Headers],[Company]],61)</f>
        <v>0</v>
      </c>
      <c r="N176" s="109" cm="1">
        <f t="array" ref="N176">Common_InputFunctions.Utility_DisplayArrayInTable(Fertiliser_SourceData.Fertiliser_Products_Data3(), FertiliserProducts[[#Headers],[Company]],61)</f>
        <v>9</v>
      </c>
      <c r="O176" s="109" t="str" cm="1">
        <f t="array" ref="O176">Common_InputFunctions.Utility_DisplayArrayInTable(Fertiliser_SourceData.Fertiliser_Products_Data3(), FertiliserProducts[[#Headers],[Company]],61)</f>
        <v>Nitrogen - Generic</v>
      </c>
      <c r="P176" s="109" cm="1">
        <f t="array" ref="P176">Common_InputFunctions.Utility_DisplayArrayInTable(Fertiliser_SourceData.Fertiliser_Products_Data3(), FertiliserProducts[[#Headers],[Company]],61)</f>
        <v>0.19</v>
      </c>
      <c r="Q176" s="109" t="str" cm="1">
        <f t="array" ref="Q176">Common_InputFunctions.Utility_DisplayArrayInTable(Fertiliser_SourceData.Fertiliser_Products_Data3(), FertiliserProducts[[#Headers],[Company]],61)</f>
        <v>Phosphorus - Generic</v>
      </c>
      <c r="R176" s="109" cm="1">
        <f t="array" ref="R176">Common_InputFunctions.Utility_DisplayArrayInTable(Fertiliser_SourceData.Fertiliser_Products_Data3(), FertiliserProducts[[#Headers],[Company]],61)</f>
        <v>0.13</v>
      </c>
      <c r="S176" s="109" t="str" cm="1">
        <f t="array" ref="S176">Common_InputFunctions.Utility_DisplayArrayInTable(Fertiliser_SourceData.Fertiliser_Products_Data3(), FertiliserProducts[[#Headers],[Company]],61)</f>
        <v>Sulfur - Generic</v>
      </c>
      <c r="T176" s="109" cm="1">
        <f t="array" ref="T176">Common_InputFunctions.Utility_DisplayArrayInTable(Fertiliser_SourceData.Fertiliser_Products_Data3(), FertiliserProducts[[#Headers],[Company]],61)</f>
        <v>0.09</v>
      </c>
      <c r="U176" s="109" t="str" cm="1">
        <f t="array" ref="U176">Common_InputFunctions.Utility_DisplayArrayInTable(Fertiliser_SourceData.Fertiliser_Products_Data3(), FertiliserProducts[[#Headers],[Company]],61)</f>
        <v/>
      </c>
      <c r="V176" s="109" t="str" cm="1">
        <f t="array" ref="V176">Common_InputFunctions.Utility_DisplayArrayInTable(Fertiliser_SourceData.Fertiliser_Products_Data3(), FertiliserProducts[[#Headers],[Company]],61)</f>
        <v/>
      </c>
      <c r="W176" s="109" t="str" cm="1">
        <f t="array" ref="W176">Common_InputFunctions.Utility_DisplayArrayInTable(Fertiliser_SourceData.Fertiliser_Products_Data3(), FertiliserProducts[[#Headers],[Company]],61)</f>
        <v/>
      </c>
      <c r="X176" s="109" t="str" cm="1">
        <f t="array" ref="X176">Common_InputFunctions.Utility_DisplayArrayInTable(Fertiliser_SourceData.Fertiliser_Products_Data3(), FertiliserProducts[[#Headers],[Company]],61)</f>
        <v/>
      </c>
      <c r="Y176" s="109" t="str" cm="1">
        <f t="array" ref="Y176">Common_InputFunctions.Utility_DisplayArrayInTable(Fertiliser_SourceData.Fertiliser_Products_Data3(), FertiliserProducts[[#Headers],[Company]],61)</f>
        <v/>
      </c>
      <c r="Z176" s="109" t="str" cm="1">
        <f t="array" ref="Z176">Common_InputFunctions.Utility_DisplayArrayInTable(Fertiliser_SourceData.Fertiliser_Products_Data3(), FertiliserProducts[[#Headers],[Company]],61)</f>
        <v/>
      </c>
      <c r="AA176" s="109" t="str" cm="1">
        <f t="array" ref="AA176">Common_InputFunctions.Utility_DisplayArrayInTable(Fertiliser_SourceData.Fertiliser_Products_Data3(), FertiliserProducts[[#Headers],[Company]],61)</f>
        <v/>
      </c>
      <c r="AB176" s="109" t="str" cm="1">
        <f t="array" ref="AB176">Common_InputFunctions.Utility_DisplayArrayInTable(Fertiliser_SourceData.Fertiliser_Products_Data3(), FertiliserProducts[[#Headers],[Company]],61)</f>
        <v/>
      </c>
      <c r="AC176" s="109" t="str" cm="1">
        <f t="array" ref="AC176">Common_InputFunctions.Utility_DisplayArrayInTable(Fertiliser_SourceData.Fertiliser_Products_Data3(), FertiliserProducts[[#Headers],[Company]],61)</f>
        <v/>
      </c>
      <c r="AD176" s="109" t="str" cm="1">
        <f t="array" ref="AD176">Common_InputFunctions.Utility_DisplayArrayInTable(Fertiliser_SourceData.Fertiliser_Products_Data3(), FertiliserProducts[[#Headers],[Company]],61)</f>
        <v/>
      </c>
      <c r="AE176" s="109" t="str" cm="1">
        <f t="array" ref="AE176">Common_InputFunctions.Utility_DisplayArrayInTable(Fertiliser_SourceData.Fertiliser_Products_Data3(), FertiliserProducts[[#Headers],[Company]],61)</f>
        <v/>
      </c>
      <c r="AF176" s="109" t="str" cm="1">
        <f t="array" ref="AF176">Common_InputFunctions.Utility_DisplayArrayInTable(Fertiliser_SourceData.Fertiliser_Products_Data3(), FertiliserProducts[[#Headers],[Company]],61)</f>
        <v/>
      </c>
      <c r="AG176" s="109" t="str" cm="1">
        <f t="array" ref="AG176">Common_InputFunctions.Utility_DisplayArrayInTable(Fertiliser_SourceData.Fertiliser_Products_Data3(), FertiliserProducts[[#Headers],[Company]],61)</f>
        <v/>
      </c>
      <c r="AH176" s="109" t="str" cm="1">
        <f t="array" ref="AH176">Common_InputFunctions.Utility_DisplayArrayInTable(Fertiliser_SourceData.Fertiliser_Products_Data3(), FertiliserProducts[[#Headers],[Company]],61)</f>
        <v/>
      </c>
      <c r="AK176" s="1"/>
    </row>
    <row r="177" spans="4:37" x14ac:dyDescent="0.25">
      <c r="D177" s="109" t="str" cm="1">
        <f t="array" ref="D177">Common_InputFunctions.Utility_DisplayArrayInTable(Fertiliser_SourceData.Fertiliser_Products_Data3(), FertiliserProducts[[#Headers],[Company]],61)</f>
        <v>Incitec Pivot Fertilisers</v>
      </c>
      <c r="E177" s="109" t="str" cm="1">
        <f t="array" ref="E177">Common_InputFunctions.Utility_DisplayArrayInTable(Fertiliser_SourceData.Fertiliser_Products_Data3(), FertiliserProducts[[#Headers],[Company]],61)</f>
        <v>PastureBoosta</v>
      </c>
      <c r="F177" s="109" t="str" cm="1">
        <f t="array" ref="F177">Common_InputFunctions.Utility_DisplayArrayInTable(Fertiliser_SourceData.Fertiliser_Products_Data3(), FertiliserProducts[[#Headers],[Company]],61)</f>
        <v>kg</v>
      </c>
      <c r="G177" s="109" cm="1">
        <f t="array" ref="G177">Common_InputFunctions.Utility_DisplayArrayInTable(Fertiliser_SourceData.Fertiliser_Products_Data3(), FertiliserProducts[[#Headers],[Company]],61)</f>
        <v>1</v>
      </c>
      <c r="H177" s="109" t="str" cm="1">
        <f t="array" ref="H177">Common_InputFunctions.Utility_DisplayArrayInTable(Fertiliser_SourceData.Fertiliser_Products_Data3(), FertiliserProducts[[#Headers],[Company]],61)</f>
        <v/>
      </c>
      <c r="I177" s="109" t="str" cm="1">
        <f t="array" ref="I177">Common_InputFunctions.Utility_DisplayArrayInTable(Fertiliser_SourceData.Fertiliser_Products_Data3(), FertiliserProducts[[#Headers],[Company]],61)</f>
        <v/>
      </c>
      <c r="J177" s="109" t="str" cm="1">
        <f t="array" ref="J177">Common_InputFunctions.Utility_DisplayArrayInTable(Fertiliser_SourceData.Fertiliser_Products_Data3(), FertiliserProducts[[#Headers],[Company]],61)</f>
        <v/>
      </c>
      <c r="K177" s="109" cm="1">
        <f t="array" ref="K177">Common_InputFunctions.Utility_DisplayArrayInTable(Fertiliser_SourceData.Fertiliser_Products_Data3(), FertiliserProducts[[#Headers],[Company]],61)</f>
        <v>23.8</v>
      </c>
      <c r="L177" s="109" cm="1">
        <f t="array" ref="L177">Common_InputFunctions.Utility_DisplayArrayInTable(Fertiliser_SourceData.Fertiliser_Products_Data3(), FertiliserProducts[[#Headers],[Company]],61)</f>
        <v>3.7</v>
      </c>
      <c r="M177" s="109" cm="1">
        <f t="array" ref="M177">Common_InputFunctions.Utility_DisplayArrayInTable(Fertiliser_SourceData.Fertiliser_Products_Data3(), FertiliserProducts[[#Headers],[Company]],61)</f>
        <v>13</v>
      </c>
      <c r="N177" s="109" cm="1">
        <f t="array" ref="N177">Common_InputFunctions.Utility_DisplayArrayInTable(Fertiliser_SourceData.Fertiliser_Products_Data3(), FertiliserProducts[[#Headers],[Company]],61)</f>
        <v>4.0999999999999996</v>
      </c>
      <c r="O177" s="109" t="str" cm="1">
        <f t="array" ref="O177">Common_InputFunctions.Utility_DisplayArrayInTable(Fertiliser_SourceData.Fertiliser_Products_Data3(), FertiliserProducts[[#Headers],[Company]],61)</f>
        <v>Nitrogen - Generic</v>
      </c>
      <c r="P177" s="109" cm="1">
        <f t="array" ref="P177">Common_InputFunctions.Utility_DisplayArrayInTable(Fertiliser_SourceData.Fertiliser_Products_Data3(), FertiliserProducts[[#Headers],[Company]],61)</f>
        <v>0.23799999999999999</v>
      </c>
      <c r="Q177" s="109" t="str" cm="1">
        <f t="array" ref="Q177">Common_InputFunctions.Utility_DisplayArrayInTable(Fertiliser_SourceData.Fertiliser_Products_Data3(), FertiliserProducts[[#Headers],[Company]],61)</f>
        <v>Phosphorus - Generic</v>
      </c>
      <c r="R177" s="109" cm="1">
        <f t="array" ref="R177">Common_InputFunctions.Utility_DisplayArrayInTable(Fertiliser_SourceData.Fertiliser_Products_Data3(), FertiliserProducts[[#Headers],[Company]],61)</f>
        <v>3.6999999999999998E-2</v>
      </c>
      <c r="S177" s="109" t="str" cm="1">
        <f t="array" ref="S177">Common_InputFunctions.Utility_DisplayArrayInTable(Fertiliser_SourceData.Fertiliser_Products_Data3(), FertiliserProducts[[#Headers],[Company]],61)</f>
        <v>Potassium - Generic</v>
      </c>
      <c r="T177" s="109" cm="1">
        <f t="array" ref="T177">Common_InputFunctions.Utility_DisplayArrayInTable(Fertiliser_SourceData.Fertiliser_Products_Data3(), FertiliserProducts[[#Headers],[Company]],61)</f>
        <v>0.13</v>
      </c>
      <c r="U177" s="109" t="str" cm="1">
        <f t="array" ref="U177">Common_InputFunctions.Utility_DisplayArrayInTable(Fertiliser_SourceData.Fertiliser_Products_Data3(), FertiliserProducts[[#Headers],[Company]],61)</f>
        <v>Sulfur - Generic</v>
      </c>
      <c r="V177" s="109" cm="1">
        <f t="array" ref="V177">Common_InputFunctions.Utility_DisplayArrayInTable(Fertiliser_SourceData.Fertiliser_Products_Data3(), FertiliserProducts[[#Headers],[Company]],61)</f>
        <v>4.1000000000000002E-2</v>
      </c>
      <c r="W177" s="109" t="str" cm="1">
        <f t="array" ref="W177">Common_InputFunctions.Utility_DisplayArrayInTable(Fertiliser_SourceData.Fertiliser_Products_Data3(), FertiliserProducts[[#Headers],[Company]],61)</f>
        <v/>
      </c>
      <c r="X177" s="109" t="str" cm="1">
        <f t="array" ref="X177">Common_InputFunctions.Utility_DisplayArrayInTable(Fertiliser_SourceData.Fertiliser_Products_Data3(), FertiliserProducts[[#Headers],[Company]],61)</f>
        <v/>
      </c>
      <c r="Y177" s="109" t="str" cm="1">
        <f t="array" ref="Y177">Common_InputFunctions.Utility_DisplayArrayInTable(Fertiliser_SourceData.Fertiliser_Products_Data3(), FertiliserProducts[[#Headers],[Company]],61)</f>
        <v/>
      </c>
      <c r="Z177" s="109" t="str" cm="1">
        <f t="array" ref="Z177">Common_InputFunctions.Utility_DisplayArrayInTable(Fertiliser_SourceData.Fertiliser_Products_Data3(), FertiliserProducts[[#Headers],[Company]],61)</f>
        <v/>
      </c>
      <c r="AA177" s="109" t="str" cm="1">
        <f t="array" ref="AA177">Common_InputFunctions.Utility_DisplayArrayInTable(Fertiliser_SourceData.Fertiliser_Products_Data3(), FertiliserProducts[[#Headers],[Company]],61)</f>
        <v/>
      </c>
      <c r="AB177" s="109" t="str" cm="1">
        <f t="array" ref="AB177">Common_InputFunctions.Utility_DisplayArrayInTable(Fertiliser_SourceData.Fertiliser_Products_Data3(), FertiliserProducts[[#Headers],[Company]],61)</f>
        <v/>
      </c>
      <c r="AC177" s="109" t="str" cm="1">
        <f t="array" ref="AC177">Common_InputFunctions.Utility_DisplayArrayInTable(Fertiliser_SourceData.Fertiliser_Products_Data3(), FertiliserProducts[[#Headers],[Company]],61)</f>
        <v/>
      </c>
      <c r="AD177" s="109" t="str" cm="1">
        <f t="array" ref="AD177">Common_InputFunctions.Utility_DisplayArrayInTable(Fertiliser_SourceData.Fertiliser_Products_Data3(), FertiliserProducts[[#Headers],[Company]],61)</f>
        <v/>
      </c>
      <c r="AE177" s="109" t="str" cm="1">
        <f t="array" ref="AE177">Common_InputFunctions.Utility_DisplayArrayInTable(Fertiliser_SourceData.Fertiliser_Products_Data3(), FertiliserProducts[[#Headers],[Company]],61)</f>
        <v/>
      </c>
      <c r="AF177" s="109" t="str" cm="1">
        <f t="array" ref="AF177">Common_InputFunctions.Utility_DisplayArrayInTable(Fertiliser_SourceData.Fertiliser_Products_Data3(), FertiliserProducts[[#Headers],[Company]],61)</f>
        <v/>
      </c>
      <c r="AG177" s="109" t="str" cm="1">
        <f t="array" ref="AG177">Common_InputFunctions.Utility_DisplayArrayInTable(Fertiliser_SourceData.Fertiliser_Products_Data3(), FertiliserProducts[[#Headers],[Company]],61)</f>
        <v/>
      </c>
      <c r="AH177" s="109" t="str" cm="1">
        <f t="array" ref="AH177">Common_InputFunctions.Utility_DisplayArrayInTable(Fertiliser_SourceData.Fertiliser_Products_Data3(), FertiliserProducts[[#Headers],[Company]],61)</f>
        <v/>
      </c>
      <c r="AK177" s="1"/>
    </row>
    <row r="178" spans="4:37" x14ac:dyDescent="0.25">
      <c r="D178" s="109" t="str" cm="1">
        <f t="array" ref="D178">Common_InputFunctions.Utility_DisplayArrayInTable(Fertiliser_SourceData.Fertiliser_Products_Data3(), FertiliserProducts[[#Headers],[Company]],61)</f>
        <v>Incitec Pivot Fertilisers</v>
      </c>
      <c r="E178" s="109" t="str" cm="1">
        <f t="array" ref="E178">Common_InputFunctions.Utility_DisplayArrayInTable(Fertiliser_SourceData.Fertiliser_Products_Data3(), FertiliserProducts[[#Headers],[Company]],61)</f>
        <v>Greentop K</v>
      </c>
      <c r="F178" s="109" t="str" cm="1">
        <f t="array" ref="F178">Common_InputFunctions.Utility_DisplayArrayInTable(Fertiliser_SourceData.Fertiliser_Products_Data3(), FertiliserProducts[[#Headers],[Company]],61)</f>
        <v>kg</v>
      </c>
      <c r="G178" s="109" cm="1">
        <f t="array" ref="G178">Common_InputFunctions.Utility_DisplayArrayInTable(Fertiliser_SourceData.Fertiliser_Products_Data3(), FertiliserProducts[[#Headers],[Company]],61)</f>
        <v>1</v>
      </c>
      <c r="H178" s="109" t="str" cm="1">
        <f t="array" ref="H178">Common_InputFunctions.Utility_DisplayArrayInTable(Fertiliser_SourceData.Fertiliser_Products_Data3(), FertiliserProducts[[#Headers],[Company]],61)</f>
        <v/>
      </c>
      <c r="I178" s="109" t="str" cm="1">
        <f t="array" ref="I178">Common_InputFunctions.Utility_DisplayArrayInTable(Fertiliser_SourceData.Fertiliser_Products_Data3(), FertiliserProducts[[#Headers],[Company]],61)</f>
        <v/>
      </c>
      <c r="J178" s="109" t="str" cm="1">
        <f t="array" ref="J178">Common_InputFunctions.Utility_DisplayArrayInTable(Fertiliser_SourceData.Fertiliser_Products_Data3(), FertiliserProducts[[#Headers],[Company]],61)</f>
        <v/>
      </c>
      <c r="K178" s="109" cm="1">
        <f t="array" ref="K178">Common_InputFunctions.Utility_DisplayArrayInTable(Fertiliser_SourceData.Fertiliser_Products_Data3(), FertiliserProducts[[#Headers],[Company]],61)</f>
        <v>32.799999999999997</v>
      </c>
      <c r="L178" s="109" t="str" cm="1">
        <f t="array" ref="L178">Common_InputFunctions.Utility_DisplayArrayInTable(Fertiliser_SourceData.Fertiliser_Products_Data3(), FertiliserProducts[[#Headers],[Company]],61)</f>
        <v/>
      </c>
      <c r="M178" s="109" cm="1">
        <f t="array" ref="M178">Common_InputFunctions.Utility_DisplayArrayInTable(Fertiliser_SourceData.Fertiliser_Products_Data3(), FertiliserProducts[[#Headers],[Company]],61)</f>
        <v>11</v>
      </c>
      <c r="N178" s="109" cm="1">
        <f t="array" ref="N178">Common_InputFunctions.Utility_DisplayArrayInTable(Fertiliser_SourceData.Fertiliser_Products_Data3(), FertiliserProducts[[#Headers],[Company]],61)</f>
        <v>2.9</v>
      </c>
      <c r="O178" s="109" t="str" cm="1">
        <f t="array" ref="O178">Common_InputFunctions.Utility_DisplayArrayInTable(Fertiliser_SourceData.Fertiliser_Products_Data3(), FertiliserProducts[[#Headers],[Company]],61)</f>
        <v>Urea</v>
      </c>
      <c r="P178" s="109" cm="1">
        <f t="array" ref="P178">Common_InputFunctions.Utility_DisplayArrayInTable(Fertiliser_SourceData.Fertiliser_Products_Data3(), FertiliserProducts[[#Headers],[Company]],61)</f>
        <v>0.66086999999999996</v>
      </c>
      <c r="Q178" s="109" t="str" cm="1">
        <f t="array" ref="Q178">Common_InputFunctions.Utility_DisplayArrayInTable(Fertiliser_SourceData.Fertiliser_Products_Data3(), FertiliserProducts[[#Headers],[Company]],61)</f>
        <v>Nitrogen - Ammoniacal</v>
      </c>
      <c r="R178" s="109" cm="1">
        <f t="array" ref="R178">Common_InputFunctions.Utility_DisplayArrayInTable(Fertiliser_SourceData.Fertiliser_Products_Data3(), FertiliserProducts[[#Headers],[Company]],61)</f>
        <v>2.4E-2</v>
      </c>
      <c r="S178" s="109" t="str" cm="1">
        <f t="array" ref="S178">Common_InputFunctions.Utility_DisplayArrayInTable(Fertiliser_SourceData.Fertiliser_Products_Data3(), FertiliserProducts[[#Headers],[Company]],61)</f>
        <v>Potassium - Generic</v>
      </c>
      <c r="T178" s="109" cm="1">
        <f t="array" ref="T178">Common_InputFunctions.Utility_DisplayArrayInTable(Fertiliser_SourceData.Fertiliser_Products_Data3(), FertiliserProducts[[#Headers],[Company]],61)</f>
        <v>0.11</v>
      </c>
      <c r="U178" s="109" t="str" cm="1">
        <f t="array" ref="U178">Common_InputFunctions.Utility_DisplayArrayInTable(Fertiliser_SourceData.Fertiliser_Products_Data3(), FertiliserProducts[[#Headers],[Company]],61)</f>
        <v>Sulfur - Generic</v>
      </c>
      <c r="V178" s="109" cm="1">
        <f t="array" ref="V178">Common_InputFunctions.Utility_DisplayArrayInTable(Fertiliser_SourceData.Fertiliser_Products_Data3(), FertiliserProducts[[#Headers],[Company]],61)</f>
        <v>2.9000000000000001E-2</v>
      </c>
      <c r="W178" s="109" t="str" cm="1">
        <f t="array" ref="W178">Common_InputFunctions.Utility_DisplayArrayInTable(Fertiliser_SourceData.Fertiliser_Products_Data3(), FertiliserProducts[[#Headers],[Company]],61)</f>
        <v/>
      </c>
      <c r="X178" s="109" t="str" cm="1">
        <f t="array" ref="X178">Common_InputFunctions.Utility_DisplayArrayInTable(Fertiliser_SourceData.Fertiliser_Products_Data3(), FertiliserProducts[[#Headers],[Company]],61)</f>
        <v/>
      </c>
      <c r="Y178" s="109" t="str" cm="1">
        <f t="array" ref="Y178">Common_InputFunctions.Utility_DisplayArrayInTable(Fertiliser_SourceData.Fertiliser_Products_Data3(), FertiliserProducts[[#Headers],[Company]],61)</f>
        <v/>
      </c>
      <c r="Z178" s="109" t="str" cm="1">
        <f t="array" ref="Z178">Common_InputFunctions.Utility_DisplayArrayInTable(Fertiliser_SourceData.Fertiliser_Products_Data3(), FertiliserProducts[[#Headers],[Company]],61)</f>
        <v/>
      </c>
      <c r="AA178" s="109" t="str" cm="1">
        <f t="array" ref="AA178">Common_InputFunctions.Utility_DisplayArrayInTable(Fertiliser_SourceData.Fertiliser_Products_Data3(), FertiliserProducts[[#Headers],[Company]],61)</f>
        <v/>
      </c>
      <c r="AB178" s="109" t="str" cm="1">
        <f t="array" ref="AB178">Common_InputFunctions.Utility_DisplayArrayInTable(Fertiliser_SourceData.Fertiliser_Products_Data3(), FertiliserProducts[[#Headers],[Company]],61)</f>
        <v/>
      </c>
      <c r="AC178" s="109" t="str" cm="1">
        <f t="array" ref="AC178">Common_InputFunctions.Utility_DisplayArrayInTable(Fertiliser_SourceData.Fertiliser_Products_Data3(), FertiliserProducts[[#Headers],[Company]],61)</f>
        <v/>
      </c>
      <c r="AD178" s="109" t="str" cm="1">
        <f t="array" ref="AD178">Common_InputFunctions.Utility_DisplayArrayInTable(Fertiliser_SourceData.Fertiliser_Products_Data3(), FertiliserProducts[[#Headers],[Company]],61)</f>
        <v/>
      </c>
      <c r="AE178" s="109" t="str" cm="1">
        <f t="array" ref="AE178">Common_InputFunctions.Utility_DisplayArrayInTable(Fertiliser_SourceData.Fertiliser_Products_Data3(), FertiliserProducts[[#Headers],[Company]],61)</f>
        <v/>
      </c>
      <c r="AF178" s="109" t="str" cm="1">
        <f t="array" ref="AF178">Common_InputFunctions.Utility_DisplayArrayInTable(Fertiliser_SourceData.Fertiliser_Products_Data3(), FertiliserProducts[[#Headers],[Company]],61)</f>
        <v/>
      </c>
      <c r="AG178" s="109" t="str" cm="1">
        <f t="array" ref="AG178">Common_InputFunctions.Utility_DisplayArrayInTable(Fertiliser_SourceData.Fertiliser_Products_Data3(), FertiliserProducts[[#Headers],[Company]],61)</f>
        <v/>
      </c>
      <c r="AH178" s="109" t="str" cm="1">
        <f t="array" ref="AH178">Common_InputFunctions.Utility_DisplayArrayInTable(Fertiliser_SourceData.Fertiliser_Products_Data3(), FertiliserProducts[[#Headers],[Company]],61)</f>
        <v/>
      </c>
      <c r="AK178" s="1"/>
    </row>
    <row r="179" spans="4:37" x14ac:dyDescent="0.25">
      <c r="D179" s="109" t="str" cm="1">
        <f t="array" ref="D179">Common_InputFunctions.Utility_DisplayArrayInTable(Fertiliser_SourceData.Fertiliser_Products_Data3(), FertiliserProducts[[#Headers],[Company]],61)</f>
        <v>Incitec Pivot Fertilisers</v>
      </c>
      <c r="E179" s="109" t="str" cm="1">
        <f t="array" ref="E179">Common_InputFunctions.Utility_DisplayArrayInTable(Fertiliser_SourceData.Fertiliser_Products_Data3(), FertiliserProducts[[#Headers],[Company]],61)</f>
        <v>HayBoosta</v>
      </c>
      <c r="F179" s="109" t="str" cm="1">
        <f t="array" ref="F179">Common_InputFunctions.Utility_DisplayArrayInTable(Fertiliser_SourceData.Fertiliser_Products_Data3(), FertiliserProducts[[#Headers],[Company]],61)</f>
        <v>kg</v>
      </c>
      <c r="G179" s="109" cm="1">
        <f t="array" ref="G179">Common_InputFunctions.Utility_DisplayArrayInTable(Fertiliser_SourceData.Fertiliser_Products_Data3(), FertiliserProducts[[#Headers],[Company]],61)</f>
        <v>1</v>
      </c>
      <c r="H179" s="109" t="str" cm="1">
        <f t="array" ref="H179">Common_InputFunctions.Utility_DisplayArrayInTable(Fertiliser_SourceData.Fertiliser_Products_Data3(), FertiliserProducts[[#Headers],[Company]],61)</f>
        <v/>
      </c>
      <c r="I179" s="109" t="str" cm="1">
        <f t="array" ref="I179">Common_InputFunctions.Utility_DisplayArrayInTable(Fertiliser_SourceData.Fertiliser_Products_Data3(), FertiliserProducts[[#Headers],[Company]],61)</f>
        <v/>
      </c>
      <c r="J179" s="109" t="str" cm="1">
        <f t="array" ref="J179">Common_InputFunctions.Utility_DisplayArrayInTable(Fertiliser_SourceData.Fertiliser_Products_Data3(), FertiliserProducts[[#Headers],[Company]],61)</f>
        <v/>
      </c>
      <c r="K179" s="109" cm="1">
        <f t="array" ref="K179">Common_InputFunctions.Utility_DisplayArrayInTable(Fertiliser_SourceData.Fertiliser_Products_Data3(), FertiliserProducts[[#Headers],[Company]],61)</f>
        <v>11.7</v>
      </c>
      <c r="L179" s="109" cm="1">
        <f t="array" ref="L179">Common_InputFunctions.Utility_DisplayArrayInTable(Fertiliser_SourceData.Fertiliser_Products_Data3(), FertiliserProducts[[#Headers],[Company]],61)</f>
        <v>4.7</v>
      </c>
      <c r="M179" s="109" cm="1">
        <f t="array" ref="M179">Common_InputFunctions.Utility_DisplayArrayInTable(Fertiliser_SourceData.Fertiliser_Products_Data3(), FertiliserProducts[[#Headers],[Company]],61)</f>
        <v>23.9</v>
      </c>
      <c r="N179" s="109" cm="1">
        <f t="array" ref="N179">Common_InputFunctions.Utility_DisplayArrayInTable(Fertiliser_SourceData.Fertiliser_Products_Data3(), FertiliserProducts[[#Headers],[Company]],61)</f>
        <v>4.5999999999999996</v>
      </c>
      <c r="O179" s="109" t="str" cm="1">
        <f t="array" ref="O179">Common_InputFunctions.Utility_DisplayArrayInTable(Fertiliser_SourceData.Fertiliser_Products_Data3(), FertiliserProducts[[#Headers],[Company]],61)</f>
        <v>Nitrogen - Generic</v>
      </c>
      <c r="P179" s="109" cm="1">
        <f t="array" ref="P179">Common_InputFunctions.Utility_DisplayArrayInTable(Fertiliser_SourceData.Fertiliser_Products_Data3(), FertiliserProducts[[#Headers],[Company]],61)</f>
        <v>0.11700000000000001</v>
      </c>
      <c r="Q179" s="109" t="str" cm="1">
        <f t="array" ref="Q179">Common_InputFunctions.Utility_DisplayArrayInTable(Fertiliser_SourceData.Fertiliser_Products_Data3(), FertiliserProducts[[#Headers],[Company]],61)</f>
        <v>Phosphorus - Generic</v>
      </c>
      <c r="R179" s="109" cm="1">
        <f t="array" ref="R179">Common_InputFunctions.Utility_DisplayArrayInTable(Fertiliser_SourceData.Fertiliser_Products_Data3(), FertiliserProducts[[#Headers],[Company]],61)</f>
        <v>4.7E-2</v>
      </c>
      <c r="S179" s="109" t="str" cm="1">
        <f t="array" ref="S179">Common_InputFunctions.Utility_DisplayArrayInTable(Fertiliser_SourceData.Fertiliser_Products_Data3(), FertiliserProducts[[#Headers],[Company]],61)</f>
        <v>Potassium - Generic</v>
      </c>
      <c r="T179" s="109" cm="1">
        <f t="array" ref="T179">Common_InputFunctions.Utility_DisplayArrayInTable(Fertiliser_SourceData.Fertiliser_Products_Data3(), FertiliserProducts[[#Headers],[Company]],61)</f>
        <v>0.23899999999999999</v>
      </c>
      <c r="U179" s="109" t="str" cm="1">
        <f t="array" ref="U179">Common_InputFunctions.Utility_DisplayArrayInTable(Fertiliser_SourceData.Fertiliser_Products_Data3(), FertiliserProducts[[#Headers],[Company]],61)</f>
        <v>Sulfur - Generic</v>
      </c>
      <c r="V179" s="109" cm="1">
        <f t="array" ref="V179">Common_InputFunctions.Utility_DisplayArrayInTable(Fertiliser_SourceData.Fertiliser_Products_Data3(), FertiliserProducts[[#Headers],[Company]],61)</f>
        <v>4.5999999999999999E-2</v>
      </c>
      <c r="W179" s="109" t="str" cm="1">
        <f t="array" ref="W179">Common_InputFunctions.Utility_DisplayArrayInTable(Fertiliser_SourceData.Fertiliser_Products_Data3(), FertiliserProducts[[#Headers],[Company]],61)</f>
        <v/>
      </c>
      <c r="X179" s="109" t="str" cm="1">
        <f t="array" ref="X179">Common_InputFunctions.Utility_DisplayArrayInTable(Fertiliser_SourceData.Fertiliser_Products_Data3(), FertiliserProducts[[#Headers],[Company]],61)</f>
        <v/>
      </c>
      <c r="Y179" s="109" t="str" cm="1">
        <f t="array" ref="Y179">Common_InputFunctions.Utility_DisplayArrayInTable(Fertiliser_SourceData.Fertiliser_Products_Data3(), FertiliserProducts[[#Headers],[Company]],61)</f>
        <v/>
      </c>
      <c r="Z179" s="109" t="str" cm="1">
        <f t="array" ref="Z179">Common_InputFunctions.Utility_DisplayArrayInTable(Fertiliser_SourceData.Fertiliser_Products_Data3(), FertiliserProducts[[#Headers],[Company]],61)</f>
        <v/>
      </c>
      <c r="AA179" s="109" t="str" cm="1">
        <f t="array" ref="AA179">Common_InputFunctions.Utility_DisplayArrayInTable(Fertiliser_SourceData.Fertiliser_Products_Data3(), FertiliserProducts[[#Headers],[Company]],61)</f>
        <v/>
      </c>
      <c r="AB179" s="109" t="str" cm="1">
        <f t="array" ref="AB179">Common_InputFunctions.Utility_DisplayArrayInTable(Fertiliser_SourceData.Fertiliser_Products_Data3(), FertiliserProducts[[#Headers],[Company]],61)</f>
        <v/>
      </c>
      <c r="AC179" s="109" t="str" cm="1">
        <f t="array" ref="AC179">Common_InputFunctions.Utility_DisplayArrayInTable(Fertiliser_SourceData.Fertiliser_Products_Data3(), FertiliserProducts[[#Headers],[Company]],61)</f>
        <v/>
      </c>
      <c r="AD179" s="109" t="str" cm="1">
        <f t="array" ref="AD179">Common_InputFunctions.Utility_DisplayArrayInTable(Fertiliser_SourceData.Fertiliser_Products_Data3(), FertiliserProducts[[#Headers],[Company]],61)</f>
        <v/>
      </c>
      <c r="AE179" s="109" t="str" cm="1">
        <f t="array" ref="AE179">Common_InputFunctions.Utility_DisplayArrayInTable(Fertiliser_SourceData.Fertiliser_Products_Data3(), FertiliserProducts[[#Headers],[Company]],61)</f>
        <v/>
      </c>
      <c r="AF179" s="109" t="str" cm="1">
        <f t="array" ref="AF179">Common_InputFunctions.Utility_DisplayArrayInTable(Fertiliser_SourceData.Fertiliser_Products_Data3(), FertiliserProducts[[#Headers],[Company]],61)</f>
        <v/>
      </c>
      <c r="AG179" s="109" t="str" cm="1">
        <f t="array" ref="AG179">Common_InputFunctions.Utility_DisplayArrayInTable(Fertiliser_SourceData.Fertiliser_Products_Data3(), FertiliserProducts[[#Headers],[Company]],61)</f>
        <v/>
      </c>
      <c r="AH179" s="109" t="str" cm="1">
        <f t="array" ref="AH179">Common_InputFunctions.Utility_DisplayArrayInTable(Fertiliser_SourceData.Fertiliser_Products_Data3(), FertiliserProducts[[#Headers],[Company]],61)</f>
        <v/>
      </c>
      <c r="AK179" s="1"/>
    </row>
    <row r="180" spans="4:37" x14ac:dyDescent="0.25">
      <c r="D180" s="109" t="str" cm="1">
        <f t="array" ref="D180">Common_InputFunctions.Utility_DisplayArrayInTable(Fertiliser_SourceData.Fertiliser_Products_Data4(),FertiliserProducts[[#Headers],[Company]], 91)</f>
        <v>Impact Fertilisers</v>
      </c>
      <c r="E180" s="109" t="str" cm="1">
        <f t="array" ref="E180">Common_InputFunctions.Utility_DisplayArrayInTable(Fertiliser_SourceData.Fertiliser_Products_Data4(),FertiliserProducts[[#Headers],[Company]], 91)</f>
        <v>Impact Super Potash 1&amp;1</v>
      </c>
      <c r="F180" s="109" t="str" cm="1">
        <f t="array" ref="F180">Common_InputFunctions.Utility_DisplayArrayInTable(Fertiliser_SourceData.Fertiliser_Products_Data4(),FertiliserProducts[[#Headers],[Company]], 91)</f>
        <v>kg</v>
      </c>
      <c r="G180" s="109" cm="1">
        <f t="array" ref="G180">Common_InputFunctions.Utility_DisplayArrayInTable(Fertiliser_SourceData.Fertiliser_Products_Data4(),FertiliserProducts[[#Headers],[Company]], 91)</f>
        <v>1</v>
      </c>
      <c r="H180" s="109" t="str" cm="1">
        <f t="array" ref="H180">Common_InputFunctions.Utility_DisplayArrayInTable(Fertiliser_SourceData.Fertiliser_Products_Data4(),FertiliserProducts[[#Headers],[Company]], 91)</f>
        <v/>
      </c>
      <c r="I180" s="109" t="str" cm="1">
        <f t="array" ref="I180">Common_InputFunctions.Utility_DisplayArrayInTable(Fertiliser_SourceData.Fertiliser_Products_Data4(),FertiliserProducts[[#Headers],[Company]], 91)</f>
        <v/>
      </c>
      <c r="J180" s="109" t="str" cm="1">
        <f t="array" ref="J180">Common_InputFunctions.Utility_DisplayArrayInTable(Fertiliser_SourceData.Fertiliser_Products_Data4(),FertiliserProducts[[#Headers],[Company]], 91)</f>
        <v/>
      </c>
      <c r="K180" s="109" t="str" cm="1">
        <f t="array" ref="K180">Common_InputFunctions.Utility_DisplayArrayInTable(Fertiliser_SourceData.Fertiliser_Products_Data4(),FertiliserProducts[[#Headers],[Company]], 91)</f>
        <v/>
      </c>
      <c r="L180" s="109" cm="1">
        <f t="array" ref="L180">Common_InputFunctions.Utility_DisplayArrayInTable(Fertiliser_SourceData.Fertiliser_Products_Data4(),FertiliserProducts[[#Headers],[Company]], 91)</f>
        <v>4.4000000000000004</v>
      </c>
      <c r="M180" s="109" cm="1">
        <f t="array" ref="M180">Common_InputFunctions.Utility_DisplayArrayInTable(Fertiliser_SourceData.Fertiliser_Products_Data4(),FertiliserProducts[[#Headers],[Company]], 91)</f>
        <v>25</v>
      </c>
      <c r="N180" s="109" cm="1">
        <f t="array" ref="N180">Common_InputFunctions.Utility_DisplayArrayInTable(Fertiliser_SourceData.Fertiliser_Products_Data4(),FertiliserProducts[[#Headers],[Company]], 91)</f>
        <v>5.5</v>
      </c>
      <c r="O180" s="109" t="str" cm="1">
        <f t="array" ref="O180">Common_InputFunctions.Utility_DisplayArrayInTable(Fertiliser_SourceData.Fertiliser_Products_Data4(),FertiliserProducts[[#Headers],[Company]], 91)</f>
        <v>Single superphosphate (SSP)</v>
      </c>
      <c r="P180" s="109" cm="1">
        <f t="array" ref="P180">Common_InputFunctions.Utility_DisplayArrayInTable(Fertiliser_SourceData.Fertiliser_Products_Data4(),FertiliserProducts[[#Headers],[Company]], 91)</f>
        <v>0.5</v>
      </c>
      <c r="Q180" s="109" t="str" cm="1">
        <f t="array" ref="Q180">Common_InputFunctions.Utility_DisplayArrayInTable(Fertiliser_SourceData.Fertiliser_Products_Data4(),FertiliserProducts[[#Headers],[Company]], 91)</f>
        <v>Muriate of potash (MOP)</v>
      </c>
      <c r="R180" s="109" cm="1">
        <f t="array" ref="R180">Common_InputFunctions.Utility_DisplayArrayInTable(Fertiliser_SourceData.Fertiliser_Products_Data4(),FertiliserProducts[[#Headers],[Company]], 91)</f>
        <v>0.5</v>
      </c>
      <c r="S180" s="109" t="str" cm="1">
        <f t="array" ref="S180">Common_InputFunctions.Utility_DisplayArrayInTable(Fertiliser_SourceData.Fertiliser_Products_Data4(),FertiliserProducts[[#Headers],[Company]], 91)</f>
        <v/>
      </c>
      <c r="T180" s="109" t="str" cm="1">
        <f t="array" ref="T180">Common_InputFunctions.Utility_DisplayArrayInTable(Fertiliser_SourceData.Fertiliser_Products_Data4(),FertiliserProducts[[#Headers],[Company]], 91)</f>
        <v/>
      </c>
      <c r="U180" s="109" t="str" cm="1">
        <f t="array" ref="U180">Common_InputFunctions.Utility_DisplayArrayInTable(Fertiliser_SourceData.Fertiliser_Products_Data4(),FertiliserProducts[[#Headers],[Company]], 91)</f>
        <v/>
      </c>
      <c r="V180" s="109" t="str" cm="1">
        <f t="array" ref="V180">Common_InputFunctions.Utility_DisplayArrayInTable(Fertiliser_SourceData.Fertiliser_Products_Data4(),FertiliserProducts[[#Headers],[Company]], 91)</f>
        <v/>
      </c>
      <c r="W180" s="109" t="str" cm="1">
        <f t="array" ref="W180">Common_InputFunctions.Utility_DisplayArrayInTable(Fertiliser_SourceData.Fertiliser_Products_Data4(),FertiliserProducts[[#Headers],[Company]], 91)</f>
        <v/>
      </c>
      <c r="X180" s="109" t="str" cm="1">
        <f t="array" ref="X180">Common_InputFunctions.Utility_DisplayArrayInTable(Fertiliser_SourceData.Fertiliser_Products_Data4(),FertiliserProducts[[#Headers],[Company]], 91)</f>
        <v/>
      </c>
      <c r="Y180" s="109" t="str" cm="1">
        <f t="array" ref="Y180">Common_InputFunctions.Utility_DisplayArrayInTable(Fertiliser_SourceData.Fertiliser_Products_Data4(),FertiliserProducts[[#Headers],[Company]], 91)</f>
        <v/>
      </c>
      <c r="Z180" s="109" t="str" cm="1">
        <f t="array" ref="Z180">Common_InputFunctions.Utility_DisplayArrayInTable(Fertiliser_SourceData.Fertiliser_Products_Data4(),FertiliserProducts[[#Headers],[Company]], 91)</f>
        <v/>
      </c>
      <c r="AA180" s="109" t="str" cm="1">
        <f t="array" ref="AA180">Common_InputFunctions.Utility_DisplayArrayInTable(Fertiliser_SourceData.Fertiliser_Products_Data4(),FertiliserProducts[[#Headers],[Company]], 91)</f>
        <v/>
      </c>
      <c r="AB180" s="109" t="str" cm="1">
        <f t="array" ref="AB180">Common_InputFunctions.Utility_DisplayArrayInTable(Fertiliser_SourceData.Fertiliser_Products_Data4(),FertiliserProducts[[#Headers],[Company]], 91)</f>
        <v/>
      </c>
      <c r="AC180" s="109" t="str" cm="1">
        <f t="array" ref="AC180">Common_InputFunctions.Utility_DisplayArrayInTable(Fertiliser_SourceData.Fertiliser_Products_Data4(),FertiliserProducts[[#Headers],[Company]], 91)</f>
        <v/>
      </c>
      <c r="AD180" s="109" t="str" cm="1">
        <f t="array" ref="AD180">Common_InputFunctions.Utility_DisplayArrayInTable(Fertiliser_SourceData.Fertiliser_Products_Data4(),FertiliserProducts[[#Headers],[Company]], 91)</f>
        <v/>
      </c>
      <c r="AE180" s="109" t="str" cm="1">
        <f t="array" ref="AE180">Common_InputFunctions.Utility_DisplayArrayInTable(Fertiliser_SourceData.Fertiliser_Products_Data4(),FertiliserProducts[[#Headers],[Company]], 91)</f>
        <v/>
      </c>
      <c r="AF180" s="109" t="str" cm="1">
        <f t="array" ref="AF180">Common_InputFunctions.Utility_DisplayArrayInTable(Fertiliser_SourceData.Fertiliser_Products_Data4(),FertiliserProducts[[#Headers],[Company]], 91)</f>
        <v/>
      </c>
      <c r="AG180" s="109" t="str" cm="1">
        <f t="array" ref="AG180">Common_InputFunctions.Utility_DisplayArrayInTable(Fertiliser_SourceData.Fertiliser_Products_Data4(),FertiliserProducts[[#Headers],[Company]], 91)</f>
        <v/>
      </c>
      <c r="AH180" s="109" t="str" cm="1">
        <f t="array" ref="AH180">Common_InputFunctions.Utility_DisplayArrayInTable(Fertiliser_SourceData.Fertiliser_Products_Data4(),FertiliserProducts[[#Headers],[Company]], 91)</f>
        <v/>
      </c>
    </row>
    <row r="181" spans="4:37" x14ac:dyDescent="0.25">
      <c r="D181" s="109" t="str" cm="1">
        <f t="array" ref="D181">Common_InputFunctions.Utility_DisplayArrayInTable(Fertiliser_SourceData.Fertiliser_Products_Data4(),FertiliserProducts[[#Headers],[Company]], 91)</f>
        <v>Impact Fertilisers</v>
      </c>
      <c r="E181" s="109" t="str" cm="1">
        <f t="array" ref="E181">Common_InputFunctions.Utility_DisplayArrayInTable(Fertiliser_SourceData.Fertiliser_Products_Data4(),FertiliserProducts[[#Headers],[Company]], 91)</f>
        <v>Impact Super Potash 2&amp;1</v>
      </c>
      <c r="F181" s="109" t="str" cm="1">
        <f t="array" ref="F181">Common_InputFunctions.Utility_DisplayArrayInTable(Fertiliser_SourceData.Fertiliser_Products_Data4(),FertiliserProducts[[#Headers],[Company]], 91)</f>
        <v>kg</v>
      </c>
      <c r="G181" s="109" cm="1">
        <f t="array" ref="G181">Common_InputFunctions.Utility_DisplayArrayInTable(Fertiliser_SourceData.Fertiliser_Products_Data4(),FertiliserProducts[[#Headers],[Company]], 91)</f>
        <v>1</v>
      </c>
      <c r="H181" s="109" t="str" cm="1">
        <f t="array" ref="H181">Common_InputFunctions.Utility_DisplayArrayInTable(Fertiliser_SourceData.Fertiliser_Products_Data4(),FertiliserProducts[[#Headers],[Company]], 91)</f>
        <v/>
      </c>
      <c r="I181" s="109" t="str" cm="1">
        <f t="array" ref="I181">Common_InputFunctions.Utility_DisplayArrayInTable(Fertiliser_SourceData.Fertiliser_Products_Data4(),FertiliserProducts[[#Headers],[Company]], 91)</f>
        <v/>
      </c>
      <c r="J181" s="109" t="str" cm="1">
        <f t="array" ref="J181">Common_InputFunctions.Utility_DisplayArrayInTable(Fertiliser_SourceData.Fertiliser_Products_Data4(),FertiliserProducts[[#Headers],[Company]], 91)</f>
        <v/>
      </c>
      <c r="K181" s="109" t="str" cm="1">
        <f t="array" ref="K181">Common_InputFunctions.Utility_DisplayArrayInTable(Fertiliser_SourceData.Fertiliser_Products_Data4(),FertiliserProducts[[#Headers],[Company]], 91)</f>
        <v/>
      </c>
      <c r="L181" s="109" cm="1">
        <f t="array" ref="L181">Common_InputFunctions.Utility_DisplayArrayInTable(Fertiliser_SourceData.Fertiliser_Products_Data4(),FertiliserProducts[[#Headers],[Company]], 91)</f>
        <v>5.84</v>
      </c>
      <c r="M181" s="109" cm="1">
        <f t="array" ref="M181">Common_InputFunctions.Utility_DisplayArrayInTable(Fertiliser_SourceData.Fertiliser_Products_Data4(),FertiliserProducts[[#Headers],[Company]], 91)</f>
        <v>16.8</v>
      </c>
      <c r="N181" s="109" cm="1">
        <f t="array" ref="N181">Common_InputFunctions.Utility_DisplayArrayInTable(Fertiliser_SourceData.Fertiliser_Products_Data4(),FertiliserProducts[[#Headers],[Company]], 91)</f>
        <v>7.29</v>
      </c>
      <c r="O181" s="109" t="str" cm="1">
        <f t="array" ref="O181">Common_InputFunctions.Utility_DisplayArrayInTable(Fertiliser_SourceData.Fertiliser_Products_Data4(),FertiliserProducts[[#Headers],[Company]], 91)</f>
        <v>Single superphosphate (SSP)</v>
      </c>
      <c r="P181" s="109" cm="1">
        <f t="array" ref="P181">Common_InputFunctions.Utility_DisplayArrayInTable(Fertiliser_SourceData.Fertiliser_Products_Data4(),FertiliserProducts[[#Headers],[Company]], 91)</f>
        <v>0.66315800000000003</v>
      </c>
      <c r="Q181" s="109" t="str" cm="1">
        <f t="array" ref="Q181">Common_InputFunctions.Utility_DisplayArrayInTable(Fertiliser_SourceData.Fertiliser_Products_Data4(),FertiliserProducts[[#Headers],[Company]], 91)</f>
        <v>Muriate of potash (MOP)</v>
      </c>
      <c r="R181" s="109" cm="1">
        <f t="array" ref="R181">Common_InputFunctions.Utility_DisplayArrayInTable(Fertiliser_SourceData.Fertiliser_Products_Data4(),FertiliserProducts[[#Headers],[Company]], 91)</f>
        <v>0.33600000000000002</v>
      </c>
      <c r="S181" s="109" t="str" cm="1">
        <f t="array" ref="S181">Common_InputFunctions.Utility_DisplayArrayInTable(Fertiliser_SourceData.Fertiliser_Products_Data4(),FertiliserProducts[[#Headers],[Company]], 91)</f>
        <v/>
      </c>
      <c r="T181" s="109" t="str" cm="1">
        <f t="array" ref="T181">Common_InputFunctions.Utility_DisplayArrayInTable(Fertiliser_SourceData.Fertiliser_Products_Data4(),FertiliserProducts[[#Headers],[Company]], 91)</f>
        <v/>
      </c>
      <c r="U181" s="109" t="str" cm="1">
        <f t="array" ref="U181">Common_InputFunctions.Utility_DisplayArrayInTable(Fertiliser_SourceData.Fertiliser_Products_Data4(),FertiliserProducts[[#Headers],[Company]], 91)</f>
        <v/>
      </c>
      <c r="V181" s="109" t="str" cm="1">
        <f t="array" ref="V181">Common_InputFunctions.Utility_DisplayArrayInTable(Fertiliser_SourceData.Fertiliser_Products_Data4(),FertiliserProducts[[#Headers],[Company]], 91)</f>
        <v/>
      </c>
      <c r="W181" s="109" t="str" cm="1">
        <f t="array" ref="W181">Common_InputFunctions.Utility_DisplayArrayInTable(Fertiliser_SourceData.Fertiliser_Products_Data4(),FertiliserProducts[[#Headers],[Company]], 91)</f>
        <v/>
      </c>
      <c r="X181" s="109" t="str" cm="1">
        <f t="array" ref="X181">Common_InputFunctions.Utility_DisplayArrayInTable(Fertiliser_SourceData.Fertiliser_Products_Data4(),FertiliserProducts[[#Headers],[Company]], 91)</f>
        <v/>
      </c>
      <c r="Y181" s="109" t="str" cm="1">
        <f t="array" ref="Y181">Common_InputFunctions.Utility_DisplayArrayInTable(Fertiliser_SourceData.Fertiliser_Products_Data4(),FertiliserProducts[[#Headers],[Company]], 91)</f>
        <v/>
      </c>
      <c r="Z181" s="109" t="str" cm="1">
        <f t="array" ref="Z181">Common_InputFunctions.Utility_DisplayArrayInTable(Fertiliser_SourceData.Fertiliser_Products_Data4(),FertiliserProducts[[#Headers],[Company]], 91)</f>
        <v/>
      </c>
      <c r="AA181" s="109" t="str" cm="1">
        <f t="array" ref="AA181">Common_InputFunctions.Utility_DisplayArrayInTable(Fertiliser_SourceData.Fertiliser_Products_Data4(),FertiliserProducts[[#Headers],[Company]], 91)</f>
        <v/>
      </c>
      <c r="AB181" s="109" t="str" cm="1">
        <f t="array" ref="AB181">Common_InputFunctions.Utility_DisplayArrayInTable(Fertiliser_SourceData.Fertiliser_Products_Data4(),FertiliserProducts[[#Headers],[Company]], 91)</f>
        <v/>
      </c>
      <c r="AC181" s="109" t="str" cm="1">
        <f t="array" ref="AC181">Common_InputFunctions.Utility_DisplayArrayInTable(Fertiliser_SourceData.Fertiliser_Products_Data4(),FertiliserProducts[[#Headers],[Company]], 91)</f>
        <v/>
      </c>
      <c r="AD181" s="109" t="str" cm="1">
        <f t="array" ref="AD181">Common_InputFunctions.Utility_DisplayArrayInTable(Fertiliser_SourceData.Fertiliser_Products_Data4(),FertiliserProducts[[#Headers],[Company]], 91)</f>
        <v/>
      </c>
      <c r="AE181" s="109" t="str" cm="1">
        <f t="array" ref="AE181">Common_InputFunctions.Utility_DisplayArrayInTable(Fertiliser_SourceData.Fertiliser_Products_Data4(),FertiliserProducts[[#Headers],[Company]], 91)</f>
        <v/>
      </c>
      <c r="AF181" s="109" t="str" cm="1">
        <f t="array" ref="AF181">Common_InputFunctions.Utility_DisplayArrayInTable(Fertiliser_SourceData.Fertiliser_Products_Data4(),FertiliserProducts[[#Headers],[Company]], 91)</f>
        <v/>
      </c>
      <c r="AG181" s="109" t="str" cm="1">
        <f t="array" ref="AG181">Common_InputFunctions.Utility_DisplayArrayInTable(Fertiliser_SourceData.Fertiliser_Products_Data4(),FertiliserProducts[[#Headers],[Company]], 91)</f>
        <v/>
      </c>
      <c r="AH181" s="109" t="str" cm="1">
        <f t="array" ref="AH181">Common_InputFunctions.Utility_DisplayArrayInTable(Fertiliser_SourceData.Fertiliser_Products_Data4(),FertiliserProducts[[#Headers],[Company]], 91)</f>
        <v/>
      </c>
    </row>
    <row r="182" spans="4:37" x14ac:dyDescent="0.25">
      <c r="D182" s="109" t="str" cm="1">
        <f t="array" ref="D182">Common_InputFunctions.Utility_DisplayArrayInTable(Fertiliser_SourceData.Fertiliser_Products_Data4(),FertiliserProducts[[#Headers],[Company]], 91)</f>
        <v>Impact Fertilisers</v>
      </c>
      <c r="E182" s="109" t="str" cm="1">
        <f t="array" ref="E182">Common_InputFunctions.Utility_DisplayArrayInTable(Fertiliser_SourceData.Fertiliser_Products_Data4(),FertiliserProducts[[#Headers],[Company]], 91)</f>
        <v>Impact Super Potash 3&amp;1</v>
      </c>
      <c r="F182" s="109" t="str" cm="1">
        <f t="array" ref="F182">Common_InputFunctions.Utility_DisplayArrayInTable(Fertiliser_SourceData.Fertiliser_Products_Data4(),FertiliserProducts[[#Headers],[Company]], 91)</f>
        <v>kg</v>
      </c>
      <c r="G182" s="109" cm="1">
        <f t="array" ref="G182">Common_InputFunctions.Utility_DisplayArrayInTable(Fertiliser_SourceData.Fertiliser_Products_Data4(),FertiliserProducts[[#Headers],[Company]], 91)</f>
        <v>1</v>
      </c>
      <c r="H182" s="109" t="str" cm="1">
        <f t="array" ref="H182">Common_InputFunctions.Utility_DisplayArrayInTable(Fertiliser_SourceData.Fertiliser_Products_Data4(),FertiliserProducts[[#Headers],[Company]], 91)</f>
        <v/>
      </c>
      <c r="I182" s="109" t="str" cm="1">
        <f t="array" ref="I182">Common_InputFunctions.Utility_DisplayArrayInTable(Fertiliser_SourceData.Fertiliser_Products_Data4(),FertiliserProducts[[#Headers],[Company]], 91)</f>
        <v/>
      </c>
      <c r="J182" s="109" t="str" cm="1">
        <f t="array" ref="J182">Common_InputFunctions.Utility_DisplayArrayInTable(Fertiliser_SourceData.Fertiliser_Products_Data4(),FertiliserProducts[[#Headers],[Company]], 91)</f>
        <v/>
      </c>
      <c r="K182" s="109" t="str" cm="1">
        <f t="array" ref="K182">Common_InputFunctions.Utility_DisplayArrayInTable(Fertiliser_SourceData.Fertiliser_Products_Data4(),FertiliserProducts[[#Headers],[Company]], 91)</f>
        <v/>
      </c>
      <c r="L182" s="109" cm="1">
        <f t="array" ref="L182">Common_InputFunctions.Utility_DisplayArrayInTable(Fertiliser_SourceData.Fertiliser_Products_Data4(),FertiliserProducts[[#Headers],[Company]], 91)</f>
        <v>6.58</v>
      </c>
      <c r="M182" s="109" cm="1">
        <f t="array" ref="M182">Common_InputFunctions.Utility_DisplayArrayInTable(Fertiliser_SourceData.Fertiliser_Products_Data4(),FertiliserProducts[[#Headers],[Company]], 91)</f>
        <v>12.5</v>
      </c>
      <c r="N182" s="109" cm="1">
        <f t="array" ref="N182">Common_InputFunctions.Utility_DisplayArrayInTable(Fertiliser_SourceData.Fertiliser_Products_Data4(),FertiliserProducts[[#Headers],[Company]], 91)</f>
        <v>8.2200000000000006</v>
      </c>
      <c r="O182" s="109" t="str" cm="1">
        <f t="array" ref="O182">Common_InputFunctions.Utility_DisplayArrayInTable(Fertiliser_SourceData.Fertiliser_Products_Data4(),FertiliserProducts[[#Headers],[Company]], 91)</f>
        <v>Single superphosphate (SSP)</v>
      </c>
      <c r="P182" s="109" cm="1">
        <f t="array" ref="P182">Common_InputFunctions.Utility_DisplayArrayInTable(Fertiliser_SourceData.Fertiliser_Products_Data4(),FertiliserProducts[[#Headers],[Company]], 91)</f>
        <v>0.74736800000000003</v>
      </c>
      <c r="Q182" s="109" t="str" cm="1">
        <f t="array" ref="Q182">Common_InputFunctions.Utility_DisplayArrayInTable(Fertiliser_SourceData.Fertiliser_Products_Data4(),FertiliserProducts[[#Headers],[Company]], 91)</f>
        <v>Muriate of potash (MOP)</v>
      </c>
      <c r="R182" s="109" cm="1">
        <f t="array" ref="R182">Common_InputFunctions.Utility_DisplayArrayInTable(Fertiliser_SourceData.Fertiliser_Products_Data4(),FertiliserProducts[[#Headers],[Company]], 91)</f>
        <v>0.25</v>
      </c>
      <c r="S182" s="109" t="str" cm="1">
        <f t="array" ref="S182">Common_InputFunctions.Utility_DisplayArrayInTable(Fertiliser_SourceData.Fertiliser_Products_Data4(),FertiliserProducts[[#Headers],[Company]], 91)</f>
        <v/>
      </c>
      <c r="T182" s="109" t="str" cm="1">
        <f t="array" ref="T182">Common_InputFunctions.Utility_DisplayArrayInTable(Fertiliser_SourceData.Fertiliser_Products_Data4(),FertiliserProducts[[#Headers],[Company]], 91)</f>
        <v/>
      </c>
      <c r="U182" s="109" t="str" cm="1">
        <f t="array" ref="U182">Common_InputFunctions.Utility_DisplayArrayInTable(Fertiliser_SourceData.Fertiliser_Products_Data4(),FertiliserProducts[[#Headers],[Company]], 91)</f>
        <v/>
      </c>
      <c r="V182" s="109" t="str" cm="1">
        <f t="array" ref="V182">Common_InputFunctions.Utility_DisplayArrayInTable(Fertiliser_SourceData.Fertiliser_Products_Data4(),FertiliserProducts[[#Headers],[Company]], 91)</f>
        <v/>
      </c>
      <c r="W182" s="109" t="str" cm="1">
        <f t="array" ref="W182">Common_InputFunctions.Utility_DisplayArrayInTable(Fertiliser_SourceData.Fertiliser_Products_Data4(),FertiliserProducts[[#Headers],[Company]], 91)</f>
        <v/>
      </c>
      <c r="X182" s="109" t="str" cm="1">
        <f t="array" ref="X182">Common_InputFunctions.Utility_DisplayArrayInTable(Fertiliser_SourceData.Fertiliser_Products_Data4(),FertiliserProducts[[#Headers],[Company]], 91)</f>
        <v/>
      </c>
      <c r="Y182" s="109" t="str" cm="1">
        <f t="array" ref="Y182">Common_InputFunctions.Utility_DisplayArrayInTable(Fertiliser_SourceData.Fertiliser_Products_Data4(),FertiliserProducts[[#Headers],[Company]], 91)</f>
        <v/>
      </c>
      <c r="Z182" s="109" t="str" cm="1">
        <f t="array" ref="Z182">Common_InputFunctions.Utility_DisplayArrayInTable(Fertiliser_SourceData.Fertiliser_Products_Data4(),FertiliserProducts[[#Headers],[Company]], 91)</f>
        <v/>
      </c>
      <c r="AA182" s="109" t="str" cm="1">
        <f t="array" ref="AA182">Common_InputFunctions.Utility_DisplayArrayInTable(Fertiliser_SourceData.Fertiliser_Products_Data4(),FertiliserProducts[[#Headers],[Company]], 91)</f>
        <v/>
      </c>
      <c r="AB182" s="109" t="str" cm="1">
        <f t="array" ref="AB182">Common_InputFunctions.Utility_DisplayArrayInTable(Fertiliser_SourceData.Fertiliser_Products_Data4(),FertiliserProducts[[#Headers],[Company]], 91)</f>
        <v/>
      </c>
      <c r="AC182" s="109" t="str" cm="1">
        <f t="array" ref="AC182">Common_InputFunctions.Utility_DisplayArrayInTable(Fertiliser_SourceData.Fertiliser_Products_Data4(),FertiliserProducts[[#Headers],[Company]], 91)</f>
        <v/>
      </c>
      <c r="AD182" s="109" t="str" cm="1">
        <f t="array" ref="AD182">Common_InputFunctions.Utility_DisplayArrayInTable(Fertiliser_SourceData.Fertiliser_Products_Data4(),FertiliserProducts[[#Headers],[Company]], 91)</f>
        <v/>
      </c>
      <c r="AE182" s="109" t="str" cm="1">
        <f t="array" ref="AE182">Common_InputFunctions.Utility_DisplayArrayInTable(Fertiliser_SourceData.Fertiliser_Products_Data4(),FertiliserProducts[[#Headers],[Company]], 91)</f>
        <v/>
      </c>
      <c r="AF182" s="109" t="str" cm="1">
        <f t="array" ref="AF182">Common_InputFunctions.Utility_DisplayArrayInTable(Fertiliser_SourceData.Fertiliser_Products_Data4(),FertiliserProducts[[#Headers],[Company]], 91)</f>
        <v/>
      </c>
      <c r="AG182" s="109" t="str" cm="1">
        <f t="array" ref="AG182">Common_InputFunctions.Utility_DisplayArrayInTable(Fertiliser_SourceData.Fertiliser_Products_Data4(),FertiliserProducts[[#Headers],[Company]], 91)</f>
        <v/>
      </c>
      <c r="AH182" s="109" t="str" cm="1">
        <f t="array" ref="AH182">Common_InputFunctions.Utility_DisplayArrayInTable(Fertiliser_SourceData.Fertiliser_Products_Data4(),FertiliserProducts[[#Headers],[Company]], 91)</f>
        <v/>
      </c>
    </row>
    <row r="183" spans="4:37" x14ac:dyDescent="0.25">
      <c r="D183" s="109" t="str" cm="1">
        <f t="array" ref="D183">Common_InputFunctions.Utility_DisplayArrayInTable(Fertiliser_SourceData.Fertiliser_Products_Data4(),FertiliserProducts[[#Headers],[Company]], 91)</f>
        <v>Impact Fertilisers</v>
      </c>
      <c r="E183" s="109" t="str" cm="1">
        <f t="array" ref="E183">Common_InputFunctions.Utility_DisplayArrayInTable(Fertiliser_SourceData.Fertiliser_Products_Data4(),FertiliserProducts[[#Headers],[Company]], 91)</f>
        <v>Impact Super Potash 4&amp;1</v>
      </c>
      <c r="F183" s="109" t="str" cm="1">
        <f t="array" ref="F183">Common_InputFunctions.Utility_DisplayArrayInTable(Fertiliser_SourceData.Fertiliser_Products_Data4(),FertiliserProducts[[#Headers],[Company]], 91)</f>
        <v>kg</v>
      </c>
      <c r="G183" s="109" cm="1">
        <f t="array" ref="G183">Common_InputFunctions.Utility_DisplayArrayInTable(Fertiliser_SourceData.Fertiliser_Products_Data4(),FertiliserProducts[[#Headers],[Company]], 91)</f>
        <v>1</v>
      </c>
      <c r="H183" s="109" t="str" cm="1">
        <f t="array" ref="H183">Common_InputFunctions.Utility_DisplayArrayInTable(Fertiliser_SourceData.Fertiliser_Products_Data4(),FertiliserProducts[[#Headers],[Company]], 91)</f>
        <v/>
      </c>
      <c r="I183" s="109" t="str" cm="1">
        <f t="array" ref="I183">Common_InputFunctions.Utility_DisplayArrayInTable(Fertiliser_SourceData.Fertiliser_Products_Data4(),FertiliserProducts[[#Headers],[Company]], 91)</f>
        <v/>
      </c>
      <c r="J183" s="109" t="str" cm="1">
        <f t="array" ref="J183">Common_InputFunctions.Utility_DisplayArrayInTable(Fertiliser_SourceData.Fertiliser_Products_Data4(),FertiliserProducts[[#Headers],[Company]], 91)</f>
        <v/>
      </c>
      <c r="K183" s="109" t="str" cm="1">
        <f t="array" ref="K183">Common_InputFunctions.Utility_DisplayArrayInTable(Fertiliser_SourceData.Fertiliser_Products_Data4(),FertiliserProducts[[#Headers],[Company]], 91)</f>
        <v/>
      </c>
      <c r="L183" s="109" cm="1">
        <f t="array" ref="L183">Common_InputFunctions.Utility_DisplayArrayInTable(Fertiliser_SourceData.Fertiliser_Products_Data4(),FertiliserProducts[[#Headers],[Company]], 91)</f>
        <v>7.04</v>
      </c>
      <c r="M183" s="109" cm="1">
        <f t="array" ref="M183">Common_InputFunctions.Utility_DisplayArrayInTable(Fertiliser_SourceData.Fertiliser_Products_Data4(),FertiliserProducts[[#Headers],[Company]], 91)</f>
        <v>10</v>
      </c>
      <c r="N183" s="109" cm="1">
        <f t="array" ref="N183">Common_InputFunctions.Utility_DisplayArrayInTable(Fertiliser_SourceData.Fertiliser_Products_Data4(),FertiliserProducts[[#Headers],[Company]], 91)</f>
        <v>8.8000000000000007</v>
      </c>
      <c r="O183" s="109" t="str" cm="1">
        <f t="array" ref="O183">Common_InputFunctions.Utility_DisplayArrayInTable(Fertiliser_SourceData.Fertiliser_Products_Data4(),FertiliserProducts[[#Headers],[Company]], 91)</f>
        <v>Single superphosphate (SSP)</v>
      </c>
      <c r="P183" s="109" cm="1">
        <f t="array" ref="P183">Common_InputFunctions.Utility_DisplayArrayInTable(Fertiliser_SourceData.Fertiliser_Products_Data4(),FertiliserProducts[[#Headers],[Company]], 91)</f>
        <v>0.8</v>
      </c>
      <c r="Q183" s="109" t="str" cm="1">
        <f t="array" ref="Q183">Common_InputFunctions.Utility_DisplayArrayInTable(Fertiliser_SourceData.Fertiliser_Products_Data4(),FertiliserProducts[[#Headers],[Company]], 91)</f>
        <v>Muriate of potash (MOP)</v>
      </c>
      <c r="R183" s="109" cm="1">
        <f t="array" ref="R183">Common_InputFunctions.Utility_DisplayArrayInTable(Fertiliser_SourceData.Fertiliser_Products_Data4(),FertiliserProducts[[#Headers],[Company]], 91)</f>
        <v>0.2</v>
      </c>
      <c r="S183" s="109" t="str" cm="1">
        <f t="array" ref="S183">Common_InputFunctions.Utility_DisplayArrayInTable(Fertiliser_SourceData.Fertiliser_Products_Data4(),FertiliserProducts[[#Headers],[Company]], 91)</f>
        <v/>
      </c>
      <c r="T183" s="109" t="str" cm="1">
        <f t="array" ref="T183">Common_InputFunctions.Utility_DisplayArrayInTable(Fertiliser_SourceData.Fertiliser_Products_Data4(),FertiliserProducts[[#Headers],[Company]], 91)</f>
        <v/>
      </c>
      <c r="U183" s="109" t="str" cm="1">
        <f t="array" ref="U183">Common_InputFunctions.Utility_DisplayArrayInTable(Fertiliser_SourceData.Fertiliser_Products_Data4(),FertiliserProducts[[#Headers],[Company]], 91)</f>
        <v/>
      </c>
      <c r="V183" s="109" t="str" cm="1">
        <f t="array" ref="V183">Common_InputFunctions.Utility_DisplayArrayInTable(Fertiliser_SourceData.Fertiliser_Products_Data4(),FertiliserProducts[[#Headers],[Company]], 91)</f>
        <v/>
      </c>
      <c r="W183" s="109" t="str" cm="1">
        <f t="array" ref="W183">Common_InputFunctions.Utility_DisplayArrayInTable(Fertiliser_SourceData.Fertiliser_Products_Data4(),FertiliserProducts[[#Headers],[Company]], 91)</f>
        <v/>
      </c>
      <c r="X183" s="109" t="str" cm="1">
        <f t="array" ref="X183">Common_InputFunctions.Utility_DisplayArrayInTable(Fertiliser_SourceData.Fertiliser_Products_Data4(),FertiliserProducts[[#Headers],[Company]], 91)</f>
        <v/>
      </c>
      <c r="Y183" s="109" t="str" cm="1">
        <f t="array" ref="Y183">Common_InputFunctions.Utility_DisplayArrayInTable(Fertiliser_SourceData.Fertiliser_Products_Data4(),FertiliserProducts[[#Headers],[Company]], 91)</f>
        <v/>
      </c>
      <c r="Z183" s="109" t="str" cm="1">
        <f t="array" ref="Z183">Common_InputFunctions.Utility_DisplayArrayInTable(Fertiliser_SourceData.Fertiliser_Products_Data4(),FertiliserProducts[[#Headers],[Company]], 91)</f>
        <v/>
      </c>
      <c r="AA183" s="109" t="str" cm="1">
        <f t="array" ref="AA183">Common_InputFunctions.Utility_DisplayArrayInTable(Fertiliser_SourceData.Fertiliser_Products_Data4(),FertiliserProducts[[#Headers],[Company]], 91)</f>
        <v/>
      </c>
      <c r="AB183" s="109" t="str" cm="1">
        <f t="array" ref="AB183">Common_InputFunctions.Utility_DisplayArrayInTable(Fertiliser_SourceData.Fertiliser_Products_Data4(),FertiliserProducts[[#Headers],[Company]], 91)</f>
        <v/>
      </c>
      <c r="AC183" s="109" t="str" cm="1">
        <f t="array" ref="AC183">Common_InputFunctions.Utility_DisplayArrayInTable(Fertiliser_SourceData.Fertiliser_Products_Data4(),FertiliserProducts[[#Headers],[Company]], 91)</f>
        <v/>
      </c>
      <c r="AD183" s="109" t="str" cm="1">
        <f t="array" ref="AD183">Common_InputFunctions.Utility_DisplayArrayInTable(Fertiliser_SourceData.Fertiliser_Products_Data4(),FertiliserProducts[[#Headers],[Company]], 91)</f>
        <v/>
      </c>
      <c r="AE183" s="109" t="str" cm="1">
        <f t="array" ref="AE183">Common_InputFunctions.Utility_DisplayArrayInTable(Fertiliser_SourceData.Fertiliser_Products_Data4(),FertiliserProducts[[#Headers],[Company]], 91)</f>
        <v/>
      </c>
      <c r="AF183" s="109" t="str" cm="1">
        <f t="array" ref="AF183">Common_InputFunctions.Utility_DisplayArrayInTable(Fertiliser_SourceData.Fertiliser_Products_Data4(),FertiliserProducts[[#Headers],[Company]], 91)</f>
        <v/>
      </c>
      <c r="AG183" s="109" t="str" cm="1">
        <f t="array" ref="AG183">Common_InputFunctions.Utility_DisplayArrayInTable(Fertiliser_SourceData.Fertiliser_Products_Data4(),FertiliserProducts[[#Headers],[Company]], 91)</f>
        <v/>
      </c>
      <c r="AH183" s="109" t="str" cm="1">
        <f t="array" ref="AH183">Common_InputFunctions.Utility_DisplayArrayInTable(Fertiliser_SourceData.Fertiliser_Products_Data4(),FertiliserProducts[[#Headers],[Company]], 91)</f>
        <v/>
      </c>
    </row>
    <row r="184" spans="4:37" x14ac:dyDescent="0.25">
      <c r="D184" s="109" t="str" cm="1">
        <f t="array" ref="D184">Common_InputFunctions.Utility_DisplayArrayInTable(Fertiliser_SourceData.Fertiliser_Products_Data4(),FertiliserProducts[[#Headers],[Company]], 91)</f>
        <v>Impact Fertilisers</v>
      </c>
      <c r="E184" s="109" t="str" cm="1">
        <f t="array" ref="E184">Common_InputFunctions.Utility_DisplayArrayInTable(Fertiliser_SourceData.Fertiliser_Products_Data4(),FertiliserProducts[[#Headers],[Company]], 91)</f>
        <v>Impact Super Potash 5&amp;1</v>
      </c>
      <c r="F184" s="109" t="str" cm="1">
        <f t="array" ref="F184">Common_InputFunctions.Utility_DisplayArrayInTable(Fertiliser_SourceData.Fertiliser_Products_Data4(),FertiliserProducts[[#Headers],[Company]], 91)</f>
        <v>kg</v>
      </c>
      <c r="G184" s="109" cm="1">
        <f t="array" ref="G184">Common_InputFunctions.Utility_DisplayArrayInTable(Fertiliser_SourceData.Fertiliser_Products_Data4(),FertiliserProducts[[#Headers],[Company]], 91)</f>
        <v>1</v>
      </c>
      <c r="H184" s="109" t="str" cm="1">
        <f t="array" ref="H184">Common_InputFunctions.Utility_DisplayArrayInTable(Fertiliser_SourceData.Fertiliser_Products_Data4(),FertiliserProducts[[#Headers],[Company]], 91)</f>
        <v/>
      </c>
      <c r="I184" s="109" t="str" cm="1">
        <f t="array" ref="I184">Common_InputFunctions.Utility_DisplayArrayInTable(Fertiliser_SourceData.Fertiliser_Products_Data4(),FertiliserProducts[[#Headers],[Company]], 91)</f>
        <v/>
      </c>
      <c r="J184" s="109" t="str" cm="1">
        <f t="array" ref="J184">Common_InputFunctions.Utility_DisplayArrayInTable(Fertiliser_SourceData.Fertiliser_Products_Data4(),FertiliserProducts[[#Headers],[Company]], 91)</f>
        <v/>
      </c>
      <c r="K184" s="109" t="str" cm="1">
        <f t="array" ref="K184">Common_InputFunctions.Utility_DisplayArrayInTable(Fertiliser_SourceData.Fertiliser_Products_Data4(),FertiliserProducts[[#Headers],[Company]], 91)</f>
        <v/>
      </c>
      <c r="L184" s="109" cm="1">
        <f t="array" ref="L184">Common_InputFunctions.Utility_DisplayArrayInTable(Fertiliser_SourceData.Fertiliser_Products_Data4(),FertiliserProducts[[#Headers],[Company]], 91)</f>
        <v>7.32</v>
      </c>
      <c r="M184" s="109" cm="1">
        <f t="array" ref="M184">Common_InputFunctions.Utility_DisplayArrayInTable(Fertiliser_SourceData.Fertiliser_Products_Data4(),FertiliserProducts[[#Headers],[Company]], 91)</f>
        <v>8.4</v>
      </c>
      <c r="N184" s="109" cm="1">
        <f t="array" ref="N184">Common_InputFunctions.Utility_DisplayArrayInTable(Fertiliser_SourceData.Fertiliser_Products_Data4(),FertiliserProducts[[#Headers],[Company]], 91)</f>
        <v>9.15</v>
      </c>
      <c r="O184" s="109" t="str" cm="1">
        <f t="array" ref="O184">Common_InputFunctions.Utility_DisplayArrayInTable(Fertiliser_SourceData.Fertiliser_Products_Data4(),FertiliserProducts[[#Headers],[Company]], 91)</f>
        <v>Single superphosphate (SSP)</v>
      </c>
      <c r="P184" s="109" cm="1">
        <f t="array" ref="P184">Common_InputFunctions.Utility_DisplayArrayInTable(Fertiliser_SourceData.Fertiliser_Products_Data4(),FertiliserProducts[[#Headers],[Company]], 91)</f>
        <v>0.83157899999999996</v>
      </c>
      <c r="Q184" s="109" t="str" cm="1">
        <f t="array" ref="Q184">Common_InputFunctions.Utility_DisplayArrayInTable(Fertiliser_SourceData.Fertiliser_Products_Data4(),FertiliserProducts[[#Headers],[Company]], 91)</f>
        <v>Muriate of potash (MOP)</v>
      </c>
      <c r="R184" s="109" cm="1">
        <f t="array" ref="R184">Common_InputFunctions.Utility_DisplayArrayInTable(Fertiliser_SourceData.Fertiliser_Products_Data4(),FertiliserProducts[[#Headers],[Company]], 91)</f>
        <v>0.16800000000000001</v>
      </c>
      <c r="S184" s="109" t="str" cm="1">
        <f t="array" ref="S184">Common_InputFunctions.Utility_DisplayArrayInTable(Fertiliser_SourceData.Fertiliser_Products_Data4(),FertiliserProducts[[#Headers],[Company]], 91)</f>
        <v/>
      </c>
      <c r="T184" s="109" t="str" cm="1">
        <f t="array" ref="T184">Common_InputFunctions.Utility_DisplayArrayInTable(Fertiliser_SourceData.Fertiliser_Products_Data4(),FertiliserProducts[[#Headers],[Company]], 91)</f>
        <v/>
      </c>
      <c r="U184" s="109" t="str" cm="1">
        <f t="array" ref="U184">Common_InputFunctions.Utility_DisplayArrayInTable(Fertiliser_SourceData.Fertiliser_Products_Data4(),FertiliserProducts[[#Headers],[Company]], 91)</f>
        <v/>
      </c>
      <c r="V184" s="109" t="str" cm="1">
        <f t="array" ref="V184">Common_InputFunctions.Utility_DisplayArrayInTable(Fertiliser_SourceData.Fertiliser_Products_Data4(),FertiliserProducts[[#Headers],[Company]], 91)</f>
        <v/>
      </c>
      <c r="W184" s="109" t="str" cm="1">
        <f t="array" ref="W184">Common_InputFunctions.Utility_DisplayArrayInTable(Fertiliser_SourceData.Fertiliser_Products_Data4(),FertiliserProducts[[#Headers],[Company]], 91)</f>
        <v/>
      </c>
      <c r="X184" s="109" t="str" cm="1">
        <f t="array" ref="X184">Common_InputFunctions.Utility_DisplayArrayInTable(Fertiliser_SourceData.Fertiliser_Products_Data4(),FertiliserProducts[[#Headers],[Company]], 91)</f>
        <v/>
      </c>
      <c r="Y184" s="109" t="str" cm="1">
        <f t="array" ref="Y184">Common_InputFunctions.Utility_DisplayArrayInTable(Fertiliser_SourceData.Fertiliser_Products_Data4(),FertiliserProducts[[#Headers],[Company]], 91)</f>
        <v/>
      </c>
      <c r="Z184" s="109" t="str" cm="1">
        <f t="array" ref="Z184">Common_InputFunctions.Utility_DisplayArrayInTable(Fertiliser_SourceData.Fertiliser_Products_Data4(),FertiliserProducts[[#Headers],[Company]], 91)</f>
        <v/>
      </c>
      <c r="AA184" s="109" t="str" cm="1">
        <f t="array" ref="AA184">Common_InputFunctions.Utility_DisplayArrayInTable(Fertiliser_SourceData.Fertiliser_Products_Data4(),FertiliserProducts[[#Headers],[Company]], 91)</f>
        <v/>
      </c>
      <c r="AB184" s="109" t="str" cm="1">
        <f t="array" ref="AB184">Common_InputFunctions.Utility_DisplayArrayInTable(Fertiliser_SourceData.Fertiliser_Products_Data4(),FertiliserProducts[[#Headers],[Company]], 91)</f>
        <v/>
      </c>
      <c r="AC184" s="109" t="str" cm="1">
        <f t="array" ref="AC184">Common_InputFunctions.Utility_DisplayArrayInTable(Fertiliser_SourceData.Fertiliser_Products_Data4(),FertiliserProducts[[#Headers],[Company]], 91)</f>
        <v/>
      </c>
      <c r="AD184" s="109" t="str" cm="1">
        <f t="array" ref="AD184">Common_InputFunctions.Utility_DisplayArrayInTable(Fertiliser_SourceData.Fertiliser_Products_Data4(),FertiliserProducts[[#Headers],[Company]], 91)</f>
        <v/>
      </c>
      <c r="AE184" s="109" t="str" cm="1">
        <f t="array" ref="AE184">Common_InputFunctions.Utility_DisplayArrayInTable(Fertiliser_SourceData.Fertiliser_Products_Data4(),FertiliserProducts[[#Headers],[Company]], 91)</f>
        <v/>
      </c>
      <c r="AF184" s="109" t="str" cm="1">
        <f t="array" ref="AF184">Common_InputFunctions.Utility_DisplayArrayInTable(Fertiliser_SourceData.Fertiliser_Products_Data4(),FertiliserProducts[[#Headers],[Company]], 91)</f>
        <v/>
      </c>
      <c r="AG184" s="109" t="str" cm="1">
        <f t="array" ref="AG184">Common_InputFunctions.Utility_DisplayArrayInTable(Fertiliser_SourceData.Fertiliser_Products_Data4(),FertiliserProducts[[#Headers],[Company]], 91)</f>
        <v/>
      </c>
      <c r="AH184" s="109" t="str" cm="1">
        <f t="array" ref="AH184">Common_InputFunctions.Utility_DisplayArrayInTable(Fertiliser_SourceData.Fertiliser_Products_Data4(),FertiliserProducts[[#Headers],[Company]], 91)</f>
        <v/>
      </c>
    </row>
    <row r="185" spans="4:37" x14ac:dyDescent="0.25">
      <c r="D185" s="109" t="str" cm="1">
        <f t="array" ref="D185">Common_InputFunctions.Utility_DisplayArrayInTable(Fertiliser_SourceData.Fertiliser_Products_Data4(),FertiliserProducts[[#Headers],[Company]], 91)</f>
        <v>Pacific Fertiliser / Incitec Pivot Fertilisers</v>
      </c>
      <c r="E185" s="109" t="str" cm="1">
        <f t="array" ref="E185">Common_InputFunctions.Utility_DisplayArrayInTable(Fertiliser_SourceData.Fertiliser_Products_Data4(),FertiliserProducts[[#Headers],[Company]], 91)</f>
        <v>Cal-Gran</v>
      </c>
      <c r="F185" s="109" t="str" cm="1">
        <f t="array" ref="F185">Common_InputFunctions.Utility_DisplayArrayInTable(Fertiliser_SourceData.Fertiliser_Products_Data4(),FertiliserProducts[[#Headers],[Company]], 91)</f>
        <v>kg</v>
      </c>
      <c r="G185" s="109" cm="1">
        <f t="array" ref="G185">Common_InputFunctions.Utility_DisplayArrayInTable(Fertiliser_SourceData.Fertiliser_Products_Data4(),FertiliserProducts[[#Headers],[Company]], 91)</f>
        <v>1</v>
      </c>
      <c r="H185" s="109" t="str" cm="1">
        <f t="array" ref="H185">Common_InputFunctions.Utility_DisplayArrayInTable(Fertiliser_SourceData.Fertiliser_Products_Data4(),FertiliserProducts[[#Headers],[Company]], 91)</f>
        <v/>
      </c>
      <c r="I185" s="109" t="str" cm="1">
        <f t="array" ref="I185">Common_InputFunctions.Utility_DisplayArrayInTable(Fertiliser_SourceData.Fertiliser_Products_Data4(),FertiliserProducts[[#Headers],[Company]], 91)</f>
        <v/>
      </c>
      <c r="J185" s="109" t="str" cm="1">
        <f t="array" ref="J185">Common_InputFunctions.Utility_DisplayArrayInTable(Fertiliser_SourceData.Fertiliser_Products_Data4(),FertiliserProducts[[#Headers],[Company]], 91)</f>
        <v/>
      </c>
      <c r="K185" s="109" cm="1">
        <f t="array" ref="K185">Common_InputFunctions.Utility_DisplayArrayInTable(Fertiliser_SourceData.Fertiliser_Products_Data4(),FertiliserProducts[[#Headers],[Company]], 91)</f>
        <v>23.9</v>
      </c>
      <c r="L185" s="109" t="str" cm="1">
        <f t="array" ref="L185">Common_InputFunctions.Utility_DisplayArrayInTable(Fertiliser_SourceData.Fertiliser_Products_Data4(),FertiliserProducts[[#Headers],[Company]], 91)</f>
        <v/>
      </c>
      <c r="M185" s="109" t="str" cm="1">
        <f t="array" ref="M185">Common_InputFunctions.Utility_DisplayArrayInTable(Fertiliser_SourceData.Fertiliser_Products_Data4(),FertiliserProducts[[#Headers],[Company]], 91)</f>
        <v/>
      </c>
      <c r="N185" s="109" cm="1">
        <f t="array" ref="N185">Common_InputFunctions.Utility_DisplayArrayInTable(Fertiliser_SourceData.Fertiliser_Products_Data4(),FertiliserProducts[[#Headers],[Company]], 91)</f>
        <v>10.8</v>
      </c>
      <c r="O185" s="109" t="str" cm="1">
        <f t="array" ref="O185">Common_InputFunctions.Utility_DisplayArrayInTable(Fertiliser_SourceData.Fertiliser_Products_Data4(),FertiliserProducts[[#Headers],[Company]], 91)</f>
        <v>Nitrogen - Nitrate</v>
      </c>
      <c r="P185" s="109" cm="1">
        <f t="array" ref="P185">Common_InputFunctions.Utility_DisplayArrayInTable(Fertiliser_SourceData.Fertiliser_Products_Data4(),FertiliserProducts[[#Headers],[Company]], 91)</f>
        <v>7.3999999999999996E-2</v>
      </c>
      <c r="Q185" s="109" t="str" cm="1">
        <f t="array" ref="Q185">Common_InputFunctions.Utility_DisplayArrayInTable(Fertiliser_SourceData.Fertiliser_Products_Data4(),FertiliserProducts[[#Headers],[Company]], 91)</f>
        <v>Nitrogen - Ammoniacal</v>
      </c>
      <c r="R185" s="109" cm="1">
        <f t="array" ref="R185">Common_InputFunctions.Utility_DisplayArrayInTable(Fertiliser_SourceData.Fertiliser_Products_Data4(),FertiliserProducts[[#Headers],[Company]], 91)</f>
        <v>0.16500000000000001</v>
      </c>
      <c r="S185" s="109" t="str" cm="1">
        <f t="array" ref="S185">Common_InputFunctions.Utility_DisplayArrayInTable(Fertiliser_SourceData.Fertiliser_Products_Data4(),FertiliserProducts[[#Headers],[Company]], 91)</f>
        <v>Sulfur - Generic</v>
      </c>
      <c r="T185" s="109" cm="1">
        <f t="array" ref="T185">Common_InputFunctions.Utility_DisplayArrayInTable(Fertiliser_SourceData.Fertiliser_Products_Data4(),FertiliserProducts[[#Headers],[Company]], 91)</f>
        <v>0.108</v>
      </c>
      <c r="U185" s="109" t="str" cm="1">
        <f t="array" ref="U185">Common_InputFunctions.Utility_DisplayArrayInTable(Fertiliser_SourceData.Fertiliser_Products_Data4(),FertiliserProducts[[#Headers],[Company]], 91)</f>
        <v>Calcium</v>
      </c>
      <c r="V185" s="109" cm="1">
        <f t="array" ref="V185">Common_InputFunctions.Utility_DisplayArrayInTable(Fertiliser_SourceData.Fertiliser_Products_Data4(),FertiliserProducts[[#Headers],[Company]], 91)</f>
        <v>4.3999999999999997E-2</v>
      </c>
      <c r="W185" s="109" t="str" cm="1">
        <f t="array" ref="W185">Common_InputFunctions.Utility_DisplayArrayInTable(Fertiliser_SourceData.Fertiliser_Products_Data4(),FertiliserProducts[[#Headers],[Company]], 91)</f>
        <v/>
      </c>
      <c r="X185" s="109" t="str" cm="1">
        <f t="array" ref="X185">Common_InputFunctions.Utility_DisplayArrayInTable(Fertiliser_SourceData.Fertiliser_Products_Data4(),FertiliserProducts[[#Headers],[Company]], 91)</f>
        <v/>
      </c>
      <c r="Y185" s="109" t="str" cm="1">
        <f t="array" ref="Y185">Common_InputFunctions.Utility_DisplayArrayInTable(Fertiliser_SourceData.Fertiliser_Products_Data4(),FertiliserProducts[[#Headers],[Company]], 91)</f>
        <v/>
      </c>
      <c r="Z185" s="109" t="str" cm="1">
        <f t="array" ref="Z185">Common_InputFunctions.Utility_DisplayArrayInTable(Fertiliser_SourceData.Fertiliser_Products_Data4(),FertiliserProducts[[#Headers],[Company]], 91)</f>
        <v/>
      </c>
      <c r="AA185" s="109" t="str" cm="1">
        <f t="array" ref="AA185">Common_InputFunctions.Utility_DisplayArrayInTable(Fertiliser_SourceData.Fertiliser_Products_Data4(),FertiliserProducts[[#Headers],[Company]], 91)</f>
        <v/>
      </c>
      <c r="AB185" s="109" t="str" cm="1">
        <f t="array" ref="AB185">Common_InputFunctions.Utility_DisplayArrayInTable(Fertiliser_SourceData.Fertiliser_Products_Data4(),FertiliserProducts[[#Headers],[Company]], 91)</f>
        <v/>
      </c>
      <c r="AC185" s="109" t="str" cm="1">
        <f t="array" ref="AC185">Common_InputFunctions.Utility_DisplayArrayInTable(Fertiliser_SourceData.Fertiliser_Products_Data4(),FertiliserProducts[[#Headers],[Company]], 91)</f>
        <v/>
      </c>
      <c r="AD185" s="109" t="str" cm="1">
        <f t="array" ref="AD185">Common_InputFunctions.Utility_DisplayArrayInTable(Fertiliser_SourceData.Fertiliser_Products_Data4(),FertiliserProducts[[#Headers],[Company]], 91)</f>
        <v/>
      </c>
      <c r="AE185" s="109" t="str" cm="1">
        <f t="array" ref="AE185">Common_InputFunctions.Utility_DisplayArrayInTable(Fertiliser_SourceData.Fertiliser_Products_Data4(),FertiliserProducts[[#Headers],[Company]], 91)</f>
        <v/>
      </c>
      <c r="AF185" s="109" t="str" cm="1">
        <f t="array" ref="AF185">Common_InputFunctions.Utility_DisplayArrayInTable(Fertiliser_SourceData.Fertiliser_Products_Data4(),FertiliserProducts[[#Headers],[Company]], 91)</f>
        <v/>
      </c>
      <c r="AG185" s="109" t="str" cm="1">
        <f t="array" ref="AG185">Common_InputFunctions.Utility_DisplayArrayInTable(Fertiliser_SourceData.Fertiliser_Products_Data4(),FertiliserProducts[[#Headers],[Company]], 91)</f>
        <v/>
      </c>
      <c r="AH185" s="109" t="str" cm="1">
        <f t="array" ref="AH185">Common_InputFunctions.Utility_DisplayArrayInTable(Fertiliser_SourceData.Fertiliser_Products_Data4(),FertiliserProducts[[#Headers],[Company]], 91)</f>
        <v/>
      </c>
    </row>
    <row r="186" spans="4:37" x14ac:dyDescent="0.25">
      <c r="D186" s="109" t="str" cm="1">
        <f t="array" ref="D186">Common_InputFunctions.Utility_DisplayArrayInTable(Fertiliser_SourceData.Fertiliser_Products_Data4(),FertiliserProducts[[#Headers],[Company]], 91)</f>
        <v>Pacific Fertiliser / Incitec Pivot Fertilisers</v>
      </c>
      <c r="E186" s="109" t="str" cm="1">
        <f t="array" ref="E186">Common_InputFunctions.Utility_DisplayArrayInTable(Fertiliser_SourceData.Fertiliser_Products_Data4(),FertiliserProducts[[#Headers],[Company]], 91)</f>
        <v>Cal-Gran 50/50</v>
      </c>
      <c r="F186" s="109" t="str" cm="1">
        <f t="array" ref="F186">Common_InputFunctions.Utility_DisplayArrayInTable(Fertiliser_SourceData.Fertiliser_Products_Data4(),FertiliserProducts[[#Headers],[Company]], 91)</f>
        <v>kg</v>
      </c>
      <c r="G186" s="109" cm="1">
        <f t="array" ref="G186">Common_InputFunctions.Utility_DisplayArrayInTable(Fertiliser_SourceData.Fertiliser_Products_Data4(),FertiliserProducts[[#Headers],[Company]], 91)</f>
        <v>1</v>
      </c>
      <c r="H186" s="109" t="str" cm="1">
        <f t="array" ref="H186">Common_InputFunctions.Utility_DisplayArrayInTable(Fertiliser_SourceData.Fertiliser_Products_Data4(),FertiliserProducts[[#Headers],[Company]], 91)</f>
        <v/>
      </c>
      <c r="I186" s="109" t="str" cm="1">
        <f t="array" ref="I186">Common_InputFunctions.Utility_DisplayArrayInTable(Fertiliser_SourceData.Fertiliser_Products_Data4(),FertiliserProducts[[#Headers],[Company]], 91)</f>
        <v/>
      </c>
      <c r="J186" s="109" t="str" cm="1">
        <f t="array" ref="J186">Common_InputFunctions.Utility_DisplayArrayInTable(Fertiliser_SourceData.Fertiliser_Products_Data4(),FertiliserProducts[[#Headers],[Company]], 91)</f>
        <v/>
      </c>
      <c r="K186" s="109" cm="1">
        <f t="array" ref="K186">Common_InputFunctions.Utility_DisplayArrayInTable(Fertiliser_SourceData.Fertiliser_Products_Data4(),FertiliserProducts[[#Headers],[Company]], 91)</f>
        <v>17.899999999999999</v>
      </c>
      <c r="L186" s="109" t="str" cm="1">
        <f t="array" ref="L186">Common_InputFunctions.Utility_DisplayArrayInTable(Fertiliser_SourceData.Fertiliser_Products_Data4(),FertiliserProducts[[#Headers],[Company]], 91)</f>
        <v/>
      </c>
      <c r="M186" s="109" cm="1">
        <f t="array" ref="M186">Common_InputFunctions.Utility_DisplayArrayInTable(Fertiliser_SourceData.Fertiliser_Products_Data4(),FertiliserProducts[[#Headers],[Company]], 91)</f>
        <v>15</v>
      </c>
      <c r="N186" s="109" cm="1">
        <f t="array" ref="N186">Common_InputFunctions.Utility_DisplayArrayInTable(Fertiliser_SourceData.Fertiliser_Products_Data4(),FertiliserProducts[[#Headers],[Company]], 91)</f>
        <v>3.6</v>
      </c>
      <c r="O186" s="109" t="str" cm="1">
        <f t="array" ref="O186">Common_InputFunctions.Utility_DisplayArrayInTable(Fertiliser_SourceData.Fertiliser_Products_Data4(),FertiliserProducts[[#Headers],[Company]], 91)</f>
        <v>Nitrogen - Nitrate</v>
      </c>
      <c r="P186" s="109" cm="1">
        <f t="array" ref="P186">Common_InputFunctions.Utility_DisplayArrayInTable(Fertiliser_SourceData.Fertiliser_Products_Data4(),FertiliserProducts[[#Headers],[Company]], 91)</f>
        <v>5.5E-2</v>
      </c>
      <c r="Q186" s="109" t="str" cm="1">
        <f t="array" ref="Q186">Common_InputFunctions.Utility_DisplayArrayInTable(Fertiliser_SourceData.Fertiliser_Products_Data4(),FertiliserProducts[[#Headers],[Company]], 91)</f>
        <v>Nitrogen - Ammoniacal</v>
      </c>
      <c r="R186" s="109" cm="1">
        <f t="array" ref="R186">Common_InputFunctions.Utility_DisplayArrayInTable(Fertiliser_SourceData.Fertiliser_Products_Data4(),FertiliserProducts[[#Headers],[Company]], 91)</f>
        <v>0.124</v>
      </c>
      <c r="S186" s="109" t="str" cm="1">
        <f t="array" ref="S186">Common_InputFunctions.Utility_DisplayArrayInTable(Fertiliser_SourceData.Fertiliser_Products_Data4(),FertiliserProducts[[#Headers],[Company]], 91)</f>
        <v>Potassium - Generic</v>
      </c>
      <c r="T186" s="109" cm="1">
        <f t="array" ref="T186">Common_InputFunctions.Utility_DisplayArrayInTable(Fertiliser_SourceData.Fertiliser_Products_Data4(),FertiliserProducts[[#Headers],[Company]], 91)</f>
        <v>0.15</v>
      </c>
      <c r="U186" s="109" t="str" cm="1">
        <f t="array" ref="U186">Common_InputFunctions.Utility_DisplayArrayInTable(Fertiliser_SourceData.Fertiliser_Products_Data4(),FertiliserProducts[[#Headers],[Company]], 91)</f>
        <v>Sulfur - Generic</v>
      </c>
      <c r="V186" s="109" cm="1">
        <f t="array" ref="V186">Common_InputFunctions.Utility_DisplayArrayInTable(Fertiliser_SourceData.Fertiliser_Products_Data4(),FertiliserProducts[[#Headers],[Company]], 91)</f>
        <v>3.5999999999999997E-2</v>
      </c>
      <c r="W186" s="109" t="str" cm="1">
        <f t="array" ref="W186">Common_InputFunctions.Utility_DisplayArrayInTable(Fertiliser_SourceData.Fertiliser_Products_Data4(),FertiliserProducts[[#Headers],[Company]], 91)</f>
        <v>Calcium</v>
      </c>
      <c r="X186" s="109" cm="1">
        <f t="array" ref="X186">Common_InputFunctions.Utility_DisplayArrayInTable(Fertiliser_SourceData.Fertiliser_Products_Data4(),FertiliserProducts[[#Headers],[Company]], 91)</f>
        <v>4.3999999999999997E-2</v>
      </c>
      <c r="Y186" s="109" t="str" cm="1">
        <f t="array" ref="Y186">Common_InputFunctions.Utility_DisplayArrayInTable(Fertiliser_SourceData.Fertiliser_Products_Data4(),FertiliserProducts[[#Headers],[Company]], 91)</f>
        <v/>
      </c>
      <c r="Z186" s="109" t="str" cm="1">
        <f t="array" ref="Z186">Common_InputFunctions.Utility_DisplayArrayInTable(Fertiliser_SourceData.Fertiliser_Products_Data4(),FertiliserProducts[[#Headers],[Company]], 91)</f>
        <v/>
      </c>
      <c r="AA186" s="109" t="str" cm="1">
        <f t="array" ref="AA186">Common_InputFunctions.Utility_DisplayArrayInTable(Fertiliser_SourceData.Fertiliser_Products_Data4(),FertiliserProducts[[#Headers],[Company]], 91)</f>
        <v/>
      </c>
      <c r="AB186" s="109" t="str" cm="1">
        <f t="array" ref="AB186">Common_InputFunctions.Utility_DisplayArrayInTable(Fertiliser_SourceData.Fertiliser_Products_Data4(),FertiliserProducts[[#Headers],[Company]], 91)</f>
        <v/>
      </c>
      <c r="AC186" s="109" t="str" cm="1">
        <f t="array" ref="AC186">Common_InputFunctions.Utility_DisplayArrayInTable(Fertiliser_SourceData.Fertiliser_Products_Data4(),FertiliserProducts[[#Headers],[Company]], 91)</f>
        <v/>
      </c>
      <c r="AD186" s="109" t="str" cm="1">
        <f t="array" ref="AD186">Common_InputFunctions.Utility_DisplayArrayInTable(Fertiliser_SourceData.Fertiliser_Products_Data4(),FertiliserProducts[[#Headers],[Company]], 91)</f>
        <v/>
      </c>
      <c r="AE186" s="109" t="str" cm="1">
        <f t="array" ref="AE186">Common_InputFunctions.Utility_DisplayArrayInTable(Fertiliser_SourceData.Fertiliser_Products_Data4(),FertiliserProducts[[#Headers],[Company]], 91)</f>
        <v/>
      </c>
      <c r="AF186" s="109" t="str" cm="1">
        <f t="array" ref="AF186">Common_InputFunctions.Utility_DisplayArrayInTable(Fertiliser_SourceData.Fertiliser_Products_Data4(),FertiliserProducts[[#Headers],[Company]], 91)</f>
        <v/>
      </c>
      <c r="AG186" s="109" t="str" cm="1">
        <f t="array" ref="AG186">Common_InputFunctions.Utility_DisplayArrayInTable(Fertiliser_SourceData.Fertiliser_Products_Data4(),FertiliserProducts[[#Headers],[Company]], 91)</f>
        <v/>
      </c>
      <c r="AH186" s="109" t="str" cm="1">
        <f t="array" ref="AH186">Common_InputFunctions.Utility_DisplayArrayInTable(Fertiliser_SourceData.Fertiliser_Products_Data4(),FertiliserProducts[[#Headers],[Company]], 91)</f>
        <v/>
      </c>
    </row>
    <row r="187" spans="4:37" x14ac:dyDescent="0.25">
      <c r="D187" s="109" t="str" cm="1">
        <f t="array" ref="D187">Common_InputFunctions.Utility_DisplayArrayInTable(Fertiliser_SourceData.Fertiliser_Products_Data4(),FertiliserProducts[[#Headers],[Company]], 91)</f>
        <v>Pacific Fertiliser / Incitec Pivot Fertilisers</v>
      </c>
      <c r="E187" s="109" t="str" cm="1">
        <f t="array" ref="E187">Common_InputFunctions.Utility_DisplayArrayInTable(Fertiliser_SourceData.Fertiliser_Products_Data4(),FertiliserProducts[[#Headers],[Company]], 91)</f>
        <v>Cal-Gran 50/50 (S)</v>
      </c>
      <c r="F187" s="109" t="str" cm="1">
        <f t="array" ref="F187">Common_InputFunctions.Utility_DisplayArrayInTable(Fertiliser_SourceData.Fertiliser_Products_Data4(),FertiliserProducts[[#Headers],[Company]], 91)</f>
        <v>kg</v>
      </c>
      <c r="G187" s="109" cm="1">
        <f t="array" ref="G187">Common_InputFunctions.Utility_DisplayArrayInTable(Fertiliser_SourceData.Fertiliser_Products_Data4(),FertiliserProducts[[#Headers],[Company]], 91)</f>
        <v>1</v>
      </c>
      <c r="H187" s="109" t="str" cm="1">
        <f t="array" ref="H187">Common_InputFunctions.Utility_DisplayArrayInTable(Fertiliser_SourceData.Fertiliser_Products_Data4(),FertiliserProducts[[#Headers],[Company]], 91)</f>
        <v/>
      </c>
      <c r="I187" s="109" t="str" cm="1">
        <f t="array" ref="I187">Common_InputFunctions.Utility_DisplayArrayInTable(Fertiliser_SourceData.Fertiliser_Products_Data4(),FertiliserProducts[[#Headers],[Company]], 91)</f>
        <v/>
      </c>
      <c r="J187" s="109" t="str" cm="1">
        <f t="array" ref="J187">Common_InputFunctions.Utility_DisplayArrayInTable(Fertiliser_SourceData.Fertiliser_Products_Data4(),FertiliserProducts[[#Headers],[Company]], 91)</f>
        <v/>
      </c>
      <c r="K187" s="109" cm="1">
        <f t="array" ref="K187">Common_InputFunctions.Utility_DisplayArrayInTable(Fertiliser_SourceData.Fertiliser_Products_Data4(),FertiliserProducts[[#Headers],[Company]], 91)</f>
        <v>16.899999999999999</v>
      </c>
      <c r="L187" s="109" t="str" cm="1">
        <f t="array" ref="L187">Common_InputFunctions.Utility_DisplayArrayInTable(Fertiliser_SourceData.Fertiliser_Products_Data4(),FertiliserProducts[[#Headers],[Company]], 91)</f>
        <v/>
      </c>
      <c r="M187" s="109" cm="1">
        <f t="array" ref="M187">Common_InputFunctions.Utility_DisplayArrayInTable(Fertiliser_SourceData.Fertiliser_Products_Data4(),FertiliserProducts[[#Headers],[Company]], 91)</f>
        <v>14.4</v>
      </c>
      <c r="N187" s="109" cm="1">
        <f t="array" ref="N187">Common_InputFunctions.Utility_DisplayArrayInTable(Fertiliser_SourceData.Fertiliser_Products_Data4(),FertiliserProducts[[#Headers],[Company]], 91)</f>
        <v>8.6999999999999993</v>
      </c>
      <c r="O187" s="109" t="str" cm="1">
        <f t="array" ref="O187">Common_InputFunctions.Utility_DisplayArrayInTable(Fertiliser_SourceData.Fertiliser_Products_Data4(),FertiliserProducts[[#Headers],[Company]], 91)</f>
        <v>Nitrogen - Nitrate</v>
      </c>
      <c r="P187" s="109" cm="1">
        <f t="array" ref="P187">Common_InputFunctions.Utility_DisplayArrayInTable(Fertiliser_SourceData.Fertiliser_Products_Data4(),FertiliserProducts[[#Headers],[Company]], 91)</f>
        <v>5.1999999999999998E-2</v>
      </c>
      <c r="Q187" s="109" t="str" cm="1">
        <f t="array" ref="Q187">Common_InputFunctions.Utility_DisplayArrayInTable(Fertiliser_SourceData.Fertiliser_Products_Data4(),FertiliserProducts[[#Headers],[Company]], 91)</f>
        <v>Nitrogen - Ammoniacal</v>
      </c>
      <c r="R187" s="109" cm="1">
        <f t="array" ref="R187">Common_InputFunctions.Utility_DisplayArrayInTable(Fertiliser_SourceData.Fertiliser_Products_Data4(),FertiliserProducts[[#Headers],[Company]], 91)</f>
        <v>0.11700000000000001</v>
      </c>
      <c r="S187" s="109" t="str" cm="1">
        <f t="array" ref="S187">Common_InputFunctions.Utility_DisplayArrayInTable(Fertiliser_SourceData.Fertiliser_Products_Data4(),FertiliserProducts[[#Headers],[Company]], 91)</f>
        <v>Potassium - Generic</v>
      </c>
      <c r="T187" s="109" cm="1">
        <f t="array" ref="T187">Common_InputFunctions.Utility_DisplayArrayInTable(Fertiliser_SourceData.Fertiliser_Products_Data4(),FertiliserProducts[[#Headers],[Company]], 91)</f>
        <v>0.14399999999999999</v>
      </c>
      <c r="U187" s="109" t="str" cm="1">
        <f t="array" ref="U187">Common_InputFunctions.Utility_DisplayArrayInTable(Fertiliser_SourceData.Fertiliser_Products_Data4(),FertiliserProducts[[#Headers],[Company]], 91)</f>
        <v>Sulfur - Generic</v>
      </c>
      <c r="V187" s="109" cm="1">
        <f t="array" ref="V187">Common_InputFunctions.Utility_DisplayArrayInTable(Fertiliser_SourceData.Fertiliser_Products_Data4(),FertiliserProducts[[#Headers],[Company]], 91)</f>
        <v>8.6999999999999994E-2</v>
      </c>
      <c r="W187" s="109" t="str" cm="1">
        <f t="array" ref="W187">Common_InputFunctions.Utility_DisplayArrayInTable(Fertiliser_SourceData.Fertiliser_Products_Data4(),FertiliserProducts[[#Headers],[Company]], 91)</f>
        <v>Calcium</v>
      </c>
      <c r="X187" s="109" cm="1">
        <f t="array" ref="X187">Common_InputFunctions.Utility_DisplayArrayInTable(Fertiliser_SourceData.Fertiliser_Products_Data4(),FertiliserProducts[[#Headers],[Company]], 91)</f>
        <v>4.3999999999999997E-2</v>
      </c>
      <c r="Y187" s="109" t="str" cm="1">
        <f t="array" ref="Y187">Common_InputFunctions.Utility_DisplayArrayInTable(Fertiliser_SourceData.Fertiliser_Products_Data4(),FertiliserProducts[[#Headers],[Company]], 91)</f>
        <v/>
      </c>
      <c r="Z187" s="109" t="str" cm="1">
        <f t="array" ref="Z187">Common_InputFunctions.Utility_DisplayArrayInTable(Fertiliser_SourceData.Fertiliser_Products_Data4(),FertiliserProducts[[#Headers],[Company]], 91)</f>
        <v/>
      </c>
      <c r="AA187" s="109" t="str" cm="1">
        <f t="array" ref="AA187">Common_InputFunctions.Utility_DisplayArrayInTable(Fertiliser_SourceData.Fertiliser_Products_Data4(),FertiliserProducts[[#Headers],[Company]], 91)</f>
        <v/>
      </c>
      <c r="AB187" s="109" t="str" cm="1">
        <f t="array" ref="AB187">Common_InputFunctions.Utility_DisplayArrayInTable(Fertiliser_SourceData.Fertiliser_Products_Data4(),FertiliserProducts[[#Headers],[Company]], 91)</f>
        <v/>
      </c>
      <c r="AC187" s="109" t="str" cm="1">
        <f t="array" ref="AC187">Common_InputFunctions.Utility_DisplayArrayInTable(Fertiliser_SourceData.Fertiliser_Products_Data4(),FertiliserProducts[[#Headers],[Company]], 91)</f>
        <v/>
      </c>
      <c r="AD187" s="109" t="str" cm="1">
        <f t="array" ref="AD187">Common_InputFunctions.Utility_DisplayArrayInTable(Fertiliser_SourceData.Fertiliser_Products_Data4(),FertiliserProducts[[#Headers],[Company]], 91)</f>
        <v/>
      </c>
      <c r="AE187" s="109" t="str" cm="1">
        <f t="array" ref="AE187">Common_InputFunctions.Utility_DisplayArrayInTable(Fertiliser_SourceData.Fertiliser_Products_Data4(),FertiliserProducts[[#Headers],[Company]], 91)</f>
        <v/>
      </c>
      <c r="AF187" s="109" t="str" cm="1">
        <f t="array" ref="AF187">Common_InputFunctions.Utility_DisplayArrayInTable(Fertiliser_SourceData.Fertiliser_Products_Data4(),FertiliserProducts[[#Headers],[Company]], 91)</f>
        <v/>
      </c>
      <c r="AG187" s="109" t="str" cm="1">
        <f t="array" ref="AG187">Common_InputFunctions.Utility_DisplayArrayInTable(Fertiliser_SourceData.Fertiliser_Products_Data4(),FertiliserProducts[[#Headers],[Company]], 91)</f>
        <v/>
      </c>
      <c r="AH187" s="109" t="str" cm="1">
        <f t="array" ref="AH187">Common_InputFunctions.Utility_DisplayArrayInTable(Fertiliser_SourceData.Fertiliser_Products_Data4(),FertiliserProducts[[#Headers],[Company]], 91)</f>
        <v/>
      </c>
    </row>
    <row r="188" spans="4:37" x14ac:dyDescent="0.25">
      <c r="D188" s="109" t="str" cm="1">
        <f t="array" ref="D188">Common_InputFunctions.Utility_DisplayArrayInTable(Fertiliser_SourceData.Fertiliser_Products_Data4(),FertiliserProducts[[#Headers],[Company]], 91)</f>
        <v>Pacific Fertiliser / Incitec Pivot Fertilisers</v>
      </c>
      <c r="E188" s="109" t="str" cm="1">
        <f t="array" ref="E188">Common_InputFunctions.Utility_DisplayArrayInTable(Fertiliser_SourceData.Fertiliser_Products_Data4(),FertiliserProducts[[#Headers],[Company]], 91)</f>
        <v>Cal-Gran 130</v>
      </c>
      <c r="F188" s="109" t="str" cm="1">
        <f t="array" ref="F188">Common_InputFunctions.Utility_DisplayArrayInTable(Fertiliser_SourceData.Fertiliser_Products_Data4(),FertiliserProducts[[#Headers],[Company]], 91)</f>
        <v>kg</v>
      </c>
      <c r="G188" s="109" cm="1">
        <f t="array" ref="G188">Common_InputFunctions.Utility_DisplayArrayInTable(Fertiliser_SourceData.Fertiliser_Products_Data4(),FertiliserProducts[[#Headers],[Company]], 91)</f>
        <v>1</v>
      </c>
      <c r="H188" s="109" t="str" cm="1">
        <f t="array" ref="H188">Common_InputFunctions.Utility_DisplayArrayInTable(Fertiliser_SourceData.Fertiliser_Products_Data4(),FertiliserProducts[[#Headers],[Company]], 91)</f>
        <v/>
      </c>
      <c r="I188" s="109" t="str" cm="1">
        <f t="array" ref="I188">Common_InputFunctions.Utility_DisplayArrayInTable(Fertiliser_SourceData.Fertiliser_Products_Data4(),FertiliserProducts[[#Headers],[Company]], 91)</f>
        <v/>
      </c>
      <c r="J188" s="109" t="str" cm="1">
        <f t="array" ref="J188">Common_InputFunctions.Utility_DisplayArrayInTable(Fertiliser_SourceData.Fertiliser_Products_Data4(),FertiliserProducts[[#Headers],[Company]], 91)</f>
        <v/>
      </c>
      <c r="K188" s="109" cm="1">
        <f t="array" ref="K188">Common_InputFunctions.Utility_DisplayArrayInTable(Fertiliser_SourceData.Fertiliser_Products_Data4(),FertiliserProducts[[#Headers],[Company]], 91)</f>
        <v>18.8</v>
      </c>
      <c r="L188" s="109" cm="1">
        <f t="array" ref="L188">Common_InputFunctions.Utility_DisplayArrayInTable(Fertiliser_SourceData.Fertiliser_Products_Data4(),FertiliserProducts[[#Headers],[Company]], 91)</f>
        <v>1</v>
      </c>
      <c r="M188" s="109" cm="1">
        <f t="array" ref="M188">Common_InputFunctions.Utility_DisplayArrayInTable(Fertiliser_SourceData.Fertiliser_Products_Data4(),FertiliserProducts[[#Headers],[Company]], 91)</f>
        <v>12.5</v>
      </c>
      <c r="N188" s="109" cm="1">
        <f t="array" ref="N188">Common_InputFunctions.Utility_DisplayArrayInTable(Fertiliser_SourceData.Fertiliser_Products_Data4(),FertiliserProducts[[#Headers],[Company]], 91)</f>
        <v>3.7</v>
      </c>
      <c r="O188" s="109" t="str" cm="1">
        <f t="array" ref="O188">Common_InputFunctions.Utility_DisplayArrayInTable(Fertiliser_SourceData.Fertiliser_Products_Data4(),FertiliserProducts[[#Headers],[Company]], 91)</f>
        <v>Nitrogen - Nitrate</v>
      </c>
      <c r="P188" s="109" cm="1">
        <f t="array" ref="P188">Common_InputFunctions.Utility_DisplayArrayInTable(Fertiliser_SourceData.Fertiliser_Products_Data4(),FertiliserProducts[[#Headers],[Company]], 91)</f>
        <v>5.8000000000000003E-2</v>
      </c>
      <c r="Q188" s="109" t="str" cm="1">
        <f t="array" ref="Q188">Common_InputFunctions.Utility_DisplayArrayInTable(Fertiliser_SourceData.Fertiliser_Products_Data4(),FertiliserProducts[[#Headers],[Company]], 91)</f>
        <v>Nitrogen - Ammoniacal</v>
      </c>
      <c r="R188" s="109" cm="1">
        <f t="array" ref="R188">Common_InputFunctions.Utility_DisplayArrayInTable(Fertiliser_SourceData.Fertiliser_Products_Data4(),FertiliserProducts[[#Headers],[Company]], 91)</f>
        <v>0.13</v>
      </c>
      <c r="S188" s="109" t="str" cm="1">
        <f t="array" ref="S188">Common_InputFunctions.Utility_DisplayArrayInTable(Fertiliser_SourceData.Fertiliser_Products_Data4(),FertiliserProducts[[#Headers],[Company]], 91)</f>
        <v>Phosphorus - Generic</v>
      </c>
      <c r="T188" s="109" cm="1">
        <f t="array" ref="T188">Common_InputFunctions.Utility_DisplayArrayInTable(Fertiliser_SourceData.Fertiliser_Products_Data4(),FertiliserProducts[[#Headers],[Company]], 91)</f>
        <v>0.01</v>
      </c>
      <c r="U188" s="109" t="str" cm="1">
        <f t="array" ref="U188">Common_InputFunctions.Utility_DisplayArrayInTable(Fertiliser_SourceData.Fertiliser_Products_Data4(),FertiliserProducts[[#Headers],[Company]], 91)</f>
        <v>Potassium - Generic</v>
      </c>
      <c r="V188" s="109" cm="1">
        <f t="array" ref="V188">Common_InputFunctions.Utility_DisplayArrayInTable(Fertiliser_SourceData.Fertiliser_Products_Data4(),FertiliserProducts[[#Headers],[Company]], 91)</f>
        <v>0.125</v>
      </c>
      <c r="W188" s="109" t="str" cm="1">
        <f t="array" ref="W188">Common_InputFunctions.Utility_DisplayArrayInTable(Fertiliser_SourceData.Fertiliser_Products_Data4(),FertiliserProducts[[#Headers],[Company]], 91)</f>
        <v>Sulfur - Generic</v>
      </c>
      <c r="X188" s="109" cm="1">
        <f t="array" ref="X188">Common_InputFunctions.Utility_DisplayArrayInTable(Fertiliser_SourceData.Fertiliser_Products_Data4(),FertiliserProducts[[#Headers],[Company]], 91)</f>
        <v>3.6999999999999998E-2</v>
      </c>
      <c r="Y188" s="109" t="str" cm="1">
        <f t="array" ref="Y188">Common_InputFunctions.Utility_DisplayArrayInTable(Fertiliser_SourceData.Fertiliser_Products_Data4(),FertiliserProducts[[#Headers],[Company]], 91)</f>
        <v>Calcium</v>
      </c>
      <c r="Z188" s="109" cm="1">
        <f t="array" ref="Z188">Common_InputFunctions.Utility_DisplayArrayInTable(Fertiliser_SourceData.Fertiliser_Products_Data4(),FertiliserProducts[[#Headers],[Company]], 91)</f>
        <v>4.3999999999999997E-2</v>
      </c>
      <c r="AA188" s="109" t="str" cm="1">
        <f t="array" ref="AA188">Common_InputFunctions.Utility_DisplayArrayInTable(Fertiliser_SourceData.Fertiliser_Products_Data4(),FertiliserProducts[[#Headers],[Company]], 91)</f>
        <v/>
      </c>
      <c r="AB188" s="109" t="str" cm="1">
        <f t="array" ref="AB188">Common_InputFunctions.Utility_DisplayArrayInTable(Fertiliser_SourceData.Fertiliser_Products_Data4(),FertiliserProducts[[#Headers],[Company]], 91)</f>
        <v/>
      </c>
      <c r="AC188" s="109" t="str" cm="1">
        <f t="array" ref="AC188">Common_InputFunctions.Utility_DisplayArrayInTable(Fertiliser_SourceData.Fertiliser_Products_Data4(),FertiliserProducts[[#Headers],[Company]], 91)</f>
        <v/>
      </c>
      <c r="AD188" s="109" t="str" cm="1">
        <f t="array" ref="AD188">Common_InputFunctions.Utility_DisplayArrayInTable(Fertiliser_SourceData.Fertiliser_Products_Data4(),FertiliserProducts[[#Headers],[Company]], 91)</f>
        <v/>
      </c>
      <c r="AE188" s="109" t="str" cm="1">
        <f t="array" ref="AE188">Common_InputFunctions.Utility_DisplayArrayInTable(Fertiliser_SourceData.Fertiliser_Products_Data4(),FertiliserProducts[[#Headers],[Company]], 91)</f>
        <v/>
      </c>
      <c r="AF188" s="109" t="str" cm="1">
        <f t="array" ref="AF188">Common_InputFunctions.Utility_DisplayArrayInTable(Fertiliser_SourceData.Fertiliser_Products_Data4(),FertiliserProducts[[#Headers],[Company]], 91)</f>
        <v/>
      </c>
      <c r="AG188" s="109" t="str" cm="1">
        <f t="array" ref="AG188">Common_InputFunctions.Utility_DisplayArrayInTable(Fertiliser_SourceData.Fertiliser_Products_Data4(),FertiliserProducts[[#Headers],[Company]], 91)</f>
        <v/>
      </c>
      <c r="AH188" s="109" t="str" cm="1">
        <f t="array" ref="AH188">Common_InputFunctions.Utility_DisplayArrayInTable(Fertiliser_SourceData.Fertiliser_Products_Data4(),FertiliserProducts[[#Headers],[Company]], 91)</f>
        <v/>
      </c>
    </row>
    <row r="189" spans="4:37" x14ac:dyDescent="0.25">
      <c r="D189" s="109" t="str" cm="1">
        <f t="array" ref="D189">Common_InputFunctions.Utility_DisplayArrayInTable(Fertiliser_SourceData.Fertiliser_Products_Data4(),FertiliserProducts[[#Headers],[Company]], 91)</f>
        <v>Pacific Fertiliser / Incitec Pivot Fertilisers</v>
      </c>
      <c r="E189" s="109" t="str" cm="1">
        <f t="array" ref="E189">Common_InputFunctions.Utility_DisplayArrayInTable(Fertiliser_SourceData.Fertiliser_Products_Data4(),FertiliserProducts[[#Headers],[Company]], 91)</f>
        <v>Cal-Gran 150</v>
      </c>
      <c r="F189" s="109" t="str" cm="1">
        <f t="array" ref="F189">Common_InputFunctions.Utility_DisplayArrayInTable(Fertiliser_SourceData.Fertiliser_Products_Data4(),FertiliserProducts[[#Headers],[Company]], 91)</f>
        <v>kg</v>
      </c>
      <c r="G189" s="109" cm="1">
        <f t="array" ref="G189">Common_InputFunctions.Utility_DisplayArrayInTable(Fertiliser_SourceData.Fertiliser_Products_Data4(),FertiliserProducts[[#Headers],[Company]], 91)</f>
        <v>1</v>
      </c>
      <c r="H189" s="109" t="str" cm="1">
        <f t="array" ref="H189">Common_InputFunctions.Utility_DisplayArrayInTable(Fertiliser_SourceData.Fertiliser_Products_Data4(),FertiliserProducts[[#Headers],[Company]], 91)</f>
        <v/>
      </c>
      <c r="I189" s="109" t="str" cm="1">
        <f t="array" ref="I189">Common_InputFunctions.Utility_DisplayArrayInTable(Fertiliser_SourceData.Fertiliser_Products_Data4(),FertiliserProducts[[#Headers],[Company]], 91)</f>
        <v/>
      </c>
      <c r="J189" s="109" t="str" cm="1">
        <f t="array" ref="J189">Common_InputFunctions.Utility_DisplayArrayInTable(Fertiliser_SourceData.Fertiliser_Products_Data4(),FertiliserProducts[[#Headers],[Company]], 91)</f>
        <v/>
      </c>
      <c r="K189" s="109" cm="1">
        <f t="array" ref="K189">Common_InputFunctions.Utility_DisplayArrayInTable(Fertiliser_SourceData.Fertiliser_Products_Data4(),FertiliserProducts[[#Headers],[Company]], 91)</f>
        <v>18.600000000000001</v>
      </c>
      <c r="L189" s="109" cm="1">
        <f t="array" ref="L189">Common_InputFunctions.Utility_DisplayArrayInTable(Fertiliser_SourceData.Fertiliser_Products_Data4(),FertiliserProducts[[#Headers],[Company]], 91)</f>
        <v>3</v>
      </c>
      <c r="M189" s="109" cm="1">
        <f t="array" ref="M189">Common_InputFunctions.Utility_DisplayArrayInTable(Fertiliser_SourceData.Fertiliser_Products_Data4(),FertiliserProducts[[#Headers],[Company]], 91)</f>
        <v>12.5</v>
      </c>
      <c r="N189" s="109" cm="1">
        <f t="array" ref="N189">Common_InputFunctions.Utility_DisplayArrayInTable(Fertiliser_SourceData.Fertiliser_Products_Data4(),FertiliserProducts[[#Headers],[Company]], 91)</f>
        <v>1.4</v>
      </c>
      <c r="O189" s="109" t="str" cm="1">
        <f t="array" ref="O189">Common_InputFunctions.Utility_DisplayArrayInTable(Fertiliser_SourceData.Fertiliser_Products_Data4(),FertiliserProducts[[#Headers],[Company]], 91)</f>
        <v>Nitrogen - Nitrate</v>
      </c>
      <c r="P189" s="109" cm="1">
        <f t="array" ref="P189">Common_InputFunctions.Utility_DisplayArrayInTable(Fertiliser_SourceData.Fertiliser_Products_Data4(),FertiliserProducts[[#Headers],[Company]], 91)</f>
        <v>5.8000000000000003E-2</v>
      </c>
      <c r="Q189" s="109" t="str" cm="1">
        <f t="array" ref="Q189">Common_InputFunctions.Utility_DisplayArrayInTable(Fertiliser_SourceData.Fertiliser_Products_Data4(),FertiliserProducts[[#Headers],[Company]], 91)</f>
        <v>Nitrogen - Ammoniacal</v>
      </c>
      <c r="R189" s="109" cm="1">
        <f t="array" ref="R189">Common_InputFunctions.Utility_DisplayArrayInTable(Fertiliser_SourceData.Fertiliser_Products_Data4(),FertiliserProducts[[#Headers],[Company]], 91)</f>
        <v>0.128</v>
      </c>
      <c r="S189" s="109" t="str" cm="1">
        <f t="array" ref="S189">Common_InputFunctions.Utility_DisplayArrayInTable(Fertiliser_SourceData.Fertiliser_Products_Data4(),FertiliserProducts[[#Headers],[Company]], 91)</f>
        <v>Phosphorus - Generic</v>
      </c>
      <c r="T189" s="109" cm="1">
        <f t="array" ref="T189">Common_InputFunctions.Utility_DisplayArrayInTable(Fertiliser_SourceData.Fertiliser_Products_Data4(),FertiliserProducts[[#Headers],[Company]], 91)</f>
        <v>0.03</v>
      </c>
      <c r="U189" s="109" t="str" cm="1">
        <f t="array" ref="U189">Common_InputFunctions.Utility_DisplayArrayInTable(Fertiliser_SourceData.Fertiliser_Products_Data4(),FertiliserProducts[[#Headers],[Company]], 91)</f>
        <v>Potassium - Generic</v>
      </c>
      <c r="V189" s="109" cm="1">
        <f t="array" ref="V189">Common_InputFunctions.Utility_DisplayArrayInTable(Fertiliser_SourceData.Fertiliser_Products_Data4(),FertiliserProducts[[#Headers],[Company]], 91)</f>
        <v>0.125</v>
      </c>
      <c r="W189" s="109" t="str" cm="1">
        <f t="array" ref="W189">Common_InputFunctions.Utility_DisplayArrayInTable(Fertiliser_SourceData.Fertiliser_Products_Data4(),FertiliserProducts[[#Headers],[Company]], 91)</f>
        <v>Sulfur - Generic</v>
      </c>
      <c r="X189" s="109" cm="1">
        <f t="array" ref="X189">Common_InputFunctions.Utility_DisplayArrayInTable(Fertiliser_SourceData.Fertiliser_Products_Data4(),FertiliserProducts[[#Headers],[Company]], 91)</f>
        <v>1.4E-2</v>
      </c>
      <c r="Y189" s="109" t="str" cm="1">
        <f t="array" ref="Y189">Common_InputFunctions.Utility_DisplayArrayInTable(Fertiliser_SourceData.Fertiliser_Products_Data4(),FertiliserProducts[[#Headers],[Company]], 91)</f>
        <v>Calcium</v>
      </c>
      <c r="Z189" s="109" cm="1">
        <f t="array" ref="Z189">Common_InputFunctions.Utility_DisplayArrayInTable(Fertiliser_SourceData.Fertiliser_Products_Data4(),FertiliserProducts[[#Headers],[Company]], 91)</f>
        <v>4.3999999999999997E-2</v>
      </c>
      <c r="AA189" s="109" t="str" cm="1">
        <f t="array" ref="AA189">Common_InputFunctions.Utility_DisplayArrayInTable(Fertiliser_SourceData.Fertiliser_Products_Data4(),FertiliserProducts[[#Headers],[Company]], 91)</f>
        <v/>
      </c>
      <c r="AB189" s="109" t="str" cm="1">
        <f t="array" ref="AB189">Common_InputFunctions.Utility_DisplayArrayInTable(Fertiliser_SourceData.Fertiliser_Products_Data4(),FertiliserProducts[[#Headers],[Company]], 91)</f>
        <v/>
      </c>
      <c r="AC189" s="109" t="str" cm="1">
        <f t="array" ref="AC189">Common_InputFunctions.Utility_DisplayArrayInTable(Fertiliser_SourceData.Fertiliser_Products_Data4(),FertiliserProducts[[#Headers],[Company]], 91)</f>
        <v/>
      </c>
      <c r="AD189" s="109" t="str" cm="1">
        <f t="array" ref="AD189">Common_InputFunctions.Utility_DisplayArrayInTable(Fertiliser_SourceData.Fertiliser_Products_Data4(),FertiliserProducts[[#Headers],[Company]], 91)</f>
        <v/>
      </c>
      <c r="AE189" s="109" t="str" cm="1">
        <f t="array" ref="AE189">Common_InputFunctions.Utility_DisplayArrayInTable(Fertiliser_SourceData.Fertiliser_Products_Data4(),FertiliserProducts[[#Headers],[Company]], 91)</f>
        <v/>
      </c>
      <c r="AF189" s="109" t="str" cm="1">
        <f t="array" ref="AF189">Common_InputFunctions.Utility_DisplayArrayInTable(Fertiliser_SourceData.Fertiliser_Products_Data4(),FertiliserProducts[[#Headers],[Company]], 91)</f>
        <v/>
      </c>
      <c r="AG189" s="109" t="str" cm="1">
        <f t="array" ref="AG189">Common_InputFunctions.Utility_DisplayArrayInTable(Fertiliser_SourceData.Fertiliser_Products_Data4(),FertiliserProducts[[#Headers],[Company]], 91)</f>
        <v/>
      </c>
      <c r="AH189" s="109" t="str" cm="1">
        <f t="array" ref="AH189">Common_InputFunctions.Utility_DisplayArrayInTable(Fertiliser_SourceData.Fertiliser_Products_Data4(),FertiliserProducts[[#Headers],[Company]], 91)</f>
        <v/>
      </c>
    </row>
    <row r="190" spans="4:37" x14ac:dyDescent="0.25">
      <c r="D190" s="109" t="str" cm="1">
        <f t="array" ref="D190">Common_InputFunctions.Utility_DisplayArrayInTable(Fertiliser_SourceData.Fertiliser_Products_Data4(),FertiliserProducts[[#Headers],[Company]], 91)</f>
        <v>Pacific Fertiliser / Incitec Pivot Fertilisers</v>
      </c>
      <c r="E190" s="109" t="str" cm="1">
        <f t="array" ref="E190">Common_InputFunctions.Utility_DisplayArrayInTable(Fertiliser_SourceData.Fertiliser_Products_Data4(),FertiliserProducts[[#Headers],[Company]], 91)</f>
        <v>Cal-Gran Extra K</v>
      </c>
      <c r="F190" s="109" t="str" cm="1">
        <f t="array" ref="F190">Common_InputFunctions.Utility_DisplayArrayInTable(Fertiliser_SourceData.Fertiliser_Products_Data4(),FertiliserProducts[[#Headers],[Company]], 91)</f>
        <v>kg</v>
      </c>
      <c r="G190" s="109" cm="1">
        <f t="array" ref="G190">Common_InputFunctions.Utility_DisplayArrayInTable(Fertiliser_SourceData.Fertiliser_Products_Data4(),FertiliserProducts[[#Headers],[Company]], 91)</f>
        <v>1</v>
      </c>
      <c r="H190" s="109" t="str" cm="1">
        <f t="array" ref="H190">Common_InputFunctions.Utility_DisplayArrayInTable(Fertiliser_SourceData.Fertiliser_Products_Data4(),FertiliserProducts[[#Headers],[Company]], 91)</f>
        <v/>
      </c>
      <c r="I190" s="109" t="str" cm="1">
        <f t="array" ref="I190">Common_InputFunctions.Utility_DisplayArrayInTable(Fertiliser_SourceData.Fertiliser_Products_Data4(),FertiliserProducts[[#Headers],[Company]], 91)</f>
        <v/>
      </c>
      <c r="J190" s="109" t="str" cm="1">
        <f t="array" ref="J190">Common_InputFunctions.Utility_DisplayArrayInTable(Fertiliser_SourceData.Fertiliser_Products_Data4(),FertiliserProducts[[#Headers],[Company]], 91)</f>
        <v/>
      </c>
      <c r="K190" s="109" cm="1">
        <f t="array" ref="K190">Common_InputFunctions.Utility_DisplayArrayInTable(Fertiliser_SourceData.Fertiliser_Products_Data4(),FertiliserProducts[[#Headers],[Company]], 91)</f>
        <v>15.8</v>
      </c>
      <c r="L190" s="109" t="str" cm="1">
        <f t="array" ref="L190">Common_InputFunctions.Utility_DisplayArrayInTable(Fertiliser_SourceData.Fertiliser_Products_Data4(),FertiliserProducts[[#Headers],[Company]], 91)</f>
        <v/>
      </c>
      <c r="M190" s="109" cm="1">
        <f t="array" ref="M190">Common_InputFunctions.Utility_DisplayArrayInTable(Fertiliser_SourceData.Fertiliser_Products_Data4(),FertiliserProducts[[#Headers],[Company]], 91)</f>
        <v>19</v>
      </c>
      <c r="N190" s="109" cm="1">
        <f t="array" ref="N190">Common_InputFunctions.Utility_DisplayArrayInTable(Fertiliser_SourceData.Fertiliser_Products_Data4(),FertiliserProducts[[#Headers],[Company]], 91)</f>
        <v>3.2</v>
      </c>
      <c r="O190" s="109" t="str" cm="1">
        <f t="array" ref="O190">Common_InputFunctions.Utility_DisplayArrayInTable(Fertiliser_SourceData.Fertiliser_Products_Data4(),FertiliserProducts[[#Headers],[Company]], 91)</f>
        <v>Nitrogen - Nitrate</v>
      </c>
      <c r="P190" s="109" cm="1">
        <f t="array" ref="P190">Common_InputFunctions.Utility_DisplayArrayInTable(Fertiliser_SourceData.Fertiliser_Products_Data4(),FertiliserProducts[[#Headers],[Company]], 91)</f>
        <v>4.9000000000000002E-2</v>
      </c>
      <c r="Q190" s="109" t="str" cm="1">
        <f t="array" ref="Q190">Common_InputFunctions.Utility_DisplayArrayInTable(Fertiliser_SourceData.Fertiliser_Products_Data4(),FertiliserProducts[[#Headers],[Company]], 91)</f>
        <v>Nitrogen - Ammoniacal</v>
      </c>
      <c r="R190" s="109" cm="1">
        <f t="array" ref="R190">Common_InputFunctions.Utility_DisplayArrayInTable(Fertiliser_SourceData.Fertiliser_Products_Data4(),FertiliserProducts[[#Headers],[Company]], 91)</f>
        <v>0.109</v>
      </c>
      <c r="S190" s="109" t="str" cm="1">
        <f t="array" ref="S190">Common_InputFunctions.Utility_DisplayArrayInTable(Fertiliser_SourceData.Fertiliser_Products_Data4(),FertiliserProducts[[#Headers],[Company]], 91)</f>
        <v>Potassium - Generic</v>
      </c>
      <c r="T190" s="109" cm="1">
        <f t="array" ref="T190">Common_InputFunctions.Utility_DisplayArrayInTable(Fertiliser_SourceData.Fertiliser_Products_Data4(),FertiliserProducts[[#Headers],[Company]], 91)</f>
        <v>0.19</v>
      </c>
      <c r="U190" s="109" t="str" cm="1">
        <f t="array" ref="U190">Common_InputFunctions.Utility_DisplayArrayInTable(Fertiliser_SourceData.Fertiliser_Products_Data4(),FertiliserProducts[[#Headers],[Company]], 91)</f>
        <v>Sulfur - Generic</v>
      </c>
      <c r="V190" s="109" cm="1">
        <f t="array" ref="V190">Common_InputFunctions.Utility_DisplayArrayInTable(Fertiliser_SourceData.Fertiliser_Products_Data4(),FertiliserProducts[[#Headers],[Company]], 91)</f>
        <v>3.2000000000000001E-2</v>
      </c>
      <c r="W190" s="109" t="str" cm="1">
        <f t="array" ref="W190">Common_InputFunctions.Utility_DisplayArrayInTable(Fertiliser_SourceData.Fertiliser_Products_Data4(),FertiliserProducts[[#Headers],[Company]], 91)</f>
        <v>Calcium</v>
      </c>
      <c r="X190" s="109" cm="1">
        <f t="array" ref="X190">Common_InputFunctions.Utility_DisplayArrayInTable(Fertiliser_SourceData.Fertiliser_Products_Data4(),FertiliserProducts[[#Headers],[Company]], 91)</f>
        <v>3.9E-2</v>
      </c>
      <c r="Y190" s="109" t="str" cm="1">
        <f t="array" ref="Y190">Common_InputFunctions.Utility_DisplayArrayInTable(Fertiliser_SourceData.Fertiliser_Products_Data4(),FertiliserProducts[[#Headers],[Company]], 91)</f>
        <v/>
      </c>
      <c r="Z190" s="109" t="str" cm="1">
        <f t="array" ref="Z190">Common_InputFunctions.Utility_DisplayArrayInTable(Fertiliser_SourceData.Fertiliser_Products_Data4(),FertiliserProducts[[#Headers],[Company]], 91)</f>
        <v/>
      </c>
      <c r="AA190" s="109" t="str" cm="1">
        <f t="array" ref="AA190">Common_InputFunctions.Utility_DisplayArrayInTable(Fertiliser_SourceData.Fertiliser_Products_Data4(),FertiliserProducts[[#Headers],[Company]], 91)</f>
        <v/>
      </c>
      <c r="AB190" s="109" t="str" cm="1">
        <f t="array" ref="AB190">Common_InputFunctions.Utility_DisplayArrayInTable(Fertiliser_SourceData.Fertiliser_Products_Data4(),FertiliserProducts[[#Headers],[Company]], 91)</f>
        <v/>
      </c>
      <c r="AC190" s="109" t="str" cm="1">
        <f t="array" ref="AC190">Common_InputFunctions.Utility_DisplayArrayInTable(Fertiliser_SourceData.Fertiliser_Products_Data4(),FertiliserProducts[[#Headers],[Company]], 91)</f>
        <v/>
      </c>
      <c r="AD190" s="109" t="str" cm="1">
        <f t="array" ref="AD190">Common_InputFunctions.Utility_DisplayArrayInTable(Fertiliser_SourceData.Fertiliser_Products_Data4(),FertiliserProducts[[#Headers],[Company]], 91)</f>
        <v/>
      </c>
      <c r="AE190" s="109" t="str" cm="1">
        <f t="array" ref="AE190">Common_InputFunctions.Utility_DisplayArrayInTable(Fertiliser_SourceData.Fertiliser_Products_Data4(),FertiliserProducts[[#Headers],[Company]], 91)</f>
        <v/>
      </c>
      <c r="AF190" s="109" t="str" cm="1">
        <f t="array" ref="AF190">Common_InputFunctions.Utility_DisplayArrayInTable(Fertiliser_SourceData.Fertiliser_Products_Data4(),FertiliserProducts[[#Headers],[Company]], 91)</f>
        <v/>
      </c>
      <c r="AG190" s="109" t="str" cm="1">
        <f t="array" ref="AG190">Common_InputFunctions.Utility_DisplayArrayInTable(Fertiliser_SourceData.Fertiliser_Products_Data4(),FertiliserProducts[[#Headers],[Company]], 91)</f>
        <v/>
      </c>
      <c r="AH190" s="109" t="str" cm="1">
        <f t="array" ref="AH190">Common_InputFunctions.Utility_DisplayArrayInTable(Fertiliser_SourceData.Fertiliser_Products_Data4(),FertiliserProducts[[#Headers],[Company]], 91)</f>
        <v/>
      </c>
    </row>
    <row r="191" spans="4:37" x14ac:dyDescent="0.25">
      <c r="D191" s="109" t="str" cm="1">
        <f t="array" ref="D191">Common_InputFunctions.Utility_DisplayArrayInTable(Fertiliser_SourceData.Fertiliser_Products_Data4(),FertiliserProducts[[#Headers],[Company]], 91)</f>
        <v>Incitec Pivot Fertilisers</v>
      </c>
      <c r="E191" s="109" t="str" cm="1">
        <f t="array" ref="E191">Common_InputFunctions.Utility_DisplayArrayInTable(Fertiliser_SourceData.Fertiliser_Products_Data4(),FertiliserProducts[[#Headers],[Company]], 91)</f>
        <v>Dairy Pro</v>
      </c>
      <c r="F191" s="109" t="str" cm="1">
        <f t="array" ref="F191">Common_InputFunctions.Utility_DisplayArrayInTable(Fertiliser_SourceData.Fertiliser_Products_Data4(),FertiliserProducts[[#Headers],[Company]], 91)</f>
        <v>kg</v>
      </c>
      <c r="G191" s="109" cm="1">
        <f t="array" ref="G191">Common_InputFunctions.Utility_DisplayArrayInTable(Fertiliser_SourceData.Fertiliser_Products_Data4(),FertiliserProducts[[#Headers],[Company]], 91)</f>
        <v>1</v>
      </c>
      <c r="H191" s="109" t="str" cm="1">
        <f t="array" ref="H191">Common_InputFunctions.Utility_DisplayArrayInTable(Fertiliser_SourceData.Fertiliser_Products_Data4(),FertiliserProducts[[#Headers],[Company]], 91)</f>
        <v/>
      </c>
      <c r="I191" s="109" t="str" cm="1">
        <f t="array" ref="I191">Common_InputFunctions.Utility_DisplayArrayInTable(Fertiliser_SourceData.Fertiliser_Products_Data4(),FertiliserProducts[[#Headers],[Company]], 91)</f>
        <v/>
      </c>
      <c r="J191" s="109" t="str" cm="1">
        <f t="array" ref="J191">Common_InputFunctions.Utility_DisplayArrayInTable(Fertiliser_SourceData.Fertiliser_Products_Data4(),FertiliserProducts[[#Headers],[Company]], 91)</f>
        <v/>
      </c>
      <c r="K191" s="109" cm="1">
        <f t="array" ref="K191">Common_InputFunctions.Utility_DisplayArrayInTable(Fertiliser_SourceData.Fertiliser_Products_Data4(),FertiliserProducts[[#Headers],[Company]], 91)</f>
        <v>25.9</v>
      </c>
      <c r="L191" s="109" cm="1">
        <f t="array" ref="L191">Common_InputFunctions.Utility_DisplayArrayInTable(Fertiliser_SourceData.Fertiliser_Products_Data4(),FertiliserProducts[[#Headers],[Company]], 91)</f>
        <v>3.9</v>
      </c>
      <c r="M191" s="109" cm="1">
        <f t="array" ref="M191">Common_InputFunctions.Utility_DisplayArrayInTable(Fertiliser_SourceData.Fertiliser_Products_Data4(),FertiliserProducts[[#Headers],[Company]], 91)</f>
        <v>15.9</v>
      </c>
      <c r="N191" s="109" cm="1">
        <f t="array" ref="N191">Common_InputFunctions.Utility_DisplayArrayInTable(Fertiliser_SourceData.Fertiliser_Products_Data4(),FertiliserProducts[[#Headers],[Company]], 91)</f>
        <v>0.3</v>
      </c>
      <c r="O191" s="109" t="str" cm="1">
        <f t="array" ref="O191">Common_InputFunctions.Utility_DisplayArrayInTable(Fertiliser_SourceData.Fertiliser_Products_Data4(),FertiliserProducts[[#Headers],[Company]], 91)</f>
        <v>Nitrogen - Generic</v>
      </c>
      <c r="P191" s="109" cm="1">
        <f t="array" ref="P191">Common_InputFunctions.Utility_DisplayArrayInTable(Fertiliser_SourceData.Fertiliser_Products_Data4(),FertiliserProducts[[#Headers],[Company]], 91)</f>
        <v>0.25900000000000001</v>
      </c>
      <c r="Q191" s="109" t="str" cm="1">
        <f t="array" ref="Q191">Common_InputFunctions.Utility_DisplayArrayInTable(Fertiliser_SourceData.Fertiliser_Products_Data4(),FertiliserProducts[[#Headers],[Company]], 91)</f>
        <v>Phosphorus - Generic</v>
      </c>
      <c r="R191" s="109" cm="1">
        <f t="array" ref="R191">Common_InputFunctions.Utility_DisplayArrayInTable(Fertiliser_SourceData.Fertiliser_Products_Data4(),FertiliserProducts[[#Headers],[Company]], 91)</f>
        <v>3.9E-2</v>
      </c>
      <c r="S191" s="109" t="str" cm="1">
        <f t="array" ref="S191">Common_InputFunctions.Utility_DisplayArrayInTable(Fertiliser_SourceData.Fertiliser_Products_Data4(),FertiliserProducts[[#Headers],[Company]], 91)</f>
        <v>Potassium - Generic</v>
      </c>
      <c r="T191" s="109" cm="1">
        <f t="array" ref="T191">Common_InputFunctions.Utility_DisplayArrayInTable(Fertiliser_SourceData.Fertiliser_Products_Data4(),FertiliserProducts[[#Headers],[Company]], 91)</f>
        <v>0.159</v>
      </c>
      <c r="U191" s="109" t="str" cm="1">
        <f t="array" ref="U191">Common_InputFunctions.Utility_DisplayArrayInTable(Fertiliser_SourceData.Fertiliser_Products_Data4(),FertiliserProducts[[#Headers],[Company]], 91)</f>
        <v>Sulfur - Generic</v>
      </c>
      <c r="V191" s="109" cm="1">
        <f t="array" ref="V191">Common_InputFunctions.Utility_DisplayArrayInTable(Fertiliser_SourceData.Fertiliser_Products_Data4(),FertiliserProducts[[#Headers],[Company]], 91)</f>
        <v>3.0000000000000001E-3</v>
      </c>
      <c r="W191" s="109" t="str" cm="1">
        <f t="array" ref="W191">Common_InputFunctions.Utility_DisplayArrayInTable(Fertiliser_SourceData.Fertiliser_Products_Data4(),FertiliserProducts[[#Headers],[Company]], 91)</f>
        <v/>
      </c>
      <c r="X191" s="109" t="str" cm="1">
        <f t="array" ref="X191">Common_InputFunctions.Utility_DisplayArrayInTable(Fertiliser_SourceData.Fertiliser_Products_Data4(),FertiliserProducts[[#Headers],[Company]], 91)</f>
        <v/>
      </c>
      <c r="Y191" s="109" t="str" cm="1">
        <f t="array" ref="Y191">Common_InputFunctions.Utility_DisplayArrayInTable(Fertiliser_SourceData.Fertiliser_Products_Data4(),FertiliserProducts[[#Headers],[Company]], 91)</f>
        <v/>
      </c>
      <c r="Z191" s="109" t="str" cm="1">
        <f t="array" ref="Z191">Common_InputFunctions.Utility_DisplayArrayInTable(Fertiliser_SourceData.Fertiliser_Products_Data4(),FertiliserProducts[[#Headers],[Company]], 91)</f>
        <v/>
      </c>
      <c r="AA191" s="109" t="str" cm="1">
        <f t="array" ref="AA191">Common_InputFunctions.Utility_DisplayArrayInTable(Fertiliser_SourceData.Fertiliser_Products_Data4(),FertiliserProducts[[#Headers],[Company]], 91)</f>
        <v/>
      </c>
      <c r="AB191" s="109" t="str" cm="1">
        <f t="array" ref="AB191">Common_InputFunctions.Utility_DisplayArrayInTable(Fertiliser_SourceData.Fertiliser_Products_Data4(),FertiliserProducts[[#Headers],[Company]], 91)</f>
        <v/>
      </c>
      <c r="AC191" s="109" t="str" cm="1">
        <f t="array" ref="AC191">Common_InputFunctions.Utility_DisplayArrayInTable(Fertiliser_SourceData.Fertiliser_Products_Data4(),FertiliserProducts[[#Headers],[Company]], 91)</f>
        <v/>
      </c>
      <c r="AD191" s="109" t="str" cm="1">
        <f t="array" ref="AD191">Common_InputFunctions.Utility_DisplayArrayInTable(Fertiliser_SourceData.Fertiliser_Products_Data4(),FertiliserProducts[[#Headers],[Company]], 91)</f>
        <v/>
      </c>
      <c r="AE191" s="109" t="str" cm="1">
        <f t="array" ref="AE191">Common_InputFunctions.Utility_DisplayArrayInTable(Fertiliser_SourceData.Fertiliser_Products_Data4(),FertiliserProducts[[#Headers],[Company]], 91)</f>
        <v/>
      </c>
      <c r="AF191" s="109" t="str" cm="1">
        <f t="array" ref="AF191">Common_InputFunctions.Utility_DisplayArrayInTable(Fertiliser_SourceData.Fertiliser_Products_Data4(),FertiliserProducts[[#Headers],[Company]], 91)</f>
        <v/>
      </c>
      <c r="AG191" s="109" t="str" cm="1">
        <f t="array" ref="AG191">Common_InputFunctions.Utility_DisplayArrayInTable(Fertiliser_SourceData.Fertiliser_Products_Data4(),FertiliserProducts[[#Headers],[Company]], 91)</f>
        <v/>
      </c>
      <c r="AH191" s="109" t="str" cm="1">
        <f t="array" ref="AH191">Common_InputFunctions.Utility_DisplayArrayInTable(Fertiliser_SourceData.Fertiliser_Products_Data4(),FertiliserProducts[[#Headers],[Company]], 91)</f>
        <v/>
      </c>
    </row>
    <row r="192" spans="4:37" x14ac:dyDescent="0.25">
      <c r="D192" s="109" t="str" cm="1">
        <f t="array" ref="D192">Common_InputFunctions.Utility_DisplayArrayInTable(Fertiliser_SourceData.Fertiliser_Products_Data4(),FertiliserProducts[[#Headers],[Company]], 91)</f>
        <v>Yara Australia</v>
      </c>
      <c r="E192" s="109" t="str" cm="1">
        <f t="array" ref="E192">Common_InputFunctions.Utility_DisplayArrayInTable(Fertiliser_SourceData.Fertiliser_Products_Data4(),FertiliserProducts[[#Headers],[Company]], 91)</f>
        <v>YaraMila ACTYVA S</v>
      </c>
      <c r="F192" s="109" t="str" cm="1">
        <f t="array" ref="F192">Common_InputFunctions.Utility_DisplayArrayInTable(Fertiliser_SourceData.Fertiliser_Products_Data4(),FertiliserProducts[[#Headers],[Company]], 91)</f>
        <v>kg</v>
      </c>
      <c r="G192" s="109" cm="1">
        <f t="array" ref="G192">Common_InputFunctions.Utility_DisplayArrayInTable(Fertiliser_SourceData.Fertiliser_Products_Data4(),FertiliserProducts[[#Headers],[Company]], 91)</f>
        <v>1</v>
      </c>
      <c r="H192" s="109" t="str" cm="1">
        <f t="array" ref="H192">Common_InputFunctions.Utility_DisplayArrayInTable(Fertiliser_SourceData.Fertiliser_Products_Data4(),FertiliserProducts[[#Headers],[Company]], 91)</f>
        <v/>
      </c>
      <c r="I192" s="109" t="str" cm="1">
        <f t="array" ref="I192">Common_InputFunctions.Utility_DisplayArrayInTable(Fertiliser_SourceData.Fertiliser_Products_Data4(),FertiliserProducts[[#Headers],[Company]], 91)</f>
        <v/>
      </c>
      <c r="J192" s="109" t="str" cm="1">
        <f t="array" ref="J192">Common_InputFunctions.Utility_DisplayArrayInTable(Fertiliser_SourceData.Fertiliser_Products_Data4(),FertiliserProducts[[#Headers],[Company]], 91)</f>
        <v/>
      </c>
      <c r="K192" s="109" cm="1">
        <f t="array" ref="K192">Common_InputFunctions.Utility_DisplayArrayInTable(Fertiliser_SourceData.Fertiliser_Products_Data4(),FertiliserProducts[[#Headers],[Company]], 91)</f>
        <v>15.6</v>
      </c>
      <c r="L192" s="109" cm="1">
        <f t="array" ref="L192">Common_InputFunctions.Utility_DisplayArrayInTable(Fertiliser_SourceData.Fertiliser_Products_Data4(),FertiliserProducts[[#Headers],[Company]], 91)</f>
        <v>6.37</v>
      </c>
      <c r="M192" s="109" cm="1">
        <f t="array" ref="M192">Common_InputFunctions.Utility_DisplayArrayInTable(Fertiliser_SourceData.Fertiliser_Products_Data4(),FertiliserProducts[[#Headers],[Company]], 91)</f>
        <v>12.45</v>
      </c>
      <c r="N192" s="109" cm="1">
        <f t="array" ref="N192">Common_InputFunctions.Utility_DisplayArrayInTable(Fertiliser_SourceData.Fertiliser_Products_Data4(),FertiliserProducts[[#Headers],[Company]], 91)</f>
        <v>2.6</v>
      </c>
      <c r="O192" s="109" t="str" cm="1">
        <f t="array" ref="O192">Common_InputFunctions.Utility_DisplayArrayInTable(Fertiliser_SourceData.Fertiliser_Products_Data4(),FertiliserProducts[[#Headers],[Company]], 91)</f>
        <v>Nitrogen - Nitrate</v>
      </c>
      <c r="P192" s="109" cm="1">
        <f t="array" ref="P192">Common_InputFunctions.Utility_DisplayArrayInTable(Fertiliser_SourceData.Fertiliser_Products_Data4(),FertiliserProducts[[#Headers],[Company]], 91)</f>
        <v>5.8000000000000003E-2</v>
      </c>
      <c r="Q192" s="109" t="str" cm="1">
        <f t="array" ref="Q192">Common_InputFunctions.Utility_DisplayArrayInTable(Fertiliser_SourceData.Fertiliser_Products_Data4(),FertiliserProducts[[#Headers],[Company]], 91)</f>
        <v>Nitrogen - Ammoniacal</v>
      </c>
      <c r="R192" s="109" cm="1">
        <f t="array" ref="R192">Common_InputFunctions.Utility_DisplayArrayInTable(Fertiliser_SourceData.Fertiliser_Products_Data4(),FertiliserProducts[[#Headers],[Company]], 91)</f>
        <v>9.8000000000000004E-2</v>
      </c>
      <c r="S192" s="109" t="str" cm="1">
        <f t="array" ref="S192">Common_InputFunctions.Utility_DisplayArrayInTable(Fertiliser_SourceData.Fertiliser_Products_Data4(),FertiliserProducts[[#Headers],[Company]], 91)</f>
        <v>Phosphorus - Generic</v>
      </c>
      <c r="T192" s="109" cm="1">
        <f t="array" ref="T192">Common_InputFunctions.Utility_DisplayArrayInTable(Fertiliser_SourceData.Fertiliser_Products_Data4(),FertiliserProducts[[#Headers],[Company]], 91)</f>
        <v>6.3714000000000007E-2</v>
      </c>
      <c r="U192" s="109" t="str" cm="1">
        <f t="array" ref="U192">Common_InputFunctions.Utility_DisplayArrayInTable(Fertiliser_SourceData.Fertiliser_Products_Data4(),FertiliserProducts[[#Headers],[Company]], 91)</f>
        <v>Potassium - Generic</v>
      </c>
      <c r="V192" s="109" cm="1">
        <f t="array" ref="V192">Common_InputFunctions.Utility_DisplayArrayInTable(Fertiliser_SourceData.Fertiliser_Products_Data4(),FertiliserProducts[[#Headers],[Company]], 91)</f>
        <v>0.124515</v>
      </c>
      <c r="W192" s="109" t="str" cm="1">
        <f t="array" ref="W192">Common_InputFunctions.Utility_DisplayArrayInTable(Fertiliser_SourceData.Fertiliser_Products_Data4(),FertiliserProducts[[#Headers],[Company]], 91)</f>
        <v>Sulfur - Generic</v>
      </c>
      <c r="X192" s="109" cm="1">
        <f t="array" ref="X192">Common_InputFunctions.Utility_DisplayArrayInTable(Fertiliser_SourceData.Fertiliser_Products_Data4(),FertiliserProducts[[#Headers],[Company]], 91)</f>
        <v>2.5999999999999999E-2</v>
      </c>
      <c r="Y192" s="109" t="str" cm="1">
        <f t="array" ref="Y192">Common_InputFunctions.Utility_DisplayArrayInTable(Fertiliser_SourceData.Fertiliser_Products_Data4(),FertiliserProducts[[#Headers],[Company]], 91)</f>
        <v/>
      </c>
      <c r="Z192" s="109" t="str" cm="1">
        <f t="array" ref="Z192">Common_InputFunctions.Utility_DisplayArrayInTable(Fertiliser_SourceData.Fertiliser_Products_Data4(),FertiliserProducts[[#Headers],[Company]], 91)</f>
        <v/>
      </c>
      <c r="AA192" s="109" t="str" cm="1">
        <f t="array" ref="AA192">Common_InputFunctions.Utility_DisplayArrayInTable(Fertiliser_SourceData.Fertiliser_Products_Data4(),FertiliserProducts[[#Headers],[Company]], 91)</f>
        <v/>
      </c>
      <c r="AB192" s="109" t="str" cm="1">
        <f t="array" ref="AB192">Common_InputFunctions.Utility_DisplayArrayInTable(Fertiliser_SourceData.Fertiliser_Products_Data4(),FertiliserProducts[[#Headers],[Company]], 91)</f>
        <v/>
      </c>
      <c r="AC192" s="109" t="str" cm="1">
        <f t="array" ref="AC192">Common_InputFunctions.Utility_DisplayArrayInTable(Fertiliser_SourceData.Fertiliser_Products_Data4(),FertiliserProducts[[#Headers],[Company]], 91)</f>
        <v/>
      </c>
      <c r="AD192" s="109" t="str" cm="1">
        <f t="array" ref="AD192">Common_InputFunctions.Utility_DisplayArrayInTable(Fertiliser_SourceData.Fertiliser_Products_Data4(),FertiliserProducts[[#Headers],[Company]], 91)</f>
        <v/>
      </c>
      <c r="AE192" s="109" t="str" cm="1">
        <f t="array" ref="AE192">Common_InputFunctions.Utility_DisplayArrayInTable(Fertiliser_SourceData.Fertiliser_Products_Data4(),FertiliserProducts[[#Headers],[Company]], 91)</f>
        <v/>
      </c>
      <c r="AF192" s="109" t="str" cm="1">
        <f t="array" ref="AF192">Common_InputFunctions.Utility_DisplayArrayInTable(Fertiliser_SourceData.Fertiliser_Products_Data4(),FertiliserProducts[[#Headers],[Company]], 91)</f>
        <v/>
      </c>
      <c r="AG192" s="109" t="str" cm="1">
        <f t="array" ref="AG192">Common_InputFunctions.Utility_DisplayArrayInTable(Fertiliser_SourceData.Fertiliser_Products_Data4(),FertiliserProducts[[#Headers],[Company]], 91)</f>
        <v/>
      </c>
      <c r="AH192" s="109" t="str" cm="1">
        <f t="array" ref="AH192">Common_InputFunctions.Utility_DisplayArrayInTable(Fertiliser_SourceData.Fertiliser_Products_Data4(),FertiliserProducts[[#Headers],[Company]], 91)</f>
        <v/>
      </c>
    </row>
    <row r="193" spans="4:34" x14ac:dyDescent="0.25">
      <c r="D193" s="109" t="str" cm="1">
        <f t="array" ref="D193">Common_InputFunctions.Utility_DisplayArrayInTable(Fertiliser_SourceData.Fertiliser_Products_Data4(),FertiliserProducts[[#Headers],[Company]], 91)</f>
        <v>CSBP</v>
      </c>
      <c r="E193" s="109" t="str" cm="1">
        <f t="array" ref="E193">Common_InputFunctions.Utility_DisplayArrayInTable(Fertiliser_SourceData.Fertiliser_Products_Data4(),FertiliserProducts[[#Headers],[Company]], 91)</f>
        <v>Agflow Extra</v>
      </c>
      <c r="F193" s="109" t="str" cm="1">
        <f t="array" ref="F193">Common_InputFunctions.Utility_DisplayArrayInTable(Fertiliser_SourceData.Fertiliser_Products_Data4(),FertiliserProducts[[#Headers],[Company]], 91)</f>
        <v>kg</v>
      </c>
      <c r="G193" s="109" cm="1">
        <f t="array" ref="G193">Common_InputFunctions.Utility_DisplayArrayInTable(Fertiliser_SourceData.Fertiliser_Products_Data4(),FertiliserProducts[[#Headers],[Company]], 91)</f>
        <v>1</v>
      </c>
      <c r="H193" s="109" t="str" cm="1">
        <f t="array" ref="H193">Common_InputFunctions.Utility_DisplayArrayInTable(Fertiliser_SourceData.Fertiliser_Products_Data4(),FertiliserProducts[[#Headers],[Company]], 91)</f>
        <v/>
      </c>
      <c r="I193" s="109" t="str" cm="1">
        <f t="array" ref="I193">Common_InputFunctions.Utility_DisplayArrayInTable(Fertiliser_SourceData.Fertiliser_Products_Data4(),FertiliserProducts[[#Headers],[Company]], 91)</f>
        <v/>
      </c>
      <c r="J193" s="109" t="str" cm="1">
        <f t="array" ref="J193">Common_InputFunctions.Utility_DisplayArrayInTable(Fertiliser_SourceData.Fertiliser_Products_Data4(),FertiliserProducts[[#Headers],[Company]], 91)</f>
        <v/>
      </c>
      <c r="K193" s="109" cm="1">
        <f t="array" ref="K193">Common_InputFunctions.Utility_DisplayArrayInTable(Fertiliser_SourceData.Fertiliser_Products_Data4(),FertiliserProducts[[#Headers],[Company]], 91)</f>
        <v>11.15</v>
      </c>
      <c r="L193" s="109" cm="1">
        <f t="array" ref="L193">Common_InputFunctions.Utility_DisplayArrayInTable(Fertiliser_SourceData.Fertiliser_Products_Data4(),FertiliserProducts[[#Headers],[Company]], 91)</f>
        <v>17.52</v>
      </c>
      <c r="M193" s="109" t="str" cm="1">
        <f t="array" ref="M193">Common_InputFunctions.Utility_DisplayArrayInTable(Fertiliser_SourceData.Fertiliser_Products_Data4(),FertiliserProducts[[#Headers],[Company]], 91)</f>
        <v/>
      </c>
      <c r="N193" s="109" cm="1">
        <f t="array" ref="N193">Common_InputFunctions.Utility_DisplayArrayInTable(Fertiliser_SourceData.Fertiliser_Products_Data4(),FertiliserProducts[[#Headers],[Company]], 91)</f>
        <v>3.6</v>
      </c>
      <c r="O193" s="109" t="str" cm="1">
        <f t="array" ref="O193">Common_InputFunctions.Utility_DisplayArrayInTable(Fertiliser_SourceData.Fertiliser_Products_Data4(),FertiliserProducts[[#Headers],[Company]], 91)</f>
        <v>Monoammonium phosphate (MAP)</v>
      </c>
      <c r="P193" s="109" cm="1">
        <f t="array" ref="P193">Common_InputFunctions.Utility_DisplayArrayInTable(Fertiliser_SourceData.Fertiliser_Products_Data4(),FertiliserProducts[[#Headers],[Company]], 91)</f>
        <v>0.8</v>
      </c>
      <c r="Q193" s="109" t="str" cm="1">
        <f t="array" ref="Q193">Common_InputFunctions.Utility_DisplayArrayInTable(Fertiliser_SourceData.Fertiliser_Products_Data4(),FertiliserProducts[[#Headers],[Company]], 91)</f>
        <v>Sulphate of ammonia (SOA)</v>
      </c>
      <c r="R193" s="109" cm="1">
        <f t="array" ref="R193">Common_InputFunctions.Utility_DisplayArrayInTable(Fertiliser_SourceData.Fertiliser_Products_Data4(),FertiliserProducts[[#Headers],[Company]], 91)</f>
        <v>0.15</v>
      </c>
      <c r="S193" s="109" t="str" cm="1">
        <f t="array" ref="S193">Common_InputFunctions.Utility_DisplayArrayInTable(Fertiliser_SourceData.Fertiliser_Products_Data4(),FertiliserProducts[[#Headers],[Company]], 91)</f>
        <v>Copper</v>
      </c>
      <c r="T193" s="109" t="str" cm="1">
        <f t="array" ref="T193">Common_InputFunctions.Utility_DisplayArrayInTable(Fertiliser_SourceData.Fertiliser_Products_Data4(),FertiliserProducts[[#Headers],[Company]], 91)</f>
        <v>No data</v>
      </c>
      <c r="U193" s="109" t="str" cm="1">
        <f t="array" ref="U193">Common_InputFunctions.Utility_DisplayArrayInTable(Fertiliser_SourceData.Fertiliser_Products_Data4(),FertiliserProducts[[#Headers],[Company]], 91)</f>
        <v>Molybdenum</v>
      </c>
      <c r="V193" s="109" t="str" cm="1">
        <f t="array" ref="V193">Common_InputFunctions.Utility_DisplayArrayInTable(Fertiliser_SourceData.Fertiliser_Products_Data4(),FertiliserProducts[[#Headers],[Company]], 91)</f>
        <v>No data</v>
      </c>
      <c r="W193" s="109" t="str" cm="1">
        <f t="array" ref="W193">Common_InputFunctions.Utility_DisplayArrayInTable(Fertiliser_SourceData.Fertiliser_Products_Data4(),FertiliserProducts[[#Headers],[Company]], 91)</f>
        <v>Zinc</v>
      </c>
      <c r="X193" s="109" t="str" cm="1">
        <f t="array" ref="X193">Common_InputFunctions.Utility_DisplayArrayInTable(Fertiliser_SourceData.Fertiliser_Products_Data4(),FertiliserProducts[[#Headers],[Company]], 91)</f>
        <v>No data</v>
      </c>
      <c r="Y193" s="109" t="str" cm="1">
        <f t="array" ref="Y193">Common_InputFunctions.Utility_DisplayArrayInTable(Fertiliser_SourceData.Fertiliser_Products_Data4(),FertiliserProducts[[#Headers],[Company]], 91)</f>
        <v/>
      </c>
      <c r="Z193" s="109" t="str" cm="1">
        <f t="array" ref="Z193">Common_InputFunctions.Utility_DisplayArrayInTable(Fertiliser_SourceData.Fertiliser_Products_Data4(),FertiliserProducts[[#Headers],[Company]], 91)</f>
        <v/>
      </c>
      <c r="AA193" s="109" t="str" cm="1">
        <f t="array" ref="AA193">Common_InputFunctions.Utility_DisplayArrayInTable(Fertiliser_SourceData.Fertiliser_Products_Data4(),FertiliserProducts[[#Headers],[Company]], 91)</f>
        <v/>
      </c>
      <c r="AB193" s="109" t="str" cm="1">
        <f t="array" ref="AB193">Common_InputFunctions.Utility_DisplayArrayInTable(Fertiliser_SourceData.Fertiliser_Products_Data4(),FertiliserProducts[[#Headers],[Company]], 91)</f>
        <v/>
      </c>
      <c r="AC193" s="109" t="str" cm="1">
        <f t="array" ref="AC193">Common_InputFunctions.Utility_DisplayArrayInTable(Fertiliser_SourceData.Fertiliser_Products_Data4(),FertiliserProducts[[#Headers],[Company]], 91)</f>
        <v/>
      </c>
      <c r="AD193" s="109" t="str" cm="1">
        <f t="array" ref="AD193">Common_InputFunctions.Utility_DisplayArrayInTable(Fertiliser_SourceData.Fertiliser_Products_Data4(),FertiliserProducts[[#Headers],[Company]], 91)</f>
        <v/>
      </c>
      <c r="AE193" s="109" t="str" cm="1">
        <f t="array" ref="AE193">Common_InputFunctions.Utility_DisplayArrayInTable(Fertiliser_SourceData.Fertiliser_Products_Data4(),FertiliserProducts[[#Headers],[Company]], 91)</f>
        <v/>
      </c>
      <c r="AF193" s="109" t="str" cm="1">
        <f t="array" ref="AF193">Common_InputFunctions.Utility_DisplayArrayInTable(Fertiliser_SourceData.Fertiliser_Products_Data4(),FertiliserProducts[[#Headers],[Company]], 91)</f>
        <v/>
      </c>
      <c r="AG193" s="109" t="str" cm="1">
        <f t="array" ref="AG193">Common_InputFunctions.Utility_DisplayArrayInTable(Fertiliser_SourceData.Fertiliser_Products_Data4(),FertiliserProducts[[#Headers],[Company]], 91)</f>
        <v/>
      </c>
      <c r="AH193" s="109" t="str" cm="1">
        <f t="array" ref="AH193">Common_InputFunctions.Utility_DisplayArrayInTable(Fertiliser_SourceData.Fertiliser_Products_Data4(),FertiliserProducts[[#Headers],[Company]], 91)</f>
        <v/>
      </c>
    </row>
    <row r="194" spans="4:34" x14ac:dyDescent="0.25">
      <c r="D194" s="109" t="str" cm="1">
        <f t="array" ref="D194">Common_InputFunctions.Utility_DisplayArrayInTable(Fertiliser_SourceData.Fertiliser_Products_Data4(),FertiliserProducts[[#Headers],[Company]], 91)</f>
        <v>CSBP</v>
      </c>
      <c r="E194" s="109" t="str" cm="1">
        <f t="array" ref="E194">Common_InputFunctions.Utility_DisplayArrayInTable(Fertiliser_SourceData.Fertiliser_Products_Data4(),FertiliserProducts[[#Headers],[Company]], 91)</f>
        <v>Super &amp; Potash 3:1</v>
      </c>
      <c r="F194" s="109" t="str" cm="1">
        <f t="array" ref="F194">Common_InputFunctions.Utility_DisplayArrayInTable(Fertiliser_SourceData.Fertiliser_Products_Data4(),FertiliserProducts[[#Headers],[Company]], 91)</f>
        <v>kg</v>
      </c>
      <c r="G194" s="109" cm="1">
        <f t="array" ref="G194">Common_InputFunctions.Utility_DisplayArrayInTable(Fertiliser_SourceData.Fertiliser_Products_Data4(),FertiliserProducts[[#Headers],[Company]], 91)</f>
        <v>1</v>
      </c>
      <c r="H194" s="109" t="str" cm="1">
        <f t="array" ref="H194">Common_InputFunctions.Utility_DisplayArrayInTable(Fertiliser_SourceData.Fertiliser_Products_Data4(),FertiliserProducts[[#Headers],[Company]], 91)</f>
        <v/>
      </c>
      <c r="I194" s="109" t="str" cm="1">
        <f t="array" ref="I194">Common_InputFunctions.Utility_DisplayArrayInTable(Fertiliser_SourceData.Fertiliser_Products_Data4(),FertiliserProducts[[#Headers],[Company]], 91)</f>
        <v/>
      </c>
      <c r="J194" s="109" t="str" cm="1">
        <f t="array" ref="J194">Common_InputFunctions.Utility_DisplayArrayInTable(Fertiliser_SourceData.Fertiliser_Products_Data4(),FertiliserProducts[[#Headers],[Company]], 91)</f>
        <v/>
      </c>
      <c r="K194" s="109" t="str" cm="1">
        <f t="array" ref="K194">Common_InputFunctions.Utility_DisplayArrayInTable(Fertiliser_SourceData.Fertiliser_Products_Data4(),FertiliserProducts[[#Headers],[Company]], 91)</f>
        <v/>
      </c>
      <c r="L194" s="109" cm="1">
        <f t="array" ref="L194">Common_InputFunctions.Utility_DisplayArrayInTable(Fertiliser_SourceData.Fertiliser_Products_Data4(),FertiliserProducts[[#Headers],[Company]], 91)</f>
        <v>5.5</v>
      </c>
      <c r="M194" s="109" cm="1">
        <f t="array" ref="M194">Common_InputFunctions.Utility_DisplayArrayInTable(Fertiliser_SourceData.Fertiliser_Products_Data4(),FertiliserProducts[[#Headers],[Company]], 91)</f>
        <v>15</v>
      </c>
      <c r="N194" s="109" cm="1">
        <f t="array" ref="N194">Common_InputFunctions.Utility_DisplayArrayInTable(Fertiliser_SourceData.Fertiliser_Products_Data4(),FertiliserProducts[[#Headers],[Company]], 91)</f>
        <v>6.88</v>
      </c>
      <c r="O194" s="109" t="str" cm="1">
        <f t="array" ref="O194">Common_InputFunctions.Utility_DisplayArrayInTable(Fertiliser_SourceData.Fertiliser_Products_Data4(),FertiliserProducts[[#Headers],[Company]], 91)</f>
        <v>Single superphosphate (SSP)</v>
      </c>
      <c r="P194" s="109" cm="1">
        <f t="array" ref="P194">Common_InputFunctions.Utility_DisplayArrayInTable(Fertiliser_SourceData.Fertiliser_Products_Data4(),FertiliserProducts[[#Headers],[Company]], 91)</f>
        <v>0.625</v>
      </c>
      <c r="Q194" s="109" t="str" cm="1">
        <f t="array" ref="Q194">Common_InputFunctions.Utility_DisplayArrayInTable(Fertiliser_SourceData.Fertiliser_Products_Data4(),FertiliserProducts[[#Headers],[Company]], 91)</f>
        <v>Muriate of potash (MOP)</v>
      </c>
      <c r="R194" s="109" cm="1">
        <f t="array" ref="R194">Common_InputFunctions.Utility_DisplayArrayInTable(Fertiliser_SourceData.Fertiliser_Products_Data4(),FertiliserProducts[[#Headers],[Company]], 91)</f>
        <v>0.3</v>
      </c>
      <c r="S194" s="109" t="str" cm="1">
        <f t="array" ref="S194">Common_InputFunctions.Utility_DisplayArrayInTable(Fertiliser_SourceData.Fertiliser_Products_Data4(),FertiliserProducts[[#Headers],[Company]], 91)</f>
        <v/>
      </c>
      <c r="T194" s="109" t="str" cm="1">
        <f t="array" ref="T194">Common_InputFunctions.Utility_DisplayArrayInTable(Fertiliser_SourceData.Fertiliser_Products_Data4(),FertiliserProducts[[#Headers],[Company]], 91)</f>
        <v/>
      </c>
      <c r="U194" s="109" t="str" cm="1">
        <f t="array" ref="U194">Common_InputFunctions.Utility_DisplayArrayInTable(Fertiliser_SourceData.Fertiliser_Products_Data4(),FertiliserProducts[[#Headers],[Company]], 91)</f>
        <v/>
      </c>
      <c r="V194" s="109" t="str" cm="1">
        <f t="array" ref="V194">Common_InputFunctions.Utility_DisplayArrayInTable(Fertiliser_SourceData.Fertiliser_Products_Data4(),FertiliserProducts[[#Headers],[Company]], 91)</f>
        <v/>
      </c>
      <c r="W194" s="109" t="str" cm="1">
        <f t="array" ref="W194">Common_InputFunctions.Utility_DisplayArrayInTable(Fertiliser_SourceData.Fertiliser_Products_Data4(),FertiliserProducts[[#Headers],[Company]], 91)</f>
        <v/>
      </c>
      <c r="X194" s="109" t="str" cm="1">
        <f t="array" ref="X194">Common_InputFunctions.Utility_DisplayArrayInTable(Fertiliser_SourceData.Fertiliser_Products_Data4(),FertiliserProducts[[#Headers],[Company]], 91)</f>
        <v/>
      </c>
      <c r="Y194" s="109" t="str" cm="1">
        <f t="array" ref="Y194">Common_InputFunctions.Utility_DisplayArrayInTable(Fertiliser_SourceData.Fertiliser_Products_Data4(),FertiliserProducts[[#Headers],[Company]], 91)</f>
        <v/>
      </c>
      <c r="Z194" s="109" t="str" cm="1">
        <f t="array" ref="Z194">Common_InputFunctions.Utility_DisplayArrayInTable(Fertiliser_SourceData.Fertiliser_Products_Data4(),FertiliserProducts[[#Headers],[Company]], 91)</f>
        <v/>
      </c>
      <c r="AA194" s="109" t="str" cm="1">
        <f t="array" ref="AA194">Common_InputFunctions.Utility_DisplayArrayInTable(Fertiliser_SourceData.Fertiliser_Products_Data4(),FertiliserProducts[[#Headers],[Company]], 91)</f>
        <v/>
      </c>
      <c r="AB194" s="109" t="str" cm="1">
        <f t="array" ref="AB194">Common_InputFunctions.Utility_DisplayArrayInTable(Fertiliser_SourceData.Fertiliser_Products_Data4(),FertiliserProducts[[#Headers],[Company]], 91)</f>
        <v/>
      </c>
      <c r="AC194" s="109" t="str" cm="1">
        <f t="array" ref="AC194">Common_InputFunctions.Utility_DisplayArrayInTable(Fertiliser_SourceData.Fertiliser_Products_Data4(),FertiliserProducts[[#Headers],[Company]], 91)</f>
        <v/>
      </c>
      <c r="AD194" s="109" t="str" cm="1">
        <f t="array" ref="AD194">Common_InputFunctions.Utility_DisplayArrayInTable(Fertiliser_SourceData.Fertiliser_Products_Data4(),FertiliserProducts[[#Headers],[Company]], 91)</f>
        <v/>
      </c>
      <c r="AE194" s="109" t="str" cm="1">
        <f t="array" ref="AE194">Common_InputFunctions.Utility_DisplayArrayInTable(Fertiliser_SourceData.Fertiliser_Products_Data4(),FertiliserProducts[[#Headers],[Company]], 91)</f>
        <v/>
      </c>
      <c r="AF194" s="109" t="str" cm="1">
        <f t="array" ref="AF194">Common_InputFunctions.Utility_DisplayArrayInTable(Fertiliser_SourceData.Fertiliser_Products_Data4(),FertiliserProducts[[#Headers],[Company]], 91)</f>
        <v/>
      </c>
      <c r="AG194" s="109" t="str" cm="1">
        <f t="array" ref="AG194">Common_InputFunctions.Utility_DisplayArrayInTable(Fertiliser_SourceData.Fertiliser_Products_Data4(),FertiliserProducts[[#Headers],[Company]], 91)</f>
        <v/>
      </c>
      <c r="AH194" s="109" t="str" cm="1">
        <f t="array" ref="AH194">Common_InputFunctions.Utility_DisplayArrayInTable(Fertiliser_SourceData.Fertiliser_Products_Data4(),FertiliserProducts[[#Headers],[Company]], 91)</f>
        <v/>
      </c>
    </row>
    <row r="195" spans="4:34" x14ac:dyDescent="0.25">
      <c r="D195" s="109" t="str" cm="1">
        <f t="array" ref="D195">Common_InputFunctions.Utility_DisplayArrayInTable(Fertiliser_SourceData.Fertiliser_Products_Data4(),FertiliserProducts[[#Headers],[Company]], 91)</f>
        <v>Yara</v>
      </c>
      <c r="E195" s="109" t="str" cm="1">
        <f t="array" ref="E195">Common_InputFunctions.Utility_DisplayArrayInTable(Fertiliser_SourceData.Fertiliser_Products_Data4(),FertiliserProducts[[#Headers],[Company]], 91)</f>
        <v>YaraBela CAN-27</v>
      </c>
      <c r="F195" s="109" t="str" cm="1">
        <f t="array" ref="F195">Common_InputFunctions.Utility_DisplayArrayInTable(Fertiliser_SourceData.Fertiliser_Products_Data4(),FertiliserProducts[[#Headers],[Company]], 91)</f>
        <v>kg</v>
      </c>
      <c r="G195" s="109" cm="1">
        <f t="array" ref="G195">Common_InputFunctions.Utility_DisplayArrayInTable(Fertiliser_SourceData.Fertiliser_Products_Data4(),FertiliserProducts[[#Headers],[Company]], 91)</f>
        <v>1</v>
      </c>
      <c r="H195" s="109" t="str" cm="1">
        <f t="array" ref="H195">Common_InputFunctions.Utility_DisplayArrayInTable(Fertiliser_SourceData.Fertiliser_Products_Data4(),FertiliserProducts[[#Headers],[Company]], 91)</f>
        <v/>
      </c>
      <c r="I195" s="109" t="str" cm="1">
        <f t="array" ref="I195">Common_InputFunctions.Utility_DisplayArrayInTable(Fertiliser_SourceData.Fertiliser_Products_Data4(),FertiliserProducts[[#Headers],[Company]], 91)</f>
        <v/>
      </c>
      <c r="J195" s="109" t="str" cm="1">
        <f t="array" ref="J195">Common_InputFunctions.Utility_DisplayArrayInTable(Fertiliser_SourceData.Fertiliser_Products_Data4(),FertiliserProducts[[#Headers],[Company]], 91)</f>
        <v/>
      </c>
      <c r="K195" s="109" cm="1">
        <f t="array" ref="K195">Common_InputFunctions.Utility_DisplayArrayInTable(Fertiliser_SourceData.Fertiliser_Products_Data4(),FertiliserProducts[[#Headers],[Company]], 91)</f>
        <v>27</v>
      </c>
      <c r="L195" s="109" t="str" cm="1">
        <f t="array" ref="L195">Common_InputFunctions.Utility_DisplayArrayInTable(Fertiliser_SourceData.Fertiliser_Products_Data4(),FertiliserProducts[[#Headers],[Company]], 91)</f>
        <v/>
      </c>
      <c r="M195" s="109" t="str" cm="1">
        <f t="array" ref="M195">Common_InputFunctions.Utility_DisplayArrayInTable(Fertiliser_SourceData.Fertiliser_Products_Data4(),FertiliserProducts[[#Headers],[Company]], 91)</f>
        <v/>
      </c>
      <c r="N195" s="109" t="str" cm="1">
        <f t="array" ref="N195">Common_InputFunctions.Utility_DisplayArrayInTable(Fertiliser_SourceData.Fertiliser_Products_Data4(),FertiliserProducts[[#Headers],[Company]], 91)</f>
        <v/>
      </c>
      <c r="O195" s="109" t="str" cm="1">
        <f t="array" ref="O195">Common_InputFunctions.Utility_DisplayArrayInTable(Fertiliser_SourceData.Fertiliser_Products_Data4(),FertiliserProducts[[#Headers],[Company]], 91)</f>
        <v>Calcium ammonium nitrate (CAN)</v>
      </c>
      <c r="P195" s="109" cm="1">
        <f t="array" ref="P195">Common_InputFunctions.Utility_DisplayArrayInTable(Fertiliser_SourceData.Fertiliser_Products_Data4(),FertiliserProducts[[#Headers],[Company]], 91)</f>
        <v>1</v>
      </c>
      <c r="Q195" s="109" t="str" cm="1">
        <f t="array" ref="Q195">Common_InputFunctions.Utility_DisplayArrayInTable(Fertiliser_SourceData.Fertiliser_Products_Data4(),FertiliserProducts[[#Headers],[Company]], 91)</f>
        <v/>
      </c>
      <c r="R195" s="109" t="str" cm="1">
        <f t="array" ref="R195">Common_InputFunctions.Utility_DisplayArrayInTable(Fertiliser_SourceData.Fertiliser_Products_Data4(),FertiliserProducts[[#Headers],[Company]], 91)</f>
        <v/>
      </c>
      <c r="S195" s="109" t="str" cm="1">
        <f t="array" ref="S195">Common_InputFunctions.Utility_DisplayArrayInTable(Fertiliser_SourceData.Fertiliser_Products_Data4(),FertiliserProducts[[#Headers],[Company]], 91)</f>
        <v/>
      </c>
      <c r="T195" s="109" t="str" cm="1">
        <f t="array" ref="T195">Common_InputFunctions.Utility_DisplayArrayInTable(Fertiliser_SourceData.Fertiliser_Products_Data4(),FertiliserProducts[[#Headers],[Company]], 91)</f>
        <v/>
      </c>
      <c r="U195" s="109" t="str" cm="1">
        <f t="array" ref="U195">Common_InputFunctions.Utility_DisplayArrayInTable(Fertiliser_SourceData.Fertiliser_Products_Data4(),FertiliserProducts[[#Headers],[Company]], 91)</f>
        <v/>
      </c>
      <c r="V195" s="109" t="str" cm="1">
        <f t="array" ref="V195">Common_InputFunctions.Utility_DisplayArrayInTable(Fertiliser_SourceData.Fertiliser_Products_Data4(),FertiliserProducts[[#Headers],[Company]], 91)</f>
        <v/>
      </c>
      <c r="W195" s="109" t="str" cm="1">
        <f t="array" ref="W195">Common_InputFunctions.Utility_DisplayArrayInTable(Fertiliser_SourceData.Fertiliser_Products_Data4(),FertiliserProducts[[#Headers],[Company]], 91)</f>
        <v/>
      </c>
      <c r="X195" s="109" t="str" cm="1">
        <f t="array" ref="X195">Common_InputFunctions.Utility_DisplayArrayInTable(Fertiliser_SourceData.Fertiliser_Products_Data4(),FertiliserProducts[[#Headers],[Company]], 91)</f>
        <v/>
      </c>
      <c r="Y195" s="109" t="str" cm="1">
        <f t="array" ref="Y195">Common_InputFunctions.Utility_DisplayArrayInTable(Fertiliser_SourceData.Fertiliser_Products_Data4(),FertiliserProducts[[#Headers],[Company]], 91)</f>
        <v/>
      </c>
      <c r="Z195" s="109" t="str" cm="1">
        <f t="array" ref="Z195">Common_InputFunctions.Utility_DisplayArrayInTable(Fertiliser_SourceData.Fertiliser_Products_Data4(),FertiliserProducts[[#Headers],[Company]], 91)</f>
        <v/>
      </c>
      <c r="AA195" s="109" t="str" cm="1">
        <f t="array" ref="AA195">Common_InputFunctions.Utility_DisplayArrayInTable(Fertiliser_SourceData.Fertiliser_Products_Data4(),FertiliserProducts[[#Headers],[Company]], 91)</f>
        <v/>
      </c>
      <c r="AB195" s="109" t="str" cm="1">
        <f t="array" ref="AB195">Common_InputFunctions.Utility_DisplayArrayInTable(Fertiliser_SourceData.Fertiliser_Products_Data4(),FertiliserProducts[[#Headers],[Company]], 91)</f>
        <v/>
      </c>
      <c r="AC195" s="109" t="str" cm="1">
        <f t="array" ref="AC195">Common_InputFunctions.Utility_DisplayArrayInTable(Fertiliser_SourceData.Fertiliser_Products_Data4(),FertiliserProducts[[#Headers],[Company]], 91)</f>
        <v/>
      </c>
      <c r="AD195" s="109" t="str" cm="1">
        <f t="array" ref="AD195">Common_InputFunctions.Utility_DisplayArrayInTable(Fertiliser_SourceData.Fertiliser_Products_Data4(),FertiliserProducts[[#Headers],[Company]], 91)</f>
        <v/>
      </c>
      <c r="AE195" s="109" t="str" cm="1">
        <f t="array" ref="AE195">Common_InputFunctions.Utility_DisplayArrayInTable(Fertiliser_SourceData.Fertiliser_Products_Data4(),FertiliserProducts[[#Headers],[Company]], 91)</f>
        <v/>
      </c>
      <c r="AF195" s="109" t="str" cm="1">
        <f t="array" ref="AF195">Common_InputFunctions.Utility_DisplayArrayInTable(Fertiliser_SourceData.Fertiliser_Products_Data4(),FertiliserProducts[[#Headers],[Company]], 91)</f>
        <v/>
      </c>
      <c r="AG195" s="109" t="str" cm="1">
        <f t="array" ref="AG195">Common_InputFunctions.Utility_DisplayArrayInTable(Fertiliser_SourceData.Fertiliser_Products_Data4(),FertiliserProducts[[#Headers],[Company]], 91)</f>
        <v/>
      </c>
      <c r="AH195" s="109" t="str" cm="1">
        <f t="array" ref="AH195">Common_InputFunctions.Utility_DisplayArrayInTable(Fertiliser_SourceData.Fertiliser_Products_Data4(),FertiliserProducts[[#Headers],[Company]], 91)</f>
        <v/>
      </c>
    </row>
    <row r="196" spans="4:34" x14ac:dyDescent="0.25">
      <c r="D196" s="109" t="str" cm="1">
        <f t="array" ref="D196">Common_InputFunctions.Utility_DisplayArrayInTable(Fertiliser_SourceData.Fertiliser_Products_Data4(),FertiliserProducts[[#Headers],[Company]], 91)</f>
        <v>Incitec Pivot Fertilisers</v>
      </c>
      <c r="E196" s="109" t="str" cm="1">
        <f t="array" ref="E196">Common_InputFunctions.Utility_DisplayArrayInTable(Fertiliser_SourceData.Fertiliser_Products_Data4(),FertiliserProducts[[#Headers],[Company]], 91)</f>
        <v>Cal-Gran Aftergraze</v>
      </c>
      <c r="F196" s="109" t="str" cm="1">
        <f t="array" ref="F196">Common_InputFunctions.Utility_DisplayArrayInTable(Fertiliser_SourceData.Fertiliser_Products_Data4(),FertiliserProducts[[#Headers],[Company]], 91)</f>
        <v>kg</v>
      </c>
      <c r="G196" s="109" cm="1">
        <f t="array" ref="G196">Common_InputFunctions.Utility_DisplayArrayInTable(Fertiliser_SourceData.Fertiliser_Products_Data4(),FertiliserProducts[[#Headers],[Company]], 91)</f>
        <v>1</v>
      </c>
      <c r="H196" s="109" t="str" cm="1">
        <f t="array" ref="H196">Common_InputFunctions.Utility_DisplayArrayInTable(Fertiliser_SourceData.Fertiliser_Products_Data4(),FertiliserProducts[[#Headers],[Company]], 91)</f>
        <v/>
      </c>
      <c r="I196" s="109" t="str" cm="1">
        <f t="array" ref="I196">Common_InputFunctions.Utility_DisplayArrayInTable(Fertiliser_SourceData.Fertiliser_Products_Data4(),FertiliserProducts[[#Headers],[Company]], 91)</f>
        <v/>
      </c>
      <c r="J196" s="109" t="str" cm="1">
        <f t="array" ref="J196">Common_InputFunctions.Utility_DisplayArrayInTable(Fertiliser_SourceData.Fertiliser_Products_Data4(),FertiliserProducts[[#Headers],[Company]], 91)</f>
        <v/>
      </c>
      <c r="K196" s="109" cm="1">
        <f t="array" ref="K196">Common_InputFunctions.Utility_DisplayArrayInTable(Fertiliser_SourceData.Fertiliser_Products_Data4(),FertiliserProducts[[#Headers],[Company]], 91)</f>
        <v>20.6</v>
      </c>
      <c r="L196" s="109" cm="1">
        <f t="array" ref="L196">Common_InputFunctions.Utility_DisplayArrayInTable(Fertiliser_SourceData.Fertiliser_Products_Data4(),FertiliserProducts[[#Headers],[Company]], 91)</f>
        <v>3</v>
      </c>
      <c r="M196" s="109" cm="1">
        <f t="array" ref="M196">Common_InputFunctions.Utility_DisplayArrayInTable(Fertiliser_SourceData.Fertiliser_Products_Data4(),FertiliserProducts[[#Headers],[Company]], 91)</f>
        <v>7.5</v>
      </c>
      <c r="N196" s="109" cm="1">
        <f t="array" ref="N196">Common_InputFunctions.Utility_DisplayArrayInTable(Fertiliser_SourceData.Fertiliser_Products_Data4(),FertiliserProducts[[#Headers],[Company]], 91)</f>
        <v>3.8</v>
      </c>
      <c r="O196" s="109" t="str" cm="1">
        <f t="array" ref="O196">Common_InputFunctions.Utility_DisplayArrayInTable(Fertiliser_SourceData.Fertiliser_Products_Data4(),FertiliserProducts[[#Headers],[Company]], 91)</f>
        <v>Nitrogen - Nitrate</v>
      </c>
      <c r="P196" s="109" cm="1">
        <f t="array" ref="P196">Common_InputFunctions.Utility_DisplayArrayInTable(Fertiliser_SourceData.Fertiliser_Products_Data4(),FertiliserProducts[[#Headers],[Company]], 91)</f>
        <v>6.4000000000000001E-2</v>
      </c>
      <c r="Q196" s="109" t="str" cm="1">
        <f t="array" ref="Q196">Common_InputFunctions.Utility_DisplayArrayInTable(Fertiliser_SourceData.Fertiliser_Products_Data4(),FertiliserProducts[[#Headers],[Company]], 91)</f>
        <v>Nitrogen - Ammoniacal</v>
      </c>
      <c r="R196" s="109" cm="1">
        <f t="array" ref="R196">Common_InputFunctions.Utility_DisplayArrayInTable(Fertiliser_SourceData.Fertiliser_Products_Data4(),FertiliserProducts[[#Headers],[Company]], 91)</f>
        <v>0.14199999999999999</v>
      </c>
      <c r="S196" s="109" t="str" cm="1">
        <f t="array" ref="S196">Common_InputFunctions.Utility_DisplayArrayInTable(Fertiliser_SourceData.Fertiliser_Products_Data4(),FertiliserProducts[[#Headers],[Company]], 91)</f>
        <v>Phosphorus - Generic</v>
      </c>
      <c r="T196" s="109" cm="1">
        <f t="array" ref="T196">Common_InputFunctions.Utility_DisplayArrayInTable(Fertiliser_SourceData.Fertiliser_Products_Data4(),FertiliserProducts[[#Headers],[Company]], 91)</f>
        <v>0.03</v>
      </c>
      <c r="U196" s="109" t="str" cm="1">
        <f t="array" ref="U196">Common_InputFunctions.Utility_DisplayArrayInTable(Fertiliser_SourceData.Fertiliser_Products_Data4(),FertiliserProducts[[#Headers],[Company]], 91)</f>
        <v>Potassium - Generic</v>
      </c>
      <c r="V196" s="109" cm="1">
        <f t="array" ref="V196">Common_InputFunctions.Utility_DisplayArrayInTable(Fertiliser_SourceData.Fertiliser_Products_Data4(),FertiliserProducts[[#Headers],[Company]], 91)</f>
        <v>7.4999999999999997E-2</v>
      </c>
      <c r="W196" s="109" t="str" cm="1">
        <f t="array" ref="W196">Common_InputFunctions.Utility_DisplayArrayInTable(Fertiliser_SourceData.Fertiliser_Products_Data4(),FertiliserProducts[[#Headers],[Company]], 91)</f>
        <v>Sulfur - Generic</v>
      </c>
      <c r="X196" s="109" cm="1">
        <f t="array" ref="X196">Common_InputFunctions.Utility_DisplayArrayInTable(Fertiliser_SourceData.Fertiliser_Products_Data4(),FertiliserProducts[[#Headers],[Company]], 91)</f>
        <v>3.7999999999999999E-2</v>
      </c>
      <c r="Y196" s="109" t="str" cm="1">
        <f t="array" ref="Y196">Common_InputFunctions.Utility_DisplayArrayInTable(Fertiliser_SourceData.Fertiliser_Products_Data4(),FertiliserProducts[[#Headers],[Company]], 91)</f>
        <v>Calcium</v>
      </c>
      <c r="Z196" s="109" cm="1">
        <f t="array" ref="Z196">Common_InputFunctions.Utility_DisplayArrayInTable(Fertiliser_SourceData.Fertiliser_Products_Data4(),FertiliserProducts[[#Headers],[Company]], 91)</f>
        <v>4.3999999999999997E-2</v>
      </c>
      <c r="AA196" s="109" t="str" cm="1">
        <f t="array" ref="AA196">Common_InputFunctions.Utility_DisplayArrayInTable(Fertiliser_SourceData.Fertiliser_Products_Data4(),FertiliserProducts[[#Headers],[Company]], 91)</f>
        <v/>
      </c>
      <c r="AB196" s="109" t="str" cm="1">
        <f t="array" ref="AB196">Common_InputFunctions.Utility_DisplayArrayInTable(Fertiliser_SourceData.Fertiliser_Products_Data4(),FertiliserProducts[[#Headers],[Company]], 91)</f>
        <v/>
      </c>
      <c r="AC196" s="109" t="str" cm="1">
        <f t="array" ref="AC196">Common_InputFunctions.Utility_DisplayArrayInTable(Fertiliser_SourceData.Fertiliser_Products_Data4(),FertiliserProducts[[#Headers],[Company]], 91)</f>
        <v/>
      </c>
      <c r="AD196" s="109" t="str" cm="1">
        <f t="array" ref="AD196">Common_InputFunctions.Utility_DisplayArrayInTable(Fertiliser_SourceData.Fertiliser_Products_Data4(),FertiliserProducts[[#Headers],[Company]], 91)</f>
        <v/>
      </c>
      <c r="AE196" s="109" t="str" cm="1">
        <f t="array" ref="AE196">Common_InputFunctions.Utility_DisplayArrayInTable(Fertiliser_SourceData.Fertiliser_Products_Data4(),FertiliserProducts[[#Headers],[Company]], 91)</f>
        <v/>
      </c>
      <c r="AF196" s="109" t="str" cm="1">
        <f t="array" ref="AF196">Common_InputFunctions.Utility_DisplayArrayInTable(Fertiliser_SourceData.Fertiliser_Products_Data4(),FertiliserProducts[[#Headers],[Company]], 91)</f>
        <v/>
      </c>
      <c r="AG196" s="109" t="str" cm="1">
        <f t="array" ref="AG196">Common_InputFunctions.Utility_DisplayArrayInTable(Fertiliser_SourceData.Fertiliser_Products_Data4(),FertiliserProducts[[#Headers],[Company]], 91)</f>
        <v/>
      </c>
      <c r="AH196" s="109" t="str" cm="1">
        <f t="array" ref="AH196">Common_InputFunctions.Utility_DisplayArrayInTable(Fertiliser_SourceData.Fertiliser_Products_Data4(),FertiliserProducts[[#Headers],[Company]], 91)</f>
        <v/>
      </c>
    </row>
    <row r="197" spans="4:34" x14ac:dyDescent="0.25">
      <c r="D197" s="109" t="str" cm="1">
        <f t="array" ref="D197">Common_InputFunctions.Utility_DisplayArrayInTable(Fertiliser_SourceData.Fertiliser_Products_Data4(),FertiliserProducts[[#Headers],[Company]], 91)</f>
        <v>Incitec Pivot Fertilisers</v>
      </c>
      <c r="E197" s="109" t="str" cm="1">
        <f t="array" ref="E197">Common_InputFunctions.Utility_DisplayArrayInTable(Fertiliser_SourceData.Fertiliser_Products_Data4(),FertiliserProducts[[#Headers],[Company]], 91)</f>
        <v>Cal-Gran Prodress</v>
      </c>
      <c r="F197" s="109" t="str" cm="1">
        <f t="array" ref="F197">Common_InputFunctions.Utility_DisplayArrayInTable(Fertiliser_SourceData.Fertiliser_Products_Data4(),FertiliserProducts[[#Headers],[Company]], 91)</f>
        <v>kg</v>
      </c>
      <c r="G197" s="109" cm="1">
        <f t="array" ref="G197">Common_InputFunctions.Utility_DisplayArrayInTable(Fertiliser_SourceData.Fertiliser_Products_Data4(),FertiliserProducts[[#Headers],[Company]], 91)</f>
        <v>1</v>
      </c>
      <c r="H197" s="109" t="str" cm="1">
        <f t="array" ref="H197">Common_InputFunctions.Utility_DisplayArrayInTable(Fertiliser_SourceData.Fertiliser_Products_Data4(),FertiliserProducts[[#Headers],[Company]], 91)</f>
        <v/>
      </c>
      <c r="I197" s="109" t="str" cm="1">
        <f t="array" ref="I197">Common_InputFunctions.Utility_DisplayArrayInTable(Fertiliser_SourceData.Fertiliser_Products_Data4(),FertiliserProducts[[#Headers],[Company]], 91)</f>
        <v/>
      </c>
      <c r="J197" s="109" t="str" cm="1">
        <f t="array" ref="J197">Common_InputFunctions.Utility_DisplayArrayInTable(Fertiliser_SourceData.Fertiliser_Products_Data4(),FertiliserProducts[[#Headers],[Company]], 91)</f>
        <v/>
      </c>
      <c r="K197" s="109" cm="1">
        <f t="array" ref="K197">Common_InputFunctions.Utility_DisplayArrayInTable(Fertiliser_SourceData.Fertiliser_Products_Data4(),FertiliserProducts[[#Headers],[Company]], 91)</f>
        <v>17.8</v>
      </c>
      <c r="L197" s="109" cm="1">
        <f t="array" ref="L197">Common_InputFunctions.Utility_DisplayArrayInTable(Fertiliser_SourceData.Fertiliser_Products_Data4(),FertiliserProducts[[#Headers],[Company]], 91)</f>
        <v>1</v>
      </c>
      <c r="M197" s="109" cm="1">
        <f t="array" ref="M197">Common_InputFunctions.Utility_DisplayArrayInTable(Fertiliser_SourceData.Fertiliser_Products_Data4(),FertiliserProducts[[#Headers],[Company]], 91)</f>
        <v>15</v>
      </c>
      <c r="N197" s="109" cm="1">
        <f t="array" ref="N197">Common_InputFunctions.Utility_DisplayArrayInTable(Fertiliser_SourceData.Fertiliser_Products_Data4(),FertiliserProducts[[#Headers],[Company]], 91)</f>
        <v>2.5</v>
      </c>
      <c r="O197" s="109" t="str" cm="1">
        <f t="array" ref="O197">Common_InputFunctions.Utility_DisplayArrayInTable(Fertiliser_SourceData.Fertiliser_Products_Data4(),FertiliserProducts[[#Headers],[Company]], 91)</f>
        <v>Nitrogen - Nitrate</v>
      </c>
      <c r="P197" s="109" cm="1">
        <f t="array" ref="P197">Common_InputFunctions.Utility_DisplayArrayInTable(Fertiliser_SourceData.Fertiliser_Products_Data4(),FertiliserProducts[[#Headers],[Company]], 91)</f>
        <v>5.5E-2</v>
      </c>
      <c r="Q197" s="109" t="str" cm="1">
        <f t="array" ref="Q197">Common_InputFunctions.Utility_DisplayArrayInTable(Fertiliser_SourceData.Fertiliser_Products_Data4(),FertiliserProducts[[#Headers],[Company]], 91)</f>
        <v>Nitrogen - Ammoniacal</v>
      </c>
      <c r="R197" s="109" cm="1">
        <f t="array" ref="R197">Common_InputFunctions.Utility_DisplayArrayInTable(Fertiliser_SourceData.Fertiliser_Products_Data4(),FertiliserProducts[[#Headers],[Company]], 91)</f>
        <v>0.123</v>
      </c>
      <c r="S197" s="109" t="str" cm="1">
        <f t="array" ref="S197">Common_InputFunctions.Utility_DisplayArrayInTable(Fertiliser_SourceData.Fertiliser_Products_Data4(),FertiliserProducts[[#Headers],[Company]], 91)</f>
        <v>Phosphorus - Generic</v>
      </c>
      <c r="T197" s="109" cm="1">
        <f t="array" ref="T197">Common_InputFunctions.Utility_DisplayArrayInTable(Fertiliser_SourceData.Fertiliser_Products_Data4(),FertiliserProducts[[#Headers],[Company]], 91)</f>
        <v>0.01</v>
      </c>
      <c r="U197" s="109" t="str" cm="1">
        <f t="array" ref="U197">Common_InputFunctions.Utility_DisplayArrayInTable(Fertiliser_SourceData.Fertiliser_Products_Data4(),FertiliserProducts[[#Headers],[Company]], 91)</f>
        <v>Potassium - Generic</v>
      </c>
      <c r="V197" s="109" cm="1">
        <f t="array" ref="V197">Common_InputFunctions.Utility_DisplayArrayInTable(Fertiliser_SourceData.Fertiliser_Products_Data4(),FertiliserProducts[[#Headers],[Company]], 91)</f>
        <v>0.15</v>
      </c>
      <c r="W197" s="109" t="str" cm="1">
        <f t="array" ref="W197">Common_InputFunctions.Utility_DisplayArrayInTable(Fertiliser_SourceData.Fertiliser_Products_Data4(),FertiliserProducts[[#Headers],[Company]], 91)</f>
        <v>Sulfur - Generic</v>
      </c>
      <c r="X197" s="109" cm="1">
        <f t="array" ref="X197">Common_InputFunctions.Utility_DisplayArrayInTable(Fertiliser_SourceData.Fertiliser_Products_Data4(),FertiliserProducts[[#Headers],[Company]], 91)</f>
        <v>2.5000000000000001E-2</v>
      </c>
      <c r="Y197" s="109" t="str" cm="1">
        <f t="array" ref="Y197">Common_InputFunctions.Utility_DisplayArrayInTable(Fertiliser_SourceData.Fertiliser_Products_Data4(),FertiliserProducts[[#Headers],[Company]], 91)</f>
        <v>Calcium</v>
      </c>
      <c r="Z197" s="109" cm="1">
        <f t="array" ref="Z197">Common_InputFunctions.Utility_DisplayArrayInTable(Fertiliser_SourceData.Fertiliser_Products_Data4(),FertiliserProducts[[#Headers],[Company]], 91)</f>
        <v>4.3999999999999997E-2</v>
      </c>
      <c r="AA197" s="109" t="str" cm="1">
        <f t="array" ref="AA197">Common_InputFunctions.Utility_DisplayArrayInTable(Fertiliser_SourceData.Fertiliser_Products_Data4(),FertiliserProducts[[#Headers],[Company]], 91)</f>
        <v/>
      </c>
      <c r="AB197" s="109" t="str" cm="1">
        <f t="array" ref="AB197">Common_InputFunctions.Utility_DisplayArrayInTable(Fertiliser_SourceData.Fertiliser_Products_Data4(),FertiliserProducts[[#Headers],[Company]], 91)</f>
        <v/>
      </c>
      <c r="AC197" s="109" t="str" cm="1">
        <f t="array" ref="AC197">Common_InputFunctions.Utility_DisplayArrayInTable(Fertiliser_SourceData.Fertiliser_Products_Data4(),FertiliserProducts[[#Headers],[Company]], 91)</f>
        <v/>
      </c>
      <c r="AD197" s="109" t="str" cm="1">
        <f t="array" ref="AD197">Common_InputFunctions.Utility_DisplayArrayInTable(Fertiliser_SourceData.Fertiliser_Products_Data4(),FertiliserProducts[[#Headers],[Company]], 91)</f>
        <v/>
      </c>
      <c r="AE197" s="109" t="str" cm="1">
        <f t="array" ref="AE197">Common_InputFunctions.Utility_DisplayArrayInTable(Fertiliser_SourceData.Fertiliser_Products_Data4(),FertiliserProducts[[#Headers],[Company]], 91)</f>
        <v/>
      </c>
      <c r="AF197" s="109" t="str" cm="1">
        <f t="array" ref="AF197">Common_InputFunctions.Utility_DisplayArrayInTable(Fertiliser_SourceData.Fertiliser_Products_Data4(),FertiliserProducts[[#Headers],[Company]], 91)</f>
        <v/>
      </c>
      <c r="AG197" s="109" t="str" cm="1">
        <f t="array" ref="AG197">Common_InputFunctions.Utility_DisplayArrayInTable(Fertiliser_SourceData.Fertiliser_Products_Data4(),FertiliserProducts[[#Headers],[Company]], 91)</f>
        <v/>
      </c>
      <c r="AH197" s="109" t="str" cm="1">
        <f t="array" ref="AH197">Common_InputFunctions.Utility_DisplayArrayInTable(Fertiliser_SourceData.Fertiliser_Products_Data4(),FertiliserProducts[[#Headers],[Company]], 91)</f>
        <v/>
      </c>
    </row>
    <row r="198" spans="4:34" x14ac:dyDescent="0.25">
      <c r="D198" s="109" t="str" cm="1">
        <f t="array" ref="D198">Common_InputFunctions.Utility_DisplayArrayInTable(Fertiliser_SourceData.Fertiliser_Products_Data4(),FertiliserProducts[[#Headers],[Company]], 91)</f>
        <v>Wengfu Australia</v>
      </c>
      <c r="E198" s="109" t="str" cm="1">
        <f t="array" ref="E198">Common_InputFunctions.Utility_DisplayArrayInTable(Fertiliser_SourceData.Fertiliser_Products_Data4(),FertiliserProducts[[#Headers],[Company]], 91)</f>
        <v>Wengfu PrimeZinc 10</v>
      </c>
      <c r="F198" s="109" t="str" cm="1">
        <f t="array" ref="F198">Common_InputFunctions.Utility_DisplayArrayInTable(Fertiliser_SourceData.Fertiliser_Products_Data4(),FertiliserProducts[[#Headers],[Company]], 91)</f>
        <v>kg</v>
      </c>
      <c r="G198" s="109" cm="1">
        <f t="array" ref="G198">Common_InputFunctions.Utility_DisplayArrayInTable(Fertiliser_SourceData.Fertiliser_Products_Data4(),FertiliserProducts[[#Headers],[Company]], 91)</f>
        <v>1</v>
      </c>
      <c r="H198" s="109" t="str" cm="1">
        <f t="array" ref="H198">Common_InputFunctions.Utility_DisplayArrayInTable(Fertiliser_SourceData.Fertiliser_Products_Data4(),FertiliserProducts[[#Headers],[Company]], 91)</f>
        <v/>
      </c>
      <c r="I198" s="109" t="str" cm="1">
        <f t="array" ref="I198">Common_InputFunctions.Utility_DisplayArrayInTable(Fertiliser_SourceData.Fertiliser_Products_Data4(),FertiliserProducts[[#Headers],[Company]], 91)</f>
        <v/>
      </c>
      <c r="J198" s="109" t="str" cm="1">
        <f t="array" ref="J198">Common_InputFunctions.Utility_DisplayArrayInTable(Fertiliser_SourceData.Fertiliser_Products_Data4(),FertiliserProducts[[#Headers],[Company]], 91)</f>
        <v/>
      </c>
      <c r="K198" s="109" cm="1">
        <f t="array" ref="K198">Common_InputFunctions.Utility_DisplayArrayInTable(Fertiliser_SourceData.Fertiliser_Products_Data4(),FertiliserProducts[[#Headers],[Company]], 91)</f>
        <v>10</v>
      </c>
      <c r="L198" s="109" cm="1">
        <f t="array" ref="L198">Common_InputFunctions.Utility_DisplayArrayInTable(Fertiliser_SourceData.Fertiliser_Products_Data4(),FertiliserProducts[[#Headers],[Company]], 91)</f>
        <v>22</v>
      </c>
      <c r="M198" s="109" t="str" cm="1">
        <f t="array" ref="M198">Common_InputFunctions.Utility_DisplayArrayInTable(Fertiliser_SourceData.Fertiliser_Products_Data4(),FertiliserProducts[[#Headers],[Company]], 91)</f>
        <v/>
      </c>
      <c r="N198" s="109" cm="1">
        <f t="array" ref="N198">Common_InputFunctions.Utility_DisplayArrayInTable(Fertiliser_SourceData.Fertiliser_Products_Data4(),FertiliserProducts[[#Headers],[Company]], 91)</f>
        <v>1.5</v>
      </c>
      <c r="O198" s="109" t="str" cm="1">
        <f t="array" ref="O198">Common_InputFunctions.Utility_DisplayArrayInTable(Fertiliser_SourceData.Fertiliser_Products_Data4(),FertiliserProducts[[#Headers],[Company]], 91)</f>
        <v>Nitrogen - Generic</v>
      </c>
      <c r="P198" s="109" cm="1">
        <f t="array" ref="P198">Common_InputFunctions.Utility_DisplayArrayInTable(Fertiliser_SourceData.Fertiliser_Products_Data4(),FertiliserProducts[[#Headers],[Company]], 91)</f>
        <v>0.1</v>
      </c>
      <c r="Q198" s="109" t="str" cm="1">
        <f t="array" ref="Q198">Common_InputFunctions.Utility_DisplayArrayInTable(Fertiliser_SourceData.Fertiliser_Products_Data4(),FertiliserProducts[[#Headers],[Company]], 91)</f>
        <v>Phosphorus - Generic</v>
      </c>
      <c r="R198" s="109" cm="1">
        <f t="array" ref="R198">Common_InputFunctions.Utility_DisplayArrayInTable(Fertiliser_SourceData.Fertiliser_Products_Data4(),FertiliserProducts[[#Headers],[Company]], 91)</f>
        <v>0.22</v>
      </c>
      <c r="S198" s="109" t="str" cm="1">
        <f t="array" ref="S198">Common_InputFunctions.Utility_DisplayArrayInTable(Fertiliser_SourceData.Fertiliser_Products_Data4(),FertiliserProducts[[#Headers],[Company]], 91)</f>
        <v>Sulfur - Generic</v>
      </c>
      <c r="T198" s="109" cm="1">
        <f t="array" ref="T198">Common_InputFunctions.Utility_DisplayArrayInTable(Fertiliser_SourceData.Fertiliser_Products_Data4(),FertiliserProducts[[#Headers],[Company]], 91)</f>
        <v>1.4999999999999999E-2</v>
      </c>
      <c r="U198" s="109" t="str" cm="1">
        <f t="array" ref="U198">Common_InputFunctions.Utility_DisplayArrayInTable(Fertiliser_SourceData.Fertiliser_Products_Data4(),FertiliserProducts[[#Headers],[Company]], 91)</f>
        <v>Zinc</v>
      </c>
      <c r="V198" s="109" cm="1">
        <f t="array" ref="V198">Common_InputFunctions.Utility_DisplayArrayInTable(Fertiliser_SourceData.Fertiliser_Products_Data4(),FertiliserProducts[[#Headers],[Company]], 91)</f>
        <v>0.01</v>
      </c>
      <c r="W198" s="109" t="str" cm="1">
        <f t="array" ref="W198">Common_InputFunctions.Utility_DisplayArrayInTable(Fertiliser_SourceData.Fertiliser_Products_Data4(),FertiliserProducts[[#Headers],[Company]], 91)</f>
        <v/>
      </c>
      <c r="X198" s="109" t="str" cm="1">
        <f t="array" ref="X198">Common_InputFunctions.Utility_DisplayArrayInTable(Fertiliser_SourceData.Fertiliser_Products_Data4(),FertiliserProducts[[#Headers],[Company]], 91)</f>
        <v/>
      </c>
      <c r="Y198" s="109" t="str" cm="1">
        <f t="array" ref="Y198">Common_InputFunctions.Utility_DisplayArrayInTable(Fertiliser_SourceData.Fertiliser_Products_Data4(),FertiliserProducts[[#Headers],[Company]], 91)</f>
        <v/>
      </c>
      <c r="Z198" s="109" t="str" cm="1">
        <f t="array" ref="Z198">Common_InputFunctions.Utility_DisplayArrayInTable(Fertiliser_SourceData.Fertiliser_Products_Data4(),FertiliserProducts[[#Headers],[Company]], 91)</f>
        <v/>
      </c>
      <c r="AA198" s="109" t="str" cm="1">
        <f t="array" ref="AA198">Common_InputFunctions.Utility_DisplayArrayInTable(Fertiliser_SourceData.Fertiliser_Products_Data4(),FertiliserProducts[[#Headers],[Company]], 91)</f>
        <v/>
      </c>
      <c r="AB198" s="109" t="str" cm="1">
        <f t="array" ref="AB198">Common_InputFunctions.Utility_DisplayArrayInTable(Fertiliser_SourceData.Fertiliser_Products_Data4(),FertiliserProducts[[#Headers],[Company]], 91)</f>
        <v/>
      </c>
      <c r="AC198" s="109" t="str" cm="1">
        <f t="array" ref="AC198">Common_InputFunctions.Utility_DisplayArrayInTable(Fertiliser_SourceData.Fertiliser_Products_Data4(),FertiliserProducts[[#Headers],[Company]], 91)</f>
        <v/>
      </c>
      <c r="AD198" s="109" t="str" cm="1">
        <f t="array" ref="AD198">Common_InputFunctions.Utility_DisplayArrayInTable(Fertiliser_SourceData.Fertiliser_Products_Data4(),FertiliserProducts[[#Headers],[Company]], 91)</f>
        <v/>
      </c>
      <c r="AE198" s="109" t="str" cm="1">
        <f t="array" ref="AE198">Common_InputFunctions.Utility_DisplayArrayInTable(Fertiliser_SourceData.Fertiliser_Products_Data4(),FertiliserProducts[[#Headers],[Company]], 91)</f>
        <v/>
      </c>
      <c r="AF198" s="109" t="str" cm="1">
        <f t="array" ref="AF198">Common_InputFunctions.Utility_DisplayArrayInTable(Fertiliser_SourceData.Fertiliser_Products_Data4(),FertiliserProducts[[#Headers],[Company]], 91)</f>
        <v/>
      </c>
      <c r="AG198" s="109" t="str" cm="1">
        <f t="array" ref="AG198">Common_InputFunctions.Utility_DisplayArrayInTable(Fertiliser_SourceData.Fertiliser_Products_Data4(),FertiliserProducts[[#Headers],[Company]], 91)</f>
        <v/>
      </c>
      <c r="AH198" s="109" t="str" cm="1">
        <f t="array" ref="AH198">Common_InputFunctions.Utility_DisplayArrayInTable(Fertiliser_SourceData.Fertiliser_Products_Data4(),FertiliserProducts[[#Headers],[Company]], 91)</f>
        <v/>
      </c>
    </row>
    <row r="199" spans="4:34" x14ac:dyDescent="0.25">
      <c r="D199" s="109" t="str" cm="1">
        <f t="array" ref="D199">Common_InputFunctions.Utility_DisplayArrayInTable(Fertiliser_SourceData.Fertiliser_Products_Data4(),FertiliserProducts[[#Headers],[Company]], 91)</f>
        <v>Wengfu Australia</v>
      </c>
      <c r="E199" s="109" t="str" cm="1">
        <f t="array" ref="E199">Common_InputFunctions.Utility_DisplayArrayInTable(Fertiliser_SourceData.Fertiliser_Products_Data4(),FertiliserProducts[[#Headers],[Company]], 91)</f>
        <v>Wengfu Pasture King</v>
      </c>
      <c r="F199" s="109" t="str" cm="1">
        <f t="array" ref="F199">Common_InputFunctions.Utility_DisplayArrayInTable(Fertiliser_SourceData.Fertiliser_Products_Data4(),FertiliserProducts[[#Headers],[Company]], 91)</f>
        <v>kg</v>
      </c>
      <c r="G199" s="109" cm="1">
        <f t="array" ref="G199">Common_InputFunctions.Utility_DisplayArrayInTable(Fertiliser_SourceData.Fertiliser_Products_Data4(),FertiliserProducts[[#Headers],[Company]], 91)</f>
        <v>1</v>
      </c>
      <c r="H199" s="109" t="str" cm="1">
        <f t="array" ref="H199">Common_InputFunctions.Utility_DisplayArrayInTable(Fertiliser_SourceData.Fertiliser_Products_Data4(),FertiliserProducts[[#Headers],[Company]], 91)</f>
        <v/>
      </c>
      <c r="I199" s="109" t="str" cm="1">
        <f t="array" ref="I199">Common_InputFunctions.Utility_DisplayArrayInTable(Fertiliser_SourceData.Fertiliser_Products_Data4(),FertiliserProducts[[#Headers],[Company]], 91)</f>
        <v/>
      </c>
      <c r="J199" s="109" t="str" cm="1">
        <f t="array" ref="J199">Common_InputFunctions.Utility_DisplayArrayInTable(Fertiliser_SourceData.Fertiliser_Products_Data4(),FertiliserProducts[[#Headers],[Company]], 91)</f>
        <v/>
      </c>
      <c r="K199" s="109" t="str" cm="1">
        <f t="array" ref="K199">Common_InputFunctions.Utility_DisplayArrayInTable(Fertiliser_SourceData.Fertiliser_Products_Data4(),FertiliserProducts[[#Headers],[Company]], 91)</f>
        <v/>
      </c>
      <c r="L199" s="109" cm="1">
        <f t="array" ref="L199">Common_InputFunctions.Utility_DisplayArrayInTable(Fertiliser_SourceData.Fertiliser_Products_Data4(),FertiliserProducts[[#Headers],[Company]], 91)</f>
        <v>15.7</v>
      </c>
      <c r="M199" s="109" t="str" cm="1">
        <f t="array" ref="M199">Common_InputFunctions.Utility_DisplayArrayInTable(Fertiliser_SourceData.Fertiliser_Products_Data4(),FertiliserProducts[[#Headers],[Company]], 91)</f>
        <v/>
      </c>
      <c r="N199" s="109" cm="1">
        <f t="array" ref="N199">Common_InputFunctions.Utility_DisplayArrayInTable(Fertiliser_SourceData.Fertiliser_Products_Data4(),FertiliserProducts[[#Headers],[Company]], 91)</f>
        <v>4.5999999999999996</v>
      </c>
      <c r="O199" s="109" t="str" cm="1">
        <f t="array" ref="O199">Common_InputFunctions.Utility_DisplayArrayInTable(Fertiliser_SourceData.Fertiliser_Products_Data4(),FertiliserProducts[[#Headers],[Company]], 91)</f>
        <v>Phosphorus - Generic</v>
      </c>
      <c r="P199" s="109" cm="1">
        <f t="array" ref="P199">Common_InputFunctions.Utility_DisplayArrayInTable(Fertiliser_SourceData.Fertiliser_Products_Data4(),FertiliserProducts[[#Headers],[Company]], 91)</f>
        <v>0.157</v>
      </c>
      <c r="Q199" s="109" t="str" cm="1">
        <f t="array" ref="Q199">Common_InputFunctions.Utility_DisplayArrayInTable(Fertiliser_SourceData.Fertiliser_Products_Data4(),FertiliserProducts[[#Headers],[Company]], 91)</f>
        <v>Sulfur - Generic</v>
      </c>
      <c r="R199" s="109" cm="1">
        <f t="array" ref="R199">Common_InputFunctions.Utility_DisplayArrayInTable(Fertiliser_SourceData.Fertiliser_Products_Data4(),FertiliserProducts[[#Headers],[Company]], 91)</f>
        <v>4.5999999999999999E-2</v>
      </c>
      <c r="S199" s="109" t="str" cm="1">
        <f t="array" ref="S199">Common_InputFunctions.Utility_DisplayArrayInTable(Fertiliser_SourceData.Fertiliser_Products_Data4(),FertiliserProducts[[#Headers],[Company]], 91)</f>
        <v>Calcium</v>
      </c>
      <c r="T199" s="109" cm="1">
        <f t="array" ref="T199">Common_InputFunctions.Utility_DisplayArrayInTable(Fertiliser_SourceData.Fertiliser_Products_Data4(),FertiliserProducts[[#Headers],[Company]], 91)</f>
        <v>0.14000000000000001</v>
      </c>
      <c r="U199" s="109" t="str" cm="1">
        <f t="array" ref="U199">Common_InputFunctions.Utility_DisplayArrayInTable(Fertiliser_SourceData.Fertiliser_Products_Data4(),FertiliserProducts[[#Headers],[Company]], 91)</f>
        <v/>
      </c>
      <c r="V199" s="109" t="str" cm="1">
        <f t="array" ref="V199">Common_InputFunctions.Utility_DisplayArrayInTable(Fertiliser_SourceData.Fertiliser_Products_Data4(),FertiliserProducts[[#Headers],[Company]], 91)</f>
        <v/>
      </c>
      <c r="W199" s="109" t="str" cm="1">
        <f t="array" ref="W199">Common_InputFunctions.Utility_DisplayArrayInTable(Fertiliser_SourceData.Fertiliser_Products_Data4(),FertiliserProducts[[#Headers],[Company]], 91)</f>
        <v/>
      </c>
      <c r="X199" s="109" t="str" cm="1">
        <f t="array" ref="X199">Common_InputFunctions.Utility_DisplayArrayInTable(Fertiliser_SourceData.Fertiliser_Products_Data4(),FertiliserProducts[[#Headers],[Company]], 91)</f>
        <v/>
      </c>
      <c r="Y199" s="109" t="str" cm="1">
        <f t="array" ref="Y199">Common_InputFunctions.Utility_DisplayArrayInTable(Fertiliser_SourceData.Fertiliser_Products_Data4(),FertiliserProducts[[#Headers],[Company]], 91)</f>
        <v/>
      </c>
      <c r="Z199" s="109" t="str" cm="1">
        <f t="array" ref="Z199">Common_InputFunctions.Utility_DisplayArrayInTable(Fertiliser_SourceData.Fertiliser_Products_Data4(),FertiliserProducts[[#Headers],[Company]], 91)</f>
        <v/>
      </c>
      <c r="AA199" s="109" t="str" cm="1">
        <f t="array" ref="AA199">Common_InputFunctions.Utility_DisplayArrayInTable(Fertiliser_SourceData.Fertiliser_Products_Data4(),FertiliserProducts[[#Headers],[Company]], 91)</f>
        <v/>
      </c>
      <c r="AB199" s="109" t="str" cm="1">
        <f t="array" ref="AB199">Common_InputFunctions.Utility_DisplayArrayInTable(Fertiliser_SourceData.Fertiliser_Products_Data4(),FertiliserProducts[[#Headers],[Company]], 91)</f>
        <v/>
      </c>
      <c r="AC199" s="109" t="str" cm="1">
        <f t="array" ref="AC199">Common_InputFunctions.Utility_DisplayArrayInTable(Fertiliser_SourceData.Fertiliser_Products_Data4(),FertiliserProducts[[#Headers],[Company]], 91)</f>
        <v/>
      </c>
      <c r="AD199" s="109" t="str" cm="1">
        <f t="array" ref="AD199">Common_InputFunctions.Utility_DisplayArrayInTable(Fertiliser_SourceData.Fertiliser_Products_Data4(),FertiliserProducts[[#Headers],[Company]], 91)</f>
        <v/>
      </c>
      <c r="AE199" s="109" t="str" cm="1">
        <f t="array" ref="AE199">Common_InputFunctions.Utility_DisplayArrayInTable(Fertiliser_SourceData.Fertiliser_Products_Data4(),FertiliserProducts[[#Headers],[Company]], 91)</f>
        <v/>
      </c>
      <c r="AF199" s="109" t="str" cm="1">
        <f t="array" ref="AF199">Common_InputFunctions.Utility_DisplayArrayInTable(Fertiliser_SourceData.Fertiliser_Products_Data4(),FertiliserProducts[[#Headers],[Company]], 91)</f>
        <v/>
      </c>
      <c r="AG199" s="109" t="str" cm="1">
        <f t="array" ref="AG199">Common_InputFunctions.Utility_DisplayArrayInTable(Fertiliser_SourceData.Fertiliser_Products_Data4(),FertiliserProducts[[#Headers],[Company]], 91)</f>
        <v/>
      </c>
      <c r="AH199" s="109" t="str" cm="1">
        <f t="array" ref="AH199">Common_InputFunctions.Utility_DisplayArrayInTable(Fertiliser_SourceData.Fertiliser_Products_Data4(),FertiliserProducts[[#Headers],[Company]], 91)</f>
        <v/>
      </c>
    </row>
    <row r="200" spans="4:34" x14ac:dyDescent="0.25">
      <c r="D200" s="109" t="str" cm="1">
        <f t="array" ref="D200">Common_InputFunctions.Utility_DisplayArrayInTable(Fertiliser_SourceData.Fertiliser_Products_Data4(),FertiliserProducts[[#Headers],[Company]], 91)</f>
        <v>Wengfu Australia</v>
      </c>
      <c r="E200" s="109" t="str" cm="1">
        <f t="array" ref="E200">Common_InputFunctions.Utility_DisplayArrayInTable(Fertiliser_SourceData.Fertiliser_Products_Data4(),FertiliserProducts[[#Headers],[Company]], 91)</f>
        <v>Wengfu SuStain</v>
      </c>
      <c r="F200" s="109" t="str" cm="1">
        <f t="array" ref="F200">Common_InputFunctions.Utility_DisplayArrayInTable(Fertiliser_SourceData.Fertiliser_Products_Data4(),FertiliserProducts[[#Headers],[Company]], 91)</f>
        <v>kg</v>
      </c>
      <c r="G200" s="109" cm="1">
        <f t="array" ref="G200">Common_InputFunctions.Utility_DisplayArrayInTable(Fertiliser_SourceData.Fertiliser_Products_Data4(),FertiliserProducts[[#Headers],[Company]], 91)</f>
        <v>1</v>
      </c>
      <c r="H200" s="109" t="str" cm="1">
        <f t="array" ref="H200">Common_InputFunctions.Utility_DisplayArrayInTable(Fertiliser_SourceData.Fertiliser_Products_Data4(),FertiliserProducts[[#Headers],[Company]], 91)</f>
        <v/>
      </c>
      <c r="I200" s="109" t="str" cm="1">
        <f t="array" ref="I200">Common_InputFunctions.Utility_DisplayArrayInTable(Fertiliser_SourceData.Fertiliser_Products_Data4(),FertiliserProducts[[#Headers],[Company]], 91)</f>
        <v/>
      </c>
      <c r="J200" s="109" t="str" cm="1">
        <f t="array" ref="J200">Common_InputFunctions.Utility_DisplayArrayInTable(Fertiliser_SourceData.Fertiliser_Products_Data4(),FertiliserProducts[[#Headers],[Company]], 91)</f>
        <v/>
      </c>
      <c r="K200" s="109" t="str" cm="1">
        <f t="array" ref="K200">Common_InputFunctions.Utility_DisplayArrayInTable(Fertiliser_SourceData.Fertiliser_Products_Data4(),FertiliserProducts[[#Headers],[Company]], 91)</f>
        <v/>
      </c>
      <c r="L200" s="109" t="str" cm="1">
        <f t="array" ref="L200">Common_InputFunctions.Utility_DisplayArrayInTable(Fertiliser_SourceData.Fertiliser_Products_Data4(),FertiliserProducts[[#Headers],[Company]], 91)</f>
        <v/>
      </c>
      <c r="M200" s="109" t="str" cm="1">
        <f t="array" ref="M200">Common_InputFunctions.Utility_DisplayArrayInTable(Fertiliser_SourceData.Fertiliser_Products_Data4(),FertiliserProducts[[#Headers],[Company]], 91)</f>
        <v/>
      </c>
      <c r="N200" s="109" cm="1">
        <f t="array" ref="N200">Common_InputFunctions.Utility_DisplayArrayInTable(Fertiliser_SourceData.Fertiliser_Products_Data4(),FertiliserProducts[[#Headers],[Company]], 91)</f>
        <v>90</v>
      </c>
      <c r="O200" s="109" t="str" cm="1">
        <f t="array" ref="O200">Common_InputFunctions.Utility_DisplayArrayInTable(Fertiliser_SourceData.Fertiliser_Products_Data4(),FertiliserProducts[[#Headers],[Company]], 91)</f>
        <v>Sulfur - Generic</v>
      </c>
      <c r="P200" s="109" cm="1">
        <f t="array" ref="P200">Common_InputFunctions.Utility_DisplayArrayInTable(Fertiliser_SourceData.Fertiliser_Products_Data4(),FertiliserProducts[[#Headers],[Company]], 91)</f>
        <v>0.9</v>
      </c>
      <c r="Q200" s="109" t="str" cm="1">
        <f t="array" ref="Q200">Common_InputFunctions.Utility_DisplayArrayInTable(Fertiliser_SourceData.Fertiliser_Products_Data4(),FertiliserProducts[[#Headers],[Company]], 91)</f>
        <v/>
      </c>
      <c r="R200" s="109" t="str" cm="1">
        <f t="array" ref="R200">Common_InputFunctions.Utility_DisplayArrayInTable(Fertiliser_SourceData.Fertiliser_Products_Data4(),FertiliserProducts[[#Headers],[Company]], 91)</f>
        <v/>
      </c>
      <c r="S200" s="109" t="str" cm="1">
        <f t="array" ref="S200">Common_InputFunctions.Utility_DisplayArrayInTable(Fertiliser_SourceData.Fertiliser_Products_Data4(),FertiliserProducts[[#Headers],[Company]], 91)</f>
        <v/>
      </c>
      <c r="T200" s="109" t="str" cm="1">
        <f t="array" ref="T200">Common_InputFunctions.Utility_DisplayArrayInTable(Fertiliser_SourceData.Fertiliser_Products_Data4(),FertiliserProducts[[#Headers],[Company]], 91)</f>
        <v/>
      </c>
      <c r="U200" s="109" t="str" cm="1">
        <f t="array" ref="U200">Common_InputFunctions.Utility_DisplayArrayInTable(Fertiliser_SourceData.Fertiliser_Products_Data4(),FertiliserProducts[[#Headers],[Company]], 91)</f>
        <v/>
      </c>
      <c r="V200" s="109" t="str" cm="1">
        <f t="array" ref="V200">Common_InputFunctions.Utility_DisplayArrayInTable(Fertiliser_SourceData.Fertiliser_Products_Data4(),FertiliserProducts[[#Headers],[Company]], 91)</f>
        <v/>
      </c>
      <c r="W200" s="109" t="str" cm="1">
        <f t="array" ref="W200">Common_InputFunctions.Utility_DisplayArrayInTable(Fertiliser_SourceData.Fertiliser_Products_Data4(),FertiliserProducts[[#Headers],[Company]], 91)</f>
        <v/>
      </c>
      <c r="X200" s="109" t="str" cm="1">
        <f t="array" ref="X200">Common_InputFunctions.Utility_DisplayArrayInTable(Fertiliser_SourceData.Fertiliser_Products_Data4(),FertiliserProducts[[#Headers],[Company]], 91)</f>
        <v/>
      </c>
      <c r="Y200" s="109" t="str" cm="1">
        <f t="array" ref="Y200">Common_InputFunctions.Utility_DisplayArrayInTable(Fertiliser_SourceData.Fertiliser_Products_Data4(),FertiliserProducts[[#Headers],[Company]], 91)</f>
        <v/>
      </c>
      <c r="Z200" s="109" t="str" cm="1">
        <f t="array" ref="Z200">Common_InputFunctions.Utility_DisplayArrayInTable(Fertiliser_SourceData.Fertiliser_Products_Data4(),FertiliserProducts[[#Headers],[Company]], 91)</f>
        <v/>
      </c>
      <c r="AA200" s="109" t="str" cm="1">
        <f t="array" ref="AA200">Common_InputFunctions.Utility_DisplayArrayInTable(Fertiliser_SourceData.Fertiliser_Products_Data4(),FertiliserProducts[[#Headers],[Company]], 91)</f>
        <v/>
      </c>
      <c r="AB200" s="109" t="str" cm="1">
        <f t="array" ref="AB200">Common_InputFunctions.Utility_DisplayArrayInTable(Fertiliser_SourceData.Fertiliser_Products_Data4(),FertiliserProducts[[#Headers],[Company]], 91)</f>
        <v/>
      </c>
      <c r="AC200" s="109" t="str" cm="1">
        <f t="array" ref="AC200">Common_InputFunctions.Utility_DisplayArrayInTable(Fertiliser_SourceData.Fertiliser_Products_Data4(),FertiliserProducts[[#Headers],[Company]], 91)</f>
        <v/>
      </c>
      <c r="AD200" s="109" t="str" cm="1">
        <f t="array" ref="AD200">Common_InputFunctions.Utility_DisplayArrayInTable(Fertiliser_SourceData.Fertiliser_Products_Data4(),FertiliserProducts[[#Headers],[Company]], 91)</f>
        <v/>
      </c>
      <c r="AE200" s="109" t="str" cm="1">
        <f t="array" ref="AE200">Common_InputFunctions.Utility_DisplayArrayInTable(Fertiliser_SourceData.Fertiliser_Products_Data4(),FertiliserProducts[[#Headers],[Company]], 91)</f>
        <v/>
      </c>
      <c r="AF200" s="109" t="str" cm="1">
        <f t="array" ref="AF200">Common_InputFunctions.Utility_DisplayArrayInTable(Fertiliser_SourceData.Fertiliser_Products_Data4(),FertiliserProducts[[#Headers],[Company]], 91)</f>
        <v/>
      </c>
      <c r="AG200" s="109" t="str" cm="1">
        <f t="array" ref="AG200">Common_InputFunctions.Utility_DisplayArrayInTable(Fertiliser_SourceData.Fertiliser_Products_Data4(),FertiliserProducts[[#Headers],[Company]], 91)</f>
        <v/>
      </c>
      <c r="AH200" s="109" t="str" cm="1">
        <f t="array" ref="AH200">Common_InputFunctions.Utility_DisplayArrayInTable(Fertiliser_SourceData.Fertiliser_Products_Data4(),FertiliserProducts[[#Headers],[Company]], 91)</f>
        <v/>
      </c>
    </row>
    <row r="201" spans="4:34" x14ac:dyDescent="0.25">
      <c r="D201" s="109" t="str" cm="1">
        <f t="array" ref="D201">Common_InputFunctions.Utility_DisplayArrayInTable(Fertiliser_SourceData.Fertiliser_Products_Data4(),FertiliserProducts[[#Headers],[Company]], 91)</f>
        <v>Wengfu Australia</v>
      </c>
      <c r="E201" s="109" t="str" cm="1">
        <f t="array" ref="E201">Common_InputFunctions.Utility_DisplayArrayInTable(Fertiliser_SourceData.Fertiliser_Products_Data4(),FertiliserProducts[[#Headers],[Company]], 91)</f>
        <v>Wengfu Slam</v>
      </c>
      <c r="F201" s="109" t="str" cm="1">
        <f t="array" ref="F201">Common_InputFunctions.Utility_DisplayArrayInTable(Fertiliser_SourceData.Fertiliser_Products_Data4(),FertiliserProducts[[#Headers],[Company]], 91)</f>
        <v>kg</v>
      </c>
      <c r="G201" s="109" cm="1">
        <f t="array" ref="G201">Common_InputFunctions.Utility_DisplayArrayInTable(Fertiliser_SourceData.Fertiliser_Products_Data4(),FertiliserProducts[[#Headers],[Company]], 91)</f>
        <v>1</v>
      </c>
      <c r="H201" s="109" t="str" cm="1">
        <f t="array" ref="H201">Common_InputFunctions.Utility_DisplayArrayInTable(Fertiliser_SourceData.Fertiliser_Products_Data4(),FertiliserProducts[[#Headers],[Company]], 91)</f>
        <v/>
      </c>
      <c r="I201" s="109" t="str" cm="1">
        <f t="array" ref="I201">Common_InputFunctions.Utility_DisplayArrayInTable(Fertiliser_SourceData.Fertiliser_Products_Data4(),FertiliserProducts[[#Headers],[Company]], 91)</f>
        <v/>
      </c>
      <c r="J201" s="109" t="str" cm="1">
        <f t="array" ref="J201">Common_InputFunctions.Utility_DisplayArrayInTable(Fertiliser_SourceData.Fertiliser_Products_Data4(),FertiliserProducts[[#Headers],[Company]], 91)</f>
        <v/>
      </c>
      <c r="K201" s="109" cm="1">
        <f t="array" ref="K201">Common_InputFunctions.Utility_DisplayArrayInTable(Fertiliser_SourceData.Fertiliser_Products_Data4(),FertiliserProducts[[#Headers],[Company]], 91)</f>
        <v>19.5</v>
      </c>
      <c r="L201" s="109" cm="1">
        <f t="array" ref="L201">Common_InputFunctions.Utility_DisplayArrayInTable(Fertiliser_SourceData.Fertiliser_Products_Data4(),FertiliserProducts[[#Headers],[Company]], 91)</f>
        <v>0.7</v>
      </c>
      <c r="M201" s="109" t="str" cm="1">
        <f t="array" ref="M201">Common_InputFunctions.Utility_DisplayArrayInTable(Fertiliser_SourceData.Fertiliser_Products_Data4(),FertiliserProducts[[#Headers],[Company]], 91)</f>
        <v/>
      </c>
      <c r="N201" s="109" cm="1">
        <f t="array" ref="N201">Common_InputFunctions.Utility_DisplayArrayInTable(Fertiliser_SourceData.Fertiliser_Products_Data4(),FertiliserProducts[[#Headers],[Company]], 91)</f>
        <v>23</v>
      </c>
      <c r="O201" s="109" t="str" cm="1">
        <f t="array" ref="O201">Common_InputFunctions.Utility_DisplayArrayInTable(Fertiliser_SourceData.Fertiliser_Products_Data4(),FertiliserProducts[[#Headers],[Company]], 91)</f>
        <v>Nitrogen - Generic</v>
      </c>
      <c r="P201" s="109" cm="1">
        <f t="array" ref="P201">Common_InputFunctions.Utility_DisplayArrayInTable(Fertiliser_SourceData.Fertiliser_Products_Data4(),FertiliserProducts[[#Headers],[Company]], 91)</f>
        <v>0.19500000000000001</v>
      </c>
      <c r="Q201" s="109" t="str" cm="1">
        <f t="array" ref="Q201">Common_InputFunctions.Utility_DisplayArrayInTable(Fertiliser_SourceData.Fertiliser_Products_Data4(),FertiliserProducts[[#Headers],[Company]], 91)</f>
        <v>Phosphorus - Generic</v>
      </c>
      <c r="R201" s="109" cm="1">
        <f t="array" ref="R201">Common_InputFunctions.Utility_DisplayArrayInTable(Fertiliser_SourceData.Fertiliser_Products_Data4(),FertiliserProducts[[#Headers],[Company]], 91)</f>
        <v>7.0000000000000001E-3</v>
      </c>
      <c r="S201" s="109" t="str" cm="1">
        <f t="array" ref="S201">Common_InputFunctions.Utility_DisplayArrayInTable(Fertiliser_SourceData.Fertiliser_Products_Data4(),FertiliserProducts[[#Headers],[Company]], 91)</f>
        <v>Sulfur - Generic</v>
      </c>
      <c r="T201" s="109" cm="1">
        <f t="array" ref="T201">Common_InputFunctions.Utility_DisplayArrayInTable(Fertiliser_SourceData.Fertiliser_Products_Data4(),FertiliserProducts[[#Headers],[Company]], 91)</f>
        <v>0.23</v>
      </c>
      <c r="U201" s="109" t="str" cm="1">
        <f t="array" ref="U201">Common_InputFunctions.Utility_DisplayArrayInTable(Fertiliser_SourceData.Fertiliser_Products_Data4(),FertiliserProducts[[#Headers],[Company]], 91)</f>
        <v/>
      </c>
      <c r="V201" s="109" t="str" cm="1">
        <f t="array" ref="V201">Common_InputFunctions.Utility_DisplayArrayInTable(Fertiliser_SourceData.Fertiliser_Products_Data4(),FertiliserProducts[[#Headers],[Company]], 91)</f>
        <v/>
      </c>
      <c r="W201" s="109" t="str" cm="1">
        <f t="array" ref="W201">Common_InputFunctions.Utility_DisplayArrayInTable(Fertiliser_SourceData.Fertiliser_Products_Data4(),FertiliserProducts[[#Headers],[Company]], 91)</f>
        <v/>
      </c>
      <c r="X201" s="109" t="str" cm="1">
        <f t="array" ref="X201">Common_InputFunctions.Utility_DisplayArrayInTable(Fertiliser_SourceData.Fertiliser_Products_Data4(),FertiliserProducts[[#Headers],[Company]], 91)</f>
        <v/>
      </c>
      <c r="Y201" s="109" t="str" cm="1">
        <f t="array" ref="Y201">Common_InputFunctions.Utility_DisplayArrayInTable(Fertiliser_SourceData.Fertiliser_Products_Data4(),FertiliserProducts[[#Headers],[Company]], 91)</f>
        <v/>
      </c>
      <c r="Z201" s="109" t="str" cm="1">
        <f t="array" ref="Z201">Common_InputFunctions.Utility_DisplayArrayInTable(Fertiliser_SourceData.Fertiliser_Products_Data4(),FertiliserProducts[[#Headers],[Company]], 91)</f>
        <v/>
      </c>
      <c r="AA201" s="109" t="str" cm="1">
        <f t="array" ref="AA201">Common_InputFunctions.Utility_DisplayArrayInTable(Fertiliser_SourceData.Fertiliser_Products_Data4(),FertiliserProducts[[#Headers],[Company]], 91)</f>
        <v/>
      </c>
      <c r="AB201" s="109" t="str" cm="1">
        <f t="array" ref="AB201">Common_InputFunctions.Utility_DisplayArrayInTable(Fertiliser_SourceData.Fertiliser_Products_Data4(),FertiliserProducts[[#Headers],[Company]], 91)</f>
        <v/>
      </c>
      <c r="AC201" s="109" t="str" cm="1">
        <f t="array" ref="AC201">Common_InputFunctions.Utility_DisplayArrayInTable(Fertiliser_SourceData.Fertiliser_Products_Data4(),FertiliserProducts[[#Headers],[Company]], 91)</f>
        <v/>
      </c>
      <c r="AD201" s="109" t="str" cm="1">
        <f t="array" ref="AD201">Common_InputFunctions.Utility_DisplayArrayInTable(Fertiliser_SourceData.Fertiliser_Products_Data4(),FertiliserProducts[[#Headers],[Company]], 91)</f>
        <v/>
      </c>
      <c r="AE201" s="109" t="str" cm="1">
        <f t="array" ref="AE201">Common_InputFunctions.Utility_DisplayArrayInTable(Fertiliser_SourceData.Fertiliser_Products_Data4(),FertiliserProducts[[#Headers],[Company]], 91)</f>
        <v/>
      </c>
      <c r="AF201" s="109" t="str" cm="1">
        <f t="array" ref="AF201">Common_InputFunctions.Utility_DisplayArrayInTable(Fertiliser_SourceData.Fertiliser_Products_Data4(),FertiliserProducts[[#Headers],[Company]], 91)</f>
        <v/>
      </c>
      <c r="AG201" s="109" t="str" cm="1">
        <f t="array" ref="AG201">Common_InputFunctions.Utility_DisplayArrayInTable(Fertiliser_SourceData.Fertiliser_Products_Data4(),FertiliserProducts[[#Headers],[Company]], 91)</f>
        <v/>
      </c>
      <c r="AH201" s="109" t="str" cm="1">
        <f t="array" ref="AH201">Common_InputFunctions.Utility_DisplayArrayInTable(Fertiliser_SourceData.Fertiliser_Products_Data4(),FertiliserProducts[[#Headers],[Company]], 91)</f>
        <v/>
      </c>
    </row>
    <row r="202" spans="4:34" x14ac:dyDescent="0.25">
      <c r="D202" s="109" t="str" cm="1">
        <f t="array" ref="D202">Common_InputFunctions.Utility_DisplayArrayInTable(Fertiliser_SourceData.Fertiliser_Products_Data4(),FertiliserProducts[[#Headers],[Company]], 91)</f>
        <v>Wengfu Australia</v>
      </c>
      <c r="E202" s="109" t="str" cm="1">
        <f t="array" ref="E202">Common_InputFunctions.Utility_DisplayArrayInTable(Fertiliser_SourceData.Fertiliser_Products_Data4(),FertiliserProducts[[#Headers],[Company]], 91)</f>
        <v>Wengfu Prime MSZ</v>
      </c>
      <c r="F202" s="109" t="str" cm="1">
        <f t="array" ref="F202">Common_InputFunctions.Utility_DisplayArrayInTable(Fertiliser_SourceData.Fertiliser_Products_Data4(),FertiliserProducts[[#Headers],[Company]], 91)</f>
        <v>kg</v>
      </c>
      <c r="G202" s="109" cm="1">
        <f t="array" ref="G202">Common_InputFunctions.Utility_DisplayArrayInTable(Fertiliser_SourceData.Fertiliser_Products_Data4(),FertiliserProducts[[#Headers],[Company]], 91)</f>
        <v>1</v>
      </c>
      <c r="H202" s="109" t="str" cm="1">
        <f t="array" ref="H202">Common_InputFunctions.Utility_DisplayArrayInTable(Fertiliser_SourceData.Fertiliser_Products_Data4(),FertiliserProducts[[#Headers],[Company]], 91)</f>
        <v/>
      </c>
      <c r="I202" s="109" t="str" cm="1">
        <f t="array" ref="I202">Common_InputFunctions.Utility_DisplayArrayInTable(Fertiliser_SourceData.Fertiliser_Products_Data4(),FertiliserProducts[[#Headers],[Company]], 91)</f>
        <v/>
      </c>
      <c r="J202" s="109" t="str" cm="1">
        <f t="array" ref="J202">Common_InputFunctions.Utility_DisplayArrayInTable(Fertiliser_SourceData.Fertiliser_Products_Data4(),FertiliserProducts[[#Headers],[Company]], 91)</f>
        <v/>
      </c>
      <c r="K202" s="109" cm="1">
        <f t="array" ref="K202">Common_InputFunctions.Utility_DisplayArrayInTable(Fertiliser_SourceData.Fertiliser_Products_Data4(),FertiliserProducts[[#Headers],[Company]], 91)</f>
        <v>10</v>
      </c>
      <c r="L202" s="109" cm="1">
        <f t="array" ref="L202">Common_InputFunctions.Utility_DisplayArrayInTable(Fertiliser_SourceData.Fertiliser_Products_Data4(),FertiliserProducts[[#Headers],[Company]], 91)</f>
        <v>18</v>
      </c>
      <c r="M202" s="109" t="str" cm="1">
        <f t="array" ref="M202">Common_InputFunctions.Utility_DisplayArrayInTable(Fertiliser_SourceData.Fertiliser_Products_Data4(),FertiliserProducts[[#Headers],[Company]], 91)</f>
        <v/>
      </c>
      <c r="N202" s="109" cm="1">
        <f t="array" ref="N202">Common_InputFunctions.Utility_DisplayArrayInTable(Fertiliser_SourceData.Fertiliser_Products_Data4(),FertiliserProducts[[#Headers],[Company]], 91)</f>
        <v>8</v>
      </c>
      <c r="O202" s="109" t="str" cm="1">
        <f t="array" ref="O202">Common_InputFunctions.Utility_DisplayArrayInTable(Fertiliser_SourceData.Fertiliser_Products_Data4(),FertiliserProducts[[#Headers],[Company]], 91)</f>
        <v>Nitrogen - Generic</v>
      </c>
      <c r="P202" s="109" cm="1">
        <f t="array" ref="P202">Common_InputFunctions.Utility_DisplayArrayInTable(Fertiliser_SourceData.Fertiliser_Products_Data4(),FertiliserProducts[[#Headers],[Company]], 91)</f>
        <v>0.1</v>
      </c>
      <c r="Q202" s="109" t="str" cm="1">
        <f t="array" ref="Q202">Common_InputFunctions.Utility_DisplayArrayInTable(Fertiliser_SourceData.Fertiliser_Products_Data4(),FertiliserProducts[[#Headers],[Company]], 91)</f>
        <v>Phosphorus - Generic</v>
      </c>
      <c r="R202" s="109" cm="1">
        <f t="array" ref="R202">Common_InputFunctions.Utility_DisplayArrayInTable(Fertiliser_SourceData.Fertiliser_Products_Data4(),FertiliserProducts[[#Headers],[Company]], 91)</f>
        <v>0.18</v>
      </c>
      <c r="S202" s="109" t="str" cm="1">
        <f t="array" ref="S202">Common_InputFunctions.Utility_DisplayArrayInTable(Fertiliser_SourceData.Fertiliser_Products_Data4(),FertiliserProducts[[#Headers],[Company]], 91)</f>
        <v>Sulfur - Generic</v>
      </c>
      <c r="T202" s="109" cm="1">
        <f t="array" ref="T202">Common_InputFunctions.Utility_DisplayArrayInTable(Fertiliser_SourceData.Fertiliser_Products_Data4(),FertiliserProducts[[#Headers],[Company]], 91)</f>
        <v>0.08</v>
      </c>
      <c r="U202" s="109" t="str" cm="1">
        <f t="array" ref="U202">Common_InputFunctions.Utility_DisplayArrayInTable(Fertiliser_SourceData.Fertiliser_Products_Data4(),FertiliserProducts[[#Headers],[Company]], 91)</f>
        <v>Zinc</v>
      </c>
      <c r="V202" s="109" cm="1">
        <f t="array" ref="V202">Common_InputFunctions.Utility_DisplayArrayInTable(Fertiliser_SourceData.Fertiliser_Products_Data4(),FertiliserProducts[[#Headers],[Company]], 91)</f>
        <v>5.0000000000000001E-3</v>
      </c>
      <c r="W202" s="109" t="str" cm="1">
        <f t="array" ref="W202">Common_InputFunctions.Utility_DisplayArrayInTable(Fertiliser_SourceData.Fertiliser_Products_Data4(),FertiliserProducts[[#Headers],[Company]], 91)</f>
        <v/>
      </c>
      <c r="X202" s="109" t="str" cm="1">
        <f t="array" ref="X202">Common_InputFunctions.Utility_DisplayArrayInTable(Fertiliser_SourceData.Fertiliser_Products_Data4(),FertiliserProducts[[#Headers],[Company]], 91)</f>
        <v/>
      </c>
      <c r="Y202" s="109" t="str" cm="1">
        <f t="array" ref="Y202">Common_InputFunctions.Utility_DisplayArrayInTable(Fertiliser_SourceData.Fertiliser_Products_Data4(),FertiliserProducts[[#Headers],[Company]], 91)</f>
        <v/>
      </c>
      <c r="Z202" s="109" t="str" cm="1">
        <f t="array" ref="Z202">Common_InputFunctions.Utility_DisplayArrayInTable(Fertiliser_SourceData.Fertiliser_Products_Data4(),FertiliserProducts[[#Headers],[Company]], 91)</f>
        <v/>
      </c>
      <c r="AA202" s="109" t="str" cm="1">
        <f t="array" ref="AA202">Common_InputFunctions.Utility_DisplayArrayInTable(Fertiliser_SourceData.Fertiliser_Products_Data4(),FertiliserProducts[[#Headers],[Company]], 91)</f>
        <v/>
      </c>
      <c r="AB202" s="109" t="str" cm="1">
        <f t="array" ref="AB202">Common_InputFunctions.Utility_DisplayArrayInTable(Fertiliser_SourceData.Fertiliser_Products_Data4(),FertiliserProducts[[#Headers],[Company]], 91)</f>
        <v/>
      </c>
      <c r="AC202" s="109" t="str" cm="1">
        <f t="array" ref="AC202">Common_InputFunctions.Utility_DisplayArrayInTable(Fertiliser_SourceData.Fertiliser_Products_Data4(),FertiliserProducts[[#Headers],[Company]], 91)</f>
        <v/>
      </c>
      <c r="AD202" s="109" t="str" cm="1">
        <f t="array" ref="AD202">Common_InputFunctions.Utility_DisplayArrayInTable(Fertiliser_SourceData.Fertiliser_Products_Data4(),FertiliserProducts[[#Headers],[Company]], 91)</f>
        <v/>
      </c>
      <c r="AE202" s="109" t="str" cm="1">
        <f t="array" ref="AE202">Common_InputFunctions.Utility_DisplayArrayInTable(Fertiliser_SourceData.Fertiliser_Products_Data4(),FertiliserProducts[[#Headers],[Company]], 91)</f>
        <v/>
      </c>
      <c r="AF202" s="109" t="str" cm="1">
        <f t="array" ref="AF202">Common_InputFunctions.Utility_DisplayArrayInTable(Fertiliser_SourceData.Fertiliser_Products_Data4(),FertiliserProducts[[#Headers],[Company]], 91)</f>
        <v/>
      </c>
      <c r="AG202" s="109" t="str" cm="1">
        <f t="array" ref="AG202">Common_InputFunctions.Utility_DisplayArrayInTable(Fertiliser_SourceData.Fertiliser_Products_Data4(),FertiliserProducts[[#Headers],[Company]], 91)</f>
        <v/>
      </c>
      <c r="AH202" s="109" t="str" cm="1">
        <f t="array" ref="AH202">Common_InputFunctions.Utility_DisplayArrayInTable(Fertiliser_SourceData.Fertiliser_Products_Data4(),FertiliserProducts[[#Headers],[Company]], 91)</f>
        <v/>
      </c>
    </row>
    <row r="203" spans="4:34" x14ac:dyDescent="0.25">
      <c r="D203" s="109" t="str" cm="1">
        <f t="array" ref="D203">Common_InputFunctions.Utility_DisplayArrayInTable(Fertiliser_SourceData.Fertiliser_Products_Data4(),FertiliserProducts[[#Headers],[Company]], 91)</f>
        <v>Wengfu Australia</v>
      </c>
      <c r="E203" s="109" t="str" cm="1">
        <f t="array" ref="E203">Common_InputFunctions.Utility_DisplayArrayInTable(Fertiliser_SourceData.Fertiliser_Products_Data4(),FertiliserProducts[[#Headers],[Company]], 91)</f>
        <v>Wengfu 9-20-0-10 MAP SuStain</v>
      </c>
      <c r="F203" s="109" t="str" cm="1">
        <f t="array" ref="F203">Common_InputFunctions.Utility_DisplayArrayInTable(Fertiliser_SourceData.Fertiliser_Products_Data4(),FertiliserProducts[[#Headers],[Company]], 91)</f>
        <v>kg</v>
      </c>
      <c r="G203" s="109" cm="1">
        <f t="array" ref="G203">Common_InputFunctions.Utility_DisplayArrayInTable(Fertiliser_SourceData.Fertiliser_Products_Data4(),FertiliserProducts[[#Headers],[Company]], 91)</f>
        <v>1</v>
      </c>
      <c r="H203" s="109" t="str" cm="1">
        <f t="array" ref="H203">Common_InputFunctions.Utility_DisplayArrayInTable(Fertiliser_SourceData.Fertiliser_Products_Data4(),FertiliserProducts[[#Headers],[Company]], 91)</f>
        <v/>
      </c>
      <c r="I203" s="109" t="str" cm="1">
        <f t="array" ref="I203">Common_InputFunctions.Utility_DisplayArrayInTable(Fertiliser_SourceData.Fertiliser_Products_Data4(),FertiliserProducts[[#Headers],[Company]], 91)</f>
        <v/>
      </c>
      <c r="J203" s="109" t="str" cm="1">
        <f t="array" ref="J203">Common_InputFunctions.Utility_DisplayArrayInTable(Fertiliser_SourceData.Fertiliser_Products_Data4(),FertiliserProducts[[#Headers],[Company]], 91)</f>
        <v/>
      </c>
      <c r="K203" s="109" cm="1">
        <f t="array" ref="K203">Common_InputFunctions.Utility_DisplayArrayInTable(Fertiliser_SourceData.Fertiliser_Products_Data4(),FertiliserProducts[[#Headers],[Company]], 91)</f>
        <v>9</v>
      </c>
      <c r="L203" s="109" cm="1">
        <f t="array" ref="L203">Common_InputFunctions.Utility_DisplayArrayInTable(Fertiliser_SourceData.Fertiliser_Products_Data4(),FertiliserProducts[[#Headers],[Company]], 91)</f>
        <v>19.8</v>
      </c>
      <c r="M203" s="109" cm="1">
        <f t="array" ref="M203">Common_InputFunctions.Utility_DisplayArrayInTable(Fertiliser_SourceData.Fertiliser_Products_Data4(),FertiliserProducts[[#Headers],[Company]], 91)</f>
        <v>0</v>
      </c>
      <c r="N203" s="109" cm="1">
        <f t="array" ref="N203">Common_InputFunctions.Utility_DisplayArrayInTable(Fertiliser_SourceData.Fertiliser_Products_Data4(),FertiliserProducts[[#Headers],[Company]], 91)</f>
        <v>10.4</v>
      </c>
      <c r="O203" s="109" t="str" cm="1">
        <f t="array" ref="O203">Common_InputFunctions.Utility_DisplayArrayInTable(Fertiliser_SourceData.Fertiliser_Products_Data4(),FertiliserProducts[[#Headers],[Company]], 91)</f>
        <v>Nitrogen - Generic</v>
      </c>
      <c r="P203" s="109" cm="1">
        <f t="array" ref="P203">Common_InputFunctions.Utility_DisplayArrayInTable(Fertiliser_SourceData.Fertiliser_Products_Data4(),FertiliserProducts[[#Headers],[Company]], 91)</f>
        <v>0.09</v>
      </c>
      <c r="Q203" s="109" t="str" cm="1">
        <f t="array" ref="Q203">Common_InputFunctions.Utility_DisplayArrayInTable(Fertiliser_SourceData.Fertiliser_Products_Data4(),FertiliserProducts[[#Headers],[Company]], 91)</f>
        <v>Phosphorus - Generic</v>
      </c>
      <c r="R203" s="109" cm="1">
        <f t="array" ref="R203">Common_InputFunctions.Utility_DisplayArrayInTable(Fertiliser_SourceData.Fertiliser_Products_Data4(),FertiliserProducts[[#Headers],[Company]], 91)</f>
        <v>0.19800000000000001</v>
      </c>
      <c r="S203" s="109" t="str" cm="1">
        <f t="array" ref="S203">Common_InputFunctions.Utility_DisplayArrayInTable(Fertiliser_SourceData.Fertiliser_Products_Data4(),FertiliserProducts[[#Headers],[Company]], 91)</f>
        <v>Sulfur - Generic</v>
      </c>
      <c r="T203" s="109" cm="1">
        <f t="array" ref="T203">Common_InputFunctions.Utility_DisplayArrayInTable(Fertiliser_SourceData.Fertiliser_Products_Data4(),FertiliserProducts[[#Headers],[Company]], 91)</f>
        <v>0.104</v>
      </c>
      <c r="U203" s="109" t="str" cm="1">
        <f t="array" ref="U203">Common_InputFunctions.Utility_DisplayArrayInTable(Fertiliser_SourceData.Fertiliser_Products_Data4(),FertiliserProducts[[#Headers],[Company]], 91)</f>
        <v/>
      </c>
      <c r="V203" s="109" t="str" cm="1">
        <f t="array" ref="V203">Common_InputFunctions.Utility_DisplayArrayInTable(Fertiliser_SourceData.Fertiliser_Products_Data4(),FertiliserProducts[[#Headers],[Company]], 91)</f>
        <v/>
      </c>
      <c r="W203" s="109" t="str" cm="1">
        <f t="array" ref="W203">Common_InputFunctions.Utility_DisplayArrayInTable(Fertiliser_SourceData.Fertiliser_Products_Data4(),FertiliserProducts[[#Headers],[Company]], 91)</f>
        <v/>
      </c>
      <c r="X203" s="109" t="str" cm="1">
        <f t="array" ref="X203">Common_InputFunctions.Utility_DisplayArrayInTable(Fertiliser_SourceData.Fertiliser_Products_Data4(),FertiliserProducts[[#Headers],[Company]], 91)</f>
        <v/>
      </c>
      <c r="Y203" s="109" t="str" cm="1">
        <f t="array" ref="Y203">Common_InputFunctions.Utility_DisplayArrayInTable(Fertiliser_SourceData.Fertiliser_Products_Data4(),FertiliserProducts[[#Headers],[Company]], 91)</f>
        <v/>
      </c>
      <c r="Z203" s="109" t="str" cm="1">
        <f t="array" ref="Z203">Common_InputFunctions.Utility_DisplayArrayInTable(Fertiliser_SourceData.Fertiliser_Products_Data4(),FertiliserProducts[[#Headers],[Company]], 91)</f>
        <v/>
      </c>
      <c r="AA203" s="109" t="str" cm="1">
        <f t="array" ref="AA203">Common_InputFunctions.Utility_DisplayArrayInTable(Fertiliser_SourceData.Fertiliser_Products_Data4(),FertiliserProducts[[#Headers],[Company]], 91)</f>
        <v/>
      </c>
      <c r="AB203" s="109" t="str" cm="1">
        <f t="array" ref="AB203">Common_InputFunctions.Utility_DisplayArrayInTable(Fertiliser_SourceData.Fertiliser_Products_Data4(),FertiliserProducts[[#Headers],[Company]], 91)</f>
        <v/>
      </c>
      <c r="AC203" s="109" t="str" cm="1">
        <f t="array" ref="AC203">Common_InputFunctions.Utility_DisplayArrayInTable(Fertiliser_SourceData.Fertiliser_Products_Data4(),FertiliserProducts[[#Headers],[Company]], 91)</f>
        <v/>
      </c>
      <c r="AD203" s="109" t="str" cm="1">
        <f t="array" ref="AD203">Common_InputFunctions.Utility_DisplayArrayInTable(Fertiliser_SourceData.Fertiliser_Products_Data4(),FertiliserProducts[[#Headers],[Company]], 91)</f>
        <v/>
      </c>
      <c r="AE203" s="109" t="str" cm="1">
        <f t="array" ref="AE203">Common_InputFunctions.Utility_DisplayArrayInTable(Fertiliser_SourceData.Fertiliser_Products_Data4(),FertiliserProducts[[#Headers],[Company]], 91)</f>
        <v/>
      </c>
      <c r="AF203" s="109" t="str" cm="1">
        <f t="array" ref="AF203">Common_InputFunctions.Utility_DisplayArrayInTable(Fertiliser_SourceData.Fertiliser_Products_Data4(),FertiliserProducts[[#Headers],[Company]], 91)</f>
        <v/>
      </c>
      <c r="AG203" s="109" t="str" cm="1">
        <f t="array" ref="AG203">Common_InputFunctions.Utility_DisplayArrayInTable(Fertiliser_SourceData.Fertiliser_Products_Data4(),FertiliserProducts[[#Headers],[Company]], 91)</f>
        <v/>
      </c>
      <c r="AH203" s="109" t="str" cm="1">
        <f t="array" ref="AH203">Common_InputFunctions.Utility_DisplayArrayInTable(Fertiliser_SourceData.Fertiliser_Products_Data4(),FertiliserProducts[[#Headers],[Company]], 91)</f>
        <v/>
      </c>
    </row>
    <row r="204" spans="4:34" x14ac:dyDescent="0.25">
      <c r="D204" s="109" t="str" cm="1">
        <f t="array" ref="D204">Common_InputFunctions.Utility_DisplayArrayInTable(Fertiliser_SourceData.Fertiliser_Products_Data4(),FertiliserProducts[[#Headers],[Company]], 91)</f>
        <v>Wengfu Australia</v>
      </c>
      <c r="E204" s="109" t="str" cm="1">
        <f t="array" ref="E204">Common_InputFunctions.Utility_DisplayArrayInTable(Fertiliser_SourceData.Fertiliser_Products_Data4(),FertiliserProducts[[#Headers],[Company]], 91)</f>
        <v>Wengfu 15-17-0-15 DAP SuStain</v>
      </c>
      <c r="F204" s="109" t="str" cm="1">
        <f t="array" ref="F204">Common_InputFunctions.Utility_DisplayArrayInTable(Fertiliser_SourceData.Fertiliser_Products_Data4(),FertiliserProducts[[#Headers],[Company]], 91)</f>
        <v>kg</v>
      </c>
      <c r="G204" s="109" cm="1">
        <f t="array" ref="G204">Common_InputFunctions.Utility_DisplayArrayInTable(Fertiliser_SourceData.Fertiliser_Products_Data4(),FertiliserProducts[[#Headers],[Company]], 91)</f>
        <v>1</v>
      </c>
      <c r="H204" s="109" t="str" cm="1">
        <f t="array" ref="H204">Common_InputFunctions.Utility_DisplayArrayInTable(Fertiliser_SourceData.Fertiliser_Products_Data4(),FertiliserProducts[[#Headers],[Company]], 91)</f>
        <v/>
      </c>
      <c r="I204" s="109" t="str" cm="1">
        <f t="array" ref="I204">Common_InputFunctions.Utility_DisplayArrayInTable(Fertiliser_SourceData.Fertiliser_Products_Data4(),FertiliserProducts[[#Headers],[Company]], 91)</f>
        <v/>
      </c>
      <c r="J204" s="109" t="str" cm="1">
        <f t="array" ref="J204">Common_InputFunctions.Utility_DisplayArrayInTable(Fertiliser_SourceData.Fertiliser_Products_Data4(),FertiliserProducts[[#Headers],[Company]], 91)</f>
        <v/>
      </c>
      <c r="K204" s="109" cm="1">
        <f t="array" ref="K204">Common_InputFunctions.Utility_DisplayArrayInTable(Fertiliser_SourceData.Fertiliser_Products_Data4(),FertiliserProducts[[#Headers],[Company]], 91)</f>
        <v>15.2</v>
      </c>
      <c r="L204" s="109" cm="1">
        <f t="array" ref="L204">Common_InputFunctions.Utility_DisplayArrayInTable(Fertiliser_SourceData.Fertiliser_Products_Data4(),FertiliserProducts[[#Headers],[Company]], 91)</f>
        <v>16.899999999999999</v>
      </c>
      <c r="M204" s="109" cm="1">
        <f t="array" ref="M204">Common_InputFunctions.Utility_DisplayArrayInTable(Fertiliser_SourceData.Fertiliser_Products_Data4(),FertiliserProducts[[#Headers],[Company]], 91)</f>
        <v>0</v>
      </c>
      <c r="N204" s="109" cm="1">
        <f t="array" ref="N204">Common_InputFunctions.Utility_DisplayArrayInTable(Fertiliser_SourceData.Fertiliser_Products_Data4(),FertiliserProducts[[#Headers],[Company]], 91)</f>
        <v>15.2</v>
      </c>
      <c r="O204" s="109" t="str" cm="1">
        <f t="array" ref="O204">Common_InputFunctions.Utility_DisplayArrayInTable(Fertiliser_SourceData.Fertiliser_Products_Data4(),FertiliserProducts[[#Headers],[Company]], 91)</f>
        <v>Nitrogen - Generic</v>
      </c>
      <c r="P204" s="109" cm="1">
        <f t="array" ref="P204">Common_InputFunctions.Utility_DisplayArrayInTable(Fertiliser_SourceData.Fertiliser_Products_Data4(),FertiliserProducts[[#Headers],[Company]], 91)</f>
        <v>0.152</v>
      </c>
      <c r="Q204" s="109" t="str" cm="1">
        <f t="array" ref="Q204">Common_InputFunctions.Utility_DisplayArrayInTable(Fertiliser_SourceData.Fertiliser_Products_Data4(),FertiliserProducts[[#Headers],[Company]], 91)</f>
        <v>Phosphorus - Generic</v>
      </c>
      <c r="R204" s="109" cm="1">
        <f t="array" ref="R204">Common_InputFunctions.Utility_DisplayArrayInTable(Fertiliser_SourceData.Fertiliser_Products_Data4(),FertiliserProducts[[#Headers],[Company]], 91)</f>
        <v>0.16900000000000001</v>
      </c>
      <c r="S204" s="109" t="str" cm="1">
        <f t="array" ref="S204">Common_InputFunctions.Utility_DisplayArrayInTable(Fertiliser_SourceData.Fertiliser_Products_Data4(),FertiliserProducts[[#Headers],[Company]], 91)</f>
        <v>Sulfur - Generic</v>
      </c>
      <c r="T204" s="109" cm="1">
        <f t="array" ref="T204">Common_InputFunctions.Utility_DisplayArrayInTable(Fertiliser_SourceData.Fertiliser_Products_Data4(),FertiliserProducts[[#Headers],[Company]], 91)</f>
        <v>0.152</v>
      </c>
      <c r="U204" s="109" t="str" cm="1">
        <f t="array" ref="U204">Common_InputFunctions.Utility_DisplayArrayInTable(Fertiliser_SourceData.Fertiliser_Products_Data4(),FertiliserProducts[[#Headers],[Company]], 91)</f>
        <v/>
      </c>
      <c r="V204" s="109" t="str" cm="1">
        <f t="array" ref="V204">Common_InputFunctions.Utility_DisplayArrayInTable(Fertiliser_SourceData.Fertiliser_Products_Data4(),FertiliserProducts[[#Headers],[Company]], 91)</f>
        <v/>
      </c>
      <c r="W204" s="109" t="str" cm="1">
        <f t="array" ref="W204">Common_InputFunctions.Utility_DisplayArrayInTable(Fertiliser_SourceData.Fertiliser_Products_Data4(),FertiliserProducts[[#Headers],[Company]], 91)</f>
        <v/>
      </c>
      <c r="X204" s="109" t="str" cm="1">
        <f t="array" ref="X204">Common_InputFunctions.Utility_DisplayArrayInTable(Fertiliser_SourceData.Fertiliser_Products_Data4(),FertiliserProducts[[#Headers],[Company]], 91)</f>
        <v/>
      </c>
      <c r="Y204" s="109" t="str" cm="1">
        <f t="array" ref="Y204">Common_InputFunctions.Utility_DisplayArrayInTable(Fertiliser_SourceData.Fertiliser_Products_Data4(),FertiliserProducts[[#Headers],[Company]], 91)</f>
        <v/>
      </c>
      <c r="Z204" s="109" t="str" cm="1">
        <f t="array" ref="Z204">Common_InputFunctions.Utility_DisplayArrayInTable(Fertiliser_SourceData.Fertiliser_Products_Data4(),FertiliserProducts[[#Headers],[Company]], 91)</f>
        <v/>
      </c>
      <c r="AA204" s="109" t="str" cm="1">
        <f t="array" ref="AA204">Common_InputFunctions.Utility_DisplayArrayInTable(Fertiliser_SourceData.Fertiliser_Products_Data4(),FertiliserProducts[[#Headers],[Company]], 91)</f>
        <v/>
      </c>
      <c r="AB204" s="109" t="str" cm="1">
        <f t="array" ref="AB204">Common_InputFunctions.Utility_DisplayArrayInTable(Fertiliser_SourceData.Fertiliser_Products_Data4(),FertiliserProducts[[#Headers],[Company]], 91)</f>
        <v/>
      </c>
      <c r="AC204" s="109" t="str" cm="1">
        <f t="array" ref="AC204">Common_InputFunctions.Utility_DisplayArrayInTable(Fertiliser_SourceData.Fertiliser_Products_Data4(),FertiliserProducts[[#Headers],[Company]], 91)</f>
        <v/>
      </c>
      <c r="AD204" s="109" t="str" cm="1">
        <f t="array" ref="AD204">Common_InputFunctions.Utility_DisplayArrayInTable(Fertiliser_SourceData.Fertiliser_Products_Data4(),FertiliserProducts[[#Headers],[Company]], 91)</f>
        <v/>
      </c>
      <c r="AE204" s="109" t="str" cm="1">
        <f t="array" ref="AE204">Common_InputFunctions.Utility_DisplayArrayInTable(Fertiliser_SourceData.Fertiliser_Products_Data4(),FertiliserProducts[[#Headers],[Company]], 91)</f>
        <v/>
      </c>
      <c r="AF204" s="109" t="str" cm="1">
        <f t="array" ref="AF204">Common_InputFunctions.Utility_DisplayArrayInTable(Fertiliser_SourceData.Fertiliser_Products_Data4(),FertiliserProducts[[#Headers],[Company]], 91)</f>
        <v/>
      </c>
      <c r="AG204" s="109" t="str" cm="1">
        <f t="array" ref="AG204">Common_InputFunctions.Utility_DisplayArrayInTable(Fertiliser_SourceData.Fertiliser_Products_Data4(),FertiliserProducts[[#Headers],[Company]], 91)</f>
        <v/>
      </c>
      <c r="AH204" s="109" t="str" cm="1">
        <f t="array" ref="AH204">Common_InputFunctions.Utility_DisplayArrayInTable(Fertiliser_SourceData.Fertiliser_Products_Data4(),FertiliserProducts[[#Headers],[Company]], 91)</f>
        <v/>
      </c>
    </row>
    <row r="205" spans="4:34" x14ac:dyDescent="0.25">
      <c r="D205" s="109" t="str" cm="1">
        <f t="array" ref="D205">Common_InputFunctions.Utility_DisplayArrayInTable(Fertiliser_SourceData.Fertiliser_Products_Data4(),FertiliserProducts[[#Headers],[Company]], 91)</f>
        <v>Wengfu Australia</v>
      </c>
      <c r="E205" s="109" t="str" cm="1">
        <f t="array" ref="E205">Common_InputFunctions.Utility_DisplayArrayInTable(Fertiliser_SourceData.Fertiliser_Products_Data4(),FertiliserProducts[[#Headers],[Company]], 91)</f>
        <v>Wengfu 16-18-0-10 DAP SuStain</v>
      </c>
      <c r="F205" s="109" t="str" cm="1">
        <f t="array" ref="F205">Common_InputFunctions.Utility_DisplayArrayInTable(Fertiliser_SourceData.Fertiliser_Products_Data4(),FertiliserProducts[[#Headers],[Company]], 91)</f>
        <v>kg</v>
      </c>
      <c r="G205" s="109" cm="1">
        <f t="array" ref="G205">Common_InputFunctions.Utility_DisplayArrayInTable(Fertiliser_SourceData.Fertiliser_Products_Data4(),FertiliserProducts[[#Headers],[Company]], 91)</f>
        <v>1</v>
      </c>
      <c r="H205" s="109" t="str" cm="1">
        <f t="array" ref="H205">Common_InputFunctions.Utility_DisplayArrayInTable(Fertiliser_SourceData.Fertiliser_Products_Data4(),FertiliserProducts[[#Headers],[Company]], 91)</f>
        <v/>
      </c>
      <c r="I205" s="109" t="str" cm="1">
        <f t="array" ref="I205">Common_InputFunctions.Utility_DisplayArrayInTable(Fertiliser_SourceData.Fertiliser_Products_Data4(),FertiliserProducts[[#Headers],[Company]], 91)</f>
        <v/>
      </c>
      <c r="J205" s="109" t="str" cm="1">
        <f t="array" ref="J205">Common_InputFunctions.Utility_DisplayArrayInTable(Fertiliser_SourceData.Fertiliser_Products_Data4(),FertiliserProducts[[#Headers],[Company]], 91)</f>
        <v/>
      </c>
      <c r="K205" s="109" cm="1">
        <f t="array" ref="K205">Common_InputFunctions.Utility_DisplayArrayInTable(Fertiliser_SourceData.Fertiliser_Products_Data4(),FertiliserProducts[[#Headers],[Company]], 91)</f>
        <v>16.2</v>
      </c>
      <c r="L205" s="109" cm="1">
        <f t="array" ref="L205">Common_InputFunctions.Utility_DisplayArrayInTable(Fertiliser_SourceData.Fertiliser_Products_Data4(),FertiliserProducts[[#Headers],[Company]], 91)</f>
        <v>18</v>
      </c>
      <c r="M205" s="109" cm="1">
        <f t="array" ref="M205">Common_InputFunctions.Utility_DisplayArrayInTable(Fertiliser_SourceData.Fertiliser_Products_Data4(),FertiliserProducts[[#Headers],[Company]], 91)</f>
        <v>0</v>
      </c>
      <c r="N205" s="109" cm="1">
        <f t="array" ref="N205">Common_InputFunctions.Utility_DisplayArrayInTable(Fertiliser_SourceData.Fertiliser_Products_Data4(),FertiliserProducts[[#Headers],[Company]], 91)</f>
        <v>10.4</v>
      </c>
      <c r="O205" s="109" t="str" cm="1">
        <f t="array" ref="O205">Common_InputFunctions.Utility_DisplayArrayInTable(Fertiliser_SourceData.Fertiliser_Products_Data4(),FertiliserProducts[[#Headers],[Company]], 91)</f>
        <v>Nitrogen - Generic</v>
      </c>
      <c r="P205" s="109" cm="1">
        <f t="array" ref="P205">Common_InputFunctions.Utility_DisplayArrayInTable(Fertiliser_SourceData.Fertiliser_Products_Data4(),FertiliserProducts[[#Headers],[Company]], 91)</f>
        <v>0.16200000000000001</v>
      </c>
      <c r="Q205" s="109" t="str" cm="1">
        <f t="array" ref="Q205">Common_InputFunctions.Utility_DisplayArrayInTable(Fertiliser_SourceData.Fertiliser_Products_Data4(),FertiliserProducts[[#Headers],[Company]], 91)</f>
        <v>Phosphorus - Generic</v>
      </c>
      <c r="R205" s="109" cm="1">
        <f t="array" ref="R205">Common_InputFunctions.Utility_DisplayArrayInTable(Fertiliser_SourceData.Fertiliser_Products_Data4(),FertiliserProducts[[#Headers],[Company]], 91)</f>
        <v>0.18</v>
      </c>
      <c r="S205" s="109" t="str" cm="1">
        <f t="array" ref="S205">Common_InputFunctions.Utility_DisplayArrayInTable(Fertiliser_SourceData.Fertiliser_Products_Data4(),FertiliserProducts[[#Headers],[Company]], 91)</f>
        <v>Sulfur - Generic</v>
      </c>
      <c r="T205" s="109" cm="1">
        <f t="array" ref="T205">Common_InputFunctions.Utility_DisplayArrayInTable(Fertiliser_SourceData.Fertiliser_Products_Data4(),FertiliserProducts[[#Headers],[Company]], 91)</f>
        <v>0.104</v>
      </c>
      <c r="U205" s="109" t="str" cm="1">
        <f t="array" ref="U205">Common_InputFunctions.Utility_DisplayArrayInTable(Fertiliser_SourceData.Fertiliser_Products_Data4(),FertiliserProducts[[#Headers],[Company]], 91)</f>
        <v/>
      </c>
      <c r="V205" s="109" t="str" cm="1">
        <f t="array" ref="V205">Common_InputFunctions.Utility_DisplayArrayInTable(Fertiliser_SourceData.Fertiliser_Products_Data4(),FertiliserProducts[[#Headers],[Company]], 91)</f>
        <v/>
      </c>
      <c r="W205" s="109" t="str" cm="1">
        <f t="array" ref="W205">Common_InputFunctions.Utility_DisplayArrayInTable(Fertiliser_SourceData.Fertiliser_Products_Data4(),FertiliserProducts[[#Headers],[Company]], 91)</f>
        <v/>
      </c>
      <c r="X205" s="109" t="str" cm="1">
        <f t="array" ref="X205">Common_InputFunctions.Utility_DisplayArrayInTable(Fertiliser_SourceData.Fertiliser_Products_Data4(),FertiliserProducts[[#Headers],[Company]], 91)</f>
        <v/>
      </c>
      <c r="Y205" s="109" t="str" cm="1">
        <f t="array" ref="Y205">Common_InputFunctions.Utility_DisplayArrayInTable(Fertiliser_SourceData.Fertiliser_Products_Data4(),FertiliserProducts[[#Headers],[Company]], 91)</f>
        <v/>
      </c>
      <c r="Z205" s="109" t="str" cm="1">
        <f t="array" ref="Z205">Common_InputFunctions.Utility_DisplayArrayInTable(Fertiliser_SourceData.Fertiliser_Products_Data4(),FertiliserProducts[[#Headers],[Company]], 91)</f>
        <v/>
      </c>
      <c r="AA205" s="109" t="str" cm="1">
        <f t="array" ref="AA205">Common_InputFunctions.Utility_DisplayArrayInTable(Fertiliser_SourceData.Fertiliser_Products_Data4(),FertiliserProducts[[#Headers],[Company]], 91)</f>
        <v/>
      </c>
      <c r="AB205" s="109" t="str" cm="1">
        <f t="array" ref="AB205">Common_InputFunctions.Utility_DisplayArrayInTable(Fertiliser_SourceData.Fertiliser_Products_Data4(),FertiliserProducts[[#Headers],[Company]], 91)</f>
        <v/>
      </c>
      <c r="AC205" s="109" t="str" cm="1">
        <f t="array" ref="AC205">Common_InputFunctions.Utility_DisplayArrayInTable(Fertiliser_SourceData.Fertiliser_Products_Data4(),FertiliserProducts[[#Headers],[Company]], 91)</f>
        <v/>
      </c>
      <c r="AD205" s="109" t="str" cm="1">
        <f t="array" ref="AD205">Common_InputFunctions.Utility_DisplayArrayInTable(Fertiliser_SourceData.Fertiliser_Products_Data4(),FertiliserProducts[[#Headers],[Company]], 91)</f>
        <v/>
      </c>
      <c r="AE205" s="109" t="str" cm="1">
        <f t="array" ref="AE205">Common_InputFunctions.Utility_DisplayArrayInTable(Fertiliser_SourceData.Fertiliser_Products_Data4(),FertiliserProducts[[#Headers],[Company]], 91)</f>
        <v/>
      </c>
      <c r="AF205" s="109" t="str" cm="1">
        <f t="array" ref="AF205">Common_InputFunctions.Utility_DisplayArrayInTable(Fertiliser_SourceData.Fertiliser_Products_Data4(),FertiliserProducts[[#Headers],[Company]], 91)</f>
        <v/>
      </c>
      <c r="AG205" s="109" t="str" cm="1">
        <f t="array" ref="AG205">Common_InputFunctions.Utility_DisplayArrayInTable(Fertiliser_SourceData.Fertiliser_Products_Data4(),FertiliserProducts[[#Headers],[Company]], 91)</f>
        <v/>
      </c>
      <c r="AH205" s="109" t="str" cm="1">
        <f t="array" ref="AH205">Common_InputFunctions.Utility_DisplayArrayInTable(Fertiliser_SourceData.Fertiliser_Products_Data4(),FertiliserProducts[[#Headers],[Company]], 91)</f>
        <v/>
      </c>
    </row>
    <row r="206" spans="4:34" x14ac:dyDescent="0.25">
      <c r="D206" s="109" t="str" cm="1">
        <f t="array" ref="D206">Common_InputFunctions.Utility_DisplayArrayInTable(Fertiliser_SourceData.Fertiliser_Products_Data4(),FertiliserProducts[[#Headers],[Company]], 91)</f>
        <v>Wengfu Australia</v>
      </c>
      <c r="E206" s="109" t="str" cm="1">
        <f t="array" ref="E206">Common_InputFunctions.Utility_DisplayArrayInTable(Fertiliser_SourceData.Fertiliser_Products_Data4(),FertiliserProducts[[#Headers],[Company]], 91)</f>
        <v>Wengfu 5-15-0-6 Fast Start Legume</v>
      </c>
      <c r="F206" s="109" t="str" cm="1">
        <f t="array" ref="F206">Common_InputFunctions.Utility_DisplayArrayInTable(Fertiliser_SourceData.Fertiliser_Products_Data4(),FertiliserProducts[[#Headers],[Company]], 91)</f>
        <v>kg</v>
      </c>
      <c r="G206" s="109" cm="1">
        <f t="array" ref="G206">Common_InputFunctions.Utility_DisplayArrayInTable(Fertiliser_SourceData.Fertiliser_Products_Data4(),FertiliserProducts[[#Headers],[Company]], 91)</f>
        <v>1</v>
      </c>
      <c r="H206" s="109" t="str" cm="1">
        <f t="array" ref="H206">Common_InputFunctions.Utility_DisplayArrayInTable(Fertiliser_SourceData.Fertiliser_Products_Data4(),FertiliserProducts[[#Headers],[Company]], 91)</f>
        <v/>
      </c>
      <c r="I206" s="109" t="str" cm="1">
        <f t="array" ref="I206">Common_InputFunctions.Utility_DisplayArrayInTable(Fertiliser_SourceData.Fertiliser_Products_Data4(),FertiliserProducts[[#Headers],[Company]], 91)</f>
        <v/>
      </c>
      <c r="J206" s="109" t="str" cm="1">
        <f t="array" ref="J206">Common_InputFunctions.Utility_DisplayArrayInTable(Fertiliser_SourceData.Fertiliser_Products_Data4(),FertiliserProducts[[#Headers],[Company]], 91)</f>
        <v/>
      </c>
      <c r="K206" s="109" cm="1">
        <f t="array" ref="K206">Common_InputFunctions.Utility_DisplayArrayInTable(Fertiliser_SourceData.Fertiliser_Products_Data4(),FertiliserProducts[[#Headers],[Company]], 91)</f>
        <v>5</v>
      </c>
      <c r="L206" s="109" cm="1">
        <f t="array" ref="L206">Common_InputFunctions.Utility_DisplayArrayInTable(Fertiliser_SourceData.Fertiliser_Products_Data4(),FertiliserProducts[[#Headers],[Company]], 91)</f>
        <v>15.4</v>
      </c>
      <c r="M206" s="109" cm="1">
        <f t="array" ref="M206">Common_InputFunctions.Utility_DisplayArrayInTable(Fertiliser_SourceData.Fertiliser_Products_Data4(),FertiliserProducts[[#Headers],[Company]], 91)</f>
        <v>0</v>
      </c>
      <c r="N206" s="109" cm="1">
        <f t="array" ref="N206">Common_InputFunctions.Utility_DisplayArrayInTable(Fertiliser_SourceData.Fertiliser_Products_Data4(),FertiliserProducts[[#Headers],[Company]], 91)</f>
        <v>6.3</v>
      </c>
      <c r="O206" s="109" t="str" cm="1">
        <f t="array" ref="O206">Common_InputFunctions.Utility_DisplayArrayInTable(Fertiliser_SourceData.Fertiliser_Products_Data4(),FertiliserProducts[[#Headers],[Company]], 91)</f>
        <v>Nitrogen - Generic</v>
      </c>
      <c r="P206" s="109" cm="1">
        <f t="array" ref="P206">Common_InputFunctions.Utility_DisplayArrayInTable(Fertiliser_SourceData.Fertiliser_Products_Data4(),FertiliserProducts[[#Headers],[Company]], 91)</f>
        <v>0.05</v>
      </c>
      <c r="Q206" s="109" t="str" cm="1">
        <f t="array" ref="Q206">Common_InputFunctions.Utility_DisplayArrayInTable(Fertiliser_SourceData.Fertiliser_Products_Data4(),FertiliserProducts[[#Headers],[Company]], 91)</f>
        <v>Phosphorus - Generic</v>
      </c>
      <c r="R206" s="109" cm="1">
        <f t="array" ref="R206">Common_InputFunctions.Utility_DisplayArrayInTable(Fertiliser_SourceData.Fertiliser_Products_Data4(),FertiliserProducts[[#Headers],[Company]], 91)</f>
        <v>0.154</v>
      </c>
      <c r="S206" s="109" t="str" cm="1">
        <f t="array" ref="S206">Common_InputFunctions.Utility_DisplayArrayInTable(Fertiliser_SourceData.Fertiliser_Products_Data4(),FertiliserProducts[[#Headers],[Company]], 91)</f>
        <v>Sulfur - Generic</v>
      </c>
      <c r="T206" s="109" cm="1">
        <f t="array" ref="T206">Common_InputFunctions.Utility_DisplayArrayInTable(Fertiliser_SourceData.Fertiliser_Products_Data4(),FertiliserProducts[[#Headers],[Company]], 91)</f>
        <v>6.3E-2</v>
      </c>
      <c r="U206" s="109" t="str" cm="1">
        <f t="array" ref="U206">Common_InputFunctions.Utility_DisplayArrayInTable(Fertiliser_SourceData.Fertiliser_Products_Data4(),FertiliserProducts[[#Headers],[Company]], 91)</f>
        <v/>
      </c>
      <c r="V206" s="109" t="str" cm="1">
        <f t="array" ref="V206">Common_InputFunctions.Utility_DisplayArrayInTable(Fertiliser_SourceData.Fertiliser_Products_Data4(),FertiliserProducts[[#Headers],[Company]], 91)</f>
        <v/>
      </c>
      <c r="W206" s="109" t="str" cm="1">
        <f t="array" ref="W206">Common_InputFunctions.Utility_DisplayArrayInTable(Fertiliser_SourceData.Fertiliser_Products_Data4(),FertiliserProducts[[#Headers],[Company]], 91)</f>
        <v/>
      </c>
      <c r="X206" s="109" t="str" cm="1">
        <f t="array" ref="X206">Common_InputFunctions.Utility_DisplayArrayInTable(Fertiliser_SourceData.Fertiliser_Products_Data4(),FertiliserProducts[[#Headers],[Company]], 91)</f>
        <v/>
      </c>
      <c r="Y206" s="109" t="str" cm="1">
        <f t="array" ref="Y206">Common_InputFunctions.Utility_DisplayArrayInTable(Fertiliser_SourceData.Fertiliser_Products_Data4(),FertiliserProducts[[#Headers],[Company]], 91)</f>
        <v/>
      </c>
      <c r="Z206" s="109" t="str" cm="1">
        <f t="array" ref="Z206">Common_InputFunctions.Utility_DisplayArrayInTable(Fertiliser_SourceData.Fertiliser_Products_Data4(),FertiliserProducts[[#Headers],[Company]], 91)</f>
        <v/>
      </c>
      <c r="AA206" s="109" t="str" cm="1">
        <f t="array" ref="AA206">Common_InputFunctions.Utility_DisplayArrayInTable(Fertiliser_SourceData.Fertiliser_Products_Data4(),FertiliserProducts[[#Headers],[Company]], 91)</f>
        <v/>
      </c>
      <c r="AB206" s="109" t="str" cm="1">
        <f t="array" ref="AB206">Common_InputFunctions.Utility_DisplayArrayInTable(Fertiliser_SourceData.Fertiliser_Products_Data4(),FertiliserProducts[[#Headers],[Company]], 91)</f>
        <v/>
      </c>
      <c r="AC206" s="109" t="str" cm="1">
        <f t="array" ref="AC206">Common_InputFunctions.Utility_DisplayArrayInTable(Fertiliser_SourceData.Fertiliser_Products_Data4(),FertiliserProducts[[#Headers],[Company]], 91)</f>
        <v/>
      </c>
      <c r="AD206" s="109" t="str" cm="1">
        <f t="array" ref="AD206">Common_InputFunctions.Utility_DisplayArrayInTable(Fertiliser_SourceData.Fertiliser_Products_Data4(),FertiliserProducts[[#Headers],[Company]], 91)</f>
        <v/>
      </c>
      <c r="AE206" s="109" t="str" cm="1">
        <f t="array" ref="AE206">Common_InputFunctions.Utility_DisplayArrayInTable(Fertiliser_SourceData.Fertiliser_Products_Data4(),FertiliserProducts[[#Headers],[Company]], 91)</f>
        <v/>
      </c>
      <c r="AF206" s="109" t="str" cm="1">
        <f t="array" ref="AF206">Common_InputFunctions.Utility_DisplayArrayInTable(Fertiliser_SourceData.Fertiliser_Products_Data4(),FertiliserProducts[[#Headers],[Company]], 91)</f>
        <v/>
      </c>
      <c r="AG206" s="109" t="str" cm="1">
        <f t="array" ref="AG206">Common_InputFunctions.Utility_DisplayArrayInTable(Fertiliser_SourceData.Fertiliser_Products_Data4(),FertiliserProducts[[#Headers],[Company]], 91)</f>
        <v/>
      </c>
      <c r="AH206" s="109" t="str" cm="1">
        <f t="array" ref="AH206">Common_InputFunctions.Utility_DisplayArrayInTable(Fertiliser_SourceData.Fertiliser_Products_Data4(),FertiliserProducts[[#Headers],[Company]], 91)</f>
        <v/>
      </c>
    </row>
    <row r="207" spans="4:34" x14ac:dyDescent="0.25">
      <c r="D207" s="109" t="str" cm="1">
        <f t="array" ref="D207">Common_InputFunctions.Utility_DisplayArrayInTable(Fertiliser_SourceData.Fertiliser_Products_Data4(),FertiliserProducts[[#Headers],[Company]], 91)</f>
        <v>Wengfu Australia</v>
      </c>
      <c r="E207" s="109" t="str" cm="1">
        <f t="array" ref="E207">Common_InputFunctions.Utility_DisplayArrayInTable(Fertiliser_SourceData.Fertiliser_Products_Data4(),FertiliserProducts[[#Headers],[Company]], 91)</f>
        <v>Wengfu 9-20-0-10 PrimeZinc</v>
      </c>
      <c r="F207" s="109" t="str" cm="1">
        <f t="array" ref="F207">Common_InputFunctions.Utility_DisplayArrayInTable(Fertiliser_SourceData.Fertiliser_Products_Data4(),FertiliserProducts[[#Headers],[Company]], 91)</f>
        <v>kg</v>
      </c>
      <c r="G207" s="109" cm="1">
        <f t="array" ref="G207">Common_InputFunctions.Utility_DisplayArrayInTable(Fertiliser_SourceData.Fertiliser_Products_Data4(),FertiliserProducts[[#Headers],[Company]], 91)</f>
        <v>1</v>
      </c>
      <c r="H207" s="109" t="str" cm="1">
        <f t="array" ref="H207">Common_InputFunctions.Utility_DisplayArrayInTable(Fertiliser_SourceData.Fertiliser_Products_Data4(),FertiliserProducts[[#Headers],[Company]], 91)</f>
        <v/>
      </c>
      <c r="I207" s="109" t="str" cm="1">
        <f t="array" ref="I207">Common_InputFunctions.Utility_DisplayArrayInTable(Fertiliser_SourceData.Fertiliser_Products_Data4(),FertiliserProducts[[#Headers],[Company]], 91)</f>
        <v/>
      </c>
      <c r="J207" s="109" t="str" cm="1">
        <f t="array" ref="J207">Common_InputFunctions.Utility_DisplayArrayInTable(Fertiliser_SourceData.Fertiliser_Products_Data4(),FertiliserProducts[[#Headers],[Company]], 91)</f>
        <v/>
      </c>
      <c r="K207" s="109" cm="1">
        <f t="array" ref="K207">Common_InputFunctions.Utility_DisplayArrayInTable(Fertiliser_SourceData.Fertiliser_Products_Data4(),FertiliserProducts[[#Headers],[Company]], 91)</f>
        <v>9</v>
      </c>
      <c r="L207" s="109" cm="1">
        <f t="array" ref="L207">Common_InputFunctions.Utility_DisplayArrayInTable(Fertiliser_SourceData.Fertiliser_Products_Data4(),FertiliserProducts[[#Headers],[Company]], 91)</f>
        <v>19.8</v>
      </c>
      <c r="M207" s="109" cm="1">
        <f t="array" ref="M207">Common_InputFunctions.Utility_DisplayArrayInTable(Fertiliser_SourceData.Fertiliser_Products_Data4(),FertiliserProducts[[#Headers],[Company]], 91)</f>
        <v>0</v>
      </c>
      <c r="N207" s="109" cm="1">
        <f t="array" ref="N207">Common_InputFunctions.Utility_DisplayArrayInTable(Fertiliser_SourceData.Fertiliser_Products_Data4(),FertiliserProducts[[#Headers],[Company]], 91)</f>
        <v>10.4</v>
      </c>
      <c r="O207" s="109" t="str" cm="1">
        <f t="array" ref="O207">Common_InputFunctions.Utility_DisplayArrayInTable(Fertiliser_SourceData.Fertiliser_Products_Data4(),FertiliserProducts[[#Headers],[Company]], 91)</f>
        <v>Nitrogen - Generic</v>
      </c>
      <c r="P207" s="109" cm="1">
        <f t="array" ref="P207">Common_InputFunctions.Utility_DisplayArrayInTable(Fertiliser_SourceData.Fertiliser_Products_Data4(),FertiliserProducts[[#Headers],[Company]], 91)</f>
        <v>0.09</v>
      </c>
      <c r="Q207" s="109" t="str" cm="1">
        <f t="array" ref="Q207">Common_InputFunctions.Utility_DisplayArrayInTable(Fertiliser_SourceData.Fertiliser_Products_Data4(),FertiliserProducts[[#Headers],[Company]], 91)</f>
        <v>Phosphorus - Generic</v>
      </c>
      <c r="R207" s="109" cm="1">
        <f t="array" ref="R207">Common_InputFunctions.Utility_DisplayArrayInTable(Fertiliser_SourceData.Fertiliser_Products_Data4(),FertiliserProducts[[#Headers],[Company]], 91)</f>
        <v>0.19800000000000001</v>
      </c>
      <c r="S207" s="109" t="str" cm="1">
        <f t="array" ref="S207">Common_InputFunctions.Utility_DisplayArrayInTable(Fertiliser_SourceData.Fertiliser_Products_Data4(),FertiliserProducts[[#Headers],[Company]], 91)</f>
        <v>Sulfur - Generic</v>
      </c>
      <c r="T207" s="109" cm="1">
        <f t="array" ref="T207">Common_InputFunctions.Utility_DisplayArrayInTable(Fertiliser_SourceData.Fertiliser_Products_Data4(),FertiliserProducts[[#Headers],[Company]], 91)</f>
        <v>0.104</v>
      </c>
      <c r="U207" s="109" t="str" cm="1">
        <f t="array" ref="U207">Common_InputFunctions.Utility_DisplayArrayInTable(Fertiliser_SourceData.Fertiliser_Products_Data4(),FertiliserProducts[[#Headers],[Company]], 91)</f>
        <v>Zinc</v>
      </c>
      <c r="V207" s="109" cm="1">
        <f t="array" ref="V207">Common_InputFunctions.Utility_DisplayArrayInTable(Fertiliser_SourceData.Fertiliser_Products_Data4(),FertiliserProducts[[#Headers],[Company]], 91)</f>
        <v>8.9999999999999993E-3</v>
      </c>
      <c r="W207" s="109" t="str" cm="1">
        <f t="array" ref="W207">Common_InputFunctions.Utility_DisplayArrayInTable(Fertiliser_SourceData.Fertiliser_Products_Data4(),FertiliserProducts[[#Headers],[Company]], 91)</f>
        <v/>
      </c>
      <c r="X207" s="109" t="str" cm="1">
        <f t="array" ref="X207">Common_InputFunctions.Utility_DisplayArrayInTable(Fertiliser_SourceData.Fertiliser_Products_Data4(),FertiliserProducts[[#Headers],[Company]], 91)</f>
        <v/>
      </c>
      <c r="Y207" s="109" t="str" cm="1">
        <f t="array" ref="Y207">Common_InputFunctions.Utility_DisplayArrayInTable(Fertiliser_SourceData.Fertiliser_Products_Data4(),FertiliserProducts[[#Headers],[Company]], 91)</f>
        <v/>
      </c>
      <c r="Z207" s="109" t="str" cm="1">
        <f t="array" ref="Z207">Common_InputFunctions.Utility_DisplayArrayInTable(Fertiliser_SourceData.Fertiliser_Products_Data4(),FertiliserProducts[[#Headers],[Company]], 91)</f>
        <v/>
      </c>
      <c r="AA207" s="109" t="str" cm="1">
        <f t="array" ref="AA207">Common_InputFunctions.Utility_DisplayArrayInTable(Fertiliser_SourceData.Fertiliser_Products_Data4(),FertiliserProducts[[#Headers],[Company]], 91)</f>
        <v/>
      </c>
      <c r="AB207" s="109" t="str" cm="1">
        <f t="array" ref="AB207">Common_InputFunctions.Utility_DisplayArrayInTable(Fertiliser_SourceData.Fertiliser_Products_Data4(),FertiliserProducts[[#Headers],[Company]], 91)</f>
        <v/>
      </c>
      <c r="AC207" s="109" t="str" cm="1">
        <f t="array" ref="AC207">Common_InputFunctions.Utility_DisplayArrayInTable(Fertiliser_SourceData.Fertiliser_Products_Data4(),FertiliserProducts[[#Headers],[Company]], 91)</f>
        <v/>
      </c>
      <c r="AD207" s="109" t="str" cm="1">
        <f t="array" ref="AD207">Common_InputFunctions.Utility_DisplayArrayInTable(Fertiliser_SourceData.Fertiliser_Products_Data4(),FertiliserProducts[[#Headers],[Company]], 91)</f>
        <v/>
      </c>
      <c r="AE207" s="109" t="str" cm="1">
        <f t="array" ref="AE207">Common_InputFunctions.Utility_DisplayArrayInTable(Fertiliser_SourceData.Fertiliser_Products_Data4(),FertiliserProducts[[#Headers],[Company]], 91)</f>
        <v/>
      </c>
      <c r="AF207" s="109" t="str" cm="1">
        <f t="array" ref="AF207">Common_InputFunctions.Utility_DisplayArrayInTable(Fertiliser_SourceData.Fertiliser_Products_Data4(),FertiliserProducts[[#Headers],[Company]], 91)</f>
        <v/>
      </c>
      <c r="AG207" s="109" t="str" cm="1">
        <f t="array" ref="AG207">Common_InputFunctions.Utility_DisplayArrayInTable(Fertiliser_SourceData.Fertiliser_Products_Data4(),FertiliserProducts[[#Headers],[Company]], 91)</f>
        <v/>
      </c>
      <c r="AH207" s="109" t="str" cm="1">
        <f t="array" ref="AH207">Common_InputFunctions.Utility_DisplayArrayInTable(Fertiliser_SourceData.Fertiliser_Products_Data4(),FertiliserProducts[[#Headers],[Company]], 91)</f>
        <v/>
      </c>
    </row>
    <row r="208" spans="4:34" x14ac:dyDescent="0.25">
      <c r="D208" s="109" t="str" cm="1">
        <f t="array" ref="D208">Common_InputFunctions.Utility_DisplayArrayInTable(Fertiliser_SourceData.Fertiliser_Products_Data4(),FertiliserProducts[[#Headers],[Company]], 91)</f>
        <v>Wengfu Australia</v>
      </c>
      <c r="E208" s="109" t="str" cm="1">
        <f t="array" ref="E208">Common_InputFunctions.Utility_DisplayArrayInTable(Fertiliser_SourceData.Fertiliser_Products_Data4(),FertiliserProducts[[#Headers],[Company]], 91)</f>
        <v>Wengfu 12-18-0-6 PrimeZinc</v>
      </c>
      <c r="F208" s="109" t="str" cm="1">
        <f t="array" ref="F208">Common_InputFunctions.Utility_DisplayArrayInTable(Fertiliser_SourceData.Fertiliser_Products_Data4(),FertiliserProducts[[#Headers],[Company]], 91)</f>
        <v>kg</v>
      </c>
      <c r="G208" s="109" cm="1">
        <f t="array" ref="G208">Common_InputFunctions.Utility_DisplayArrayInTable(Fertiliser_SourceData.Fertiliser_Products_Data4(),FertiliserProducts[[#Headers],[Company]], 91)</f>
        <v>1</v>
      </c>
      <c r="H208" s="109" t="str" cm="1">
        <f t="array" ref="H208">Common_InputFunctions.Utility_DisplayArrayInTable(Fertiliser_SourceData.Fertiliser_Products_Data4(),FertiliserProducts[[#Headers],[Company]], 91)</f>
        <v/>
      </c>
      <c r="I208" s="109" t="str" cm="1">
        <f t="array" ref="I208">Common_InputFunctions.Utility_DisplayArrayInTable(Fertiliser_SourceData.Fertiliser_Products_Data4(),FertiliserProducts[[#Headers],[Company]], 91)</f>
        <v/>
      </c>
      <c r="J208" s="109" t="str" cm="1">
        <f t="array" ref="J208">Common_InputFunctions.Utility_DisplayArrayInTable(Fertiliser_SourceData.Fertiliser_Products_Data4(),FertiliserProducts[[#Headers],[Company]], 91)</f>
        <v/>
      </c>
      <c r="K208" s="109" cm="1">
        <f t="array" ref="K208">Common_InputFunctions.Utility_DisplayArrayInTable(Fertiliser_SourceData.Fertiliser_Products_Data4(),FertiliserProducts[[#Headers],[Company]], 91)</f>
        <v>11.9</v>
      </c>
      <c r="L208" s="109" cm="1">
        <f t="array" ref="L208">Common_InputFunctions.Utility_DisplayArrayInTable(Fertiliser_SourceData.Fertiliser_Products_Data4(),FertiliserProducts[[#Headers],[Company]], 91)</f>
        <v>17.600000000000001</v>
      </c>
      <c r="M208" s="109" cm="1">
        <f t="array" ref="M208">Common_InputFunctions.Utility_DisplayArrayInTable(Fertiliser_SourceData.Fertiliser_Products_Data4(),FertiliserProducts[[#Headers],[Company]], 91)</f>
        <v>0</v>
      </c>
      <c r="N208" s="109" cm="1">
        <f t="array" ref="N208">Common_InputFunctions.Utility_DisplayArrayInTable(Fertiliser_SourceData.Fertiliser_Products_Data4(),FertiliserProducts[[#Headers],[Company]], 91)</f>
        <v>5.9</v>
      </c>
      <c r="O208" s="109" t="str" cm="1">
        <f t="array" ref="O208">Common_InputFunctions.Utility_DisplayArrayInTable(Fertiliser_SourceData.Fertiliser_Products_Data4(),FertiliserProducts[[#Headers],[Company]], 91)</f>
        <v>Nitrogen - Generic</v>
      </c>
      <c r="P208" s="109" cm="1">
        <f t="array" ref="P208">Common_InputFunctions.Utility_DisplayArrayInTable(Fertiliser_SourceData.Fertiliser_Products_Data4(),FertiliserProducts[[#Headers],[Company]], 91)</f>
        <v>0.11899999999999999</v>
      </c>
      <c r="Q208" s="109" t="str" cm="1">
        <f t="array" ref="Q208">Common_InputFunctions.Utility_DisplayArrayInTable(Fertiliser_SourceData.Fertiliser_Products_Data4(),FertiliserProducts[[#Headers],[Company]], 91)</f>
        <v>Phosphorus - Generic</v>
      </c>
      <c r="R208" s="109" cm="1">
        <f t="array" ref="R208">Common_InputFunctions.Utility_DisplayArrayInTable(Fertiliser_SourceData.Fertiliser_Products_Data4(),FertiliserProducts[[#Headers],[Company]], 91)</f>
        <v>0.17599999999999999</v>
      </c>
      <c r="S208" s="109" t="str" cm="1">
        <f t="array" ref="S208">Common_InputFunctions.Utility_DisplayArrayInTable(Fertiliser_SourceData.Fertiliser_Products_Data4(),FertiliserProducts[[#Headers],[Company]], 91)</f>
        <v>Sulfur - Generic</v>
      </c>
      <c r="T208" s="109" cm="1">
        <f t="array" ref="T208">Common_InputFunctions.Utility_DisplayArrayInTable(Fertiliser_SourceData.Fertiliser_Products_Data4(),FertiliserProducts[[#Headers],[Company]], 91)</f>
        <v>5.8999999999999997E-2</v>
      </c>
      <c r="U208" s="109" t="str" cm="1">
        <f t="array" ref="U208">Common_InputFunctions.Utility_DisplayArrayInTable(Fertiliser_SourceData.Fertiliser_Products_Data4(),FertiliserProducts[[#Headers],[Company]], 91)</f>
        <v>Zinc</v>
      </c>
      <c r="V208" s="109" cm="1">
        <f t="array" ref="V208">Common_InputFunctions.Utility_DisplayArrayInTable(Fertiliser_SourceData.Fertiliser_Products_Data4(),FertiliserProducts[[#Headers],[Company]], 91)</f>
        <v>8.0000000000000002E-3</v>
      </c>
      <c r="W208" s="109" t="str" cm="1">
        <f t="array" ref="W208">Common_InputFunctions.Utility_DisplayArrayInTable(Fertiliser_SourceData.Fertiliser_Products_Data4(),FertiliserProducts[[#Headers],[Company]], 91)</f>
        <v/>
      </c>
      <c r="X208" s="109" t="str" cm="1">
        <f t="array" ref="X208">Common_InputFunctions.Utility_DisplayArrayInTable(Fertiliser_SourceData.Fertiliser_Products_Data4(),FertiliserProducts[[#Headers],[Company]], 91)</f>
        <v/>
      </c>
      <c r="Y208" s="109" t="str" cm="1">
        <f t="array" ref="Y208">Common_InputFunctions.Utility_DisplayArrayInTable(Fertiliser_SourceData.Fertiliser_Products_Data4(),FertiliserProducts[[#Headers],[Company]], 91)</f>
        <v/>
      </c>
      <c r="Z208" s="109" t="str" cm="1">
        <f t="array" ref="Z208">Common_InputFunctions.Utility_DisplayArrayInTable(Fertiliser_SourceData.Fertiliser_Products_Data4(),FertiliserProducts[[#Headers],[Company]], 91)</f>
        <v/>
      </c>
      <c r="AA208" s="109" t="str" cm="1">
        <f t="array" ref="AA208">Common_InputFunctions.Utility_DisplayArrayInTable(Fertiliser_SourceData.Fertiliser_Products_Data4(),FertiliserProducts[[#Headers],[Company]], 91)</f>
        <v/>
      </c>
      <c r="AB208" s="109" t="str" cm="1">
        <f t="array" ref="AB208">Common_InputFunctions.Utility_DisplayArrayInTable(Fertiliser_SourceData.Fertiliser_Products_Data4(),FertiliserProducts[[#Headers],[Company]], 91)</f>
        <v/>
      </c>
      <c r="AC208" s="109" t="str" cm="1">
        <f t="array" ref="AC208">Common_InputFunctions.Utility_DisplayArrayInTable(Fertiliser_SourceData.Fertiliser_Products_Data4(),FertiliserProducts[[#Headers],[Company]], 91)</f>
        <v/>
      </c>
      <c r="AD208" s="109" t="str" cm="1">
        <f t="array" ref="AD208">Common_InputFunctions.Utility_DisplayArrayInTable(Fertiliser_SourceData.Fertiliser_Products_Data4(),FertiliserProducts[[#Headers],[Company]], 91)</f>
        <v/>
      </c>
      <c r="AE208" s="109" t="str" cm="1">
        <f t="array" ref="AE208">Common_InputFunctions.Utility_DisplayArrayInTable(Fertiliser_SourceData.Fertiliser_Products_Data4(),FertiliserProducts[[#Headers],[Company]], 91)</f>
        <v/>
      </c>
      <c r="AF208" s="109" t="str" cm="1">
        <f t="array" ref="AF208">Common_InputFunctions.Utility_DisplayArrayInTable(Fertiliser_SourceData.Fertiliser_Products_Data4(),FertiliserProducts[[#Headers],[Company]], 91)</f>
        <v/>
      </c>
      <c r="AG208" s="109" t="str" cm="1">
        <f t="array" ref="AG208">Common_InputFunctions.Utility_DisplayArrayInTable(Fertiliser_SourceData.Fertiliser_Products_Data4(),FertiliserProducts[[#Headers],[Company]], 91)</f>
        <v/>
      </c>
      <c r="AH208" s="109" t="str" cm="1">
        <f t="array" ref="AH208">Common_InputFunctions.Utility_DisplayArrayInTable(Fertiliser_SourceData.Fertiliser_Products_Data4(),FertiliserProducts[[#Headers],[Company]], 91)</f>
        <v/>
      </c>
    </row>
    <row r="209" spans="4:34" x14ac:dyDescent="0.25">
      <c r="D209" s="109" t="str" cm="1">
        <f t="array" ref="D209">Common_InputFunctions.Utility_DisplayArrayInTable(Fertiliser_SourceData.Fertiliser_Products_Data4(),FertiliserProducts[[#Headers],[Company]], 91)</f>
        <v>Wengfu Australia</v>
      </c>
      <c r="E209" s="109" t="str" cm="1">
        <f t="array" ref="E209">Common_InputFunctions.Utility_DisplayArrayInTable(Fertiliser_SourceData.Fertiliser_Products_Data4(),FertiliserProducts[[#Headers],[Company]], 91)</f>
        <v>Wengfu 14-13-0-11 PrimeZinc</v>
      </c>
      <c r="F209" s="109" t="str" cm="1">
        <f t="array" ref="F209">Common_InputFunctions.Utility_DisplayArrayInTable(Fertiliser_SourceData.Fertiliser_Products_Data4(),FertiliserProducts[[#Headers],[Company]], 91)</f>
        <v>kg</v>
      </c>
      <c r="G209" s="109" cm="1">
        <f t="array" ref="G209">Common_InputFunctions.Utility_DisplayArrayInTable(Fertiliser_SourceData.Fertiliser_Products_Data4(),FertiliserProducts[[#Headers],[Company]], 91)</f>
        <v>1</v>
      </c>
      <c r="H209" s="109" t="str" cm="1">
        <f t="array" ref="H209">Common_InputFunctions.Utility_DisplayArrayInTable(Fertiliser_SourceData.Fertiliser_Products_Data4(),FertiliserProducts[[#Headers],[Company]], 91)</f>
        <v/>
      </c>
      <c r="I209" s="109" t="str" cm="1">
        <f t="array" ref="I209">Common_InputFunctions.Utility_DisplayArrayInTable(Fertiliser_SourceData.Fertiliser_Products_Data4(),FertiliserProducts[[#Headers],[Company]], 91)</f>
        <v/>
      </c>
      <c r="J209" s="109" t="str" cm="1">
        <f t="array" ref="J209">Common_InputFunctions.Utility_DisplayArrayInTable(Fertiliser_SourceData.Fertiliser_Products_Data4(),FertiliserProducts[[#Headers],[Company]], 91)</f>
        <v/>
      </c>
      <c r="K209" s="109" cm="1">
        <f t="array" ref="K209">Common_InputFunctions.Utility_DisplayArrayInTable(Fertiliser_SourceData.Fertiliser_Products_Data4(),FertiliserProducts[[#Headers],[Company]], 91)</f>
        <v>14.1</v>
      </c>
      <c r="L209" s="109" cm="1">
        <f t="array" ref="L209">Common_InputFunctions.Utility_DisplayArrayInTable(Fertiliser_SourceData.Fertiliser_Products_Data4(),FertiliserProducts[[#Headers],[Company]], 91)</f>
        <v>12.8</v>
      </c>
      <c r="M209" s="109" cm="1">
        <f t="array" ref="M209">Common_InputFunctions.Utility_DisplayArrayInTable(Fertiliser_SourceData.Fertiliser_Products_Data4(),FertiliserProducts[[#Headers],[Company]], 91)</f>
        <v>0</v>
      </c>
      <c r="N209" s="109" cm="1">
        <f t="array" ref="N209">Common_InputFunctions.Utility_DisplayArrayInTable(Fertiliser_SourceData.Fertiliser_Products_Data4(),FertiliserProducts[[#Headers],[Company]], 91)</f>
        <v>10.7</v>
      </c>
      <c r="O209" s="109" t="str" cm="1">
        <f t="array" ref="O209">Common_InputFunctions.Utility_DisplayArrayInTable(Fertiliser_SourceData.Fertiliser_Products_Data4(),FertiliserProducts[[#Headers],[Company]], 91)</f>
        <v>Nitrogen - Generic</v>
      </c>
      <c r="P209" s="109" cm="1">
        <f t="array" ref="P209">Common_InputFunctions.Utility_DisplayArrayInTable(Fertiliser_SourceData.Fertiliser_Products_Data4(),FertiliserProducts[[#Headers],[Company]], 91)</f>
        <v>0.14099999999999999</v>
      </c>
      <c r="Q209" s="109" t="str" cm="1">
        <f t="array" ref="Q209">Common_InputFunctions.Utility_DisplayArrayInTable(Fertiliser_SourceData.Fertiliser_Products_Data4(),FertiliserProducts[[#Headers],[Company]], 91)</f>
        <v>Phosphorus - Generic</v>
      </c>
      <c r="R209" s="109" cm="1">
        <f t="array" ref="R209">Common_InputFunctions.Utility_DisplayArrayInTable(Fertiliser_SourceData.Fertiliser_Products_Data4(),FertiliserProducts[[#Headers],[Company]], 91)</f>
        <v>0.128</v>
      </c>
      <c r="S209" s="109" t="str" cm="1">
        <f t="array" ref="S209">Common_InputFunctions.Utility_DisplayArrayInTable(Fertiliser_SourceData.Fertiliser_Products_Data4(),FertiliserProducts[[#Headers],[Company]], 91)</f>
        <v>Sulfur - Generic</v>
      </c>
      <c r="T209" s="109" cm="1">
        <f t="array" ref="T209">Common_InputFunctions.Utility_DisplayArrayInTable(Fertiliser_SourceData.Fertiliser_Products_Data4(),FertiliserProducts[[#Headers],[Company]], 91)</f>
        <v>0.107</v>
      </c>
      <c r="U209" s="109" t="str" cm="1">
        <f t="array" ref="U209">Common_InputFunctions.Utility_DisplayArrayInTable(Fertiliser_SourceData.Fertiliser_Products_Data4(),FertiliserProducts[[#Headers],[Company]], 91)</f>
        <v>Zinc</v>
      </c>
      <c r="V209" s="109" cm="1">
        <f t="array" ref="V209">Common_InputFunctions.Utility_DisplayArrayInTable(Fertiliser_SourceData.Fertiliser_Products_Data4(),FertiliserProducts[[#Headers],[Company]], 91)</f>
        <v>6.0000000000000001E-3</v>
      </c>
      <c r="W209" s="109" t="str" cm="1">
        <f t="array" ref="W209">Common_InputFunctions.Utility_DisplayArrayInTable(Fertiliser_SourceData.Fertiliser_Products_Data4(),FertiliserProducts[[#Headers],[Company]], 91)</f>
        <v/>
      </c>
      <c r="X209" s="109" t="str" cm="1">
        <f t="array" ref="X209">Common_InputFunctions.Utility_DisplayArrayInTable(Fertiliser_SourceData.Fertiliser_Products_Data4(),FertiliserProducts[[#Headers],[Company]], 91)</f>
        <v/>
      </c>
      <c r="Y209" s="109" t="str" cm="1">
        <f t="array" ref="Y209">Common_InputFunctions.Utility_DisplayArrayInTable(Fertiliser_SourceData.Fertiliser_Products_Data4(),FertiliserProducts[[#Headers],[Company]], 91)</f>
        <v/>
      </c>
      <c r="Z209" s="109" t="str" cm="1">
        <f t="array" ref="Z209">Common_InputFunctions.Utility_DisplayArrayInTable(Fertiliser_SourceData.Fertiliser_Products_Data4(),FertiliserProducts[[#Headers],[Company]], 91)</f>
        <v/>
      </c>
      <c r="AA209" s="109" t="str" cm="1">
        <f t="array" ref="AA209">Common_InputFunctions.Utility_DisplayArrayInTable(Fertiliser_SourceData.Fertiliser_Products_Data4(),FertiliserProducts[[#Headers],[Company]], 91)</f>
        <v/>
      </c>
      <c r="AB209" s="109" t="str" cm="1">
        <f t="array" ref="AB209">Common_InputFunctions.Utility_DisplayArrayInTable(Fertiliser_SourceData.Fertiliser_Products_Data4(),FertiliserProducts[[#Headers],[Company]], 91)</f>
        <v/>
      </c>
      <c r="AC209" s="109" t="str" cm="1">
        <f t="array" ref="AC209">Common_InputFunctions.Utility_DisplayArrayInTable(Fertiliser_SourceData.Fertiliser_Products_Data4(),FertiliserProducts[[#Headers],[Company]], 91)</f>
        <v/>
      </c>
      <c r="AD209" s="109" t="str" cm="1">
        <f t="array" ref="AD209">Common_InputFunctions.Utility_DisplayArrayInTable(Fertiliser_SourceData.Fertiliser_Products_Data4(),FertiliserProducts[[#Headers],[Company]], 91)</f>
        <v/>
      </c>
      <c r="AE209" s="109" t="str" cm="1">
        <f t="array" ref="AE209">Common_InputFunctions.Utility_DisplayArrayInTable(Fertiliser_SourceData.Fertiliser_Products_Data4(),FertiliserProducts[[#Headers],[Company]], 91)</f>
        <v/>
      </c>
      <c r="AF209" s="109" t="str" cm="1">
        <f t="array" ref="AF209">Common_InputFunctions.Utility_DisplayArrayInTable(Fertiliser_SourceData.Fertiliser_Products_Data4(),FertiliserProducts[[#Headers],[Company]], 91)</f>
        <v/>
      </c>
      <c r="AG209" s="109" t="str" cm="1">
        <f t="array" ref="AG209">Common_InputFunctions.Utility_DisplayArrayInTable(Fertiliser_SourceData.Fertiliser_Products_Data4(),FertiliserProducts[[#Headers],[Company]], 91)</f>
        <v/>
      </c>
      <c r="AH209" s="109" t="str" cm="1">
        <f t="array" ref="AH209">Common_InputFunctions.Utility_DisplayArrayInTable(Fertiliser_SourceData.Fertiliser_Products_Data4(),FertiliserProducts[[#Headers],[Company]], 91)</f>
        <v/>
      </c>
    </row>
    <row r="210" spans="4:34" x14ac:dyDescent="0.25">
      <c r="D210" s="109" t="str" cm="1">
        <f t="array" ref="D210">Common_InputFunctions.Utility_DisplayArrayInTable(Fertiliser_SourceData.Fertiliser_Products_Data5(),FertiliserProducts[[#Headers],[Company]], 121)</f>
        <v>Wengfu Australia</v>
      </c>
      <c r="E210" s="109" t="str" cm="1">
        <f t="array" ref="E210">Common_InputFunctions.Utility_DisplayArrayInTable(Fertiliser_SourceData.Fertiliser_Products_Data5(),FertiliserProducts[[#Headers],[Company]], 121)</f>
        <v>Wengfu 19-13-0-7 PrimeZinc</v>
      </c>
      <c r="F210" s="109" t="str" cm="1">
        <f t="array" ref="F210">Common_InputFunctions.Utility_DisplayArrayInTable(Fertiliser_SourceData.Fertiliser_Products_Data5(),FertiliserProducts[[#Headers],[Company]], 121)</f>
        <v>kg</v>
      </c>
      <c r="G210" s="109" cm="1">
        <f t="array" ref="G210">Common_InputFunctions.Utility_DisplayArrayInTable(Fertiliser_SourceData.Fertiliser_Products_Data5(),FertiliserProducts[[#Headers],[Company]], 121)</f>
        <v>1</v>
      </c>
      <c r="H210" s="109" t="str" cm="1">
        <f t="array" ref="H210">Common_InputFunctions.Utility_DisplayArrayInTable(Fertiliser_SourceData.Fertiliser_Products_Data5(),FertiliserProducts[[#Headers],[Company]], 121)</f>
        <v/>
      </c>
      <c r="I210" s="109" t="str" cm="1">
        <f t="array" ref="I210">Common_InputFunctions.Utility_DisplayArrayInTable(Fertiliser_SourceData.Fertiliser_Products_Data5(),FertiliserProducts[[#Headers],[Company]], 121)</f>
        <v/>
      </c>
      <c r="J210" s="109" t="str" cm="1">
        <f t="array" ref="J210">Common_InputFunctions.Utility_DisplayArrayInTable(Fertiliser_SourceData.Fertiliser_Products_Data5(),FertiliserProducts[[#Headers],[Company]], 121)</f>
        <v/>
      </c>
      <c r="K210" s="109" cm="1">
        <f t="array" ref="K210">Common_InputFunctions.Utility_DisplayArrayInTable(Fertiliser_SourceData.Fertiliser_Products_Data5(),FertiliserProducts[[#Headers],[Company]], 121)</f>
        <v>18.600000000000001</v>
      </c>
      <c r="L210" s="109" cm="1">
        <f t="array" ref="L210">Common_InputFunctions.Utility_DisplayArrayInTable(Fertiliser_SourceData.Fertiliser_Products_Data5(),FertiliserProducts[[#Headers],[Company]], 121)</f>
        <v>12.7</v>
      </c>
      <c r="M210" s="109" cm="1">
        <f t="array" ref="M210">Common_InputFunctions.Utility_DisplayArrayInTable(Fertiliser_SourceData.Fertiliser_Products_Data5(),FertiliserProducts[[#Headers],[Company]], 121)</f>
        <v>0</v>
      </c>
      <c r="N210" s="109" cm="1">
        <f t="array" ref="N210">Common_InputFunctions.Utility_DisplayArrayInTable(Fertiliser_SourceData.Fertiliser_Products_Data5(),FertiliserProducts[[#Headers],[Company]], 121)</f>
        <v>6.8</v>
      </c>
      <c r="O210" s="109" t="str" cm="1">
        <f t="array" ref="O210">Common_InputFunctions.Utility_DisplayArrayInTable(Fertiliser_SourceData.Fertiliser_Products_Data5(),FertiliserProducts[[#Headers],[Company]], 121)</f>
        <v>Nitrogen - Generic</v>
      </c>
      <c r="P210" s="109" cm="1">
        <f t="array" ref="P210">Common_InputFunctions.Utility_DisplayArrayInTable(Fertiliser_SourceData.Fertiliser_Products_Data5(),FertiliserProducts[[#Headers],[Company]], 121)</f>
        <v>0.186</v>
      </c>
      <c r="Q210" s="109" t="str" cm="1">
        <f t="array" ref="Q210">Common_InputFunctions.Utility_DisplayArrayInTable(Fertiliser_SourceData.Fertiliser_Products_Data5(),FertiliserProducts[[#Headers],[Company]], 121)</f>
        <v>Phosphorus - Generic</v>
      </c>
      <c r="R210" s="109" cm="1">
        <f t="array" ref="R210">Common_InputFunctions.Utility_DisplayArrayInTable(Fertiliser_SourceData.Fertiliser_Products_Data5(),FertiliserProducts[[#Headers],[Company]], 121)</f>
        <v>0.127</v>
      </c>
      <c r="S210" s="109" t="str" cm="1">
        <f t="array" ref="S210">Common_InputFunctions.Utility_DisplayArrayInTable(Fertiliser_SourceData.Fertiliser_Products_Data5(),FertiliserProducts[[#Headers],[Company]], 121)</f>
        <v>Sulfur - Generic</v>
      </c>
      <c r="T210" s="109" cm="1">
        <f t="array" ref="T210">Common_InputFunctions.Utility_DisplayArrayInTable(Fertiliser_SourceData.Fertiliser_Products_Data5(),FertiliserProducts[[#Headers],[Company]], 121)</f>
        <v>6.8000000000000005E-2</v>
      </c>
      <c r="U210" s="109" t="str" cm="1">
        <f t="array" ref="U210">Common_InputFunctions.Utility_DisplayArrayInTable(Fertiliser_SourceData.Fertiliser_Products_Data5(),FertiliserProducts[[#Headers],[Company]], 121)</f>
        <v>Zinc</v>
      </c>
      <c r="V210" s="109" cm="1">
        <f t="array" ref="V210">Common_InputFunctions.Utility_DisplayArrayInTable(Fertiliser_SourceData.Fertiliser_Products_Data5(),FertiliserProducts[[#Headers],[Company]], 121)</f>
        <v>6.0000000000000001E-3</v>
      </c>
      <c r="W210" s="109" t="str" cm="1">
        <f t="array" ref="W210">Common_InputFunctions.Utility_DisplayArrayInTable(Fertiliser_SourceData.Fertiliser_Products_Data5(),FertiliserProducts[[#Headers],[Company]], 121)</f>
        <v/>
      </c>
      <c r="X210" s="109" t="str" cm="1">
        <f t="array" ref="X210">Common_InputFunctions.Utility_DisplayArrayInTable(Fertiliser_SourceData.Fertiliser_Products_Data5(),FertiliserProducts[[#Headers],[Company]], 121)</f>
        <v/>
      </c>
      <c r="Y210" s="109" t="str" cm="1">
        <f t="array" ref="Y210">Common_InputFunctions.Utility_DisplayArrayInTable(Fertiliser_SourceData.Fertiliser_Products_Data5(),FertiliserProducts[[#Headers],[Company]], 121)</f>
        <v/>
      </c>
      <c r="Z210" s="109" t="str" cm="1">
        <f t="array" ref="Z210">Common_InputFunctions.Utility_DisplayArrayInTable(Fertiliser_SourceData.Fertiliser_Products_Data5(),FertiliserProducts[[#Headers],[Company]], 121)</f>
        <v/>
      </c>
      <c r="AA210" s="109" t="str" cm="1">
        <f t="array" ref="AA210">Common_InputFunctions.Utility_DisplayArrayInTable(Fertiliser_SourceData.Fertiliser_Products_Data5(),FertiliserProducts[[#Headers],[Company]], 121)</f>
        <v/>
      </c>
      <c r="AB210" s="109" t="str" cm="1">
        <f t="array" ref="AB210">Common_InputFunctions.Utility_DisplayArrayInTable(Fertiliser_SourceData.Fertiliser_Products_Data5(),FertiliserProducts[[#Headers],[Company]], 121)</f>
        <v/>
      </c>
      <c r="AC210" s="109" t="str" cm="1">
        <f t="array" ref="AC210">Common_InputFunctions.Utility_DisplayArrayInTable(Fertiliser_SourceData.Fertiliser_Products_Data5(),FertiliserProducts[[#Headers],[Company]], 121)</f>
        <v/>
      </c>
      <c r="AD210" s="109" t="str" cm="1">
        <f t="array" ref="AD210">Common_InputFunctions.Utility_DisplayArrayInTable(Fertiliser_SourceData.Fertiliser_Products_Data5(),FertiliserProducts[[#Headers],[Company]], 121)</f>
        <v/>
      </c>
      <c r="AE210" s="109" t="str" cm="1">
        <f t="array" ref="AE210">Common_InputFunctions.Utility_DisplayArrayInTable(Fertiliser_SourceData.Fertiliser_Products_Data5(),FertiliserProducts[[#Headers],[Company]], 121)</f>
        <v/>
      </c>
      <c r="AF210" s="109" t="str" cm="1">
        <f t="array" ref="AF210">Common_InputFunctions.Utility_DisplayArrayInTable(Fertiliser_SourceData.Fertiliser_Products_Data5(),FertiliserProducts[[#Headers],[Company]], 121)</f>
        <v/>
      </c>
      <c r="AG210" s="109" t="str" cm="1">
        <f t="array" ref="AG210">Common_InputFunctions.Utility_DisplayArrayInTable(Fertiliser_SourceData.Fertiliser_Products_Data5(),FertiliserProducts[[#Headers],[Company]], 121)</f>
        <v/>
      </c>
      <c r="AH210" s="109" t="str" cm="1">
        <f t="array" ref="AH210">Common_InputFunctions.Utility_DisplayArrayInTable(Fertiliser_SourceData.Fertiliser_Products_Data5(),FertiliserProducts[[#Headers],[Company]], 121)</f>
        <v/>
      </c>
    </row>
    <row r="211" spans="4:34" x14ac:dyDescent="0.25">
      <c r="D211" s="109" t="str" cm="1">
        <f t="array" ref="D211">Common_InputFunctions.Utility_DisplayArrayInTable(Fertiliser_SourceData.Fertiliser_Products_Data5(),FertiliserProducts[[#Headers],[Company]], 121)</f>
        <v>Wengfu Australia</v>
      </c>
      <c r="E211" s="109" t="str" cm="1">
        <f t="array" ref="E211">Common_InputFunctions.Utility_DisplayArrayInTable(Fertiliser_SourceData.Fertiliser_Products_Data5(),FertiliserProducts[[#Headers],[Company]], 121)</f>
        <v>Wengfu Booster K</v>
      </c>
      <c r="F211" s="109" t="str" cm="1">
        <f t="array" ref="F211">Common_InputFunctions.Utility_DisplayArrayInTable(Fertiliser_SourceData.Fertiliser_Products_Data5(),FertiliserProducts[[#Headers],[Company]], 121)</f>
        <v>kg</v>
      </c>
      <c r="G211" s="109" cm="1">
        <f t="array" ref="G211">Common_InputFunctions.Utility_DisplayArrayInTable(Fertiliser_SourceData.Fertiliser_Products_Data5(),FertiliserProducts[[#Headers],[Company]], 121)</f>
        <v>1</v>
      </c>
      <c r="H211" s="109" t="str" cm="1">
        <f t="array" ref="H211">Common_InputFunctions.Utility_DisplayArrayInTable(Fertiliser_SourceData.Fertiliser_Products_Data5(),FertiliserProducts[[#Headers],[Company]], 121)</f>
        <v/>
      </c>
      <c r="I211" s="109" t="str" cm="1">
        <f t="array" ref="I211">Common_InputFunctions.Utility_DisplayArrayInTable(Fertiliser_SourceData.Fertiliser_Products_Data5(),FertiliserProducts[[#Headers],[Company]], 121)</f>
        <v/>
      </c>
      <c r="J211" s="109" t="str" cm="1">
        <f t="array" ref="J211">Common_InputFunctions.Utility_DisplayArrayInTable(Fertiliser_SourceData.Fertiliser_Products_Data5(),FertiliserProducts[[#Headers],[Company]], 121)</f>
        <v/>
      </c>
      <c r="K211" s="109" cm="1">
        <f t="array" ref="K211">Common_InputFunctions.Utility_DisplayArrayInTable(Fertiliser_SourceData.Fertiliser_Products_Data5(),FertiliserProducts[[#Headers],[Company]], 121)</f>
        <v>32</v>
      </c>
      <c r="L211" s="109" cm="1">
        <f t="array" ref="L211">Common_InputFunctions.Utility_DisplayArrayInTable(Fertiliser_SourceData.Fertiliser_Products_Data5(),FertiliserProducts[[#Headers],[Company]], 121)</f>
        <v>0</v>
      </c>
      <c r="M211" s="109" cm="1">
        <f t="array" ref="M211">Common_InputFunctions.Utility_DisplayArrayInTable(Fertiliser_SourceData.Fertiliser_Products_Data5(),FertiliserProducts[[#Headers],[Company]], 121)</f>
        <v>11</v>
      </c>
      <c r="N211" s="109" cm="1">
        <f t="array" ref="N211">Common_InputFunctions.Utility_DisplayArrayInTable(Fertiliser_SourceData.Fertiliser_Products_Data5(),FertiliserProducts[[#Headers],[Company]], 121)</f>
        <v>3</v>
      </c>
      <c r="O211" s="109" t="str" cm="1">
        <f t="array" ref="O211">Common_InputFunctions.Utility_DisplayArrayInTable(Fertiliser_SourceData.Fertiliser_Products_Data5(),FertiliserProducts[[#Headers],[Company]], 121)</f>
        <v>Nitrogen - Generic</v>
      </c>
      <c r="P211" s="109" cm="1">
        <f t="array" ref="P211">Common_InputFunctions.Utility_DisplayArrayInTable(Fertiliser_SourceData.Fertiliser_Products_Data5(),FertiliserProducts[[#Headers],[Company]], 121)</f>
        <v>0.32</v>
      </c>
      <c r="Q211" s="109" t="str" cm="1">
        <f t="array" ref="Q211">Common_InputFunctions.Utility_DisplayArrayInTable(Fertiliser_SourceData.Fertiliser_Products_Data5(),FertiliserProducts[[#Headers],[Company]], 121)</f>
        <v>Potassium - Generic</v>
      </c>
      <c r="R211" s="109" cm="1">
        <f t="array" ref="R211">Common_InputFunctions.Utility_DisplayArrayInTable(Fertiliser_SourceData.Fertiliser_Products_Data5(),FertiliserProducts[[#Headers],[Company]], 121)</f>
        <v>0.11</v>
      </c>
      <c r="S211" s="109" t="str" cm="1">
        <f t="array" ref="S211">Common_InputFunctions.Utility_DisplayArrayInTable(Fertiliser_SourceData.Fertiliser_Products_Data5(),FertiliserProducts[[#Headers],[Company]], 121)</f>
        <v>Sulfur - Generic</v>
      </c>
      <c r="T211" s="109" cm="1">
        <f t="array" ref="T211">Common_InputFunctions.Utility_DisplayArrayInTable(Fertiliser_SourceData.Fertiliser_Products_Data5(),FertiliserProducts[[#Headers],[Company]], 121)</f>
        <v>0.03</v>
      </c>
      <c r="U211" s="109" t="str" cm="1">
        <f t="array" ref="U211">Common_InputFunctions.Utility_DisplayArrayInTable(Fertiliser_SourceData.Fertiliser_Products_Data5(),FertiliserProducts[[#Headers],[Company]], 121)</f>
        <v/>
      </c>
      <c r="V211" s="109" t="str" cm="1">
        <f t="array" ref="V211">Common_InputFunctions.Utility_DisplayArrayInTable(Fertiliser_SourceData.Fertiliser_Products_Data5(),FertiliserProducts[[#Headers],[Company]], 121)</f>
        <v/>
      </c>
      <c r="W211" s="109" t="str" cm="1">
        <f t="array" ref="W211">Common_InputFunctions.Utility_DisplayArrayInTable(Fertiliser_SourceData.Fertiliser_Products_Data5(),FertiliserProducts[[#Headers],[Company]], 121)</f>
        <v/>
      </c>
      <c r="X211" s="109" t="str" cm="1">
        <f t="array" ref="X211">Common_InputFunctions.Utility_DisplayArrayInTable(Fertiliser_SourceData.Fertiliser_Products_Data5(),FertiliserProducts[[#Headers],[Company]], 121)</f>
        <v/>
      </c>
      <c r="Y211" s="109" t="str" cm="1">
        <f t="array" ref="Y211">Common_InputFunctions.Utility_DisplayArrayInTable(Fertiliser_SourceData.Fertiliser_Products_Data5(),FertiliserProducts[[#Headers],[Company]], 121)</f>
        <v/>
      </c>
      <c r="Z211" s="109" t="str" cm="1">
        <f t="array" ref="Z211">Common_InputFunctions.Utility_DisplayArrayInTable(Fertiliser_SourceData.Fertiliser_Products_Data5(),FertiliserProducts[[#Headers],[Company]], 121)</f>
        <v/>
      </c>
      <c r="AA211" s="109" t="str" cm="1">
        <f t="array" ref="AA211">Common_InputFunctions.Utility_DisplayArrayInTable(Fertiliser_SourceData.Fertiliser_Products_Data5(),FertiliserProducts[[#Headers],[Company]], 121)</f>
        <v/>
      </c>
      <c r="AB211" s="109" t="str" cm="1">
        <f t="array" ref="AB211">Common_InputFunctions.Utility_DisplayArrayInTable(Fertiliser_SourceData.Fertiliser_Products_Data5(),FertiliserProducts[[#Headers],[Company]], 121)</f>
        <v/>
      </c>
      <c r="AC211" s="109" t="str" cm="1">
        <f t="array" ref="AC211">Common_InputFunctions.Utility_DisplayArrayInTable(Fertiliser_SourceData.Fertiliser_Products_Data5(),FertiliserProducts[[#Headers],[Company]], 121)</f>
        <v/>
      </c>
      <c r="AD211" s="109" t="str" cm="1">
        <f t="array" ref="AD211">Common_InputFunctions.Utility_DisplayArrayInTable(Fertiliser_SourceData.Fertiliser_Products_Data5(),FertiliserProducts[[#Headers],[Company]], 121)</f>
        <v/>
      </c>
      <c r="AE211" s="109" t="str" cm="1">
        <f t="array" ref="AE211">Common_InputFunctions.Utility_DisplayArrayInTable(Fertiliser_SourceData.Fertiliser_Products_Data5(),FertiliserProducts[[#Headers],[Company]], 121)</f>
        <v/>
      </c>
      <c r="AF211" s="109" t="str" cm="1">
        <f t="array" ref="AF211">Common_InputFunctions.Utility_DisplayArrayInTable(Fertiliser_SourceData.Fertiliser_Products_Data5(),FertiliserProducts[[#Headers],[Company]], 121)</f>
        <v/>
      </c>
      <c r="AG211" s="109" t="str" cm="1">
        <f t="array" ref="AG211">Common_InputFunctions.Utility_DisplayArrayInTable(Fertiliser_SourceData.Fertiliser_Products_Data5(),FertiliserProducts[[#Headers],[Company]], 121)</f>
        <v/>
      </c>
      <c r="AH211" s="109" t="str" cm="1">
        <f t="array" ref="AH211">Common_InputFunctions.Utility_DisplayArrayInTable(Fertiliser_SourceData.Fertiliser_Products_Data5(),FertiliserProducts[[#Headers],[Company]], 121)</f>
        <v/>
      </c>
    </row>
    <row r="212" spans="4:34" x14ac:dyDescent="0.25">
      <c r="D212" s="109" t="str" cm="1">
        <f t="array" ref="D212">Common_InputFunctions.Utility_DisplayArrayInTable(Fertiliser_SourceData.Fertiliser_Products_Data5(),FertiliserProducts[[#Headers],[Company]], 121)</f>
        <v>Wengfu Australia</v>
      </c>
      <c r="E212" s="109" t="str" cm="1">
        <f t="array" ref="E212">Common_InputFunctions.Utility_DisplayArrayInTable(Fertiliser_SourceData.Fertiliser_Products_Data5(),FertiliserProducts[[#Headers],[Company]], 121)</f>
        <v>Wengfu Booster Rich 1</v>
      </c>
      <c r="F212" s="109" t="str" cm="1">
        <f t="array" ref="F212">Common_InputFunctions.Utility_DisplayArrayInTable(Fertiliser_SourceData.Fertiliser_Products_Data5(),FertiliserProducts[[#Headers],[Company]], 121)</f>
        <v>kg</v>
      </c>
      <c r="G212" s="109" cm="1">
        <f t="array" ref="G212">Common_InputFunctions.Utility_DisplayArrayInTable(Fertiliser_SourceData.Fertiliser_Products_Data5(),FertiliserProducts[[#Headers],[Company]], 121)</f>
        <v>1</v>
      </c>
      <c r="H212" s="109" t="str" cm="1">
        <f t="array" ref="H212">Common_InputFunctions.Utility_DisplayArrayInTable(Fertiliser_SourceData.Fertiliser_Products_Data5(),FertiliserProducts[[#Headers],[Company]], 121)</f>
        <v/>
      </c>
      <c r="I212" s="109" t="str" cm="1">
        <f t="array" ref="I212">Common_InputFunctions.Utility_DisplayArrayInTable(Fertiliser_SourceData.Fertiliser_Products_Data5(),FertiliserProducts[[#Headers],[Company]], 121)</f>
        <v/>
      </c>
      <c r="J212" s="109" t="str" cm="1">
        <f t="array" ref="J212">Common_InputFunctions.Utility_DisplayArrayInTable(Fertiliser_SourceData.Fertiliser_Products_Data5(),FertiliserProducts[[#Headers],[Company]], 121)</f>
        <v/>
      </c>
      <c r="K212" s="109" cm="1">
        <f t="array" ref="K212">Common_InputFunctions.Utility_DisplayArrayInTable(Fertiliser_SourceData.Fertiliser_Products_Data5(),FertiliserProducts[[#Headers],[Company]], 121)</f>
        <v>31</v>
      </c>
      <c r="L212" s="109" cm="1">
        <f t="array" ref="L212">Common_InputFunctions.Utility_DisplayArrayInTable(Fertiliser_SourceData.Fertiliser_Products_Data5(),FertiliserProducts[[#Headers],[Company]], 121)</f>
        <v>6</v>
      </c>
      <c r="M212" s="109" cm="1">
        <f t="array" ref="M212">Common_InputFunctions.Utility_DisplayArrayInTable(Fertiliser_SourceData.Fertiliser_Products_Data5(),FertiliserProducts[[#Headers],[Company]], 121)</f>
        <v>0</v>
      </c>
      <c r="N212" s="109" cm="1">
        <f t="array" ref="N212">Common_InputFunctions.Utility_DisplayArrayInTable(Fertiliser_SourceData.Fertiliser_Products_Data5(),FertiliserProducts[[#Headers],[Company]], 121)</f>
        <v>6</v>
      </c>
      <c r="O212" s="109" t="str" cm="1">
        <f t="array" ref="O212">Common_InputFunctions.Utility_DisplayArrayInTable(Fertiliser_SourceData.Fertiliser_Products_Data5(),FertiliserProducts[[#Headers],[Company]], 121)</f>
        <v>Nitrogen - Generic</v>
      </c>
      <c r="P212" s="109" cm="1">
        <f t="array" ref="P212">Common_InputFunctions.Utility_DisplayArrayInTable(Fertiliser_SourceData.Fertiliser_Products_Data5(),FertiliserProducts[[#Headers],[Company]], 121)</f>
        <v>0.31</v>
      </c>
      <c r="Q212" s="109" t="str" cm="1">
        <f t="array" ref="Q212">Common_InputFunctions.Utility_DisplayArrayInTable(Fertiliser_SourceData.Fertiliser_Products_Data5(),FertiliserProducts[[#Headers],[Company]], 121)</f>
        <v>Phosphorus - Generic</v>
      </c>
      <c r="R212" s="109" cm="1">
        <f t="array" ref="R212">Common_InputFunctions.Utility_DisplayArrayInTable(Fertiliser_SourceData.Fertiliser_Products_Data5(),FertiliserProducts[[#Headers],[Company]], 121)</f>
        <v>0.06</v>
      </c>
      <c r="S212" s="109" t="str" cm="1">
        <f t="array" ref="S212">Common_InputFunctions.Utility_DisplayArrayInTable(Fertiliser_SourceData.Fertiliser_Products_Data5(),FertiliserProducts[[#Headers],[Company]], 121)</f>
        <v>Sulfur - Generic</v>
      </c>
      <c r="T212" s="109" cm="1">
        <f t="array" ref="T212">Common_InputFunctions.Utility_DisplayArrayInTable(Fertiliser_SourceData.Fertiliser_Products_Data5(),FertiliserProducts[[#Headers],[Company]], 121)</f>
        <v>0.06</v>
      </c>
      <c r="U212" s="109" t="str" cm="1">
        <f t="array" ref="U212">Common_InputFunctions.Utility_DisplayArrayInTable(Fertiliser_SourceData.Fertiliser_Products_Data5(),FertiliserProducts[[#Headers],[Company]], 121)</f>
        <v/>
      </c>
      <c r="V212" s="109" t="str" cm="1">
        <f t="array" ref="V212">Common_InputFunctions.Utility_DisplayArrayInTable(Fertiliser_SourceData.Fertiliser_Products_Data5(),FertiliserProducts[[#Headers],[Company]], 121)</f>
        <v/>
      </c>
      <c r="W212" s="109" t="str" cm="1">
        <f t="array" ref="W212">Common_InputFunctions.Utility_DisplayArrayInTable(Fertiliser_SourceData.Fertiliser_Products_Data5(),FertiliserProducts[[#Headers],[Company]], 121)</f>
        <v/>
      </c>
      <c r="X212" s="109" t="str" cm="1">
        <f t="array" ref="X212">Common_InputFunctions.Utility_DisplayArrayInTable(Fertiliser_SourceData.Fertiliser_Products_Data5(),FertiliserProducts[[#Headers],[Company]], 121)</f>
        <v/>
      </c>
      <c r="Y212" s="109" t="str" cm="1">
        <f t="array" ref="Y212">Common_InputFunctions.Utility_DisplayArrayInTable(Fertiliser_SourceData.Fertiliser_Products_Data5(),FertiliserProducts[[#Headers],[Company]], 121)</f>
        <v/>
      </c>
      <c r="Z212" s="109" t="str" cm="1">
        <f t="array" ref="Z212">Common_InputFunctions.Utility_DisplayArrayInTable(Fertiliser_SourceData.Fertiliser_Products_Data5(),FertiliserProducts[[#Headers],[Company]], 121)</f>
        <v/>
      </c>
      <c r="AA212" s="109" t="str" cm="1">
        <f t="array" ref="AA212">Common_InputFunctions.Utility_DisplayArrayInTable(Fertiliser_SourceData.Fertiliser_Products_Data5(),FertiliserProducts[[#Headers],[Company]], 121)</f>
        <v/>
      </c>
      <c r="AB212" s="109" t="str" cm="1">
        <f t="array" ref="AB212">Common_InputFunctions.Utility_DisplayArrayInTable(Fertiliser_SourceData.Fertiliser_Products_Data5(),FertiliserProducts[[#Headers],[Company]], 121)</f>
        <v/>
      </c>
      <c r="AC212" s="109" t="str" cm="1">
        <f t="array" ref="AC212">Common_InputFunctions.Utility_DisplayArrayInTable(Fertiliser_SourceData.Fertiliser_Products_Data5(),FertiliserProducts[[#Headers],[Company]], 121)</f>
        <v/>
      </c>
      <c r="AD212" s="109" t="str" cm="1">
        <f t="array" ref="AD212">Common_InputFunctions.Utility_DisplayArrayInTable(Fertiliser_SourceData.Fertiliser_Products_Data5(),FertiliserProducts[[#Headers],[Company]], 121)</f>
        <v/>
      </c>
      <c r="AE212" s="109" t="str" cm="1">
        <f t="array" ref="AE212">Common_InputFunctions.Utility_DisplayArrayInTable(Fertiliser_SourceData.Fertiliser_Products_Data5(),FertiliserProducts[[#Headers],[Company]], 121)</f>
        <v/>
      </c>
      <c r="AF212" s="109" t="str" cm="1">
        <f t="array" ref="AF212">Common_InputFunctions.Utility_DisplayArrayInTable(Fertiliser_SourceData.Fertiliser_Products_Data5(),FertiliserProducts[[#Headers],[Company]], 121)</f>
        <v/>
      </c>
      <c r="AG212" s="109" t="str" cm="1">
        <f t="array" ref="AG212">Common_InputFunctions.Utility_DisplayArrayInTable(Fertiliser_SourceData.Fertiliser_Products_Data5(),FertiliserProducts[[#Headers],[Company]], 121)</f>
        <v/>
      </c>
      <c r="AH212" s="109" t="str" cm="1">
        <f t="array" ref="AH212">Common_InputFunctions.Utility_DisplayArrayInTable(Fertiliser_SourceData.Fertiliser_Products_Data5(),FertiliserProducts[[#Headers],[Company]], 121)</f>
        <v/>
      </c>
    </row>
    <row r="213" spans="4:34" x14ac:dyDescent="0.25">
      <c r="D213" s="109" t="str" cm="1">
        <f t="array" ref="D213">Common_InputFunctions.Utility_DisplayArrayInTable(Fertiliser_SourceData.Fertiliser_Products_Data5(),FertiliserProducts[[#Headers],[Company]], 121)</f>
        <v>Wengfu Australia</v>
      </c>
      <c r="E213" s="109" t="str" cm="1">
        <f t="array" ref="E213">Common_InputFunctions.Utility_DisplayArrayInTable(Fertiliser_SourceData.Fertiliser_Products_Data5(),FertiliserProducts[[#Headers],[Company]], 121)</f>
        <v>Wengfu Booster Grass DAP</v>
      </c>
      <c r="F213" s="109" t="str" cm="1">
        <f t="array" ref="F213">Common_InputFunctions.Utility_DisplayArrayInTable(Fertiliser_SourceData.Fertiliser_Products_Data5(),FertiliserProducts[[#Headers],[Company]], 121)</f>
        <v>kg</v>
      </c>
      <c r="G213" s="109" cm="1">
        <f t="array" ref="G213">Common_InputFunctions.Utility_DisplayArrayInTable(Fertiliser_SourceData.Fertiliser_Products_Data5(),FertiliserProducts[[#Headers],[Company]], 121)</f>
        <v>1</v>
      </c>
      <c r="H213" s="109" t="str" cm="1">
        <f t="array" ref="H213">Common_InputFunctions.Utility_DisplayArrayInTable(Fertiliser_SourceData.Fertiliser_Products_Data5(),FertiliserProducts[[#Headers],[Company]], 121)</f>
        <v/>
      </c>
      <c r="I213" s="109" t="str" cm="1">
        <f t="array" ref="I213">Common_InputFunctions.Utility_DisplayArrayInTable(Fertiliser_SourceData.Fertiliser_Products_Data5(),FertiliserProducts[[#Headers],[Company]], 121)</f>
        <v/>
      </c>
      <c r="J213" s="109" t="str" cm="1">
        <f t="array" ref="J213">Common_InputFunctions.Utility_DisplayArrayInTable(Fertiliser_SourceData.Fertiliser_Products_Data5(),FertiliserProducts[[#Headers],[Company]], 121)</f>
        <v/>
      </c>
      <c r="K213" s="109" cm="1">
        <f t="array" ref="K213">Common_InputFunctions.Utility_DisplayArrayInTable(Fertiliser_SourceData.Fertiliser_Products_Data5(),FertiliserProducts[[#Headers],[Company]], 121)</f>
        <v>21</v>
      </c>
      <c r="L213" s="109" cm="1">
        <f t="array" ref="L213">Common_InputFunctions.Utility_DisplayArrayInTable(Fertiliser_SourceData.Fertiliser_Products_Data5(),FertiliserProducts[[#Headers],[Company]], 121)</f>
        <v>4</v>
      </c>
      <c r="M213" s="109" cm="1">
        <f t="array" ref="M213">Common_InputFunctions.Utility_DisplayArrayInTable(Fertiliser_SourceData.Fertiliser_Products_Data5(),FertiliserProducts[[#Headers],[Company]], 121)</f>
        <v>8</v>
      </c>
      <c r="N213" s="109" cm="1">
        <f t="array" ref="N213">Common_InputFunctions.Utility_DisplayArrayInTable(Fertiliser_SourceData.Fertiliser_Products_Data5(),FertiliserProducts[[#Headers],[Company]], 121)</f>
        <v>7</v>
      </c>
      <c r="O213" s="109" t="str" cm="1">
        <f t="array" ref="O213">Common_InputFunctions.Utility_DisplayArrayInTable(Fertiliser_SourceData.Fertiliser_Products_Data5(),FertiliserProducts[[#Headers],[Company]], 121)</f>
        <v>Nitrogen - Generic</v>
      </c>
      <c r="P213" s="109" cm="1">
        <f t="array" ref="P213">Common_InputFunctions.Utility_DisplayArrayInTable(Fertiliser_SourceData.Fertiliser_Products_Data5(),FertiliserProducts[[#Headers],[Company]], 121)</f>
        <v>0.21</v>
      </c>
      <c r="Q213" s="109" t="str" cm="1">
        <f t="array" ref="Q213">Common_InputFunctions.Utility_DisplayArrayInTable(Fertiliser_SourceData.Fertiliser_Products_Data5(),FertiliserProducts[[#Headers],[Company]], 121)</f>
        <v>Phosphorus - Generic</v>
      </c>
      <c r="R213" s="109" cm="1">
        <f t="array" ref="R213">Common_InputFunctions.Utility_DisplayArrayInTable(Fertiliser_SourceData.Fertiliser_Products_Data5(),FertiliserProducts[[#Headers],[Company]], 121)</f>
        <v>0.04</v>
      </c>
      <c r="S213" s="109" t="str" cm="1">
        <f t="array" ref="S213">Common_InputFunctions.Utility_DisplayArrayInTable(Fertiliser_SourceData.Fertiliser_Products_Data5(),FertiliserProducts[[#Headers],[Company]], 121)</f>
        <v>Potassium - Generic</v>
      </c>
      <c r="T213" s="109" cm="1">
        <f t="array" ref="T213">Common_InputFunctions.Utility_DisplayArrayInTable(Fertiliser_SourceData.Fertiliser_Products_Data5(),FertiliserProducts[[#Headers],[Company]], 121)</f>
        <v>0.08</v>
      </c>
      <c r="U213" s="109" t="str" cm="1">
        <f t="array" ref="U213">Common_InputFunctions.Utility_DisplayArrayInTable(Fertiliser_SourceData.Fertiliser_Products_Data5(),FertiliserProducts[[#Headers],[Company]], 121)</f>
        <v>Sulfur - Generic</v>
      </c>
      <c r="V213" s="109" cm="1">
        <f t="array" ref="V213">Common_InputFunctions.Utility_DisplayArrayInTable(Fertiliser_SourceData.Fertiliser_Products_Data5(),FertiliserProducts[[#Headers],[Company]], 121)</f>
        <v>7.0000000000000007E-2</v>
      </c>
      <c r="W213" s="109" t="str" cm="1">
        <f t="array" ref="W213">Common_InputFunctions.Utility_DisplayArrayInTable(Fertiliser_SourceData.Fertiliser_Products_Data5(),FertiliserProducts[[#Headers],[Company]], 121)</f>
        <v/>
      </c>
      <c r="X213" s="109" t="str" cm="1">
        <f t="array" ref="X213">Common_InputFunctions.Utility_DisplayArrayInTable(Fertiliser_SourceData.Fertiliser_Products_Data5(),FertiliserProducts[[#Headers],[Company]], 121)</f>
        <v/>
      </c>
      <c r="Y213" s="109" t="str" cm="1">
        <f t="array" ref="Y213">Common_InputFunctions.Utility_DisplayArrayInTable(Fertiliser_SourceData.Fertiliser_Products_Data5(),FertiliserProducts[[#Headers],[Company]], 121)</f>
        <v/>
      </c>
      <c r="Z213" s="109" t="str" cm="1">
        <f t="array" ref="Z213">Common_InputFunctions.Utility_DisplayArrayInTable(Fertiliser_SourceData.Fertiliser_Products_Data5(),FertiliserProducts[[#Headers],[Company]], 121)</f>
        <v/>
      </c>
      <c r="AA213" s="109" t="str" cm="1">
        <f t="array" ref="AA213">Common_InputFunctions.Utility_DisplayArrayInTable(Fertiliser_SourceData.Fertiliser_Products_Data5(),FertiliserProducts[[#Headers],[Company]], 121)</f>
        <v/>
      </c>
      <c r="AB213" s="109" t="str" cm="1">
        <f t="array" ref="AB213">Common_InputFunctions.Utility_DisplayArrayInTable(Fertiliser_SourceData.Fertiliser_Products_Data5(),FertiliserProducts[[#Headers],[Company]], 121)</f>
        <v/>
      </c>
      <c r="AC213" s="109" t="str" cm="1">
        <f t="array" ref="AC213">Common_InputFunctions.Utility_DisplayArrayInTable(Fertiliser_SourceData.Fertiliser_Products_Data5(),FertiliserProducts[[#Headers],[Company]], 121)</f>
        <v/>
      </c>
      <c r="AD213" s="109" t="str" cm="1">
        <f t="array" ref="AD213">Common_InputFunctions.Utility_DisplayArrayInTable(Fertiliser_SourceData.Fertiliser_Products_Data5(),FertiliserProducts[[#Headers],[Company]], 121)</f>
        <v/>
      </c>
      <c r="AE213" s="109" t="str" cm="1">
        <f t="array" ref="AE213">Common_InputFunctions.Utility_DisplayArrayInTable(Fertiliser_SourceData.Fertiliser_Products_Data5(),FertiliserProducts[[#Headers],[Company]], 121)</f>
        <v/>
      </c>
      <c r="AF213" s="109" t="str" cm="1">
        <f t="array" ref="AF213">Common_InputFunctions.Utility_DisplayArrayInTable(Fertiliser_SourceData.Fertiliser_Products_Data5(),FertiliserProducts[[#Headers],[Company]], 121)</f>
        <v/>
      </c>
      <c r="AG213" s="109" t="str" cm="1">
        <f t="array" ref="AG213">Common_InputFunctions.Utility_DisplayArrayInTable(Fertiliser_SourceData.Fertiliser_Products_Data5(),FertiliserProducts[[#Headers],[Company]], 121)</f>
        <v/>
      </c>
      <c r="AH213" s="109" t="str" cm="1">
        <f t="array" ref="AH213">Common_InputFunctions.Utility_DisplayArrayInTable(Fertiliser_SourceData.Fertiliser_Products_Data5(),FertiliserProducts[[#Headers],[Company]], 121)</f>
        <v/>
      </c>
    </row>
    <row r="214" spans="4:34" x14ac:dyDescent="0.25">
      <c r="D214" s="109" t="str" cm="1">
        <f t="array" ref="D214">Common_InputFunctions.Utility_DisplayArrayInTable(Fertiliser_SourceData.Fertiliser_Products_Data5(),FertiliserProducts[[#Headers],[Company]], 121)</f>
        <v>Wengfu Australia</v>
      </c>
      <c r="E214" s="109" t="str" cm="1">
        <f t="array" ref="E214">Common_InputFunctions.Utility_DisplayArrayInTable(Fertiliser_SourceData.Fertiliser_Products_Data5(),FertiliserProducts[[#Headers],[Company]], 121)</f>
        <v>Wengfu Aftergraze</v>
      </c>
      <c r="F214" s="109" t="str" cm="1">
        <f t="array" ref="F214">Common_InputFunctions.Utility_DisplayArrayInTable(Fertiliser_SourceData.Fertiliser_Products_Data5(),FertiliserProducts[[#Headers],[Company]], 121)</f>
        <v>kg</v>
      </c>
      <c r="G214" s="109" cm="1">
        <f t="array" ref="G214">Common_InputFunctions.Utility_DisplayArrayInTable(Fertiliser_SourceData.Fertiliser_Products_Data5(),FertiliserProducts[[#Headers],[Company]], 121)</f>
        <v>1</v>
      </c>
      <c r="H214" s="109" t="str" cm="1">
        <f t="array" ref="H214">Common_InputFunctions.Utility_DisplayArrayInTable(Fertiliser_SourceData.Fertiliser_Products_Data5(),FertiliserProducts[[#Headers],[Company]], 121)</f>
        <v/>
      </c>
      <c r="I214" s="109" t="str" cm="1">
        <f t="array" ref="I214">Common_InputFunctions.Utility_DisplayArrayInTable(Fertiliser_SourceData.Fertiliser_Products_Data5(),FertiliserProducts[[#Headers],[Company]], 121)</f>
        <v/>
      </c>
      <c r="J214" s="109" t="str" cm="1">
        <f t="array" ref="J214">Common_InputFunctions.Utility_DisplayArrayInTable(Fertiliser_SourceData.Fertiliser_Products_Data5(),FertiliserProducts[[#Headers],[Company]], 121)</f>
        <v/>
      </c>
      <c r="K214" s="109" cm="1">
        <f t="array" ref="K214">Common_InputFunctions.Utility_DisplayArrayInTable(Fertiliser_SourceData.Fertiliser_Products_Data5(),FertiliserProducts[[#Headers],[Company]], 121)</f>
        <v>23</v>
      </c>
      <c r="L214" s="109" cm="1">
        <f t="array" ref="L214">Common_InputFunctions.Utility_DisplayArrayInTable(Fertiliser_SourceData.Fertiliser_Products_Data5(),FertiliserProducts[[#Headers],[Company]], 121)</f>
        <v>0</v>
      </c>
      <c r="M214" s="109" cm="1">
        <f t="array" ref="M214">Common_InputFunctions.Utility_DisplayArrayInTable(Fertiliser_SourceData.Fertiliser_Products_Data5(),FertiliserProducts[[#Headers],[Company]], 121)</f>
        <v>25</v>
      </c>
      <c r="N214" s="109" cm="1">
        <f t="array" ref="N214">Common_InputFunctions.Utility_DisplayArrayInTable(Fertiliser_SourceData.Fertiliser_Products_Data5(),FertiliserProducts[[#Headers],[Company]], 121)</f>
        <v>0</v>
      </c>
      <c r="O214" s="109" t="str" cm="1">
        <f t="array" ref="O214">Common_InputFunctions.Utility_DisplayArrayInTable(Fertiliser_SourceData.Fertiliser_Products_Data5(),FertiliserProducts[[#Headers],[Company]], 121)</f>
        <v>Nitrogen - Generic</v>
      </c>
      <c r="P214" s="109" cm="1">
        <f t="array" ref="P214">Common_InputFunctions.Utility_DisplayArrayInTable(Fertiliser_SourceData.Fertiliser_Products_Data5(),FertiliserProducts[[#Headers],[Company]], 121)</f>
        <v>0.23</v>
      </c>
      <c r="Q214" s="109" t="str" cm="1">
        <f t="array" ref="Q214">Common_InputFunctions.Utility_DisplayArrayInTable(Fertiliser_SourceData.Fertiliser_Products_Data5(),FertiliserProducts[[#Headers],[Company]], 121)</f>
        <v>Potassium - Generic</v>
      </c>
      <c r="R214" s="109" cm="1">
        <f t="array" ref="R214">Common_InputFunctions.Utility_DisplayArrayInTable(Fertiliser_SourceData.Fertiliser_Products_Data5(),FertiliserProducts[[#Headers],[Company]], 121)</f>
        <v>0.25</v>
      </c>
      <c r="S214" s="109" t="str" cm="1">
        <f t="array" ref="S214">Common_InputFunctions.Utility_DisplayArrayInTable(Fertiliser_SourceData.Fertiliser_Products_Data5(),FertiliserProducts[[#Headers],[Company]], 121)</f>
        <v/>
      </c>
      <c r="T214" s="109" t="str" cm="1">
        <f t="array" ref="T214">Common_InputFunctions.Utility_DisplayArrayInTable(Fertiliser_SourceData.Fertiliser_Products_Data5(),FertiliserProducts[[#Headers],[Company]], 121)</f>
        <v/>
      </c>
      <c r="U214" s="109" t="str" cm="1">
        <f t="array" ref="U214">Common_InputFunctions.Utility_DisplayArrayInTable(Fertiliser_SourceData.Fertiliser_Products_Data5(),FertiliserProducts[[#Headers],[Company]], 121)</f>
        <v/>
      </c>
      <c r="V214" s="109" t="str" cm="1">
        <f t="array" ref="V214">Common_InputFunctions.Utility_DisplayArrayInTable(Fertiliser_SourceData.Fertiliser_Products_Data5(),FertiliserProducts[[#Headers],[Company]], 121)</f>
        <v/>
      </c>
      <c r="W214" s="109" t="str" cm="1">
        <f t="array" ref="W214">Common_InputFunctions.Utility_DisplayArrayInTable(Fertiliser_SourceData.Fertiliser_Products_Data5(),FertiliserProducts[[#Headers],[Company]], 121)</f>
        <v/>
      </c>
      <c r="X214" s="109" t="str" cm="1">
        <f t="array" ref="X214">Common_InputFunctions.Utility_DisplayArrayInTable(Fertiliser_SourceData.Fertiliser_Products_Data5(),FertiliserProducts[[#Headers],[Company]], 121)</f>
        <v/>
      </c>
      <c r="Y214" s="109" t="str" cm="1">
        <f t="array" ref="Y214">Common_InputFunctions.Utility_DisplayArrayInTable(Fertiliser_SourceData.Fertiliser_Products_Data5(),FertiliserProducts[[#Headers],[Company]], 121)</f>
        <v/>
      </c>
      <c r="Z214" s="109" t="str" cm="1">
        <f t="array" ref="Z214">Common_InputFunctions.Utility_DisplayArrayInTable(Fertiliser_SourceData.Fertiliser_Products_Data5(),FertiliserProducts[[#Headers],[Company]], 121)</f>
        <v/>
      </c>
      <c r="AA214" s="109" t="str" cm="1">
        <f t="array" ref="AA214">Common_InputFunctions.Utility_DisplayArrayInTable(Fertiliser_SourceData.Fertiliser_Products_Data5(),FertiliserProducts[[#Headers],[Company]], 121)</f>
        <v/>
      </c>
      <c r="AB214" s="109" t="str" cm="1">
        <f t="array" ref="AB214">Common_InputFunctions.Utility_DisplayArrayInTable(Fertiliser_SourceData.Fertiliser_Products_Data5(),FertiliserProducts[[#Headers],[Company]], 121)</f>
        <v/>
      </c>
      <c r="AC214" s="109" t="str" cm="1">
        <f t="array" ref="AC214">Common_InputFunctions.Utility_DisplayArrayInTable(Fertiliser_SourceData.Fertiliser_Products_Data5(),FertiliserProducts[[#Headers],[Company]], 121)</f>
        <v/>
      </c>
      <c r="AD214" s="109" t="str" cm="1">
        <f t="array" ref="AD214">Common_InputFunctions.Utility_DisplayArrayInTable(Fertiliser_SourceData.Fertiliser_Products_Data5(),FertiliserProducts[[#Headers],[Company]], 121)</f>
        <v/>
      </c>
      <c r="AE214" s="109" t="str" cm="1">
        <f t="array" ref="AE214">Common_InputFunctions.Utility_DisplayArrayInTable(Fertiliser_SourceData.Fertiliser_Products_Data5(),FertiliserProducts[[#Headers],[Company]], 121)</f>
        <v/>
      </c>
      <c r="AF214" s="109" t="str" cm="1">
        <f t="array" ref="AF214">Common_InputFunctions.Utility_DisplayArrayInTable(Fertiliser_SourceData.Fertiliser_Products_Data5(),FertiliserProducts[[#Headers],[Company]], 121)</f>
        <v/>
      </c>
      <c r="AG214" s="109" t="str" cm="1">
        <f t="array" ref="AG214">Common_InputFunctions.Utility_DisplayArrayInTable(Fertiliser_SourceData.Fertiliser_Products_Data5(),FertiliserProducts[[#Headers],[Company]], 121)</f>
        <v/>
      </c>
      <c r="AH214" s="109" t="str" cm="1">
        <f t="array" ref="AH214">Common_InputFunctions.Utility_DisplayArrayInTable(Fertiliser_SourceData.Fertiliser_Products_Data5(),FertiliserProducts[[#Headers],[Company]], 121)</f>
        <v/>
      </c>
    </row>
    <row r="215" spans="4:34" x14ac:dyDescent="0.25">
      <c r="D215" s="109" t="str" cm="1">
        <f t="array" ref="D215">Common_InputFunctions.Utility_DisplayArrayInTable(Fertiliser_SourceData.Fertiliser_Products_Data5(),FertiliserProducts[[#Headers],[Company]], 121)</f>
        <v>Wengfu Australia</v>
      </c>
      <c r="E215" s="109" t="str" cm="1">
        <f t="array" ref="E215">Common_InputFunctions.Utility_DisplayArrayInTable(Fertiliser_SourceData.Fertiliser_Products_Data5(),FertiliserProducts[[#Headers],[Company]], 121)</f>
        <v>Wengfu Sidedress</v>
      </c>
      <c r="F215" s="109" t="str" cm="1">
        <f t="array" ref="F215">Common_InputFunctions.Utility_DisplayArrayInTable(Fertiliser_SourceData.Fertiliser_Products_Data5(),FertiliserProducts[[#Headers],[Company]], 121)</f>
        <v>kg</v>
      </c>
      <c r="G215" s="109" cm="1">
        <f t="array" ref="G215">Common_InputFunctions.Utility_DisplayArrayInTable(Fertiliser_SourceData.Fertiliser_Products_Data5(),FertiliserProducts[[#Headers],[Company]], 121)</f>
        <v>1</v>
      </c>
      <c r="H215" s="109" t="str" cm="1">
        <f t="array" ref="H215">Common_InputFunctions.Utility_DisplayArrayInTable(Fertiliser_SourceData.Fertiliser_Products_Data5(),FertiliserProducts[[#Headers],[Company]], 121)</f>
        <v/>
      </c>
      <c r="I215" s="109" t="str" cm="1">
        <f t="array" ref="I215">Common_InputFunctions.Utility_DisplayArrayInTable(Fertiliser_SourceData.Fertiliser_Products_Data5(),FertiliserProducts[[#Headers],[Company]], 121)</f>
        <v/>
      </c>
      <c r="J215" s="109" t="str" cm="1">
        <f t="array" ref="J215">Common_InputFunctions.Utility_DisplayArrayInTable(Fertiliser_SourceData.Fertiliser_Products_Data5(),FertiliserProducts[[#Headers],[Company]], 121)</f>
        <v/>
      </c>
      <c r="K215" s="109" cm="1">
        <f t="array" ref="K215">Common_InputFunctions.Utility_DisplayArrayInTable(Fertiliser_SourceData.Fertiliser_Products_Data5(),FertiliserProducts[[#Headers],[Company]], 121)</f>
        <v>25</v>
      </c>
      <c r="L215" s="109" cm="1">
        <f t="array" ref="L215">Common_InputFunctions.Utility_DisplayArrayInTable(Fertiliser_SourceData.Fertiliser_Products_Data5(),FertiliserProducts[[#Headers],[Company]], 121)</f>
        <v>4</v>
      </c>
      <c r="M215" s="109" cm="1">
        <f t="array" ref="M215">Common_InputFunctions.Utility_DisplayArrayInTable(Fertiliser_SourceData.Fertiliser_Products_Data5(),FertiliserProducts[[#Headers],[Company]], 121)</f>
        <v>13</v>
      </c>
      <c r="N215" s="109" cm="1">
        <f t="array" ref="N215">Common_InputFunctions.Utility_DisplayArrayInTable(Fertiliser_SourceData.Fertiliser_Products_Data5(),FertiliserProducts[[#Headers],[Company]], 121)</f>
        <v>4</v>
      </c>
      <c r="O215" s="109" t="str" cm="1">
        <f t="array" ref="O215">Common_InputFunctions.Utility_DisplayArrayInTable(Fertiliser_SourceData.Fertiliser_Products_Data5(),FertiliserProducts[[#Headers],[Company]], 121)</f>
        <v>Nitrogen - Generic</v>
      </c>
      <c r="P215" s="109" cm="1">
        <f t="array" ref="P215">Common_InputFunctions.Utility_DisplayArrayInTable(Fertiliser_SourceData.Fertiliser_Products_Data5(),FertiliserProducts[[#Headers],[Company]], 121)</f>
        <v>0.25</v>
      </c>
      <c r="Q215" s="109" t="str" cm="1">
        <f t="array" ref="Q215">Common_InputFunctions.Utility_DisplayArrayInTable(Fertiliser_SourceData.Fertiliser_Products_Data5(),FertiliserProducts[[#Headers],[Company]], 121)</f>
        <v>Phosphorus - Generic</v>
      </c>
      <c r="R215" s="109" cm="1">
        <f t="array" ref="R215">Common_InputFunctions.Utility_DisplayArrayInTable(Fertiliser_SourceData.Fertiliser_Products_Data5(),FertiliserProducts[[#Headers],[Company]], 121)</f>
        <v>0.04</v>
      </c>
      <c r="S215" s="109" t="str" cm="1">
        <f t="array" ref="S215">Common_InputFunctions.Utility_DisplayArrayInTable(Fertiliser_SourceData.Fertiliser_Products_Data5(),FertiliserProducts[[#Headers],[Company]], 121)</f>
        <v>Potassium - Generic</v>
      </c>
      <c r="T215" s="109" cm="1">
        <f t="array" ref="T215">Common_InputFunctions.Utility_DisplayArrayInTable(Fertiliser_SourceData.Fertiliser_Products_Data5(),FertiliserProducts[[#Headers],[Company]], 121)</f>
        <v>0.13</v>
      </c>
      <c r="U215" s="109" t="str" cm="1">
        <f t="array" ref="U215">Common_InputFunctions.Utility_DisplayArrayInTable(Fertiliser_SourceData.Fertiliser_Products_Data5(),FertiliserProducts[[#Headers],[Company]], 121)</f>
        <v>Sulfur - Generic</v>
      </c>
      <c r="V215" s="109" cm="1">
        <f t="array" ref="V215">Common_InputFunctions.Utility_DisplayArrayInTable(Fertiliser_SourceData.Fertiliser_Products_Data5(),FertiliserProducts[[#Headers],[Company]], 121)</f>
        <v>0.04</v>
      </c>
      <c r="W215" s="109" t="str" cm="1">
        <f t="array" ref="W215">Common_InputFunctions.Utility_DisplayArrayInTable(Fertiliser_SourceData.Fertiliser_Products_Data5(),FertiliserProducts[[#Headers],[Company]], 121)</f>
        <v/>
      </c>
      <c r="X215" s="109" t="str" cm="1">
        <f t="array" ref="X215">Common_InputFunctions.Utility_DisplayArrayInTable(Fertiliser_SourceData.Fertiliser_Products_Data5(),FertiliserProducts[[#Headers],[Company]], 121)</f>
        <v/>
      </c>
      <c r="Y215" s="109" t="str" cm="1">
        <f t="array" ref="Y215">Common_InputFunctions.Utility_DisplayArrayInTable(Fertiliser_SourceData.Fertiliser_Products_Data5(),FertiliserProducts[[#Headers],[Company]], 121)</f>
        <v/>
      </c>
      <c r="Z215" s="109" t="str" cm="1">
        <f t="array" ref="Z215">Common_InputFunctions.Utility_DisplayArrayInTable(Fertiliser_SourceData.Fertiliser_Products_Data5(),FertiliserProducts[[#Headers],[Company]], 121)</f>
        <v/>
      </c>
      <c r="AA215" s="109" t="str" cm="1">
        <f t="array" ref="AA215">Common_InputFunctions.Utility_DisplayArrayInTable(Fertiliser_SourceData.Fertiliser_Products_Data5(),FertiliserProducts[[#Headers],[Company]], 121)</f>
        <v/>
      </c>
      <c r="AB215" s="109" t="str" cm="1">
        <f t="array" ref="AB215">Common_InputFunctions.Utility_DisplayArrayInTable(Fertiliser_SourceData.Fertiliser_Products_Data5(),FertiliserProducts[[#Headers],[Company]], 121)</f>
        <v/>
      </c>
      <c r="AC215" s="109" t="str" cm="1">
        <f t="array" ref="AC215">Common_InputFunctions.Utility_DisplayArrayInTable(Fertiliser_SourceData.Fertiliser_Products_Data5(),FertiliserProducts[[#Headers],[Company]], 121)</f>
        <v/>
      </c>
      <c r="AD215" s="109" t="str" cm="1">
        <f t="array" ref="AD215">Common_InputFunctions.Utility_DisplayArrayInTable(Fertiliser_SourceData.Fertiliser_Products_Data5(),FertiliserProducts[[#Headers],[Company]], 121)</f>
        <v/>
      </c>
      <c r="AE215" s="109" t="str" cm="1">
        <f t="array" ref="AE215">Common_InputFunctions.Utility_DisplayArrayInTable(Fertiliser_SourceData.Fertiliser_Products_Data5(),FertiliserProducts[[#Headers],[Company]], 121)</f>
        <v/>
      </c>
      <c r="AF215" s="109" t="str" cm="1">
        <f t="array" ref="AF215">Common_InputFunctions.Utility_DisplayArrayInTable(Fertiliser_SourceData.Fertiliser_Products_Data5(),FertiliserProducts[[#Headers],[Company]], 121)</f>
        <v/>
      </c>
      <c r="AG215" s="109" t="str" cm="1">
        <f t="array" ref="AG215">Common_InputFunctions.Utility_DisplayArrayInTable(Fertiliser_SourceData.Fertiliser_Products_Data5(),FertiliserProducts[[#Headers],[Company]], 121)</f>
        <v/>
      </c>
      <c r="AH215" s="109" t="str" cm="1">
        <f t="array" ref="AH215">Common_InputFunctions.Utility_DisplayArrayInTable(Fertiliser_SourceData.Fertiliser_Products_Data5(),FertiliserProducts[[#Headers],[Company]], 121)</f>
        <v/>
      </c>
    </row>
    <row r="216" spans="4:34" x14ac:dyDescent="0.25">
      <c r="D216" s="109" t="str" cm="1">
        <f t="array" ref="D216">Common_InputFunctions.Utility_DisplayArrayInTable(Fertiliser_SourceData.Fertiliser_Products_Data5(),FertiliserProducts[[#Headers],[Company]], 121)</f>
        <v>Wengfu Australia</v>
      </c>
      <c r="E216" s="109" t="str" cm="1">
        <f t="array" ref="E216">Common_InputFunctions.Utility_DisplayArrayInTable(Fertiliser_SourceData.Fertiliser_Products_Data5(),FertiliserProducts[[#Headers],[Company]], 121)</f>
        <v>Wengfu Pasture Booster</v>
      </c>
      <c r="F216" s="109" t="str" cm="1">
        <f t="array" ref="F216">Common_InputFunctions.Utility_DisplayArrayInTable(Fertiliser_SourceData.Fertiliser_Products_Data5(),FertiliserProducts[[#Headers],[Company]], 121)</f>
        <v>kg</v>
      </c>
      <c r="G216" s="109" cm="1">
        <f t="array" ref="G216">Common_InputFunctions.Utility_DisplayArrayInTable(Fertiliser_SourceData.Fertiliser_Products_Data5(),FertiliserProducts[[#Headers],[Company]], 121)</f>
        <v>1</v>
      </c>
      <c r="H216" s="109" t="str" cm="1">
        <f t="array" ref="H216">Common_InputFunctions.Utility_DisplayArrayInTable(Fertiliser_SourceData.Fertiliser_Products_Data5(),FertiliserProducts[[#Headers],[Company]], 121)</f>
        <v/>
      </c>
      <c r="I216" s="109" t="str" cm="1">
        <f t="array" ref="I216">Common_InputFunctions.Utility_DisplayArrayInTable(Fertiliser_SourceData.Fertiliser_Products_Data5(),FertiliserProducts[[#Headers],[Company]], 121)</f>
        <v/>
      </c>
      <c r="J216" s="109" t="str" cm="1">
        <f t="array" ref="J216">Common_InputFunctions.Utility_DisplayArrayInTable(Fertiliser_SourceData.Fertiliser_Products_Data5(),FertiliserProducts[[#Headers],[Company]], 121)</f>
        <v/>
      </c>
      <c r="K216" s="109" cm="1">
        <f t="array" ref="K216">Common_InputFunctions.Utility_DisplayArrayInTable(Fertiliser_SourceData.Fertiliser_Products_Data5(),FertiliserProducts[[#Headers],[Company]], 121)</f>
        <v>13</v>
      </c>
      <c r="L216" s="109" cm="1">
        <f t="array" ref="L216">Common_InputFunctions.Utility_DisplayArrayInTable(Fertiliser_SourceData.Fertiliser_Products_Data5(),FertiliserProducts[[#Headers],[Company]], 121)</f>
        <v>5</v>
      </c>
      <c r="M216" s="109" cm="1">
        <f t="array" ref="M216">Common_InputFunctions.Utility_DisplayArrayInTable(Fertiliser_SourceData.Fertiliser_Products_Data5(),FertiliserProducts[[#Headers],[Company]], 121)</f>
        <v>24</v>
      </c>
      <c r="N216" s="109" cm="1">
        <f t="array" ref="N216">Common_InputFunctions.Utility_DisplayArrayInTable(Fertiliser_SourceData.Fertiliser_Products_Data5(),FertiliserProducts[[#Headers],[Company]], 121)</f>
        <v>5</v>
      </c>
      <c r="O216" s="109" t="str" cm="1">
        <f t="array" ref="O216">Common_InputFunctions.Utility_DisplayArrayInTable(Fertiliser_SourceData.Fertiliser_Products_Data5(),FertiliserProducts[[#Headers],[Company]], 121)</f>
        <v>Nitrogen - Generic</v>
      </c>
      <c r="P216" s="109" cm="1">
        <f t="array" ref="P216">Common_InputFunctions.Utility_DisplayArrayInTable(Fertiliser_SourceData.Fertiliser_Products_Data5(),FertiliserProducts[[#Headers],[Company]], 121)</f>
        <v>0.13</v>
      </c>
      <c r="Q216" s="109" t="str" cm="1">
        <f t="array" ref="Q216">Common_InputFunctions.Utility_DisplayArrayInTable(Fertiliser_SourceData.Fertiliser_Products_Data5(),FertiliserProducts[[#Headers],[Company]], 121)</f>
        <v>Phosphorus - Generic</v>
      </c>
      <c r="R216" s="109" cm="1">
        <f t="array" ref="R216">Common_InputFunctions.Utility_DisplayArrayInTable(Fertiliser_SourceData.Fertiliser_Products_Data5(),FertiliserProducts[[#Headers],[Company]], 121)</f>
        <v>0.05</v>
      </c>
      <c r="S216" s="109" t="str" cm="1">
        <f t="array" ref="S216">Common_InputFunctions.Utility_DisplayArrayInTable(Fertiliser_SourceData.Fertiliser_Products_Data5(),FertiliserProducts[[#Headers],[Company]], 121)</f>
        <v>Potassium - Generic</v>
      </c>
      <c r="T216" s="109" cm="1">
        <f t="array" ref="T216">Common_InputFunctions.Utility_DisplayArrayInTable(Fertiliser_SourceData.Fertiliser_Products_Data5(),FertiliserProducts[[#Headers],[Company]], 121)</f>
        <v>0.24</v>
      </c>
      <c r="U216" s="109" t="str" cm="1">
        <f t="array" ref="U216">Common_InputFunctions.Utility_DisplayArrayInTable(Fertiliser_SourceData.Fertiliser_Products_Data5(),FertiliserProducts[[#Headers],[Company]], 121)</f>
        <v>Sulfur - Generic</v>
      </c>
      <c r="V216" s="109" cm="1">
        <f t="array" ref="V216">Common_InputFunctions.Utility_DisplayArrayInTable(Fertiliser_SourceData.Fertiliser_Products_Data5(),FertiliserProducts[[#Headers],[Company]], 121)</f>
        <v>0.05</v>
      </c>
      <c r="W216" s="109" t="str" cm="1">
        <f t="array" ref="W216">Common_InputFunctions.Utility_DisplayArrayInTable(Fertiliser_SourceData.Fertiliser_Products_Data5(),FertiliserProducts[[#Headers],[Company]], 121)</f>
        <v/>
      </c>
      <c r="X216" s="109" t="str" cm="1">
        <f t="array" ref="X216">Common_InputFunctions.Utility_DisplayArrayInTable(Fertiliser_SourceData.Fertiliser_Products_Data5(),FertiliserProducts[[#Headers],[Company]], 121)</f>
        <v/>
      </c>
      <c r="Y216" s="109" t="str" cm="1">
        <f t="array" ref="Y216">Common_InputFunctions.Utility_DisplayArrayInTable(Fertiliser_SourceData.Fertiliser_Products_Data5(),FertiliserProducts[[#Headers],[Company]], 121)</f>
        <v/>
      </c>
      <c r="Z216" s="109" t="str" cm="1">
        <f t="array" ref="Z216">Common_InputFunctions.Utility_DisplayArrayInTable(Fertiliser_SourceData.Fertiliser_Products_Data5(),FertiliserProducts[[#Headers],[Company]], 121)</f>
        <v/>
      </c>
      <c r="AA216" s="109" t="str" cm="1">
        <f t="array" ref="AA216">Common_InputFunctions.Utility_DisplayArrayInTable(Fertiliser_SourceData.Fertiliser_Products_Data5(),FertiliserProducts[[#Headers],[Company]], 121)</f>
        <v/>
      </c>
      <c r="AB216" s="109" t="str" cm="1">
        <f t="array" ref="AB216">Common_InputFunctions.Utility_DisplayArrayInTable(Fertiliser_SourceData.Fertiliser_Products_Data5(),FertiliserProducts[[#Headers],[Company]], 121)</f>
        <v/>
      </c>
      <c r="AC216" s="109" t="str" cm="1">
        <f t="array" ref="AC216">Common_InputFunctions.Utility_DisplayArrayInTable(Fertiliser_SourceData.Fertiliser_Products_Data5(),FertiliserProducts[[#Headers],[Company]], 121)</f>
        <v/>
      </c>
      <c r="AD216" s="109" t="str" cm="1">
        <f t="array" ref="AD216">Common_InputFunctions.Utility_DisplayArrayInTable(Fertiliser_SourceData.Fertiliser_Products_Data5(),FertiliserProducts[[#Headers],[Company]], 121)</f>
        <v/>
      </c>
      <c r="AE216" s="109" t="str" cm="1">
        <f t="array" ref="AE216">Common_InputFunctions.Utility_DisplayArrayInTable(Fertiliser_SourceData.Fertiliser_Products_Data5(),FertiliserProducts[[#Headers],[Company]], 121)</f>
        <v/>
      </c>
      <c r="AF216" s="109" t="str" cm="1">
        <f t="array" ref="AF216">Common_InputFunctions.Utility_DisplayArrayInTable(Fertiliser_SourceData.Fertiliser_Products_Data5(),FertiliserProducts[[#Headers],[Company]], 121)</f>
        <v/>
      </c>
      <c r="AG216" s="109" t="str" cm="1">
        <f t="array" ref="AG216">Common_InputFunctions.Utility_DisplayArrayInTable(Fertiliser_SourceData.Fertiliser_Products_Data5(),FertiliserProducts[[#Headers],[Company]], 121)</f>
        <v/>
      </c>
      <c r="AH216" s="109" t="str" cm="1">
        <f t="array" ref="AH216">Common_InputFunctions.Utility_DisplayArrayInTable(Fertiliser_SourceData.Fertiliser_Products_Data5(),FertiliserProducts[[#Headers],[Company]], 121)</f>
        <v/>
      </c>
    </row>
    <row r="217" spans="4:34" x14ac:dyDescent="0.25">
      <c r="D217" s="109" t="str" cm="1">
        <f t="array" ref="D217">Common_InputFunctions.Utility_DisplayArrayInTable(Fertiliser_SourceData.Fertiliser_Products_Data5(),FertiliserProducts[[#Headers],[Company]], 121)</f>
        <v>Wengfu Australia</v>
      </c>
      <c r="E217" s="109" t="str" cm="1">
        <f t="array" ref="E217">Common_InputFunctions.Utility_DisplayArrayInTable(Fertiliser_SourceData.Fertiliser_Products_Data5(),FertiliserProducts[[#Headers],[Company]], 121)</f>
        <v>Wengfu DAP Hay Booster</v>
      </c>
      <c r="F217" s="109" t="str" cm="1">
        <f t="array" ref="F217">Common_InputFunctions.Utility_DisplayArrayInTable(Fertiliser_SourceData.Fertiliser_Products_Data5(),FertiliserProducts[[#Headers],[Company]], 121)</f>
        <v>kg</v>
      </c>
      <c r="G217" s="109" cm="1">
        <f t="array" ref="G217">Common_InputFunctions.Utility_DisplayArrayInTable(Fertiliser_SourceData.Fertiliser_Products_Data5(),FertiliserProducts[[#Headers],[Company]], 121)</f>
        <v>1</v>
      </c>
      <c r="H217" s="109" t="str" cm="1">
        <f t="array" ref="H217">Common_InputFunctions.Utility_DisplayArrayInTable(Fertiliser_SourceData.Fertiliser_Products_Data5(),FertiliserProducts[[#Headers],[Company]], 121)</f>
        <v/>
      </c>
      <c r="I217" s="109" t="str" cm="1">
        <f t="array" ref="I217">Common_InputFunctions.Utility_DisplayArrayInTable(Fertiliser_SourceData.Fertiliser_Products_Data5(),FertiliserProducts[[#Headers],[Company]], 121)</f>
        <v/>
      </c>
      <c r="J217" s="109" t="str" cm="1">
        <f t="array" ref="J217">Common_InputFunctions.Utility_DisplayArrayInTable(Fertiliser_SourceData.Fertiliser_Products_Data5(),FertiliserProducts[[#Headers],[Company]], 121)</f>
        <v/>
      </c>
      <c r="K217" s="109" cm="1">
        <f t="array" ref="K217">Common_InputFunctions.Utility_DisplayArrayInTable(Fertiliser_SourceData.Fertiliser_Products_Data5(),FertiliserProducts[[#Headers],[Company]], 121)</f>
        <v>11</v>
      </c>
      <c r="L217" s="109" cm="1">
        <f t="array" ref="L217">Common_InputFunctions.Utility_DisplayArrayInTable(Fertiliser_SourceData.Fertiliser_Products_Data5(),FertiliserProducts[[#Headers],[Company]], 121)</f>
        <v>5</v>
      </c>
      <c r="M217" s="109" cm="1">
        <f t="array" ref="M217">Common_InputFunctions.Utility_DisplayArrayInTable(Fertiliser_SourceData.Fertiliser_Products_Data5(),FertiliserProducts[[#Headers],[Company]], 121)</f>
        <v>24</v>
      </c>
      <c r="N217" s="109" cm="1">
        <f t="array" ref="N217">Common_InputFunctions.Utility_DisplayArrayInTable(Fertiliser_SourceData.Fertiliser_Products_Data5(),FertiliserProducts[[#Headers],[Company]], 121)</f>
        <v>4</v>
      </c>
      <c r="O217" s="109" t="str" cm="1">
        <f t="array" ref="O217">Common_InputFunctions.Utility_DisplayArrayInTable(Fertiliser_SourceData.Fertiliser_Products_Data5(),FertiliserProducts[[#Headers],[Company]], 121)</f>
        <v>Nitrogen - Generic</v>
      </c>
      <c r="P217" s="109" cm="1">
        <f t="array" ref="P217">Common_InputFunctions.Utility_DisplayArrayInTable(Fertiliser_SourceData.Fertiliser_Products_Data5(),FertiliserProducts[[#Headers],[Company]], 121)</f>
        <v>0.11</v>
      </c>
      <c r="Q217" s="109" t="str" cm="1">
        <f t="array" ref="Q217">Common_InputFunctions.Utility_DisplayArrayInTable(Fertiliser_SourceData.Fertiliser_Products_Data5(),FertiliserProducts[[#Headers],[Company]], 121)</f>
        <v>Phosphorus - Generic</v>
      </c>
      <c r="R217" s="109" cm="1">
        <f t="array" ref="R217">Common_InputFunctions.Utility_DisplayArrayInTable(Fertiliser_SourceData.Fertiliser_Products_Data5(),FertiliserProducts[[#Headers],[Company]], 121)</f>
        <v>0.05</v>
      </c>
      <c r="S217" s="109" t="str" cm="1">
        <f t="array" ref="S217">Common_InputFunctions.Utility_DisplayArrayInTable(Fertiliser_SourceData.Fertiliser_Products_Data5(),FertiliserProducts[[#Headers],[Company]], 121)</f>
        <v>Potassium - Generic</v>
      </c>
      <c r="T217" s="109" cm="1">
        <f t="array" ref="T217">Common_InputFunctions.Utility_DisplayArrayInTable(Fertiliser_SourceData.Fertiliser_Products_Data5(),FertiliserProducts[[#Headers],[Company]], 121)</f>
        <v>0.24</v>
      </c>
      <c r="U217" s="109" t="str" cm="1">
        <f t="array" ref="U217">Common_InputFunctions.Utility_DisplayArrayInTable(Fertiliser_SourceData.Fertiliser_Products_Data5(),FertiliserProducts[[#Headers],[Company]], 121)</f>
        <v>Sulfur - Generic</v>
      </c>
      <c r="V217" s="109" cm="1">
        <f t="array" ref="V217">Common_InputFunctions.Utility_DisplayArrayInTable(Fertiliser_SourceData.Fertiliser_Products_Data5(),FertiliserProducts[[#Headers],[Company]], 121)</f>
        <v>0.04</v>
      </c>
      <c r="W217" s="109" t="str" cm="1">
        <f t="array" ref="W217">Common_InputFunctions.Utility_DisplayArrayInTable(Fertiliser_SourceData.Fertiliser_Products_Data5(),FertiliserProducts[[#Headers],[Company]], 121)</f>
        <v/>
      </c>
      <c r="X217" s="109" t="str" cm="1">
        <f t="array" ref="X217">Common_InputFunctions.Utility_DisplayArrayInTable(Fertiliser_SourceData.Fertiliser_Products_Data5(),FertiliserProducts[[#Headers],[Company]], 121)</f>
        <v/>
      </c>
      <c r="Y217" s="109" t="str" cm="1">
        <f t="array" ref="Y217">Common_InputFunctions.Utility_DisplayArrayInTable(Fertiliser_SourceData.Fertiliser_Products_Data5(),FertiliserProducts[[#Headers],[Company]], 121)</f>
        <v/>
      </c>
      <c r="Z217" s="109" t="str" cm="1">
        <f t="array" ref="Z217">Common_InputFunctions.Utility_DisplayArrayInTable(Fertiliser_SourceData.Fertiliser_Products_Data5(),FertiliserProducts[[#Headers],[Company]], 121)</f>
        <v/>
      </c>
      <c r="AA217" s="109" t="str" cm="1">
        <f t="array" ref="AA217">Common_InputFunctions.Utility_DisplayArrayInTable(Fertiliser_SourceData.Fertiliser_Products_Data5(),FertiliserProducts[[#Headers],[Company]], 121)</f>
        <v/>
      </c>
      <c r="AB217" s="109" t="str" cm="1">
        <f t="array" ref="AB217">Common_InputFunctions.Utility_DisplayArrayInTable(Fertiliser_SourceData.Fertiliser_Products_Data5(),FertiliserProducts[[#Headers],[Company]], 121)</f>
        <v/>
      </c>
      <c r="AC217" s="109" t="str" cm="1">
        <f t="array" ref="AC217">Common_InputFunctions.Utility_DisplayArrayInTable(Fertiliser_SourceData.Fertiliser_Products_Data5(),FertiliserProducts[[#Headers],[Company]], 121)</f>
        <v/>
      </c>
      <c r="AD217" s="109" t="str" cm="1">
        <f t="array" ref="AD217">Common_InputFunctions.Utility_DisplayArrayInTable(Fertiliser_SourceData.Fertiliser_Products_Data5(),FertiliserProducts[[#Headers],[Company]], 121)</f>
        <v/>
      </c>
      <c r="AE217" s="109" t="str" cm="1">
        <f t="array" ref="AE217">Common_InputFunctions.Utility_DisplayArrayInTable(Fertiliser_SourceData.Fertiliser_Products_Data5(),FertiliserProducts[[#Headers],[Company]], 121)</f>
        <v/>
      </c>
      <c r="AF217" s="109" t="str" cm="1">
        <f t="array" ref="AF217">Common_InputFunctions.Utility_DisplayArrayInTable(Fertiliser_SourceData.Fertiliser_Products_Data5(),FertiliserProducts[[#Headers],[Company]], 121)</f>
        <v/>
      </c>
      <c r="AG217" s="109" t="str" cm="1">
        <f t="array" ref="AG217">Common_InputFunctions.Utility_DisplayArrayInTable(Fertiliser_SourceData.Fertiliser_Products_Data5(),FertiliserProducts[[#Headers],[Company]], 121)</f>
        <v/>
      </c>
      <c r="AH217" s="109" t="str" cm="1">
        <f t="array" ref="AH217">Common_InputFunctions.Utility_DisplayArrayInTable(Fertiliser_SourceData.Fertiliser_Products_Data5(),FertiliserProducts[[#Headers],[Company]], 121)</f>
        <v/>
      </c>
    </row>
    <row r="218" spans="4:34" x14ac:dyDescent="0.25">
      <c r="D218" s="109" t="str" cm="1">
        <f t="array" ref="D218">Common_InputFunctions.Utility_DisplayArrayInTable(Fertiliser_SourceData.Fertiliser_Products_Data5(),FertiliserProducts[[#Headers],[Company]], 121)</f>
        <v>Wengfu Australia</v>
      </c>
      <c r="E218" s="109" t="str" cm="1">
        <f t="array" ref="E218">Common_InputFunctions.Utility_DisplayArrayInTable(Fertiliser_SourceData.Fertiliser_Products_Data5(),FertiliserProducts[[#Headers],[Company]], 121)</f>
        <v>Wengfu MAP Hay Booster</v>
      </c>
      <c r="F218" s="109" t="str" cm="1">
        <f t="array" ref="F218">Common_InputFunctions.Utility_DisplayArrayInTable(Fertiliser_SourceData.Fertiliser_Products_Data5(),FertiliserProducts[[#Headers],[Company]], 121)</f>
        <v>kg</v>
      </c>
      <c r="G218" s="109" cm="1">
        <f t="array" ref="G218">Common_InputFunctions.Utility_DisplayArrayInTable(Fertiliser_SourceData.Fertiliser_Products_Data5(),FertiliserProducts[[#Headers],[Company]], 121)</f>
        <v>1</v>
      </c>
      <c r="H218" s="109" t="str" cm="1">
        <f t="array" ref="H218">Common_InputFunctions.Utility_DisplayArrayInTable(Fertiliser_SourceData.Fertiliser_Products_Data5(),FertiliserProducts[[#Headers],[Company]], 121)</f>
        <v/>
      </c>
      <c r="I218" s="109" t="str" cm="1">
        <f t="array" ref="I218">Common_InputFunctions.Utility_DisplayArrayInTable(Fertiliser_SourceData.Fertiliser_Products_Data5(),FertiliserProducts[[#Headers],[Company]], 121)</f>
        <v/>
      </c>
      <c r="J218" s="109" t="str" cm="1">
        <f t="array" ref="J218">Common_InputFunctions.Utility_DisplayArrayInTable(Fertiliser_SourceData.Fertiliser_Products_Data5(),FertiliserProducts[[#Headers],[Company]], 121)</f>
        <v/>
      </c>
      <c r="K218" s="109" cm="1">
        <f t="array" ref="K218">Common_InputFunctions.Utility_DisplayArrayInTable(Fertiliser_SourceData.Fertiliser_Products_Data5(),FertiliserProducts[[#Headers],[Company]], 121)</f>
        <v>11</v>
      </c>
      <c r="L218" s="109" cm="1">
        <f t="array" ref="L218">Common_InputFunctions.Utility_DisplayArrayInTable(Fertiliser_SourceData.Fertiliser_Products_Data5(),FertiliserProducts[[#Headers],[Company]], 121)</f>
        <v>8</v>
      </c>
      <c r="M218" s="109" cm="1">
        <f t="array" ref="M218">Common_InputFunctions.Utility_DisplayArrayInTable(Fertiliser_SourceData.Fertiliser_Products_Data5(),FertiliserProducts[[#Headers],[Company]], 121)</f>
        <v>20</v>
      </c>
      <c r="N218" s="109" cm="1">
        <f t="array" ref="N218">Common_InputFunctions.Utility_DisplayArrayInTable(Fertiliser_SourceData.Fertiliser_Products_Data5(),FertiliserProducts[[#Headers],[Company]], 121)</f>
        <v>6</v>
      </c>
      <c r="O218" s="109" t="str" cm="1">
        <f t="array" ref="O218">Common_InputFunctions.Utility_DisplayArrayInTable(Fertiliser_SourceData.Fertiliser_Products_Data5(),FertiliserProducts[[#Headers],[Company]], 121)</f>
        <v>Nitrogen - Generic</v>
      </c>
      <c r="P218" s="109" cm="1">
        <f t="array" ref="P218">Common_InputFunctions.Utility_DisplayArrayInTable(Fertiliser_SourceData.Fertiliser_Products_Data5(),FertiliserProducts[[#Headers],[Company]], 121)</f>
        <v>0.11</v>
      </c>
      <c r="Q218" s="109" t="str" cm="1">
        <f t="array" ref="Q218">Common_InputFunctions.Utility_DisplayArrayInTable(Fertiliser_SourceData.Fertiliser_Products_Data5(),FertiliserProducts[[#Headers],[Company]], 121)</f>
        <v>Phosphorus - Generic</v>
      </c>
      <c r="R218" s="109" cm="1">
        <f t="array" ref="R218">Common_InputFunctions.Utility_DisplayArrayInTable(Fertiliser_SourceData.Fertiliser_Products_Data5(),FertiliserProducts[[#Headers],[Company]], 121)</f>
        <v>0.08</v>
      </c>
      <c r="S218" s="109" t="str" cm="1">
        <f t="array" ref="S218">Common_InputFunctions.Utility_DisplayArrayInTable(Fertiliser_SourceData.Fertiliser_Products_Data5(),FertiliserProducts[[#Headers],[Company]], 121)</f>
        <v>Potassium - Generic</v>
      </c>
      <c r="T218" s="109" cm="1">
        <f t="array" ref="T218">Common_InputFunctions.Utility_DisplayArrayInTable(Fertiliser_SourceData.Fertiliser_Products_Data5(),FertiliserProducts[[#Headers],[Company]], 121)</f>
        <v>0.2</v>
      </c>
      <c r="U218" s="109" t="str" cm="1">
        <f t="array" ref="U218">Common_InputFunctions.Utility_DisplayArrayInTable(Fertiliser_SourceData.Fertiliser_Products_Data5(),FertiliserProducts[[#Headers],[Company]], 121)</f>
        <v>Sulfur - Generic</v>
      </c>
      <c r="V218" s="109" cm="1">
        <f t="array" ref="V218">Common_InputFunctions.Utility_DisplayArrayInTable(Fertiliser_SourceData.Fertiliser_Products_Data5(),FertiliserProducts[[#Headers],[Company]], 121)</f>
        <v>0.06</v>
      </c>
      <c r="W218" s="109" t="str" cm="1">
        <f t="array" ref="W218">Common_InputFunctions.Utility_DisplayArrayInTable(Fertiliser_SourceData.Fertiliser_Products_Data5(),FertiliserProducts[[#Headers],[Company]], 121)</f>
        <v/>
      </c>
      <c r="X218" s="109" t="str" cm="1">
        <f t="array" ref="X218">Common_InputFunctions.Utility_DisplayArrayInTable(Fertiliser_SourceData.Fertiliser_Products_Data5(),FertiliserProducts[[#Headers],[Company]], 121)</f>
        <v/>
      </c>
      <c r="Y218" s="109" t="str" cm="1">
        <f t="array" ref="Y218">Common_InputFunctions.Utility_DisplayArrayInTable(Fertiliser_SourceData.Fertiliser_Products_Data5(),FertiliserProducts[[#Headers],[Company]], 121)</f>
        <v/>
      </c>
      <c r="Z218" s="109" t="str" cm="1">
        <f t="array" ref="Z218">Common_InputFunctions.Utility_DisplayArrayInTable(Fertiliser_SourceData.Fertiliser_Products_Data5(),FertiliserProducts[[#Headers],[Company]], 121)</f>
        <v/>
      </c>
      <c r="AA218" s="109" t="str" cm="1">
        <f t="array" ref="AA218">Common_InputFunctions.Utility_DisplayArrayInTable(Fertiliser_SourceData.Fertiliser_Products_Data5(),FertiliserProducts[[#Headers],[Company]], 121)</f>
        <v/>
      </c>
      <c r="AB218" s="109" t="str" cm="1">
        <f t="array" ref="AB218">Common_InputFunctions.Utility_DisplayArrayInTable(Fertiliser_SourceData.Fertiliser_Products_Data5(),FertiliserProducts[[#Headers],[Company]], 121)</f>
        <v/>
      </c>
      <c r="AC218" s="109" t="str" cm="1">
        <f t="array" ref="AC218">Common_InputFunctions.Utility_DisplayArrayInTable(Fertiliser_SourceData.Fertiliser_Products_Data5(),FertiliserProducts[[#Headers],[Company]], 121)</f>
        <v/>
      </c>
      <c r="AD218" s="109" t="str" cm="1">
        <f t="array" ref="AD218">Common_InputFunctions.Utility_DisplayArrayInTable(Fertiliser_SourceData.Fertiliser_Products_Data5(),FertiliserProducts[[#Headers],[Company]], 121)</f>
        <v/>
      </c>
      <c r="AE218" s="109" t="str" cm="1">
        <f t="array" ref="AE218">Common_InputFunctions.Utility_DisplayArrayInTable(Fertiliser_SourceData.Fertiliser_Products_Data5(),FertiliserProducts[[#Headers],[Company]], 121)</f>
        <v/>
      </c>
      <c r="AF218" s="109" t="str" cm="1">
        <f t="array" ref="AF218">Common_InputFunctions.Utility_DisplayArrayInTable(Fertiliser_SourceData.Fertiliser_Products_Data5(),FertiliserProducts[[#Headers],[Company]], 121)</f>
        <v/>
      </c>
      <c r="AG218" s="109" t="str" cm="1">
        <f t="array" ref="AG218">Common_InputFunctions.Utility_DisplayArrayInTable(Fertiliser_SourceData.Fertiliser_Products_Data5(),FertiliserProducts[[#Headers],[Company]], 121)</f>
        <v/>
      </c>
      <c r="AH218" s="109" t="str" cm="1">
        <f t="array" ref="AH218">Common_InputFunctions.Utility_DisplayArrayInTable(Fertiliser_SourceData.Fertiliser_Products_Data5(),FertiliserProducts[[#Headers],[Company]], 121)</f>
        <v/>
      </c>
    </row>
    <row r="219" spans="4:34" x14ac:dyDescent="0.25">
      <c r="D219" s="109" t="str" cm="1">
        <f t="array" ref="D219">Common_InputFunctions.Utility_DisplayArrayInTable(Fertiliser_SourceData.Fertiliser_Products_Data5(),FertiliserProducts[[#Headers],[Company]], 121)</f>
        <v>Wengfu Australia</v>
      </c>
      <c r="E219" s="109" t="str" cm="1">
        <f t="array" ref="E219">Common_InputFunctions.Utility_DisplayArrayInTable(Fertiliser_SourceData.Fertiliser_Products_Data5(),FertiliserProducts[[#Headers],[Company]], 121)</f>
        <v>Wengfu Fodder Booster</v>
      </c>
      <c r="F219" s="109" t="str" cm="1">
        <f t="array" ref="F219">Common_InputFunctions.Utility_DisplayArrayInTable(Fertiliser_SourceData.Fertiliser_Products_Data5(),FertiliserProducts[[#Headers],[Company]], 121)</f>
        <v>kg</v>
      </c>
      <c r="G219" s="109" cm="1">
        <f t="array" ref="G219">Common_InputFunctions.Utility_DisplayArrayInTable(Fertiliser_SourceData.Fertiliser_Products_Data5(),FertiliserProducts[[#Headers],[Company]], 121)</f>
        <v>1</v>
      </c>
      <c r="H219" s="109" t="str" cm="1">
        <f t="array" ref="H219">Common_InputFunctions.Utility_DisplayArrayInTable(Fertiliser_SourceData.Fertiliser_Products_Data5(),FertiliserProducts[[#Headers],[Company]], 121)</f>
        <v/>
      </c>
      <c r="I219" s="109" t="str" cm="1">
        <f t="array" ref="I219">Common_InputFunctions.Utility_DisplayArrayInTable(Fertiliser_SourceData.Fertiliser_Products_Data5(),FertiliserProducts[[#Headers],[Company]], 121)</f>
        <v/>
      </c>
      <c r="J219" s="109" t="str" cm="1">
        <f t="array" ref="J219">Common_InputFunctions.Utility_DisplayArrayInTable(Fertiliser_SourceData.Fertiliser_Products_Data5(),FertiliserProducts[[#Headers],[Company]], 121)</f>
        <v/>
      </c>
      <c r="K219" s="109" cm="1">
        <f t="array" ref="K219">Common_InputFunctions.Utility_DisplayArrayInTable(Fertiliser_SourceData.Fertiliser_Products_Data5(),FertiliserProducts[[#Headers],[Company]], 121)</f>
        <v>9</v>
      </c>
      <c r="L219" s="109" cm="1">
        <f t="array" ref="L219">Common_InputFunctions.Utility_DisplayArrayInTable(Fertiliser_SourceData.Fertiliser_Products_Data5(),FertiliserProducts[[#Headers],[Company]], 121)</f>
        <v>4</v>
      </c>
      <c r="M219" s="109" cm="1">
        <f t="array" ref="M219">Common_InputFunctions.Utility_DisplayArrayInTable(Fertiliser_SourceData.Fertiliser_Products_Data5(),FertiliserProducts[[#Headers],[Company]], 121)</f>
        <v>5</v>
      </c>
      <c r="N219" s="109" cm="1">
        <f t="array" ref="N219">Common_InputFunctions.Utility_DisplayArrayInTable(Fertiliser_SourceData.Fertiliser_Products_Data5(),FertiliserProducts[[#Headers],[Company]], 121)</f>
        <v>15</v>
      </c>
      <c r="O219" s="109" t="str" cm="1">
        <f t="array" ref="O219">Common_InputFunctions.Utility_DisplayArrayInTable(Fertiliser_SourceData.Fertiliser_Products_Data5(),FertiliserProducts[[#Headers],[Company]], 121)</f>
        <v>Nitrogen - Generic</v>
      </c>
      <c r="P219" s="109" cm="1">
        <f t="array" ref="P219">Common_InputFunctions.Utility_DisplayArrayInTable(Fertiliser_SourceData.Fertiliser_Products_Data5(),FertiliserProducts[[#Headers],[Company]], 121)</f>
        <v>0.09</v>
      </c>
      <c r="Q219" s="109" t="str" cm="1">
        <f t="array" ref="Q219">Common_InputFunctions.Utility_DisplayArrayInTable(Fertiliser_SourceData.Fertiliser_Products_Data5(),FertiliserProducts[[#Headers],[Company]], 121)</f>
        <v>Phosphorus - Generic</v>
      </c>
      <c r="R219" s="109" cm="1">
        <f t="array" ref="R219">Common_InputFunctions.Utility_DisplayArrayInTable(Fertiliser_SourceData.Fertiliser_Products_Data5(),FertiliserProducts[[#Headers],[Company]], 121)</f>
        <v>0.04</v>
      </c>
      <c r="S219" s="109" t="str" cm="1">
        <f t="array" ref="S219">Common_InputFunctions.Utility_DisplayArrayInTable(Fertiliser_SourceData.Fertiliser_Products_Data5(),FertiliserProducts[[#Headers],[Company]], 121)</f>
        <v>Potassium - Generic</v>
      </c>
      <c r="T219" s="109" cm="1">
        <f t="array" ref="T219">Common_InputFunctions.Utility_DisplayArrayInTable(Fertiliser_SourceData.Fertiliser_Products_Data5(),FertiliserProducts[[#Headers],[Company]], 121)</f>
        <v>0.05</v>
      </c>
      <c r="U219" s="109" t="str" cm="1">
        <f t="array" ref="U219">Common_InputFunctions.Utility_DisplayArrayInTable(Fertiliser_SourceData.Fertiliser_Products_Data5(),FertiliserProducts[[#Headers],[Company]], 121)</f>
        <v>Sulfur - Generic</v>
      </c>
      <c r="V219" s="109" cm="1">
        <f t="array" ref="V219">Common_InputFunctions.Utility_DisplayArrayInTable(Fertiliser_SourceData.Fertiliser_Products_Data5(),FertiliserProducts[[#Headers],[Company]], 121)</f>
        <v>0.15</v>
      </c>
      <c r="W219" s="109" t="str" cm="1">
        <f t="array" ref="W219">Common_InputFunctions.Utility_DisplayArrayInTable(Fertiliser_SourceData.Fertiliser_Products_Data5(),FertiliserProducts[[#Headers],[Company]], 121)</f>
        <v/>
      </c>
      <c r="X219" s="109" t="str" cm="1">
        <f t="array" ref="X219">Common_InputFunctions.Utility_DisplayArrayInTable(Fertiliser_SourceData.Fertiliser_Products_Data5(),FertiliserProducts[[#Headers],[Company]], 121)</f>
        <v/>
      </c>
      <c r="Y219" s="109" t="str" cm="1">
        <f t="array" ref="Y219">Common_InputFunctions.Utility_DisplayArrayInTable(Fertiliser_SourceData.Fertiliser_Products_Data5(),FertiliserProducts[[#Headers],[Company]], 121)</f>
        <v/>
      </c>
      <c r="Z219" s="109" t="str" cm="1">
        <f t="array" ref="Z219">Common_InputFunctions.Utility_DisplayArrayInTable(Fertiliser_SourceData.Fertiliser_Products_Data5(),FertiliserProducts[[#Headers],[Company]], 121)</f>
        <v/>
      </c>
      <c r="AA219" s="109" t="str" cm="1">
        <f t="array" ref="AA219">Common_InputFunctions.Utility_DisplayArrayInTable(Fertiliser_SourceData.Fertiliser_Products_Data5(),FertiliserProducts[[#Headers],[Company]], 121)</f>
        <v/>
      </c>
      <c r="AB219" s="109" t="str" cm="1">
        <f t="array" ref="AB219">Common_InputFunctions.Utility_DisplayArrayInTable(Fertiliser_SourceData.Fertiliser_Products_Data5(),FertiliserProducts[[#Headers],[Company]], 121)</f>
        <v/>
      </c>
      <c r="AC219" s="109" t="str" cm="1">
        <f t="array" ref="AC219">Common_InputFunctions.Utility_DisplayArrayInTable(Fertiliser_SourceData.Fertiliser_Products_Data5(),FertiliserProducts[[#Headers],[Company]], 121)</f>
        <v/>
      </c>
      <c r="AD219" s="109" t="str" cm="1">
        <f t="array" ref="AD219">Common_InputFunctions.Utility_DisplayArrayInTable(Fertiliser_SourceData.Fertiliser_Products_Data5(),FertiliserProducts[[#Headers],[Company]], 121)</f>
        <v/>
      </c>
      <c r="AE219" s="109" t="str" cm="1">
        <f t="array" ref="AE219">Common_InputFunctions.Utility_DisplayArrayInTable(Fertiliser_SourceData.Fertiliser_Products_Data5(),FertiliserProducts[[#Headers],[Company]], 121)</f>
        <v/>
      </c>
      <c r="AF219" s="109" t="str" cm="1">
        <f t="array" ref="AF219">Common_InputFunctions.Utility_DisplayArrayInTable(Fertiliser_SourceData.Fertiliser_Products_Data5(),FertiliserProducts[[#Headers],[Company]], 121)</f>
        <v/>
      </c>
      <c r="AG219" s="109" t="str" cm="1">
        <f t="array" ref="AG219">Common_InputFunctions.Utility_DisplayArrayInTable(Fertiliser_SourceData.Fertiliser_Products_Data5(),FertiliserProducts[[#Headers],[Company]], 121)</f>
        <v/>
      </c>
      <c r="AH219" s="109" t="str" cm="1">
        <f t="array" ref="AH219">Common_InputFunctions.Utility_DisplayArrayInTable(Fertiliser_SourceData.Fertiliser_Products_Data5(),FertiliserProducts[[#Headers],[Company]], 121)</f>
        <v/>
      </c>
    </row>
    <row r="220" spans="4:34" x14ac:dyDescent="0.25">
      <c r="D220" s="109" t="str" cm="1">
        <f t="array" ref="D220">Common_InputFunctions.Utility_DisplayArrayInTable(Fertiliser_SourceData.Fertiliser_Products_Data5(),FertiliserProducts[[#Headers],[Company]], 121)</f>
        <v>CSBP</v>
      </c>
      <c r="E220" s="109" t="str" cm="1">
        <f t="array" ref="E220">Common_InputFunctions.Utility_DisplayArrayInTable(Fertiliser_SourceData.Fertiliser_Products_Data5(),FertiliserProducts[[#Headers],[Company]], 121)</f>
        <v>K-Till Extra</v>
      </c>
      <c r="F220" s="109" t="str" cm="1">
        <f t="array" ref="F220">Common_InputFunctions.Utility_DisplayArrayInTable(Fertiliser_SourceData.Fertiliser_Products_Data5(),FertiliserProducts[[#Headers],[Company]], 121)</f>
        <v>kg</v>
      </c>
      <c r="G220" s="109" cm="1">
        <f t="array" ref="G220">Common_InputFunctions.Utility_DisplayArrayInTable(Fertiliser_SourceData.Fertiliser_Products_Data5(),FertiliserProducts[[#Headers],[Company]], 121)</f>
        <v>1</v>
      </c>
      <c r="H220" s="109" t="str" cm="1">
        <f t="array" ref="H220">Common_InputFunctions.Utility_DisplayArrayInTable(Fertiliser_SourceData.Fertiliser_Products_Data5(),FertiliserProducts[[#Headers],[Company]], 121)</f>
        <v/>
      </c>
      <c r="I220" s="109" t="str" cm="1">
        <f t="array" ref="I220">Common_InputFunctions.Utility_DisplayArrayInTable(Fertiliser_SourceData.Fertiliser_Products_Data5(),FertiliserProducts[[#Headers],[Company]], 121)</f>
        <v/>
      </c>
      <c r="J220" s="109" t="str" cm="1">
        <f t="array" ref="J220">Common_InputFunctions.Utility_DisplayArrayInTable(Fertiliser_SourceData.Fertiliser_Products_Data5(),FertiliserProducts[[#Headers],[Company]], 121)</f>
        <v/>
      </c>
      <c r="K220" s="109" cm="1">
        <f t="array" ref="K220">Common_InputFunctions.Utility_DisplayArrayInTable(Fertiliser_SourceData.Fertiliser_Products_Data5(),FertiliserProducts[[#Headers],[Company]], 121)</f>
        <v>10.73</v>
      </c>
      <c r="L220" s="109" cm="1">
        <f t="array" ref="L220">Common_InputFunctions.Utility_DisplayArrayInTable(Fertiliser_SourceData.Fertiliser_Products_Data5(),FertiliserProducts[[#Headers],[Company]], 121)</f>
        <v>10.95</v>
      </c>
      <c r="M220" s="109" cm="1">
        <f t="array" ref="M220">Common_InputFunctions.Utility_DisplayArrayInTable(Fertiliser_SourceData.Fertiliser_Products_Data5(),FertiliserProducts[[#Headers],[Company]], 121)</f>
        <v>11.35</v>
      </c>
      <c r="N220" s="109" cm="1">
        <f t="array" ref="N220">Common_InputFunctions.Utility_DisplayArrayInTable(Fertiliser_SourceData.Fertiliser_Products_Data5(),FertiliserProducts[[#Headers],[Company]], 121)</f>
        <v>6.55</v>
      </c>
      <c r="O220" s="109" t="str" cm="1">
        <f t="array" ref="O220">Common_InputFunctions.Utility_DisplayArrayInTable(Fertiliser_SourceData.Fertiliser_Products_Data5(),FertiliserProducts[[#Headers],[Company]], 121)</f>
        <v>Monoammonium phosphate (MAP)</v>
      </c>
      <c r="P220" s="109" cm="1">
        <f t="array" ref="P220">Common_InputFunctions.Utility_DisplayArrayInTable(Fertiliser_SourceData.Fertiliser_Products_Data5(),FertiliserProducts[[#Headers],[Company]], 121)</f>
        <v>0.5</v>
      </c>
      <c r="Q220" s="109" t="str" cm="1">
        <f t="array" ref="Q220">Common_InputFunctions.Utility_DisplayArrayInTable(Fertiliser_SourceData.Fertiliser_Products_Data5(),FertiliserProducts[[#Headers],[Company]], 121)</f>
        <v>Sulphate of ammonia (SOA)</v>
      </c>
      <c r="R220" s="109" cm="1">
        <f t="array" ref="R220">Common_InputFunctions.Utility_DisplayArrayInTable(Fertiliser_SourceData.Fertiliser_Products_Data5(),FertiliserProducts[[#Headers],[Company]], 121)</f>
        <v>0.27300000000000002</v>
      </c>
      <c r="S220" s="109" t="str" cm="1">
        <f t="array" ref="S220">Common_InputFunctions.Utility_DisplayArrayInTable(Fertiliser_SourceData.Fertiliser_Products_Data5(),FertiliserProducts[[#Headers],[Company]], 121)</f>
        <v>Muriate of potash (MOP)</v>
      </c>
      <c r="T220" s="109" cm="1">
        <f t="array" ref="T220">Common_InputFunctions.Utility_DisplayArrayInTable(Fertiliser_SourceData.Fertiliser_Products_Data5(),FertiliserProducts[[#Headers],[Company]], 121)</f>
        <v>0.22700000000000001</v>
      </c>
      <c r="U220" s="109" t="str" cm="1">
        <f t="array" ref="U220">Common_InputFunctions.Utility_DisplayArrayInTable(Fertiliser_SourceData.Fertiliser_Products_Data5(),FertiliserProducts[[#Headers],[Company]], 121)</f>
        <v>Copper</v>
      </c>
      <c r="V220" s="109" t="str" cm="1">
        <f t="array" ref="V220">Common_InputFunctions.Utility_DisplayArrayInTable(Fertiliser_SourceData.Fertiliser_Products_Data5(),FertiliserProducts[[#Headers],[Company]], 121)</f>
        <v>No data</v>
      </c>
      <c r="W220" s="109" t="str" cm="1">
        <f t="array" ref="W220">Common_InputFunctions.Utility_DisplayArrayInTable(Fertiliser_SourceData.Fertiliser_Products_Data5(),FertiliserProducts[[#Headers],[Company]], 121)</f>
        <v>Zinc</v>
      </c>
      <c r="X220" s="109" t="str" cm="1">
        <f t="array" ref="X220">Common_InputFunctions.Utility_DisplayArrayInTable(Fertiliser_SourceData.Fertiliser_Products_Data5(),FertiliserProducts[[#Headers],[Company]], 121)</f>
        <v>No data</v>
      </c>
      <c r="Y220" s="109" t="str" cm="1">
        <f t="array" ref="Y220">Common_InputFunctions.Utility_DisplayArrayInTable(Fertiliser_SourceData.Fertiliser_Products_Data5(),FertiliserProducts[[#Headers],[Company]], 121)</f>
        <v/>
      </c>
      <c r="Z220" s="109" t="str" cm="1">
        <f t="array" ref="Z220">Common_InputFunctions.Utility_DisplayArrayInTable(Fertiliser_SourceData.Fertiliser_Products_Data5(),FertiliserProducts[[#Headers],[Company]], 121)</f>
        <v/>
      </c>
      <c r="AA220" s="109" t="str" cm="1">
        <f t="array" ref="AA220">Common_InputFunctions.Utility_DisplayArrayInTable(Fertiliser_SourceData.Fertiliser_Products_Data5(),FertiliserProducts[[#Headers],[Company]], 121)</f>
        <v/>
      </c>
      <c r="AB220" s="109" t="str" cm="1">
        <f t="array" ref="AB220">Common_InputFunctions.Utility_DisplayArrayInTable(Fertiliser_SourceData.Fertiliser_Products_Data5(),FertiliserProducts[[#Headers],[Company]], 121)</f>
        <v/>
      </c>
      <c r="AC220" s="109" t="str" cm="1">
        <f t="array" ref="AC220">Common_InputFunctions.Utility_DisplayArrayInTable(Fertiliser_SourceData.Fertiliser_Products_Data5(),FertiliserProducts[[#Headers],[Company]], 121)</f>
        <v/>
      </c>
      <c r="AD220" s="109" t="str" cm="1">
        <f t="array" ref="AD220">Common_InputFunctions.Utility_DisplayArrayInTable(Fertiliser_SourceData.Fertiliser_Products_Data5(),FertiliserProducts[[#Headers],[Company]], 121)</f>
        <v/>
      </c>
      <c r="AE220" s="109" t="str" cm="1">
        <f t="array" ref="AE220">Common_InputFunctions.Utility_DisplayArrayInTable(Fertiliser_SourceData.Fertiliser_Products_Data5(),FertiliserProducts[[#Headers],[Company]], 121)</f>
        <v/>
      </c>
      <c r="AF220" s="109" t="str" cm="1">
        <f t="array" ref="AF220">Common_InputFunctions.Utility_DisplayArrayInTable(Fertiliser_SourceData.Fertiliser_Products_Data5(),FertiliserProducts[[#Headers],[Company]], 121)</f>
        <v/>
      </c>
      <c r="AG220" s="109" t="str" cm="1">
        <f t="array" ref="AG220">Common_InputFunctions.Utility_DisplayArrayInTable(Fertiliser_SourceData.Fertiliser_Products_Data5(),FertiliserProducts[[#Headers],[Company]], 121)</f>
        <v/>
      </c>
      <c r="AH220" s="109" t="str" cm="1">
        <f t="array" ref="AH220">Common_InputFunctions.Utility_DisplayArrayInTable(Fertiliser_SourceData.Fertiliser_Products_Data5(),FertiliserProducts[[#Headers],[Company]], 121)</f>
        <v/>
      </c>
    </row>
    <row r="221" spans="4:34" x14ac:dyDescent="0.25">
      <c r="D221" s="109" t="str" cm="1">
        <f t="array" ref="D221">Common_InputFunctions.Utility_DisplayArrayInTable(Fertiliser_SourceData.Fertiliser_Products_Data5(),FertiliserProducts[[#Headers],[Company]], 121)</f>
        <v>CSBP</v>
      </c>
      <c r="E221" s="109" t="str" cm="1">
        <f t="array" ref="E221">Common_InputFunctions.Utility_DisplayArrayInTable(Fertiliser_SourceData.Fertiliser_Products_Data5(),FertiliserProducts[[#Headers],[Company]], 121)</f>
        <v>Agras Extra</v>
      </c>
      <c r="F221" s="109" t="str" cm="1">
        <f t="array" ref="F221">Common_InputFunctions.Utility_DisplayArrayInTable(Fertiliser_SourceData.Fertiliser_Products_Data5(),FertiliserProducts[[#Headers],[Company]], 121)</f>
        <v>kg</v>
      </c>
      <c r="G221" s="109" cm="1">
        <f t="array" ref="G221">Common_InputFunctions.Utility_DisplayArrayInTable(Fertiliser_SourceData.Fertiliser_Products_Data5(),FertiliserProducts[[#Headers],[Company]], 121)</f>
        <v>1</v>
      </c>
      <c r="H221" s="109" t="str" cm="1">
        <f t="array" ref="H221">Common_InputFunctions.Utility_DisplayArrayInTable(Fertiliser_SourceData.Fertiliser_Products_Data5(),FertiliserProducts[[#Headers],[Company]], 121)</f>
        <v/>
      </c>
      <c r="I221" s="109" t="str" cm="1">
        <f t="array" ref="I221">Common_InputFunctions.Utility_DisplayArrayInTable(Fertiliser_SourceData.Fertiliser_Products_Data5(),FertiliserProducts[[#Headers],[Company]], 121)</f>
        <v/>
      </c>
      <c r="J221" s="109" t="str" cm="1">
        <f t="array" ref="J221">Common_InputFunctions.Utility_DisplayArrayInTable(Fertiliser_SourceData.Fertiliser_Products_Data5(),FertiliserProducts[[#Headers],[Company]], 121)</f>
        <v/>
      </c>
      <c r="K221" s="109" cm="1">
        <f t="array" ref="K221">Common_InputFunctions.Utility_DisplayArrayInTable(Fertiliser_SourceData.Fertiliser_Products_Data5(),FertiliserProducts[[#Headers],[Company]], 121)</f>
        <v>16.95</v>
      </c>
      <c r="L221" s="109" cm="1">
        <f t="array" ref="L221">Common_InputFunctions.Utility_DisplayArrayInTable(Fertiliser_SourceData.Fertiliser_Products_Data5(),FertiliserProducts[[#Headers],[Company]], 121)</f>
        <v>8.06</v>
      </c>
      <c r="M221" s="109" t="str" cm="1">
        <f t="array" ref="M221">Common_InputFunctions.Utility_DisplayArrayInTable(Fertiliser_SourceData.Fertiliser_Products_Data5(),FertiliserProducts[[#Headers],[Company]], 121)</f>
        <v/>
      </c>
      <c r="N221" s="109" cm="1">
        <f t="array" ref="N221">Common_InputFunctions.Utility_DisplayArrayInTable(Fertiliser_SourceData.Fertiliser_Products_Data5(),FertiliserProducts[[#Headers],[Company]], 121)</f>
        <v>15.17</v>
      </c>
      <c r="O221" s="109" t="str" cm="1">
        <f t="array" ref="O221">Common_InputFunctions.Utility_DisplayArrayInTable(Fertiliser_SourceData.Fertiliser_Products_Data5(),FertiliserProducts[[#Headers],[Company]], 121)</f>
        <v>Sulphate of ammonia (SOA)</v>
      </c>
      <c r="P221" s="109" cm="1">
        <f t="array" ref="P221">Common_InputFunctions.Utility_DisplayArrayInTable(Fertiliser_SourceData.Fertiliser_Products_Data5(),FertiliserProducts[[#Headers],[Company]], 121)</f>
        <v>0.63200000000000001</v>
      </c>
      <c r="Q221" s="109" t="str" cm="1">
        <f t="array" ref="Q221">Common_InputFunctions.Utility_DisplayArrayInTable(Fertiliser_SourceData.Fertiliser_Products_Data5(),FertiliserProducts[[#Headers],[Company]], 121)</f>
        <v>Monoammonium phosphate (MAP)</v>
      </c>
      <c r="R221" s="109" cm="1">
        <f t="array" ref="R221">Common_InputFunctions.Utility_DisplayArrayInTable(Fertiliser_SourceData.Fertiliser_Products_Data5(),FertiliserProducts[[#Headers],[Company]], 121)</f>
        <v>0.36799999999999999</v>
      </c>
      <c r="S221" s="109" t="str" cm="1">
        <f t="array" ref="S221">Common_InputFunctions.Utility_DisplayArrayInTable(Fertiliser_SourceData.Fertiliser_Products_Data5(),FertiliserProducts[[#Headers],[Company]], 121)</f>
        <v>Zinc</v>
      </c>
      <c r="T221" s="109" t="str" cm="1">
        <f t="array" ref="T221">Common_InputFunctions.Utility_DisplayArrayInTable(Fertiliser_SourceData.Fertiliser_Products_Data5(),FertiliserProducts[[#Headers],[Company]], 121)</f>
        <v>No data</v>
      </c>
      <c r="U221" s="109" t="str" cm="1">
        <f t="array" ref="U221">Common_InputFunctions.Utility_DisplayArrayInTable(Fertiliser_SourceData.Fertiliser_Products_Data5(),FertiliserProducts[[#Headers],[Company]], 121)</f>
        <v>Copper</v>
      </c>
      <c r="V221" s="109" t="str" cm="1">
        <f t="array" ref="V221">Common_InputFunctions.Utility_DisplayArrayInTable(Fertiliser_SourceData.Fertiliser_Products_Data5(),FertiliserProducts[[#Headers],[Company]], 121)</f>
        <v>No data</v>
      </c>
      <c r="W221" s="109" t="str" cm="1">
        <f t="array" ref="W221">Common_InputFunctions.Utility_DisplayArrayInTable(Fertiliser_SourceData.Fertiliser_Products_Data5(),FertiliserProducts[[#Headers],[Company]], 121)</f>
        <v>Molybdenum</v>
      </c>
      <c r="X221" s="109" t="str" cm="1">
        <f t="array" ref="X221">Common_InputFunctions.Utility_DisplayArrayInTable(Fertiliser_SourceData.Fertiliser_Products_Data5(),FertiliserProducts[[#Headers],[Company]], 121)</f>
        <v>No data</v>
      </c>
      <c r="Y221" s="109" t="str" cm="1">
        <f t="array" ref="Y221">Common_InputFunctions.Utility_DisplayArrayInTable(Fertiliser_SourceData.Fertiliser_Products_Data5(),FertiliserProducts[[#Headers],[Company]], 121)</f>
        <v>Cobalt</v>
      </c>
      <c r="Z221" s="109" t="str" cm="1">
        <f t="array" ref="Z221">Common_InputFunctions.Utility_DisplayArrayInTable(Fertiliser_SourceData.Fertiliser_Products_Data5(),FertiliserProducts[[#Headers],[Company]], 121)</f>
        <v>No data</v>
      </c>
      <c r="AA221" s="109" t="str" cm="1">
        <f t="array" ref="AA221">Common_InputFunctions.Utility_DisplayArrayInTable(Fertiliser_SourceData.Fertiliser_Products_Data5(),FertiliserProducts[[#Headers],[Company]], 121)</f>
        <v/>
      </c>
      <c r="AB221" s="109" t="str" cm="1">
        <f t="array" ref="AB221">Common_InputFunctions.Utility_DisplayArrayInTable(Fertiliser_SourceData.Fertiliser_Products_Data5(),FertiliserProducts[[#Headers],[Company]], 121)</f>
        <v/>
      </c>
      <c r="AC221" s="109" t="str" cm="1">
        <f t="array" ref="AC221">Common_InputFunctions.Utility_DisplayArrayInTable(Fertiliser_SourceData.Fertiliser_Products_Data5(),FertiliserProducts[[#Headers],[Company]], 121)</f>
        <v/>
      </c>
      <c r="AD221" s="109" t="str" cm="1">
        <f t="array" ref="AD221">Common_InputFunctions.Utility_DisplayArrayInTable(Fertiliser_SourceData.Fertiliser_Products_Data5(),FertiliserProducts[[#Headers],[Company]], 121)</f>
        <v/>
      </c>
      <c r="AE221" s="109" t="str" cm="1">
        <f t="array" ref="AE221">Common_InputFunctions.Utility_DisplayArrayInTable(Fertiliser_SourceData.Fertiliser_Products_Data5(),FertiliserProducts[[#Headers],[Company]], 121)</f>
        <v/>
      </c>
      <c r="AF221" s="109" t="str" cm="1">
        <f t="array" ref="AF221">Common_InputFunctions.Utility_DisplayArrayInTable(Fertiliser_SourceData.Fertiliser_Products_Data5(),FertiliserProducts[[#Headers],[Company]], 121)</f>
        <v/>
      </c>
      <c r="AG221" s="109" t="str" cm="1">
        <f t="array" ref="AG221">Common_InputFunctions.Utility_DisplayArrayInTable(Fertiliser_SourceData.Fertiliser_Products_Data5(),FertiliserProducts[[#Headers],[Company]], 121)</f>
        <v/>
      </c>
      <c r="AH221" s="109" t="str" cm="1">
        <f t="array" ref="AH221">Common_InputFunctions.Utility_DisplayArrayInTable(Fertiliser_SourceData.Fertiliser_Products_Data5(),FertiliserProducts[[#Headers],[Company]], 121)</f>
        <v/>
      </c>
    </row>
    <row r="222" spans="4:34" x14ac:dyDescent="0.25">
      <c r="D222" s="109" t="str" cm="1">
        <f t="array" ref="D222">Common_InputFunctions.Utility_DisplayArrayInTable(Fertiliser_SourceData.Fertiliser_Products_Data5(),FertiliserProducts[[#Headers],[Company]], 121)</f>
        <v>CSBP</v>
      </c>
      <c r="E222" s="109" t="str" cm="1">
        <f t="array" ref="E222">Common_InputFunctions.Utility_DisplayArrayInTable(Fertiliser_SourceData.Fertiliser_Products_Data5(),FertiliserProducts[[#Headers],[Company]], 121)</f>
        <v>Super Copper Zinc Moly</v>
      </c>
      <c r="F222" s="109" t="str" cm="1">
        <f t="array" ref="F222">Common_InputFunctions.Utility_DisplayArrayInTable(Fertiliser_SourceData.Fertiliser_Products_Data5(),FertiliserProducts[[#Headers],[Company]], 121)</f>
        <v>kg</v>
      </c>
      <c r="G222" s="109" cm="1">
        <f t="array" ref="G222">Common_InputFunctions.Utility_DisplayArrayInTable(Fertiliser_SourceData.Fertiliser_Products_Data5(),FertiliserProducts[[#Headers],[Company]], 121)</f>
        <v>1</v>
      </c>
      <c r="H222" s="109" t="str" cm="1">
        <f t="array" ref="H222">Common_InputFunctions.Utility_DisplayArrayInTable(Fertiliser_SourceData.Fertiliser_Products_Data5(),FertiliserProducts[[#Headers],[Company]], 121)</f>
        <v/>
      </c>
      <c r="I222" s="109" t="str" cm="1">
        <f t="array" ref="I222">Common_InputFunctions.Utility_DisplayArrayInTable(Fertiliser_SourceData.Fertiliser_Products_Data5(),FertiliserProducts[[#Headers],[Company]], 121)</f>
        <v/>
      </c>
      <c r="J222" s="109" t="str" cm="1">
        <f t="array" ref="J222">Common_InputFunctions.Utility_DisplayArrayInTable(Fertiliser_SourceData.Fertiliser_Products_Data5(),FertiliserProducts[[#Headers],[Company]], 121)</f>
        <v/>
      </c>
      <c r="K222" s="109" t="str" cm="1">
        <f t="array" ref="K222">Common_InputFunctions.Utility_DisplayArrayInTable(Fertiliser_SourceData.Fertiliser_Products_Data5(),FertiliserProducts[[#Headers],[Company]], 121)</f>
        <v/>
      </c>
      <c r="L222" s="109" cm="1">
        <f t="array" ref="L222">Common_InputFunctions.Utility_DisplayArrayInTable(Fertiliser_SourceData.Fertiliser_Products_Data5(),FertiliserProducts[[#Headers],[Company]], 121)</f>
        <v>8.8000000000000007</v>
      </c>
      <c r="M222" s="109" t="str" cm="1">
        <f t="array" ref="M222">Common_InputFunctions.Utility_DisplayArrayInTable(Fertiliser_SourceData.Fertiliser_Products_Data5(),FertiliserProducts[[#Headers],[Company]], 121)</f>
        <v/>
      </c>
      <c r="N222" s="109" cm="1">
        <f t="array" ref="N222">Common_InputFunctions.Utility_DisplayArrayInTable(Fertiliser_SourceData.Fertiliser_Products_Data5(),FertiliserProducts[[#Headers],[Company]], 121)</f>
        <v>11</v>
      </c>
      <c r="O222" s="109" t="str" cm="1">
        <f t="array" ref="O222">Common_InputFunctions.Utility_DisplayArrayInTable(Fertiliser_SourceData.Fertiliser_Products_Data5(),FertiliserProducts[[#Headers],[Company]], 121)</f>
        <v>Single superphosphate (SSP)</v>
      </c>
      <c r="P222" s="109" cm="1">
        <f t="array" ref="P222">Common_InputFunctions.Utility_DisplayArrayInTable(Fertiliser_SourceData.Fertiliser_Products_Data5(),FertiliserProducts[[#Headers],[Company]], 121)</f>
        <v>1</v>
      </c>
      <c r="Q222" s="109" t="str" cm="1">
        <f t="array" ref="Q222">Common_InputFunctions.Utility_DisplayArrayInTable(Fertiliser_SourceData.Fertiliser_Products_Data5(),FertiliserProducts[[#Headers],[Company]], 121)</f>
        <v>Copper</v>
      </c>
      <c r="R222" s="109" cm="1">
        <f t="array" ref="R222">Common_InputFunctions.Utility_DisplayArrayInTable(Fertiliser_SourceData.Fertiliser_Products_Data5(),FertiliserProducts[[#Headers],[Company]], 121)</f>
        <v>6.0000000000000001E-3</v>
      </c>
      <c r="S222" s="109" t="str" cm="1">
        <f t="array" ref="S222">Common_InputFunctions.Utility_DisplayArrayInTable(Fertiliser_SourceData.Fertiliser_Products_Data5(),FertiliserProducts[[#Headers],[Company]], 121)</f>
        <v>Zinc</v>
      </c>
      <c r="T222" s="109" cm="1">
        <f t="array" ref="T222">Common_InputFunctions.Utility_DisplayArrayInTable(Fertiliser_SourceData.Fertiliser_Products_Data5(),FertiliserProducts[[#Headers],[Company]], 121)</f>
        <v>3.0000000000000001E-3</v>
      </c>
      <c r="U222" s="109" t="str" cm="1">
        <f t="array" ref="U222">Common_InputFunctions.Utility_DisplayArrayInTable(Fertiliser_SourceData.Fertiliser_Products_Data5(),FertiliserProducts[[#Headers],[Company]], 121)</f>
        <v>Molybdenum</v>
      </c>
      <c r="V222" s="109" cm="1">
        <f t="array" ref="V222">Common_InputFunctions.Utility_DisplayArrayInTable(Fertiliser_SourceData.Fertiliser_Products_Data5(),FertiliserProducts[[#Headers],[Company]], 121)</f>
        <v>5.9999999999999995E-4</v>
      </c>
      <c r="W222" s="109" t="str" cm="1">
        <f t="array" ref="W222">Common_InputFunctions.Utility_DisplayArrayInTable(Fertiliser_SourceData.Fertiliser_Products_Data5(),FertiliserProducts[[#Headers],[Company]], 121)</f>
        <v/>
      </c>
      <c r="X222" s="109" t="str" cm="1">
        <f t="array" ref="X222">Common_InputFunctions.Utility_DisplayArrayInTable(Fertiliser_SourceData.Fertiliser_Products_Data5(),FertiliserProducts[[#Headers],[Company]], 121)</f>
        <v/>
      </c>
      <c r="Y222" s="109" t="str" cm="1">
        <f t="array" ref="Y222">Common_InputFunctions.Utility_DisplayArrayInTable(Fertiliser_SourceData.Fertiliser_Products_Data5(),FertiliserProducts[[#Headers],[Company]], 121)</f>
        <v/>
      </c>
      <c r="Z222" s="109" t="str" cm="1">
        <f t="array" ref="Z222">Common_InputFunctions.Utility_DisplayArrayInTable(Fertiliser_SourceData.Fertiliser_Products_Data5(),FertiliserProducts[[#Headers],[Company]], 121)</f>
        <v/>
      </c>
      <c r="AA222" s="109" t="str" cm="1">
        <f t="array" ref="AA222">Common_InputFunctions.Utility_DisplayArrayInTable(Fertiliser_SourceData.Fertiliser_Products_Data5(),FertiliserProducts[[#Headers],[Company]], 121)</f>
        <v/>
      </c>
      <c r="AB222" s="109" t="str" cm="1">
        <f t="array" ref="AB222">Common_InputFunctions.Utility_DisplayArrayInTable(Fertiliser_SourceData.Fertiliser_Products_Data5(),FertiliserProducts[[#Headers],[Company]], 121)</f>
        <v/>
      </c>
      <c r="AC222" s="109" t="str" cm="1">
        <f t="array" ref="AC222">Common_InputFunctions.Utility_DisplayArrayInTable(Fertiliser_SourceData.Fertiliser_Products_Data5(),FertiliserProducts[[#Headers],[Company]], 121)</f>
        <v/>
      </c>
      <c r="AD222" s="109" t="str" cm="1">
        <f t="array" ref="AD222">Common_InputFunctions.Utility_DisplayArrayInTable(Fertiliser_SourceData.Fertiliser_Products_Data5(),FertiliserProducts[[#Headers],[Company]], 121)</f>
        <v/>
      </c>
      <c r="AE222" s="109" t="str" cm="1">
        <f t="array" ref="AE222">Common_InputFunctions.Utility_DisplayArrayInTable(Fertiliser_SourceData.Fertiliser_Products_Data5(),FertiliserProducts[[#Headers],[Company]], 121)</f>
        <v/>
      </c>
      <c r="AF222" s="109" t="str" cm="1">
        <f t="array" ref="AF222">Common_InputFunctions.Utility_DisplayArrayInTable(Fertiliser_SourceData.Fertiliser_Products_Data5(),FertiliserProducts[[#Headers],[Company]], 121)</f>
        <v/>
      </c>
      <c r="AG222" s="109" t="str" cm="1">
        <f t="array" ref="AG222">Common_InputFunctions.Utility_DisplayArrayInTable(Fertiliser_SourceData.Fertiliser_Products_Data5(),FertiliserProducts[[#Headers],[Company]], 121)</f>
        <v/>
      </c>
      <c r="AH222" s="109" t="str" cm="1">
        <f t="array" ref="AH222">Common_InputFunctions.Utility_DisplayArrayInTable(Fertiliser_SourceData.Fertiliser_Products_Data5(),FertiliserProducts[[#Headers],[Company]], 121)</f>
        <v/>
      </c>
    </row>
    <row r="223" spans="4:34" x14ac:dyDescent="0.25">
      <c r="D223" s="109" t="str" cm="1">
        <f t="array" ref="D223">Common_InputFunctions.Utility_DisplayArrayInTable(Fertiliser_SourceData.Fertiliser_Products_Data5(),FertiliserProducts[[#Headers],[Company]], 121)</f>
        <v>CSBP</v>
      </c>
      <c r="E223" s="109" t="str" cm="1">
        <f t="array" ref="E223">Common_InputFunctions.Utility_DisplayArrayInTable(Fertiliser_SourceData.Fertiliser_Products_Data5(),FertiliserProducts[[#Headers],[Company]], 121)</f>
        <v>Flexi-N</v>
      </c>
      <c r="F223" s="109" t="str" cm="1">
        <f t="array" ref="F223">Common_InputFunctions.Utility_DisplayArrayInTable(Fertiliser_SourceData.Fertiliser_Products_Data5(),FertiliserProducts[[#Headers],[Company]], 121)</f>
        <v>L</v>
      </c>
      <c r="G223" s="109" cm="1">
        <f t="array" ref="G223">Common_InputFunctions.Utility_DisplayArrayInTable(Fertiliser_SourceData.Fertiliser_Products_Data5(),FertiliserProducts[[#Headers],[Company]], 121)</f>
        <v>1.32</v>
      </c>
      <c r="H223" s="109" t="str" cm="1">
        <f t="array" ref="H223">Common_InputFunctions.Utility_DisplayArrayInTable(Fertiliser_SourceData.Fertiliser_Products_Data5(),FertiliserProducts[[#Headers],[Company]], 121)</f>
        <v/>
      </c>
      <c r="I223" s="109" t="str" cm="1">
        <f t="array" ref="I223">Common_InputFunctions.Utility_DisplayArrayInTable(Fertiliser_SourceData.Fertiliser_Products_Data5(),FertiliserProducts[[#Headers],[Company]], 121)</f>
        <v/>
      </c>
      <c r="J223" s="109" t="str" cm="1">
        <f t="array" ref="J223">Common_InputFunctions.Utility_DisplayArrayInTable(Fertiliser_SourceData.Fertiliser_Products_Data5(),FertiliserProducts[[#Headers],[Company]], 121)</f>
        <v/>
      </c>
      <c r="K223" s="109" cm="1">
        <f t="array" ref="K223">Common_InputFunctions.Utility_DisplayArrayInTable(Fertiliser_SourceData.Fertiliser_Products_Data5(),FertiliserProducts[[#Headers],[Company]], 121)</f>
        <v>32</v>
      </c>
      <c r="L223" s="109" t="str" cm="1">
        <f t="array" ref="L223">Common_InputFunctions.Utility_DisplayArrayInTable(Fertiliser_SourceData.Fertiliser_Products_Data5(),FertiliserProducts[[#Headers],[Company]], 121)</f>
        <v/>
      </c>
      <c r="M223" s="109" t="str" cm="1">
        <f t="array" ref="M223">Common_InputFunctions.Utility_DisplayArrayInTable(Fertiliser_SourceData.Fertiliser_Products_Data5(),FertiliserProducts[[#Headers],[Company]], 121)</f>
        <v/>
      </c>
      <c r="N223" s="109" t="str" cm="1">
        <f t="array" ref="N223">Common_InputFunctions.Utility_DisplayArrayInTable(Fertiliser_SourceData.Fertiliser_Products_Data5(),FertiliserProducts[[#Headers],[Company]], 121)</f>
        <v/>
      </c>
      <c r="O223" s="109" t="str" cm="1">
        <f t="array" ref="O223">Common_InputFunctions.Utility_DisplayArrayInTable(Fertiliser_SourceData.Fertiliser_Products_Data5(),FertiliserProducts[[#Headers],[Company]], 121)</f>
        <v>Urea-ammonium nitrate (UAN)</v>
      </c>
      <c r="P223" s="109" cm="1">
        <f t="array" ref="P223">Common_InputFunctions.Utility_DisplayArrayInTable(Fertiliser_SourceData.Fertiliser_Products_Data5(),FertiliserProducts[[#Headers],[Company]], 121)</f>
        <v>1</v>
      </c>
      <c r="Q223" s="109" t="str" cm="1">
        <f t="array" ref="Q223">Common_InputFunctions.Utility_DisplayArrayInTable(Fertiliser_SourceData.Fertiliser_Products_Data5(),FertiliserProducts[[#Headers],[Company]], 121)</f>
        <v/>
      </c>
      <c r="R223" s="109" t="str" cm="1">
        <f t="array" ref="R223">Common_InputFunctions.Utility_DisplayArrayInTable(Fertiliser_SourceData.Fertiliser_Products_Data5(),FertiliserProducts[[#Headers],[Company]], 121)</f>
        <v/>
      </c>
      <c r="S223" s="109" t="str" cm="1">
        <f t="array" ref="S223">Common_InputFunctions.Utility_DisplayArrayInTable(Fertiliser_SourceData.Fertiliser_Products_Data5(),FertiliserProducts[[#Headers],[Company]], 121)</f>
        <v/>
      </c>
      <c r="T223" s="109" t="str" cm="1">
        <f t="array" ref="T223">Common_InputFunctions.Utility_DisplayArrayInTable(Fertiliser_SourceData.Fertiliser_Products_Data5(),FertiliserProducts[[#Headers],[Company]], 121)</f>
        <v/>
      </c>
      <c r="U223" s="109" t="str" cm="1">
        <f t="array" ref="U223">Common_InputFunctions.Utility_DisplayArrayInTable(Fertiliser_SourceData.Fertiliser_Products_Data5(),FertiliserProducts[[#Headers],[Company]], 121)</f>
        <v/>
      </c>
      <c r="V223" s="109" t="str" cm="1">
        <f t="array" ref="V223">Common_InputFunctions.Utility_DisplayArrayInTable(Fertiliser_SourceData.Fertiliser_Products_Data5(),FertiliserProducts[[#Headers],[Company]], 121)</f>
        <v/>
      </c>
      <c r="W223" s="109" t="str" cm="1">
        <f t="array" ref="W223">Common_InputFunctions.Utility_DisplayArrayInTable(Fertiliser_SourceData.Fertiliser_Products_Data5(),FertiliserProducts[[#Headers],[Company]], 121)</f>
        <v/>
      </c>
      <c r="X223" s="109" t="str" cm="1">
        <f t="array" ref="X223">Common_InputFunctions.Utility_DisplayArrayInTable(Fertiliser_SourceData.Fertiliser_Products_Data5(),FertiliserProducts[[#Headers],[Company]], 121)</f>
        <v/>
      </c>
      <c r="Y223" s="109" t="str" cm="1">
        <f t="array" ref="Y223">Common_InputFunctions.Utility_DisplayArrayInTable(Fertiliser_SourceData.Fertiliser_Products_Data5(),FertiliserProducts[[#Headers],[Company]], 121)</f>
        <v/>
      </c>
      <c r="Z223" s="109" t="str" cm="1">
        <f t="array" ref="Z223">Common_InputFunctions.Utility_DisplayArrayInTable(Fertiliser_SourceData.Fertiliser_Products_Data5(),FertiliserProducts[[#Headers],[Company]], 121)</f>
        <v/>
      </c>
      <c r="AA223" s="109" t="str" cm="1">
        <f t="array" ref="AA223">Common_InputFunctions.Utility_DisplayArrayInTable(Fertiliser_SourceData.Fertiliser_Products_Data5(),FertiliserProducts[[#Headers],[Company]], 121)</f>
        <v/>
      </c>
      <c r="AB223" s="109" t="str" cm="1">
        <f t="array" ref="AB223">Common_InputFunctions.Utility_DisplayArrayInTable(Fertiliser_SourceData.Fertiliser_Products_Data5(),FertiliserProducts[[#Headers],[Company]], 121)</f>
        <v/>
      </c>
      <c r="AC223" s="109" t="str" cm="1">
        <f t="array" ref="AC223">Common_InputFunctions.Utility_DisplayArrayInTable(Fertiliser_SourceData.Fertiliser_Products_Data5(),FertiliserProducts[[#Headers],[Company]], 121)</f>
        <v/>
      </c>
      <c r="AD223" s="109" t="str" cm="1">
        <f t="array" ref="AD223">Common_InputFunctions.Utility_DisplayArrayInTable(Fertiliser_SourceData.Fertiliser_Products_Data5(),FertiliserProducts[[#Headers],[Company]], 121)</f>
        <v/>
      </c>
      <c r="AE223" s="109" t="str" cm="1">
        <f t="array" ref="AE223">Common_InputFunctions.Utility_DisplayArrayInTable(Fertiliser_SourceData.Fertiliser_Products_Data5(),FertiliserProducts[[#Headers],[Company]], 121)</f>
        <v/>
      </c>
      <c r="AF223" s="109" t="str" cm="1">
        <f t="array" ref="AF223">Common_InputFunctions.Utility_DisplayArrayInTable(Fertiliser_SourceData.Fertiliser_Products_Data5(),FertiliserProducts[[#Headers],[Company]], 121)</f>
        <v/>
      </c>
      <c r="AG223" s="109" t="str" cm="1">
        <f t="array" ref="AG223">Common_InputFunctions.Utility_DisplayArrayInTable(Fertiliser_SourceData.Fertiliser_Products_Data5(),FertiliserProducts[[#Headers],[Company]], 121)</f>
        <v/>
      </c>
      <c r="AH223" s="109" t="str" cm="1">
        <f t="array" ref="AH223">Common_InputFunctions.Utility_DisplayArrayInTable(Fertiliser_SourceData.Fertiliser_Products_Data5(),FertiliserProducts[[#Headers],[Company]], 121)</f>
        <v/>
      </c>
    </row>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F3A1-39BF-4D6F-B3C6-25A7B2EFBFCA}">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69</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75" t="s">
        <v>1</v>
      </c>
      <c r="D6" s="36" t="s">
        <v>16</v>
      </c>
      <c r="E6" s="36" t="s">
        <v>17</v>
      </c>
      <c r="F6" s="36" t="s">
        <v>18</v>
      </c>
    </row>
    <row r="7" spans="1:65" ht="20.100000000000001" customHeight="1" x14ac:dyDescent="0.25">
      <c r="A7" s="172"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43</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50</v>
      </c>
      <c r="E109" s="36" t="s">
        <v>31</v>
      </c>
      <c r="F109" s="36" t="s">
        <v>51</v>
      </c>
      <c r="G109" s="36" t="s">
        <v>52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53</v>
      </c>
      <c r="E119" s="36" t="s">
        <v>54</v>
      </c>
      <c r="F119" s="36" t="s">
        <v>38</v>
      </c>
      <c r="G119" s="36" t="s">
        <v>39</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60</v>
      </c>
      <c r="E127" s="36" t="s">
        <v>61</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73</v>
      </c>
      <c r="E134" t="s">
        <v>74</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91</v>
      </c>
      <c r="E142" s="36" t="s">
        <v>74</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62</v>
      </c>
      <c r="E153" s="36" t="s">
        <v>63</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82</v>
      </c>
      <c r="E186" s="36" t="s">
        <v>83</v>
      </c>
      <c r="F186" s="36" t="s">
        <v>84</v>
      </c>
      <c r="G186" s="36" t="s">
        <v>85</v>
      </c>
      <c r="H186" s="36" t="s">
        <v>30</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93</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90</v>
      </c>
      <c r="E212" s="36" t="s">
        <v>98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47</v>
      </c>
      <c r="E231" s="36" t="s">
        <v>208</v>
      </c>
      <c r="F231" s="35" t="s">
        <v>209</v>
      </c>
      <c r="G231" s="36" t="s">
        <v>104</v>
      </c>
      <c r="H231" s="36" t="s">
        <v>210</v>
      </c>
      <c r="I231" s="36" t="s">
        <v>211</v>
      </c>
      <c r="J231" s="36" t="s">
        <v>103</v>
      </c>
      <c r="K231" s="36" t="s">
        <v>102</v>
      </c>
      <c r="L231" s="36" t="s">
        <v>212</v>
      </c>
      <c r="M231" s="36" t="s">
        <v>213</v>
      </c>
      <c r="N231" s="36" t="s">
        <v>101</v>
      </c>
      <c r="O231" s="36" t="s">
        <v>214</v>
      </c>
      <c r="P231" s="36" t="s">
        <v>106</v>
      </c>
      <c r="Q231" s="36" t="s">
        <v>107</v>
      </c>
      <c r="R231" s="36" t="s">
        <v>105</v>
      </c>
      <c r="S231" s="36" t="s">
        <v>215</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6" x14ac:dyDescent="0.25">
      <c r="D257" s="36" t="s">
        <v>243</v>
      </c>
      <c r="E257" s="36" t="s">
        <v>244</v>
      </c>
    </row>
    <row r="258" spans="4:6"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330</v>
      </c>
    </row>
    <row r="264" spans="4:6" x14ac:dyDescent="0.25">
      <c r="D264" s="1" t="s">
        <v>331</v>
      </c>
    </row>
    <row r="265" spans="4:6" x14ac:dyDescent="0.25">
      <c r="D265" s="36" t="s">
        <v>332</v>
      </c>
      <c r="E265" s="36" t="s">
        <v>333</v>
      </c>
      <c r="F265" s="36" t="s">
        <v>334</v>
      </c>
    </row>
    <row r="266" spans="4:6" x14ac:dyDescent="0.25">
      <c r="D266" s="36" t="s">
        <v>335</v>
      </c>
      <c r="E266" s="36" t="s">
        <v>336</v>
      </c>
      <c r="F266" s="36">
        <v>5</v>
      </c>
    </row>
    <row r="267" spans="4:6" x14ac:dyDescent="0.25">
      <c r="D267" s="36" t="s">
        <v>337</v>
      </c>
      <c r="E267" s="36" t="s">
        <v>338</v>
      </c>
      <c r="F267" s="36">
        <v>4</v>
      </c>
    </row>
    <row r="268" spans="4:6" x14ac:dyDescent="0.25">
      <c r="D268" s="36" t="s">
        <v>339</v>
      </c>
      <c r="E268" s="36" t="s">
        <v>340</v>
      </c>
      <c r="F268" s="36">
        <v>3</v>
      </c>
    </row>
    <row r="269" spans="4:6" x14ac:dyDescent="0.25">
      <c r="D269" s="36" t="s">
        <v>341</v>
      </c>
      <c r="E269" s="36" t="s">
        <v>342</v>
      </c>
      <c r="F269" s="36">
        <v>2</v>
      </c>
    </row>
    <row r="270" spans="4:6" x14ac:dyDescent="0.25">
      <c r="D270" s="36" t="s">
        <v>343</v>
      </c>
      <c r="E270" s="36" t="s">
        <v>344</v>
      </c>
      <c r="F270" s="36">
        <v>1</v>
      </c>
    </row>
    <row r="273" spans="4:6" x14ac:dyDescent="0.25">
      <c r="D273" s="1" t="s">
        <v>345</v>
      </c>
    </row>
    <row r="274" spans="4:6" x14ac:dyDescent="0.25">
      <c r="D274" s="36" t="s">
        <v>332</v>
      </c>
      <c r="E274" s="36" t="s">
        <v>333</v>
      </c>
      <c r="F274" s="36" t="s">
        <v>334</v>
      </c>
    </row>
    <row r="275" spans="4:6" x14ac:dyDescent="0.25">
      <c r="D275" s="36" t="s">
        <v>346</v>
      </c>
      <c r="E275" s="36" t="s">
        <v>347</v>
      </c>
      <c r="F275" s="36">
        <v>5</v>
      </c>
    </row>
    <row r="276" spans="4:6" x14ac:dyDescent="0.25">
      <c r="D276" s="36" t="s">
        <v>348</v>
      </c>
      <c r="E276" s="36" t="s">
        <v>349</v>
      </c>
      <c r="F276" s="36">
        <v>4</v>
      </c>
    </row>
    <row r="277" spans="4:6" x14ac:dyDescent="0.25">
      <c r="D277" s="36" t="s">
        <v>350</v>
      </c>
      <c r="E277" s="36" t="s">
        <v>351</v>
      </c>
      <c r="F277" s="36">
        <v>3</v>
      </c>
    </row>
    <row r="278" spans="4:6" x14ac:dyDescent="0.25">
      <c r="D278" s="36" t="s">
        <v>352</v>
      </c>
      <c r="E278" s="36" t="s">
        <v>353</v>
      </c>
      <c r="F278" s="36">
        <v>2</v>
      </c>
    </row>
    <row r="279" spans="4:6" x14ac:dyDescent="0.25">
      <c r="D279" s="36" t="s">
        <v>354</v>
      </c>
      <c r="E279" s="36" t="s">
        <v>355</v>
      </c>
      <c r="F279" s="36">
        <v>1</v>
      </c>
    </row>
    <row r="282" spans="4:6" x14ac:dyDescent="0.25">
      <c r="D282" s="1" t="s">
        <v>356</v>
      </c>
    </row>
    <row r="283" spans="4:6" x14ac:dyDescent="0.25">
      <c r="D283" s="36" t="s">
        <v>332</v>
      </c>
      <c r="E283" s="36" t="s">
        <v>333</v>
      </c>
      <c r="F283" s="36" t="s">
        <v>334</v>
      </c>
    </row>
    <row r="284" spans="4:6" x14ac:dyDescent="0.25">
      <c r="D284" s="36" t="s">
        <v>357</v>
      </c>
      <c r="E284" s="36" t="s">
        <v>358</v>
      </c>
      <c r="F284" s="36">
        <v>5</v>
      </c>
    </row>
    <row r="285" spans="4:6" x14ac:dyDescent="0.25">
      <c r="D285" s="36" t="s">
        <v>359</v>
      </c>
      <c r="E285" s="36" t="s">
        <v>360</v>
      </c>
      <c r="F285" s="36">
        <v>4</v>
      </c>
    </row>
    <row r="286" spans="4:6" x14ac:dyDescent="0.25">
      <c r="D286" s="36" t="s">
        <v>361</v>
      </c>
      <c r="E286" s="36" t="s">
        <v>362</v>
      </c>
      <c r="F286" s="36">
        <v>3</v>
      </c>
    </row>
    <row r="287" spans="4:6" x14ac:dyDescent="0.25">
      <c r="D287" s="36" t="s">
        <v>363</v>
      </c>
      <c r="E287" s="36" t="s">
        <v>364</v>
      </c>
      <c r="F287" s="36">
        <v>2</v>
      </c>
    </row>
    <row r="288" spans="4:6" x14ac:dyDescent="0.25">
      <c r="D288" s="36" t="s">
        <v>365</v>
      </c>
      <c r="E288" s="36" t="s">
        <v>366</v>
      </c>
      <c r="F288" s="36">
        <v>1</v>
      </c>
    </row>
    <row r="291" spans="4:6" x14ac:dyDescent="0.25">
      <c r="D291" s="1" t="s">
        <v>367</v>
      </c>
    </row>
    <row r="292" spans="4:6" x14ac:dyDescent="0.25">
      <c r="D292" s="36" t="s">
        <v>332</v>
      </c>
      <c r="E292" s="36" t="s">
        <v>333</v>
      </c>
      <c r="F292" s="36" t="s">
        <v>334</v>
      </c>
    </row>
    <row r="293" spans="4:6" x14ac:dyDescent="0.25">
      <c r="D293" s="36" t="s">
        <v>368</v>
      </c>
      <c r="E293" s="36" t="s">
        <v>369</v>
      </c>
      <c r="F293" s="36">
        <v>5</v>
      </c>
    </row>
    <row r="294" spans="4:6" x14ac:dyDescent="0.25">
      <c r="D294" s="36" t="s">
        <v>370</v>
      </c>
      <c r="E294" s="36" t="s">
        <v>371</v>
      </c>
      <c r="F294" s="36">
        <v>4</v>
      </c>
    </row>
    <row r="295" spans="4:6" x14ac:dyDescent="0.25">
      <c r="D295" s="36" t="s">
        <v>372</v>
      </c>
      <c r="E295" s="36" t="s">
        <v>373</v>
      </c>
      <c r="F295" s="36">
        <v>3</v>
      </c>
    </row>
    <row r="296" spans="4:6" x14ac:dyDescent="0.25">
      <c r="D296" s="36" t="s">
        <v>374</v>
      </c>
      <c r="E296" s="36" t="s">
        <v>375</v>
      </c>
      <c r="F296" s="36">
        <v>2</v>
      </c>
    </row>
    <row r="297" spans="4:6" x14ac:dyDescent="0.25">
      <c r="D297" s="36" t="s">
        <v>376</v>
      </c>
      <c r="E297" s="36" t="s">
        <v>377</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TAG8AdQByAGMAZQBEAGEAdABhAC4ARgBlAHIAdABpAGwAaQBzAGUAcgBfAFAAcgBvAGQAdQBjAHQAcwBfAEQAYQB0AGEAMgAiACwAIgBGAGUAcgB0AGkAbABpAHMAZQByAF8AUwBvAHUAcgBjAGUARABhAHQAYQAuAEYAZQByAHQAaQBsAGkAcwBlAHIAXwBQAHIAbwBkAHUAYwB0AHMAXwBEAGEAdABhADMAIgAsACIARgBlAHIAdABpAGwAaQBzAGUAcgBfAFMAbwB1AHIAYwBlAEQAYQB0AGEALgBGAGUAcgB0AGkAbABpAHMAZQByAF8AUAByAG8AZAB1AGMAdABzAF8ARABhAHQAYQA0ACIALAAiAEYAZQByAHQAaQBsAGkAcwBlAHIAXwBTAG8AdQByAGMAZQBEAGEAdABhAC4ARgBlAHIAdABpAGwAaQBzAGUAcgBfAFAAcgBvAGQAdQBjAHQAcwBfAEQAYQB0AGEAN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49</vt:i4>
      </vt:variant>
    </vt:vector>
  </HeadingPairs>
  <TitlesOfParts>
    <vt:vector size="63"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2026-08-10T02:12:45Z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