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htdocs\zneagcrc\GAF-VEERG-Functions\Excel\"/>
    </mc:Choice>
  </mc:AlternateContent>
  <xr:revisionPtr revIDLastSave="0" documentId="13_ncr:1_{6732AC43-75F1-44F1-80DC-705245AF9A58}" xr6:coauthVersionLast="47" xr6:coauthVersionMax="47" xr10:uidLastSave="{00000000-0000-0000-0000-000000000000}"/>
  <bookViews>
    <workbookView xWindow="630" yWindow="210" windowWidth="37755" windowHeight="20445" firstSheet="7" activeTab="9" xr2:uid="{992023F3-CAB7-4E5B-A348-08D563A0EF40}"/>
  </bookViews>
  <sheets>
    <sheet name="Home" sheetId="71" r:id="rId1"/>
    <sheet name="Results" sheetId="13" r:id="rId2"/>
    <sheet name="Input - Site" sheetId="15" r:id="rId3"/>
    <sheet name="Input - Feedlot" sheetId="70" r:id="rId4"/>
    <sheet name="4.1.1.1-2 Methane" sheetId="69" r:id="rId5"/>
    <sheet name="4.1.1.3-4 Direct N20" sheetId="76" r:id="rId6"/>
    <sheet name="4.1.1.5-6 Atmos Deposition" sheetId="82" r:id="rId7"/>
    <sheet name="4.1.1.9 Manure applied to soils" sheetId="81" r:id="rId8"/>
    <sheet name="Constants - Feedlot" sheetId="79" r:id="rId9"/>
    <sheet name="Constants - Common" sheetId="93" r:id="rId10"/>
    <sheet name="Constants - Livestock" sheetId="43" r:id="rId11"/>
    <sheet name="Acknowledgements" sheetId="72" r:id="rId12"/>
    <sheet name="Tab template" sheetId="74" r:id="rId13"/>
  </sheets>
  <definedNames>
    <definedName name="Common_Equations.Common_ConvertCH4ToCO2e">_xlfn.LAMBDA(_xlpm.E_CH4,_xlpm.GWP_CH4, _xlpm.E_CH4 * _xlpm.GWP_CH4)</definedName>
    <definedName name="Common_Equations.Common_ConvertCH4ToCO2e_Arguments">_xlfn.LAMBDA(_xlfn.MAKEARRAY(2, 2, _xlfn.LAMBDA(_xlpm.r,_xlpm.c, INDEX({"ECH4","Methane emissions (t CH4)";"GWPCH4","Global warming potential for methane (t CO2-e / t CH4)"}, _xlpm.r, _xlpm.c))))</definedName>
    <definedName name="Common_Equations.Common_ConvertCH4ToCO2e_LatexEquation">_xlfn.LAMBDA("CO2_e = E_{CH4} \times GWP_{CH4}")</definedName>
    <definedName name="Common_Equations.Common_ConvertCH4ToCO2e_NIRReference">_xlfn.LAMBDA("")</definedName>
    <definedName name="Common_Equations.Common_ConvertCH4ToCO2e_Title">_xlfn.LAMBDA("Convert methane emissions to carbon dioxide equivalent emissions")</definedName>
    <definedName name="Common_Equations.Common_ConvertCH4ToCO2e_Unit">_xlfn.LAMBDA("t CO2e")</definedName>
    <definedName name="Common_Equations.Common_ConvertCH4ToCO2e_Variable">_xlfn.LAMBDA("ECH4 CO2e")</definedName>
    <definedName name="Common_Equations.Common_ConvertN2OToCO2e">_xlfn.LAMBDA(_xlpm.E_N2O,_xlpm.GWP_N2O, _xlpm.E_N2O * _xlpm.GWP_N2O)</definedName>
    <definedName name="Common_Equations.Common_ConvertN2OToCO2e_Arguments">_xlfn.LAMBDA(_xlfn.MAKEARRAY(2, 2, _xlfn.LAMBDA(_xlpm.r,_xlpm.c, INDEX({"EN2O","Nitrous oxide emissions (t N2O)";"GWPN2O","Global warming potential for nitrous oxide (t CO2-e / t N2O)"}, _xlpm.r, _xlpm.c))))</definedName>
    <definedName name="Common_Equations.Common_ConvertN2OToCO2e_LatexEquation">_xlfn.LAMBDA("CO2_e = E_{N2O} \times GWP_{N2O}")</definedName>
    <definedName name="Common_Equations.Common_ConvertN2OToCO2e_NIRReference">_xlfn.LAMBDA("")</definedName>
    <definedName name="Common_Equations.Common_ConvertN2OToCO2e_Title">_xlfn.LAMBDA("Convert nitrous oxide emissions to carbon dioxide equivalent emissions")</definedName>
    <definedName name="Common_Equations.Common_ConvertN2OToCO2e_Unit">_xlfn.LAMBDA("t CO2e")</definedName>
    <definedName name="Common_Equations.Common_ConvertN2OToCO2e_Variable">_xlfn.LAMBDA("EN2O CO2e")</definedName>
    <definedName name="Common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_InputFunctions.getOverlappingReportingCycle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MAX(0, _xlpm.lastYear - _xlpm.firstYear + 1)))</definedName>
    <definedName name="Common_InputFunctions.getOverlappingReportingPeriods">_xlfn.LAMBDA(_xlpm.ProductionCycleStart,_xlpm.ProductionCycleEnd,_xlpm.ReportingCycleStart, _xlfn.LET(_xlpm.S, _xlpm.ProductionCycleStart, _xlpm.E, _xlpm.ProductionCycleEnd, _xlpm.m, MONTH(_xlpm.ReportingCycleStart), _xlpm.d, DAY(_xlpm.ReportingCycleStart), _xlpm.PeriodEnd, _xlfn.LAMBDA(_xlpm.st, EDATE(_xlpm.st, 12) - 1), _xlpm.A, _xlpm.S - 365, _xlpm.ya, YEAR(_xlpm.A), _xlpm.yb, YEAR(_xlpm.E), _xlpm.firstYear, _xlpm.ya + (_xlpm.PeriodEnd(DATE(_xlpm.ya, _xlpm.m, _xlpm.d)) &lt; _xlpm.S), _xlpm.lastYear, _xlpm.yb - (DATE(_xlpm.yb, _xlpm.m, _xlpm.d) &gt; _xlpm.E), _xlpm.n, MAX(0, _xlpm.lastYear - _xlpm.firstYear + 1), _xlpm.yrs, _xlfn.SEQUENCE(_xlpm.n, 1, _xlpm.firstYear, 1), _xlpm.starts, DATE(_xlpm.yrs, _xlpm.m, _xlpm.d), _xlpm.ends, _xlfn.MAP(_xlpm.starts, _xlpm.PeriodEnd), _xlpm.tag, IF(_xlpm.starts = _xlpm.ReportingCycleStart, " (This reporting cycle)", ""), _xlpm.startsText, TEXT(_xlpm.starts, "dd mmm yyyy"), _xlpm.endsText, TEXT(_xlpm.ends, "dd mmm yyyy"), IF(_xlpm.n = 0, "", _xlfn.HSTACK(_xlpm.startsText &amp; " to " &amp; _xlpm.endsText &amp; _xlpm.tag))))</definedName>
    <definedName name="Common_InputFunctions.Utility_DisplayArrayInTable">_xlfn.LAMBDA(_xlpm.ArrayData,_xlpm.TableheaderCell,_xlpm.RowsBetweenHeaderandArray,_xlop.ColumnsBetweenHeaderAndArray, IFERROR(INDEX(_xlfn.UNIQUE(_xlpm.ArrayData), ROW() - Common_InputFunctions.Utility_GetArrayTableRowStartNumber(_xlpm.TableheaderCell, _xlpm.RowsBetweenHeaderandArray), COLUMN() - Common_InputFunctions.Utility_GetArrayTableColumnStartNumber(_xlpm.TableheaderCell) + IF(_xlfn.ISOMITTED(_xlpm.ColumnsBetweenHeaderAndArray), 1, _xlpm.ColumnsBetweenHeaderAndArray)), ""))</definedName>
    <definedName name="Common_InputFunctions.Utility_DisplayFunctionName">_xlfn.LAMBDA(_xlpm.Function, _xlfn.TEXTBEFORE(_xlfn.FORMULATEXT(_xlpm.Function), "("))</definedName>
    <definedName name="Common_InputFunctions.Utility_GetArrayTableColumnStartNumber">_xlfn.LAMBDA(_xlpm.TableHeaderCell, COLUMN(_xlpm.TableHeaderCell))</definedName>
    <definedName name="Common_InputFunctions.Utility_GetArrayTableRowStartNumber">_xlfn.LAMBDA(_xlpm.TableheaderCell,_xlpm.RowsBetweenHeaderandArray, ROW(_xlpm.TableheaderCell) + _xlpm.RowsBetweenHeaderandArray - 1)</definedName>
    <definedName name="Common_InputFunctions.Utility_GetClimateZone">_xlfn.LAMBDA(_xlpm.avgTemp,_xlpm.avgRain,_xlpm.frostDays,_xlpm.elev,_xlpm.map_pet,_xlpm.minTempArray,_xlpm.maxTempArray,_xlpm.minRainfallArray,_xlpm.maxRainfallArray,_xlpm.minFrostArray,_xlpm.maxFrostArray,_xlpm.minElevationArray,_xlpm.maxElevationArray,_xlpm.minPETArray,_xlpm.maxPETArray,_xlpm.climateZoneArray, _xlfn.LET(_xlpm.mask, (VALUE(_xlpm.minTempArray) &lt;= _xlpm.avgTemp) * (VALUE(_xlpm.maxTempArray) &gt;= _xlpm.avgTemp) * (VALUE(_xlpm.minRainfallArray) &lt;= _xlpm.avgRain) * (VALUE(_xlpm.maxRainfallArray) &gt;= _xlpm.avgRain) * (VALUE(_xlpm.minFrostArray) &lt;= _xlpm.frostDays) * (VALUE(_xlpm.maxFrostArray) &gt;= _xlpm.frostDays) * (VALUE(_xlpm.minElevationArray) &lt;= _xlpm.elev) * (VALUE(_xlpm.maxElevationArray) &gt;= _xlpm.elev) * (VALUE(_xlpm.minPETArray) &lt;= _xlpm.map_pet) * (VALUE(_xlpm.maxPETArray) &gt;= _xlpm.map_pet), _xlfn.TAKE(_xlfn._xlws.FILTER(_xlpm.climateZoneArray, _xlpm.mask, "No match"), 1)))</definedName>
    <definedName name="Common_InputFunctions.Utility_LookupItemFromMinMax">_xlfn.LAMBDA(_xlpm.LookupValue,_xlpm.MinArray,_xlpm.MaxArray,_xlpm.ItemArray, _xlfn.LET(_xlpm.mask, (VALUE(_xlpm.MinArray) &lt;= _xlpm.LookupValue) * (VALUE(_xlpm.MaxArray) &gt;= _xlpm.LookupValue), _xlfn._xlws.FILTER(_xlpm.ItemArray, _xlpm.mask, "No match")))</definedName>
    <definedName name="Common_InputFunctions.Utility_LookupN2OEFFromProdIrrigationRainfall">_xlfn.LAMBDA(_xlpm.ProductionSystem,_xlpm.IrrigationMethod,_xlpm.RainfallZone,_xlpm.ProductionSystemArray,_xlpm.IrrigationMethodArray,_xlpm.RainfallZoneArray,_xlpm.ReturnArray, _xlfn.LET(_xlpm.IrrigationMethod, IF(_xlpm.IrrigationMethod = "Not irrigated", "Not irrigated", "Any"), _xlpm.RainfallZone, IF(_xlpm.IrrigationMethod = "Not irrigated", _xlpm.RainfallZone, "Any"), _xlfn.XLOOKUP(1, (_xlpm.ProductionSystemArray = _xlpm.ProductionSystem) * (_xlpm.IrrigationMethodArray = _xlpm.IrrigationMethod) * (_xlpm.RainfallZoneArray = _xlpm.RainfallZone), _xlpm.ReturnArray)))</definedName>
    <definedName name="Common_InputFunctions.Utility_LookupValueInTable">_xlfn.LAMBDA(_xlpm.LookupValue,_xlpm.LookupArray,_xlpm.ReturnArray, _xlfn.XLOOKUP(_xlpm.LookupValue, _xlpm.LookupArray, _xlpm.ReturnArray, ""))</definedName>
    <definedName name="Common_InputFunctions.Utility_LookupValueInTableNumber">_xlfn.LAMBDA(_xlpm.LookupValue,_xlpm.LookupArray,_xlpm.ReturnArray, IF(ISNUMBER(_xlfn.XLOOKUP(_xlpm.LookupValue, _xlpm.LookupArray, _xlpm.ReturnArray, "")), _xlfn.XLOOKUP(_xlpm.LookupValue, _xlpm.LookupArray, _xlpm.ReturnArray, ""), 0))</definedName>
    <definedName name="Common_InputFunctions.Utility_SplitStringIntoArray">_xlfn.LAMBDA(_xlpm.Cell,_xlpm.Delimiter,_xlop.CharacterToRemove1,_xlop.CharacterToRemove2, _xlfn.FILTERXML("&lt;t&gt;&lt;s&gt;" &amp; SUBSTITUTE(SUBSTITUTE(SUBSTITUTE(_xlpm.Cell, _xlpm.CharacterToRemove1, ""), _xlpm.CharacterToRemove2, ""), _xlpm.Delimiter, "&lt;/s&gt;&lt;s&gt;") &amp; "&lt;/s&gt;&lt;/t&gt;", "//s"))</definedName>
    <definedName name="Common_InputFunctions.Utility_SumQuantityFromCriteria">_xlfn.LAMBDA(_xlpm.Criteria1,_xlpm.Criteria1TypeArray,_xlpm.Quantity,_xlop.Multiplier,_xlop.Criteria2,_xlop.Criteria2Array, _xlfn.LET(_xlpm.multiplier, IF(_xlfn.ISOMITTED(_xlpm.Multiplier), 1, _xlpm.Multiplier), _xlpm.quantity, _xlpm.Quantity * _xlpm.multiplier, _xlpm.criteria1, --(_xlpm.Criteria1TypeArray = _xlpm.Criteria1), _xlpm.criteria2, IF(_xlfn.ISOMITTED(_xlpm.Criteria2), 1, --(_xlpm.Criteria2Array = _xlpm.Criteria2)), SUMPRODUCT(_xlpm.criteria1 * _xlpm.criteria2 * _xlpm.quantity)))</definedName>
    <definedName name="Common_SourceData.Common_SourceData_AustralianStatesTerritories_Data">_xlfn.LAMBDA(_xlfn.MAKEARRAY(9, 3, _xlfn.LAMBDA(_xlpm.r,_xlpm.c, INDEX({"State/Territory","Common Name","Abbreviation";"New South Wales","New South Wales","NSW";"Australian Capital Territory","ACT","ACT";"Victoria","Victoria","VIC";"Queensland","Queensland","QLD";"South Australia","South Australia","SA";"Western Australia","Western Australia","WA";"Tasmania","Tasmania","TAS";"Northern Territory","Northern Territory","NT"}, _xlpm.r, _xlpm.c))))</definedName>
    <definedName name="Common_SourceData.Common_SourceData_AustralianStatesTerritories_Source">_xlfn.LAMBDA("")</definedName>
    <definedName name="Common_SourceData.Common_SourceData_AustralianStatesTerritories_Title">_xlfn.LAMBDA("Australian states and territories")</definedName>
    <definedName name="Common_SourceData.Common_SourceData_AustralianStatesTerritories_Unit">_xlfn.LAMBDA("")</definedName>
    <definedName name="Common_SourceData.Common_SourceData_AustralianStatesTerritories_Variable">_xlfn.LAMBDA("")</definedName>
    <definedName name="Common_SourceData.Common_SourceData_ClimateZones_Appendices">_xlfn.LAMBDA(_xlfn.MAKEARRAY(4, 1, _xlfn.LAMBDA(_xlpm.r,_xlpm.c, INDEX({"Note:";"MAT = mean annual temperature";"MAP = mean annual precipitation";"PET = potential evapotranspiration"}, _xlpm.r, _xlpm.c))))</definedName>
    <definedName name="Common_SourceData.Common_SourceData_ClimateZones_Data">_xlfn.LAMBDA(_xlfn.MAKEARRAY(9, 16, _xlfn.LAMBDA(_xlpm.r,_xlpm.c, INDEX({"Climate Zone","MAT","MAP","Frost days per year","Elevation","MAP:PET","Min temp","Max temp","Min rainfall","Max rainfall","Min frost days","Max frost days","Min elevation","Max elevation","Min MAP:PET","Min MAP:PET";"Tropical montane","&gt; 18 C","Any","≤ 7","&gt; 1000 m","Any",18.001,999999,-999999,999999,-999999,7,1000,999999,-999999,999999;"Tropical wet","&gt; 18 C","&gt; 2000 mm","≤ 7","≤ 1000 m","Any",18.001,999999,2000.001,999999,-999999,7,-999999,999.999,-999999,999999;"Tropical moist","&gt; 18 C","&gt; 1000 mm - ≤ 2000 mm","≤ 7","≤ 1000 m","Any",18.001,999999,1000.001,2000,-999999,7,-999999,999.999,-999999,999999;"Tropical dry","&gt; 18 C","≤ 1000 mm","≤ 7","≤ 1000 m","Any",18.001,999999,-999999,1000,-999999,7,-999999,999.999,-999999,999999;"Warm temperate moist","&gt; 10 C","Any","Any","Any","&gt; 1",10.001,999999,-999999,999999,-999999,999999,-999999,999999,1.001,999999;"Warm temperate dry","&gt; 10 C","Any","Any","Any","≤ 1",10.001,999999,-999999,999999,-999999,999999,-999999,999999,-999999,1;"Cool temperate moist","&gt; 0 C - ≤ 10 C","Any","Any","Any","&gt; 1",-999999,10,-999999,999999,-999999,999999,-999999,999999,1.001,999999;"Cool temperate dry","&gt; 0 C - ≤ 10 C","Any","Any","Any","≤ 1",-999999,10,-999999,999999,-999999,999999,-999999,999999,-999999,1}, _xlpm.r, _xlpm.c))))</definedName>
    <definedName name="Common_SourceData.Common_SourceData_ClimateZones_Source">_xlfn.LAMBDA("VEERG 2026: Table 1.3: Climate and Rainfall zone classifications and definitions")</definedName>
    <definedName name="Common_SourceData.Common_SourceData_ClimateZones_Title">_xlfn.LAMBDA("VEERG Australian climate zones")</definedName>
    <definedName name="Common_SourceData.Common_SourceData_ClimateZones_Unit">_xlfn.LAMBDA("")</definedName>
    <definedName name="Common_SourceData.Common_SourceData_ClimateZones_Variable">_xlfn.LAMBDA("")</definedName>
    <definedName name="Common_SourceData.Common_SourceData_ClimateZones_Variation">_xlfn.LAMBDA(_xlfn.MAKEARRAY(5, 1, _xlfn.LAMBDA(_xlpm.r,_xlpm.c, INDEX({"VARIATION OF SOURCE DATA:";"Added warm / cool temperate moist / dry - low frost and high temp classes to accommodate climate scenarios excluded by VEERG criteria.";"Fixed typo in MAT value for warm temperate dry - changed 10 to 11.";"Added min and max columns for MAT, MAP, frost days per year, elevation, MAP:PET to calculate zones from real climate data.";"GAF accepts rainfall as a proxy for precipitation."}, _xlpm.r, _xlpm.c))))</definedName>
    <definedName name="Common_SourceData.Common_SourceData_ConvertGasElementalToMolecular_Data">_xlfn.LAMBDA(_xlfn.MAKEARRAY(8, 4, _xlfn.LAMBDA(_xlpm.r,_xlpm.c, INDEX({"Gas","Conversion factor","Conversion factor 1","Conversion factor 2";"CO2","44/12",44,12;"CH4","16/12",16,12;"N2O","44/28",44,28;"Nox","46/14",46,14;"CO","28/12",28,12;"CO2 Lime","44/12",44,12;"NMVOC","14/12",14,12}, _xlpm.r, _xlpm.c))))</definedName>
    <definedName name="Common_SourceData.Common_SourceData_ConvertGasElementalToMolecular_Source">_xlfn.LAMBDA("XXXXXXX")</definedName>
    <definedName name="Common_SourceData.Common_SourceData_ConvertGasElementalToMolecular_Title">_xlfn.LAMBDA("Factor to convert elemental mass of gas to molecular mass")</definedName>
    <definedName name="Common_SourceData.Common_SourceData_ConvertGasElementalToMolecular_Unit">_xlfn.LAMBDA("factor")</definedName>
    <definedName name="Common_SourceData.Common_SourceData_ConvertGasElementalToMolecular_Variable">_xlfn.LAMBDA("Cg")</definedName>
    <definedName name="Common_SourceData.Common_SourceData_ConvertN2oElementalToMolecularCg_Data">_xlfn.LAMBDA(44 / 28)</definedName>
    <definedName name="Common_SourceData.Common_SourceData_ConvertN2oElementalToMolecularCg_Source">_xlfn.LAMBDA("National Inventory Report 2023 Volume 1")</definedName>
    <definedName name="Common_SourceData.Common_SourceData_ConvertN2oElementalToMolecularCg_Title">_xlfn.LAMBDA("Factor to convert elemental mass of N2O to molecular mass")</definedName>
    <definedName name="Common_SourceData.Common_SourceData_ConvertN2oElementalToMolecularCg_Unit">_xlfn.LAMBDA("factor")</definedName>
    <definedName name="Common_SourceData.Common_SourceData_ConvertN2oElementalToMolecularCg_Variable">_xlfn.LAMBDA("CgN2O")</definedName>
    <definedName name="Common_SourceData.Common_SourceData_DataScores_Scope3_Data">_xlfn.LAMBDA(_xlfn.MAKEARRAY(6, 2, _xlfn.LAMBDA(_xlpm.r,_xlpm.c, INDEX({"Data source","Data score";"International scope 3 database",1;"Australian scope 3 database",2;"State or regional scope 3 database",3;"Emissions intensity calculated from approved method",4;"Verified credential matching ISO14067",5}, _xlpm.r, _xlpm.c))))</definedName>
    <definedName name="Common_SourceData.Common_SourceData_DataScores_Scope3_Source">_xlfn.LAMBDA("VEERG 2026: XXXXXXXX")</definedName>
    <definedName name="Common_SourceData.Common_SourceData_DataScores_Scope3_Title">_xlfn.LAMBDA("Australian data scores for scope 3")</definedName>
    <definedName name="Common_SourceData.Common_SourceData_DataScores_Scope3_Unit">_xlfn.LAMBDA("")</definedName>
    <definedName name="Common_SourceData.Common_SourceData_DataScores_Scope3_Variable">_xlfn.LAMBDA("")</definedName>
    <definedName name="Common_SourceData.Common_SourceData_DataScores_Scope3_Variation">_xlfn.LAMBDA("")</definedName>
    <definedName name="Common_SourceData.Common_SourceData_DensityOfMethane_Data">_xlfn.LAMBDA(0.6784)</definedName>
    <definedName name="Common_SourceData.Common_SourceData_DensityOfMethane_Source">_xlfn.LAMBDA("National Inventory Report 2023 Volume 1: Equations 3.B.1a_2, 3.B.1c_2, 3.B.3_1, 3.B.4g_2")</definedName>
    <definedName name="Common_SourceData.Common_SourceData_DensityOfMethane_Title">_xlfn.LAMBDA("p = density of methane")</definedName>
    <definedName name="Common_SourceData.Common_SourceData_DensityOfMethane_Unit">_xlfn.LAMBDA("kg/m3")</definedName>
    <definedName name="Common_SourceData.Common_SourceData_EFleach_Data">_xlfn.LAMBDA(_xlfn.MAKEARRAY(1, 2, _xlfn.LAMBDA(_xlpm.r,_xlpm.c, INDEX({"EFleach",0.011}, _xlpm.r, _xlpm.c))))</definedName>
    <definedName name="Common_SourceData.Common_SourceData_EFleach_NIRReference">_xlfn.LAMBDA("National Inventory Report Volume 1: Equation 3.D.B_10")</definedName>
    <definedName name="Common_SourceData.Common_SourceData_EFleach_Source">_xlfn.LAMBDA("VEERG 2026:5.5.2.3 Constant Parameters")</definedName>
    <definedName name="Common_SourceData.Common_SourceData_EFleach_Title">_xlfn.LAMBDA("Emission factor for nitrogen leaching and runoff")</definedName>
    <definedName name="Common_SourceData.Common_SourceData_EFleach_Unit">_xlfn.LAMBDA("(kg N2O-N / kg N")</definedName>
    <definedName name="Common_SourceData.Common_SourceData_EFleach_Variation">_xlfn.LAMBDA((""))</definedName>
    <definedName name="Common_SourceData.Common_SourceData_EFN2O_Data">_xlfn.LAMBDA(_xlfn.MAKEARRAY(15, 5, _xlfn.LAMBDA(_xlpm.r,_xlpm.c, INDEX({"Production system j","EFN2O","Production system only","Irrigation method","Rainfall zone";"Irrigated pasture",0.0059,"Pasture","Any","Any";"Irrigated crop",0.007,"Crop","Any","Any";"Non-irrigated pasture",0.0018,"Pasture","Not irrigated","Low rainfall";"Non-irrigated pasture",0.0018,"Pasture","Not irrigated","High rainfall";"Non-irrigated crop (low rainfall)",0.0029,"Crop","Not irrigated","Low rainfall";"Non-irrigated crop (high rainfall)",0.008,"Crop","Not irrigated","High rainfall";"Sugar",0.0199,"Sugar","Any","Any";"Cotton",0.0053,"Cotton","Any","Any";"Horticultural crops",0.0064,"Horticultural crops","Any","Any";"Rice (continuous flooding)",0.003,"Rice","Continuous flooding","Any";"Rice (single and multiple drainage, or alternate wetting and drying)",0.005,"Rice","Single and multiple drainage, or alternate wetting and drying","Any";"Aquaculture",0.0026,"Aquaculture","Any","Any";"Forestry",0.0018,"Forestry","Any","Any"}, _xlpm.r, _xlpm.c))))</definedName>
    <definedName name="Common_SourceData.Common_SourceData_EFN2O_NIRReference">_xlfn.LAMBDA("")</definedName>
    <definedName name="Common_SourceData.Common_SourceData_EFN2O_Source">_xlfn.LAMBDA("VEERG 2026: Table A.2.2.1")</definedName>
    <definedName name="Common_SourceData.Common_SourceData_EFN2O_Title">_xlfn.LAMBDA("Nitrous oxide emission factors for inorganic fertiliser application")</definedName>
    <definedName name="Common_SourceData.Common_SourceData_EFN2O_Unit">_xlfn.LAMBDA("(kg N2O-N / kg N")</definedName>
    <definedName name="Common_SourceData.Common_SourceData_EFN2O_Variation">_xlfn.LAMBDA(_xlfn.MAKEARRAY(5, 1, _xlfn.LAMBDA(_xlpm.r,_xlpm.c, INDEX({"VARIATION OF SOURCE DATA:";"Removed duplicate 'Aquaculture' row.";"Removed asterisks to aid lookup.";"Added 'production system only', 'rainfall zone' and 'irrigation method' columns to aid lookup.";"Duplicated 'non-irrigated pasture' row with same EF for low and high rainfall zones to aid lookup."}, _xlpm.r, _xlpm.c))))</definedName>
    <definedName name="Common_SourceData.Common_SourceData_EFPastureRangeAndPaddock_Data">_xlfn.LAMBDA(_xlfn.MAKEARRAY(3, 2, _xlfn.LAMBDA(_xlpm.r,_xlpm.c, INDEX({"Climate zone","EFPRP";"Wet climate zone",0.006;"Dry climate zone",0.002}, _xlpm.r, _xlpm.c))))</definedName>
    <definedName name="Common_SourceData.Common_SourceData_EFPastureRangeAndPaddock_NIRReference">_xlfn.LAMBDA("")</definedName>
    <definedName name="Common_SourceData.Common_SourceData_EFPastureRangeAndPaddock_Source">_xlfn.LAMBDA("VEERG 2026: Table A.2.2.2")</definedName>
    <definedName name="Common_SourceData.Common_SourceData_EFPastureRangeAndPaddock_Title">_xlfn.LAMBDA("Emission factor for urine and dung deposited on pasture, range or paddock")</definedName>
    <definedName name="Common_SourceData.Common_SourceData_EFPastureRangeAndPaddock_Unit">_xlfn.LAMBDA("kg N2O - N / kg N")</definedName>
    <definedName name="Common_SourceData.Common_SourceData_EFPastureRangeAndPaddock_Variation">_xlfn.LAMBDA("VARIATION FROM SOURCE DATA: Changed 'Dry climate zones' to singular 'Dry climate zone' to aid lookup.")</definedName>
    <definedName name="Common_SourceData.Common_SourceData_FracLEACH_Data">_xlfn.LAMBDA(_xlfn.MAKEARRAY(1, 2, _xlfn.LAMBDA(_xlpm.r,_xlpm.c, INDEX({"FracLEACH",0.24}, _xlpm.r, _xlpm.c))))</definedName>
    <definedName name="Common_SourceData.Common_SourceData_FracLEACH_NIRReference">_xlfn.LAMBDA("National Inventory Report Volume 1: Leaching and runoff (3.D.b.2)")</definedName>
    <definedName name="Common_SourceData.Common_SourceData_FracLEACH_Source">_xlfn.LAMBDA("VEERG 2026:5.5.2.3 Constant Parameters")</definedName>
    <definedName name="Common_SourceData.Common_SourceData_FracLEACH_Title">_xlfn.LAMBDA("Fraction of N that is available for leaching and runoff")</definedName>
    <definedName name="Common_SourceData.Common_SourceData_FracLEACH_Unit">_xlfn.LAMBDA("(Dimensionless")</definedName>
    <definedName name="Common_SourceData.Common_SourceData_FracLEACH_Variation">_xlfn.LAMBDA((""))</definedName>
    <definedName name="Common_SourceData.Common_SourceData_FracWET_Data">_xlfn.LAMBDA(_xlfn.MAKEARRAY(3, 2, _xlfn.LAMBDA(_xlpm.r,_xlpm.c, INDEX({"Is in leaching zone","FracWET";"Yes - in leaching zone",1;"No - not in leaching zone",0}, _xlpm.r, _xlpm.c))))</definedName>
    <definedName name="Common_SourceData.Common_SourceData_FracWET_NIRReference">_xlfn.LAMBDA("")</definedName>
    <definedName name="Common_SourceData.Common_SourceData_FracWET_Source">_xlfn.LAMBDA("VEERG 2026:5.5.2.3 Constant Parameters")</definedName>
    <definedName name="Common_SourceData.Common_SourceData_FracWET_Title">_xlfn.LAMBDA("Fraction of N that is available for leaching and runoff")</definedName>
    <definedName name="Common_SourceData.Common_SourceData_FracWET_Unit">_xlfn.LAMBDA("(Dimensionless")</definedName>
    <definedName name="Common_SourceData.Common_SourceData_FracWET_Variation">_xlfn.LAMBDA((""))</definedName>
    <definedName name="Common_SourceData.Common_SourceData_FracWETIrrigation_Data">_xlfn.LAMBDA(_xlfn.MAKEARRAY(6, 2, _xlfn.LAMBDA(_xlpm.r,_xlpm.c, INDEX({"Irrigation type ir","FracWET";"Not irrigated",0;"Drip irrigation",0;"Sprinkler irrigation",1;"Surface irrigation",1;"Other irrigation",1}, _xlpm.r, _xlpm.c))))</definedName>
    <definedName name="Common_SourceData.Common_SourceData_FracWETIrrigation_NIRReference">_xlfn.LAMBDA("IPCC 2019 Refinement Volume 4: Chapter 11: N2O Emissions from Managed Soils, and CO2 Emissions from Lime and Urea Application")</definedName>
    <definedName name="Common_SourceData.Common_SourceData_FracWETIrrigation_Source">_xlfn.LAMBDA("VEERG 2026: Chapter 1, section 1.8.2 Leaching, climate and rainfall zones")</definedName>
    <definedName name="Common_SourceData.Common_SourceData_FracWETIrrigation_Title">_xlfn.LAMBDA("FracWET for irrigation types")</definedName>
    <definedName name="Common_SourceData.Common_SourceData_FracWETIrrigation_Unit">_xlfn.LAMBDA("dimensionless")</definedName>
    <definedName name="Common_SourceData.Common_SourceData_FracWETIrrigation_Variation">_xlfn.LAMBDA("VARIATION FROM SOURCE DATA: Table created based on VEERG text 'Areas are subject to leaching (i.e., in the leaching zone) when... the land is irrigated (except drip irrigation).'")</definedName>
    <definedName name="Common_SourceData.Common_SourceData_GWP_Data">_xlfn.LAMBDA(_xlfn.MAKEARRAY(8, 2, _xlfn.LAMBDA(_xlpm.r,_xlpm.c, INDEX({"Gas","CO2-e factor";"CO2",1;"CH4",28;"N2O",265;"CF4",6630;"C2F6",12200;"SF6",22800;"NF3",17200}, _xlpm.r, _xlpm.c))))</definedName>
    <definedName name="Common_SourceData.Common_SourceData_GWP_Source">_xlfn.LAMBDA("XXXXXXX")</definedName>
    <definedName name="Common_SourceData.Common_SourceData_GWP_Title">_xlfn.LAMBDA("Global warming potential for greenhouse gases")</definedName>
    <definedName name="Common_SourceData.Common_SourceData_GWP_Unit">_xlfn.LAMBDA("factor")</definedName>
    <definedName name="Common_SourceData.Common_SourceData_GWP_Variable">_xlfn.LAMBDA("GWPN2O")</definedName>
    <definedName name="Common_SourceData.Common_SourceData_LeachingZones_Data">_xlfn.LAMBDA(_xlfn.MAKEARRAY(4, 2, _xlfn.LAMBDA(_xlpm.r,_xlpm.c, INDEX({"Leaching Zone","Leaching criteria";"Leaching occurs","Σ(𝑟𝑎𝑖𝑛)&gt;Σ(𝐸𝑇0)+𝑠𝑜𝑖𝑙 𝑤𝑎𝑡𝑒𝑟 ℎ𝑜𝑙𝑑𝑖𝑛𝑔 𝑐𝑎𝑝𝑎𝑐𝑖𝑡𝑦";"Leaching does not occur","Σ(𝑟𝑎𝑖𝑛)≤Σ(𝐸𝑇0)+𝑠𝑜𝑖𝑙 𝑤𝑎𝑡𝑒𝑟 ℎ𝑜𝑙𝑑𝑖𝑛𝑔 𝑐𝑎𝑝𝑎𝑐𝑖𝑡𝑦"}, _xlpm.r, _xlpm.c))))</definedName>
    <definedName name="Common_SourceData.Common_SourceData_LeachingZones_Source">_xlfn.LAMBDA("VEERG 2026: Table 1.3: Climate and Rainfall zone classifications and definitions")</definedName>
    <definedName name="Common_SourceData.Common_SourceData_LeachingZones_Title">_xlfn.LAMBDA("VEERG Australian leaching zones")</definedName>
    <definedName name="Common_SourceData.Common_SourceData_LeachingZones_Unit">_xlfn.LAMBDA("")</definedName>
    <definedName name="Common_SourceData.Common_SourceData_LeachingZones_Variable">_xlfn.LAMBDA("")</definedName>
    <definedName name="Common_SourceData.Common_SourceData_LeachingZones_Variation">_xlfn.LAMBDA("")</definedName>
    <definedName name="Common_SourceData.Common_SourceData_RainfallZones_Data">_xlfn.LAMBDA(_xlfn.MAKEARRAY(3, 4, _xlfn.LAMBDA(_xlpm.r,_xlpm.c, INDEX({"Rainfall Zone","Annual rainfall","Rainfall min","Rainfall max";"High rainfall","Annual rainfall &gt; 600mm",600.001,999999;"Low rainfall","Annual rainfall ≤ 600mm",-999999,600}, _xlpm.r, _xlpm.c))))</definedName>
    <definedName name="Common_SourceData.Common_SourceData_RainfallZones_Source">_xlfn.LAMBDA("VEERG 2026: Table 1.3: Climate and Rainfall zone classifications and definitions")</definedName>
    <definedName name="Common_SourceData.Common_SourceData_RainfallZones_Title">_xlfn.LAMBDA("VEERG Australian rainfall zones")</definedName>
    <definedName name="Common_SourceData.Common_SourceData_RainfallZones_Unit">_xlfn.LAMBDA("")</definedName>
    <definedName name="Common_SourceData.Common_SourceData_RainfallZones_Variable">_xlfn.LAMBDA("")</definedName>
    <definedName name="Common_SourceData.Common_SourceData_RainfallZones_Variation">_xlfn.LAMBDA("VARIATION OF SOURCE DATA: Added extra Rainfall min and Rainfall max columns to calculate zone from real rainfall data.")</definedName>
    <definedName name="Common_SourceData.Common_SourceData_TemperatureZones_Data">_xlfn.LAMBDA(_xlfn.MAKEARRAY(4, 4, _xlfn.LAMBDA(_xlpm.r,_xlpm.c, INDEX({"Temperature Zone","Median Annual Temperature (MAT)","Min MAT","Max MAT";"Warm","≥ 26 C",26,999999;"Temperate","15 - 25 C",15,25.999;"Cool","≤ 14 C",-999999,14.999}, _xlpm.r, _xlpm.c))))</definedName>
    <definedName name="Common_SourceData.Common_SourceData_TemperatureZones_Source">_xlfn.LAMBDA("VEERG 2026: Table 1.3: Climate and Rainfall zone classifications and definitions")</definedName>
    <definedName name="Common_SourceData.Common_SourceData_TemperatureZones_Title">_xlfn.LAMBDA("VEERG Australian temperature zones")</definedName>
    <definedName name="Common_SourceData.Common_SourceData_TemperatureZones_Unit">_xlfn.LAMBDA("")</definedName>
    <definedName name="Common_SourceData.Common_SourceData_TemperatureZones_Variable">_xlfn.LAMBDA("")</definedName>
    <definedName name="Common_SourceData.Common_SourceData_TemperatureZones_Variation">_xlfn.LAMBDA("VARIATION OF SOURCE DATA: Added extra MAT min and MAT max columns to calculate zone from real temperature data.")</definedName>
    <definedName name="Common_SourceData.Common_SourceData_WASA4Areas_Data">_xlfn.LAMBDA(_xlfn.MAKEARRAY(11, 1, _xlfn.LAMBDA(_xlpm.r,_xlpm.c, INDEX({"SA 4 Name";"Bunbury";"Mandurah";"Perth - Inner";"Perth - North East";"Perth - North West";"Perth - South East";"Perth - South West";"Western Australia - Wheat Belt";"Western Australia - Outback (North)";"Western Australia - Outback (South)"}, _xlpm.r, _xlpm.c))))</definedName>
    <definedName name="Common_SourceData.Common_SourceData_WASA4Areas_Source">_xlfn.LAMBDA("Australian Bureau of Statistics (ABS) - Statistical Areas Level 2 - 2021 - Shapefile")</definedName>
    <definedName name="Common_SourceData.Common_SourceData_WASA4Areas_Title">_xlfn.LAMBDA("ABS Statistcal Areas Level 4 - Western Australia")</definedName>
    <definedName name="Common_SourceData.Common_SourceData_WASA4Areas_Unit">_xlfn.LAMBDA("")</definedName>
    <definedName name="Common_SourceData.Common_SourceData_WASA4Areas_Variable">_xlfn.LAMBDA("")</definedName>
    <definedName name="Common_SourceData.Common_SourceData_WetAndDryZones_Data">_xlfn.LAMBDA(_xlfn.MAKEARRAY(15, 2, _xlfn.LAMBDA(_xlpm.r,_xlpm.c, INDEX({"Climate Zone","Wet or Dry Zone";"Tropical montane","Wet climate zone";"Tropical wet","Wet climate zone";"Tropical moist","Wet climate zone";"Tropical dry","Dry climate zone";"Warm temperate moist","Wet climate zone";"Warm temperate dry","Dry climate zone";"Cool temperate moist","Wet climate zone";"Cool temperate dry","Dry climate zone";"Warm temperate moist - low frost","Wet climate zone";"Warm temperate dry - low frost","Dry climate zone";"Warm temperate moist - high temp","Wet climate zone";"Warm temperate dry - high temp","Dry climate zone";"Cool temperate moist - low frost","Wet climate zone";"Cool temperate dry - low frost","Dry climate zone"}, _xlpm.r, _xlpm.c))))</definedName>
    <definedName name="Common_SourceData.Common_SourceData_WetAndDryZones_Source">_xlfn.LAMBDA("VEERG 2026: Table 1.2: Translating climate zones to wet and dry zones")</definedName>
    <definedName name="Common_SourceData.Common_SourceData_WetAndDryZones_Title">_xlfn.LAMBDA("VEERG Australian wet and dry zones")</definedName>
    <definedName name="Common_SourceData.Common_SourceData_WetAndDryZones_Unit">_xlfn.LAMBDA("")</definedName>
    <definedName name="Common_SourceData.Common_SourceData_WetAndDryZones_Variable">_xlfn.LAMBDA("")</definedName>
    <definedName name="Common_SourceData.Common_SourceData_WetAndDryZones_Variation">_xlfn.LAMBDA(_xlfn.MAKEARRAY(3, 1, _xlfn.LAMBDA(_xlpm.r,_xlpm.c, INDEX({"VARIATION OF SOURCE DATA:";"Added warm / cool temperate moist / dry - low frost and high temp classes to accommodate climate scenarios excluded by VEERG criteria.";"Fixed typo - Changed 'Fry' to 'Dry'."}, _xlpm.r, _xlpm.c))))</definedName>
    <definedName name="CommonCropping_InputFunctions.CommonCropping_CalculateFractionResidueRemoved">_xlfn.LAMBDA(_xlpm.TotalResidue,_xlpm.AmountRemoved, (_xlpm.AmountRemoved * 10 ^ 3) / (_xlpm.TotalResidue * 10 ^ 3))</definedName>
    <definedName name="CommonCropping_InputFunctions.CommonCropping_CalculateHarvestIndex">_xlfn.LAMBDA(_xlpm.CropType,_xlpm.CropTypeArray,_xlpm.ResidueCropRatioArray, 1 / (1 + Common_InputFunctions.Utility_LookupValueInTableNumber(_xlpm.CropType, _xlpm.CropTypeArray, _xlpm.ResidueCropRatioArray)))</definedName>
    <definedName name="CommonCropping_InputFunctions.CommonCropping_CalculateResidueCropRatio">_xlfn.LAMBDA(_xlpm.HarvestIndex, (1 - _xlpm.HarvestIndex) / _xlpm.HarvestIndex)</definedName>
    <definedName name="CommonCropping_InputFunctions.CommonCropping_GetFracWET">_xlfn.LAMBDA(_xlpm.LeachingZone,_xlpm.ProductionSystem,_xlpm.LeachingZoneLookup,_xlpm.LeachingZoneFracWETLookup,_xlpm.ProductionSystemLookup,_xlpm.ProductionSystemFracWETLookup, _xlfn.LET(_xlpm.LeachingZoneFracWET, Common_InputFunctions.Utility_LookupValueInTableNumber(_xlpm.LeachingZone, _xlpm.LeachingZoneLookup, _xlpm.LeachingZoneFracWETLookup), _xlpm.ProductionSystemFracWET, Common_InputFunctions.Utility_LookupValueInTableNumber(_xlpm.ProductionSystem, _xlpm.ProductionSystemLookup, _xlpm.ProductionSystemFracWETLookup), IF(_xlpm.LeachingZoneFracWET + _xlpm.ProductionSystemFracWET &gt; 0, 1, 0)))</definedName>
    <definedName name="CommonLivestock_InputFunctions.AverageLiveweightEndOfMonth">_xlfn.LAMBDA(_xlpm.Month,_xlpm.LivestockClass,_xlpm.HeadAtStart,_xlpm.LiveweightAtStart,_xlpm.LiveweightGain, [0]!CommonLivestock_InputFunctions.LivestockMovement_ProportionalAverageLiveweightAddedDuringMonth(_xlpm.Month, _xlpm.LivestockClass, _xlpm.HeadAtStart) + [0]!CommonLivestock_InputFunctions.LivestockMovement_ProportionalAverageLiveweightRemainingAtEndOfMonth(_xlpm.Month, _xlpm.LivestockClass, _xlpm.HeadAtStart, _xlpm.LiveweightAtStart, _xlpm.LiveweightGain))</definedName>
    <definedName name="CommonLivestock_InputFunctions.LivestockMovement_AverageLiveweightAddedDuringMonth">_xlfn.LAMBDA(_xlpm.Month,_xlpm.LivestockClass, IFERROR([0]!CommonLivestock_InputFunctions.LivestockMovement_TotalLiveweightAddedDuringMonth(_xlpm.Month, _xlpm.LivestockClass) / [0]!CommonLivestock_InputFunctions.LivestockMovement_HeadAddedDuringMonth(_xlpm.Month, _xlpm.LivestockClass), 0))</definedName>
    <definedName name="CommonLivestock_InputFunctions.LivestockMovement_GetMovementLiveweightGain">_xlfn.LAMBDA(_xlpm.LivestockClass,_xlpm.MovementDate, _xlfn.LET(_xlpm.ym, TEXT(_xlpm.MovementDate, "yyyymm"), IFERROR(INDEX(_xlfn._xlws.FILTER(#REF!, (TEXT(#REF!, "yyyymm") = _xlpm.ym) * (#REF! = _xlpm.LivestockClass)), 1), "")))</definedName>
    <definedName name="CommonLivestock_InputFunctions.LivestockMovement_Head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AtEndOfMonth">_xlfn.LAMBDA(_xlpm.HeadAtStart,_xlpm.Month,_xlpm.LivestockClass, _xlpm.HeadAtStart + [0]!CommonLivestock_InputFunctions.LivestockMovement_HeadAddedDuringMonth(_xlpm.Month, _xlpm.LivestockClass) - [0]!CommonLivestock_InputFunctions.LivestockMovement_HeadLostDuringMonth(_xlpm.Month, _xlpm.LivestockClass))</definedName>
    <definedName name="CommonLivestock_InputFunctions.LivestockMovement_HeadLost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HeadRemainingAtMonthEnd">_xlfn.LAMBDA(_xlpm.Month,_xlpm.LivestockClass,_xlpm.HeadAtStartOfMonth, MAX(_xlpm.HeadAtStartOfMonth - [0]!CommonLivestock_InputFunctions.LivestockMovement_HeadLostDuringMonth(_xlpm.Month, _xlpm.LivestockClass), 0))</definedName>
    <definedName name="CommonLivestock_InputFunctions.LivestockMovement_LiveweightAddedDuringMonth">_xlfn.LAMBDA(_xlpm.LivestockClass,_xlpm.MovementDate,_xlpm.WeightAtMovementDate,_xlpm.Head, IFERROR(_xlpm.Head * (_xlpm.WeightAtMovementDate + [0]!CommonLivestock_InputFunctions.LivestockMovement_LiveweightGrownDuringMonthPerHead(_xlpm.LivestockClass, _xlpm.MovementDate)), 0))</definedName>
    <definedName name="CommonLivestock_InputFunctions.LivestockMovement_LiveweightGrownDuringMonthPerHead">_xlfn.LAMBDA(_xlpm.LivestockClass,_xlpm.MovementDate, IFERROR([0]!CommonLivestock_InputFunctions.LivestockMovement_GetMovementLiveweightGain(_xlpm.LivestockClass, _xlpm.MovementDate) * CommonLivestock_InputFunctions.LivestockMovement_DaysMovementToMonthEnd(_xlpm.MovementDate), 0))</definedName>
    <definedName name="CommonLivestock_InputFunctions.LivestockMovement_LiveweightGrownFromMonthStartPerHead">_xlfn.LAMBDA(_xlpm.LivestockClass,_xlpm.Month, [0]!CommonLivestock_InputFunctions.LivestockMovement_LiveweightGrownDuringMonthPerHead(_xlpm.LivestockClass, EOMONTH(_xlpm.Month, -1) + 1))</definedName>
    <definedName name="CommonLivestock_InputFunctions.LivestockMovement_LiveweightGrownFromMonthStartTotal">_xlfn.LAMBDA(_xlpm.LivestockClass,_xlpm.Month,_xlpm.HeadAtStartOfMonth, [0]!CommonLivestock_InputFunctions.LivestockMovement_HeadRemainingAtMonthEnd(_xlpm.Month, _xlpm.LivestockClass, _xlpm.HeadAtStartOfMonth) * [0]!CommonLivestock_InputFunctions.LivestockMovement_LiveweightGrownFromMonthStartPerHead(_xlpm.LivestockClass, _xlpm.Month))</definedName>
    <definedName name="CommonLivestock_InputFunctions.LivestockMovement_LiveweightGrownFromMovementDateTotal">_xlfn.LAMBDA(_xlpm.LivestockClass,_xlpm.MovementDate,_xlpm.Head, [0]!CommonLivestock_InputFunctions.LivestockMovement_LiveweightGrownDuringMonthPerHead(_xlpm.LivestockClass, _xlpm.MovementDate) * _xlpm.Head)</definedName>
    <definedName name="CommonLivestock_InputFunctions.LivestockMovement_ProportionalAverageLiveweightAddedDuringMonth">_xlfn.LAMBDA(_xlpm.Month,_xlpm.LivestockClass,_xlpm.HeadAtStart, [0]!CommonLivestock_InputFunctions.LivestockMovement_ProportionHeadAddedDuringMonth(_xlpm.Month, _xlpm.LivestockClass, _xlpm.HeadAtStart) * [0]!CommonLivestock_InputFunctions.LivestockMovement_AverageLiveweightAddedDuringMonth(_xlpm.Month, _xlpm.LivestockClass))</definedName>
    <definedName name="CommonLivestock_InputFunctions.LivestockMovement_ProportionalAverageLiveweightRemainingAtEndOfMonth">_xlfn.LAMBDA(_xlpm.Month,_xlpm.LivestockClass,_xlpm.HeadAtStart,_xlpm.LiveweightAtStart,_xlpm.LiveweightGain, [0]!CommonLivestock_InputFunctions.LivestockMovement_ProportionHeadRemainingAtEndOfMonth(_xlpm.Month, _xlpm.LivestockClass, _xlpm.HeadAtStart) * CommonLivestock_InputFunctions.LivestockMovement_AverageLiveweightRemainingHead(_xlpm.Month, _xlpm.LiveweightAtStart, _xlpm.LiveweightGain))</definedName>
    <definedName name="CommonLivestock_InputFunctions.LivestockMovement_ProportionHeadAddedDuringMonth">_xlfn.LAMBDA(_xlpm.Month,_xlpm.LivestockClass,_xlpm.HeadAtStart, IFERROR(MIN(1, [0]!CommonLivestock_InputFunctions.LivestockMovement_HeadAddedDuringMonth(_xlpm.Month, _xlpm.LivestockClass) / [0]!CommonLivestock_InputFunctions.LivestockMovement_HeadAtEndOfMonth(_xlpm.HeadAtStart, _xlpm.Month, _xlpm.LivestockClass)), 0))</definedName>
    <definedName name="CommonLivestock_InputFunctions.LivestockMovement_ProportionHeadRemainingAtEndOfMonth">_xlfn.LAMBDA(_xlpm.Month,_xlpm.LivestockClass,_xlpm.HeadAtStart, IFERROR(MIN(1, [0]!CommonLivestock_InputFunctions.LivestockMovement_HeadRemainingAtMonthEnd(_xlpm.Month, _xlpm.LivestockClass, _xlpm.HeadAtStart) / [0]!CommonLivestock_InputFunctions.LivestockMovement_HeadAtEndOfMonth(_xlpm.HeadAtStart, _xlpm.Month, _xlpm.LivestockClass)), 0))</definedName>
    <definedName name="CommonLivestock_InputFunctions.LivestockMovement_TotalLiveweightAdded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">_xlfn.LAMBDA(_xlpm.Month,_xlpm.LivestockClass, IFERROR(SUM(_xlfn._xlws.FILTER(#REF!, (#REF! &gt;= EOMONTH(_xlpm.Month, -1) + 1) * (#REF! &lt;= EOMONTH(_xlpm.Month, 0)) * (#REF! = _xlpm.LivestockClass))), 0))</definedName>
    <definedName name="CommonLivestock_InputFunctions.LivestockMovement_TotalLiveweightGrownDuringMonthAddedAndRemaining">_xlfn.LAMBDA(_xlpm.Month,_xlpm.LivestockClass,_xlpm.HeadAtStart, [0]!CommonLivestock_InputFunctions.LivestockMovement_LiveweightGrownFromMonthStartTotal(_xlpm.LivestockClass, _xlpm.Month, _xlpm.HeadAtStart) + [0]!CommonLivestock_InputFunctions.LivestockMovement_TotalLiveweightGrownDuringMonth(_xlpm.Month, _xlpm.LivestockClass))</definedName>
    <definedName name="CommonLivestock_SourceData.SourceData_Livestock_Common_FracLEACH_MS_Data">_xlfn.LAMBDA(_xlfn.MAKEARRAY(8, 2, _xlfn.LAMBDA(_xlpm.r,_xlpm.c, INDEX({"Production system","Emission factor";"Irrigated pasture",0.0059;"Irrigated crop",0.007;"Non-irrigated pasture",0.0018;"Non-irrigated crop",0.0041;"Sugar cane",0.0199;"Cotton",0.0053;"Horticulture",0.0064}, _xlpm.r, _xlpm.c))))</definedName>
    <definedName name="CommonLivestock_SourceData.SourceData_Livestock_Common_FracLEACH_MS_Source">_xlfn.LAMBDA("National Inventory Report 2023 Volume 1: Equations 3.B.5a_3, 3.B.5c_3, 3.B.5d_3")</definedName>
    <definedName name="CommonLivestock_SourceData.SourceData_Livestock_Common_FracLEACH_MS_Title">_xlfn.LAMBDA("Fraction of N lost through leaching and runoff")</definedName>
    <definedName name="CommonLivestock_SourceData.SourceData_Livestock_Common_FracLEACH_MS_Unit">_xlfn.LAMBDA("Fraction")</definedName>
    <definedName name="CommonLivestock_SourceData.SourceData_Livestock_Common_FracWETMMS_Data">_xlfn.LAMBDA(1)</definedName>
    <definedName name="CommonLivestock_SourceData.SourceData_Livestock_Common_FracWETMMS_Source">_xlfn.LAMBDA("National Inventory Report 2023 Volume 1: Equations 3.B.5a_3, 3.B.5c_3, 3.B.5d_3")</definedName>
    <definedName name="CommonLivestock_SourceData.SourceData_Livestock_Common_FracWETMMS_Title">_xlfn.LAMBDA("Fraction of N available for leaching and runoff")</definedName>
    <definedName name="CommonLivestock_SourceData.SourceData_Livestock_Common_FracWETMMS_Unit">_xlfn.LAMBDA("Fraction")</definedName>
    <definedName name="CommonLivestock_SourceData.SourceData_Livestock_Common_SymbolsMMS_Data">_xlfn.LAMBDA(_xlfn.MAKEARRAY(19, 3, _xlfn.LAMBDA(_xlpm.r,_xlpm.c, INDEX({"Symbol","Manure management system","";"1","Anaerobic lagoon","Anaerobic lagoon (m=1)";"2","Liquid systems","Liquid systems (m=2)";"3","Daily spread","Daily spread (m=3)";"3a","Sump and dispersal system","Sump and dispersal system (m=3a)";"3b","Drains to paddock","Drains to paddock (m=3b)";"4","Solid storage","Solid storage (m=4)";"5","Drylot (feed pad)","Drylot (feed pad) (m=5)";"6","Composting (passive windrow)","Composting (passive windrow) (m=6)";"7","Digester / covered lagoons","Digester / covered lagoons (m=7)";"8","Deep litter","Deep litter (m=8)";"9","Pit storage","Pit storage (m=9)";"10","Poultry manure with bedding","Poultry manure with bedding (m=10)";"11","Poultry manure without bedding","Poultry manure without bedding (m=11)";"11a","Belt manure removal","Belt manure removal (m=11a)";"11b","Manure stored in house","Manure stored in house (m=11b)";"12","Direct processing","Direct processing (m=12)";"13","Direct application","Direct application (m=13)";"14","Pasture range and paddock","Pasture range and paddock (m=14)"}, _xlpm.r, _xlpm.c))))</definedName>
    <definedName name="CommonLivestock_SourceData.SourceData_Livestock_Common_SymbolsMMS_Source">_xlfn.LAMBDA("National Inventory Report 2023 Volume 1: Table 5.12")</definedName>
    <definedName name="CommonLivestock_SourceData.SourceData_Livestock_Common_SymbolsMMS_Title">_xlfn.LAMBDA("Table 5.12 Additional symbols used in algorithms for manure related emissions")</definedName>
    <definedName name="CommonLivestock_SourceData.SourceData_Livestock_Common_SymbolsMMS_Unit">_xlfn.LAMBDA("")</definedName>
    <definedName name="CommonLivestock_SourceData.SourceData_Livestock_Common_SymbolsMMS_Vairable">_xlfn.LAMBDA("MMS")</definedName>
    <definedName name="getOverlappingReportingCycles">_xlfn.LAMBDA(_xlpm.ProductionCycleStart,_xlpm.ProductionCycleEnd,_xlpm.ReportingStartMonth,_xlpm.ReportingStartDay, _xlfn.LET(_xlpm.S, _xlpm.ProductionCycleStart, _xlpm.E, _xlpm.ProductionCycleEnd, _xlpm.m, _xlpm.ReportingStartMonth, _xlpm.d, _xlpm.ReportingStartDay, _xlpm.A, _xlpm.S - 364, _xlpm.ya, YEAR(_xlpm.A), _xlpm.yb, YEAR(_xlpm.E), _xlpm.firstYear, _xlpm.ya + (DATE(_xlpm.ya, _xlpm.m, _xlpm.d) &lt; _xlpm.A), _xlpm.lastYear, _xlpm.yb - (DATE(_xlpm.yb, _xlpm.m, _xlpm.d) &gt; _xlpm.E), MAX(0, _xlpm.lastYear - _xlpm.firstYear + 1)))</definedName>
    <definedName name="Inoput_Cell_Livestock_antibiotics">#REF!</definedName>
    <definedName name="Inoput_Cell_Livestockantibiotics">#REF!</definedName>
    <definedName name="Input_Cell_CO2_for_carbonation">#REF!</definedName>
    <definedName name="Input_Cell_CO2forcarbonation">#REF!</definedName>
    <definedName name="Input_Cell_Livestock_antibiotics">#REF!</definedName>
    <definedName name="Input_Cell_Livestock_tags">#REF!</definedName>
    <definedName name="Input_Cell_LivestockAntibiotics">#REF!</definedName>
    <definedName name="Input_Cell_Nylon_netting_for_horticulture">#REF!</definedName>
    <definedName name="Input_Cell_Nylonnettingforhorticulture">#REF!</definedName>
    <definedName name="Input_Cell_Pallets__Plastic">#REF!</definedName>
    <definedName name="Input_Cell_Pallets__Wood">#REF!</definedName>
    <definedName name="Input_Cell_Pallets_Plastic">#REF!</definedName>
    <definedName name="Input_Cell_Pallets_Wood">#REF!</definedName>
    <definedName name="MMS_Feedlot_AtmosphericDeposition_Equations.VEERG_4_1_1_5__1_TotalAnnualAtmosphericDepositionEmissions">_xlfn.LAMBDA(_xlpm.MMS_ATMOS,_xlpm.EF_N2O,_xlpm.C_N2O, (_xlpm.MMS_ATMOS * _xlpm.EF_N2O * _xlpm.C_N2O) * 10 ^ -3)</definedName>
    <definedName name="MMS_Feedlot_AtmosphericDeposition_Equations.VEERG_4_1_1_5__1_TotalAnnualAtmosphericDepositionEmissions_Arguments">_xlfn.LAMBDA(_xlfn.MAKEARRAY(6, 2, _xlfn.LAMBDA(_xlpm.r,_xlpm.c, INDEX({"MMS_ATMOS","mass of N volatilised from MMS : kg N";"EF_N2O","nitrous oxide emission factor for atmospheric deposition : kg N2O-N/kg N";"C_N2O","factor to convert elemental mass of nitrous oxide to molecular mass : ratio";"j","production system";"i","irrigation method";"r","rainfall zone"}, _xlpm.r, _xlpm.c))))</definedName>
    <definedName name="MMS_Feedlot_AtmosphericDeposition_Equations.VEERG_4_1_1_5__1_TotalAnnualAtmosphericDepositionEmissions_LatexEquation">_xlfn.LAMBDA("E_{N2O,ad}=(MMS_{ATMOS}\times EF_{N2O}\times C_{N2O})\times10^{-3}")</definedName>
    <definedName name="MMS_Feedlot_AtmosphericDeposition_Equations.VEERG_4_1_1_5__1_TotalAnnualAtmosphericDepositionEmissions_NIRReference">_xlfn.LAMBDA("")</definedName>
    <definedName name="MMS_Feedlot_AtmosphericDeposition_Equations.VEERG_4_1_1_5__1_TotalAnnualAtmosphericDepositionEmissions_Source">_xlfn.LAMBDA("VEERG 2026: 4.1.1.5, Equation (1)")</definedName>
    <definedName name="MMS_Feedlot_AtmosphericDeposition_Equations.VEERG_4_1_1_5__1_TotalAnnualAtmosphericDepositionEmissions_Title">_xlfn.LAMBDA("Total annual atmospheric deposition emissions from manure management")</definedName>
    <definedName name="MMS_Feedlot_AtmosphericDeposition_Equations.VEERG_4_1_1_5__1_TotalAnnualAtmosphericDepositionEmissions_Unit">_xlfn.LAMBDA("t N2O")</definedName>
    <definedName name="MMS_Feedlot_AtmosphericDeposition_Equations.VEERG_4_1_1_5__1_TotalAnnualAtmosphericDepositionEmissions_Variable">_xlfn.LAMBDA("E_N2Oad")</definedName>
    <definedName name="MMS_Feedlot_AtmosphericDeposition_Equations.VEERG_4_1_1_5__2_VolatilisedNitrogenFromManureManagement">_xlfn.LAMBDA(_xlpm.MN_jmT,_xlpm.FracGASM_mT, _xlpm.MN_jmT * _xlpm.FracGASM_mT)</definedName>
    <definedName name="MMS_Feedlot_AtmosphericDeposition_Equations.VEERG_4_1_1_5__2_VolatilisedNitrogenFromManureManagement_Arguments">_xlfn.LAMBDA(_xlfn.MAKEARRAY(2, 2, _xlfn.LAMBDA(_xlpm.r,_xlpm.c, INDEX({"MN_jmT","nitrogen in each treatment stage MMS (excluding MN_ijm13T2) : kg N";"FracGASM_mT","fraction of N volatilised in each MMS : (kg NH3-N + NOx-N)/kg N"}, _xlpm.r, _xlpm.c))))</definedName>
    <definedName name="MMS_Feedlot_AtmosphericDeposition_Equations.VEERG_4_1_1_5__2_VolatilisedNitrogenFromManureManagement_LatexEquation">_xlfn.LAMBDA("MMS_{ATMOS}=\sum_{j}\sum_{m}\sum_{T}(MN_{jmT}\times FracGASM_{mT})")</definedName>
    <definedName name="MMS_Feedlot_AtmosphericDeposition_Equations.VEERG_4_1_1_5__2_VolatilisedNitrogenFromManureManagement_NIRReference">_xlfn.LAMBDA("")</definedName>
    <definedName name="MMS_Feedlot_AtmosphericDeposition_Equations.VEERG_4_1_1_5__2_VolatilisedNitrogenFromManureManagement_Source">_xlfn.LAMBDA("VEERG 2026: 4.1.1.5, Equation (2)")</definedName>
    <definedName name="MMS_Feedlot_AtmosphericDeposition_Equations.VEERG_4_1_1_5__2_VolatilisedNitrogenFromManureManagement_Title">_xlfn.LAMBDA("Volatilised nitrogen from manure management")</definedName>
    <definedName name="MMS_Feedlot_AtmosphericDeposition_Equations.VEERG_4_1_1_5__2_VolatilisedNitrogenFromManureManagement_Unit">_xlfn.LAMBDA("kg N")</definedName>
    <definedName name="MMS_Feedlot_AtmosphericDeposition_Equations.VEERG_4_1_1_5__2_VolatilisedNitrogenFromManureManagement_Variable">_xlfn.LAMBDA("MMS_ATMOS")</definedName>
    <definedName name="MMS_Feedlot_ManureAppliedToSoils_Equations.VEERG_4_1_1_9__1_MassOfNitrogenAppliedToSoilsScope1">_xlfn.LAMBDA(_xlpm.MN_jmT23,_xlpm.EF_mT23,_xlpm.FracGASM_mT23,_xlpm.PF, (_xlpm.MN_jmT23 * (1 - _xlpm.EF_mT23 - _xlpm.FracGASM_mT23)) * _xlpm.PF)</definedName>
    <definedName name="MMS_Feedlot_ManureAppliedToSoils_Equations.VEERG_4_1_1_9__1_MassOfNitrogenAppliedToSoilsScope1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1_MassOfNitrogenAppliedToSoilsScope1_LatexEquation">_xlfn.LAMBDA("MNSoil_{scope1}=\sum_{j}\sum_{m}\sum_{T}(MN_{jmT=2,3}\times(1-EF_{mT=2,3}-FracGASM_{mT=2,3}))\times PF")</definedName>
    <definedName name="MMS_Feedlot_ManureAppliedToSoils_Equations.VEERG_4_1_1_9__1_MassOfNitrogenAppliedToSoilsScope1_NIRReference">_xlfn.LAMBDA("")</definedName>
    <definedName name="MMS_Feedlot_ManureAppliedToSoils_Equations.VEERG_4_1_1_9__1_MassOfNitrogenAppliedToSoilsScope1_Source">_xlfn.LAMBDA("VEERG 2026: 4.1.1.9, Equation (1)")</definedName>
    <definedName name="MMS_Feedlot_ManureAppliedToSoils_Equations.VEERG_4_1_1_9__1_MassOfNitrogenAppliedToSoilsScope1_Title">_xlfn.LAMBDA("Mass of nitrogen applied to soils for scope 1 emissions")</definedName>
    <definedName name="MMS_Feedlot_ManureAppliedToSoils_Equations.VEERG_4_1_1_9__1_MassOfNitrogenAppliedToSoilsScope1_Unit">_xlfn.LAMBDA("kg N")</definedName>
    <definedName name="MMS_Feedlot_ManureAppliedToSoils_Equations.VEERG_4_1_1_9__1_MassOfNitrogenAppliedToSoilsScope1_Variable">_xlfn.LAMBDA("MNSoil_scope1")</definedName>
    <definedName name="MMS_Feedlot_ManureAppliedToSoils_Equations.VEERG_4_1_1_9__2_MassOfNitrogenAppliedToSoilsScope3">_xlfn.LAMBDA(_xlpm.MN_jmT23,_xlpm.EF_mT23,_xlpm.FracGASM_mT23,_xlpm.PF, (_xlpm.MN_jmT23 * (1 - _xlpm.EF_mT23 - _xlpm.FracGASM_mT23)) * (1 - _xlpm.PF))</definedName>
    <definedName name="MMS_Feedlot_ManureAppliedToSoils_Equations.VEERG_4_1_1_9__2_MassOfNitrogenAppliedToSoilsScope3_Arguments">_xlfn.LAMBDA(_xlfn.MAKEARRAY(4, 2, _xlfn.LAMBDA(_xlpm.r,_xlpm.c, INDEX({"MN_jmT23","mass of N in secondary and tertiary treatment MMS stages as calculated for manure management : kg N";"EF_mT23","nitrous oxide emission factor for each MMS : kg N2O-N/kg N";"FracGASM_mT23","fraction of animal waste N volatilised in each MMS for each cattle group : (kg NH3-N + NOx-N)/kg N";"PF","fraction of manure applied to soil within the feedlot boundary : fraction"}, _xlpm.r, _xlpm.c))))</definedName>
    <definedName name="MMS_Feedlot_ManureAppliedToSoils_Equations.VEERG_4_1_1_9__2_MassOfNitrogenAppliedToSoilsScope3_LatexEquation">_xlfn.LAMBDA("MNSoil_{scope3}=\sum_{j}\sum_{m}\sum_{T}(MN_{jmT=2,3}\times(1-EF_{mT=2,3}-FracGASM_{mT=2,3}))\times(1-PF)")</definedName>
    <definedName name="MMS_Feedlot_ManureAppliedToSoils_Equations.VEERG_4_1_1_9__2_MassOfNitrogenAppliedToSoilsScope3_NIRReference">_xlfn.LAMBDA("")</definedName>
    <definedName name="MMS_Feedlot_ManureAppliedToSoils_Equations.VEERG_4_1_1_9__2_MassOfNitrogenAppliedToSoilsScope3_Source">_xlfn.LAMBDA("VEERG 2026: 4.1.1.9, Equation (2)")</definedName>
    <definedName name="MMS_Feedlot_ManureAppliedToSoils_Equations.VEERG_4_1_1_9__2_MassOfNitrogenAppliedToSoilsScope3_Title">_xlfn.LAMBDA("Mass of nitrogen applied to soils for scope 3 emissions")</definedName>
    <definedName name="MMS_Feedlot_ManureAppliedToSoils_Equations.VEERG_4_1_1_9__2_MassOfNitrogenAppliedToSoilsScope3_Unit">_xlfn.LAMBDA("kg N")</definedName>
    <definedName name="MMS_Feedlot_ManureAppliedToSoils_Equations.VEERG_4_1_1_9__2_MassOfNitrogenAppliedToSoilsScope3_Variable">_xlfn.LAMBDA("MNSoil_scope3")</definedName>
    <definedName name="MMS_Feedlot_Methane_Equations.VEERG_4_1_1_1__1_TotalAnnualMethaneEmissions">_xlfn.LAMBDA(_xlpm.D_j,_xlpm.M_jmT,_xlpm.N_j, (_xlpm.D_j * _xlpm.M_jmT * _xlpm.N_j) * 10 ^ -3)</definedName>
    <definedName name="MMS_Feedlot_Methane_Equations.VEERG_4_1_1_1__1_TotalAnnualMethaneEmissions_Arguments">_xlfn.LAMBDA(_xlfn.MAKEARRAY(3, 2, _xlfn.LAMBDA(_xlpm.r,_xlpm.c, INDEX({"D_j","length of stay of each cattle group : days";"M_jmT","methane production from manure per cattle group, MMS, and treatment stage : kg CH4/head/day";"N_j","numbers of beef cattle in each group : head"}, _xlpm.r, _xlpm.c))))</definedName>
    <definedName name="MMS_Feedlot_Methane_Equations.VEERG_4_1_1_1__1_TotalAnnualMethaneEmissions_LatexEquation">_xlfn.LAMBDA("{E}_{CH4}=\sum_{j}\sum_{m}\sum_{T}(D_{j}\times M_{jmT}\times N_{j})\times10^{-3}")</definedName>
    <definedName name="MMS_Feedlot_Methane_Equations.VEERG_4_1_1_1__1_TotalAnnualMethaneEmissions_NIRReference">_xlfn.LAMBDA("")</definedName>
    <definedName name="MMS_Feedlot_Methane_Equations.VEERG_4_1_1_1__1_TotalAnnualMethaneEmissions_Source">_xlfn.LAMBDA("VEERG 2026: 4.1.1.1, Equation (1)")</definedName>
    <definedName name="MMS_Feedlot_Methane_Equations.VEERG_4_1_1_1__1_TotalAnnualMethaneEmissions_Title">_xlfn.LAMBDA("Total annual methane emissions from manure management")</definedName>
    <definedName name="MMS_Feedlot_Methane_Equations.VEERG_4_1_1_1__1_TotalAnnualMethaneEmissions_Unit">_xlfn.LAMBDA("t CH4")</definedName>
    <definedName name="MMS_Feedlot_Methane_Equations.VEERG_4_1_1_1__1_TotalAnnualMethaneEmissions_Variable">_xlfn.LAMBDA("E_CH4")</definedName>
    <definedName name="MMS_Feedlot_Methane_Equations.VEERG_4_1_1_1__2_Stage1MethaneProductionDrylot">_xlfn.LAMBDA(_xlpm.VS_j,_xlpm.BO,_xlpm.MMS_m5T1,_xlpm.MCF_im5,_xlpm.rho, _xlfn.LET(_xlpm.MCF_im5, IF(ISNUMBER(_xlpm.MCF_im5), _xlpm.MCF_im5, 0), _xlpm.VS_j * _xlpm.BO * _xlpm.MMS_m5T1 * _xlpm.MCF_im5 * _xlpm.rho))</definedName>
    <definedName name="MMS_Feedlot_Methane_Equations.VEERG_4_1_1_1__2_Stage1MethaneProductionDrylot_Arguments">_xlfn.LAMBDA(_xlfn.MAKEARRAY(6, 2, _xlfn.LAMBDA(_xlpm.r,_xlpm.c, INDEX({"VS_j","volatile solid production from feedlot cattle in each group : kg/head/day";"BO","emissions potential : m3 CH4/kg VS";"MMS_m5T1","fraction of manure in primary system drylot MMS : fraction";"MCF_im5","methane conversion factor for temperature zone and drylot system : fraction";"rho","density of methane : kg/m3";"i","state"}, _xlpm.r, _xlpm.c))))</definedName>
    <definedName name="MMS_Feedlot_Methane_Equations.VEERG_4_1_1_1__2_Stage1MethaneProductionDrylot_LatexEquation">_xlfn.LAMBDA("M_{jm=5,T=1}=VS_{j}\times BO\times MMS_{m=5,T=1}\times MCF_{im=5}\times \rho")</definedName>
    <definedName name="MMS_Feedlot_Methane_Equations.VEERG_4_1_1_1__2_Stage1MethaneProductionDrylot_NIRReference">_xlfn.LAMBDA("")</definedName>
    <definedName name="MMS_Feedlot_Methane_Equations.VEERG_4_1_1_1__2_Stage1MethaneProductionDrylot_Source">_xlfn.LAMBDA("VEERG 2026: 4.1.1.1, Equation (2)")</definedName>
    <definedName name="MMS_Feedlot_Methane_Equations.VEERG_4_1_1_1__2_Stage1MethaneProductionDrylot_Title">_xlfn.LAMBDA("Production of methane in treatment stage 1 MMS")</definedName>
    <definedName name="MMS_Feedlot_Methane_Equations.VEERG_4_1_1_1__2_Stage1MethaneProductionDrylot_Unit">_xlfn.LAMBDA("kg CH4/head/day")</definedName>
    <definedName name="MMS_Feedlot_Methane_Equations.VEERG_4_1_1_1__2_Stage1MethaneProductionDrylot_Variable">_xlfn.LAMBDA("M_jm5T1")</definedName>
    <definedName name="MMS_Feedlot_Methane_Equations.VEERG_4_1_1_1__3_Stage2MethaneProduction">_xlfn.LAMBDA(_xlpm.VSL,_xlpm.VS_j,_xlpm.BO,_xlpm.MMS_mT2,_xlpm.MCF_im,_xlpm.rho, (1 - _xlpm.VSL) * _xlpm.VS_j * _xlpm.BO * _xlpm.MMS_mT2 * _xlpm.MCF_im * _xlpm.rho)</definedName>
    <definedName name="MMS_Feedlot_Methane_Equations.VEERG_4_1_1_1__3_Stage2MethaneProduction_Arguments">_xlfn.LAMBDA(_xlfn.MAKEARRAY(7, 2, _xlfn.LAMBDA(_xlpm.r,_xlpm.c, INDEX({"VSL","fraction of volatile solids lost during storage in the primary system : fraction";"VS_j","volatile solid production from feedlot cattle in each group : kg/head/day";"BO","emissions potential : m3 CH4/kg VS";"MMS_mT2","fraction of manure in each secondary system : fraction";"MCF_im","methane conversion factor for temperature zone and MMS : fraction";"rho","density of methane : kg/m3";"i","state"}, _xlpm.r, _xlpm.c))))</definedName>
    <definedName name="MMS_Feedlot_Methane_Equations.VEERG_4_1_1_1__3_Stage2MethaneProduction_LatexEquation">_xlfn.LAMBDA("M_{jmT=2}=(1-VSL)\times VS_{j}\times BO\times MMS_{mT=2}\times MCF_{im}\times \rho")</definedName>
    <definedName name="MMS_Feedlot_Methane_Equations.VEERG_4_1_1_1__3_Stage2MethaneProduction_NIRReference">_xlfn.LAMBDA("")</definedName>
    <definedName name="MMS_Feedlot_Methane_Equations.VEERG_4_1_1_1__3_Stage2MethaneProduction_Source">_xlfn.LAMBDA("VEERG 2026: 4.1.1.1, Equation (3)")</definedName>
    <definedName name="MMS_Feedlot_Methane_Equations.VEERG_4_1_1_1__3_Stage2MethaneProduction_Title">_xlfn.LAMBDA("Production of methane in treatment stage 2 MMS")</definedName>
    <definedName name="MMS_Feedlot_Methane_Equations.VEERG_4_1_1_1__3_Stage2MethaneProduction_Unit">_xlfn.LAMBDA("kg CH4/head/day")</definedName>
    <definedName name="MMS_Feedlot_Methane_Equations.VEERG_4_1_1_1__3_Stage2MethaneProduction_Variable">_xlfn.LAMBDA("M_jmT2")</definedName>
    <definedName name="MMS_Feedlot_Methane_Equations.VEERG_4_1_1_1__4_Stage3MethaneProductionAnaerobicLagoon">_xlfn.LAMBDA(_xlpm.VS_j,_xlpm.BO,_xlpm.MMS_m1T3,_xlpm.MCF_im1,_xlpm.rho, _xlpm.VS_j * _xlpm.BO * _xlpm.MMS_m1T3 * _xlpm.MCF_im1 * _xlpm.rho)</definedName>
    <definedName name="MMS_Feedlot_Methane_Equations.VEERG_4_1_1_1__4_Stage3MethaneProductionAnaerobicLagoon_Arguments">_xlfn.LAMBDA(_xlfn.MAKEARRAY(6, 2, _xlfn.LAMBDA(_xlpm.r,_xlpm.c, INDEX({"VS_j","volatile solid production from feedlot cattle in each group j : kg/head/day";"BO","emissions potential : m3 CH4/kg VS";"MMS_m1T3","fraction of manure to tertiary anaerobic lagoon system : fraction";"MCF_im1","methane conversion factor for temperature zone and anaerobic lagoon system : fraction";"rho","density of methane : kg/m3";"i","state"}, _xlpm.r, _xlpm.c))))</definedName>
    <definedName name="MMS_Feedlot_Methane_Equations.VEERG_4_1_1_1__4_Stage3MethaneProductionAnaerobicLagoon_LatexEquation">_xlfn.LAMBDA("M_{jm=1,T=3}=VS_{j}\times BO\times MMS_{m=1,T=3}\times MCF_{im=1}\times \rho")</definedName>
    <definedName name="MMS_Feedlot_Methane_Equations.VEERG_4_1_1_1__4_Stage3MethaneProductionAnaerobicLagoon_NIRReference">_xlfn.LAMBDA("")</definedName>
    <definedName name="MMS_Feedlot_Methane_Equations.VEERG_4_1_1_1__4_Stage3MethaneProductionAnaerobicLagoon_Source">_xlfn.LAMBDA("VEERG 2026: 4.1.1.1, Equation (4)")</definedName>
    <definedName name="MMS_Feedlot_Methane_Equations.VEERG_4_1_1_1__4_Stage3MethaneProductionAnaerobicLagoon_Title">_xlfn.LAMBDA("Production of methane in treatment stage 3 MMS")</definedName>
    <definedName name="MMS_Feedlot_Methane_Equations.VEERG_4_1_1_1__4_Stage3MethaneProductionAnaerobicLagoon_Unit">_xlfn.LAMBDA("kg CH4/head/day")</definedName>
    <definedName name="MMS_Feedlot_Methane_Equations.VEERG_4_1_1_1__4_Stage3MethaneProductionAnaerobicLagoon_Variable">_xlfn.LAMBDA("M_jm1T3")</definedName>
    <definedName name="MMS_Feedlot_Methane_Equations.VEERG_4_1_1_1__5_VolatileSolidProduction">_xlfn.LAMBDA(_xlpm.I_j,_xlpm.DMD_j,_xlpm.A, _xlpm.I_j * (1 - _xlpm.DMD_j) * (1 - _xlpm.A))</definedName>
    <definedName name="MMS_Feedlot_Methane_Equations.VEERG_4_1_1_1__5_VolatileSolidProduction_Arguments">_xlfn.LAMBDA(_xlfn.MAKEARRAY(3, 2, _xlfn.LAMBDA(_xlpm.r,_xlpm.c, INDEX({"I_j","dry matter intake for each group j : kg DM/head/day";"DMD_j","dry matter digestibility for each group j : fraction";"A","ash content of manure : fraction"}, _xlpm.r, _xlpm.c))))</definedName>
    <definedName name="MMS_Feedlot_Methane_Equations.VEERG_4_1_1_1__5_VolatileSolidProduction_LatexEquation">_xlfn.LAMBDA("VS_{j}=I_{j}\times(1-DMD_{j})\times(1-A)")</definedName>
    <definedName name="MMS_Feedlot_Methane_Equations.VEERG_4_1_1_1__5_VolatileSolidProduction_NIRReference">_xlfn.LAMBDA("")</definedName>
    <definedName name="MMS_Feedlot_Methane_Equations.VEERG_4_1_1_1__5_VolatileSolidProduction_Source">_xlfn.LAMBDA("VEERG 2026: 4.1.1.1, Equation (5)")</definedName>
    <definedName name="MMS_Feedlot_Methane_Equations.VEERG_4_1_1_1__5_VolatileSolidProduction_Title">_xlfn.LAMBDA("Volatile solid production")</definedName>
    <definedName name="MMS_Feedlot_Methane_Equations.VEERG_4_1_1_1__5_VolatileSolidProduction_Unit">_xlfn.LAMBDA("kg/head/day")</definedName>
    <definedName name="MMS_Feedlot_Methane_Equations.VEERG_4_1_1_1__5_VolatileSolidProduction_Variable">_xlfn.LAMBDA("VS_j")</definedName>
    <definedName name="MMS_Feedlot_N2ODirect_Equations.VEERG_4_1_1_3__1_TotalAnnualDirectNitrousOxideEmissions">_xlfn.LAMBDA(_xlpm.MN_jmT,_xlpm.EF_jm,_xlpm.C_N2O, SUMPRODUCT(_xlpm.MN_jmT, _xlpm.EF_jm, _xlpm.C_N2O) * 10 ^ -3)</definedName>
    <definedName name="MMS_Feedlot_N2ODirect_Equations.VEERG_4_1_1_3__1_TotalAnnualDirectNitrousOxideEmissions_Arguments">_xlfn.LAMBDA(_xlfn.MAKEARRAY(3, 2, _xlfn.LAMBDA(_xlpm.r,_xlpm.c, INDEX({"MN_jmT","nitrogen per cattle group, MMS and treatment stage : kg N";"EF_jm","nitrous oxide emission factor for MMS : kg N2O-N/kg N";"C_N2O","factor to convert elemental mass of nitrous oxide to molecular mass : ratio"}, _xlpm.r, _xlpm.c))))</definedName>
    <definedName name="MMS_Feedlot_N2ODirect_Equations.VEERG_4_1_1_3__1_TotalAnnualDirectNitrousOxideEmissions_LatexEquation">_xlfn.LAMBDA("E_{N2O,dir}=\sum_{j}\sum_{m}\sum_{T}(MN_{jmT}\times EF_{jm}\times C_{N2O})\times10^{-3}")</definedName>
    <definedName name="MMS_Feedlot_N2ODirect_Equations.VEERG_4_1_1_3__1_TotalAnnualDirectNitrousOxideEmissions_NIRReference">_xlfn.LAMBDA("")</definedName>
    <definedName name="MMS_Feedlot_N2ODirect_Equations.VEERG_4_1_1_3__1_TotalAnnualDirectNitrousOxideEmissions_Source">_xlfn.LAMBDA("VEERG 2026: 4.1.1.3, Equation (1)")</definedName>
    <definedName name="MMS_Feedlot_N2ODirect_Equations.VEERG_4_1_1_3__1_TotalAnnualDirectNitrousOxideEmissions_Title">_xlfn.LAMBDA("Total annual direct nitrous oxide emissions from manure management systems")</definedName>
    <definedName name="MMS_Feedlot_N2ODirect_Equations.VEERG_4_1_1_3__1_TotalAnnualDirectNitrousOxideEmissions_Unit">_xlfn.LAMBDA("t N2O")</definedName>
    <definedName name="MMS_Feedlot_N2ODirect_Equations.VEERG_4_1_1_3__1_TotalAnnualDirectNitrousOxideEmissions_Variable">_xlfn.LAMBDA("E_N2Odir")</definedName>
    <definedName name="MMS_Feedlot_N2ODirect_Equations.VEERG_4_1_1_3__2_Stage1NitrogenInMMSDrylot">_xlfn.LAMBDA(_xlpm.AE_j,_xlpm.MMS_jm5T1, _xlpm.AE_j * _xlpm.MMS_jm5T1)</definedName>
    <definedName name="MMS_Feedlot_N2ODirect_Equations.VEERG_4_1_1_3__2_Stage1NitrogenInMMSDrylot_Arguments">_xlfn.LAMBDA(_xlfn.MAKEARRAY(2, 2, _xlfn.LAMBDA(_xlpm.r,_xlpm.c, INDEX({"AE_j","total nitrogen excreted by each cattle group : kg N";"MMS_jm5T1","fraction of manure in primary system drylot MMS : fraction"}, _xlpm.r, _xlpm.c))))</definedName>
    <definedName name="MMS_Feedlot_N2ODirect_Equations.VEERG_4_1_1_3__2_Stage1NitrogenInMMSDrylot_LatexEquation">_xlfn.LAMBDA("MN_{jm=5,T=1}=AE_{j}\times MMS_{jm=5,T=1}")</definedName>
    <definedName name="MMS_Feedlot_N2ODirect_Equations.VEERG_4_1_1_3__2_Stage1NitrogenInMMSDrylot_NIRReference">_xlfn.LAMBDA("")</definedName>
    <definedName name="MMS_Feedlot_N2ODirect_Equations.VEERG_4_1_1_3__2_Stage1NitrogenInMMSDrylot_Source">_xlfn.LAMBDA("VEERG 2026: 4.1.1.3, Equation (2)")</definedName>
    <definedName name="MMS_Feedlot_N2ODirect_Equations.VEERG_4_1_1_3__2_Stage1NitrogenInMMSDrylot_Title">_xlfn.LAMBDA("Nitrogen in treatment stage 1 MMS")</definedName>
    <definedName name="MMS_Feedlot_N2ODirect_Equations.VEERG_4_1_1_3__2_Stage1NitrogenInMMSDrylot_Unit">_xlfn.LAMBDA("kg N")</definedName>
    <definedName name="MMS_Feedlot_N2ODirect_Equations.VEERG_4_1_1_3__2_Stage1NitrogenInMMSDrylot_Variable">_xlfn.LAMBDA("MN_jm5T1")</definedName>
    <definedName name="MMS_Feedlot_N2ODirect_Equations.VEERG_4_1_1_3__3_AnnualNitrogenExcretion">_xlfn.LAMBDA(_xlpm.N_j,_xlpm.NE_j,_xlpm.D_j, _xlpm.N_j * _xlpm.NE_j * _xlpm.D_j)</definedName>
    <definedName name="MMS_Feedlot_N2ODirect_Equations.VEERG_4_1_1_3__3_AnnualNitrogenExcretion_Arguments">_xlfn.LAMBDA(_xlfn.MAKEARRAY(3, 2, _xlfn.LAMBDA(_xlpm.r,_xlpm.c, INDEX({"N_j","number of cattle in each group : head";"NE_j","nitrogen excretion : kg N/head/day";"D_j","duration of stay of cattle group : days"}, _xlpm.r, _xlpm.c))))</definedName>
    <definedName name="MMS_Feedlot_N2ODirect_Equations.VEERG_4_1_1_3__3_AnnualNitrogenExcretion_LatexEquation">_xlfn.LAMBDA("AE_{j}=N_{j}\times NE_{j}\times D_{j}")</definedName>
    <definedName name="MMS_Feedlot_N2ODirect_Equations.VEERG_4_1_1_3__3_AnnualNitrogenExcretion_NIRReference">_xlfn.LAMBDA("")</definedName>
    <definedName name="MMS_Feedlot_N2ODirect_Equations.VEERG_4_1_1_3__3_AnnualNitrogenExcretion_Source">_xlfn.LAMBDA("VEERG 2026: 4.1.1.3, Equation (3)")</definedName>
    <definedName name="MMS_Feedlot_N2ODirect_Equations.VEERG_4_1_1_3__3_AnnualNitrogenExcretion_Title">_xlfn.LAMBDA("Annual nitrogen excretion from each feedlot cattle group")</definedName>
    <definedName name="MMS_Feedlot_N2ODirect_Equations.VEERG_4_1_1_3__3_AnnualNitrogenExcretion_Unit">_xlfn.LAMBDA("kg N")</definedName>
    <definedName name="MMS_Feedlot_N2ODirect_Equations.VEERG_4_1_1_3__3_AnnualNitrogenExcretion_Variable">_xlfn.LAMBDA("AE_j")</definedName>
    <definedName name="MMS_Feedlot_N2ODirect_Equations.VEERG_4_1_1_3__4_NitrogenExcretionPerHead">_xlfn.LAMBDA(_xlpm.NI_j,_xlpm.NR_j, _xlpm.NI_j * (1 - _xlpm.NR_j))</definedName>
    <definedName name="MMS_Feedlot_N2ODirect_Equations.VEERG_4_1_1_3__4_NitrogenExcretionPerHead_Arguments">_xlfn.LAMBDA(_xlfn.MAKEARRAY(2, 2, _xlfn.LAMBDA(_xlpm.r,_xlpm.c, INDEX({"NI_j","nitrogen intake : kg N/head/day";"NR_j","nitrogen retention expressed as a fraction of intake : fraction"}, _xlpm.r, _xlpm.c))))</definedName>
    <definedName name="MMS_Feedlot_N2ODirect_Equations.VEERG_4_1_1_3__4_NitrogenExcretionPerHead_LatexEquation">_xlfn.LAMBDA("NE_{j}=NI_{j}\times(1-NR_{j})")</definedName>
    <definedName name="MMS_Feedlot_N2ODirect_Equations.VEERG_4_1_1_3__4_NitrogenExcretionPerHead_NIRReference">_xlfn.LAMBDA("")</definedName>
    <definedName name="MMS_Feedlot_N2ODirect_Equations.VEERG_4_1_1_3__4_NitrogenExcretionPerHead_Source">_xlfn.LAMBDA("VEERG 2026: 4.1.1.3, Equation (4)")</definedName>
    <definedName name="MMS_Feedlot_N2ODirect_Equations.VEERG_4_1_1_3__4_NitrogenExcretionPerHead_Title">_xlfn.LAMBDA("Nitrogen excretion per head per day")</definedName>
    <definedName name="MMS_Feedlot_N2ODirect_Equations.VEERG_4_1_1_3__4_NitrogenExcretionPerHead_Unit">_xlfn.LAMBDA("kg N/head/day")</definedName>
    <definedName name="MMS_Feedlot_N2ODirect_Equations.VEERG_4_1_1_3__4_NitrogenExcretionPerHead_Variable">_xlfn.LAMBDA("NE_j")</definedName>
    <definedName name="MMS_Feedlot_N2ODirect_Equations.VEERG_4_1_1_3__5_NitrogenIntake">_xlfn.LAMBDA(_xlpm.I_j,_xlpm.CP_j, _xlpm.I_j * _xlpm.CP_j / 6.25)</definedName>
    <definedName name="MMS_Feedlot_N2ODirect_Equations.VEERG_4_1_1_3__5_NitrogenIntake_Arguments">_xlfn.LAMBDA(_xlfn.MAKEARRAY(3, 2, _xlfn.LAMBDA(_xlpm.r,_xlpm.c, INDEX({"I_j","dry matter intake : kg DM/head/day";"CP_j","crude protein content of feed : fraction";"6.25","factor for converting crude protein into nitrogen : ratio"}, _xlpm.r, _xlpm.c))))</definedName>
    <definedName name="MMS_Feedlot_N2ODirect_Equations.VEERG_4_1_1_3__5_NitrogenIntake_LatexEquation">_xlfn.LAMBDA("NI_{j}=I_{j}\times CP_{j}\div 6.25")</definedName>
    <definedName name="MMS_Feedlot_N2ODirect_Equations.VEERG_4_1_1_3__5_NitrogenIntake_NIRReference">_xlfn.LAMBDA("")</definedName>
    <definedName name="MMS_Feedlot_N2ODirect_Equations.VEERG_4_1_1_3__5_NitrogenIntake_Source">_xlfn.LAMBDA("VEERG 2026: 4.1.1.3, Equation (5)")</definedName>
    <definedName name="MMS_Feedlot_N2ODirect_Equations.VEERG_4_1_1_3__5_NitrogenIntake_Title">_xlfn.LAMBDA("Nitrogen intake of feedlot cattle")</definedName>
    <definedName name="MMS_Feedlot_N2ODirect_Equations.VEERG_4_1_1_3__5_NitrogenIntake_Unit">_xlfn.LAMBDA("kg N/head/day")</definedName>
    <definedName name="MMS_Feedlot_N2ODirect_Equations.VEERG_4_1_1_3__5_NitrogenIntake_Variable">_xlfn.LAMBDA("NI_j")</definedName>
    <definedName name="MMS_Feedlot_N2ODirect_Equations.VEERG_4_1_1_3__6_Stage2NitrogenInMMS">_xlfn.LAMBDA(_xlpm.NT_jmT2,_xlpm.MMS_jmT2, _xlpm.NT_jmT2 * _xlpm.MMS_jmT2)</definedName>
    <definedName name="MMS_Feedlot_N2ODirect_Equations.VEERG_4_1_1_3__6_Stage2NitrogenInMMS_Arguments">_xlfn.LAMBDA(_xlfn.MAKEARRAY(2, 2, _xlfn.LAMBDA(_xlpm.r,_xlpm.c, INDEX({"NT_jmT2","nitrogen transferred to secondary treatment MMS : kg N";"MMS_jmT2","fraction of manure in each secondary system : fraction"}, _xlpm.r, _xlpm.c))))</definedName>
    <definedName name="MMS_Feedlot_N2ODirect_Equations.VEERG_4_1_1_3__6_Stage2NitrogenInMMS_LatexEquation">_xlfn.LAMBDA("MN_{jm,T=2}=NT_{jm,T=2}\times MMS_{jm,T=2}")</definedName>
    <definedName name="MMS_Feedlot_N2ODirect_Equations.VEERG_4_1_1_3__6_Stage2NitrogenInMMS_NIRReference">_xlfn.LAMBDA("")</definedName>
    <definedName name="MMS_Feedlot_N2ODirect_Equations.VEERG_4_1_1_3__6_Stage2NitrogenInMMS_Source">_xlfn.LAMBDA("VEERG 2026: 4.1.1.3, Equation (6)")</definedName>
    <definedName name="MMS_Feedlot_N2ODirect_Equations.VEERG_4_1_1_3__6_Stage2NitrogenInMMS_Title">_xlfn.LAMBDA("Nitrogen in treatment stage 2 MMS")</definedName>
    <definedName name="MMS_Feedlot_N2ODirect_Equations.VEERG_4_1_1_3__6_Stage2NitrogenInMMS_Unit">_xlfn.LAMBDA("kg N")</definedName>
    <definedName name="MMS_Feedlot_N2ODirect_Equations.VEERG_4_1_1_3__6_Stage2NitrogenInMMS_Variable">_xlfn.LAMBDA("MN_jmT2")</definedName>
    <definedName name="MMS_Feedlot_N2ODirect_Equations.VEERG_4_1_1_3__7_NitrogenTransferredToStage2">_xlfn.LAMBDA(_xlpm.MN_jm5T1,_xlpm.FracGASM_m5,_xlpm.EF_m5,_xlpm.MN_jmT3, (_xlpm.MN_jm5T1 * (1 - _xlpm.FracGASM_m5 - _xlpm.EF_m5)) - _xlpm.MN_jmT3)</definedName>
    <definedName name="MMS_Feedlot_N2ODirect_Equations.VEERG_4_1_1_3__7_NitrogenTransferredToStage2_Arguments">_xlfn.LAMBDA(_xlfn.MAKEARRAY(4, 2, _xlfn.LAMBDA(_xlpm.r,_xlpm.c, INDEX({"MN_jm5T1","nitrogen in MMS treatment stage 1 : kg N";"FracGASM_m5","fraction of N volatilised from drylot MMS : fraction";"EF_m5","nitrous oxide emission factor for drylot MMS : kg N2O-N/kg N deposited";"MN_jmT3","nitrogen in MMS treatment stage 3 : kg N"}, _xlpm.r, _xlpm.c))))</definedName>
    <definedName name="MMS_Feedlot_N2ODirect_Equations.VEERG_4_1_1_3__7_NitrogenTransferredToStage2_LatexEquation">_xlfn.LAMBDA("NT_{jm,T=2}=(MN_{jm=5,T=1}\times(1-FracGASM_{m=5}-EF_{m=5}))-MN_{jm,T=3}")</definedName>
    <definedName name="MMS_Feedlot_N2ODirect_Equations.VEERG_4_1_1_3__7_NitrogenTransferredToStage2_NIRReference">_xlfn.LAMBDA("")</definedName>
    <definedName name="MMS_Feedlot_N2ODirect_Equations.VEERG_4_1_1_3__7_NitrogenTransferredToStage2_Source">_xlfn.LAMBDA("VEERG 2026: 4.1.1.3, Equation (7)")</definedName>
    <definedName name="MMS_Feedlot_N2ODirect_Equations.VEERG_4_1_1_3__7_NitrogenTransferredToStage2_Title">_xlfn.LAMBDA("Nitrogen transferred to treatment stage 2 MMS")</definedName>
    <definedName name="MMS_Feedlot_N2ODirect_Equations.VEERG_4_1_1_3__7_NitrogenTransferredToStage2_Unit">_xlfn.LAMBDA("kg N")</definedName>
    <definedName name="MMS_Feedlot_N2ODirect_Equations.VEERG_4_1_1_3__7_NitrogenTransferredToStage2_Variable">_xlfn.LAMBDA("NT_jmT2")</definedName>
    <definedName name="MMS_Feedlot_N2ODirect_Equations.VEERG_4_1_1_3__8_Stage3NitrogenInMMSAnaerobicLagoon">_xlfn.LAMBDA(_xlpm.AE_j,_xlpm.MMS_jm1T3, _xlpm.AE_j * _xlpm.MMS_jm1T3)</definedName>
    <definedName name="MMS_Feedlot_N2ODirect_Equations.VEERG_4_1_1_3__8_Stage3NitrogenInMMSAnaerobicLagoon_Arguments">_xlfn.LAMBDA(_xlfn.MAKEARRAY(2, 2, _xlfn.LAMBDA(_xlpm.r,_xlpm.c, INDEX({"AE_j","total nitrogen excreted by each cattle group : kg N";"MMS_jm1T3","fraction of manure to tertiary anaerobic lagoon system : fraction"}, _xlpm.r, _xlpm.c))))</definedName>
    <definedName name="MMS_Feedlot_N2ODirect_Equations.VEERG_4_1_1_3__8_Stage3NitrogenInMMSAnaerobicLagoon_LatexEquation">_xlfn.LAMBDA("MN_{jm=1,T=3}=AE_{j}\times MMS_{jm=1,T=3}")</definedName>
    <definedName name="MMS_Feedlot_N2ODirect_Equations.VEERG_4_1_1_3__8_Stage3NitrogenInMMSAnaerobicLagoon_NIRReference">_xlfn.LAMBDA("")</definedName>
    <definedName name="MMS_Feedlot_N2ODirect_Equations.VEERG_4_1_1_3__8_Stage3NitrogenInMMSAnaerobicLagoon_Source">_xlfn.LAMBDA("VEERG 2026: 4.1.1.3, Equation (8)")</definedName>
    <definedName name="MMS_Feedlot_N2ODirect_Equations.VEERG_4_1_1_3__8_Stage3NitrogenInMMSAnaerobicLagoon_Title">_xlfn.LAMBDA("Nitrogen in treatment stage 3 MMS")</definedName>
    <definedName name="MMS_Feedlot_N2ODirect_Equations.VEERG_4_1_1_3__8_Stage3NitrogenInMMSAnaerobicLagoon_Unit">_xlfn.LAMBDA("kg N")</definedName>
    <definedName name="MMS_Feedlot_N2ODirect_Equations.VEERG_4_1_1_3__8_Stage3NitrogenInMMSAnaerobicLagoon_Variable">_xlfn.LAMBDA("MN_jm1T3")</definedName>
    <definedName name="Range_LivestockStartingValues">#REF!</definedName>
    <definedName name="SourceData_Feedlot.SourceData_Feedlot_AnimalCharacteristics_Data">_xlfn.LAMBDA(_xlfn.MAKEARRAY(10, 7, _xlfn.LAMBDA(_xlpm.r,_xlpm.c, INDEX({"Feedlot type","Characteristic","Unit","2005-2009","2010-2014","2015-2019","2020-2023";"Domestic","Days on feed","days",70,70,70,75;"Domestic","Feed intake","kg DM/day",10,10,10.4,10.4;"Domestic","N retention","per cent of intake",21.1,20.4,20.4,20.4;"Mid-fed","Days on feed","days",115,115,120,150;"Mid-fed","Feed intake","kg DM/day",11.2,10.8,10.8,10.8;"Mid-fed","N retention","per cent of intake",12.5,12.7,12.7,12.7;"Long-fed","Days on feed","days",250,250,250,250;"Long-fed","Feed intake","kg DM/day",9,8.5,8.2,8.2;"Long-fed","N retention","per cent of intake",6.6,7,7,7}, _xlpm.r, _xlpm.c))))</definedName>
    <definedName name="SourceData_Feedlot.SourceData_Feedlot_AnimalCharacteristics_Source">_xlfn.LAMBDA("VEERG 2026: Table A.1.1.2: Beef feedlot cattle - Animal characteristics")</definedName>
    <definedName name="SourceData_Feedlot.SourceData_Feedlot_AnimalCharacteristics_Title">_xlfn.LAMBDA("Beef feedlot cattle - Animal characteristics")</definedName>
    <definedName name="SourceData_Feedlot.SourceData_Feedlot_AnimalCharacteristics_Unit">_xlfn.LAMBDA("")</definedName>
    <definedName name="SourceData_Feedlot.SourceData_Feedlot_AnimalCharacteristics_Variation">_xlfn.LAMBDA(_xlfn.MAKEARRAY(3, 1, _xlfn.LAMBDA(_xlpm.r,_xlpm.c, INDEX({"VARIATION ON SOURCE:";"Moved feedlot types to a separate column to aid lookup.";"Named 'characteristic' column - original has header 'Unit' which covers two columns)"}, _xlpm.r, _xlpm.c))))</definedName>
    <definedName name="SourceData_Feedlot.SourceData_Feedlot_AshContent_Data">_xlfn.LAMBDA(0.16)</definedName>
    <definedName name="SourceData_Feedlot.SourceData_Feedlot_AshContent_Source">_xlfn.LAMBDA("VEERG 2026: 4.1.2.3 CONSTANTS")</definedName>
    <definedName name="SourceData_Feedlot.SourceData_Feedlot_AshContent_Title">_xlfn.LAMBDA("Ash content of manure.")</definedName>
    <definedName name="SourceData_Feedlot.SourceData_Feedlot_AshContent_Unit">_xlfn.LAMBDA("Fraction")</definedName>
    <definedName name="SourceData_Feedlot.SourceData_Feedlot_AshContent_Variable">_xlfn.LAMBDA("A")</definedName>
    <definedName name="SourceData_Feedlot.SourceData_Feedlot_AshContent_Variation">_xlfn.LAMBDA("")</definedName>
    <definedName name="SourceData_Feedlot.SourceData_Feedlot_DietProperties_Data">_xlfn.LAMBDA(_xlfn.MAKEARRAY(13, 8, _xlfn.LAMBDA(_xlpm.r,_xlpm.c, INDEX({"Feedlot type","Nutrient analysis","Unit","2005-2009","2010-2014","2015-2019","2020-2023","Converted to fraction";"Domestic","Dry matter digestibility","fraction",0.81,0.81,0.81,0.81,0.81;"Domestic","Crude protein","fraction",0.14,0.14,0.14,0.14,0.14;"Domestic","NDF","per cent",23,22,22,22,0.22;"Domestic","Ether Extract","per cent",4.5,4.5,4.8,4.8,0.048;"Mid-fed","Dry matter digestibility","fraction",0.81,0.81,0.81,0.81,0.81;"Mid-fed","Crude protein","fraction",0.13,0.125,0.12,0.12,0.12;"Mid-fed","NDF","per cent",24,22,22,22,0.22;"Mid-fed","Ether Extract","per cent",5,5,5,5,0.05;"Long-Fed","Dry matter digestibility","fraction",0.81,0.81,0.81,0.81,0.81;"Long-Fed","Crude protein","fraction",0.13,0.125,0.12,0.12,0.12;"Long-Fed","NDF","per cent",24,24,24,24,0.24;"Long-Fed","Ether Extract","per cent",5,5,5.5,5.5,0.055}, _xlpm.r, _xlpm.c))))</definedName>
    <definedName name="SourceData_Feedlot.SourceData_Feedlot_DietProperties_Source">_xlfn.LAMBDA("VEERG 2026: Table A.1.1.3: Beef feedlot cattle - Diet properties")</definedName>
    <definedName name="SourceData_Feedlot.SourceData_Feedlot_DietProperties_Title">_xlfn.LAMBDA("Beef feedlot cattle - Diet properties")</definedName>
    <definedName name="SourceData_Feedlot.SourceData_Feedlot_DietProperties_Unit">_xlfn.LAMBDA("")</definedName>
    <definedName name="SourceData_Feedlot.SourceData_Feedlot_DietProperties_Variation">_xlfn.LAMBDA(_xlfn.MAKEARRAY(3, 1, _xlfn.LAMBDA(_xlpm.r,_xlpm.c, INDEX({"VARIATION ON SOURCE:";"Added 'Converted to fraction column and converted NDF and Ether extract values to fractions.";"Moved feedlot types to a separate column to aid lookup."}, _xlpm.r, _xlpm.c))))</definedName>
    <definedName name="SourceData_Feedlot.SourceData_Feedlot_DurationOfStay_Data">_xlfn.LAMBDA(_xlfn.MAKEARRAY(4, 2, _xlfn.LAMBDA(_xlpm.r,_xlpm.c, INDEX({"Feedlot type","Length of Stay";"Domestic","1-80 days";"Mid-fed","81-200 days";"Long-fed","201+ days"}, _xlpm.r, _xlpm.c))))</definedName>
    <definedName name="SourceData_Feedlot.SourceData_Feedlot_DurationOfStay_Source">_xlfn.LAMBDA("VEERG 2026: Table A.1.1.1: Beef feedlot cattle - Duration of stay (days)")</definedName>
    <definedName name="SourceData_Feedlot.SourceData_Feedlot_DurationOfStay_Title">_xlfn.LAMBDA("Beef feedlot cattle - Duration of stay (days)")</definedName>
    <definedName name="SourceData_Feedlot.SourceData_Feedlot_DurationOfStay_Unit">_xlfn.LAMBDA("")</definedName>
    <definedName name="SourceData_Feedlot.SourceData_Feedlot_DurationOfStay_Variation">_xlfn.LAMBDA("")</definedName>
    <definedName name="SourceData_Feedlot.SourceData_Feedlot_FracNVolatilised_Data">_xlfn.LAMBDA(_xlfn.MAKEARRAY(6, 4, _xlfn.LAMBDA(_xlpm.r,_xlpm.c, INDEX({"Treatment stage T","MMS m","FracGASMmT (kg NH3-N + NOx-N)/kg N","NIR definition";"Primary","Dry lot (Feedpad)",0.6,"Drylot (feed pad)";"Secondary","Solid Storage (Stockpile)",0.25,"Solid storage";"Secondary","Composting (Passive Windrow)",0.4,"Composting (passive windrow)";"Secondary","Direct Application to soil",0,"Direct application";"Tertiary","Uncovered anaerobic lagoon (Effluent pond)",0.35,"Anaerobic lagoon"}, _xlpm.r, _xlpm.c))))</definedName>
    <definedName name="SourceData_Feedlot.SourceData_Feedlot_FracNVolatilised_Source">_xlfn.LAMBDA("VEERG 2026: Table A.1.1.6: Beef feedlot cattle - Fraction of N volatilised by MMS (FracGASMmT)")</definedName>
    <definedName name="SourceData_Feedlot.SourceData_Feedlot_FracNVolatilised_Title">_xlfn.LAMBDA("Feedlot - Fraction of N volatilised by MMS (FracGASMmT)")</definedName>
    <definedName name="SourceData_Feedlot.SourceData_Feedlot_FracNVolatilised_Unit">_xlfn.LAMBDA("")</definedName>
    <definedName name="SourceData_Feedlot.SourceData_Feedlot_FracNVolatilised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LivestockClasses">_xlfn.LAMBDA(_xlfn.MAKEARRAY(3, 1, _xlfn.LAMBDA(_xlpm.r,_xlpm.c, INDEX({"Domestic";"Export mid fed";"Export long fed"}, _xlpm.r, _xlpm.c))))</definedName>
    <definedName name="SourceData_Feedlot.SourceData_Feedlot_MCF_Data">_xlfn.LAMBDA(_xlfn.MAKEARRAY(6, 11, _xlfn.LAMBDA(_xlpm.r,_xlpm.c, INDEX({"Treatment stage T","MMS m","NSW","ACT","QLD","NT","SA","VIC","WA","TAS","NIR definition";"Primary","Dry lot (Feedpad)",0.01,0.01,0.03,"No data",0.01,0.01,0.01,"No data","Drylot (feed pad)";"Secondary","Solid Storage (Stockpile)",0.02,0.02,0.02,"No data",0.02,0.02,0.02,"No data","Solid storage";"Secondary","Composting (Passive Windrow)",0.01,0.01,0.01,"No data",0.01,0.01,0.01,"No data","Composting (passive windrow)";"Secondary","Direct Application to soil",0,0,0,"No data",0,0,0,"No data","Direct application";"Tertiary","Uncovered anaerobic lagoon (Effluent pond)",0.75,0.75,0.77,"No data",0.75,0.75,0.77,"No data","Anaerobic lagoon"}, _xlpm.r, _xlpm.c))))</definedName>
    <definedName name="SourceData_Feedlot.SourceData_Feedlot_MCF_Source">_xlfn.LAMBDA("VEERG 2026: Table A.1.1.4: Beef feedlot cattle - MCFs (fraction) (MCFimT)")</definedName>
    <definedName name="SourceData_Feedlot.SourceData_Feedlot_MCF_Title">_xlfn.LAMBDA("Feedlot - MCFs")</definedName>
    <definedName name="SourceData_Feedlot.SourceData_Feedlot_MCF_Unit">_xlfn.LAMBDA("")</definedName>
    <definedName name="SourceData_Feedlot.SourceData_Feedlot_MCF_Variation">_xlfn.LAMBDA(_xlfn.MAKEARRAY(4, 1, _xlfn.LAMBDA(_xlpm.r,_xlpm.c, INDEX({"VARIATION ON SOURCE:";"Duplicated NSW values for ACT";"Added NT and TAS columns with 'no data' values";"Added 'NIR definition' column with MMS names that match NIR definitions."}, _xlpm.r, _xlpm.c))))</definedName>
    <definedName name="SourceData_Feedlot.SourceData_Feedlot_MethaneEmissionsPotential_Data">_xlfn.LAMBDA(0.19)</definedName>
    <definedName name="SourceData_Feedlot.SourceData_Feedlot_MethaneEmissionsPotential_Source">_xlfn.LAMBDA("VEERG 2026: 4.1.2.3 CONSTANTS")</definedName>
    <definedName name="SourceData_Feedlot.SourceData_Feedlot_MethaneEmissionsPotential_Title">_xlfn.LAMBDA("Methane emissions potential.")</definedName>
    <definedName name="SourceData_Feedlot.SourceData_Feedlot_MethaneEmissionsPotential_Unit">_xlfn.LAMBDA("m3 CH4 / kg VS")</definedName>
    <definedName name="SourceData_Feedlot.SourceData_Feedlot_MethaneEmissionsPotential_Variable">_xlfn.LAMBDA("B0")</definedName>
    <definedName name="SourceData_Feedlot.SourceData_Feedlot_MethaneEmissionsPotential_Variation">_xlfn.LAMBDA("")</definedName>
    <definedName name="SourceData_Feedlot.SourceData_Feedlot_MMSm1T3_Data">_xlfn.LAMBDA(0.02)</definedName>
    <definedName name="SourceData_Feedlot.SourceData_Feedlot_MMSm1T3_Source">_xlfn.LAMBDA("VEERG 2026: 4.1.2.3 CONSTANTS")</definedName>
    <definedName name="SourceData_Feedlot.SourceData_Feedlot_MMSm1T3_Title">_xlfn.LAMBDA("Fraction of volatile solids to each tertiary system assumed that 2 per cent is run - off from the feed pad.")</definedName>
    <definedName name="SourceData_Feedlot.SourceData_Feedlot_MMSm1T3_Unit">_xlfn.LAMBDA("Fraction")</definedName>
    <definedName name="SourceData_Feedlot.SourceData_Feedlot_MMSm1T3_Variable">_xlfn.LAMBDA("MMSm1T3")</definedName>
    <definedName name="SourceData_Feedlot.SourceData_Feedlot_MMSm1T3_Variation">_xlfn.LAMBDA("")</definedName>
    <definedName name="SourceData_Feedlot.SourceData_Feedlot_NitrousOxideEFs_Data">_xlfn.LAMBDA(_xlfn.MAKEARRAY(6, 4, _xlfn.LAMBDA(_xlpm.r,_xlpm.c, INDEX({"Treatment stage T","MMS m","EFmT (kg N2O-N/kg N)","NIR definition";"Primary","Dry lot (Feedpad)",0.0054,"Drylot (feed pad)";"Secondary","Solid Storage (Stockpile)",0.005,"Solid storage";"Secondary","Composting (Passive Windrow)",0.01,"Composting (passive windrow)";"Secondary","Direct Application to soil",0,"Direct application";"Tertiary","Uncovered anaerobic lagoon (Effluent Pond)",0,"Anaerobic lagoon"}, _xlpm.r, _xlpm.c))))</definedName>
    <definedName name="SourceData_Feedlot.SourceData_Feedlot_NitrousOxideEFs_Source">_xlfn.LAMBDA("VEERG 2026: Table A.1.1.5: Beef feedlot cattle - Nitrous oxide EFs (EFmT)")</definedName>
    <definedName name="SourceData_Feedlot.SourceData_Feedlot_NitrousOxideEFs_Title">_xlfn.LAMBDA("Feedlot - Nitrous oxide EFs")</definedName>
    <definedName name="SourceData_Feedlot.SourceData_Feedlot_NitrousOxideEFs_Unit">_xlfn.LAMBDA("")</definedName>
    <definedName name="SourceData_Feedlot.SourceData_Feedlot_NitrousOxideEFs_Variation">_xlfn.LAMBDA(_xlfn.MAKEARRAY(2, 1, _xlfn.LAMBDA(_xlpm.r,_xlpm.c, INDEX({"VARIATION ON SOURCE:";"Added 'NIR definition' column with MMS names that match NIR definitions."}, _xlpm.r, _xlpm.c))))</definedName>
    <definedName name="SourceData_Feedlot.SourceData_Feedlot_Stage1MMSOptions">_xlfn.LAMBDA(_xlfn.MAKEARRAY(1, 1, _xlfn.LAMBDA(_xlpm.r,_xlpm.c, INDEX({"Drylot (feed pad)"}, _xlpm.r, _xlpm.c))))</definedName>
    <definedName name="SourceData_Feedlot.SourceData_Feedlot_Stage2MMSOptions">_xlfn.LAMBDA(_xlfn.MAKEARRAY(4, 1, _xlfn.LAMBDA(_xlpm.r,_xlpm.c, INDEX({"Solid storage";"Composting (passive windrow)";"Direct application";"No MMS"}, _xlpm.r, _xlpm.c))))</definedName>
    <definedName name="SourceData_Feedlot.SourceData_Feedlot_Stage3MMSOptions">_xlfn.LAMBDA(_xlfn.MAKEARRAY(1, 1, _xlfn.LAMBDA(_xlpm.r,_xlpm.c, INDEX({"Anaerobic lagoon"}, _xlpm.r, _xlpm.c))))</definedName>
    <definedName name="SourceData_Feedlot.SourceData_Feedlot_VSL_Data">_xlfn.LAMBDA(0.5)</definedName>
    <definedName name="SourceData_Feedlot.SourceData_Feedlot_VSL_Source">_xlfn.LAMBDA("VEERG 2026: 4.1.2.3 CONSTANTS")</definedName>
    <definedName name="SourceData_Feedlot.SourceData_Feedlot_VSL_Title">_xlfn.LAMBDA("Feedlot - Fraction of volatile solids lost during storage in the primary system")</definedName>
    <definedName name="SourceData_Feedlot.SourceData_Feedlot_VSL_Unit">_xlfn.LAMBDA("Fraction")</definedName>
    <definedName name="SourceData_Feedlot.SourceData_Feedlot_VSL_Variable">_xlfn.LAMBDA("VSL")</definedName>
    <definedName name="SourceData_Feedlot.SourceData_Feedlot_VSL_Variation">_xlfn.LAMBDA("")</definedName>
    <definedName name="Step1">#REF!</definedName>
    <definedName name="Step2">#REF!</definedName>
    <definedName name="Step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8" i="93" l="1" a="1"/>
  <c r="E208" i="93" s="1"/>
  <c r="D208" i="93" a="1"/>
  <c r="D208" i="93" s="1"/>
  <c r="E207" i="93" a="1"/>
  <c r="E207" i="93" s="1"/>
  <c r="D207" i="93" a="1"/>
  <c r="D207" i="93" s="1"/>
  <c r="D205" i="93" a="1"/>
  <c r="D205" i="93" s="1"/>
  <c r="D204" i="93" a="1"/>
  <c r="D204" i="93" s="1"/>
  <c r="D203" i="93"/>
  <c r="D203" i="93" a="1"/>
  <c r="D202" i="93" a="1"/>
  <c r="D202" i="93" s="1"/>
  <c r="E147" i="93" a="1"/>
  <c r="E147" i="93" s="1"/>
  <c r="D147" i="93" a="1"/>
  <c r="D147" i="93" s="1"/>
  <c r="E146" i="93" a="1"/>
  <c r="E146" i="93" s="1"/>
  <c r="D146" i="93" a="1"/>
  <c r="D146" i="93" s="1"/>
  <c r="E145" i="93" a="1"/>
  <c r="E145" i="93" s="1"/>
  <c r="D145" i="93" a="1"/>
  <c r="D145" i="93" s="1"/>
  <c r="E144" i="93" a="1"/>
  <c r="E144" i="93" s="1"/>
  <c r="D144" i="93" a="1"/>
  <c r="D144" i="93" s="1"/>
  <c r="E143" i="93" a="1"/>
  <c r="E143" i="93" s="1"/>
  <c r="D143" i="93" a="1"/>
  <c r="D143" i="93" s="1"/>
  <c r="D141" i="93" a="1"/>
  <c r="D141" i="93" s="1"/>
  <c r="D140" i="93" a="1"/>
  <c r="D140" i="93" s="1"/>
  <c r="D139" i="93" a="1"/>
  <c r="D139" i="93" s="1"/>
  <c r="D187" i="76" l="1" a="1"/>
  <c r="D187" i="76" s="1"/>
  <c r="E185" i="76" a="1"/>
  <c r="E185" i="76" s="1"/>
  <c r="E184" i="76" a="1"/>
  <c r="E184" i="76" s="1"/>
  <c r="D179" i="76" a="1"/>
  <c r="D179" i="76" s="1"/>
  <c r="D178" i="76" a="1"/>
  <c r="D178" i="76" s="1"/>
  <c r="D161" i="76" a="1"/>
  <c r="D161" i="76" s="1"/>
  <c r="E159" i="76" a="1"/>
  <c r="E159" i="76" s="1"/>
  <c r="E158" i="76" a="1"/>
  <c r="E158" i="76" s="1"/>
  <c r="D154" i="76"/>
  <c r="D154" i="76" a="1"/>
  <c r="D153" i="76" a="1"/>
  <c r="D153" i="76" s="1"/>
  <c r="D141" i="76" a="1"/>
  <c r="D141" i="76" s="1"/>
  <c r="E139" i="76" a="1"/>
  <c r="E139" i="76" s="1"/>
  <c r="E138" i="76" a="1"/>
  <c r="E138" i="76" s="1"/>
  <c r="D134" i="76" a="1"/>
  <c r="D134" i="76" s="1"/>
  <c r="D133" i="76" a="1"/>
  <c r="D133" i="76" s="1"/>
  <c r="D118" i="76" a="1"/>
  <c r="D118" i="76" s="1"/>
  <c r="E116" i="76" a="1"/>
  <c r="E116" i="76" s="1"/>
  <c r="E115" i="76"/>
  <c r="E115" i="76" a="1"/>
  <c r="D111" i="76" a="1"/>
  <c r="D111" i="76" s="1"/>
  <c r="D110" i="76" a="1"/>
  <c r="D110" i="76" s="1"/>
  <c r="D95" i="76" a="1"/>
  <c r="D95" i="76" s="1"/>
  <c r="E93" i="76" a="1"/>
  <c r="E93" i="76" s="1"/>
  <c r="E92" i="76" a="1"/>
  <c r="E92" i="76" s="1"/>
  <c r="D88" i="76" a="1"/>
  <c r="D88" i="76" s="1"/>
  <c r="D87" i="76" a="1"/>
  <c r="D87" i="76" s="1"/>
  <c r="D66" i="76" a="1"/>
  <c r="D66" i="76" s="1"/>
  <c r="E64" i="76"/>
  <c r="E64" i="76" a="1"/>
  <c r="E63" i="76" a="1"/>
  <c r="E63" i="76" s="1"/>
  <c r="D59" i="76" a="1"/>
  <c r="D59" i="76" s="1"/>
  <c r="D58" i="76" a="1"/>
  <c r="D58" i="76" s="1"/>
  <c r="D43" i="76" a="1"/>
  <c r="D43" i="76" s="1"/>
  <c r="E41" i="76" a="1"/>
  <c r="E41" i="76" s="1"/>
  <c r="E40" i="76" a="1"/>
  <c r="E40" i="76" s="1"/>
  <c r="D35" i="76" a="1"/>
  <c r="D35" i="76" s="1"/>
  <c r="D34" i="76"/>
  <c r="D34" i="76" a="1"/>
  <c r="D13" i="76" a="1"/>
  <c r="D13" i="76" s="1"/>
  <c r="E11" i="76" a="1"/>
  <c r="E11" i="76" s="1"/>
  <c r="E10" i="76" a="1"/>
  <c r="E10" i="76" s="1"/>
  <c r="D6" i="76" a="1"/>
  <c r="D6" i="76" s="1"/>
  <c r="D5" i="76" a="1"/>
  <c r="D5" i="76" s="1"/>
  <c r="A20" i="79" l="1"/>
  <c r="A19" i="79"/>
  <c r="A18" i="79"/>
  <c r="A17" i="79"/>
  <c r="A14" i="79"/>
  <c r="A13" i="79"/>
  <c r="A12" i="79"/>
  <c r="A11" i="79"/>
  <c r="A8" i="79"/>
  <c r="A7" i="79"/>
  <c r="A4" i="79"/>
  <c r="A3" i="79"/>
  <c r="A20" i="81"/>
  <c r="A19" i="81"/>
  <c r="A18" i="81"/>
  <c r="A17" i="81"/>
  <c r="A14" i="81"/>
  <c r="A13" i="81"/>
  <c r="A12" i="81"/>
  <c r="A11" i="81"/>
  <c r="A8" i="81"/>
  <c r="A7" i="81"/>
  <c r="A4" i="81"/>
  <c r="A3" i="81"/>
  <c r="A20" i="82"/>
  <c r="A19" i="82"/>
  <c r="A18" i="82"/>
  <c r="A17" i="82"/>
  <c r="A14" i="82"/>
  <c r="A13" i="82"/>
  <c r="A12" i="82"/>
  <c r="A11" i="82"/>
  <c r="A8" i="82"/>
  <c r="A7" i="82"/>
  <c r="A4" i="82"/>
  <c r="A3" i="82"/>
  <c r="A20" i="76"/>
  <c r="A19" i="76"/>
  <c r="A18" i="76"/>
  <c r="A17" i="76"/>
  <c r="A14" i="76"/>
  <c r="A13" i="76"/>
  <c r="A12" i="76"/>
  <c r="A11" i="76"/>
  <c r="A8" i="76"/>
  <c r="A7" i="76"/>
  <c r="A4" i="76"/>
  <c r="A3" i="76"/>
  <c r="A20" i="69"/>
  <c r="A19" i="69"/>
  <c r="A18" i="69"/>
  <c r="A17" i="69"/>
  <c r="A14" i="69"/>
  <c r="A13" i="69"/>
  <c r="A12" i="69"/>
  <c r="A11" i="69"/>
  <c r="A8" i="69"/>
  <c r="A7" i="69"/>
  <c r="A4" i="69"/>
  <c r="A3" i="69"/>
  <c r="A20" i="70"/>
  <c r="A19" i="70"/>
  <c r="A18" i="70"/>
  <c r="A17" i="70"/>
  <c r="A14" i="70"/>
  <c r="A13" i="70"/>
  <c r="A12" i="70"/>
  <c r="A11" i="70"/>
  <c r="A8" i="70"/>
  <c r="A7" i="70"/>
  <c r="A4" i="70"/>
  <c r="A3" i="70"/>
  <c r="A20" i="15"/>
  <c r="A19" i="15"/>
  <c r="A18" i="15"/>
  <c r="A17" i="15"/>
  <c r="A14" i="15"/>
  <c r="A13" i="15"/>
  <c r="A12" i="15"/>
  <c r="A11" i="15"/>
  <c r="A8" i="15"/>
  <c r="A7" i="15"/>
  <c r="A4" i="15"/>
  <c r="A3" i="15"/>
  <c r="A17" i="13"/>
  <c r="A14" i="13"/>
  <c r="A11" i="13"/>
  <c r="A12" i="13"/>
  <c r="A13" i="13"/>
  <c r="A8" i="13"/>
  <c r="H15" i="13"/>
  <c r="F22" i="13"/>
  <c r="F23" i="13"/>
  <c r="F21" i="13"/>
  <c r="H12" i="13"/>
  <c r="H11" i="13"/>
  <c r="N65" i="82" a="1"/>
  <c r="N65" i="82" s="1"/>
  <c r="L62" i="82" a="1"/>
  <c r="L62" i="82" s="1"/>
  <c r="F65" i="82" a="1"/>
  <c r="F65" i="82" s="1"/>
  <c r="D62" i="82" a="1"/>
  <c r="D62" i="82" s="1"/>
  <c r="O57" i="82"/>
  <c r="O56" i="82"/>
  <c r="L53" i="82" a="1"/>
  <c r="L53" i="82" s="1"/>
  <c r="D46" i="82" a="1"/>
  <c r="D46" i="82" s="1"/>
  <c r="H109" i="69"/>
  <c r="G74" i="69"/>
  <c r="G46" i="69"/>
  <c r="H199" i="93" a="1"/>
  <c r="H199" i="93" s="1"/>
  <c r="G199" i="93" a="1"/>
  <c r="G199" i="93" s="1"/>
  <c r="F199" i="93" a="1"/>
  <c r="F199" i="93" s="1"/>
  <c r="E199" i="93" a="1"/>
  <c r="E199" i="93" s="1"/>
  <c r="D199" i="93" a="1"/>
  <c r="D199" i="93" s="1"/>
  <c r="H198" i="93" a="1"/>
  <c r="H198" i="93" s="1"/>
  <c r="G198" i="93" a="1"/>
  <c r="G198" i="93" s="1"/>
  <c r="F198" i="93" a="1"/>
  <c r="F198" i="93" s="1"/>
  <c r="E198" i="93" a="1"/>
  <c r="E198" i="93" s="1"/>
  <c r="D198" i="93" a="1"/>
  <c r="D198" i="93" s="1"/>
  <c r="H197" i="93" a="1"/>
  <c r="H197" i="93" s="1"/>
  <c r="G197" i="93" a="1"/>
  <c r="G197" i="93" s="1"/>
  <c r="F197" i="93" a="1"/>
  <c r="F197" i="93" s="1"/>
  <c r="E197" i="93" a="1"/>
  <c r="E197" i="93" s="1"/>
  <c r="D197" i="93" a="1"/>
  <c r="D197" i="93" s="1"/>
  <c r="H196" i="93" a="1"/>
  <c r="H196" i="93" s="1"/>
  <c r="G196" i="93" a="1"/>
  <c r="G196" i="93" s="1"/>
  <c r="F196" i="93" a="1"/>
  <c r="F196" i="93" s="1"/>
  <c r="E196" i="93" a="1"/>
  <c r="E196" i="93" s="1"/>
  <c r="D196" i="93" a="1"/>
  <c r="D196" i="93" s="1"/>
  <c r="H195" i="93" a="1"/>
  <c r="H195" i="93" s="1"/>
  <c r="G195" i="93" a="1"/>
  <c r="G195" i="93" s="1"/>
  <c r="F195" i="93" a="1"/>
  <c r="F195" i="93" s="1"/>
  <c r="E195" i="93" a="1"/>
  <c r="E195" i="93" s="1"/>
  <c r="D195" i="93" a="1"/>
  <c r="D195" i="93" s="1"/>
  <c r="H194" i="93" a="1"/>
  <c r="H194" i="93" s="1"/>
  <c r="G194" i="93" a="1"/>
  <c r="G194" i="93" s="1"/>
  <c r="F194" i="93" a="1"/>
  <c r="F194" i="93" s="1"/>
  <c r="E194" i="93" a="1"/>
  <c r="E194" i="93" s="1"/>
  <c r="D194" i="93" a="1"/>
  <c r="D194" i="93" s="1"/>
  <c r="H193" i="93" a="1"/>
  <c r="H193" i="93" s="1"/>
  <c r="G193" i="93" a="1"/>
  <c r="G193" i="93" s="1"/>
  <c r="F193" i="93" a="1"/>
  <c r="F193" i="93" s="1"/>
  <c r="E193" i="93" a="1"/>
  <c r="E193" i="93" s="1"/>
  <c r="D193" i="93" a="1"/>
  <c r="D193" i="93" s="1"/>
  <c r="H192" i="93" a="1"/>
  <c r="H192" i="93" s="1"/>
  <c r="G192" i="93" a="1"/>
  <c r="G192" i="93" s="1"/>
  <c r="F192" i="93" a="1"/>
  <c r="F192" i="93" s="1"/>
  <c r="E192" i="93" a="1"/>
  <c r="E192" i="93" s="1"/>
  <c r="D192" i="93" a="1"/>
  <c r="D192" i="93" s="1"/>
  <c r="H191" i="93" a="1"/>
  <c r="H191" i="93" s="1"/>
  <c r="G191" i="93" a="1"/>
  <c r="G191" i="93" s="1"/>
  <c r="F191" i="93" a="1"/>
  <c r="F191" i="93" s="1"/>
  <c r="E191" i="93" a="1"/>
  <c r="E191" i="93" s="1"/>
  <c r="D191" i="93" a="1"/>
  <c r="D191" i="93" s="1"/>
  <c r="H190" i="93" a="1"/>
  <c r="H190" i="93" s="1"/>
  <c r="G190" i="93" a="1"/>
  <c r="G190" i="93" s="1"/>
  <c r="F190" i="93" a="1"/>
  <c r="F190" i="93" s="1"/>
  <c r="E190" i="93" a="1"/>
  <c r="E190" i="93" s="1"/>
  <c r="D190" i="93" a="1"/>
  <c r="D190" i="93" s="1"/>
  <c r="H189" i="93" a="1"/>
  <c r="H189" i="93" s="1"/>
  <c r="G189" i="93" a="1"/>
  <c r="G189" i="93" s="1"/>
  <c r="F189" i="93" a="1"/>
  <c r="F189" i="93" s="1"/>
  <c r="E189" i="93" a="1"/>
  <c r="E189" i="93" s="1"/>
  <c r="D189" i="93" a="1"/>
  <c r="D189" i="93" s="1"/>
  <c r="H188" i="93" a="1"/>
  <c r="H188" i="93" s="1"/>
  <c r="G188" i="93" a="1"/>
  <c r="G188" i="93" s="1"/>
  <c r="F188" i="93" a="1"/>
  <c r="F188" i="93" s="1"/>
  <c r="G28" i="79" s="1"/>
  <c r="E188" i="93" a="1"/>
  <c r="E188" i="93" s="1"/>
  <c r="D188" i="93" a="1"/>
  <c r="D188" i="93" s="1"/>
  <c r="H187" i="93" a="1"/>
  <c r="H187" i="93" s="1"/>
  <c r="G187" i="93" a="1"/>
  <c r="G187" i="93" s="1"/>
  <c r="F187" i="93" a="1"/>
  <c r="F187" i="93" s="1"/>
  <c r="G29" i="79" s="1"/>
  <c r="E187" i="93" a="1"/>
  <c r="E187" i="93" s="1"/>
  <c r="D187" i="93" a="1"/>
  <c r="D187" i="93" s="1"/>
  <c r="D181" i="93" a="1"/>
  <c r="D181" i="93" s="1"/>
  <c r="D180" i="93" a="1"/>
  <c r="D180" i="93" s="1"/>
  <c r="D179" i="93" a="1"/>
  <c r="D179" i="93" s="1"/>
  <c r="D178" i="93" a="1"/>
  <c r="D178" i="93" s="1"/>
  <c r="E175" i="93" a="1"/>
  <c r="E175" i="93" s="1"/>
  <c r="D175" i="93" a="1"/>
  <c r="D175" i="93" s="1"/>
  <c r="D174" i="93" a="1"/>
  <c r="D174" i="93" s="1"/>
  <c r="D173" i="93" a="1"/>
  <c r="D173" i="93" s="1"/>
  <c r="D170" i="93" a="1"/>
  <c r="D170" i="93" s="1"/>
  <c r="D169" i="93" a="1"/>
  <c r="D169" i="93" s="1"/>
  <c r="D168" i="93" a="1"/>
  <c r="D168" i="93" s="1"/>
  <c r="D167" i="93" a="1"/>
  <c r="D167" i="93" s="1"/>
  <c r="D164" i="93" a="1"/>
  <c r="D164" i="93" s="1"/>
  <c r="D163" i="93" a="1"/>
  <c r="D163" i="93" s="1"/>
  <c r="D162" i="93" a="1"/>
  <c r="D162" i="93" s="1"/>
  <c r="D161" i="93" a="1"/>
  <c r="D161" i="93" s="1"/>
  <c r="E158" i="93" a="1"/>
  <c r="E158" i="93" s="1"/>
  <c r="D158" i="93" a="1"/>
  <c r="D158" i="93" s="1"/>
  <c r="E157" i="93" a="1"/>
  <c r="E157" i="93" s="1"/>
  <c r="D157" i="93" a="1"/>
  <c r="D157" i="93" s="1"/>
  <c r="E156" i="93" a="1"/>
  <c r="E156" i="93" s="1"/>
  <c r="D156" i="93" a="1"/>
  <c r="D156" i="93" s="1"/>
  <c r="E155" i="93" a="1"/>
  <c r="E155" i="93" s="1"/>
  <c r="D155" i="93" a="1"/>
  <c r="D155" i="93" s="1"/>
  <c r="E154" i="93" a="1"/>
  <c r="E154" i="93" s="1"/>
  <c r="D154" i="93" a="1"/>
  <c r="D154" i="93" s="1"/>
  <c r="D151" i="93" a="1"/>
  <c r="D151" i="93" s="1"/>
  <c r="D150" i="93" a="1"/>
  <c r="D150" i="93" s="1"/>
  <c r="E136" i="93" a="1"/>
  <c r="E136" i="93" s="1"/>
  <c r="D136" i="93" a="1"/>
  <c r="D136" i="93" s="1"/>
  <c r="E135" i="93" a="1"/>
  <c r="E135" i="93" s="1"/>
  <c r="D135" i="93" a="1"/>
  <c r="D135" i="93" s="1"/>
  <c r="D133" i="93"/>
  <c r="D133" i="93" a="1"/>
  <c r="D132" i="93" a="1"/>
  <c r="D132" i="93" s="1"/>
  <c r="E129" i="93" a="1"/>
  <c r="E129" i="93" s="1"/>
  <c r="D129" i="93" a="1"/>
  <c r="D129" i="93" s="1"/>
  <c r="E128" i="93" a="1"/>
  <c r="E128" i="93" s="1"/>
  <c r="D128" i="93" a="1"/>
  <c r="D128" i="93" s="1"/>
  <c r="D125" i="93" a="1"/>
  <c r="D125" i="93" s="1"/>
  <c r="D124" i="93" a="1"/>
  <c r="D124" i="93" s="1"/>
  <c r="G121" i="93" a="1"/>
  <c r="G121" i="93" s="1"/>
  <c r="F121" i="93" a="1"/>
  <c r="F121" i="93" s="1"/>
  <c r="E121" i="93" a="1"/>
  <c r="E121" i="93" s="1"/>
  <c r="D121" i="93" a="1"/>
  <c r="D121" i="93" s="1"/>
  <c r="G120" i="93" a="1"/>
  <c r="G120" i="93" s="1"/>
  <c r="F120" i="93" a="1"/>
  <c r="F120" i="93" s="1"/>
  <c r="E120" i="93" a="1"/>
  <c r="E120" i="93" s="1"/>
  <c r="D120" i="93" a="1"/>
  <c r="D120" i="93" s="1"/>
  <c r="D117" i="93" a="1"/>
  <c r="D117" i="93" s="1"/>
  <c r="D116" i="93" a="1"/>
  <c r="D116" i="93" s="1"/>
  <c r="D115" i="93" a="1"/>
  <c r="D115" i="93" s="1"/>
  <c r="G112" i="93" a="1"/>
  <c r="G112" i="93" s="1"/>
  <c r="F112" i="93" a="1"/>
  <c r="F112" i="93" s="1"/>
  <c r="E112" i="93" a="1"/>
  <c r="E112" i="93" s="1"/>
  <c r="D112" i="93" a="1"/>
  <c r="D112" i="93" s="1"/>
  <c r="G111" i="93" a="1"/>
  <c r="G111" i="93" s="1"/>
  <c r="F111" i="93" a="1"/>
  <c r="F111" i="93" s="1"/>
  <c r="E111" i="93" a="1"/>
  <c r="E111" i="93" s="1"/>
  <c r="D111" i="93" a="1"/>
  <c r="D111" i="93" s="1"/>
  <c r="G110" i="93" a="1"/>
  <c r="G110" i="93" s="1"/>
  <c r="F110" i="93" a="1"/>
  <c r="F110" i="93" s="1"/>
  <c r="E110" i="93" a="1"/>
  <c r="E110" i="93" s="1"/>
  <c r="D110" i="93" a="1"/>
  <c r="D110" i="93" s="1"/>
  <c r="D107" i="93" a="1"/>
  <c r="D107" i="93" s="1"/>
  <c r="D106" i="93" a="1"/>
  <c r="D106" i="93" s="1"/>
  <c r="D105" i="93" a="1"/>
  <c r="D105" i="93" s="1"/>
  <c r="D98" i="93" a="1"/>
  <c r="D98" i="93" s="1"/>
  <c r="S97" i="93" a="1"/>
  <c r="S97" i="93" s="1"/>
  <c r="R97" i="93" a="1"/>
  <c r="R97" i="93" s="1"/>
  <c r="Q97" i="93" a="1"/>
  <c r="Q97" i="93" s="1"/>
  <c r="P97" i="93" a="1"/>
  <c r="P97" i="93" s="1"/>
  <c r="O97" i="93" a="1"/>
  <c r="O97" i="93" s="1"/>
  <c r="N97" i="93" a="1"/>
  <c r="N97" i="93" s="1"/>
  <c r="M97" i="93" a="1"/>
  <c r="M97" i="93" s="1"/>
  <c r="L97" i="93" a="1"/>
  <c r="L97" i="93" s="1"/>
  <c r="K97" i="93" a="1"/>
  <c r="K97" i="93" s="1"/>
  <c r="J97" i="93" a="1"/>
  <c r="J97" i="93" s="1"/>
  <c r="I97" i="93" a="1"/>
  <c r="I97" i="93" s="1"/>
  <c r="H97" i="93" a="1"/>
  <c r="H97" i="93" s="1"/>
  <c r="G97" i="93" a="1"/>
  <c r="G97" i="93" s="1"/>
  <c r="F97" i="93" a="1"/>
  <c r="F97" i="93" s="1"/>
  <c r="E97" i="93" a="1"/>
  <c r="E97" i="93" s="1"/>
  <c r="D97" i="93" a="1"/>
  <c r="D97" i="93" s="1"/>
  <c r="S96" i="93" a="1"/>
  <c r="S96" i="93" s="1"/>
  <c r="R96" i="93" a="1"/>
  <c r="R96" i="93" s="1"/>
  <c r="Q96" i="93" a="1"/>
  <c r="Q96" i="93" s="1"/>
  <c r="P96" i="93" a="1"/>
  <c r="P96" i="93" s="1"/>
  <c r="O96" i="93" a="1"/>
  <c r="O96" i="93" s="1"/>
  <c r="N96" i="93" a="1"/>
  <c r="N96" i="93" s="1"/>
  <c r="M96" i="93" a="1"/>
  <c r="M96" i="93" s="1"/>
  <c r="L96" i="93" a="1"/>
  <c r="L96" i="93" s="1"/>
  <c r="K96" i="93" a="1"/>
  <c r="K96" i="93" s="1"/>
  <c r="J96" i="93" a="1"/>
  <c r="J96" i="93" s="1"/>
  <c r="I96" i="93" a="1"/>
  <c r="I96" i="93" s="1"/>
  <c r="H96" i="93" a="1"/>
  <c r="H96" i="93" s="1"/>
  <c r="G96" i="93" a="1"/>
  <c r="G96" i="93" s="1"/>
  <c r="F96" i="93" a="1"/>
  <c r="F96" i="93" s="1"/>
  <c r="E96" i="93" a="1"/>
  <c r="E96" i="93" s="1"/>
  <c r="D96" i="93" a="1"/>
  <c r="D96" i="93" s="1"/>
  <c r="S95" i="93" a="1"/>
  <c r="S95" i="93" s="1"/>
  <c r="R95" i="93" a="1"/>
  <c r="R95" i="93" s="1"/>
  <c r="Q95" i="93" a="1"/>
  <c r="Q95" i="93" s="1"/>
  <c r="P95" i="93" a="1"/>
  <c r="P95" i="93" s="1"/>
  <c r="O95" i="93" a="1"/>
  <c r="O95" i="93" s="1"/>
  <c r="N95" i="93" a="1"/>
  <c r="N95" i="93" s="1"/>
  <c r="M95" i="93" a="1"/>
  <c r="M95" i="93" s="1"/>
  <c r="L95" i="93" a="1"/>
  <c r="L95" i="93" s="1"/>
  <c r="K95" i="93" a="1"/>
  <c r="K95" i="93" s="1"/>
  <c r="J95" i="93" a="1"/>
  <c r="J95" i="93" s="1"/>
  <c r="I95" i="93" a="1"/>
  <c r="I95" i="93" s="1"/>
  <c r="H95" i="93" a="1"/>
  <c r="H95" i="93" s="1"/>
  <c r="G95" i="93" a="1"/>
  <c r="G95" i="93" s="1"/>
  <c r="F95" i="93" a="1"/>
  <c r="F95" i="93" s="1"/>
  <c r="E95" i="93" a="1"/>
  <c r="E95" i="93" s="1"/>
  <c r="D95" i="93" a="1"/>
  <c r="D95" i="93" s="1"/>
  <c r="S94" i="93" a="1"/>
  <c r="S94" i="93" s="1"/>
  <c r="R94" i="93" a="1"/>
  <c r="R94" i="93" s="1"/>
  <c r="Q94" i="93" a="1"/>
  <c r="Q94" i="93" s="1"/>
  <c r="P94" i="93" a="1"/>
  <c r="P94" i="93" s="1"/>
  <c r="O94" i="93" a="1"/>
  <c r="O94" i="93" s="1"/>
  <c r="N94" i="93" a="1"/>
  <c r="N94" i="93" s="1"/>
  <c r="M94" i="93" a="1"/>
  <c r="M94" i="93" s="1"/>
  <c r="L94" i="93" a="1"/>
  <c r="L94" i="93" s="1"/>
  <c r="K94" i="93" a="1"/>
  <c r="K94" i="93" s="1"/>
  <c r="J94" i="93" a="1"/>
  <c r="J94" i="93" s="1"/>
  <c r="I94" i="93" a="1"/>
  <c r="I94" i="93" s="1"/>
  <c r="H94" i="93" a="1"/>
  <c r="H94" i="93" s="1"/>
  <c r="G94" i="93" a="1"/>
  <c r="G94" i="93" s="1"/>
  <c r="F94" i="93" a="1"/>
  <c r="F94" i="93" s="1"/>
  <c r="E94" i="93" a="1"/>
  <c r="E94" i="93" s="1"/>
  <c r="D94" i="93" a="1"/>
  <c r="D94" i="93" s="1"/>
  <c r="S93" i="93" a="1"/>
  <c r="S93" i="93" s="1"/>
  <c r="R93" i="93" a="1"/>
  <c r="R93" i="93" s="1"/>
  <c r="Q93" i="93" a="1"/>
  <c r="Q93" i="93" s="1"/>
  <c r="P93" i="93" a="1"/>
  <c r="P93" i="93" s="1"/>
  <c r="O93" i="93" a="1"/>
  <c r="O93" i="93" s="1"/>
  <c r="N93" i="93" a="1"/>
  <c r="N93" i="93" s="1"/>
  <c r="M93" i="93" a="1"/>
  <c r="M93" i="93" s="1"/>
  <c r="L93" i="93" a="1"/>
  <c r="L93" i="93" s="1"/>
  <c r="K93" i="93" a="1"/>
  <c r="K93" i="93" s="1"/>
  <c r="J93" i="93" a="1"/>
  <c r="J93" i="93" s="1"/>
  <c r="I93" i="93" a="1"/>
  <c r="I93" i="93" s="1"/>
  <c r="H93" i="93" a="1"/>
  <c r="H93" i="93" s="1"/>
  <c r="G93" i="93" a="1"/>
  <c r="G93" i="93" s="1"/>
  <c r="F93" i="93" a="1"/>
  <c r="F93" i="93" s="1"/>
  <c r="E93" i="93" a="1"/>
  <c r="E93" i="93" s="1"/>
  <c r="D93" i="93" a="1"/>
  <c r="D93" i="93" s="1"/>
  <c r="S92" i="93" a="1"/>
  <c r="S92" i="93" s="1"/>
  <c r="R92" i="93" a="1"/>
  <c r="R92" i="93" s="1"/>
  <c r="Q92" i="93" a="1"/>
  <c r="Q92" i="93" s="1"/>
  <c r="P92" i="93" a="1"/>
  <c r="P92" i="93" s="1"/>
  <c r="O92" i="93" a="1"/>
  <c r="O92" i="93" s="1"/>
  <c r="N92" i="93" a="1"/>
  <c r="N92" i="93" s="1"/>
  <c r="M92" i="93" a="1"/>
  <c r="M92" i="93" s="1"/>
  <c r="L92" i="93" a="1"/>
  <c r="L92" i="93" s="1"/>
  <c r="K92" i="93" a="1"/>
  <c r="K92" i="93" s="1"/>
  <c r="J92" i="93" a="1"/>
  <c r="J92" i="93" s="1"/>
  <c r="I92" i="93" a="1"/>
  <c r="I92" i="93" s="1"/>
  <c r="H92" i="93" a="1"/>
  <c r="H92" i="93" s="1"/>
  <c r="G92" i="93" a="1"/>
  <c r="G92" i="93" s="1"/>
  <c r="F92" i="93" a="1"/>
  <c r="F92" i="93" s="1"/>
  <c r="E92" i="93" a="1"/>
  <c r="E92" i="93" s="1"/>
  <c r="D92" i="93" a="1"/>
  <c r="D92" i="93" s="1"/>
  <c r="S91" i="93" a="1"/>
  <c r="S91" i="93" s="1"/>
  <c r="R91" i="93" a="1"/>
  <c r="R91" i="93" s="1"/>
  <c r="Q91" i="93" a="1"/>
  <c r="Q91" i="93" s="1"/>
  <c r="P91" i="93" a="1"/>
  <c r="P91" i="93" s="1"/>
  <c r="O91" i="93" a="1"/>
  <c r="O91" i="93" s="1"/>
  <c r="N91" i="93" a="1"/>
  <c r="N91" i="93" s="1"/>
  <c r="M91" i="93" a="1"/>
  <c r="M91" i="93" s="1"/>
  <c r="L91" i="93" a="1"/>
  <c r="L91" i="93" s="1"/>
  <c r="K91" i="93" a="1"/>
  <c r="K91" i="93" s="1"/>
  <c r="J91" i="93" a="1"/>
  <c r="J91" i="93" s="1"/>
  <c r="I91" i="93" a="1"/>
  <c r="I91" i="93" s="1"/>
  <c r="H91" i="93" a="1"/>
  <c r="H91" i="93" s="1"/>
  <c r="G91" i="93" a="1"/>
  <c r="G91" i="93" s="1"/>
  <c r="F91" i="93" a="1"/>
  <c r="F91" i="93" s="1"/>
  <c r="E91" i="93" a="1"/>
  <c r="E91" i="93" s="1"/>
  <c r="D91" i="93" a="1"/>
  <c r="D91" i="93" s="1"/>
  <c r="S90" i="93" a="1"/>
  <c r="S90" i="93" s="1"/>
  <c r="R90" i="93" a="1"/>
  <c r="R90" i="93" s="1"/>
  <c r="Q90" i="93" a="1"/>
  <c r="Q90" i="93" s="1"/>
  <c r="P90" i="93" a="1"/>
  <c r="P90" i="93" s="1"/>
  <c r="O90" i="93" a="1"/>
  <c r="O90" i="93" s="1"/>
  <c r="N90" i="93" a="1"/>
  <c r="N90" i="93" s="1"/>
  <c r="M90" i="93" a="1"/>
  <c r="M90" i="93" s="1"/>
  <c r="L90" i="93" a="1"/>
  <c r="L90" i="93" s="1"/>
  <c r="K90" i="93" a="1"/>
  <c r="K90" i="93" s="1"/>
  <c r="J90" i="93" a="1"/>
  <c r="J90" i="93" s="1"/>
  <c r="I90" i="93" a="1"/>
  <c r="I90" i="93" s="1"/>
  <c r="H90" i="93" a="1"/>
  <c r="H90" i="93" s="1"/>
  <c r="G90" i="93" a="1"/>
  <c r="G90" i="93" s="1"/>
  <c r="F90" i="93" a="1"/>
  <c r="F90" i="93" s="1"/>
  <c r="E90" i="93" a="1"/>
  <c r="E90" i="93" s="1"/>
  <c r="D90" i="93" a="1"/>
  <c r="D90" i="93" s="1"/>
  <c r="D83" i="93" a="1"/>
  <c r="D83" i="93" s="1"/>
  <c r="D82" i="93" a="1"/>
  <c r="D82" i="93" s="1"/>
  <c r="D81" i="93" a="1"/>
  <c r="D81" i="93" s="1"/>
  <c r="E77" i="93" a="1"/>
  <c r="E77" i="93" s="1"/>
  <c r="D77" i="93" a="1"/>
  <c r="D77" i="93" s="1"/>
  <c r="E76" i="93" a="1"/>
  <c r="E76" i="93" s="1"/>
  <c r="D76" i="93" a="1"/>
  <c r="D76" i="93" s="1"/>
  <c r="E75" i="93" a="1"/>
  <c r="E75" i="93" s="1"/>
  <c r="D75" i="93" a="1"/>
  <c r="D75" i="93" s="1"/>
  <c r="E74" i="93" a="1"/>
  <c r="E74" i="93" s="1"/>
  <c r="D74" i="93" a="1"/>
  <c r="D74" i="93" s="1"/>
  <c r="E73" i="93" a="1"/>
  <c r="E73" i="93" s="1"/>
  <c r="D73" i="93" a="1"/>
  <c r="D73" i="93" s="1"/>
  <c r="E72" i="93" a="1"/>
  <c r="E72" i="93" s="1"/>
  <c r="D72" i="93" a="1"/>
  <c r="D72" i="93" s="1"/>
  <c r="E71" i="93" a="1"/>
  <c r="E71" i="93" s="1"/>
  <c r="D71" i="93" a="1"/>
  <c r="D71" i="93" s="1"/>
  <c r="E70" i="93" a="1"/>
  <c r="E70" i="93" s="1"/>
  <c r="D70" i="93" a="1"/>
  <c r="D70" i="93" s="1"/>
  <c r="E69" i="93" a="1"/>
  <c r="E69" i="93" s="1"/>
  <c r="D69" i="93" a="1"/>
  <c r="D69" i="93" s="1"/>
  <c r="E68" i="93" a="1"/>
  <c r="E68" i="93" s="1"/>
  <c r="D68" i="93" a="1"/>
  <c r="D68" i="93" s="1"/>
  <c r="E67" i="93" a="1"/>
  <c r="E67" i="93" s="1"/>
  <c r="D67" i="93" a="1"/>
  <c r="D67" i="93" s="1"/>
  <c r="E66" i="93" a="1"/>
  <c r="E66" i="93" s="1"/>
  <c r="D66" i="93" a="1"/>
  <c r="D66" i="93" s="1"/>
  <c r="E65" i="93" a="1"/>
  <c r="E65" i="93" s="1"/>
  <c r="D65" i="93" a="1"/>
  <c r="D65" i="93" s="1"/>
  <c r="E64" i="93" a="1"/>
  <c r="E64" i="93" s="1"/>
  <c r="D64" i="93" a="1"/>
  <c r="D64" i="93" s="1"/>
  <c r="D59" i="93" a="1"/>
  <c r="D59" i="93" s="1"/>
  <c r="D58" i="93" a="1"/>
  <c r="D58" i="93" s="1"/>
  <c r="D57" i="93" a="1"/>
  <c r="D57" i="93" s="1"/>
  <c r="G54" i="93" a="1"/>
  <c r="G54" i="93" s="1"/>
  <c r="F54" i="93" a="1"/>
  <c r="F54" i="93" s="1"/>
  <c r="E54" i="93" a="1"/>
  <c r="E54" i="93" s="1"/>
  <c r="D54" i="93" a="1"/>
  <c r="D54" i="93" s="1"/>
  <c r="G53" i="93" a="1"/>
  <c r="G53" i="93" s="1"/>
  <c r="F53" i="93" a="1"/>
  <c r="F53" i="93" s="1"/>
  <c r="E53" i="93" a="1"/>
  <c r="E53" i="93" s="1"/>
  <c r="D53" i="93" a="1"/>
  <c r="D53" i="93" s="1"/>
  <c r="G52" i="93" a="1"/>
  <c r="G52" i="93" s="1"/>
  <c r="F52" i="93" a="1"/>
  <c r="F52" i="93" s="1"/>
  <c r="E52" i="93" a="1"/>
  <c r="E52" i="93" s="1"/>
  <c r="D52" i="93" a="1"/>
  <c r="D52" i="93" s="1"/>
  <c r="G51" i="93" a="1"/>
  <c r="G51" i="93" s="1"/>
  <c r="F51" i="93" a="1"/>
  <c r="F51" i="93" s="1"/>
  <c r="E51" i="93" a="1"/>
  <c r="E51" i="93" s="1"/>
  <c r="D51" i="93" a="1"/>
  <c r="D51" i="93" s="1"/>
  <c r="G50" i="93" a="1"/>
  <c r="G50" i="93" s="1"/>
  <c r="F50" i="93" a="1"/>
  <c r="F50" i="93" s="1"/>
  <c r="E50" i="93" a="1"/>
  <c r="E50" i="93" s="1"/>
  <c r="D50" i="93" a="1"/>
  <c r="D50" i="93" s="1"/>
  <c r="G49" i="93" a="1"/>
  <c r="G49" i="93" s="1"/>
  <c r="F49" i="93" a="1"/>
  <c r="F49" i="93" s="1"/>
  <c r="E49" i="93" a="1"/>
  <c r="E49" i="93" s="1"/>
  <c r="D49" i="93" a="1"/>
  <c r="D49" i="93" s="1"/>
  <c r="G48" i="93" a="1"/>
  <c r="G48" i="93" s="1"/>
  <c r="F48" i="93" a="1"/>
  <c r="F48" i="93" s="1"/>
  <c r="E48" i="93" a="1"/>
  <c r="E48" i="93" s="1"/>
  <c r="D48" i="93" a="1"/>
  <c r="D48" i="93" s="1"/>
  <c r="D46" i="93"/>
  <c r="D46" i="93" a="1"/>
  <c r="D45" i="93"/>
  <c r="D45" i="93" a="1"/>
  <c r="E43" i="93" a="1"/>
  <c r="E43" i="93" s="1"/>
  <c r="D43" i="93" a="1"/>
  <c r="D43" i="93" s="1"/>
  <c r="E42" i="93" a="1"/>
  <c r="E42" i="93" s="1"/>
  <c r="D42" i="93" a="1"/>
  <c r="D42" i="93" s="1"/>
  <c r="E41" i="93" a="1"/>
  <c r="E41" i="93" s="1"/>
  <c r="D41" i="93" a="1"/>
  <c r="D41" i="93" s="1"/>
  <c r="E40" i="93" a="1"/>
  <c r="E40" i="93" s="1"/>
  <c r="D40" i="93" a="1"/>
  <c r="D40" i="93" s="1"/>
  <c r="E39" i="93" a="1"/>
  <c r="E39" i="93" s="1"/>
  <c r="D39" i="93" a="1"/>
  <c r="D39" i="93" s="1"/>
  <c r="E38" i="93" a="1"/>
  <c r="E38" i="93" s="1"/>
  <c r="D38" i="93" a="1"/>
  <c r="D38" i="93" s="1"/>
  <c r="E37" i="93" a="1"/>
  <c r="E37" i="93" s="1"/>
  <c r="D37" i="93" a="1"/>
  <c r="D37" i="93" s="1"/>
  <c r="D35" i="93" a="1"/>
  <c r="D35" i="93" s="1"/>
  <c r="D34" i="93"/>
  <c r="D34" i="93" a="1"/>
  <c r="D30" i="93" a="1"/>
  <c r="D30" i="93" s="1"/>
  <c r="D29" i="93" a="1"/>
  <c r="D29" i="93" s="1"/>
  <c r="D28" i="93" a="1"/>
  <c r="D28" i="93" s="1"/>
  <c r="D27" i="93" a="1"/>
  <c r="D27" i="93" s="1"/>
  <c r="D26" i="93" a="1"/>
  <c r="D26" i="93" s="1"/>
  <c r="D25" i="93" a="1"/>
  <c r="D25" i="93" s="1"/>
  <c r="D24" i="93" a="1"/>
  <c r="D24" i="93" s="1"/>
  <c r="D23" i="93" a="1"/>
  <c r="D23" i="93" s="1"/>
  <c r="D22" i="93" a="1"/>
  <c r="D22" i="93" s="1"/>
  <c r="D21" i="93" a="1"/>
  <c r="D21" i="93" s="1"/>
  <c r="D19" i="93"/>
  <c r="D19" i="93" a="1"/>
  <c r="D18" i="93"/>
  <c r="D18" i="93" a="1"/>
  <c r="F14" i="93" a="1"/>
  <c r="F14" i="93" s="1"/>
  <c r="E14" i="93" a="1"/>
  <c r="E14" i="93" s="1"/>
  <c r="D14" i="93" a="1"/>
  <c r="D14" i="93" s="1"/>
  <c r="F13" i="93" a="1"/>
  <c r="F13" i="93" s="1"/>
  <c r="E13" i="93" a="1"/>
  <c r="E13" i="93" s="1"/>
  <c r="D13" i="93" a="1"/>
  <c r="D13" i="93" s="1"/>
  <c r="F12" i="93" a="1"/>
  <c r="F12" i="93" s="1"/>
  <c r="E12" i="93" a="1"/>
  <c r="E12" i="93" s="1"/>
  <c r="D12" i="93" a="1"/>
  <c r="D12" i="93" s="1"/>
  <c r="F11" i="93" a="1"/>
  <c r="F11" i="93" s="1"/>
  <c r="E11" i="93" a="1"/>
  <c r="E11" i="93" s="1"/>
  <c r="D11" i="93" a="1"/>
  <c r="D11" i="93" s="1"/>
  <c r="F10" i="93" a="1"/>
  <c r="F10" i="93" s="1"/>
  <c r="E10" i="93" a="1"/>
  <c r="E10" i="93" s="1"/>
  <c r="D10" i="93" a="1"/>
  <c r="D10" i="93" s="1"/>
  <c r="F9" i="93" a="1"/>
  <c r="F9" i="93" s="1"/>
  <c r="E9" i="93" a="1"/>
  <c r="E9" i="93" s="1"/>
  <c r="D9" i="93" a="1"/>
  <c r="D9" i="93" s="1"/>
  <c r="F8" i="93" a="1"/>
  <c r="F8" i="93" s="1"/>
  <c r="E8" i="93" a="1"/>
  <c r="E8" i="93" s="1"/>
  <c r="D8" i="93" a="1"/>
  <c r="D8" i="93" s="1"/>
  <c r="F7" i="93" a="1"/>
  <c r="F7" i="93" s="1"/>
  <c r="E7" i="93" a="1"/>
  <c r="E7" i="93" s="1"/>
  <c r="D7" i="93" a="1"/>
  <c r="D7" i="93" s="1"/>
  <c r="D5" i="93" a="1"/>
  <c r="D5" i="93" s="1"/>
  <c r="G56" i="82"/>
  <c r="G57" i="82"/>
  <c r="E47" i="82" a="1"/>
  <c r="O63" i="82" l="1"/>
  <c r="P167" i="69"/>
  <c r="G63" i="82"/>
  <c r="E47" i="82"/>
  <c r="H110" i="69"/>
  <c r="E31" i="15"/>
  <c r="E32" i="15" s="1"/>
  <c r="E30" i="15"/>
  <c r="E33" i="15"/>
  <c r="G210" i="76"/>
  <c r="O210" i="76"/>
  <c r="G47" i="69"/>
  <c r="G75" i="69"/>
  <c r="G167" i="69"/>
  <c r="H54" i="93"/>
  <c r="H50" i="93"/>
  <c r="G55" i="82" s="1"/>
  <c r="H51" i="93"/>
  <c r="H52" i="93"/>
  <c r="H48" i="93"/>
  <c r="H53" i="93"/>
  <c r="H49" i="93"/>
  <c r="E51" i="82" a="1"/>
  <c r="E51" i="82" s="1"/>
  <c r="E50" i="82" a="1"/>
  <c r="E50" i="82" s="1"/>
  <c r="D53" i="82" a="1"/>
  <c r="D53" i="82" s="1"/>
  <c r="D45" i="82" a="1"/>
  <c r="D45" i="82" s="1"/>
  <c r="L36" i="82"/>
  <c r="L20" i="82"/>
  <c r="D36" i="82"/>
  <c r="G15" i="82"/>
  <c r="D28" i="82"/>
  <c r="G14" i="82"/>
  <c r="D20" i="82"/>
  <c r="D6" i="82" a="1"/>
  <c r="D6" i="82" s="1"/>
  <c r="E11" i="82" a="1"/>
  <c r="E11" i="82" s="1"/>
  <c r="E12" i="82" a="1"/>
  <c r="E12" i="82" s="1"/>
  <c r="F41" i="82" s="1"/>
  <c r="D14" i="82" a="1"/>
  <c r="D14" i="82" s="1"/>
  <c r="D5" i="82" a="1"/>
  <c r="D5" i="82" s="1"/>
  <c r="G114" i="81"/>
  <c r="F114" i="81"/>
  <c r="E114" i="81"/>
  <c r="G113" i="81"/>
  <c r="F113" i="81"/>
  <c r="E113" i="81"/>
  <c r="G112" i="81"/>
  <c r="F112" i="81"/>
  <c r="E112" i="81"/>
  <c r="H72" i="81"/>
  <c r="H71" i="81"/>
  <c r="H70" i="81"/>
  <c r="H69" i="81"/>
  <c r="H17" i="81"/>
  <c r="H16" i="81"/>
  <c r="H15" i="81"/>
  <c r="H14" i="81"/>
  <c r="D61" i="81" a="1"/>
  <c r="D61" i="81" s="1"/>
  <c r="D85" i="81" s="1"/>
  <c r="E66" i="81" a="1"/>
  <c r="E66" i="81" s="1"/>
  <c r="E67" i="81" a="1"/>
  <c r="E67" i="81" s="1"/>
  <c r="D69" i="81" a="1"/>
  <c r="D69" i="81" s="1"/>
  <c r="D60" i="81" a="1"/>
  <c r="D60" i="81" s="1"/>
  <c r="G95" i="81"/>
  <c r="F95" i="81"/>
  <c r="E95" i="81"/>
  <c r="G94" i="81"/>
  <c r="F94" i="81"/>
  <c r="E94" i="81"/>
  <c r="G93" i="81"/>
  <c r="F93" i="81"/>
  <c r="E93" i="81"/>
  <c r="D6" i="81" a="1"/>
  <c r="D6" i="81" s="1"/>
  <c r="G47" i="81"/>
  <c r="F47" i="81"/>
  <c r="G59" i="70"/>
  <c r="F59" i="70"/>
  <c r="E59" i="70"/>
  <c r="E47" i="81" s="1"/>
  <c r="G36" i="70"/>
  <c r="F36" i="70"/>
  <c r="E36" i="70"/>
  <c r="D37" i="81"/>
  <c r="D29" i="81"/>
  <c r="E11" i="81" a="1"/>
  <c r="E11" i="81" s="1"/>
  <c r="E12" i="81" a="1"/>
  <c r="E12" i="81" s="1"/>
  <c r="F81" i="81" s="1"/>
  <c r="D14" i="81" a="1"/>
  <c r="D14" i="81" s="1"/>
  <c r="D5" i="81" a="1"/>
  <c r="D5" i="81" s="1"/>
  <c r="O169" i="69" a="1"/>
  <c r="O169" i="69" s="1"/>
  <c r="H8" i="13" s="1"/>
  <c r="M166" i="69" a="1"/>
  <c r="M166" i="69" s="1"/>
  <c r="N158" i="69"/>
  <c r="N145" i="69"/>
  <c r="M57" i="69"/>
  <c r="N212" i="76" a="1"/>
  <c r="N212" i="76" s="1"/>
  <c r="H10" i="13" s="1"/>
  <c r="L209" i="76" a="1"/>
  <c r="L209" i="76" s="1"/>
  <c r="L202" i="76"/>
  <c r="D209" i="76" a="1"/>
  <c r="D209" i="76" s="1"/>
  <c r="F212" i="76" a="1"/>
  <c r="F212" i="76" s="1"/>
  <c r="H9" i="13" s="1"/>
  <c r="D202" i="76"/>
  <c r="G188" i="76"/>
  <c r="D194" i="76"/>
  <c r="G187" i="76"/>
  <c r="E62" i="81" a="1"/>
  <c r="E7" i="82" a="1"/>
  <c r="E180" i="76" a="1"/>
  <c r="E7" i="81" a="1"/>
  <c r="G58" i="82" l="1"/>
  <c r="O58" i="82"/>
  <c r="O55" i="82"/>
  <c r="N60" i="82"/>
  <c r="F12" i="13" s="1"/>
  <c r="F60" i="82"/>
  <c r="F11" i="13" s="1"/>
  <c r="G189" i="76"/>
  <c r="H37" i="82"/>
  <c r="H38" i="82"/>
  <c r="H39" i="82"/>
  <c r="H53" i="81"/>
  <c r="H36" i="82"/>
  <c r="N41" i="82"/>
  <c r="P121" i="81"/>
  <c r="E7" i="82"/>
  <c r="F123" i="81"/>
  <c r="N123" i="81"/>
  <c r="P52" i="81"/>
  <c r="P54" i="81"/>
  <c r="N56" i="81"/>
  <c r="P101" i="81"/>
  <c r="P102" i="81"/>
  <c r="N81" i="81"/>
  <c r="E62" i="81"/>
  <c r="E7" i="81"/>
  <c r="H77" i="81"/>
  <c r="H119" i="81"/>
  <c r="H79" i="81"/>
  <c r="H100" i="81"/>
  <c r="H120" i="81"/>
  <c r="H101" i="81"/>
  <c r="P120" i="81"/>
  <c r="H78" i="81"/>
  <c r="P119" i="81"/>
  <c r="P77" i="81"/>
  <c r="P78" i="81"/>
  <c r="H52" i="81"/>
  <c r="H102" i="81"/>
  <c r="P100" i="81"/>
  <c r="H121" i="81"/>
  <c r="P79" i="81"/>
  <c r="H54" i="81"/>
  <c r="P53" i="81"/>
  <c r="F104" i="81"/>
  <c r="N104" i="81"/>
  <c r="F56" i="81"/>
  <c r="E180" i="76"/>
  <c r="G54" i="82" l="1"/>
  <c r="O54" i="82"/>
  <c r="G161" i="76"/>
  <c r="G144" i="76"/>
  <c r="G119" i="76"/>
  <c r="G118" i="76"/>
  <c r="G95" i="76"/>
  <c r="G149" i="76"/>
  <c r="G141" i="76"/>
  <c r="G162" i="76"/>
  <c r="G168" i="76"/>
  <c r="F168" i="76"/>
  <c r="E168" i="76"/>
  <c r="G167" i="76"/>
  <c r="F167" i="76"/>
  <c r="E167" i="76"/>
  <c r="H81" i="69"/>
  <c r="H80" i="69"/>
  <c r="G81" i="69"/>
  <c r="G80" i="69"/>
  <c r="F81" i="69"/>
  <c r="F80" i="69"/>
  <c r="L106" i="76"/>
  <c r="E101" i="76"/>
  <c r="D106" i="76"/>
  <c r="G96" i="76"/>
  <c r="G101" i="76"/>
  <c r="F101" i="76"/>
  <c r="D101" i="76"/>
  <c r="P106" i="76"/>
  <c r="G66" i="76"/>
  <c r="F73" i="76"/>
  <c r="E73" i="76"/>
  <c r="D73" i="76"/>
  <c r="G68" i="76"/>
  <c r="F78" i="76"/>
  <c r="E78" i="76"/>
  <c r="D78" i="76"/>
  <c r="G67" i="76"/>
  <c r="O83" i="76"/>
  <c r="G44" i="76"/>
  <c r="G43" i="76"/>
  <c r="O54" i="76"/>
  <c r="D117" i="79" a="1"/>
  <c r="D117" i="79" s="1"/>
  <c r="E117" i="79" a="1"/>
  <c r="E117" i="79" s="1"/>
  <c r="F117" i="79" a="1"/>
  <c r="F117" i="79" s="1"/>
  <c r="G117" i="79" a="1"/>
  <c r="G117" i="79" s="1"/>
  <c r="D116" i="79" a="1"/>
  <c r="D116" i="79" s="1"/>
  <c r="E116" i="79" a="1"/>
  <c r="E116" i="79" s="1"/>
  <c r="F116" i="79" a="1"/>
  <c r="F116" i="79" s="1"/>
  <c r="G116" i="79" a="1"/>
  <c r="G116" i="79" s="1"/>
  <c r="D115" i="79" a="1"/>
  <c r="D115" i="79" s="1"/>
  <c r="E115" i="79" a="1"/>
  <c r="E115" i="79" s="1"/>
  <c r="F115" i="79" a="1"/>
  <c r="F115" i="79" s="1"/>
  <c r="G115" i="79" a="1"/>
  <c r="G115" i="79" s="1"/>
  <c r="D114" i="79" a="1"/>
  <c r="D114" i="79" s="1"/>
  <c r="E114" i="79" a="1"/>
  <c r="E114" i="79" s="1"/>
  <c r="F114" i="79" a="1"/>
  <c r="F114" i="79" s="1"/>
  <c r="G114" i="79" a="1"/>
  <c r="G114" i="79" s="1"/>
  <c r="G113" i="79" a="1"/>
  <c r="G113" i="79" s="1"/>
  <c r="F113" i="79" a="1"/>
  <c r="F113" i="79" s="1"/>
  <c r="G142" i="76" s="1"/>
  <c r="E113" i="79" a="1"/>
  <c r="E113" i="79" s="1"/>
  <c r="D113" i="79" a="1"/>
  <c r="D113" i="79" s="1"/>
  <c r="D109" i="79" a="1"/>
  <c r="D109" i="79" s="1"/>
  <c r="D110" i="79" a="1"/>
  <c r="D110" i="79" s="1"/>
  <c r="D108" i="79" a="1"/>
  <c r="D108" i="79" s="1"/>
  <c r="G105" i="79" a="1"/>
  <c r="G105" i="79" s="1"/>
  <c r="D105" i="79" a="1"/>
  <c r="D105" i="79" s="1"/>
  <c r="E105" i="79" a="1"/>
  <c r="E105" i="79" s="1"/>
  <c r="F105" i="79" a="1"/>
  <c r="F105" i="79" s="1"/>
  <c r="G104" i="79" a="1"/>
  <c r="G104" i="79" s="1"/>
  <c r="D104" i="79" a="1"/>
  <c r="D104" i="79" s="1"/>
  <c r="E104" i="79" a="1"/>
  <c r="E104" i="79" s="1"/>
  <c r="F104" i="79" a="1"/>
  <c r="F104" i="79" s="1"/>
  <c r="G103" i="79" a="1"/>
  <c r="G103" i="79" s="1"/>
  <c r="D103" i="79" a="1"/>
  <c r="D103" i="79" s="1"/>
  <c r="E103" i="79" a="1"/>
  <c r="E103" i="79" s="1"/>
  <c r="F103" i="79" a="1"/>
  <c r="F103" i="79" s="1"/>
  <c r="G102" i="79" a="1"/>
  <c r="G102" i="79" s="1"/>
  <c r="G101" i="79" a="1"/>
  <c r="G101" i="79" s="1"/>
  <c r="D102" i="79" a="1"/>
  <c r="D102" i="79" s="1"/>
  <c r="E102" i="79" a="1"/>
  <c r="E102" i="79" s="1"/>
  <c r="F102" i="79" a="1"/>
  <c r="F102" i="79" s="1"/>
  <c r="F101" i="79" a="1"/>
  <c r="F101" i="79" s="1"/>
  <c r="G143" i="76" s="1"/>
  <c r="E101" i="79" a="1"/>
  <c r="E101" i="79" s="1"/>
  <c r="D101" i="79" a="1"/>
  <c r="D101" i="79" s="1"/>
  <c r="D97" i="79" a="1"/>
  <c r="D97" i="79" s="1"/>
  <c r="D98" i="79" a="1"/>
  <c r="D98" i="79" s="1"/>
  <c r="D96" i="79" a="1"/>
  <c r="D96" i="79" s="1"/>
  <c r="D41" i="79" a="1"/>
  <c r="D41" i="79" s="1"/>
  <c r="E41" i="79" a="1"/>
  <c r="E41" i="79" s="1"/>
  <c r="D40" i="79" a="1"/>
  <c r="D40" i="79" s="1"/>
  <c r="E40" i="79" a="1"/>
  <c r="E40" i="79" s="1"/>
  <c r="E39" i="79" a="1"/>
  <c r="E39" i="79" s="1"/>
  <c r="D39" i="79" a="1"/>
  <c r="D39" i="79" s="1"/>
  <c r="D37" i="79" a="1"/>
  <c r="D37" i="79" s="1"/>
  <c r="D36" i="79" a="1"/>
  <c r="D36" i="79" s="1"/>
  <c r="D58" i="79" a="1"/>
  <c r="D58" i="79" s="1"/>
  <c r="E58" i="79" a="1"/>
  <c r="E58" i="79" s="1"/>
  <c r="F58" i="79" a="1"/>
  <c r="F58" i="79" s="1"/>
  <c r="G58" i="79" a="1"/>
  <c r="G58" i="79" s="1"/>
  <c r="H58" i="79" a="1"/>
  <c r="H58" i="79" s="1"/>
  <c r="I58" i="79" a="1"/>
  <c r="I58" i="79" s="1"/>
  <c r="J58" i="79" a="1"/>
  <c r="J58" i="79" s="1"/>
  <c r="D57" i="79" a="1"/>
  <c r="D57" i="79" s="1"/>
  <c r="E57" i="79" a="1"/>
  <c r="E57" i="79" s="1"/>
  <c r="F57" i="79" a="1"/>
  <c r="F57" i="79" s="1"/>
  <c r="G57" i="79" a="1"/>
  <c r="G57" i="79" s="1"/>
  <c r="H57" i="79" a="1"/>
  <c r="H57" i="79" s="1"/>
  <c r="I57" i="79" a="1"/>
  <c r="I57" i="79" s="1"/>
  <c r="J57" i="79" a="1"/>
  <c r="J57" i="79" s="1"/>
  <c r="D56" i="79" a="1"/>
  <c r="D56" i="79" s="1"/>
  <c r="E56" i="79" a="1"/>
  <c r="E56" i="79" s="1"/>
  <c r="F56" i="79" a="1"/>
  <c r="F56" i="79" s="1"/>
  <c r="G56" i="79" a="1"/>
  <c r="G56" i="79" s="1"/>
  <c r="H56" i="79" a="1"/>
  <c r="H56" i="79" s="1"/>
  <c r="I56" i="79" a="1"/>
  <c r="I56" i="79" s="1"/>
  <c r="J56" i="79" a="1"/>
  <c r="J56" i="79" s="1"/>
  <c r="D55" i="79" a="1"/>
  <c r="D55" i="79" s="1"/>
  <c r="E55" i="79" a="1"/>
  <c r="E55" i="79" s="1"/>
  <c r="F55" i="79" a="1"/>
  <c r="F55" i="79" s="1"/>
  <c r="G55" i="79" a="1"/>
  <c r="G55" i="79" s="1"/>
  <c r="H55" i="79" a="1"/>
  <c r="H55" i="79" s="1"/>
  <c r="I55" i="79" a="1"/>
  <c r="I55" i="79" s="1"/>
  <c r="J55" i="79" a="1"/>
  <c r="J55" i="79" s="1"/>
  <c r="D54" i="79" a="1"/>
  <c r="D54" i="79" s="1"/>
  <c r="E54" i="79" a="1"/>
  <c r="E54" i="79" s="1"/>
  <c r="F54" i="79" a="1"/>
  <c r="F54" i="79" s="1"/>
  <c r="G54" i="79" a="1"/>
  <c r="G54" i="79" s="1"/>
  <c r="H54" i="79" a="1"/>
  <c r="H54" i="79" s="1"/>
  <c r="I54" i="79" a="1"/>
  <c r="I54" i="79" s="1"/>
  <c r="J54" i="79" a="1"/>
  <c r="J54" i="79" s="1"/>
  <c r="D53" i="79" a="1"/>
  <c r="D53" i="79" s="1"/>
  <c r="E53" i="79" a="1"/>
  <c r="E53" i="79" s="1"/>
  <c r="F53" i="79" a="1"/>
  <c r="F53" i="79" s="1"/>
  <c r="G53" i="79" a="1"/>
  <c r="G53" i="79" s="1"/>
  <c r="H53" i="79" a="1"/>
  <c r="H53" i="79" s="1"/>
  <c r="I53" i="79" a="1"/>
  <c r="I53" i="79" s="1"/>
  <c r="J53" i="79" a="1"/>
  <c r="J53" i="79" s="1"/>
  <c r="D52" i="79" a="1"/>
  <c r="D52" i="79" s="1"/>
  <c r="E52" i="79" a="1"/>
  <c r="E52" i="79" s="1"/>
  <c r="F52" i="79" a="1"/>
  <c r="F52" i="79" s="1"/>
  <c r="G52" i="79" a="1"/>
  <c r="G52" i="79" s="1"/>
  <c r="H52" i="79" a="1"/>
  <c r="H52" i="79" s="1"/>
  <c r="I52" i="79" a="1"/>
  <c r="I52" i="79" s="1"/>
  <c r="J52" i="79" a="1"/>
  <c r="J52" i="79" s="1"/>
  <c r="D51" i="79" a="1"/>
  <c r="D51" i="79" s="1"/>
  <c r="E51" i="79" a="1"/>
  <c r="E51" i="79" s="1"/>
  <c r="F51" i="79" a="1"/>
  <c r="F51" i="79" s="1"/>
  <c r="G51" i="79" a="1"/>
  <c r="G51" i="79" s="1"/>
  <c r="H51" i="79" a="1"/>
  <c r="H51" i="79" s="1"/>
  <c r="I51" i="79" a="1"/>
  <c r="I51" i="79" s="1"/>
  <c r="J51" i="79" a="1"/>
  <c r="J51" i="79" s="1"/>
  <c r="J50" i="79" a="1"/>
  <c r="J50" i="79" s="1"/>
  <c r="I50" i="79" a="1"/>
  <c r="I50" i="79" s="1"/>
  <c r="H50" i="79" a="1"/>
  <c r="H50" i="79" s="1"/>
  <c r="G50" i="79" a="1"/>
  <c r="G50" i="79" s="1"/>
  <c r="F50" i="79" a="1"/>
  <c r="F50" i="79" s="1"/>
  <c r="E50" i="79" a="1"/>
  <c r="E50" i="79" s="1"/>
  <c r="D50" i="79" a="1"/>
  <c r="D50" i="79" s="1"/>
  <c r="D45" i="79" a="1"/>
  <c r="D45" i="79" s="1"/>
  <c r="D46" i="79" a="1"/>
  <c r="D46" i="79" s="1"/>
  <c r="D44" i="79" a="1"/>
  <c r="D44" i="79" s="1"/>
  <c r="G14" i="76"/>
  <c r="G13" i="76"/>
  <c r="D61" i="79" a="1"/>
  <c r="D61" i="79" s="1"/>
  <c r="D62" i="79" a="1"/>
  <c r="D62" i="79" s="1"/>
  <c r="D63" i="79" a="1"/>
  <c r="D63" i="79" s="1"/>
  <c r="D67" i="79" a="1"/>
  <c r="D67" i="79" s="1"/>
  <c r="E67" i="79" a="1"/>
  <c r="E67" i="79" s="1"/>
  <c r="F67" i="79" a="1"/>
  <c r="F67" i="79" s="1"/>
  <c r="G67" i="79" a="1"/>
  <c r="G67" i="79" s="1"/>
  <c r="H67" i="79" a="1"/>
  <c r="H67" i="79" s="1"/>
  <c r="I67" i="79" a="1"/>
  <c r="I67" i="79" s="1"/>
  <c r="J67" i="79" a="1"/>
  <c r="J67" i="79" s="1"/>
  <c r="D68" i="79" a="1"/>
  <c r="D68" i="79" s="1"/>
  <c r="E68" i="79" a="1"/>
  <c r="E68" i="79" s="1"/>
  <c r="F68" i="79" a="1"/>
  <c r="F68" i="79" s="1"/>
  <c r="G68" i="79" a="1"/>
  <c r="G68" i="79" s="1"/>
  <c r="H68" i="79" a="1"/>
  <c r="H68" i="79" s="1"/>
  <c r="I68" i="79" a="1"/>
  <c r="I68" i="79" s="1"/>
  <c r="J68" i="79" a="1"/>
  <c r="J68" i="79" s="1"/>
  <c r="D69" i="79" a="1"/>
  <c r="D69" i="79" s="1"/>
  <c r="E69" i="79" a="1"/>
  <c r="E69" i="79" s="1"/>
  <c r="F69" i="79" a="1"/>
  <c r="F69" i="79" s="1"/>
  <c r="G69" i="79" a="1"/>
  <c r="G69" i="79" s="1"/>
  <c r="H69" i="79" a="1"/>
  <c r="H69" i="79" s="1"/>
  <c r="I69" i="79" a="1"/>
  <c r="I69" i="79" s="1"/>
  <c r="J69" i="79" a="1"/>
  <c r="J69" i="79" s="1"/>
  <c r="D70" i="79" a="1"/>
  <c r="D70" i="79" s="1"/>
  <c r="E70" i="79" a="1"/>
  <c r="E70" i="79" s="1"/>
  <c r="F70" i="79" a="1"/>
  <c r="F70" i="79" s="1"/>
  <c r="G70" i="79" a="1"/>
  <c r="G70" i="79" s="1"/>
  <c r="H70" i="79" a="1"/>
  <c r="H70" i="79" s="1"/>
  <c r="I70" i="79" a="1"/>
  <c r="I70" i="79" s="1"/>
  <c r="J70" i="79" a="1"/>
  <c r="J70" i="79" s="1"/>
  <c r="D71" i="79" a="1"/>
  <c r="D71" i="79" s="1"/>
  <c r="E71" i="79" a="1"/>
  <c r="E71" i="79" s="1"/>
  <c r="F71" i="79" a="1"/>
  <c r="F71" i="79" s="1"/>
  <c r="G71" i="79" a="1"/>
  <c r="G71" i="79" s="1"/>
  <c r="H71" i="79" a="1"/>
  <c r="H71" i="79" s="1"/>
  <c r="I71" i="79" a="1"/>
  <c r="I71" i="79" s="1"/>
  <c r="J71" i="79" a="1"/>
  <c r="J71" i="79" s="1"/>
  <c r="D72" i="79" a="1"/>
  <c r="D72" i="79" s="1"/>
  <c r="E72" i="79" a="1"/>
  <c r="E72" i="79" s="1"/>
  <c r="F72" i="79" a="1"/>
  <c r="F72" i="79" s="1"/>
  <c r="G72" i="79" a="1"/>
  <c r="G72" i="79" s="1"/>
  <c r="H72" i="79" a="1"/>
  <c r="H72" i="79" s="1"/>
  <c r="I72" i="79" a="1"/>
  <c r="I72" i="79" s="1"/>
  <c r="J72" i="79" a="1"/>
  <c r="J72" i="79" s="1"/>
  <c r="D73" i="79" a="1"/>
  <c r="D73" i="79" s="1"/>
  <c r="E73" i="79" a="1"/>
  <c r="E73" i="79" s="1"/>
  <c r="F73" i="79" a="1"/>
  <c r="F73" i="79" s="1"/>
  <c r="G73" i="79" a="1"/>
  <c r="G73" i="79" s="1"/>
  <c r="H73" i="79" a="1"/>
  <c r="H73" i="79" s="1"/>
  <c r="I73" i="79" a="1"/>
  <c r="I73" i="79" s="1"/>
  <c r="J73" i="79" a="1"/>
  <c r="J73" i="79" s="1"/>
  <c r="D74" i="79" a="1"/>
  <c r="D74" i="79" s="1"/>
  <c r="E74" i="79" a="1"/>
  <c r="E74" i="79" s="1"/>
  <c r="F74" i="79" a="1"/>
  <c r="F74" i="79" s="1"/>
  <c r="G74" i="79" a="1"/>
  <c r="G74" i="79" s="1"/>
  <c r="H74" i="79" a="1"/>
  <c r="H74" i="79" s="1"/>
  <c r="I74" i="79" a="1"/>
  <c r="I74" i="79" s="1"/>
  <c r="J74" i="79" a="1"/>
  <c r="J74" i="79" s="1"/>
  <c r="D75" i="79" a="1"/>
  <c r="D75" i="79" s="1"/>
  <c r="E75" i="79" a="1"/>
  <c r="E75" i="79" s="1"/>
  <c r="F75" i="79" a="1"/>
  <c r="F75" i="79" s="1"/>
  <c r="G75" i="79" a="1"/>
  <c r="G75" i="79" s="1"/>
  <c r="H75" i="79" a="1"/>
  <c r="H75" i="79" s="1"/>
  <c r="I75" i="79" a="1"/>
  <c r="I75" i="79" s="1"/>
  <c r="J75" i="79" a="1"/>
  <c r="J75" i="79" s="1"/>
  <c r="D76" i="79" a="1"/>
  <c r="D76" i="79" s="1"/>
  <c r="E76" i="79" a="1"/>
  <c r="E76" i="79" s="1"/>
  <c r="F76" i="79" a="1"/>
  <c r="F76" i="79" s="1"/>
  <c r="G76" i="79" a="1"/>
  <c r="G76" i="79" s="1"/>
  <c r="H76" i="79" a="1"/>
  <c r="H76" i="79" s="1"/>
  <c r="I76" i="79" a="1"/>
  <c r="I76" i="79" s="1"/>
  <c r="J76" i="79" a="1"/>
  <c r="J76" i="79" s="1"/>
  <c r="D77" i="79" a="1"/>
  <c r="D77" i="79" s="1"/>
  <c r="E77" i="79" a="1"/>
  <c r="E77" i="79" s="1"/>
  <c r="F77" i="79" a="1"/>
  <c r="F77" i="79" s="1"/>
  <c r="G77" i="79" a="1"/>
  <c r="G77" i="79" s="1"/>
  <c r="H77" i="79" a="1"/>
  <c r="H77" i="79" s="1"/>
  <c r="I77" i="79" a="1"/>
  <c r="I77" i="79" s="1"/>
  <c r="J77" i="79" a="1"/>
  <c r="J77" i="79" s="1"/>
  <c r="D78" i="79" a="1"/>
  <c r="D78" i="79" s="1"/>
  <c r="E78" i="79" a="1"/>
  <c r="E78" i="79" s="1"/>
  <c r="F78" i="79" a="1"/>
  <c r="F78" i="79" s="1"/>
  <c r="G78" i="79" a="1"/>
  <c r="G78" i="79" s="1"/>
  <c r="H78" i="79" a="1"/>
  <c r="H78" i="79" s="1"/>
  <c r="I78" i="79" a="1"/>
  <c r="I78" i="79" s="1"/>
  <c r="J78" i="79" a="1"/>
  <c r="J78" i="79" s="1"/>
  <c r="N93" i="79" a="1"/>
  <c r="N93" i="79" s="1"/>
  <c r="M93" i="79" a="1"/>
  <c r="M93" i="79" s="1"/>
  <c r="L93" i="79" a="1"/>
  <c r="L93" i="79" s="1"/>
  <c r="K93" i="79" a="1"/>
  <c r="K93" i="79" s="1"/>
  <c r="J93" i="79" a="1"/>
  <c r="J93" i="79" s="1"/>
  <c r="I93" i="79" a="1"/>
  <c r="I93" i="79" s="1"/>
  <c r="H93" i="79" a="1"/>
  <c r="H93" i="79" s="1"/>
  <c r="G93" i="79" a="1"/>
  <c r="G93" i="79" s="1"/>
  <c r="F93" i="79" a="1"/>
  <c r="F93" i="79" s="1"/>
  <c r="E93" i="79" a="1"/>
  <c r="E93" i="79" s="1"/>
  <c r="D93" i="79" a="1"/>
  <c r="D93" i="79" s="1"/>
  <c r="N92" i="79" a="1"/>
  <c r="N92" i="79" s="1"/>
  <c r="M92" i="79" a="1"/>
  <c r="M92" i="79" s="1"/>
  <c r="L92" i="79" a="1"/>
  <c r="L92" i="79" s="1"/>
  <c r="K92" i="79" a="1"/>
  <c r="K92" i="79" s="1"/>
  <c r="J92" i="79" a="1"/>
  <c r="J92" i="79" s="1"/>
  <c r="I92" i="79" a="1"/>
  <c r="I92" i="79" s="1"/>
  <c r="H92" i="79" a="1"/>
  <c r="H92" i="79" s="1"/>
  <c r="G92" i="79" a="1"/>
  <c r="G92" i="79" s="1"/>
  <c r="F92" i="79" a="1"/>
  <c r="F92" i="79" s="1"/>
  <c r="E92" i="79" a="1"/>
  <c r="E92" i="79" s="1"/>
  <c r="D92" i="79" a="1"/>
  <c r="D92" i="79" s="1"/>
  <c r="N91" i="79" a="1"/>
  <c r="N91" i="79" s="1"/>
  <c r="M91" i="79" a="1"/>
  <c r="M91" i="79" s="1"/>
  <c r="L91" i="79" a="1"/>
  <c r="L91" i="79" s="1"/>
  <c r="K91" i="79" a="1"/>
  <c r="K91" i="79" s="1"/>
  <c r="J91" i="79" a="1"/>
  <c r="J91" i="79" s="1"/>
  <c r="I91" i="79" a="1"/>
  <c r="I91" i="79" s="1"/>
  <c r="H91" i="79" a="1"/>
  <c r="H91" i="79" s="1"/>
  <c r="G91" i="79" a="1"/>
  <c r="G91" i="79" s="1"/>
  <c r="F91" i="79" a="1"/>
  <c r="F91" i="79" s="1"/>
  <c r="E91" i="79" a="1"/>
  <c r="E91" i="79" s="1"/>
  <c r="D91" i="79" a="1"/>
  <c r="D91" i="79" s="1"/>
  <c r="N90" i="79" a="1"/>
  <c r="N90" i="79" s="1"/>
  <c r="M90" i="79" a="1"/>
  <c r="M90" i="79" s="1"/>
  <c r="L90" i="79" a="1"/>
  <c r="L90" i="79" s="1"/>
  <c r="K90" i="79" a="1"/>
  <c r="K90" i="79" s="1"/>
  <c r="J90" i="79" a="1"/>
  <c r="J90" i="79" s="1"/>
  <c r="I90" i="79" a="1"/>
  <c r="I90" i="79" s="1"/>
  <c r="H90" i="79" a="1"/>
  <c r="H90" i="79" s="1"/>
  <c r="G90" i="79" a="1"/>
  <c r="G90" i="79" s="1"/>
  <c r="F90" i="79" a="1"/>
  <c r="F90" i="79" s="1"/>
  <c r="E90" i="79" a="1"/>
  <c r="E90" i="79" s="1"/>
  <c r="D90" i="79" a="1"/>
  <c r="D90" i="79" s="1"/>
  <c r="N89" i="79" a="1"/>
  <c r="N89" i="79" s="1"/>
  <c r="M89" i="79" a="1"/>
  <c r="M89" i="79" s="1"/>
  <c r="L89" i="79" a="1"/>
  <c r="L89" i="79" s="1"/>
  <c r="K89" i="79" a="1"/>
  <c r="K89" i="79" s="1"/>
  <c r="J89" i="79" a="1"/>
  <c r="J89" i="79" s="1"/>
  <c r="I89" i="79" a="1"/>
  <c r="I89" i="79" s="1"/>
  <c r="H89" i="79" a="1"/>
  <c r="H89" i="79" s="1"/>
  <c r="G89" i="79" a="1"/>
  <c r="G89" i="79" s="1"/>
  <c r="F89" i="79" a="1"/>
  <c r="F89" i="79" s="1"/>
  <c r="E89" i="79" a="1"/>
  <c r="E89" i="79" s="1"/>
  <c r="D89" i="79" a="1"/>
  <c r="D89" i="79" s="1"/>
  <c r="D83" i="79" a="1"/>
  <c r="D83" i="79" s="1"/>
  <c r="D82" i="79" a="1"/>
  <c r="D82" i="79" s="1"/>
  <c r="D81" i="79" a="1"/>
  <c r="D81" i="79" s="1"/>
  <c r="F22" i="79" a="1"/>
  <c r="F22" i="79" s="1"/>
  <c r="E22" i="79" a="1"/>
  <c r="E22" i="79" s="1"/>
  <c r="D22" i="79" a="1"/>
  <c r="D22" i="79" s="1"/>
  <c r="D21" i="79" a="1"/>
  <c r="D21" i="79" s="1"/>
  <c r="D20" i="79" a="1"/>
  <c r="D20" i="79" s="1"/>
  <c r="F17" i="79" a="1"/>
  <c r="F17" i="79" s="1"/>
  <c r="E17" i="79" a="1"/>
  <c r="E17" i="79" s="1"/>
  <c r="D17" i="79" a="1"/>
  <c r="D17" i="79" s="1"/>
  <c r="D16" i="79" a="1"/>
  <c r="D16" i="79" s="1"/>
  <c r="D15" i="79" a="1"/>
  <c r="D15" i="79" s="1"/>
  <c r="F12" i="79" a="1"/>
  <c r="F12" i="79" s="1"/>
  <c r="E12" i="79" a="1"/>
  <c r="E12" i="79" s="1"/>
  <c r="D12" i="79" a="1"/>
  <c r="D12" i="79" s="1"/>
  <c r="D11" i="79" a="1"/>
  <c r="D11" i="79" s="1"/>
  <c r="D10" i="79" a="1"/>
  <c r="D10" i="79" s="1"/>
  <c r="F7" i="79" a="1"/>
  <c r="F7" i="79" s="1"/>
  <c r="E7" i="79" a="1"/>
  <c r="E7" i="79" s="1"/>
  <c r="D7" i="79" a="1"/>
  <c r="D7" i="79" s="1"/>
  <c r="D6" i="79" a="1"/>
  <c r="D6" i="79" s="1"/>
  <c r="D5" i="79" a="1"/>
  <c r="D5" i="79" s="1"/>
  <c r="O30" i="76"/>
  <c r="A39" i="74"/>
  <c r="A38" i="74"/>
  <c r="A37" i="74"/>
  <c r="A36" i="74"/>
  <c r="A33" i="74"/>
  <c r="A30" i="74"/>
  <c r="A29" i="74"/>
  <c r="A28" i="74"/>
  <c r="A27" i="74"/>
  <c r="A26" i="74"/>
  <c r="A25" i="74"/>
  <c r="A24" i="74"/>
  <c r="A19" i="74"/>
  <c r="A18" i="74"/>
  <c r="A15" i="74"/>
  <c r="A14" i="74"/>
  <c r="A13" i="74"/>
  <c r="A12" i="74"/>
  <c r="A11" i="74"/>
  <c r="A10" i="74"/>
  <c r="A9" i="74"/>
  <c r="A8" i="74"/>
  <c r="A7" i="74"/>
  <c r="A4" i="74"/>
  <c r="E155" i="76" a="1"/>
  <c r="E135" i="76" a="1"/>
  <c r="E60" i="76" a="1"/>
  <c r="E36" i="76" a="1"/>
  <c r="E112" i="76" a="1"/>
  <c r="E7" i="76" a="1"/>
  <c r="E89" i="76" a="1"/>
  <c r="H129" i="76" l="1"/>
  <c r="E28" i="82"/>
  <c r="E194" i="76"/>
  <c r="E29" i="81"/>
  <c r="G17" i="70" a="1"/>
  <c r="G17" i="70" s="1"/>
  <c r="F49" i="76" s="1"/>
  <c r="E20" i="70" a="1"/>
  <c r="E20" i="70" s="1"/>
  <c r="E37" i="81"/>
  <c r="E23" i="70" a="1"/>
  <c r="E23" i="70" s="1"/>
  <c r="L49" i="76" s="1"/>
  <c r="F23" i="70" a="1"/>
  <c r="F23" i="70" s="1"/>
  <c r="M49" i="76" s="1"/>
  <c r="G23" i="70" a="1"/>
  <c r="G23" i="70" s="1"/>
  <c r="N49" i="76" s="1"/>
  <c r="E17" i="70" a="1"/>
  <c r="E17" i="70" s="1"/>
  <c r="D49" i="76" s="1"/>
  <c r="F17" i="70" a="1"/>
  <c r="F17" i="70" s="1"/>
  <c r="E49" i="76" s="1"/>
  <c r="P174" i="76"/>
  <c r="P173" i="76"/>
  <c r="H173" i="76"/>
  <c r="H174" i="76"/>
  <c r="P129" i="76"/>
  <c r="O149" i="76"/>
  <c r="P203" i="76"/>
  <c r="N207" i="76"/>
  <c r="F10" i="13" s="1"/>
  <c r="P205" i="76"/>
  <c r="F207" i="76"/>
  <c r="F9" i="13" s="1"/>
  <c r="P204" i="76"/>
  <c r="H205" i="76"/>
  <c r="H204" i="76"/>
  <c r="H203" i="76"/>
  <c r="H202" i="76"/>
  <c r="P202" i="76"/>
  <c r="E155" i="76"/>
  <c r="E135" i="76"/>
  <c r="E112" i="76"/>
  <c r="H106" i="76"/>
  <c r="E60" i="76"/>
  <c r="E89" i="76"/>
  <c r="G83" i="76"/>
  <c r="G30" i="76"/>
  <c r="G54" i="76"/>
  <c r="E36" i="76"/>
  <c r="E7" i="76"/>
  <c r="G14" i="70" a="1"/>
  <c r="G14" i="70" s="1"/>
  <c r="F20" i="76" s="1"/>
  <c r="F30" i="76" s="1" a="1"/>
  <c r="F30" i="76" s="1"/>
  <c r="F54" i="76" s="1" a="1"/>
  <c r="F54" i="76" s="1"/>
  <c r="F83" i="76" s="1" a="1"/>
  <c r="F83" i="76" s="1"/>
  <c r="E15" i="70" a="1"/>
  <c r="E15" i="70" s="1"/>
  <c r="F14" i="70" a="1"/>
  <c r="F14" i="70" s="1"/>
  <c r="E20" i="76" s="1"/>
  <c r="E30" i="76" s="1" a="1"/>
  <c r="E30" i="76" s="1"/>
  <c r="E54" i="76" s="1" a="1"/>
  <c r="E54" i="76" s="1"/>
  <c r="E83" i="76" s="1" a="1"/>
  <c r="E83" i="76" s="1"/>
  <c r="E14" i="70" a="1"/>
  <c r="E14" i="70" s="1"/>
  <c r="D20" i="76" s="1"/>
  <c r="G22" i="70" a="1"/>
  <c r="G22" i="70" s="1"/>
  <c r="N25" i="76" s="1"/>
  <c r="F20" i="70" a="1"/>
  <c r="F20" i="70" s="1"/>
  <c r="G20" i="70" a="1"/>
  <c r="G20" i="70" s="1"/>
  <c r="G15" i="70" a="1"/>
  <c r="G15" i="70" s="1"/>
  <c r="E16" i="70" a="1"/>
  <c r="E16" i="70" s="1"/>
  <c r="D25" i="76" s="1"/>
  <c r="F16" i="70" a="1"/>
  <c r="F16" i="70" s="1"/>
  <c r="E25" i="76" s="1"/>
  <c r="G16" i="70" a="1"/>
  <c r="G16" i="70" s="1"/>
  <c r="F25" i="76" s="1"/>
  <c r="E21" i="70" a="1"/>
  <c r="E21" i="70" s="1"/>
  <c r="M25" i="69" s="1"/>
  <c r="E22" i="70" a="1"/>
  <c r="E22" i="70" s="1"/>
  <c r="L25" i="76" s="1"/>
  <c r="F22" i="70" a="1"/>
  <c r="F22" i="70" s="1"/>
  <c r="M25" i="76" s="1"/>
  <c r="F15" i="70" a="1"/>
  <c r="F15" i="70" s="1"/>
  <c r="F21" i="70" a="1"/>
  <c r="F21" i="70" s="1"/>
  <c r="N25" i="69" s="1"/>
  <c r="G21" i="70" a="1"/>
  <c r="G21" i="70" s="1"/>
  <c r="O25" i="69" s="1"/>
  <c r="G15" i="76"/>
  <c r="G49" i="70"/>
  <c r="G45" i="81" s="1"/>
  <c r="F49" i="70"/>
  <c r="F45" i="81" s="1"/>
  <c r="E49" i="70"/>
  <c r="E45" i="81" s="1"/>
  <c r="G54" i="70"/>
  <c r="G46" i="81" s="1"/>
  <c r="F54" i="70"/>
  <c r="F46" i="81" s="1"/>
  <c r="E54" i="70"/>
  <c r="E46" i="81" s="1"/>
  <c r="D34" i="70"/>
  <c r="E158" i="69"/>
  <c r="D166" i="69" a="1"/>
  <c r="D166" i="69" s="1"/>
  <c r="F169" i="69" a="1"/>
  <c r="F169" i="69" s="1"/>
  <c r="H7" i="13" s="1"/>
  <c r="E126" i="69" a="1"/>
  <c r="F106" i="76" l="1" a="1"/>
  <c r="F106" i="76" s="1"/>
  <c r="F129" i="76" a="1"/>
  <c r="F129" i="76" s="1"/>
  <c r="G106" i="76" a="1"/>
  <c r="G106" i="76" s="1"/>
  <c r="G129" i="76" a="1"/>
  <c r="G129" i="76" s="1"/>
  <c r="D30" i="76" a="1"/>
  <c r="D30" i="76" s="1"/>
  <c r="D54" i="76" s="1" a="1"/>
  <c r="D54" i="76" s="1"/>
  <c r="D83" i="76" s="1" a="1"/>
  <c r="D83" i="76" s="1"/>
  <c r="M20" i="69"/>
  <c r="L20" i="76"/>
  <c r="N20" i="69"/>
  <c r="M20" i="76"/>
  <c r="O20" i="69"/>
  <c r="N20" i="76"/>
  <c r="E126" i="69"/>
  <c r="F202" i="76" l="1" a="1"/>
  <c r="F202" i="76" s="1"/>
  <c r="E149" i="76" a="1"/>
  <c r="E149" i="76" s="1"/>
  <c r="N30" i="76" a="1"/>
  <c r="N30" i="76" s="1"/>
  <c r="N54" i="76" s="1" a="1"/>
  <c r="N54" i="76" s="1"/>
  <c r="N83" i="76" s="1" a="1"/>
  <c r="N83" i="76" s="1"/>
  <c r="M30" i="76" a="1"/>
  <c r="M30" i="76" s="1"/>
  <c r="M54" i="76" s="1" a="1"/>
  <c r="M54" i="76" s="1"/>
  <c r="M83" i="76" s="1" a="1"/>
  <c r="M83" i="76" s="1"/>
  <c r="L30" i="76" a="1"/>
  <c r="L30" i="76" s="1"/>
  <c r="L54" i="76" s="1" a="1"/>
  <c r="L54" i="76" s="1"/>
  <c r="L83" i="76" s="1" a="1"/>
  <c r="L83" i="76" s="1"/>
  <c r="E106" i="76" a="1"/>
  <c r="E106" i="76" s="1"/>
  <c r="E129" i="76" a="1"/>
  <c r="E129" i="76" s="1"/>
  <c r="F149" i="76" a="1"/>
  <c r="F149" i="76" s="1"/>
  <c r="G202" i="76" a="1"/>
  <c r="G202" i="76" s="1"/>
  <c r="G20" i="82"/>
  <c r="G36" i="82" s="1" a="1"/>
  <c r="G36" i="82" s="1"/>
  <c r="F20" i="82"/>
  <c r="F36" i="82" s="1" a="1"/>
  <c r="F36" i="82" s="1"/>
  <c r="E145" i="69"/>
  <c r="F153" i="69"/>
  <c r="E153" i="69"/>
  <c r="D153" i="69"/>
  <c r="H133" i="69"/>
  <c r="H135" i="69"/>
  <c r="H134" i="69"/>
  <c r="F140" i="69"/>
  <c r="E140" i="69"/>
  <c r="D140" i="69"/>
  <c r="D8" i="70"/>
  <c r="D9" i="70"/>
  <c r="M129" i="76" l="1" a="1"/>
  <c r="M129" i="76" s="1"/>
  <c r="M106" i="76" a="1"/>
  <c r="M106" i="76" s="1"/>
  <c r="G173" i="76" a="1"/>
  <c r="G173" i="76" s="1"/>
  <c r="G174" i="76" a="1"/>
  <c r="G174" i="76" s="1"/>
  <c r="N129" i="76" a="1"/>
  <c r="N129" i="76" s="1"/>
  <c r="N106" i="76" a="1"/>
  <c r="N106" i="76" s="1"/>
  <c r="E202" i="76" a="1"/>
  <c r="E202" i="76" s="1"/>
  <c r="D149" i="76" a="1"/>
  <c r="D149" i="76" s="1"/>
  <c r="O129" i="76" a="1"/>
  <c r="O129" i="76" s="1"/>
  <c r="O106" i="76" a="1"/>
  <c r="O106" i="76" s="1"/>
  <c r="F174" i="76" a="1"/>
  <c r="F174" i="76" s="1"/>
  <c r="F173" i="76" a="1"/>
  <c r="F173" i="76" s="1"/>
  <c r="E20" i="82"/>
  <c r="E36" i="82" s="1" a="1"/>
  <c r="E36" i="82" s="1"/>
  <c r="E131" i="69" a="1"/>
  <c r="E131" i="69" s="1"/>
  <c r="E130" i="69" a="1"/>
  <c r="E130" i="69" s="1"/>
  <c r="D125" i="69" a="1"/>
  <c r="D125" i="69" s="1"/>
  <c r="D133" i="69" a="1"/>
  <c r="D133" i="69" s="1"/>
  <c r="D124" i="69" a="1"/>
  <c r="D124" i="69" s="1"/>
  <c r="H107" i="69"/>
  <c r="H105" i="69"/>
  <c r="D98" i="69" a="1"/>
  <c r="D98" i="69" s="1"/>
  <c r="E102" i="69" a="1"/>
  <c r="E102" i="69" s="1"/>
  <c r="E103" i="69" a="1"/>
  <c r="E103" i="69" s="1"/>
  <c r="D105" i="69" a="1"/>
  <c r="D105" i="69" s="1"/>
  <c r="D97" i="69" a="1"/>
  <c r="D97" i="69" s="1"/>
  <c r="G13" i="69"/>
  <c r="G14" i="69"/>
  <c r="G42" i="69"/>
  <c r="G70" i="69"/>
  <c r="G44" i="69"/>
  <c r="G73" i="69"/>
  <c r="G72" i="69"/>
  <c r="A20" i="13"/>
  <c r="A18" i="13"/>
  <c r="A19" i="13"/>
  <c r="A7" i="13"/>
  <c r="A4" i="13"/>
  <c r="A3" i="13"/>
  <c r="D69" i="69" a="1"/>
  <c r="D69" i="69" s="1"/>
  <c r="E67" i="69" a="1"/>
  <c r="E67" i="69" s="1"/>
  <c r="E66" i="69" a="1"/>
  <c r="E66" i="69" s="1"/>
  <c r="D62" i="69" a="1"/>
  <c r="D62" i="69" s="1"/>
  <c r="D61" i="69" a="1"/>
  <c r="D61" i="69" s="1"/>
  <c r="D42" i="69" a="1"/>
  <c r="D42" i="69" s="1"/>
  <c r="E40" i="69" a="1"/>
  <c r="E40" i="69" s="1"/>
  <c r="E39" i="69" a="1"/>
  <c r="E39" i="69" s="1"/>
  <c r="D35" i="69" a="1"/>
  <c r="D35" i="69" s="1"/>
  <c r="D34" i="69" a="1"/>
  <c r="D34" i="69" s="1"/>
  <c r="D13" i="69" a="1"/>
  <c r="D13" i="69" s="1"/>
  <c r="E11" i="69" a="1"/>
  <c r="E11" i="69" s="1"/>
  <c r="E10" i="69" a="1"/>
  <c r="E10" i="69" s="1"/>
  <c r="D6" i="69" a="1"/>
  <c r="D6" i="69" s="1"/>
  <c r="D5" i="69" a="1"/>
  <c r="D5" i="69" s="1"/>
  <c r="D87" i="69"/>
  <c r="D86" i="69"/>
  <c r="E63" i="69" a="1"/>
  <c r="E99" i="69" a="1"/>
  <c r="L149" i="76" l="1" a="1"/>
  <c r="L149" i="76" s="1"/>
  <c r="M202" i="76" a="1"/>
  <c r="M202" i="76" s="1"/>
  <c r="M20" i="82"/>
  <c r="M36" i="82" s="1" a="1"/>
  <c r="M36" i="82" s="1"/>
  <c r="E173" i="76" a="1"/>
  <c r="E173" i="76" s="1"/>
  <c r="E174" i="76" a="1"/>
  <c r="E174" i="76" s="1"/>
  <c r="N202" i="76" a="1"/>
  <c r="N202" i="76" s="1"/>
  <c r="M149" i="76" a="1"/>
  <c r="M149" i="76" s="1"/>
  <c r="N20" i="82"/>
  <c r="N36" i="82" s="1" a="1"/>
  <c r="N36" i="82" s="1"/>
  <c r="O202" i="76" a="1"/>
  <c r="O202" i="76" s="1"/>
  <c r="N149" i="76" a="1"/>
  <c r="N149" i="76" s="1"/>
  <c r="O20" i="82"/>
  <c r="O36" i="82" s="1" a="1"/>
  <c r="O36" i="82" s="1"/>
  <c r="G30" i="69"/>
  <c r="P30" i="69"/>
  <c r="G45" i="69"/>
  <c r="R158" i="69"/>
  <c r="H166" i="69"/>
  <c r="Q166" i="69"/>
  <c r="I161" i="69"/>
  <c r="I160" i="69"/>
  <c r="I159" i="69"/>
  <c r="I158" i="69"/>
  <c r="O164" i="69"/>
  <c r="F8" i="13" s="1"/>
  <c r="F164" i="69"/>
  <c r="F7" i="13" s="1"/>
  <c r="R161" i="69"/>
  <c r="R159" i="69"/>
  <c r="R160" i="69"/>
  <c r="H120" i="69"/>
  <c r="Q120" i="69"/>
  <c r="H92" i="69"/>
  <c r="Q93" i="69"/>
  <c r="Q92" i="69"/>
  <c r="H57" i="69"/>
  <c r="Q57" i="69"/>
  <c r="H93" i="69"/>
  <c r="E63" i="69"/>
  <c r="E99" i="69"/>
  <c r="D81" i="69"/>
  <c r="D80" i="69"/>
  <c r="D57" i="69"/>
  <c r="G52" i="69"/>
  <c r="F52" i="69"/>
  <c r="E52" i="69"/>
  <c r="D52" i="69"/>
  <c r="F25" i="69"/>
  <c r="E25" i="69"/>
  <c r="D25" i="69"/>
  <c r="F20" i="69"/>
  <c r="E20" i="69"/>
  <c r="D20" i="69"/>
  <c r="G15" i="69"/>
  <c r="G69" i="69"/>
  <c r="E7" i="69" a="1"/>
  <c r="E36" i="69" a="1"/>
  <c r="N173" i="76" l="1" a="1"/>
  <c r="N173" i="76" s="1"/>
  <c r="N174" i="76" a="1"/>
  <c r="N174" i="76" s="1"/>
  <c r="M173" i="76" a="1"/>
  <c r="M173" i="76" s="1"/>
  <c r="M174" i="76" a="1"/>
  <c r="M174" i="76" s="1"/>
  <c r="O173" i="76" a="1"/>
  <c r="O173" i="76" s="1"/>
  <c r="O174" i="76" a="1"/>
  <c r="O174" i="76" s="1"/>
  <c r="D30" i="69" a="1"/>
  <c r="D30" i="69" s="1"/>
  <c r="M30" i="69" a="1"/>
  <c r="M30" i="69" s="1"/>
  <c r="O30" i="69" a="1"/>
  <c r="O30" i="69" s="1"/>
  <c r="N30" i="69" a="1"/>
  <c r="N30" i="69" s="1"/>
  <c r="G41" i="70"/>
  <c r="F41" i="70"/>
  <c r="E41" i="70"/>
  <c r="E30" i="69" a="1"/>
  <c r="E30" i="69" s="1"/>
  <c r="G43" i="69"/>
  <c r="H106" i="69"/>
  <c r="F30" i="69" a="1"/>
  <c r="F30" i="69" s="1"/>
  <c r="H108" i="69"/>
  <c r="G71" i="69"/>
  <c r="D58" i="69"/>
  <c r="E36" i="69"/>
  <c r="E7" i="69"/>
  <c r="O57" i="69" l="1" a="1"/>
  <c r="O57" i="69" s="1"/>
  <c r="P145" i="69" s="1"/>
  <c r="P158" i="69" s="1" a="1"/>
  <c r="P158" i="69" s="1"/>
  <c r="P57" i="69" a="1"/>
  <c r="P57" i="69" s="1"/>
  <c r="Q145" i="69" s="1"/>
  <c r="Q158" i="69" s="1" a="1"/>
  <c r="Q158" i="69" s="1"/>
  <c r="N57" i="69" a="1"/>
  <c r="N57" i="69" s="1"/>
  <c r="O145" i="69" s="1"/>
  <c r="O158" i="69" s="1" a="1"/>
  <c r="O158" i="69" s="1"/>
  <c r="E115" i="69"/>
  <c r="N120" i="69" s="1" a="1"/>
  <c r="N120" i="69" s="1"/>
  <c r="O148" i="69" s="1"/>
  <c r="O161" i="69" s="1" a="1"/>
  <c r="O161" i="69" s="1"/>
  <c r="E124" i="76"/>
  <c r="F115" i="69"/>
  <c r="O120" i="69" s="1" a="1"/>
  <c r="O120" i="69" s="1"/>
  <c r="P148" i="69" s="1"/>
  <c r="P161" i="69" s="1" a="1"/>
  <c r="P161" i="69" s="1"/>
  <c r="F124" i="76"/>
  <c r="G115" i="69"/>
  <c r="G120" i="69" s="1" a="1"/>
  <c r="G120" i="69" s="1"/>
  <c r="H148" i="69" s="1"/>
  <c r="H161" i="69" s="1" a="1"/>
  <c r="H161" i="69" s="1"/>
  <c r="G124" i="76"/>
  <c r="G57" i="69" a="1"/>
  <c r="G57" i="69" s="1"/>
  <c r="H145" i="69" s="1"/>
  <c r="H158" i="69" s="1" a="1"/>
  <c r="H158" i="69" s="1"/>
  <c r="E57" i="69" a="1"/>
  <c r="E57" i="69" s="1"/>
  <c r="F57" i="69" a="1"/>
  <c r="F57" i="69" s="1"/>
  <c r="G145" i="69" s="1"/>
  <c r="G158" i="69" s="1" a="1"/>
  <c r="G158" i="69" s="1"/>
  <c r="E120" i="69" l="1" a="1"/>
  <c r="E120" i="69" s="1"/>
  <c r="F148" i="69" s="1"/>
  <c r="F161" i="69" s="1" a="1"/>
  <c r="F161" i="69" s="1"/>
  <c r="F120" i="69" a="1"/>
  <c r="F120" i="69" s="1"/>
  <c r="G148" i="69" s="1"/>
  <c r="G161" i="69" s="1" a="1"/>
  <c r="G161" i="69" s="1"/>
  <c r="F145" i="69"/>
  <c r="F158" i="69" s="1" a="1"/>
  <c r="F158" i="69" s="1"/>
  <c r="F23" i="82"/>
  <c r="G23" i="82"/>
  <c r="P120" i="69" a="1"/>
  <c r="P120" i="69" s="1"/>
  <c r="Q148" i="69" s="1"/>
  <c r="Q161" i="69" s="1" a="1"/>
  <c r="Q161" i="69" s="1"/>
  <c r="E23" i="82"/>
  <c r="M24" i="81" l="1"/>
  <c r="M23" i="82"/>
  <c r="O24" i="81"/>
  <c r="O23" i="82"/>
  <c r="N24" i="81"/>
  <c r="N23" i="82"/>
  <c r="E24" i="81"/>
  <c r="F24" i="81"/>
  <c r="G24" i="81"/>
  <c r="F27" i="43" a="1"/>
  <c r="F27" i="43" s="1"/>
  <c r="E27" i="43" a="1"/>
  <c r="E27" i="43" s="1"/>
  <c r="D27" i="43" a="1"/>
  <c r="D27" i="43" s="1"/>
  <c r="F26" i="43" a="1"/>
  <c r="F26" i="43" s="1"/>
  <c r="E31" i="79" s="1"/>
  <c r="E26" i="43" a="1"/>
  <c r="E26" i="43" s="1"/>
  <c r="D31" i="79" s="1"/>
  <c r="D26" i="43" a="1"/>
  <c r="D26" i="43" s="1"/>
  <c r="F25" i="43" a="1"/>
  <c r="F25" i="43" s="1"/>
  <c r="E25" i="43" a="1"/>
  <c r="E25" i="43" s="1"/>
  <c r="D25" i="43" a="1"/>
  <c r="D25" i="43" s="1"/>
  <c r="F24" i="43" a="1"/>
  <c r="F24" i="43" s="1"/>
  <c r="E24" i="43" a="1"/>
  <c r="E24" i="43" s="1"/>
  <c r="D24" i="43" a="1"/>
  <c r="D24" i="43" s="1"/>
  <c r="F23" i="43" a="1"/>
  <c r="F23" i="43" s="1"/>
  <c r="E23" i="43" a="1"/>
  <c r="E23" i="43" s="1"/>
  <c r="D23" i="43" a="1"/>
  <c r="D23" i="43" s="1"/>
  <c r="F22" i="43" a="1"/>
  <c r="F22" i="43" s="1"/>
  <c r="E22" i="43" a="1"/>
  <c r="E22" i="43" s="1"/>
  <c r="D22" i="43" a="1"/>
  <c r="D22" i="43" s="1"/>
  <c r="F21" i="43" a="1"/>
  <c r="F21" i="43" s="1"/>
  <c r="E21" i="43" a="1"/>
  <c r="E21" i="43" s="1"/>
  <c r="D21" i="43" a="1"/>
  <c r="D21" i="43" s="1"/>
  <c r="F20" i="43" a="1"/>
  <c r="F20" i="43" s="1"/>
  <c r="E20" i="43" a="1"/>
  <c r="E20" i="43" s="1"/>
  <c r="D20" i="43" a="1"/>
  <c r="D20" i="43" s="1"/>
  <c r="F19" i="43" a="1"/>
  <c r="F19" i="43" s="1"/>
  <c r="E19" i="43" a="1"/>
  <c r="E19" i="43" s="1"/>
  <c r="D19" i="43" a="1"/>
  <c r="D19" i="43" s="1"/>
  <c r="F18" i="43" a="1"/>
  <c r="F18" i="43" s="1"/>
  <c r="E18" i="43" a="1"/>
  <c r="E18" i="43" s="1"/>
  <c r="D18" i="43" a="1"/>
  <c r="D18" i="43" s="1"/>
  <c r="F17" i="43" a="1"/>
  <c r="F17" i="43" s="1"/>
  <c r="E30" i="79" s="1"/>
  <c r="E17" i="43" a="1"/>
  <c r="E17" i="43" s="1"/>
  <c r="D17" i="43" a="1"/>
  <c r="D17" i="43" s="1"/>
  <c r="F16" i="43" a="1"/>
  <c r="F16" i="43" s="1"/>
  <c r="E28" i="79" s="1"/>
  <c r="E16" i="43" a="1"/>
  <c r="E16" i="43" s="1"/>
  <c r="D28" i="79" s="1"/>
  <c r="D16" i="43" a="1"/>
  <c r="D16" i="43" s="1"/>
  <c r="F15" i="43" a="1"/>
  <c r="F15" i="43" s="1"/>
  <c r="E29" i="79" s="1"/>
  <c r="E15" i="43" a="1"/>
  <c r="E15" i="43" s="1"/>
  <c r="D15" i="43" a="1"/>
  <c r="D15" i="43" s="1"/>
  <c r="F14" i="43" a="1"/>
  <c r="F14" i="43" s="1"/>
  <c r="E14" i="43" a="1"/>
  <c r="E14" i="43" s="1"/>
  <c r="D14" i="43" a="1"/>
  <c r="D14" i="43" s="1"/>
  <c r="F13" i="43" a="1"/>
  <c r="F13" i="43" s="1"/>
  <c r="E13" i="43" a="1"/>
  <c r="E13" i="43" s="1"/>
  <c r="D13" i="43" a="1"/>
  <c r="D13" i="43" s="1"/>
  <c r="F12" i="43" a="1"/>
  <c r="F12" i="43" s="1"/>
  <c r="E12" i="43" a="1"/>
  <c r="E12" i="43" s="1"/>
  <c r="D12" i="43" a="1"/>
  <c r="D12" i="43" s="1"/>
  <c r="F11" i="43" a="1"/>
  <c r="F11" i="43" s="1"/>
  <c r="E11" i="43" a="1"/>
  <c r="E11" i="43" s="1"/>
  <c r="D11" i="43" a="1"/>
  <c r="D11" i="43" s="1"/>
  <c r="F10" i="43" a="1"/>
  <c r="F10" i="43" s="1"/>
  <c r="E32" i="79" s="1"/>
  <c r="E10" i="43" a="1"/>
  <c r="E10" i="43" s="1"/>
  <c r="D32" i="79" s="1"/>
  <c r="D10" i="43" a="1"/>
  <c r="D10" i="43" s="1"/>
  <c r="D8" i="43" a="1"/>
  <c r="D8" i="43" s="1"/>
  <c r="D7" i="43" a="1"/>
  <c r="D7" i="43" s="1"/>
  <c r="D6" i="43" a="1"/>
  <c r="D6" i="43" s="1"/>
  <c r="F22" i="82" l="1"/>
  <c r="D29" i="79"/>
  <c r="D35" i="70" s="1"/>
  <c r="G22" i="82"/>
  <c r="D30" i="79"/>
  <c r="D36" i="70" s="1"/>
  <c r="E22" i="82"/>
  <c r="D41" i="70"/>
  <c r="L37" i="82" l="1"/>
  <c r="D21" i="82"/>
  <c r="D29" i="82"/>
  <c r="E29" i="82" s="1"/>
  <c r="L21" i="82"/>
  <c r="D37" i="82"/>
  <c r="G22" i="81"/>
  <c r="G21" i="82"/>
  <c r="F22" i="81"/>
  <c r="F21" i="82"/>
  <c r="N23" i="81"/>
  <c r="N22" i="82"/>
  <c r="M22" i="81"/>
  <c r="M21" i="82"/>
  <c r="O22" i="81"/>
  <c r="O21" i="82"/>
  <c r="N22" i="81"/>
  <c r="N21" i="82"/>
  <c r="E22" i="81"/>
  <c r="E21" i="82"/>
  <c r="M23" i="81"/>
  <c r="M22" i="82"/>
  <c r="O23" i="81"/>
  <c r="O22" i="82"/>
  <c r="L23" i="82"/>
  <c r="D39" i="82"/>
  <c r="D23" i="82"/>
  <c r="L39" i="82"/>
  <c r="D31" i="82"/>
  <c r="E31" i="82" s="1"/>
  <c r="L22" i="82"/>
  <c r="D38" i="82"/>
  <c r="D30" i="82"/>
  <c r="E30" i="82" s="1"/>
  <c r="G38" i="82" s="1" a="1"/>
  <c r="G38" i="82" s="1"/>
  <c r="L38" i="82"/>
  <c r="D22" i="82"/>
  <c r="L100" i="81"/>
  <c r="L52" i="81"/>
  <c r="D52" i="81"/>
  <c r="L77" i="81"/>
  <c r="D100" i="81"/>
  <c r="D93" i="81"/>
  <c r="L119" i="81"/>
  <c r="D119" i="81"/>
  <c r="D77" i="81"/>
  <c r="L22" i="81"/>
  <c r="D112" i="81"/>
  <c r="L79" i="81"/>
  <c r="D121" i="81"/>
  <c r="D102" i="81"/>
  <c r="L54" i="81"/>
  <c r="D79" i="81"/>
  <c r="D95" i="81"/>
  <c r="L24" i="81"/>
  <c r="L102" i="81"/>
  <c r="D54" i="81"/>
  <c r="D114" i="81"/>
  <c r="L121" i="81"/>
  <c r="D56" i="70"/>
  <c r="L120" i="81"/>
  <c r="D101" i="81"/>
  <c r="D120" i="81"/>
  <c r="D94" i="81"/>
  <c r="L78" i="81"/>
  <c r="L53" i="81"/>
  <c r="D113" i="81"/>
  <c r="D53" i="81"/>
  <c r="D78" i="81"/>
  <c r="L23" i="81"/>
  <c r="L101" i="81"/>
  <c r="D23" i="81"/>
  <c r="D46" i="81"/>
  <c r="D39" i="81"/>
  <c r="E39" i="81" s="1"/>
  <c r="D31" i="81"/>
  <c r="E31" i="81" s="1"/>
  <c r="D30" i="81"/>
  <c r="E30" i="81" s="1"/>
  <c r="D22" i="81"/>
  <c r="D45" i="81"/>
  <c r="D38" i="81"/>
  <c r="E38" i="81" s="1"/>
  <c r="D32" i="81"/>
  <c r="E32" i="81" s="1"/>
  <c r="D24" i="81"/>
  <c r="D47" i="81"/>
  <c r="D40" i="81"/>
  <c r="E40" i="81" s="1"/>
  <c r="G23" i="81"/>
  <c r="F23" i="81"/>
  <c r="E23" i="81"/>
  <c r="D51" i="70"/>
  <c r="L204" i="76"/>
  <c r="L174" i="76"/>
  <c r="N147" i="69"/>
  <c r="D196" i="76"/>
  <c r="E196" i="76" s="1"/>
  <c r="M93" i="69"/>
  <c r="D204" i="76"/>
  <c r="N160" i="69"/>
  <c r="D174" i="76"/>
  <c r="D168" i="76"/>
  <c r="D93" i="69"/>
  <c r="E160" i="69"/>
  <c r="E147" i="69"/>
  <c r="E87" i="69"/>
  <c r="F87" i="69" s="1" a="1"/>
  <c r="F87" i="69" s="1"/>
  <c r="G93" i="69" s="1" a="1"/>
  <c r="G93" i="69" s="1"/>
  <c r="H147" i="69" s="1"/>
  <c r="H160" i="69" s="1" a="1"/>
  <c r="H160" i="69" s="1"/>
  <c r="E81" i="69"/>
  <c r="L203" i="76"/>
  <c r="L173" i="76"/>
  <c r="N146" i="69"/>
  <c r="D195" i="76"/>
  <c r="D203" i="76"/>
  <c r="N159" i="69"/>
  <c r="M92" i="69"/>
  <c r="D167" i="76"/>
  <c r="D173" i="76"/>
  <c r="D46" i="70"/>
  <c r="D92" i="69"/>
  <c r="E146" i="69"/>
  <c r="E86" i="69"/>
  <c r="F86" i="69" s="1" a="1"/>
  <c r="F86" i="69" s="1"/>
  <c r="F92" i="69" s="1" a="1"/>
  <c r="F92" i="69" s="1"/>
  <c r="G146" i="69" s="1"/>
  <c r="G159" i="69" s="1" a="1"/>
  <c r="G159" i="69" s="1"/>
  <c r="E80" i="69"/>
  <c r="E159" i="69"/>
  <c r="L205" i="76"/>
  <c r="M120" i="69"/>
  <c r="D120" i="69"/>
  <c r="D115" i="69"/>
  <c r="N148" i="69"/>
  <c r="D197" i="76"/>
  <c r="E197" i="76" s="1"/>
  <c r="L129" i="76"/>
  <c r="D205" i="76"/>
  <c r="N161" i="69"/>
  <c r="D129" i="76"/>
  <c r="D124" i="76"/>
  <c r="E161" i="69"/>
  <c r="E148" i="69"/>
  <c r="G205" i="76" l="1" a="1"/>
  <c r="G205" i="76" s="1"/>
  <c r="F205" i="76" a="1"/>
  <c r="F205" i="76" s="1"/>
  <c r="E205" i="76" a="1"/>
  <c r="E205" i="76" s="1"/>
  <c r="O205" i="76" a="1"/>
  <c r="O205" i="76" s="1"/>
  <c r="M205" i="76" a="1"/>
  <c r="M205" i="76" s="1"/>
  <c r="N205" i="76" a="1"/>
  <c r="N205" i="76" s="1"/>
  <c r="G204" i="76" a="1"/>
  <c r="G204" i="76" s="1"/>
  <c r="F204" i="76" a="1"/>
  <c r="F204" i="76" s="1"/>
  <c r="E204" i="76" a="1"/>
  <c r="E204" i="76" s="1"/>
  <c r="O204" i="76" a="1"/>
  <c r="O204" i="76" s="1"/>
  <c r="M204" i="76" a="1"/>
  <c r="M204" i="76" s="1"/>
  <c r="N204" i="76" a="1"/>
  <c r="N204" i="76" s="1"/>
  <c r="M37" i="82" a="1"/>
  <c r="M37" i="82" s="1"/>
  <c r="N37" i="82" a="1"/>
  <c r="N37" i="82" s="1"/>
  <c r="N38" i="82" a="1"/>
  <c r="N38" i="82" s="1"/>
  <c r="O38" i="82" a="1"/>
  <c r="O38" i="82" s="1"/>
  <c r="G37" i="82" a="1"/>
  <c r="G37" i="82" s="1"/>
  <c r="E37" i="82" a="1"/>
  <c r="E37" i="82" s="1"/>
  <c r="M38" i="82" a="1"/>
  <c r="M38" i="82" s="1"/>
  <c r="E38" i="82" a="1"/>
  <c r="E38" i="82" s="1"/>
  <c r="E119" i="81" a="1"/>
  <c r="E119" i="81" s="1"/>
  <c r="F38" i="82" a="1"/>
  <c r="F38" i="82" s="1"/>
  <c r="F37" i="82" a="1"/>
  <c r="F37" i="82" s="1"/>
  <c r="M120" i="81" a="1"/>
  <c r="M120" i="81" s="1"/>
  <c r="E39" i="82" a="1"/>
  <c r="E39" i="82" s="1"/>
  <c r="G39" i="82" a="1"/>
  <c r="G39" i="82" s="1"/>
  <c r="F39" i="82" a="1"/>
  <c r="F39" i="82" s="1"/>
  <c r="O39" i="82" a="1"/>
  <c r="O39" i="82" s="1"/>
  <c r="N39" i="82" a="1"/>
  <c r="N39" i="82" s="1"/>
  <c r="M39" i="82" a="1"/>
  <c r="M39" i="82" s="1"/>
  <c r="O37" i="82" a="1"/>
  <c r="O37" i="82" s="1"/>
  <c r="F100" i="81" a="1"/>
  <c r="F100" i="81" s="1"/>
  <c r="M121" i="81" a="1"/>
  <c r="M121" i="81" s="1"/>
  <c r="O121" i="81" a="1"/>
  <c r="O121" i="81" s="1"/>
  <c r="N121" i="81" a="1"/>
  <c r="N121" i="81" s="1"/>
  <c r="G121" i="81" a="1"/>
  <c r="G121" i="81" s="1"/>
  <c r="F121" i="81" a="1"/>
  <c r="F121" i="81" s="1"/>
  <c r="E121" i="81" a="1"/>
  <c r="E121" i="81" s="1"/>
  <c r="N100" i="81" a="1"/>
  <c r="N100" i="81" s="1"/>
  <c r="N119" i="81" a="1"/>
  <c r="N119" i="81" s="1"/>
  <c r="N53" i="81" a="1"/>
  <c r="N53" i="81" s="1"/>
  <c r="O119" i="81" a="1"/>
  <c r="O119" i="81" s="1"/>
  <c r="G119" i="81" a="1"/>
  <c r="G119" i="81" s="1"/>
  <c r="N120" i="81" a="1"/>
  <c r="N120" i="81" s="1"/>
  <c r="F119" i="81" a="1"/>
  <c r="F119" i="81" s="1"/>
  <c r="E120" i="81" a="1"/>
  <c r="E120" i="81" s="1"/>
  <c r="O120" i="81" a="1"/>
  <c r="O120" i="81" s="1"/>
  <c r="F120" i="81" a="1"/>
  <c r="F120" i="81" s="1"/>
  <c r="M119" i="81" a="1"/>
  <c r="M119" i="81" s="1"/>
  <c r="G120" i="81" a="1"/>
  <c r="G120" i="81" s="1"/>
  <c r="M78" i="81" a="1"/>
  <c r="M78" i="81" s="1"/>
  <c r="N101" i="81" a="1"/>
  <c r="N101" i="81" s="1"/>
  <c r="O77" i="81" a="1"/>
  <c r="O77" i="81" s="1"/>
  <c r="M52" i="81" a="1"/>
  <c r="M52" i="81" s="1"/>
  <c r="E100" i="81" a="1"/>
  <c r="E100" i="81" s="1"/>
  <c r="F77" i="81" a="1"/>
  <c r="F77" i="81" s="1"/>
  <c r="F78" i="81" a="1"/>
  <c r="F78" i="81" s="1"/>
  <c r="F101" i="81" a="1"/>
  <c r="F101" i="81" s="1"/>
  <c r="G78" i="81" a="1"/>
  <c r="G78" i="81" s="1"/>
  <c r="G101" i="81" a="1"/>
  <c r="G101" i="81" s="1"/>
  <c r="G77" i="81" a="1"/>
  <c r="G77" i="81" s="1"/>
  <c r="N77" i="81" a="1"/>
  <c r="N77" i="81" s="1"/>
  <c r="M102" i="81" a="1"/>
  <c r="M102" i="81" s="1"/>
  <c r="M79" i="81" a="1"/>
  <c r="M79" i="81" s="1"/>
  <c r="O102" i="81" a="1"/>
  <c r="O102" i="81" s="1"/>
  <c r="O79" i="81" a="1"/>
  <c r="O79" i="81" s="1"/>
  <c r="N79" i="81" a="1"/>
  <c r="N79" i="81" s="1"/>
  <c r="N102" i="81" a="1"/>
  <c r="N102" i="81" s="1"/>
  <c r="E79" i="81" a="1"/>
  <c r="E79" i="81" s="1"/>
  <c r="E102" i="81" a="1"/>
  <c r="E102" i="81" s="1"/>
  <c r="G79" i="81" a="1"/>
  <c r="G79" i="81" s="1"/>
  <c r="G102" i="81" a="1"/>
  <c r="G102" i="81" s="1"/>
  <c r="F79" i="81" a="1"/>
  <c r="F79" i="81" s="1"/>
  <c r="F102" i="81" a="1"/>
  <c r="F102" i="81" s="1"/>
  <c r="G100" i="81" a="1"/>
  <c r="G100" i="81" s="1"/>
  <c r="O52" i="81" a="1"/>
  <c r="O52" i="81" s="1"/>
  <c r="O100" i="81" a="1"/>
  <c r="O100" i="81" s="1"/>
  <c r="E101" i="81" a="1"/>
  <c r="E101" i="81" s="1"/>
  <c r="E78" i="81" a="1"/>
  <c r="E78" i="81" s="1"/>
  <c r="M77" i="81" a="1"/>
  <c r="M77" i="81" s="1"/>
  <c r="O101" i="81" a="1"/>
  <c r="O101" i="81" s="1"/>
  <c r="M101" i="81" a="1"/>
  <c r="M101" i="81" s="1"/>
  <c r="N78" i="81" a="1"/>
  <c r="N78" i="81" s="1"/>
  <c r="E77" i="81" a="1"/>
  <c r="E77" i="81" s="1"/>
  <c r="M100" i="81" a="1"/>
  <c r="M100" i="81" s="1"/>
  <c r="O78" i="81" a="1"/>
  <c r="O78" i="81" s="1"/>
  <c r="F53" i="81" a="1"/>
  <c r="F53" i="81" s="1"/>
  <c r="E52" i="81" a="1"/>
  <c r="E52" i="81" s="1"/>
  <c r="G53" i="81" a="1"/>
  <c r="G53" i="81" s="1"/>
  <c r="M53" i="81" a="1"/>
  <c r="M53" i="81" s="1"/>
  <c r="O53" i="81" a="1"/>
  <c r="O53" i="81" s="1"/>
  <c r="N52" i="81" a="1"/>
  <c r="N52" i="81" s="1"/>
  <c r="M54" i="81" a="1"/>
  <c r="M54" i="81" s="1"/>
  <c r="O54" i="81" a="1"/>
  <c r="O54" i="81" s="1"/>
  <c r="N54" i="81" a="1"/>
  <c r="N54" i="81" s="1"/>
  <c r="G54" i="81" a="1"/>
  <c r="G54" i="81" s="1"/>
  <c r="F54" i="81" a="1"/>
  <c r="F54" i="81" s="1"/>
  <c r="E54" i="81" a="1"/>
  <c r="E54" i="81" s="1"/>
  <c r="F52" i="81" a="1"/>
  <c r="F52" i="81" s="1"/>
  <c r="G52" i="81" a="1"/>
  <c r="G52" i="81" s="1"/>
  <c r="E53" i="81" a="1"/>
  <c r="E53" i="81" s="1"/>
  <c r="E195" i="76"/>
  <c r="F93" i="69" a="1"/>
  <c r="F93" i="69" s="1"/>
  <c r="G147" i="69" s="1"/>
  <c r="G160" i="69" s="1" a="1"/>
  <c r="G160" i="69" s="1"/>
  <c r="E93" i="69" a="1"/>
  <c r="E93" i="69" s="1"/>
  <c r="F147" i="69" s="1"/>
  <c r="F160" i="69" s="1" a="1"/>
  <c r="F160" i="69" s="1"/>
  <c r="G92" i="69" a="1"/>
  <c r="G92" i="69" s="1"/>
  <c r="H146" i="69" s="1"/>
  <c r="H159" i="69" s="1" a="1"/>
  <c r="H159" i="69" s="1"/>
  <c r="E92" i="69" a="1"/>
  <c r="E92" i="69" s="1"/>
  <c r="F146" i="69" s="1"/>
  <c r="F159" i="69" s="1" a="1"/>
  <c r="F159" i="69" s="1"/>
  <c r="O92" i="69" a="1"/>
  <c r="O92" i="69" s="1"/>
  <c r="P146" i="69" s="1"/>
  <c r="P159" i="69" s="1" a="1"/>
  <c r="P159" i="69" s="1"/>
  <c r="N92" i="69" a="1"/>
  <c r="N92" i="69" s="1"/>
  <c r="O146" i="69" s="1"/>
  <c r="O159" i="69" s="1" a="1"/>
  <c r="O159" i="69" s="1"/>
  <c r="P92" i="69" a="1"/>
  <c r="P92" i="69" s="1"/>
  <c r="Q146" i="69" s="1"/>
  <c r="Q159" i="69" s="1" a="1"/>
  <c r="Q159" i="69" s="1"/>
  <c r="O93" i="69" a="1"/>
  <c r="O93" i="69" s="1"/>
  <c r="P147" i="69" s="1"/>
  <c r="P160" i="69" s="1" a="1"/>
  <c r="P160" i="69" s="1"/>
  <c r="N93" i="69" a="1"/>
  <c r="N93" i="69" s="1"/>
  <c r="O147" i="69" s="1"/>
  <c r="O160" i="69" s="1" a="1"/>
  <c r="O160" i="69" s="1"/>
  <c r="P93" i="69" a="1"/>
  <c r="P93" i="69" s="1"/>
  <c r="Q147" i="69" s="1"/>
  <c r="Q160" i="69" s="1" a="1"/>
  <c r="Q160" i="69" s="1"/>
  <c r="F203" i="76" l="1" a="1"/>
  <c r="F203" i="76" s="1"/>
  <c r="G203" i="76" a="1"/>
  <c r="G203" i="76" s="1"/>
  <c r="E203" i="76" a="1"/>
  <c r="E203" i="76" s="1"/>
  <c r="M203" i="76" a="1"/>
  <c r="M203" i="76" s="1"/>
  <c r="O203" i="76" a="1"/>
  <c r="O203" i="76" s="1"/>
  <c r="N203" i="76" a="1"/>
  <c r="N203" i="76" s="1"/>
  <c r="M41" i="82"/>
  <c r="O53" i="82" s="1"/>
  <c r="M60" i="82" s="1" a="1"/>
  <c r="M60" i="82" s="1"/>
  <c r="E41" i="82"/>
  <c r="G53" i="82" s="1"/>
  <c r="E60" i="82" s="1" a="1"/>
  <c r="E60" i="82" s="1"/>
  <c r="E123" i="81"/>
  <c r="E23" i="13" s="1"/>
  <c r="M123" i="81"/>
  <c r="M56" i="81"/>
  <c r="M104" i="81"/>
  <c r="E81" i="81"/>
  <c r="E104" i="81"/>
  <c r="E22" i="13" s="1"/>
  <c r="M81" i="81"/>
  <c r="E56" i="81"/>
  <c r="E21" i="13" s="1"/>
  <c r="E164" i="69"/>
  <c r="N164" i="69"/>
  <c r="E29" i="15"/>
  <c r="E11" i="13" l="1"/>
  <c r="G62" i="82"/>
  <c r="E65" i="82" s="1" a="1"/>
  <c r="E65" i="82" s="1"/>
  <c r="G11" i="13" s="1"/>
  <c r="E12" i="13"/>
  <c r="O62" i="82"/>
  <c r="M65" i="82" s="1" a="1"/>
  <c r="M65" i="82" s="1"/>
  <c r="G12" i="13" s="1"/>
  <c r="P166" i="69"/>
  <c r="N169" i="69" s="1" a="1"/>
  <c r="N169" i="69" s="1"/>
  <c r="G8" i="13" s="1"/>
  <c r="E8" i="13"/>
  <c r="G166" i="69"/>
  <c r="E169" i="69" s="1" a="1"/>
  <c r="E169" i="69" s="1"/>
  <c r="G7" i="13" s="1"/>
  <c r="E7" i="13"/>
  <c r="M207" i="76"/>
  <c r="E207" i="76"/>
  <c r="G209" i="76" l="1"/>
  <c r="E212" i="76" s="1" a="1"/>
  <c r="E212" i="76" s="1"/>
  <c r="G9" i="13" s="1"/>
  <c r="E9" i="13"/>
  <c r="O209" i="76"/>
  <c r="M212" i="76" s="1" a="1"/>
  <c r="M212" i="76" s="1"/>
  <c r="G10" i="13" s="1"/>
  <c r="E10" i="13"/>
  <c r="E13" i="15"/>
  <c r="G15" i="1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<sst xmlns="http://schemas.openxmlformats.org/spreadsheetml/2006/main" count="853" uniqueCount="343">
  <si>
    <t>Home</t>
  </si>
  <si>
    <t>N2O MMS</t>
  </si>
  <si>
    <t>Sources &amp; acknowledgements</t>
  </si>
  <si>
    <t>INPUTS</t>
  </si>
  <si>
    <t>APPENDICES</t>
  </si>
  <si>
    <t>Emissions breakdown</t>
  </si>
  <si>
    <t>Test Farms</t>
  </si>
  <si>
    <t>Farm name</t>
  </si>
  <si>
    <t>State</t>
  </si>
  <si>
    <t>Leaching zone</t>
  </si>
  <si>
    <t>Climate zone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</si>
  <si>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Please select</t>
    </r>
  </si>
  <si>
    <t>Degrees celsius</t>
  </si>
  <si>
    <t>Millimetres</t>
  </si>
  <si>
    <t>Location and climate</t>
  </si>
  <si>
    <t>Your business</t>
  </si>
  <si>
    <t>Location information is used to reference some region and climate-specific emission factors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</si>
  <si>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Automatically calculated, 12 months after start date</t>
    </r>
  </si>
  <si>
    <t>Dry matter digestibility</t>
  </si>
  <si>
    <t>Percent</t>
  </si>
  <si>
    <t>Unit</t>
  </si>
  <si>
    <t>Manure management system</t>
  </si>
  <si>
    <t>State/Territory</t>
  </si>
  <si>
    <t>Common Name</t>
  </si>
  <si>
    <t>Abbreviation</t>
  </si>
  <si>
    <t>SA 4 Name</t>
  </si>
  <si>
    <t>Region (ABS Statistical area level 4) if state is WA</t>
  </si>
  <si>
    <t>Function name</t>
  </si>
  <si>
    <t>Gas</t>
  </si>
  <si>
    <t>CO2-e factor</t>
  </si>
  <si>
    <t>Variable</t>
  </si>
  <si>
    <t>Conversion factor</t>
  </si>
  <si>
    <t>Conversion factor 1</t>
  </si>
  <si>
    <t>Conversion factor 2</t>
  </si>
  <si>
    <t>Conversion factor combined</t>
  </si>
  <si>
    <t>Western Australia - Outback (South)</t>
  </si>
  <si>
    <t>Rainfall zone</t>
  </si>
  <si>
    <t>MAT</t>
  </si>
  <si>
    <t>MAP</t>
  </si>
  <si>
    <t>Frost days per year</t>
  </si>
  <si>
    <t>Elevation</t>
  </si>
  <si>
    <t>MAP:PET</t>
  </si>
  <si>
    <t>Min temp</t>
  </si>
  <si>
    <t>Max temp</t>
  </si>
  <si>
    <t>Min rainfall</t>
  </si>
  <si>
    <t>Max rainfall</t>
  </si>
  <si>
    <t>Min frost days</t>
  </si>
  <si>
    <t>Min elevation</t>
  </si>
  <si>
    <t>Min MAP:PET</t>
  </si>
  <si>
    <t>Wet or Dry Zone</t>
  </si>
  <si>
    <t>Max frost days</t>
  </si>
  <si>
    <t>Max elevation</t>
  </si>
  <si>
    <t>Max MAP:PET</t>
  </si>
  <si>
    <t>Temperature zone</t>
  </si>
  <si>
    <t>Meters</t>
  </si>
  <si>
    <t>Days</t>
  </si>
  <si>
    <t>Temperature Zone</t>
  </si>
  <si>
    <t>Min MAT</t>
  </si>
  <si>
    <t>Max MAT</t>
  </si>
  <si>
    <t>Rainfall Zone</t>
  </si>
  <si>
    <t>Annual rainfall</t>
  </si>
  <si>
    <t>MAP:PET ratio</t>
  </si>
  <si>
    <t>Average temperature for reporting period</t>
  </si>
  <si>
    <t>Total rainfall for reporting period</t>
  </si>
  <si>
    <t>Potential evapotranspiration for reporting period</t>
  </si>
  <si>
    <t>Number of frost days for reporting period</t>
  </si>
  <si>
    <t>Leaching Zone</t>
  </si>
  <si>
    <t>Leaching criteria</t>
  </si>
  <si>
    <t>MMS</t>
  </si>
  <si>
    <t>Data source</t>
  </si>
  <si>
    <t>Data score</t>
  </si>
  <si>
    <r>
      <rPr>
        <sz val="12"/>
        <color theme="1" tint="0.34998626667073579"/>
        <rFont val="Times New Roman"/>
        <family val="1"/>
      </rPr>
      <t xml:space="preserve">← </t>
    </r>
    <r>
      <rPr>
        <i/>
        <sz val="12"/>
        <color theme="1" tint="0.34998626667073579"/>
        <rFont val="Times New Roman"/>
        <family val="1"/>
      </rPr>
      <t>DD/MM/YYYY or DD Month YYYY</t>
    </r>
  </si>
  <si>
    <t>Tip: Use the web-based GAF Location Helper tool to easily get region and climate information. You will need an internet connection to use the GAF Location Helper.</t>
  </si>
  <si>
    <t>Reporting entity name</t>
  </si>
  <si>
    <t>Test Farms Pty Ltd</t>
  </si>
  <si>
    <t>Freight and transport</t>
  </si>
  <si>
    <t>Enteric methane</t>
  </si>
  <si>
    <t>CALCULATIONS</t>
  </si>
  <si>
    <t>Constants - Common</t>
  </si>
  <si>
    <t>Waste</t>
  </si>
  <si>
    <t>Constants - Livestock</t>
  </si>
  <si>
    <t>Symbol</t>
  </si>
  <si>
    <t>Symbol and MMS</t>
  </si>
  <si>
    <t>ACT</t>
  </si>
  <si>
    <t>NSW</t>
  </si>
  <si>
    <t>NT</t>
  </si>
  <si>
    <t>QLD</t>
  </si>
  <si>
    <t>SA</t>
  </si>
  <si>
    <t>TAS</t>
  </si>
  <si>
    <t>VIC</t>
  </si>
  <si>
    <t>WA</t>
  </si>
  <si>
    <t>💡An 'Emissions accounting period' is a 12 month period where the business can report on the emissions, and is typically the same as the business' financial accounting period.</t>
  </si>
  <si>
    <t>Input - Site</t>
  </si>
  <si>
    <t>Wet or dry climate zone</t>
  </si>
  <si>
    <t>Is in leaching zone</t>
  </si>
  <si>
    <t>FracWET</t>
  </si>
  <si>
    <t>NO - Not in leaching zone</t>
  </si>
  <si>
    <t>Emissions calculation period start date</t>
  </si>
  <si>
    <t>Emissions calculation period end date</t>
  </si>
  <si>
    <r>
      <t>MCF</t>
    </r>
    <r>
      <rPr>
        <b/>
        <vertAlign val="subscript"/>
        <sz val="11"/>
        <color rgb="FF183C1B"/>
        <rFont val="Times New Roman"/>
        <family val="1"/>
      </rPr>
      <t>im</t>
    </r>
  </si>
  <si>
    <t>NIR definition</t>
  </si>
  <si>
    <t>Fraction</t>
  </si>
  <si>
    <t>Table_MCF_i_m</t>
  </si>
  <si>
    <t>Drylot (feed pad)</t>
  </si>
  <si>
    <t>Production system 1: Post-treatment destinations</t>
  </si>
  <si>
    <t>Stage 2 MMS</t>
  </si>
  <si>
    <t>Intake</t>
  </si>
  <si>
    <t>kg DM/head/day</t>
  </si>
  <si>
    <t>MMS m</t>
  </si>
  <si>
    <t>Stage 1 MMS</t>
  </si>
  <si>
    <t>Input - MMS - Feedlot</t>
  </si>
  <si>
    <t>kg dry matter / head  day</t>
  </si>
  <si>
    <t>Fraction of manure in primary system drylot</t>
  </si>
  <si>
    <t>Treatment stage T</t>
  </si>
  <si>
    <t>Table_MMS_m-5_T-1</t>
  </si>
  <si>
    <t>Manure management systems</t>
  </si>
  <si>
    <t>Table_MMS_m_T-2</t>
  </si>
  <si>
    <t>Fraction of manure sent to stage 2 MMS</t>
  </si>
  <si>
    <t>Feedlot manure management systems</t>
  </si>
  <si>
    <t>Methane conversion factor for state and MMS</t>
  </si>
  <si>
    <t>New South Wales</t>
  </si>
  <si>
    <t>Table_MMS_m-1_T-3</t>
  </si>
  <si>
    <t>Stage 3 MMS</t>
  </si>
  <si>
    <t>Fraction of manure sent to tertiary MMS</t>
  </si>
  <si>
    <t>Herd movement</t>
  </si>
  <si>
    <t>Duration of stay</t>
  </si>
  <si>
    <t>head</t>
  </si>
  <si>
    <t>Stage 1</t>
  </si>
  <si>
    <t xml:space="preserve"> Stage 2</t>
  </si>
  <si>
    <t>Stage 3</t>
  </si>
  <si>
    <t>Table_D_j</t>
  </si>
  <si>
    <t>Table_N_j</t>
  </si>
  <si>
    <t>Number of head in each group</t>
  </si>
  <si>
    <t>Head</t>
  </si>
  <si>
    <t>Stage</t>
  </si>
  <si>
    <t>kg CH4/head/day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</si>
  <si>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</si>
  <si>
    <t>Table_E_CH4</t>
  </si>
  <si>
    <t>Methane emissions for each group, MMS and treatment stage</t>
  </si>
  <si>
    <t>Sold as fertiliser</t>
  </si>
  <si>
    <t>Formula name</t>
  </si>
  <si>
    <t>Crude protein</t>
  </si>
  <si>
    <t>Feedlot type</t>
  </si>
  <si>
    <t>Nutrient analysis</t>
  </si>
  <si>
    <t>2010-2014</t>
  </si>
  <si>
    <t>2015-2019</t>
  </si>
  <si>
    <t>2020-2023</t>
  </si>
  <si>
    <t>Source Data - Feedlot</t>
  </si>
  <si>
    <t>Domestic</t>
  </si>
  <si>
    <t>Mid-fed</t>
  </si>
  <si>
    <t>Long-fed</t>
  </si>
  <si>
    <t>2020-2023 Converted to fraction</t>
  </si>
  <si>
    <t>Characteristic</t>
  </si>
  <si>
    <t>2005-2009</t>
  </si>
  <si>
    <t>Feed intake</t>
  </si>
  <si>
    <t>Length of stay</t>
  </si>
  <si>
    <t>EF mT</t>
  </si>
  <si>
    <t>FracGASMmT</t>
  </si>
  <si>
    <t>N retention</t>
  </si>
  <si>
    <t>Percent of intake</t>
  </si>
  <si>
    <t>M1_Table_I_j</t>
  </si>
  <si>
    <t>M1_Table_CP_j</t>
  </si>
  <si>
    <t>M1_Table_NI_j</t>
  </si>
  <si>
    <t>M2_Table_I_j</t>
  </si>
  <si>
    <t>M2_Table_CP_j</t>
  </si>
  <si>
    <t>M2_Table_NI_j</t>
  </si>
  <si>
    <t>M1_Table_NR_j</t>
  </si>
  <si>
    <t>M2_Table_NR_j</t>
  </si>
  <si>
    <t>M1_Table_NE_j</t>
  </si>
  <si>
    <t>M2_Table_NE_j</t>
  </si>
  <si>
    <t>Method 1</t>
  </si>
  <si>
    <t>Method 2</t>
  </si>
  <si>
    <t>Fraction of intake</t>
  </si>
  <si>
    <t>M1_Table_AE_j</t>
  </si>
  <si>
    <t>M2_Table_AE_j</t>
  </si>
  <si>
    <t>Table_MMS_j_m-5_T-1</t>
  </si>
  <si>
    <t>M1_Table_MN_j_m-5_T-1</t>
  </si>
  <si>
    <t>M2_Table_MN_j_m-5_T-1</t>
  </si>
  <si>
    <t>Table_MMS_j_m_T-2</t>
  </si>
  <si>
    <t>called MMSjmT2 in N2O calcs</t>
  </si>
  <si>
    <t>Fraction of manure sent to stage 3 MMS</t>
  </si>
  <si>
    <t>Table_MMS_j_m-1_T-3</t>
  </si>
  <si>
    <t>Table_EF_j_m</t>
  </si>
  <si>
    <t>EFs for MMS</t>
  </si>
  <si>
    <r>
      <t>EF</t>
    </r>
    <r>
      <rPr>
        <b/>
        <vertAlign val="subscript"/>
        <sz val="11"/>
        <color rgb="FF183C1B"/>
        <rFont val="Times New Roman"/>
        <family val="1"/>
      </rPr>
      <t>jm</t>
    </r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</si>
  <si>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N2O,dir</t>
    </r>
  </si>
  <si>
    <t>M1_Table_MN_j_m-1_T-3</t>
  </si>
  <si>
    <t>M2_Table_MN_j_m-1_T-3</t>
  </si>
  <si>
    <t>M1_Table_NT_j_m-_T-2</t>
  </si>
  <si>
    <t>M2_Table_NT_j_m-_T-2</t>
  </si>
  <si>
    <t>M1_Table_MN_j_m_T-2</t>
  </si>
  <si>
    <t>M1_Table_E_N2O_dir</t>
  </si>
  <si>
    <t>Total annual N2O emissions (Method 1)</t>
  </si>
  <si>
    <t>Total annual N2O emissions (Method 2)</t>
  </si>
  <si>
    <t>Nitrogen in stage 2 MMS (Method 1)</t>
  </si>
  <si>
    <t>Nitrogen in stage 2 MMS (Method 2)</t>
  </si>
  <si>
    <t>Nitrogen transferred to stage 2 MMS (Method 1)</t>
  </si>
  <si>
    <t>Nitrogen transferred to stage 2 MMS (Method 2)</t>
  </si>
  <si>
    <t>Nitrogen in stage 3 MMS (Method 1)</t>
  </si>
  <si>
    <t>Nitrogen in stage 3 MMS (Method 2)</t>
  </si>
  <si>
    <t>Nitrogen in stage 1 MMS (Method 1)</t>
  </si>
  <si>
    <t>Nitrogen in stage 1 MMS (Method 2)</t>
  </si>
  <si>
    <t>Annual nitrogen excretion (Method 1)</t>
  </si>
  <si>
    <t>Annual nitrogen excretion (Method 2)</t>
  </si>
  <si>
    <t>Nitrogen retention (Method 1)</t>
  </si>
  <si>
    <t>Nitrogen retention (Method 2)</t>
  </si>
  <si>
    <t>Nitrogen intake (Method 1)</t>
  </si>
  <si>
    <t>Crude protein content of feed (Method 1)</t>
  </si>
  <si>
    <t>Dry matter intake (Method 1)</t>
  </si>
  <si>
    <t>Dry matter intake (Method 2)</t>
  </si>
  <si>
    <t>Crude protein content of feed (Method 2)</t>
  </si>
  <si>
    <t>Nitrogen intake (Method 2)</t>
  </si>
  <si>
    <t>M1_Table_DMD_j</t>
  </si>
  <si>
    <t>M1_Table_VS_j</t>
  </si>
  <si>
    <t>Volatile solid production (Method 1)</t>
  </si>
  <si>
    <t>Dry matter digestibility (Method 1)</t>
  </si>
  <si>
    <t>M2_Table_DMD_j</t>
  </si>
  <si>
    <t>M2_Table_VS_j</t>
  </si>
  <si>
    <t>Volatile solid production (Method 2)</t>
  </si>
  <si>
    <t>M1_Table_M_j_m-5_T-1</t>
  </si>
  <si>
    <t>Production of methane stage 1 MMS (Method 1)</t>
  </si>
  <si>
    <t>M2_Table_M_j_m-5_T-1</t>
  </si>
  <si>
    <t>Production of methane stage 1 MMS (Method 2)</t>
  </si>
  <si>
    <t>M1_Table_M_j_m_T-2</t>
  </si>
  <si>
    <t>Production of methane in stage 2 MMS (Method 1)</t>
  </si>
  <si>
    <t>M2_Table_M_j_m_T-2</t>
  </si>
  <si>
    <t>Production of methane in stage 2 MMS (Method 2)</t>
  </si>
  <si>
    <t>M1_Table_M_j_m-1_T-3</t>
  </si>
  <si>
    <t>Production of methane in stage 3 MMS (Method 1)</t>
  </si>
  <si>
    <t>M2_Table_M_j_m-1_T-3</t>
  </si>
  <si>
    <t>Production of methane in stage 3 MMS (Method 2)</t>
  </si>
  <si>
    <t>M1_Table_M_j_m_T</t>
  </si>
  <si>
    <t>Methane production for all livestock groups, MMS and treatment stages (Method 1)</t>
  </si>
  <si>
    <t>M2_Table_M_j_m_T</t>
  </si>
  <si>
    <t>Methane production for all livestock groups, MMS and treatment stages (Method 2)</t>
  </si>
  <si>
    <t>ECH4 (Method 1)</t>
  </si>
  <si>
    <t>ECH4 (Method 2)</t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</si>
  <si>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1)</t>
    </r>
  </si>
  <si>
    <r>
      <t>E</t>
    </r>
    <r>
      <rPr>
        <vertAlign val="subscript"/>
        <sz val="12"/>
        <color theme="1" tint="0.24994659260841701"/>
        <rFont val="Times New Roman"/>
        <family val="1"/>
      </rPr>
      <t>CO2e</t>
    </r>
    <r>
      <rPr>
        <sz val="12"/>
        <color theme="1" tint="0.24994659260841701"/>
        <rFont val="Times New Roman"/>
        <family val="1"/>
      </rPr>
      <t xml:space="preserve"> (Method 2)</t>
    </r>
  </si>
  <si>
    <t>4.1.1.9 Manure applied to soils</t>
  </si>
  <si>
    <t>kg N</t>
  </si>
  <si>
    <t>M1_Table_MN_j_m_T-2-3</t>
  </si>
  <si>
    <t>Table_FracGASM_m_T-2-3</t>
  </si>
  <si>
    <t>Table_EF_j_m_T-2-3</t>
  </si>
  <si>
    <t>Fraction of N volatilised in each MMS</t>
  </si>
  <si>
    <t>Table_PF</t>
  </si>
  <si>
    <t>Fraction of manure applied to soil from MMS</t>
  </si>
  <si>
    <t>Percent of intake needs converting to faction of intake before going to equation - needs conversion in equation or change of input unit</t>
  </si>
  <si>
    <t>kg N2O/kg N</t>
  </si>
  <si>
    <t>(kg NH3-N + NOx-N)/kg N</t>
  </si>
  <si>
    <t>M2_Table_MN_j_m_T-2-3</t>
  </si>
  <si>
    <t>Mass on N in stage 2 and 3 MMS (Method 2)</t>
  </si>
  <si>
    <t>Mass on N in stage 2 and 3 MMS (Method 1)</t>
  </si>
  <si>
    <t>M1_Table_MNSoil_scope1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</si>
  <si>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scope1</t>
    </r>
  </si>
  <si>
    <t>Deposited on farm soils as waste (Direct application MMS)</t>
  </si>
  <si>
    <t>Table_PF_fert</t>
  </si>
  <si>
    <t>Fraction of manure applied to as fertiliser on own farm from MMS</t>
  </si>
  <si>
    <t>M1_Table_MNSoil_scope3</t>
  </si>
  <si>
    <t>M1_Table_MNSoil_scope3_fert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</si>
  <si>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fert,scope3</t>
    </r>
  </si>
  <si>
    <t>M2_Table_MNSoil_scope3_fert</t>
  </si>
  <si>
    <t>Mass of N applied to own farm as fertiliser (Method 2)</t>
  </si>
  <si>
    <t>M2_Table_MNSoil_scope3</t>
  </si>
  <si>
    <t>Mass of N applied to soils as fertiliser (Method 2)</t>
  </si>
  <si>
    <t>Mass of N applied to own farm as fertiliser (Method 1)</t>
  </si>
  <si>
    <t>Mass of N applied to soils as fertiliser (Method 1)</t>
  </si>
  <si>
    <t>M2_Table_MNSoil_scope1</t>
  </si>
  <si>
    <t>Mass of N applied to soils (Method 2)</t>
  </si>
  <si>
    <t>Mass of N applied to soils (Method 1)</t>
  </si>
  <si>
    <t>Table_PF_sold</t>
  </si>
  <si>
    <t>Fraction of manure sold</t>
  </si>
  <si>
    <t>M1_Table_MNSoil_scope3_sold</t>
  </si>
  <si>
    <t>M2_Table_MNSoil_scope3_sold</t>
  </si>
  <si>
    <t>Mass of N sold as fertiliser (Method 2)</t>
  </si>
  <si>
    <t>Mass of N sold as fertiliser (Method 1)</t>
  </si>
  <si>
    <t>Mass of nitrogen applied as fertiliser on own farm</t>
  </si>
  <si>
    <t>Mass of nitrogen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</si>
  <si>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scope3,sold</t>
    </r>
  </si>
  <si>
    <t>* Manure that is removed from stage 2 and 3 MMS and used as fertiliser on the farm, for other enterprises (eg crops)</t>
  </si>
  <si>
    <t>* Manure that is removed from stage 2 and 3 MMS that is sold</t>
  </si>
  <si>
    <r>
      <t>MNSoil</t>
    </r>
    <r>
      <rPr>
        <b/>
        <vertAlign val="subscript"/>
        <sz val="16"/>
        <color theme="1" tint="0.24994659260841701"/>
        <rFont val="Times New Roman"/>
        <family val="1"/>
      </rPr>
      <t>scope3,fert</t>
    </r>
  </si>
  <si>
    <t>4.1.1.1 Method 1 Manure methane</t>
  </si>
  <si>
    <t>4.1.1.2 Method 2 Manure methane</t>
  </si>
  <si>
    <t>4.1.1.3 Method 1 Manure direct N2O</t>
  </si>
  <si>
    <t>4.1.1.4 Method 2 Manure direct N2O</t>
  </si>
  <si>
    <t>4.1.1.5 Method 1 Manure atmospheric deposition</t>
  </si>
  <si>
    <t>4.1.1.6 Method 2 Manure atmospheric deposition</t>
  </si>
  <si>
    <t>4.1.1.7 Method 1 Manure leaching and runoff</t>
  </si>
  <si>
    <t>4.1.1.8 Method 1 Manure leaching and runoff</t>
  </si>
  <si>
    <t>GHG emissions</t>
  </si>
  <si>
    <t>CO2-e emissions</t>
  </si>
  <si>
    <t>Scope 1 source</t>
  </si>
  <si>
    <t>4.1.1.1-2 Manure Methane</t>
  </si>
  <si>
    <t>4.1.1.3-4 Manure Direct N2O</t>
  </si>
  <si>
    <t>4.1.1.5-6 Manure Atmospheric Deposition</t>
  </si>
  <si>
    <t>M1_Table_MN_j_m_T</t>
  </si>
  <si>
    <t>M1_Table_MMS_ATMOS</t>
  </si>
  <si>
    <t>Nitrogen in each MMS excluding direct application (Method 1)</t>
  </si>
  <si>
    <t>M2_Table_MN_j_m_T</t>
  </si>
  <si>
    <t>Nitrogen in each MMS excluding direct application (Method 2)</t>
  </si>
  <si>
    <r>
      <t>MMS</t>
    </r>
    <r>
      <rPr>
        <b/>
        <vertAlign val="subscript"/>
        <sz val="12"/>
        <color theme="1" tint="0.24994659260841701"/>
        <rFont val="Times New Roman"/>
        <family val="1"/>
      </rPr>
      <t>ATMOS</t>
    </r>
  </si>
  <si>
    <t>Where deposited on farm soils as waste, what is the closest match?</t>
  </si>
  <si>
    <t>lacking subscripts</t>
  </si>
  <si>
    <t>Production system j</t>
  </si>
  <si>
    <t>EFN2O</t>
  </si>
  <si>
    <t>Production system only</t>
  </si>
  <si>
    <t>Irrigation method</t>
  </si>
  <si>
    <t>Pasture</t>
  </si>
  <si>
    <t>Feedlot crop or pasture production systems</t>
  </si>
  <si>
    <t>Production system</t>
  </si>
  <si>
    <t>Irrigation methods</t>
  </si>
  <si>
    <t>Not irrigated</t>
  </si>
  <si>
    <t>Drip irrigation</t>
  </si>
  <si>
    <t>Sprinkler irrigation</t>
  </si>
  <si>
    <t>Surface irrigation</t>
  </si>
  <si>
    <t>Other irrigation</t>
  </si>
  <si>
    <r>
      <t>E</t>
    </r>
    <r>
      <rPr>
        <b/>
        <vertAlign val="subscript"/>
        <sz val="16"/>
        <color theme="1" tint="0.24994659260841701"/>
        <rFont val="Times New Roman"/>
        <family val="1"/>
      </rPr>
      <t>N2O,ad</t>
    </r>
  </si>
  <si>
    <t>Total</t>
  </si>
  <si>
    <t>Emissions allocated to</t>
  </si>
  <si>
    <t>GHG Unit</t>
  </si>
  <si>
    <t>CO2-e unit</t>
  </si>
  <si>
    <t>This feedlot</t>
  </si>
  <si>
    <t>Manure nitrogen sold</t>
  </si>
  <si>
    <t>Scope 3 (downstream)</t>
  </si>
  <si>
    <t>Crops or pasture that use manure as fertiliser</t>
  </si>
  <si>
    <t>Amount of N in manure</t>
  </si>
  <si>
    <t>N unit</t>
  </si>
  <si>
    <t>WARNING: Manure nitrogen that was applied to soils must be accounted for</t>
  </si>
  <si>
    <t>Manure nitrogen use</t>
  </si>
  <si>
    <t>Manure nitrogen deposited on farm soils as fertiliser for other farm enterpsies (eg crops)</t>
  </si>
  <si>
    <t>Manure nitrogen deposited on farm soils with no other purpose (aka waste)</t>
  </si>
  <si>
    <t>15.13.1.1 (1), 5.2.2.1 (1), 5.4.1.3 (1, 2), 5.5.1.1 (1, 3)</t>
  </si>
  <si>
    <t>5.2.2.1 (1), 5.4.1.3 (1, 2), 5.5.1.1 (1, 3)</t>
  </si>
  <si>
    <t>VEERG Calculation method</t>
  </si>
  <si>
    <t>See the table below for how to account for manure applied to soils for scope 1 and 3.</t>
  </si>
  <si>
    <t>N/A</t>
  </si>
  <si>
    <t>4.1 Manure management: Beef Feedlot: Results</t>
  </si>
  <si>
    <t>Method 1 default values (Do not edit)</t>
  </si>
  <si>
    <t>Method 2 custom values (Edit if known)</t>
  </si>
  <si>
    <t>Applied to farm soils as fertiliser</t>
  </si>
  <si>
    <t>Irrigation type i</t>
  </si>
  <si>
    <t>EFPRP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</si>
</sst>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00"/>
    <numFmt numFmtId="166" formatCode="d/mm/yyyy;@"/>
    <numFmt numFmtId="167" formatCode="_-* #,##0_-;\-* #,##0_-;_-* &quot;-&quot;??_-;_-@_-"/>
    <numFmt numFmtId="168" formatCode="[$-C09]dd\-mmmm\-yyyy;@"/>
    <numFmt numFmtId="169" formatCode="#,##0.000000"/>
  </numFmts>
  <fonts count="64" x14ac:knownFonts="1">
    <font>
      <sz val="11"/>
      <color theme="1"/>
      <name val="Times New Roman"/>
      <family val="2"/>
      <scheme val="minor"/>
    </font>
    <font>
      <i/>
      <sz val="12"/>
      <color theme="1" tint="0.499984740745262"/>
      <name val="Times New Roman"/>
      <family val="1"/>
    </font>
    <font>
      <sz val="12"/>
      <color theme="1" tint="0.14999847407452621"/>
      <name val="Times New Roman"/>
      <family val="1"/>
    </font>
    <font>
      <b/>
      <sz val="12"/>
      <color theme="1" tint="0.14999847407452621"/>
      <name val="Times New Roman"/>
      <family val="1"/>
    </font>
    <font>
      <b/>
      <sz val="20"/>
      <color rgb="FF183C1B"/>
      <name val="Times New Roman"/>
      <family val="1"/>
    </font>
    <font>
      <b/>
      <sz val="11"/>
      <color rgb="FF183C1B"/>
      <name val="Times New Roman"/>
      <family val="1"/>
    </font>
    <font>
      <i/>
      <sz val="12"/>
      <color theme="1" tint="0.34998626667073579"/>
      <name val="Times New Roman"/>
      <family val="1"/>
    </font>
    <font>
      <sz val="12"/>
      <color theme="1" tint="0.34998626667073579"/>
      <name val="Times New Roman"/>
      <family val="1"/>
    </font>
    <font>
      <sz val="12"/>
      <color theme="1" tint="0.14996795556505021"/>
      <name val="Times New Roman"/>
      <family val="1"/>
    </font>
    <font>
      <i/>
      <sz val="10"/>
      <color theme="1" tint="0.34998626667073579"/>
      <name val="Times New Roman"/>
      <family val="1"/>
    </font>
    <font>
      <sz val="11"/>
      <color theme="1"/>
      <name val="Times New Roman"/>
      <family val="2"/>
      <scheme val="minor"/>
    </font>
    <font>
      <b/>
      <sz val="20"/>
      <color rgb="FFCC6600"/>
      <name val="Times New Roman"/>
      <family val="1"/>
    </font>
    <font>
      <i/>
      <sz val="12"/>
      <color rgb="FFCC6600"/>
      <name val="Times New Roman"/>
      <family val="1"/>
    </font>
    <font>
      <b/>
      <sz val="11"/>
      <color rgb="FF533001"/>
      <name val="Times New Roman"/>
      <family val="1"/>
    </font>
    <font>
      <i/>
      <strike/>
      <sz val="12"/>
      <color theme="1" tint="0.499984740745262"/>
      <name val="Times New Roman"/>
      <family val="1"/>
    </font>
    <font>
      <b/>
      <i/>
      <strike/>
      <sz val="12"/>
      <color theme="1" tint="0.499984740745262"/>
      <name val="Times New Roman"/>
      <family val="1"/>
    </font>
    <font>
      <sz val="9"/>
      <color theme="1" tint="0.499984740745262"/>
      <name val="Courier New"/>
      <family val="3"/>
    </font>
    <font>
      <b/>
      <sz val="16"/>
      <color theme="0"/>
      <name val="Times New Roman"/>
      <family val="1"/>
    </font>
    <font>
      <u/>
      <sz val="11"/>
      <color theme="10"/>
      <name val="Times New Roman"/>
      <family val="2"/>
      <scheme val="minor"/>
    </font>
    <font>
      <sz val="9"/>
      <color theme="1" tint="0.249977111117893"/>
      <name val="Times New Roman"/>
      <family val="1"/>
    </font>
    <font>
      <sz val="9"/>
      <color rgb="FF008000"/>
      <name val="Times New Roman"/>
      <family val="1"/>
    </font>
    <font>
      <sz val="9"/>
      <color rgb="FFCC6600"/>
      <name val="Times New Roman"/>
      <family val="1"/>
    </font>
    <font>
      <sz val="12"/>
      <color theme="0"/>
      <name val="Times New Roman"/>
      <family val="1"/>
    </font>
    <font>
      <sz val="8"/>
      <name val="Times New Roman"/>
      <family val="2"/>
      <scheme val="minor"/>
    </font>
    <font>
      <sz val="11"/>
      <color theme="1" tint="0.499984740745262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 tint="0.249977111117893"/>
      <name val="Times New Roman"/>
      <family val="1"/>
    </font>
    <font>
      <sz val="12"/>
      <color theme="1" tint="0.249977111117893"/>
      <name val="Times New Roman"/>
      <family val="1"/>
    </font>
    <font>
      <b/>
      <sz val="12"/>
      <color theme="1" tint="0.249977111117893"/>
      <name val="Times New Roman"/>
      <family val="1"/>
    </font>
    <font>
      <b/>
      <sz val="11"/>
      <color theme="1"/>
      <name val="Times New Roman"/>
      <family val="1"/>
      <scheme val="minor"/>
    </font>
    <font>
      <b/>
      <sz val="14"/>
      <color theme="1"/>
      <name val="Times New Roman"/>
      <family val="1"/>
      <scheme val="minor"/>
    </font>
    <font>
      <sz val="11"/>
      <color rgb="FF242424"/>
      <name val="Consolas"/>
      <family val="3"/>
    </font>
    <font>
      <sz val="12"/>
      <color theme="0" tint="-4.9989318521683403E-2"/>
      <name val="Times New Roman"/>
      <family val="1"/>
    </font>
    <font>
      <sz val="10"/>
      <color theme="1" tint="0.34998626667073579"/>
      <name val="Times New Roman"/>
      <family val="1"/>
    </font>
    <font>
      <sz val="10"/>
      <name val="Arial"/>
      <family val="2"/>
    </font>
    <font>
      <sz val="9"/>
      <name val="Times New Roman"/>
      <family val="1"/>
    </font>
    <font>
      <sz val="18"/>
      <color theme="1" tint="0.14996795556505021"/>
      <name val="Times New Roman"/>
      <family val="1"/>
    </font>
    <font>
      <sz val="10"/>
      <color theme="1" tint="0.34998626667073579"/>
      <name val="Times New Roman"/>
      <family val="2"/>
      <scheme val="minor"/>
    </font>
    <font>
      <sz val="12"/>
      <color theme="1" tint="0.24994659260841701"/>
      <name val="Times New Roman"/>
      <family val="1"/>
    </font>
    <font>
      <b/>
      <vertAlign val="subscript"/>
      <sz val="11"/>
      <color rgb="FF183C1B"/>
      <name val="Times New Roman"/>
      <family val="1"/>
    </font>
    <font>
      <b/>
      <sz val="12"/>
      <color theme="1" tint="0.24994659260841701"/>
      <name val="Times New Roman"/>
      <family val="1"/>
    </font>
    <font>
      <sz val="12"/>
      <color rgb="FFC44340"/>
      <name val="Times New Roman"/>
      <family val="1"/>
    </font>
    <font>
      <sz val="12"/>
      <color rgb="FF008000"/>
      <name val="Times New Roman"/>
      <family val="1"/>
    </font>
    <font>
      <b/>
      <sz val="11"/>
      <color theme="5" tint="-0.499984740745262"/>
      <name val="Times New Roman"/>
      <family val="1"/>
      <scheme val="minor"/>
    </font>
    <font>
      <i/>
      <sz val="12"/>
      <color theme="1" tint="0.14999847407452621"/>
      <name val="Times New Roman"/>
      <family val="1"/>
    </font>
    <font>
      <sz val="12"/>
      <color rgb="FF0070C0"/>
      <name val="Times New Roman"/>
      <family val="1"/>
    </font>
    <font>
      <b/>
      <sz val="12"/>
      <color rgb="FF0070C0"/>
      <name val="Times New Roman"/>
      <family val="1"/>
    </font>
    <font>
      <b/>
      <sz val="12"/>
      <color theme="0"/>
      <name val="Times New Roman"/>
      <family val="1"/>
    </font>
    <font>
      <b/>
      <sz val="12"/>
      <color theme="0" tint="-0.499984740745262"/>
      <name val="Times New Roman"/>
      <family val="1"/>
    </font>
    <font>
      <sz val="10"/>
      <color theme="0" tint="-0.499984740745262"/>
      <name val="Times New Roman"/>
      <family val="1"/>
    </font>
    <font>
      <b/>
      <sz val="12"/>
      <color rgb="FFC44340"/>
      <name val="Times New Roman"/>
      <family val="1"/>
    </font>
    <font>
      <b/>
      <sz val="16"/>
      <color theme="1" tint="0.24994659260841701"/>
      <name val="Times New Roman"/>
      <family val="1"/>
    </font>
    <font>
      <sz val="16"/>
      <color theme="1" tint="0.24994659260841701"/>
      <name val="Times New Roman"/>
      <family val="1"/>
    </font>
    <font>
      <i/>
      <sz val="16"/>
      <color theme="1" tint="0.34998626667073579"/>
      <name val="Times New Roman"/>
      <family val="1"/>
    </font>
    <font>
      <vertAlign val="subscript"/>
      <sz val="12"/>
      <color theme="1" tint="0.24994659260841701"/>
      <name val="Times New Roman"/>
      <family val="1"/>
    </font>
    <font>
      <sz val="14"/>
      <color theme="1" tint="0.34998626667073579"/>
      <name val="Times New Roman"/>
      <family val="1"/>
    </font>
    <font>
      <b/>
      <sz val="12"/>
      <color rgb="FFCC6600"/>
      <name val="Times New Roman"/>
      <family val="1"/>
    </font>
    <font>
      <b/>
      <sz val="11"/>
      <color theme="1"/>
      <name val="Times New Roman"/>
      <family val="2"/>
      <scheme val="minor"/>
    </font>
    <font>
      <b/>
      <vertAlign val="subscript"/>
      <sz val="16"/>
      <color theme="1" tint="0.24994659260841701"/>
      <name val="Times New Roman"/>
      <family val="1"/>
    </font>
    <font>
      <b/>
      <vertAlign val="subscript"/>
      <sz val="12"/>
      <color theme="1" tint="0.24994659260841701"/>
      <name val="Times New Roman"/>
      <family val="1"/>
    </font>
    <font>
      <sz val="12"/>
      <color rgb="FFCC6600"/>
      <name val="Times New Roman"/>
      <family val="1"/>
    </font>
    <font>
      <b/>
      <sz val="20"/>
      <color theme="4" tint="-0.249977111117893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B2D498"/>
        <bgColor indexed="64"/>
      </patternFill>
    </fill>
    <fill>
      <patternFill patternType="solid">
        <fgColor rgb="FF183C1B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533001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gradientFill degree="90">
        <stop position="0">
          <color theme="0"/>
        </stop>
        <stop position="1">
          <color theme="0" tint="-5.0965910824915313E-2"/>
        </stop>
      </gradient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1" tint="0.249977111117893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0" tint="-0.34998626667073579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/>
      <top style="thin">
        <color theme="3" tint="0.749961851863155"/>
      </top>
      <bottom/>
      <diagonal/>
    </border>
    <border>
      <left/>
      <right style="thin">
        <color theme="3" tint="0.749961851863155"/>
      </right>
      <top style="thin">
        <color theme="3" tint="0.749961851863155"/>
      </top>
      <bottom/>
      <diagonal/>
    </border>
    <border>
      <left style="thin">
        <color theme="3" tint="0.749961851863155"/>
      </left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/>
      <right/>
      <top/>
      <bottom style="thin">
        <color theme="3" tint="0.749961851863155"/>
      </bottom>
      <diagonal/>
    </border>
    <border>
      <left/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3" tint="0.749961851863155"/>
      </top>
      <bottom style="thin">
        <color theme="0" tint="-0.34998626667073579"/>
      </bottom>
      <diagonal/>
    </border>
    <border>
      <left/>
      <right/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3" tint="0.749961851863155"/>
      </left>
      <right/>
      <top/>
      <bottom/>
      <diagonal/>
    </border>
    <border>
      <left/>
      <right style="thin">
        <color theme="3" tint="0.749961851863155"/>
      </right>
      <top/>
      <bottom/>
      <diagonal/>
    </border>
  </borders>
  <cellStyleXfs count="65">
    <xf numFmtId="0" fontId="0" fillId="0" borderId="0"/>
    <xf numFmtId="0" fontId="5" fillId="2" borderId="0">
      <alignment horizontal="left" vertical="center" indent="1"/>
      <protection locked="0"/>
    </xf>
    <xf numFmtId="0" fontId="4" fillId="0" borderId="0"/>
    <xf numFmtId="0" fontId="1" fillId="0" borderId="0">
      <alignment vertical="center"/>
    </xf>
    <xf numFmtId="0" fontId="17" fillId="3" borderId="0">
      <alignment vertical="center"/>
    </xf>
    <xf numFmtId="0" fontId="38" fillId="4" borderId="0">
      <alignment horizontal="left" vertical="center"/>
    </xf>
    <xf numFmtId="0" fontId="44" fillId="4" borderId="0">
      <alignment vertical="center"/>
    </xf>
    <xf numFmtId="0" fontId="3" fillId="4" borderId="0">
      <alignment horizontal="left" vertical="center"/>
    </xf>
    <xf numFmtId="0" fontId="40" fillId="4" borderId="0">
      <alignment horizontal="left" vertical="center"/>
    </xf>
    <xf numFmtId="0" fontId="5" fillId="2" borderId="0">
      <alignment horizontal="center" vertical="center"/>
    </xf>
    <xf numFmtId="164" fontId="8" fillId="4" borderId="0">
      <alignment horizontal="center" vertical="center"/>
    </xf>
    <xf numFmtId="9" fontId="8" fillId="4" borderId="0">
      <alignment horizontal="center" vertical="center"/>
    </xf>
    <xf numFmtId="0" fontId="6" fillId="4" borderId="0">
      <alignment horizontal="left" vertical="center" indent="1"/>
    </xf>
    <xf numFmtId="0" fontId="7" fillId="4" borderId="0">
      <alignment horizontal="right" vertical="center"/>
    </xf>
    <xf numFmtId="9" fontId="10" fillId="0" borderId="0" applyFont="0" applyFill="0" applyBorder="0" applyAlignment="0" applyProtection="0"/>
    <xf numFmtId="0" fontId="2" fillId="0" borderId="2">
      <alignment horizontal="center" vertical="center"/>
    </xf>
    <xf numFmtId="0" fontId="3" fillId="12" borderId="2">
      <alignment horizontal="center" vertical="center"/>
    </xf>
    <xf numFmtId="9" fontId="2" fillId="0" borderId="2">
      <alignment horizontal="center" vertical="center"/>
    </xf>
    <xf numFmtId="4" fontId="2" fillId="0" borderId="2">
      <alignment horizontal="center" vertical="center"/>
    </xf>
    <xf numFmtId="3" fontId="2" fillId="0" borderId="2">
      <alignment horizontal="center" vertical="center"/>
    </xf>
    <xf numFmtId="0" fontId="14" fillId="0" borderId="2">
      <alignment horizontal="center" vertical="center"/>
    </xf>
    <xf numFmtId="0" fontId="15" fillId="0" borderId="2">
      <alignment horizontal="center" vertical="center"/>
    </xf>
    <xf numFmtId="9" fontId="14" fillId="0" borderId="2">
      <alignment horizontal="center" vertical="center"/>
    </xf>
    <xf numFmtId="165" fontId="14" fillId="0" borderId="2">
      <alignment horizontal="center" vertical="center"/>
    </xf>
    <xf numFmtId="3" fontId="14" fillId="0" borderId="2">
      <alignment horizontal="center" vertical="center"/>
    </xf>
    <xf numFmtId="0" fontId="16" fillId="4" borderId="0">
      <alignment horizontal="left" vertical="center"/>
    </xf>
    <xf numFmtId="0" fontId="6" fillId="4" borderId="4">
      <alignment horizontal="left" vertical="center" indent="1"/>
    </xf>
    <xf numFmtId="164" fontId="8" fillId="4" borderId="4">
      <alignment horizontal="center" vertical="center"/>
    </xf>
    <xf numFmtId="0" fontId="3" fillId="4" borderId="4">
      <alignment horizontal="left" vertical="center"/>
    </xf>
    <xf numFmtId="0" fontId="13" fillId="6" borderId="0">
      <alignment horizontal="left" vertical="center" indent="1"/>
    </xf>
    <xf numFmtId="0" fontId="13" fillId="6" borderId="0">
      <alignment horizontal="center" vertical="center"/>
      <protection locked="0"/>
    </xf>
    <xf numFmtId="0" fontId="12" fillId="4" borderId="0">
      <alignment vertical="center"/>
    </xf>
    <xf numFmtId="0" fontId="17" fillId="7" borderId="0">
      <alignment vertical="center"/>
    </xf>
    <xf numFmtId="0" fontId="11" fillId="0" borderId="0"/>
    <xf numFmtId="0" fontId="18" fillId="0" borderId="0" applyNumberFormat="0" applyFill="0" applyBorder="0" applyAlignment="0" applyProtection="0"/>
    <xf numFmtId="0" fontId="2" fillId="0" borderId="0">
      <alignment horizontal="left" vertical="center" indent="1"/>
    </xf>
    <xf numFmtId="0" fontId="19" fillId="9" borderId="5">
      <alignment horizontal="left" vertical="center" indent="1"/>
    </xf>
    <xf numFmtId="0" fontId="22" fillId="10" borderId="0">
      <alignment horizontal="left" vertical="center" indent="1"/>
    </xf>
    <xf numFmtId="0" fontId="22" fillId="5" borderId="0">
      <alignment horizontal="left" vertical="center" indent="1"/>
    </xf>
    <xf numFmtId="0" fontId="22" fillId="8" borderId="0">
      <alignment horizontal="left" vertical="center" indent="1"/>
    </xf>
    <xf numFmtId="0" fontId="24" fillId="0" borderId="0">
      <alignment horizontal="left" vertical="center" indent="2"/>
    </xf>
    <xf numFmtId="0" fontId="47" fillId="13" borderId="9">
      <alignment horizontal="left" vertical="center"/>
    </xf>
    <xf numFmtId="43" fontId="10" fillId="0" borderId="0" applyFont="0" applyFill="0" applyBorder="0" applyAlignment="0" applyProtection="0"/>
    <xf numFmtId="3" fontId="35" fillId="4" borderId="2">
      <alignment horizontal="center" vertical="center"/>
    </xf>
    <xf numFmtId="168" fontId="2" fillId="0" borderId="2">
      <alignment horizontal="center" vertical="center"/>
    </xf>
    <xf numFmtId="0" fontId="36" fillId="0" borderId="0"/>
    <xf numFmtId="0" fontId="10" fillId="0" borderId="0"/>
    <xf numFmtId="0" fontId="36" fillId="0" borderId="0"/>
    <xf numFmtId="166" fontId="35" fillId="4" borderId="2">
      <alignment horizontal="center" vertical="center"/>
    </xf>
    <xf numFmtId="4" fontId="35" fillId="4" borderId="2">
      <alignment horizontal="center" vertical="center"/>
    </xf>
    <xf numFmtId="0" fontId="57" fillId="4" borderId="0">
      <alignment horizontal="left" vertical="center"/>
    </xf>
    <xf numFmtId="0" fontId="39" fillId="4" borderId="0" applyNumberFormat="0">
      <alignment horizontal="center" vertical="center"/>
    </xf>
    <xf numFmtId="165" fontId="35" fillId="4" borderId="2">
      <alignment horizontal="center" vertical="center"/>
    </xf>
    <xf numFmtId="0" fontId="34" fillId="4" borderId="0">
      <alignment horizontal="left" vertical="center"/>
    </xf>
    <xf numFmtId="169" fontId="35" fillId="4" borderId="2">
      <alignment horizontal="center" vertical="center"/>
    </xf>
    <xf numFmtId="0" fontId="35" fillId="4" borderId="2">
      <alignment horizontal="center" vertical="center"/>
    </xf>
    <xf numFmtId="0" fontId="6" fillId="4" borderId="0">
      <alignment horizontal="left" vertical="center"/>
    </xf>
    <xf numFmtId="0" fontId="43" fillId="4" borderId="0">
      <alignment horizontal="left" vertical="center"/>
    </xf>
    <xf numFmtId="0" fontId="10" fillId="0" borderId="0"/>
    <xf numFmtId="0" fontId="2" fillId="0" borderId="2">
      <alignment horizontal="center" vertical="center"/>
    </xf>
    <xf numFmtId="0" fontId="50" fillId="4" borderId="0">
      <alignment horizontal="left" vertical="center"/>
    </xf>
    <xf numFmtId="0" fontId="51" fillId="4" borderId="0">
      <alignment horizontal="left" vertical="center"/>
    </xf>
    <xf numFmtId="0" fontId="58" fillId="4" borderId="0">
      <alignment horizontal="left" vertical="center"/>
    </xf>
    <xf numFmtId="0" fontId="49" fillId="11" borderId="0">
      <alignment horizontal="center" vertical="center"/>
    </xf>
    <xf numFmtId="0" fontId="22" fillId="11" borderId="0">
      <alignment horizontal="left" vertical="center" indent="1"/>
    </xf>
  </cellStyleXfs>
  <cellXfs count="138">
    <xf numFmtId="0" fontId="0" fillId="0" borderId="0" xfId="0"/>
    <xf numFmtId="0" fontId="40" fillId="4" borderId="0" xfId="8">
      <alignment horizontal="left" vertical="center"/>
    </xf>
    <xf numFmtId="0" fontId="6" fillId="4" borderId="0" xfId="12">
      <alignment horizontal="left" vertical="center" indent="1"/>
    </xf>
    <xf numFmtId="0" fontId="3" fillId="4" borderId="0" xfId="7">
      <alignment horizontal="left" vertical="center"/>
    </xf>
    <xf numFmtId="0" fontId="17" fillId="3" borderId="0" xfId="4">
      <alignment vertical="center"/>
    </xf>
    <xf numFmtId="0" fontId="44" fillId="4" borderId="0" xfId="6">
      <alignment vertical="center"/>
    </xf>
    <xf numFmtId="0" fontId="38" fillId="4" borderId="0" xfId="5">
      <alignment horizontal="left" vertical="center"/>
    </xf>
    <xf numFmtId="0" fontId="3" fillId="0" borderId="0" xfId="7" applyFill="1">
      <alignment horizontal="left" vertical="center"/>
    </xf>
    <xf numFmtId="0" fontId="4" fillId="0" borderId="0" xfId="2"/>
    <xf numFmtId="0" fontId="1" fillId="0" borderId="0" xfId="3">
      <alignment vertical="center"/>
    </xf>
    <xf numFmtId="0" fontId="2" fillId="4" borderId="0" xfId="7" applyFont="1">
      <alignment horizontal="left" vertical="center"/>
    </xf>
    <xf numFmtId="0" fontId="17" fillId="0" borderId="0" xfId="4" applyFill="1">
      <alignment vertical="center"/>
    </xf>
    <xf numFmtId="0" fontId="11" fillId="0" borderId="0" xfId="2" applyFont="1"/>
    <xf numFmtId="0" fontId="16" fillId="4" borderId="0" xfId="25">
      <alignment horizontal="left" vertical="center"/>
    </xf>
    <xf numFmtId="0" fontId="12" fillId="4" borderId="0" xfId="31">
      <alignment vertical="center"/>
    </xf>
    <xf numFmtId="0" fontId="17" fillId="7" borderId="0" xfId="32">
      <alignment vertical="center"/>
    </xf>
    <xf numFmtId="0" fontId="2" fillId="9" borderId="0" xfId="7" applyFont="1" applyFill="1" applyAlignment="1">
      <alignment horizontal="left" vertical="center" indent="1"/>
    </xf>
    <xf numFmtId="0" fontId="2" fillId="0" borderId="0" xfId="35">
      <alignment horizontal="left" vertical="center" indent="1"/>
    </xf>
    <xf numFmtId="0" fontId="19" fillId="9" borderId="5" xfId="36">
      <alignment horizontal="left" vertical="center" indent="1"/>
    </xf>
    <xf numFmtId="0" fontId="20" fillId="9" borderId="5" xfId="36" applyFont="1">
      <alignment horizontal="left" vertical="center" indent="1"/>
    </xf>
    <xf numFmtId="0" fontId="21" fillId="9" borderId="5" xfId="36" applyFont="1">
      <alignment horizontal="left" vertical="center" indent="1"/>
    </xf>
    <xf numFmtId="0" fontId="22" fillId="5" borderId="0" xfId="38">
      <alignment horizontal="left" vertical="center" indent="1"/>
    </xf>
    <xf numFmtId="0" fontId="22" fillId="8" borderId="0" xfId="39">
      <alignment horizontal="left" vertical="center" indent="1"/>
    </xf>
    <xf numFmtId="0" fontId="47" fillId="13" borderId="9" xfId="41">
      <alignment horizontal="left" vertical="center"/>
    </xf>
    <xf numFmtId="0" fontId="0" fillId="4" borderId="0" xfId="0" applyFill="1"/>
    <xf numFmtId="2" fontId="32" fillId="4" borderId="1" xfId="0" applyNumberFormat="1" applyFont="1" applyFill="1" applyBorder="1"/>
    <xf numFmtId="2" fontId="0" fillId="4" borderId="0" xfId="0" applyNumberFormat="1" applyFill="1" applyAlignment="1">
      <alignment vertical="center"/>
    </xf>
    <xf numFmtId="0" fontId="17" fillId="4" borderId="0" xfId="4" applyFill="1">
      <alignment vertical="center"/>
    </xf>
    <xf numFmtId="0" fontId="31" fillId="4" borderId="0" xfId="0" applyFont="1" applyFill="1"/>
    <xf numFmtId="2" fontId="32" fillId="4" borderId="0" xfId="0" applyNumberFormat="1" applyFont="1" applyFill="1"/>
    <xf numFmtId="0" fontId="6" fillId="4" borderId="0" xfId="12" applyAlignment="1">
      <alignment horizontal="left" indent="1"/>
    </xf>
    <xf numFmtId="0" fontId="32" fillId="4" borderId="1" xfId="0" applyFont="1" applyFill="1" applyBorder="1"/>
    <xf numFmtId="0" fontId="40" fillId="4" borderId="0" xfId="8" applyAlignment="1">
      <alignment horizontal="right" vertical="center"/>
    </xf>
    <xf numFmtId="4" fontId="2" fillId="4" borderId="0" xfId="18" applyFill="1" applyBorder="1">
      <alignment horizontal="center" vertical="center"/>
    </xf>
    <xf numFmtId="0" fontId="13" fillId="4" borderId="0" xfId="30" applyFill="1">
      <alignment horizontal="center" vertical="center"/>
      <protection locked="0"/>
    </xf>
    <xf numFmtId="0" fontId="2" fillId="0" borderId="2" xfId="15">
      <alignment horizontal="center" vertical="center"/>
    </xf>
    <xf numFmtId="0" fontId="29" fillId="4" borderId="0" xfId="7" applyFont="1" applyAlignment="1">
      <alignment horizontal="center" vertical="center"/>
    </xf>
    <xf numFmtId="166" fontId="29" fillId="4" borderId="0" xfId="7" applyNumberFormat="1" applyFont="1" applyAlignment="1">
      <alignment horizontal="center" vertical="center"/>
    </xf>
    <xf numFmtId="0" fontId="0" fillId="0" borderId="0" xfId="7" applyFont="1" applyFill="1">
      <alignment horizontal="left" vertical="center"/>
    </xf>
    <xf numFmtId="0" fontId="0" fillId="0" borderId="0" xfId="8" applyFont="1" applyFill="1">
      <alignment horizontal="left" vertical="center"/>
    </xf>
    <xf numFmtId="0" fontId="2" fillId="0" borderId="0" xfId="7" applyFont="1" applyFill="1">
      <alignment horizontal="left" vertical="center"/>
    </xf>
    <xf numFmtId="0" fontId="13" fillId="6" borderId="0" xfId="30">
      <alignment horizontal="center" vertical="center"/>
      <protection locked="0"/>
    </xf>
    <xf numFmtId="0" fontId="3" fillId="12" borderId="2" xfId="16">
      <alignment horizontal="center" vertical="center"/>
    </xf>
    <xf numFmtId="0" fontId="38" fillId="0" borderId="0" xfId="5" applyFill="1">
      <alignment horizontal="left" vertical="center"/>
    </xf>
    <xf numFmtId="0" fontId="44" fillId="0" borderId="0" xfId="6" applyFill="1">
      <alignment vertical="center"/>
    </xf>
    <xf numFmtId="0" fontId="40" fillId="0" borderId="0" xfId="8" applyFill="1">
      <alignment horizontal="left" vertical="center"/>
    </xf>
    <xf numFmtId="0" fontId="9" fillId="0" borderId="0" xfId="12" applyFont="1" applyFill="1" applyAlignment="1">
      <alignment horizontal="left" vertical="center"/>
    </xf>
    <xf numFmtId="0" fontId="37" fillId="0" borderId="0" xfId="0" applyFont="1"/>
    <xf numFmtId="0" fontId="40" fillId="4" borderId="1" xfId="8" applyBorder="1">
      <alignment horizontal="left" vertical="center"/>
    </xf>
    <xf numFmtId="9" fontId="2" fillId="0" borderId="2" xfId="17">
      <alignment horizontal="center" vertical="center"/>
    </xf>
    <xf numFmtId="4" fontId="26" fillId="0" borderId="0" xfId="18" applyFont="1" applyBorder="1">
      <alignment horizontal="center" vertical="center"/>
    </xf>
    <xf numFmtId="0" fontId="57" fillId="4" borderId="0" xfId="50">
      <alignment horizontal="left" vertical="center"/>
    </xf>
    <xf numFmtId="0" fontId="25" fillId="0" borderId="0" xfId="0" applyFont="1" applyAlignment="1" applyProtection="1">
      <alignment horizontal="center" vertical="center"/>
      <protection locked="0"/>
    </xf>
    <xf numFmtId="0" fontId="26" fillId="0" borderId="0" xfId="0" applyFont="1"/>
    <xf numFmtId="0" fontId="5" fillId="2" borderId="0" xfId="9">
      <alignment horizontal="center" vertical="center"/>
    </xf>
    <xf numFmtId="0" fontId="35" fillId="4" borderId="2" xfId="55">
      <alignment horizontal="center" vertical="center"/>
    </xf>
    <xf numFmtId="0" fontId="42" fillId="4" borderId="0" xfId="8" applyFont="1">
      <alignment horizontal="left" vertical="center"/>
    </xf>
    <xf numFmtId="0" fontId="6" fillId="4" borderId="0" xfId="56">
      <alignment horizontal="left" vertical="center"/>
    </xf>
    <xf numFmtId="0" fontId="43" fillId="4" borderId="0" xfId="57">
      <alignment horizontal="left" vertical="center"/>
    </xf>
    <xf numFmtId="0" fontId="10" fillId="0" borderId="0" xfId="58"/>
    <xf numFmtId="0" fontId="35" fillId="4" borderId="2" xfId="55" applyAlignment="1">
      <alignment horizontal="left" vertical="center"/>
    </xf>
    <xf numFmtId="0" fontId="35" fillId="4" borderId="8" xfId="55" applyBorder="1" applyAlignment="1">
      <alignment horizontal="left" vertical="center"/>
    </xf>
    <xf numFmtId="0" fontId="35" fillId="4" borderId="7" xfId="55" applyBorder="1" applyAlignment="1">
      <alignment horizontal="left" vertical="center"/>
    </xf>
    <xf numFmtId="0" fontId="0" fillId="4" borderId="0" xfId="7" applyFont="1">
      <alignment horizontal="left" vertical="center"/>
    </xf>
    <xf numFmtId="4" fontId="26" fillId="4" borderId="0" xfId="18" applyFont="1" applyFill="1" applyBorder="1">
      <alignment horizontal="center" vertical="center"/>
    </xf>
    <xf numFmtId="9" fontId="26" fillId="4" borderId="0" xfId="14" applyFont="1" applyFill="1" applyBorder="1" applyAlignment="1">
      <alignment horizontal="center" vertical="center"/>
    </xf>
    <xf numFmtId="0" fontId="13" fillId="6" borderId="0" xfId="29">
      <alignment horizontal="left" vertical="center" indent="1"/>
    </xf>
    <xf numFmtId="168" fontId="2" fillId="0" borderId="2" xfId="44">
      <alignment horizontal="center" vertical="center"/>
    </xf>
    <xf numFmtId="0" fontId="2" fillId="0" borderId="0" xfId="7" applyFont="1" applyFill="1" applyAlignment="1">
      <alignment horizontal="left" vertical="center" indent="1"/>
    </xf>
    <xf numFmtId="0" fontId="2" fillId="0" borderId="2" xfId="59">
      <alignment horizontal="center" vertical="center"/>
    </xf>
    <xf numFmtId="0" fontId="46" fillId="0" borderId="0" xfId="35" applyFont="1">
      <alignment horizontal="left" vertical="center" indent="1"/>
    </xf>
    <xf numFmtId="0" fontId="11" fillId="0" borderId="0" xfId="33"/>
    <xf numFmtId="0" fontId="22" fillId="10" borderId="0" xfId="37">
      <alignment horizontal="left" vertical="center" indent="1"/>
    </xf>
    <xf numFmtId="0" fontId="3" fillId="4" borderId="3" xfId="7" applyBorder="1">
      <alignment horizontal="left" vertical="center"/>
    </xf>
    <xf numFmtId="166" fontId="35" fillId="4" borderId="2" xfId="43" applyNumberFormat="1">
      <alignment horizontal="center" vertical="center"/>
    </xf>
    <xf numFmtId="164" fontId="8" fillId="4" borderId="0" xfId="27" applyBorder="1">
      <alignment horizontal="center" vertical="center"/>
    </xf>
    <xf numFmtId="0" fontId="26" fillId="4" borderId="0" xfId="8" applyFont="1" applyAlignment="1">
      <alignment horizontal="center" vertical="center"/>
    </xf>
    <xf numFmtId="166" fontId="26" fillId="4" borderId="0" xfId="8" applyNumberFormat="1" applyFont="1" applyAlignment="1">
      <alignment horizontal="center" vertical="center"/>
    </xf>
    <xf numFmtId="0" fontId="26" fillId="4" borderId="0" xfId="12" applyFont="1" applyAlignment="1">
      <alignment horizontal="center" vertical="center"/>
    </xf>
    <xf numFmtId="0" fontId="27" fillId="4" borderId="0" xfId="0" applyFont="1" applyFill="1" applyAlignment="1">
      <alignment horizontal="center" vertical="center"/>
    </xf>
    <xf numFmtId="0" fontId="27" fillId="4" borderId="0" xfId="0" applyFont="1" applyFill="1"/>
    <xf numFmtId="0" fontId="26" fillId="4" borderId="0" xfId="0" applyFont="1" applyFill="1"/>
    <xf numFmtId="0" fontId="28" fillId="4" borderId="0" xfId="7" applyFont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4" borderId="0" xfId="0" applyFont="1" applyFill="1" applyAlignment="1">
      <alignment horizontal="left" vertical="center"/>
    </xf>
    <xf numFmtId="14" fontId="3" fillId="4" borderId="0" xfId="7" applyNumberFormat="1">
      <alignment horizontal="left" vertical="center"/>
    </xf>
    <xf numFmtId="0" fontId="18" fillId="4" borderId="0" xfId="34" applyFill="1" applyBorder="1"/>
    <xf numFmtId="166" fontId="2" fillId="4" borderId="0" xfId="19" applyNumberFormat="1" applyFill="1" applyBorder="1">
      <alignment horizontal="center" vertical="center"/>
    </xf>
    <xf numFmtId="167" fontId="3" fillId="4" borderId="0" xfId="42" applyNumberFormat="1" applyFont="1" applyFill="1" applyBorder="1" applyAlignment="1">
      <alignment horizontal="center" vertical="center"/>
    </xf>
    <xf numFmtId="0" fontId="33" fillId="4" borderId="0" xfId="0" applyFont="1" applyFill="1"/>
    <xf numFmtId="0" fontId="47" fillId="13" borderId="11" xfId="41" applyBorder="1">
      <alignment horizontal="left" vertical="center"/>
    </xf>
    <xf numFmtId="0" fontId="47" fillId="13" borderId="13" xfId="41" applyBorder="1">
      <alignment horizontal="left" vertical="center"/>
    </xf>
    <xf numFmtId="0" fontId="47" fillId="13" borderId="15" xfId="41" applyBorder="1">
      <alignment horizontal="left" vertical="center"/>
    </xf>
    <xf numFmtId="0" fontId="47" fillId="13" borderId="14" xfId="41" applyBorder="1">
      <alignment horizontal="left" vertical="center"/>
    </xf>
    <xf numFmtId="0" fontId="47" fillId="13" borderId="16" xfId="41" applyBorder="1">
      <alignment horizontal="left" vertical="center"/>
    </xf>
    <xf numFmtId="0" fontId="47" fillId="13" borderId="18" xfId="41" applyBorder="1">
      <alignment horizontal="left" vertical="center"/>
    </xf>
    <xf numFmtId="0" fontId="47" fillId="13" borderId="12" xfId="41" applyBorder="1">
      <alignment horizontal="left" vertical="center"/>
    </xf>
    <xf numFmtId="0" fontId="47" fillId="13" borderId="17" xfId="41" applyBorder="1">
      <alignment horizontal="left" vertical="center"/>
    </xf>
    <xf numFmtId="0" fontId="47" fillId="13" borderId="19" xfId="41" applyBorder="1">
      <alignment horizontal="left" vertical="center"/>
    </xf>
    <xf numFmtId="0" fontId="48" fillId="13" borderId="10" xfId="41" applyFont="1" applyBorder="1">
      <alignment horizontal="left" vertical="center"/>
    </xf>
    <xf numFmtId="0" fontId="45" fillId="6" borderId="0" xfId="30" applyFont="1" applyProtection="1">
      <alignment horizontal="center" vertical="center"/>
    </xf>
    <xf numFmtId="9" fontId="35" fillId="4" borderId="2" xfId="14" applyFont="1" applyFill="1" applyBorder="1" applyAlignment="1">
      <alignment horizontal="center" vertical="center"/>
    </xf>
    <xf numFmtId="0" fontId="0" fillId="0" borderId="0" xfId="1" applyFont="1" applyFill="1">
      <alignment horizontal="left" vertical="center" indent="1"/>
      <protection locked="0"/>
    </xf>
    <xf numFmtId="0" fontId="51" fillId="4" borderId="0" xfId="61">
      <alignment horizontal="left" vertical="center"/>
    </xf>
    <xf numFmtId="0" fontId="50" fillId="4" borderId="0" xfId="60">
      <alignment horizontal="left" vertical="center"/>
    </xf>
    <xf numFmtId="0" fontId="52" fillId="4" borderId="0" xfId="57" applyFont="1">
      <alignment horizontal="left" vertical="center"/>
    </xf>
    <xf numFmtId="0" fontId="35" fillId="4" borderId="20" xfId="55" applyBorder="1" applyAlignment="1">
      <alignment horizontal="left" vertical="center"/>
    </xf>
    <xf numFmtId="3" fontId="2" fillId="0" borderId="2" xfId="19">
      <alignment horizontal="center" vertical="center"/>
    </xf>
    <xf numFmtId="3" fontId="35" fillId="4" borderId="2" xfId="55" applyNumberFormat="1">
      <alignment horizontal="center" vertical="center"/>
    </xf>
    <xf numFmtId="0" fontId="53" fillId="4" borderId="1" xfId="8" applyFont="1" applyBorder="1">
      <alignment horizontal="left" vertical="center"/>
    </xf>
    <xf numFmtId="0" fontId="54" fillId="4" borderId="1" xfId="8" applyFont="1" applyBorder="1">
      <alignment horizontal="left" vertical="center"/>
    </xf>
    <xf numFmtId="0" fontId="55" fillId="4" borderId="1" xfId="56" applyFont="1" applyBorder="1">
      <alignment horizontal="left" vertical="center"/>
    </xf>
    <xf numFmtId="0" fontId="35" fillId="4" borderId="20" xfId="55" applyBorder="1">
      <alignment horizontal="center" vertical="center"/>
    </xf>
    <xf numFmtId="0" fontId="6" fillId="4" borderId="1" xfId="56" applyBorder="1">
      <alignment horizontal="left" vertical="center"/>
    </xf>
    <xf numFmtId="0" fontId="58" fillId="4" borderId="0" xfId="62">
      <alignment horizontal="left" vertical="center"/>
    </xf>
    <xf numFmtId="0" fontId="59" fillId="2" borderId="0" xfId="8" applyFont="1" applyFill="1">
      <alignment horizontal="left" vertical="center"/>
    </xf>
    <xf numFmtId="0" fontId="40" fillId="14" borderId="0" xfId="8" applyFill="1">
      <alignment horizontal="left" vertical="center"/>
    </xf>
    <xf numFmtId="0" fontId="35" fillId="4" borderId="2" xfId="55" applyAlignment="1">
      <alignment vertical="center"/>
    </xf>
    <xf numFmtId="0" fontId="35" fillId="4" borderId="7" xfId="55" applyBorder="1" applyAlignment="1">
      <alignment vertical="center"/>
    </xf>
    <xf numFmtId="0" fontId="35" fillId="4" borderId="8" xfId="55" applyBorder="1" applyAlignment="1">
      <alignment vertical="center"/>
    </xf>
    <xf numFmtId="0" fontId="5" fillId="2" borderId="0" xfId="1">
      <alignment horizontal="left" vertical="center" indent="1"/>
      <protection locked="0"/>
    </xf>
    <xf numFmtId="0" fontId="47" fillId="13" borderId="0" xfId="41" applyBorder="1">
      <alignment horizontal="left" vertical="center"/>
    </xf>
    <xf numFmtId="0" fontId="47" fillId="13" borderId="10" xfId="41" applyBorder="1">
      <alignment horizontal="left" vertical="center"/>
    </xf>
    <xf numFmtId="0" fontId="47" fillId="13" borderId="21" xfId="41" applyBorder="1">
      <alignment horizontal="left" vertical="center"/>
    </xf>
    <xf numFmtId="0" fontId="47" fillId="13" borderId="22" xfId="41" applyBorder="1">
      <alignment horizontal="left" vertical="center"/>
    </xf>
    <xf numFmtId="0" fontId="0" fillId="0" borderId="1" xfId="0" applyBorder="1"/>
    <xf numFmtId="9" fontId="8" fillId="4" borderId="0" xfId="11">
      <alignment horizontal="center" vertical="center"/>
    </xf>
    <xf numFmtId="164" fontId="8" fillId="4" borderId="0" xfId="10">
      <alignment horizontal="center" vertical="center"/>
    </xf>
    <xf numFmtId="0" fontId="6" fillId="4" borderId="1" xfId="12" applyBorder="1">
      <alignment horizontal="left" vertical="center" indent="1"/>
    </xf>
    <xf numFmtId="0" fontId="40" fillId="4" borderId="6" xfId="8" applyBorder="1">
      <alignment horizontal="left" vertical="center"/>
    </xf>
    <xf numFmtId="0" fontId="42" fillId="4" borderId="1" xfId="8" applyFont="1" applyBorder="1">
      <alignment horizontal="left" vertical="center"/>
    </xf>
    <xf numFmtId="2" fontId="32" fillId="4" borderId="1" xfId="0" applyNumberFormat="1" applyFont="1" applyFill="1" applyBorder="1" applyAlignment="1">
      <alignment horizontal="center"/>
    </xf>
    <xf numFmtId="0" fontId="62" fillId="4" borderId="0" xfId="62" applyFont="1">
      <alignment horizontal="left" vertical="center"/>
    </xf>
    <xf numFmtId="0" fontId="40" fillId="4" borderId="0" xfId="8" applyAlignment="1">
      <alignment horizontal="center" vertical="center"/>
    </xf>
    <xf numFmtId="0" fontId="49" fillId="11" borderId="0" xfId="63">
      <alignment horizontal="center" vertical="center"/>
    </xf>
    <xf numFmtId="0" fontId="22" fillId="11" borderId="0" xfId="64">
      <alignment horizontal="left" vertical="center" indent="1"/>
    </xf>
    <xf numFmtId="0" fontId="63" fillId="0" borderId="0" xfId="2" applyFont="1"/>
  </cellXfs>
  <cellStyles count="65">
    <cellStyle name="Alert" xfId="62" xr:uid="{34EFE908-8095-4010-8F93-8CFE88055637}"/>
    <cellStyle name="Block heading" xfId="5" xr:uid="{74527274-3B4A-494A-B37C-EA50686E114C}"/>
    <cellStyle name="Block subheading" xfId="50" xr:uid="{34E62905-A3E0-4883-B81A-BDB58FC88DA7}"/>
    <cellStyle name="Code" xfId="25" xr:uid="{99B3520F-01DD-4F8E-A8D0-24EAA04E90EB}"/>
    <cellStyle name="Comma" xfId="42" builtinId="3"/>
    <cellStyle name="Content bold" xfId="7" xr:uid="{468A1381-682E-4BF1-945B-DF2E2BCA4419}"/>
    <cellStyle name="Content bold total" xfId="28" xr:uid="{17159E75-EF9F-42B8-8195-E83583796F67}"/>
    <cellStyle name="Content hidden" xfId="53" xr:uid="{8E56D08F-467A-4F3D-ADA8-ECA27B2FFCD3}"/>
    <cellStyle name="Content normal" xfId="8" xr:uid="{55F96DE2-2B61-4529-A3B8-2B8B8AA0D350}"/>
    <cellStyle name="Equation column header" xfId="9" xr:uid="{B705D3A4-E195-47DF-A4D1-BA1FDC70C701}"/>
    <cellStyle name="Equation source" xfId="6" xr:uid="{348FC12D-3392-478F-B0B3-D4FA4BBA59E4}"/>
    <cellStyle name="Equation table header" xfId="1" xr:uid="{11780056-D3CA-48D4-90AF-8DF1A50E1B13}"/>
    <cellStyle name="Euqation table row 2" xfId="13" xr:uid="{2CAEAB93-BC87-4606-B5A1-3C2F7B5C52A1}"/>
    <cellStyle name="Hyperlink" xfId="34" builtinId="8"/>
    <cellStyle name="Information tip" xfId="41" xr:uid="{7D200D09-32E3-4546-9822-1B93AD118A74}"/>
    <cellStyle name="Information variation" xfId="57" xr:uid="{205494A3-14DD-4E6A-BDD3-5C5A864D6FA7}"/>
    <cellStyle name="Input block subheading" xfId="31" xr:uid="{A9FEBDB0-0992-4E30-96E5-9F9CAE92E3FB}"/>
    <cellStyle name="Input date" xfId="44" xr:uid="{A1D72D5E-DCF3-445F-8FC0-A147E105D774}"/>
    <cellStyle name="Input date calculated" xfId="48" xr:uid="{5A42AD0E-F665-46A9-9757-6B6A4BE7013E}"/>
    <cellStyle name="Input number 2 decimal places" xfId="18" xr:uid="{F9671E40-5700-4055-A6D2-272CF9DB620E}"/>
    <cellStyle name="Input number 2 decimal places calculated" xfId="49" xr:uid="{C04BA53C-14E1-48A5-99A3-C9FD44741A2A}"/>
    <cellStyle name="Input number 3 decimal places calculated" xfId="52" xr:uid="{637E6039-0A01-48EF-8C15-C29A497EF449}"/>
    <cellStyle name="Input number 3 decimal places disabled" xfId="23" xr:uid="{6B1B6177-B1C0-4190-858F-6E4C823402C3}"/>
    <cellStyle name="Input number 6 decimal places calculated" xfId="54" xr:uid="{CE70A7A2-3CEE-4689-8FF6-8EB6FCE0A94C}"/>
    <cellStyle name="Input number general" xfId="59" xr:uid="{D8583F7D-F13A-4EA8-BAA6-B42739FDBDDB}"/>
    <cellStyle name="Input number general calculated" xfId="55" xr:uid="{34755FEB-6E4E-4BD7-A478-DF7299A7A914}"/>
    <cellStyle name="Input number no decimals" xfId="19" xr:uid="{B33B4FB5-F3F4-4036-B2DD-663B694E2A90}"/>
    <cellStyle name="Input number no decimals calculated" xfId="43" xr:uid="{5A48F48F-03B2-410E-887B-2A9297006BAF}"/>
    <cellStyle name="Input number no decimals disabled" xfId="24" xr:uid="{7ABDCB2D-7703-4392-9553-5620789B1E19}"/>
    <cellStyle name="Input number percent disabled" xfId="22" xr:uid="{D0E8B42E-13A8-477C-99CB-5FF73C5BBAA4}"/>
    <cellStyle name="Input page heading" xfId="33" xr:uid="{74FB9B3B-4B5B-4B7F-A54C-22E0724783C8}"/>
    <cellStyle name="Input page section heading" xfId="32" xr:uid="{1A05B367-BE5D-4E2B-9831-A28D5CFAC8EC}"/>
    <cellStyle name="Input percent" xfId="17" xr:uid="{923E56A7-7902-46CD-9AA8-0D69F2E1ECA1}"/>
    <cellStyle name="Input select" xfId="16" xr:uid="{3CF2E653-7F22-4996-ABB9-95CA16698B1F}"/>
    <cellStyle name="Input select disabled" xfId="21" xr:uid="{5CE680CC-504C-444D-8337-CF97D9BB5A78}"/>
    <cellStyle name="Input table column header" xfId="30" xr:uid="{EF98B018-1246-451D-91C2-97FCD443EDC9}"/>
    <cellStyle name="Input table header" xfId="29" xr:uid="{04872377-9FDD-4D5A-91FC-B9D8DA1E8E91}"/>
    <cellStyle name="Input text" xfId="15" xr:uid="{4C71A4C5-ADD8-4A09-A7FE-940DA96821F6}"/>
    <cellStyle name="Input text calculated" xfId="51" xr:uid="{43DCF082-1F0D-4E07-9785-CAF41B37CFCC}"/>
    <cellStyle name="Input text disabled" xfId="20" xr:uid="{79E76B35-E5FF-43A1-B0D0-016F346F8B97}"/>
    <cellStyle name="Menu link child" xfId="40" xr:uid="{609090D3-DE1E-48FE-A8AA-233CE9B146E0}"/>
    <cellStyle name="Menu link default" xfId="35" xr:uid="{11B84453-1DD4-492A-B241-FE6AD4CB25FA}"/>
    <cellStyle name="Menu link selected" xfId="37" xr:uid="{B16EBA6F-62C4-483F-8E15-B20D06ABF61F}"/>
    <cellStyle name="Menu link selected equations" xfId="39" xr:uid="{7AFCC545-C221-4BAC-933E-19109D0FB654}"/>
    <cellStyle name="Menu link selected input" xfId="38" xr:uid="{17D327F4-9149-4DAC-85BB-811698090830}"/>
    <cellStyle name="Menu link selected results" xfId="64" xr:uid="{0DC56464-F1A3-42A3-BF89-514E2163E7F0}"/>
    <cellStyle name="Menu section title" xfId="36" xr:uid="{E2117B15-AE58-4F76-B13B-671D455A4107}"/>
    <cellStyle name="Normal" xfId="0" builtinId="0"/>
    <cellStyle name="Normal 2" xfId="58" xr:uid="{FE64FEFB-54C6-42B4-AA7F-D49670F5ED19}"/>
    <cellStyle name="Normal 2 2" xfId="47" xr:uid="{B8803ACE-513D-4EEF-BBE0-0BB76AE7D7F4}"/>
    <cellStyle name="Normal 4" xfId="45" xr:uid="{99CD1B63-5040-4067-BBD7-470030C57E5D}"/>
    <cellStyle name="Normal 5" xfId="46" xr:uid="{C95BEC9B-545D-4D75-A129-77179ED2BD99}"/>
    <cellStyle name="Number diplsay percent" xfId="11" xr:uid="{2A2547EE-93B6-4F82-A56A-1A45D8712142}"/>
    <cellStyle name="Number display decimal" xfId="10" xr:uid="{D6C655C7-D21F-4B70-8143-4C163C43FE08}"/>
    <cellStyle name="Number display decimal total" xfId="27" xr:uid="{A9378C0C-CCAE-43D1-BC2C-BD4A9766DA0D}"/>
    <cellStyle name="Page heading" xfId="2" xr:uid="{255E304E-A5AB-40F0-8E3A-91C132147F10}"/>
    <cellStyle name="Page section heading" xfId="4" xr:uid="{B654AFF3-28A2-43B8-AE91-E7D2C159A294}"/>
    <cellStyle name="Page source" xfId="3" xr:uid="{35DF92BD-4909-4EA7-B1E6-C0EDAAEB1713}"/>
    <cellStyle name="Percent" xfId="14" builtinId="5"/>
    <cellStyle name="Results table column header" xfId="63" xr:uid="{A846043F-10AE-4BED-BAA6-90407C977915}"/>
    <cellStyle name="Table description" xfId="61" xr:uid="{8BD2F353-2E3C-42FF-89E9-616E85DC18C5}"/>
    <cellStyle name="Table name" xfId="60" xr:uid="{D56F17A4-9740-44B6-BDDB-150E2C950B8B}"/>
    <cellStyle name="Unit" xfId="12" xr:uid="{90B9E191-F5E0-43AB-A245-D6CA23D4ADFC}"/>
    <cellStyle name="Unit no indent" xfId="56" xr:uid="{2829D020-DAD8-4B7D-9262-450720E27D2B}"/>
    <cellStyle name="Unit total" xfId="26" xr:uid="{65428923-3DAD-47B6-8DDF-0EBD05E7C55B}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numFmt numFmtId="0" formatCode="General"/>
      <fill>
        <patternFill patternType="solid">
          <fgColor indexed="64"/>
          <bgColor rgb="FFB2D49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1" tint="0.24994659260841701"/>
      </font>
      <fill>
        <patternFill patternType="solid">
          <fgColor indexed="64"/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fill>
        <patternFill>
          <bgColor theme="0" tint="-4.9989318521683403E-2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183C1B"/>
      </font>
      <fill>
        <patternFill patternType="solid">
          <fgColor indexed="64"/>
          <bgColor rgb="FFB2D498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none">
          <fgColor indexed="64"/>
          <bgColor auto="1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color theme="1" tint="0.24994659260841701"/>
      </font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ill>
        <patternFill>
          <fgColor theme="0"/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ont>
        <b/>
        <i val="0"/>
        <color rgb="FF533001"/>
      </font>
      <fill>
        <patternFill patternType="solid">
          <fgColor indexed="64"/>
          <bgColor rgb="FFFFCC66"/>
        </patternFill>
      </fill>
    </dxf>
    <dxf>
      <font>
        <color theme="1" tint="0.24994659260841701"/>
      </font>
      <border>
        <left/>
        <right/>
        <top/>
        <bottom/>
        <vertical/>
        <horizontal/>
      </border>
    </dxf>
  </dxfs>
  <tableStyles count="3" defaultTableStyle="Equation table" defaultPivotStyle="PivotStyleLight16">
    <tableStyle name="Editable table" pivot="0" count="6" xr9:uid="{8C498A1C-5864-4BF8-8739-A3055FE117E0}">
      <tableStyleElement type="wholeTable" dxfId="58"/>
      <tableStyleElement type="headerRow" dxfId="57"/>
      <tableStyleElement type="totalRow" dxfId="56"/>
      <tableStyleElement type="firstColumn" dxfId="55"/>
      <tableStyleElement type="firstRowStripe" dxfId="54"/>
      <tableStyleElement type="secondRowStripe" dxfId="53"/>
    </tableStyle>
    <tableStyle name="Equation table" pivot="0" count="6" xr9:uid="{B247698E-E41D-4CCD-AA0A-C14817E9DE65}">
      <tableStyleElement type="wholeTable" dxfId="52"/>
      <tableStyleElement type="headerRow" dxfId="51"/>
      <tableStyleElement type="totalRow" dxfId="50"/>
      <tableStyleElement type="firstColumn" dxfId="49"/>
      <tableStyleElement type="firstRowStripe" dxfId="48"/>
      <tableStyleElement type="secondRowStripe" dxfId="47"/>
    </tableStyle>
    <tableStyle name="Table Style 1" pivot="0" count="0" xr9:uid="{97B370DB-5463-4A31-9160-5A96BD6A559D}"/>
  </tableStyles>
  <colors>
    <mruColors>
      <color rgb="FF0C769E"/>
      <color rgb="FFC44340"/>
      <color rgb="FF008000"/>
      <color rgb="FFFFCCCC"/>
      <color rgb="FFC4433F"/>
      <color rgb="FFE9F2FB"/>
      <color rgb="FF183C1B"/>
      <color rgb="FFB2D498"/>
      <color rgb="FFCC6600"/>
      <color rgb="FF4F47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938212</xdr:colOff>
      <xdr:row>65</xdr:row>
      <xdr:rowOff>200025</xdr:rowOff>
    </xdr:from>
    <xdr:to>
      <xdr:col>9</xdr:col>
      <xdr:colOff>1443037</xdr:colOff>
      <xdr:row>77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EA1AD2-453E-4F97-8BC2-DE4AF2798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7</xdr:row>
      <xdr:rowOff>138112</xdr:rowOff>
    </xdr:from>
    <xdr:ext cx="2025426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𝐷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C850359A-9E4D-0696-A03E-D3F4FB62C4B4}"/>
                </a:ext>
              </a:extLst>
            </xdr:cNvPr>
            <xdr:cNvSpPr txBox="1"/>
          </xdr:nvSpPr>
          <xdr:spPr>
            <a:xfrm>
              <a:off x="2714625" y="2005012"/>
              <a:ext cx="2025426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𝑉𝑆_𝑗=𝐼_𝑗×(1−𝐷𝑀𝐷_𝑗 )×(1−𝐴)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38100</xdr:colOff>
      <xdr:row>36</xdr:row>
      <xdr:rowOff>195262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F964EF8-C44B-655E-7174-DF0CF934BFF7}"/>
                </a:ext>
              </a:extLst>
            </xdr:cNvPr>
            <xdr:cNvSpPr txBox="1"/>
          </xdr:nvSpPr>
          <xdr:spPr>
            <a:xfrm>
              <a:off x="2714625" y="8996362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𝑀_(𝑗𝑚=5,𝑇=1)=𝑉𝑆_𝑗×𝐵𝑂×𝑀𝑀𝑆_(𝑚=5,𝑇=1)×𝑀𝐶𝐹_(𝑖𝑚=5)×𝜌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63</xdr:row>
      <xdr:rowOff>138112</xdr:rowOff>
    </xdr:from>
    <xdr:ext cx="360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𝑉𝑆𝐿</m:t>
                        </m:r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B84FEAE1-C964-6752-24BC-E82BACEE792E}"/>
                </a:ext>
              </a:extLst>
            </xdr:cNvPr>
            <xdr:cNvSpPr txBox="1"/>
          </xdr:nvSpPr>
          <xdr:spPr>
            <a:xfrm>
              <a:off x="2671762" y="15873412"/>
              <a:ext cx="360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𝑀_(𝑗𝑚𝑇=2)=(1−𝑉𝑆𝐿)×𝑉𝑆_𝑗×𝐵𝑂×𝑀𝑀𝑆_(𝑚𝑇=2)×𝑀𝐶𝐹_𝑖𝑚×𝜌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99</xdr:row>
      <xdr:rowOff>133350</xdr:rowOff>
    </xdr:from>
    <xdr:ext cx="3287760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𝑉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𝐵𝑂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𝐹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𝑖𝑚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𝜌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02E1FF6-299D-2F64-EA9D-F02CB24C30E2}"/>
                </a:ext>
              </a:extLst>
            </xdr:cNvPr>
            <xdr:cNvSpPr txBox="1"/>
          </xdr:nvSpPr>
          <xdr:spPr>
            <a:xfrm>
              <a:off x="2690812" y="23793450"/>
              <a:ext cx="3287760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𝑀_(𝑗𝑚=1,𝑇=3)=𝑉𝑆_𝑗×𝐵𝑂×𝑀𝑀𝑆_(𝑚=1,𝑇=3)×𝑀𝐶𝐹_(𝑖𝑚=1)×𝜌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126</xdr:row>
      <xdr:rowOff>133350</xdr:rowOff>
    </xdr:from>
    <xdr:ext cx="261411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𝐶𝐻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𝐷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DBB4D879-97D2-23CB-EF78-EF8C318CF022}"/>
                </a:ext>
              </a:extLst>
            </xdr:cNvPr>
            <xdr:cNvSpPr txBox="1"/>
          </xdr:nvSpPr>
          <xdr:spPr>
            <a:xfrm>
              <a:off x="2690812" y="32213550"/>
              <a:ext cx="261411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AU" sz="1100" i="0">
                  <a:latin typeface="Cambria Math" panose="02040503050406030204" pitchFamily="18" charset="0"/>
                </a:rPr>
                <a:t>𝐸_𝐶𝐻4=∑_𝑗▒∑_𝑚▒∑_𝑇▒(𝐷_𝑗×𝑀_𝑗𝑚𝑇×𝑁_𝑗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</xdr:colOff>
      <xdr:row>7</xdr:row>
      <xdr:rowOff>166687</xdr:rowOff>
    </xdr:from>
    <xdr:ext cx="1309397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𝐶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÷6.25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04FBBC28-92BA-BCAF-E275-0817EB68A195}"/>
                </a:ext>
              </a:extLst>
            </xdr:cNvPr>
            <xdr:cNvSpPr txBox="1"/>
          </xdr:nvSpPr>
          <xdr:spPr>
            <a:xfrm>
              <a:off x="2690812" y="2033587"/>
              <a:ext cx="1309397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𝑁𝐼_𝑗=𝐼_𝑗×𝐶𝑃_𝑗÷6.25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4762</xdr:colOff>
      <xdr:row>36</xdr:row>
      <xdr:rowOff>204787</xdr:rowOff>
    </xdr:from>
    <xdr:ext cx="1424557" cy="19499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𝐼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𝑅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A4CBD226-9D22-F2AD-7D36-BEF74594578E}"/>
                </a:ext>
              </a:extLst>
            </xdr:cNvPr>
            <xdr:cNvSpPr txBox="1"/>
          </xdr:nvSpPr>
          <xdr:spPr>
            <a:xfrm>
              <a:off x="2681287" y="9253537"/>
              <a:ext cx="1424557" cy="19499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𝑁𝐸_𝑗=𝑁𝐼_𝑗×(1−𝑁𝑅_𝑗 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61912</xdr:colOff>
      <xdr:row>60</xdr:row>
      <xdr:rowOff>138112</xdr:rowOff>
    </xdr:from>
    <xdr:ext cx="1266308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𝐷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0055BCCE-D0ED-D622-512F-3B4B65078212}"/>
                </a:ext>
              </a:extLst>
            </xdr:cNvPr>
            <xdr:cNvSpPr txBox="1"/>
          </xdr:nvSpPr>
          <xdr:spPr>
            <a:xfrm>
              <a:off x="2738437" y="15130462"/>
              <a:ext cx="1266308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𝐴𝐸_𝑗=𝑁_𝑗×𝑁𝐸_𝑗×𝐷_𝑗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89</xdr:row>
      <xdr:rowOff>52387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=5,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B02F942-BC57-AB03-23C9-57D4A8BEB3E5}"/>
                </a:ext>
              </a:extLst>
            </xdr:cNvPr>
            <xdr:cNvSpPr txBox="1"/>
          </xdr:nvSpPr>
          <xdr:spPr>
            <a:xfrm>
              <a:off x="2652712" y="22226587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𝑀𝑁_(𝑗𝑚=5,𝑇=1)=𝐴𝐸_𝑗×𝑀𝑀𝑆_(𝑗𝑚=5,𝑇=1)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155</xdr:row>
      <xdr:rowOff>147637</xdr:rowOff>
    </xdr:from>
    <xdr:ext cx="2169825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5401A1C8-1FBA-1450-7875-6F1DF2F79BDE}"/>
                </a:ext>
              </a:extLst>
            </xdr:cNvPr>
            <xdr:cNvSpPr txBox="1"/>
          </xdr:nvSpPr>
          <xdr:spPr>
            <a:xfrm>
              <a:off x="2690812" y="28017787"/>
              <a:ext cx="2169825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𝑀𝑁_(𝑗𝑚,𝑇=2)=𝑁𝑇_(𝑗𝑚,𝑇=2)×𝑀𝑀𝑆_(𝑗𝑚,𝑇=2)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290512</xdr:colOff>
      <xdr:row>135</xdr:row>
      <xdr:rowOff>90487</xdr:rowOff>
    </xdr:from>
    <xdr:ext cx="4350422" cy="2533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=2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𝑗𝑚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=5,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𝑇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d>
                          <m:d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𝐹𝑟𝑎𝑐𝐺𝐴𝑆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𝑀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sSub>
                              <m:sSubPr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𝐹</m:t>
                                </m:r>
                              </m:e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𝑚</m:t>
                                </m:r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=5</m:t>
                                </m:r>
                              </m:sub>
                            </m:sSub>
                          </m:e>
                        </m:d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75FB8B97-6A84-D5A1-ABFB-1784A65182B7}"/>
                </a:ext>
              </a:extLst>
            </xdr:cNvPr>
            <xdr:cNvSpPr txBox="1"/>
          </xdr:nvSpPr>
          <xdr:spPr>
            <a:xfrm>
              <a:off x="2652712" y="27960637"/>
              <a:ext cx="4350422" cy="2533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𝑁𝑇_(𝑗𝑚,𝑇=2)=(𝑀𝑁_(𝑗𝑚=5,𝑇=1)×(1−𝐹𝑟𝑎𝑐𝐺𝐴𝑆𝑀_(𝑚=5)−𝐸𝐹_(𝑚=5) ))−𝑀𝑁_(𝑗𝑚,𝑇=3)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112</xdr:row>
      <xdr:rowOff>138112</xdr:rowOff>
    </xdr:from>
    <xdr:ext cx="2118016" cy="1828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𝐴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𝑗𝑚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=1,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𝑇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=3</m:t>
                        </m:r>
                      </m:sub>
                    </m:sSub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41AEC3DD-B968-638A-B039-8ADA4270C77A}"/>
                </a:ext>
              </a:extLst>
            </xdr:cNvPr>
            <xdr:cNvSpPr txBox="1"/>
          </xdr:nvSpPr>
          <xdr:spPr>
            <a:xfrm>
              <a:off x="2690812" y="28008262"/>
              <a:ext cx="2118016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𝑀𝑁_(𝑗𝑚=1,𝑇=3)=𝐴𝐸_𝑗×𝑀𝑀𝑆_(𝑗𝑚=1,𝑇=3)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2</xdr:col>
      <xdr:colOff>309562</xdr:colOff>
      <xdr:row>180</xdr:row>
      <xdr:rowOff>138112</xdr:rowOff>
    </xdr:from>
    <xdr:ext cx="3236784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𝑑𝑖𝑟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𝐸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𝐶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2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𝑂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8CD801-C054-CDC2-C2C2-8AA899BCC360}"/>
                </a:ext>
              </a:extLst>
            </xdr:cNvPr>
            <xdr:cNvSpPr txBox="1"/>
          </xdr:nvSpPr>
          <xdr:spPr>
            <a:xfrm>
              <a:off x="2671762" y="44229337"/>
              <a:ext cx="3236784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𝐸_(𝑁2𝑂,𝑑𝑖𝑟)=∑8_𝑗▒∑8_𝑚▒∑8_𝑇▒(𝑀𝑁_𝑗𝑚𝑇×𝐸𝐹_𝑗𝑚×𝐶_𝑁2𝑂 ) 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166687</xdr:rowOff>
    </xdr:from>
    <xdr:ext cx="3032882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𝑀𝑀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𝐴𝑇𝑀𝑂𝑆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𝐹𝑟𝑎𝑐𝐺𝐴𝑆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𝑀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𝑚𝑇</m:t>
                                        </m:r>
                                      </m:sub>
                                    </m:sSub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D7DD845-09DD-AE9D-3D44-5C1F1777C524}"/>
                </a:ext>
              </a:extLst>
            </xdr:cNvPr>
            <xdr:cNvSpPr txBox="1"/>
          </xdr:nvSpPr>
          <xdr:spPr>
            <a:xfrm>
              <a:off x="2671762" y="2033587"/>
              <a:ext cx="3032882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𝑀𝑀𝑆_𝐴𝑇𝑀𝑂𝑆=∑8_𝑗▒∑8_𝑚▒∑8_𝑇▒(𝑀𝑁_𝑗𝑚𝑇×𝐹𝑟𝑎𝑐𝐺𝐴𝑆𝑀_𝑚𝑇 ) 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47</xdr:row>
      <xdr:rowOff>138112</xdr:rowOff>
    </xdr:from>
    <xdr:ext cx="2914836" cy="1801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𝑁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2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𝑂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𝑎𝑑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𝑀𝑀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𝐴𝑇𝑀𝑂𝑆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𝐸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×</m:t>
                        </m:r>
                        <m:sSub>
                          <m:sSubPr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𝐶</m:t>
                            </m:r>
                          </m:e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𝑂</m:t>
                            </m:r>
                          </m:sub>
                        </m:sSub>
                      </m:e>
                    </m:d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sSup>
                      <m:sSup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10</m:t>
                        </m:r>
                      </m:e>
                      <m:sup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−3</m:t>
                        </m:r>
                      </m:sup>
                    </m:sSup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FA9A526F-039B-A542-A6DE-A37AC4F4381A}"/>
                </a:ext>
              </a:extLst>
            </xdr:cNvPr>
            <xdr:cNvSpPr txBox="1"/>
          </xdr:nvSpPr>
          <xdr:spPr>
            <a:xfrm>
              <a:off x="2690812" y="11911012"/>
              <a:ext cx="2914836" cy="1801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𝐸_(𝑁2𝑂,𝑎𝑑)=(𝑀𝑀𝑆_𝐴𝑇𝑀𝑂𝑆×𝐸𝐹_𝑁2𝑂×𝐶_𝑁2𝑂 )×10^(−3)</a:t>
              </a:r>
              <a:endParaRPr lang="en-AU" sz="1100"/>
            </a:p>
          </xdr:txBody>
        </xdr:sp>
      </mc:Fallback>
    </mc:AlternateContent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309562</xdr:colOff>
      <xdr:row>7</xdr:row>
      <xdr:rowOff>138112</xdr:rowOff>
    </xdr:from>
    <xdr:ext cx="5081776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r>
                      <a:rPr lang="en-AU" sz="1100" i="1">
                        <a:latin typeface="Cambria Math" panose="02040503050406030204" pitchFamily="18" charset="0"/>
                      </a:rPr>
                      <m:t>𝑃𝐹</m:t>
                    </m:r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9C16F34-0FB7-CBFB-7AF7-18714D40E30E}"/>
                </a:ext>
              </a:extLst>
            </xdr:cNvPr>
            <xdr:cNvSpPr txBox="1"/>
          </xdr:nvSpPr>
          <xdr:spPr>
            <a:xfrm>
              <a:off x="2671762" y="2005012"/>
              <a:ext cx="5081776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𝑀𝑁𝑆𝑜𝑖𝑙_𝑠𝑐𝑜𝑝𝑒1=∑8_𝑗▒∑8_𝑚▒∑8_𝑇▒(𝑀𝑁_(𝑗𝑚𝑇=2,3)×(1−𝐸𝐹_(𝑚𝑇=2,3)−𝐹𝑟𝑎𝑐𝐺𝐴𝑆𝑀_(𝑚𝑇=2,3) )) ×𝑃𝐹</a:t>
              </a:r>
              <a:endParaRPr lang="en-AU" sz="1100"/>
            </a:p>
          </xdr:txBody>
        </xdr:sp>
      </mc:Fallback>
    </mc:AlternateContent>
    <xdr:clientData/>
  </xdr:oneCellAnchor>
  <xdr:oneCellAnchor>
    <xdr:from>
      <xdr:col>3</xdr:col>
      <xdr:colOff>14287</xdr:colOff>
      <xdr:row>62</xdr:row>
      <xdr:rowOff>147637</xdr:rowOff>
    </xdr:from>
    <xdr:ext cx="5445080" cy="42992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AU" sz="1100" i="1">
                        <a:latin typeface="Cambria Math" panose="02040503050406030204" pitchFamily="18" charset="0"/>
                      </a:rPr>
                      <m:t>𝑀𝑁𝑆𝑜𝑖</m:t>
                    </m:r>
                    <m:sSub>
                      <m:sSub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𝑠𝑐𝑜𝑝𝑒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  <m:r>
                      <a:rPr lang="en-AU" sz="1100" i="1">
                        <a:latin typeface="Cambria Math" panose="02040503050406030204" pitchFamily="18" charset="0"/>
                      </a:rPr>
                      <m:t>=</m:t>
                    </m:r>
                    <m:nary>
                      <m:naryPr>
                        <m:chr m:val="∑"/>
                        <m:supHide m:val="on"/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naryPr>
                      <m:sub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𝑗</m:t>
                        </m:r>
                      </m:sub>
                      <m:sup/>
                      <m:e>
                        <m:nary>
                          <m:naryPr>
                            <m:chr m:val="∑"/>
                            <m:supHide m:val="on"/>
                            <m:ctrlPr>
                              <a:rPr lang="en-AU" sz="1100" i="1">
                                <a:latin typeface="Cambria Math" panose="02040503050406030204" pitchFamily="18" charset="0"/>
                              </a:rPr>
                            </m:ctrlPr>
                          </m:naryPr>
                          <m:sub>
                            <m:r>
                              <a:rPr lang="en-AU" sz="1100" i="1">
                                <a:latin typeface="Cambria Math" panose="02040503050406030204" pitchFamily="18" charset="0"/>
                              </a:rPr>
                              <m:t>𝑚</m:t>
                            </m:r>
                          </m:sub>
                          <m:sup/>
                          <m:e>
                            <m:nary>
                              <m:naryPr>
                                <m:chr m:val="∑"/>
                                <m:supHide m:val="on"/>
                                <m:ctrlPr>
                                  <a:rPr lang="en-AU" sz="1100" i="1">
                                    <a:latin typeface="Cambria Math" panose="02040503050406030204" pitchFamily="18" charset="0"/>
                                  </a:rPr>
                                </m:ctrlPr>
                              </m:naryPr>
                              <m:sub>
                                <m:r>
                                  <a:rPr lang="en-AU" sz="1100" i="1">
                                    <a:latin typeface="Cambria Math" panose="02040503050406030204" pitchFamily="18" charset="0"/>
                                  </a:rPr>
                                  <m:t>𝑇</m:t>
                                </m:r>
                              </m:sub>
                              <m:sup/>
                              <m:e>
                                <m:d>
                                  <m:dPr>
                                    <m:ctrlP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</m:ctrlPr>
                                  </m:dPr>
                                  <m:e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𝑀</m:t>
                                    </m:r>
                                    <m:sSub>
                                      <m:sSub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𝑁</m:t>
                                        </m:r>
                                      </m:e>
                                      <m: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𝑗𝑚𝑇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=2,3</m:t>
                                        </m:r>
                                      </m:sub>
                                    </m:sSub>
                                    <m:r>
                                      <a:rPr lang="en-AU" sz="1100" i="1">
                                        <a:latin typeface="Cambria Math" panose="02040503050406030204" pitchFamily="18" charset="0"/>
                                      </a:rPr>
                                      <m:t>×</m:t>
                                    </m:r>
                                    <m:d>
                                      <m:dPr>
                                        <m:ctrlP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1−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𝐸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𝐹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−</m:t>
                                        </m:r>
                                        <m:r>
                                          <a:rPr lang="en-AU" sz="1100" i="1">
                                            <a:latin typeface="Cambria Math" panose="02040503050406030204" pitchFamily="18" charset="0"/>
                                          </a:rPr>
                                          <m:t>𝐹𝑟𝑎𝑐𝐺𝐴𝑆</m:t>
                                        </m:r>
                                        <m:sSub>
                                          <m:sSubPr>
                                            <m:ctrlP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𝑀</m:t>
                                            </m:r>
                                          </m:e>
                                          <m:sub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𝑚𝑇</m:t>
                                            </m:r>
                                            <m:r>
                                              <a:rPr lang="en-AU" sz="1100" i="1">
                                                <a:latin typeface="Cambria Math" panose="02040503050406030204" pitchFamily="18" charset="0"/>
                                              </a:rPr>
                                              <m:t>=2,3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</m:d>
                              </m:e>
                            </m:nary>
                          </m:e>
                        </m:nary>
                      </m:e>
                    </m:nary>
                    <m:r>
                      <a:rPr lang="en-AU" sz="1100" i="1">
                        <a:latin typeface="Cambria Math" panose="02040503050406030204" pitchFamily="18" charset="0"/>
                      </a:rPr>
                      <m:t>×</m:t>
                    </m:r>
                    <m:d>
                      <m:dPr>
                        <m:ctrlPr>
                          <a:rPr lang="en-A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1−</m:t>
                        </m:r>
                        <m:r>
                          <a:rPr lang="en-AU" sz="1100" i="1">
                            <a:latin typeface="Cambria Math" panose="02040503050406030204" pitchFamily="18" charset="0"/>
                          </a:rPr>
                          <m:t>𝑃𝐹</m:t>
                        </m:r>
                      </m:e>
                    </m:d>
                  </m:oMath>
                </m:oMathPara>
              </a14:m>
              <a:endParaRPr lang="en-AU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0B26EC1C-A1D3-9549-A900-9E039B9260AA}"/>
                </a:ext>
              </a:extLst>
            </xdr:cNvPr>
            <xdr:cNvSpPr txBox="1"/>
          </xdr:nvSpPr>
          <xdr:spPr>
            <a:xfrm>
              <a:off x="2690812" y="15635287"/>
              <a:ext cx="5445080" cy="42992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AU" sz="1100" i="0">
                  <a:latin typeface="Cambria Math" panose="02040503050406030204" pitchFamily="18" charset="0"/>
                </a:rPr>
                <a:t>𝑀𝑁𝑆𝑜𝑖𝑙_𝑠𝑐𝑜𝑝𝑒3=∑8_𝑗▒∑8_𝑚▒∑8_𝑇▒(𝑀𝑁_(𝑗𝑚𝑇=2,3)×(1−𝐸𝐹_(𝑚𝑇=2,3)−𝐹𝑟𝑎𝑐𝐺𝐴𝑆𝑀_(𝑚𝑇=2,3) )) ×(1−𝑃𝐹)</a:t>
              </a:r>
              <a:endParaRPr lang="en-AU" sz="1100"/>
            </a:p>
          </xdr:txBody>
        </xdr:sp>
      </mc:Fallback>
    </mc:AlternateContent>
    <xdr:clientData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3166EBA0-AB26-48BA-9789-AEA997D57851}" name="Table_SourceData_Feedlot_MCF" displayName="Table_SourceData_Feedlot_MCF" ref="D88:N93" totalsRowShown="0">
  <autoFilter ref="D88:N93" xr:uid="{3166EBA0-AB26-48BA-9789-AEA997D578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3885FE93-299E-44EB-B503-99C305BD6F41}" name="Treatment stage T">
      <calculatedColumnFormula array="1">Common_InputFunctions.Utility_DisplayArrayInTable(SourceData_Feedlot.SourceData_Feedlot_MCF_Data(), Table_SourceData_Feedlot_MCF[[#Headers],[Treatment stage T]], 0)</calculatedColumnFormula>
    </tableColumn>
    <tableColumn id="2" xr3:uid="{D0E12F95-AC29-47D0-913A-0A0B02931616}" name="MMS m" dataDxfId="46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3" xr3:uid="{E17BE7AB-8FAD-4B5C-9F86-E70E6A00B9B1}" name="NSW" dataDxfId="45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4" xr3:uid="{D4C6F922-2719-4479-B7CC-26C5286F73ED}" name="ACT" dataDxfId="44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5" xr3:uid="{5034DCA1-F046-43BC-A94F-832832E6D634}" name="QLD" dataDxfId="43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6" xr3:uid="{186521AB-DFC2-4E3B-A674-A5382DCC5ACD}" name="NT" dataDxfId="42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7" xr3:uid="{95F9E197-F85F-424A-B68D-774604116729}" name="SA" dataDxfId="41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8" xr3:uid="{A6DDF652-660B-4C41-982D-FECC3B1142AF}" name="VIC" dataDxfId="40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9" xr3:uid="{5163E1D2-D984-4DBA-95A9-1667F628B2D9}" name="WA" dataDxfId="39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0" xr3:uid="{A0E67108-978C-4849-A310-69F8E4739C6D}" name="TAS" dataDxfId="38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  <tableColumn id="11" xr3:uid="{27E929DD-0554-43B8-A58C-34B0A39F2EBA}" name="NIR definition" dataDxfId="37" dataCellStyle="Content normal">
      <calculatedColumnFormula array="1">Common_InputFunctions.Utility_DisplayArrayInTable(SourceData_Feedlot.SourceData_Feedlot_MCF_Data(), Table_SourceData_Feedlot_MCF[[#Headers],[Treatment stage T]], 0)</calculatedColumnFormula>
    </tableColumn>
  </tableColumns>
  <tableStyleInfo name="Equation 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D5C443B2-EDE2-4250-B2EE-016878D19AD9}" name="Table_SourceData_FeedlotMMS" displayName="Table_SourceData_FeedlotMMS" ref="D27:E32" totalsRowShown="0">
  <autoFilter ref="D27:E32" xr:uid="{D5C443B2-EDE2-4250-B2EE-016878D19AD9}">
    <filterColumn colId="0" hiddenButton="1"/>
    <filterColumn colId="1" hiddenButton="1"/>
  </autoFilter>
  <tableColumns count="2">
    <tableColumn id="1" xr3:uid="{F2B173A3-CADE-4DCA-988D-39EE2392D8DB}" name="MMS"/>
    <tableColumn id="2" xr3:uid="{67006656-167A-4452-9820-88D798B88ADD}" name="Symbol and MMS" dataDxfId="36" dataCellStyle="Content normal"/>
  </tableColumns>
  <tableStyleInfo name="Equation ta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B318E90-60C0-4182-A7EC-FD8430FACD15}" name="Table_SourceData_Feedlot_DietProperties" displayName="Table_SourceData_Feedlot_DietProperties" ref="D66:J78" totalsRowShown="0">
  <autoFilter ref="D66:J78" xr:uid="{8B318E90-60C0-4182-A7EC-FD8430FACD1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FDCB848C-205F-48EA-BACF-F54BCD324E05}" name="Feedlot type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2" xr3:uid="{3306F917-B06C-4CC9-B1B1-D97D858E6DAA}" name="Nutrient analysis" dataDxfId="35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3" xr3:uid="{F162F7C2-B0FA-499A-BD58-855C4DF97FA8}" name="Unit" dataDxfId="34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4" xr3:uid="{D395A9F5-9A85-4032-A7C1-EC470516DD87}" name="2010-2014" dataDxfId="33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5" xr3:uid="{B149E561-7044-4839-B850-C751ABC364C9}" name="2015-2019" dataDxfId="32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6" xr3:uid="{ECEB8E53-4880-43AE-9D36-F969D05BCB18}" name="2020-2023" dataDxfId="31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  <tableColumn id="7" xr3:uid="{3B7FAEA4-08D7-48B2-9062-7D93639222CC}" name="2020-2023 Converted to fraction" dataDxfId="30" dataCellStyle="Content normal">
      <calculatedColumnFormula array="1">Common_InputFunctions.Utility_DisplayArrayInTable(SourceData_Feedlot.SourceData_Feedlot_DietProperties_Data(), Table_SourceData_Feedlot_DietProperties[[#Headers],[Feedlot type]], 0)</calculatedColumnFormula>
    </tableColumn>
  </tableColumns>
  <tableStyleInfo name="Equation tab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817C83-F195-4AEF-95F6-F63A097B09DF}" name="Table_SourceData_Feedlot_AnimalCharacteristics" displayName="Table_SourceData_Feedlot_AnimalCharacteristics" ref="D49:J58" totalsRowShown="0">
  <autoFilter ref="D49:J58" xr:uid="{F6817C83-F195-4AEF-95F6-F63A097B09D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96F6B4E3-E1EE-445F-9BCE-628B89FC3727}" name="Feedlot type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2" xr3:uid="{6B651FD0-BCF6-4081-8A93-6B21A1D6CA99}" name="Characteristic" dataDxfId="29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3" xr3:uid="{3F266A2B-76EA-4E95-B049-75B8E4AB351F}" name="Unit" dataDxfId="28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4" xr3:uid="{15472767-3F72-4A65-88AC-C3242A8E1662}" name="2005-2009" dataDxfId="27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5" xr3:uid="{5F74A8B9-7EFB-4457-8ADA-5E1ABA9DA889}" name="2010-2014" dataDxfId="26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6" xr3:uid="{E54F2812-2E8B-41EB-98A8-46890B5B4E13}" name="2015-2019" dataDxfId="25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  <tableColumn id="7" xr3:uid="{88EEE0E3-F5D0-41DF-80EF-59472377C29A}" name="2020-2023" dataDxfId="24" dataCellStyle="Content normal">
      <calculatedColumnFormula array="1">Common_InputFunctions.Utility_DisplayArrayInTable(SourceData_Feedlot.SourceData_Feedlot_AnimalCharacteristics_Data(), Table_SourceData_Feedlot_AnimalCharacteristics[[#Headers],[Feedlot type]], 0)</calculatedColumnFormula>
    </tableColumn>
  </tableColumns>
  <tableStyleInfo name="Equation tab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C14F7E2-67E4-43CB-A279-981A74F5A716}" name="Table_SourceData_Feedlot_LengthOfStay" displayName="Table_SourceData_Feedlot_LengthOfStay" ref="D38:E41" totalsRowShown="0">
  <autoFilter ref="D38:E41" xr:uid="{BC14F7E2-67E4-43CB-A279-981A74F5A716}">
    <filterColumn colId="0" hiddenButton="1"/>
    <filterColumn colId="1" hiddenButton="1"/>
  </autoFilter>
  <tableColumns count="2">
    <tableColumn id="1" xr3:uid="{9D472457-4D8B-44ED-9567-B889D058C2F1}" name="Feedlot type">
      <calculatedColumnFormula array="1">Common_InputFunctions.Utility_DisplayArrayInTable(SourceData_Feedlot.SourceData_Feedlot_DurationOfStay_Data(), Table_SourceData_Feedlot_LengthOfStay[[#Headers],[Feedlot type]], 0)</calculatedColumnFormula>
    </tableColumn>
    <tableColumn id="2" xr3:uid="{DA3DA009-634B-4C70-926B-C8FB255EB4DC}" name="Length of stay" dataDxfId="23" dataCellStyle="Content normal">
      <calculatedColumnFormula array="1">Common_InputFunctions.Utility_DisplayArrayInTable(SourceData_Feedlot.SourceData_Feedlot_DurationOfStay_Data(), Table_SourceData_Feedlot_LengthOfStay[[#Headers],[Feedlot type]], 0)</calculatedColumnFormula>
    </tableColumn>
  </tableColumns>
  <tableStyleInfo name="Equation table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EB4578-E7E8-4AF2-A03C-33ADCE6CD603}" name="Table_SourceData_Feedlot_NO2EFs" displayName="Table_SourceData_Feedlot_NO2EFs" ref="D100:G105" totalsRowShown="0">
  <autoFilter ref="D100:G105" xr:uid="{3CEB4578-E7E8-4AF2-A03C-33ADCE6CD603}">
    <filterColumn colId="0" hiddenButton="1"/>
    <filterColumn colId="1" hiddenButton="1"/>
    <filterColumn colId="2" hiddenButton="1"/>
    <filterColumn colId="3" hiddenButton="1"/>
  </autoFilter>
  <tableColumns count="4">
    <tableColumn id="1" xr3:uid="{C80C08D8-3F48-4E18-98E3-9B53ACB6C6D9}" name="Treatment stage T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2" xr3:uid="{2BCD8589-5CB8-4ED1-AF2B-2866CEF779A8}" name="MMS m" dataDxfId="22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3" xr3:uid="{51E876CD-83B6-49C8-85DD-E2F427A3DCD0}" name="EF mT" dataDxfId="21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  <tableColumn id="4" xr3:uid="{BEDEE6BB-8013-495A-8D74-2C8D37558C98}" name="NIR definition" dataDxfId="20" dataCellStyle="Content normal">
      <calculatedColumnFormula array="1">Common_InputFunctions.Utility_DisplayArrayInTable(SourceData_Feedlot.SourceData_Feedlot_NitrousOxideEFs_Data(), Table_SourceData_Feedlot_NO2EFs[[#Headers],[Treatment stage T]], 0)</calculatedColumnFormula>
    </tableColumn>
  </tableColumns>
  <tableStyleInfo name="Equation table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00A8309-C0D3-4638-A47B-72840A042D9A}" name="Table_SourceData_Feedlot_FracGASMmT" displayName="Table_SourceData_Feedlot_FracGASMmT" ref="D112:G117" totalsRowShown="0" headerRowDxfId="19" headerRowCellStyle="Content normal" dataCellStyle="Content normal">
  <autoFilter ref="D112:G117" xr:uid="{100A8309-C0D3-4638-A47B-72840A042D9A}">
    <filterColumn colId="0" hiddenButton="1"/>
    <filterColumn colId="1" hiddenButton="1"/>
    <filterColumn colId="2" hiddenButton="1"/>
    <filterColumn colId="3" hiddenButton="1"/>
  </autoFilter>
  <tableColumns count="4">
    <tableColumn id="1" xr3:uid="{C942D71F-5344-4EC8-8256-848EACA75914}" name="Treatment stage 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2" xr3:uid="{2E6FFC59-11A3-4321-8787-BFA864D074E6}" name="MMS m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3" xr3:uid="{D988373F-1DDE-4103-A79F-7BFD8CB1A36F}" name="FracGASMmT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  <tableColumn id="4" xr3:uid="{792AD32E-175F-4DB9-BD9C-D3841F52A638}" name="NIR definition" dataCellStyle="Content normal">
      <calculatedColumnFormula array="1">Common_InputFunctions.Utility_DisplayArrayInTable(SourceData_Feedlot.SourceData_Feedlot_FracNVolatilised_Data(), Table_SourceData_Feedlot_FracGASMmT[[#Headers],[Treatment stage T]], 0)</calculatedColumnFormula>
    </tableColumn>
  </tableColumns>
  <tableStyleInfo name="Equation table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F3FE3A-A0B5-47E7-85B2-8426FB75A7C8}" name="Table_SourceData_Feedlot_CropProdSystems" displayName="Table_SourceData_Feedlot_CropProdSystems" ref="G27:G29" totalsRowShown="0">
  <autoFilter ref="G27:G29" xr:uid="{B6F3FE3A-A0B5-47E7-85B2-8426FB75A7C8}">
    <filterColumn colId="0" hiddenButton="1"/>
  </autoFilter>
  <tableColumns count="1">
    <tableColumn id="1" xr3:uid="{488F257E-D7D8-4266-96A1-1EA0C5DDDD42}" name="Production system">
      <calculatedColumnFormula>#REF!</calculatedColumnFormula>
    </tableColumn>
  </tableColumns>
  <tableStyleInfo name="Equation table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172B77-CEA3-430C-84BC-392A64D0B8FF}" name="Table_SourceData_Feedlot_IrrigationMethods" displayName="Table_SourceData_Feedlot_IrrigationMethods" ref="J27:J32" totalsRowShown="0">
  <autoFilter ref="J27:J32" xr:uid="{FE172B77-CEA3-430C-84BC-392A64D0B8FF}">
    <filterColumn colId="0" hiddenButton="1"/>
  </autoFilter>
  <tableColumns count="1">
    <tableColumn id="1" xr3:uid="{A9C33016-6229-4481-B099-D67C87E2584C}" name="Irrigation method"/>
  </tableColumns>
  <tableStyleInfo name="Equation table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1D9596-4A7C-4460-A4E2-1688577D9442}" name="Table_AustralianStates" displayName="Table_AustralianStates" ref="D6:F14" totalsRowShown="0">
  <autoFilter ref="D6:F14" xr:uid="{E0906749-7FC7-47DE-82F6-F796C4463018}">
    <filterColumn colId="0" hiddenButton="1"/>
    <filterColumn colId="1" hiddenButton="1"/>
    <filterColumn colId="2" hiddenButton="1"/>
  </autoFilter>
  <tableColumns count="3">
    <tableColumn id="1" xr3:uid="{B8BAC5D1-23E3-4DB2-8231-02AE565241F4}" name="State/Territory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2" xr3:uid="{7CAD7769-A700-4ED9-89D7-A6EC0CE835AA}" name="Common Name">
      <calculatedColumnFormula array="1">Common_InputFunctions.Utility_DisplayArrayInTable(Common_SourceData.Common_SourceData_AustralianStatesTerritories_Data(),Table_AustralianStates[[#Headers],[State/Territory]],0)</calculatedColumnFormula>
    </tableColumn>
    <tableColumn id="3" xr3:uid="{75245601-8082-46DE-9750-76309BBC867A}" name="Abbreviation">
      <calculatedColumnFormula array="1">Common_InputFunctions.Utility_DisplayArrayInTable(Common_SourceData.Common_SourceData_AustralianStatesTerritories_Data(),Table_AustralianStates[[#Headers],[State/Territory]],0)</calculatedColumnFormula>
    </tableColumn>
  </tableColumns>
  <tableStyleInfo name="Equation table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4939D8F-475E-42A2-B10E-5709CBC115DE}" name="Table_WASA4Areas" displayName="Table_WASA4Areas" ref="D20:D30" totalsRowShown="0">
  <autoFilter ref="D20:D30" xr:uid="{5FA81339-C6C8-4D36-BEEA-6C4AEDD9E676}">
    <filterColumn colId="0" hiddenButton="1"/>
  </autoFilter>
  <tableColumns count="1">
    <tableColumn id="1" xr3:uid="{990D7C09-F4E7-401D-8508-814A4472E75C}" name="SA 4 Name">
      <calculatedColumnFormula array="1">Common_InputFunctions.Utility_DisplayArrayInTable(Common_SourceData.Common_SourceData_WASA4Areas_Data(), Table_WASA4Areas[[#Headers],[SA 4 Name]], 0)</calculatedColumnFormula>
    </tableColumn>
  </tableColumns>
  <tableStyleInfo name="Equation table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AB4A3EE-7803-4DC5-B74C-A649206C36F0}" name="Table_GWPData" displayName="Table_GWPData" ref="D36:E43" totalsRowShown="0">
  <autoFilter ref="D36:E43" xr:uid="{B8E87A66-3E41-4AD3-925D-01EE21B43D7A}">
    <filterColumn colId="0" hiddenButton="1"/>
    <filterColumn colId="1" hiddenButton="1"/>
  </autoFilter>
  <tableColumns count="2">
    <tableColumn id="1" xr3:uid="{877405C9-449F-4281-8E55-7000A79F03DC}" name="Gas">
      <calculatedColumnFormula array="1">Common_InputFunctions.Utility_DisplayArrayInTable(Common_SourceData.Common_SourceData_GWP_Data(), Table_GWPData[[#Headers],[Gas]], 0)</calculatedColumnFormula>
    </tableColumn>
    <tableColumn id="2" xr3:uid="{2282FF16-6D22-4CED-9CF9-CA4FE3B5B66A}" name="CO2-e factor">
      <calculatedColumnFormula array="1">Common_InputFunctions.Utility_DisplayArrayInTable(Common_SourceData.Common_SourceData_GWP_Data(), Table_GWPData[[#Headers],[Gas]], 0)</calculatedColumnFormula>
    </tableColumn>
  </tableColumns>
  <tableStyleInfo name="Equation table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FAFE892B-D8EA-4AC3-B1C7-B633CA716EB1}" name="Table_GasToMolecularConversionFactor" displayName="Table_GasToMolecularConversionFactor" ref="D47:H54" totalsRowShown="0">
  <autoFilter ref="D47:H54" xr:uid="{C1F562BB-DAA6-45BB-951A-7BAFA5B64B45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BBEEB08C-2BF5-40FA-AB44-3DF21389038B}" name="Gas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5" xr3:uid="{0D7F477B-380A-4884-AB7F-3C338F71878C}" name="Conversion factor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2" xr3:uid="{F390ECDF-7FCD-4F38-8419-96F2A2FA0895}" name="Conversion factor 1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3" xr3:uid="{F57CCC2A-D1AB-4A5B-ACA6-AAFCD2BFF5E4}" name="Conversion factor 2">
      <calculatedColumnFormula array="1">Common_InputFunctions.Utility_DisplayArrayInTable(Common_SourceData.Common_SourceData_ConvertGasElementalToMolecular_Data(),Table_GasToMolecularConversionFactor[[#Headers],[Gas]], 0)</calculatedColumnFormula>
    </tableColumn>
    <tableColumn id="4" xr3:uid="{E1FE507D-935A-4704-9DCB-E4A740E3017F}" name="Conversion factor combined">
      <calculatedColumnFormula>Table_GasToMolecularConversionFactor[[#This Row],[Conversion factor 1]]/Table_GasToMolecularConversionFactor[[#This Row],[Conversion factor 2]]</calculatedColumnFormula>
    </tableColumn>
  </tableColumns>
  <tableStyleInfo name="Equation table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466D456-A36F-49B2-95BF-C04AF73063BA}" name="Table_SourceData_ClimateZones" displayName="Table_SourceData_ClimateZones" ref="D89:S97" totalsRowShown="0">
  <autoFilter ref="D89:S97" xr:uid="{5A437AE9-7724-4CF2-ACCF-291078682FB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29672771-6091-4FA5-86EA-395E240FF5D2}" name="Climate zone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2" xr3:uid="{7E0CB869-00AE-4755-8478-34C0A24DACCC}" name="MAT" totalsRowDxfId="1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3" xr3:uid="{EEBB7F36-38AB-43CA-89EE-CBF9D2B12C70}" name="MAP" totalsRowDxfId="1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4" xr3:uid="{3010F3BA-675E-4D83-9AAD-FBE9EC6F9CF0}" name="Frost days per year" totalsRowDxfId="1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5" xr3:uid="{3F1B2FE9-64D5-41E9-9332-E943400478C4}" name="Elevation" totalsRowDxfId="1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6" xr3:uid="{C4BB9839-93FF-42DA-A517-F34E10C70484}" name="MAP:PET" totalsRowDxfId="1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7" xr3:uid="{A01F6B36-D801-484C-A91E-3EFD0F4A77C0}" name="Min temp" totalsRowDxfId="13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8" xr3:uid="{033C9484-1852-4D2B-88A9-02D24D40BB22}" name="Max temp" totalsRowDxfId="12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9" xr3:uid="{C54AFCDF-470B-41E8-8CB5-A1938A000F27}" name="Min rainfall" totalsRowDxfId="11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0" xr3:uid="{E235B24A-0205-4131-BBC7-FD5B69336BB5}" name="Max rainfall" totalsRowDxfId="10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1" xr3:uid="{2236A619-E104-4738-8E09-41B8930DF78A}" name="Min frost days" totalsRowDxfId="9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5" xr3:uid="{85D18FF3-E59D-404A-A2E0-032D9A5E0B84}" name="Max frost days" totalsRowDxfId="8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2" xr3:uid="{82A7ECE5-EF70-4355-AA39-B204B086F753}" name="Min elevation" totalsRowDxfId="7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6" xr3:uid="{D75C68D2-6308-4B32-BFEC-DFF390DB8E53}" name="Max elevation" totalsRowDxfId="6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3" xr3:uid="{36486A17-D0A0-48BD-A954-F404E9596B7F}" name="Min MAP:PET" totalsRowDxfId="5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  <tableColumn id="17" xr3:uid="{99A2031C-68A9-4CB7-9470-3CF073E8938E}" name="Max MAP:PET" totalsRowDxfId="4" totalsRowCellStyle="Content bold">
      <calculatedColumnFormula array="1">Common_InputFunctions.Utility_DisplayArrayInTable(Common_SourceData.Common_SourceData_ClimateZones_Data(), Table_SourceData_ClimateZones[[#Headers],[Climate zone]], 0)</calculatedColumnFormula>
    </tableColumn>
  </tableColumns>
  <tableStyleInfo name="Equation table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C95AB78-06E7-4C32-AD35-CD50562C88DD}" name="Table_SourceData_WetDryZones" displayName="Table_SourceData_WetDryZones" ref="D63:E77" totalsRowShown="0">
  <autoFilter ref="D63:E77" xr:uid="{3597E019-B21E-4B76-BCC8-D02D497BCFA9}">
    <filterColumn colId="0" hiddenButton="1"/>
    <filterColumn colId="1" hiddenButton="1"/>
  </autoFilter>
  <tableColumns count="2">
    <tableColumn id="1" xr3:uid="{2BBF6521-99F9-49EC-9C13-C6835493D245}" name="Climate zone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  <tableColumn id="2" xr3:uid="{0DDE2867-2EF4-48CD-8D28-92B0EFFA35E5}" name="Wet or Dry Zone" totalsRowDxfId="3" totalsRowCellStyle="Content bold">
      <calculatedColumnFormula array="1">Common_InputFunctions.Utility_DisplayArrayInTable(Common_SourceData.Common_SourceData_WetAndDryZones_Data(), Table_SourceData_WetDryZones[[#Headers],[Climate zone]], 0)</calculatedColumnFormula>
    </tableColumn>
  </tableColumns>
  <tableStyleInfo name="Equation table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5D7090B-AAEA-4808-BC5D-086CCF4BBAEB}" name="Table_SourceData_TemperatureZones" displayName="Table_SourceData_TemperatureZones" ref="D109:G112" totalsRowShown="0">
  <autoFilter ref="D109:G112" xr:uid="{AB16FEAB-AB03-45E1-BBD4-66D29CD412DF}">
    <filterColumn colId="0" hiddenButton="1"/>
    <filterColumn colId="1" hiddenButton="1"/>
    <filterColumn colId="2" hiddenButton="1"/>
    <filterColumn colId="3" hiddenButton="1"/>
  </autoFilter>
  <tableColumns count="4">
    <tableColumn id="1" xr3:uid="{8AAE3F64-7F01-4FED-AE2A-4CC0A0AFC425}" name="Temperature Zone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2" xr3:uid="{AEA33916-A881-48B9-9513-C775740C2271}" name="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3" xr3:uid="{46A7C8CC-F651-4E5A-8816-00DC7155E41F}" name="Min MAT">
      <calculatedColumnFormula array="1">Common_InputFunctions.Utility_DisplayArrayInTable(Common_SourceData.Common_SourceData_TemperatureZones_Data(),Table_SourceData_TemperatureZones[[#Headers],[Temperature Zone]],0)</calculatedColumnFormula>
    </tableColumn>
    <tableColumn id="4" xr3:uid="{94E1B2C5-8CA3-4911-9490-BDB7B5E410DF}" name="Max MAT">
      <calculatedColumnFormula array="1">Common_InputFunctions.Utility_DisplayArrayInTable(Common_SourceData.Common_SourceData_TemperatureZones_Data(),Table_SourceData_TemperatureZones[[#Headers],[Temperature Zone]],0)</calculatedColumnFormula>
    </tableColumn>
  </tableColumns>
  <tableStyleInfo name="Equation table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FBCB2EB-CB69-4536-B093-D2999F8975C6}" name="Table_SourceData_RainfallZones" displayName="Table_SourceData_RainfallZones" ref="D119:G121" totalsRowShown="0">
  <autoFilter ref="D119:G121" xr:uid="{E08772F3-2E8C-40A8-B755-08A5BBDF4130}">
    <filterColumn colId="0" hiddenButton="1"/>
    <filterColumn colId="1" hiddenButton="1"/>
    <filterColumn colId="2" hiddenButton="1"/>
    <filterColumn colId="3" hiddenButton="1"/>
  </autoFilter>
  <tableColumns count="4">
    <tableColumn id="1" xr3:uid="{DD0F9C16-1557-47D4-A2E0-F011F3665C9A}" name="Rainfall Zone">
      <calculatedColumnFormula array="1">Common_InputFunctions.Utility_DisplayArrayInTable(Common_SourceData.Common_SourceData_RainfallZones_Data(),Table_SourceData_RainfallZones[[#Headers],[Rainfall Zone]],0)</calculatedColumnFormula>
    </tableColumn>
    <tableColumn id="2" xr3:uid="{DEE86EB2-7147-48E0-99E2-B80F395D5907}" name="Annual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3" xr3:uid="{792F58AE-8E56-4C6B-A91C-FD6F4909C46B}" name="Min rainfall">
      <calculatedColumnFormula array="1">Common_InputFunctions.Utility_DisplayArrayInTable(Common_SourceData.Common_SourceData_RainfallZones_Data(),Table_SourceData_RainfallZones[[#Headers],[Rainfall Zone]],0)</calculatedColumnFormula>
    </tableColumn>
    <tableColumn id="4" xr3:uid="{CF837850-D32D-4DE9-AF76-D2BCB4CBC578}" name="Max rainfall">
      <calculatedColumnFormula array="1">Common_InputFunctions.Utility_DisplayArrayInTable(Common_SourceData.Common_SourceData_RainfallZones_Data(),Table_SourceData_RainfallZones[[#Headers],[Rainfall Zone]],0)</calculatedColumnFormula>
    </tableColumn>
  </tableColumns>
  <tableStyleInfo name="Equation table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4F44C9C9-843A-4986-9A15-FCC4C7226F0B}" name="Table_SourceData_LeachingZones" displayName="Table_SourceData_LeachingZones" ref="D127:E129" totalsRowShown="0">
  <autoFilter ref="D127:E129" xr:uid="{A159E140-02ED-4547-B6E1-6695D8B16A11}">
    <filterColumn colId="0" hiddenButton="1"/>
    <filterColumn colId="1" hiddenButton="1"/>
  </autoFilter>
  <tableColumns count="2">
    <tableColumn id="1" xr3:uid="{12ACC7FC-E427-49E6-A389-0791A8DCD704}" name="Leaching Zone">
      <calculatedColumnFormula array="1">Common_InputFunctions.Utility_DisplayArrayInTable(Common_SourceData.Common_SourceData_LeachingZones_Data(), Table_SourceData_LeachingZones[[#Headers],[Leaching Zone]], 0)</calculatedColumnFormula>
    </tableColumn>
    <tableColumn id="2" xr3:uid="{3A3F842A-200A-4D57-B914-198436D6BAC2}" name="Leaching criteria">
      <calculatedColumnFormula array="1">Common_InputFunctions.Utility_DisplayArrayInTable(Common_SourceData.Common_SourceData_LeachingZones_Data(), Table_SourceData_LeachingZones[[#Headers],[Leaching Zone]], 0)</calculatedColumnFormula>
    </tableColumn>
  </tableColumns>
  <tableStyleInfo name="Equation table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D90FA315-08A3-4F5F-8258-83CA4D06C97E}" name="Table_SourceData_DataScores_Scope3" displayName="Table_SourceData_DataScores_Scope3" ref="D153:E158" totalsRowShown="0">
  <autoFilter ref="D153:E158" xr:uid="{133D42B0-F6D2-470A-858A-37E6A7F5EC2B}">
    <filterColumn colId="0" hiddenButton="1"/>
    <filterColumn colId="1" hiddenButton="1"/>
  </autoFilter>
  <tableColumns count="2">
    <tableColumn id="1" xr3:uid="{91B4DCCC-63F9-4DE8-A00A-E63F34A4D1A6}" name="Data source">
      <calculatedColumnFormula array="1">Common_InputFunctions.Utility_DisplayArrayInTable(Common_SourceData.Common_SourceData_DataScores_Scope3_Data(), Table_SourceData_DataScores_Scope3[[#Headers],[Data source]], 0)</calculatedColumnFormula>
    </tableColumn>
    <tableColumn id="2" xr3:uid="{D68051CE-5DD8-42C0-84E4-5AA8F823F65C}" name="Data score">
      <calculatedColumnFormula array="1">Common_InputFunctions.Utility_DisplayArrayInTable(Common_SourceData.Common_SourceData_DataScores_Scope3_Data(), Table_SourceData_DataScores_Scope3[[#Headers],[Data source]], 0)</calculatedColumnFormula>
    </tableColumn>
  </tableColumns>
  <tableStyleInfo name="Equation table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4AC07FE-F7F3-41D7-B120-CF3992BE87B8}" name="Table_SourceData_FracWET" displayName="Table_SourceData_FracWET" ref="D134:E136" totalsRowShown="0">
  <autoFilter ref="D134:E136" xr:uid="{308E99BE-FE1F-47A4-B2CA-97217277C4E9}">
    <filterColumn colId="0" hiddenButton="1"/>
    <filterColumn colId="1" hiddenButton="1"/>
  </autoFilter>
  <tableColumns count="2">
    <tableColumn id="1" xr3:uid="{7CC796C2-63D2-47F7-9053-D908618080F5}" name="Is in leaching zone">
      <calculatedColumnFormula array="1">Common_InputFunctions.Utility_DisplayArrayInTable(Common_SourceData.Common_SourceData_FracWET_Data(),Table_SourceData_FracWET[[#Headers],[Is in leaching zone]],0)</calculatedColumnFormula>
    </tableColumn>
    <tableColumn id="2" xr3:uid="{DAA00D67-052D-437D-8304-FCF408B01074}" name="FracWET" dataDxfId="2">
      <calculatedColumnFormula array="1">Common_InputFunctions.Utility_DisplayArrayInTable(Common_SourceData.Common_SourceData_FracWET_Data(),Table_SourceData_FracWET[[#Headers],[Is in leaching zone]],0)</calculatedColumnFormula>
    </tableColumn>
  </tableColumns>
  <tableStyleInfo name="Equation table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C0C0055-156C-4515-918D-A7318F9FFE4A}" name="Table_SourceData_Common_EFN2O" displayName="Table_SourceData_Common_EFN2O" ref="D186:H199" totalsRowShown="0">
  <autoFilter ref="D186:H199" xr:uid="{D41FBEA4-8379-4DF7-A068-BF94D364F1A2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060F504-EC73-483B-8A81-F1C43606FEEA}" name="Production system j">
      <calculatedColumnFormula array="1">Common_InputFunctions.Utility_DisplayArrayInTable(Common_SourceData.Common_SourceData_EFN2O_Data(), Table_SourceData_Common_EFN2O[[#Headers],[Production system j]], 0)</calculatedColumnFormula>
    </tableColumn>
    <tableColumn id="2" xr3:uid="{574B37D8-1169-4165-A77A-24E1AAFF4980}" name="EFN2O">
      <calculatedColumnFormula array="1">Common_InputFunctions.Utility_DisplayArrayInTable(Common_SourceData.Common_SourceData_EFN2O_Data(), Table_SourceData_Common_EFN2O[[#Headers],[Production system j]], 0)</calculatedColumnFormula>
    </tableColumn>
    <tableColumn id="3" xr3:uid="{1D0F0020-9E5D-466E-A545-6A2C8753D1A8}" name="Production system only">
      <calculatedColumnFormula array="1">Common_InputFunctions.Utility_DisplayArrayInTable(Common_SourceData.Common_SourceData_EFN2O_Data(), Table_SourceData_Common_EFN2O[[#Headers],[Production system j]], 0)</calculatedColumnFormula>
    </tableColumn>
    <tableColumn id="4" xr3:uid="{333334E3-27E0-4C5F-931E-5AA744E7E65B}" name="Irrigation method">
      <calculatedColumnFormula array="1">Common_InputFunctions.Utility_DisplayArrayInTable(Common_SourceData.Common_SourceData_EFN2O_Data(), Table_SourceData_Common_EFN2O[[#Headers],[Production system j]], 0)</calculatedColumnFormula>
    </tableColumn>
    <tableColumn id="5" xr3:uid="{BE721098-7E6E-446D-B004-47690C85F608}" name="Rainfall zone">
      <calculatedColumnFormula array="1">Common_InputFunctions.Utility_DisplayArrayInTable(Common_SourceData.Common_SourceData_EFN2O_Data(), Table_SourceData_Common_EFN2O[[#Headers],[Production system j]], 0)</calculatedColumnFormula>
    </tableColumn>
  </tableColumns>
  <tableStyleInfo name="Equation table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04C2C9B-0ABA-4867-8039-ED0749EFDF2D}" name="Table_SourceData_FracWETIrrigation" displayName="Table_SourceData_FracWETIrrigation" ref="D142:E147" totalsRowShown="0">
  <autoFilter ref="D142:E147" xr:uid="{A04C2C9B-0ABA-4867-8039-ED0749EFDF2D}">
    <filterColumn colId="0" hiddenButton="1"/>
    <filterColumn colId="1" hiddenButton="1"/>
  </autoFilter>
  <tableColumns count="2">
    <tableColumn id="1" xr3:uid="{61DBB82B-3A6D-419F-8985-5F50A33AD54D}" name="Irrigation type i">
      <calculatedColumnFormula array="1">Common_InputFunctions.Utility_DisplayArrayInTable(Common_SourceData.Common_SourceData_FracWETIrrigation_Data(), Table_SourceData_FracWETIrrigation[[#Headers],[Irrigation type i]], 0)</calculatedColumnFormula>
    </tableColumn>
    <tableColumn id="2" xr3:uid="{64F1A8DC-1528-499D-8C77-81E69EE8003E}" name="FracWET" dataDxfId="1" dataCellStyle="Content normal">
      <calculatedColumnFormula array="1">Common_InputFunctions.Utility_DisplayArrayInTable(Common_SourceData.Common_SourceData_FracWETIrrigation_Data(), Table_SourceData_FracWETIrrigation[[#Headers],[Irrigation type i]], 0)</calculatedColumnFormula>
    </tableColumn>
  </tableColumns>
  <tableStyleInfo name="Equation table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57B4799-9FBA-4ADF-A09A-32A2A49101BE}" name="Table_SourceData_EFPastureRangeAndPaddock" displayName="Table_SourceData_EFPastureRangeAndPaddock" ref="D206:E208" totalsRowShown="0">
  <autoFilter ref="D206:E208" xr:uid="{257B4799-9FBA-4ADF-A09A-32A2A49101BE}">
    <filterColumn colId="0" hiddenButton="1"/>
    <filterColumn colId="1" hiddenButton="1"/>
  </autoFilter>
  <tableColumns count="2">
    <tableColumn id="1" xr3:uid="{AE0190D4-8B38-4D11-A70F-AF75E033ACD3}" name="Climate zone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  <tableColumn id="2" xr3:uid="{32442D06-ACE7-48E5-A599-0F379CCEDA2A}" name="EFPRP" dataDxfId="0" dataCellStyle="Content normal">
      <calculatedColumnFormula array="1">Common_InputFunctions.Utility_DisplayArrayInTable(Common_SourceData.Common_SourceData_EFPastureRangeAndPaddock_Data(), Table_SourceData_EFPastureRangeAndPaddock[[#Headers],[Climate zone]], 0)</calculatedColumnFormula>
    </tableColumn>
  </tableColumns>
  <tableStyleInfo name="Equation table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CC28B-CF78-4195-86CA-5AEBBA7FA04E}" name="Table_Data_MMSSymbols" displayName="Table_Data_MMSSymbols" ref="D9:F27" totalsRowShown="0">
  <autoFilter ref="D9:F27" xr:uid="{757CC28B-CF78-4195-86CA-5AEBBA7FA04E}">
    <filterColumn colId="0" hiddenButton="1"/>
    <filterColumn colId="1" hiddenButton="1"/>
    <filterColumn colId="2" hiddenButton="1"/>
  </autoFilter>
  <tableColumns count="3">
    <tableColumn id="1" xr3:uid="{FA4B4DF7-A993-40F2-870A-87A35A1D1CD3}" name="Symbol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2" xr3:uid="{8A23F85B-E11F-43B7-AF58-1032F42D9585}" name="Manure management system">
      <calculatedColumnFormula array="1">InputFunctions_Utilities.Utility_DisplayArrayInTable(CommonLivestock_SourceData.SourceData_Livestock_Common_SymbolsMMS_Data(), Table_Data_MMSSymbols[[#Headers],[Symbol]], 0)</calculatedColumnFormula>
    </tableColumn>
    <tableColumn id="3" xr3:uid="{58D0574C-2490-473B-A8E1-317E3A493B21}" name="Symbol and MMS">
      <calculatedColumnFormula array="1">InputFunctions_Utilities.Utility_DisplayArrayInTable(CommonLivestock_SourceData.SourceData_Livestock_Common_SymbolsMMS_Data(), Table_Data_MMSSymbols[[#Headers],[Symbol]], 0)</calculatedColumnFormula>
    </tableColumn>
  </tableColumns>
  <tableStyleInfo name="Equation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ZNE-Ag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B769F"/>
      </a:accent1>
      <a:accent2>
        <a:srgbClr val="CC6600"/>
      </a:accent2>
      <a:accent3>
        <a:srgbClr val="008000"/>
      </a:accent3>
      <a:accent4>
        <a:srgbClr val="C4433F"/>
      </a:accent4>
      <a:accent5>
        <a:srgbClr val="4F4789"/>
      </a:accent5>
      <a:accent6>
        <a:srgbClr val="FFCC66"/>
      </a:accent6>
      <a:hlink>
        <a:srgbClr val="467886"/>
      </a:hlink>
      <a:folHlink>
        <a:srgbClr val="894763"/>
      </a:folHlink>
    </a:clrScheme>
    <a:fontScheme name="Custom 1">
      <a:majorFont>
        <a:latin typeface="Times New Roman"/>
        <a:ea typeface=""/>
        <a:cs typeface=""/>
      </a:majorFont>
      <a:minorFont>
        <a:latin typeface="Times New 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31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02233F-B6A7-4C5C-980A-848E7A11A33D}">
  <we:reference id="wa200003696" version="1.3.0.0" store="en-US" storeType="OMEX"/>
  <we:alternateReferences>
    <we:reference id="WA200003696" version="1.3.0.0" store="WA200003696" storeType="OMEX"/>
  </we:alternateReferences>
  <we:properties>
    <we:property name="projectV0_1-56c6e055-265e-4713-816e-a646dbb708de" value="{&quot;kind&quot;:&quot;AFEJSONBlobNode&quot;,&quot;id&quot;:&quot;{B6BE249C-20B1-4A62-BBCD-F2A46D88BCAB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7.xml"/><Relationship Id="rId13" Type="http://schemas.openxmlformats.org/officeDocument/2006/relationships/table" Target="../tables/table22.xml"/><Relationship Id="rId3" Type="http://schemas.openxmlformats.org/officeDocument/2006/relationships/table" Target="../tables/table12.xml"/><Relationship Id="rId7" Type="http://schemas.openxmlformats.org/officeDocument/2006/relationships/table" Target="../tables/table16.xml"/><Relationship Id="rId12" Type="http://schemas.openxmlformats.org/officeDocument/2006/relationships/table" Target="../tables/table21.xml"/><Relationship Id="rId2" Type="http://schemas.openxmlformats.org/officeDocument/2006/relationships/table" Target="../tables/table11.xml"/><Relationship Id="rId1" Type="http://schemas.openxmlformats.org/officeDocument/2006/relationships/table" Target="../tables/table10.xml"/><Relationship Id="rId6" Type="http://schemas.openxmlformats.org/officeDocument/2006/relationships/table" Target="../tables/table15.xml"/><Relationship Id="rId11" Type="http://schemas.openxmlformats.org/officeDocument/2006/relationships/table" Target="../tables/table20.xml"/><Relationship Id="rId5" Type="http://schemas.openxmlformats.org/officeDocument/2006/relationships/table" Target="../tables/table14.xml"/><Relationship Id="rId10" Type="http://schemas.openxmlformats.org/officeDocument/2006/relationships/table" Target="../tables/table19.xml"/><Relationship Id="rId4" Type="http://schemas.openxmlformats.org/officeDocument/2006/relationships/table" Target="../tables/table13.xml"/><Relationship Id="rId9" Type="http://schemas.openxmlformats.org/officeDocument/2006/relationships/table" Target="../tables/table18.xml"/><Relationship Id="rId14" Type="http://schemas.openxmlformats.org/officeDocument/2006/relationships/table" Target="../tables/table2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F26AA-F4FA-460F-9B3A-C19960195F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30AE0-5101-4331-B8DF-043DE9AAFBA8}">
  <sheetPr>
    <pageSetUpPr autoPageBreaks="0"/>
  </sheetPr>
  <dimension ref="A1:K87"/>
  <sheetViews>
    <sheetView showGridLines="0" zoomScaleNormal="100" workbookViewId="0">
      <selection activeCell="A7" sqref="A7"/>
    </sheetView>
  </sheetViews>
  <sheetFormatPr defaultRowHeight="15" x14ac:dyDescent="0.25"/>
  <cols>
    <col min="1" max="1" width="30.7109375" customWidth="1"/>
    <col min="2" max="3" width="2.7109375" customWidth="1"/>
    <col min="4" max="4" width="78.42578125" customWidth="1"/>
    <col min="5" max="6" width="28.7109375" customWidth="1"/>
    <col min="7" max="7" width="40.28515625" customWidth="1"/>
    <col min="8" max="8" width="59.7109375" customWidth="1"/>
    <col min="9" max="9" width="31.5703125" customWidth="1"/>
    <col min="10" max="10" width="25.28515625" customWidth="1"/>
    <col min="11" max="11" width="7.42578125" customWidth="1"/>
    <col min="12" max="26" width="28.7109375" customWidth="1"/>
  </cols>
  <sheetData>
    <row r="1" spans="1:11" ht="30" customHeight="1" x14ac:dyDescent="0.35">
      <c r="A1" s="71" t="e" vm="1">
        <v>#VALUE!</v>
      </c>
      <c r="C1" s="137" t="s">
        <v>337</v>
      </c>
    </row>
    <row r="2" spans="1:11" ht="20.100000000000001" customHeight="1" x14ac:dyDescent="0.25">
      <c r="A2" s="9"/>
      <c r="C2" s="9"/>
    </row>
    <row r="3" spans="1:11" ht="20.100000000000001" customHeight="1" x14ac:dyDescent="0.25">
      <c r="A3" s="17" t="str">
        <f>HYPERLINK("#'Home'!A1", "Home")</f>
        <v>Home</v>
      </c>
      <c r="C3" s="24"/>
      <c r="D3" s="24"/>
      <c r="E3" s="24"/>
      <c r="F3" s="24"/>
      <c r="G3" s="24"/>
      <c r="H3" s="24"/>
      <c r="I3" s="24"/>
      <c r="J3" s="24"/>
      <c r="K3" s="24"/>
    </row>
    <row r="4" spans="1:11" ht="20.100000000000001" customHeight="1" x14ac:dyDescent="0.25">
      <c r="A4" s="136" t="str">
        <f>HYPERLINK("#'Results'!A1", "Results")</f>
        <v>Results</v>
      </c>
      <c r="C4" s="24"/>
      <c r="D4" s="6" t="s">
        <v>5</v>
      </c>
      <c r="E4" s="26"/>
      <c r="F4" s="26"/>
      <c r="G4" s="26"/>
      <c r="H4" s="6"/>
      <c r="I4" s="6"/>
      <c r="J4" s="6"/>
      <c r="K4" s="27"/>
    </row>
    <row r="5" spans="1:11" ht="20.100000000000001" customHeight="1" x14ac:dyDescent="0.3">
      <c r="A5" s="16"/>
      <c r="C5" s="24"/>
      <c r="D5" s="28"/>
      <c r="E5" s="29"/>
      <c r="F5" s="29"/>
      <c r="G5" s="29"/>
      <c r="H5" s="26"/>
      <c r="I5" s="24"/>
      <c r="J5" s="24"/>
      <c r="K5" s="24"/>
    </row>
    <row r="6" spans="1:11" ht="20.100000000000001" customHeight="1" x14ac:dyDescent="0.25">
      <c r="A6" s="20" t="s">
        <v>3</v>
      </c>
      <c r="C6" s="24"/>
      <c r="D6" s="135" t="s">
        <v>292</v>
      </c>
      <c r="E6" s="135" t="s">
        <v>290</v>
      </c>
      <c r="F6" s="135" t="s">
        <v>320</v>
      </c>
      <c r="G6" s="135" t="s">
        <v>291</v>
      </c>
      <c r="H6" s="135" t="s">
        <v>321</v>
      </c>
      <c r="I6" s="1"/>
      <c r="J6" s="24"/>
      <c r="K6" s="24"/>
    </row>
    <row r="7" spans="1:11" ht="20.100000000000001" customHeight="1" x14ac:dyDescent="0.25">
      <c r="A7" s="17" t="str">
        <f>HYPERLINK("#'Input - Site'!A1", "Site")</f>
        <v>Site</v>
      </c>
      <c r="C7" s="24"/>
      <c r="D7" s="1" t="s">
        <v>282</v>
      </c>
      <c r="E7" s="128">
        <f>'4.1.1.1-2 Methane'!E164</f>
        <v>2.7938769470975995</v>
      </c>
      <c r="F7" s="57" t="str">
        <f>'4.1.1.1-2 Methane'!F164</f>
        <v>t CH4</v>
      </c>
      <c r="G7" s="128">
        <f>'4.1.1.1-2 Methane'!E169</f>
        <v>78.228554518732778</v>
      </c>
      <c r="H7" s="57" t="str">
        <f>'4.1.1.1-2 Methane'!F169</f>
        <v>t CO2e</v>
      </c>
      <c r="I7" s="1"/>
      <c r="J7" s="24"/>
      <c r="K7" s="24"/>
    </row>
    <row r="8" spans="1:11" ht="20.100000000000001" customHeight="1" x14ac:dyDescent="0.25">
      <c r="A8" s="17" t="str">
        <f>HYPERLINK("#'Input - Feedlot'!A1", "Feedlot")</f>
        <v>Feedlot</v>
      </c>
      <c r="C8" s="24"/>
      <c r="D8" s="1" t="s">
        <v>283</v>
      </c>
      <c r="E8" s="128">
        <f>'4.1.1.1-2 Methane'!N164</f>
        <v>2.7938769470975995</v>
      </c>
      <c r="F8" s="57" t="str">
        <f>'4.1.1.1-2 Methane'!O164</f>
        <v>t CH4</v>
      </c>
      <c r="G8" s="128">
        <f>'4.1.1.1-2 Methane'!N169</f>
        <v>78.228554518732778</v>
      </c>
      <c r="H8" s="57" t="str">
        <f>'4.1.1.1-2 Methane'!O169</f>
        <v>t CO2e</v>
      </c>
      <c r="I8" s="1"/>
      <c r="J8" s="24"/>
      <c r="K8" s="24"/>
    </row>
    <row r="9" spans="1:11" ht="20.100000000000001" customHeight="1" x14ac:dyDescent="0.25">
      <c r="A9" s="17"/>
      <c r="C9" s="24"/>
      <c r="D9" s="1" t="s">
        <v>284</v>
      </c>
      <c r="E9" s="128">
        <f>'4.1.1.3-4 Direct N20'!E207</f>
        <v>1.0745527700847912</v>
      </c>
      <c r="F9" s="57" t="str">
        <f>'4.1.1.3-4 Direct N20'!F207</f>
        <v>t N2O</v>
      </c>
      <c r="G9" s="128">
        <f>'4.1.1.3-4 Direct N20'!E212</f>
        <v>284.75648407246968</v>
      </c>
      <c r="H9" s="57" t="str">
        <f>'4.1.1.3-4 Direct N20'!F212</f>
        <v>t CO2e</v>
      </c>
      <c r="I9" s="1"/>
      <c r="J9" s="24"/>
      <c r="K9" s="24"/>
    </row>
    <row r="10" spans="1:11" ht="20.100000000000001" customHeight="1" x14ac:dyDescent="0.25">
      <c r="A10" s="19" t="s">
        <v>77</v>
      </c>
      <c r="C10" s="24"/>
      <c r="D10" s="1" t="s">
        <v>285</v>
      </c>
      <c r="E10" s="128">
        <f>'4.1.1.3-4 Direct N20'!M207</f>
        <v>1.0745527700847912</v>
      </c>
      <c r="F10" s="57" t="str">
        <f>'4.1.1.3-4 Direct N20'!N207</f>
        <v>t N2O</v>
      </c>
      <c r="G10" s="128">
        <f>'4.1.1.3-4 Direct N20'!M212</f>
        <v>284.75648407246968</v>
      </c>
      <c r="H10" s="57" t="str">
        <f>'4.1.1.3-4 Direct N20'!N212</f>
        <v>t CO2e</v>
      </c>
      <c r="I10" s="1"/>
      <c r="J10" s="24"/>
      <c r="K10" s="24"/>
    </row>
    <row r="11" spans="1:11" ht="20.100000000000001" customHeight="1" x14ac:dyDescent="0.25">
      <c r="A11" s="17" t="str">
        <f>HYPERLINK("#'4.1.1.1-2 Methane'!A1", "4.1.1.1-2 Methane")</f>
        <v>4.1.1.1-2 Methane</v>
      </c>
      <c r="C11" s="24"/>
      <c r="D11" s="1" t="s">
        <v>286</v>
      </c>
      <c r="E11" s="128">
        <f>'4.1.1.5-6 Atmos Deposition'!$E$60</f>
        <v>0.16441385070403455</v>
      </c>
      <c r="F11" s="57" t="str">
        <f>'4.1.1.5-6 Atmos Deposition'!$F$60</f>
        <v>t N2O</v>
      </c>
      <c r="G11" s="128">
        <f>'4.1.1.5-6 Atmos Deposition'!$E$65</f>
        <v>43.569670436569155</v>
      </c>
      <c r="H11" s="57" t="str">
        <f>'4.1.1.5-6 Atmos Deposition'!$F$65</f>
        <v>t CO2e</v>
      </c>
      <c r="I11" s="1"/>
      <c r="J11" s="24"/>
      <c r="K11" s="24"/>
    </row>
    <row r="12" spans="1:11" ht="20.100000000000001" customHeight="1" x14ac:dyDescent="0.25">
      <c r="A12" s="17" t="str">
        <f>HYPERLINK("#'4.1.1.3-4 Direct N20'!A1", "4.1.1.3-4 Direct N2O")</f>
        <v>4.1.1.3-4 Direct N2O</v>
      </c>
      <c r="C12" s="24"/>
      <c r="D12" s="1" t="s">
        <v>287</v>
      </c>
      <c r="E12" s="128">
        <f>'4.1.1.5-6 Atmos Deposition'!$M$60</f>
        <v>0.16441385070403455</v>
      </c>
      <c r="F12" s="57" t="str">
        <f>'4.1.1.5-6 Atmos Deposition'!$N$60</f>
        <v>t N2O</v>
      </c>
      <c r="G12" s="128">
        <f>'4.1.1.5-6 Atmos Deposition'!$M$65</f>
        <v>43.569670436569155</v>
      </c>
      <c r="H12" s="57" t="str">
        <f>'4.1.1.5-6 Atmos Deposition'!$N$65</f>
        <v>t CO2e</v>
      </c>
      <c r="I12" s="1"/>
      <c r="J12" s="24"/>
      <c r="K12" s="24"/>
    </row>
    <row r="13" spans="1:11" ht="20.100000000000001" customHeight="1" x14ac:dyDescent="0.25">
      <c r="A13" s="17" t="str">
        <f>HYPERLINK("#'4.1.1.5-6 Atmos Deposition'!A1", "4.1.1.5-6 Atmospheric deposition")</f>
        <v>4.1.1.5-6 Atmospheric deposition</v>
      </c>
      <c r="C13" s="24"/>
      <c r="D13" s="1" t="s">
        <v>288</v>
      </c>
      <c r="E13" s="128" t="s">
        <v>336</v>
      </c>
      <c r="F13" s="57" t="s">
        <v>336</v>
      </c>
      <c r="G13" s="128">
        <v>0</v>
      </c>
      <c r="H13" s="57" t="s">
        <v>336</v>
      </c>
      <c r="I13" s="1"/>
      <c r="J13" s="24"/>
      <c r="K13" s="24"/>
    </row>
    <row r="14" spans="1:11" ht="20.100000000000001" customHeight="1" x14ac:dyDescent="0.25">
      <c r="A14" s="17" t="str">
        <f>HYPERLINK("#'4.1.1.9 Manure applied to soils'!A1", "4.1.1.9 Manure applied to soils")</f>
        <v>4.1.1.9 Manure applied to soils</v>
      </c>
      <c r="C14" s="24"/>
      <c r="D14" s="1" t="s">
        <v>289</v>
      </c>
      <c r="E14" s="128" t="s">
        <v>336</v>
      </c>
      <c r="F14" s="57" t="s">
        <v>336</v>
      </c>
      <c r="G14" s="128">
        <v>0</v>
      </c>
      <c r="H14" s="57" t="s">
        <v>336</v>
      </c>
      <c r="I14" s="1"/>
      <c r="J14" s="24"/>
      <c r="K14" s="24"/>
    </row>
    <row r="15" spans="1:11" ht="20.100000000000001" customHeight="1" x14ac:dyDescent="0.3">
      <c r="C15" s="24"/>
      <c r="D15" s="31" t="s">
        <v>318</v>
      </c>
      <c r="E15" s="25"/>
      <c r="F15" s="31"/>
      <c r="G15" s="132">
        <f>SUM(G7:G14)</f>
        <v>813.10941805554319</v>
      </c>
      <c r="H15" s="114" t="str">
        <f>'4.1.1.5-6 Atmos Deposition'!$N$65</f>
        <v>t CO2e</v>
      </c>
      <c r="I15" s="1"/>
      <c r="J15" s="24"/>
      <c r="K15" s="24"/>
    </row>
    <row r="16" spans="1:11" ht="20.100000000000001" customHeight="1" x14ac:dyDescent="0.25">
      <c r="A16" s="18" t="s">
        <v>4</v>
      </c>
      <c r="C16" s="24"/>
      <c r="D16" s="1"/>
      <c r="E16" s="1"/>
      <c r="F16" s="1"/>
      <c r="G16" s="26"/>
      <c r="H16" s="24"/>
      <c r="I16" s="1"/>
      <c r="J16" s="24"/>
      <c r="K16" s="24"/>
    </row>
    <row r="17" spans="1:11" ht="20.100000000000001" customHeight="1" x14ac:dyDescent="0.25">
      <c r="A17" s="17" t="str">
        <f>HYPERLINK("#'Constants - Feedlot'!A1", "Constants - Feedlot")</f>
        <v>Constants - Feedlot</v>
      </c>
      <c r="C17" s="24"/>
      <c r="D17" s="115" t="s">
        <v>328</v>
      </c>
      <c r="E17" s="1"/>
      <c r="F17" s="1"/>
      <c r="G17" s="1"/>
      <c r="H17" s="26"/>
      <c r="I17" s="24"/>
      <c r="J17" s="24"/>
      <c r="K17" s="24"/>
    </row>
    <row r="18" spans="1:11" ht="20.100000000000001" customHeight="1" x14ac:dyDescent="0.25">
      <c r="A18" s="17" t="str">
        <f>HYPERLINK("#'Constants - Livestock'!A1", "Constants - Livestock")</f>
        <v>Constants - Livestock</v>
      </c>
      <c r="C18" s="24"/>
      <c r="D18" s="133" t="s">
        <v>335</v>
      </c>
      <c r="E18" s="1"/>
      <c r="F18" s="1"/>
      <c r="G18" s="1"/>
      <c r="H18" s="1"/>
      <c r="I18" s="1"/>
      <c r="J18" s="24"/>
      <c r="K18" s="24"/>
    </row>
    <row r="19" spans="1:11" ht="20.100000000000001" customHeight="1" x14ac:dyDescent="0.25">
      <c r="A19" s="17" t="str">
        <f>HYPERLINK("#'Constants - Common'!A1", "Constants - Common")</f>
        <v>Constants - Common</v>
      </c>
      <c r="C19" s="24"/>
      <c r="D19" s="115"/>
      <c r="E19" s="1"/>
      <c r="F19" s="1"/>
      <c r="G19" s="1"/>
      <c r="H19" s="1"/>
      <c r="I19" s="1"/>
      <c r="J19" s="24"/>
      <c r="K19" s="24"/>
    </row>
    <row r="20" spans="1:11" ht="20.100000000000001" customHeight="1" x14ac:dyDescent="0.25">
      <c r="A20" s="17" t="str">
        <f>HYPERLINK("#'Acknowledgements'!A1", "Acknowledgements")</f>
        <v>Acknowledgements</v>
      </c>
      <c r="C20" s="24"/>
      <c r="D20" s="135" t="s">
        <v>329</v>
      </c>
      <c r="E20" s="135" t="s">
        <v>326</v>
      </c>
      <c r="F20" s="135" t="s">
        <v>327</v>
      </c>
      <c r="G20" s="135" t="s">
        <v>319</v>
      </c>
      <c r="H20" s="135" t="s">
        <v>334</v>
      </c>
      <c r="I20" s="1"/>
      <c r="J20" s="24"/>
      <c r="K20" s="24"/>
    </row>
    <row r="21" spans="1:11" ht="20.100000000000001" customHeight="1" x14ac:dyDescent="0.25">
      <c r="C21" s="24"/>
      <c r="D21" s="1" t="s">
        <v>331</v>
      </c>
      <c r="E21" s="134">
        <f>'4.1.1.9 Manure applied to soils'!$E$56</f>
        <v>9574.3563485022751</v>
      </c>
      <c r="F21" s="57" t="str">
        <f>'4.1.1.9 Manure applied to soils'!$F$56</f>
        <v>kg N</v>
      </c>
      <c r="G21" s="1" t="s">
        <v>322</v>
      </c>
      <c r="H21" s="1" t="s">
        <v>333</v>
      </c>
      <c r="I21" s="1"/>
      <c r="J21" s="24"/>
      <c r="K21" s="24"/>
    </row>
    <row r="22" spans="1:11" ht="20.100000000000001" customHeight="1" x14ac:dyDescent="0.25">
      <c r="C22" s="24"/>
      <c r="D22" s="1" t="s">
        <v>330</v>
      </c>
      <c r="E22" s="134">
        <f>'4.1.1.9 Manure applied to soils'!$E$104</f>
        <v>4787.1781742511375</v>
      </c>
      <c r="F22" s="57" t="str">
        <f>'4.1.1.9 Manure applied to soils'!$F$104</f>
        <v>kg N</v>
      </c>
      <c r="G22" s="1" t="s">
        <v>325</v>
      </c>
      <c r="H22" s="1" t="s">
        <v>333</v>
      </c>
      <c r="I22" s="1"/>
      <c r="J22" s="24"/>
      <c r="K22" s="24"/>
    </row>
    <row r="23" spans="1:11" ht="20.100000000000001" customHeight="1" x14ac:dyDescent="0.25">
      <c r="C23" s="24"/>
      <c r="D23" s="1" t="s">
        <v>323</v>
      </c>
      <c r="E23" s="134">
        <f>'4.1.1.9 Manure applied to soils'!$E$123</f>
        <v>4787.1781742511375</v>
      </c>
      <c r="F23" s="57" t="str">
        <f>'4.1.1.9 Manure applied to soils'!$F$123</f>
        <v>kg N</v>
      </c>
      <c r="G23" s="1" t="s">
        <v>324</v>
      </c>
      <c r="H23" s="1" t="s">
        <v>332</v>
      </c>
      <c r="I23" s="1"/>
      <c r="J23" s="24"/>
      <c r="K23" s="24"/>
    </row>
    <row r="24" spans="1:11" ht="20.100000000000001" customHeight="1" x14ac:dyDescent="0.25">
      <c r="C24" s="24"/>
      <c r="D24" s="1"/>
      <c r="E24" s="1"/>
      <c r="F24" s="1"/>
      <c r="G24" s="1"/>
      <c r="H24" s="1"/>
      <c r="I24" s="1"/>
      <c r="J24" s="24"/>
      <c r="K24" s="24"/>
    </row>
    <row r="25" spans="1:11" ht="20.100000000000001" customHeight="1" x14ac:dyDescent="0.25">
      <c r="C25" s="24"/>
      <c r="D25" s="1"/>
      <c r="E25" s="1"/>
      <c r="F25" s="1"/>
      <c r="G25" s="1"/>
      <c r="H25" s="1"/>
      <c r="I25" s="1"/>
      <c r="J25" s="24"/>
      <c r="K25" s="24"/>
    </row>
    <row r="26" spans="1:11" ht="20.100000000000001" customHeight="1" x14ac:dyDescent="0.25">
      <c r="C26" s="24"/>
      <c r="D26" s="1"/>
      <c r="E26" s="1"/>
      <c r="F26" s="1"/>
      <c r="G26" s="1"/>
      <c r="H26" s="1"/>
      <c r="I26" s="1"/>
      <c r="J26" s="24"/>
      <c r="K26" s="24"/>
    </row>
    <row r="27" spans="1:11" ht="20.100000000000001" customHeight="1" x14ac:dyDescent="0.25">
      <c r="C27" s="24"/>
      <c r="D27" s="1"/>
      <c r="E27" s="1"/>
      <c r="F27" s="1"/>
      <c r="G27" s="1"/>
      <c r="H27" s="1"/>
      <c r="I27" s="1"/>
      <c r="J27" s="24"/>
      <c r="K27" s="24"/>
    </row>
    <row r="28" spans="1:11" ht="20.100000000000001" customHeight="1" x14ac:dyDescent="0.25">
      <c r="C28" s="24"/>
      <c r="D28" s="1"/>
      <c r="E28" s="1"/>
      <c r="F28" s="1"/>
      <c r="G28" s="1"/>
      <c r="H28" s="1"/>
      <c r="I28" s="1"/>
      <c r="J28" s="24"/>
      <c r="K28" s="24"/>
    </row>
    <row r="29" spans="1:11" ht="20.100000000000001" customHeight="1" x14ac:dyDescent="0.25">
      <c r="C29" s="24"/>
      <c r="D29" s="1"/>
      <c r="E29" s="1"/>
      <c r="F29" s="1"/>
      <c r="G29" s="1"/>
      <c r="H29" s="24"/>
      <c r="I29" s="24"/>
      <c r="J29" s="24"/>
      <c r="K29" s="24"/>
    </row>
    <row r="30" spans="1:11" ht="20.100000000000001" customHeight="1" x14ac:dyDescent="0.25">
      <c r="C30" s="24"/>
      <c r="D30" s="1"/>
      <c r="E30" s="1"/>
      <c r="F30" s="1"/>
      <c r="G30" s="1"/>
      <c r="H30" s="24"/>
      <c r="I30" s="24"/>
      <c r="J30" s="24"/>
      <c r="K30" s="24"/>
    </row>
    <row r="31" spans="1:11" ht="20.100000000000001" customHeight="1" x14ac:dyDescent="0.25">
      <c r="C31" s="24"/>
      <c r="D31" s="1"/>
      <c r="E31" s="1"/>
      <c r="F31" s="1"/>
      <c r="G31" s="1"/>
      <c r="H31" s="24"/>
      <c r="I31" s="24"/>
      <c r="J31" s="24"/>
      <c r="K31" s="24"/>
    </row>
    <row r="32" spans="1:11" ht="20.100000000000001" customHeight="1" x14ac:dyDescent="0.25">
      <c r="C32" s="24"/>
      <c r="D32" s="1"/>
      <c r="E32" s="1"/>
      <c r="F32" s="1"/>
      <c r="G32" s="1"/>
      <c r="H32" s="26"/>
      <c r="I32" s="24"/>
      <c r="J32" s="24"/>
      <c r="K32" s="24"/>
    </row>
    <row r="33" spans="3:11" ht="20.100000000000001" customHeight="1" x14ac:dyDescent="0.3">
      <c r="C33" s="24"/>
      <c r="D33" s="1"/>
      <c r="E33" s="1"/>
      <c r="F33" s="1"/>
      <c r="G33" s="1"/>
      <c r="H33" s="29"/>
      <c r="I33" s="24"/>
      <c r="J33" s="24"/>
      <c r="K33" s="24"/>
    </row>
    <row r="34" spans="3:11" ht="20.100000000000001" customHeight="1" x14ac:dyDescent="0.25">
      <c r="C34" s="24"/>
      <c r="D34" s="1"/>
      <c r="E34" s="1"/>
      <c r="F34" s="1"/>
      <c r="G34" s="1"/>
      <c r="H34" s="1"/>
      <c r="I34" s="24"/>
      <c r="J34" s="24"/>
      <c r="K34" s="24"/>
    </row>
    <row r="35" spans="3:11" ht="20.100000000000001" customHeight="1" x14ac:dyDescent="0.25">
      <c r="C35" s="24"/>
      <c r="D35" s="1"/>
      <c r="E35" s="1"/>
      <c r="F35" s="1"/>
      <c r="G35" s="1"/>
      <c r="H35" s="1"/>
      <c r="I35" s="24"/>
      <c r="J35" s="24"/>
      <c r="K35" s="24"/>
    </row>
    <row r="36" spans="3:11" ht="20.100000000000001" customHeight="1" x14ac:dyDescent="0.25">
      <c r="C36" s="24"/>
      <c r="D36" s="1"/>
      <c r="E36" s="1"/>
      <c r="F36" s="1"/>
      <c r="G36" s="1"/>
      <c r="H36" s="1"/>
      <c r="I36" s="24"/>
      <c r="J36" s="24"/>
      <c r="K36" s="24"/>
    </row>
    <row r="37" spans="3:11" ht="20.100000000000001" customHeight="1" x14ac:dyDescent="0.25">
      <c r="C37" s="24"/>
      <c r="D37" s="1"/>
      <c r="E37" s="1"/>
      <c r="F37" s="1"/>
      <c r="G37" s="1"/>
      <c r="H37" s="1"/>
      <c r="I37" s="24"/>
      <c r="J37" s="24"/>
      <c r="K37" s="24"/>
    </row>
    <row r="38" spans="3:11" ht="20.100000000000001" customHeight="1" x14ac:dyDescent="0.25">
      <c r="C38" s="24"/>
      <c r="D38" s="1"/>
      <c r="E38" s="1"/>
      <c r="F38" s="1"/>
      <c r="G38" s="1"/>
      <c r="H38" s="1"/>
      <c r="I38" s="127"/>
      <c r="J38" s="127"/>
      <c r="K38" s="24"/>
    </row>
    <row r="39" spans="3:11" ht="20.100000000000001" customHeight="1" x14ac:dyDescent="0.25">
      <c r="C39" s="24"/>
      <c r="D39" s="1"/>
      <c r="E39" s="1"/>
      <c r="F39" s="1"/>
      <c r="G39" s="1"/>
      <c r="H39" s="1"/>
      <c r="I39" s="127"/>
      <c r="J39" s="127"/>
      <c r="K39" s="24"/>
    </row>
    <row r="40" spans="3:11" ht="20.100000000000001" customHeight="1" x14ac:dyDescent="0.25">
      <c r="C40" s="24"/>
      <c r="D40" s="1"/>
      <c r="E40" s="1"/>
      <c r="F40" s="1"/>
      <c r="G40" s="1"/>
      <c r="H40" s="1"/>
      <c r="I40" s="127"/>
      <c r="J40" s="127"/>
      <c r="K40" s="24"/>
    </row>
    <row r="41" spans="3:11" ht="20.100000000000001" customHeight="1" x14ac:dyDescent="0.25">
      <c r="C41" s="24"/>
      <c r="D41" s="1"/>
      <c r="E41" s="1"/>
      <c r="F41" s="1"/>
      <c r="G41" s="1"/>
      <c r="H41" s="1"/>
      <c r="I41" s="127"/>
      <c r="J41" s="127"/>
      <c r="K41" s="24"/>
    </row>
    <row r="42" spans="3:11" ht="20.100000000000001" customHeight="1" x14ac:dyDescent="0.25">
      <c r="C42" s="24"/>
      <c r="D42" s="1"/>
      <c r="E42" s="1"/>
      <c r="F42" s="1"/>
      <c r="G42" s="1"/>
      <c r="H42" s="1"/>
      <c r="I42" s="127"/>
      <c r="J42" s="127"/>
      <c r="K42" s="24"/>
    </row>
    <row r="43" spans="3:11" ht="20.100000000000001" customHeight="1" x14ac:dyDescent="0.25">
      <c r="C43" s="24"/>
      <c r="D43" s="1"/>
      <c r="E43" s="1"/>
      <c r="F43" s="1"/>
      <c r="G43" s="1"/>
      <c r="H43" s="1"/>
      <c r="I43" s="127"/>
      <c r="J43" s="127"/>
      <c r="K43" s="24"/>
    </row>
    <row r="44" spans="3:11" ht="20.100000000000001" customHeight="1" x14ac:dyDescent="0.25">
      <c r="C44" s="24"/>
      <c r="D44" s="1"/>
      <c r="E44" s="1"/>
      <c r="F44" s="1"/>
      <c r="G44" s="1"/>
      <c r="H44" s="1"/>
      <c r="I44" s="127"/>
      <c r="J44" s="127"/>
      <c r="K44" s="24"/>
    </row>
    <row r="45" spans="3:11" ht="20.100000000000001" customHeight="1" x14ac:dyDescent="0.25">
      <c r="C45" s="24"/>
      <c r="D45" s="1"/>
      <c r="E45" s="1"/>
      <c r="F45" s="1"/>
      <c r="G45" s="1"/>
      <c r="H45" s="1"/>
      <c r="I45" s="127"/>
      <c r="J45" s="127"/>
      <c r="K45" s="24"/>
    </row>
    <row r="46" spans="3:11" ht="20.100000000000001" customHeight="1" x14ac:dyDescent="0.25">
      <c r="C46" s="24"/>
      <c r="D46" s="1"/>
      <c r="E46" s="1"/>
      <c r="F46" s="1"/>
      <c r="G46" s="1"/>
      <c r="H46" s="1"/>
      <c r="I46" s="127"/>
      <c r="J46" s="127"/>
      <c r="K46" s="24"/>
    </row>
    <row r="47" spans="3:11" ht="20.100000000000001" customHeight="1" x14ac:dyDescent="0.25">
      <c r="C47" s="24"/>
      <c r="D47" s="1"/>
      <c r="E47" s="1"/>
      <c r="F47" s="1"/>
      <c r="G47" s="1"/>
      <c r="H47" s="1"/>
      <c r="I47" s="127"/>
      <c r="J47" s="127"/>
      <c r="K47" s="24"/>
    </row>
    <row r="48" spans="3:11" ht="20.100000000000001" customHeight="1" x14ac:dyDescent="0.25">
      <c r="C48" s="24"/>
      <c r="D48" s="1"/>
      <c r="E48" s="1"/>
      <c r="F48" s="1"/>
      <c r="G48" s="1"/>
      <c r="H48" s="1"/>
      <c r="I48" s="127"/>
      <c r="J48" s="127"/>
      <c r="K48" s="24"/>
    </row>
    <row r="49" spans="3:11" ht="20.100000000000001" customHeight="1" x14ac:dyDescent="0.25">
      <c r="C49" s="24"/>
      <c r="D49" s="1"/>
      <c r="E49" s="1"/>
      <c r="F49" s="1"/>
      <c r="G49" s="1"/>
      <c r="H49" s="127"/>
      <c r="I49" s="127"/>
      <c r="J49" s="127"/>
      <c r="K49" s="24"/>
    </row>
    <row r="50" spans="3:11" ht="20.100000000000001" customHeight="1" x14ac:dyDescent="0.25">
      <c r="C50" s="24"/>
      <c r="D50" s="1"/>
      <c r="E50" s="1"/>
      <c r="F50" s="1"/>
      <c r="G50" s="1"/>
      <c r="H50" s="127"/>
      <c r="I50" s="127"/>
      <c r="J50" s="127"/>
      <c r="K50" s="24"/>
    </row>
    <row r="51" spans="3:11" ht="20.100000000000001" customHeight="1" x14ac:dyDescent="0.25">
      <c r="C51" s="24"/>
      <c r="D51" s="1"/>
      <c r="E51" s="1"/>
      <c r="F51" s="1"/>
      <c r="G51" s="1"/>
      <c r="H51" s="127"/>
      <c r="I51" s="127"/>
      <c r="J51" s="127"/>
      <c r="K51" s="24"/>
    </row>
    <row r="52" spans="3:11" ht="20.100000000000001" customHeight="1" x14ac:dyDescent="0.25">
      <c r="C52" s="24"/>
      <c r="D52" s="1"/>
      <c r="E52" s="1"/>
      <c r="F52" s="1"/>
      <c r="G52" s="1"/>
      <c r="H52" s="127"/>
      <c r="I52" s="127"/>
      <c r="J52" s="127"/>
      <c r="K52" s="24"/>
    </row>
    <row r="53" spans="3:11" ht="20.100000000000001" customHeight="1" x14ac:dyDescent="0.25">
      <c r="C53" s="24"/>
      <c r="D53" s="1"/>
      <c r="E53" s="1"/>
      <c r="F53" s="1"/>
      <c r="G53" s="1"/>
      <c r="H53" s="127"/>
      <c r="I53" s="127"/>
      <c r="J53" s="127"/>
      <c r="K53" s="24"/>
    </row>
    <row r="54" spans="3:11" ht="20.100000000000001" customHeight="1" x14ac:dyDescent="0.25">
      <c r="C54" s="24"/>
      <c r="D54" s="1"/>
      <c r="E54" s="1"/>
      <c r="F54" s="1"/>
      <c r="G54" s="1"/>
      <c r="H54" s="24"/>
      <c r="I54" s="24"/>
      <c r="J54" s="24"/>
      <c r="K54" s="24"/>
    </row>
    <row r="55" spans="3:11" ht="20.100000000000001" customHeight="1" x14ac:dyDescent="0.25">
      <c r="C55" s="24"/>
      <c r="D55" s="1"/>
      <c r="E55" s="1"/>
      <c r="F55" s="1"/>
      <c r="G55" s="1"/>
      <c r="H55" s="24"/>
      <c r="I55" s="24"/>
      <c r="J55" s="24"/>
      <c r="K55" s="24"/>
    </row>
    <row r="56" spans="3:11" ht="20.100000000000001" customHeight="1" x14ac:dyDescent="0.25">
      <c r="C56" s="24"/>
      <c r="D56" s="1"/>
      <c r="E56" s="1"/>
      <c r="F56" s="1"/>
      <c r="G56" s="1"/>
      <c r="H56" s="24"/>
      <c r="I56" s="24"/>
      <c r="J56" s="24"/>
      <c r="K56" s="24"/>
    </row>
    <row r="57" spans="3:11" ht="20.100000000000001" customHeight="1" x14ac:dyDescent="0.25">
      <c r="C57" s="24"/>
      <c r="D57" s="1"/>
      <c r="E57" s="1"/>
      <c r="F57" s="1"/>
      <c r="G57" s="1"/>
      <c r="H57" s="24"/>
      <c r="I57" s="24"/>
      <c r="J57" s="24"/>
      <c r="K57" s="24"/>
    </row>
    <row r="58" spans="3:11" ht="20.100000000000001" customHeight="1" x14ac:dyDescent="0.25">
      <c r="C58" s="24"/>
      <c r="D58" s="1"/>
      <c r="E58" s="32"/>
      <c r="F58" s="30"/>
      <c r="G58" s="24"/>
      <c r="H58" s="24"/>
      <c r="I58" s="24"/>
      <c r="J58" s="24"/>
      <c r="K58" s="24"/>
    </row>
    <row r="59" spans="3:11" ht="20.100000000000001" customHeight="1" x14ac:dyDescent="0.25">
      <c r="C59" s="24"/>
      <c r="D59" s="1"/>
      <c r="E59" s="1"/>
      <c r="F59" s="1"/>
      <c r="G59" s="1"/>
      <c r="H59" s="1"/>
      <c r="I59" s="1"/>
      <c r="J59" s="1"/>
      <c r="K59" s="24"/>
    </row>
    <row r="60" spans="3:11" ht="20.100000000000001" customHeight="1" x14ac:dyDescent="0.25">
      <c r="C60" s="24"/>
      <c r="D60" s="1"/>
      <c r="E60" s="1"/>
      <c r="F60" s="1"/>
      <c r="G60" s="1"/>
      <c r="H60" s="1"/>
      <c r="I60" s="1"/>
      <c r="J60" s="1"/>
      <c r="K60" s="24"/>
    </row>
    <row r="61" spans="3:11" ht="20.100000000000001" customHeight="1" x14ac:dyDescent="0.25">
      <c r="C61" s="24"/>
      <c r="D61" s="1"/>
      <c r="E61" s="1"/>
      <c r="F61" s="1"/>
      <c r="G61" s="1"/>
      <c r="H61" s="1"/>
      <c r="I61" s="1"/>
      <c r="J61" s="1"/>
      <c r="K61" s="24"/>
    </row>
    <row r="62" spans="3:11" ht="20.100000000000001" customHeight="1" x14ac:dyDescent="0.25">
      <c r="C62" s="24"/>
      <c r="D62" s="1"/>
      <c r="E62" s="1"/>
      <c r="F62" s="1"/>
      <c r="G62" s="1"/>
      <c r="H62" s="1"/>
      <c r="I62" s="1"/>
      <c r="J62" s="1"/>
      <c r="K62" s="24"/>
    </row>
    <row r="63" spans="3:11" ht="20.100000000000001" customHeight="1" x14ac:dyDescent="0.25">
      <c r="C63" s="24"/>
      <c r="D63" s="1"/>
      <c r="E63" s="1"/>
      <c r="F63" s="1"/>
      <c r="G63" s="1"/>
      <c r="H63" s="1"/>
      <c r="I63" s="1"/>
      <c r="J63" s="1"/>
      <c r="K63" s="24"/>
    </row>
    <row r="64" spans="3:11" ht="20.100000000000001" customHeight="1" x14ac:dyDescent="0.25">
      <c r="C64" s="24"/>
      <c r="D64" s="1"/>
      <c r="E64" s="1"/>
      <c r="F64" s="1"/>
      <c r="G64" s="1"/>
      <c r="H64" s="1"/>
      <c r="I64" s="1"/>
      <c r="J64" s="1"/>
      <c r="K64" s="24"/>
    </row>
    <row r="65" spans="3:11" ht="20.100000000000001" customHeight="1" x14ac:dyDescent="0.25">
      <c r="C65" s="24"/>
      <c r="D65" s="1"/>
      <c r="E65" s="1"/>
      <c r="F65" s="1"/>
      <c r="G65" s="1"/>
      <c r="H65" s="1"/>
      <c r="I65" s="1"/>
      <c r="J65" s="1"/>
      <c r="K65" s="24"/>
    </row>
    <row r="66" spans="3:11" ht="20.100000000000001" customHeight="1" x14ac:dyDescent="0.25">
      <c r="C66" s="24"/>
      <c r="D66" s="1"/>
      <c r="E66" s="1"/>
      <c r="F66" s="1"/>
      <c r="G66" s="1"/>
      <c r="H66" s="1"/>
      <c r="I66" s="1"/>
      <c r="J66" s="1"/>
      <c r="K66" s="24"/>
    </row>
    <row r="67" spans="3:11" ht="20.100000000000001" customHeight="1" x14ac:dyDescent="0.25">
      <c r="C67" s="24"/>
      <c r="D67" s="1"/>
      <c r="E67" s="1"/>
      <c r="F67" s="1"/>
      <c r="G67" s="1"/>
      <c r="H67" s="1"/>
      <c r="I67" s="1"/>
      <c r="J67" s="1"/>
      <c r="K67" s="24"/>
    </row>
    <row r="68" spans="3:11" ht="20.100000000000001" customHeight="1" x14ac:dyDescent="0.25">
      <c r="C68" s="24"/>
      <c r="D68" s="1"/>
      <c r="E68" s="1"/>
      <c r="F68" s="1"/>
      <c r="G68" s="1"/>
      <c r="H68" s="1"/>
      <c r="I68" s="1"/>
      <c r="J68" s="1"/>
      <c r="K68" s="24"/>
    </row>
    <row r="69" spans="3:11" ht="20.100000000000001" customHeight="1" x14ac:dyDescent="0.25">
      <c r="C69" s="24"/>
      <c r="D69" s="1"/>
      <c r="E69" s="1"/>
      <c r="F69" s="1"/>
      <c r="G69" s="1"/>
      <c r="H69" s="1"/>
      <c r="I69" s="1"/>
      <c r="J69" s="1"/>
      <c r="K69" s="24"/>
    </row>
    <row r="70" spans="3:11" ht="20.100000000000001" customHeight="1" x14ac:dyDescent="0.25">
      <c r="C70" s="24"/>
      <c r="D70" s="1"/>
      <c r="E70" s="1"/>
      <c r="F70" s="1"/>
      <c r="G70" s="1"/>
      <c r="H70" s="1"/>
      <c r="I70" s="1"/>
      <c r="J70" s="1"/>
      <c r="K70" s="24"/>
    </row>
    <row r="71" spans="3:11" ht="20.100000000000001" customHeight="1" x14ac:dyDescent="0.25">
      <c r="C71" s="24"/>
      <c r="D71" s="1"/>
      <c r="E71" s="1"/>
      <c r="F71" s="1"/>
      <c r="G71" s="1"/>
      <c r="H71" s="1"/>
      <c r="I71" s="1"/>
      <c r="J71" s="1"/>
      <c r="K71" s="24"/>
    </row>
    <row r="72" spans="3:11" ht="20.100000000000001" customHeight="1" x14ac:dyDescent="0.25">
      <c r="C72" s="24"/>
      <c r="D72" s="1"/>
      <c r="E72" s="1"/>
      <c r="F72" s="1"/>
      <c r="G72" s="1"/>
      <c r="H72" s="1"/>
      <c r="I72" s="1"/>
      <c r="J72" s="1"/>
      <c r="K72" s="24"/>
    </row>
    <row r="73" spans="3:11" ht="20.100000000000001" customHeight="1" x14ac:dyDescent="0.25">
      <c r="C73" s="24"/>
      <c r="D73" s="1"/>
      <c r="E73" s="1"/>
      <c r="F73" s="1"/>
      <c r="G73" s="1"/>
      <c r="H73" s="1"/>
      <c r="I73" s="1"/>
      <c r="J73" s="1"/>
      <c r="K73" s="24"/>
    </row>
    <row r="74" spans="3:11" ht="20.100000000000001" customHeight="1" x14ac:dyDescent="0.25">
      <c r="C74" s="24"/>
      <c r="D74" s="1"/>
      <c r="E74" s="1"/>
      <c r="F74" s="1"/>
      <c r="G74" s="1"/>
      <c r="H74" s="1"/>
      <c r="I74" s="1"/>
      <c r="J74" s="1"/>
      <c r="K74" s="24"/>
    </row>
    <row r="75" spans="3:11" ht="20.100000000000001" customHeight="1" x14ac:dyDescent="0.25">
      <c r="C75" s="24"/>
      <c r="D75" s="1"/>
      <c r="E75" s="1"/>
      <c r="F75" s="1"/>
      <c r="G75" s="1"/>
      <c r="H75" s="1"/>
      <c r="I75" s="1"/>
      <c r="J75" s="1"/>
      <c r="K75" s="24"/>
    </row>
    <row r="76" spans="3:11" ht="15.75" x14ac:dyDescent="0.25">
      <c r="C76" s="24"/>
      <c r="D76" s="1"/>
      <c r="E76" s="1"/>
      <c r="F76" s="1"/>
      <c r="G76" s="1"/>
      <c r="H76" s="1"/>
      <c r="I76" s="1"/>
      <c r="J76" s="1"/>
      <c r="K76" s="24"/>
    </row>
    <row r="77" spans="3:11" ht="15.75" x14ac:dyDescent="0.25">
      <c r="C77" s="24"/>
      <c r="D77" s="1"/>
      <c r="E77" s="1"/>
      <c r="F77" s="1"/>
      <c r="G77" s="1"/>
      <c r="H77" s="1"/>
      <c r="I77" s="1"/>
      <c r="J77" s="1"/>
      <c r="K77" s="24"/>
    </row>
    <row r="78" spans="3:11" ht="15.75" x14ac:dyDescent="0.25">
      <c r="C78" s="24"/>
      <c r="D78" s="1"/>
      <c r="E78" s="1"/>
      <c r="F78" s="1"/>
      <c r="G78" s="1"/>
      <c r="H78" s="1"/>
      <c r="I78" s="1"/>
      <c r="J78" s="1"/>
      <c r="K78" s="24"/>
    </row>
    <row r="79" spans="3:11" ht="15.75" x14ac:dyDescent="0.25">
      <c r="C79" s="24"/>
      <c r="D79" s="1"/>
      <c r="E79" s="1"/>
      <c r="F79" s="1"/>
      <c r="G79" s="1"/>
      <c r="H79" s="1"/>
      <c r="I79" s="1"/>
      <c r="J79" s="1"/>
      <c r="K79" s="24"/>
    </row>
    <row r="80" spans="3:11" ht="15.75" x14ac:dyDescent="0.25">
      <c r="C80" s="24"/>
      <c r="D80" s="1"/>
      <c r="E80" s="1"/>
      <c r="F80" s="1"/>
      <c r="G80" s="1"/>
      <c r="H80" s="1"/>
      <c r="I80" s="1"/>
      <c r="J80" s="1"/>
      <c r="K80" s="24"/>
    </row>
    <row r="81" spans="3:11" ht="15.75" x14ac:dyDescent="0.25">
      <c r="C81" s="24"/>
      <c r="D81" s="1"/>
      <c r="E81" s="1"/>
      <c r="F81" s="1"/>
      <c r="G81" s="1"/>
      <c r="H81" s="1"/>
      <c r="I81" s="1"/>
      <c r="J81" s="1"/>
      <c r="K81" s="24"/>
    </row>
    <row r="82" spans="3:11" ht="15.75" x14ac:dyDescent="0.25">
      <c r="C82" s="24"/>
      <c r="D82" s="1"/>
      <c r="E82" s="1"/>
      <c r="F82" s="1"/>
      <c r="G82" s="1"/>
      <c r="H82" s="1"/>
      <c r="I82" s="1"/>
      <c r="J82" s="1"/>
      <c r="K82" s="24"/>
    </row>
    <row r="83" spans="3:11" ht="15.75" x14ac:dyDescent="0.25">
      <c r="C83" s="24"/>
      <c r="D83" s="1"/>
      <c r="E83" s="1"/>
      <c r="F83" s="1"/>
      <c r="G83" s="1"/>
      <c r="H83" s="1"/>
      <c r="I83" s="1"/>
      <c r="J83" s="1"/>
      <c r="K83" s="24"/>
    </row>
    <row r="84" spans="3:11" ht="15.75" x14ac:dyDescent="0.25">
      <c r="C84" s="24"/>
      <c r="D84" s="1"/>
      <c r="E84" s="1"/>
      <c r="F84" s="1"/>
      <c r="G84" s="1"/>
      <c r="H84" s="1"/>
      <c r="I84" s="1"/>
      <c r="J84" s="1"/>
      <c r="K84" s="24"/>
    </row>
    <row r="85" spans="3:11" ht="15.75" x14ac:dyDescent="0.25">
      <c r="C85" s="24"/>
      <c r="D85" s="1"/>
      <c r="E85" s="1"/>
      <c r="F85" s="1"/>
      <c r="G85" s="1"/>
      <c r="H85" s="1"/>
      <c r="I85" s="1"/>
      <c r="J85" s="1"/>
      <c r="K85" s="24"/>
    </row>
    <row r="86" spans="3:11" x14ac:dyDescent="0.25">
      <c r="C86" s="24"/>
      <c r="D86" s="24"/>
      <c r="E86" s="24"/>
      <c r="F86" s="24"/>
      <c r="G86" s="24"/>
      <c r="H86" s="24"/>
      <c r="I86" s="24"/>
      <c r="J86" s="24"/>
      <c r="K86" s="24"/>
    </row>
    <row r="87" spans="3:11" x14ac:dyDescent="0.25">
      <c r="C87" s="24"/>
      <c r="D87" s="24"/>
      <c r="E87" s="24"/>
      <c r="F87" s="24"/>
      <c r="G87" s="24"/>
      <c r="H87" s="24"/>
      <c r="I87" s="24"/>
      <c r="J87" s="24"/>
      <c r="K87" s="2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A5447-7172-48EB-B2CF-AFAC4A9AE8CE}">
  <sheetPr>
    <pageSetUpPr autoPageBreaks="0"/>
  </sheetPr>
  <dimension ref="A1:AA115"/>
  <sheetViews>
    <sheetView showGridLines="0" zoomScaleNormal="100" workbookViewId="0">
      <selection activeCell="A8" sqref="A8"/>
    </sheetView>
  </sheetViews>
  <sheetFormatPr defaultColWidth="9.140625" defaultRowHeight="15.75" x14ac:dyDescent="0.25"/>
  <cols>
    <col min="1" max="1" width="30.7109375" style="16" customWidth="1"/>
    <col min="2" max="2" width="4.7109375" style="7" customWidth="1"/>
    <col min="3" max="3" width="4.7109375" style="3" customWidth="1"/>
    <col min="4" max="4" width="60.7109375" style="3" customWidth="1"/>
    <col min="5" max="5" width="50.7109375" style="3" customWidth="1"/>
    <col min="6" max="11" width="28.7109375" style="3" customWidth="1"/>
    <col min="12" max="25" width="28.7109375" style="7" customWidth="1"/>
    <col min="26" max="27" width="9.140625" style="7"/>
    <col min="28" max="16384" width="9.140625" style="3"/>
  </cols>
  <sheetData>
    <row r="1" spans="1:24" s="7" customFormat="1" ht="30" customHeight="1" x14ac:dyDescent="0.35">
      <c r="A1" s="71" t="e" vm="1">
        <v>#VALUE!</v>
      </c>
      <c r="C1" s="12" t="s">
        <v>92</v>
      </c>
    </row>
    <row r="2" spans="1:24" s="7" customFormat="1" ht="20.100000000000001" customHeight="1" x14ac:dyDescent="0.25">
      <c r="A2" s="9"/>
      <c r="C2" s="9"/>
      <c r="D2" s="9"/>
      <c r="E2" s="9"/>
      <c r="F2" s="9"/>
      <c r="G2" s="9"/>
      <c r="H2" s="9"/>
      <c r="I2" s="9"/>
      <c r="J2" s="9"/>
    </row>
    <row r="3" spans="1:24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  <c r="J3" s="15"/>
      <c r="K3" s="15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4" ht="20.100000000000001" customHeight="1" x14ac:dyDescent="0.25">
      <c r="A4" s="17" t="str">
        <f>HYPERLINK("#'Results'!A1", "Results")</f>
        <v>Results</v>
      </c>
      <c r="C4" s="73"/>
      <c r="D4" s="73"/>
      <c r="E4" s="73"/>
      <c r="F4" s="73"/>
      <c r="G4" s="73"/>
      <c r="H4" s="73"/>
      <c r="I4" s="73"/>
      <c r="J4" s="73"/>
      <c r="K4" s="73"/>
    </row>
    <row r="5" spans="1:24" ht="20.100000000000001" customHeight="1" x14ac:dyDescent="0.25">
      <c r="D5" s="6" t="s">
        <v>15</v>
      </c>
      <c r="N5" s="43"/>
    </row>
    <row r="6" spans="1:24" ht="20.100000000000001" customHeight="1" x14ac:dyDescent="0.25">
      <c r="A6" s="20" t="s">
        <v>3</v>
      </c>
      <c r="D6" s="14"/>
      <c r="N6" s="44"/>
    </row>
    <row r="7" spans="1:24" ht="20.100000000000001" customHeight="1" x14ac:dyDescent="0.25">
      <c r="A7" s="21" t="str">
        <f>HYPERLINK("#'Input - Site'!A1", "Site")</f>
        <v>Site</v>
      </c>
      <c r="D7" s="1" t="s">
        <v>7</v>
      </c>
      <c r="E7" s="35" t="s">
        <v>6</v>
      </c>
      <c r="F7" s="2"/>
    </row>
    <row r="8" spans="1:24" ht="20.100000000000001" customHeight="1" x14ac:dyDescent="0.25">
      <c r="A8" s="17" t="str">
        <f>HYPERLINK("#'Input - Feedlot'!A1", "Feedlot")</f>
        <v>Feedlot</v>
      </c>
      <c r="D8" s="10" t="s">
        <v>73</v>
      </c>
      <c r="E8" s="35" t="s">
        <v>74</v>
      </c>
    </row>
    <row r="9" spans="1:24" ht="20.100000000000001" customHeight="1" x14ac:dyDescent="0.25">
      <c r="A9" s="17"/>
      <c r="N9" s="45"/>
    </row>
    <row r="10" spans="1:24" ht="20.100000000000001" customHeight="1" x14ac:dyDescent="0.25">
      <c r="A10" s="19" t="s">
        <v>77</v>
      </c>
      <c r="D10" s="98" t="s">
        <v>91</v>
      </c>
      <c r="E10" s="96"/>
      <c r="F10" s="99"/>
      <c r="G10" s="93"/>
      <c r="N10" s="45"/>
    </row>
    <row r="11" spans="1:24" ht="20.100000000000001" customHeight="1" x14ac:dyDescent="0.25">
      <c r="A11" s="17" t="str">
        <f>HYPERLINK("#'4.1.1.1-2 Methane'!A1", "4.1.1.1-2 Methane")</f>
        <v>4.1.1.1-2 Methane</v>
      </c>
      <c r="N11" s="46"/>
    </row>
    <row r="12" spans="1:24" ht="20.100000000000001" customHeight="1" x14ac:dyDescent="0.25">
      <c r="A12" s="17" t="str">
        <f>HYPERLINK("#'4.1.1.3-4 Direct N20'!A1", "4.1.1.3-4 Direct N2O")</f>
        <v>4.1.1.3-4 Direct N2O</v>
      </c>
      <c r="D12" s="10" t="s">
        <v>97</v>
      </c>
      <c r="E12" s="67">
        <v>45292</v>
      </c>
      <c r="F12" s="2" t="s">
        <v>71</v>
      </c>
    </row>
    <row r="13" spans="1:24" ht="20.100000000000001" customHeight="1" x14ac:dyDescent="0.25">
      <c r="A13" s="17" t="str">
        <f>HYPERLINK("#'4.1.1.5-6 Atmos Deposition'!A1", "4.1.1.5-6 Atmospheric deposition")</f>
        <v>4.1.1.5-6 Atmospheric deposition</v>
      </c>
      <c r="D13" s="10" t="s">
        <v>98</v>
      </c>
      <c r="E13" s="74">
        <f>DATE(YEAR(E12)+1,MONTH(E12),DAY(E12))-1</f>
        <v>45657</v>
      </c>
      <c r="F13" s="2" t="s">
        <v>17</v>
      </c>
      <c r="N13" s="40"/>
      <c r="O13" s="40"/>
    </row>
    <row r="14" spans="1:24" ht="20.100000000000001" customHeight="1" x14ac:dyDescent="0.25">
      <c r="A14" s="17" t="str">
        <f>HYPERLINK("#'4.1.1.9 Manure applied to soils'!A1", "4.1.1.9 Manure applied to soils")</f>
        <v>4.1.1.9 Manure applied to soils</v>
      </c>
      <c r="N14" s="40"/>
      <c r="O14" s="40"/>
    </row>
    <row r="15" spans="1:24" ht="20.100000000000001" customHeight="1" x14ac:dyDescent="0.25">
      <c r="A15"/>
      <c r="N15" s="40"/>
      <c r="O15" s="40"/>
    </row>
    <row r="16" spans="1:24" ht="20.100000000000001" customHeight="1" x14ac:dyDescent="0.25">
      <c r="A16" s="18" t="s">
        <v>4</v>
      </c>
      <c r="D16" s="6" t="s">
        <v>14</v>
      </c>
      <c r="N16" s="40"/>
      <c r="O16" s="40"/>
    </row>
    <row r="17" spans="1:25" ht="20.100000000000001" customHeight="1" x14ac:dyDescent="0.25">
      <c r="A17" s="17" t="str">
        <f>HYPERLINK("#'Constants - Feedlot'!A1", "Constants - Feedlot")</f>
        <v>Constants - Feedlot</v>
      </c>
    </row>
    <row r="18" spans="1:25" ht="20.100000000000001" customHeight="1" x14ac:dyDescent="0.25">
      <c r="A18" s="17" t="str">
        <f>HYPERLINK("#'Constants - Livestock'!A1", "Constants - Livestock")</f>
        <v>Constants - Livestock</v>
      </c>
      <c r="D18" s="100" t="s">
        <v>16</v>
      </c>
      <c r="E18" s="95"/>
      <c r="F18" s="95"/>
      <c r="G18" s="91"/>
    </row>
    <row r="19" spans="1:25" ht="20.100000000000001" customHeight="1" x14ac:dyDescent="0.25">
      <c r="A19" s="17" t="str">
        <f>HYPERLINK("#'Constants - Common'!A1", "Constants - Common")</f>
        <v>Constants - Common</v>
      </c>
      <c r="D19" s="97" t="s">
        <v>72</v>
      </c>
      <c r="E19" s="94"/>
      <c r="F19" s="94"/>
      <c r="G19" s="92"/>
      <c r="N19" s="43"/>
    </row>
    <row r="20" spans="1:25" ht="20.100000000000001" customHeight="1" x14ac:dyDescent="0.25">
      <c r="A20" s="17" t="str">
        <f>HYPERLINK("#'Acknowledgements'!A1", "Acknowledgements")</f>
        <v>Acknowledgements</v>
      </c>
      <c r="D20" s="1"/>
      <c r="E20" s="33"/>
      <c r="F20" s="2"/>
      <c r="N20" s="44"/>
    </row>
    <row r="21" spans="1:25" ht="20.100000000000001" customHeight="1" x14ac:dyDescent="0.25">
      <c r="A21"/>
      <c r="D21" s="1" t="s">
        <v>8</v>
      </c>
      <c r="E21" s="42" t="s">
        <v>120</v>
      </c>
      <c r="F21" s="2" t="s">
        <v>11</v>
      </c>
    </row>
    <row r="22" spans="1:25" ht="20.100000000000001" customHeight="1" x14ac:dyDescent="0.25">
      <c r="A22"/>
      <c r="D22" s="1" t="s">
        <v>26</v>
      </c>
      <c r="E22" s="42" t="s">
        <v>35</v>
      </c>
      <c r="F22" s="2" t="s">
        <v>11</v>
      </c>
      <c r="G22" s="1"/>
    </row>
    <row r="23" spans="1:25" ht="20.100000000000001" customHeight="1" x14ac:dyDescent="0.25">
      <c r="A23"/>
      <c r="D23" s="1" t="s">
        <v>9</v>
      </c>
      <c r="E23" s="42" t="s">
        <v>96</v>
      </c>
      <c r="F23" s="2" t="s">
        <v>11</v>
      </c>
    </row>
    <row r="24" spans="1:25" ht="20.100000000000001" customHeight="1" x14ac:dyDescent="0.25">
      <c r="A24"/>
      <c r="D24" s="1" t="s">
        <v>40</v>
      </c>
      <c r="E24" s="35">
        <v>307.7</v>
      </c>
      <c r="F24" s="2" t="s">
        <v>54</v>
      </c>
    </row>
    <row r="25" spans="1:25" ht="20.100000000000001" customHeight="1" x14ac:dyDescent="0.25">
      <c r="A25"/>
      <c r="D25" s="1" t="s">
        <v>62</v>
      </c>
      <c r="E25" s="35">
        <v>18</v>
      </c>
      <c r="F25" s="2" t="s">
        <v>12</v>
      </c>
      <c r="N25" s="44"/>
    </row>
    <row r="26" spans="1:25" ht="20.100000000000001" customHeight="1" x14ac:dyDescent="0.25">
      <c r="A26"/>
      <c r="D26" s="1" t="s">
        <v>63</v>
      </c>
      <c r="E26" s="35">
        <v>601</v>
      </c>
      <c r="F26" s="2" t="s">
        <v>13</v>
      </c>
    </row>
    <row r="27" spans="1:25" ht="20.100000000000001" customHeight="1" x14ac:dyDescent="0.25">
      <c r="A27"/>
      <c r="D27" s="10" t="s">
        <v>64</v>
      </c>
      <c r="E27" s="35">
        <v>1326</v>
      </c>
      <c r="F27" s="2" t="s">
        <v>13</v>
      </c>
    </row>
    <row r="28" spans="1:25" ht="20.100000000000001" customHeight="1" x14ac:dyDescent="0.25">
      <c r="A28"/>
      <c r="D28" s="1" t="s">
        <v>65</v>
      </c>
      <c r="E28" s="35">
        <v>7</v>
      </c>
      <c r="F28" s="2" t="s">
        <v>55</v>
      </c>
    </row>
    <row r="29" spans="1:25" ht="20.100000000000001" customHeight="1" x14ac:dyDescent="0.25">
      <c r="A29"/>
      <c r="D29" s="10" t="s">
        <v>61</v>
      </c>
      <c r="E29" s="55">
        <f>E26/E27</f>
        <v>0.45324283559577677</v>
      </c>
      <c r="F29" s="2"/>
    </row>
    <row r="30" spans="1:25" ht="20.100000000000001" customHeight="1" x14ac:dyDescent="0.25">
      <c r="A30"/>
      <c r="D30" s="10" t="s">
        <v>36</v>
      </c>
      <c r="E30" s="55" t="str">
        <f>Common_InputFunctions.Utility_LookupItemFromMinMax(E26,Table_SourceData_RainfallZones[Min rainfall],Table_SourceData_RainfallZones[Max rainfall],Table_SourceData_RainfallZones[Rainfall Zone])</f>
        <v>High rainfall</v>
      </c>
      <c r="G30" s="34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</row>
    <row r="31" spans="1:25" ht="20.100000000000001" customHeight="1" x14ac:dyDescent="0.25">
      <c r="A31"/>
      <c r="D31" s="1" t="s">
        <v>10</v>
      </c>
      <c r="E31" s="55" t="str">
        <f>Common_InputFunctions.Utility_GetClimateZone(E25,E26,E28,E24,E29,Table_SourceData_ClimateZones[Min temp],Table_SourceData_ClimateZones[Max temp],Table_SourceData_ClimateZones[Min rainfall],Table_SourceData_ClimateZones[Max rainfall],Table_SourceData_ClimateZones[Min frost days],Table_SourceData_ClimateZones[Max frost days],Table_SourceData_ClimateZones[Min elevation],Table_SourceData_ClimateZones[Max elevation],Table_SourceData_ClimateZones[Min MAP:PET],Table_SourceData_ClimateZones[Max MAP:PET],Table_SourceData_ClimateZones[Climate zone])</f>
        <v>Warm temperate dry</v>
      </c>
      <c r="F31" s="1"/>
      <c r="G31" s="33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20.100000000000001" customHeight="1" x14ac:dyDescent="0.25">
      <c r="A32"/>
      <c r="D32" s="1" t="s">
        <v>93</v>
      </c>
      <c r="E32" s="55" t="str">
        <f>Common_InputFunctions.Utility_LookupValueInTable($E$31,Table_SourceData_WetDryZones[Climate zone],Table_SourceData_WetDryZones[Wet or Dry Zone])</f>
        <v>Dry climate zone</v>
      </c>
      <c r="F32" s="1"/>
      <c r="G32" s="33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20.100000000000001" customHeight="1" x14ac:dyDescent="0.25">
      <c r="A33"/>
      <c r="D33" s="1" t="s">
        <v>53</v>
      </c>
      <c r="E33" s="55" t="str">
        <f>Common_InputFunctions.Utility_LookupItemFromMinMax(E25,Table_SourceData_TemperatureZones[Min MAT],Table_SourceData_TemperatureZones[Max MAT],Table_SourceData_TemperatureZones[Temperature Zone])</f>
        <v>Temperate</v>
      </c>
      <c r="G33" s="75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20.100000000000001" customHeight="1" x14ac:dyDescent="0.25">
      <c r="A34"/>
      <c r="J34" s="64"/>
      <c r="K34" s="78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20.100000000000001" customHeight="1" x14ac:dyDescent="0.25">
      <c r="A35"/>
      <c r="J35" s="64"/>
      <c r="K35" s="78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20.100000000000001" customHeight="1" x14ac:dyDescent="0.25">
      <c r="A36"/>
      <c r="D36" s="76"/>
      <c r="E36" s="76"/>
      <c r="F36" s="77"/>
      <c r="G36" s="64"/>
      <c r="H36" s="64"/>
      <c r="I36" s="65"/>
      <c r="J36" s="64"/>
      <c r="K36" s="78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20.100000000000001" customHeight="1" x14ac:dyDescent="0.25">
      <c r="A37"/>
      <c r="D37" s="76"/>
      <c r="E37" s="76"/>
      <c r="F37" s="77"/>
      <c r="G37" s="64"/>
      <c r="H37" s="64"/>
      <c r="I37" s="65"/>
      <c r="J37" s="64"/>
      <c r="K37" s="78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20.100000000000001" customHeight="1" x14ac:dyDescent="0.25">
      <c r="A38"/>
      <c r="D38" s="76"/>
      <c r="E38" s="76"/>
      <c r="F38" s="77"/>
      <c r="G38" s="64"/>
      <c r="H38" s="64"/>
      <c r="I38" s="65"/>
      <c r="J38" s="64"/>
      <c r="K38" s="78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20.100000000000001" customHeight="1" x14ac:dyDescent="0.25">
      <c r="A39"/>
      <c r="D39" s="76"/>
      <c r="E39" s="76"/>
      <c r="F39" s="77"/>
      <c r="G39" s="64"/>
      <c r="H39" s="64"/>
      <c r="I39" s="65"/>
      <c r="J39" s="64"/>
      <c r="K39" s="78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20.100000000000001" customHeight="1" x14ac:dyDescent="0.25">
      <c r="A40"/>
      <c r="D40" s="79"/>
      <c r="E40" s="79"/>
      <c r="F40" s="79"/>
      <c r="G40" s="80"/>
      <c r="H40" s="81"/>
      <c r="I40" s="81"/>
      <c r="J40" s="81"/>
      <c r="K40" s="81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</row>
    <row r="41" spans="1:25" ht="20.100000000000001" customHeight="1" x14ac:dyDescent="0.25">
      <c r="A41"/>
    </row>
    <row r="42" spans="1:25" ht="20.100000000000001" customHeight="1" x14ac:dyDescent="0.25">
      <c r="A42"/>
    </row>
    <row r="43" spans="1:25" ht="20.100000000000001" customHeight="1" x14ac:dyDescent="0.25">
      <c r="A43"/>
    </row>
    <row r="44" spans="1:25" ht="20.100000000000001" customHeight="1" x14ac:dyDescent="0.25"/>
    <row r="45" spans="1:25" ht="20.100000000000001" customHeight="1" x14ac:dyDescent="0.25">
      <c r="D45" s="6"/>
    </row>
    <row r="46" spans="1:25" ht="20.100000000000001" customHeight="1" x14ac:dyDescent="0.25">
      <c r="D46" s="23"/>
    </row>
    <row r="47" spans="1:25" ht="20.100000000000001" customHeight="1" x14ac:dyDescent="0.25">
      <c r="D47" s="82"/>
      <c r="E47" s="82"/>
      <c r="F47" s="82"/>
      <c r="G47" s="82"/>
      <c r="H47" s="82"/>
    </row>
    <row r="48" spans="1:25" ht="20.100000000000001" customHeight="1" x14ac:dyDescent="0.25">
      <c r="D48" s="36"/>
      <c r="E48" s="36"/>
      <c r="F48" s="37"/>
      <c r="G48" s="37"/>
      <c r="H48" s="36"/>
    </row>
    <row r="49" spans="4:8" ht="20.100000000000001" customHeight="1" x14ac:dyDescent="0.25">
      <c r="D49" s="36"/>
      <c r="E49" s="36"/>
      <c r="F49" s="37"/>
      <c r="G49" s="37"/>
      <c r="H49" s="36"/>
    </row>
    <row r="50" spans="4:8" ht="20.100000000000001" customHeight="1" x14ac:dyDescent="0.25">
      <c r="D50" s="36"/>
      <c r="E50" s="36"/>
      <c r="F50" s="37"/>
      <c r="G50" s="37"/>
      <c r="H50" s="36"/>
    </row>
    <row r="51" spans="4:8" ht="20.100000000000001" customHeight="1" x14ac:dyDescent="0.25">
      <c r="D51" s="83"/>
      <c r="E51" s="84"/>
      <c r="F51" s="84"/>
      <c r="G51" s="84"/>
      <c r="H51" s="85"/>
    </row>
    <row r="52" spans="4:8" ht="20.100000000000001" customHeight="1" x14ac:dyDescent="0.25"/>
    <row r="53" spans="4:8" ht="20.100000000000001" customHeight="1" x14ac:dyDescent="0.25"/>
    <row r="54" spans="4:8" ht="20.100000000000001" customHeight="1" x14ac:dyDescent="0.25">
      <c r="G54" s="86"/>
    </row>
    <row r="55" spans="4:8" ht="20.100000000000001" customHeight="1" x14ac:dyDescent="0.25">
      <c r="D55" s="6"/>
    </row>
    <row r="56" spans="4:8" ht="20.100000000000001" customHeight="1" x14ac:dyDescent="0.25"/>
    <row r="57" spans="4:8" ht="20.100000000000001" customHeight="1" x14ac:dyDescent="0.25">
      <c r="D57" s="23"/>
      <c r="F57" s="87"/>
    </row>
    <row r="58" spans="4:8" ht="20.100000000000001" customHeight="1" x14ac:dyDescent="0.25">
      <c r="D58" s="1"/>
      <c r="E58" s="88"/>
    </row>
    <row r="59" spans="4:8" ht="20.100000000000001" customHeight="1" x14ac:dyDescent="0.25">
      <c r="D59" s="1"/>
      <c r="E59" s="88"/>
    </row>
    <row r="60" spans="4:8" ht="20.100000000000001" customHeight="1" x14ac:dyDescent="0.25">
      <c r="D60" s="1"/>
      <c r="E60" s="89"/>
    </row>
    <row r="61" spans="4:8" ht="20.100000000000001" customHeight="1" x14ac:dyDescent="0.25">
      <c r="D61" s="1"/>
    </row>
    <row r="62" spans="4:8" ht="20.100000000000001" customHeight="1" x14ac:dyDescent="0.25"/>
    <row r="63" spans="4:8" ht="20.100000000000001" customHeight="1" x14ac:dyDescent="0.25">
      <c r="D63" s="23"/>
    </row>
    <row r="64" spans="4:8" ht="20.100000000000001" customHeight="1" x14ac:dyDescent="0.25">
      <c r="D64" s="1"/>
      <c r="E64" s="88"/>
    </row>
    <row r="65" spans="4:9" ht="20.100000000000001" customHeight="1" x14ac:dyDescent="0.25">
      <c r="D65" s="1"/>
      <c r="E65" s="88"/>
    </row>
    <row r="66" spans="4:9" ht="20.100000000000001" customHeight="1" x14ac:dyDescent="0.25">
      <c r="D66" s="1"/>
      <c r="E66" s="89"/>
    </row>
    <row r="67" spans="4:9" ht="20.100000000000001" customHeight="1" x14ac:dyDescent="0.25"/>
    <row r="68" spans="4:9" ht="20.100000000000001" customHeight="1" x14ac:dyDescent="0.25"/>
    <row r="69" spans="4:9" ht="20.100000000000001" customHeight="1" x14ac:dyDescent="0.25">
      <c r="D69" s="63"/>
      <c r="E69" s="63"/>
      <c r="F69" s="63"/>
      <c r="G69" s="63"/>
      <c r="H69" s="63"/>
      <c r="I69" s="63"/>
    </row>
    <row r="70" spans="4:9" ht="20.100000000000001" customHeight="1" x14ac:dyDescent="0.25">
      <c r="D70" s="63"/>
      <c r="E70" s="63"/>
      <c r="F70" s="63"/>
      <c r="G70" s="63"/>
      <c r="H70" s="63"/>
      <c r="I70" s="63"/>
    </row>
    <row r="71" spans="4:9" ht="20.100000000000001" customHeight="1" x14ac:dyDescent="0.25">
      <c r="D71" s="63"/>
      <c r="E71" s="63"/>
      <c r="F71" s="63"/>
      <c r="G71" s="63"/>
      <c r="H71" s="63"/>
      <c r="I71" s="63"/>
    </row>
    <row r="72" spans="4:9" ht="20.100000000000001" customHeight="1" x14ac:dyDescent="0.25">
      <c r="D72" s="63"/>
      <c r="E72" s="63"/>
      <c r="F72" s="63"/>
      <c r="G72" s="63"/>
      <c r="H72" s="63"/>
      <c r="I72" s="63"/>
    </row>
    <row r="73" spans="4:9" ht="20.100000000000001" customHeight="1" x14ac:dyDescent="0.25"/>
    <row r="74" spans="4:9" ht="20.100000000000001" customHeight="1" x14ac:dyDescent="0.25"/>
    <row r="75" spans="4:9" ht="20.100000000000001" customHeight="1" x14ac:dyDescent="0.25"/>
    <row r="76" spans="4:9" ht="20.100000000000001" customHeight="1" x14ac:dyDescent="0.25"/>
    <row r="77" spans="4:9" ht="20.100000000000001" customHeight="1" x14ac:dyDescent="0.25"/>
    <row r="78" spans="4:9" ht="20.100000000000001" customHeight="1" x14ac:dyDescent="0.25">
      <c r="D78" s="90"/>
    </row>
    <row r="79" spans="4:9" ht="20.100000000000001" customHeight="1" x14ac:dyDescent="0.25">
      <c r="D79" s="90"/>
    </row>
    <row r="80" spans="4:9" ht="20.100000000000001" customHeight="1" x14ac:dyDescent="0.25">
      <c r="D80" s="90"/>
    </row>
    <row r="81" spans="4:4" ht="20.100000000000001" customHeight="1" x14ac:dyDescent="0.25">
      <c r="D81" s="90"/>
    </row>
    <row r="82" spans="4:4" ht="20.100000000000001" customHeight="1" x14ac:dyDescent="0.25">
      <c r="D82" s="90"/>
    </row>
    <row r="83" spans="4:4" ht="20.100000000000001" customHeight="1" x14ac:dyDescent="0.25"/>
    <row r="84" spans="4:4" ht="20.100000000000001" customHeight="1" x14ac:dyDescent="0.25"/>
    <row r="85" spans="4:4" ht="20.100000000000001" customHeight="1" x14ac:dyDescent="0.25"/>
    <row r="86" spans="4:4" ht="20.100000000000001" customHeight="1" x14ac:dyDescent="0.25"/>
    <row r="87" spans="4:4" ht="20.100000000000001" customHeight="1" x14ac:dyDescent="0.25"/>
    <row r="88" spans="4:4" ht="20.100000000000001" customHeight="1" x14ac:dyDescent="0.25"/>
    <row r="89" spans="4:4" ht="20.100000000000001" customHeight="1" x14ac:dyDescent="0.25"/>
    <row r="90" spans="4:4" ht="20.100000000000001" customHeight="1" x14ac:dyDescent="0.25"/>
    <row r="91" spans="4:4" ht="20.100000000000001" customHeight="1" x14ac:dyDescent="0.25"/>
    <row r="92" spans="4:4" ht="20.100000000000001" customHeight="1" x14ac:dyDescent="0.25"/>
    <row r="93" spans="4:4" ht="20.100000000000001" customHeight="1" x14ac:dyDescent="0.25"/>
    <row r="94" spans="4:4" ht="20.100000000000001" customHeight="1" x14ac:dyDescent="0.25"/>
    <row r="95" spans="4:4" ht="20.100000000000001" customHeight="1" x14ac:dyDescent="0.25"/>
    <row r="96" spans="4:4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</sheetData>
  <phoneticPr fontId="23" type="noConversion"/>
  <dataValidations count="4">
    <dataValidation type="list" allowBlank="1" showInputMessage="1" showErrorMessage="1" sqref="E21" xr:uid="{EEB98A76-93AC-411B-869F-680047BF5E1B}">
      <formula1>INDIRECT("Table_AustralianStates[Common Name]")</formula1>
    </dataValidation>
    <dataValidation type="list" allowBlank="1" showInputMessage="1" showErrorMessage="1" sqref="E22" xr:uid="{FEE229DB-9316-4962-B647-60038C54E99D}">
      <formula1>INDIRECT("Table_WASA4Areas[SA 4 Name]")</formula1>
    </dataValidation>
    <dataValidation type="list" allowBlank="1" showInputMessage="1" showErrorMessage="1" sqref="G36:G39" xr:uid="{1FAF98F1-BA66-4A46-872C-02D4419DFE3B}">
      <formula1>$D$41:$D$43</formula1>
    </dataValidation>
    <dataValidation type="list" allowBlank="1" showInputMessage="1" showErrorMessage="1" sqref="E23" xr:uid="{43B32D4A-5C2C-46E9-876B-6F8FA150486E}">
      <formula1>"YES - In leaching zone, NO - Not in leaching zone"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610A2-02A7-4F78-A2BB-B4DFE856D1FB}">
  <dimension ref="A1:R165"/>
  <sheetViews>
    <sheetView showGridLines="0" topLeftCell="A31" workbookViewId="0">
      <selection activeCell="E62" sqref="E6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4" width="79" style="1" customWidth="1"/>
    <col min="5" max="8" width="30.7109375" style="1" customWidth="1"/>
    <col min="9" max="9" width="4.7109375" style="1" customWidth="1"/>
    <col min="10" max="10" width="4.7109375" customWidth="1"/>
    <col min="11" max="11" width="4.7109375" style="59" customWidth="1"/>
    <col min="12" max="17" width="30.7109375" style="59" customWidth="1"/>
    <col min="18" max="18" width="4.7109375" style="59" customWidth="1"/>
  </cols>
  <sheetData>
    <row r="1" spans="1:18" s="71" customFormat="1" ht="30" customHeight="1" x14ac:dyDescent="0.35">
      <c r="A1" s="71" t="e" vm="1">
        <v>#VALUE!</v>
      </c>
      <c r="C1" s="71" t="s">
        <v>110</v>
      </c>
      <c r="K1" s="59"/>
      <c r="L1" s="59"/>
      <c r="M1" s="59"/>
      <c r="N1" s="59"/>
      <c r="O1" s="59"/>
      <c r="P1" s="59"/>
      <c r="Q1" s="59"/>
      <c r="R1" s="59"/>
    </row>
    <row r="2" spans="1:18" s="9" customFormat="1" ht="20.100000000000001" customHeight="1" x14ac:dyDescent="0.25">
      <c r="K2" s="59"/>
      <c r="L2" s="59"/>
      <c r="M2" s="59"/>
      <c r="N2" s="59"/>
      <c r="O2" s="59"/>
      <c r="P2" s="59"/>
      <c r="Q2" s="59"/>
      <c r="R2" s="59"/>
    </row>
    <row r="3" spans="1:18" ht="20.100000000000001" customHeight="1" x14ac:dyDescent="0.25">
      <c r="A3" s="17" t="str">
        <f>HYPERLINK("#'Home'!A1", "Home")</f>
        <v>Home</v>
      </c>
      <c r="C3" s="15"/>
      <c r="D3" s="15"/>
      <c r="E3" s="15"/>
      <c r="F3" s="15"/>
      <c r="G3" s="15"/>
      <c r="H3" s="15"/>
      <c r="I3" s="15"/>
    </row>
    <row r="4" spans="1:18" ht="20.100000000000001" customHeight="1" x14ac:dyDescent="0.25">
      <c r="A4" s="17" t="str">
        <f>HYPERLINK("#'Results'!A1", "Results")</f>
        <v>Results</v>
      </c>
    </row>
    <row r="5" spans="1:18" ht="20.100000000000001" customHeight="1" x14ac:dyDescent="0.25">
      <c r="A5" s="16"/>
      <c r="D5" s="6" t="s">
        <v>124</v>
      </c>
    </row>
    <row r="6" spans="1:18" ht="20.100000000000001" customHeight="1" x14ac:dyDescent="0.25">
      <c r="A6" s="20" t="s">
        <v>3</v>
      </c>
    </row>
    <row r="7" spans="1:18" ht="20.100000000000001" customHeight="1" x14ac:dyDescent="0.25">
      <c r="A7" s="17" t="str">
        <f>HYPERLINK("#'Input - Site'!A1", "Site")</f>
        <v>Site</v>
      </c>
      <c r="D7" s="66"/>
      <c r="E7" s="41" t="s">
        <v>148</v>
      </c>
      <c r="F7" s="41" t="s">
        <v>149</v>
      </c>
      <c r="G7" s="41" t="s">
        <v>150</v>
      </c>
    </row>
    <row r="8" spans="1:18" ht="20.100000000000001" customHeight="1" x14ac:dyDescent="0.25">
      <c r="A8" s="21" t="str">
        <f>HYPERLINK("#'Input - Feedlot'!A1", "Feedlot")</f>
        <v>Feedlot</v>
      </c>
      <c r="D8" s="1" t="str">
        <f>"Average number of head between " &amp; TEXT('Input - Site'!$E$12, "dd mmm yy") &amp; " and " &amp; TEXT('Input - Site'!$E$13, "dd mmm yy")</f>
        <v>Average number of head between 01 Jan 24 and 31 Dec 24</v>
      </c>
      <c r="E8" s="108">
        <v>4300</v>
      </c>
      <c r="F8" s="108">
        <v>100</v>
      </c>
      <c r="G8" s="108">
        <v>100</v>
      </c>
      <c r="H8" s="2" t="s">
        <v>126</v>
      </c>
    </row>
    <row r="9" spans="1:18" ht="20.100000000000001" customHeight="1" x14ac:dyDescent="0.25">
      <c r="A9" s="17"/>
      <c r="D9" s="1" t="str">
        <f>"Average duration of stay between " &amp; TEXT('Input - Site'!$E$12, "dd mmm yy") &amp; " and " &amp; TEXT('Input - Site'!$E$13, "dd mmm yy")</f>
        <v>Average duration of stay between 01 Jan 24 and 31 Dec 24</v>
      </c>
      <c r="E9" s="108">
        <v>90</v>
      </c>
      <c r="F9" s="108">
        <v>140</v>
      </c>
      <c r="G9" s="108">
        <v>250</v>
      </c>
      <c r="H9" s="2" t="s">
        <v>55</v>
      </c>
    </row>
    <row r="10" spans="1:18" ht="20.100000000000001" customHeight="1" x14ac:dyDescent="0.25">
      <c r="A10" s="19" t="s">
        <v>77</v>
      </c>
    </row>
    <row r="11" spans="1:18" ht="20.100000000000001" customHeight="1" x14ac:dyDescent="0.25">
      <c r="A11" s="17" t="str">
        <f>HYPERLINK("#'4.1.1.1-2 Methane'!A1", "4.1.1.1-2 Methane")</f>
        <v>4.1.1.1-2 Methane</v>
      </c>
      <c r="D11" s="6" t="s">
        <v>106</v>
      </c>
    </row>
    <row r="12" spans="1:18" ht="20.100000000000001" customHeight="1" x14ac:dyDescent="0.25">
      <c r="A12" s="17" t="str">
        <f>HYPERLINK("#'4.1.1.3-4 Direct N20'!A1", "4.1.1.3-4 Direct N2O")</f>
        <v>4.1.1.3-4 Direct N2O</v>
      </c>
    </row>
    <row r="13" spans="1:18" ht="20.100000000000001" customHeight="1" x14ac:dyDescent="0.25">
      <c r="A13" s="17" t="str">
        <f>HYPERLINK("#'4.1.1.5-6 Atmos Deposition'!A1", "4.1.1.5-6 Atmospheric deposition")</f>
        <v>4.1.1.5-6 Atmospheric deposition</v>
      </c>
      <c r="D13" s="66" t="s">
        <v>338</v>
      </c>
      <c r="E13" s="41" t="s">
        <v>148</v>
      </c>
      <c r="F13" s="41" t="s">
        <v>149</v>
      </c>
      <c r="G13" s="41" t="s">
        <v>150</v>
      </c>
    </row>
    <row r="14" spans="1:18" ht="20.100000000000001" customHeight="1" x14ac:dyDescent="0.25">
      <c r="A14" s="17" t="str">
        <f>HYPERLINK("#'4.1.1.9 Manure applied to soils'!A1", "4.1.1.9 Manure applied to soils")</f>
        <v>4.1.1.9 Manure applied to soils</v>
      </c>
      <c r="D14" s="1" t="s">
        <v>154</v>
      </c>
      <c r="E14" s="55" cm="1">
        <f t="array" ref="E14">_xlfn.XLOOKUP(1, (Table_SourceData_Feedlot_AnimalCharacteristics[Feedlot type] = E$13) * (Table_SourceData_Feedlot_AnimalCharacteristics[Characteristic] = $D$14), Table_SourceData_Feedlot_AnimalCharacteristics[2020-2023], "Not Found")</f>
        <v>10.4</v>
      </c>
      <c r="F14" s="55" cm="1">
        <f t="array" ref="F14">_xlfn.XLOOKUP(1, (Table_SourceData_Feedlot_AnimalCharacteristics[Feedlot type] = F$13) * (Table_SourceData_Feedlot_AnimalCharacteristics[Characteristic] = $D$14), Table_SourceData_Feedlot_AnimalCharacteristics[2020-2023], "Not Found")</f>
        <v>10.8</v>
      </c>
      <c r="G14" s="55" cm="1">
        <f t="array" ref="G14">_xlfn.XLOOKUP(1, (Table_SourceData_Feedlot_AnimalCharacteristics[Feedlot type] = G$13) * (Table_SourceData_Feedlot_AnimalCharacteristics[Characteristic] = $D$14), Table_SourceData_Feedlot_AnimalCharacteristics[2020-2023], "Not Found")</f>
        <v>8.1999999999999993</v>
      </c>
      <c r="H14" s="2" t="s">
        <v>111</v>
      </c>
    </row>
    <row r="15" spans="1:18" ht="20.100000000000001" customHeight="1" x14ac:dyDescent="0.25">
      <c r="D15" s="1" t="s">
        <v>18</v>
      </c>
      <c r="E15" s="55" cm="1">
        <f t="array" ref="E15">_xlfn.XLOOKUP(1, (Table_SourceData_Feedlot_DietProperties[Feedlot type] = E$13) * (Table_SourceData_Feedlot_DietProperties[Nutrient analysis] = $D$15), Table_SourceData_Feedlot_DietProperties[2020-2023 Converted to fraction], "Not Found")</f>
        <v>0.81</v>
      </c>
      <c r="F15" s="55" cm="1">
        <f t="array" ref="F15">_xlfn.XLOOKUP(1, (Table_SourceData_Feedlot_DietProperties[Feedlot type] = F$13) * (Table_SourceData_Feedlot_DietProperties[Nutrient analysis] = $D$15), Table_SourceData_Feedlot_DietProperties[2020-2023 Converted to fraction], "Not Found")</f>
        <v>0.81</v>
      </c>
      <c r="G15" s="55" cm="1">
        <f t="array" ref="G15">_xlfn.XLOOKUP(1, (Table_SourceData_Feedlot_DietProperties[Feedlot type] = G$13) * (Table_SourceData_Feedlot_DietProperties[Nutrient analysis] = $D$15), Table_SourceData_Feedlot_DietProperties[2020-2023 Converted to fraction], "Not Found")</f>
        <v>0.81</v>
      </c>
      <c r="H15" s="2" t="s">
        <v>101</v>
      </c>
    </row>
    <row r="16" spans="1:18" ht="20.100000000000001" customHeight="1" x14ac:dyDescent="0.25">
      <c r="A16" s="18" t="s">
        <v>4</v>
      </c>
      <c r="D16" s="1" t="s">
        <v>141</v>
      </c>
      <c r="E16" s="55" cm="1">
        <f t="array" ref="E16">_xlfn.XLOOKUP(1, (Table_SourceData_Feedlot_DietProperties[Feedlot type] = E$13) * (Table_SourceData_Feedlot_DietProperties[Nutrient analysis] = $D$16), Table_SourceData_Feedlot_DietProperties[2020-2023 Converted to fraction], "Not Found")</f>
        <v>0.14000000000000001</v>
      </c>
      <c r="F16" s="55" cm="1">
        <f t="array" ref="F16">_xlfn.XLOOKUP(1, (Table_SourceData_Feedlot_DietProperties[Feedlot type] = F$13) * (Table_SourceData_Feedlot_DietProperties[Nutrient analysis] = $D$16), Table_SourceData_Feedlot_DietProperties[2020-2023 Converted to fraction], "Not Found")</f>
        <v>0.12</v>
      </c>
      <c r="G16" s="55" cm="1">
        <f t="array" ref="G16">_xlfn.XLOOKUP(1, (Table_SourceData_Feedlot_DietProperties[Feedlot type] = G$13) * (Table_SourceData_Feedlot_DietProperties[Nutrient analysis] = $D$16), Table_SourceData_Feedlot_DietProperties[2020-2023 Converted to fraction], "Not Found")</f>
        <v>0.12</v>
      </c>
      <c r="H16" s="2" t="s">
        <v>101</v>
      </c>
    </row>
    <row r="17" spans="1:8" ht="20.100000000000001" customHeight="1" x14ac:dyDescent="0.25">
      <c r="A17" s="17" t="str">
        <f>HYPERLINK("#'Constants - Feedlot'!A1", "Constants - Feedlot")</f>
        <v>Constants - Feedlot</v>
      </c>
      <c r="D17" s="1" t="s">
        <v>158</v>
      </c>
      <c r="E17" s="55" cm="1">
        <f t="array" ref="E17">_xlfn.XLOOKUP(1, (Table_SourceData_Feedlot_AnimalCharacteristics[Feedlot type] = E$13) * (Table_SourceData_Feedlot_AnimalCharacteristics[Characteristic] = $D$17), Table_SourceData_Feedlot_AnimalCharacteristics[2020-2023], "Not Found")</f>
        <v>20.399999999999999</v>
      </c>
      <c r="F17" s="55" cm="1">
        <f t="array" ref="F17">_xlfn.XLOOKUP(1, (Table_SourceData_Feedlot_AnimalCharacteristics[Feedlot type] = F$13) * (Table_SourceData_Feedlot_AnimalCharacteristics[Characteristic] = $D$17), Table_SourceData_Feedlot_AnimalCharacteristics[2020-2023], "Not Found")</f>
        <v>12.7</v>
      </c>
      <c r="G17" s="55" cm="1">
        <f t="array" ref="G17">_xlfn.XLOOKUP(1, (Table_SourceData_Feedlot_AnimalCharacteristics[Feedlot type] = G$13) * (Table_SourceData_Feedlot_AnimalCharacteristics[Characteristic] = $D$17), Table_SourceData_Feedlot_AnimalCharacteristics[2020-2023], "Not Found")</f>
        <v>7</v>
      </c>
      <c r="H17" s="2" t="s">
        <v>159</v>
      </c>
    </row>
    <row r="18" spans="1:8" ht="20.100000000000001" customHeight="1" x14ac:dyDescent="0.25">
      <c r="A18" s="17" t="str">
        <f>HYPERLINK("#'Constants - Livestock'!A1", "Constants - Livestock")</f>
        <v>Constants - Livestock</v>
      </c>
    </row>
    <row r="19" spans="1:8" ht="20.100000000000001" customHeight="1" x14ac:dyDescent="0.25">
      <c r="A19" s="17" t="str">
        <f>HYPERLINK("#'Constants - Common'!A1", "Constants - Common")</f>
        <v>Constants - Common</v>
      </c>
      <c r="D19" s="66" t="s">
        <v>339</v>
      </c>
      <c r="E19" s="41" t="s">
        <v>148</v>
      </c>
      <c r="F19" s="41" t="s">
        <v>149</v>
      </c>
      <c r="G19" s="41" t="s">
        <v>150</v>
      </c>
    </row>
    <row r="20" spans="1:8" ht="20.100000000000001" customHeight="1" x14ac:dyDescent="0.25">
      <c r="A20" s="17" t="str">
        <f>HYPERLINK("#'Acknowledgements'!A1", "Acknowledgements")</f>
        <v>Acknowledgements</v>
      </c>
      <c r="D20" s="1" t="s">
        <v>154</v>
      </c>
      <c r="E20" s="69" cm="1">
        <f t="array" ref="E20">_xlfn.XLOOKUP(1, (Table_SourceData_Feedlot_AnimalCharacteristics[Feedlot type] = E$19) * (Table_SourceData_Feedlot_AnimalCharacteristics[Characteristic] = $D$20), Table_SourceData_Feedlot_AnimalCharacteristics[2020-2023], "Not Found")</f>
        <v>10.4</v>
      </c>
      <c r="F20" s="69" cm="1">
        <f t="array" ref="F20">_xlfn.XLOOKUP(1, (Table_SourceData_Feedlot_AnimalCharacteristics[Feedlot type] = F$19) * (Table_SourceData_Feedlot_AnimalCharacteristics[Characteristic] = $D$20), Table_SourceData_Feedlot_AnimalCharacteristics[2020-2023], "Not Found")</f>
        <v>10.8</v>
      </c>
      <c r="G20" s="69" cm="1">
        <f t="array" ref="G20">_xlfn.XLOOKUP(1, (Table_SourceData_Feedlot_AnimalCharacteristics[Feedlot type] = G$19) * (Table_SourceData_Feedlot_AnimalCharacteristics[Characteristic] = $D$20), Table_SourceData_Feedlot_AnimalCharacteristics[2020-2023], "Not Found")</f>
        <v>8.1999999999999993</v>
      </c>
      <c r="H20" s="2" t="s">
        <v>111</v>
      </c>
    </row>
    <row r="21" spans="1:8" ht="20.100000000000001" customHeight="1" x14ac:dyDescent="0.25">
      <c r="D21" s="1" t="s">
        <v>18</v>
      </c>
      <c r="E21" s="69" cm="1">
        <f t="array" ref="E21">_xlfn.XLOOKUP(1, (Table_SourceData_Feedlot_DietProperties[Feedlot type] = E$19) * (Table_SourceData_Feedlot_DietProperties[Nutrient analysis] = $D$21), Table_SourceData_Feedlot_DietProperties[2020-2023 Converted to fraction], "Not Found")</f>
        <v>0.81</v>
      </c>
      <c r="F21" s="69" cm="1">
        <f t="array" ref="F21">_xlfn.XLOOKUP(1, (Table_SourceData_Feedlot_DietProperties[Feedlot type] = F$19) * (Table_SourceData_Feedlot_DietProperties[Nutrient analysis] = $D$21), Table_SourceData_Feedlot_DietProperties[2020-2023 Converted to fraction], "Not Found")</f>
        <v>0.81</v>
      </c>
      <c r="G21" s="69" cm="1">
        <f t="array" ref="G21">_xlfn.XLOOKUP(1, (Table_SourceData_Feedlot_DietProperties[Feedlot type] = G$19) * (Table_SourceData_Feedlot_DietProperties[Nutrient analysis] = $D$21), Table_SourceData_Feedlot_DietProperties[2020-2023 Converted to fraction], "Not Found")</f>
        <v>0.81</v>
      </c>
      <c r="H21" s="2" t="s">
        <v>101</v>
      </c>
    </row>
    <row r="22" spans="1:8" ht="20.100000000000001" customHeight="1" x14ac:dyDescent="0.25">
      <c r="D22" s="1" t="s">
        <v>141</v>
      </c>
      <c r="E22" s="69" cm="1">
        <f t="array" ref="E22">_xlfn.XLOOKUP(1, (Table_SourceData_Feedlot_DietProperties[Feedlot type] = E$19) * (Table_SourceData_Feedlot_DietProperties[Nutrient analysis] = $D$22), Table_SourceData_Feedlot_DietProperties[2020-2023 Converted to fraction], "Not Found")</f>
        <v>0.14000000000000001</v>
      </c>
      <c r="F22" s="69" cm="1">
        <f t="array" ref="F22">_xlfn.XLOOKUP(1, (Table_SourceData_Feedlot_DietProperties[Feedlot type] = F$19) * (Table_SourceData_Feedlot_DietProperties[Nutrient analysis] = $D$22), Table_SourceData_Feedlot_DietProperties[2020-2023 Converted to fraction], "Not Found")</f>
        <v>0.12</v>
      </c>
      <c r="G22" s="69" cm="1">
        <f t="array" ref="G22">_xlfn.XLOOKUP(1, (Table_SourceData_Feedlot_DietProperties[Feedlot type] = G$19) * (Table_SourceData_Feedlot_DietProperties[Nutrient analysis] = $D$22), Table_SourceData_Feedlot_DietProperties[2020-2023 Converted to fraction], "Not Found")</f>
        <v>0.12</v>
      </c>
      <c r="H22" s="2" t="s">
        <v>101</v>
      </c>
    </row>
    <row r="23" spans="1:8" ht="20.100000000000001" customHeight="1" x14ac:dyDescent="0.25">
      <c r="D23" s="1" t="s">
        <v>158</v>
      </c>
      <c r="E23" s="69" cm="1">
        <f t="array" ref="E23">_xlfn.XLOOKUP(1, (Table_SourceData_Feedlot_AnimalCharacteristics[Feedlot type] = E$19) * (Table_SourceData_Feedlot_AnimalCharacteristics[Characteristic] = $D$23), Table_SourceData_Feedlot_AnimalCharacteristics[2020-2023], "Not Found")</f>
        <v>20.399999999999999</v>
      </c>
      <c r="F23" s="69" cm="1">
        <f t="array" ref="F23">_xlfn.XLOOKUP(1, (Table_SourceData_Feedlot_AnimalCharacteristics[Feedlot type] = F$19) * (Table_SourceData_Feedlot_AnimalCharacteristics[Characteristic] = $D$23), Table_SourceData_Feedlot_AnimalCharacteristics[2020-2023], "Not Found")</f>
        <v>12.7</v>
      </c>
      <c r="G23" s="69" cm="1">
        <f t="array" ref="G23">_xlfn.XLOOKUP(1, (Table_SourceData_Feedlot_AnimalCharacteristics[Feedlot type] = G$19) * (Table_SourceData_Feedlot_AnimalCharacteristics[Characteristic] = $D$23), Table_SourceData_Feedlot_AnimalCharacteristics[2020-2023], "Not Found")</f>
        <v>7</v>
      </c>
      <c r="H23" s="2" t="s">
        <v>159</v>
      </c>
    </row>
    <row r="24" spans="1:8" ht="20.100000000000001" customHeight="1" x14ac:dyDescent="0.25"/>
    <row r="25" spans="1:8" ht="20.100000000000001" customHeight="1" x14ac:dyDescent="0.25">
      <c r="A25" s="17"/>
      <c r="D25" s="6" t="s">
        <v>115</v>
      </c>
    </row>
    <row r="26" spans="1:8" ht="20.100000000000001" customHeight="1" x14ac:dyDescent="0.25">
      <c r="A26" s="17"/>
    </row>
    <row r="27" spans="1:8" ht="20.100000000000001" customHeight="1" x14ac:dyDescent="0.25">
      <c r="A27" s="17"/>
      <c r="D27" s="51" t="s">
        <v>127</v>
      </c>
    </row>
    <row r="28" spans="1:8" ht="20.100000000000001" customHeight="1" x14ac:dyDescent="0.25">
      <c r="A28" s="17"/>
      <c r="D28" s="66" t="s">
        <v>109</v>
      </c>
      <c r="E28" s="101" t="s">
        <v>148</v>
      </c>
      <c r="F28" s="101" t="s">
        <v>149</v>
      </c>
      <c r="G28" s="101" t="s">
        <v>150</v>
      </c>
    </row>
    <row r="29" spans="1:8" ht="20.100000000000001" customHeight="1" x14ac:dyDescent="0.25">
      <c r="A29" s="17"/>
      <c r="D29" s="1" t="s">
        <v>103</v>
      </c>
      <c r="E29" s="102">
        <v>1</v>
      </c>
      <c r="F29" s="102">
        <v>1</v>
      </c>
      <c r="G29" s="102">
        <v>1</v>
      </c>
      <c r="H29" s="2" t="s">
        <v>19</v>
      </c>
    </row>
    <row r="30" spans="1:8" ht="20.100000000000001" customHeight="1" x14ac:dyDescent="0.25">
      <c r="A30" s="17"/>
    </row>
    <row r="31" spans="1:8" ht="20.100000000000001" customHeight="1" x14ac:dyDescent="0.25">
      <c r="A31" s="70"/>
    </row>
    <row r="32" spans="1:8" ht="20.100000000000001" customHeight="1" x14ac:dyDescent="0.25">
      <c r="A32" s="70"/>
      <c r="D32" s="51" t="s">
        <v>128</v>
      </c>
    </row>
    <row r="33" spans="1:8" ht="20.100000000000001" customHeight="1" x14ac:dyDescent="0.25">
      <c r="A33" s="17"/>
      <c r="D33" s="101" t="s">
        <v>105</v>
      </c>
      <c r="E33" s="101" t="s">
        <v>148</v>
      </c>
      <c r="F33" s="101" t="s">
        <v>149</v>
      </c>
      <c r="G33" s="101" t="s">
        <v>150</v>
      </c>
    </row>
    <row r="34" spans="1:8" ht="20.100000000000001" customHeight="1" x14ac:dyDescent="0.25">
      <c r="D34" s="56" t="str">
        <f>"Sent from Stage 1: " &amp; $D$29 &amp; " to:"</f>
        <v>Sent from Stage 1: Drylot (feed pad) to:</v>
      </c>
      <c r="E34" s="58"/>
    </row>
    <row r="35" spans="1:8" ht="20.100000000000001" customHeight="1" x14ac:dyDescent="0.25">
      <c r="D35" s="1" t="str">
        <f>'Constants - Feedlot'!D29</f>
        <v>Solid storage</v>
      </c>
      <c r="E35" s="49">
        <v>0.2</v>
      </c>
      <c r="F35" s="49">
        <v>0.2</v>
      </c>
      <c r="G35" s="49">
        <v>0.2</v>
      </c>
      <c r="H35" s="2" t="s">
        <v>19</v>
      </c>
    </row>
    <row r="36" spans="1:8" ht="20.100000000000001" customHeight="1" x14ac:dyDescent="0.25">
      <c r="D36" s="1" t="str">
        <f>'Constants - Feedlot'!D30</f>
        <v>Composting (passive windrow)</v>
      </c>
      <c r="E36" s="102">
        <f>1-E35</f>
        <v>0.8</v>
      </c>
      <c r="F36" s="102">
        <f t="shared" ref="F36:G36" si="0">1-F35</f>
        <v>0.8</v>
      </c>
      <c r="G36" s="102">
        <f t="shared" si="0"/>
        <v>0.8</v>
      </c>
      <c r="H36" s="2" t="s">
        <v>19</v>
      </c>
    </row>
    <row r="37" spans="1:8" ht="20.100000000000001" customHeight="1" x14ac:dyDescent="0.25"/>
    <row r="38" spans="1:8" ht="20.100000000000001" customHeight="1" x14ac:dyDescent="0.25"/>
    <row r="39" spans="1:8" ht="20.100000000000001" customHeight="1" x14ac:dyDescent="0.25">
      <c r="A39" s="17"/>
      <c r="D39" s="51" t="s">
        <v>129</v>
      </c>
    </row>
    <row r="40" spans="1:8" ht="20.100000000000001" customHeight="1" x14ac:dyDescent="0.25">
      <c r="D40" s="66" t="s">
        <v>122</v>
      </c>
      <c r="E40" s="101" t="s">
        <v>148</v>
      </c>
      <c r="F40" s="101" t="s">
        <v>149</v>
      </c>
      <c r="G40" s="101" t="s">
        <v>150</v>
      </c>
    </row>
    <row r="41" spans="1:8" ht="20.100000000000001" customHeight="1" x14ac:dyDescent="0.25">
      <c r="A41" s="47"/>
      <c r="D41" s="1" t="str">
        <f>'Constants - Feedlot'!$D$32</f>
        <v>Anaerobic lagoon</v>
      </c>
      <c r="E41" s="102">
        <f>'Constants - Feedlot'!$E$12</f>
        <v>0.02</v>
      </c>
      <c r="F41" s="102">
        <f>'Constants - Feedlot'!$E$12</f>
        <v>0.02</v>
      </c>
      <c r="G41" s="102">
        <f>'Constants - Feedlot'!$E$12</f>
        <v>0.02</v>
      </c>
      <c r="H41" s="2" t="s">
        <v>19</v>
      </c>
    </row>
    <row r="42" spans="1:8" ht="20.100000000000001" customHeight="1" x14ac:dyDescent="0.25"/>
    <row r="43" spans="1:8" ht="20.100000000000001" customHeight="1" x14ac:dyDescent="0.25"/>
    <row r="44" spans="1:8" ht="20.100000000000001" customHeight="1" x14ac:dyDescent="0.25">
      <c r="D44" s="51" t="s">
        <v>104</v>
      </c>
    </row>
    <row r="45" spans="1:8" ht="20.100000000000001" customHeight="1" x14ac:dyDescent="0.25">
      <c r="D45" s="66" t="s">
        <v>122</v>
      </c>
      <c r="E45" s="101" t="s">
        <v>148</v>
      </c>
      <c r="F45" s="101" t="s">
        <v>149</v>
      </c>
      <c r="G45" s="101" t="s">
        <v>150</v>
      </c>
    </row>
    <row r="46" spans="1:8" ht="20.100000000000001" customHeight="1" x14ac:dyDescent="0.25">
      <c r="D46" s="56" t="str">
        <f>"Sent from stage 2: " &amp; $D$35 &amp; " to:"</f>
        <v>Sent from stage 2: Solid storage to:</v>
      </c>
      <c r="E46" s="58"/>
    </row>
    <row r="47" spans="1:8" ht="20.100000000000001" customHeight="1" x14ac:dyDescent="0.25">
      <c r="D47" s="1" t="s">
        <v>139</v>
      </c>
      <c r="E47" s="49">
        <v>0.25</v>
      </c>
      <c r="F47" s="49">
        <v>0.25</v>
      </c>
      <c r="G47" s="49">
        <v>0.25</v>
      </c>
      <c r="H47" s="2" t="s">
        <v>19</v>
      </c>
    </row>
    <row r="48" spans="1:8" ht="20.100000000000001" customHeight="1" x14ac:dyDescent="0.25">
      <c r="D48" s="1" t="s">
        <v>340</v>
      </c>
      <c r="E48" s="49">
        <v>0.25</v>
      </c>
      <c r="F48" s="49">
        <v>0.25</v>
      </c>
      <c r="G48" s="49">
        <v>0.25</v>
      </c>
      <c r="H48" s="2" t="s">
        <v>19</v>
      </c>
    </row>
    <row r="49" spans="4:8" ht="20.100000000000001" customHeight="1" x14ac:dyDescent="0.25">
      <c r="D49" s="1" t="s">
        <v>255</v>
      </c>
      <c r="E49" s="102">
        <f t="shared" ref="E49:G49" si="1">1-SUM(E47:E48)</f>
        <v>0.5</v>
      </c>
      <c r="F49" s="102">
        <f t="shared" si="1"/>
        <v>0.5</v>
      </c>
      <c r="G49" s="102">
        <f t="shared" si="1"/>
        <v>0.5</v>
      </c>
      <c r="H49" s="2" t="s">
        <v>19</v>
      </c>
    </row>
    <row r="50" spans="4:8" ht="20.100000000000001" customHeight="1" x14ac:dyDescent="0.25"/>
    <row r="51" spans="4:8" ht="20.100000000000001" customHeight="1" x14ac:dyDescent="0.25">
      <c r="D51" s="56" t="str">
        <f>"Sent from stage 2: " &amp; $D$36 &amp; " to:"</f>
        <v>Sent from stage 2: Composting (passive windrow) to:</v>
      </c>
    </row>
    <row r="52" spans="4:8" ht="20.100000000000001" customHeight="1" x14ac:dyDescent="0.25">
      <c r="D52" s="1" t="s">
        <v>139</v>
      </c>
      <c r="E52" s="49">
        <v>0.25</v>
      </c>
      <c r="F52" s="49">
        <v>0.25</v>
      </c>
      <c r="G52" s="49">
        <v>0.25</v>
      </c>
      <c r="H52" s="2" t="s">
        <v>19</v>
      </c>
    </row>
    <row r="53" spans="4:8" ht="20.100000000000001" customHeight="1" x14ac:dyDescent="0.25">
      <c r="D53" s="1" t="s">
        <v>340</v>
      </c>
      <c r="E53" s="49">
        <v>0.25</v>
      </c>
      <c r="F53" s="49">
        <v>0.25</v>
      </c>
      <c r="G53" s="49">
        <v>0.25</v>
      </c>
      <c r="H53" s="2" t="s">
        <v>19</v>
      </c>
    </row>
    <row r="54" spans="4:8" ht="20.100000000000001" customHeight="1" x14ac:dyDescent="0.25">
      <c r="D54" s="1" t="s">
        <v>255</v>
      </c>
      <c r="E54" s="102">
        <f>1-SUM(E52:E53)</f>
        <v>0.5</v>
      </c>
      <c r="F54" s="102">
        <f t="shared" ref="F54:G54" si="2">1-SUM(F52:F53)</f>
        <v>0.5</v>
      </c>
      <c r="G54" s="102">
        <f t="shared" si="2"/>
        <v>0.5</v>
      </c>
      <c r="H54" s="2" t="s">
        <v>19</v>
      </c>
    </row>
    <row r="55" spans="4:8" ht="20.100000000000001" customHeight="1" x14ac:dyDescent="0.25"/>
    <row r="56" spans="4:8" ht="20.100000000000001" customHeight="1" x14ac:dyDescent="0.25">
      <c r="D56" s="56" t="str">
        <f>"Sent from stage 3: " &amp; $D$41 &amp; " to:"</f>
        <v>Sent from stage 3: Anaerobic lagoon to:</v>
      </c>
    </row>
    <row r="57" spans="4:8" ht="20.100000000000001" customHeight="1" x14ac:dyDescent="0.25">
      <c r="D57" s="1" t="s">
        <v>139</v>
      </c>
      <c r="E57" s="49">
        <v>0.25</v>
      </c>
      <c r="F57" s="49">
        <v>0.25</v>
      </c>
      <c r="G57" s="49">
        <v>0.25</v>
      </c>
      <c r="H57" s="2" t="s">
        <v>19</v>
      </c>
    </row>
    <row r="58" spans="4:8" ht="20.100000000000001" customHeight="1" x14ac:dyDescent="0.25">
      <c r="D58" s="1" t="s">
        <v>340</v>
      </c>
      <c r="E58" s="49">
        <v>0.25</v>
      </c>
      <c r="F58" s="49">
        <v>0.25</v>
      </c>
      <c r="G58" s="49">
        <v>0.25</v>
      </c>
      <c r="H58" s="2" t="s">
        <v>19</v>
      </c>
    </row>
    <row r="59" spans="4:8" ht="20.100000000000001" customHeight="1" x14ac:dyDescent="0.25">
      <c r="D59" s="1" t="s">
        <v>255</v>
      </c>
      <c r="E59" s="102">
        <f>1-SUM(E57:E58)</f>
        <v>0.5</v>
      </c>
      <c r="F59" s="102">
        <f t="shared" ref="F59:G59" si="3">1-SUM(F57:F58)</f>
        <v>0.5</v>
      </c>
      <c r="G59" s="102">
        <f t="shared" si="3"/>
        <v>0.5</v>
      </c>
      <c r="H59" s="2" t="s">
        <v>19</v>
      </c>
    </row>
    <row r="60" spans="4:8" ht="20.100000000000001" customHeight="1" x14ac:dyDescent="0.25">
      <c r="D60" s="115"/>
    </row>
    <row r="61" spans="4:8" ht="20.100000000000001" customHeight="1" x14ac:dyDescent="0.25"/>
    <row r="62" spans="4:8" ht="20.100000000000001" customHeight="1" x14ac:dyDescent="0.25">
      <c r="D62" s="1" t="s">
        <v>302</v>
      </c>
      <c r="E62" s="42" t="s">
        <v>308</v>
      </c>
      <c r="F62" s="2" t="s">
        <v>11</v>
      </c>
    </row>
    <row r="63" spans="4:8" ht="20.100000000000001" customHeight="1" x14ac:dyDescent="0.25">
      <c r="E63" s="42" t="s">
        <v>312</v>
      </c>
      <c r="F63" s="2" t="s">
        <v>11</v>
      </c>
    </row>
    <row r="64" spans="4:8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dataValidations count="5">
    <dataValidation type="list" allowBlank="1" showInputMessage="1" showErrorMessage="1" sqref="D30" xr:uid="{4E913AB3-F90B-4C35-BCE1-5DBB8FC05107}">
      <formula1>INDIRECT("Table_SourceData_PoultryMMSStage1[MMS]")</formula1>
    </dataValidation>
    <dataValidation type="whole" operator="equal" allowBlank="1" showInputMessage="1" showErrorMessage="1" sqref="E29:G29" xr:uid="{AD2F5710-950E-4169-B1DB-B494F727C0BB}">
      <formula1>1</formula1>
    </dataValidation>
    <dataValidation operator="equal" allowBlank="1" showInputMessage="1" showErrorMessage="1" sqref="E41:G41" xr:uid="{C4745536-8208-45E9-8F7A-99B1E2C94379}"/>
    <dataValidation type="list" allowBlank="1" showInputMessage="1" showErrorMessage="1" sqref="E62" xr:uid="{AF94BFC8-A9BD-4286-932B-111409BF1EB6}">
      <formula1>INDIRECT("Table_SourceData_Feedlot_CropProdSystems[Production system]")</formula1>
    </dataValidation>
    <dataValidation type="list" allowBlank="1" showInputMessage="1" showErrorMessage="1" sqref="E63" xr:uid="{20E9D9A1-CABD-46A5-B149-02F06B30AA0E}">
      <formula1>INDIRECT("Table_SourceData_Feedlot_IrrigationMethods[Irrigation method]")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3AD983E-B4D1-438D-A194-5432069DEDFB}">
          <x14:formula1>
            <xm:f>'Constants - Livestock'!$E$16</xm:f>
          </x14:formula1>
          <xm:sqref>D29</xm:sqref>
        </x14:dataValidation>
        <x14:dataValidation type="list" allowBlank="1" showInputMessage="1" showErrorMessage="1" xr:uid="{E07FB3AA-F53C-4B65-95CE-912A14C9716E}">
          <x14:formula1>
            <xm:f>'Constants - Feedlot'!$D$32</xm:f>
          </x14:formula1>
          <xm:sqref>D41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C1CB6-2463-438A-90A4-6F54247DF8D8}">
  <dimension ref="A1:S169"/>
  <sheetViews>
    <sheetView showGridLines="0" topLeftCell="A138" workbookViewId="0">
      <selection activeCell="E178" sqref="E178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9" width="30.7109375" style="1" customWidth="1"/>
    <col min="10" max="10" width="4.7109375" style="1" customWidth="1"/>
    <col min="11" max="11" width="4.7109375" customWidth="1"/>
    <col min="12" max="12" width="4.7109375" style="1" customWidth="1"/>
    <col min="13" max="18" width="30.7109375" style="1" customWidth="1"/>
    <col min="19" max="19" width="4.7109375" style="1" customWidth="1"/>
  </cols>
  <sheetData>
    <row r="1" spans="1:19" s="8" customFormat="1" ht="30" customHeight="1" x14ac:dyDescent="0.35">
      <c r="A1" s="71" t="e" vm="1">
        <v>#VALUE!</v>
      </c>
      <c r="C1" s="8" t="s">
        <v>293</v>
      </c>
    </row>
    <row r="2" spans="1:19" s="9" customFormat="1" ht="20.100000000000001" customHeight="1" x14ac:dyDescent="0.25"/>
    <row r="3" spans="1:19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J3" s="4"/>
      <c r="L3" s="4"/>
      <c r="M3" s="4" t="s">
        <v>171</v>
      </c>
      <c r="N3" s="4"/>
      <c r="O3" s="4"/>
      <c r="P3" s="4"/>
      <c r="Q3" s="4"/>
      <c r="R3" s="4"/>
      <c r="S3" s="4"/>
    </row>
    <row r="4" spans="1:19" ht="20.100000000000001" customHeight="1" x14ac:dyDescent="0.25">
      <c r="A4" s="17" t="str">
        <f>HYPERLINK("#'Results'!A1", "Results")</f>
        <v>Results</v>
      </c>
    </row>
    <row r="5" spans="1:19" ht="20.100000000000001" customHeight="1" x14ac:dyDescent="0.25">
      <c r="A5" s="16"/>
      <c r="D5" s="6" t="str" cm="1">
        <f t="array" ref="D5">MMS_Feedlot_Methane_Equations.VEERG_4_1_1_1__5_VolatileSolidProduction_Title()</f>
        <v>Volatile solid production</v>
      </c>
    </row>
    <row r="6" spans="1:19" ht="20.100000000000001" customHeight="1" x14ac:dyDescent="0.25">
      <c r="A6" s="20" t="s">
        <v>3</v>
      </c>
      <c r="D6" s="5" t="str" cm="1">
        <f t="array" ref="D6">MMS_Feedlot_Methane_Equations.VEERG_4_1_1_1__5_VolatileSolidProduction_Source()</f>
        <v>VEERG 2026: 4.1.1.1, Equation (5)</v>
      </c>
    </row>
    <row r="7" spans="1:19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Common_InputFunctions.Utility_DisplayFunctionName(D30)</f>
        <v>=MMS_Feedlot_Methane_Equations.VEERG_4_1_1_1__5_VolatileSolidProduction</v>
      </c>
    </row>
    <row r="8" spans="1:19" ht="20.100000000000001" customHeight="1" x14ac:dyDescent="0.25">
      <c r="A8" s="17" t="str">
        <f>HYPERLINK("#'Input - Feedlot'!A1", "Feedlot")</f>
        <v>Feedlot</v>
      </c>
    </row>
    <row r="9" spans="1:19" ht="20.100000000000001" customHeight="1" x14ac:dyDescent="0.25">
      <c r="A9" s="17"/>
    </row>
    <row r="10" spans="1:19" ht="20.100000000000001" customHeight="1" x14ac:dyDescent="0.25">
      <c r="A10" s="19" t="s">
        <v>77</v>
      </c>
      <c r="D10" s="56" t="s">
        <v>30</v>
      </c>
      <c r="E10" s="1" t="str" cm="1">
        <f t="array" ref="E10">MMS_Feedlot_Methane_Equations.VEERG_4_1_1_1__5_VolatileSolidProduction_Variable()</f>
        <v>VS_j</v>
      </c>
    </row>
    <row r="11" spans="1:19" ht="20.100000000000001" customHeight="1" x14ac:dyDescent="0.25">
      <c r="A11" s="22" t="str">
        <f>HYPERLINK("#'4.1.1.1-2 Methane'!A1", "4.1.1.1-2 Methane")</f>
        <v>4.1.1.1-2 Methane</v>
      </c>
      <c r="D11" s="56" t="s">
        <v>20</v>
      </c>
      <c r="E11" s="57" t="str" cm="1">
        <f t="array" ref="E11">MMS_Feedlot_Methane_Equations.VEERG_4_1_1_1__5_VolatileSolidProduction_Unit()</f>
        <v>kg/head/day</v>
      </c>
    </row>
    <row r="12" spans="1:19" ht="20.100000000000001" customHeight="1" x14ac:dyDescent="0.25">
      <c r="A12" s="17" t="str">
        <f>HYPERLINK("#'4.1.1.3-4 Direct N20'!A1", "4.1.1.3-4 Direct N2O")</f>
        <v>4.1.1.3-4 Direct N2O</v>
      </c>
    </row>
    <row r="13" spans="1:19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MMS_Feedlot_Methane_Equations.VEERG_4_1_1_1__5_VolatileSolidProduction_Arguments()</f>
        <v>I_j</v>
      </c>
      <c r="E13" s="61" t="str">
        <v>dry matter intake for each group j : kg DM/head/day</v>
      </c>
      <c r="F13" s="62"/>
      <c r="G13" s="60" t="str">
        <f>"See " &amp; D17</f>
        <v>See M1_Table_I_j</v>
      </c>
    </row>
    <row r="14" spans="1:19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DMD_j</v>
      </c>
      <c r="E14" s="61" t="str">
        <v>dry matter digestibility for each group j : fraction</v>
      </c>
      <c r="F14" s="62"/>
      <c r="G14" s="60" t="str">
        <f>"See " &amp; D22</f>
        <v>See M1_Table_DMD_j</v>
      </c>
    </row>
    <row r="15" spans="1:19" ht="20.100000000000001" customHeight="1" x14ac:dyDescent="0.25">
      <c r="D15" s="60" t="str">
        <v>A</v>
      </c>
      <c r="E15" s="61" t="str">
        <v>ash content of manure : fraction</v>
      </c>
      <c r="F15" s="62"/>
      <c r="G15" s="55">
        <f>'Constants - Feedlot'!$E$17</f>
        <v>0.16</v>
      </c>
    </row>
    <row r="16" spans="1:19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160</v>
      </c>
      <c r="M17" s="105" t="s">
        <v>163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208</v>
      </c>
      <c r="M18" s="104" t="s">
        <v>209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148</v>
      </c>
      <c r="E19" s="54" t="s">
        <v>149</v>
      </c>
      <c r="F19" s="54" t="s">
        <v>150</v>
      </c>
      <c r="M19" s="54" t="s">
        <v>148</v>
      </c>
      <c r="N19" s="54" t="s">
        <v>149</v>
      </c>
      <c r="O19" s="54" t="s">
        <v>150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107</v>
      </c>
      <c r="M20" s="55">
        <f>'Input - Feedlot'!$E$20</f>
        <v>10.4</v>
      </c>
      <c r="N20" s="55">
        <f>'Input - Feedlot'!$F$20</f>
        <v>10.8</v>
      </c>
      <c r="O20" s="55">
        <f>'Input - Feedlot'!$G$20</f>
        <v>8.1999999999999993</v>
      </c>
      <c r="P20" s="2" t="s">
        <v>107</v>
      </c>
    </row>
    <row r="21" spans="1:16" ht="20.100000000000001" customHeight="1" x14ac:dyDescent="0.25"/>
    <row r="22" spans="1:16" ht="20.100000000000001" customHeight="1" x14ac:dyDescent="0.25">
      <c r="D22" s="105" t="s">
        <v>212</v>
      </c>
      <c r="M22" s="105" t="s">
        <v>216</v>
      </c>
    </row>
    <row r="23" spans="1:16" ht="20.100000000000001" customHeight="1" x14ac:dyDescent="0.25">
      <c r="D23" s="104" t="s">
        <v>215</v>
      </c>
      <c r="M23" s="104" t="s">
        <v>215</v>
      </c>
    </row>
    <row r="24" spans="1:16" ht="20.100000000000001" customHeight="1" x14ac:dyDescent="0.25">
      <c r="D24" s="54" t="s">
        <v>148</v>
      </c>
      <c r="E24" s="54" t="s">
        <v>149</v>
      </c>
      <c r="F24" s="54" t="s">
        <v>150</v>
      </c>
      <c r="M24" s="54" t="s">
        <v>148</v>
      </c>
      <c r="N24" s="54" t="s">
        <v>149</v>
      </c>
      <c r="O24" s="54" t="s">
        <v>150</v>
      </c>
    </row>
    <row r="25" spans="1:16" ht="20.100000000000001" customHeight="1" x14ac:dyDescent="0.25">
      <c r="D25" s="55">
        <f>'Input - Feedlot'!$E$15</f>
        <v>0.81</v>
      </c>
      <c r="E25" s="55">
        <f>'Input - Feedlot'!$F$15</f>
        <v>0.81</v>
      </c>
      <c r="F25" s="55">
        <f>'Input - Feedlot'!$G$15</f>
        <v>0.81</v>
      </c>
      <c r="G25" s="2" t="s">
        <v>101</v>
      </c>
      <c r="M25" s="55">
        <f>'Input - Feedlot'!$E$21</f>
        <v>0.81</v>
      </c>
      <c r="N25" s="55">
        <f>'Input - Feedlot'!$F$21</f>
        <v>0.81</v>
      </c>
      <c r="O25" s="55">
        <f>'Input - Feedlot'!$G$21</f>
        <v>0.81</v>
      </c>
      <c r="P25" s="2" t="s">
        <v>101</v>
      </c>
    </row>
    <row r="26" spans="1:16" ht="20.100000000000001" customHeight="1" x14ac:dyDescent="0.25"/>
    <row r="27" spans="1:16" ht="20.100000000000001" customHeight="1" x14ac:dyDescent="0.25">
      <c r="D27" s="105" t="s">
        <v>213</v>
      </c>
      <c r="M27" s="105" t="s">
        <v>217</v>
      </c>
    </row>
    <row r="28" spans="1:16" ht="20.100000000000001" customHeight="1" x14ac:dyDescent="0.25">
      <c r="D28" s="104" t="s">
        <v>214</v>
      </c>
      <c r="M28" s="104" t="s">
        <v>218</v>
      </c>
    </row>
    <row r="29" spans="1:16" ht="20.100000000000001" customHeight="1" x14ac:dyDescent="0.25">
      <c r="D29" s="54" t="s">
        <v>148</v>
      </c>
      <c r="E29" s="54" t="s">
        <v>149</v>
      </c>
      <c r="F29" s="54" t="s">
        <v>150</v>
      </c>
      <c r="M29" s="54" t="s">
        <v>148</v>
      </c>
      <c r="N29" s="54" t="s">
        <v>149</v>
      </c>
      <c r="O29" s="54" t="s">
        <v>150</v>
      </c>
    </row>
    <row r="30" spans="1:16" ht="20.100000000000001" customHeight="1" x14ac:dyDescent="0.25">
      <c r="D30" s="55" cm="1">
        <f t="array" ref="D30">MMS_Feedlot_Methane_Equations.VEERG_4_1_1_1__5_VolatileSolidProduction(D20,D25,$G$15)</f>
        <v>1.6598399999999995</v>
      </c>
      <c r="E30" s="55" cm="1">
        <f t="array" ref="E30">MMS_Feedlot_Methane_Equations.VEERG_4_1_1_1__5_VolatileSolidProduction(E20,E25,$G$15)</f>
        <v>1.7236799999999997</v>
      </c>
      <c r="F30" s="55" cm="1">
        <f t="array" ref="F30">MMS_Feedlot_Methane_Equations.VEERG_4_1_1_1__5_VolatileSolidProduction(F20,F25,$G$15)</f>
        <v>1.3087199999999994</v>
      </c>
      <c r="G30" s="2" t="str">
        <f>$E$11</f>
        <v>kg/head/day</v>
      </c>
      <c r="M30" s="55" cm="1">
        <f t="array" ref="M30">MMS_Feedlot_Methane_Equations.VEERG_4_1_1_1__5_VolatileSolidProduction(M20,M25,$G$15)</f>
        <v>1.6598399999999995</v>
      </c>
      <c r="N30" s="55" cm="1">
        <f t="array" ref="N30">MMS_Feedlot_Methane_Equations.VEERG_4_1_1_1__5_VolatileSolidProduction(N20,N25,$G$15)</f>
        <v>1.7236799999999997</v>
      </c>
      <c r="O30" s="55" cm="1">
        <f t="array" ref="O30">MMS_Feedlot_Methane_Equations.VEERG_4_1_1_1__5_VolatileSolidProduction(O20,O25,$G$15)</f>
        <v>1.3087199999999994</v>
      </c>
      <c r="P30" s="2" t="str">
        <f>$E$11</f>
        <v>kg/head/day</v>
      </c>
    </row>
    <row r="31" spans="1:16" ht="20.100000000000001" customHeight="1" x14ac:dyDescent="0.25"/>
    <row r="32" spans="1:16" ht="20.100000000000001" customHeight="1" x14ac:dyDescent="0.25"/>
    <row r="33" spans="3:18" ht="20.100000000000001" customHeight="1" x14ac:dyDescent="0.25">
      <c r="C33" s="48"/>
      <c r="D33" s="48"/>
      <c r="E33" s="48"/>
      <c r="F33" s="48"/>
      <c r="G33" s="48"/>
      <c r="H33" s="48"/>
      <c r="I33" s="48"/>
      <c r="J33" s="48"/>
      <c r="L33" s="48"/>
      <c r="M33" s="48"/>
      <c r="N33" s="48"/>
      <c r="O33" s="48"/>
      <c r="P33" s="48"/>
      <c r="Q33" s="48"/>
      <c r="R33" s="48"/>
    </row>
    <row r="34" spans="3:18" ht="20.100000000000001" customHeight="1" x14ac:dyDescent="0.25">
      <c r="D34" s="6" t="str" cm="1">
        <f t="array" ref="D34">MMS_Feedlot_Methane_Equations.VEERG_4_1_1_1__2_Stage1MethaneProductionDrylot_Title()</f>
        <v>Production of methane in treatment stage 1 MMS</v>
      </c>
    </row>
    <row r="35" spans="3:18" ht="20.100000000000001" customHeight="1" x14ac:dyDescent="0.25">
      <c r="D35" s="5" t="str" cm="1">
        <f t="array" ref="D35">MMS_Feedlot_Methane_Equations.VEERG_4_1_1_1__2_Stage1MethaneProductionDrylot_Source()</f>
        <v>VEERG 2026: 4.1.1.1, Equation (2)</v>
      </c>
    </row>
    <row r="36" spans="3:18" ht="20.100000000000001" customHeight="1" x14ac:dyDescent="0.25">
      <c r="D36" s="13" t="s">
        <v>27</v>
      </c>
      <c r="E36" s="13" t="str" cm="1">
        <f t="array" aca="1" ref="E36" ca="1">Common_InputFunctions.Utility_DisplayFunctionName(E57)</f>
        <v>=MMS_Feedlot_Methane_Equations.VEERG_4_1_1_1__2_Stage1MethaneProductionDrylot</v>
      </c>
    </row>
    <row r="37" spans="3:18" ht="20.100000000000001" customHeight="1" x14ac:dyDescent="0.25"/>
    <row r="38" spans="3:18" ht="20.100000000000001" customHeight="1" x14ac:dyDescent="0.25"/>
    <row r="39" spans="3:18" ht="20.100000000000001" customHeight="1" x14ac:dyDescent="0.25">
      <c r="D39" s="56" t="s">
        <v>30</v>
      </c>
      <c r="E39" s="1" t="str" cm="1">
        <f t="array" ref="E39">MMS_Feedlot_Methane_Equations.VEERG_4_1_1_1__2_Stage1MethaneProductionDrylot_Variable()</f>
        <v>M_jm5T1</v>
      </c>
    </row>
    <row r="40" spans="3:18" ht="20.100000000000001" customHeight="1" x14ac:dyDescent="0.25">
      <c r="D40" s="56" t="s">
        <v>20</v>
      </c>
      <c r="E40" s="57" t="str" cm="1">
        <f t="array" ref="E40">MMS_Feedlot_Methane_Equations.VEERG_4_1_1_1__2_Stage1MethaneProductionDrylot_Unit()</f>
        <v>kg CH4/head/day</v>
      </c>
    </row>
    <row r="41" spans="3:18" ht="20.100000000000001" customHeight="1" x14ac:dyDescent="0.25"/>
    <row r="42" spans="3:18" ht="20.100000000000001" customHeight="1" x14ac:dyDescent="0.25">
      <c r="D42" s="60" t="str" cm="1">
        <f t="array" ref="D42:E47">MMS_Feedlot_Methane_Equations.VEERG_4_1_1_1__2_Stage1MethaneProductionDrylot_Arguments()</f>
        <v>VS_j</v>
      </c>
      <c r="E42" s="61" t="str">
        <v>volatile solid production from feedlot cattle in each group : kg/head/day</v>
      </c>
      <c r="F42" s="62"/>
      <c r="G42" s="60" t="str">
        <f>"See " &amp; $D$27</f>
        <v>See M1_Table_VS_j</v>
      </c>
    </row>
    <row r="43" spans="3:18" ht="20.100000000000001" customHeight="1" x14ac:dyDescent="0.25">
      <c r="D43" s="60" t="str">
        <v>BO</v>
      </c>
      <c r="E43" s="61" t="str">
        <v>emissions potential : m3 CH4/kg VS</v>
      </c>
      <c r="F43" s="62"/>
      <c r="G43" s="60">
        <f>'Constants - Feedlot'!$E$22</f>
        <v>0.19</v>
      </c>
    </row>
    <row r="44" spans="3:18" ht="20.100000000000001" customHeight="1" x14ac:dyDescent="0.25">
      <c r="D44" s="60" t="str">
        <v>MMS_m5T1</v>
      </c>
      <c r="E44" s="61" t="str">
        <v>fraction of manure in primary system drylot MMS : fraction</v>
      </c>
      <c r="F44" s="62"/>
      <c r="G44" s="60" t="str">
        <f>"See" &amp; D49</f>
        <v>SeeTable_MMS_m-5_T-1</v>
      </c>
    </row>
    <row r="45" spans="3:18" ht="20.100000000000001" customHeight="1" x14ac:dyDescent="0.25">
      <c r="D45" s="60" t="str">
        <v>MCF_im5</v>
      </c>
      <c r="E45" s="61" t="str">
        <v>methane conversion factor for temperature zone and drylot system : fraction</v>
      </c>
      <c r="F45" s="62"/>
      <c r="G45" s="60">
        <f>HLOOKUP(G47, Table_SourceData_Feedlot_MCF[#All], 2, FALSE)</f>
        <v>0.01</v>
      </c>
    </row>
    <row r="46" spans="3:18" ht="20.100000000000001" customHeight="1" x14ac:dyDescent="0.25">
      <c r="D46" s="60" t="str">
        <v>rho</v>
      </c>
      <c r="E46" s="61" t="str">
        <v>density of methane : kg/m3</v>
      </c>
      <c r="F46" s="62"/>
      <c r="G46" s="60">
        <f>'Constants - Common'!$D$175</f>
        <v>0.6784</v>
      </c>
    </row>
    <row r="47" spans="3:18" ht="20.100000000000001" customHeight="1" x14ac:dyDescent="0.25">
      <c r="D47" s="60" t="str">
        <v>i</v>
      </c>
      <c r="E47" s="61" t="str">
        <v>state</v>
      </c>
      <c r="F47" s="62"/>
      <c r="G47" s="60" t="str">
        <f>Common_InputFunctions.Utility_LookupValueInTable('Input - Site'!$E$21,Table_AustralianStates[Common Name],Table_AustralianStates[Abbreviation])</f>
        <v>NSW</v>
      </c>
    </row>
    <row r="48" spans="3:18" ht="20.100000000000001" customHeight="1" x14ac:dyDescent="0.25"/>
    <row r="49" spans="3:18" ht="20.100000000000001" customHeight="1" x14ac:dyDescent="0.25">
      <c r="D49" s="105" t="s">
        <v>114</v>
      </c>
    </row>
    <row r="50" spans="3:18" ht="20.100000000000001" customHeight="1" x14ac:dyDescent="0.25">
      <c r="D50" s="104" t="s">
        <v>112</v>
      </c>
    </row>
    <row r="51" spans="3:18" ht="20.100000000000001" customHeight="1" x14ac:dyDescent="0.25">
      <c r="D51" s="54" t="s">
        <v>109</v>
      </c>
      <c r="E51" s="54" t="s">
        <v>148</v>
      </c>
      <c r="F51" s="54" t="s">
        <v>149</v>
      </c>
      <c r="G51" s="54" t="s">
        <v>150</v>
      </c>
    </row>
    <row r="52" spans="3:18" ht="20.100000000000001" customHeight="1" x14ac:dyDescent="0.25">
      <c r="D52" s="55" t="str">
        <f>'Input - Feedlot'!$D$29</f>
        <v>Drylot (feed pad)</v>
      </c>
      <c r="E52" s="55">
        <f>'Input - Feedlot'!$E$29</f>
        <v>1</v>
      </c>
      <c r="F52" s="55">
        <f>'Input - Feedlot'!$F$29</f>
        <v>1</v>
      </c>
      <c r="G52" s="55">
        <f>'Input - Feedlot'!$G$29</f>
        <v>1</v>
      </c>
      <c r="H52" s="2" t="s">
        <v>101</v>
      </c>
    </row>
    <row r="53" spans="3:18" ht="20.100000000000001" customHeight="1" x14ac:dyDescent="0.25"/>
    <row r="54" spans="3:18" ht="20.100000000000001" customHeight="1" x14ac:dyDescent="0.25">
      <c r="D54" s="105" t="s">
        <v>219</v>
      </c>
      <c r="M54" s="105" t="s">
        <v>221</v>
      </c>
    </row>
    <row r="55" spans="3:18" ht="20.100000000000001" customHeight="1" x14ac:dyDescent="0.25">
      <c r="D55" s="104" t="s">
        <v>220</v>
      </c>
      <c r="M55" s="104" t="s">
        <v>222</v>
      </c>
    </row>
    <row r="56" spans="3:18" ht="20.100000000000001" customHeight="1" x14ac:dyDescent="0.25">
      <c r="D56" s="54" t="s">
        <v>109</v>
      </c>
      <c r="E56" s="54" t="s">
        <v>148</v>
      </c>
      <c r="F56" s="54" t="s">
        <v>149</v>
      </c>
      <c r="G56" s="54" t="s">
        <v>150</v>
      </c>
      <c r="M56" s="54" t="s">
        <v>109</v>
      </c>
      <c r="N56" s="54" t="s">
        <v>148</v>
      </c>
      <c r="O56" s="54" t="s">
        <v>149</v>
      </c>
      <c r="P56" s="54" t="s">
        <v>150</v>
      </c>
    </row>
    <row r="57" spans="3:18" ht="20.100000000000001" customHeight="1" x14ac:dyDescent="0.25">
      <c r="D57" s="55" t="str">
        <f>'Input - Feedlot'!$D$29</f>
        <v>Drylot (feed pad)</v>
      </c>
      <c r="E57" s="55" cm="1">
        <f t="array" ref="E57">MMS_Feedlot_Methane_Equations.VEERG_4_1_1_1__2_Stage1MethaneProductionDrylot(D30,$G$43,E52,$G$45,$G$46)</f>
        <v>2.1394673663999997E-3</v>
      </c>
      <c r="F57" s="55" cm="1">
        <f t="array" ref="F57">MMS_Feedlot_Methane_Equations.VEERG_4_1_1_1__2_Stage1MethaneProductionDrylot(E30,$G$43,F52,$G$45,$G$46)</f>
        <v>2.2217545727999995E-3</v>
      </c>
      <c r="G57" s="55" cm="1">
        <f t="array" ref="G57">MMS_Feedlot_Methane_Equations.VEERG_4_1_1_1__2_Stage1MethaneProductionDrylot(F30,$G$43,G52,$G$45,$G$46)</f>
        <v>1.6868877311999992E-3</v>
      </c>
      <c r="H57" s="2" t="str">
        <f>$E$40</f>
        <v>kg CH4/head/day</v>
      </c>
      <c r="M57" s="55" t="str">
        <f>'Input - Feedlot'!$D$29</f>
        <v>Drylot (feed pad)</v>
      </c>
      <c r="N57" s="55" cm="1">
        <f t="array" ref="N57">MMS_Feedlot_Methane_Equations.VEERG_4_1_1_1__2_Stage1MethaneProductionDrylot(M30,$G$43,E52,$G$45,$G$46)</f>
        <v>2.1394673663999997E-3</v>
      </c>
      <c r="O57" s="55" cm="1">
        <f t="array" ref="O57">MMS_Feedlot_Methane_Equations.VEERG_4_1_1_1__2_Stage1MethaneProductionDrylot(N30,$G$43,F52,$G$45,$G$46)</f>
        <v>2.2217545727999995E-3</v>
      </c>
      <c r="P57" s="55" cm="1">
        <f t="array" ref="P57">MMS_Feedlot_Methane_Equations.VEERG_4_1_1_1__2_Stage1MethaneProductionDrylot(O30,$G$43,G52,$G$45,$G$46)</f>
        <v>1.6868877311999992E-3</v>
      </c>
      <c r="Q57" s="2" t="str">
        <f>$E$40</f>
        <v>kg CH4/head/day</v>
      </c>
    </row>
    <row r="58" spans="3:18" ht="20.100000000000001" customHeight="1" x14ac:dyDescent="0.25">
      <c r="D58" s="106" t="str">
        <f>IF(ISNUMBER($G$45),"", "⚠️ ALERT: No MCFim5 data provided. Zero is used instead.")</f>
        <v/>
      </c>
    </row>
    <row r="59" spans="3:18" ht="20.100000000000001" customHeight="1" x14ac:dyDescent="0.25"/>
    <row r="60" spans="3:18" ht="20.100000000000001" customHeight="1" x14ac:dyDescent="0.25">
      <c r="C60" s="48"/>
      <c r="D60" s="48"/>
      <c r="E60" s="48"/>
      <c r="F60" s="48"/>
      <c r="G60" s="48"/>
      <c r="H60" s="48"/>
      <c r="I60" s="48"/>
      <c r="J60" s="48"/>
      <c r="L60" s="48"/>
      <c r="M60" s="48"/>
      <c r="N60" s="48"/>
      <c r="O60" s="48"/>
      <c r="P60" s="48"/>
      <c r="Q60" s="48"/>
      <c r="R60" s="48"/>
    </row>
    <row r="61" spans="3:18" ht="20.100000000000001" customHeight="1" x14ac:dyDescent="0.25">
      <c r="D61" s="6" t="str" cm="1">
        <f t="array" ref="D61">MMS_Feedlot_Methane_Equations.VEERG_4_1_1_1__3_Stage2MethaneProduction_Title()</f>
        <v>Production of methane in treatment stage 2 MMS</v>
      </c>
    </row>
    <row r="62" spans="3:18" ht="20.100000000000001" customHeight="1" x14ac:dyDescent="0.25">
      <c r="D62" s="5" t="str" cm="1">
        <f t="array" ref="D62">MMS_Feedlot_Methane_Equations.VEERG_4_1_1_1__3_Stage2MethaneProduction_Source()</f>
        <v>VEERG 2026: 4.1.1.1, Equation (3)</v>
      </c>
    </row>
    <row r="63" spans="3:18" ht="20.100000000000001" customHeight="1" x14ac:dyDescent="0.25">
      <c r="D63" s="13" t="s">
        <v>27</v>
      </c>
      <c r="E63" s="13" t="str" cm="1">
        <f t="array" aca="1" ref="E63" ca="1">Common_InputFunctions.Utility_DisplayFunctionName(E92)</f>
        <v>=MMS_Feedlot_Methane_Equations.VEERG_4_1_1_1__3_Stage2MethaneProduction</v>
      </c>
    </row>
    <row r="64" spans="3:18" ht="20.100000000000001" customHeight="1" x14ac:dyDescent="0.25"/>
    <row r="65" spans="4:9" ht="20.100000000000001" customHeight="1" x14ac:dyDescent="0.25">
      <c r="D65" s="6"/>
    </row>
    <row r="66" spans="4:9" ht="20.100000000000001" customHeight="1" x14ac:dyDescent="0.25">
      <c r="D66" s="56" t="s">
        <v>30</v>
      </c>
      <c r="E66" s="1" t="str" cm="1">
        <f t="array" ref="E66">MMS_Feedlot_Methane_Equations.VEERG_4_1_1_1__3_Stage2MethaneProduction_Variable()</f>
        <v>M_jmT2</v>
      </c>
    </row>
    <row r="67" spans="4:9" ht="20.100000000000001" customHeight="1" x14ac:dyDescent="0.25">
      <c r="D67" s="56" t="s">
        <v>20</v>
      </c>
      <c r="E67" s="57" t="str" cm="1">
        <f t="array" ref="E67">MMS_Feedlot_Methane_Equations.VEERG_4_1_1_1__3_Stage2MethaneProduction_Unit()</f>
        <v>kg CH4/head/day</v>
      </c>
    </row>
    <row r="68" spans="4:9" ht="20.100000000000001" customHeight="1" x14ac:dyDescent="0.25"/>
    <row r="69" spans="4:9" ht="20.100000000000001" customHeight="1" x14ac:dyDescent="0.25">
      <c r="D69" s="60" t="str" cm="1">
        <f t="array" ref="D69:E75">MMS_Feedlot_Methane_Equations.VEERG_4_1_1_1__3_Stage2MethaneProduction_Arguments()</f>
        <v>VSL</v>
      </c>
      <c r="E69" s="61" t="str">
        <v>fraction of volatile solids lost during storage in the primary system : fraction</v>
      </c>
      <c r="F69" s="62"/>
      <c r="G69" s="60">
        <f>'Constants - Feedlot'!$E$7</f>
        <v>0.5</v>
      </c>
    </row>
    <row r="70" spans="4:9" ht="20.100000000000001" customHeight="1" x14ac:dyDescent="0.25">
      <c r="D70" s="60" t="str">
        <v>VS_j</v>
      </c>
      <c r="E70" s="61" t="str">
        <v>volatile solid production from feedlot cattle in each group : kg/head/day</v>
      </c>
      <c r="F70" s="62"/>
      <c r="G70" s="60" t="str">
        <f>"See " &amp; $D$27</f>
        <v>See M1_Table_VS_j</v>
      </c>
    </row>
    <row r="71" spans="4:9" ht="20.100000000000001" customHeight="1" x14ac:dyDescent="0.25">
      <c r="D71" s="60" t="str">
        <v>BO</v>
      </c>
      <c r="E71" s="61" t="str">
        <v>emissions potential : m3 CH4/kg VS</v>
      </c>
      <c r="F71" s="62"/>
      <c r="G71" s="60">
        <f>'Constants - Feedlot'!$E$22</f>
        <v>0.19</v>
      </c>
    </row>
    <row r="72" spans="4:9" ht="20.100000000000001" customHeight="1" x14ac:dyDescent="0.25">
      <c r="D72" s="60" t="str">
        <v>MMS_mT2</v>
      </c>
      <c r="E72" s="61" t="str">
        <v>fraction of manure in each secondary system : fraction</v>
      </c>
      <c r="F72" s="62"/>
      <c r="G72" s="60" t="str">
        <f>"See " &amp; D77</f>
        <v>See Table_MMS_m_T-2</v>
      </c>
      <c r="H72" s="117" t="s">
        <v>179</v>
      </c>
    </row>
    <row r="73" spans="4:9" ht="20.100000000000001" customHeight="1" x14ac:dyDescent="0.25">
      <c r="D73" s="60" t="str">
        <v>MCF_im</v>
      </c>
      <c r="E73" s="61" t="str">
        <v>methane conversion factor for temperature zone and MMS : fraction</v>
      </c>
      <c r="F73" s="62"/>
      <c r="G73" s="60" t="str">
        <f>"See " &amp; D83</f>
        <v>See Table_MCF_i_m</v>
      </c>
    </row>
    <row r="74" spans="4:9" ht="20.100000000000001" customHeight="1" x14ac:dyDescent="0.25">
      <c r="D74" s="60" t="str">
        <v>rho</v>
      </c>
      <c r="E74" s="61" t="str">
        <v>density of methane : kg/m3</v>
      </c>
      <c r="F74" s="62"/>
      <c r="G74" s="60">
        <f>'Constants - Common'!$D$175</f>
        <v>0.6784</v>
      </c>
    </row>
    <row r="75" spans="4:9" ht="20.100000000000001" customHeight="1" x14ac:dyDescent="0.25">
      <c r="D75" s="60" t="str">
        <v>i</v>
      </c>
      <c r="E75" s="61" t="str">
        <v>state</v>
      </c>
      <c r="F75" s="62"/>
      <c r="G75" s="60" t="str">
        <f>Common_InputFunctions.Utility_LookupValueInTable('Input - Site'!$E$21,Table_AustralianStates[Common Name],Table_AustralianStates[Abbreviation])</f>
        <v>NSW</v>
      </c>
    </row>
    <row r="76" spans="4:9" ht="20.100000000000001" customHeight="1" x14ac:dyDescent="0.25"/>
    <row r="77" spans="4:9" ht="20.100000000000001" customHeight="1" x14ac:dyDescent="0.25">
      <c r="D77" s="105" t="s">
        <v>116</v>
      </c>
    </row>
    <row r="78" spans="4:9" ht="20.100000000000001" customHeight="1" x14ac:dyDescent="0.25">
      <c r="D78" s="104" t="s">
        <v>117</v>
      </c>
    </row>
    <row r="79" spans="4:9" ht="20.100000000000001" customHeight="1" x14ac:dyDescent="0.25">
      <c r="D79" s="54" t="s">
        <v>109</v>
      </c>
      <c r="E79" s="54" t="s">
        <v>105</v>
      </c>
      <c r="F79" s="54" t="s">
        <v>148</v>
      </c>
      <c r="G79" s="54" t="s">
        <v>149</v>
      </c>
      <c r="H79" s="54" t="s">
        <v>150</v>
      </c>
    </row>
    <row r="80" spans="4:9" ht="20.100000000000001" customHeight="1" x14ac:dyDescent="0.25">
      <c r="D80" s="55" t="str">
        <f>'Input - Feedlot'!$D$29</f>
        <v>Drylot (feed pad)</v>
      </c>
      <c r="E80" s="55" t="str">
        <f>'Input - Feedlot'!$D$35</f>
        <v>Solid storage</v>
      </c>
      <c r="F80" s="55">
        <f>'Input - Feedlot'!$E$35</f>
        <v>0.2</v>
      </c>
      <c r="G80" s="55">
        <f>'Input - Feedlot'!$F$35</f>
        <v>0.2</v>
      </c>
      <c r="H80" s="55">
        <f>'Input - Feedlot'!$G$35</f>
        <v>0.2</v>
      </c>
      <c r="I80" s="2" t="s">
        <v>101</v>
      </c>
    </row>
    <row r="81" spans="3:18" ht="20.100000000000001" customHeight="1" x14ac:dyDescent="0.25">
      <c r="D81" s="55" t="str">
        <f>'Input - Feedlot'!$D$29</f>
        <v>Drylot (feed pad)</v>
      </c>
      <c r="E81" s="55" t="str">
        <f>'Input - Feedlot'!$D$36</f>
        <v>Composting (passive windrow)</v>
      </c>
      <c r="F81" s="55">
        <f>'Input - Feedlot'!$E$36</f>
        <v>0.8</v>
      </c>
      <c r="G81" s="55">
        <f>'Input - Feedlot'!$F$36</f>
        <v>0.8</v>
      </c>
      <c r="H81" s="55">
        <f>'Input - Feedlot'!$G$36</f>
        <v>0.8</v>
      </c>
      <c r="I81" s="2" t="s">
        <v>101</v>
      </c>
    </row>
    <row r="82" spans="3:18" ht="20.100000000000001" customHeight="1" x14ac:dyDescent="0.25"/>
    <row r="83" spans="3:18" ht="20.100000000000001" customHeight="1" x14ac:dyDescent="0.25">
      <c r="D83" s="105" t="s">
        <v>102</v>
      </c>
    </row>
    <row r="84" spans="3:18" ht="20.100000000000001" customHeight="1" x14ac:dyDescent="0.25">
      <c r="D84" s="104" t="s">
        <v>119</v>
      </c>
    </row>
    <row r="85" spans="3:18" ht="20.100000000000001" customHeight="1" x14ac:dyDescent="0.25">
      <c r="D85" s="54" t="s">
        <v>109</v>
      </c>
      <c r="E85" s="54" t="s">
        <v>105</v>
      </c>
      <c r="F85" s="54" t="s">
        <v>99</v>
      </c>
    </row>
    <row r="86" spans="3:18" ht="20.100000000000001" customHeight="1" x14ac:dyDescent="0.25">
      <c r="D86" s="55" t="str">
        <f>'Input - Feedlot'!$D$29</f>
        <v>Drylot (feed pad)</v>
      </c>
      <c r="E86" s="55" t="str">
        <f>'Input - Feedlot'!$D$35</f>
        <v>Solid storage</v>
      </c>
      <c r="F86" s="55" cm="1">
        <f t="array" ref="F86">_xlfn.XLOOKUP($G$75, Table_SourceData_Feedlot_MCF[#Headers], _xlfn.XLOOKUP(E86, Table_SourceData_Feedlot_MCF[NIR definition], Table_SourceData_Feedlot_MCF[]))</f>
        <v>0.02</v>
      </c>
      <c r="G86" s="2" t="s">
        <v>101</v>
      </c>
    </row>
    <row r="87" spans="3:18" ht="20.100000000000001" customHeight="1" x14ac:dyDescent="0.25">
      <c r="D87" s="55" t="str">
        <f>'Input - Feedlot'!$D$29</f>
        <v>Drylot (feed pad)</v>
      </c>
      <c r="E87" s="55" t="str">
        <f>'Input - Feedlot'!$D$36</f>
        <v>Composting (passive windrow)</v>
      </c>
      <c r="F87" s="55" cm="1">
        <f t="array" ref="F87">_xlfn.XLOOKUP($G$75, Table_SourceData_Feedlot_MCF[#Headers], _xlfn.XLOOKUP(E87, Table_SourceData_Feedlot_MCF[NIR definition], Table_SourceData_Feedlot_MCF[]))</f>
        <v>0.01</v>
      </c>
      <c r="G87" s="2" t="s">
        <v>101</v>
      </c>
    </row>
    <row r="88" spans="3:18" ht="20.100000000000001" customHeight="1" x14ac:dyDescent="0.25"/>
    <row r="89" spans="3:18" ht="20.100000000000001" customHeight="1" x14ac:dyDescent="0.25">
      <c r="D89" s="105" t="s">
        <v>223</v>
      </c>
      <c r="M89" s="105" t="s">
        <v>225</v>
      </c>
    </row>
    <row r="90" spans="3:18" ht="20.100000000000001" customHeight="1" x14ac:dyDescent="0.25">
      <c r="D90" s="104" t="s">
        <v>224</v>
      </c>
      <c r="M90" s="104" t="s">
        <v>226</v>
      </c>
    </row>
    <row r="91" spans="3:18" ht="20.100000000000001" customHeight="1" x14ac:dyDescent="0.25">
      <c r="D91" s="54" t="s">
        <v>105</v>
      </c>
      <c r="E91" s="54" t="s">
        <v>148</v>
      </c>
      <c r="F91" s="54" t="s">
        <v>149</v>
      </c>
      <c r="G91" s="54" t="s">
        <v>150</v>
      </c>
      <c r="M91" s="54" t="s">
        <v>105</v>
      </c>
      <c r="N91" s="54" t="s">
        <v>148</v>
      </c>
      <c r="O91" s="54" t="s">
        <v>149</v>
      </c>
      <c r="P91" s="54" t="s">
        <v>150</v>
      </c>
    </row>
    <row r="92" spans="3:18" ht="20.100000000000001" customHeight="1" x14ac:dyDescent="0.25">
      <c r="D92" s="55" t="str">
        <f>'Input - Feedlot'!$D$35</f>
        <v>Solid storage</v>
      </c>
      <c r="E92" s="55" cm="1">
        <f t="array" ref="E92">MMS_Feedlot_Methane_Equations.VEERG_4_1_1_1__3_Stage2MethaneProduction($G$69,D$30,$G$71,F80,$F86,$G$74)</f>
        <v>4.2789347327999993E-4</v>
      </c>
      <c r="F92" s="55" cm="1">
        <f t="array" ref="F92">MMS_Feedlot_Methane_Equations.VEERG_4_1_1_1__3_Stage2MethaneProduction($G$69,E$30,$G$71,G80,$F86,$G$74)</f>
        <v>4.4435091455999993E-4</v>
      </c>
      <c r="G92" s="55" cm="1">
        <f t="array" ref="G92">MMS_Feedlot_Methane_Equations.VEERG_4_1_1_1__3_Stage2MethaneProduction($G$69,F$30,$G$71,H80,$F86,$G$74)</f>
        <v>3.3737754623999993E-4</v>
      </c>
      <c r="H92" s="2" t="str">
        <f>$E$67</f>
        <v>kg CH4/head/day</v>
      </c>
      <c r="M92" s="55" t="str">
        <f>'Input - Feedlot'!$D$35</f>
        <v>Solid storage</v>
      </c>
      <c r="N92" s="55" cm="1">
        <f t="array" ref="N92">MMS_Feedlot_Methane_Equations.VEERG_4_1_1_1__3_Stage2MethaneProduction($G$69,M$30,$G$71,F80,$F86,$G$74)</f>
        <v>4.2789347327999993E-4</v>
      </c>
      <c r="O92" s="55" cm="1">
        <f t="array" ref="O92">MMS_Feedlot_Methane_Equations.VEERG_4_1_1_1__3_Stage2MethaneProduction($G$69,N$30,$G$71,G80,$F86,$G$74)</f>
        <v>4.4435091455999993E-4</v>
      </c>
      <c r="P92" s="55" cm="1">
        <f t="array" ref="P92">MMS_Feedlot_Methane_Equations.VEERG_4_1_1_1__3_Stage2MethaneProduction($G$69,O$30,$G$71,H80,$F86,$G$74)</f>
        <v>3.3737754623999993E-4</v>
      </c>
      <c r="Q92" s="2" t="str">
        <f>$E$67</f>
        <v>kg CH4/head/day</v>
      </c>
    </row>
    <row r="93" spans="3:18" ht="20.100000000000001" customHeight="1" x14ac:dyDescent="0.25">
      <c r="D93" s="55" t="str">
        <f>'Input - Feedlot'!$D$36</f>
        <v>Composting (passive windrow)</v>
      </c>
      <c r="E93" s="55" cm="1">
        <f t="array" ref="E93">MMS_Feedlot_Methane_Equations.VEERG_4_1_1_1__3_Stage2MethaneProduction($G$69,D$30,$G$71,F81,$F87,$G$74)</f>
        <v>8.5578694655999985E-4</v>
      </c>
      <c r="F93" s="55" cm="1">
        <f t="array" ref="F93">MMS_Feedlot_Methane_Equations.VEERG_4_1_1_1__3_Stage2MethaneProduction($G$69,E$30,$G$71,G81,$F87,$G$74)</f>
        <v>8.8870182911999986E-4</v>
      </c>
      <c r="G93" s="55" cm="1">
        <f t="array" ref="G93">MMS_Feedlot_Methane_Equations.VEERG_4_1_1_1__3_Stage2MethaneProduction($G$69,F$30,$G$71,H81,$F87,$G$74)</f>
        <v>6.7475509247999987E-4</v>
      </c>
      <c r="H93" s="2" t="str">
        <f t="shared" ref="H93" si="0">$E$67</f>
        <v>kg CH4/head/day</v>
      </c>
      <c r="M93" s="55" t="str">
        <f>'Input - Feedlot'!$D$36</f>
        <v>Composting (passive windrow)</v>
      </c>
      <c r="N93" s="55" cm="1">
        <f t="array" ref="N93">MMS_Feedlot_Methane_Equations.VEERG_4_1_1_1__3_Stage2MethaneProduction($G$69,M$30,$G$71,F81,$F87,$G$74)</f>
        <v>8.5578694655999985E-4</v>
      </c>
      <c r="O93" s="55" cm="1">
        <f t="array" ref="O93">MMS_Feedlot_Methane_Equations.VEERG_4_1_1_1__3_Stage2MethaneProduction($G$69,N$30,$G$71,G81,$F87,$G$74)</f>
        <v>8.8870182911999986E-4</v>
      </c>
      <c r="P93" s="55" cm="1">
        <f t="array" ref="P93">MMS_Feedlot_Methane_Equations.VEERG_4_1_1_1__3_Stage2MethaneProduction($G$69,O$30,$G$71,H81,$F87,$G$74)</f>
        <v>6.7475509247999987E-4</v>
      </c>
      <c r="Q93" s="2" t="str">
        <f t="shared" ref="Q93" si="1">$E$67</f>
        <v>kg CH4/head/day</v>
      </c>
    </row>
    <row r="94" spans="3:18" ht="20.100000000000001" customHeight="1" x14ac:dyDescent="0.25"/>
    <row r="95" spans="3:18" ht="20.100000000000001" customHeight="1" x14ac:dyDescent="0.25"/>
    <row r="96" spans="3:18" ht="20.100000000000001" customHeight="1" x14ac:dyDescent="0.25">
      <c r="C96" s="48"/>
      <c r="D96" s="48"/>
      <c r="E96" s="48"/>
      <c r="F96" s="48"/>
      <c r="G96" s="48"/>
      <c r="H96" s="48"/>
      <c r="I96" s="48"/>
      <c r="J96" s="48"/>
      <c r="L96" s="48"/>
      <c r="M96" s="48"/>
      <c r="N96" s="48"/>
      <c r="O96" s="48"/>
      <c r="P96" s="48"/>
      <c r="Q96" s="48"/>
      <c r="R96" s="48"/>
    </row>
    <row r="97" spans="4:8" ht="20.100000000000001" customHeight="1" x14ac:dyDescent="0.25">
      <c r="D97" s="6" t="str" cm="1">
        <f t="array" ref="D97">MMS_Feedlot_Methane_Equations.VEERG_4_1_1_1__4_Stage3MethaneProductionAnaerobicLagoon_Title()</f>
        <v>Production of methane in treatment stage 3 MMS</v>
      </c>
    </row>
    <row r="98" spans="4:8" ht="20.100000000000001" customHeight="1" x14ac:dyDescent="0.25">
      <c r="D98" s="5" t="str" cm="1">
        <f t="array" ref="D98">MMS_Feedlot_Methane_Equations.VEERG_4_1_1_1__4_Stage3MethaneProductionAnaerobicLagoon_Source()</f>
        <v>VEERG 2026: 4.1.1.1, Equation (4)</v>
      </c>
    </row>
    <row r="99" spans="4:8" ht="20.100000000000001" customHeight="1" x14ac:dyDescent="0.25">
      <c r="D99" s="13" t="s">
        <v>27</v>
      </c>
      <c r="E99" s="13" t="str" cm="1">
        <f t="array" aca="1" ref="E99" ca="1">Common_InputFunctions.Utility_DisplayFunctionName(E120)</f>
        <v>=MMS_Feedlot_Methane_Equations.VEERG_4_1_1_1__4_Stage3MethaneProductionAnaerobicLagoon</v>
      </c>
    </row>
    <row r="100" spans="4:8" ht="20.100000000000001" customHeight="1" x14ac:dyDescent="0.25"/>
    <row r="101" spans="4:8" ht="20.100000000000001" customHeight="1" x14ac:dyDescent="0.25">
      <c r="D101" s="6"/>
    </row>
    <row r="102" spans="4:8" ht="20.100000000000001" customHeight="1" x14ac:dyDescent="0.25">
      <c r="D102" s="56" t="s">
        <v>30</v>
      </c>
      <c r="E102" s="1" t="str" cm="1">
        <f t="array" ref="E102">MMS_Feedlot_Methane_Equations.VEERG_4_1_1_1__4_Stage3MethaneProductionAnaerobicLagoon_Variable()</f>
        <v>M_jm1T3</v>
      </c>
    </row>
    <row r="103" spans="4:8" ht="20.100000000000001" customHeight="1" x14ac:dyDescent="0.25">
      <c r="D103" s="56" t="s">
        <v>20</v>
      </c>
      <c r="E103" s="57" t="str" cm="1">
        <f t="array" ref="E103">MMS_Feedlot_Methane_Equations.VEERG_4_1_1_1__4_Stage3MethaneProductionAnaerobicLagoon_Unit()</f>
        <v>kg CH4/head/day</v>
      </c>
    </row>
    <row r="104" spans="4:8" ht="20.100000000000001" customHeight="1" x14ac:dyDescent="0.25"/>
    <row r="105" spans="4:8" ht="20.100000000000001" customHeight="1" x14ac:dyDescent="0.25">
      <c r="D105" s="60" t="str" cm="1">
        <f t="array" ref="D105:E110">MMS_Feedlot_Methane_Equations.VEERG_4_1_1_1__4_Stage3MethaneProductionAnaerobicLagoon_Arguments()</f>
        <v>VS_j</v>
      </c>
      <c r="E105" s="61" t="str">
        <v>volatile solid production from feedlot cattle in each group j : kg/head/day</v>
      </c>
      <c r="F105" s="107"/>
      <c r="G105" s="62"/>
      <c r="H105" s="60" t="str">
        <f>"See " &amp; $D$27</f>
        <v>See M1_Table_VS_j</v>
      </c>
    </row>
    <row r="106" spans="4:8" ht="20.100000000000001" customHeight="1" x14ac:dyDescent="0.25">
      <c r="D106" s="60" t="str">
        <v>BO</v>
      </c>
      <c r="E106" s="61" t="str">
        <v>emissions potential : m3 CH4/kg VS</v>
      </c>
      <c r="F106" s="107"/>
      <c r="G106" s="62"/>
      <c r="H106" s="60">
        <f>'Constants - Feedlot'!$E$22</f>
        <v>0.19</v>
      </c>
    </row>
    <row r="107" spans="4:8" ht="20.100000000000001" customHeight="1" x14ac:dyDescent="0.25">
      <c r="D107" s="60" t="str">
        <v>MMS_m1T3</v>
      </c>
      <c r="E107" s="61" t="str">
        <v>fraction of manure to tertiary anaerobic lagoon system : fraction</v>
      </c>
      <c r="F107" s="107"/>
      <c r="G107" s="62"/>
      <c r="H107" s="60" t="str">
        <f>"See " &amp; D112</f>
        <v>See Table_MMS_m-1_T-3</v>
      </c>
    </row>
    <row r="108" spans="4:8" ht="20.100000000000001" customHeight="1" x14ac:dyDescent="0.25">
      <c r="D108" s="60" t="str">
        <v>MCF_im1</v>
      </c>
      <c r="E108" s="61" t="str">
        <v>methane conversion factor for temperature zone and anaerobic lagoon system : fraction</v>
      </c>
      <c r="F108" s="107"/>
      <c r="G108" s="62"/>
      <c r="H108" s="60">
        <f>HLOOKUP(H110, Table_SourceData_Feedlot_MCF[#All], 6, FALSE)</f>
        <v>0.75</v>
      </c>
    </row>
    <row r="109" spans="4:8" ht="20.100000000000001" customHeight="1" x14ac:dyDescent="0.25">
      <c r="D109" s="60" t="str">
        <v>rho</v>
      </c>
      <c r="E109" s="61" t="str">
        <v>density of methane : kg/m3</v>
      </c>
      <c r="F109" s="107"/>
      <c r="G109" s="62"/>
      <c r="H109" s="60">
        <f>'Constants - Common'!$D$175</f>
        <v>0.6784</v>
      </c>
    </row>
    <row r="110" spans="4:8" ht="20.100000000000001" customHeight="1" x14ac:dyDescent="0.25">
      <c r="D110" s="60" t="str">
        <v>i</v>
      </c>
      <c r="E110" s="61" t="str">
        <v>state</v>
      </c>
      <c r="F110" s="107"/>
      <c r="G110" s="62"/>
      <c r="H110" s="60" t="str">
        <f>Common_InputFunctions.Utility_LookupValueInTable('Input - Site'!$E$21,Table_AustralianStates[Common Name],Table_AustralianStates[Abbreviation])</f>
        <v>NSW</v>
      </c>
    </row>
    <row r="111" spans="4:8" ht="20.100000000000001" customHeight="1" x14ac:dyDescent="0.25"/>
    <row r="112" spans="4:8" ht="20.100000000000001" customHeight="1" x14ac:dyDescent="0.25">
      <c r="D112" s="105" t="s">
        <v>121</v>
      </c>
    </row>
    <row r="113" spans="3:18" ht="20.100000000000001" customHeight="1" x14ac:dyDescent="0.25">
      <c r="D113" s="104" t="s">
        <v>123</v>
      </c>
    </row>
    <row r="114" spans="3:18" ht="20.100000000000001" customHeight="1" x14ac:dyDescent="0.25">
      <c r="D114" s="54" t="s">
        <v>122</v>
      </c>
      <c r="E114" s="54" t="s">
        <v>148</v>
      </c>
      <c r="F114" s="54" t="s">
        <v>149</v>
      </c>
      <c r="G114" s="54" t="s">
        <v>150</v>
      </c>
    </row>
    <row r="115" spans="3:18" ht="20.100000000000001" customHeight="1" x14ac:dyDescent="0.25">
      <c r="D115" s="55" t="str">
        <f>'Input - Feedlot'!$D$41</f>
        <v>Anaerobic lagoon</v>
      </c>
      <c r="E115" s="55">
        <f>'Input - Feedlot'!E41</f>
        <v>0.02</v>
      </c>
      <c r="F115" s="55">
        <f>'Input - Feedlot'!F41</f>
        <v>0.02</v>
      </c>
      <c r="G115" s="55">
        <f>'Input - Feedlot'!G41</f>
        <v>0.02</v>
      </c>
      <c r="H115" s="2" t="s">
        <v>101</v>
      </c>
    </row>
    <row r="116" spans="3:18" ht="20.100000000000001" customHeight="1" x14ac:dyDescent="0.25"/>
    <row r="117" spans="3:18" ht="20.100000000000001" customHeight="1" x14ac:dyDescent="0.25">
      <c r="D117" s="105" t="s">
        <v>227</v>
      </c>
      <c r="M117" s="105" t="s">
        <v>229</v>
      </c>
    </row>
    <row r="118" spans="3:18" ht="20.100000000000001" customHeight="1" x14ac:dyDescent="0.25">
      <c r="D118" s="104" t="s">
        <v>228</v>
      </c>
      <c r="M118" s="104" t="s">
        <v>230</v>
      </c>
    </row>
    <row r="119" spans="3:18" ht="20.100000000000001" customHeight="1" x14ac:dyDescent="0.25">
      <c r="D119" s="54" t="s">
        <v>122</v>
      </c>
      <c r="E119" s="54" t="s">
        <v>148</v>
      </c>
      <c r="F119" s="54" t="s">
        <v>149</v>
      </c>
      <c r="G119" s="54" t="s">
        <v>150</v>
      </c>
      <c r="M119" s="54" t="s">
        <v>122</v>
      </c>
      <c r="N119" s="54" t="s">
        <v>148</v>
      </c>
      <c r="O119" s="54" t="s">
        <v>149</v>
      </c>
      <c r="P119" s="54" t="s">
        <v>150</v>
      </c>
    </row>
    <row r="120" spans="3:18" ht="20.100000000000001" customHeight="1" x14ac:dyDescent="0.25">
      <c r="D120" s="55" t="str">
        <f>'Input - Feedlot'!$D$41</f>
        <v>Anaerobic lagoon</v>
      </c>
      <c r="E120" s="55" cm="1">
        <f t="array" ref="E120">MMS_Feedlot_Methane_Equations.VEERG_4_1_1_1__4_Stage3MethaneProductionAnaerobicLagoon(D$30, $H$106,E115,$H$108,$H$109)</f>
        <v>3.2092010495999991E-3</v>
      </c>
      <c r="F120" s="55" cm="1">
        <f t="array" ref="F120">MMS_Feedlot_Methane_Equations.VEERG_4_1_1_1__4_Stage3MethaneProductionAnaerobicLagoon(E$30, $H$106,F115,$H$108,$H$109)</f>
        <v>3.3326318591999997E-3</v>
      </c>
      <c r="G120" s="55" cm="1">
        <f t="array" ref="G120">MMS_Feedlot_Methane_Equations.VEERG_4_1_1_1__4_Stage3MethaneProductionAnaerobicLagoon(F$30, $H$106,G115,$H$108,$H$109)</f>
        <v>2.530331596799999E-3</v>
      </c>
      <c r="H120" s="2" t="str">
        <f>$E$103</f>
        <v>kg CH4/head/day</v>
      </c>
      <c r="M120" s="55" t="str">
        <f>'Input - Feedlot'!$D$41</f>
        <v>Anaerobic lagoon</v>
      </c>
      <c r="N120" s="55" cm="1">
        <f t="array" ref="N120">MMS_Feedlot_Methane_Equations.VEERG_4_1_1_1__4_Stage3MethaneProductionAnaerobicLagoon(M$30, $H$106,E115,$H$108,$H$109)</f>
        <v>3.2092010495999991E-3</v>
      </c>
      <c r="O120" s="55" cm="1">
        <f t="array" ref="O120">MMS_Feedlot_Methane_Equations.VEERG_4_1_1_1__4_Stage3MethaneProductionAnaerobicLagoon(N$30, $H$106,F115,$H$108,$H$109)</f>
        <v>3.3326318591999997E-3</v>
      </c>
      <c r="P120" s="55" cm="1">
        <f t="array" ref="P120">MMS_Feedlot_Methane_Equations.VEERG_4_1_1_1__4_Stage3MethaneProductionAnaerobicLagoon(O$30, $H$106,G115,$H$108,$H$109)</f>
        <v>2.530331596799999E-3</v>
      </c>
      <c r="Q120" s="2" t="str">
        <f>$E$103</f>
        <v>kg CH4/head/day</v>
      </c>
    </row>
    <row r="121" spans="3:18" ht="20.100000000000001" customHeight="1" x14ac:dyDescent="0.25"/>
    <row r="122" spans="3:18" ht="20.100000000000001" customHeight="1" x14ac:dyDescent="0.25"/>
    <row r="123" spans="3:18" ht="20.100000000000001" customHeight="1" x14ac:dyDescent="0.25">
      <c r="C123" s="48"/>
      <c r="D123" s="48"/>
      <c r="E123" s="48"/>
      <c r="F123" s="48"/>
      <c r="G123" s="48"/>
      <c r="H123" s="48"/>
      <c r="I123" s="48"/>
      <c r="J123" s="48"/>
      <c r="L123" s="48"/>
      <c r="M123" s="48"/>
      <c r="N123" s="48"/>
      <c r="O123" s="48"/>
      <c r="P123" s="48"/>
      <c r="Q123" s="48"/>
      <c r="R123" s="48"/>
    </row>
    <row r="124" spans="3:18" ht="20.100000000000001" customHeight="1" x14ac:dyDescent="0.25">
      <c r="D124" s="6" t="str" cm="1">
        <f t="array" ref="D124">MMS_Feedlot_Methane_Equations.VEERG_4_1_1_1__1_TotalAnnualMethaneEmissions_Title()</f>
        <v>Total annual methane emissions from manure management</v>
      </c>
    </row>
    <row r="125" spans="3:18" ht="20.100000000000001" customHeight="1" x14ac:dyDescent="0.25">
      <c r="D125" s="5" t="str" cm="1">
        <f t="array" ref="D125">MMS_Feedlot_Methane_Equations.VEERG_4_1_1_1__1_TotalAnnualMethaneEmissions_Source()</f>
        <v>VEERG 2026: 4.1.1.1, Equation (1)</v>
      </c>
    </row>
    <row r="126" spans="3:18" ht="20.100000000000001" customHeight="1" x14ac:dyDescent="0.25">
      <c r="D126" s="13" t="s">
        <v>27</v>
      </c>
      <c r="E126" s="13" t="str" cm="1">
        <f t="array" aca="1" ref="E126" ca="1">Common_InputFunctions.Utility_DisplayFunctionName(F158)</f>
        <v>=MMS_Feedlot_Methane_Equations.VEERG_4_1_1_1__1_TotalAnnualMethaneEmissions</v>
      </c>
    </row>
    <row r="127" spans="3:18" ht="20.100000000000001" customHeight="1" x14ac:dyDescent="0.25"/>
    <row r="128" spans="3:18" ht="20.100000000000001" customHeight="1" x14ac:dyDescent="0.25">
      <c r="D128" s="6"/>
    </row>
    <row r="129" spans="4:17" ht="20.100000000000001" customHeight="1" x14ac:dyDescent="0.25"/>
    <row r="130" spans="4:17" ht="20.100000000000001" customHeight="1" x14ac:dyDescent="0.25">
      <c r="D130" s="56" t="s">
        <v>30</v>
      </c>
      <c r="E130" s="1" t="str" cm="1">
        <f t="array" ref="E130">MMS_Feedlot_Methane_Equations.VEERG_4_1_1_1__1_TotalAnnualMethaneEmissions_Variable()</f>
        <v>E_CH4</v>
      </c>
    </row>
    <row r="131" spans="4:17" ht="20.100000000000001" customHeight="1" x14ac:dyDescent="0.25">
      <c r="D131" s="56" t="s">
        <v>20</v>
      </c>
      <c r="E131" s="57" t="str" cm="1">
        <f t="array" ref="E131">MMS_Feedlot_Methane_Equations.VEERG_4_1_1_1__1_TotalAnnualMethaneEmissions_Unit()</f>
        <v>t CH4</v>
      </c>
    </row>
    <row r="132" spans="4:17" ht="20.100000000000001" customHeight="1" x14ac:dyDescent="0.25"/>
    <row r="133" spans="4:17" ht="20.100000000000001" customHeight="1" x14ac:dyDescent="0.25">
      <c r="D133" s="60" t="str" cm="1">
        <f t="array" ref="D133:E135">MMS_Feedlot_Methane_Equations.VEERG_4_1_1_1__1_TotalAnnualMethaneEmissions_Arguments()</f>
        <v>D_j</v>
      </c>
      <c r="E133" s="61" t="str">
        <v>length of stay of each cattle group : days</v>
      </c>
      <c r="F133" s="107"/>
      <c r="G133" s="62"/>
      <c r="H133" s="60" t="str">
        <f>"See " &amp; $D$137</f>
        <v>See Table_D_j</v>
      </c>
    </row>
    <row r="134" spans="4:17" ht="20.100000000000001" customHeight="1" x14ac:dyDescent="0.25">
      <c r="D134" s="60" t="str">
        <v>M_jmT</v>
      </c>
      <c r="E134" s="61" t="str">
        <v>methane production from manure per cattle group, MMS, and treatment stage : kg CH4/head/day</v>
      </c>
      <c r="F134" s="107"/>
      <c r="G134" s="62"/>
      <c r="H134" s="60" t="str">
        <f>"See " &amp; $D$142</f>
        <v>See M1_Table_M_j_m_T</v>
      </c>
    </row>
    <row r="135" spans="4:17" ht="20.100000000000001" customHeight="1" x14ac:dyDescent="0.25">
      <c r="D135" s="60" t="str">
        <v>N_j</v>
      </c>
      <c r="E135" s="61" t="str">
        <v>numbers of beef cattle in each group : head</v>
      </c>
      <c r="F135" s="107"/>
      <c r="G135" s="62"/>
      <c r="H135" s="60" t="str">
        <f>"See " &amp; $D$150</f>
        <v>See Table_N_j</v>
      </c>
    </row>
    <row r="136" spans="4:17" ht="20.100000000000001" customHeight="1" x14ac:dyDescent="0.25"/>
    <row r="137" spans="4:17" ht="20.100000000000001" customHeight="1" x14ac:dyDescent="0.25">
      <c r="D137" s="105" t="s">
        <v>130</v>
      </c>
    </row>
    <row r="138" spans="4:17" ht="20.100000000000001" customHeight="1" x14ac:dyDescent="0.25">
      <c r="D138" s="104" t="s">
        <v>125</v>
      </c>
    </row>
    <row r="139" spans="4:17" ht="20.100000000000001" customHeight="1" x14ac:dyDescent="0.25">
      <c r="D139" s="54" t="s">
        <v>148</v>
      </c>
      <c r="E139" s="54" t="s">
        <v>149</v>
      </c>
      <c r="F139" s="54" t="s">
        <v>150</v>
      </c>
    </row>
    <row r="140" spans="4:17" ht="20.100000000000001" customHeight="1" x14ac:dyDescent="0.25">
      <c r="D140" s="109">
        <f>'Input - Feedlot'!$E$9</f>
        <v>90</v>
      </c>
      <c r="E140" s="109">
        <f>'Input - Feedlot'!$F$9</f>
        <v>140</v>
      </c>
      <c r="F140" s="109">
        <f>'Input - Feedlot'!$G$9</f>
        <v>250</v>
      </c>
      <c r="G140" s="2" t="s">
        <v>55</v>
      </c>
    </row>
    <row r="141" spans="4:17" ht="20.100000000000001" customHeight="1" x14ac:dyDescent="0.25"/>
    <row r="142" spans="4:17" ht="20.100000000000001" customHeight="1" x14ac:dyDescent="0.25">
      <c r="D142" s="105" t="s">
        <v>231</v>
      </c>
      <c r="M142" s="105" t="s">
        <v>233</v>
      </c>
    </row>
    <row r="143" spans="4:17" ht="20.100000000000001" customHeight="1" x14ac:dyDescent="0.25">
      <c r="D143" s="104" t="s">
        <v>232</v>
      </c>
      <c r="M143" s="104" t="s">
        <v>234</v>
      </c>
    </row>
    <row r="144" spans="4:17" ht="20.100000000000001" customHeight="1" x14ac:dyDescent="0.25">
      <c r="D144" s="54" t="s">
        <v>134</v>
      </c>
      <c r="E144" s="54" t="s">
        <v>68</v>
      </c>
      <c r="F144" s="54" t="s">
        <v>148</v>
      </c>
      <c r="G144" s="54" t="s">
        <v>149</v>
      </c>
      <c r="H144" s="54" t="s">
        <v>150</v>
      </c>
      <c r="M144" s="54" t="s">
        <v>134</v>
      </c>
      <c r="N144" s="54" t="s">
        <v>68</v>
      </c>
      <c r="O144" s="54" t="s">
        <v>148</v>
      </c>
      <c r="P144" s="54" t="s">
        <v>149</v>
      </c>
      <c r="Q144" s="54" t="s">
        <v>150</v>
      </c>
    </row>
    <row r="145" spans="4:18" ht="20.100000000000001" customHeight="1" x14ac:dyDescent="0.25">
      <c r="D145" s="55">
        <v>1</v>
      </c>
      <c r="E145" s="55" t="str">
        <f>'Input - Feedlot'!$D$29</f>
        <v>Drylot (feed pad)</v>
      </c>
      <c r="F145" s="55">
        <f>$E$57</f>
        <v>2.1394673663999997E-3</v>
      </c>
      <c r="G145" s="55">
        <f>$F$57</f>
        <v>2.2217545727999995E-3</v>
      </c>
      <c r="H145" s="55">
        <f>$G$57</f>
        <v>1.6868877311999992E-3</v>
      </c>
      <c r="I145" s="2" t="s">
        <v>135</v>
      </c>
      <c r="M145" s="55">
        <v>1</v>
      </c>
      <c r="N145" s="55" t="str">
        <f>'Input - Feedlot'!$D$29</f>
        <v>Drylot (feed pad)</v>
      </c>
      <c r="O145" s="55">
        <f>$N$57</f>
        <v>2.1394673663999997E-3</v>
      </c>
      <c r="P145" s="55">
        <f>$O$57</f>
        <v>2.2217545727999995E-3</v>
      </c>
      <c r="Q145" s="55">
        <f>$P$57</f>
        <v>1.6868877311999992E-3</v>
      </c>
      <c r="R145" s="2" t="s">
        <v>135</v>
      </c>
    </row>
    <row r="146" spans="4:18" ht="20.100000000000001" customHeight="1" x14ac:dyDescent="0.25">
      <c r="D146" s="55">
        <v>2</v>
      </c>
      <c r="E146" s="55" t="str">
        <f>'Input - Feedlot'!$D$35</f>
        <v>Solid storage</v>
      </c>
      <c r="F146" s="55">
        <f>$E$92</f>
        <v>4.2789347327999993E-4</v>
      </c>
      <c r="G146" s="55">
        <f>$F$92</f>
        <v>4.4435091455999993E-4</v>
      </c>
      <c r="H146" s="55">
        <f>$G$92</f>
        <v>3.3737754623999993E-4</v>
      </c>
      <c r="I146" s="2" t="s">
        <v>135</v>
      </c>
      <c r="M146" s="55">
        <v>2</v>
      </c>
      <c r="N146" s="55" t="str">
        <f>'Input - Feedlot'!$D$35</f>
        <v>Solid storage</v>
      </c>
      <c r="O146" s="55">
        <f>$N$92</f>
        <v>4.2789347327999993E-4</v>
      </c>
      <c r="P146" s="55">
        <f>$O$92</f>
        <v>4.4435091455999993E-4</v>
      </c>
      <c r="Q146" s="55">
        <f>$P$92</f>
        <v>3.3737754623999993E-4</v>
      </c>
      <c r="R146" s="2" t="s">
        <v>135</v>
      </c>
    </row>
    <row r="147" spans="4:18" ht="20.100000000000001" customHeight="1" x14ac:dyDescent="0.25">
      <c r="D147" s="55">
        <v>2</v>
      </c>
      <c r="E147" s="55" t="str">
        <f>'Input - Feedlot'!$D$36</f>
        <v>Composting (passive windrow)</v>
      </c>
      <c r="F147" s="55">
        <f>$E$93</f>
        <v>8.5578694655999985E-4</v>
      </c>
      <c r="G147" s="55">
        <f>$F$93</f>
        <v>8.8870182911999986E-4</v>
      </c>
      <c r="H147" s="55">
        <f>$G$93</f>
        <v>6.7475509247999987E-4</v>
      </c>
      <c r="I147" s="2" t="s">
        <v>135</v>
      </c>
      <c r="M147" s="55">
        <v>2</v>
      </c>
      <c r="N147" s="55" t="str">
        <f>'Input - Feedlot'!$D$36</f>
        <v>Composting (passive windrow)</v>
      </c>
      <c r="O147" s="55">
        <f>$N$93</f>
        <v>8.5578694655999985E-4</v>
      </c>
      <c r="P147" s="55">
        <f>$O$93</f>
        <v>8.8870182911999986E-4</v>
      </c>
      <c r="Q147" s="55">
        <f>$P$93</f>
        <v>6.7475509247999987E-4</v>
      </c>
      <c r="R147" s="2" t="s">
        <v>135</v>
      </c>
    </row>
    <row r="148" spans="4:18" ht="20.100000000000001" customHeight="1" x14ac:dyDescent="0.25">
      <c r="D148" s="55">
        <v>3</v>
      </c>
      <c r="E148" s="55" t="str">
        <f>'Input - Feedlot'!$D$41</f>
        <v>Anaerobic lagoon</v>
      </c>
      <c r="F148" s="55">
        <f>$E$120</f>
        <v>3.2092010495999991E-3</v>
      </c>
      <c r="G148" s="55">
        <f>$F$120</f>
        <v>3.3326318591999997E-3</v>
      </c>
      <c r="H148" s="55">
        <f>$G$120</f>
        <v>2.530331596799999E-3</v>
      </c>
      <c r="I148" s="2" t="s">
        <v>135</v>
      </c>
      <c r="M148" s="55">
        <v>3</v>
      </c>
      <c r="N148" s="55" t="str">
        <f>'Input - Feedlot'!$D$41</f>
        <v>Anaerobic lagoon</v>
      </c>
      <c r="O148" s="55">
        <f>$N$120</f>
        <v>3.2092010495999991E-3</v>
      </c>
      <c r="P148" s="55">
        <f>$O$120</f>
        <v>3.3326318591999997E-3</v>
      </c>
      <c r="Q148" s="55">
        <f>$P$120</f>
        <v>2.530331596799999E-3</v>
      </c>
      <c r="R148" s="2" t="s">
        <v>135</v>
      </c>
    </row>
    <row r="149" spans="4:18" ht="20.100000000000001" customHeight="1" x14ac:dyDescent="0.25"/>
    <row r="150" spans="4:18" ht="20.100000000000001" customHeight="1" x14ac:dyDescent="0.25">
      <c r="D150" s="105" t="s">
        <v>131</v>
      </c>
    </row>
    <row r="151" spans="4:18" ht="20.100000000000001" customHeight="1" x14ac:dyDescent="0.25">
      <c r="D151" s="104" t="s">
        <v>132</v>
      </c>
    </row>
    <row r="152" spans="4:18" ht="20.100000000000001" customHeight="1" x14ac:dyDescent="0.25">
      <c r="D152" s="54" t="s">
        <v>148</v>
      </c>
      <c r="E152" s="54" t="s">
        <v>149</v>
      </c>
      <c r="F152" s="54" t="s">
        <v>150</v>
      </c>
    </row>
    <row r="153" spans="4:18" ht="20.100000000000001" customHeight="1" x14ac:dyDescent="0.25">
      <c r="D153" s="109">
        <f>'Input - Feedlot'!$E$8</f>
        <v>4300</v>
      </c>
      <c r="E153" s="109">
        <f>'Input - Feedlot'!$F$8</f>
        <v>100</v>
      </c>
      <c r="F153" s="109">
        <f>'Input - Feedlot'!$G$8</f>
        <v>100</v>
      </c>
      <c r="G153" s="2" t="s">
        <v>133</v>
      </c>
    </row>
    <row r="154" spans="4:18" ht="20.100000000000001" customHeight="1" x14ac:dyDescent="0.25"/>
    <row r="155" spans="4:18" ht="20.100000000000001" customHeight="1" x14ac:dyDescent="0.25">
      <c r="D155" s="105" t="s">
        <v>137</v>
      </c>
      <c r="M155" s="105" t="s">
        <v>137</v>
      </c>
    </row>
    <row r="156" spans="4:18" ht="20.100000000000001" customHeight="1" x14ac:dyDescent="0.25">
      <c r="D156" s="104" t="s">
        <v>138</v>
      </c>
      <c r="M156" s="104" t="s">
        <v>138</v>
      </c>
    </row>
    <row r="157" spans="4:18" ht="20.100000000000001" customHeight="1" x14ac:dyDescent="0.25">
      <c r="D157" s="54" t="s">
        <v>134</v>
      </c>
      <c r="E157" s="54" t="s">
        <v>68</v>
      </c>
      <c r="F157" s="54" t="s">
        <v>148</v>
      </c>
      <c r="G157" s="54" t="s">
        <v>149</v>
      </c>
      <c r="H157" s="54" t="s">
        <v>150</v>
      </c>
      <c r="M157" s="54" t="s">
        <v>134</v>
      </c>
      <c r="N157" s="54" t="s">
        <v>68</v>
      </c>
      <c r="O157" s="54" t="s">
        <v>148</v>
      </c>
      <c r="P157" s="54" t="s">
        <v>149</v>
      </c>
      <c r="Q157" s="54" t="s">
        <v>150</v>
      </c>
    </row>
    <row r="158" spans="4:18" ht="20.100000000000001" customHeight="1" x14ac:dyDescent="0.25">
      <c r="D158" s="55">
        <v>1</v>
      </c>
      <c r="E158" s="55" t="str">
        <f>'Input - Feedlot'!$D$29</f>
        <v>Drylot (feed pad)</v>
      </c>
      <c r="F158" s="55" cm="1">
        <f t="array" ref="F158">MMS_Feedlot_Methane_Equations.VEERG_4_1_1_1__1_TotalAnnualMethaneEmissions(D$140, F145, D$153)</f>
        <v>0.82797387079679996</v>
      </c>
      <c r="G158" s="55" cm="1">
        <f t="array" ref="G158">MMS_Feedlot_Methane_Equations.VEERG_4_1_1_1__1_TotalAnnualMethaneEmissions(E$140, G145, E$153)</f>
        <v>3.1104564019199994E-2</v>
      </c>
      <c r="H158" s="55" cm="1">
        <f t="array" ref="H158">MMS_Feedlot_Methane_Equations.VEERG_4_1_1_1__1_TotalAnnualMethaneEmissions(F$140, H145, F$153)</f>
        <v>4.2172193279999978E-2</v>
      </c>
      <c r="I158" s="2" t="str">
        <f>$E$131</f>
        <v>t CH4</v>
      </c>
      <c r="M158" s="55">
        <v>1</v>
      </c>
      <c r="N158" s="55" t="str">
        <f>'Input - Feedlot'!$D$29</f>
        <v>Drylot (feed pad)</v>
      </c>
      <c r="O158" s="55" cm="1">
        <f t="array" ref="O158">MMS_Feedlot_Methane_Equations.VEERG_4_1_1_1__1_TotalAnnualMethaneEmissions(D$140, O145, D$153)</f>
        <v>0.82797387079679996</v>
      </c>
      <c r="P158" s="55" cm="1">
        <f t="array" ref="P158">MMS_Feedlot_Methane_Equations.VEERG_4_1_1_1__1_TotalAnnualMethaneEmissions(E$140, P145, E$153)</f>
        <v>3.1104564019199994E-2</v>
      </c>
      <c r="Q158" s="55" cm="1">
        <f t="array" ref="Q158">MMS_Feedlot_Methane_Equations.VEERG_4_1_1_1__1_TotalAnnualMethaneEmissions(F$140, Q145, F$153)</f>
        <v>4.2172193279999978E-2</v>
      </c>
      <c r="R158" s="2" t="str">
        <f t="shared" ref="R158:R161" si="2">$E$131</f>
        <v>t CH4</v>
      </c>
    </row>
    <row r="159" spans="4:18" ht="20.100000000000001" customHeight="1" x14ac:dyDescent="0.25">
      <c r="D159" s="55">
        <v>2</v>
      </c>
      <c r="E159" s="55" t="str">
        <f>'Input - Feedlot'!$D$35</f>
        <v>Solid storage</v>
      </c>
      <c r="F159" s="55" cm="1">
        <f t="array" ref="F159">MMS_Feedlot_Methane_Equations.VEERG_4_1_1_1__1_TotalAnnualMethaneEmissions(D$140, F146, D$153)</f>
        <v>0.16559477415936</v>
      </c>
      <c r="G159" s="55" cm="1">
        <f t="array" ref="G159">MMS_Feedlot_Methane_Equations.VEERG_4_1_1_1__1_TotalAnnualMethaneEmissions(E$140, G146, E$153)</f>
        <v>6.2209128038399984E-3</v>
      </c>
      <c r="H159" s="55" cm="1">
        <f t="array" ref="H159">MMS_Feedlot_Methane_Equations.VEERG_4_1_1_1__1_TotalAnnualMethaneEmissions(F$140, H146, F$153)</f>
        <v>8.4344386559999981E-3</v>
      </c>
      <c r="I159" s="2" t="str">
        <f t="shared" ref="I159:I161" si="3">$E$131</f>
        <v>t CH4</v>
      </c>
      <c r="M159" s="55">
        <v>2</v>
      </c>
      <c r="N159" s="55" t="str">
        <f>'Input - Feedlot'!$D$35</f>
        <v>Solid storage</v>
      </c>
      <c r="O159" s="55" cm="1">
        <f t="array" ref="O159">MMS_Feedlot_Methane_Equations.VEERG_4_1_1_1__1_TotalAnnualMethaneEmissions(D$140, O146, D$153)</f>
        <v>0.16559477415936</v>
      </c>
      <c r="P159" s="55" cm="1">
        <f t="array" ref="P159">MMS_Feedlot_Methane_Equations.VEERG_4_1_1_1__1_TotalAnnualMethaneEmissions(E$140, P146, E$153)</f>
        <v>6.2209128038399984E-3</v>
      </c>
      <c r="Q159" s="55" cm="1">
        <f t="array" ref="Q159">MMS_Feedlot_Methane_Equations.VEERG_4_1_1_1__1_TotalAnnualMethaneEmissions(F$140, Q146, F$153)</f>
        <v>8.4344386559999981E-3</v>
      </c>
      <c r="R159" s="2" t="str">
        <f t="shared" si="2"/>
        <v>t CH4</v>
      </c>
    </row>
    <row r="160" spans="4:18" ht="20.100000000000001" customHeight="1" x14ac:dyDescent="0.25">
      <c r="D160" s="55">
        <v>2</v>
      </c>
      <c r="E160" s="55" t="str">
        <f>'Input - Feedlot'!$D$36</f>
        <v>Composting (passive windrow)</v>
      </c>
      <c r="F160" s="55" cm="1">
        <f t="array" ref="F160">MMS_Feedlot_Methane_Equations.VEERG_4_1_1_1__1_TotalAnnualMethaneEmissions(D$140, F147, D$153)</f>
        <v>0.33118954831872</v>
      </c>
      <c r="G160" s="55" cm="1">
        <f t="array" ref="G160">MMS_Feedlot_Methane_Equations.VEERG_4_1_1_1__1_TotalAnnualMethaneEmissions(E$140, G147, E$153)</f>
        <v>1.2441825607679997E-2</v>
      </c>
      <c r="H160" s="55" cm="1">
        <f t="array" ref="H160">MMS_Feedlot_Methane_Equations.VEERG_4_1_1_1__1_TotalAnnualMethaneEmissions(F$140, H147, F$153)</f>
        <v>1.6868877311999996E-2</v>
      </c>
      <c r="I160" s="2" t="str">
        <f t="shared" si="3"/>
        <v>t CH4</v>
      </c>
      <c r="M160" s="55">
        <v>2</v>
      </c>
      <c r="N160" s="55" t="str">
        <f>'Input - Feedlot'!$D$36</f>
        <v>Composting (passive windrow)</v>
      </c>
      <c r="O160" s="55" cm="1">
        <f t="array" ref="O160">MMS_Feedlot_Methane_Equations.VEERG_4_1_1_1__1_TotalAnnualMethaneEmissions(D$140, O147, D$153)</f>
        <v>0.33118954831872</v>
      </c>
      <c r="P160" s="55" cm="1">
        <f t="array" ref="P160">MMS_Feedlot_Methane_Equations.VEERG_4_1_1_1__1_TotalAnnualMethaneEmissions(E$140, P147, E$153)</f>
        <v>1.2441825607679997E-2</v>
      </c>
      <c r="Q160" s="55" cm="1">
        <f t="array" ref="Q160">MMS_Feedlot_Methane_Equations.VEERG_4_1_1_1__1_TotalAnnualMethaneEmissions(F$140, Q147, F$153)</f>
        <v>1.6868877311999996E-2</v>
      </c>
      <c r="R160" s="2" t="str">
        <f t="shared" si="2"/>
        <v>t CH4</v>
      </c>
    </row>
    <row r="161" spans="4:18" ht="20.100000000000001" customHeight="1" x14ac:dyDescent="0.25">
      <c r="D161" s="55">
        <v>3</v>
      </c>
      <c r="E161" s="55" t="str">
        <f>'Input - Feedlot'!$D$41</f>
        <v>Anaerobic lagoon</v>
      </c>
      <c r="F161" s="55" cm="1">
        <f t="array" ref="F161">MMS_Feedlot_Methane_Equations.VEERG_4_1_1_1__1_TotalAnnualMethaneEmissions(D$140, F148, D$153)</f>
        <v>1.2419608061951997</v>
      </c>
      <c r="G161" s="55" cm="1">
        <f t="array" ref="G161">MMS_Feedlot_Methane_Equations.VEERG_4_1_1_1__1_TotalAnnualMethaneEmissions(E$140, G148, E$153)</f>
        <v>4.6656846028799999E-2</v>
      </c>
      <c r="H161" s="55" cm="1">
        <f t="array" ref="H161">MMS_Feedlot_Methane_Equations.VEERG_4_1_1_1__1_TotalAnnualMethaneEmissions(F$140, H148, F$153)</f>
        <v>6.3258289919999974E-2</v>
      </c>
      <c r="I161" s="2" t="str">
        <f t="shared" si="3"/>
        <v>t CH4</v>
      </c>
      <c r="M161" s="55">
        <v>3</v>
      </c>
      <c r="N161" s="55" t="str">
        <f>'Input - Feedlot'!$D$41</f>
        <v>Anaerobic lagoon</v>
      </c>
      <c r="O161" s="55" cm="1">
        <f t="array" ref="O161">MMS_Feedlot_Methane_Equations.VEERG_4_1_1_1__1_TotalAnnualMethaneEmissions(D$140, O148, D$153)</f>
        <v>1.2419608061951997</v>
      </c>
      <c r="P161" s="55" cm="1">
        <f t="array" ref="P161">MMS_Feedlot_Methane_Equations.VEERG_4_1_1_1__1_TotalAnnualMethaneEmissions(E$140, P148, E$153)</f>
        <v>4.6656846028799999E-2</v>
      </c>
      <c r="Q161" s="55" cm="1">
        <f t="array" ref="Q161">MMS_Feedlot_Methane_Equations.VEERG_4_1_1_1__1_TotalAnnualMethaneEmissions(F$140, Q148, F$153)</f>
        <v>6.3258289919999974E-2</v>
      </c>
      <c r="R161" s="2" t="str">
        <f t="shared" si="2"/>
        <v>t CH4</v>
      </c>
    </row>
    <row r="162" spans="4:18" ht="20.100000000000001" customHeight="1" x14ac:dyDescent="0.25"/>
    <row r="163" spans="4:18" ht="20.100000000000001" customHeight="1" x14ac:dyDescent="0.25"/>
    <row r="164" spans="4:18" ht="20.100000000000001" customHeight="1" x14ac:dyDescent="0.25">
      <c r="D164" s="110" t="s">
        <v>235</v>
      </c>
      <c r="E164" s="111">
        <f>SUM(F158:H161)</f>
        <v>2.7938769470975995</v>
      </c>
      <c r="F164" s="112" t="str">
        <f>$E$131</f>
        <v>t CH4</v>
      </c>
      <c r="M164" s="110" t="s">
        <v>236</v>
      </c>
      <c r="N164" s="111">
        <f>SUM(O158:Q161)</f>
        <v>2.7938769470975995</v>
      </c>
      <c r="O164" s="112" t="str">
        <f>$E$131</f>
        <v>t CH4</v>
      </c>
    </row>
    <row r="165" spans="4:18" ht="20.100000000000001" customHeight="1" x14ac:dyDescent="0.25"/>
    <row r="166" spans="4:18" x14ac:dyDescent="0.25">
      <c r="D166" s="60" t="str" cm="1">
        <f t="array" ref="D166:E167">Common_Equations.Common_ConvertCH4ToCO2e_Arguments()</f>
        <v>ECH4</v>
      </c>
      <c r="E166" s="61" t="str">
        <v>Methane emissions (t CH4)</v>
      </c>
      <c r="F166" s="113"/>
      <c r="G166" s="55">
        <f>E164</f>
        <v>2.7938769470975995</v>
      </c>
      <c r="H166" s="2" t="str">
        <f>$E$131</f>
        <v>t CH4</v>
      </c>
      <c r="M166" s="60" t="str" cm="1">
        <f t="array" ref="M166:N167">Common_Equations.Common_ConvertCH4ToCO2e_Arguments()</f>
        <v>ECH4</v>
      </c>
      <c r="N166" s="61" t="str">
        <v>Methane emissions (t CH4)</v>
      </c>
      <c r="O166" s="113"/>
      <c r="P166" s="55">
        <f>N164</f>
        <v>2.7938769470975995</v>
      </c>
      <c r="Q166" s="2" t="str">
        <f>$E$131</f>
        <v>t CH4</v>
      </c>
    </row>
    <row r="167" spans="4:18" x14ac:dyDescent="0.25">
      <c r="D167" s="60" t="str">
        <v>GWPCH4</v>
      </c>
      <c r="E167" s="61" t="str">
        <v>Global warming potential for methane (t CO2-e / t CH4)</v>
      </c>
      <c r="F167" s="113"/>
      <c r="G167" s="55">
        <f>Common_InputFunctions.Utility_LookupValueInTableNumber("CH4",Table_GWPData[Gas],Table_GWPData[CO2-e factor])</f>
        <v>28</v>
      </c>
      <c r="M167" s="60" t="str">
        <v>GWPCH4</v>
      </c>
      <c r="N167" s="61" t="str">
        <v>Global warming potential for methane (t CO2-e / t CH4)</v>
      </c>
      <c r="O167" s="113"/>
      <c r="P167" s="55">
        <f>Common_InputFunctions.Utility_LookupValueInTableNumber("CH4",Table_GWPData[Gas],Table_GWPData[CO2-e factor])</f>
        <v>28</v>
      </c>
    </row>
    <row r="169" spans="4:18" ht="18.75" x14ac:dyDescent="0.25">
      <c r="D169" s="48" t="s">
        <v>237</v>
      </c>
      <c r="E169" s="48" cm="1">
        <f t="array" ref="E169">Common_Equations.Common_ConvertCH4ToCO2e(G166,G167)</f>
        <v>78.228554518732778</v>
      </c>
      <c r="F169" s="114" t="str" cm="1">
        <f t="array" ref="F169">Common_Equations.Common_ConvertN2OToCO2e_Unit()</f>
        <v>t CO2e</v>
      </c>
      <c r="M169" s="48" t="s">
        <v>238</v>
      </c>
      <c r="N169" s="48" cm="1">
        <f t="array" ref="N169">Common_Equations.Common_ConvertCH4ToCO2e(P166,P167)</f>
        <v>78.228554518732778</v>
      </c>
      <c r="O169" s="114" t="str" cm="1">
        <f t="array" ref="O169">Common_Equations.Common_ConvertN2OToCO2e_Unit()</f>
        <v>t CO2e</v>
      </c>
    </row>
  </sheetData>
  <dataValidations disablePrompts="1" count="1">
    <dataValidation operator="equal" allowBlank="1" showInputMessage="1" showErrorMessage="1" sqref="E52:G52 E57:G57 E115:G115 E120:G120 D140:F140 D153:F153 N57:P57 N120:P120" xr:uid="{AF7BB680-B75F-4AE8-AA2D-EDF03FCB10D8}"/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652C6-038D-41EC-BA1B-216C9E3A60D3}">
  <dimension ref="A1:Q217"/>
  <sheetViews>
    <sheetView showGridLines="0" topLeftCell="A179" workbookViewId="0">
      <selection activeCell="D207" sqref="D207:G21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71" t="e" vm="1">
        <v>#VALUE!</v>
      </c>
      <c r="C1" s="8" t="s">
        <v>294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K3" s="4"/>
      <c r="L3" s="4" t="s">
        <v>171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MMS_Feedlot_N2ODirect_Equations.VEERG_4_1_1_3__5_NitrogenIntake_Title()</f>
        <v>Nitrogen intake of feedlot cattle</v>
      </c>
    </row>
    <row r="6" spans="1:17" ht="20.100000000000001" customHeight="1" x14ac:dyDescent="0.25">
      <c r="A6" s="20" t="s">
        <v>3</v>
      </c>
      <c r="D6" s="5" t="str" cm="1">
        <f t="array" ref="D6">MMS_Feedlot_N2ODirect_Equations.VEERG_4_1_1_3__5_NitrogenIntake_Source()</f>
        <v>VEERG 2026: 4.1.1.3, Equation (5)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140</v>
      </c>
      <c r="E7" s="13" t="str" cm="1">
        <f t="array" aca="1" ref="E7" ca="1">Common_InputFunctions.Utility_DisplayFunctionName(D30)</f>
        <v>=MMS_Feedlot_N2ODirect_Equations.VEERG_4_1_1_3__5_NitrogenIntake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  <c r="D10" s="56" t="s">
        <v>30</v>
      </c>
      <c r="E10" s="1" t="str" cm="1">
        <f t="array" ref="E10">MMS_Feedlot_N2ODirect_Equations.VEERG_4_1_1_3__5_NitrogenIntake_Variable()</f>
        <v>NI_j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20</v>
      </c>
      <c r="E11" s="57" t="str" cm="1">
        <f t="array" ref="E11">MMS_Feedlot_N2ODirect_Equations.VEERG_4_1_1_3__5_NitrogenIntake_Unit()</f>
        <v>kg N/head/day</v>
      </c>
    </row>
    <row r="12" spans="1:17" ht="20.100000000000001" customHeight="1" x14ac:dyDescent="0.25">
      <c r="A12" s="22" t="str">
        <f>HYPERLINK("#'4.1.1.3-4 Direct N20'!A1", "4.1.1.3-4 Direct N2O")</f>
        <v>4.1.1.3-4 Direct N2O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  <c r="D13" s="60" t="str" cm="1">
        <f t="array" ref="D13:E15">MMS_Feedlot_N2ODirect_Equations.VEERG_4_1_1_3__5_NitrogenIntake_Arguments()</f>
        <v>I_j</v>
      </c>
      <c r="E13" s="61" t="str">
        <v>dry matter intake : kg DM/head/day</v>
      </c>
      <c r="F13" s="62"/>
      <c r="G13" s="60" t="str">
        <f>"See " &amp;D17</f>
        <v>See M1_Table_I_j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>
        <v>CP_j</v>
      </c>
      <c r="E14" s="61" t="str">
        <v>crude protein content of feed : fraction</v>
      </c>
      <c r="F14" s="62"/>
      <c r="G14" s="60" t="str">
        <f>"See " &amp; D22</f>
        <v>See M1_Table_CP_j</v>
      </c>
    </row>
    <row r="15" spans="1:17" ht="20.100000000000001" customHeight="1" x14ac:dyDescent="0.25">
      <c r="D15" s="60" t="str">
        <v>6.25</v>
      </c>
      <c r="E15" s="61" t="str">
        <v>factor for converting crude protein into nitrogen : ratio</v>
      </c>
      <c r="F15" s="62"/>
      <c r="G15" s="60" t="str">
        <f>D15</f>
        <v>6.25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160</v>
      </c>
      <c r="L17" s="105" t="s">
        <v>163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208</v>
      </c>
      <c r="L18" s="104" t="s">
        <v>209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54" t="s">
        <v>148</v>
      </c>
      <c r="E19" s="54" t="s">
        <v>149</v>
      </c>
      <c r="F19" s="54" t="s">
        <v>150</v>
      </c>
      <c r="L19" s="54" t="s">
        <v>148</v>
      </c>
      <c r="M19" s="54" t="s">
        <v>149</v>
      </c>
      <c r="N19" s="54" t="s">
        <v>150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>
        <f>'Input - Feedlot'!$E$14</f>
        <v>10.4</v>
      </c>
      <c r="E20" s="55">
        <f>'Input - Feedlot'!$F$14</f>
        <v>10.8</v>
      </c>
      <c r="F20" s="55">
        <f>'Input - Feedlot'!$G$14</f>
        <v>8.1999999999999993</v>
      </c>
      <c r="G20" s="2" t="s">
        <v>107</v>
      </c>
      <c r="H20" s="2"/>
      <c r="L20" s="55">
        <f>'Input - Feedlot'!$E$20</f>
        <v>10.4</v>
      </c>
      <c r="M20" s="55">
        <f>'Input - Feedlot'!$F$20</f>
        <v>10.8</v>
      </c>
      <c r="N20" s="55">
        <f>'Input - Feedlot'!$G$20</f>
        <v>8.1999999999999993</v>
      </c>
      <c r="O20" s="2" t="s">
        <v>107</v>
      </c>
      <c r="P20" s="2"/>
    </row>
    <row r="21" spans="1:16" ht="20.100000000000001" customHeight="1" x14ac:dyDescent="0.25"/>
    <row r="22" spans="1:16" ht="20.100000000000001" customHeight="1" x14ac:dyDescent="0.25">
      <c r="D22" s="105" t="s">
        <v>161</v>
      </c>
      <c r="L22" s="105" t="s">
        <v>164</v>
      </c>
    </row>
    <row r="23" spans="1:16" ht="20.100000000000001" customHeight="1" x14ac:dyDescent="0.25">
      <c r="D23" s="104" t="s">
        <v>207</v>
      </c>
      <c r="L23" s="104" t="s">
        <v>210</v>
      </c>
    </row>
    <row r="24" spans="1:16" ht="20.100000000000001" customHeight="1" x14ac:dyDescent="0.25">
      <c r="D24" s="54" t="s">
        <v>148</v>
      </c>
      <c r="E24" s="54" t="s">
        <v>149</v>
      </c>
      <c r="F24" s="54" t="s">
        <v>150</v>
      </c>
      <c r="L24" s="54" t="s">
        <v>148</v>
      </c>
      <c r="M24" s="54" t="s">
        <v>149</v>
      </c>
      <c r="N24" s="54" t="s">
        <v>150</v>
      </c>
    </row>
    <row r="25" spans="1:16" ht="20.100000000000001" customHeight="1" x14ac:dyDescent="0.25">
      <c r="D25" s="55">
        <f>'Input - Feedlot'!$E$16</f>
        <v>0.14000000000000001</v>
      </c>
      <c r="E25" s="55">
        <f>'Input - Feedlot'!$F$16</f>
        <v>0.12</v>
      </c>
      <c r="F25" s="55">
        <f>'Input - Feedlot'!$G$16</f>
        <v>0.12</v>
      </c>
      <c r="G25" s="2" t="s">
        <v>101</v>
      </c>
      <c r="H25" s="2"/>
      <c r="L25" s="55">
        <f>'Input - Feedlot'!$E$22</f>
        <v>0.14000000000000001</v>
      </c>
      <c r="M25" s="55">
        <f>'Input - Feedlot'!$F$22</f>
        <v>0.12</v>
      </c>
      <c r="N25" s="55">
        <f>'Input - Feedlot'!$G$22</f>
        <v>0.12</v>
      </c>
      <c r="O25" s="2" t="s">
        <v>101</v>
      </c>
      <c r="P25" s="2"/>
    </row>
    <row r="26" spans="1:16" ht="20.100000000000001" customHeight="1" x14ac:dyDescent="0.25"/>
    <row r="27" spans="1:16" ht="20.100000000000001" customHeight="1" x14ac:dyDescent="0.25">
      <c r="D27" s="105" t="s">
        <v>162</v>
      </c>
      <c r="L27" s="105" t="s">
        <v>165</v>
      </c>
    </row>
    <row r="28" spans="1:16" ht="20.100000000000001" customHeight="1" x14ac:dyDescent="0.25">
      <c r="D28" s="104" t="s">
        <v>206</v>
      </c>
      <c r="L28" s="104" t="s">
        <v>211</v>
      </c>
    </row>
    <row r="29" spans="1:16" ht="20.100000000000001" customHeight="1" x14ac:dyDescent="0.25">
      <c r="D29" s="54" t="s">
        <v>148</v>
      </c>
      <c r="E29" s="54" t="s">
        <v>149</v>
      </c>
      <c r="F29" s="54" t="s">
        <v>150</v>
      </c>
      <c r="L29" s="54" t="s">
        <v>148</v>
      </c>
      <c r="M29" s="54" t="s">
        <v>149</v>
      </c>
      <c r="N29" s="54" t="s">
        <v>150</v>
      </c>
    </row>
    <row r="30" spans="1:16" ht="20.100000000000001" customHeight="1" x14ac:dyDescent="0.25">
      <c r="D30" s="55" cm="1">
        <f t="array" ref="D30">MMS_Feedlot_N2ODirect_Equations.VEERG_4_1_1_3__5_NitrogenIntake(D20,D25)</f>
        <v>0.23296000000000003</v>
      </c>
      <c r="E30" s="55" cm="1">
        <f t="array" ref="E30">MMS_Feedlot_N2ODirect_Equations.VEERG_4_1_1_3__5_NitrogenIntake(E20,E25)</f>
        <v>0.20736000000000002</v>
      </c>
      <c r="F30" s="55" cm="1">
        <f t="array" ref="F30">MMS_Feedlot_N2ODirect_Equations.VEERG_4_1_1_3__5_NitrogenIntake(F20,F25)</f>
        <v>0.15743999999999997</v>
      </c>
      <c r="G30" s="2" t="str">
        <f>$E$11</f>
        <v>kg N/head/day</v>
      </c>
      <c r="H30" s="2"/>
      <c r="L30" s="55" cm="1">
        <f t="array" ref="L30">MMS_Feedlot_N2ODirect_Equations.VEERG_4_1_1_3__5_NitrogenIntake(L20,L25)</f>
        <v>0.23296000000000003</v>
      </c>
      <c r="M30" s="55" cm="1">
        <f t="array" ref="M30">MMS_Feedlot_N2ODirect_Equations.VEERG_4_1_1_3__5_NitrogenIntake(M20,M25)</f>
        <v>0.20736000000000002</v>
      </c>
      <c r="N30" s="55" cm="1">
        <f t="array" ref="N30">MMS_Feedlot_N2ODirect_Equations.VEERG_4_1_1_3__5_NitrogenIntake(N20,N25)</f>
        <v>0.15743999999999997</v>
      </c>
      <c r="O30" s="2" t="str">
        <f>$E$11</f>
        <v>kg N/head/day</v>
      </c>
      <c r="P30" s="2"/>
    </row>
    <row r="31" spans="1:16" ht="20.100000000000001" customHeight="1" x14ac:dyDescent="0.25"/>
    <row r="32" spans="1:16" ht="20.100000000000001" customHeight="1" x14ac:dyDescent="0.25"/>
    <row r="33" spans="3:17" ht="20.100000000000001" customHeight="1" x14ac:dyDescent="0.25">
      <c r="C33" s="48"/>
      <c r="D33" s="48"/>
      <c r="E33" s="48"/>
      <c r="F33" s="48"/>
      <c r="G33" s="48"/>
      <c r="H33" s="48"/>
      <c r="I33" s="48"/>
      <c r="K33" s="48"/>
      <c r="L33" s="48"/>
      <c r="M33" s="48"/>
      <c r="N33" s="48"/>
      <c r="O33" s="48"/>
      <c r="P33" s="48"/>
      <c r="Q33" s="48"/>
    </row>
    <row r="34" spans="3:17" ht="20.100000000000001" customHeight="1" x14ac:dyDescent="0.25">
      <c r="D34" s="6" t="str" cm="1">
        <f t="array" ref="D34">MMS_Feedlot_N2ODirect_Equations.VEERG_4_1_1_3__4_NitrogenExcretionPerHead_Title()</f>
        <v>Nitrogen excretion per head per day</v>
      </c>
    </row>
    <row r="35" spans="3:17" ht="20.100000000000001" customHeight="1" x14ac:dyDescent="0.25">
      <c r="D35" s="5" t="str" cm="1">
        <f t="array" ref="D35">MMS_Feedlot_N2ODirect_Equations.VEERG_4_1_1_3__4_NitrogenExcretionPerHead_Source()</f>
        <v>VEERG 2026: 4.1.1.3, Equation (4)</v>
      </c>
    </row>
    <row r="36" spans="3:17" ht="20.100000000000001" customHeight="1" x14ac:dyDescent="0.25">
      <c r="D36" s="13" t="s">
        <v>27</v>
      </c>
      <c r="E36" s="13" t="str" cm="1">
        <f t="array" aca="1" ref="E36" ca="1">Common_InputFunctions.Utility_DisplayFunctionName(D54)</f>
        <v>=MMS_Feedlot_N2ODirect_Equations.VEERG_4_1_1_3__4_NitrogenExcretionPerHead</v>
      </c>
    </row>
    <row r="37" spans="3:17" ht="20.100000000000001" customHeight="1" x14ac:dyDescent="0.25"/>
    <row r="38" spans="3:17" ht="20.100000000000001" customHeight="1" x14ac:dyDescent="0.25">
      <c r="D38" s="6"/>
    </row>
    <row r="39" spans="3:17" ht="20.100000000000001" customHeight="1" x14ac:dyDescent="0.25"/>
    <row r="40" spans="3:17" ht="20.100000000000001" customHeight="1" x14ac:dyDescent="0.25">
      <c r="D40" s="56" t="s">
        <v>30</v>
      </c>
      <c r="E40" s="1" t="str" cm="1">
        <f t="array" ref="E40">MMS_Feedlot_N2ODirect_Equations.VEERG_4_1_1_3__4_NitrogenExcretionPerHead_Variable()</f>
        <v>NE_j</v>
      </c>
    </row>
    <row r="41" spans="3:17" ht="20.100000000000001" customHeight="1" x14ac:dyDescent="0.25">
      <c r="D41" s="56" t="s">
        <v>20</v>
      </c>
      <c r="E41" s="57" t="str" cm="1">
        <f t="array" ref="E41">MMS_Feedlot_N2ODirect_Equations.VEERG_4_1_1_3__4_NitrogenExcretionPerHead_Unit()</f>
        <v>kg N/head/day</v>
      </c>
    </row>
    <row r="42" spans="3:17" ht="20.100000000000001" customHeight="1" x14ac:dyDescent="0.25"/>
    <row r="43" spans="3:17" ht="20.100000000000001" customHeight="1" x14ac:dyDescent="0.25">
      <c r="D43" s="60" t="str" cm="1">
        <f t="array" ref="D43:E44">MMS_Feedlot_N2ODirect_Equations.VEERG_4_1_1_3__4_NitrogenExcretionPerHead_Arguments()</f>
        <v>NI_j</v>
      </c>
      <c r="E43" s="61" t="str">
        <v>nitrogen intake : kg N/head/day</v>
      </c>
      <c r="F43" s="62"/>
      <c r="G43" s="60" t="str">
        <f>"See " &amp; D27</f>
        <v>See M1_Table_NI_j</v>
      </c>
    </row>
    <row r="44" spans="3:17" ht="20.100000000000001" customHeight="1" x14ac:dyDescent="0.25">
      <c r="D44" s="60" t="str">
        <v>NR_j</v>
      </c>
      <c r="E44" s="61" t="str">
        <v>nitrogen retention expressed as a fraction of intake : fraction</v>
      </c>
      <c r="F44" s="62"/>
      <c r="G44" s="60" t="str">
        <f>"See " &amp; D46</f>
        <v>See M1_Table_NR_j</v>
      </c>
    </row>
    <row r="45" spans="3:17" ht="20.100000000000001" customHeight="1" x14ac:dyDescent="0.25"/>
    <row r="46" spans="3:17" ht="20.100000000000001" customHeight="1" x14ac:dyDescent="0.25">
      <c r="D46" s="105" t="s">
        <v>166</v>
      </c>
      <c r="E46" s="117" t="s">
        <v>247</v>
      </c>
      <c r="L46" s="105" t="s">
        <v>167</v>
      </c>
      <c r="M46" s="117" t="s">
        <v>247</v>
      </c>
    </row>
    <row r="47" spans="3:17" ht="20.100000000000001" customHeight="1" x14ac:dyDescent="0.25">
      <c r="D47" s="104" t="s">
        <v>204</v>
      </c>
      <c r="L47" s="104" t="s">
        <v>205</v>
      </c>
    </row>
    <row r="48" spans="3:17" ht="20.100000000000001" customHeight="1" x14ac:dyDescent="0.25">
      <c r="D48" s="54" t="s">
        <v>148</v>
      </c>
      <c r="E48" s="54" t="s">
        <v>149</v>
      </c>
      <c r="F48" s="54" t="s">
        <v>150</v>
      </c>
      <c r="L48" s="54" t="s">
        <v>148</v>
      </c>
      <c r="M48" s="54" t="s">
        <v>149</v>
      </c>
      <c r="N48" s="54" t="s">
        <v>150</v>
      </c>
    </row>
    <row r="49" spans="3:17" ht="20.100000000000001" customHeight="1" x14ac:dyDescent="0.25">
      <c r="D49" s="55">
        <f>'Input - Feedlot'!$E$17/100</f>
        <v>0.20399999999999999</v>
      </c>
      <c r="E49" s="55">
        <f>'Input - Feedlot'!$F$17/100</f>
        <v>0.127</v>
      </c>
      <c r="F49" s="55">
        <f>'Input - Feedlot'!$G$17/100</f>
        <v>7.0000000000000007E-2</v>
      </c>
      <c r="G49" s="2" t="s">
        <v>172</v>
      </c>
      <c r="H49" s="2"/>
      <c r="L49" s="55">
        <f>'Input - Feedlot'!$E$23/100</f>
        <v>0.20399999999999999</v>
      </c>
      <c r="M49" s="55">
        <f>'Input - Feedlot'!$F$23/100</f>
        <v>0.127</v>
      </c>
      <c r="N49" s="55">
        <f>'Input - Feedlot'!$G$23/100</f>
        <v>7.0000000000000007E-2</v>
      </c>
      <c r="O49" s="2" t="s">
        <v>101</v>
      </c>
      <c r="P49" s="2"/>
    </row>
    <row r="50" spans="3:17" ht="20.100000000000001" customHeight="1" x14ac:dyDescent="0.25"/>
    <row r="51" spans="3:17" ht="20.100000000000001" customHeight="1" x14ac:dyDescent="0.25">
      <c r="D51" s="105" t="s">
        <v>168</v>
      </c>
      <c r="L51" s="105" t="s">
        <v>169</v>
      </c>
    </row>
    <row r="52" spans="3:17" ht="20.100000000000001" customHeight="1" x14ac:dyDescent="0.25">
      <c r="D52" s="104" t="s">
        <v>204</v>
      </c>
      <c r="L52" s="104" t="s">
        <v>205</v>
      </c>
    </row>
    <row r="53" spans="3:17" ht="20.100000000000001" customHeight="1" x14ac:dyDescent="0.25">
      <c r="D53" s="54" t="s">
        <v>148</v>
      </c>
      <c r="E53" s="54" t="s">
        <v>149</v>
      </c>
      <c r="F53" s="54" t="s">
        <v>150</v>
      </c>
      <c r="L53" s="54" t="s">
        <v>148</v>
      </c>
      <c r="M53" s="54" t="s">
        <v>149</v>
      </c>
      <c r="N53" s="54" t="s">
        <v>150</v>
      </c>
    </row>
    <row r="54" spans="3:17" ht="20.100000000000001" customHeight="1" x14ac:dyDescent="0.25">
      <c r="D54" s="55" cm="1">
        <f t="array" ref="D54">MMS_Feedlot_N2ODirect_Equations.VEERG_4_1_1_3__4_NitrogenExcretionPerHead(D30,D49)</f>
        <v>0.18543616000000004</v>
      </c>
      <c r="E54" s="55" cm="1">
        <f t="array" ref="E54">MMS_Feedlot_N2ODirect_Equations.VEERG_4_1_1_3__4_NitrogenExcretionPerHead(E30,E49)</f>
        <v>0.18102528000000001</v>
      </c>
      <c r="F54" s="55" cm="1">
        <f t="array" ref="F54">MMS_Feedlot_N2ODirect_Equations.VEERG_4_1_1_3__4_NitrogenExcretionPerHead(F30,F49)</f>
        <v>0.14641919999999997</v>
      </c>
      <c r="G54" s="2" t="str">
        <f>$E$41</f>
        <v>kg N/head/day</v>
      </c>
      <c r="H54" s="2"/>
      <c r="L54" s="55" cm="1">
        <f t="array" ref="L54">MMS_Feedlot_N2ODirect_Equations.VEERG_4_1_1_3__4_NitrogenExcretionPerHead(L30,L49)</f>
        <v>0.18543616000000004</v>
      </c>
      <c r="M54" s="55" cm="1">
        <f t="array" ref="M54">MMS_Feedlot_N2ODirect_Equations.VEERG_4_1_1_3__4_NitrogenExcretionPerHead(M30,M49)</f>
        <v>0.18102528000000001</v>
      </c>
      <c r="N54" s="55" cm="1">
        <f t="array" ref="N54">MMS_Feedlot_N2ODirect_Equations.VEERG_4_1_1_3__4_NitrogenExcretionPerHead(N30,N49)</f>
        <v>0.14641919999999997</v>
      </c>
      <c r="O54" s="2" t="str">
        <f>$E$41</f>
        <v>kg N/head/day</v>
      </c>
      <c r="P54" s="2"/>
    </row>
    <row r="55" spans="3:17" ht="20.100000000000001" customHeight="1" x14ac:dyDescent="0.25"/>
    <row r="56" spans="3:17" ht="20.100000000000001" customHeight="1" x14ac:dyDescent="0.25"/>
    <row r="57" spans="3:17" ht="20.100000000000001" customHeight="1" x14ac:dyDescent="0.25">
      <c r="C57" s="48"/>
      <c r="D57" s="48"/>
      <c r="E57" s="48"/>
      <c r="F57" s="48"/>
      <c r="G57" s="48"/>
      <c r="H57" s="48"/>
      <c r="I57" s="48"/>
      <c r="K57" s="48"/>
      <c r="L57" s="48"/>
      <c r="M57" s="48"/>
      <c r="N57" s="48"/>
      <c r="O57" s="48"/>
      <c r="P57" s="48"/>
      <c r="Q57" s="48"/>
    </row>
    <row r="58" spans="3:17" ht="20.100000000000001" customHeight="1" x14ac:dyDescent="0.25">
      <c r="D58" s="6" t="str" cm="1">
        <f t="array" ref="D58">MMS_Feedlot_N2ODirect_Equations.VEERG_4_1_1_3__3_AnnualNitrogenExcretion_Title()</f>
        <v>Annual nitrogen excretion from each feedlot cattle group</v>
      </c>
    </row>
    <row r="59" spans="3:17" ht="20.100000000000001" customHeight="1" x14ac:dyDescent="0.25">
      <c r="D59" s="5" t="str" cm="1">
        <f t="array" ref="D59">MMS_Feedlot_N2ODirect_Equations.VEERG_4_1_1_3__3_AnnualNitrogenExcretion_Source()</f>
        <v>VEERG 2026: 4.1.1.3, Equation (3)</v>
      </c>
    </row>
    <row r="60" spans="3:17" ht="20.100000000000001" customHeight="1" x14ac:dyDescent="0.25">
      <c r="D60" s="13" t="s">
        <v>27</v>
      </c>
      <c r="E60" s="13" t="str" cm="1">
        <f t="array" aca="1" ref="E60" ca="1">Common_InputFunctions.Utility_DisplayFunctionName(D83)</f>
        <v>=MMS_Feedlot_N2ODirect_Equations.VEERG_4_1_1_3__3_AnnualNitrogenExcretion</v>
      </c>
    </row>
    <row r="61" spans="3:17" ht="20.100000000000001" customHeight="1" x14ac:dyDescent="0.25"/>
    <row r="62" spans="3:17" ht="20.100000000000001" customHeight="1" x14ac:dyDescent="0.25">
      <c r="D62" s="6"/>
    </row>
    <row r="63" spans="3:17" ht="20.100000000000001" customHeight="1" x14ac:dyDescent="0.25">
      <c r="D63" s="56" t="s">
        <v>30</v>
      </c>
      <c r="E63" s="1" t="str" cm="1">
        <f t="array" ref="E63">MMS_Feedlot_N2ODirect_Equations.VEERG_4_1_1_3__3_AnnualNitrogenExcretion_Variable()</f>
        <v>AE_j</v>
      </c>
    </row>
    <row r="64" spans="3:17" ht="20.100000000000001" customHeight="1" x14ac:dyDescent="0.25">
      <c r="D64" s="56" t="s">
        <v>20</v>
      </c>
      <c r="E64" s="57" t="str" cm="1">
        <f t="array" ref="E64">MMS_Feedlot_N2ODirect_Equations.VEERG_4_1_1_3__3_AnnualNitrogenExcretion_Unit()</f>
        <v>kg N</v>
      </c>
    </row>
    <row r="65" spans="4:12" ht="20.100000000000001" customHeight="1" x14ac:dyDescent="0.25"/>
    <row r="66" spans="4:12" ht="20.100000000000001" customHeight="1" x14ac:dyDescent="0.25">
      <c r="D66" s="118" t="str" cm="1">
        <f t="array" ref="D66:E68">MMS_Feedlot_N2ODirect_Equations.VEERG_4_1_1_3__3_AnnualNitrogenExcretion_Arguments()</f>
        <v>N_j</v>
      </c>
      <c r="E66" s="120" t="str">
        <v>number of cattle in each group : head</v>
      </c>
      <c r="F66" s="119"/>
      <c r="G66" s="118" t="str">
        <f>"See " &amp; D70</f>
        <v>See Table_N_j</v>
      </c>
    </row>
    <row r="67" spans="4:12" ht="20.100000000000001" customHeight="1" x14ac:dyDescent="0.25">
      <c r="D67" s="118" t="str">
        <v>NE_j</v>
      </c>
      <c r="E67" s="120" t="str">
        <v>nitrogen excretion : kg N/head/day</v>
      </c>
      <c r="F67" s="119"/>
      <c r="G67" s="118" t="str">
        <f>"See " &amp; D51</f>
        <v>See M1_Table_NE_j</v>
      </c>
    </row>
    <row r="68" spans="4:12" ht="20.100000000000001" customHeight="1" x14ac:dyDescent="0.25">
      <c r="D68" s="118" t="str">
        <v>D_j</v>
      </c>
      <c r="E68" s="120" t="str">
        <v>duration of stay of cattle group : days</v>
      </c>
      <c r="F68" s="119"/>
      <c r="G68" s="118" t="str">
        <f>"See " &amp; D75</f>
        <v>See Table_D_j</v>
      </c>
    </row>
    <row r="69" spans="4:12" ht="20.100000000000001" customHeight="1" x14ac:dyDescent="0.25"/>
    <row r="70" spans="4:12" ht="20.100000000000001" customHeight="1" x14ac:dyDescent="0.25">
      <c r="D70" s="105" t="s">
        <v>131</v>
      </c>
    </row>
    <row r="71" spans="4:12" ht="20.100000000000001" customHeight="1" x14ac:dyDescent="0.25">
      <c r="D71" s="104" t="s">
        <v>132</v>
      </c>
    </row>
    <row r="72" spans="4:12" ht="20.100000000000001" customHeight="1" x14ac:dyDescent="0.25">
      <c r="D72" s="54" t="s">
        <v>148</v>
      </c>
      <c r="E72" s="54" t="s">
        <v>149</v>
      </c>
      <c r="F72" s="54" t="s">
        <v>150</v>
      </c>
    </row>
    <row r="73" spans="4:12" ht="20.100000000000001" customHeight="1" x14ac:dyDescent="0.25">
      <c r="D73" s="109">
        <f>'Input - Feedlot'!$E$8</f>
        <v>4300</v>
      </c>
      <c r="E73" s="109">
        <f>'Input - Feedlot'!$F$8</f>
        <v>100</v>
      </c>
      <c r="F73" s="109">
        <f>'Input - Feedlot'!$G$8</f>
        <v>100</v>
      </c>
      <c r="G73" s="2" t="s">
        <v>133</v>
      </c>
      <c r="H73" s="2"/>
    </row>
    <row r="74" spans="4:12" ht="20.100000000000001" customHeight="1" x14ac:dyDescent="0.25"/>
    <row r="75" spans="4:12" ht="20.100000000000001" customHeight="1" x14ac:dyDescent="0.25">
      <c r="D75" s="105" t="s">
        <v>130</v>
      </c>
    </row>
    <row r="76" spans="4:12" ht="20.100000000000001" customHeight="1" x14ac:dyDescent="0.25">
      <c r="D76" s="104" t="s">
        <v>125</v>
      </c>
    </row>
    <row r="77" spans="4:12" ht="20.100000000000001" customHeight="1" x14ac:dyDescent="0.25">
      <c r="D77" s="54" t="s">
        <v>148</v>
      </c>
      <c r="E77" s="54" t="s">
        <v>149</v>
      </c>
      <c r="F77" s="54" t="s">
        <v>150</v>
      </c>
    </row>
    <row r="78" spans="4:12" ht="20.100000000000001" customHeight="1" x14ac:dyDescent="0.25">
      <c r="D78" s="109">
        <f>'Input - Feedlot'!$E$9</f>
        <v>90</v>
      </c>
      <c r="E78" s="109">
        <f>'Input - Feedlot'!$F$9</f>
        <v>140</v>
      </c>
      <c r="F78" s="109">
        <f>'Input - Feedlot'!$G$9</f>
        <v>250</v>
      </c>
      <c r="G78" s="2" t="s">
        <v>55</v>
      </c>
      <c r="H78" s="2"/>
    </row>
    <row r="79" spans="4:12" ht="20.100000000000001" customHeight="1" x14ac:dyDescent="0.25"/>
    <row r="80" spans="4:12" ht="20.100000000000001" customHeight="1" x14ac:dyDescent="0.25">
      <c r="D80" s="105" t="s">
        <v>173</v>
      </c>
      <c r="L80" s="105" t="s">
        <v>174</v>
      </c>
    </row>
    <row r="81" spans="3:17" ht="20.100000000000001" customHeight="1" x14ac:dyDescent="0.25">
      <c r="D81" s="104" t="s">
        <v>202</v>
      </c>
      <c r="L81" s="104" t="s">
        <v>203</v>
      </c>
    </row>
    <row r="82" spans="3:17" ht="20.100000000000001" customHeight="1" x14ac:dyDescent="0.25">
      <c r="D82" s="54" t="s">
        <v>148</v>
      </c>
      <c r="E82" s="54" t="s">
        <v>149</v>
      </c>
      <c r="F82" s="54" t="s">
        <v>150</v>
      </c>
      <c r="L82" s="54" t="s">
        <v>148</v>
      </c>
      <c r="M82" s="54" t="s">
        <v>149</v>
      </c>
      <c r="N82" s="54" t="s">
        <v>150</v>
      </c>
    </row>
    <row r="83" spans="3:17" ht="20.100000000000001" customHeight="1" x14ac:dyDescent="0.25">
      <c r="D83" s="109" cm="1">
        <f t="array" ref="D83">MMS_Feedlot_N2ODirect_Equations.VEERG_4_1_1_3__3_AnnualNitrogenExcretion(D73,D54,D78)</f>
        <v>71763.793920000026</v>
      </c>
      <c r="E83" s="109" cm="1">
        <f t="array" ref="E83">MMS_Feedlot_N2ODirect_Equations.VEERG_4_1_1_3__3_AnnualNitrogenExcretion(E73,E54,E78)</f>
        <v>2534.35392</v>
      </c>
      <c r="F83" s="109" cm="1">
        <f t="array" ref="F83">MMS_Feedlot_N2ODirect_Equations.VEERG_4_1_1_3__3_AnnualNitrogenExcretion(F73,F54,F78)</f>
        <v>3660.4799999999991</v>
      </c>
      <c r="G83" s="2" t="str">
        <f>$E$64</f>
        <v>kg N</v>
      </c>
      <c r="H83" s="2"/>
      <c r="L83" s="109" cm="1">
        <f t="array" ref="L83">MMS_Feedlot_N2ODirect_Equations.VEERG_4_1_1_3__3_AnnualNitrogenExcretion(D73,L54,D78)</f>
        <v>71763.793920000026</v>
      </c>
      <c r="M83" s="109" cm="1">
        <f t="array" ref="M83">MMS_Feedlot_N2ODirect_Equations.VEERG_4_1_1_3__3_AnnualNitrogenExcretion(E73,M54,E78)</f>
        <v>2534.35392</v>
      </c>
      <c r="N83" s="109" cm="1">
        <f t="array" ref="N83">MMS_Feedlot_N2ODirect_Equations.VEERG_4_1_1_3__3_AnnualNitrogenExcretion(F73,N54,F78)</f>
        <v>3660.4799999999991</v>
      </c>
      <c r="O83" s="2" t="str">
        <f>$E$64</f>
        <v>kg N</v>
      </c>
      <c r="P83" s="2"/>
    </row>
    <row r="84" spans="3:17" ht="20.100000000000001" customHeight="1" x14ac:dyDescent="0.25"/>
    <row r="85" spans="3:17" ht="20.100000000000001" customHeight="1" x14ac:dyDescent="0.25"/>
    <row r="86" spans="3:17" ht="20.100000000000001" customHeight="1" x14ac:dyDescent="0.25">
      <c r="C86" s="48"/>
      <c r="D86" s="48"/>
      <c r="E86" s="48"/>
      <c r="F86" s="48"/>
      <c r="G86" s="48"/>
      <c r="H86" s="48"/>
      <c r="I86" s="48"/>
      <c r="K86" s="48"/>
      <c r="L86" s="48"/>
      <c r="M86" s="48"/>
      <c r="N86" s="48"/>
      <c r="O86" s="48"/>
      <c r="P86" s="48"/>
      <c r="Q86" s="48"/>
    </row>
    <row r="87" spans="3:17" ht="20.100000000000001" customHeight="1" x14ac:dyDescent="0.25">
      <c r="D87" s="6" t="str" cm="1">
        <f t="array" ref="D87">MMS_Feedlot_N2ODirect_Equations.VEERG_4_1_1_3__2_Stage1NitrogenInMMSDrylot_Title()</f>
        <v>Nitrogen in treatment stage 1 MMS</v>
      </c>
    </row>
    <row r="88" spans="3:17" ht="20.100000000000001" customHeight="1" x14ac:dyDescent="0.25">
      <c r="D88" s="5" t="str" cm="1">
        <f t="array" ref="D88">MMS_Feedlot_N2ODirect_Equations.VEERG_4_1_1_3__2_Stage1NitrogenInMMSDrylot_Source()</f>
        <v>VEERG 2026: 4.1.1.3, Equation (2)</v>
      </c>
    </row>
    <row r="89" spans="3:17" ht="20.100000000000001" customHeight="1" x14ac:dyDescent="0.25">
      <c r="D89" s="13" t="s">
        <v>27</v>
      </c>
      <c r="E89" s="13" t="str" cm="1">
        <f t="array" aca="1" ref="E89" ca="1">Common_InputFunctions.Utility_DisplayFunctionName(E106)</f>
        <v>=MMS_Feedlot_N2ODirect_Equations.VEERG_4_1_1_3__2_Stage1NitrogenInMMSDrylot</v>
      </c>
    </row>
    <row r="90" spans="3:17" ht="20.100000000000001" customHeight="1" x14ac:dyDescent="0.25"/>
    <row r="91" spans="3:17" ht="20.100000000000001" customHeight="1" x14ac:dyDescent="0.25">
      <c r="D91" s="6"/>
    </row>
    <row r="92" spans="3:17" ht="20.100000000000001" customHeight="1" x14ac:dyDescent="0.25">
      <c r="D92" s="56" t="s">
        <v>30</v>
      </c>
      <c r="E92" s="1" t="str" cm="1">
        <f t="array" ref="E92">MMS_Feedlot_N2ODirect_Equations.VEERG_4_1_1_3__2_Stage1NitrogenInMMSDrylot_Variable()</f>
        <v>MN_jm5T1</v>
      </c>
    </row>
    <row r="93" spans="3:17" ht="20.100000000000001" customHeight="1" x14ac:dyDescent="0.25">
      <c r="D93" s="56" t="s">
        <v>20</v>
      </c>
      <c r="E93" s="57" t="str" cm="1">
        <f t="array" ref="E93">MMS_Feedlot_N2ODirect_Equations.VEERG_4_1_1_3__2_Stage1NitrogenInMMSDrylot_Unit()</f>
        <v>kg N</v>
      </c>
    </row>
    <row r="94" spans="3:17" ht="20.100000000000001" customHeight="1" x14ac:dyDescent="0.25"/>
    <row r="95" spans="3:17" ht="20.100000000000001" customHeight="1" x14ac:dyDescent="0.25">
      <c r="D95" s="60" t="str" cm="1">
        <f t="array" ref="D95:E96">MMS_Feedlot_N2ODirect_Equations.VEERG_4_1_1_3__2_Stage1NitrogenInMMSDrylot_Arguments()</f>
        <v>AE_j</v>
      </c>
      <c r="E95" s="61" t="str">
        <v>total nitrogen excreted by each cattle group : kg N</v>
      </c>
      <c r="F95" s="62"/>
      <c r="G95" s="60" t="str">
        <f>"See " &amp; $D$80</f>
        <v>See M1_Table_AE_j</v>
      </c>
    </row>
    <row r="96" spans="3:17" ht="20.100000000000001" customHeight="1" x14ac:dyDescent="0.25">
      <c r="D96" s="60" t="str">
        <v>MMS_jm5T1</v>
      </c>
      <c r="E96" s="61" t="str">
        <v>fraction of manure in primary system drylot MMS : fraction</v>
      </c>
      <c r="F96" s="62"/>
      <c r="G96" s="60" t="str">
        <f>"See " &amp; D98</f>
        <v>See Table_MMS_j_m-5_T-1</v>
      </c>
    </row>
    <row r="97" spans="3:17" ht="20.100000000000001" customHeight="1" x14ac:dyDescent="0.25"/>
    <row r="98" spans="3:17" ht="20.100000000000001" customHeight="1" x14ac:dyDescent="0.25">
      <c r="D98" s="105" t="s">
        <v>175</v>
      </c>
    </row>
    <row r="99" spans="3:17" ht="20.100000000000001" customHeight="1" x14ac:dyDescent="0.25">
      <c r="D99" s="104" t="s">
        <v>112</v>
      </c>
    </row>
    <row r="100" spans="3:17" ht="20.100000000000001" customHeight="1" x14ac:dyDescent="0.25">
      <c r="D100" s="54" t="s">
        <v>109</v>
      </c>
      <c r="E100" s="54" t="s">
        <v>148</v>
      </c>
      <c r="F100" s="54" t="s">
        <v>149</v>
      </c>
      <c r="G100" s="54" t="s">
        <v>150</v>
      </c>
    </row>
    <row r="101" spans="3:17" ht="20.100000000000001" customHeight="1" x14ac:dyDescent="0.25">
      <c r="D101" s="55" t="str">
        <f>'Input - Feedlot'!$D$29</f>
        <v>Drylot (feed pad)</v>
      </c>
      <c r="E101" s="55">
        <f>'Input - Feedlot'!$E$29</f>
        <v>1</v>
      </c>
      <c r="F101" s="55">
        <f>'Input - Feedlot'!$F$29</f>
        <v>1</v>
      </c>
      <c r="G101" s="55">
        <f>'Input - Feedlot'!$G$29</f>
        <v>1</v>
      </c>
      <c r="H101" s="2" t="s">
        <v>101</v>
      </c>
    </row>
    <row r="102" spans="3:17" ht="20.100000000000001" customHeight="1" x14ac:dyDescent="0.25"/>
    <row r="103" spans="3:17" ht="20.100000000000001" customHeight="1" x14ac:dyDescent="0.25">
      <c r="D103" s="105" t="s">
        <v>176</v>
      </c>
      <c r="L103" s="105" t="s">
        <v>177</v>
      </c>
    </row>
    <row r="104" spans="3:17" ht="20.100000000000001" customHeight="1" x14ac:dyDescent="0.25">
      <c r="D104" s="104" t="s">
        <v>200</v>
      </c>
      <c r="L104" s="104" t="s">
        <v>201</v>
      </c>
    </row>
    <row r="105" spans="3:17" ht="20.100000000000001" customHeight="1" x14ac:dyDescent="0.25">
      <c r="D105" s="54" t="s">
        <v>109</v>
      </c>
      <c r="E105" s="54" t="s">
        <v>148</v>
      </c>
      <c r="F105" s="54" t="s">
        <v>149</v>
      </c>
      <c r="G105" s="54" t="s">
        <v>150</v>
      </c>
      <c r="L105" s="54" t="s">
        <v>109</v>
      </c>
      <c r="M105" s="54" t="s">
        <v>148</v>
      </c>
      <c r="N105" s="54" t="s">
        <v>149</v>
      </c>
      <c r="O105" s="54" t="s">
        <v>150</v>
      </c>
    </row>
    <row r="106" spans="3:17" ht="20.100000000000001" customHeight="1" x14ac:dyDescent="0.25">
      <c r="D106" s="55" t="str">
        <f>'Input - Feedlot'!$D$29</f>
        <v>Drylot (feed pad)</v>
      </c>
      <c r="E106" s="55" cm="1">
        <f t="array" ref="E106">MMS_Feedlot_N2ODirect_Equations.VEERG_4_1_1_3__2_Stage1NitrogenInMMSDrylot(D83,E101)</f>
        <v>71763.793920000026</v>
      </c>
      <c r="F106" s="55" cm="1">
        <f t="array" ref="F106">MMS_Feedlot_N2ODirect_Equations.VEERG_4_1_1_3__2_Stage1NitrogenInMMSDrylot(E83,F101)</f>
        <v>2534.35392</v>
      </c>
      <c r="G106" s="55" cm="1">
        <f t="array" ref="G106">MMS_Feedlot_N2ODirect_Equations.VEERG_4_1_1_3__2_Stage1NitrogenInMMSDrylot(F83,G101)</f>
        <v>3660.4799999999991</v>
      </c>
      <c r="H106" s="2" t="str">
        <f>$E$93</f>
        <v>kg N</v>
      </c>
      <c r="L106" s="55" t="str">
        <f>'Input - Feedlot'!$D$29</f>
        <v>Drylot (feed pad)</v>
      </c>
      <c r="M106" s="55" cm="1">
        <f t="array" ref="M106">MMS_Feedlot_N2ODirect_Equations.VEERG_4_1_1_3__2_Stage1NitrogenInMMSDrylot(L83,E101)</f>
        <v>71763.793920000026</v>
      </c>
      <c r="N106" s="55" cm="1">
        <f t="array" ref="N106">MMS_Feedlot_N2ODirect_Equations.VEERG_4_1_1_3__2_Stage1NitrogenInMMSDrylot(M83,F101)</f>
        <v>2534.35392</v>
      </c>
      <c r="O106" s="55" cm="1">
        <f t="array" ref="O106">MMS_Feedlot_N2ODirect_Equations.VEERG_4_1_1_3__2_Stage1NitrogenInMMSDrylot(N83,G101)</f>
        <v>3660.4799999999991</v>
      </c>
      <c r="P106" s="2" t="str">
        <f>$E$93</f>
        <v>kg N</v>
      </c>
    </row>
    <row r="107" spans="3:17" ht="20.100000000000001" customHeight="1" x14ac:dyDescent="0.25"/>
    <row r="108" spans="3:17" ht="20.100000000000001" customHeight="1" x14ac:dyDescent="0.25"/>
    <row r="109" spans="3:17" ht="20.100000000000001" customHeight="1" x14ac:dyDescent="0.25">
      <c r="C109" s="48"/>
      <c r="D109" s="48"/>
      <c r="E109" s="48"/>
      <c r="F109" s="48"/>
      <c r="G109" s="48"/>
      <c r="H109" s="48"/>
      <c r="I109" s="48"/>
      <c r="K109" s="48"/>
      <c r="L109" s="48"/>
      <c r="M109" s="48"/>
      <c r="N109" s="48"/>
      <c r="O109" s="48"/>
      <c r="P109" s="48"/>
      <c r="Q109" s="48"/>
    </row>
    <row r="110" spans="3:17" ht="20.100000000000001" customHeight="1" x14ac:dyDescent="0.25">
      <c r="D110" s="6" t="str" cm="1">
        <f t="array" ref="D110">MMS_Feedlot_N2ODirect_Equations.VEERG_4_1_1_3__8_Stage3NitrogenInMMSAnaerobicLagoon_Title()</f>
        <v>Nitrogen in treatment stage 3 MMS</v>
      </c>
    </row>
    <row r="111" spans="3:17" ht="20.100000000000001" customHeight="1" x14ac:dyDescent="0.25">
      <c r="D111" s="5" t="str" cm="1">
        <f t="array" ref="D111">MMS_Feedlot_N2ODirect_Equations.VEERG_4_1_1_3__8_Stage3NitrogenInMMSAnaerobicLagoon_Source()</f>
        <v>VEERG 2026: 4.1.1.3, Equation (8)</v>
      </c>
    </row>
    <row r="112" spans="3:17" ht="20.100000000000001" customHeight="1" x14ac:dyDescent="0.25">
      <c r="D112" s="13" t="s">
        <v>27</v>
      </c>
      <c r="E112" s="13" t="str" cm="1">
        <f t="array" aca="1" ref="E112" ca="1">Common_InputFunctions.Utility_DisplayFunctionName(E138)</f>
        <v>=MMS_Feedlot_N2ODirect_Equations.VEERG_4_1_1_3__7_NitrogenTransferredToStage2_Variable</v>
      </c>
    </row>
    <row r="113" spans="4:15" ht="20.100000000000001" customHeight="1" x14ac:dyDescent="0.25">
      <c r="D113" s="6"/>
    </row>
    <row r="114" spans="4:15" ht="20.100000000000001" customHeight="1" x14ac:dyDescent="0.25"/>
    <row r="115" spans="4:15" ht="20.100000000000001" customHeight="1" x14ac:dyDescent="0.25">
      <c r="D115" s="56" t="s">
        <v>30</v>
      </c>
      <c r="E115" s="1" t="str" cm="1">
        <f t="array" ref="E115">MMS_Feedlot_N2ODirect_Equations.VEERG_4_1_1_3__8_Stage3NitrogenInMMSAnaerobicLagoon_Variable()</f>
        <v>MN_jm1T3</v>
      </c>
    </row>
    <row r="116" spans="4:15" ht="20.100000000000001" customHeight="1" x14ac:dyDescent="0.25">
      <c r="D116" s="56" t="s">
        <v>20</v>
      </c>
      <c r="E116" s="57" t="str" cm="1">
        <f t="array" ref="E116">MMS_Feedlot_N2ODirect_Equations.VEERG_4_1_1_3__8_Stage3NitrogenInMMSAnaerobicLagoon_Unit()</f>
        <v>kg N</v>
      </c>
    </row>
    <row r="117" spans="4:15" ht="20.100000000000001" customHeight="1" x14ac:dyDescent="0.25"/>
    <row r="118" spans="4:15" ht="20.100000000000001" customHeight="1" x14ac:dyDescent="0.25">
      <c r="D118" s="60" t="str" cm="1">
        <f t="array" ref="D118:E119">MMS_Feedlot_N2ODirect_Equations.VEERG_4_1_1_3__8_Stage3NitrogenInMMSAnaerobicLagoon_Arguments()</f>
        <v>AE_j</v>
      </c>
      <c r="E118" s="61" t="str">
        <v>total nitrogen excreted by each cattle group : kg N</v>
      </c>
      <c r="F118" s="62"/>
      <c r="G118" s="60" t="str">
        <f>"See " &amp; $D$80</f>
        <v>See M1_Table_AE_j</v>
      </c>
    </row>
    <row r="119" spans="4:15" ht="20.100000000000001" customHeight="1" x14ac:dyDescent="0.25">
      <c r="D119" s="60" t="str">
        <v>MMS_jm1T3</v>
      </c>
      <c r="E119" s="61" t="str">
        <v>fraction of manure to tertiary anaerobic lagoon system : fraction</v>
      </c>
      <c r="F119" s="62"/>
      <c r="G119" s="60" t="str">
        <f>"See " &amp; D121</f>
        <v>See Table_MMS_j_m-1_T-3</v>
      </c>
    </row>
    <row r="120" spans="4:15" ht="20.100000000000001" customHeight="1" x14ac:dyDescent="0.25"/>
    <row r="121" spans="4:15" ht="20.100000000000001" customHeight="1" x14ac:dyDescent="0.25">
      <c r="D121" s="105" t="s">
        <v>181</v>
      </c>
    </row>
    <row r="122" spans="4:15" ht="20.100000000000001" customHeight="1" x14ac:dyDescent="0.25">
      <c r="D122" s="104" t="s">
        <v>180</v>
      </c>
    </row>
    <row r="123" spans="4:15" ht="20.100000000000001" customHeight="1" x14ac:dyDescent="0.25">
      <c r="D123" s="54" t="s">
        <v>122</v>
      </c>
      <c r="E123" s="54" t="s">
        <v>148</v>
      </c>
      <c r="F123" s="54" t="s">
        <v>149</v>
      </c>
      <c r="G123" s="54" t="s">
        <v>150</v>
      </c>
    </row>
    <row r="124" spans="4:15" ht="20.100000000000001" customHeight="1" x14ac:dyDescent="0.25">
      <c r="D124" s="55" t="str">
        <f>'Input - Feedlot'!$D$41</f>
        <v>Anaerobic lagoon</v>
      </c>
      <c r="E124" s="55">
        <f>'Input - Feedlot'!$E$41</f>
        <v>0.02</v>
      </c>
      <c r="F124" s="55">
        <f>'Input - Feedlot'!$F$41</f>
        <v>0.02</v>
      </c>
      <c r="G124" s="55">
        <f>'Input - Feedlot'!$G$41</f>
        <v>0.02</v>
      </c>
      <c r="H124" s="2" t="s">
        <v>101</v>
      </c>
    </row>
    <row r="125" spans="4:15" ht="20.100000000000001" customHeight="1" x14ac:dyDescent="0.25"/>
    <row r="126" spans="4:15" ht="20.100000000000001" customHeight="1" x14ac:dyDescent="0.25">
      <c r="D126" s="105" t="s">
        <v>186</v>
      </c>
      <c r="L126" s="105" t="s">
        <v>187</v>
      </c>
    </row>
    <row r="127" spans="4:15" ht="20.100000000000001" customHeight="1" x14ac:dyDescent="0.25">
      <c r="D127" s="104" t="s">
        <v>198</v>
      </c>
      <c r="L127" s="104" t="s">
        <v>199</v>
      </c>
    </row>
    <row r="128" spans="4:15" ht="20.100000000000001" customHeight="1" x14ac:dyDescent="0.25">
      <c r="D128" s="54" t="s">
        <v>122</v>
      </c>
      <c r="E128" s="54" t="s">
        <v>148</v>
      </c>
      <c r="F128" s="54" t="s">
        <v>149</v>
      </c>
      <c r="G128" s="54" t="s">
        <v>150</v>
      </c>
      <c r="L128" s="54" t="s">
        <v>122</v>
      </c>
      <c r="M128" s="54" t="s">
        <v>148</v>
      </c>
      <c r="N128" s="54" t="s">
        <v>149</v>
      </c>
      <c r="O128" s="54" t="s">
        <v>150</v>
      </c>
    </row>
    <row r="129" spans="3:17" ht="20.100000000000001" customHeight="1" x14ac:dyDescent="0.25">
      <c r="D129" s="55" t="str">
        <f>'Input - Feedlot'!$D$41</f>
        <v>Anaerobic lagoon</v>
      </c>
      <c r="E129" s="55" cm="1">
        <f t="array" ref="E129">MMS_Feedlot_N2ODirect_Equations.VEERG_4_1_1_3__8_Stage3NitrogenInMMSAnaerobicLagoon(D83,E124)</f>
        <v>1435.2758784000005</v>
      </c>
      <c r="F129" s="55" cm="1">
        <f t="array" ref="F129">MMS_Feedlot_N2ODirect_Equations.VEERG_4_1_1_3__8_Stage3NitrogenInMMSAnaerobicLagoon(E83,F124)</f>
        <v>50.687078400000004</v>
      </c>
      <c r="G129" s="55" cm="1">
        <f t="array" ref="G129">MMS_Feedlot_N2ODirect_Equations.VEERG_4_1_1_3__8_Stage3NitrogenInMMSAnaerobicLagoon(F83,G124)</f>
        <v>73.20959999999998</v>
      </c>
      <c r="H129" s="2" t="str">
        <f>$E$116</f>
        <v>kg N</v>
      </c>
      <c r="L129" s="55" t="str">
        <f>'Input - Feedlot'!$D$41</f>
        <v>Anaerobic lagoon</v>
      </c>
      <c r="M129" s="55" cm="1">
        <f t="array" ref="M129">MMS_Feedlot_N2ODirect_Equations.VEERG_4_1_1_3__8_Stage3NitrogenInMMSAnaerobicLagoon(L83,E124)</f>
        <v>1435.2758784000005</v>
      </c>
      <c r="N129" s="55" cm="1">
        <f t="array" ref="N129">MMS_Feedlot_N2ODirect_Equations.VEERG_4_1_1_3__8_Stage3NitrogenInMMSAnaerobicLagoon(M83,F124)</f>
        <v>50.687078400000004</v>
      </c>
      <c r="O129" s="55" cm="1">
        <f t="array" ref="O129">MMS_Feedlot_N2ODirect_Equations.VEERG_4_1_1_3__8_Stage3NitrogenInMMSAnaerobicLagoon(N83,G124)</f>
        <v>73.20959999999998</v>
      </c>
      <c r="P129" s="2" t="str">
        <f>$E$116</f>
        <v>kg N</v>
      </c>
    </row>
    <row r="130" spans="3:17" ht="20.100000000000001" customHeight="1" x14ac:dyDescent="0.25"/>
    <row r="131" spans="3:17" ht="20.100000000000001" customHeight="1" x14ac:dyDescent="0.25"/>
    <row r="132" spans="3:17" ht="20.100000000000001" customHeight="1" x14ac:dyDescent="0.25">
      <c r="C132" s="48"/>
      <c r="D132" s="48"/>
      <c r="E132" s="48"/>
      <c r="F132" s="48"/>
      <c r="G132" s="48"/>
      <c r="H132" s="48"/>
      <c r="I132" s="48"/>
      <c r="K132" s="48"/>
      <c r="L132" s="48"/>
      <c r="M132" s="48"/>
      <c r="N132" s="48"/>
      <c r="O132" s="48"/>
      <c r="P132" s="48"/>
      <c r="Q132" s="48"/>
    </row>
    <row r="133" spans="3:17" ht="20.100000000000001" customHeight="1" x14ac:dyDescent="0.25">
      <c r="D133" s="6" t="str" cm="1">
        <f t="array" ref="D133">MMS_Feedlot_N2ODirect_Equations.VEERG_4_1_1_3__7_NitrogenTransferredToStage2_Title()</f>
        <v>Nitrogen transferred to treatment stage 2 MMS</v>
      </c>
    </row>
    <row r="134" spans="3:17" ht="20.100000000000001" customHeight="1" x14ac:dyDescent="0.25">
      <c r="D134" s="5" t="str" cm="1">
        <f t="array" ref="D134">MMS_Feedlot_N2ODirect_Equations.VEERG_4_1_1_3__7_NitrogenTransferredToStage2_Source()</f>
        <v>VEERG 2026: 4.1.1.3, Equation (7)</v>
      </c>
    </row>
    <row r="135" spans="3:17" ht="20.100000000000001" customHeight="1" x14ac:dyDescent="0.25">
      <c r="D135" s="13" t="s">
        <v>27</v>
      </c>
      <c r="E135" s="13" t="str" cm="1">
        <f t="array" aca="1" ref="E135" ca="1">Common_InputFunctions.Utility_DisplayFunctionName(D149)</f>
        <v>=MMS_Feedlot_N2ODirect_Equations.VEERG_4_1_1_3__7_NitrogenTransferredToStage2</v>
      </c>
    </row>
    <row r="136" spans="3:17" ht="20.100000000000001" customHeight="1" x14ac:dyDescent="0.25"/>
    <row r="137" spans="3:17" ht="20.100000000000001" customHeight="1" x14ac:dyDescent="0.25">
      <c r="D137" s="6"/>
    </row>
    <row r="138" spans="3:17" ht="20.100000000000001" customHeight="1" x14ac:dyDescent="0.25">
      <c r="D138" s="56" t="s">
        <v>30</v>
      </c>
      <c r="E138" s="1" t="str" cm="1">
        <f t="array" ref="E138">MMS_Feedlot_N2ODirect_Equations.VEERG_4_1_1_3__7_NitrogenTransferredToStage2_Variable()</f>
        <v>NT_jmT2</v>
      </c>
    </row>
    <row r="139" spans="3:17" ht="20.100000000000001" customHeight="1" x14ac:dyDescent="0.25">
      <c r="D139" s="56" t="s">
        <v>20</v>
      </c>
      <c r="E139" s="57" t="str" cm="1">
        <f t="array" ref="E139">MMS_Feedlot_N2ODirect_Equations.VEERG_4_1_1_3__7_NitrogenTransferredToStage2_Unit()</f>
        <v>kg N</v>
      </c>
    </row>
    <row r="140" spans="3:17" ht="20.100000000000001" customHeight="1" x14ac:dyDescent="0.25"/>
    <row r="141" spans="3:17" ht="20.100000000000001" customHeight="1" x14ac:dyDescent="0.25">
      <c r="D141" s="60" t="str" cm="1">
        <f t="array" ref="D141:E144">MMS_Feedlot_N2ODirect_Equations.VEERG_4_1_1_3__7_NitrogenTransferredToStage2_Arguments()</f>
        <v>MN_jm5T1</v>
      </c>
      <c r="E141" s="60" t="str">
        <v>nitrogen in MMS treatment stage 1 : kg N</v>
      </c>
      <c r="F141" s="60"/>
      <c r="G141" s="60" t="str">
        <f>"See " &amp; D103</f>
        <v>See M1_Table_MN_j_m-5_T-1</v>
      </c>
    </row>
    <row r="142" spans="3:17" ht="20.100000000000001" customHeight="1" x14ac:dyDescent="0.25">
      <c r="D142" s="60" t="str">
        <v>FracGASM_m5</v>
      </c>
      <c r="E142" s="60" t="str">
        <v>fraction of N volatilised from drylot MMS : fraction</v>
      </c>
      <c r="F142" s="60"/>
      <c r="G142" s="60">
        <f>'Constants - Feedlot'!$F$113</f>
        <v>0.6</v>
      </c>
    </row>
    <row r="143" spans="3:17" ht="20.100000000000001" customHeight="1" x14ac:dyDescent="0.25">
      <c r="D143" s="60" t="str">
        <v>EF_m5</v>
      </c>
      <c r="E143" s="60" t="str">
        <v>nitrous oxide emission factor for drylot MMS : kg N2O-N/kg N deposited</v>
      </c>
      <c r="F143" s="60"/>
      <c r="G143" s="60">
        <f>'Constants - Feedlot'!$F$101</f>
        <v>5.4000000000000003E-3</v>
      </c>
    </row>
    <row r="144" spans="3:17" ht="20.100000000000001" customHeight="1" x14ac:dyDescent="0.25">
      <c r="D144" s="60" t="str">
        <v>MN_jmT3</v>
      </c>
      <c r="E144" s="60" t="str">
        <v>nitrogen in MMS treatment stage 3 : kg N</v>
      </c>
      <c r="F144" s="60"/>
      <c r="G144" s="60" t="str">
        <f>"See " &amp; D126</f>
        <v>See M1_Table_MN_j_m-1_T-3</v>
      </c>
    </row>
    <row r="145" spans="3:17" ht="20.100000000000001" customHeight="1" x14ac:dyDescent="0.25"/>
    <row r="146" spans="3:17" ht="20.100000000000001" customHeight="1" x14ac:dyDescent="0.25">
      <c r="D146" s="105" t="s">
        <v>188</v>
      </c>
      <c r="L146" s="105" t="s">
        <v>189</v>
      </c>
    </row>
    <row r="147" spans="3:17" ht="20.100000000000001" customHeight="1" x14ac:dyDescent="0.25">
      <c r="D147" s="104" t="s">
        <v>196</v>
      </c>
      <c r="L147" s="104" t="s">
        <v>197</v>
      </c>
    </row>
    <row r="148" spans="3:17" ht="20.100000000000001" customHeight="1" x14ac:dyDescent="0.25">
      <c r="D148" s="54" t="s">
        <v>148</v>
      </c>
      <c r="E148" s="54" t="s">
        <v>149</v>
      </c>
      <c r="F148" s="54" t="s">
        <v>150</v>
      </c>
      <c r="L148" s="54" t="s">
        <v>148</v>
      </c>
      <c r="M148" s="54" t="s">
        <v>149</v>
      </c>
      <c r="N148" s="54" t="s">
        <v>150</v>
      </c>
    </row>
    <row r="149" spans="3:17" ht="20.100000000000001" customHeight="1" x14ac:dyDescent="0.25">
      <c r="D149" s="55" cm="1">
        <f t="array" ref="D149">MMS_Feedlot_N2ODirect_Equations.VEERG_4_1_1_3__7_NitrogenTransferredToStage2(E106,$G$142,$G$143,E129)</f>
        <v>26882.71720243201</v>
      </c>
      <c r="E149" s="55" cm="1">
        <f t="array" ref="E149">MMS_Feedlot_N2ODirect_Equations.VEERG_4_1_1_3__7_NitrogenTransferredToStage2(F106,$G$142,$G$143,F129)</f>
        <v>949.36897843199995</v>
      </c>
      <c r="F149" s="55" cm="1">
        <f t="array" ref="F149">MMS_Feedlot_N2ODirect_Equations.VEERG_4_1_1_3__7_NitrogenTransferredToStage2(G106,$G$142,$G$143,G129)</f>
        <v>1371.2158079999997</v>
      </c>
      <c r="G149" s="2" t="str">
        <f>$E$116</f>
        <v>kg N</v>
      </c>
      <c r="L149" s="55" cm="1">
        <f t="array" ref="L149">MMS_Feedlot_N2ODirect_Equations.VEERG_4_1_1_3__7_NitrogenTransferredToStage2(M106,$G$142,$G$143,M129)</f>
        <v>26882.71720243201</v>
      </c>
      <c r="M149" s="55" cm="1">
        <f t="array" ref="M149">MMS_Feedlot_N2ODirect_Equations.VEERG_4_1_1_3__7_NitrogenTransferredToStage2(N106,$G$142,$G$143,N129)</f>
        <v>949.36897843199995</v>
      </c>
      <c r="N149" s="55" cm="1">
        <f t="array" ref="N149">MMS_Feedlot_N2ODirect_Equations.VEERG_4_1_1_3__7_NitrogenTransferredToStage2(O106,$G$142,$G$143,O129)</f>
        <v>1371.2158079999997</v>
      </c>
      <c r="O149" s="2" t="str">
        <f>$E$116</f>
        <v>kg N</v>
      </c>
    </row>
    <row r="150" spans="3:17" ht="20.100000000000001" customHeight="1" x14ac:dyDescent="0.25"/>
    <row r="151" spans="3:17" ht="20.100000000000001" customHeight="1" x14ac:dyDescent="0.25"/>
    <row r="152" spans="3:17" ht="20.100000000000001" customHeight="1" x14ac:dyDescent="0.25">
      <c r="C152" s="48"/>
      <c r="D152" s="48"/>
      <c r="E152" s="48"/>
      <c r="F152" s="48"/>
      <c r="G152" s="48"/>
      <c r="H152" s="48"/>
      <c r="I152" s="48"/>
      <c r="K152" s="48"/>
      <c r="L152" s="48"/>
      <c r="M152" s="48"/>
      <c r="N152" s="48"/>
      <c r="O152" s="48"/>
      <c r="P152" s="48"/>
      <c r="Q152" s="48"/>
    </row>
    <row r="153" spans="3:17" ht="20.100000000000001" customHeight="1" x14ac:dyDescent="0.25">
      <c r="D153" s="6" t="str" cm="1">
        <f t="array" ref="D153">MMS_Feedlot_N2ODirect_Equations.VEERG_4_1_1_3__6_Stage2NitrogenInMMS_Title()</f>
        <v>Nitrogen in treatment stage 2 MMS</v>
      </c>
    </row>
    <row r="154" spans="3:17" ht="20.100000000000001" customHeight="1" x14ac:dyDescent="0.25">
      <c r="D154" s="5" t="str" cm="1">
        <f t="array" ref="D154">MMS_Feedlot_N2ODirect_Equations.VEERG_4_1_1_3__6_Stage2NitrogenInMMS_Source()</f>
        <v>VEERG 2026: 4.1.1.3, Equation (6)</v>
      </c>
    </row>
    <row r="155" spans="3:17" ht="20.100000000000001" customHeight="1" x14ac:dyDescent="0.25">
      <c r="D155" s="13" t="s">
        <v>27</v>
      </c>
      <c r="E155" s="13" t="str" cm="1">
        <f t="array" aca="1" ref="E155" ca="1">Common_InputFunctions.Utility_DisplayFunctionName(E173)</f>
        <v>=MMS_Feedlot_N2ODirect_Equations.VEERG_4_1_1_3__6_Stage2NitrogenInMMS</v>
      </c>
    </row>
    <row r="156" spans="3:17" ht="20.100000000000001" customHeight="1" x14ac:dyDescent="0.25"/>
    <row r="157" spans="3:17" ht="20.100000000000001" customHeight="1" x14ac:dyDescent="0.25">
      <c r="D157" s="6"/>
    </row>
    <row r="158" spans="3:17" ht="20.100000000000001" customHeight="1" x14ac:dyDescent="0.25">
      <c r="D158" s="56" t="s">
        <v>30</v>
      </c>
      <c r="E158" s="1" t="str" cm="1">
        <f t="array" ref="E158">MMS_Feedlot_N2ODirect_Equations.VEERG_4_1_1_3__6_Stage2NitrogenInMMS_Variable()</f>
        <v>MN_jmT2</v>
      </c>
    </row>
    <row r="159" spans="3:17" ht="20.100000000000001" customHeight="1" x14ac:dyDescent="0.25">
      <c r="D159" s="56" t="s">
        <v>20</v>
      </c>
      <c r="E159" s="57" t="str" cm="1">
        <f t="array" ref="E159">MMS_Feedlot_N2ODirect_Equations.VEERG_4_1_1_3__6_Stage2NitrogenInMMS_Unit()</f>
        <v>kg N</v>
      </c>
    </row>
    <row r="160" spans="3:17" ht="20.100000000000001" customHeight="1" x14ac:dyDescent="0.25"/>
    <row r="161" spans="4:16" ht="20.100000000000001" customHeight="1" x14ac:dyDescent="0.25">
      <c r="D161" s="60" t="str" cm="1">
        <f t="array" ref="D161:E162">MMS_Feedlot_N2ODirect_Equations.VEERG_4_1_1_3__6_Stage2NitrogenInMMS_Arguments()</f>
        <v>NT_jmT2</v>
      </c>
      <c r="E161" s="61" t="str">
        <v>nitrogen transferred to secondary treatment MMS : kg N</v>
      </c>
      <c r="F161" s="62"/>
      <c r="G161" s="60" t="str">
        <f>"See " &amp; D146</f>
        <v>See M1_Table_NT_j_m-_T-2</v>
      </c>
    </row>
    <row r="162" spans="4:16" ht="20.100000000000001" customHeight="1" x14ac:dyDescent="0.25">
      <c r="D162" s="60" t="str">
        <v>MMS_jmT2</v>
      </c>
      <c r="E162" s="61" t="str">
        <v>fraction of manure in each secondary system : fraction</v>
      </c>
      <c r="F162" s="62"/>
      <c r="G162" s="60" t="str">
        <f>"See " &amp; D164</f>
        <v>See Table_MMS_j_m_T-2</v>
      </c>
    </row>
    <row r="163" spans="4:16" ht="20.100000000000001" customHeight="1" x14ac:dyDescent="0.25">
      <c r="I163" s="2"/>
    </row>
    <row r="164" spans="4:16" ht="20.100000000000001" customHeight="1" x14ac:dyDescent="0.25">
      <c r="D164" s="105" t="s">
        <v>178</v>
      </c>
      <c r="I164" s="2"/>
    </row>
    <row r="165" spans="4:16" ht="20.100000000000001" customHeight="1" x14ac:dyDescent="0.25">
      <c r="D165" s="104" t="s">
        <v>117</v>
      </c>
    </row>
    <row r="166" spans="4:16" ht="20.100000000000001" customHeight="1" x14ac:dyDescent="0.25">
      <c r="D166" s="54" t="s">
        <v>105</v>
      </c>
      <c r="E166" s="54" t="s">
        <v>148</v>
      </c>
      <c r="F166" s="54" t="s">
        <v>149</v>
      </c>
      <c r="G166" s="54" t="s">
        <v>150</v>
      </c>
    </row>
    <row r="167" spans="4:16" ht="20.100000000000001" customHeight="1" x14ac:dyDescent="0.25">
      <c r="D167" s="55" t="str">
        <f>'Input - Feedlot'!$D$35</f>
        <v>Solid storage</v>
      </c>
      <c r="E167" s="55">
        <f>'Input - Feedlot'!$E$35</f>
        <v>0.2</v>
      </c>
      <c r="F167" s="55">
        <f>'Input - Feedlot'!$F$35</f>
        <v>0.2</v>
      </c>
      <c r="G167" s="55">
        <f>'Input - Feedlot'!$G$35</f>
        <v>0.2</v>
      </c>
      <c r="H167" s="2" t="s">
        <v>101</v>
      </c>
    </row>
    <row r="168" spans="4:16" ht="20.100000000000001" customHeight="1" x14ac:dyDescent="0.25">
      <c r="D168" s="55" t="str">
        <f>'Input - Feedlot'!$D$36</f>
        <v>Composting (passive windrow)</v>
      </c>
      <c r="E168" s="55">
        <f>'Input - Feedlot'!$E$36</f>
        <v>0.8</v>
      </c>
      <c r="F168" s="55">
        <f>'Input - Feedlot'!$F$36</f>
        <v>0.8</v>
      </c>
      <c r="G168" s="55">
        <f>'Input - Feedlot'!$G$36</f>
        <v>0.8</v>
      </c>
      <c r="H168" s="2" t="s">
        <v>101</v>
      </c>
    </row>
    <row r="169" spans="4:16" ht="20.100000000000001" customHeight="1" x14ac:dyDescent="0.25"/>
    <row r="170" spans="4:16" ht="20.100000000000001" customHeight="1" x14ac:dyDescent="0.25">
      <c r="D170" s="105" t="s">
        <v>190</v>
      </c>
      <c r="L170" s="105" t="s">
        <v>190</v>
      </c>
    </row>
    <row r="171" spans="4:16" ht="20.100000000000001" customHeight="1" x14ac:dyDescent="0.25">
      <c r="D171" s="104" t="s">
        <v>194</v>
      </c>
      <c r="L171" s="104" t="s">
        <v>195</v>
      </c>
    </row>
    <row r="172" spans="4:16" ht="20.100000000000001" customHeight="1" x14ac:dyDescent="0.25">
      <c r="D172" s="54" t="s">
        <v>105</v>
      </c>
      <c r="E172" s="54" t="s">
        <v>148</v>
      </c>
      <c r="F172" s="54" t="s">
        <v>149</v>
      </c>
      <c r="G172" s="54" t="s">
        <v>150</v>
      </c>
      <c r="L172" s="54" t="s">
        <v>105</v>
      </c>
      <c r="M172" s="54" t="s">
        <v>148</v>
      </c>
      <c r="N172" s="54" t="s">
        <v>149</v>
      </c>
      <c r="O172" s="54" t="s">
        <v>150</v>
      </c>
    </row>
    <row r="173" spans="4:16" ht="20.100000000000001" customHeight="1" x14ac:dyDescent="0.25">
      <c r="D173" s="55" t="str">
        <f>'Input - Feedlot'!$D$35</f>
        <v>Solid storage</v>
      </c>
      <c r="E173" s="55" cm="1">
        <f t="array" ref="E173">MMS_Feedlot_N2ODirect_Equations.VEERG_4_1_1_3__6_Stage2NitrogenInMMS(D$149,E167)</f>
        <v>5376.5434404864027</v>
      </c>
      <c r="F173" s="55" cm="1">
        <f t="array" ref="F173">MMS_Feedlot_N2ODirect_Equations.VEERG_4_1_1_3__6_Stage2NitrogenInMMS(E$149,F167)</f>
        <v>189.8737956864</v>
      </c>
      <c r="G173" s="55" cm="1">
        <f t="array" ref="G173">MMS_Feedlot_N2ODirect_Equations.VEERG_4_1_1_3__6_Stage2NitrogenInMMS(F$149,G167)</f>
        <v>274.24316159999995</v>
      </c>
      <c r="H173" s="2" t="str">
        <f>$E$159</f>
        <v>kg N</v>
      </c>
      <c r="L173" s="55" t="str">
        <f>'Input - Feedlot'!$D$35</f>
        <v>Solid storage</v>
      </c>
      <c r="M173" s="55" cm="1">
        <f t="array" ref="M173">MMS_Feedlot_N2ODirect_Equations.VEERG_4_1_1_3__6_Stage2NitrogenInMMS(L$149,E167)</f>
        <v>5376.5434404864027</v>
      </c>
      <c r="N173" s="55" cm="1">
        <f t="array" ref="N173">MMS_Feedlot_N2ODirect_Equations.VEERG_4_1_1_3__6_Stage2NitrogenInMMS(M$149,F167)</f>
        <v>189.8737956864</v>
      </c>
      <c r="O173" s="55" cm="1">
        <f t="array" ref="O173">MMS_Feedlot_N2ODirect_Equations.VEERG_4_1_1_3__6_Stage2NitrogenInMMS(N$149,G167)</f>
        <v>274.24316159999995</v>
      </c>
      <c r="P173" s="2" t="str">
        <f>$E$159</f>
        <v>kg N</v>
      </c>
    </row>
    <row r="174" spans="4:16" ht="20.100000000000001" customHeight="1" x14ac:dyDescent="0.25">
      <c r="D174" s="55" t="str">
        <f>'Input - Feedlot'!$D$36</f>
        <v>Composting (passive windrow)</v>
      </c>
      <c r="E174" s="55" cm="1">
        <f t="array" ref="E174">MMS_Feedlot_N2ODirect_Equations.VEERG_4_1_1_3__6_Stage2NitrogenInMMS(D$149,E168)</f>
        <v>21506.173761945611</v>
      </c>
      <c r="F174" s="55" cm="1">
        <f t="array" ref="F174">MMS_Feedlot_N2ODirect_Equations.VEERG_4_1_1_3__6_Stage2NitrogenInMMS(E$149,F168)</f>
        <v>759.4951827456</v>
      </c>
      <c r="G174" s="55" cm="1">
        <f t="array" ref="G174">MMS_Feedlot_N2ODirect_Equations.VEERG_4_1_1_3__6_Stage2NitrogenInMMS(F$149,G168)</f>
        <v>1096.9726463999998</v>
      </c>
      <c r="H174" s="2" t="str">
        <f>$E$159</f>
        <v>kg N</v>
      </c>
      <c r="L174" s="55" t="str">
        <f>'Input - Feedlot'!$D$36</f>
        <v>Composting (passive windrow)</v>
      </c>
      <c r="M174" s="55" cm="1">
        <f t="array" ref="M174">MMS_Feedlot_N2ODirect_Equations.VEERG_4_1_1_3__6_Stage2NitrogenInMMS(L$149,E168)</f>
        <v>21506.173761945611</v>
      </c>
      <c r="N174" s="55" cm="1">
        <f t="array" ref="N174">MMS_Feedlot_N2ODirect_Equations.VEERG_4_1_1_3__6_Stage2NitrogenInMMS(M$149,F168)</f>
        <v>759.4951827456</v>
      </c>
      <c r="O174" s="55" cm="1">
        <f t="array" ref="O174">MMS_Feedlot_N2ODirect_Equations.VEERG_4_1_1_3__6_Stage2NitrogenInMMS(N$149,G168)</f>
        <v>1096.9726463999998</v>
      </c>
      <c r="P174" s="2" t="str">
        <f>$E$159</f>
        <v>kg N</v>
      </c>
    </row>
    <row r="175" spans="4:16" ht="20.100000000000001" customHeight="1" x14ac:dyDescent="0.25"/>
    <row r="176" spans="4:16" ht="20.100000000000001" customHeight="1" x14ac:dyDescent="0.25"/>
    <row r="177" spans="3:17" ht="20.100000000000001" customHeight="1" x14ac:dyDescent="0.25">
      <c r="C177" s="48"/>
      <c r="D177" s="48"/>
      <c r="E177" s="48"/>
      <c r="F177" s="48"/>
      <c r="G177" s="48"/>
      <c r="H177" s="48"/>
      <c r="I177" s="48"/>
      <c r="K177" s="48"/>
      <c r="L177" s="48"/>
      <c r="M177" s="48"/>
      <c r="N177" s="48"/>
      <c r="O177" s="48"/>
      <c r="P177" s="48"/>
      <c r="Q177" s="48"/>
    </row>
    <row r="178" spans="3:17" ht="20.100000000000001" customHeight="1" x14ac:dyDescent="0.25">
      <c r="D178" s="6" t="str" cm="1">
        <f t="array" ref="D178">MMS_Feedlot_N2ODirect_Equations.VEERG_4_1_1_3__1_TotalAnnualDirectNitrousOxideEmissions_Title()</f>
        <v>Total annual direct nitrous oxide emissions from manure management systems</v>
      </c>
    </row>
    <row r="179" spans="3:17" ht="20.100000000000001" customHeight="1" x14ac:dyDescent="0.25">
      <c r="D179" s="5" t="str" cm="1">
        <f t="array" ref="D179">MMS_Feedlot_N2ODirect_Equations.VEERG_4_1_1_3__1_TotalAnnualDirectNitrousOxideEmissions_Source()</f>
        <v>VEERG 2026: 4.1.1.3, Equation (1)</v>
      </c>
    </row>
    <row r="180" spans="3:17" ht="20.100000000000001" customHeight="1" x14ac:dyDescent="0.25">
      <c r="D180" s="13" t="s">
        <v>27</v>
      </c>
      <c r="E180" s="13" t="str" cm="1">
        <f t="array" aca="1" ref="E180" ca="1">Common_InputFunctions.Utility_DisplayFunctionName(E202)</f>
        <v>=MMS_Feedlot_N2ODirect_Equations.VEERG_4_1_1_3__1_TotalAnnualDirectNitrousOxideEmissions</v>
      </c>
    </row>
    <row r="181" spans="3:17" ht="20.100000000000001" customHeight="1" x14ac:dyDescent="0.25"/>
    <row r="182" spans="3:17" ht="20.100000000000001" customHeight="1" x14ac:dyDescent="0.25">
      <c r="D182" s="6"/>
    </row>
    <row r="183" spans="3:17" ht="20.100000000000001" customHeight="1" x14ac:dyDescent="0.25"/>
    <row r="184" spans="3:17" ht="20.100000000000001" customHeight="1" x14ac:dyDescent="0.25">
      <c r="D184" s="56" t="s">
        <v>30</v>
      </c>
      <c r="E184" s="1" t="str" cm="1">
        <f t="array" ref="E184">MMS_Feedlot_N2ODirect_Equations.VEERG_4_1_1_3__1_TotalAnnualDirectNitrousOxideEmissions_Variable()</f>
        <v>E_N2Odir</v>
      </c>
    </row>
    <row r="185" spans="3:17" ht="20.100000000000001" customHeight="1" x14ac:dyDescent="0.25">
      <c r="D185" s="56" t="s">
        <v>20</v>
      </c>
      <c r="E185" s="57" t="str" cm="1">
        <f t="array" ref="E185">MMS_Feedlot_N2ODirect_Equations.VEERG_4_1_1_3__1_TotalAnnualDirectNitrousOxideEmissions_Unit()</f>
        <v>t N2O</v>
      </c>
    </row>
    <row r="186" spans="3:17" ht="20.100000000000001" customHeight="1" x14ac:dyDescent="0.25"/>
    <row r="187" spans="3:17" ht="20.100000000000001" customHeight="1" x14ac:dyDescent="0.25">
      <c r="D187" s="118" t="str" cm="1">
        <f t="array" ref="D187:E189">MMS_Feedlot_N2ODirect_Equations.VEERG_4_1_1_3__1_TotalAnnualDirectNitrousOxideEmissions_Arguments()</f>
        <v>MN_jmT</v>
      </c>
      <c r="E187" s="120" t="str">
        <v>nitrogen per cattle group, MMS and treatment stage : kg N</v>
      </c>
      <c r="F187" s="119"/>
      <c r="G187" s="61" t="str">
        <f>"See " &amp; D103 &amp; ", " &amp; D170 &amp; ", " &amp; D126</f>
        <v>See M1_Table_MN_j_m-5_T-1, M1_Table_MN_j_m_T-2, M1_Table_MN_j_m-1_T-3</v>
      </c>
      <c r="H187" s="62"/>
    </row>
    <row r="188" spans="3:17" ht="20.100000000000001" customHeight="1" x14ac:dyDescent="0.25">
      <c r="D188" s="118" t="str">
        <v>EF_jm</v>
      </c>
      <c r="E188" s="120" t="str">
        <v>nitrous oxide emission factor for MMS : kg N2O-N/kg N</v>
      </c>
      <c r="F188" s="119"/>
      <c r="G188" s="61" t="str">
        <f>"See " &amp; D191</f>
        <v>See Table_EF_j_m</v>
      </c>
      <c r="H188" s="62"/>
    </row>
    <row r="189" spans="3:17" ht="20.100000000000001" customHeight="1" x14ac:dyDescent="0.25">
      <c r="D189" s="118" t="str">
        <v>C_N2O</v>
      </c>
      <c r="E189" s="120" t="str">
        <v>factor to convert elemental mass of nitrous oxide to molecular mass : ratio</v>
      </c>
      <c r="F189" s="119"/>
      <c r="G189" s="61">
        <f>Common_InputFunctions.Utility_LookupValueInTableNumber("N2O",Table_GasToMolecularConversionFactor[Gas],Table_GasToMolecularConversionFactor[Conversion factor combined])</f>
        <v>1.5714285714285714</v>
      </c>
      <c r="H189" s="62"/>
    </row>
    <row r="190" spans="3:17" ht="20.100000000000001" customHeight="1" x14ac:dyDescent="0.25"/>
    <row r="191" spans="3:17" ht="20.100000000000001" customHeight="1" x14ac:dyDescent="0.25">
      <c r="D191" s="105" t="s">
        <v>182</v>
      </c>
    </row>
    <row r="192" spans="3:17" ht="20.100000000000001" customHeight="1" x14ac:dyDescent="0.25">
      <c r="D192" s="104" t="s">
        <v>183</v>
      </c>
    </row>
    <row r="193" spans="4:16" ht="20.100000000000001" customHeight="1" x14ac:dyDescent="0.25">
      <c r="D193" s="121" t="s">
        <v>68</v>
      </c>
      <c r="E193" s="121" t="s">
        <v>184</v>
      </c>
    </row>
    <row r="194" spans="4:16" ht="20.100000000000001" customHeight="1" x14ac:dyDescent="0.25">
      <c r="D194" s="55" t="str">
        <f>'Input - Feedlot'!$D$29</f>
        <v>Drylot (feed pad)</v>
      </c>
      <c r="E194" s="55">
        <f>_xlfn.XLOOKUP($D$194, Table_SourceData_Feedlot_NO2EFs[NIR definition], Table_SourceData_Feedlot_NO2EFs[EF mT])</f>
        <v>5.4000000000000003E-3</v>
      </c>
    </row>
    <row r="195" spans="4:16" ht="20.100000000000001" customHeight="1" x14ac:dyDescent="0.25">
      <c r="D195" s="55" t="str">
        <f>'Input - Feedlot'!$D$35</f>
        <v>Solid storage</v>
      </c>
      <c r="E195" s="55">
        <f>_xlfn.XLOOKUP($D$195, Table_SourceData_Feedlot_NO2EFs[NIR definition], Table_SourceData_Feedlot_NO2EFs[EF mT])</f>
        <v>5.0000000000000001E-3</v>
      </c>
    </row>
    <row r="196" spans="4:16" ht="20.100000000000001" customHeight="1" x14ac:dyDescent="0.25">
      <c r="D196" s="55" t="str">
        <f>'Input - Feedlot'!$D$36</f>
        <v>Composting (passive windrow)</v>
      </c>
      <c r="E196" s="55">
        <f>_xlfn.XLOOKUP($D$196, Table_SourceData_Feedlot_NO2EFs[NIR definition], Table_SourceData_Feedlot_NO2EFs[EF mT])</f>
        <v>0.01</v>
      </c>
    </row>
    <row r="197" spans="4:16" ht="20.100000000000001" customHeight="1" x14ac:dyDescent="0.25">
      <c r="D197" s="55" t="str">
        <f>'Input - Feedlot'!$D$41</f>
        <v>Anaerobic lagoon</v>
      </c>
      <c r="E197" s="55">
        <f>_xlfn.XLOOKUP($D$197, Table_SourceData_Feedlot_NO2EFs[NIR definition], Table_SourceData_Feedlot_NO2EFs[EF mT])</f>
        <v>0</v>
      </c>
    </row>
    <row r="198" spans="4:16" ht="20.100000000000001" customHeight="1" x14ac:dyDescent="0.25"/>
    <row r="199" spans="4:16" ht="20.100000000000001" customHeight="1" x14ac:dyDescent="0.25">
      <c r="D199" s="105" t="s">
        <v>191</v>
      </c>
      <c r="L199" s="105" t="s">
        <v>191</v>
      </c>
    </row>
    <row r="200" spans="4:16" ht="20.100000000000001" customHeight="1" x14ac:dyDescent="0.25">
      <c r="D200" s="104" t="s">
        <v>192</v>
      </c>
      <c r="L200" s="104" t="s">
        <v>193</v>
      </c>
    </row>
    <row r="201" spans="4:16" ht="20.100000000000001" customHeight="1" x14ac:dyDescent="0.25">
      <c r="D201" s="121" t="s">
        <v>68</v>
      </c>
      <c r="E201" s="54" t="s">
        <v>148</v>
      </c>
      <c r="F201" s="54" t="s">
        <v>149</v>
      </c>
      <c r="G201" s="54" t="s">
        <v>150</v>
      </c>
      <c r="L201" s="121" t="s">
        <v>68</v>
      </c>
      <c r="M201" s="54" t="s">
        <v>148</v>
      </c>
      <c r="N201" s="54" t="s">
        <v>149</v>
      </c>
      <c r="O201" s="54" t="s">
        <v>150</v>
      </c>
    </row>
    <row r="202" spans="4:16" ht="20.100000000000001" customHeight="1" x14ac:dyDescent="0.25">
      <c r="D202" s="55" t="str">
        <f>'Input - Feedlot'!$D$29</f>
        <v>Drylot (feed pad)</v>
      </c>
      <c r="E202" s="55" cm="1">
        <f t="array" ref="E202">MMS_Feedlot_N2ODirect_Equations.VEERG_4_1_1_3__1_TotalAnnualDirectNitrousOxideEmissions(E$106,$E194,$G$189)</f>
        <v>0.6089670512640003</v>
      </c>
      <c r="F202" s="55" cm="1">
        <f t="array" ref="F202">MMS_Feedlot_N2ODirect_Equations.VEERG_4_1_1_3__1_TotalAnnualDirectNitrousOxideEmissions(F$106,$E194,$G$189)</f>
        <v>2.1505803264000003E-2</v>
      </c>
      <c r="G202" s="55" cm="1">
        <f t="array" ref="G202">MMS_Feedlot_N2ODirect_Equations.VEERG_4_1_1_3__1_TotalAnnualDirectNitrousOxideEmissions(G$106,$E194,$G$189)</f>
        <v>3.1061787428571422E-2</v>
      </c>
      <c r="H202" s="2" t="str">
        <f>$E$185</f>
        <v>t N2O</v>
      </c>
      <c r="L202" s="55" t="str">
        <f>'Input - Feedlot'!$D$29</f>
        <v>Drylot (feed pad)</v>
      </c>
      <c r="M202" s="55" cm="1">
        <f t="array" ref="M202">MMS_Feedlot_N2ODirect_Equations.VEERG_4_1_1_3__1_TotalAnnualDirectNitrousOxideEmissions(M$106,$E194,$G$189)</f>
        <v>0.6089670512640003</v>
      </c>
      <c r="N202" s="55" cm="1">
        <f t="array" ref="N202">MMS_Feedlot_N2ODirect_Equations.VEERG_4_1_1_3__1_TotalAnnualDirectNitrousOxideEmissions(N$106,$E194,$G$189)</f>
        <v>2.1505803264000003E-2</v>
      </c>
      <c r="O202" s="55" cm="1">
        <f t="array" ref="O202">MMS_Feedlot_N2ODirect_Equations.VEERG_4_1_1_3__1_TotalAnnualDirectNitrousOxideEmissions(O$106,$E194,$G$189)</f>
        <v>3.1061787428571422E-2</v>
      </c>
      <c r="P202" s="2" t="str">
        <f>$E$185</f>
        <v>t N2O</v>
      </c>
    </row>
    <row r="203" spans="4:16" ht="20.100000000000001" customHeight="1" x14ac:dyDescent="0.25">
      <c r="D203" s="55" t="str">
        <f>'Input - Feedlot'!$D$35</f>
        <v>Solid storage</v>
      </c>
      <c r="E203" s="55" cm="1">
        <f t="array" ref="E203">MMS_Feedlot_N2ODirect_Equations.VEERG_4_1_1_3__1_TotalAnnualDirectNitrousOxideEmissions(E$173,$E195,$G$189)</f>
        <v>4.2244269889536022E-2</v>
      </c>
      <c r="F203" s="55" cm="1">
        <f t="array" ref="F203">MMS_Feedlot_N2ODirect_Equations.VEERG_4_1_1_3__1_TotalAnnualDirectNitrousOxideEmissions(F$173,$E195,$G$189)</f>
        <v>1.4918655375360003E-3</v>
      </c>
      <c r="G203" s="55" cm="1">
        <f t="array" ref="G203">MMS_Feedlot_N2ODirect_Equations.VEERG_4_1_1_3__1_TotalAnnualDirectNitrousOxideEmissions(G$173,$E195,$G$189)</f>
        <v>2.1547676982857141E-3</v>
      </c>
      <c r="H203" s="2" t="str">
        <f t="shared" ref="H203:H205" si="0">$E$185</f>
        <v>t N2O</v>
      </c>
      <c r="L203" s="55" t="str">
        <f>'Input - Feedlot'!$D$35</f>
        <v>Solid storage</v>
      </c>
      <c r="M203" s="55" cm="1">
        <f t="array" ref="M203">MMS_Feedlot_N2ODirect_Equations.VEERG_4_1_1_3__1_TotalAnnualDirectNitrousOxideEmissions(M$173,$E195,$G$189)</f>
        <v>4.2244269889536022E-2</v>
      </c>
      <c r="N203" s="55" cm="1">
        <f t="array" ref="N203">MMS_Feedlot_N2ODirect_Equations.VEERG_4_1_1_3__1_TotalAnnualDirectNitrousOxideEmissions(N$173,$E195,$G$189)</f>
        <v>1.4918655375360003E-3</v>
      </c>
      <c r="O203" s="55" cm="1">
        <f t="array" ref="O203">MMS_Feedlot_N2ODirect_Equations.VEERG_4_1_1_3__1_TotalAnnualDirectNitrousOxideEmissions(O$173,$E195,$G$189)</f>
        <v>2.1547676982857141E-3</v>
      </c>
      <c r="P203" s="2" t="str">
        <f t="shared" ref="P203:P205" si="1">$E$185</f>
        <v>t N2O</v>
      </c>
    </row>
    <row r="204" spans="4:16" ht="20.100000000000001" customHeight="1" x14ac:dyDescent="0.25">
      <c r="D204" s="55" t="str">
        <f>'Input - Feedlot'!$D$36</f>
        <v>Composting (passive windrow)</v>
      </c>
      <c r="E204" s="55" cm="1">
        <f t="array" ref="E204">MMS_Feedlot_N2ODirect_Equations.VEERG_4_1_1_3__1_TotalAnnualDirectNitrousOxideEmissions(E$174,$E196,$G$189)</f>
        <v>0.33795415911628818</v>
      </c>
      <c r="F204" s="55" cm="1">
        <f t="array" ref="F204">MMS_Feedlot_N2ODirect_Equations.VEERG_4_1_1_3__1_TotalAnnualDirectNitrousOxideEmissions(F$174,$E196,$G$189)</f>
        <v>1.1934924300288002E-2</v>
      </c>
      <c r="G204" s="55" cm="1">
        <f t="array" ref="G204">MMS_Feedlot_N2ODirect_Equations.VEERG_4_1_1_3__1_TotalAnnualDirectNitrousOxideEmissions(G$174,$E196,$G$189)</f>
        <v>1.7238141586285713E-2</v>
      </c>
      <c r="H204" s="2" t="str">
        <f t="shared" si="0"/>
        <v>t N2O</v>
      </c>
      <c r="L204" s="55" t="str">
        <f>'Input - Feedlot'!$D$36</f>
        <v>Composting (passive windrow)</v>
      </c>
      <c r="M204" s="55" cm="1">
        <f t="array" ref="M204">MMS_Feedlot_N2ODirect_Equations.VEERG_4_1_1_3__1_TotalAnnualDirectNitrousOxideEmissions(M$174,$E196,$G$189)</f>
        <v>0.33795415911628818</v>
      </c>
      <c r="N204" s="55" cm="1">
        <f t="array" ref="N204">MMS_Feedlot_N2ODirect_Equations.VEERG_4_1_1_3__1_TotalAnnualDirectNitrousOxideEmissions(N$174,$E196,$G$189)</f>
        <v>1.1934924300288002E-2</v>
      </c>
      <c r="O204" s="55" cm="1">
        <f t="array" ref="O204">MMS_Feedlot_N2ODirect_Equations.VEERG_4_1_1_3__1_TotalAnnualDirectNitrousOxideEmissions(O$174,$E196,$G$189)</f>
        <v>1.7238141586285713E-2</v>
      </c>
      <c r="P204" s="2" t="str">
        <f t="shared" si="1"/>
        <v>t N2O</v>
      </c>
    </row>
    <row r="205" spans="4:16" ht="20.100000000000001" customHeight="1" x14ac:dyDescent="0.25">
      <c r="D205" s="55" t="str">
        <f>'Input - Feedlot'!$D$41</f>
        <v>Anaerobic lagoon</v>
      </c>
      <c r="E205" s="55" cm="1">
        <f t="array" ref="E205">MMS_Feedlot_N2ODirect_Equations.VEERG_4_1_1_3__1_TotalAnnualDirectNitrousOxideEmissions(E$129,$E197,$G$189)</f>
        <v>0</v>
      </c>
      <c r="F205" s="55" cm="1">
        <f t="array" ref="F205">MMS_Feedlot_N2ODirect_Equations.VEERG_4_1_1_3__1_TotalAnnualDirectNitrousOxideEmissions(F$129,$E197,$G$189)</f>
        <v>0</v>
      </c>
      <c r="G205" s="55" cm="1">
        <f t="array" ref="G205">MMS_Feedlot_N2ODirect_Equations.VEERG_4_1_1_3__1_TotalAnnualDirectNitrousOxideEmissions(G$129,$E197,$G$189)</f>
        <v>0</v>
      </c>
      <c r="H205" s="2" t="str">
        <f t="shared" si="0"/>
        <v>t N2O</v>
      </c>
      <c r="L205" s="55" t="str">
        <f>'Input - Feedlot'!$D$41</f>
        <v>Anaerobic lagoon</v>
      </c>
      <c r="M205" s="55" cm="1">
        <f t="array" ref="M205">MMS_Feedlot_N2ODirect_Equations.VEERG_4_1_1_3__1_TotalAnnualDirectNitrousOxideEmissions(M$129,$E197,$G$189)</f>
        <v>0</v>
      </c>
      <c r="N205" s="55" cm="1">
        <f t="array" ref="N205">MMS_Feedlot_N2ODirect_Equations.VEERG_4_1_1_3__1_TotalAnnualDirectNitrousOxideEmissions(N$129,$E197,$G$189)</f>
        <v>0</v>
      </c>
      <c r="O205" s="55" cm="1">
        <f t="array" ref="O205">MMS_Feedlot_N2ODirect_Equations.VEERG_4_1_1_3__1_TotalAnnualDirectNitrousOxideEmissions(O$129,$E197,$G$189)</f>
        <v>0</v>
      </c>
      <c r="P205" s="2" t="str">
        <f t="shared" si="1"/>
        <v>t N2O</v>
      </c>
    </row>
    <row r="206" spans="4:16" ht="20.100000000000001" customHeight="1" x14ac:dyDescent="0.25"/>
    <row r="207" spans="4:16" ht="20.100000000000001" customHeight="1" x14ac:dyDescent="0.25">
      <c r="D207" s="110" t="s">
        <v>185</v>
      </c>
      <c r="E207" s="111">
        <f>SUM(E202:G205)</f>
        <v>1.0745527700847912</v>
      </c>
      <c r="F207" s="112" t="str">
        <f>$E$185</f>
        <v>t N2O</v>
      </c>
      <c r="L207" s="110" t="s">
        <v>185</v>
      </c>
      <c r="M207" s="111">
        <f>SUM(M202:O205)</f>
        <v>1.0745527700847912</v>
      </c>
      <c r="N207" s="112" t="str">
        <f>$E$185</f>
        <v>t N2O</v>
      </c>
    </row>
    <row r="208" spans="4:16" ht="20.100000000000001" customHeight="1" x14ac:dyDescent="0.25"/>
    <row r="209" spans="4:15" ht="20.100000000000001" customHeight="1" x14ac:dyDescent="0.25">
      <c r="D209" s="60" t="str" cm="1">
        <f t="array" ref="D209:E210">Common_Equations.Common_ConvertN2OToCO2e_Arguments()</f>
        <v>EN2O</v>
      </c>
      <c r="E209" s="61" t="str">
        <v>Nitrous oxide emissions (t N2O)</v>
      </c>
      <c r="F209" s="113"/>
      <c r="G209" s="55">
        <f>E207</f>
        <v>1.0745527700847912</v>
      </c>
      <c r="L209" s="60" t="str" cm="1">
        <f t="array" ref="L209:M210">Common_Equations.Common_ConvertN2OToCO2e_Arguments()</f>
        <v>EN2O</v>
      </c>
      <c r="M209" s="61" t="str">
        <v>Nitrous oxide emissions (t N2O)</v>
      </c>
      <c r="N209" s="113"/>
      <c r="O209" s="55">
        <f>M207</f>
        <v>1.0745527700847912</v>
      </c>
    </row>
    <row r="210" spans="4:15" ht="20.100000000000001" customHeight="1" x14ac:dyDescent="0.25">
      <c r="D210" s="60" t="str">
        <v>GWPN2O</v>
      </c>
      <c r="E210" s="61" t="str">
        <v>Global warming potential for nitrous oxide (t CO2-e / t N2O)</v>
      </c>
      <c r="F210" s="113"/>
      <c r="G210" s="55">
        <f>Common_InputFunctions.Utility_LookupValueInTableNumber("N2O",Table_GWPData[Gas],Table_GWPData[CO2-e factor])</f>
        <v>265</v>
      </c>
      <c r="L210" s="60" t="str">
        <v>GWPN2O</v>
      </c>
      <c r="M210" s="61" t="str">
        <v>Global warming potential for nitrous oxide (t CO2-e / t N2O)</v>
      </c>
      <c r="N210" s="113"/>
      <c r="O210" s="55">
        <f>Common_InputFunctions.Utility_LookupValueInTableNumber("N2O",Table_GWPData[Gas],Table_GWPData[CO2-e factor])</f>
        <v>265</v>
      </c>
    </row>
    <row r="211" spans="4:15" ht="20.100000000000001" customHeight="1" x14ac:dyDescent="0.25"/>
    <row r="212" spans="4:15" ht="20.100000000000001" customHeight="1" x14ac:dyDescent="0.25">
      <c r="D212" s="48" t="s">
        <v>136</v>
      </c>
      <c r="E212" s="48" cm="1">
        <f t="array" ref="E212">Common_Equations.Common_ConvertN2OToCO2e(G209,G210)</f>
        <v>284.75648407246968</v>
      </c>
      <c r="F212" s="114" t="str" cm="1">
        <f t="array" ref="F212">Common_Equations.Common_ConvertN2OToCO2e_Unit()</f>
        <v>t CO2e</v>
      </c>
      <c r="L212" s="48" t="s">
        <v>136</v>
      </c>
      <c r="M212" s="48" cm="1">
        <f t="array" ref="M212">Common_Equations.Common_ConvertN2OToCO2e(O209,O210)</f>
        <v>284.75648407246968</v>
      </c>
      <c r="N212" s="114" t="str" cm="1">
        <f t="array" ref="N212">Common_Equations.Common_ConvertN2OToCO2e_Unit()</f>
        <v>t CO2e</v>
      </c>
    </row>
    <row r="213" spans="4:15" ht="20.100000000000001" customHeight="1" x14ac:dyDescent="0.25"/>
    <row r="214" spans="4:15" ht="20.100000000000001" customHeight="1" x14ac:dyDescent="0.25"/>
    <row r="215" spans="4:15" ht="20.100000000000001" customHeight="1" x14ac:dyDescent="0.25"/>
    <row r="216" spans="4:15" ht="20.100000000000001" customHeight="1" x14ac:dyDescent="0.25"/>
    <row r="217" spans="4:15" ht="20.100000000000001" customHeight="1" x14ac:dyDescent="0.25"/>
  </sheetData>
  <dataValidations disablePrompts="1" count="1">
    <dataValidation operator="equal" allowBlank="1" showInputMessage="1" showErrorMessage="1" sqref="D78:F78 D73:F73 D83:F83 L83:N83 E106:H106 E101:H101 M106:P106" xr:uid="{CE18DC45-74F3-46B3-972B-5F44E5579A0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AB313-50E2-4B94-9781-2A2897CB38F7}">
  <dimension ref="A1:Q165"/>
  <sheetViews>
    <sheetView showGridLines="0" topLeftCell="A36" workbookViewId="0">
      <selection activeCell="G57" sqref="G57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295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K3" s="4"/>
      <c r="L3" s="4" t="s">
        <v>171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MMS_Feedlot_AtmosphericDeposition_Equations.VEERG_4_1_1_5__2_VolatilisedNitrogenFromManureManagement_Title()</f>
        <v>Volatilised nitrogen from manure management</v>
      </c>
    </row>
    <row r="6" spans="1:17" ht="20.100000000000001" customHeight="1" x14ac:dyDescent="0.25">
      <c r="A6" s="20" t="s">
        <v>3</v>
      </c>
      <c r="D6" s="5" t="str" cm="1">
        <f t="array" ref="D6">MMS_Feedlot_AtmosphericDeposition_Equations.VEERG_4_1_1_5__2_VolatilisedNitrogenFromManureManagement_Source()</f>
        <v>VEERG 2026: 4.1.1.5, Equation (2)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Common_InputFunctions.Utility_DisplayFunctionName(E36)</f>
        <v>=MMS_Feedlot_AtmosphericDeposition_Equations.VEERG_4_1_1_5__2_VolatilisedNitrogenFromManureManagement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MMS_Feedlot_AtmosphericDeposition_Equations.VEERG_4_1_1_5__2_VolatilisedNitrogenFromManureManagement_Variable()</f>
        <v>MMS_ATMOS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MMS_Feedlot_AtmosphericDeposition_Equations.VEERG_4_1_1_5__2_VolatilisedNitrogenFromManureManagement_Unit()</f>
        <v>kg N</v>
      </c>
    </row>
    <row r="13" spans="1:17" ht="20.100000000000001" customHeight="1" x14ac:dyDescent="0.25">
      <c r="A13" s="22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17" t="str">
        <f>HYPERLINK("#'4.1.1.9 Manure applied to soils'!A1", "4.1.1.9 Manure applied to soils")</f>
        <v>4.1.1.9 Manure applied to soils</v>
      </c>
      <c r="D14" s="60" t="str" cm="1">
        <f t="array" ref="D14:E15">MMS_Feedlot_AtmosphericDeposition_Equations.VEERG_4_1_1_5__2_VolatilisedNitrogenFromManureManagement_Arguments()</f>
        <v>MN_jmT</v>
      </c>
      <c r="E14" s="61" t="str">
        <v>nitrogen in each treatment stage MMS (excluding MN_ijm13T2) : kg N</v>
      </c>
      <c r="F14" s="62"/>
      <c r="G14" s="60" t="str">
        <f>"See " &amp; D17</f>
        <v>See M1_Table_MN_j_m_T</v>
      </c>
    </row>
    <row r="15" spans="1:17" ht="20.100000000000001" customHeight="1" x14ac:dyDescent="0.25">
      <c r="D15" s="60" t="str">
        <v>FracGASM_mT</v>
      </c>
      <c r="E15" s="61" t="str">
        <v>fraction of N volatilised in each MMS : (kg NH3-N + NOx-N)/kg N</v>
      </c>
      <c r="F15" s="62"/>
      <c r="G15" s="60" t="str">
        <f>"See " &amp; D25</f>
        <v>See Table_FracGASM_m_T-2-3</v>
      </c>
    </row>
    <row r="16" spans="1:17" ht="20.100000000000001" customHeight="1" x14ac:dyDescent="0.25">
      <c r="A16" s="18" t="s">
        <v>4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105" t="s">
        <v>296</v>
      </c>
      <c r="L17" s="105" t="s">
        <v>299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  <c r="D18" s="104" t="s">
        <v>298</v>
      </c>
      <c r="L18" s="104" t="s">
        <v>300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21" t="s">
        <v>68</v>
      </c>
      <c r="E19" s="54" t="s">
        <v>148</v>
      </c>
      <c r="F19" s="54" t="s">
        <v>149</v>
      </c>
      <c r="G19" s="54" t="s">
        <v>150</v>
      </c>
      <c r="L19" s="121" t="s">
        <v>68</v>
      </c>
      <c r="M19" s="54" t="s">
        <v>148</v>
      </c>
      <c r="N19" s="54" t="s">
        <v>149</v>
      </c>
      <c r="O19" s="54" t="s">
        <v>150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55" t="str">
        <f>'Input - Feedlot'!$D$29</f>
        <v>Drylot (feed pad)</v>
      </c>
      <c r="E20" s="55">
        <f>'4.1.1.3-4 Direct N20'!$E$106</f>
        <v>71763.793920000026</v>
      </c>
      <c r="F20" s="55">
        <f>'4.1.1.3-4 Direct N20'!$F$106</f>
        <v>2534.35392</v>
      </c>
      <c r="G20" s="55">
        <f>'4.1.1.3-4 Direct N20'!$G$106</f>
        <v>3660.4799999999991</v>
      </c>
      <c r="H20" s="2" t="s">
        <v>240</v>
      </c>
      <c r="L20" s="55" t="str">
        <f>'Input - Feedlot'!$D$29</f>
        <v>Drylot (feed pad)</v>
      </c>
      <c r="M20" s="55">
        <f>'4.1.1.3-4 Direct N20'!$M$106</f>
        <v>71763.793920000026</v>
      </c>
      <c r="N20" s="55">
        <f>'4.1.1.3-4 Direct N20'!$N$106</f>
        <v>2534.35392</v>
      </c>
      <c r="O20" s="55">
        <f>'4.1.1.3-4 Direct N20'!$O$106</f>
        <v>3660.4799999999991</v>
      </c>
      <c r="P20" s="2" t="s">
        <v>240</v>
      </c>
    </row>
    <row r="21" spans="1:16" ht="20.100000000000001" customHeight="1" x14ac:dyDescent="0.25">
      <c r="D21" s="55" t="str">
        <f>'Input - Feedlot'!$D$35</f>
        <v>Solid storage</v>
      </c>
      <c r="E21" s="55">
        <f>'4.1.1.3-4 Direct N20'!$E$173</f>
        <v>5376.5434404864027</v>
      </c>
      <c r="F21" s="55">
        <f>'4.1.1.3-4 Direct N20'!$F$173</f>
        <v>189.8737956864</v>
      </c>
      <c r="G21" s="55">
        <f>'4.1.1.3-4 Direct N20'!$G$173</f>
        <v>274.24316159999995</v>
      </c>
      <c r="H21" s="2" t="s">
        <v>240</v>
      </c>
      <c r="L21" s="55" t="str">
        <f>'Input - Feedlot'!$D$35</f>
        <v>Solid storage</v>
      </c>
      <c r="M21" s="55">
        <f>'4.1.1.3-4 Direct N20'!$M$173</f>
        <v>5376.5434404864027</v>
      </c>
      <c r="N21" s="55">
        <f>'4.1.1.3-4 Direct N20'!$N$173</f>
        <v>189.8737956864</v>
      </c>
      <c r="O21" s="55">
        <f>'4.1.1.3-4 Direct N20'!$O$173</f>
        <v>274.24316159999995</v>
      </c>
      <c r="P21" s="2" t="s">
        <v>240</v>
      </c>
    </row>
    <row r="22" spans="1:16" ht="20.100000000000001" customHeight="1" x14ac:dyDescent="0.25">
      <c r="D22" s="55" t="str">
        <f>'Input - Feedlot'!$D$36</f>
        <v>Composting (passive windrow)</v>
      </c>
      <c r="E22" s="55">
        <f>'4.1.1.3-4 Direct N20'!$E$174</f>
        <v>21506.173761945611</v>
      </c>
      <c r="F22" s="55">
        <f>'4.1.1.3-4 Direct N20'!$F$174</f>
        <v>759.4951827456</v>
      </c>
      <c r="G22" s="55">
        <f>'4.1.1.3-4 Direct N20'!$G$174</f>
        <v>1096.9726463999998</v>
      </c>
      <c r="H22" s="2" t="s">
        <v>240</v>
      </c>
      <c r="L22" s="55" t="str">
        <f>'Input - Feedlot'!$D$36</f>
        <v>Composting (passive windrow)</v>
      </c>
      <c r="M22" s="55">
        <f>'4.1.1.3-4 Direct N20'!$M$174</f>
        <v>21506.173761945611</v>
      </c>
      <c r="N22" s="55">
        <f>'4.1.1.3-4 Direct N20'!$N$174</f>
        <v>759.4951827456</v>
      </c>
      <c r="O22" s="55">
        <f>'4.1.1.3-4 Direct N20'!$O$174</f>
        <v>1096.9726463999998</v>
      </c>
      <c r="P22" s="2" t="s">
        <v>240</v>
      </c>
    </row>
    <row r="23" spans="1:16" ht="20.100000000000001" customHeight="1" x14ac:dyDescent="0.25">
      <c r="D23" s="55" t="str">
        <f>'Input - Feedlot'!$D$41</f>
        <v>Anaerobic lagoon</v>
      </c>
      <c r="E23" s="55">
        <f>'4.1.1.3-4 Direct N20'!$E$129</f>
        <v>1435.2758784000005</v>
      </c>
      <c r="F23" s="55">
        <f>'4.1.1.3-4 Direct N20'!$F$129</f>
        <v>50.687078400000004</v>
      </c>
      <c r="G23" s="55">
        <f>'4.1.1.3-4 Direct N20'!$G$129</f>
        <v>73.20959999999998</v>
      </c>
      <c r="H23" s="2" t="s">
        <v>240</v>
      </c>
      <c r="L23" s="55" t="str">
        <f>'Input - Feedlot'!$D$41</f>
        <v>Anaerobic lagoon</v>
      </c>
      <c r="M23" s="55">
        <f>'4.1.1.3-4 Direct N20'!$M$129</f>
        <v>1435.2758784000005</v>
      </c>
      <c r="N23" s="55">
        <f>'4.1.1.3-4 Direct N20'!$N$129</f>
        <v>50.687078400000004</v>
      </c>
      <c r="O23" s="55">
        <f>'4.1.1.3-4 Direct N20'!$O$129</f>
        <v>73.20959999999998</v>
      </c>
      <c r="P23" s="2" t="s">
        <v>240</v>
      </c>
    </row>
    <row r="24" spans="1:16" ht="20.100000000000001" customHeight="1" x14ac:dyDescent="0.25"/>
    <row r="25" spans="1:16" ht="20.100000000000001" customHeight="1" x14ac:dyDescent="0.25">
      <c r="D25" s="105" t="s">
        <v>242</v>
      </c>
    </row>
    <row r="26" spans="1:16" ht="20.100000000000001" customHeight="1" x14ac:dyDescent="0.25">
      <c r="D26" s="104" t="s">
        <v>244</v>
      </c>
    </row>
    <row r="27" spans="1:16" ht="20.100000000000001" customHeight="1" x14ac:dyDescent="0.25">
      <c r="D27" s="121" t="s">
        <v>68</v>
      </c>
      <c r="E27" s="121" t="s">
        <v>184</v>
      </c>
    </row>
    <row r="28" spans="1:16" ht="20.100000000000001" customHeight="1" x14ac:dyDescent="0.25">
      <c r="D28" s="55" t="str">
        <f>'Input - Feedlot'!$D$29</f>
        <v>Drylot (feed pad)</v>
      </c>
      <c r="E28" s="55">
        <f>_xlfn.XLOOKUP(D28, Table_SourceData_Feedlot_FracGASMmT[NIR definition], Table_SourceData_Feedlot_FracGASMmT[FracGASMmT])</f>
        <v>0.6</v>
      </c>
      <c r="F28" s="2" t="s">
        <v>249</v>
      </c>
    </row>
    <row r="29" spans="1:16" ht="20.100000000000001" customHeight="1" x14ac:dyDescent="0.25">
      <c r="D29" s="55" t="str">
        <f>'Input - Feedlot'!$D$35</f>
        <v>Solid storage</v>
      </c>
      <c r="E29" s="55">
        <f>_xlfn.XLOOKUP(D29, Table_SourceData_Feedlot_FracGASMmT[NIR definition], Table_SourceData_Feedlot_FracGASMmT[FracGASMmT])</f>
        <v>0.25</v>
      </c>
      <c r="F29" s="2" t="s">
        <v>249</v>
      </c>
    </row>
    <row r="30" spans="1:16" ht="20.100000000000001" customHeight="1" x14ac:dyDescent="0.25">
      <c r="D30" s="55" t="str">
        <f>'Input - Feedlot'!$D$36</f>
        <v>Composting (passive windrow)</v>
      </c>
      <c r="E30" s="55">
        <f>_xlfn.XLOOKUP(D30, Table_SourceData_Feedlot_FracGASMmT[NIR definition], Table_SourceData_Feedlot_FracGASMmT[FracGASMmT])</f>
        <v>0.4</v>
      </c>
      <c r="F30" s="2" t="s">
        <v>249</v>
      </c>
    </row>
    <row r="31" spans="1:16" ht="20.100000000000001" customHeight="1" x14ac:dyDescent="0.25">
      <c r="D31" s="55" t="str">
        <f>'Input - Feedlot'!$D$41</f>
        <v>Anaerobic lagoon</v>
      </c>
      <c r="E31" s="55">
        <f>_xlfn.XLOOKUP(D31, Table_SourceData_Feedlot_FracGASMmT[NIR definition], Table_SourceData_Feedlot_FracGASMmT[FracGASMmT])</f>
        <v>0.35</v>
      </c>
      <c r="F31" s="2" t="s">
        <v>249</v>
      </c>
    </row>
    <row r="32" spans="1:16" ht="20.100000000000001" customHeight="1" x14ac:dyDescent="0.25"/>
    <row r="33" spans="3:17" ht="20.100000000000001" customHeight="1" x14ac:dyDescent="0.25">
      <c r="D33" s="105" t="s">
        <v>297</v>
      </c>
      <c r="L33" s="105" t="s">
        <v>297</v>
      </c>
    </row>
    <row r="34" spans="3:17" ht="20.100000000000001" customHeight="1" x14ac:dyDescent="0.25">
      <c r="D34" s="104" t="s">
        <v>298</v>
      </c>
      <c r="L34" s="104" t="s">
        <v>298</v>
      </c>
    </row>
    <row r="35" spans="3:17" ht="20.100000000000001" customHeight="1" x14ac:dyDescent="0.25">
      <c r="D35" s="121" t="s">
        <v>68</v>
      </c>
      <c r="E35" s="54" t="s">
        <v>148</v>
      </c>
      <c r="F35" s="54" t="s">
        <v>149</v>
      </c>
      <c r="G35" s="54" t="s">
        <v>150</v>
      </c>
      <c r="L35" s="121" t="s">
        <v>68</v>
      </c>
      <c r="M35" s="54" t="s">
        <v>148</v>
      </c>
      <c r="N35" s="54" t="s">
        <v>149</v>
      </c>
      <c r="O35" s="54" t="s">
        <v>150</v>
      </c>
    </row>
    <row r="36" spans="3:17" ht="20.100000000000001" customHeight="1" x14ac:dyDescent="0.25">
      <c r="D36" s="55" t="str">
        <f>'Input - Feedlot'!$D$29</f>
        <v>Drylot (feed pad)</v>
      </c>
      <c r="E36" s="55" cm="1">
        <f t="array" ref="E36">MMS_Feedlot_AtmosphericDeposition_Equations.VEERG_4_1_1_5__2_VolatilisedNitrogenFromManureManagement(E20,$E28)</f>
        <v>43058.276352000015</v>
      </c>
      <c r="F36" s="55" cm="1">
        <f t="array" ref="F36">MMS_Feedlot_AtmosphericDeposition_Equations.VEERG_4_1_1_5__2_VolatilisedNitrogenFromManureManagement(F20,$E28)</f>
        <v>1520.6123519999999</v>
      </c>
      <c r="G36" s="55" cm="1">
        <f t="array" ref="G36">MMS_Feedlot_AtmosphericDeposition_Equations.VEERG_4_1_1_5__2_VolatilisedNitrogenFromManureManagement(G20,$E28)</f>
        <v>2196.2879999999996</v>
      </c>
      <c r="H36" s="2" t="str">
        <f>$E$12</f>
        <v>kg N</v>
      </c>
      <c r="L36" s="55" t="str">
        <f>'Input - Feedlot'!$D$29</f>
        <v>Drylot (feed pad)</v>
      </c>
      <c r="M36" s="55" cm="1">
        <f t="array" ref="M36">MMS_Feedlot_AtmosphericDeposition_Equations.VEERG_4_1_1_5__2_VolatilisedNitrogenFromManureManagement(M20,$E28)</f>
        <v>43058.276352000015</v>
      </c>
      <c r="N36" s="55" cm="1">
        <f t="array" ref="N36">MMS_Feedlot_AtmosphericDeposition_Equations.VEERG_4_1_1_5__2_VolatilisedNitrogenFromManureManagement(N20,$E28)</f>
        <v>1520.6123519999999</v>
      </c>
      <c r="O36" s="55" cm="1">
        <f t="array" ref="O36">MMS_Feedlot_AtmosphericDeposition_Equations.VEERG_4_1_1_5__2_VolatilisedNitrogenFromManureManagement(O20,$E28)</f>
        <v>2196.2879999999996</v>
      </c>
      <c r="P36" s="2" t="s">
        <v>240</v>
      </c>
    </row>
    <row r="37" spans="3:17" ht="20.100000000000001" customHeight="1" x14ac:dyDescent="0.25">
      <c r="D37" s="55" t="str">
        <f>'Input - Feedlot'!$D$35</f>
        <v>Solid storage</v>
      </c>
      <c r="E37" s="55" cm="1">
        <f t="array" ref="E37">MMS_Feedlot_AtmosphericDeposition_Equations.VEERG_4_1_1_5__2_VolatilisedNitrogenFromManureManagement(E21,$E29)</f>
        <v>1344.1358601216007</v>
      </c>
      <c r="F37" s="55" cm="1">
        <f t="array" ref="F37">MMS_Feedlot_AtmosphericDeposition_Equations.VEERG_4_1_1_5__2_VolatilisedNitrogenFromManureManagement(F21,$E29)</f>
        <v>47.4684489216</v>
      </c>
      <c r="G37" s="55" cm="1">
        <f t="array" ref="G37">MMS_Feedlot_AtmosphericDeposition_Equations.VEERG_4_1_1_5__2_VolatilisedNitrogenFromManureManagement(G21,$E29)</f>
        <v>68.560790399999988</v>
      </c>
      <c r="H37" s="2" t="str">
        <f t="shared" ref="H37:H39" si="0">$E$12</f>
        <v>kg N</v>
      </c>
      <c r="L37" s="55" t="str">
        <f>'Input - Feedlot'!$D$35</f>
        <v>Solid storage</v>
      </c>
      <c r="M37" s="55" cm="1">
        <f t="array" ref="M37">MMS_Feedlot_AtmosphericDeposition_Equations.VEERG_4_1_1_5__2_VolatilisedNitrogenFromManureManagement(M21,$E29)</f>
        <v>1344.1358601216007</v>
      </c>
      <c r="N37" s="55" cm="1">
        <f t="array" ref="N37">MMS_Feedlot_AtmosphericDeposition_Equations.VEERG_4_1_1_5__2_VolatilisedNitrogenFromManureManagement(N21,$E29)</f>
        <v>47.4684489216</v>
      </c>
      <c r="O37" s="55" cm="1">
        <f t="array" ref="O37">MMS_Feedlot_AtmosphericDeposition_Equations.VEERG_4_1_1_5__2_VolatilisedNitrogenFromManureManagement(O21,$E29)</f>
        <v>68.560790399999988</v>
      </c>
      <c r="P37" s="2" t="s">
        <v>240</v>
      </c>
    </row>
    <row r="38" spans="3:17" ht="20.100000000000001" customHeight="1" x14ac:dyDescent="0.25">
      <c r="D38" s="55" t="str">
        <f>'Input - Feedlot'!$D$36</f>
        <v>Composting (passive windrow)</v>
      </c>
      <c r="E38" s="55" cm="1">
        <f t="array" ref="E38">MMS_Feedlot_AtmosphericDeposition_Equations.VEERG_4_1_1_5__2_VolatilisedNitrogenFromManureManagement(E22,$E30)</f>
        <v>8602.4695047782443</v>
      </c>
      <c r="F38" s="55" cm="1">
        <f t="array" ref="F38">MMS_Feedlot_AtmosphericDeposition_Equations.VEERG_4_1_1_5__2_VolatilisedNitrogenFromManureManagement(F22,$E30)</f>
        <v>303.79807309824002</v>
      </c>
      <c r="G38" s="55" cm="1">
        <f t="array" ref="G38">MMS_Feedlot_AtmosphericDeposition_Equations.VEERG_4_1_1_5__2_VolatilisedNitrogenFromManureManagement(G22,$E30)</f>
        <v>438.78905855999994</v>
      </c>
      <c r="H38" s="2" t="str">
        <f t="shared" si="0"/>
        <v>kg N</v>
      </c>
      <c r="L38" s="55" t="str">
        <f>'Input - Feedlot'!$D$36</f>
        <v>Composting (passive windrow)</v>
      </c>
      <c r="M38" s="55" cm="1">
        <f t="array" ref="M38">MMS_Feedlot_AtmosphericDeposition_Equations.VEERG_4_1_1_5__2_VolatilisedNitrogenFromManureManagement(M22,$E30)</f>
        <v>8602.4695047782443</v>
      </c>
      <c r="N38" s="55" cm="1">
        <f t="array" ref="N38">MMS_Feedlot_AtmosphericDeposition_Equations.VEERG_4_1_1_5__2_VolatilisedNitrogenFromManureManagement(N22,$E30)</f>
        <v>303.79807309824002</v>
      </c>
      <c r="O38" s="55" cm="1">
        <f t="array" ref="O38">MMS_Feedlot_AtmosphericDeposition_Equations.VEERG_4_1_1_5__2_VolatilisedNitrogenFromManureManagement(O22,$E30)</f>
        <v>438.78905855999994</v>
      </c>
      <c r="P38" s="2" t="s">
        <v>240</v>
      </c>
    </row>
    <row r="39" spans="3:17" ht="20.100000000000001" customHeight="1" x14ac:dyDescent="0.25">
      <c r="D39" s="55" t="str">
        <f>'Input - Feedlot'!$D$41</f>
        <v>Anaerobic lagoon</v>
      </c>
      <c r="E39" s="55" cm="1">
        <f t="array" ref="E39">MMS_Feedlot_AtmosphericDeposition_Equations.VEERG_4_1_1_5__2_VolatilisedNitrogenFromManureManagement(E23,$E31)</f>
        <v>502.34655744000014</v>
      </c>
      <c r="F39" s="55" cm="1">
        <f t="array" ref="F39">MMS_Feedlot_AtmosphericDeposition_Equations.VEERG_4_1_1_5__2_VolatilisedNitrogenFromManureManagement(F23,$E31)</f>
        <v>17.740477439999999</v>
      </c>
      <c r="G39" s="55" cm="1">
        <f t="array" ref="G39">MMS_Feedlot_AtmosphericDeposition_Equations.VEERG_4_1_1_5__2_VolatilisedNitrogenFromManureManagement(G23,$E31)</f>
        <v>25.623359999999991</v>
      </c>
      <c r="H39" s="2" t="str">
        <f t="shared" si="0"/>
        <v>kg N</v>
      </c>
      <c r="L39" s="55" t="str">
        <f>'Input - Feedlot'!$D$41</f>
        <v>Anaerobic lagoon</v>
      </c>
      <c r="M39" s="55" cm="1">
        <f t="array" ref="M39">MMS_Feedlot_AtmosphericDeposition_Equations.VEERG_4_1_1_5__2_VolatilisedNitrogenFromManureManagement(M23,$E31)</f>
        <v>502.34655744000014</v>
      </c>
      <c r="N39" s="55" cm="1">
        <f t="array" ref="N39">MMS_Feedlot_AtmosphericDeposition_Equations.VEERG_4_1_1_5__2_VolatilisedNitrogenFromManureManagement(N23,$E31)</f>
        <v>17.740477439999999</v>
      </c>
      <c r="O39" s="55" cm="1">
        <f t="array" ref="O39">MMS_Feedlot_AtmosphericDeposition_Equations.VEERG_4_1_1_5__2_VolatilisedNitrogenFromManureManagement(O23,$E31)</f>
        <v>25.623359999999991</v>
      </c>
      <c r="P39" s="2" t="s">
        <v>240</v>
      </c>
    </row>
    <row r="40" spans="3:17" ht="20.100000000000001" customHeight="1" x14ac:dyDescent="0.25"/>
    <row r="41" spans="3:17" ht="20.100000000000001" customHeight="1" x14ac:dyDescent="0.25">
      <c r="D41" s="131" t="s">
        <v>301</v>
      </c>
      <c r="E41" s="48">
        <f>SUM(E36:G39)</f>
        <v>58126.108834759696</v>
      </c>
      <c r="F41" s="129" t="str">
        <f>$E$12</f>
        <v>kg N</v>
      </c>
      <c r="L41" s="131" t="s">
        <v>301</v>
      </c>
      <c r="M41" s="48">
        <f>SUM(M36:O39)</f>
        <v>58126.108834759696</v>
      </c>
      <c r="N41" s="129" t="str">
        <f>$E$12</f>
        <v>kg N</v>
      </c>
    </row>
    <row r="42" spans="3:17" ht="20.100000000000001" customHeight="1" x14ac:dyDescent="0.25"/>
    <row r="43" spans="3:17" ht="20.100000000000001" customHeight="1" x14ac:dyDescent="0.25">
      <c r="C43" s="130"/>
      <c r="D43" s="130"/>
      <c r="E43" s="130"/>
      <c r="F43" s="130"/>
      <c r="G43" s="130"/>
      <c r="H43" s="130"/>
      <c r="I43" s="130"/>
      <c r="K43" s="130"/>
      <c r="L43" s="130"/>
      <c r="M43" s="130"/>
      <c r="N43" s="130"/>
      <c r="O43" s="130"/>
      <c r="P43" s="130"/>
      <c r="Q43" s="130"/>
    </row>
    <row r="44" spans="3:17" ht="20.100000000000001" customHeight="1" x14ac:dyDescent="0.25"/>
    <row r="45" spans="3:17" ht="20.100000000000001" customHeight="1" x14ac:dyDescent="0.25">
      <c r="D45" s="6" t="str" cm="1">
        <f t="array" ref="D45">MMS_Feedlot_AtmosphericDeposition_Equations.VEERG_4_1_1_5__1_TotalAnnualAtmosphericDepositionEmissions_Title()</f>
        <v>Total annual atmospheric deposition emissions from manure management</v>
      </c>
    </row>
    <row r="46" spans="3:17" ht="20.100000000000001" customHeight="1" x14ac:dyDescent="0.25">
      <c r="D46" s="5" t="str" cm="1">
        <f t="array" ref="D46">MMS_Feedlot_AtmosphericDeposition_Equations.VEERG_4_1_1_5__1_TotalAnnualAtmosphericDepositionEmissions_Source()</f>
        <v>VEERG 2026: 4.1.1.5, Equation (1)</v>
      </c>
    </row>
    <row r="47" spans="3:17" ht="20.100000000000001" customHeight="1" x14ac:dyDescent="0.25">
      <c r="D47" s="13" t="s">
        <v>27</v>
      </c>
      <c r="E47" s="13" t="str" cm="1">
        <f t="array" aca="1" ref="E47" ca="1">Common_InputFunctions.Utility_DisplayFunctionName(E60)</f>
        <v>=MMS_Feedlot_AtmosphericDeposition_Equations.VEERG_4_1_1_5__1_TotalAnnualAtmosphericDepositionEmissions</v>
      </c>
    </row>
    <row r="48" spans="3:17" ht="20.100000000000001" customHeight="1" x14ac:dyDescent="0.25"/>
    <row r="49" spans="4:15" ht="20.100000000000001" customHeight="1" x14ac:dyDescent="0.25">
      <c r="D49" s="6"/>
    </row>
    <row r="50" spans="4:15" ht="20.100000000000001" customHeight="1" x14ac:dyDescent="0.25">
      <c r="D50" s="56" t="s">
        <v>30</v>
      </c>
      <c r="E50" s="1" t="str" cm="1">
        <f t="array" ref="E50">MMS_Feedlot_AtmosphericDeposition_Equations.VEERG_4_1_1_5__1_TotalAnnualAtmosphericDepositionEmissions_Variable()</f>
        <v>E_N2Oad</v>
      </c>
    </row>
    <row r="51" spans="4:15" ht="20.100000000000001" customHeight="1" x14ac:dyDescent="0.25">
      <c r="D51" s="56" t="s">
        <v>20</v>
      </c>
      <c r="E51" s="57" t="str" cm="1">
        <f t="array" ref="E51">MMS_Feedlot_AtmosphericDeposition_Equations.VEERG_4_1_1_5__1_TotalAnnualAtmosphericDepositionEmissions_Unit()</f>
        <v>t N2O</v>
      </c>
    </row>
    <row r="52" spans="4:15" ht="20.100000000000001" customHeight="1" x14ac:dyDescent="0.25"/>
    <row r="53" spans="4:15" ht="20.100000000000001" customHeight="1" x14ac:dyDescent="0.25">
      <c r="D53" s="60" t="str" cm="1">
        <f t="array" ref="D53:E58">MMS_Feedlot_AtmosphericDeposition_Equations.VEERG_4_1_1_5__1_TotalAnnualAtmosphericDepositionEmissions_Arguments()</f>
        <v>MMS_ATMOS</v>
      </c>
      <c r="E53" s="61" t="str">
        <v>mass of N volatilised from MMS : kg N</v>
      </c>
      <c r="F53" s="62"/>
      <c r="G53" s="60">
        <f>$E$41</f>
        <v>58126.108834759696</v>
      </c>
      <c r="L53" s="60" t="str" cm="1">
        <f t="array" ref="L53:M58">MMS_Feedlot_AtmosphericDeposition_Equations.VEERG_4_1_1_5__1_TotalAnnualAtmosphericDepositionEmissions_Arguments()</f>
        <v>MMS_ATMOS</v>
      </c>
      <c r="M53" s="61" t="str">
        <v>mass of N volatilised from MMS : kg N</v>
      </c>
      <c r="N53" s="62"/>
      <c r="O53" s="60">
        <f>$M$41</f>
        <v>58126.108834759696</v>
      </c>
    </row>
    <row r="54" spans="4:15" ht="20.100000000000001" customHeight="1" x14ac:dyDescent="0.25">
      <c r="D54" s="60" t="str">
        <v>EF_N2O</v>
      </c>
      <c r="E54" s="61" t="str">
        <v>nitrous oxide emission factor for atmospheric deposition : kg N2O-N/kg N</v>
      </c>
      <c r="F54" s="62"/>
      <c r="G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  <c r="H54" s="117" t="s">
        <v>303</v>
      </c>
      <c r="L54" s="60" t="str">
        <v>EF_N2O</v>
      </c>
      <c r="M54" s="61" t="str">
        <v>nitrous oxide emission factor for atmospheric deposition : kg N2O-N/kg N</v>
      </c>
      <c r="N54" s="62"/>
      <c r="O54" s="60">
        <f>Common_InputFunctions.Utility_LookupN2OEFFromProdIrrigationRainfall($G$56,$G$57,$G$58,Table_SourceData_Common_EFN2O[Production system only],Table_SourceData_Common_EFN2O[Irrigation method],Table_SourceData_Common_EFN2O[Rainfall zone],Table_SourceData_Common_EFN2O[EFN2O])</f>
        <v>1.8E-3</v>
      </c>
    </row>
    <row r="55" spans="4:15" ht="20.100000000000001" customHeight="1" x14ac:dyDescent="0.25">
      <c r="D55" s="60" t="str">
        <v>C_N2O</v>
      </c>
      <c r="E55" s="61" t="str">
        <v>factor to convert elemental mass of nitrous oxide to molecular mass : ratio</v>
      </c>
      <c r="F55" s="62"/>
      <c r="G55" s="60">
        <f>Common_InputFunctions.Utility_LookupValueInTableNumber("N2O",Table_GasToMolecularConversionFactor[Gas],Table_GasToMolecularConversionFactor[Conversion factor combined])</f>
        <v>1.5714285714285714</v>
      </c>
      <c r="L55" s="60" t="str">
        <v>C_N2O</v>
      </c>
      <c r="M55" s="61" t="str">
        <v>factor to convert elemental mass of nitrous oxide to molecular mass : ratio</v>
      </c>
      <c r="N55" s="62"/>
      <c r="O55" s="60">
        <f>Common_InputFunctions.Utility_LookupValueInTableNumber("N2O",Table_GasToMolecularConversionFactor[Gas],Table_GasToMolecularConversionFactor[Conversion factor combined])</f>
        <v>1.5714285714285714</v>
      </c>
    </row>
    <row r="56" spans="4:15" ht="20.100000000000001" customHeight="1" x14ac:dyDescent="0.25">
      <c r="D56" s="60" t="str">
        <v>j</v>
      </c>
      <c r="E56" s="61" t="str">
        <v>production system</v>
      </c>
      <c r="F56" s="62"/>
      <c r="G56" s="60" t="str">
        <f>'Input - Feedlot'!$E$62</f>
        <v>Pasture</v>
      </c>
      <c r="L56" s="60" t="str">
        <v>j</v>
      </c>
      <c r="M56" s="61" t="str">
        <v>production system</v>
      </c>
      <c r="N56" s="62"/>
      <c r="O56" s="60" t="str">
        <f>'Input - Feedlot'!$E$62</f>
        <v>Pasture</v>
      </c>
    </row>
    <row r="57" spans="4:15" ht="20.100000000000001" customHeight="1" x14ac:dyDescent="0.25">
      <c r="D57" s="60" t="str">
        <v>i</v>
      </c>
      <c r="E57" s="61" t="str">
        <v>irrigation method</v>
      </c>
      <c r="F57" s="62"/>
      <c r="G57" s="60" t="str">
        <f>'Input - Feedlot'!$E$63</f>
        <v>Not irrigated</v>
      </c>
      <c r="L57" s="60" t="str">
        <v>i</v>
      </c>
      <c r="M57" s="61" t="str">
        <v>irrigation method</v>
      </c>
      <c r="N57" s="62"/>
      <c r="O57" s="60" t="str">
        <f>'Input - Feedlot'!$E$63</f>
        <v>Not irrigated</v>
      </c>
    </row>
    <row r="58" spans="4:15" ht="20.100000000000001" customHeight="1" x14ac:dyDescent="0.25">
      <c r="D58" s="61" t="str">
        <v>r</v>
      </c>
      <c r="E58" s="61" t="str">
        <v>rainfall zone</v>
      </c>
      <c r="F58" s="107"/>
      <c r="G58" s="60" t="str">
        <f>'Input - Site'!$E$30</f>
        <v>High rainfall</v>
      </c>
      <c r="L58" s="61" t="str">
        <v>r</v>
      </c>
      <c r="M58" s="61" t="str">
        <v>rainfall zone</v>
      </c>
      <c r="N58" s="107"/>
      <c r="O58" s="60" t="str">
        <f>'Input - Site'!$E$30</f>
        <v>High rainfall</v>
      </c>
    </row>
    <row r="59" spans="4:15" ht="20.100000000000001" customHeight="1" x14ac:dyDescent="0.25"/>
    <row r="60" spans="4:15" ht="20.100000000000001" customHeight="1" x14ac:dyDescent="0.25">
      <c r="D60" s="110" t="s">
        <v>317</v>
      </c>
      <c r="E60" s="111" cm="1">
        <f t="array" ref="E60">MMS_Feedlot_AtmosphericDeposition_Equations.VEERG_4_1_1_5__1_TotalAnnualAtmosphericDepositionEmissions(G53,G54,G55)</f>
        <v>0.16441385070403455</v>
      </c>
      <c r="F60" s="112" t="str">
        <f>$E$51</f>
        <v>t N2O</v>
      </c>
      <c r="L60" s="110" t="s">
        <v>317</v>
      </c>
      <c r="M60" s="111" cm="1">
        <f t="array" ref="M60">MMS_Feedlot_AtmosphericDeposition_Equations.VEERG_4_1_1_5__1_TotalAnnualAtmosphericDepositionEmissions(O53,O54,O55)</f>
        <v>0.16441385070403455</v>
      </c>
      <c r="N60" s="112" t="str">
        <f>$E$51</f>
        <v>t N2O</v>
      </c>
    </row>
    <row r="61" spans="4:15" ht="20.100000000000001" customHeight="1" x14ac:dyDescent="0.25"/>
    <row r="62" spans="4:15" ht="20.100000000000001" customHeight="1" x14ac:dyDescent="0.25">
      <c r="D62" s="60" t="str" cm="1">
        <f t="array" ref="D62:E63">Common_Equations.Common_ConvertN2OToCO2e_Arguments()</f>
        <v>EN2O</v>
      </c>
      <c r="E62" s="61" t="str">
        <v>Nitrous oxide emissions (t N2O)</v>
      </c>
      <c r="F62" s="113"/>
      <c r="G62" s="55">
        <f>E60</f>
        <v>0.16441385070403455</v>
      </c>
      <c r="L62" s="60" t="str" cm="1">
        <f t="array" ref="L62:M63">Common_Equations.Common_ConvertN2OToCO2e_Arguments()</f>
        <v>EN2O</v>
      </c>
      <c r="M62" s="61" t="str">
        <v>Nitrous oxide emissions (t N2O)</v>
      </c>
      <c r="N62" s="113"/>
      <c r="O62" s="55">
        <f>M60</f>
        <v>0.16441385070403455</v>
      </c>
    </row>
    <row r="63" spans="4:15" ht="20.100000000000001" customHeight="1" x14ac:dyDescent="0.25">
      <c r="D63" s="60" t="str">
        <v>GWPN2O</v>
      </c>
      <c r="E63" s="61" t="str">
        <v>Global warming potential for nitrous oxide (t CO2-e / t N2O)</v>
      </c>
      <c r="F63" s="113"/>
      <c r="G63" s="55">
        <f>Common_InputFunctions.Utility_LookupValueInTableNumber("N2O",Table_GWPData[Gas],Table_GWPData[CO2-e factor])</f>
        <v>265</v>
      </c>
      <c r="L63" s="60" t="str">
        <v>GWPN2O</v>
      </c>
      <c r="M63" s="61" t="str">
        <v>Global warming potential for nitrous oxide (t CO2-e / t N2O)</v>
      </c>
      <c r="N63" s="113"/>
      <c r="O63" s="55">
        <f>Common_InputFunctions.Utility_LookupValueInTableNumber("N2O",Table_GWPData[Gas],Table_GWPData[CO2-e factor])</f>
        <v>265</v>
      </c>
    </row>
    <row r="64" spans="4:15" ht="20.100000000000001" customHeight="1" x14ac:dyDescent="0.25"/>
    <row r="65" spans="4:14" ht="20.100000000000001" customHeight="1" x14ac:dyDescent="0.25">
      <c r="D65" s="48" t="s">
        <v>136</v>
      </c>
      <c r="E65" s="48" cm="1">
        <f t="array" ref="E65">Common_Equations.Common_ConvertN2OToCO2e(G62,G63)</f>
        <v>43.569670436569155</v>
      </c>
      <c r="F65" s="114" t="str" cm="1">
        <f t="array" ref="F65">Common_Equations.Common_ConvertN2OToCO2e_Unit()</f>
        <v>t CO2e</v>
      </c>
      <c r="L65" s="48" t="s">
        <v>136</v>
      </c>
      <c r="M65" s="48" cm="1">
        <f t="array" ref="M65">Common_Equations.Common_ConvertN2OToCO2e(O62,O63)</f>
        <v>43.569670436569155</v>
      </c>
      <c r="N65" s="114" t="str" cm="1">
        <f t="array" ref="N65">Common_Equations.Common_ConvertN2OToCO2e_Unit()</f>
        <v>t CO2e</v>
      </c>
    </row>
    <row r="66" spans="4:14" ht="20.100000000000001" customHeight="1" x14ac:dyDescent="0.25"/>
    <row r="67" spans="4:14" ht="20.100000000000001" customHeight="1" x14ac:dyDescent="0.25"/>
    <row r="68" spans="4:14" ht="20.100000000000001" customHeight="1" x14ac:dyDescent="0.25"/>
    <row r="69" spans="4:14" ht="20.100000000000001" customHeight="1" x14ac:dyDescent="0.25"/>
    <row r="70" spans="4:14" ht="20.100000000000001" customHeight="1" x14ac:dyDescent="0.25"/>
    <row r="71" spans="4:14" ht="20.100000000000001" customHeight="1" x14ac:dyDescent="0.25"/>
    <row r="72" spans="4:14" ht="20.100000000000001" customHeight="1" x14ac:dyDescent="0.25"/>
    <row r="73" spans="4:14" ht="20.100000000000001" customHeight="1" x14ac:dyDescent="0.25"/>
    <row r="74" spans="4:14" ht="20.100000000000001" customHeight="1" x14ac:dyDescent="0.25"/>
    <row r="75" spans="4:14" ht="20.100000000000001" customHeight="1" x14ac:dyDescent="0.25"/>
    <row r="76" spans="4:14" ht="20.100000000000001" customHeight="1" x14ac:dyDescent="0.25"/>
    <row r="77" spans="4:14" ht="20.100000000000001" customHeight="1" x14ac:dyDescent="0.25"/>
    <row r="78" spans="4:14" ht="20.100000000000001" customHeight="1" x14ac:dyDescent="0.25"/>
    <row r="79" spans="4:14" ht="20.100000000000001" customHeight="1" x14ac:dyDescent="0.25"/>
    <row r="80" spans="4:14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9EE4-6811-4EE3-BAA2-11924CEC7522}">
  <dimension ref="A1:Q165"/>
  <sheetViews>
    <sheetView showGridLines="0" topLeftCell="A85" workbookViewId="0">
      <selection activeCell="D104" sqref="D104:F104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4.7109375" style="1" customWidth="1"/>
    <col min="10" max="10" width="4.7109375" customWidth="1"/>
    <col min="11" max="11" width="4.7109375" style="1" customWidth="1"/>
    <col min="12" max="16" width="30.7109375" style="1" customWidth="1"/>
    <col min="17" max="17" width="4.7109375" style="1" customWidth="1"/>
  </cols>
  <sheetData>
    <row r="1" spans="1:17" s="8" customFormat="1" ht="30" customHeight="1" x14ac:dyDescent="0.35">
      <c r="A1" s="8" t="e" vm="1">
        <v>#VALUE!</v>
      </c>
      <c r="C1" s="8" t="s">
        <v>239</v>
      </c>
    </row>
    <row r="2" spans="1:17" s="9" customFormat="1" ht="20.100000000000001" customHeight="1" x14ac:dyDescent="0.25"/>
    <row r="3" spans="1:17" ht="20.100000000000001" customHeight="1" x14ac:dyDescent="0.25">
      <c r="A3" s="17" t="str">
        <f>HYPERLINK("#'Home'!A1", "Home")</f>
        <v>Home</v>
      </c>
      <c r="C3" s="4"/>
      <c r="D3" s="4" t="s">
        <v>170</v>
      </c>
      <c r="E3" s="4"/>
      <c r="F3" s="4"/>
      <c r="G3" s="4"/>
      <c r="H3" s="4"/>
      <c r="I3" s="4"/>
      <c r="K3" s="4"/>
      <c r="L3" s="4" t="s">
        <v>171</v>
      </c>
      <c r="M3" s="4"/>
      <c r="N3" s="4"/>
      <c r="O3" s="4"/>
      <c r="P3" s="4"/>
      <c r="Q3" s="4"/>
    </row>
    <row r="4" spans="1:17" ht="20.100000000000001" customHeight="1" x14ac:dyDescent="0.25">
      <c r="A4" s="17" t="str">
        <f>HYPERLINK("#'Results'!A1", "Results")</f>
        <v>Results</v>
      </c>
    </row>
    <row r="5" spans="1:17" ht="20.100000000000001" customHeight="1" x14ac:dyDescent="0.25">
      <c r="A5" s="16"/>
      <c r="D5" s="6" t="str" cm="1">
        <f t="array" ref="D5">MMS_Feedlot_ManureAppliedToSoils_Equations.VEERG_4_1_1_9__1_MassOfNitrogenAppliedToSoilsScope1_Title()</f>
        <v>Mass of nitrogen applied to soils for scope 1 emissions</v>
      </c>
    </row>
    <row r="6" spans="1:17" ht="20.100000000000001" customHeight="1" x14ac:dyDescent="0.25">
      <c r="A6" s="20" t="s">
        <v>3</v>
      </c>
      <c r="D6" s="5" t="str" cm="1">
        <f t="array" ref="D6">MMS_Feedlot_ManureAppliedToSoils_Equations.VEERG_4_1_1_9__1_MassOfNitrogenAppliedToSoilsScope1_Source()</f>
        <v>VEERG 2026: 4.1.1.9, Equation (1)</v>
      </c>
    </row>
    <row r="7" spans="1:17" ht="20.100000000000001" customHeight="1" x14ac:dyDescent="0.25">
      <c r="A7" s="17" t="str">
        <f>HYPERLINK("#'Input - Site'!A1", "Site")</f>
        <v>Site</v>
      </c>
      <c r="D7" s="13" t="s">
        <v>27</v>
      </c>
      <c r="E7" s="13" t="str" cm="1">
        <f t="array" aca="1" ref="E7" ca="1">Common_InputFunctions.Utility_DisplayFunctionName(E52)</f>
        <v>=MMS_Feedlot_ManureAppliedToSoils_Equations.VEERG_4_1_1_9__1_MassOfNitrogenAppliedToSoilsScope1</v>
      </c>
    </row>
    <row r="8" spans="1:17" ht="20.100000000000001" customHeight="1" x14ac:dyDescent="0.25">
      <c r="A8" s="17" t="str">
        <f>HYPERLINK("#'Input - Feedlot'!A1", "Feedlot")</f>
        <v>Feedlot</v>
      </c>
    </row>
    <row r="9" spans="1:17" ht="20.100000000000001" customHeight="1" x14ac:dyDescent="0.25">
      <c r="A9" s="17"/>
      <c r="D9" s="6"/>
    </row>
    <row r="10" spans="1:17" ht="20.100000000000001" customHeight="1" x14ac:dyDescent="0.25">
      <c r="A10" s="19" t="s">
        <v>77</v>
      </c>
    </row>
    <row r="11" spans="1:17" ht="20.100000000000001" customHeight="1" x14ac:dyDescent="0.25">
      <c r="A11" s="17" t="str">
        <f>HYPERLINK("#'4.1.1.1-2 Methane'!A1", "4.1.1.1-2 Methane")</f>
        <v>4.1.1.1-2 Methane</v>
      </c>
      <c r="D11" s="56" t="s">
        <v>30</v>
      </c>
      <c r="E11" s="1" t="str" cm="1">
        <f t="array" ref="E11">MMS_Feedlot_ManureAppliedToSoils_Equations.VEERG_4_1_1_9__1_MassOfNitrogenAppliedToSoilsScope1_Variable()</f>
        <v>MNSoil_scope1</v>
      </c>
    </row>
    <row r="12" spans="1:17" ht="20.100000000000001" customHeight="1" x14ac:dyDescent="0.25">
      <c r="A12" s="17" t="str">
        <f>HYPERLINK("#'4.1.1.3-4 Direct N20'!A1", "4.1.1.3-4 Direct N2O")</f>
        <v>4.1.1.3-4 Direct N2O</v>
      </c>
      <c r="D12" s="56" t="s">
        <v>20</v>
      </c>
      <c r="E12" s="57" t="str" cm="1">
        <f t="array" ref="E12">MMS_Feedlot_ManureAppliedToSoils_Equations.VEERG_4_1_1_9__1_MassOfNitrogenAppliedToSoilsScope1_Unit()</f>
        <v>kg N</v>
      </c>
    </row>
    <row r="13" spans="1:17" ht="20.100000000000001" customHeight="1" x14ac:dyDescent="0.25">
      <c r="A13" s="17" t="str">
        <f>HYPERLINK("#'4.1.1.5-6 Atmos Deposition'!A1", "4.1.1.5-6 Atmospheric deposition")</f>
        <v>4.1.1.5-6 Atmospheric deposition</v>
      </c>
    </row>
    <row r="14" spans="1:17" ht="20.100000000000001" customHeight="1" x14ac:dyDescent="0.25">
      <c r="A14" s="22" t="str">
        <f>HYPERLINK("#'4.1.1.9 Manure applied to soils'!A1", "4.1.1.9 Manure applied to soils")</f>
        <v>4.1.1.9 Manure applied to soils</v>
      </c>
      <c r="D14" s="60" t="str" cm="1">
        <f t="array" ref="D14:E17">MMS_Feedlot_ManureAppliedToSoils_Equations.VEERG_4_1_1_9__1_MassOfNitrogenAppliedToSoilsScope1_Arguments()</f>
        <v>MN_jmT23</v>
      </c>
      <c r="E14" s="61" t="str">
        <v>mass of N in secondary and tertiary treatment MMS stages as calculated for manure management : kg N</v>
      </c>
      <c r="F14" s="107"/>
      <c r="G14" s="62"/>
      <c r="H14" s="60" t="str">
        <f>"See " &amp; $D$19</f>
        <v>See M1_Table_MN_j_m_T-2-3</v>
      </c>
    </row>
    <row r="15" spans="1:17" ht="20.100000000000001" customHeight="1" x14ac:dyDescent="0.25">
      <c r="D15" s="60" t="str">
        <v>EF_mT23</v>
      </c>
      <c r="E15" s="61" t="str">
        <v>nitrous oxide emission factor for each MMS : kg N2O-N/kg N</v>
      </c>
      <c r="F15" s="107"/>
      <c r="G15" s="62"/>
      <c r="H15" s="60" t="str">
        <f>"See " &amp; $D$26</f>
        <v>See Table_EF_j_m_T-2-3</v>
      </c>
    </row>
    <row r="16" spans="1:17" ht="20.100000000000001" customHeight="1" x14ac:dyDescent="0.25">
      <c r="A16" s="18" t="s">
        <v>4</v>
      </c>
      <c r="D16" s="60" t="str">
        <v>FracGASM_mT23</v>
      </c>
      <c r="E16" s="61" t="str">
        <v>fraction of animal waste N volatilised in each MMS for each cattle group : (kg NH3-N + NOx-N)/kg N</v>
      </c>
      <c r="F16" s="107"/>
      <c r="G16" s="62"/>
      <c r="H16" s="60" t="str">
        <f>"See " &amp; $D$34</f>
        <v>See Table_FracGASM_m_T-2-3</v>
      </c>
    </row>
    <row r="17" spans="1:16" ht="20.100000000000001" customHeight="1" x14ac:dyDescent="0.25">
      <c r="A17" s="17" t="str">
        <f>HYPERLINK("#'Constants - Feedlot'!A1", "Constants - Feedlot")</f>
        <v>Constants - Feedlot</v>
      </c>
      <c r="D17" s="60" t="str">
        <v>PF</v>
      </c>
      <c r="E17" s="61" t="str">
        <v>fraction of manure applied to soil within the feedlot boundary : fraction</v>
      </c>
      <c r="F17" s="107"/>
      <c r="G17" s="62"/>
      <c r="H17" s="60" t="str">
        <f>"See " &amp; $D$42</f>
        <v>See Table_PF</v>
      </c>
    </row>
    <row r="18" spans="1:16" ht="20.100000000000001" customHeight="1" x14ac:dyDescent="0.25">
      <c r="A18" s="17" t="str">
        <f>HYPERLINK("#'Constants - Livestock'!A1", "Constants - Livestock")</f>
        <v>Constants - Livestock</v>
      </c>
    </row>
    <row r="19" spans="1:16" ht="20.100000000000001" customHeight="1" x14ac:dyDescent="0.25">
      <c r="A19" s="17" t="str">
        <f>HYPERLINK("#'Constants - Common'!A1", "Constants - Common")</f>
        <v>Constants - Common</v>
      </c>
      <c r="D19" s="105" t="s">
        <v>241</v>
      </c>
      <c r="L19" s="105" t="s">
        <v>250</v>
      </c>
    </row>
    <row r="20" spans="1:16" ht="20.100000000000001" customHeight="1" x14ac:dyDescent="0.25">
      <c r="A20" s="17" t="str">
        <f>HYPERLINK("#'Acknowledgements'!A1", "Acknowledgements")</f>
        <v>Acknowledgements</v>
      </c>
      <c r="D20" s="104" t="s">
        <v>252</v>
      </c>
      <c r="L20" s="104" t="s">
        <v>251</v>
      </c>
    </row>
    <row r="21" spans="1:16" ht="20.100000000000001" customHeight="1" x14ac:dyDescent="0.25">
      <c r="D21" s="54" t="s">
        <v>68</v>
      </c>
      <c r="E21" s="54" t="s">
        <v>148</v>
      </c>
      <c r="F21" s="54" t="s">
        <v>149</v>
      </c>
      <c r="G21" s="54" t="s">
        <v>150</v>
      </c>
      <c r="L21" s="54" t="s">
        <v>68</v>
      </c>
      <c r="M21" s="54" t="s">
        <v>148</v>
      </c>
      <c r="N21" s="54" t="s">
        <v>149</v>
      </c>
      <c r="O21" s="54" t="s">
        <v>150</v>
      </c>
    </row>
    <row r="22" spans="1:16" ht="20.100000000000001" customHeight="1" x14ac:dyDescent="0.25">
      <c r="D22" s="55" t="str">
        <f>'Input - Feedlot'!$D$35</f>
        <v>Solid storage</v>
      </c>
      <c r="E22" s="55">
        <f>'4.1.1.3-4 Direct N20'!$E$173</f>
        <v>5376.5434404864027</v>
      </c>
      <c r="F22" s="55">
        <f>'4.1.1.3-4 Direct N20'!$F$173</f>
        <v>189.8737956864</v>
      </c>
      <c r="G22" s="55">
        <f>'4.1.1.3-4 Direct N20'!$G$173</f>
        <v>274.24316159999995</v>
      </c>
      <c r="H22" s="2" t="s">
        <v>240</v>
      </c>
      <c r="L22" s="55" t="str">
        <f>'Input - Feedlot'!$D$35</f>
        <v>Solid storage</v>
      </c>
      <c r="M22" s="55">
        <f>'4.1.1.3-4 Direct N20'!$M$173</f>
        <v>5376.5434404864027</v>
      </c>
      <c r="N22" s="55">
        <f>'4.1.1.3-4 Direct N20'!$N$173</f>
        <v>189.8737956864</v>
      </c>
      <c r="O22" s="55">
        <f>'4.1.1.3-4 Direct N20'!$O$173</f>
        <v>274.24316159999995</v>
      </c>
      <c r="P22" s="2" t="s">
        <v>240</v>
      </c>
    </row>
    <row r="23" spans="1:16" ht="20.100000000000001" customHeight="1" x14ac:dyDescent="0.25">
      <c r="D23" s="55" t="str">
        <f>'Input - Feedlot'!$D$36</f>
        <v>Composting (passive windrow)</v>
      </c>
      <c r="E23" s="55">
        <f>'4.1.1.3-4 Direct N20'!$E$174</f>
        <v>21506.173761945611</v>
      </c>
      <c r="F23" s="55">
        <f>'4.1.1.3-4 Direct N20'!$F$174</f>
        <v>759.4951827456</v>
      </c>
      <c r="G23" s="55">
        <f>'4.1.1.3-4 Direct N20'!$G$174</f>
        <v>1096.9726463999998</v>
      </c>
      <c r="H23" s="2" t="s">
        <v>240</v>
      </c>
      <c r="L23" s="55" t="str">
        <f>'Input - Feedlot'!$D$36</f>
        <v>Composting (passive windrow)</v>
      </c>
      <c r="M23" s="55">
        <f>'4.1.1.3-4 Direct N20'!$M$174</f>
        <v>21506.173761945611</v>
      </c>
      <c r="N23" s="55">
        <f>'4.1.1.3-4 Direct N20'!$N$174</f>
        <v>759.4951827456</v>
      </c>
      <c r="O23" s="55">
        <f>'4.1.1.3-4 Direct N20'!$O$174</f>
        <v>1096.9726463999998</v>
      </c>
      <c r="P23" s="2" t="s">
        <v>240</v>
      </c>
    </row>
    <row r="24" spans="1:16" ht="20.100000000000001" customHeight="1" x14ac:dyDescent="0.25">
      <c r="D24" s="55" t="str">
        <f>'Input - Feedlot'!$D$41</f>
        <v>Anaerobic lagoon</v>
      </c>
      <c r="E24" s="55">
        <f>'4.1.1.3-4 Direct N20'!$E$129</f>
        <v>1435.2758784000005</v>
      </c>
      <c r="F24" s="55">
        <f>'4.1.1.3-4 Direct N20'!$F$129</f>
        <v>50.687078400000004</v>
      </c>
      <c r="G24" s="55">
        <f>'4.1.1.3-4 Direct N20'!$G$129</f>
        <v>73.20959999999998</v>
      </c>
      <c r="H24" s="2" t="s">
        <v>240</v>
      </c>
      <c r="L24" s="55" t="str">
        <f>'Input - Feedlot'!$D$41</f>
        <v>Anaerobic lagoon</v>
      </c>
      <c r="M24" s="55">
        <f>'4.1.1.3-4 Direct N20'!$M$129</f>
        <v>1435.2758784000005</v>
      </c>
      <c r="N24" s="55">
        <f>'4.1.1.3-4 Direct N20'!$N$129</f>
        <v>50.687078400000004</v>
      </c>
      <c r="O24" s="55">
        <f>'4.1.1.3-4 Direct N20'!$O$129</f>
        <v>73.20959999999998</v>
      </c>
      <c r="P24" s="2" t="s">
        <v>240</v>
      </c>
    </row>
    <row r="25" spans="1:16" ht="20.100000000000001" customHeight="1" x14ac:dyDescent="0.25"/>
    <row r="26" spans="1:16" ht="20.100000000000001" customHeight="1" x14ac:dyDescent="0.25">
      <c r="D26" s="105" t="s">
        <v>243</v>
      </c>
    </row>
    <row r="27" spans="1:16" ht="20.100000000000001" customHeight="1" x14ac:dyDescent="0.25">
      <c r="D27" s="104" t="s">
        <v>183</v>
      </c>
    </row>
    <row r="28" spans="1:16" ht="20.100000000000001" customHeight="1" x14ac:dyDescent="0.25">
      <c r="D28" s="121" t="s">
        <v>68</v>
      </c>
      <c r="E28" s="121" t="s">
        <v>184</v>
      </c>
    </row>
    <row r="29" spans="1:16" ht="20.100000000000001" customHeight="1" x14ac:dyDescent="0.25">
      <c r="D29" s="55" t="str">
        <f>'Input - Feedlot'!$D$29</f>
        <v>Drylot (feed pad)</v>
      </c>
      <c r="E29" s="55">
        <f>_xlfn.XLOOKUP(D29, Table_SourceData_Feedlot_NO2EFs[NIR definition], Table_SourceData_Feedlot_NO2EFs[EF mT])</f>
        <v>5.4000000000000003E-3</v>
      </c>
      <c r="F29" s="2" t="s">
        <v>248</v>
      </c>
    </row>
    <row r="30" spans="1:16" ht="20.100000000000001" customHeight="1" x14ac:dyDescent="0.25">
      <c r="D30" s="55" t="str">
        <f>'Input - Feedlot'!$D$35</f>
        <v>Solid storage</v>
      </c>
      <c r="E30" s="55">
        <f>_xlfn.XLOOKUP($D$30, Table_SourceData_Feedlot_NO2EFs[NIR definition], Table_SourceData_Feedlot_NO2EFs[EF mT])</f>
        <v>5.0000000000000001E-3</v>
      </c>
      <c r="F30" s="2" t="s">
        <v>248</v>
      </c>
    </row>
    <row r="31" spans="1:16" ht="20.100000000000001" customHeight="1" x14ac:dyDescent="0.25">
      <c r="D31" s="55" t="str">
        <f>'Input - Feedlot'!$D$36</f>
        <v>Composting (passive windrow)</v>
      </c>
      <c r="E31" s="55">
        <f>_xlfn.XLOOKUP($D$31, Table_SourceData_Feedlot_NO2EFs[NIR definition], Table_SourceData_Feedlot_NO2EFs[EF mT])</f>
        <v>0.01</v>
      </c>
      <c r="F31" s="2" t="s">
        <v>248</v>
      </c>
    </row>
    <row r="32" spans="1:16" ht="20.100000000000001" customHeight="1" x14ac:dyDescent="0.25">
      <c r="D32" s="55" t="str">
        <f>'Input - Feedlot'!$D$41</f>
        <v>Anaerobic lagoon</v>
      </c>
      <c r="E32" s="55">
        <f>_xlfn.XLOOKUP($D$32, Table_SourceData_Feedlot_NO2EFs[NIR definition], Table_SourceData_Feedlot_NO2EFs[EF mT])</f>
        <v>0</v>
      </c>
      <c r="F32" s="2" t="s">
        <v>248</v>
      </c>
    </row>
    <row r="33" spans="4:8" ht="20.100000000000001" customHeight="1" x14ac:dyDescent="0.25"/>
    <row r="34" spans="4:8" ht="20.100000000000001" customHeight="1" x14ac:dyDescent="0.25">
      <c r="D34" s="105" t="s">
        <v>242</v>
      </c>
    </row>
    <row r="35" spans="4:8" ht="20.100000000000001" customHeight="1" x14ac:dyDescent="0.25">
      <c r="D35" s="104" t="s">
        <v>244</v>
      </c>
    </row>
    <row r="36" spans="4:8" ht="20.100000000000001" customHeight="1" x14ac:dyDescent="0.25">
      <c r="D36" s="121" t="s">
        <v>68</v>
      </c>
      <c r="E36" s="121" t="s">
        <v>184</v>
      </c>
    </row>
    <row r="37" spans="4:8" ht="20.100000000000001" customHeight="1" x14ac:dyDescent="0.25">
      <c r="D37" s="55" t="str">
        <f>'Input - Feedlot'!$D$29</f>
        <v>Drylot (feed pad)</v>
      </c>
      <c r="E37" s="55">
        <f>_xlfn.XLOOKUP(D37, Table_SourceData_Feedlot_FracGASMmT[NIR definition], Table_SourceData_Feedlot_FracGASMmT[FracGASMmT])</f>
        <v>0.6</v>
      </c>
      <c r="F37" s="2" t="s">
        <v>249</v>
      </c>
    </row>
    <row r="38" spans="4:8" ht="20.100000000000001" customHeight="1" x14ac:dyDescent="0.25">
      <c r="D38" s="55" t="str">
        <f>'Input - Feedlot'!$D$35</f>
        <v>Solid storage</v>
      </c>
      <c r="E38" s="55">
        <f>_xlfn.XLOOKUP(D38, Table_SourceData_Feedlot_FracGASMmT[NIR definition], Table_SourceData_Feedlot_FracGASMmT[FracGASMmT])</f>
        <v>0.25</v>
      </c>
      <c r="F38" s="2" t="s">
        <v>249</v>
      </c>
    </row>
    <row r="39" spans="4:8" ht="20.100000000000001" customHeight="1" x14ac:dyDescent="0.25">
      <c r="D39" s="55" t="str">
        <f>'Input - Feedlot'!$D$36</f>
        <v>Composting (passive windrow)</v>
      </c>
      <c r="E39" s="55">
        <f>_xlfn.XLOOKUP(D39, Table_SourceData_Feedlot_FracGASMmT[NIR definition], Table_SourceData_Feedlot_FracGASMmT[FracGASMmT])</f>
        <v>0.4</v>
      </c>
      <c r="F39" s="2" t="s">
        <v>249</v>
      </c>
    </row>
    <row r="40" spans="4:8" ht="20.100000000000001" customHeight="1" x14ac:dyDescent="0.25">
      <c r="D40" s="55" t="str">
        <f>'Input - Feedlot'!$D$41</f>
        <v>Anaerobic lagoon</v>
      </c>
      <c r="E40" s="55">
        <f>_xlfn.XLOOKUP(D40, Table_SourceData_Feedlot_FracGASMmT[NIR definition], Table_SourceData_Feedlot_FracGASMmT[FracGASMmT])</f>
        <v>0.35</v>
      </c>
      <c r="F40" s="2" t="s">
        <v>249</v>
      </c>
    </row>
    <row r="41" spans="4:8" ht="20.100000000000001" customHeight="1" x14ac:dyDescent="0.25"/>
    <row r="42" spans="4:8" ht="20.100000000000001" customHeight="1" x14ac:dyDescent="0.25">
      <c r="D42" s="105" t="s">
        <v>245</v>
      </c>
    </row>
    <row r="43" spans="4:8" ht="20.100000000000001" customHeight="1" x14ac:dyDescent="0.25">
      <c r="D43" s="104" t="s">
        <v>246</v>
      </c>
    </row>
    <row r="44" spans="4:8" ht="20.100000000000001" customHeight="1" x14ac:dyDescent="0.25">
      <c r="D44" s="54" t="s">
        <v>68</v>
      </c>
      <c r="E44" s="54" t="s">
        <v>148</v>
      </c>
      <c r="F44" s="54" t="s">
        <v>149</v>
      </c>
      <c r="G44" s="54" t="s">
        <v>150</v>
      </c>
    </row>
    <row r="45" spans="4:8" ht="20.100000000000001" customHeight="1" x14ac:dyDescent="0.25">
      <c r="D45" s="55" t="str">
        <f>'Input - Feedlot'!$D$35</f>
        <v>Solid storage</v>
      </c>
      <c r="E45" s="55">
        <f>'Input - Feedlot'!E49</f>
        <v>0.5</v>
      </c>
      <c r="F45" s="55">
        <f>'Input - Feedlot'!F49</f>
        <v>0.5</v>
      </c>
      <c r="G45" s="55">
        <f>'Input - Feedlot'!G49</f>
        <v>0.5</v>
      </c>
      <c r="H45" s="2" t="s">
        <v>101</v>
      </c>
    </row>
    <row r="46" spans="4:8" ht="20.100000000000001" customHeight="1" x14ac:dyDescent="0.25">
      <c r="D46" s="55" t="str">
        <f>'Input - Feedlot'!$D$36</f>
        <v>Composting (passive windrow)</v>
      </c>
      <c r="E46" s="55">
        <f>'Input - Feedlot'!E54</f>
        <v>0.5</v>
      </c>
      <c r="F46" s="55">
        <f>'Input - Feedlot'!F54</f>
        <v>0.5</v>
      </c>
      <c r="G46" s="55">
        <f>'Input - Feedlot'!G54</f>
        <v>0.5</v>
      </c>
      <c r="H46" s="2" t="s">
        <v>101</v>
      </c>
    </row>
    <row r="47" spans="4:8" ht="20.100000000000001" customHeight="1" x14ac:dyDescent="0.25">
      <c r="D47" s="55" t="str">
        <f>'Input - Feedlot'!$D$41</f>
        <v>Anaerobic lagoon</v>
      </c>
      <c r="E47" s="55">
        <f>'Input - Feedlot'!E59</f>
        <v>0.5</v>
      </c>
      <c r="F47" s="55">
        <f>'Input - Feedlot'!F59</f>
        <v>0.5</v>
      </c>
      <c r="G47" s="55">
        <f>'Input - Feedlot'!G59</f>
        <v>0.5</v>
      </c>
      <c r="H47" s="2" t="s">
        <v>101</v>
      </c>
    </row>
    <row r="48" spans="4:8" ht="20.100000000000001" customHeight="1" x14ac:dyDescent="0.25"/>
    <row r="49" spans="3:17" ht="20.100000000000001" customHeight="1" x14ac:dyDescent="0.25">
      <c r="D49" s="105" t="s">
        <v>253</v>
      </c>
      <c r="L49" s="105" t="s">
        <v>267</v>
      </c>
    </row>
    <row r="50" spans="3:17" ht="20.100000000000001" customHeight="1" x14ac:dyDescent="0.25">
      <c r="D50" s="104" t="s">
        <v>269</v>
      </c>
      <c r="L50" s="104" t="s">
        <v>268</v>
      </c>
    </row>
    <row r="51" spans="3:17" ht="20.100000000000001" customHeight="1" x14ac:dyDescent="0.25">
      <c r="D51" s="54" t="s">
        <v>68</v>
      </c>
      <c r="E51" s="54" t="s">
        <v>148</v>
      </c>
      <c r="F51" s="54" t="s">
        <v>149</v>
      </c>
      <c r="G51" s="54" t="s">
        <v>150</v>
      </c>
      <c r="L51" s="54" t="s">
        <v>68</v>
      </c>
      <c r="M51" s="54" t="s">
        <v>148</v>
      </c>
      <c r="N51" s="54" t="s">
        <v>149</v>
      </c>
      <c r="O51" s="54" t="s">
        <v>150</v>
      </c>
    </row>
    <row r="52" spans="3:17" ht="20.100000000000001" customHeight="1" x14ac:dyDescent="0.25">
      <c r="D52" s="55" t="str">
        <f>'Input - Feedlot'!$D$35</f>
        <v>Solid storage</v>
      </c>
      <c r="E52" s="55" cm="1">
        <f t="array" ref="E52">MMS_Feedlot_ManureAppliedToSoils_Equations.VEERG_4_1_1_9__1_MassOfNitrogenAppliedToSoilsScope1(E22,$E$30,$E$38,E45)</f>
        <v>2002.762431581185</v>
      </c>
      <c r="F52" s="55" cm="1">
        <f t="array" ref="F52">MMS_Feedlot_ManureAppliedToSoils_Equations.VEERG_4_1_1_9__1_MassOfNitrogenAppliedToSoilsScope1(F22,$E$30,$E$38,F45)</f>
        <v>70.727988893184005</v>
      </c>
      <c r="G52" s="55" cm="1">
        <f t="array" ref="G52">MMS_Feedlot_ManureAppliedToSoils_Equations.VEERG_4_1_1_9__1_MassOfNitrogenAppliedToSoilsScope1(G22,$E$30,$E$38,G45)</f>
        <v>102.15557769599998</v>
      </c>
      <c r="H52" s="2" t="str">
        <f>$E$12</f>
        <v>kg N</v>
      </c>
      <c r="L52" s="55" t="str">
        <f>'Input - Feedlot'!$D$35</f>
        <v>Solid storage</v>
      </c>
      <c r="M52" s="55" cm="1">
        <f t="array" ref="M52">MMS_Feedlot_ManureAppliedToSoils_Equations.VEERG_4_1_1_9__1_MassOfNitrogenAppliedToSoilsScope1(M22,$E$30,$E$38,E45)</f>
        <v>2002.762431581185</v>
      </c>
      <c r="N52" s="55" cm="1">
        <f t="array" ref="N52">MMS_Feedlot_ManureAppliedToSoils_Equations.VEERG_4_1_1_9__1_MassOfNitrogenAppliedToSoilsScope1(N22,$E$30,$E$38,F45)</f>
        <v>70.727988893184005</v>
      </c>
      <c r="O52" s="55" cm="1">
        <f t="array" ref="O52">MMS_Feedlot_ManureAppliedToSoils_Equations.VEERG_4_1_1_9__1_MassOfNitrogenAppliedToSoilsScope1(O22,$E$30,$E$38,G45)</f>
        <v>102.15557769599998</v>
      </c>
      <c r="P52" s="2" t="str">
        <f>$E$12</f>
        <v>kg N</v>
      </c>
    </row>
    <row r="53" spans="3:17" ht="20.100000000000001" customHeight="1" x14ac:dyDescent="0.25">
      <c r="D53" s="55" t="str">
        <f>'Input - Feedlot'!$D$36</f>
        <v>Composting (passive windrow)</v>
      </c>
      <c r="E53" s="55" cm="1">
        <f t="array" ref="E53">MMS_Feedlot_ManureAppliedToSoils_Equations.VEERG_4_1_1_9__1_MassOfNitrogenAppliedToSoilsScope1(E23,$E$31,$E$39,E46)</f>
        <v>6344.3212597739548</v>
      </c>
      <c r="F53" s="55" cm="1">
        <f t="array" ref="F53">MMS_Feedlot_ManureAppliedToSoils_Equations.VEERG_4_1_1_9__1_MassOfNitrogenAppliedToSoilsScope1(F23,$E$31,$E$39,F46)</f>
        <v>224.051078909952</v>
      </c>
      <c r="G53" s="55" cm="1">
        <f t="array" ref="G53">MMS_Feedlot_ManureAppliedToSoils_Equations.VEERG_4_1_1_9__1_MassOfNitrogenAppliedToSoilsScope1(G23,$E$31,$E$39,G46)</f>
        <v>323.60693068799992</v>
      </c>
      <c r="H53" s="2" t="str">
        <f>$E$12</f>
        <v>kg N</v>
      </c>
      <c r="L53" s="55" t="str">
        <f>'Input - Feedlot'!$D$36</f>
        <v>Composting (passive windrow)</v>
      </c>
      <c r="M53" s="55" cm="1">
        <f t="array" ref="M53">MMS_Feedlot_ManureAppliedToSoils_Equations.VEERG_4_1_1_9__1_MassOfNitrogenAppliedToSoilsScope1(M23,$E$31,$E$39,E46)</f>
        <v>6344.3212597739548</v>
      </c>
      <c r="N53" s="55" cm="1">
        <f t="array" ref="N53">MMS_Feedlot_ManureAppliedToSoils_Equations.VEERG_4_1_1_9__1_MassOfNitrogenAppliedToSoilsScope1(N23,$E$31,$E$39,F46)</f>
        <v>224.051078909952</v>
      </c>
      <c r="O53" s="55" cm="1">
        <f t="array" ref="O53">MMS_Feedlot_ManureAppliedToSoils_Equations.VEERG_4_1_1_9__1_MassOfNitrogenAppliedToSoilsScope1(O23,$E$31,$E$39,G46)</f>
        <v>323.60693068799992</v>
      </c>
      <c r="P53" s="2" t="str">
        <f>$E$12</f>
        <v>kg N</v>
      </c>
    </row>
    <row r="54" spans="3:17" ht="20.100000000000001" customHeight="1" x14ac:dyDescent="0.25">
      <c r="D54" s="55" t="str">
        <f>'Input - Feedlot'!$D$41</f>
        <v>Anaerobic lagoon</v>
      </c>
      <c r="E54" s="55" cm="1">
        <f t="array" ref="E54">MMS_Feedlot_ManureAppliedToSoils_Equations.VEERG_4_1_1_9__1_MassOfNitrogenAppliedToSoilsScope1(E24,$E$32,$E$40,E47)</f>
        <v>466.46466048000019</v>
      </c>
      <c r="F54" s="55" cm="1">
        <f t="array" ref="F54">MMS_Feedlot_ManureAppliedToSoils_Equations.VEERG_4_1_1_9__1_MassOfNitrogenAppliedToSoilsScope1(F24,$E$32,$E$40,F47)</f>
        <v>16.473300480000002</v>
      </c>
      <c r="G54" s="55" cm="1">
        <f t="array" ref="G54">MMS_Feedlot_ManureAppliedToSoils_Equations.VEERG_4_1_1_9__1_MassOfNitrogenAppliedToSoilsScope1(G24,$E$32,$E$40,G47)</f>
        <v>23.793119999999995</v>
      </c>
      <c r="H54" s="2" t="str">
        <f>$E$12</f>
        <v>kg N</v>
      </c>
      <c r="L54" s="55" t="str">
        <f>'Input - Feedlot'!$D$41</f>
        <v>Anaerobic lagoon</v>
      </c>
      <c r="M54" s="55" cm="1">
        <f t="array" ref="M54">MMS_Feedlot_ManureAppliedToSoils_Equations.VEERG_4_1_1_9__1_MassOfNitrogenAppliedToSoilsScope1(M24,$E$32,$E$40,E47)</f>
        <v>466.46466048000019</v>
      </c>
      <c r="N54" s="55" cm="1">
        <f t="array" ref="N54">MMS_Feedlot_ManureAppliedToSoils_Equations.VEERG_4_1_1_9__1_MassOfNitrogenAppliedToSoilsScope1(N24,$E$32,$E$40,F47)</f>
        <v>16.473300480000002</v>
      </c>
      <c r="O54" s="55" cm="1">
        <f t="array" ref="O54">MMS_Feedlot_ManureAppliedToSoils_Equations.VEERG_4_1_1_9__1_MassOfNitrogenAppliedToSoilsScope1(O24,$E$32,$E$40,G47)</f>
        <v>23.793119999999995</v>
      </c>
      <c r="P54" s="2" t="str">
        <f>$E$12</f>
        <v>kg N</v>
      </c>
    </row>
    <row r="55" spans="3:17" ht="20.100000000000001" customHeight="1" x14ac:dyDescent="0.25"/>
    <row r="56" spans="3:17" ht="20.100000000000001" customHeight="1" x14ac:dyDescent="0.25">
      <c r="D56" s="110" t="s">
        <v>254</v>
      </c>
      <c r="E56" s="111">
        <f>SUM(E52:G54)</f>
        <v>9574.3563485022751</v>
      </c>
      <c r="F56" s="112" t="str">
        <f>$E$12</f>
        <v>kg N</v>
      </c>
      <c r="L56" s="110" t="s">
        <v>254</v>
      </c>
      <c r="M56" s="111">
        <f>SUM(M52:O54)</f>
        <v>9574.3563485022751</v>
      </c>
      <c r="N56" s="112" t="str">
        <f>$E$12</f>
        <v>kg N</v>
      </c>
    </row>
    <row r="57" spans="3:17" ht="20.100000000000001" customHeight="1" x14ac:dyDescent="0.25"/>
    <row r="58" spans="3:17" ht="20.100000000000001" customHeight="1" x14ac:dyDescent="0.25"/>
    <row r="59" spans="3:17" ht="20.100000000000001" customHeight="1" x14ac:dyDescent="0.25">
      <c r="C59" s="48"/>
      <c r="D59" s="48"/>
      <c r="E59" s="48"/>
      <c r="F59" s="48"/>
      <c r="G59" s="48"/>
      <c r="H59" s="48"/>
      <c r="I59" s="48"/>
      <c r="K59" s="48"/>
      <c r="L59" s="48"/>
      <c r="M59" s="48"/>
      <c r="N59" s="48"/>
      <c r="O59" s="48"/>
      <c r="P59" s="48"/>
      <c r="Q59" s="48"/>
    </row>
    <row r="60" spans="3:17" ht="20.100000000000001" customHeight="1" x14ac:dyDescent="0.25">
      <c r="D60" s="6" t="str" cm="1">
        <f t="array" ref="D60">MMS_Feedlot_ManureAppliedToSoils_Equations.VEERG_4_1_1_9__2_MassOfNitrogenAppliedToSoilsScope3_Title()</f>
        <v>Mass of nitrogen applied to soils for scope 3 emissions</v>
      </c>
    </row>
    <row r="61" spans="3:17" ht="20.100000000000001" customHeight="1" x14ac:dyDescent="0.25">
      <c r="D61" s="5" t="str" cm="1">
        <f t="array" ref="D61">MMS_Feedlot_ManureAppliedToSoils_Equations.VEERG_4_1_1_9__2_MassOfNitrogenAppliedToSoilsScope3_Source()</f>
        <v>VEERG 2026: 4.1.1.9, Equation (2)</v>
      </c>
    </row>
    <row r="62" spans="3:17" ht="20.100000000000001" customHeight="1" x14ac:dyDescent="0.25">
      <c r="D62" s="13" t="s">
        <v>27</v>
      </c>
      <c r="E62" s="13" t="str" cm="1">
        <f t="array" aca="1" ref="E62" ca="1">Common_InputFunctions.Utility_DisplayFunctionName(E77)</f>
        <v>=MMS_Feedlot_ManureAppliedToSoils_Equations.VEERG_4_1_1_9__2_MassOfNitrogenAppliedToSoilsScope3</v>
      </c>
    </row>
    <row r="63" spans="3:17" ht="20.100000000000001" customHeight="1" x14ac:dyDescent="0.25"/>
    <row r="64" spans="3:17" ht="20.100000000000001" customHeight="1" x14ac:dyDescent="0.25">
      <c r="D64" s="6"/>
    </row>
    <row r="65" spans="4:16" ht="20.100000000000001" customHeight="1" x14ac:dyDescent="0.25"/>
    <row r="66" spans="4:16" ht="20.100000000000001" customHeight="1" x14ac:dyDescent="0.25">
      <c r="D66" s="56" t="s">
        <v>30</v>
      </c>
      <c r="E66" s="1" t="str" cm="1">
        <f t="array" ref="E66">MMS_Feedlot_ManureAppliedToSoils_Equations.VEERG_4_1_1_9__2_MassOfNitrogenAppliedToSoilsScope3_Variable()</f>
        <v>MNSoil_scope3</v>
      </c>
    </row>
    <row r="67" spans="4:16" ht="20.100000000000001" customHeight="1" x14ac:dyDescent="0.25">
      <c r="D67" s="56" t="s">
        <v>20</v>
      </c>
      <c r="E67" s="57" t="str" cm="1">
        <f t="array" ref="E67">MMS_Feedlot_ManureAppliedToSoils_Equations.VEERG_4_1_1_9__2_MassOfNitrogenAppliedToSoilsScope3_Unit()</f>
        <v>kg N</v>
      </c>
    </row>
    <row r="68" spans="4:16" ht="20.100000000000001" customHeight="1" x14ac:dyDescent="0.25"/>
    <row r="69" spans="4:16" ht="20.100000000000001" customHeight="1" x14ac:dyDescent="0.25">
      <c r="D69" s="60" t="str" cm="1">
        <f t="array" ref="D69:E72">MMS_Feedlot_ManureAppliedToSoils_Equations.VEERG_4_1_1_9__2_MassOfNitrogenAppliedToSoilsScope3_Arguments()</f>
        <v>MN_jmT23</v>
      </c>
      <c r="E69" s="61" t="str">
        <v>mass of N in secondary and tertiary treatment MMS stages as calculated for manure management : kg N</v>
      </c>
      <c r="F69" s="107"/>
      <c r="G69" s="62"/>
      <c r="H69" s="60" t="str">
        <f>"See " &amp; $D$19</f>
        <v>See M1_Table_MN_j_m_T-2-3</v>
      </c>
    </row>
    <row r="70" spans="4:16" ht="20.100000000000001" customHeight="1" x14ac:dyDescent="0.25">
      <c r="D70" s="60" t="str">
        <v>EF_mT23</v>
      </c>
      <c r="E70" s="61" t="str">
        <v>nitrous oxide emission factor for each MMS : kg N2O-N/kg N</v>
      </c>
      <c r="F70" s="107"/>
      <c r="G70" s="62"/>
      <c r="H70" s="60" t="str">
        <f>"See " &amp; $D$26</f>
        <v>See Table_EF_j_m_T-2-3</v>
      </c>
    </row>
    <row r="71" spans="4:16" ht="20.100000000000001" customHeight="1" x14ac:dyDescent="0.25">
      <c r="D71" s="60" t="str">
        <v>FracGASM_mT23</v>
      </c>
      <c r="E71" s="61" t="str">
        <v>fraction of animal waste N volatilised in each MMS for each cattle group : (kg NH3-N + NOx-N)/kg N</v>
      </c>
      <c r="F71" s="107"/>
      <c r="G71" s="62"/>
      <c r="H71" s="60" t="str">
        <f>"See " &amp; $D$34</f>
        <v>See Table_FracGASM_m_T-2-3</v>
      </c>
    </row>
    <row r="72" spans="4:16" ht="20.100000000000001" customHeight="1" x14ac:dyDescent="0.25">
      <c r="D72" s="60" t="str">
        <v>PF</v>
      </c>
      <c r="E72" s="61" t="str">
        <v>fraction of manure applied to soil within the feedlot boundary : fraction</v>
      </c>
      <c r="F72" s="107"/>
      <c r="G72" s="62"/>
      <c r="H72" s="60" t="str">
        <f>"See " &amp; $D$42</f>
        <v>See Table_PF</v>
      </c>
    </row>
    <row r="73" spans="4:16" ht="20.100000000000001" customHeight="1" x14ac:dyDescent="0.25"/>
    <row r="74" spans="4:16" ht="20.100000000000001" customHeight="1" x14ac:dyDescent="0.25">
      <c r="D74" s="105" t="s">
        <v>258</v>
      </c>
      <c r="L74" s="105" t="s">
        <v>263</v>
      </c>
    </row>
    <row r="75" spans="4:16" ht="20.100000000000001" customHeight="1" x14ac:dyDescent="0.25">
      <c r="D75" s="104" t="s">
        <v>266</v>
      </c>
      <c r="L75" s="104" t="s">
        <v>264</v>
      </c>
    </row>
    <row r="76" spans="4:16" ht="20.100000000000001" customHeight="1" x14ac:dyDescent="0.25">
      <c r="D76" s="54" t="s">
        <v>68</v>
      </c>
      <c r="E76" s="54" t="s">
        <v>148</v>
      </c>
      <c r="F76" s="54" t="s">
        <v>149</v>
      </c>
      <c r="G76" s="54" t="s">
        <v>150</v>
      </c>
      <c r="L76" s="54" t="s">
        <v>68</v>
      </c>
      <c r="M76" s="54" t="s">
        <v>148</v>
      </c>
      <c r="N76" s="54" t="s">
        <v>149</v>
      </c>
      <c r="O76" s="54" t="s">
        <v>150</v>
      </c>
    </row>
    <row r="77" spans="4:16" ht="20.100000000000001" customHeight="1" x14ac:dyDescent="0.25">
      <c r="D77" s="55" t="str">
        <f>'Input - Feedlot'!$D$35</f>
        <v>Solid storage</v>
      </c>
      <c r="E77" s="55" cm="1">
        <f t="array" ref="E77">MMS_Feedlot_ManureAppliedToSoils_Equations.VEERG_4_1_1_9__2_MassOfNitrogenAppliedToSoilsScope3(E22,$E30,$E38,E45)</f>
        <v>2002.762431581185</v>
      </c>
      <c r="F77" s="55" cm="1">
        <f t="array" ref="F77">MMS_Feedlot_ManureAppliedToSoils_Equations.VEERG_4_1_1_9__2_MassOfNitrogenAppliedToSoilsScope3(F22,$E30,$E38,F45)</f>
        <v>70.727988893184005</v>
      </c>
      <c r="G77" s="55" cm="1">
        <f t="array" ref="G77">MMS_Feedlot_ManureAppliedToSoils_Equations.VEERG_4_1_1_9__2_MassOfNitrogenAppliedToSoilsScope3(G22,$E30,$E38,G45)</f>
        <v>102.15557769599998</v>
      </c>
      <c r="H77" s="2" t="str">
        <f>$E$12</f>
        <v>kg N</v>
      </c>
      <c r="L77" s="55" t="str">
        <f>'Input - Feedlot'!$D$35</f>
        <v>Solid storage</v>
      </c>
      <c r="M77" s="55" cm="1">
        <f t="array" ref="M77">MMS_Feedlot_ManureAppliedToSoils_Equations.VEERG_4_1_1_9__2_MassOfNitrogenAppliedToSoilsScope3(M22,$E30,$E38,E45)</f>
        <v>2002.762431581185</v>
      </c>
      <c r="N77" s="55" cm="1">
        <f t="array" ref="N77">MMS_Feedlot_ManureAppliedToSoils_Equations.VEERG_4_1_1_9__2_MassOfNitrogenAppliedToSoilsScope3(N22,$E30,$E38,F45)</f>
        <v>70.727988893184005</v>
      </c>
      <c r="O77" s="55" cm="1">
        <f t="array" ref="O77">MMS_Feedlot_ManureAppliedToSoils_Equations.VEERG_4_1_1_9__2_MassOfNitrogenAppliedToSoilsScope3(O22,$E30,$E38,G45)</f>
        <v>102.15557769599998</v>
      </c>
      <c r="P77" s="2" t="str">
        <f>$E$12</f>
        <v>kg N</v>
      </c>
    </row>
    <row r="78" spans="4:16" ht="20.100000000000001" customHeight="1" x14ac:dyDescent="0.25">
      <c r="D78" s="55" t="str">
        <f>'Input - Feedlot'!$D$36</f>
        <v>Composting (passive windrow)</v>
      </c>
      <c r="E78" s="55" cm="1">
        <f t="array" ref="E78">MMS_Feedlot_ManureAppliedToSoils_Equations.VEERG_4_1_1_9__2_MassOfNitrogenAppliedToSoilsScope3(E23,$E31,$E39,E46)</f>
        <v>6344.3212597739548</v>
      </c>
      <c r="F78" s="55" cm="1">
        <f t="array" ref="F78">MMS_Feedlot_ManureAppliedToSoils_Equations.VEERG_4_1_1_9__2_MassOfNitrogenAppliedToSoilsScope3(F23,$E31,$E39,F46)</f>
        <v>224.051078909952</v>
      </c>
      <c r="G78" s="55" cm="1">
        <f t="array" ref="G78">MMS_Feedlot_ManureAppliedToSoils_Equations.VEERG_4_1_1_9__2_MassOfNitrogenAppliedToSoilsScope3(G23,$E31,$E39,G46)</f>
        <v>323.60693068799992</v>
      </c>
      <c r="H78" s="2" t="str">
        <f>$E$12</f>
        <v>kg N</v>
      </c>
      <c r="L78" s="55" t="str">
        <f>'Input - Feedlot'!$D$36</f>
        <v>Composting (passive windrow)</v>
      </c>
      <c r="M78" s="55" cm="1">
        <f t="array" ref="M78">MMS_Feedlot_ManureAppliedToSoils_Equations.VEERG_4_1_1_9__2_MassOfNitrogenAppliedToSoilsScope3(M23,$E31,$E39,E46)</f>
        <v>6344.3212597739548</v>
      </c>
      <c r="N78" s="55" cm="1">
        <f t="array" ref="N78">MMS_Feedlot_ManureAppliedToSoils_Equations.VEERG_4_1_1_9__2_MassOfNitrogenAppliedToSoilsScope3(N23,$E31,$E39,F46)</f>
        <v>224.051078909952</v>
      </c>
      <c r="O78" s="55" cm="1">
        <f t="array" ref="O78">MMS_Feedlot_ManureAppliedToSoils_Equations.VEERG_4_1_1_9__2_MassOfNitrogenAppliedToSoilsScope3(O23,$E31,$E39,G46)</f>
        <v>323.60693068799992</v>
      </c>
      <c r="P78" s="2" t="str">
        <f>$E$12</f>
        <v>kg N</v>
      </c>
    </row>
    <row r="79" spans="4:16" ht="20.100000000000001" customHeight="1" x14ac:dyDescent="0.25">
      <c r="D79" s="55" t="str">
        <f>'Input - Feedlot'!$D$41</f>
        <v>Anaerobic lagoon</v>
      </c>
      <c r="E79" s="55" cm="1">
        <f t="array" ref="E79">MMS_Feedlot_ManureAppliedToSoils_Equations.VEERG_4_1_1_9__2_MassOfNitrogenAppliedToSoilsScope3(E24,$E32,$E40,E47)</f>
        <v>466.46466048000019</v>
      </c>
      <c r="F79" s="55" cm="1">
        <f t="array" ref="F79">MMS_Feedlot_ManureAppliedToSoils_Equations.VEERG_4_1_1_9__2_MassOfNitrogenAppliedToSoilsScope3(F24,$E32,$E40,F47)</f>
        <v>16.473300480000002</v>
      </c>
      <c r="G79" s="55" cm="1">
        <f t="array" ref="G79">MMS_Feedlot_ManureAppliedToSoils_Equations.VEERG_4_1_1_9__2_MassOfNitrogenAppliedToSoilsScope3(G24,$E32,$E40,G47)</f>
        <v>23.793119999999995</v>
      </c>
      <c r="H79" s="2" t="str">
        <f>$E$12</f>
        <v>kg N</v>
      </c>
      <c r="L79" s="55" t="str">
        <f>'Input - Feedlot'!$D$41</f>
        <v>Anaerobic lagoon</v>
      </c>
      <c r="M79" s="55" cm="1">
        <f t="array" ref="M79">MMS_Feedlot_ManureAppliedToSoils_Equations.VEERG_4_1_1_9__2_MassOfNitrogenAppliedToSoilsScope3(M24,$E32,$E40,E47)</f>
        <v>466.46466048000019</v>
      </c>
      <c r="N79" s="55" cm="1">
        <f t="array" ref="N79">MMS_Feedlot_ManureAppliedToSoils_Equations.VEERG_4_1_1_9__2_MassOfNitrogenAppliedToSoilsScope3(N24,$E32,$E40,F47)</f>
        <v>16.473300480000002</v>
      </c>
      <c r="O79" s="55" cm="1">
        <f t="array" ref="O79">MMS_Feedlot_ManureAppliedToSoils_Equations.VEERG_4_1_1_9__2_MassOfNitrogenAppliedToSoilsScope3(O24,$E32,$E40,G47)</f>
        <v>23.793119999999995</v>
      </c>
      <c r="P79" s="2" t="str">
        <f>$E$12</f>
        <v>kg N</v>
      </c>
    </row>
    <row r="80" spans="4:16" ht="20.100000000000001" customHeight="1" x14ac:dyDescent="0.25"/>
    <row r="81" spans="3:17" ht="20.100000000000001" customHeight="1" x14ac:dyDescent="0.25">
      <c r="D81" s="110" t="s">
        <v>260</v>
      </c>
      <c r="E81" s="111">
        <f>SUM(E77:G79)</f>
        <v>9574.3563485022751</v>
      </c>
      <c r="F81" s="112" t="str">
        <f>$E$12</f>
        <v>kg N</v>
      </c>
      <c r="L81" s="110" t="s">
        <v>260</v>
      </c>
      <c r="M81" s="111">
        <f>SUM(M77:O79)</f>
        <v>9574.3563485022751</v>
      </c>
      <c r="N81" s="112" t="str">
        <f>$E$12</f>
        <v>kg N</v>
      </c>
    </row>
    <row r="82" spans="3:17" ht="20.100000000000001" customHeight="1" x14ac:dyDescent="0.25"/>
    <row r="83" spans="3:17" ht="20.100000000000001" customHeight="1" x14ac:dyDescent="0.25"/>
    <row r="84" spans="3:17" ht="20.100000000000001" customHeight="1" x14ac:dyDescent="0.25">
      <c r="C84" s="48"/>
      <c r="D84" s="48"/>
      <c r="E84" s="48"/>
      <c r="F84" s="48"/>
      <c r="G84" s="48"/>
      <c r="H84" s="48"/>
      <c r="I84" s="48"/>
      <c r="J84" s="126"/>
      <c r="K84" s="48"/>
      <c r="L84" s="48"/>
      <c r="M84" s="48"/>
      <c r="N84" s="48"/>
      <c r="O84" s="48"/>
      <c r="P84" s="48"/>
      <c r="Q84" s="48"/>
    </row>
    <row r="85" spans="3:17" ht="20.100000000000001" customHeight="1" x14ac:dyDescent="0.25">
      <c r="D85" s="123" t="str">
        <f>"Below are applications of " &amp; D61 &amp; " that are applied to the following contexts:"</f>
        <v>Below are applications of VEERG 2026: 4.1.1.9, Equation (2) that are applied to the following contexts:</v>
      </c>
      <c r="E85" s="95"/>
      <c r="F85" s="95"/>
      <c r="G85" s="95"/>
      <c r="H85" s="91"/>
    </row>
    <row r="86" spans="3:17" ht="20.100000000000001" customHeight="1" x14ac:dyDescent="0.25">
      <c r="D86" s="124" t="s">
        <v>279</v>
      </c>
      <c r="E86" s="122"/>
      <c r="F86" s="122"/>
      <c r="G86" s="122"/>
      <c r="H86" s="125"/>
    </row>
    <row r="87" spans="3:17" ht="20.100000000000001" customHeight="1" x14ac:dyDescent="0.25">
      <c r="D87" s="97" t="s">
        <v>280</v>
      </c>
      <c r="E87" s="94"/>
      <c r="F87" s="94"/>
      <c r="G87" s="94"/>
      <c r="H87" s="92"/>
    </row>
    <row r="88" spans="3:17" ht="20.100000000000001" customHeight="1" x14ac:dyDescent="0.25"/>
    <row r="89" spans="3:17" ht="20.100000000000001" customHeight="1" x14ac:dyDescent="0.25">
      <c r="D89" s="6" t="s">
        <v>276</v>
      </c>
    </row>
    <row r="90" spans="3:17" ht="20.100000000000001" customHeight="1" x14ac:dyDescent="0.25">
      <c r="D90" s="105" t="s">
        <v>256</v>
      </c>
    </row>
    <row r="91" spans="3:17" ht="20.100000000000001" customHeight="1" x14ac:dyDescent="0.25">
      <c r="D91" s="104" t="s">
        <v>257</v>
      </c>
    </row>
    <row r="92" spans="3:17" ht="20.100000000000001" customHeight="1" x14ac:dyDescent="0.25">
      <c r="D92" s="54" t="s">
        <v>68</v>
      </c>
      <c r="E92" s="54" t="s">
        <v>148</v>
      </c>
      <c r="F92" s="54" t="s">
        <v>149</v>
      </c>
      <c r="G92" s="54" t="s">
        <v>150</v>
      </c>
    </row>
    <row r="93" spans="3:17" ht="20.100000000000001" customHeight="1" x14ac:dyDescent="0.25">
      <c r="D93" s="55" t="str">
        <f>'Input - Feedlot'!$D$35</f>
        <v>Solid storage</v>
      </c>
      <c r="E93" s="55">
        <f>'Input - Feedlot'!E48</f>
        <v>0.25</v>
      </c>
      <c r="F93" s="55">
        <f>'Input - Feedlot'!F48</f>
        <v>0.25</v>
      </c>
      <c r="G93" s="55">
        <f>'Input - Feedlot'!G48</f>
        <v>0.25</v>
      </c>
      <c r="H93" s="2" t="s">
        <v>101</v>
      </c>
    </row>
    <row r="94" spans="3:17" ht="20.100000000000001" customHeight="1" x14ac:dyDescent="0.25">
      <c r="D94" s="55" t="str">
        <f>'Input - Feedlot'!$D$36</f>
        <v>Composting (passive windrow)</v>
      </c>
      <c r="E94" s="55">
        <f>'Input - Feedlot'!E53</f>
        <v>0.25</v>
      </c>
      <c r="F94" s="55">
        <f>'Input - Feedlot'!F53</f>
        <v>0.25</v>
      </c>
      <c r="G94" s="55">
        <f>'Input - Feedlot'!G53</f>
        <v>0.25</v>
      </c>
      <c r="H94" s="2" t="s">
        <v>101</v>
      </c>
    </row>
    <row r="95" spans="3:17" ht="20.100000000000001" customHeight="1" x14ac:dyDescent="0.25">
      <c r="D95" s="55" t="str">
        <f>'Input - Feedlot'!$D$41</f>
        <v>Anaerobic lagoon</v>
      </c>
      <c r="E95" s="55">
        <f>'Input - Feedlot'!E58</f>
        <v>0.25</v>
      </c>
      <c r="F95" s="55">
        <f>'Input - Feedlot'!F58</f>
        <v>0.25</v>
      </c>
      <c r="G95" s="55">
        <f>'Input - Feedlot'!G58</f>
        <v>0.25</v>
      </c>
      <c r="H95" s="2" t="s">
        <v>101</v>
      </c>
    </row>
    <row r="96" spans="3:17" ht="20.100000000000001" customHeight="1" x14ac:dyDescent="0.25"/>
    <row r="97" spans="3:17" ht="20.100000000000001" customHeight="1" x14ac:dyDescent="0.25">
      <c r="D97" s="105" t="s">
        <v>259</v>
      </c>
      <c r="L97" s="105" t="s">
        <v>261</v>
      </c>
    </row>
    <row r="98" spans="3:17" ht="20.100000000000001" customHeight="1" x14ac:dyDescent="0.25">
      <c r="D98" s="104" t="s">
        <v>265</v>
      </c>
      <c r="L98" s="104" t="s">
        <v>262</v>
      </c>
    </row>
    <row r="99" spans="3:17" ht="20.100000000000001" customHeight="1" x14ac:dyDescent="0.25">
      <c r="D99" s="54" t="s">
        <v>68</v>
      </c>
      <c r="E99" s="54" t="s">
        <v>148</v>
      </c>
      <c r="F99" s="54" t="s">
        <v>149</v>
      </c>
      <c r="G99" s="54" t="s">
        <v>150</v>
      </c>
      <c r="L99" s="54" t="s">
        <v>68</v>
      </c>
      <c r="M99" s="54" t="s">
        <v>148</v>
      </c>
      <c r="N99" s="54" t="s">
        <v>149</v>
      </c>
      <c r="O99" s="54" t="s">
        <v>150</v>
      </c>
    </row>
    <row r="100" spans="3:17" ht="20.100000000000001" customHeight="1" x14ac:dyDescent="0.25">
      <c r="D100" s="55" t="str">
        <f>'Input - Feedlot'!$D$35</f>
        <v>Solid storage</v>
      </c>
      <c r="E100" s="55" cm="1">
        <f t="array" ref="E100">MMS_Feedlot_ManureAppliedToSoils_Equations.VEERG_4_1_1_9__1_MassOfNitrogenAppliedToSoilsScope1(E22,$E$30,$E$38,E93)</f>
        <v>1001.3812157905925</v>
      </c>
      <c r="F100" s="55" cm="1">
        <f t="array" ref="F100">MMS_Feedlot_ManureAppliedToSoils_Equations.VEERG_4_1_1_9__1_MassOfNitrogenAppliedToSoilsScope1(F22,$E$30,$E$38,F93)</f>
        <v>35.363994446592002</v>
      </c>
      <c r="G100" s="55" cm="1">
        <f t="array" ref="G100">MMS_Feedlot_ManureAppliedToSoils_Equations.VEERG_4_1_1_9__1_MassOfNitrogenAppliedToSoilsScope1(G22,$E$30,$E$38,G93)</f>
        <v>51.07778884799999</v>
      </c>
      <c r="H100" s="2" t="str">
        <f>$E$12</f>
        <v>kg N</v>
      </c>
      <c r="L100" s="55" t="str">
        <f>'Input - Feedlot'!$D$35</f>
        <v>Solid storage</v>
      </c>
      <c r="M100" s="55" cm="1">
        <f t="array" ref="M100">MMS_Feedlot_ManureAppliedToSoils_Equations.VEERG_4_1_1_9__1_MassOfNitrogenAppliedToSoilsScope1(M22,$E$30,$E$38,E93)</f>
        <v>1001.3812157905925</v>
      </c>
      <c r="N100" s="55" cm="1">
        <f t="array" ref="N100">MMS_Feedlot_ManureAppliedToSoils_Equations.VEERG_4_1_1_9__1_MassOfNitrogenAppliedToSoilsScope1(N22,$E$30,$E$38,F93)</f>
        <v>35.363994446592002</v>
      </c>
      <c r="O100" s="55" cm="1">
        <f t="array" ref="O100">MMS_Feedlot_ManureAppliedToSoils_Equations.VEERG_4_1_1_9__1_MassOfNitrogenAppliedToSoilsScope1(O22,$E$30,$E$38,G93)</f>
        <v>51.07778884799999</v>
      </c>
      <c r="P100" s="2" t="str">
        <f>$E$12</f>
        <v>kg N</v>
      </c>
    </row>
    <row r="101" spans="3:17" ht="20.100000000000001" customHeight="1" x14ac:dyDescent="0.25">
      <c r="D101" s="55" t="str">
        <f>'Input - Feedlot'!$D$36</f>
        <v>Composting (passive windrow)</v>
      </c>
      <c r="E101" s="55" cm="1">
        <f t="array" ref="E101">MMS_Feedlot_ManureAppliedToSoils_Equations.VEERG_4_1_1_9__1_MassOfNitrogenAppliedToSoilsScope1(E23,$E$31,$E$39,E94)</f>
        <v>3172.1606298869774</v>
      </c>
      <c r="F101" s="55" cm="1">
        <f t="array" ref="F101">MMS_Feedlot_ManureAppliedToSoils_Equations.VEERG_4_1_1_9__1_MassOfNitrogenAppliedToSoilsScope1(F23,$E$31,$E$39,F94)</f>
        <v>112.025539454976</v>
      </c>
      <c r="G101" s="55" cm="1">
        <f t="array" ref="G101">MMS_Feedlot_ManureAppliedToSoils_Equations.VEERG_4_1_1_9__1_MassOfNitrogenAppliedToSoilsScope1(G23,$E$31,$E$39,G94)</f>
        <v>161.80346534399996</v>
      </c>
      <c r="H101" s="2" t="str">
        <f>$E$12</f>
        <v>kg N</v>
      </c>
      <c r="L101" s="55" t="str">
        <f>'Input - Feedlot'!$D$36</f>
        <v>Composting (passive windrow)</v>
      </c>
      <c r="M101" s="55" cm="1">
        <f t="array" ref="M101">MMS_Feedlot_ManureAppliedToSoils_Equations.VEERG_4_1_1_9__1_MassOfNitrogenAppliedToSoilsScope1(M23,$E$31,$E$39,E94)</f>
        <v>3172.1606298869774</v>
      </c>
      <c r="N101" s="55" cm="1">
        <f t="array" ref="N101">MMS_Feedlot_ManureAppliedToSoils_Equations.VEERG_4_1_1_9__1_MassOfNitrogenAppliedToSoilsScope1(N23,$E$31,$E$39,F94)</f>
        <v>112.025539454976</v>
      </c>
      <c r="O101" s="55" cm="1">
        <f t="array" ref="O101">MMS_Feedlot_ManureAppliedToSoils_Equations.VEERG_4_1_1_9__1_MassOfNitrogenAppliedToSoilsScope1(O23,$E$31,$E$39,G94)</f>
        <v>161.80346534399996</v>
      </c>
      <c r="P101" s="2" t="str">
        <f>$E$12</f>
        <v>kg N</v>
      </c>
    </row>
    <row r="102" spans="3:17" ht="20.100000000000001" customHeight="1" x14ac:dyDescent="0.25">
      <c r="D102" s="55" t="str">
        <f>'Input - Feedlot'!$D$41</f>
        <v>Anaerobic lagoon</v>
      </c>
      <c r="E102" s="55" cm="1">
        <f t="array" ref="E102">MMS_Feedlot_ManureAppliedToSoils_Equations.VEERG_4_1_1_9__1_MassOfNitrogenAppliedToSoilsScope1(E24,$E$32,$E$40,E95)</f>
        <v>233.2323302400001</v>
      </c>
      <c r="F102" s="55" cm="1">
        <f t="array" ref="F102">MMS_Feedlot_ManureAppliedToSoils_Equations.VEERG_4_1_1_9__1_MassOfNitrogenAppliedToSoilsScope1(F24,$E$32,$E$40,F95)</f>
        <v>8.2366502400000012</v>
      </c>
      <c r="G102" s="55" cm="1">
        <f t="array" ref="G102">MMS_Feedlot_ManureAppliedToSoils_Equations.VEERG_4_1_1_9__1_MassOfNitrogenAppliedToSoilsScope1(G24,$E$32,$E$40,G95)</f>
        <v>11.896559999999997</v>
      </c>
      <c r="H102" s="2" t="str">
        <f>$E$12</f>
        <v>kg N</v>
      </c>
      <c r="L102" s="55" t="str">
        <f>'Input - Feedlot'!$D$41</f>
        <v>Anaerobic lagoon</v>
      </c>
      <c r="M102" s="55" cm="1">
        <f t="array" ref="M102">MMS_Feedlot_ManureAppliedToSoils_Equations.VEERG_4_1_1_9__1_MassOfNitrogenAppliedToSoilsScope1(M24,$E$32,$E$40,E95)</f>
        <v>233.2323302400001</v>
      </c>
      <c r="N102" s="55" cm="1">
        <f t="array" ref="N102">MMS_Feedlot_ManureAppliedToSoils_Equations.VEERG_4_1_1_9__1_MassOfNitrogenAppliedToSoilsScope1(N24,$E$32,$E$40,F95)</f>
        <v>8.2366502400000012</v>
      </c>
      <c r="O102" s="55" cm="1">
        <f t="array" ref="O102">MMS_Feedlot_ManureAppliedToSoils_Equations.VEERG_4_1_1_9__1_MassOfNitrogenAppliedToSoilsScope1(O24,$E$32,$E$40,G95)</f>
        <v>11.896559999999997</v>
      </c>
      <c r="P102" s="2" t="str">
        <f>$E$12</f>
        <v>kg N</v>
      </c>
    </row>
    <row r="103" spans="3:17" ht="20.100000000000001" customHeight="1" x14ac:dyDescent="0.25"/>
    <row r="104" spans="3:17" ht="20.100000000000001" customHeight="1" x14ac:dyDescent="0.25">
      <c r="D104" s="110" t="s">
        <v>281</v>
      </c>
      <c r="E104" s="111">
        <f>SUM(E100:G102)</f>
        <v>4787.1781742511375</v>
      </c>
      <c r="F104" s="112" t="str">
        <f>$E$12</f>
        <v>kg N</v>
      </c>
      <c r="L104" s="110" t="s">
        <v>281</v>
      </c>
      <c r="M104" s="111">
        <f>SUM(M100:O102)</f>
        <v>4787.1781742511375</v>
      </c>
      <c r="N104" s="112" t="str">
        <f>$E$12</f>
        <v>kg N</v>
      </c>
    </row>
    <row r="105" spans="3:17" ht="20.100000000000001" customHeight="1" x14ac:dyDescent="0.25"/>
    <row r="106" spans="3:17" ht="20.100000000000001" customHeight="1" x14ac:dyDescent="0.25"/>
    <row r="107" spans="3:17" ht="20.100000000000001" customHeight="1" x14ac:dyDescent="0.25">
      <c r="C107" s="48"/>
      <c r="D107" s="48"/>
      <c r="E107" s="48"/>
      <c r="F107" s="48"/>
      <c r="G107" s="48"/>
      <c r="H107" s="48"/>
      <c r="I107" s="48"/>
      <c r="K107" s="48"/>
      <c r="L107" s="48"/>
      <c r="M107" s="48"/>
      <c r="N107" s="48"/>
      <c r="O107" s="48"/>
      <c r="P107" s="48"/>
      <c r="Q107" s="48"/>
    </row>
    <row r="108" spans="3:17" ht="20.100000000000001" customHeight="1" x14ac:dyDescent="0.25">
      <c r="D108" s="6" t="s">
        <v>277</v>
      </c>
    </row>
    <row r="109" spans="3:17" ht="20.100000000000001" customHeight="1" x14ac:dyDescent="0.25">
      <c r="D109" s="105" t="s">
        <v>270</v>
      </c>
    </row>
    <row r="110" spans="3:17" ht="20.100000000000001" customHeight="1" x14ac:dyDescent="0.25">
      <c r="D110" s="104" t="s">
        <v>271</v>
      </c>
    </row>
    <row r="111" spans="3:17" ht="20.100000000000001" customHeight="1" x14ac:dyDescent="0.25">
      <c r="D111" s="54" t="s">
        <v>68</v>
      </c>
      <c r="E111" s="54" t="s">
        <v>148</v>
      </c>
      <c r="F111" s="54" t="s">
        <v>149</v>
      </c>
      <c r="G111" s="54" t="s">
        <v>150</v>
      </c>
    </row>
    <row r="112" spans="3:17" ht="20.100000000000001" customHeight="1" x14ac:dyDescent="0.25">
      <c r="D112" s="55" t="str">
        <f>'Input - Feedlot'!$D$35</f>
        <v>Solid storage</v>
      </c>
      <c r="E112" s="55">
        <f>'Input - Feedlot'!E47</f>
        <v>0.25</v>
      </c>
      <c r="F112" s="55">
        <f>'Input - Feedlot'!F47</f>
        <v>0.25</v>
      </c>
      <c r="G112" s="55">
        <f>'Input - Feedlot'!G47</f>
        <v>0.25</v>
      </c>
      <c r="H112" s="2" t="s">
        <v>101</v>
      </c>
    </row>
    <row r="113" spans="4:16" ht="20.100000000000001" customHeight="1" x14ac:dyDescent="0.25">
      <c r="D113" s="55" t="str">
        <f>'Input - Feedlot'!$D$36</f>
        <v>Composting (passive windrow)</v>
      </c>
      <c r="E113" s="55">
        <f>'Input - Feedlot'!E52</f>
        <v>0.25</v>
      </c>
      <c r="F113" s="55">
        <f>'Input - Feedlot'!F52</f>
        <v>0.25</v>
      </c>
      <c r="G113" s="55">
        <f>'Input - Feedlot'!G52</f>
        <v>0.25</v>
      </c>
      <c r="H113" s="2" t="s">
        <v>101</v>
      </c>
    </row>
    <row r="114" spans="4:16" ht="20.100000000000001" customHeight="1" x14ac:dyDescent="0.25">
      <c r="D114" s="55" t="str">
        <f>'Input - Feedlot'!$D$41</f>
        <v>Anaerobic lagoon</v>
      </c>
      <c r="E114" s="55">
        <f>'Input - Feedlot'!E57</f>
        <v>0.25</v>
      </c>
      <c r="F114" s="55">
        <f>'Input - Feedlot'!F57</f>
        <v>0.25</v>
      </c>
      <c r="G114" s="55">
        <f>'Input - Feedlot'!G57</f>
        <v>0.25</v>
      </c>
      <c r="H114" s="2" t="s">
        <v>101</v>
      </c>
    </row>
    <row r="115" spans="4:16" ht="20.100000000000001" customHeight="1" x14ac:dyDescent="0.25"/>
    <row r="116" spans="4:16" ht="20.100000000000001" customHeight="1" x14ac:dyDescent="0.25">
      <c r="D116" s="105" t="s">
        <v>272</v>
      </c>
      <c r="L116" s="105" t="s">
        <v>273</v>
      </c>
    </row>
    <row r="117" spans="4:16" ht="20.100000000000001" customHeight="1" x14ac:dyDescent="0.25">
      <c r="D117" s="104" t="s">
        <v>275</v>
      </c>
      <c r="L117" s="104" t="s">
        <v>274</v>
      </c>
    </row>
    <row r="118" spans="4:16" ht="20.100000000000001" customHeight="1" x14ac:dyDescent="0.25">
      <c r="D118" s="54" t="s">
        <v>68</v>
      </c>
      <c r="E118" s="54" t="s">
        <v>148</v>
      </c>
      <c r="F118" s="54" t="s">
        <v>149</v>
      </c>
      <c r="G118" s="54" t="s">
        <v>150</v>
      </c>
      <c r="L118" s="54" t="s">
        <v>68</v>
      </c>
      <c r="M118" s="54" t="s">
        <v>148</v>
      </c>
      <c r="N118" s="54" t="s">
        <v>149</v>
      </c>
      <c r="O118" s="54" t="s">
        <v>150</v>
      </c>
    </row>
    <row r="119" spans="4:16" ht="20.100000000000001" customHeight="1" x14ac:dyDescent="0.25">
      <c r="D119" s="55" t="str">
        <f>'Input - Feedlot'!$D$35</f>
        <v>Solid storage</v>
      </c>
      <c r="E119" s="55" cm="1">
        <f t="array" ref="E119">MMS_Feedlot_ManureAppliedToSoils_Equations.VEERG_4_1_1_9__1_MassOfNitrogenAppliedToSoilsScope1(E22,$E$30,$E$38,E112)</f>
        <v>1001.3812157905925</v>
      </c>
      <c r="F119" s="55" cm="1">
        <f t="array" ref="F119">MMS_Feedlot_ManureAppliedToSoils_Equations.VEERG_4_1_1_9__1_MassOfNitrogenAppliedToSoilsScope1(F22,$E$30,$E$38,F112)</f>
        <v>35.363994446592002</v>
      </c>
      <c r="G119" s="55" cm="1">
        <f t="array" ref="G119">MMS_Feedlot_ManureAppliedToSoils_Equations.VEERG_4_1_1_9__1_MassOfNitrogenAppliedToSoilsScope1(G22,$E$30,$E$38,G112)</f>
        <v>51.07778884799999</v>
      </c>
      <c r="H119" s="2" t="str">
        <f>$E$12</f>
        <v>kg N</v>
      </c>
      <c r="L119" s="55" t="str">
        <f>'Input - Feedlot'!$D$35</f>
        <v>Solid storage</v>
      </c>
      <c r="M119" s="55" cm="1">
        <f t="array" ref="M119">MMS_Feedlot_ManureAppliedToSoils_Equations.VEERG_4_1_1_9__1_MassOfNitrogenAppliedToSoilsScope1(M22,$E$30,$E$38,E112)</f>
        <v>1001.3812157905925</v>
      </c>
      <c r="N119" s="55" cm="1">
        <f t="array" ref="N119">MMS_Feedlot_ManureAppliedToSoils_Equations.VEERG_4_1_1_9__1_MassOfNitrogenAppliedToSoilsScope1(N22,$E$30,$E$38,F112)</f>
        <v>35.363994446592002</v>
      </c>
      <c r="O119" s="55" cm="1">
        <f t="array" ref="O119">MMS_Feedlot_ManureAppliedToSoils_Equations.VEERG_4_1_1_9__1_MassOfNitrogenAppliedToSoilsScope1(O22,$E$30,$E$38,G112)</f>
        <v>51.07778884799999</v>
      </c>
      <c r="P119" s="2" t="str">
        <f>$E$12</f>
        <v>kg N</v>
      </c>
    </row>
    <row r="120" spans="4:16" ht="20.100000000000001" customHeight="1" x14ac:dyDescent="0.25">
      <c r="D120" s="55" t="str">
        <f>'Input - Feedlot'!$D$36</f>
        <v>Composting (passive windrow)</v>
      </c>
      <c r="E120" s="55" cm="1">
        <f t="array" ref="E120">MMS_Feedlot_ManureAppliedToSoils_Equations.VEERG_4_1_1_9__1_MassOfNitrogenAppliedToSoilsScope1(E23,$E$31,$E$39,E113)</f>
        <v>3172.1606298869774</v>
      </c>
      <c r="F120" s="55" cm="1">
        <f t="array" ref="F120">MMS_Feedlot_ManureAppliedToSoils_Equations.VEERG_4_1_1_9__1_MassOfNitrogenAppliedToSoilsScope1(F23,$E$31,$E$39,F113)</f>
        <v>112.025539454976</v>
      </c>
      <c r="G120" s="55" cm="1">
        <f t="array" ref="G120">MMS_Feedlot_ManureAppliedToSoils_Equations.VEERG_4_1_1_9__1_MassOfNitrogenAppliedToSoilsScope1(G23,$E$31,$E$39,G113)</f>
        <v>161.80346534399996</v>
      </c>
      <c r="H120" s="2" t="str">
        <f>$E$12</f>
        <v>kg N</v>
      </c>
      <c r="L120" s="55" t="str">
        <f>'Input - Feedlot'!$D$36</f>
        <v>Composting (passive windrow)</v>
      </c>
      <c r="M120" s="55" cm="1">
        <f t="array" ref="M120">MMS_Feedlot_ManureAppliedToSoils_Equations.VEERG_4_1_1_9__1_MassOfNitrogenAppliedToSoilsScope1(M23,$E$31,$E$39,E113)</f>
        <v>3172.1606298869774</v>
      </c>
      <c r="N120" s="55" cm="1">
        <f t="array" ref="N120">MMS_Feedlot_ManureAppliedToSoils_Equations.VEERG_4_1_1_9__1_MassOfNitrogenAppliedToSoilsScope1(N23,$E$31,$E$39,F113)</f>
        <v>112.025539454976</v>
      </c>
      <c r="O120" s="55" cm="1">
        <f t="array" ref="O120">MMS_Feedlot_ManureAppliedToSoils_Equations.VEERG_4_1_1_9__1_MassOfNitrogenAppliedToSoilsScope1(O23,$E$31,$E$39,G113)</f>
        <v>161.80346534399996</v>
      </c>
      <c r="P120" s="2" t="str">
        <f>$E$12</f>
        <v>kg N</v>
      </c>
    </row>
    <row r="121" spans="4:16" ht="20.100000000000001" customHeight="1" x14ac:dyDescent="0.25">
      <c r="D121" s="55" t="str">
        <f>'Input - Feedlot'!$D$41</f>
        <v>Anaerobic lagoon</v>
      </c>
      <c r="E121" s="55" cm="1">
        <f t="array" ref="E121">MMS_Feedlot_ManureAppliedToSoils_Equations.VEERG_4_1_1_9__1_MassOfNitrogenAppliedToSoilsScope1(E24,$E$32,$E$40,E114)</f>
        <v>233.2323302400001</v>
      </c>
      <c r="F121" s="55" cm="1">
        <f t="array" ref="F121">MMS_Feedlot_ManureAppliedToSoils_Equations.VEERG_4_1_1_9__1_MassOfNitrogenAppliedToSoilsScope1(F24,$E$32,$E$40,F114)</f>
        <v>8.2366502400000012</v>
      </c>
      <c r="G121" s="55" cm="1">
        <f t="array" ref="G121">MMS_Feedlot_ManureAppliedToSoils_Equations.VEERG_4_1_1_9__1_MassOfNitrogenAppliedToSoilsScope1(G24,$E$32,$E$40,G114)</f>
        <v>11.896559999999997</v>
      </c>
      <c r="H121" s="2" t="str">
        <f>$E$12</f>
        <v>kg N</v>
      </c>
      <c r="L121" s="55" t="str">
        <f>'Input - Feedlot'!$D$41</f>
        <v>Anaerobic lagoon</v>
      </c>
      <c r="M121" s="55" cm="1">
        <f t="array" ref="M121">MMS_Feedlot_ManureAppliedToSoils_Equations.VEERG_4_1_1_9__1_MassOfNitrogenAppliedToSoilsScope1(M24,$E$32,$E$40,E114)</f>
        <v>233.2323302400001</v>
      </c>
      <c r="N121" s="55" cm="1">
        <f t="array" ref="N121">MMS_Feedlot_ManureAppliedToSoils_Equations.VEERG_4_1_1_9__1_MassOfNitrogenAppliedToSoilsScope1(N24,$E$32,$E$40,F114)</f>
        <v>8.2366502400000012</v>
      </c>
      <c r="O121" s="55" cm="1">
        <f t="array" ref="O121">MMS_Feedlot_ManureAppliedToSoils_Equations.VEERG_4_1_1_9__1_MassOfNitrogenAppliedToSoilsScope1(O24,$E$32,$E$40,G114)</f>
        <v>11.896559999999997</v>
      </c>
      <c r="P121" s="2" t="str">
        <f>$E$12</f>
        <v>kg N</v>
      </c>
    </row>
    <row r="122" spans="4:16" ht="20.100000000000001" customHeight="1" x14ac:dyDescent="0.25"/>
    <row r="123" spans="4:16" ht="20.100000000000001" customHeight="1" x14ac:dyDescent="0.25">
      <c r="D123" s="110" t="s">
        <v>278</v>
      </c>
      <c r="E123" s="111">
        <f>SUM(E119:G121)</f>
        <v>4787.1781742511375</v>
      </c>
      <c r="F123" s="112" t="str">
        <f>$E$12</f>
        <v>kg N</v>
      </c>
      <c r="L123" s="110" t="s">
        <v>278</v>
      </c>
      <c r="M123" s="111">
        <f>SUM(M119:O121)</f>
        <v>4787.1781742511375</v>
      </c>
      <c r="N123" s="112" t="str">
        <f>$E$12</f>
        <v>kg N</v>
      </c>
    </row>
    <row r="124" spans="4:16" ht="20.100000000000001" customHeight="1" x14ac:dyDescent="0.25"/>
    <row r="125" spans="4:16" ht="20.100000000000001" customHeight="1" x14ac:dyDescent="0.25"/>
    <row r="126" spans="4:16" ht="20.100000000000001" customHeight="1" x14ac:dyDescent="0.25"/>
    <row r="127" spans="4:16" ht="20.100000000000001" customHeight="1" x14ac:dyDescent="0.25"/>
    <row r="128" spans="4:16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D35FD-AE8E-4433-ACD5-994E77C39A89}">
  <dimension ref="A1:V288"/>
  <sheetViews>
    <sheetView showGridLines="0" workbookViewId="0">
      <selection activeCell="G29" sqref="G29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2" width="30.7109375" style="1" customWidth="1"/>
    <col min="13" max="13" width="30.7109375" customWidth="1"/>
    <col min="14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  <c r="C1" s="8" t="s">
        <v>147</v>
      </c>
    </row>
    <row r="2" spans="1:21" s="9" customFormat="1" ht="20.100000000000001" customHeight="1" x14ac:dyDescent="0.25">
      <c r="A2"/>
    </row>
    <row r="3" spans="1:21" ht="20.100000000000001" customHeight="1" x14ac:dyDescent="0.25">
      <c r="A3" s="17" t="str">
        <f>HYPERLINK("#'Home'!A1", "Home")</f>
        <v>Home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  <c r="M4" s="24"/>
    </row>
    <row r="5" spans="1:21" ht="20.100000000000001" customHeight="1" x14ac:dyDescent="0.25">
      <c r="A5" s="16"/>
      <c r="D5" s="6" t="str" cm="1">
        <f t="array" ref="D5">SourceData_Feedlot.SourceData_Feedlot_VSL_Title()</f>
        <v>Feedlot - Fraction of volatile solids lost during storage in the primary system</v>
      </c>
      <c r="M5" s="1"/>
    </row>
    <row r="6" spans="1:21" ht="20.100000000000001" customHeight="1" x14ac:dyDescent="0.25">
      <c r="A6" s="20" t="s">
        <v>3</v>
      </c>
      <c r="D6" s="5" t="str" cm="1">
        <f t="array" ref="D6">SourceData_Feedlot.SourceData_Feedlot_VSL_Source()</f>
        <v>VEERG 2026: 4.1.2.3 CONSTANTS</v>
      </c>
      <c r="M6" s="1"/>
    </row>
    <row r="7" spans="1:21" ht="20.100000000000001" customHeight="1" x14ac:dyDescent="0.25">
      <c r="A7" s="17" t="str">
        <f>HYPERLINK("#'Input - Site'!A1", "Site")</f>
        <v>Site</v>
      </c>
      <c r="D7" s="56" t="str" cm="1">
        <f t="array" ref="D7">SourceData_Feedlot.SourceData_Feedlot_VSL_Variable()</f>
        <v>VSL</v>
      </c>
      <c r="E7" s="1" cm="1">
        <f t="array" ref="E7">SourceData_Feedlot.SourceData_Feedlot_VSL_Data()</f>
        <v>0.5</v>
      </c>
      <c r="F7" s="57" t="str" cm="1">
        <f t="array" ref="F7">SourceData_Feedlot.SourceData_Feedlot_VSL_Unit()</f>
        <v>Fraction</v>
      </c>
      <c r="M7" s="1"/>
    </row>
    <row r="8" spans="1:21" ht="20.100000000000001" customHeight="1" x14ac:dyDescent="0.25">
      <c r="A8" s="17" t="str">
        <f>HYPERLINK("#'Input - Feedlot'!A1", "Feedlot")</f>
        <v>Feedlot</v>
      </c>
      <c r="M8" s="1"/>
    </row>
    <row r="9" spans="1:21" ht="20.100000000000001" customHeight="1" x14ac:dyDescent="0.25">
      <c r="A9" s="17"/>
      <c r="M9" s="1"/>
    </row>
    <row r="10" spans="1:21" ht="20.100000000000001" customHeight="1" x14ac:dyDescent="0.25">
      <c r="A10" s="19" t="s">
        <v>77</v>
      </c>
      <c r="D10" s="6" t="str" cm="1">
        <f t="array" ref="D10">SourceData_Feedlot.SourceData_Feedlot_MMSm1T3_Title()</f>
        <v>Fraction of volatile solids to each tertiary system assumed that 2 per cent is run - off from the feed pad.</v>
      </c>
      <c r="M10" s="1"/>
    </row>
    <row r="11" spans="1:21" ht="20.100000000000001" customHeight="1" x14ac:dyDescent="0.25">
      <c r="A11" s="17" t="str">
        <f>HYPERLINK("#'4.1.1.1-2 Methane'!A1", "4.1.1.1-2 Methane")</f>
        <v>4.1.1.1-2 Methane</v>
      </c>
      <c r="D11" s="5" t="str" cm="1">
        <f t="array" ref="D11">SourceData_Feedlot.SourceData_Feedlot_MMSm1T3_Source()</f>
        <v>VEERG 2026: 4.1.2.3 CONSTANTS</v>
      </c>
      <c r="M11" s="1"/>
    </row>
    <row r="12" spans="1:21" ht="20.100000000000001" customHeight="1" x14ac:dyDescent="0.25">
      <c r="A12" s="17" t="str">
        <f>HYPERLINK("#'4.1.1.3-4 Direct N20'!A1", "4.1.1.3-4 Direct N2O")</f>
        <v>4.1.1.3-4 Direct N2O</v>
      </c>
      <c r="D12" s="56" t="str" cm="1">
        <f t="array" ref="D12">SourceData_Feedlot.SourceData_Feedlot_MMSm1T3_Variable()</f>
        <v>MMSm1T3</v>
      </c>
      <c r="E12" s="1" cm="1">
        <f t="array" ref="E12">SourceData_Feedlot.SourceData_Feedlot_MMSm1T3_Data()</f>
        <v>0.02</v>
      </c>
      <c r="F12" s="57" t="str" cm="1">
        <f t="array" ref="F12">SourceData_Feedlot.SourceData_Feedlot_MMSm1T3_Unit()</f>
        <v>Fraction</v>
      </c>
      <c r="M12" s="1"/>
    </row>
    <row r="13" spans="1:21" ht="20.100000000000001" customHeight="1" x14ac:dyDescent="0.25">
      <c r="A13" s="17" t="str">
        <f>HYPERLINK("#'4.1.1.5-6 Atmos Deposition'!A1", "4.1.1.5-6 Atmospheric deposition")</f>
        <v>4.1.1.5-6 Atmospheric deposition</v>
      </c>
      <c r="M13" s="1"/>
    </row>
    <row r="14" spans="1:21" ht="20.100000000000001" customHeight="1" x14ac:dyDescent="0.25">
      <c r="A14" s="17" t="str">
        <f>HYPERLINK("#'4.1.1.9 Manure applied to soils'!A1", "4.1.1.9 Manure applied to soils")</f>
        <v>4.1.1.9 Manure applied to soils</v>
      </c>
      <c r="M14" s="1"/>
    </row>
    <row r="15" spans="1:21" ht="20.100000000000001" customHeight="1" x14ac:dyDescent="0.25">
      <c r="D15" s="6" t="str" cm="1">
        <f t="array" ref="D15">SourceData_Feedlot.SourceData_Feedlot_AshContent_Title()</f>
        <v>Ash content of manure.</v>
      </c>
      <c r="M15" s="1"/>
    </row>
    <row r="16" spans="1:21" ht="20.100000000000001" customHeight="1" x14ac:dyDescent="0.25">
      <c r="A16" s="18" t="s">
        <v>4</v>
      </c>
      <c r="D16" s="5" t="str" cm="1">
        <f t="array" ref="D16">SourceData_Feedlot.SourceData_Feedlot_AshContent_Source()</f>
        <v>VEERG 2026: 4.1.2.3 CONSTANTS</v>
      </c>
      <c r="M16" s="1"/>
    </row>
    <row r="17" spans="1:13" ht="20.100000000000001" customHeight="1" x14ac:dyDescent="0.25">
      <c r="A17" s="72" t="str">
        <f>HYPERLINK("#'Constants - Feedlot'!A1", "Constants - Feedlot")</f>
        <v>Constants - Feedlot</v>
      </c>
      <c r="D17" s="56" t="str" cm="1">
        <f t="array" ref="D17">SourceData_Feedlot.SourceData_Feedlot_AshContent_Variable()</f>
        <v>A</v>
      </c>
      <c r="E17" s="1" cm="1">
        <f t="array" ref="E17">SourceData_Feedlot.SourceData_Feedlot_AshContent_Data()</f>
        <v>0.16</v>
      </c>
      <c r="F17" s="57" t="str" cm="1">
        <f t="array" ref="F17">SourceData_Feedlot.SourceData_Feedlot_AshContent_Unit()</f>
        <v>Fraction</v>
      </c>
      <c r="M17" s="1"/>
    </row>
    <row r="18" spans="1:13" ht="20.100000000000001" customHeight="1" x14ac:dyDescent="0.25">
      <c r="A18" s="17" t="str">
        <f>HYPERLINK("#'Constants - Livestock'!A1", "Constants - Livestock")</f>
        <v>Constants - Livestock</v>
      </c>
      <c r="M18" s="1"/>
    </row>
    <row r="19" spans="1:13" ht="20.100000000000001" customHeight="1" x14ac:dyDescent="0.25">
      <c r="A19" s="17" t="str">
        <f>HYPERLINK("#'Constants - Common'!A1", "Constants - Common")</f>
        <v>Constants - Common</v>
      </c>
      <c r="M19" s="1"/>
    </row>
    <row r="20" spans="1:13" ht="20.100000000000001" customHeight="1" x14ac:dyDescent="0.25">
      <c r="A20" s="17" t="str">
        <f>HYPERLINK("#'Acknowledgements'!A1", "Acknowledgements")</f>
        <v>Acknowledgements</v>
      </c>
      <c r="D20" s="6" t="str" cm="1">
        <f t="array" ref="D20">SourceData_Feedlot.SourceData_Feedlot_MethaneEmissionsPotential_Title()</f>
        <v>Methane emissions potential.</v>
      </c>
      <c r="M20" s="1"/>
    </row>
    <row r="21" spans="1:13" ht="20.100000000000001" customHeight="1" x14ac:dyDescent="0.25">
      <c r="D21" s="5" t="str" cm="1">
        <f t="array" ref="D21">SourceData_Feedlot.SourceData_Feedlot_MethaneEmissionsPotential_Source()</f>
        <v>VEERG 2026: 4.1.2.3 CONSTANTS</v>
      </c>
      <c r="M21" s="1"/>
    </row>
    <row r="22" spans="1:13" ht="20.100000000000001" customHeight="1" x14ac:dyDescent="0.25">
      <c r="D22" s="56" t="str" cm="1">
        <f t="array" ref="D22">SourceData_Feedlot.SourceData_Feedlot_MethaneEmissionsPotential_Variable()</f>
        <v>B0</v>
      </c>
      <c r="E22" s="1" cm="1">
        <f t="array" ref="E22">SourceData_Feedlot.SourceData_Feedlot_MethaneEmissionsPotential_Data()</f>
        <v>0.19</v>
      </c>
      <c r="F22" s="57" t="str" cm="1">
        <f t="array" ref="F22">SourceData_Feedlot.SourceData_Feedlot_MethaneEmissionsPotential_Unit()</f>
        <v>m3 CH4 / kg VS</v>
      </c>
      <c r="M22" s="1"/>
    </row>
    <row r="23" spans="1:13" ht="20.100000000000001" customHeight="1" x14ac:dyDescent="0.25">
      <c r="M23" s="1"/>
    </row>
    <row r="24" spans="1:13" ht="20.100000000000001" customHeight="1" x14ac:dyDescent="0.25">
      <c r="M24" s="1"/>
    </row>
    <row r="25" spans="1:13" ht="20.100000000000001" customHeight="1" x14ac:dyDescent="0.25">
      <c r="D25" s="6" t="s">
        <v>118</v>
      </c>
      <c r="G25" s="6" t="s">
        <v>309</v>
      </c>
      <c r="J25" s="6" t="s">
        <v>311</v>
      </c>
      <c r="M25" s="1"/>
    </row>
    <row r="26" spans="1:13" ht="20.100000000000001" customHeight="1" x14ac:dyDescent="0.25">
      <c r="M26" s="1"/>
    </row>
    <row r="27" spans="1:13" ht="20.100000000000001" customHeight="1" x14ac:dyDescent="0.25">
      <c r="D27" s="103" t="s">
        <v>68</v>
      </c>
      <c r="E27" s="39" t="s">
        <v>82</v>
      </c>
      <c r="G27" s="39" t="s">
        <v>310</v>
      </c>
      <c r="J27" s="39" t="s">
        <v>307</v>
      </c>
      <c r="M27" s="1"/>
    </row>
    <row r="28" spans="1:13" ht="20.100000000000001" customHeight="1" x14ac:dyDescent="0.25">
      <c r="D28" s="39" t="str">
        <f>'Constants - Livestock'!$E$16</f>
        <v>Drylot (feed pad)</v>
      </c>
      <c r="E28" s="39" t="str">
        <f>'Constants - Livestock'!$F$16</f>
        <v>Drylot (feed pad) (m=5)</v>
      </c>
      <c r="G28" s="39" t="str">
        <f>'Constants - Common'!$F$188</f>
        <v>Crop</v>
      </c>
      <c r="J28" s="39" t="s">
        <v>312</v>
      </c>
      <c r="M28" s="1"/>
    </row>
    <row r="29" spans="1:13" ht="20.100000000000001" customHeight="1" x14ac:dyDescent="0.25">
      <c r="D29" s="39" t="str">
        <f>'Constants - Livestock'!$E$15</f>
        <v>Solid storage</v>
      </c>
      <c r="E29" s="39" t="str">
        <f>'Constants - Livestock'!$F$15</f>
        <v>Solid storage (m=4)</v>
      </c>
      <c r="G29" s="1" t="str">
        <f>'Constants - Common'!$F$187</f>
        <v>Pasture</v>
      </c>
      <c r="J29" s="39" t="s">
        <v>313</v>
      </c>
      <c r="M29" s="1"/>
    </row>
    <row r="30" spans="1:13" ht="20.100000000000001" customHeight="1" x14ac:dyDescent="0.25">
      <c r="D30" s="39" t="str">
        <f>'Constants - Livestock'!$E$17</f>
        <v>Composting (passive windrow)</v>
      </c>
      <c r="E30" s="39" t="str">
        <f>'Constants - Livestock'!$F$17</f>
        <v>Composting (passive windrow) (m=6)</v>
      </c>
      <c r="J30" s="1" t="s">
        <v>314</v>
      </c>
      <c r="M30" s="1"/>
    </row>
    <row r="31" spans="1:13" ht="20.100000000000001" customHeight="1" x14ac:dyDescent="0.25">
      <c r="D31" s="39" t="str">
        <f>'Constants - Livestock'!$E$26</f>
        <v>Direct application</v>
      </c>
      <c r="E31" s="39" t="str">
        <f>'Constants - Livestock'!$F$26</f>
        <v>Direct application (m=13)</v>
      </c>
      <c r="J31" s="1" t="s">
        <v>315</v>
      </c>
      <c r="M31" s="1"/>
    </row>
    <row r="32" spans="1:13" ht="20.100000000000001" customHeight="1" x14ac:dyDescent="0.25">
      <c r="D32" s="1" t="str">
        <f>'Constants - Livestock'!$E$10</f>
        <v>Anaerobic lagoon</v>
      </c>
      <c r="E32" s="1" t="str">
        <f>'Constants - Livestock'!$F$10</f>
        <v>Anaerobic lagoon (m=1)</v>
      </c>
      <c r="J32" s="1" t="s">
        <v>316</v>
      </c>
      <c r="M32" s="1"/>
    </row>
    <row r="33" spans="4:13" ht="20.100000000000001" customHeight="1" x14ac:dyDescent="0.25">
      <c r="M33" s="1"/>
    </row>
    <row r="34" spans="4:13" ht="20.100000000000001" customHeight="1" x14ac:dyDescent="0.25">
      <c r="M34" s="1"/>
    </row>
    <row r="35" spans="4:13" ht="20.100000000000001" customHeight="1" x14ac:dyDescent="0.25">
      <c r="M35" s="1"/>
    </row>
    <row r="36" spans="4:13" ht="20.100000000000001" customHeight="1" x14ac:dyDescent="0.25">
      <c r="D36" s="6" t="str" cm="1">
        <f t="array" ref="D36">SourceData_Feedlot.SourceData_Feedlot_DurationOfStay_Title()</f>
        <v>Beef feedlot cattle - Duration of stay (days)</v>
      </c>
      <c r="M36" s="1"/>
    </row>
    <row r="37" spans="4:13" ht="20.100000000000001" customHeight="1" x14ac:dyDescent="0.25">
      <c r="D37" s="5" t="str" cm="1">
        <f t="array" ref="D37">SourceData_Feedlot.SourceData_Feedlot_DurationOfStay_Source()</f>
        <v>VEERG 2026: Table A.1.1.1: Beef feedlot cattle - Duration of stay (days)</v>
      </c>
      <c r="M37" s="1"/>
    </row>
    <row r="38" spans="4:13" ht="20.100000000000001" customHeight="1" x14ac:dyDescent="0.25">
      <c r="D38" s="39" t="s">
        <v>142</v>
      </c>
      <c r="E38" s="39" t="s">
        <v>155</v>
      </c>
      <c r="M38" s="1"/>
    </row>
    <row r="39" spans="4:13" ht="20.100000000000001" customHeight="1" x14ac:dyDescent="0.25">
      <c r="D39" s="39" t="str" cm="1">
        <f t="array" ref="D39">Common_InputFunctions.Utility_DisplayArrayInTable(SourceData_Feedlot.SourceData_Feedlot_DurationOfStay_Data(), Table_SourceData_Feedlot_LengthOfStay[[#Headers],[Feedlot type]], 0)</f>
        <v>Domestic</v>
      </c>
      <c r="E39" s="39" t="str" cm="1">
        <f t="array" ref="E39">Common_InputFunctions.Utility_DisplayArrayInTable(SourceData_Feedlot.SourceData_Feedlot_DurationOfStay_Data(), Table_SourceData_Feedlot_LengthOfStay[[#Headers],[Feedlot type]], 0)</f>
        <v>1-80 days</v>
      </c>
      <c r="M39" s="24"/>
    </row>
    <row r="40" spans="4:13" ht="20.100000000000001" customHeight="1" x14ac:dyDescent="0.25">
      <c r="D40" s="1" t="str" cm="1">
        <f t="array" ref="D40">Common_InputFunctions.Utility_DisplayArrayInTable(SourceData_Feedlot.SourceData_Feedlot_DurationOfStay_Data(), Table_SourceData_Feedlot_LengthOfStay[[#Headers],[Feedlot type]], 0)</f>
        <v>Mid-fed</v>
      </c>
      <c r="E40" s="39" t="str" cm="1">
        <f t="array" ref="E40">Common_InputFunctions.Utility_DisplayArrayInTable(SourceData_Feedlot.SourceData_Feedlot_DurationOfStay_Data(), Table_SourceData_Feedlot_LengthOfStay[[#Headers],[Feedlot type]], 0)</f>
        <v>81-200 days</v>
      </c>
      <c r="M40" s="24"/>
    </row>
    <row r="41" spans="4:13" ht="20.100000000000001" customHeight="1" x14ac:dyDescent="0.25">
      <c r="D41" s="1" t="str" cm="1">
        <f t="array" ref="D41">Common_InputFunctions.Utility_DisplayArrayInTable(SourceData_Feedlot.SourceData_Feedlot_DurationOfStay_Data(), Table_SourceData_Feedlot_LengthOfStay[[#Headers],[Feedlot type]], 0)</f>
        <v>Long-fed</v>
      </c>
      <c r="E41" s="39" t="str" cm="1">
        <f t="array" ref="E41">Common_InputFunctions.Utility_DisplayArrayInTable(SourceData_Feedlot.SourceData_Feedlot_DurationOfStay_Data(), Table_SourceData_Feedlot_LengthOfStay[[#Headers],[Feedlot type]], 0)</f>
        <v>201+ days</v>
      </c>
      <c r="M41" s="24"/>
    </row>
    <row r="42" spans="4:13" ht="20.100000000000001" customHeight="1" x14ac:dyDescent="0.25">
      <c r="M42" s="24"/>
    </row>
    <row r="43" spans="4:13" ht="20.100000000000001" customHeight="1" x14ac:dyDescent="0.25">
      <c r="M43" s="24"/>
    </row>
    <row r="44" spans="4:13" ht="20.100000000000001" customHeight="1" x14ac:dyDescent="0.25">
      <c r="D44" s="6" t="str" cm="1">
        <f t="array" ref="D44">SourceData_Feedlot.SourceData_Feedlot_AnimalCharacteristics_Title()</f>
        <v>Beef feedlot cattle - Animal characteristics</v>
      </c>
      <c r="M44" s="24"/>
    </row>
    <row r="45" spans="4:13" ht="20.100000000000001" customHeight="1" x14ac:dyDescent="0.25">
      <c r="D45" s="5" t="str" cm="1">
        <f t="array" ref="D45">SourceData_Feedlot.SourceData_Feedlot_AnimalCharacteristics_Source()</f>
        <v>VEERG 2026: Table A.1.1.2: Beef feedlot cattle - Animal characteristics</v>
      </c>
      <c r="M45" s="24"/>
    </row>
    <row r="46" spans="4:13" ht="20.100000000000001" customHeight="1" x14ac:dyDescent="0.25">
      <c r="D46" s="58" t="str" cm="1">
        <f t="array" ref="D46:D48">SourceData_Feedlot.SourceData_Feedlot_AnimalCharacteristics_Variation()</f>
        <v>VARIATION ON SOURCE:</v>
      </c>
      <c r="M46" s="24"/>
    </row>
    <row r="47" spans="4:13" ht="20.100000000000001" customHeight="1" x14ac:dyDescent="0.25">
      <c r="D47" s="58" t="str">
        <v>Moved feedlot types to a separate column to aid lookup.</v>
      </c>
      <c r="M47" s="24"/>
    </row>
    <row r="48" spans="4:13" ht="20.100000000000001" customHeight="1" x14ac:dyDescent="0.25">
      <c r="D48" s="58" t="str">
        <v>Named 'characteristic' column - original has header 'Unit' which covers two columns)</v>
      </c>
      <c r="M48" s="24"/>
    </row>
    <row r="49" spans="4:13" ht="20.100000000000001" customHeight="1" x14ac:dyDescent="0.25">
      <c r="D49" s="39" t="s">
        <v>142</v>
      </c>
      <c r="E49" s="39" t="s">
        <v>152</v>
      </c>
      <c r="F49" s="39" t="s">
        <v>20</v>
      </c>
      <c r="G49" s="39" t="s">
        <v>153</v>
      </c>
      <c r="H49" s="39" t="s">
        <v>144</v>
      </c>
      <c r="I49" s="39" t="s">
        <v>145</v>
      </c>
      <c r="J49" s="39" t="s">
        <v>146</v>
      </c>
      <c r="M49" s="24"/>
    </row>
    <row r="50" spans="4:13" ht="20.100000000000001" customHeight="1" x14ac:dyDescent="0.25">
      <c r="D50" s="39" t="str" cm="1">
        <f t="array" ref="D50">Common_InputFunctions.Utility_DisplayArrayInTable(SourceData_Feedlot.SourceData_Feedlot_AnimalCharacteristics_Data(), Table_SourceData_Feedlot_AnimalCharacteristics[[#Headers],[Feedlot type]], 0)</f>
        <v>Domestic</v>
      </c>
      <c r="E50" s="39" t="str" cm="1">
        <f t="array" ref="E50">Common_InputFunctions.Utility_DisplayArrayInTable(SourceData_Feedlot.SourceData_Feedlot_AnimalCharacteristics_Data(), Table_SourceData_Feedlot_AnimalCharacteristics[[#Headers],[Feedlot type]], 0)</f>
        <v>Days on feed</v>
      </c>
      <c r="F50" s="39" t="str" cm="1">
        <f t="array" ref="F50">Common_InputFunctions.Utility_DisplayArrayInTable(SourceData_Feedlot.SourceData_Feedlot_AnimalCharacteristics_Data(), Table_SourceData_Feedlot_AnimalCharacteristics[[#Headers],[Feedlot type]], 0)</f>
        <v>days</v>
      </c>
      <c r="G50" s="39" cm="1">
        <f t="array" ref="G50">Common_InputFunctions.Utility_DisplayArrayInTable(SourceData_Feedlot.SourceData_Feedlot_AnimalCharacteristics_Data(), Table_SourceData_Feedlot_AnimalCharacteristics[[#Headers],[Feedlot type]], 0)</f>
        <v>70</v>
      </c>
      <c r="H50" s="39" cm="1">
        <f t="array" ref="H50">Common_InputFunctions.Utility_DisplayArrayInTable(SourceData_Feedlot.SourceData_Feedlot_AnimalCharacteristics_Data(), Table_SourceData_Feedlot_AnimalCharacteristics[[#Headers],[Feedlot type]], 0)</f>
        <v>70</v>
      </c>
      <c r="I50" s="39" cm="1">
        <f t="array" ref="I50">Common_InputFunctions.Utility_DisplayArrayInTable(SourceData_Feedlot.SourceData_Feedlot_AnimalCharacteristics_Data(), Table_SourceData_Feedlot_AnimalCharacteristics[[#Headers],[Feedlot type]], 0)</f>
        <v>70</v>
      </c>
      <c r="J50" s="39" cm="1">
        <f t="array" ref="J50">Common_InputFunctions.Utility_DisplayArrayInTable(SourceData_Feedlot.SourceData_Feedlot_AnimalCharacteristics_Data(), Table_SourceData_Feedlot_AnimalCharacteristics[[#Headers],[Feedlot type]], 0)</f>
        <v>75</v>
      </c>
      <c r="M50" s="24"/>
    </row>
    <row r="51" spans="4:13" ht="20.100000000000001" customHeight="1" x14ac:dyDescent="0.25">
      <c r="D51" s="1" t="str" cm="1">
        <f t="array" ref="D51">Common_InputFunctions.Utility_DisplayArrayInTable(SourceData_Feedlot.SourceData_Feedlot_AnimalCharacteristics_Data(), Table_SourceData_Feedlot_AnimalCharacteristics[[#Headers],[Feedlot type]], 0)</f>
        <v>Domestic</v>
      </c>
      <c r="E51" s="39" t="str" cm="1">
        <f t="array" ref="E51">Common_InputFunctions.Utility_DisplayArrayInTable(SourceData_Feedlot.SourceData_Feedlot_AnimalCharacteristics_Data(), Table_SourceData_Feedlot_AnimalCharacteristics[[#Headers],[Feedlot type]], 0)</f>
        <v>Feed intake</v>
      </c>
      <c r="F51" s="39" t="str" cm="1">
        <f t="array" ref="F51">Common_InputFunctions.Utility_DisplayArrayInTable(SourceData_Feedlot.SourceData_Feedlot_AnimalCharacteristics_Data(), Table_SourceData_Feedlot_AnimalCharacteristics[[#Headers],[Feedlot type]], 0)</f>
        <v>kg DM/day</v>
      </c>
      <c r="G51" s="39" cm="1">
        <f t="array" ref="G51">Common_InputFunctions.Utility_DisplayArrayInTable(SourceData_Feedlot.SourceData_Feedlot_AnimalCharacteristics_Data(), Table_SourceData_Feedlot_AnimalCharacteristics[[#Headers],[Feedlot type]], 0)</f>
        <v>10</v>
      </c>
      <c r="H51" s="39" cm="1">
        <f t="array" ref="H51">Common_InputFunctions.Utility_DisplayArrayInTable(SourceData_Feedlot.SourceData_Feedlot_AnimalCharacteristics_Data(), Table_SourceData_Feedlot_AnimalCharacteristics[[#Headers],[Feedlot type]], 0)</f>
        <v>10</v>
      </c>
      <c r="I51" s="39" cm="1">
        <f t="array" ref="I51">Common_InputFunctions.Utility_DisplayArrayInTable(SourceData_Feedlot.SourceData_Feedlot_AnimalCharacteristics_Data(), Table_SourceData_Feedlot_AnimalCharacteristics[[#Headers],[Feedlot type]], 0)</f>
        <v>10.4</v>
      </c>
      <c r="J51" s="39" cm="1">
        <f t="array" ref="J51">Common_InputFunctions.Utility_DisplayArrayInTable(SourceData_Feedlot.SourceData_Feedlot_AnimalCharacteristics_Data(), Table_SourceData_Feedlot_AnimalCharacteristics[[#Headers],[Feedlot type]], 0)</f>
        <v>10.4</v>
      </c>
      <c r="M51" s="24"/>
    </row>
    <row r="52" spans="4:13" ht="20.100000000000001" customHeight="1" x14ac:dyDescent="0.25">
      <c r="D52" s="1" t="str" cm="1">
        <f t="array" ref="D52">Common_InputFunctions.Utility_DisplayArrayInTable(SourceData_Feedlot.SourceData_Feedlot_AnimalCharacteristics_Data(), Table_SourceData_Feedlot_AnimalCharacteristics[[#Headers],[Feedlot type]], 0)</f>
        <v>Domestic</v>
      </c>
      <c r="E52" s="39" t="str" cm="1">
        <f t="array" ref="E52">Common_InputFunctions.Utility_DisplayArrayInTable(SourceData_Feedlot.SourceData_Feedlot_AnimalCharacteristics_Data(), Table_SourceData_Feedlot_AnimalCharacteristics[[#Headers],[Feedlot type]], 0)</f>
        <v>N retention</v>
      </c>
      <c r="F52" s="39" t="str" cm="1">
        <f t="array" ref="F52">Common_InputFunctions.Utility_DisplayArrayInTable(SourceData_Feedlot.SourceData_Feedlot_AnimalCharacteristics_Data(), Table_SourceData_Feedlot_AnimalCharacteristics[[#Headers],[Feedlot type]], 0)</f>
        <v>per cent of intake</v>
      </c>
      <c r="G52" s="39" cm="1">
        <f t="array" ref="G52">Common_InputFunctions.Utility_DisplayArrayInTable(SourceData_Feedlot.SourceData_Feedlot_AnimalCharacteristics_Data(), Table_SourceData_Feedlot_AnimalCharacteristics[[#Headers],[Feedlot type]], 0)</f>
        <v>21.1</v>
      </c>
      <c r="H52" s="39" cm="1">
        <f t="array" ref="H52">Common_InputFunctions.Utility_DisplayArrayInTable(SourceData_Feedlot.SourceData_Feedlot_AnimalCharacteristics_Data(), Table_SourceData_Feedlot_AnimalCharacteristics[[#Headers],[Feedlot type]], 0)</f>
        <v>20.399999999999999</v>
      </c>
      <c r="I52" s="39" cm="1">
        <f t="array" ref="I52">Common_InputFunctions.Utility_DisplayArrayInTable(SourceData_Feedlot.SourceData_Feedlot_AnimalCharacteristics_Data(), Table_SourceData_Feedlot_AnimalCharacteristics[[#Headers],[Feedlot type]], 0)</f>
        <v>20.399999999999999</v>
      </c>
      <c r="J52" s="39" cm="1">
        <f t="array" ref="J52">Common_InputFunctions.Utility_DisplayArrayInTable(SourceData_Feedlot.SourceData_Feedlot_AnimalCharacteristics_Data(), Table_SourceData_Feedlot_AnimalCharacteristics[[#Headers],[Feedlot type]], 0)</f>
        <v>20.399999999999999</v>
      </c>
      <c r="M52" s="24"/>
    </row>
    <row r="53" spans="4:13" ht="20.100000000000001" customHeight="1" x14ac:dyDescent="0.25">
      <c r="D53" s="1" t="str" cm="1">
        <f t="array" ref="D53">Common_InputFunctions.Utility_DisplayArrayInTable(SourceData_Feedlot.SourceData_Feedlot_AnimalCharacteristics_Data(), Table_SourceData_Feedlot_AnimalCharacteristics[[#Headers],[Feedlot type]], 0)</f>
        <v>Mid-fed</v>
      </c>
      <c r="E53" s="39" t="str" cm="1">
        <f t="array" ref="E53">Common_InputFunctions.Utility_DisplayArrayInTable(SourceData_Feedlot.SourceData_Feedlot_AnimalCharacteristics_Data(), Table_SourceData_Feedlot_AnimalCharacteristics[[#Headers],[Feedlot type]], 0)</f>
        <v>Days on feed</v>
      </c>
      <c r="F53" s="39" t="str" cm="1">
        <f t="array" ref="F53">Common_InputFunctions.Utility_DisplayArrayInTable(SourceData_Feedlot.SourceData_Feedlot_AnimalCharacteristics_Data(), Table_SourceData_Feedlot_AnimalCharacteristics[[#Headers],[Feedlot type]], 0)</f>
        <v>days</v>
      </c>
      <c r="G53" s="39" cm="1">
        <f t="array" ref="G53">Common_InputFunctions.Utility_DisplayArrayInTable(SourceData_Feedlot.SourceData_Feedlot_AnimalCharacteristics_Data(), Table_SourceData_Feedlot_AnimalCharacteristics[[#Headers],[Feedlot type]], 0)</f>
        <v>115</v>
      </c>
      <c r="H53" s="39" cm="1">
        <f t="array" ref="H53">Common_InputFunctions.Utility_DisplayArrayInTable(SourceData_Feedlot.SourceData_Feedlot_AnimalCharacteristics_Data(), Table_SourceData_Feedlot_AnimalCharacteristics[[#Headers],[Feedlot type]], 0)</f>
        <v>115</v>
      </c>
      <c r="I53" s="39" cm="1">
        <f t="array" ref="I53">Common_InputFunctions.Utility_DisplayArrayInTable(SourceData_Feedlot.SourceData_Feedlot_AnimalCharacteristics_Data(), Table_SourceData_Feedlot_AnimalCharacteristics[[#Headers],[Feedlot type]], 0)</f>
        <v>120</v>
      </c>
      <c r="J53" s="39" cm="1">
        <f t="array" ref="J53">Common_InputFunctions.Utility_DisplayArrayInTable(SourceData_Feedlot.SourceData_Feedlot_AnimalCharacteristics_Data(), Table_SourceData_Feedlot_AnimalCharacteristics[[#Headers],[Feedlot type]], 0)</f>
        <v>150</v>
      </c>
      <c r="M53" s="24"/>
    </row>
    <row r="54" spans="4:13" ht="20.100000000000001" customHeight="1" x14ac:dyDescent="0.25">
      <c r="D54" s="1" t="str" cm="1">
        <f t="array" ref="D54">Common_InputFunctions.Utility_DisplayArrayInTable(SourceData_Feedlot.SourceData_Feedlot_AnimalCharacteristics_Data(), Table_SourceData_Feedlot_AnimalCharacteristics[[#Headers],[Feedlot type]], 0)</f>
        <v>Mid-fed</v>
      </c>
      <c r="E54" s="39" t="str" cm="1">
        <f t="array" ref="E54">Common_InputFunctions.Utility_DisplayArrayInTable(SourceData_Feedlot.SourceData_Feedlot_AnimalCharacteristics_Data(), Table_SourceData_Feedlot_AnimalCharacteristics[[#Headers],[Feedlot type]], 0)</f>
        <v>Feed intake</v>
      </c>
      <c r="F54" s="39" t="str" cm="1">
        <f t="array" ref="F54">Common_InputFunctions.Utility_DisplayArrayInTable(SourceData_Feedlot.SourceData_Feedlot_AnimalCharacteristics_Data(), Table_SourceData_Feedlot_AnimalCharacteristics[[#Headers],[Feedlot type]], 0)</f>
        <v>kg DM/day</v>
      </c>
      <c r="G54" s="39" cm="1">
        <f t="array" ref="G54">Common_InputFunctions.Utility_DisplayArrayInTable(SourceData_Feedlot.SourceData_Feedlot_AnimalCharacteristics_Data(), Table_SourceData_Feedlot_AnimalCharacteristics[[#Headers],[Feedlot type]], 0)</f>
        <v>11.2</v>
      </c>
      <c r="H54" s="39" cm="1">
        <f t="array" ref="H54">Common_InputFunctions.Utility_DisplayArrayInTable(SourceData_Feedlot.SourceData_Feedlot_AnimalCharacteristics_Data(), Table_SourceData_Feedlot_AnimalCharacteristics[[#Headers],[Feedlot type]], 0)</f>
        <v>10.8</v>
      </c>
      <c r="I54" s="39" cm="1">
        <f t="array" ref="I54">Common_InputFunctions.Utility_DisplayArrayInTable(SourceData_Feedlot.SourceData_Feedlot_AnimalCharacteristics_Data(), Table_SourceData_Feedlot_AnimalCharacteristics[[#Headers],[Feedlot type]], 0)</f>
        <v>10.8</v>
      </c>
      <c r="J54" s="39" cm="1">
        <f t="array" ref="J54">Common_InputFunctions.Utility_DisplayArrayInTable(SourceData_Feedlot.SourceData_Feedlot_AnimalCharacteristics_Data(), Table_SourceData_Feedlot_AnimalCharacteristics[[#Headers],[Feedlot type]], 0)</f>
        <v>10.8</v>
      </c>
      <c r="M54" s="24"/>
    </row>
    <row r="55" spans="4:13" ht="20.100000000000001" customHeight="1" x14ac:dyDescent="0.25">
      <c r="D55" s="1" t="str" cm="1">
        <f t="array" ref="D55">Common_InputFunctions.Utility_DisplayArrayInTable(SourceData_Feedlot.SourceData_Feedlot_AnimalCharacteristics_Data(), Table_SourceData_Feedlot_AnimalCharacteristics[[#Headers],[Feedlot type]], 0)</f>
        <v>Mid-fed</v>
      </c>
      <c r="E55" s="39" t="str" cm="1">
        <f t="array" ref="E55">Common_InputFunctions.Utility_DisplayArrayInTable(SourceData_Feedlot.SourceData_Feedlot_AnimalCharacteristics_Data(), Table_SourceData_Feedlot_AnimalCharacteristics[[#Headers],[Feedlot type]], 0)</f>
        <v>N retention</v>
      </c>
      <c r="F55" s="39" t="str" cm="1">
        <f t="array" ref="F55">Common_InputFunctions.Utility_DisplayArrayInTable(SourceData_Feedlot.SourceData_Feedlot_AnimalCharacteristics_Data(), Table_SourceData_Feedlot_AnimalCharacteristics[[#Headers],[Feedlot type]], 0)</f>
        <v>per cent of intake</v>
      </c>
      <c r="G55" s="39" cm="1">
        <f t="array" ref="G55">Common_InputFunctions.Utility_DisplayArrayInTable(SourceData_Feedlot.SourceData_Feedlot_AnimalCharacteristics_Data(), Table_SourceData_Feedlot_AnimalCharacteristics[[#Headers],[Feedlot type]], 0)</f>
        <v>12.5</v>
      </c>
      <c r="H55" s="39" cm="1">
        <f t="array" ref="H55">Common_InputFunctions.Utility_DisplayArrayInTable(SourceData_Feedlot.SourceData_Feedlot_AnimalCharacteristics_Data(), Table_SourceData_Feedlot_AnimalCharacteristics[[#Headers],[Feedlot type]], 0)</f>
        <v>12.7</v>
      </c>
      <c r="I55" s="39" cm="1">
        <f t="array" ref="I55">Common_InputFunctions.Utility_DisplayArrayInTable(SourceData_Feedlot.SourceData_Feedlot_AnimalCharacteristics_Data(), Table_SourceData_Feedlot_AnimalCharacteristics[[#Headers],[Feedlot type]], 0)</f>
        <v>12.7</v>
      </c>
      <c r="J55" s="39" cm="1">
        <f t="array" ref="J55">Common_InputFunctions.Utility_DisplayArrayInTable(SourceData_Feedlot.SourceData_Feedlot_AnimalCharacteristics_Data(), Table_SourceData_Feedlot_AnimalCharacteristics[[#Headers],[Feedlot type]], 0)</f>
        <v>12.7</v>
      </c>
      <c r="M55" s="24"/>
    </row>
    <row r="56" spans="4:13" ht="20.100000000000001" customHeight="1" x14ac:dyDescent="0.25">
      <c r="D56" s="1" t="str" cm="1">
        <f t="array" ref="D56">Common_InputFunctions.Utility_DisplayArrayInTable(SourceData_Feedlot.SourceData_Feedlot_AnimalCharacteristics_Data(), Table_SourceData_Feedlot_AnimalCharacteristics[[#Headers],[Feedlot type]], 0)</f>
        <v>Long-fed</v>
      </c>
      <c r="E56" s="39" t="str" cm="1">
        <f t="array" ref="E56">Common_InputFunctions.Utility_DisplayArrayInTable(SourceData_Feedlot.SourceData_Feedlot_AnimalCharacteristics_Data(), Table_SourceData_Feedlot_AnimalCharacteristics[[#Headers],[Feedlot type]], 0)</f>
        <v>Days on feed</v>
      </c>
      <c r="F56" s="39" t="str" cm="1">
        <f t="array" ref="F56">Common_InputFunctions.Utility_DisplayArrayInTable(SourceData_Feedlot.SourceData_Feedlot_AnimalCharacteristics_Data(), Table_SourceData_Feedlot_AnimalCharacteristics[[#Headers],[Feedlot type]], 0)</f>
        <v>days</v>
      </c>
      <c r="G56" s="39" cm="1">
        <f t="array" ref="G56">Common_InputFunctions.Utility_DisplayArrayInTable(SourceData_Feedlot.SourceData_Feedlot_AnimalCharacteristics_Data(), Table_SourceData_Feedlot_AnimalCharacteristics[[#Headers],[Feedlot type]], 0)</f>
        <v>250</v>
      </c>
      <c r="H56" s="39" cm="1">
        <f t="array" ref="H56">Common_InputFunctions.Utility_DisplayArrayInTable(SourceData_Feedlot.SourceData_Feedlot_AnimalCharacteristics_Data(), Table_SourceData_Feedlot_AnimalCharacteristics[[#Headers],[Feedlot type]], 0)</f>
        <v>250</v>
      </c>
      <c r="I56" s="39" cm="1">
        <f t="array" ref="I56">Common_InputFunctions.Utility_DisplayArrayInTable(SourceData_Feedlot.SourceData_Feedlot_AnimalCharacteristics_Data(), Table_SourceData_Feedlot_AnimalCharacteristics[[#Headers],[Feedlot type]], 0)</f>
        <v>250</v>
      </c>
      <c r="J56" s="39" cm="1">
        <f t="array" ref="J56">Common_InputFunctions.Utility_DisplayArrayInTable(SourceData_Feedlot.SourceData_Feedlot_AnimalCharacteristics_Data(), Table_SourceData_Feedlot_AnimalCharacteristics[[#Headers],[Feedlot type]], 0)</f>
        <v>250</v>
      </c>
      <c r="M56" s="24"/>
    </row>
    <row r="57" spans="4:13" ht="20.100000000000001" customHeight="1" x14ac:dyDescent="0.25">
      <c r="D57" s="1" t="str" cm="1">
        <f t="array" ref="D57">Common_InputFunctions.Utility_DisplayArrayInTable(SourceData_Feedlot.SourceData_Feedlot_AnimalCharacteristics_Data(), Table_SourceData_Feedlot_AnimalCharacteristics[[#Headers],[Feedlot type]], 0)</f>
        <v>Long-fed</v>
      </c>
      <c r="E57" s="39" t="str" cm="1">
        <f t="array" ref="E57">Common_InputFunctions.Utility_DisplayArrayInTable(SourceData_Feedlot.SourceData_Feedlot_AnimalCharacteristics_Data(), Table_SourceData_Feedlot_AnimalCharacteristics[[#Headers],[Feedlot type]], 0)</f>
        <v>Feed intake</v>
      </c>
      <c r="F57" s="39" t="str" cm="1">
        <f t="array" ref="F57">Common_InputFunctions.Utility_DisplayArrayInTable(SourceData_Feedlot.SourceData_Feedlot_AnimalCharacteristics_Data(), Table_SourceData_Feedlot_AnimalCharacteristics[[#Headers],[Feedlot type]], 0)</f>
        <v>kg DM/day</v>
      </c>
      <c r="G57" s="39" cm="1">
        <f t="array" ref="G57">Common_InputFunctions.Utility_DisplayArrayInTable(SourceData_Feedlot.SourceData_Feedlot_AnimalCharacteristics_Data(), Table_SourceData_Feedlot_AnimalCharacteristics[[#Headers],[Feedlot type]], 0)</f>
        <v>9</v>
      </c>
      <c r="H57" s="39" cm="1">
        <f t="array" ref="H57">Common_InputFunctions.Utility_DisplayArrayInTable(SourceData_Feedlot.SourceData_Feedlot_AnimalCharacteristics_Data(), Table_SourceData_Feedlot_AnimalCharacteristics[[#Headers],[Feedlot type]], 0)</f>
        <v>8.5</v>
      </c>
      <c r="I57" s="39" cm="1">
        <f t="array" ref="I57">Common_InputFunctions.Utility_DisplayArrayInTable(SourceData_Feedlot.SourceData_Feedlot_AnimalCharacteristics_Data(), Table_SourceData_Feedlot_AnimalCharacteristics[[#Headers],[Feedlot type]], 0)</f>
        <v>8.1999999999999993</v>
      </c>
      <c r="J57" s="39" cm="1">
        <f t="array" ref="J57">Common_InputFunctions.Utility_DisplayArrayInTable(SourceData_Feedlot.SourceData_Feedlot_AnimalCharacteristics_Data(), Table_SourceData_Feedlot_AnimalCharacteristics[[#Headers],[Feedlot type]], 0)</f>
        <v>8.1999999999999993</v>
      </c>
      <c r="M57" s="24"/>
    </row>
    <row r="58" spans="4:13" ht="20.100000000000001" customHeight="1" x14ac:dyDescent="0.25">
      <c r="D58" s="1" t="str" cm="1">
        <f t="array" ref="D58">Common_InputFunctions.Utility_DisplayArrayInTable(SourceData_Feedlot.SourceData_Feedlot_AnimalCharacteristics_Data(), Table_SourceData_Feedlot_AnimalCharacteristics[[#Headers],[Feedlot type]], 0)</f>
        <v>Long-fed</v>
      </c>
      <c r="E58" s="39" t="str" cm="1">
        <f t="array" ref="E58">Common_InputFunctions.Utility_DisplayArrayInTable(SourceData_Feedlot.SourceData_Feedlot_AnimalCharacteristics_Data(), Table_SourceData_Feedlot_AnimalCharacteristics[[#Headers],[Feedlot type]], 0)</f>
        <v>N retention</v>
      </c>
      <c r="F58" s="39" t="str" cm="1">
        <f t="array" ref="F58">Common_InputFunctions.Utility_DisplayArrayInTable(SourceData_Feedlot.SourceData_Feedlot_AnimalCharacteristics_Data(), Table_SourceData_Feedlot_AnimalCharacteristics[[#Headers],[Feedlot type]], 0)</f>
        <v>per cent of intake</v>
      </c>
      <c r="G58" s="39" cm="1">
        <f t="array" ref="G58">Common_InputFunctions.Utility_DisplayArrayInTable(SourceData_Feedlot.SourceData_Feedlot_AnimalCharacteristics_Data(), Table_SourceData_Feedlot_AnimalCharacteristics[[#Headers],[Feedlot type]], 0)</f>
        <v>6.6</v>
      </c>
      <c r="H58" s="39" cm="1">
        <f t="array" ref="H58">Common_InputFunctions.Utility_DisplayArrayInTable(SourceData_Feedlot.SourceData_Feedlot_AnimalCharacteristics_Data(), Table_SourceData_Feedlot_AnimalCharacteristics[[#Headers],[Feedlot type]], 0)</f>
        <v>7</v>
      </c>
      <c r="I58" s="39" cm="1">
        <f t="array" ref="I58">Common_InputFunctions.Utility_DisplayArrayInTable(SourceData_Feedlot.SourceData_Feedlot_AnimalCharacteristics_Data(), Table_SourceData_Feedlot_AnimalCharacteristics[[#Headers],[Feedlot type]], 0)</f>
        <v>7</v>
      </c>
      <c r="J58" s="39" cm="1">
        <f t="array" ref="J58">Common_InputFunctions.Utility_DisplayArrayInTable(SourceData_Feedlot.SourceData_Feedlot_AnimalCharacteristics_Data(), Table_SourceData_Feedlot_AnimalCharacteristics[[#Headers],[Feedlot type]], 0)</f>
        <v>7</v>
      </c>
      <c r="M58" s="24"/>
    </row>
    <row r="59" spans="4:13" ht="20.100000000000001" customHeight="1" x14ac:dyDescent="0.25">
      <c r="M59" s="24"/>
    </row>
    <row r="60" spans="4:13" ht="20.100000000000001" customHeight="1" x14ac:dyDescent="0.25">
      <c r="M60" s="24"/>
    </row>
    <row r="61" spans="4:13" ht="20.100000000000001" customHeight="1" x14ac:dyDescent="0.25">
      <c r="D61" s="6" t="str" cm="1">
        <f t="array" ref="D61">SourceData_Feedlot.SourceData_Feedlot_DietProperties_Title()</f>
        <v>Beef feedlot cattle - Diet properties</v>
      </c>
      <c r="M61" s="24"/>
    </row>
    <row r="62" spans="4:13" ht="20.100000000000001" customHeight="1" x14ac:dyDescent="0.25">
      <c r="D62" s="5" t="str" cm="1">
        <f t="array" ref="D62">SourceData_Feedlot.SourceData_Feedlot_DietProperties_Source()</f>
        <v>VEERG 2026: Table A.1.1.3: Beef feedlot cattle - Diet properties</v>
      </c>
      <c r="M62" s="24"/>
    </row>
    <row r="63" spans="4:13" ht="20.100000000000001" customHeight="1" x14ac:dyDescent="0.25">
      <c r="D63" s="58" t="str" cm="1">
        <f t="array" ref="D63:D65">SourceData_Feedlot.SourceData_Feedlot_DietProperties_Variation()</f>
        <v>VARIATION ON SOURCE:</v>
      </c>
      <c r="M63" s="24"/>
    </row>
    <row r="64" spans="4:13" ht="20.100000000000001" customHeight="1" x14ac:dyDescent="0.25">
      <c r="D64" s="58" t="str">
        <v>Added 'Converted to fraction column and converted NDF and Ether extract values to fractions.</v>
      </c>
      <c r="M64" s="24"/>
    </row>
    <row r="65" spans="4:13" ht="20.100000000000001" customHeight="1" x14ac:dyDescent="0.25">
      <c r="D65" s="58" t="str">
        <v>Moved feedlot types to a separate column to aid lookup.</v>
      </c>
      <c r="M65" s="24"/>
    </row>
    <row r="66" spans="4:13" ht="20.100000000000001" customHeight="1" x14ac:dyDescent="0.25">
      <c r="D66" s="39" t="s">
        <v>142</v>
      </c>
      <c r="E66" s="39" t="s">
        <v>143</v>
      </c>
      <c r="F66" s="39" t="s">
        <v>20</v>
      </c>
      <c r="G66" s="39" t="s">
        <v>144</v>
      </c>
      <c r="H66" s="39" t="s">
        <v>145</v>
      </c>
      <c r="I66" s="39" t="s">
        <v>146</v>
      </c>
      <c r="J66" s="39" t="s">
        <v>151</v>
      </c>
      <c r="M66" s="24"/>
    </row>
    <row r="67" spans="4:13" ht="20.100000000000001" customHeight="1" x14ac:dyDescent="0.25">
      <c r="D67" s="39" t="str" cm="1">
        <f t="array" ref="D67">Common_InputFunctions.Utility_DisplayArrayInTable(SourceData_Feedlot.SourceData_Feedlot_DietProperties_Data(), Table_SourceData_Feedlot_DietProperties[[#Headers],[Feedlot type]], 0)</f>
        <v>Domestic</v>
      </c>
      <c r="E67" s="39" t="str" cm="1">
        <f t="array" ref="E67">Common_InputFunctions.Utility_DisplayArrayInTable(SourceData_Feedlot.SourceData_Feedlot_DietProperties_Data(), Table_SourceData_Feedlot_DietProperties[[#Headers],[Feedlot type]], 0)</f>
        <v>Dry matter digestibility</v>
      </c>
      <c r="F67" s="39" t="str" cm="1">
        <f t="array" ref="F67">Common_InputFunctions.Utility_DisplayArrayInTable(SourceData_Feedlot.SourceData_Feedlot_DietProperties_Data(), Table_SourceData_Feedlot_DietProperties[[#Headers],[Feedlot type]], 0)</f>
        <v>fraction</v>
      </c>
      <c r="G67" s="39" cm="1">
        <f t="array" ref="G67">Common_InputFunctions.Utility_DisplayArrayInTable(SourceData_Feedlot.SourceData_Feedlot_DietProperties_Data(), Table_SourceData_Feedlot_DietProperties[[#Headers],[Feedlot type]], 0)</f>
        <v>0.81</v>
      </c>
      <c r="H67" s="39" cm="1">
        <f t="array" ref="H67">Common_InputFunctions.Utility_DisplayArrayInTable(SourceData_Feedlot.SourceData_Feedlot_DietProperties_Data(), Table_SourceData_Feedlot_DietProperties[[#Headers],[Feedlot type]], 0)</f>
        <v>0.81</v>
      </c>
      <c r="I67" s="39" cm="1">
        <f t="array" ref="I67">Common_InputFunctions.Utility_DisplayArrayInTable(SourceData_Feedlot.SourceData_Feedlot_DietProperties_Data(), Table_SourceData_Feedlot_DietProperties[[#Headers],[Feedlot type]], 0)</f>
        <v>0.81</v>
      </c>
      <c r="J67" s="39" cm="1">
        <f t="array" ref="J67">Common_InputFunctions.Utility_DisplayArrayInTable(SourceData_Feedlot.SourceData_Feedlot_DietProperties_Data(), Table_SourceData_Feedlot_DietProperties[[#Headers],[Feedlot type]], 0)</f>
        <v>0.81</v>
      </c>
      <c r="M67" s="24"/>
    </row>
    <row r="68" spans="4:13" ht="20.100000000000001" customHeight="1" x14ac:dyDescent="0.25">
      <c r="D68" s="1" t="str" cm="1">
        <f t="array" ref="D68">Common_InputFunctions.Utility_DisplayArrayInTable(SourceData_Feedlot.SourceData_Feedlot_DietProperties_Data(), Table_SourceData_Feedlot_DietProperties[[#Headers],[Feedlot type]], 0)</f>
        <v>Domestic</v>
      </c>
      <c r="E68" s="39" t="str" cm="1">
        <f t="array" ref="E68">Common_InputFunctions.Utility_DisplayArrayInTable(SourceData_Feedlot.SourceData_Feedlot_DietProperties_Data(), Table_SourceData_Feedlot_DietProperties[[#Headers],[Feedlot type]], 0)</f>
        <v>Crude protein</v>
      </c>
      <c r="F68" s="39" t="str" cm="1">
        <f t="array" ref="F68">Common_InputFunctions.Utility_DisplayArrayInTable(SourceData_Feedlot.SourceData_Feedlot_DietProperties_Data(), Table_SourceData_Feedlot_DietProperties[[#Headers],[Feedlot type]], 0)</f>
        <v>fraction</v>
      </c>
      <c r="G68" s="39" cm="1">
        <f t="array" ref="G68">Common_InputFunctions.Utility_DisplayArrayInTable(SourceData_Feedlot.SourceData_Feedlot_DietProperties_Data(), Table_SourceData_Feedlot_DietProperties[[#Headers],[Feedlot type]], 0)</f>
        <v>0.14000000000000001</v>
      </c>
      <c r="H68" s="39" cm="1">
        <f t="array" ref="H68">Common_InputFunctions.Utility_DisplayArrayInTable(SourceData_Feedlot.SourceData_Feedlot_DietProperties_Data(), Table_SourceData_Feedlot_DietProperties[[#Headers],[Feedlot type]], 0)</f>
        <v>0.14000000000000001</v>
      </c>
      <c r="I68" s="39" cm="1">
        <f t="array" ref="I68">Common_InputFunctions.Utility_DisplayArrayInTable(SourceData_Feedlot.SourceData_Feedlot_DietProperties_Data(), Table_SourceData_Feedlot_DietProperties[[#Headers],[Feedlot type]], 0)</f>
        <v>0.14000000000000001</v>
      </c>
      <c r="J68" s="39" cm="1">
        <f t="array" ref="J68">Common_InputFunctions.Utility_DisplayArrayInTable(SourceData_Feedlot.SourceData_Feedlot_DietProperties_Data(), Table_SourceData_Feedlot_DietProperties[[#Headers],[Feedlot type]], 0)</f>
        <v>0.14000000000000001</v>
      </c>
      <c r="M68" s="24"/>
    </row>
    <row r="69" spans="4:13" ht="20.100000000000001" customHeight="1" x14ac:dyDescent="0.25">
      <c r="D69" s="1" t="str" cm="1">
        <f t="array" ref="D69">Common_InputFunctions.Utility_DisplayArrayInTable(SourceData_Feedlot.SourceData_Feedlot_DietProperties_Data(), Table_SourceData_Feedlot_DietProperties[[#Headers],[Feedlot type]], 0)</f>
        <v>Domestic</v>
      </c>
      <c r="E69" s="39" t="str" cm="1">
        <f t="array" ref="E69">Common_InputFunctions.Utility_DisplayArrayInTable(SourceData_Feedlot.SourceData_Feedlot_DietProperties_Data(), Table_SourceData_Feedlot_DietProperties[[#Headers],[Feedlot type]], 0)</f>
        <v>NDF</v>
      </c>
      <c r="F69" s="39" t="str" cm="1">
        <f t="array" ref="F69">Common_InputFunctions.Utility_DisplayArrayInTable(SourceData_Feedlot.SourceData_Feedlot_DietProperties_Data(), Table_SourceData_Feedlot_DietProperties[[#Headers],[Feedlot type]], 0)</f>
        <v>per cent</v>
      </c>
      <c r="G69" s="39" cm="1">
        <f t="array" ref="G69">Common_InputFunctions.Utility_DisplayArrayInTable(SourceData_Feedlot.SourceData_Feedlot_DietProperties_Data(), Table_SourceData_Feedlot_DietProperties[[#Headers],[Feedlot type]], 0)</f>
        <v>23</v>
      </c>
      <c r="H69" s="39" cm="1">
        <f t="array" ref="H69">Common_InputFunctions.Utility_DisplayArrayInTable(SourceData_Feedlot.SourceData_Feedlot_DietProperties_Data(), Table_SourceData_Feedlot_DietProperties[[#Headers],[Feedlot type]], 0)</f>
        <v>22</v>
      </c>
      <c r="I69" s="39" cm="1">
        <f t="array" ref="I69">Common_InputFunctions.Utility_DisplayArrayInTable(SourceData_Feedlot.SourceData_Feedlot_DietProperties_Data(), Table_SourceData_Feedlot_DietProperties[[#Headers],[Feedlot type]], 0)</f>
        <v>22</v>
      </c>
      <c r="J69" s="39" cm="1">
        <f t="array" ref="J69">Common_InputFunctions.Utility_DisplayArrayInTable(SourceData_Feedlot.SourceData_Feedlot_DietProperties_Data(), Table_SourceData_Feedlot_DietProperties[[#Headers],[Feedlot type]], 0)</f>
        <v>22</v>
      </c>
      <c r="M69" s="24"/>
    </row>
    <row r="70" spans="4:13" ht="20.100000000000001" customHeight="1" x14ac:dyDescent="0.25">
      <c r="D70" s="1" t="str" cm="1">
        <f t="array" ref="D70">Common_InputFunctions.Utility_DisplayArrayInTable(SourceData_Feedlot.SourceData_Feedlot_DietProperties_Data(), Table_SourceData_Feedlot_DietProperties[[#Headers],[Feedlot type]], 0)</f>
        <v>Domestic</v>
      </c>
      <c r="E70" s="39" t="str" cm="1">
        <f t="array" ref="E70">Common_InputFunctions.Utility_DisplayArrayInTable(SourceData_Feedlot.SourceData_Feedlot_DietProperties_Data(), Table_SourceData_Feedlot_DietProperties[[#Headers],[Feedlot type]], 0)</f>
        <v>Ether Extract</v>
      </c>
      <c r="F70" s="39" t="str" cm="1">
        <f t="array" ref="F70">Common_InputFunctions.Utility_DisplayArrayInTable(SourceData_Feedlot.SourceData_Feedlot_DietProperties_Data(), Table_SourceData_Feedlot_DietProperties[[#Headers],[Feedlot type]], 0)</f>
        <v>per cent</v>
      </c>
      <c r="G70" s="39" cm="1">
        <f t="array" ref="G70">Common_InputFunctions.Utility_DisplayArrayInTable(SourceData_Feedlot.SourceData_Feedlot_DietProperties_Data(), Table_SourceData_Feedlot_DietProperties[[#Headers],[Feedlot type]], 0)</f>
        <v>4.5</v>
      </c>
      <c r="H70" s="39" cm="1">
        <f t="array" ref="H70">Common_InputFunctions.Utility_DisplayArrayInTable(SourceData_Feedlot.SourceData_Feedlot_DietProperties_Data(), Table_SourceData_Feedlot_DietProperties[[#Headers],[Feedlot type]], 0)</f>
        <v>4.5</v>
      </c>
      <c r="I70" s="39" cm="1">
        <f t="array" ref="I70">Common_InputFunctions.Utility_DisplayArrayInTable(SourceData_Feedlot.SourceData_Feedlot_DietProperties_Data(), Table_SourceData_Feedlot_DietProperties[[#Headers],[Feedlot type]], 0)</f>
        <v>4.8</v>
      </c>
      <c r="J70" s="39" cm="1">
        <f t="array" ref="J70">Common_InputFunctions.Utility_DisplayArrayInTable(SourceData_Feedlot.SourceData_Feedlot_DietProperties_Data(), Table_SourceData_Feedlot_DietProperties[[#Headers],[Feedlot type]], 0)</f>
        <v>4.8</v>
      </c>
      <c r="M70" s="24"/>
    </row>
    <row r="71" spans="4:13" ht="20.100000000000001" customHeight="1" x14ac:dyDescent="0.25">
      <c r="D71" s="1" t="str" cm="1">
        <f t="array" ref="D71">Common_InputFunctions.Utility_DisplayArrayInTable(SourceData_Feedlot.SourceData_Feedlot_DietProperties_Data(), Table_SourceData_Feedlot_DietProperties[[#Headers],[Feedlot type]], 0)</f>
        <v>Mid-fed</v>
      </c>
      <c r="E71" s="39" t="str" cm="1">
        <f t="array" ref="E71">Common_InputFunctions.Utility_DisplayArrayInTable(SourceData_Feedlot.SourceData_Feedlot_DietProperties_Data(), Table_SourceData_Feedlot_DietProperties[[#Headers],[Feedlot type]], 0)</f>
        <v>Dry matter digestibility</v>
      </c>
      <c r="F71" s="39" t="str" cm="1">
        <f t="array" ref="F71">Common_InputFunctions.Utility_DisplayArrayInTable(SourceData_Feedlot.SourceData_Feedlot_DietProperties_Data(), Table_SourceData_Feedlot_DietProperties[[#Headers],[Feedlot type]], 0)</f>
        <v>fraction</v>
      </c>
      <c r="G71" s="39" cm="1">
        <f t="array" ref="G71">Common_InputFunctions.Utility_DisplayArrayInTable(SourceData_Feedlot.SourceData_Feedlot_DietProperties_Data(), Table_SourceData_Feedlot_DietProperties[[#Headers],[Feedlot type]], 0)</f>
        <v>0.81</v>
      </c>
      <c r="H71" s="39" cm="1">
        <f t="array" ref="H71">Common_InputFunctions.Utility_DisplayArrayInTable(SourceData_Feedlot.SourceData_Feedlot_DietProperties_Data(), Table_SourceData_Feedlot_DietProperties[[#Headers],[Feedlot type]], 0)</f>
        <v>0.81</v>
      </c>
      <c r="I71" s="39" cm="1">
        <f t="array" ref="I71">Common_InputFunctions.Utility_DisplayArrayInTable(SourceData_Feedlot.SourceData_Feedlot_DietProperties_Data(), Table_SourceData_Feedlot_DietProperties[[#Headers],[Feedlot type]], 0)</f>
        <v>0.81</v>
      </c>
      <c r="J71" s="39" cm="1">
        <f t="array" ref="J71">Common_InputFunctions.Utility_DisplayArrayInTable(SourceData_Feedlot.SourceData_Feedlot_DietProperties_Data(), Table_SourceData_Feedlot_DietProperties[[#Headers],[Feedlot type]], 0)</f>
        <v>0.81</v>
      </c>
      <c r="M71" s="24"/>
    </row>
    <row r="72" spans="4:13" ht="20.100000000000001" customHeight="1" x14ac:dyDescent="0.25">
      <c r="D72" s="1" t="str" cm="1">
        <f t="array" ref="D72">Common_InputFunctions.Utility_DisplayArrayInTable(SourceData_Feedlot.SourceData_Feedlot_DietProperties_Data(), Table_SourceData_Feedlot_DietProperties[[#Headers],[Feedlot type]], 0)</f>
        <v>Mid-fed</v>
      </c>
      <c r="E72" s="39" t="str" cm="1">
        <f t="array" ref="E72">Common_InputFunctions.Utility_DisplayArrayInTable(SourceData_Feedlot.SourceData_Feedlot_DietProperties_Data(), Table_SourceData_Feedlot_DietProperties[[#Headers],[Feedlot type]], 0)</f>
        <v>Crude protein</v>
      </c>
      <c r="F72" s="39" t="str" cm="1">
        <f t="array" ref="F72">Common_InputFunctions.Utility_DisplayArrayInTable(SourceData_Feedlot.SourceData_Feedlot_DietProperties_Data(), Table_SourceData_Feedlot_DietProperties[[#Headers],[Feedlot type]], 0)</f>
        <v>fraction</v>
      </c>
      <c r="G72" s="39" cm="1">
        <f t="array" ref="G72">Common_InputFunctions.Utility_DisplayArrayInTable(SourceData_Feedlot.SourceData_Feedlot_DietProperties_Data(), Table_SourceData_Feedlot_DietProperties[[#Headers],[Feedlot type]], 0)</f>
        <v>0.13</v>
      </c>
      <c r="H72" s="39" cm="1">
        <f t="array" ref="H72">Common_InputFunctions.Utility_DisplayArrayInTable(SourceData_Feedlot.SourceData_Feedlot_DietProperties_Data(), Table_SourceData_Feedlot_DietProperties[[#Headers],[Feedlot type]], 0)</f>
        <v>0.125</v>
      </c>
      <c r="I72" s="39" cm="1">
        <f t="array" ref="I72">Common_InputFunctions.Utility_DisplayArrayInTable(SourceData_Feedlot.SourceData_Feedlot_DietProperties_Data(), Table_SourceData_Feedlot_DietProperties[[#Headers],[Feedlot type]], 0)</f>
        <v>0.12</v>
      </c>
      <c r="J72" s="39" cm="1">
        <f t="array" ref="J72">Common_InputFunctions.Utility_DisplayArrayInTable(SourceData_Feedlot.SourceData_Feedlot_DietProperties_Data(), Table_SourceData_Feedlot_DietProperties[[#Headers],[Feedlot type]], 0)</f>
        <v>0.12</v>
      </c>
      <c r="M72" s="24"/>
    </row>
    <row r="73" spans="4:13" ht="20.100000000000001" customHeight="1" x14ac:dyDescent="0.25">
      <c r="D73" s="1" t="str" cm="1">
        <f t="array" ref="D73">Common_InputFunctions.Utility_DisplayArrayInTable(SourceData_Feedlot.SourceData_Feedlot_DietProperties_Data(), Table_SourceData_Feedlot_DietProperties[[#Headers],[Feedlot type]], 0)</f>
        <v>Mid-fed</v>
      </c>
      <c r="E73" s="39" t="str" cm="1">
        <f t="array" ref="E73">Common_InputFunctions.Utility_DisplayArrayInTable(SourceData_Feedlot.SourceData_Feedlot_DietProperties_Data(), Table_SourceData_Feedlot_DietProperties[[#Headers],[Feedlot type]], 0)</f>
        <v>NDF</v>
      </c>
      <c r="F73" s="39" t="str" cm="1">
        <f t="array" ref="F73">Common_InputFunctions.Utility_DisplayArrayInTable(SourceData_Feedlot.SourceData_Feedlot_DietProperties_Data(), Table_SourceData_Feedlot_DietProperties[[#Headers],[Feedlot type]], 0)</f>
        <v>per cent</v>
      </c>
      <c r="G73" s="39" cm="1">
        <f t="array" ref="G73">Common_InputFunctions.Utility_DisplayArrayInTable(SourceData_Feedlot.SourceData_Feedlot_DietProperties_Data(), Table_SourceData_Feedlot_DietProperties[[#Headers],[Feedlot type]], 0)</f>
        <v>24</v>
      </c>
      <c r="H73" s="39" cm="1">
        <f t="array" ref="H73">Common_InputFunctions.Utility_DisplayArrayInTable(SourceData_Feedlot.SourceData_Feedlot_DietProperties_Data(), Table_SourceData_Feedlot_DietProperties[[#Headers],[Feedlot type]], 0)</f>
        <v>22</v>
      </c>
      <c r="I73" s="39" cm="1">
        <f t="array" ref="I73">Common_InputFunctions.Utility_DisplayArrayInTable(SourceData_Feedlot.SourceData_Feedlot_DietProperties_Data(), Table_SourceData_Feedlot_DietProperties[[#Headers],[Feedlot type]], 0)</f>
        <v>22</v>
      </c>
      <c r="J73" s="39" cm="1">
        <f t="array" ref="J73">Common_InputFunctions.Utility_DisplayArrayInTable(SourceData_Feedlot.SourceData_Feedlot_DietProperties_Data(), Table_SourceData_Feedlot_DietProperties[[#Headers],[Feedlot type]], 0)</f>
        <v>22</v>
      </c>
      <c r="M73" s="24"/>
    </row>
    <row r="74" spans="4:13" ht="20.100000000000001" customHeight="1" x14ac:dyDescent="0.25">
      <c r="D74" s="1" t="str" cm="1">
        <f t="array" ref="D74">Common_InputFunctions.Utility_DisplayArrayInTable(SourceData_Feedlot.SourceData_Feedlot_DietProperties_Data(), Table_SourceData_Feedlot_DietProperties[[#Headers],[Feedlot type]], 0)</f>
        <v>Mid-fed</v>
      </c>
      <c r="E74" s="39" t="str" cm="1">
        <f t="array" ref="E74">Common_InputFunctions.Utility_DisplayArrayInTable(SourceData_Feedlot.SourceData_Feedlot_DietProperties_Data(), Table_SourceData_Feedlot_DietProperties[[#Headers],[Feedlot type]], 0)</f>
        <v>Ether Extract</v>
      </c>
      <c r="F74" s="39" t="str" cm="1">
        <f t="array" ref="F74">Common_InputFunctions.Utility_DisplayArrayInTable(SourceData_Feedlot.SourceData_Feedlot_DietProperties_Data(), Table_SourceData_Feedlot_DietProperties[[#Headers],[Feedlot type]], 0)</f>
        <v>per cent</v>
      </c>
      <c r="G74" s="39" cm="1">
        <f t="array" ref="G74">Common_InputFunctions.Utility_DisplayArrayInTable(SourceData_Feedlot.SourceData_Feedlot_DietProperties_Data(), Table_SourceData_Feedlot_DietProperties[[#Headers],[Feedlot type]], 0)</f>
        <v>5</v>
      </c>
      <c r="H74" s="39" cm="1">
        <f t="array" ref="H74">Common_InputFunctions.Utility_DisplayArrayInTable(SourceData_Feedlot.SourceData_Feedlot_DietProperties_Data(), Table_SourceData_Feedlot_DietProperties[[#Headers],[Feedlot type]], 0)</f>
        <v>5</v>
      </c>
      <c r="I74" s="39" cm="1">
        <f t="array" ref="I74">Common_InputFunctions.Utility_DisplayArrayInTable(SourceData_Feedlot.SourceData_Feedlot_DietProperties_Data(), Table_SourceData_Feedlot_DietProperties[[#Headers],[Feedlot type]], 0)</f>
        <v>5</v>
      </c>
      <c r="J74" s="39" cm="1">
        <f t="array" ref="J74">Common_InputFunctions.Utility_DisplayArrayInTable(SourceData_Feedlot.SourceData_Feedlot_DietProperties_Data(), Table_SourceData_Feedlot_DietProperties[[#Headers],[Feedlot type]], 0)</f>
        <v>5</v>
      </c>
      <c r="M74" s="24"/>
    </row>
    <row r="75" spans="4:13" ht="20.100000000000001" customHeight="1" x14ac:dyDescent="0.25">
      <c r="D75" s="1" t="str" cm="1">
        <f t="array" ref="D75">Common_InputFunctions.Utility_DisplayArrayInTable(SourceData_Feedlot.SourceData_Feedlot_DietProperties_Data(), Table_SourceData_Feedlot_DietProperties[[#Headers],[Feedlot type]], 0)</f>
        <v>Long-Fed</v>
      </c>
      <c r="E75" s="39" t="str" cm="1">
        <f t="array" ref="E75">Common_InputFunctions.Utility_DisplayArrayInTable(SourceData_Feedlot.SourceData_Feedlot_DietProperties_Data(), Table_SourceData_Feedlot_DietProperties[[#Headers],[Feedlot type]], 0)</f>
        <v>Dry matter digestibility</v>
      </c>
      <c r="F75" s="39" t="str" cm="1">
        <f t="array" ref="F75">Common_InputFunctions.Utility_DisplayArrayInTable(SourceData_Feedlot.SourceData_Feedlot_DietProperties_Data(), Table_SourceData_Feedlot_DietProperties[[#Headers],[Feedlot type]], 0)</f>
        <v>fraction</v>
      </c>
      <c r="G75" s="39" cm="1">
        <f t="array" ref="G75">Common_InputFunctions.Utility_DisplayArrayInTable(SourceData_Feedlot.SourceData_Feedlot_DietProperties_Data(), Table_SourceData_Feedlot_DietProperties[[#Headers],[Feedlot type]], 0)</f>
        <v>0.81</v>
      </c>
      <c r="H75" s="39" cm="1">
        <f t="array" ref="H75">Common_InputFunctions.Utility_DisplayArrayInTable(SourceData_Feedlot.SourceData_Feedlot_DietProperties_Data(), Table_SourceData_Feedlot_DietProperties[[#Headers],[Feedlot type]], 0)</f>
        <v>0.81</v>
      </c>
      <c r="I75" s="39" cm="1">
        <f t="array" ref="I75">Common_InputFunctions.Utility_DisplayArrayInTable(SourceData_Feedlot.SourceData_Feedlot_DietProperties_Data(), Table_SourceData_Feedlot_DietProperties[[#Headers],[Feedlot type]], 0)</f>
        <v>0.81</v>
      </c>
      <c r="J75" s="39" cm="1">
        <f t="array" ref="J75">Common_InputFunctions.Utility_DisplayArrayInTable(SourceData_Feedlot.SourceData_Feedlot_DietProperties_Data(), Table_SourceData_Feedlot_DietProperties[[#Headers],[Feedlot type]], 0)</f>
        <v>0.81</v>
      </c>
      <c r="M75" s="24"/>
    </row>
    <row r="76" spans="4:13" ht="20.100000000000001" customHeight="1" x14ac:dyDescent="0.25">
      <c r="D76" s="1" t="str" cm="1">
        <f t="array" ref="D76">Common_InputFunctions.Utility_DisplayArrayInTable(SourceData_Feedlot.SourceData_Feedlot_DietProperties_Data(), Table_SourceData_Feedlot_DietProperties[[#Headers],[Feedlot type]], 0)</f>
        <v>Long-Fed</v>
      </c>
      <c r="E76" s="39" t="str" cm="1">
        <f t="array" ref="E76">Common_InputFunctions.Utility_DisplayArrayInTable(SourceData_Feedlot.SourceData_Feedlot_DietProperties_Data(), Table_SourceData_Feedlot_DietProperties[[#Headers],[Feedlot type]], 0)</f>
        <v>Crude protein</v>
      </c>
      <c r="F76" s="39" t="str" cm="1">
        <f t="array" ref="F76">Common_InputFunctions.Utility_DisplayArrayInTable(SourceData_Feedlot.SourceData_Feedlot_DietProperties_Data(), Table_SourceData_Feedlot_DietProperties[[#Headers],[Feedlot type]], 0)</f>
        <v>fraction</v>
      </c>
      <c r="G76" s="39" cm="1">
        <f t="array" ref="G76">Common_InputFunctions.Utility_DisplayArrayInTable(SourceData_Feedlot.SourceData_Feedlot_DietProperties_Data(), Table_SourceData_Feedlot_DietProperties[[#Headers],[Feedlot type]], 0)</f>
        <v>0.13</v>
      </c>
      <c r="H76" s="39" cm="1">
        <f t="array" ref="H76">Common_InputFunctions.Utility_DisplayArrayInTable(SourceData_Feedlot.SourceData_Feedlot_DietProperties_Data(), Table_SourceData_Feedlot_DietProperties[[#Headers],[Feedlot type]], 0)</f>
        <v>0.125</v>
      </c>
      <c r="I76" s="39" cm="1">
        <f t="array" ref="I76">Common_InputFunctions.Utility_DisplayArrayInTable(SourceData_Feedlot.SourceData_Feedlot_DietProperties_Data(), Table_SourceData_Feedlot_DietProperties[[#Headers],[Feedlot type]], 0)</f>
        <v>0.12</v>
      </c>
      <c r="J76" s="39" cm="1">
        <f t="array" ref="J76">Common_InputFunctions.Utility_DisplayArrayInTable(SourceData_Feedlot.SourceData_Feedlot_DietProperties_Data(), Table_SourceData_Feedlot_DietProperties[[#Headers],[Feedlot type]], 0)</f>
        <v>0.12</v>
      </c>
      <c r="M76" s="24"/>
    </row>
    <row r="77" spans="4:13" ht="20.100000000000001" customHeight="1" x14ac:dyDescent="0.25">
      <c r="D77" s="1" t="str" cm="1">
        <f t="array" ref="D77">Common_InputFunctions.Utility_DisplayArrayInTable(SourceData_Feedlot.SourceData_Feedlot_DietProperties_Data(), Table_SourceData_Feedlot_DietProperties[[#Headers],[Feedlot type]], 0)</f>
        <v>Long-Fed</v>
      </c>
      <c r="E77" s="39" t="str" cm="1">
        <f t="array" ref="E77">Common_InputFunctions.Utility_DisplayArrayInTable(SourceData_Feedlot.SourceData_Feedlot_DietProperties_Data(), Table_SourceData_Feedlot_DietProperties[[#Headers],[Feedlot type]], 0)</f>
        <v>NDF</v>
      </c>
      <c r="F77" s="39" t="str" cm="1">
        <f t="array" ref="F77">Common_InputFunctions.Utility_DisplayArrayInTable(SourceData_Feedlot.SourceData_Feedlot_DietProperties_Data(), Table_SourceData_Feedlot_DietProperties[[#Headers],[Feedlot type]], 0)</f>
        <v>per cent</v>
      </c>
      <c r="G77" s="39" cm="1">
        <f t="array" ref="G77">Common_InputFunctions.Utility_DisplayArrayInTable(SourceData_Feedlot.SourceData_Feedlot_DietProperties_Data(), Table_SourceData_Feedlot_DietProperties[[#Headers],[Feedlot type]], 0)</f>
        <v>24</v>
      </c>
      <c r="H77" s="39" cm="1">
        <f t="array" ref="H77">Common_InputFunctions.Utility_DisplayArrayInTable(SourceData_Feedlot.SourceData_Feedlot_DietProperties_Data(), Table_SourceData_Feedlot_DietProperties[[#Headers],[Feedlot type]], 0)</f>
        <v>24</v>
      </c>
      <c r="I77" s="39" cm="1">
        <f t="array" ref="I77">Common_InputFunctions.Utility_DisplayArrayInTable(SourceData_Feedlot.SourceData_Feedlot_DietProperties_Data(), Table_SourceData_Feedlot_DietProperties[[#Headers],[Feedlot type]], 0)</f>
        <v>24</v>
      </c>
      <c r="J77" s="39" cm="1">
        <f t="array" ref="J77">Common_InputFunctions.Utility_DisplayArrayInTable(SourceData_Feedlot.SourceData_Feedlot_DietProperties_Data(), Table_SourceData_Feedlot_DietProperties[[#Headers],[Feedlot type]], 0)</f>
        <v>24</v>
      </c>
      <c r="M77" s="24"/>
    </row>
    <row r="78" spans="4:13" ht="20.100000000000001" customHeight="1" x14ac:dyDescent="0.25">
      <c r="D78" s="1" t="str" cm="1">
        <f t="array" ref="D78">Common_InputFunctions.Utility_DisplayArrayInTable(SourceData_Feedlot.SourceData_Feedlot_DietProperties_Data(), Table_SourceData_Feedlot_DietProperties[[#Headers],[Feedlot type]], 0)</f>
        <v>Long-Fed</v>
      </c>
      <c r="E78" s="39" t="str" cm="1">
        <f t="array" ref="E78">Common_InputFunctions.Utility_DisplayArrayInTable(SourceData_Feedlot.SourceData_Feedlot_DietProperties_Data(), Table_SourceData_Feedlot_DietProperties[[#Headers],[Feedlot type]], 0)</f>
        <v>Ether Extract</v>
      </c>
      <c r="F78" s="39" t="str" cm="1">
        <f t="array" ref="F78">Common_InputFunctions.Utility_DisplayArrayInTable(SourceData_Feedlot.SourceData_Feedlot_DietProperties_Data(), Table_SourceData_Feedlot_DietProperties[[#Headers],[Feedlot type]], 0)</f>
        <v>per cent</v>
      </c>
      <c r="G78" s="39" cm="1">
        <f t="array" ref="G78">Common_InputFunctions.Utility_DisplayArrayInTable(SourceData_Feedlot.SourceData_Feedlot_DietProperties_Data(), Table_SourceData_Feedlot_DietProperties[[#Headers],[Feedlot type]], 0)</f>
        <v>5</v>
      </c>
      <c r="H78" s="39" cm="1">
        <f t="array" ref="H78">Common_InputFunctions.Utility_DisplayArrayInTable(SourceData_Feedlot.SourceData_Feedlot_DietProperties_Data(), Table_SourceData_Feedlot_DietProperties[[#Headers],[Feedlot type]], 0)</f>
        <v>5</v>
      </c>
      <c r="I78" s="39" cm="1">
        <f t="array" ref="I78">Common_InputFunctions.Utility_DisplayArrayInTable(SourceData_Feedlot.SourceData_Feedlot_DietProperties_Data(), Table_SourceData_Feedlot_DietProperties[[#Headers],[Feedlot type]], 0)</f>
        <v>5.5</v>
      </c>
      <c r="J78" s="39" cm="1">
        <f t="array" ref="J78">Common_InputFunctions.Utility_DisplayArrayInTable(SourceData_Feedlot.SourceData_Feedlot_DietProperties_Data(), Table_SourceData_Feedlot_DietProperties[[#Headers],[Feedlot type]], 0)</f>
        <v>5.5</v>
      </c>
      <c r="M78" s="24"/>
    </row>
    <row r="79" spans="4:13" ht="20.100000000000001" customHeight="1" x14ac:dyDescent="0.25">
      <c r="M79" s="24"/>
    </row>
    <row r="80" spans="4:13" ht="20.100000000000001" customHeight="1" x14ac:dyDescent="0.25">
      <c r="M80" s="24"/>
    </row>
    <row r="81" spans="4:14" ht="20.100000000000001" customHeight="1" x14ac:dyDescent="0.25">
      <c r="D81" s="6" t="str" cm="1">
        <f t="array" ref="D81">SourceData_Feedlot.SourceData_Feedlot_MCF_Title()</f>
        <v>Feedlot - MCFs</v>
      </c>
      <c r="M81" s="1"/>
    </row>
    <row r="82" spans="4:14" ht="20.100000000000001" customHeight="1" x14ac:dyDescent="0.25">
      <c r="D82" s="5" t="str" cm="1">
        <f t="array" ref="D82">SourceData_Feedlot.SourceData_Feedlot_MCF_Source()</f>
        <v>VEERG 2026: Table A.1.1.4: Beef feedlot cattle - MCFs (fraction) (MCFimT)</v>
      </c>
      <c r="M82" s="1"/>
    </row>
    <row r="83" spans="4:14" ht="20.100000000000001" customHeight="1" x14ac:dyDescent="0.25">
      <c r="D83" s="58" t="str" cm="1">
        <f t="array" ref="D83:D86">SourceData_Feedlot.SourceData_Feedlot_MCF_Variation()</f>
        <v>VARIATION ON SOURCE:</v>
      </c>
      <c r="M83" s="1"/>
    </row>
    <row r="84" spans="4:14" ht="20.100000000000001" customHeight="1" x14ac:dyDescent="0.25">
      <c r="D84" s="58" t="str">
        <v>Duplicated NSW values for ACT</v>
      </c>
      <c r="M84" s="1"/>
    </row>
    <row r="85" spans="4:14" ht="20.100000000000001" customHeight="1" x14ac:dyDescent="0.25">
      <c r="D85" s="58" t="str">
        <v>Added NT and TAS columns with 'no data' values</v>
      </c>
      <c r="M85" s="1"/>
    </row>
    <row r="86" spans="4:14" ht="20.100000000000001" customHeight="1" x14ac:dyDescent="0.25">
      <c r="D86" s="58" t="str">
        <v>Added 'NIR definition' column with MMS names that match NIR definitions.</v>
      </c>
      <c r="M86" s="1"/>
    </row>
    <row r="87" spans="4:14" ht="20.100000000000001" customHeight="1" x14ac:dyDescent="0.25">
      <c r="M87" s="1"/>
    </row>
    <row r="88" spans="4:14" ht="20.100000000000001" customHeight="1" x14ac:dyDescent="0.25">
      <c r="D88" s="39" t="s">
        <v>113</v>
      </c>
      <c r="E88" s="39" t="s">
        <v>108</v>
      </c>
      <c r="F88" s="39" t="s">
        <v>84</v>
      </c>
      <c r="G88" s="39" t="s">
        <v>83</v>
      </c>
      <c r="H88" s="39" t="s">
        <v>86</v>
      </c>
      <c r="I88" s="39" t="s">
        <v>85</v>
      </c>
      <c r="J88" s="39" t="s">
        <v>87</v>
      </c>
      <c r="K88" s="39" t="s">
        <v>89</v>
      </c>
      <c r="L88" s="39" t="s">
        <v>90</v>
      </c>
      <c r="M88" s="39" t="s">
        <v>88</v>
      </c>
      <c r="N88" s="39" t="s">
        <v>100</v>
      </c>
    </row>
    <row r="89" spans="4:14" ht="20.100000000000001" customHeight="1" x14ac:dyDescent="0.25">
      <c r="D89" s="39" t="str" cm="1">
        <f t="array" ref="D89">Common_InputFunctions.Utility_DisplayArrayInTable(SourceData_Feedlot.SourceData_Feedlot_MCF_Data(), Table_SourceData_Feedlot_MCF[[#Headers],[Treatment stage T]], 0)</f>
        <v>Primary</v>
      </c>
      <c r="E89" s="39" t="str" cm="1">
        <f t="array" ref="E89">Common_InputFunctions.Utility_DisplayArrayInTable(SourceData_Feedlot.SourceData_Feedlot_MCF_Data(), Table_SourceData_Feedlot_MCF[[#Headers],[Treatment stage T]], 0)</f>
        <v>Dry lot (Feedpad)</v>
      </c>
      <c r="F89" s="39" cm="1">
        <f t="array" ref="F89">Common_InputFunctions.Utility_DisplayArrayInTable(SourceData_Feedlot.SourceData_Feedlot_MCF_Data(), Table_SourceData_Feedlot_MCF[[#Headers],[Treatment stage T]], 0)</f>
        <v>0.01</v>
      </c>
      <c r="G89" s="39" cm="1">
        <f t="array" ref="G89">Common_InputFunctions.Utility_DisplayArrayInTable(SourceData_Feedlot.SourceData_Feedlot_MCF_Data(), Table_SourceData_Feedlot_MCF[[#Headers],[Treatment stage T]], 0)</f>
        <v>0.01</v>
      </c>
      <c r="H89" s="39" cm="1">
        <f t="array" ref="H89">Common_InputFunctions.Utility_DisplayArrayInTable(SourceData_Feedlot.SourceData_Feedlot_MCF_Data(), Table_SourceData_Feedlot_MCF[[#Headers],[Treatment stage T]], 0)</f>
        <v>0.03</v>
      </c>
      <c r="I89" s="39" t="str" cm="1">
        <f t="array" ref="I89">Common_InputFunctions.Utility_DisplayArrayInTable(SourceData_Feedlot.SourceData_Feedlot_MCF_Data(), Table_SourceData_Feedlot_MCF[[#Headers],[Treatment stage T]], 0)</f>
        <v>No data</v>
      </c>
      <c r="J89" s="39" cm="1">
        <f t="array" ref="J89">Common_InputFunctions.Utility_DisplayArrayInTable(SourceData_Feedlot.SourceData_Feedlot_MCF_Data(), Table_SourceData_Feedlot_MCF[[#Headers],[Treatment stage T]], 0)</f>
        <v>0.01</v>
      </c>
      <c r="K89" s="39" cm="1">
        <f t="array" ref="K89">Common_InputFunctions.Utility_DisplayArrayInTable(SourceData_Feedlot.SourceData_Feedlot_MCF_Data(), Table_SourceData_Feedlot_MCF[[#Headers],[Treatment stage T]], 0)</f>
        <v>0.01</v>
      </c>
      <c r="L89" s="39" cm="1">
        <f t="array" ref="L89">Common_InputFunctions.Utility_DisplayArrayInTable(SourceData_Feedlot.SourceData_Feedlot_MCF_Data(), Table_SourceData_Feedlot_MCF[[#Headers],[Treatment stage T]], 0)</f>
        <v>0.01</v>
      </c>
      <c r="M89" s="39" t="str" cm="1">
        <f t="array" ref="M89">Common_InputFunctions.Utility_DisplayArrayInTable(SourceData_Feedlot.SourceData_Feedlot_MCF_Data(), Table_SourceData_Feedlot_MCF[[#Headers],[Treatment stage T]], 0)</f>
        <v>No data</v>
      </c>
      <c r="N89" s="39" t="str" cm="1">
        <f t="array" ref="N89">Common_InputFunctions.Utility_DisplayArrayInTable(SourceData_Feedlot.SourceData_Feedlot_MCF_Data(), Table_SourceData_Feedlot_MCF[[#Headers],[Treatment stage T]], 0)</f>
        <v>Drylot (feed pad)</v>
      </c>
    </row>
    <row r="90" spans="4:14" ht="20.100000000000001" customHeight="1" x14ac:dyDescent="0.25">
      <c r="D90" s="1" t="str" cm="1">
        <f t="array" ref="D90">Common_InputFunctions.Utility_DisplayArrayInTable(SourceData_Feedlot.SourceData_Feedlot_MCF_Data(), Table_SourceData_Feedlot_MCF[[#Headers],[Treatment stage T]], 0)</f>
        <v>Secondary</v>
      </c>
      <c r="E90" s="39" t="str" cm="1">
        <f t="array" ref="E90">Common_InputFunctions.Utility_DisplayArrayInTable(SourceData_Feedlot.SourceData_Feedlot_MCF_Data(), Table_SourceData_Feedlot_MCF[[#Headers],[Treatment stage T]], 0)</f>
        <v>Solid Storage (Stockpile)</v>
      </c>
      <c r="F90" s="39" cm="1">
        <f t="array" ref="F90">Common_InputFunctions.Utility_DisplayArrayInTable(SourceData_Feedlot.SourceData_Feedlot_MCF_Data(), Table_SourceData_Feedlot_MCF[[#Headers],[Treatment stage T]], 0)</f>
        <v>0.02</v>
      </c>
      <c r="G90" s="39" cm="1">
        <f t="array" ref="G90">Common_InputFunctions.Utility_DisplayArrayInTable(SourceData_Feedlot.SourceData_Feedlot_MCF_Data(), Table_SourceData_Feedlot_MCF[[#Headers],[Treatment stage T]], 0)</f>
        <v>0.02</v>
      </c>
      <c r="H90" s="39" cm="1">
        <f t="array" ref="H90">Common_InputFunctions.Utility_DisplayArrayInTable(SourceData_Feedlot.SourceData_Feedlot_MCF_Data(), Table_SourceData_Feedlot_MCF[[#Headers],[Treatment stage T]], 0)</f>
        <v>0.02</v>
      </c>
      <c r="I90" s="39" t="str" cm="1">
        <f t="array" ref="I90">Common_InputFunctions.Utility_DisplayArrayInTable(SourceData_Feedlot.SourceData_Feedlot_MCF_Data(), Table_SourceData_Feedlot_MCF[[#Headers],[Treatment stage T]], 0)</f>
        <v>No data</v>
      </c>
      <c r="J90" s="39" cm="1">
        <f t="array" ref="J90">Common_InputFunctions.Utility_DisplayArrayInTable(SourceData_Feedlot.SourceData_Feedlot_MCF_Data(), Table_SourceData_Feedlot_MCF[[#Headers],[Treatment stage T]], 0)</f>
        <v>0.02</v>
      </c>
      <c r="K90" s="39" cm="1">
        <f t="array" ref="K90">Common_InputFunctions.Utility_DisplayArrayInTable(SourceData_Feedlot.SourceData_Feedlot_MCF_Data(), Table_SourceData_Feedlot_MCF[[#Headers],[Treatment stage T]], 0)</f>
        <v>0.02</v>
      </c>
      <c r="L90" s="39" cm="1">
        <f t="array" ref="L90">Common_InputFunctions.Utility_DisplayArrayInTable(SourceData_Feedlot.SourceData_Feedlot_MCF_Data(), Table_SourceData_Feedlot_MCF[[#Headers],[Treatment stage T]], 0)</f>
        <v>0.02</v>
      </c>
      <c r="M90" s="39" t="str" cm="1">
        <f t="array" ref="M90">Common_InputFunctions.Utility_DisplayArrayInTable(SourceData_Feedlot.SourceData_Feedlot_MCF_Data(), Table_SourceData_Feedlot_MCF[[#Headers],[Treatment stage T]], 0)</f>
        <v>No data</v>
      </c>
      <c r="N90" s="39" t="str" cm="1">
        <f t="array" ref="N90">Common_InputFunctions.Utility_DisplayArrayInTable(SourceData_Feedlot.SourceData_Feedlot_MCF_Data(), Table_SourceData_Feedlot_MCF[[#Headers],[Treatment stage T]], 0)</f>
        <v>Solid storage</v>
      </c>
    </row>
    <row r="91" spans="4:14" ht="20.100000000000001" customHeight="1" x14ac:dyDescent="0.25">
      <c r="D91" s="1" t="str" cm="1">
        <f t="array" ref="D91">Common_InputFunctions.Utility_DisplayArrayInTable(SourceData_Feedlot.SourceData_Feedlot_MCF_Data(), Table_SourceData_Feedlot_MCF[[#Headers],[Treatment stage T]], 0)</f>
        <v>Secondary</v>
      </c>
      <c r="E91" s="39" t="str" cm="1">
        <f t="array" ref="E91">Common_InputFunctions.Utility_DisplayArrayInTable(SourceData_Feedlot.SourceData_Feedlot_MCF_Data(), Table_SourceData_Feedlot_MCF[[#Headers],[Treatment stage T]], 0)</f>
        <v>Composting (Passive Windrow)</v>
      </c>
      <c r="F91" s="39" cm="1">
        <f t="array" ref="F91">Common_InputFunctions.Utility_DisplayArrayInTable(SourceData_Feedlot.SourceData_Feedlot_MCF_Data(), Table_SourceData_Feedlot_MCF[[#Headers],[Treatment stage T]], 0)</f>
        <v>0.01</v>
      </c>
      <c r="G91" s="39" cm="1">
        <f t="array" ref="G91">Common_InputFunctions.Utility_DisplayArrayInTable(SourceData_Feedlot.SourceData_Feedlot_MCF_Data(), Table_SourceData_Feedlot_MCF[[#Headers],[Treatment stage T]], 0)</f>
        <v>0.01</v>
      </c>
      <c r="H91" s="39" cm="1">
        <f t="array" ref="H91">Common_InputFunctions.Utility_DisplayArrayInTable(SourceData_Feedlot.SourceData_Feedlot_MCF_Data(), Table_SourceData_Feedlot_MCF[[#Headers],[Treatment stage T]], 0)</f>
        <v>0.01</v>
      </c>
      <c r="I91" s="39" t="str" cm="1">
        <f t="array" ref="I91">Common_InputFunctions.Utility_DisplayArrayInTable(SourceData_Feedlot.SourceData_Feedlot_MCF_Data(), Table_SourceData_Feedlot_MCF[[#Headers],[Treatment stage T]], 0)</f>
        <v>No data</v>
      </c>
      <c r="J91" s="39" cm="1">
        <f t="array" ref="J91">Common_InputFunctions.Utility_DisplayArrayInTable(SourceData_Feedlot.SourceData_Feedlot_MCF_Data(), Table_SourceData_Feedlot_MCF[[#Headers],[Treatment stage T]], 0)</f>
        <v>0.01</v>
      </c>
      <c r="K91" s="39" cm="1">
        <f t="array" ref="K91">Common_InputFunctions.Utility_DisplayArrayInTable(SourceData_Feedlot.SourceData_Feedlot_MCF_Data(), Table_SourceData_Feedlot_MCF[[#Headers],[Treatment stage T]], 0)</f>
        <v>0.01</v>
      </c>
      <c r="L91" s="39" cm="1">
        <f t="array" ref="L91">Common_InputFunctions.Utility_DisplayArrayInTable(SourceData_Feedlot.SourceData_Feedlot_MCF_Data(), Table_SourceData_Feedlot_MCF[[#Headers],[Treatment stage T]], 0)</f>
        <v>0.01</v>
      </c>
      <c r="M91" s="39" t="str" cm="1">
        <f t="array" ref="M91">Common_InputFunctions.Utility_DisplayArrayInTable(SourceData_Feedlot.SourceData_Feedlot_MCF_Data(), Table_SourceData_Feedlot_MCF[[#Headers],[Treatment stage T]], 0)</f>
        <v>No data</v>
      </c>
      <c r="N91" s="39" t="str" cm="1">
        <f t="array" ref="N91">Common_InputFunctions.Utility_DisplayArrayInTable(SourceData_Feedlot.SourceData_Feedlot_MCF_Data(), Table_SourceData_Feedlot_MCF[[#Headers],[Treatment stage T]], 0)</f>
        <v>Composting (passive windrow)</v>
      </c>
    </row>
    <row r="92" spans="4:14" ht="20.100000000000001" customHeight="1" x14ac:dyDescent="0.25">
      <c r="D92" s="1" t="str" cm="1">
        <f t="array" ref="D92">Common_InputFunctions.Utility_DisplayArrayInTable(SourceData_Feedlot.SourceData_Feedlot_MCF_Data(), Table_SourceData_Feedlot_MCF[[#Headers],[Treatment stage T]], 0)</f>
        <v>Secondary</v>
      </c>
      <c r="E92" s="39" t="str" cm="1">
        <f t="array" ref="E92">Common_InputFunctions.Utility_DisplayArrayInTable(SourceData_Feedlot.SourceData_Feedlot_MCF_Data(), Table_SourceData_Feedlot_MCF[[#Headers],[Treatment stage T]], 0)</f>
        <v>Direct Application to soil</v>
      </c>
      <c r="F92" s="39" cm="1">
        <f t="array" ref="F92">Common_InputFunctions.Utility_DisplayArrayInTable(SourceData_Feedlot.SourceData_Feedlot_MCF_Data(), Table_SourceData_Feedlot_MCF[[#Headers],[Treatment stage T]], 0)</f>
        <v>0</v>
      </c>
      <c r="G92" s="39" cm="1">
        <f t="array" ref="G92">Common_InputFunctions.Utility_DisplayArrayInTable(SourceData_Feedlot.SourceData_Feedlot_MCF_Data(), Table_SourceData_Feedlot_MCF[[#Headers],[Treatment stage T]], 0)</f>
        <v>0</v>
      </c>
      <c r="H92" s="39" cm="1">
        <f t="array" ref="H92">Common_InputFunctions.Utility_DisplayArrayInTable(SourceData_Feedlot.SourceData_Feedlot_MCF_Data(), Table_SourceData_Feedlot_MCF[[#Headers],[Treatment stage T]], 0)</f>
        <v>0</v>
      </c>
      <c r="I92" s="39" t="str" cm="1">
        <f t="array" ref="I92">Common_InputFunctions.Utility_DisplayArrayInTable(SourceData_Feedlot.SourceData_Feedlot_MCF_Data(), Table_SourceData_Feedlot_MCF[[#Headers],[Treatment stage T]], 0)</f>
        <v>No data</v>
      </c>
      <c r="J92" s="39" cm="1">
        <f t="array" ref="J92">Common_InputFunctions.Utility_DisplayArrayInTable(SourceData_Feedlot.SourceData_Feedlot_MCF_Data(), Table_SourceData_Feedlot_MCF[[#Headers],[Treatment stage T]], 0)</f>
        <v>0</v>
      </c>
      <c r="K92" s="39" cm="1">
        <f t="array" ref="K92">Common_InputFunctions.Utility_DisplayArrayInTable(SourceData_Feedlot.SourceData_Feedlot_MCF_Data(), Table_SourceData_Feedlot_MCF[[#Headers],[Treatment stage T]], 0)</f>
        <v>0</v>
      </c>
      <c r="L92" s="39" cm="1">
        <f t="array" ref="L92">Common_InputFunctions.Utility_DisplayArrayInTable(SourceData_Feedlot.SourceData_Feedlot_MCF_Data(), Table_SourceData_Feedlot_MCF[[#Headers],[Treatment stage T]], 0)</f>
        <v>0</v>
      </c>
      <c r="M92" s="39" t="str" cm="1">
        <f t="array" ref="M92">Common_InputFunctions.Utility_DisplayArrayInTable(SourceData_Feedlot.SourceData_Feedlot_MCF_Data(), Table_SourceData_Feedlot_MCF[[#Headers],[Treatment stage T]], 0)</f>
        <v>No data</v>
      </c>
      <c r="N92" s="39" t="str" cm="1">
        <f t="array" ref="N92">Common_InputFunctions.Utility_DisplayArrayInTable(SourceData_Feedlot.SourceData_Feedlot_MCF_Data(), Table_SourceData_Feedlot_MCF[[#Headers],[Treatment stage T]], 0)</f>
        <v>Direct application</v>
      </c>
    </row>
    <row r="93" spans="4:14" ht="20.100000000000001" customHeight="1" x14ac:dyDescent="0.25">
      <c r="D93" s="1" t="str" cm="1">
        <f t="array" ref="D93">Common_InputFunctions.Utility_DisplayArrayInTable(SourceData_Feedlot.SourceData_Feedlot_MCF_Data(), Table_SourceData_Feedlot_MCF[[#Headers],[Treatment stage T]], 0)</f>
        <v>Tertiary</v>
      </c>
      <c r="E93" s="39" t="str" cm="1">
        <f t="array" ref="E93">Common_InputFunctions.Utility_DisplayArrayInTable(SourceData_Feedlot.SourceData_Feedlot_MCF_Data(), Table_SourceData_Feedlot_MCF[[#Headers],[Treatment stage T]], 0)</f>
        <v>Uncovered anaerobic lagoon (Effluent pond)</v>
      </c>
      <c r="F93" s="39" cm="1">
        <f t="array" ref="F93">Common_InputFunctions.Utility_DisplayArrayInTable(SourceData_Feedlot.SourceData_Feedlot_MCF_Data(), Table_SourceData_Feedlot_MCF[[#Headers],[Treatment stage T]], 0)</f>
        <v>0.75</v>
      </c>
      <c r="G93" s="39" cm="1">
        <f t="array" ref="G93">Common_InputFunctions.Utility_DisplayArrayInTable(SourceData_Feedlot.SourceData_Feedlot_MCF_Data(), Table_SourceData_Feedlot_MCF[[#Headers],[Treatment stage T]], 0)</f>
        <v>0.75</v>
      </c>
      <c r="H93" s="39" cm="1">
        <f t="array" ref="H93">Common_InputFunctions.Utility_DisplayArrayInTable(SourceData_Feedlot.SourceData_Feedlot_MCF_Data(), Table_SourceData_Feedlot_MCF[[#Headers],[Treatment stage T]], 0)</f>
        <v>0.77</v>
      </c>
      <c r="I93" s="39" t="str" cm="1">
        <f t="array" ref="I93">Common_InputFunctions.Utility_DisplayArrayInTable(SourceData_Feedlot.SourceData_Feedlot_MCF_Data(), Table_SourceData_Feedlot_MCF[[#Headers],[Treatment stage T]], 0)</f>
        <v>No data</v>
      </c>
      <c r="J93" s="39" cm="1">
        <f t="array" ref="J93">Common_InputFunctions.Utility_DisplayArrayInTable(SourceData_Feedlot.SourceData_Feedlot_MCF_Data(), Table_SourceData_Feedlot_MCF[[#Headers],[Treatment stage T]], 0)</f>
        <v>0.75</v>
      </c>
      <c r="K93" s="39" cm="1">
        <f t="array" ref="K93">Common_InputFunctions.Utility_DisplayArrayInTable(SourceData_Feedlot.SourceData_Feedlot_MCF_Data(), Table_SourceData_Feedlot_MCF[[#Headers],[Treatment stage T]], 0)</f>
        <v>0.75</v>
      </c>
      <c r="L93" s="39" cm="1">
        <f t="array" ref="L93">Common_InputFunctions.Utility_DisplayArrayInTable(SourceData_Feedlot.SourceData_Feedlot_MCF_Data(), Table_SourceData_Feedlot_MCF[[#Headers],[Treatment stage T]], 0)</f>
        <v>0.77</v>
      </c>
      <c r="M93" s="39" t="str" cm="1">
        <f t="array" ref="M93">Common_InputFunctions.Utility_DisplayArrayInTable(SourceData_Feedlot.SourceData_Feedlot_MCF_Data(), Table_SourceData_Feedlot_MCF[[#Headers],[Treatment stage T]], 0)</f>
        <v>No data</v>
      </c>
      <c r="N93" s="39" t="str" cm="1">
        <f t="array" ref="N93">Common_InputFunctions.Utility_DisplayArrayInTable(SourceData_Feedlot.SourceData_Feedlot_MCF_Data(), Table_SourceData_Feedlot_MCF[[#Headers],[Treatment stage T]], 0)</f>
        <v>Anaerobic lagoon</v>
      </c>
    </row>
    <row r="94" spans="4:14" ht="20.100000000000001" customHeight="1" x14ac:dyDescent="0.25">
      <c r="M94" s="24"/>
    </row>
    <row r="95" spans="4:14" ht="20.100000000000001" customHeight="1" x14ac:dyDescent="0.25">
      <c r="M95" s="24"/>
    </row>
    <row r="96" spans="4:14" ht="20.100000000000001" customHeight="1" x14ac:dyDescent="0.25">
      <c r="D96" s="6" t="str" cm="1">
        <f t="array" ref="D96">SourceData_Feedlot.SourceData_Feedlot_NitrousOxideEFs_Title()</f>
        <v>Feedlot - Nitrous oxide EFs</v>
      </c>
      <c r="M96" s="24"/>
    </row>
    <row r="97" spans="4:14" ht="20.100000000000001" customHeight="1" x14ac:dyDescent="0.25">
      <c r="D97" s="5" t="str" cm="1">
        <f t="array" ref="D97">SourceData_Feedlot.SourceData_Feedlot_NitrousOxideEFs_Source()</f>
        <v>VEERG 2026: Table A.1.1.5: Beef feedlot cattle - Nitrous oxide EFs (EFmT)</v>
      </c>
      <c r="M97" s="24"/>
    </row>
    <row r="98" spans="4:14" ht="20.100000000000001" customHeight="1" x14ac:dyDescent="0.25">
      <c r="D98" s="58" t="str" cm="1">
        <f t="array" ref="D98:D99">SourceData_Feedlot.SourceData_Feedlot_NitrousOxideEFs_Variation()</f>
        <v>VARIATION ON SOURCE:</v>
      </c>
      <c r="M98" s="24"/>
    </row>
    <row r="99" spans="4:14" ht="20.100000000000001" customHeight="1" x14ac:dyDescent="0.25">
      <c r="D99" s="58" t="str">
        <v>Added 'NIR definition' column with MMS names that match NIR definitions.</v>
      </c>
      <c r="M99" s="24"/>
    </row>
    <row r="100" spans="4:14" ht="20.100000000000001" customHeight="1" x14ac:dyDescent="0.25">
      <c r="D100" s="39" t="s">
        <v>113</v>
      </c>
      <c r="E100" s="39" t="s">
        <v>108</v>
      </c>
      <c r="F100" s="39" t="s">
        <v>156</v>
      </c>
      <c r="G100" s="39" t="s">
        <v>100</v>
      </c>
      <c r="M100" s="1"/>
      <c r="N100" s="24"/>
    </row>
    <row r="101" spans="4:14" ht="20.100000000000001" customHeight="1" x14ac:dyDescent="0.25">
      <c r="D101" s="39" t="str" cm="1">
        <f t="array" ref="D101">Common_InputFunctions.Utility_DisplayArrayInTable(SourceData_Feedlot.SourceData_Feedlot_NitrousOxideEFs_Data(), Table_SourceData_Feedlot_NO2EFs[[#Headers],[Treatment stage T]], 0)</f>
        <v>Primary</v>
      </c>
      <c r="E101" s="39" t="str" cm="1">
        <f t="array" ref="E101">Common_InputFunctions.Utility_DisplayArrayInTable(SourceData_Feedlot.SourceData_Feedlot_NitrousOxideEFs_Data(), Table_SourceData_Feedlot_NO2EFs[[#Headers],[Treatment stage T]], 0)</f>
        <v>Dry lot (Feedpad)</v>
      </c>
      <c r="F101" s="39" cm="1">
        <f t="array" ref="F101">Common_InputFunctions.Utility_DisplayArrayInTable(SourceData_Feedlot.SourceData_Feedlot_NitrousOxideEFs_Data(), Table_SourceData_Feedlot_NO2EFs[[#Headers],[Treatment stage T]], 0)</f>
        <v>5.4000000000000003E-3</v>
      </c>
      <c r="G101" s="39" t="str" cm="1">
        <f t="array" ref="G101">Common_InputFunctions.Utility_DisplayArrayInTable(SourceData_Feedlot.SourceData_Feedlot_NitrousOxideEFs_Data(), Table_SourceData_Feedlot_NO2EFs[[#Headers],[Treatment stage T]], 0)</f>
        <v>Drylot (feed pad)</v>
      </c>
      <c r="M101" s="1"/>
      <c r="N101" s="24"/>
    </row>
    <row r="102" spans="4:14" ht="20.100000000000001" customHeight="1" x14ac:dyDescent="0.25">
      <c r="D102" s="1" t="str" cm="1">
        <f t="array" ref="D102">Common_InputFunctions.Utility_DisplayArrayInTable(SourceData_Feedlot.SourceData_Feedlot_NitrousOxideEFs_Data(), Table_SourceData_Feedlot_NO2EFs[[#Headers],[Treatment stage T]], 0)</f>
        <v>Secondary</v>
      </c>
      <c r="E102" s="39" t="str" cm="1">
        <f t="array" ref="E102">Common_InputFunctions.Utility_DisplayArrayInTable(SourceData_Feedlot.SourceData_Feedlot_NitrousOxideEFs_Data(), Table_SourceData_Feedlot_NO2EFs[[#Headers],[Treatment stage T]], 0)</f>
        <v>Solid Storage (Stockpile)</v>
      </c>
      <c r="F102" s="39" cm="1">
        <f t="array" ref="F102">Common_InputFunctions.Utility_DisplayArrayInTable(SourceData_Feedlot.SourceData_Feedlot_NitrousOxideEFs_Data(), Table_SourceData_Feedlot_NO2EFs[[#Headers],[Treatment stage T]], 0)</f>
        <v>5.0000000000000001E-3</v>
      </c>
      <c r="G102" s="39" t="str" cm="1">
        <f t="array" ref="G102">Common_InputFunctions.Utility_DisplayArrayInTable(SourceData_Feedlot.SourceData_Feedlot_NitrousOxideEFs_Data(), Table_SourceData_Feedlot_NO2EFs[[#Headers],[Treatment stage T]], 0)</f>
        <v>Solid storage</v>
      </c>
      <c r="M102" s="1"/>
      <c r="N102" s="24"/>
    </row>
    <row r="103" spans="4:14" ht="20.100000000000001" customHeight="1" x14ac:dyDescent="0.25">
      <c r="D103" s="1" t="str" cm="1">
        <f t="array" ref="D103">Common_InputFunctions.Utility_DisplayArrayInTable(SourceData_Feedlot.SourceData_Feedlot_NitrousOxideEFs_Data(), Table_SourceData_Feedlot_NO2EFs[[#Headers],[Treatment stage T]], 0)</f>
        <v>Secondary</v>
      </c>
      <c r="E103" s="39" t="str" cm="1">
        <f t="array" ref="E103">Common_InputFunctions.Utility_DisplayArrayInTable(SourceData_Feedlot.SourceData_Feedlot_NitrousOxideEFs_Data(), Table_SourceData_Feedlot_NO2EFs[[#Headers],[Treatment stage T]], 0)</f>
        <v>Composting (Passive Windrow)</v>
      </c>
      <c r="F103" s="39" cm="1">
        <f t="array" ref="F103">Common_InputFunctions.Utility_DisplayArrayInTable(SourceData_Feedlot.SourceData_Feedlot_NitrousOxideEFs_Data(), Table_SourceData_Feedlot_NO2EFs[[#Headers],[Treatment stage T]], 0)</f>
        <v>0.01</v>
      </c>
      <c r="G103" s="39" t="str" cm="1">
        <f t="array" ref="G103">Common_InputFunctions.Utility_DisplayArrayInTable(SourceData_Feedlot.SourceData_Feedlot_NitrousOxideEFs_Data(), Table_SourceData_Feedlot_NO2EFs[[#Headers],[Treatment stage T]], 0)</f>
        <v>Composting (passive windrow)</v>
      </c>
      <c r="M103" s="24"/>
    </row>
    <row r="104" spans="4:14" ht="20.100000000000001" customHeight="1" x14ac:dyDescent="0.25">
      <c r="D104" s="1" t="str" cm="1">
        <f t="array" ref="D104">Common_InputFunctions.Utility_DisplayArrayInTable(SourceData_Feedlot.SourceData_Feedlot_NitrousOxideEFs_Data(), Table_SourceData_Feedlot_NO2EFs[[#Headers],[Treatment stage T]], 0)</f>
        <v>Secondary</v>
      </c>
      <c r="E104" s="39" t="str" cm="1">
        <f t="array" ref="E104">Common_InputFunctions.Utility_DisplayArrayInTable(SourceData_Feedlot.SourceData_Feedlot_NitrousOxideEFs_Data(), Table_SourceData_Feedlot_NO2EFs[[#Headers],[Treatment stage T]], 0)</f>
        <v>Direct Application to soil</v>
      </c>
      <c r="F104" s="39" cm="1">
        <f t="array" ref="F104">Common_InputFunctions.Utility_DisplayArrayInTable(SourceData_Feedlot.SourceData_Feedlot_NitrousOxideEFs_Data(), Table_SourceData_Feedlot_NO2EFs[[#Headers],[Treatment stage T]], 0)</f>
        <v>0</v>
      </c>
      <c r="G104" s="39" t="str" cm="1">
        <f t="array" ref="G104">Common_InputFunctions.Utility_DisplayArrayInTable(SourceData_Feedlot.SourceData_Feedlot_NitrousOxideEFs_Data(), Table_SourceData_Feedlot_NO2EFs[[#Headers],[Treatment stage T]], 0)</f>
        <v>Direct application</v>
      </c>
      <c r="M104" s="24"/>
    </row>
    <row r="105" spans="4:14" ht="20.100000000000001" customHeight="1" x14ac:dyDescent="0.25">
      <c r="D105" s="1" t="str" cm="1">
        <f t="array" ref="D105">Common_InputFunctions.Utility_DisplayArrayInTable(SourceData_Feedlot.SourceData_Feedlot_NitrousOxideEFs_Data(), Table_SourceData_Feedlot_NO2EFs[[#Headers],[Treatment stage T]], 0)</f>
        <v>Tertiary</v>
      </c>
      <c r="E105" s="39" t="str" cm="1">
        <f t="array" ref="E105">Common_InputFunctions.Utility_DisplayArrayInTable(SourceData_Feedlot.SourceData_Feedlot_NitrousOxideEFs_Data(), Table_SourceData_Feedlot_NO2EFs[[#Headers],[Treatment stage T]], 0)</f>
        <v>Uncovered anaerobic lagoon (Effluent Pond)</v>
      </c>
      <c r="F105" s="39" cm="1">
        <f t="array" ref="F105">Common_InputFunctions.Utility_DisplayArrayInTable(SourceData_Feedlot.SourceData_Feedlot_NitrousOxideEFs_Data(), Table_SourceData_Feedlot_NO2EFs[[#Headers],[Treatment stage T]], 0)</f>
        <v>0</v>
      </c>
      <c r="G105" s="39" t="str" cm="1">
        <f t="array" ref="G105">Common_InputFunctions.Utility_DisplayArrayInTable(SourceData_Feedlot.SourceData_Feedlot_NitrousOxideEFs_Data(), Table_SourceData_Feedlot_NO2EFs[[#Headers],[Treatment stage T]], 0)</f>
        <v>Anaerobic lagoon</v>
      </c>
      <c r="M105" s="24"/>
    </row>
    <row r="106" spans="4:14" ht="20.100000000000001" customHeight="1" x14ac:dyDescent="0.25">
      <c r="M106" s="24"/>
    </row>
    <row r="107" spans="4:14" ht="20.100000000000001" customHeight="1" x14ac:dyDescent="0.25">
      <c r="M107" s="24"/>
    </row>
    <row r="108" spans="4:14" ht="20.100000000000001" customHeight="1" x14ac:dyDescent="0.25">
      <c r="D108" s="6" t="str" cm="1">
        <f t="array" ref="D108">SourceData_Feedlot.SourceData_Feedlot_FracNVolatilised_Title()</f>
        <v>Feedlot - Fraction of N volatilised by MMS (FracGASMmT)</v>
      </c>
      <c r="M108" s="24"/>
    </row>
    <row r="109" spans="4:14" ht="20.100000000000001" customHeight="1" x14ac:dyDescent="0.25">
      <c r="D109" s="5" t="str" cm="1">
        <f t="array" ref="D109">SourceData_Feedlot.SourceData_Feedlot_FracNVolatilised_Source()</f>
        <v>VEERG 2026: Table A.1.1.6: Beef feedlot cattle - Fraction of N volatilised by MMS (FracGASMmT)</v>
      </c>
      <c r="M109" s="24"/>
    </row>
    <row r="110" spans="4:14" ht="20.100000000000001" customHeight="1" x14ac:dyDescent="0.25">
      <c r="D110" s="58" t="str" cm="1">
        <f t="array" ref="D110:D111">SourceData_Feedlot.SourceData_Feedlot_FracNVolatilised_Variation()</f>
        <v>VARIATION ON SOURCE:</v>
      </c>
      <c r="M110" s="24"/>
    </row>
    <row r="111" spans="4:14" ht="20.100000000000001" customHeight="1" x14ac:dyDescent="0.25">
      <c r="D111" s="58" t="str">
        <v>Added 'NIR definition' column with MMS names that match NIR definitions.</v>
      </c>
      <c r="M111" s="24"/>
    </row>
    <row r="112" spans="4:14" ht="20.100000000000001" customHeight="1" x14ac:dyDescent="0.25">
      <c r="D112" s="116" t="s">
        <v>113</v>
      </c>
      <c r="E112" s="116" t="s">
        <v>108</v>
      </c>
      <c r="F112" s="116" t="s">
        <v>157</v>
      </c>
      <c r="G112" s="116" t="s">
        <v>100</v>
      </c>
      <c r="M112" s="24"/>
    </row>
    <row r="113" spans="4:22" ht="20.100000000000001" customHeight="1" x14ac:dyDescent="0.25">
      <c r="D113" s="1" t="str" cm="1">
        <f t="array" ref="D113">Common_InputFunctions.Utility_DisplayArrayInTable(SourceData_Feedlot.SourceData_Feedlot_FracNVolatilised_Data(), Table_SourceData_Feedlot_FracGASMmT[[#Headers],[Treatment stage T]], 0)</f>
        <v>Primary</v>
      </c>
      <c r="E113" s="1" t="str" cm="1">
        <f t="array" ref="E113">Common_InputFunctions.Utility_DisplayArrayInTable(SourceData_Feedlot.SourceData_Feedlot_FracNVolatilised_Data(), Table_SourceData_Feedlot_FracGASMmT[[#Headers],[Treatment stage T]], 0)</f>
        <v>Dry lot (Feedpad)</v>
      </c>
      <c r="F113" s="1" cm="1">
        <f t="array" ref="F113">Common_InputFunctions.Utility_DisplayArrayInTable(SourceData_Feedlot.SourceData_Feedlot_FracNVolatilised_Data(), Table_SourceData_Feedlot_FracGASMmT[[#Headers],[Treatment stage T]], 0)</f>
        <v>0.6</v>
      </c>
      <c r="G113" s="1" t="str" cm="1">
        <f t="array" ref="G113">Common_InputFunctions.Utility_DisplayArrayInTable(SourceData_Feedlot.SourceData_Feedlot_FracNVolatilised_Data(), Table_SourceData_Feedlot_FracGASMmT[[#Headers],[Treatment stage T]], 0)</f>
        <v>Drylot (feed pad)</v>
      </c>
      <c r="M113" s="24"/>
    </row>
    <row r="114" spans="4:22" ht="20.100000000000001" customHeight="1" x14ac:dyDescent="0.25">
      <c r="D114" s="1" t="str" cm="1">
        <f t="array" ref="D114">Common_InputFunctions.Utility_DisplayArrayInTable(SourceData_Feedlot.SourceData_Feedlot_FracNVolatilised_Data(), Table_SourceData_Feedlot_FracGASMmT[[#Headers],[Treatment stage T]], 0)</f>
        <v>Secondary</v>
      </c>
      <c r="E114" s="1" t="str" cm="1">
        <f t="array" ref="E114">Common_InputFunctions.Utility_DisplayArrayInTable(SourceData_Feedlot.SourceData_Feedlot_FracNVolatilised_Data(), Table_SourceData_Feedlot_FracGASMmT[[#Headers],[Treatment stage T]], 0)</f>
        <v>Solid Storage (Stockpile)</v>
      </c>
      <c r="F114" s="1" cm="1">
        <f t="array" ref="F114">Common_InputFunctions.Utility_DisplayArrayInTable(SourceData_Feedlot.SourceData_Feedlot_FracNVolatilised_Data(), Table_SourceData_Feedlot_FracGASMmT[[#Headers],[Treatment stage T]], 0)</f>
        <v>0.25</v>
      </c>
      <c r="G114" s="1" t="str" cm="1">
        <f t="array" ref="G114">Common_InputFunctions.Utility_DisplayArrayInTable(SourceData_Feedlot.SourceData_Feedlot_FracNVolatilised_Data(), Table_SourceData_Feedlot_FracGASMmT[[#Headers],[Treatment stage T]], 0)</f>
        <v>Solid storage</v>
      </c>
      <c r="M114" s="24"/>
    </row>
    <row r="115" spans="4:22" ht="20.100000000000001" customHeight="1" x14ac:dyDescent="0.25">
      <c r="D115" s="1" t="str" cm="1">
        <f t="array" ref="D115">Common_InputFunctions.Utility_DisplayArrayInTable(SourceData_Feedlot.SourceData_Feedlot_FracNVolatilised_Data(), Table_SourceData_Feedlot_FracGASMmT[[#Headers],[Treatment stage T]], 0)</f>
        <v>Secondary</v>
      </c>
      <c r="E115" s="1" t="str" cm="1">
        <f t="array" ref="E115">Common_InputFunctions.Utility_DisplayArrayInTable(SourceData_Feedlot.SourceData_Feedlot_FracNVolatilised_Data(), Table_SourceData_Feedlot_FracGASMmT[[#Headers],[Treatment stage T]], 0)</f>
        <v>Composting (Passive Windrow)</v>
      </c>
      <c r="F115" s="1" cm="1">
        <f t="array" ref="F115">Common_InputFunctions.Utility_DisplayArrayInTable(SourceData_Feedlot.SourceData_Feedlot_FracNVolatilised_Data(), Table_SourceData_Feedlot_FracGASMmT[[#Headers],[Treatment stage T]], 0)</f>
        <v>0.4</v>
      </c>
      <c r="G115" s="1" t="str" cm="1">
        <f t="array" ref="G115">Common_InputFunctions.Utility_DisplayArrayInTable(SourceData_Feedlot.SourceData_Feedlot_FracNVolatilised_Data(), Table_SourceData_Feedlot_FracGASMmT[[#Headers],[Treatment stage T]], 0)</f>
        <v>Composting (passive windrow)</v>
      </c>
      <c r="M115" s="24"/>
      <c r="V115" s="1"/>
    </row>
    <row r="116" spans="4:22" ht="20.100000000000001" customHeight="1" x14ac:dyDescent="0.25">
      <c r="D116" s="1" t="str" cm="1">
        <f t="array" ref="D116">Common_InputFunctions.Utility_DisplayArrayInTable(SourceData_Feedlot.SourceData_Feedlot_FracNVolatilised_Data(), Table_SourceData_Feedlot_FracGASMmT[[#Headers],[Treatment stage T]], 0)</f>
        <v>Secondary</v>
      </c>
      <c r="E116" s="1" t="str" cm="1">
        <f t="array" ref="E116">Common_InputFunctions.Utility_DisplayArrayInTable(SourceData_Feedlot.SourceData_Feedlot_FracNVolatilised_Data(), Table_SourceData_Feedlot_FracGASMmT[[#Headers],[Treatment stage T]], 0)</f>
        <v>Direct Application to soil</v>
      </c>
      <c r="F116" s="1" cm="1">
        <f t="array" ref="F116">Common_InputFunctions.Utility_DisplayArrayInTable(SourceData_Feedlot.SourceData_Feedlot_FracNVolatilised_Data(), Table_SourceData_Feedlot_FracGASMmT[[#Headers],[Treatment stage T]], 0)</f>
        <v>0</v>
      </c>
      <c r="G116" s="1" t="str" cm="1">
        <f t="array" ref="G116">Common_InputFunctions.Utility_DisplayArrayInTable(SourceData_Feedlot.SourceData_Feedlot_FracNVolatilised_Data(), Table_SourceData_Feedlot_FracGASMmT[[#Headers],[Treatment stage T]], 0)</f>
        <v>Direct application</v>
      </c>
      <c r="M116" s="24"/>
      <c r="V116" s="1"/>
    </row>
    <row r="117" spans="4:22" ht="20.100000000000001" customHeight="1" x14ac:dyDescent="0.25">
      <c r="D117" s="1" t="str" cm="1">
        <f t="array" ref="D117">Common_InputFunctions.Utility_DisplayArrayInTable(SourceData_Feedlot.SourceData_Feedlot_FracNVolatilised_Data(), Table_SourceData_Feedlot_FracGASMmT[[#Headers],[Treatment stage T]], 0)</f>
        <v>Tertiary</v>
      </c>
      <c r="E117" s="1" t="str" cm="1">
        <f t="array" ref="E117">Common_InputFunctions.Utility_DisplayArrayInTable(SourceData_Feedlot.SourceData_Feedlot_FracNVolatilised_Data(), Table_SourceData_Feedlot_FracGASMmT[[#Headers],[Treatment stage T]], 0)</f>
        <v>Uncovered anaerobic lagoon (Effluent pond)</v>
      </c>
      <c r="F117" s="1" cm="1">
        <f t="array" ref="F117">Common_InputFunctions.Utility_DisplayArrayInTable(SourceData_Feedlot.SourceData_Feedlot_FracNVolatilised_Data(), Table_SourceData_Feedlot_FracGASMmT[[#Headers],[Treatment stage T]], 0)</f>
        <v>0.35</v>
      </c>
      <c r="G117" s="1" t="str" cm="1">
        <f t="array" ref="G117">Common_InputFunctions.Utility_DisplayArrayInTable(SourceData_Feedlot.SourceData_Feedlot_FracNVolatilised_Data(), Table_SourceData_Feedlot_FracGASMmT[[#Headers],[Treatment stage T]], 0)</f>
        <v>Anaerobic lagoon</v>
      </c>
      <c r="M117" s="24"/>
      <c r="V117" s="1"/>
    </row>
    <row r="118" spans="4:22" ht="20.100000000000001" customHeight="1" x14ac:dyDescent="0.25">
      <c r="M118" s="24"/>
    </row>
    <row r="119" spans="4:22" ht="20.100000000000001" customHeight="1" x14ac:dyDescent="0.25">
      <c r="M119" s="24"/>
    </row>
    <row r="120" spans="4:22" ht="20.100000000000001" customHeight="1" x14ac:dyDescent="0.25">
      <c r="M120" s="24"/>
    </row>
    <row r="121" spans="4:22" ht="20.100000000000001" customHeight="1" x14ac:dyDescent="0.25">
      <c r="M121" s="24"/>
    </row>
    <row r="122" spans="4:22" ht="20.100000000000001" customHeight="1" x14ac:dyDescent="0.25">
      <c r="M122" s="24"/>
    </row>
    <row r="123" spans="4:22" ht="20.100000000000001" customHeight="1" x14ac:dyDescent="0.25">
      <c r="M123" s="24"/>
    </row>
    <row r="124" spans="4:22" ht="20.100000000000001" customHeight="1" x14ac:dyDescent="0.25">
      <c r="M124" s="24"/>
    </row>
    <row r="125" spans="4:22" ht="20.100000000000001" customHeight="1" x14ac:dyDescent="0.25">
      <c r="M125" s="24"/>
    </row>
    <row r="126" spans="4:22" ht="20.100000000000001" customHeight="1" x14ac:dyDescent="0.25">
      <c r="M126" s="24"/>
    </row>
    <row r="127" spans="4:22" ht="20.100000000000001" customHeight="1" x14ac:dyDescent="0.25">
      <c r="M127" s="24"/>
    </row>
    <row r="128" spans="4:22" ht="20.100000000000001" customHeight="1" x14ac:dyDescent="0.25">
      <c r="M128" s="24"/>
    </row>
    <row r="129" spans="13:13" ht="20.100000000000001" customHeight="1" x14ac:dyDescent="0.25">
      <c r="M129" s="24"/>
    </row>
    <row r="130" spans="13:13" ht="20.100000000000001" customHeight="1" x14ac:dyDescent="0.25">
      <c r="M130" s="24"/>
    </row>
    <row r="131" spans="13:13" ht="20.100000000000001" customHeight="1" x14ac:dyDescent="0.25">
      <c r="M131" s="24"/>
    </row>
    <row r="132" spans="13:13" ht="20.100000000000001" customHeight="1" x14ac:dyDescent="0.25">
      <c r="M132" s="24"/>
    </row>
    <row r="133" spans="13:13" ht="20.100000000000001" customHeight="1" x14ac:dyDescent="0.25">
      <c r="M133" s="24"/>
    </row>
    <row r="134" spans="13:13" ht="20.100000000000001" customHeight="1" x14ac:dyDescent="0.25">
      <c r="M134" s="24"/>
    </row>
    <row r="135" spans="13:13" ht="20.100000000000001" customHeight="1" x14ac:dyDescent="0.25">
      <c r="M135" s="24"/>
    </row>
    <row r="136" spans="13:13" ht="20.100000000000001" customHeight="1" x14ac:dyDescent="0.25">
      <c r="M136" s="24"/>
    </row>
    <row r="137" spans="13:13" ht="20.100000000000001" customHeight="1" x14ac:dyDescent="0.25">
      <c r="M137" s="24"/>
    </row>
    <row r="138" spans="13:13" ht="20.100000000000001" customHeight="1" x14ac:dyDescent="0.25">
      <c r="M138" s="24"/>
    </row>
    <row r="139" spans="13:13" ht="20.100000000000001" customHeight="1" x14ac:dyDescent="0.25">
      <c r="M139" s="24"/>
    </row>
    <row r="140" spans="13:13" ht="20.100000000000001" customHeight="1" x14ac:dyDescent="0.25">
      <c r="M140" s="24"/>
    </row>
    <row r="141" spans="13:13" ht="20.100000000000001" customHeight="1" x14ac:dyDescent="0.25">
      <c r="M141" s="24"/>
    </row>
    <row r="142" spans="13:13" ht="20.100000000000001" customHeight="1" x14ac:dyDescent="0.25">
      <c r="M142" s="24"/>
    </row>
    <row r="143" spans="13:13" ht="20.100000000000001" customHeight="1" x14ac:dyDescent="0.25">
      <c r="M143" s="24"/>
    </row>
    <row r="144" spans="13:13" ht="20.100000000000001" customHeight="1" x14ac:dyDescent="0.25">
      <c r="M144" s="24"/>
    </row>
    <row r="145" spans="13:13" ht="20.100000000000001" customHeight="1" x14ac:dyDescent="0.25">
      <c r="M145" s="24"/>
    </row>
    <row r="146" spans="13:13" ht="20.100000000000001" customHeight="1" x14ac:dyDescent="0.25">
      <c r="M146" s="24"/>
    </row>
    <row r="147" spans="13:13" ht="20.100000000000001" customHeight="1" x14ac:dyDescent="0.25">
      <c r="M147" s="24"/>
    </row>
    <row r="148" spans="13:13" ht="20.100000000000001" customHeight="1" x14ac:dyDescent="0.25">
      <c r="M148" s="24"/>
    </row>
    <row r="149" spans="13:13" ht="20.100000000000001" customHeight="1" x14ac:dyDescent="0.25">
      <c r="M149" s="24"/>
    </row>
    <row r="150" spans="13:13" ht="20.100000000000001" customHeight="1" x14ac:dyDescent="0.25">
      <c r="M150" s="24"/>
    </row>
    <row r="151" spans="13:13" ht="20.100000000000001" customHeight="1" x14ac:dyDescent="0.25">
      <c r="M151" s="24"/>
    </row>
    <row r="152" spans="13:13" ht="20.100000000000001" customHeight="1" x14ac:dyDescent="0.25">
      <c r="M152" s="24"/>
    </row>
    <row r="153" spans="13:13" ht="20.100000000000001" customHeight="1" x14ac:dyDescent="0.25">
      <c r="M153" s="24"/>
    </row>
    <row r="154" spans="13:13" ht="20.100000000000001" customHeight="1" x14ac:dyDescent="0.25">
      <c r="M154" s="24"/>
    </row>
    <row r="155" spans="13:13" ht="20.100000000000001" customHeight="1" x14ac:dyDescent="0.25">
      <c r="M155" s="24"/>
    </row>
    <row r="156" spans="13:13" ht="20.100000000000001" customHeight="1" x14ac:dyDescent="0.25">
      <c r="M156" s="24"/>
    </row>
    <row r="157" spans="13:13" ht="20.100000000000001" customHeight="1" x14ac:dyDescent="0.25">
      <c r="M157" s="24"/>
    </row>
    <row r="158" spans="13:13" ht="20.100000000000001" customHeight="1" x14ac:dyDescent="0.25">
      <c r="M158" s="24"/>
    </row>
    <row r="159" spans="13:13" ht="20.100000000000001" customHeight="1" x14ac:dyDescent="0.25">
      <c r="M159" s="24"/>
    </row>
    <row r="160" spans="13:13" ht="20.100000000000001" customHeight="1" x14ac:dyDescent="0.25">
      <c r="M160" s="24"/>
    </row>
    <row r="161" spans="13:13" ht="20.100000000000001" customHeight="1" x14ac:dyDescent="0.25">
      <c r="M161" s="24"/>
    </row>
    <row r="162" spans="13:13" ht="20.100000000000001" customHeight="1" x14ac:dyDescent="0.25">
      <c r="M162" s="24"/>
    </row>
    <row r="163" spans="13:13" ht="20.100000000000001" customHeight="1" x14ac:dyDescent="0.25">
      <c r="M163" s="24"/>
    </row>
    <row r="164" spans="13:13" ht="20.100000000000001" customHeight="1" x14ac:dyDescent="0.25">
      <c r="M164" s="24"/>
    </row>
    <row r="165" spans="13:13" ht="20.100000000000001" customHeight="1" x14ac:dyDescent="0.25">
      <c r="M165" s="24"/>
    </row>
    <row r="166" spans="13:13" x14ac:dyDescent="0.25">
      <c r="M166" s="24"/>
    </row>
    <row r="167" spans="13:13" x14ac:dyDescent="0.25">
      <c r="M167" s="24"/>
    </row>
    <row r="168" spans="13:13" x14ac:dyDescent="0.25">
      <c r="M168" s="24"/>
    </row>
    <row r="169" spans="13:13" x14ac:dyDescent="0.25">
      <c r="M169" s="24"/>
    </row>
    <row r="170" spans="13:13" x14ac:dyDescent="0.25">
      <c r="M170" s="24"/>
    </row>
    <row r="171" spans="13:13" x14ac:dyDescent="0.25">
      <c r="M171" s="24"/>
    </row>
    <row r="172" spans="13:13" x14ac:dyDescent="0.25">
      <c r="M172" s="24"/>
    </row>
    <row r="173" spans="13:13" x14ac:dyDescent="0.25">
      <c r="M173" s="24"/>
    </row>
    <row r="174" spans="13:13" x14ac:dyDescent="0.25">
      <c r="M174" s="24"/>
    </row>
    <row r="175" spans="13:13" x14ac:dyDescent="0.25">
      <c r="M175" s="24"/>
    </row>
    <row r="176" spans="13:13" x14ac:dyDescent="0.25">
      <c r="M176" s="24"/>
    </row>
    <row r="177" spans="13:13" x14ac:dyDescent="0.25">
      <c r="M177" s="24"/>
    </row>
    <row r="178" spans="13:13" x14ac:dyDescent="0.25">
      <c r="M178" s="24"/>
    </row>
    <row r="179" spans="13:13" x14ac:dyDescent="0.25">
      <c r="M179" s="24"/>
    </row>
    <row r="180" spans="13:13" x14ac:dyDescent="0.25">
      <c r="M180" s="24"/>
    </row>
    <row r="181" spans="13:13" x14ac:dyDescent="0.25">
      <c r="M181" s="24"/>
    </row>
    <row r="182" spans="13:13" x14ac:dyDescent="0.25">
      <c r="M182" s="24"/>
    </row>
    <row r="183" spans="13:13" x14ac:dyDescent="0.25">
      <c r="M183" s="24"/>
    </row>
    <row r="184" spans="13:13" x14ac:dyDescent="0.25">
      <c r="M184" s="24"/>
    </row>
    <row r="185" spans="13:13" x14ac:dyDescent="0.25">
      <c r="M185" s="24"/>
    </row>
    <row r="186" spans="13:13" x14ac:dyDescent="0.25">
      <c r="M186" s="24"/>
    </row>
    <row r="187" spans="13:13" x14ac:dyDescent="0.25">
      <c r="M187" s="24"/>
    </row>
    <row r="188" spans="13:13" x14ac:dyDescent="0.25">
      <c r="M188" s="24"/>
    </row>
    <row r="189" spans="13:13" x14ac:dyDescent="0.25">
      <c r="M189" s="24"/>
    </row>
    <row r="190" spans="13:13" x14ac:dyDescent="0.25">
      <c r="M190" s="24"/>
    </row>
    <row r="191" spans="13:13" x14ac:dyDescent="0.25">
      <c r="M191" s="24"/>
    </row>
    <row r="192" spans="13:13" x14ac:dyDescent="0.25">
      <c r="M192" s="24"/>
    </row>
    <row r="193" spans="13:13" x14ac:dyDescent="0.25">
      <c r="M193" s="24"/>
    </row>
    <row r="194" spans="13:13" x14ac:dyDescent="0.25">
      <c r="M194" s="24"/>
    </row>
    <row r="195" spans="13:13" x14ac:dyDescent="0.25">
      <c r="M195" s="24"/>
    </row>
    <row r="196" spans="13:13" x14ac:dyDescent="0.25">
      <c r="M196" s="24"/>
    </row>
    <row r="197" spans="13:13" x14ac:dyDescent="0.25">
      <c r="M197" s="24"/>
    </row>
    <row r="198" spans="13:13" x14ac:dyDescent="0.25">
      <c r="M198" s="24"/>
    </row>
    <row r="199" spans="13:13" x14ac:dyDescent="0.25">
      <c r="M199" s="24"/>
    </row>
    <row r="200" spans="13:13" x14ac:dyDescent="0.25">
      <c r="M200" s="24"/>
    </row>
    <row r="201" spans="13:13" x14ac:dyDescent="0.25">
      <c r="M201" s="24"/>
    </row>
    <row r="202" spans="13:13" x14ac:dyDescent="0.25">
      <c r="M202" s="24"/>
    </row>
    <row r="203" spans="13:13" x14ac:dyDescent="0.25">
      <c r="M203" s="24"/>
    </row>
    <row r="204" spans="13:13" x14ac:dyDescent="0.25">
      <c r="M204" s="24"/>
    </row>
    <row r="205" spans="13:13" x14ac:dyDescent="0.25">
      <c r="M205" s="24"/>
    </row>
    <row r="206" spans="13:13" x14ac:dyDescent="0.25">
      <c r="M206" s="24"/>
    </row>
    <row r="207" spans="13:13" x14ac:dyDescent="0.25">
      <c r="M207" s="24"/>
    </row>
    <row r="208" spans="13:13" x14ac:dyDescent="0.25">
      <c r="M208" s="24"/>
    </row>
    <row r="209" spans="13:13" x14ac:dyDescent="0.25">
      <c r="M209" s="24"/>
    </row>
    <row r="210" spans="13:13" x14ac:dyDescent="0.25">
      <c r="M210" s="24"/>
    </row>
    <row r="211" spans="13:13" x14ac:dyDescent="0.25">
      <c r="M211" s="24"/>
    </row>
    <row r="212" spans="13:13" x14ac:dyDescent="0.25">
      <c r="M212" s="24"/>
    </row>
    <row r="213" spans="13:13" x14ac:dyDescent="0.25">
      <c r="M213" s="24"/>
    </row>
    <row r="214" spans="13:13" x14ac:dyDescent="0.25">
      <c r="M214" s="24"/>
    </row>
    <row r="215" spans="13:13" x14ac:dyDescent="0.25">
      <c r="M215" s="24"/>
    </row>
    <row r="216" spans="13:13" x14ac:dyDescent="0.25">
      <c r="M216" s="24"/>
    </row>
    <row r="217" spans="13:13" x14ac:dyDescent="0.25">
      <c r="M217" s="24"/>
    </row>
    <row r="218" spans="13:13" x14ac:dyDescent="0.25">
      <c r="M218" s="24"/>
    </row>
    <row r="219" spans="13:13" x14ac:dyDescent="0.25">
      <c r="M219" s="24"/>
    </row>
    <row r="220" spans="13:13" x14ac:dyDescent="0.25">
      <c r="M220" s="24"/>
    </row>
    <row r="221" spans="13:13" x14ac:dyDescent="0.25">
      <c r="M221" s="24"/>
    </row>
    <row r="222" spans="13:13" x14ac:dyDescent="0.25">
      <c r="M222" s="24"/>
    </row>
    <row r="223" spans="13:13" x14ac:dyDescent="0.25">
      <c r="M223" s="24"/>
    </row>
    <row r="224" spans="13:13" x14ac:dyDescent="0.25">
      <c r="M224" s="24"/>
    </row>
    <row r="225" spans="13:13" x14ac:dyDescent="0.25">
      <c r="M225" s="24"/>
    </row>
    <row r="226" spans="13:13" x14ac:dyDescent="0.25">
      <c r="M226" s="24"/>
    </row>
    <row r="227" spans="13:13" x14ac:dyDescent="0.25">
      <c r="M227" s="24"/>
    </row>
    <row r="228" spans="13:13" x14ac:dyDescent="0.25">
      <c r="M228" s="24"/>
    </row>
    <row r="229" spans="13:13" x14ac:dyDescent="0.25">
      <c r="M229" s="24"/>
    </row>
    <row r="230" spans="13:13" x14ac:dyDescent="0.25">
      <c r="M230" s="24"/>
    </row>
    <row r="231" spans="13:13" x14ac:dyDescent="0.25">
      <c r="M231" s="24"/>
    </row>
    <row r="232" spans="13:13" x14ac:dyDescent="0.25">
      <c r="M232" s="24"/>
    </row>
    <row r="233" spans="13:13" x14ac:dyDescent="0.25">
      <c r="M233" s="24"/>
    </row>
    <row r="234" spans="13:13" x14ac:dyDescent="0.25">
      <c r="M234" s="24"/>
    </row>
    <row r="235" spans="13:13" x14ac:dyDescent="0.25">
      <c r="M235" s="24"/>
    </row>
    <row r="236" spans="13:13" x14ac:dyDescent="0.25">
      <c r="M236" s="24"/>
    </row>
    <row r="237" spans="13:13" x14ac:dyDescent="0.25">
      <c r="M237" s="24"/>
    </row>
    <row r="238" spans="13:13" x14ac:dyDescent="0.25">
      <c r="M238" s="24"/>
    </row>
    <row r="239" spans="13:13" x14ac:dyDescent="0.25">
      <c r="M239" s="24"/>
    </row>
    <row r="240" spans="13:13" x14ac:dyDescent="0.25">
      <c r="M240" s="24"/>
    </row>
    <row r="241" spans="13:13" x14ac:dyDescent="0.25">
      <c r="M241" s="24"/>
    </row>
    <row r="242" spans="13:13" x14ac:dyDescent="0.25">
      <c r="M242" s="24"/>
    </row>
    <row r="243" spans="13:13" x14ac:dyDescent="0.25">
      <c r="M243" s="24"/>
    </row>
    <row r="244" spans="13:13" x14ac:dyDescent="0.25">
      <c r="M244" s="24"/>
    </row>
    <row r="245" spans="13:13" x14ac:dyDescent="0.25">
      <c r="M245" s="24"/>
    </row>
    <row r="246" spans="13:13" x14ac:dyDescent="0.25">
      <c r="M246" s="24"/>
    </row>
    <row r="247" spans="13:13" x14ac:dyDescent="0.25">
      <c r="M247" s="24"/>
    </row>
    <row r="248" spans="13:13" x14ac:dyDescent="0.25">
      <c r="M248" s="24"/>
    </row>
    <row r="249" spans="13:13" x14ac:dyDescent="0.25">
      <c r="M249" s="24"/>
    </row>
    <row r="250" spans="13:13" x14ac:dyDescent="0.25">
      <c r="M250" s="24"/>
    </row>
    <row r="251" spans="13:13" x14ac:dyDescent="0.25">
      <c r="M251" s="24"/>
    </row>
    <row r="252" spans="13:13" x14ac:dyDescent="0.25">
      <c r="M252" s="24"/>
    </row>
    <row r="253" spans="13:13" x14ac:dyDescent="0.25">
      <c r="M253" s="24"/>
    </row>
    <row r="254" spans="13:13" x14ac:dyDescent="0.25">
      <c r="M254" s="24"/>
    </row>
    <row r="255" spans="13:13" x14ac:dyDescent="0.25">
      <c r="M255" s="24"/>
    </row>
    <row r="256" spans="13:13" x14ac:dyDescent="0.25">
      <c r="M256" s="24"/>
    </row>
    <row r="257" spans="13:13" x14ac:dyDescent="0.25">
      <c r="M257" s="24"/>
    </row>
    <row r="258" spans="13:13" x14ac:dyDescent="0.25">
      <c r="M258" s="24"/>
    </row>
    <row r="259" spans="13:13" x14ac:dyDescent="0.25">
      <c r="M259" s="24"/>
    </row>
    <row r="260" spans="13:13" x14ac:dyDescent="0.25">
      <c r="M260" s="24"/>
    </row>
    <row r="261" spans="13:13" x14ac:dyDescent="0.25">
      <c r="M261" s="24"/>
    </row>
    <row r="262" spans="13:13" x14ac:dyDescent="0.25">
      <c r="M262" s="24"/>
    </row>
    <row r="263" spans="13:13" x14ac:dyDescent="0.25">
      <c r="M263" s="24"/>
    </row>
    <row r="264" spans="13:13" x14ac:dyDescent="0.25">
      <c r="M264" s="24"/>
    </row>
    <row r="265" spans="13:13" x14ac:dyDescent="0.25">
      <c r="M265" s="24"/>
    </row>
    <row r="266" spans="13:13" x14ac:dyDescent="0.25">
      <c r="M266" s="24"/>
    </row>
    <row r="267" spans="13:13" x14ac:dyDescent="0.25">
      <c r="M267" s="24"/>
    </row>
    <row r="268" spans="13:13" x14ac:dyDescent="0.25">
      <c r="M268" s="24"/>
    </row>
    <row r="269" spans="13:13" x14ac:dyDescent="0.25">
      <c r="M269" s="24"/>
    </row>
    <row r="270" spans="13:13" x14ac:dyDescent="0.25">
      <c r="M270" s="24"/>
    </row>
    <row r="271" spans="13:13" x14ac:dyDescent="0.25">
      <c r="M271" s="24"/>
    </row>
    <row r="272" spans="13:13" x14ac:dyDescent="0.25">
      <c r="M272" s="24"/>
    </row>
    <row r="273" spans="13:13" x14ac:dyDescent="0.25">
      <c r="M273" s="24"/>
    </row>
    <row r="274" spans="13:13" x14ac:dyDescent="0.25">
      <c r="M274" s="24"/>
    </row>
    <row r="275" spans="13:13" x14ac:dyDescent="0.25">
      <c r="M275" s="24"/>
    </row>
    <row r="276" spans="13:13" x14ac:dyDescent="0.25">
      <c r="M276" s="24"/>
    </row>
    <row r="277" spans="13:13" x14ac:dyDescent="0.25">
      <c r="M277" s="24"/>
    </row>
    <row r="278" spans="13:13" x14ac:dyDescent="0.25">
      <c r="M278" s="24"/>
    </row>
    <row r="279" spans="13:13" x14ac:dyDescent="0.25">
      <c r="M279" s="24"/>
    </row>
    <row r="280" spans="13:13" x14ac:dyDescent="0.25">
      <c r="M280" s="24"/>
    </row>
    <row r="281" spans="13:13" x14ac:dyDescent="0.25">
      <c r="M281" s="24"/>
    </row>
    <row r="282" spans="13:13" x14ac:dyDescent="0.25">
      <c r="M282" s="24"/>
    </row>
    <row r="283" spans="13:13" x14ac:dyDescent="0.25">
      <c r="M283" s="24"/>
    </row>
    <row r="284" spans="13:13" x14ac:dyDescent="0.25">
      <c r="M284" s="24"/>
    </row>
    <row r="285" spans="13:13" x14ac:dyDescent="0.25">
      <c r="M285" s="24"/>
    </row>
    <row r="286" spans="13:13" x14ac:dyDescent="0.25">
      <c r="M286" s="24"/>
    </row>
    <row r="287" spans="13:13" x14ac:dyDescent="0.25">
      <c r="M287" s="24"/>
    </row>
    <row r="288" spans="13:13" x14ac:dyDescent="0.25">
      <c r="M288" s="24"/>
    </row>
  </sheetData>
  <pageMargins left="0.7" right="0.7" top="0.75" bottom="0.75" header="0.3" footer="0.3"/>
  <tableParts count="9">
    <tablePart r:id="rId1"/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46AF-EF07-489E-9218-499E0ED230A9}">
  <dimension ref="A1:BX208"/>
  <sheetViews>
    <sheetView showGridLines="0" tabSelected="1" topLeftCell="A169" zoomScale="85" zoomScaleNormal="85" workbookViewId="0">
      <selection activeCell="E207" sqref="E207"/>
    </sheetView>
  </sheetViews>
  <sheetFormatPr defaultColWidth="9.140625" defaultRowHeight="15.75" x14ac:dyDescent="0.25"/>
  <cols>
    <col min="1" max="1" width="30.7109375" style="7" customWidth="1"/>
    <col min="2" max="2" width="2.7109375" style="7" customWidth="1"/>
    <col min="3" max="3" width="4.7109375" style="1" customWidth="1"/>
    <col min="4" max="4" width="48" style="1" customWidth="1"/>
    <col min="5" max="16" width="20.7109375" style="1" customWidth="1"/>
    <col min="17" max="17" width="17.28515625" style="1" customWidth="1"/>
    <col min="18" max="19" width="20.7109375" style="1" customWidth="1"/>
    <col min="20" max="20" width="4.7109375" style="1" customWidth="1"/>
    <col min="21" max="32" width="20.7109375" style="7" customWidth="1"/>
    <col min="33" max="38" width="21.85546875" style="7" customWidth="1"/>
    <col min="39" max="43" width="20.7109375" style="7" customWidth="1"/>
    <col min="44" max="64" width="9.140625" style="7"/>
    <col min="65" max="16384" width="9.140625" style="3"/>
  </cols>
  <sheetData>
    <row r="1" spans="1:64" s="8" customFormat="1" ht="30" customHeight="1" x14ac:dyDescent="0.35">
      <c r="A1" s="8" t="e" vm="1">
        <v>#VALUE!</v>
      </c>
      <c r="C1" s="8" t="s">
        <v>78</v>
      </c>
    </row>
    <row r="2" spans="1:64" s="9" customFormat="1" ht="20.100000000000001" customHeight="1" x14ac:dyDescent="0.25"/>
    <row r="3" spans="1:64" ht="20.100000000000001" customHeight="1" x14ac:dyDescent="0.25">
      <c r="A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11"/>
      <c r="V3" s="11"/>
    </row>
    <row r="4" spans="1:64" ht="20.100000000000001" customHeight="1" x14ac:dyDescent="0.25">
      <c r="A4"/>
      <c r="BL4" s="3"/>
    </row>
    <row r="5" spans="1:64" ht="20.100000000000001" customHeight="1" x14ac:dyDescent="0.25">
      <c r="A5"/>
      <c r="D5" s="6" t="str" cm="1">
        <f t="array" ref="D5">Common_SourceData.Common_SourceData_AustralianStatesTerritories_Title()</f>
        <v>Australian states and territories</v>
      </c>
      <c r="BL5" s="3"/>
    </row>
    <row r="6" spans="1:64" ht="20.100000000000001" customHeight="1" x14ac:dyDescent="0.25">
      <c r="A6"/>
      <c r="D6" s="39" t="s">
        <v>22</v>
      </c>
      <c r="E6" s="39" t="s">
        <v>23</v>
      </c>
      <c r="F6" s="39" t="s">
        <v>24</v>
      </c>
    </row>
    <row r="7" spans="1:64" ht="20.100000000000001" customHeight="1" x14ac:dyDescent="0.25">
      <c r="A7"/>
      <c r="D7" s="39" t="str" cm="1">
        <f t="array" ref="D7">Common_InputFunctions.Utility_DisplayArrayInTable(Common_SourceData.Common_SourceData_AustralianStatesTerritories_Data(),Table_AustralianStates[[#Headers],[State/Territory]],0)</f>
        <v>New South Wales</v>
      </c>
      <c r="E7" s="39" t="str" cm="1">
        <f t="array" ref="E7">Common_InputFunctions.Utility_DisplayArrayInTable(Common_SourceData.Common_SourceData_AustralianStatesTerritories_Data(),Table_AustralianStates[[#Headers],[State/Territory]],0)</f>
        <v>New South Wales</v>
      </c>
      <c r="F7" s="39" t="str" cm="1">
        <f t="array" ref="F7">Common_InputFunctions.Utility_DisplayArrayInTable(Common_SourceData.Common_SourceData_AustralianStatesTerritories_Data(),Table_AustralianStates[[#Headers],[State/Territory]],0)</f>
        <v>NSW</v>
      </c>
    </row>
    <row r="8" spans="1:64" ht="20.100000000000001" customHeight="1" x14ac:dyDescent="0.25">
      <c r="A8"/>
      <c r="D8" s="39" t="str" cm="1">
        <f t="array" ref="D8">Common_InputFunctions.Utility_DisplayArrayInTable(Common_SourceData.Common_SourceData_AustralianStatesTerritories_Data(),Table_AustralianStates[[#Headers],[State/Territory]],0)</f>
        <v>Australian Capital Territory</v>
      </c>
      <c r="E8" s="39" t="str" cm="1">
        <f t="array" ref="E8">Common_InputFunctions.Utility_DisplayArrayInTable(Common_SourceData.Common_SourceData_AustralianStatesTerritories_Data(),Table_AustralianStates[[#Headers],[State/Territory]],0)</f>
        <v>ACT</v>
      </c>
      <c r="F8" s="39" t="str" cm="1">
        <f t="array" ref="F8">Common_InputFunctions.Utility_DisplayArrayInTable(Common_SourceData.Common_SourceData_AustralianStatesTerritories_Data(),Table_AustralianStates[[#Headers],[State/Territory]],0)</f>
        <v>ACT</v>
      </c>
    </row>
    <row r="9" spans="1:64" ht="20.100000000000001" customHeight="1" x14ac:dyDescent="0.25">
      <c r="A9"/>
      <c r="D9" s="39" t="str" cm="1">
        <f t="array" ref="D9">Common_InputFunctions.Utility_DisplayArrayInTable(Common_SourceData.Common_SourceData_AustralianStatesTerritories_Data(),Table_AustralianStates[[#Headers],[State/Territory]],0)</f>
        <v>Victoria</v>
      </c>
      <c r="E9" s="39" t="str" cm="1">
        <f t="array" ref="E9">Common_InputFunctions.Utility_DisplayArrayInTable(Common_SourceData.Common_SourceData_AustralianStatesTerritories_Data(),Table_AustralianStates[[#Headers],[State/Territory]],0)</f>
        <v>Victoria</v>
      </c>
      <c r="F9" s="39" t="str" cm="1">
        <f t="array" ref="F9">Common_InputFunctions.Utility_DisplayArrayInTable(Common_SourceData.Common_SourceData_AustralianStatesTerritories_Data(),Table_AustralianStates[[#Headers],[State/Territory]],0)</f>
        <v>VIC</v>
      </c>
    </row>
    <row r="10" spans="1:64" ht="20.100000000000001" customHeight="1" x14ac:dyDescent="0.25">
      <c r="A10"/>
      <c r="D10" s="39" t="str" cm="1">
        <f t="array" ref="D10">Common_InputFunctions.Utility_DisplayArrayInTable(Common_SourceData.Common_SourceData_AustralianStatesTerritories_Data(),Table_AustralianStates[[#Headers],[State/Territory]],0)</f>
        <v>Queensland</v>
      </c>
      <c r="E10" s="39" t="str" cm="1">
        <f t="array" ref="E10">Common_InputFunctions.Utility_DisplayArrayInTable(Common_SourceData.Common_SourceData_AustralianStatesTerritories_Data(),Table_AustralianStates[[#Headers],[State/Territory]],0)</f>
        <v>Queensland</v>
      </c>
      <c r="F10" s="39" t="str" cm="1">
        <f t="array" ref="F10">Common_InputFunctions.Utility_DisplayArrayInTable(Common_SourceData.Common_SourceData_AustralianStatesTerritories_Data(),Table_AustralianStates[[#Headers],[State/Territory]],0)</f>
        <v>QLD</v>
      </c>
    </row>
    <row r="11" spans="1:64" ht="20.100000000000001" customHeight="1" x14ac:dyDescent="0.25">
      <c r="A11"/>
      <c r="D11" s="39" t="str" cm="1">
        <f t="array" ref="D11">Common_InputFunctions.Utility_DisplayArrayInTable(Common_SourceData.Common_SourceData_AustralianStatesTerritories_Data(),Table_AustralianStates[[#Headers],[State/Territory]],0)</f>
        <v>South Australia</v>
      </c>
      <c r="E11" s="39" t="str" cm="1">
        <f t="array" ref="E11">Common_InputFunctions.Utility_DisplayArrayInTable(Common_SourceData.Common_SourceData_AustralianStatesTerritories_Data(),Table_AustralianStates[[#Headers],[State/Territory]],0)</f>
        <v>South Australia</v>
      </c>
      <c r="F11" s="39" t="str" cm="1">
        <f t="array" ref="F11">Common_InputFunctions.Utility_DisplayArrayInTable(Common_SourceData.Common_SourceData_AustralianStatesTerritories_Data(),Table_AustralianStates[[#Headers],[State/Territory]],0)</f>
        <v>SA</v>
      </c>
      <c r="BL11" s="3"/>
    </row>
    <row r="12" spans="1:64" ht="20.100000000000001" customHeight="1" x14ac:dyDescent="0.25">
      <c r="A12"/>
      <c r="D12" s="39" t="str" cm="1">
        <f t="array" ref="D12">Common_InputFunctions.Utility_DisplayArrayInTable(Common_SourceData.Common_SourceData_AustralianStatesTerritories_Data(),Table_AustralianStates[[#Headers],[State/Territory]],0)</f>
        <v>Western Australia</v>
      </c>
      <c r="E12" s="39" t="str" cm="1">
        <f t="array" ref="E12">Common_InputFunctions.Utility_DisplayArrayInTable(Common_SourceData.Common_SourceData_AustralianStatesTerritories_Data(),Table_AustralianStates[[#Headers],[State/Territory]],0)</f>
        <v>Western Australia</v>
      </c>
      <c r="F12" s="39" t="str" cm="1">
        <f t="array" ref="F12">Common_InputFunctions.Utility_DisplayArrayInTable(Common_SourceData.Common_SourceData_AustralianStatesTerritories_Data(),Table_AustralianStates[[#Headers],[State/Territory]],0)</f>
        <v>WA</v>
      </c>
      <c r="BL12" s="3"/>
    </row>
    <row r="13" spans="1:64" ht="20.100000000000001" customHeight="1" x14ac:dyDescent="0.25">
      <c r="A13"/>
      <c r="D13" s="39" t="str" cm="1">
        <f t="array" ref="D13">Common_InputFunctions.Utility_DisplayArrayInTable(Common_SourceData.Common_SourceData_AustralianStatesTerritories_Data(),Table_AustralianStates[[#Headers],[State/Territory]],0)</f>
        <v>Tasmania</v>
      </c>
      <c r="E13" s="39" t="str" cm="1">
        <f t="array" ref="E13">Common_InputFunctions.Utility_DisplayArrayInTable(Common_SourceData.Common_SourceData_AustralianStatesTerritories_Data(),Table_AustralianStates[[#Headers],[State/Territory]],0)</f>
        <v>Tasmania</v>
      </c>
      <c r="F13" s="39" t="str" cm="1">
        <f t="array" ref="F13">Common_InputFunctions.Utility_DisplayArrayInTable(Common_SourceData.Common_SourceData_AustralianStatesTerritories_Data(),Table_AustralianStates[[#Headers],[State/Territory]],0)</f>
        <v>TAS</v>
      </c>
    </row>
    <row r="14" spans="1:64" ht="20.100000000000001" customHeight="1" x14ac:dyDescent="0.25">
      <c r="A14"/>
      <c r="D14" s="39" t="str" cm="1">
        <f t="array" ref="D14">Common_InputFunctions.Utility_DisplayArrayInTable(Common_SourceData.Common_SourceData_AustralianStatesTerritories_Data(),Table_AustralianStates[[#Headers],[State/Territory]],0)</f>
        <v>Northern Territory</v>
      </c>
      <c r="E14" s="39" t="str" cm="1">
        <f t="array" ref="E14">Common_InputFunctions.Utility_DisplayArrayInTable(Common_SourceData.Common_SourceData_AustralianStatesTerritories_Data(),Table_AustralianStates[[#Headers],[State/Territory]],0)</f>
        <v>Northern Territory</v>
      </c>
      <c r="F14" s="39" t="str" cm="1">
        <f t="array" ref="F14">Common_InputFunctions.Utility_DisplayArrayInTable(Common_SourceData.Common_SourceData_AustralianStatesTerritories_Data(),Table_AustralianStates[[#Headers],[State/Territory]],0)</f>
        <v>NT</v>
      </c>
    </row>
    <row r="15" spans="1:64" ht="20.100000000000001" customHeight="1" x14ac:dyDescent="0.25">
      <c r="A15"/>
    </row>
    <row r="16" spans="1:64" ht="20.100000000000001" customHeight="1" x14ac:dyDescent="0.25">
      <c r="A16"/>
    </row>
    <row r="17" spans="1:4" ht="20.100000000000001" customHeight="1" x14ac:dyDescent="0.25">
      <c r="A17"/>
    </row>
    <row r="18" spans="1:4" ht="20.100000000000001" customHeight="1" x14ac:dyDescent="0.25">
      <c r="A18"/>
      <c r="D18" s="6" t="str" cm="1">
        <f t="array" ref="D18">Common_SourceData.Common_SourceData_WASA4Areas_Title()</f>
        <v>ABS Statistcal Areas Level 4 - Western Australia</v>
      </c>
    </row>
    <row r="19" spans="1:4" ht="20.100000000000001" customHeight="1" x14ac:dyDescent="0.25">
      <c r="A19"/>
      <c r="D19" s="5" t="str" cm="1">
        <f t="array" ref="D19">Common_SourceData.Common_SourceData_WASA4Areas_Source()</f>
        <v>Australian Bureau of Statistics (ABS) - Statistical Areas Level 2 - 2021 - Shapefile</v>
      </c>
    </row>
    <row r="20" spans="1:4" ht="20.100000000000001" customHeight="1" x14ac:dyDescent="0.25">
      <c r="A20"/>
      <c r="D20" s="39" t="s">
        <v>25</v>
      </c>
    </row>
    <row r="21" spans="1:4" ht="20.100000000000001" customHeight="1" x14ac:dyDescent="0.25">
      <c r="A21"/>
      <c r="D21" s="39" t="str" cm="1">
        <f t="array" ref="D21">Common_InputFunctions.Utility_DisplayArrayInTable(Common_SourceData.Common_SourceData_WASA4Areas_Data(), Table_WASA4Areas[[#Headers],[SA 4 Name]], 0)</f>
        <v>Bunbury</v>
      </c>
    </row>
    <row r="22" spans="1:4" ht="20.100000000000001" customHeight="1" x14ac:dyDescent="0.25">
      <c r="A22"/>
      <c r="D22" s="39" t="str" cm="1">
        <f t="array" ref="D22">Common_InputFunctions.Utility_DisplayArrayInTable(Common_SourceData.Common_SourceData_WASA4Areas_Data(), Table_WASA4Areas[[#Headers],[SA 4 Name]], 0)</f>
        <v>Mandurah</v>
      </c>
    </row>
    <row r="23" spans="1:4" ht="20.100000000000001" customHeight="1" x14ac:dyDescent="0.25">
      <c r="A23"/>
      <c r="D23" s="39" t="str" cm="1">
        <f t="array" ref="D23">Common_InputFunctions.Utility_DisplayArrayInTable(Common_SourceData.Common_SourceData_WASA4Areas_Data(), Table_WASA4Areas[[#Headers],[SA 4 Name]], 0)</f>
        <v>Perth - Inner</v>
      </c>
    </row>
    <row r="24" spans="1:4" ht="20.100000000000001" customHeight="1" x14ac:dyDescent="0.25">
      <c r="A24"/>
      <c r="D24" s="39" t="str" cm="1">
        <f t="array" ref="D24">Common_InputFunctions.Utility_DisplayArrayInTable(Common_SourceData.Common_SourceData_WASA4Areas_Data(), Table_WASA4Areas[[#Headers],[SA 4 Name]], 0)</f>
        <v>Perth - North East</v>
      </c>
    </row>
    <row r="25" spans="1:4" ht="20.100000000000001" customHeight="1" x14ac:dyDescent="0.25">
      <c r="A25"/>
      <c r="D25" s="39" t="str" cm="1">
        <f t="array" ref="D25">Common_InputFunctions.Utility_DisplayArrayInTable(Common_SourceData.Common_SourceData_WASA4Areas_Data(), Table_WASA4Areas[[#Headers],[SA 4 Name]], 0)</f>
        <v>Perth - North West</v>
      </c>
    </row>
    <row r="26" spans="1:4" ht="20.100000000000001" customHeight="1" x14ac:dyDescent="0.25">
      <c r="A26"/>
      <c r="D26" s="39" t="str" cm="1">
        <f t="array" ref="D26">Common_InputFunctions.Utility_DisplayArrayInTable(Common_SourceData.Common_SourceData_WASA4Areas_Data(), Table_WASA4Areas[[#Headers],[SA 4 Name]], 0)</f>
        <v>Perth - South East</v>
      </c>
    </row>
    <row r="27" spans="1:4" ht="20.100000000000001" customHeight="1" x14ac:dyDescent="0.25">
      <c r="A27"/>
      <c r="D27" s="39" t="str" cm="1">
        <f t="array" ref="D27">Common_InputFunctions.Utility_DisplayArrayInTable(Common_SourceData.Common_SourceData_WASA4Areas_Data(), Table_WASA4Areas[[#Headers],[SA 4 Name]], 0)</f>
        <v>Perth - South West</v>
      </c>
    </row>
    <row r="28" spans="1:4" ht="20.100000000000001" customHeight="1" x14ac:dyDescent="0.25">
      <c r="A28"/>
      <c r="D28" s="39" t="str" cm="1">
        <f t="array" ref="D28">Common_InputFunctions.Utility_DisplayArrayInTable(Common_SourceData.Common_SourceData_WASA4Areas_Data(), Table_WASA4Areas[[#Headers],[SA 4 Name]], 0)</f>
        <v>Western Australia - Wheat Belt</v>
      </c>
    </row>
    <row r="29" spans="1:4" ht="20.100000000000001" customHeight="1" x14ac:dyDescent="0.25">
      <c r="A29"/>
      <c r="D29" s="39" t="str" cm="1">
        <f t="array" ref="D29">Common_InputFunctions.Utility_DisplayArrayInTable(Common_SourceData.Common_SourceData_WASA4Areas_Data(), Table_WASA4Areas[[#Headers],[SA 4 Name]], 0)</f>
        <v>Western Australia - Outback (North)</v>
      </c>
    </row>
    <row r="30" spans="1:4" ht="20.100000000000001" customHeight="1" x14ac:dyDescent="0.25">
      <c r="A30"/>
      <c r="D30" s="39" t="str" cm="1">
        <f t="array" ref="D30">Common_InputFunctions.Utility_DisplayArrayInTable(Common_SourceData.Common_SourceData_WASA4Areas_Data(), Table_WASA4Areas[[#Headers],[SA 4 Name]], 0)</f>
        <v>Western Australia - Outback (South)</v>
      </c>
    </row>
    <row r="31" spans="1:4" ht="20.100000000000001" customHeight="1" x14ac:dyDescent="0.25">
      <c r="A31"/>
    </row>
    <row r="32" spans="1:4" ht="20.100000000000001" customHeight="1" x14ac:dyDescent="0.25">
      <c r="A32"/>
    </row>
    <row r="33" spans="1:8" ht="20.100000000000001" customHeight="1" x14ac:dyDescent="0.25">
      <c r="A33"/>
    </row>
    <row r="34" spans="1:8" ht="20.100000000000001" customHeight="1" x14ac:dyDescent="0.25">
      <c r="A34"/>
      <c r="D34" s="6" t="str" cm="1">
        <f t="array" ref="D34">Common_SourceData.Common_SourceData_GWP_Title()</f>
        <v>Global warming potential for greenhouse gases</v>
      </c>
    </row>
    <row r="35" spans="1:8" ht="20.100000000000001" customHeight="1" x14ac:dyDescent="0.25">
      <c r="A35"/>
      <c r="D35" s="5" t="str" cm="1">
        <f t="array" ref="D35">Common_SourceData.Common_SourceData_GWP_Source()</f>
        <v>XXXXXXX</v>
      </c>
    </row>
    <row r="36" spans="1:8" ht="20.100000000000001" customHeight="1" x14ac:dyDescent="0.25">
      <c r="A36"/>
      <c r="D36" s="39" t="s">
        <v>28</v>
      </c>
      <c r="E36" s="39" t="s">
        <v>29</v>
      </c>
    </row>
    <row r="37" spans="1:8" ht="20.100000000000001" customHeight="1" x14ac:dyDescent="0.25">
      <c r="A37"/>
      <c r="D37" s="39" t="str" cm="1">
        <f t="array" ref="D37">Common_InputFunctions.Utility_DisplayArrayInTable(Common_SourceData.Common_SourceData_GWP_Data(), Table_GWPData[[#Headers],[Gas]], 0)</f>
        <v>CO2</v>
      </c>
      <c r="E37" s="39" cm="1">
        <f t="array" ref="E37">Common_InputFunctions.Utility_DisplayArrayInTable(Common_SourceData.Common_SourceData_GWP_Data(), Table_GWPData[[#Headers],[Gas]], 0)</f>
        <v>1</v>
      </c>
    </row>
    <row r="38" spans="1:8" ht="20.100000000000001" customHeight="1" x14ac:dyDescent="0.25">
      <c r="A38"/>
      <c r="D38" s="39" t="str" cm="1">
        <f t="array" ref="D38">Common_InputFunctions.Utility_DisplayArrayInTable(Common_SourceData.Common_SourceData_GWP_Data(), Table_GWPData[[#Headers],[Gas]], 0)</f>
        <v>CH4</v>
      </c>
      <c r="E38" s="39" cm="1">
        <f t="array" ref="E38">Common_InputFunctions.Utility_DisplayArrayInTable(Common_SourceData.Common_SourceData_GWP_Data(), Table_GWPData[[#Headers],[Gas]], 0)</f>
        <v>28</v>
      </c>
    </row>
    <row r="39" spans="1:8" ht="20.100000000000001" customHeight="1" x14ac:dyDescent="0.25">
      <c r="A39"/>
      <c r="D39" s="39" t="str" cm="1">
        <f t="array" ref="D39">Common_InputFunctions.Utility_DisplayArrayInTable(Common_SourceData.Common_SourceData_GWP_Data(), Table_GWPData[[#Headers],[Gas]], 0)</f>
        <v>N2O</v>
      </c>
      <c r="E39" s="39" cm="1">
        <f t="array" ref="E39">Common_InputFunctions.Utility_DisplayArrayInTable(Common_SourceData.Common_SourceData_GWP_Data(), Table_GWPData[[#Headers],[Gas]], 0)</f>
        <v>265</v>
      </c>
    </row>
    <row r="40" spans="1:8" ht="20.100000000000001" customHeight="1" x14ac:dyDescent="0.25">
      <c r="A40"/>
      <c r="D40" s="39" t="str" cm="1">
        <f t="array" ref="D40">Common_InputFunctions.Utility_DisplayArrayInTable(Common_SourceData.Common_SourceData_GWP_Data(), Table_GWPData[[#Headers],[Gas]], 0)</f>
        <v>CF4</v>
      </c>
      <c r="E40" s="39" cm="1">
        <f t="array" ref="E40">Common_InputFunctions.Utility_DisplayArrayInTable(Common_SourceData.Common_SourceData_GWP_Data(), Table_GWPData[[#Headers],[Gas]], 0)</f>
        <v>6630</v>
      </c>
    </row>
    <row r="41" spans="1:8" ht="20.100000000000001" customHeight="1" x14ac:dyDescent="0.25">
      <c r="A41"/>
      <c r="D41" s="39" t="str" cm="1">
        <f t="array" ref="D41">Common_InputFunctions.Utility_DisplayArrayInTable(Common_SourceData.Common_SourceData_GWP_Data(), Table_GWPData[[#Headers],[Gas]], 0)</f>
        <v>C2F6</v>
      </c>
      <c r="E41" s="39" cm="1">
        <f t="array" ref="E41">Common_InputFunctions.Utility_DisplayArrayInTable(Common_SourceData.Common_SourceData_GWP_Data(), Table_GWPData[[#Headers],[Gas]], 0)</f>
        <v>12200</v>
      </c>
    </row>
    <row r="42" spans="1:8" ht="20.100000000000001" customHeight="1" x14ac:dyDescent="0.25">
      <c r="D42" s="39" t="str" cm="1">
        <f t="array" ref="D42">Common_InputFunctions.Utility_DisplayArrayInTable(Common_SourceData.Common_SourceData_GWP_Data(), Table_GWPData[[#Headers],[Gas]], 0)</f>
        <v>SF6</v>
      </c>
      <c r="E42" s="39" cm="1">
        <f t="array" ref="E42">Common_InputFunctions.Utility_DisplayArrayInTable(Common_SourceData.Common_SourceData_GWP_Data(), Table_GWPData[[#Headers],[Gas]], 0)</f>
        <v>22800</v>
      </c>
    </row>
    <row r="43" spans="1:8" ht="20.100000000000001" customHeight="1" x14ac:dyDescent="0.25">
      <c r="D43" s="39" t="str" cm="1">
        <f t="array" ref="D43">Common_InputFunctions.Utility_DisplayArrayInTable(Common_SourceData.Common_SourceData_GWP_Data(), Table_GWPData[[#Headers],[Gas]], 0)</f>
        <v>NF3</v>
      </c>
      <c r="E43" s="39" cm="1">
        <f t="array" ref="E43">Common_InputFunctions.Utility_DisplayArrayInTable(Common_SourceData.Common_SourceData_GWP_Data(), Table_GWPData[[#Headers],[Gas]], 0)</f>
        <v>17200</v>
      </c>
    </row>
    <row r="44" spans="1:8" ht="20.100000000000001" customHeight="1" x14ac:dyDescent="0.25"/>
    <row r="45" spans="1:8" ht="20.100000000000001" customHeight="1" x14ac:dyDescent="0.25">
      <c r="D45" s="6" t="str" cm="1">
        <f t="array" ref="D45">Common_SourceData.Common_SourceData_ConvertGasElementalToMolecular_Title()</f>
        <v>Factor to convert elemental mass of gas to molecular mass</v>
      </c>
    </row>
    <row r="46" spans="1:8" ht="20.100000000000001" customHeight="1" x14ac:dyDescent="0.25">
      <c r="D46" s="5" t="str" cm="1">
        <f t="array" ref="D46">Common_SourceData.Common_SourceData_ConvertGasElementalToMolecular_Source()</f>
        <v>XXXXXXX</v>
      </c>
    </row>
    <row r="47" spans="1:8" ht="20.100000000000001" customHeight="1" x14ac:dyDescent="0.25">
      <c r="D47" s="39" t="s">
        <v>28</v>
      </c>
      <c r="E47" s="39" t="s">
        <v>31</v>
      </c>
      <c r="F47" s="39" t="s">
        <v>32</v>
      </c>
      <c r="G47" s="39" t="s">
        <v>33</v>
      </c>
      <c r="H47" s="39" t="s">
        <v>34</v>
      </c>
    </row>
    <row r="48" spans="1:8" ht="20.100000000000001" customHeight="1" x14ac:dyDescent="0.25">
      <c r="D48" s="39" t="str" cm="1">
        <f t="array" ref="D48">Common_InputFunctions.Utility_DisplayArrayInTable(Common_SourceData.Common_SourceData_ConvertGasElementalToMolecular_Data(),Table_GasToMolecularConversionFactor[[#Headers],[Gas]], 0)</f>
        <v>CO2</v>
      </c>
      <c r="E48" s="39" t="str" cm="1">
        <f t="array" ref="E48">Common_InputFunctions.Utility_DisplayArrayInTable(Common_SourceData.Common_SourceData_ConvertGasElementalToMolecular_Data(),Table_GasToMolecularConversionFactor[[#Headers],[Gas]], 0)</f>
        <v>44/12</v>
      </c>
      <c r="F48" s="39" cm="1">
        <f t="array" ref="F48">Common_InputFunctions.Utility_DisplayArrayInTable(Common_SourceData.Common_SourceData_ConvertGasElementalToMolecular_Data(),Table_GasToMolecularConversionFactor[[#Headers],[Gas]], 0)</f>
        <v>44</v>
      </c>
      <c r="G48" s="39" cm="1">
        <f t="array" ref="G48">Common_InputFunctions.Utility_DisplayArrayInTable(Common_SourceData.Common_SourceData_ConvertGasElementalToMolecular_Data(),Table_GasToMolecularConversionFactor[[#Headers],[Gas]], 0)</f>
        <v>12</v>
      </c>
      <c r="H48" s="39">
        <f>Table_GasToMolecularConversionFactor[[#This Row],[Conversion factor 1]]/Table_GasToMolecularConversionFactor[[#This Row],[Conversion factor 2]]</f>
        <v>3.6666666666666665</v>
      </c>
    </row>
    <row r="49" spans="4:8" ht="20.100000000000001" customHeight="1" x14ac:dyDescent="0.25">
      <c r="D49" s="39" t="str" cm="1">
        <f t="array" ref="D49">Common_InputFunctions.Utility_DisplayArrayInTable(Common_SourceData.Common_SourceData_ConvertGasElementalToMolecular_Data(),Table_GasToMolecularConversionFactor[[#Headers],[Gas]], 0)</f>
        <v>CH4</v>
      </c>
      <c r="E49" s="39" t="str" cm="1">
        <f t="array" ref="E49">Common_InputFunctions.Utility_DisplayArrayInTable(Common_SourceData.Common_SourceData_ConvertGasElementalToMolecular_Data(),Table_GasToMolecularConversionFactor[[#Headers],[Gas]], 0)</f>
        <v>16/12</v>
      </c>
      <c r="F49" s="39" cm="1">
        <f t="array" ref="F49">Common_InputFunctions.Utility_DisplayArrayInTable(Common_SourceData.Common_SourceData_ConvertGasElementalToMolecular_Data(),Table_GasToMolecularConversionFactor[[#Headers],[Gas]], 0)</f>
        <v>16</v>
      </c>
      <c r="G49" s="39" cm="1">
        <f t="array" ref="G49">Common_InputFunctions.Utility_DisplayArrayInTable(Common_SourceData.Common_SourceData_ConvertGasElementalToMolecular_Data(),Table_GasToMolecularConversionFactor[[#Headers],[Gas]], 0)</f>
        <v>12</v>
      </c>
      <c r="H49" s="39">
        <f>Table_GasToMolecularConversionFactor[[#This Row],[Conversion factor 1]]/Table_GasToMolecularConversionFactor[[#This Row],[Conversion factor 2]]</f>
        <v>1.3333333333333333</v>
      </c>
    </row>
    <row r="50" spans="4:8" ht="20.100000000000001" customHeight="1" x14ac:dyDescent="0.25">
      <c r="D50" s="39" t="str" cm="1">
        <f t="array" ref="D50">Common_InputFunctions.Utility_DisplayArrayInTable(Common_SourceData.Common_SourceData_ConvertGasElementalToMolecular_Data(),Table_GasToMolecularConversionFactor[[#Headers],[Gas]], 0)</f>
        <v>N2O</v>
      </c>
      <c r="E50" s="39" t="str" cm="1">
        <f t="array" ref="E50">Common_InputFunctions.Utility_DisplayArrayInTable(Common_SourceData.Common_SourceData_ConvertGasElementalToMolecular_Data(),Table_GasToMolecularConversionFactor[[#Headers],[Gas]], 0)</f>
        <v>44/28</v>
      </c>
      <c r="F50" s="39" cm="1">
        <f t="array" ref="F50">Common_InputFunctions.Utility_DisplayArrayInTable(Common_SourceData.Common_SourceData_ConvertGasElementalToMolecular_Data(),Table_GasToMolecularConversionFactor[[#Headers],[Gas]], 0)</f>
        <v>44</v>
      </c>
      <c r="G50" s="39" cm="1">
        <f t="array" ref="G50">Common_InputFunctions.Utility_DisplayArrayInTable(Common_SourceData.Common_SourceData_ConvertGasElementalToMolecular_Data(),Table_GasToMolecularConversionFactor[[#Headers],[Gas]], 0)</f>
        <v>28</v>
      </c>
      <c r="H50" s="39">
        <f>Table_GasToMolecularConversionFactor[[#This Row],[Conversion factor 1]]/Table_GasToMolecularConversionFactor[[#This Row],[Conversion factor 2]]</f>
        <v>1.5714285714285714</v>
      </c>
    </row>
    <row r="51" spans="4:8" ht="20.100000000000001" customHeight="1" x14ac:dyDescent="0.25">
      <c r="D51" s="39" t="str" cm="1">
        <f t="array" ref="D51">Common_InputFunctions.Utility_DisplayArrayInTable(Common_SourceData.Common_SourceData_ConvertGasElementalToMolecular_Data(),Table_GasToMolecularConversionFactor[[#Headers],[Gas]], 0)</f>
        <v>Nox</v>
      </c>
      <c r="E51" s="39" t="str" cm="1">
        <f t="array" ref="E51">Common_InputFunctions.Utility_DisplayArrayInTable(Common_SourceData.Common_SourceData_ConvertGasElementalToMolecular_Data(),Table_GasToMolecularConversionFactor[[#Headers],[Gas]], 0)</f>
        <v>46/14</v>
      </c>
      <c r="F51" s="39" cm="1">
        <f t="array" ref="F51">Common_InputFunctions.Utility_DisplayArrayInTable(Common_SourceData.Common_SourceData_ConvertGasElementalToMolecular_Data(),Table_GasToMolecularConversionFactor[[#Headers],[Gas]], 0)</f>
        <v>46</v>
      </c>
      <c r="G51" s="39" cm="1">
        <f t="array" ref="G51">Common_InputFunctions.Utility_DisplayArrayInTable(Common_SourceData.Common_SourceData_ConvertGasElementalToMolecular_Data(),Table_GasToMolecularConversionFactor[[#Headers],[Gas]], 0)</f>
        <v>14</v>
      </c>
      <c r="H51" s="39">
        <f>Table_GasToMolecularConversionFactor[[#This Row],[Conversion factor 1]]/Table_GasToMolecularConversionFactor[[#This Row],[Conversion factor 2]]</f>
        <v>3.2857142857142856</v>
      </c>
    </row>
    <row r="52" spans="4:8" ht="20.100000000000001" customHeight="1" x14ac:dyDescent="0.25">
      <c r="D52" s="39" t="str" cm="1">
        <f t="array" ref="D52">Common_InputFunctions.Utility_DisplayArrayInTable(Common_SourceData.Common_SourceData_ConvertGasElementalToMolecular_Data(),Table_GasToMolecularConversionFactor[[#Headers],[Gas]], 0)</f>
        <v>CO</v>
      </c>
      <c r="E52" s="39" t="str" cm="1">
        <f t="array" ref="E52">Common_InputFunctions.Utility_DisplayArrayInTable(Common_SourceData.Common_SourceData_ConvertGasElementalToMolecular_Data(),Table_GasToMolecularConversionFactor[[#Headers],[Gas]], 0)</f>
        <v>28/12</v>
      </c>
      <c r="F52" s="39" cm="1">
        <f t="array" ref="F52">Common_InputFunctions.Utility_DisplayArrayInTable(Common_SourceData.Common_SourceData_ConvertGasElementalToMolecular_Data(),Table_GasToMolecularConversionFactor[[#Headers],[Gas]], 0)</f>
        <v>28</v>
      </c>
      <c r="G52" s="39" cm="1">
        <f t="array" ref="G52">Common_InputFunctions.Utility_DisplayArrayInTable(Common_SourceData.Common_SourceData_ConvertGasElementalToMolecular_Data(),Table_GasToMolecularConversionFactor[[#Headers],[Gas]], 0)</f>
        <v>12</v>
      </c>
      <c r="H52" s="39">
        <f>Table_GasToMolecularConversionFactor[[#This Row],[Conversion factor 1]]/Table_GasToMolecularConversionFactor[[#This Row],[Conversion factor 2]]</f>
        <v>2.3333333333333335</v>
      </c>
    </row>
    <row r="53" spans="4:8" ht="20.100000000000001" customHeight="1" x14ac:dyDescent="0.25">
      <c r="D53" s="39" t="str" cm="1">
        <f t="array" ref="D53">Common_InputFunctions.Utility_DisplayArrayInTable(Common_SourceData.Common_SourceData_ConvertGasElementalToMolecular_Data(),Table_GasToMolecularConversionFactor[[#Headers],[Gas]], 0)</f>
        <v>CO2 Lime</v>
      </c>
      <c r="E53" s="39" t="str" cm="1">
        <f t="array" ref="E53">Common_InputFunctions.Utility_DisplayArrayInTable(Common_SourceData.Common_SourceData_ConvertGasElementalToMolecular_Data(),Table_GasToMolecularConversionFactor[[#Headers],[Gas]], 0)</f>
        <v>44/12</v>
      </c>
      <c r="F53" s="39" cm="1">
        <f t="array" ref="F53">Common_InputFunctions.Utility_DisplayArrayInTable(Common_SourceData.Common_SourceData_ConvertGasElementalToMolecular_Data(),Table_GasToMolecularConversionFactor[[#Headers],[Gas]], 0)</f>
        <v>44</v>
      </c>
      <c r="G53" s="39" cm="1">
        <f t="array" ref="G53">Common_InputFunctions.Utility_DisplayArrayInTable(Common_SourceData.Common_SourceData_ConvertGasElementalToMolecular_Data(),Table_GasToMolecularConversionFactor[[#Headers],[Gas]], 0)</f>
        <v>12</v>
      </c>
      <c r="H53" s="39">
        <f>Table_GasToMolecularConversionFactor[[#This Row],[Conversion factor 1]]/Table_GasToMolecularConversionFactor[[#This Row],[Conversion factor 2]]</f>
        <v>3.6666666666666665</v>
      </c>
    </row>
    <row r="54" spans="4:8" ht="20.100000000000001" customHeight="1" x14ac:dyDescent="0.25">
      <c r="D54" s="39" t="str" cm="1">
        <f t="array" ref="D54">Common_InputFunctions.Utility_DisplayArrayInTable(Common_SourceData.Common_SourceData_ConvertGasElementalToMolecular_Data(),Table_GasToMolecularConversionFactor[[#Headers],[Gas]], 0)</f>
        <v>NMVOC</v>
      </c>
      <c r="E54" s="39" t="str" cm="1">
        <f t="array" ref="E54">Common_InputFunctions.Utility_DisplayArrayInTable(Common_SourceData.Common_SourceData_ConvertGasElementalToMolecular_Data(),Table_GasToMolecularConversionFactor[[#Headers],[Gas]], 0)</f>
        <v>14/12</v>
      </c>
      <c r="F54" s="39" cm="1">
        <f t="array" ref="F54">Common_InputFunctions.Utility_DisplayArrayInTable(Common_SourceData.Common_SourceData_ConvertGasElementalToMolecular_Data(),Table_GasToMolecularConversionFactor[[#Headers],[Gas]], 0)</f>
        <v>14</v>
      </c>
      <c r="G54" s="39" cm="1">
        <f t="array" ref="G54">Common_InputFunctions.Utility_DisplayArrayInTable(Common_SourceData.Common_SourceData_ConvertGasElementalToMolecular_Data(),Table_GasToMolecularConversionFactor[[#Headers],[Gas]], 0)</f>
        <v>12</v>
      </c>
      <c r="H54" s="39">
        <f>Table_GasToMolecularConversionFactor[[#This Row],[Conversion factor 1]]/Table_GasToMolecularConversionFactor[[#This Row],[Conversion factor 2]]</f>
        <v>1.1666666666666667</v>
      </c>
    </row>
    <row r="55" spans="4:8" ht="20.100000000000001" customHeight="1" x14ac:dyDescent="0.25"/>
    <row r="56" spans="4:8" ht="20.100000000000001" customHeight="1" x14ac:dyDescent="0.25"/>
    <row r="57" spans="4:8" ht="20.100000000000001" customHeight="1" x14ac:dyDescent="0.25">
      <c r="D57" s="6" t="str" cm="1">
        <f t="array" ref="D57">Common_SourceData.Common_SourceData_WetAndDryZones_Title()</f>
        <v>VEERG Australian wet and dry zones</v>
      </c>
    </row>
    <row r="58" spans="4:8" ht="20.100000000000001" customHeight="1" x14ac:dyDescent="0.25">
      <c r="D58" s="5" t="str" cm="1">
        <f t="array" ref="D58">Common_SourceData.Common_SourceData_WetAndDryZones_Source()</f>
        <v>VEERG 2026: Table 1.2: Translating climate zones to wet and dry zones</v>
      </c>
    </row>
    <row r="59" spans="4:8" ht="20.100000000000001" customHeight="1" x14ac:dyDescent="0.25">
      <c r="D59" s="58" t="str" cm="1">
        <f t="array" ref="D59:D61">"⚠️" &amp; Common_SourceData.Common_SourceData_WetAndDryZones_Variation()</f>
        <v>⚠️VARIATION OF SOURCE DATA:</v>
      </c>
    </row>
    <row r="60" spans="4:8" ht="20.100000000000001" customHeight="1" x14ac:dyDescent="0.25">
      <c r="D60" s="58" t="str">
        <v>⚠️Added warm / cool temperate moist / dry - low frost and high temp classes to accommodate climate scenarios excluded by VEERG criteria.</v>
      </c>
    </row>
    <row r="61" spans="4:8" ht="20.100000000000001" customHeight="1" x14ac:dyDescent="0.25">
      <c r="D61" s="58" t="str">
        <v>⚠️Fixed typo - Changed 'Fry' to 'Dry'.</v>
      </c>
    </row>
    <row r="62" spans="4:8" ht="20.100000000000001" customHeight="1" x14ac:dyDescent="0.25"/>
    <row r="63" spans="4:8" ht="20.100000000000001" customHeight="1" x14ac:dyDescent="0.25">
      <c r="D63" s="39" t="s">
        <v>10</v>
      </c>
      <c r="E63" s="39" t="s">
        <v>49</v>
      </c>
    </row>
    <row r="64" spans="4:8" ht="20.100000000000001" customHeight="1" x14ac:dyDescent="0.25">
      <c r="D64" s="39" t="str" cm="1">
        <f t="array" ref="D64">Common_InputFunctions.Utility_DisplayArrayInTable(Common_SourceData.Common_SourceData_WetAndDryZones_Data(), Table_SourceData_WetDryZones[[#Headers],[Climate zone]], 0)</f>
        <v>Tropical montane</v>
      </c>
      <c r="E64" s="39" t="str" cm="1">
        <f t="array" ref="E64">Common_InputFunctions.Utility_DisplayArrayInTable(Common_SourceData.Common_SourceData_WetAndDryZones_Data(), Table_SourceData_WetDryZones[[#Headers],[Climate zone]], 0)</f>
        <v>Wet climate zone</v>
      </c>
    </row>
    <row r="65" spans="4:5" ht="20.100000000000001" customHeight="1" x14ac:dyDescent="0.25">
      <c r="D65" s="39" t="str" cm="1">
        <f t="array" ref="D65">Common_InputFunctions.Utility_DisplayArrayInTable(Common_SourceData.Common_SourceData_WetAndDryZones_Data(), Table_SourceData_WetDryZones[[#Headers],[Climate zone]], 0)</f>
        <v>Tropical wet</v>
      </c>
      <c r="E65" s="39" t="str" cm="1">
        <f t="array" ref="E65">Common_InputFunctions.Utility_DisplayArrayInTable(Common_SourceData.Common_SourceData_WetAndDryZones_Data(), Table_SourceData_WetDryZones[[#Headers],[Climate zone]], 0)</f>
        <v>Wet climate zone</v>
      </c>
    </row>
    <row r="66" spans="4:5" ht="20.100000000000001" customHeight="1" x14ac:dyDescent="0.25">
      <c r="D66" s="39" t="str" cm="1">
        <f t="array" ref="D66">Common_InputFunctions.Utility_DisplayArrayInTable(Common_SourceData.Common_SourceData_WetAndDryZones_Data(), Table_SourceData_WetDryZones[[#Headers],[Climate zone]], 0)</f>
        <v>Tropical moist</v>
      </c>
      <c r="E66" s="39" t="str" cm="1">
        <f t="array" ref="E66">Common_InputFunctions.Utility_DisplayArrayInTable(Common_SourceData.Common_SourceData_WetAndDryZones_Data(), Table_SourceData_WetDryZones[[#Headers],[Climate zone]], 0)</f>
        <v>Wet climate zone</v>
      </c>
    </row>
    <row r="67" spans="4:5" ht="20.100000000000001" customHeight="1" x14ac:dyDescent="0.25">
      <c r="D67" s="39" t="str" cm="1">
        <f t="array" ref="D67">Common_InputFunctions.Utility_DisplayArrayInTable(Common_SourceData.Common_SourceData_WetAndDryZones_Data(), Table_SourceData_WetDryZones[[#Headers],[Climate zone]], 0)</f>
        <v>Tropical dry</v>
      </c>
      <c r="E67" s="39" t="str" cm="1">
        <f t="array" ref="E67">Common_InputFunctions.Utility_DisplayArrayInTable(Common_SourceData.Common_SourceData_WetAndDryZones_Data(), Table_SourceData_WetDryZones[[#Headers],[Climate zone]], 0)</f>
        <v>Dry climate zone</v>
      </c>
    </row>
    <row r="68" spans="4:5" ht="20.100000000000001" customHeight="1" x14ac:dyDescent="0.25">
      <c r="D68" s="39" t="str" cm="1">
        <f t="array" ref="D68">Common_InputFunctions.Utility_DisplayArrayInTable(Common_SourceData.Common_SourceData_WetAndDryZones_Data(), Table_SourceData_WetDryZones[[#Headers],[Climate zone]], 0)</f>
        <v>Warm temperate moist</v>
      </c>
      <c r="E68" s="39" t="str" cm="1">
        <f t="array" ref="E68">Common_InputFunctions.Utility_DisplayArrayInTable(Common_SourceData.Common_SourceData_WetAndDryZones_Data(), Table_SourceData_WetDryZones[[#Headers],[Climate zone]], 0)</f>
        <v>Wet climate zone</v>
      </c>
    </row>
    <row r="69" spans="4:5" ht="20.100000000000001" customHeight="1" x14ac:dyDescent="0.25">
      <c r="D69" s="39" t="str" cm="1">
        <f t="array" ref="D69">Common_InputFunctions.Utility_DisplayArrayInTable(Common_SourceData.Common_SourceData_WetAndDryZones_Data(), Table_SourceData_WetDryZones[[#Headers],[Climate zone]], 0)</f>
        <v>Warm temperate dry</v>
      </c>
      <c r="E69" s="39" t="str" cm="1">
        <f t="array" ref="E69">Common_InputFunctions.Utility_DisplayArrayInTable(Common_SourceData.Common_SourceData_WetAndDryZones_Data(), Table_SourceData_WetDryZones[[#Headers],[Climate zone]], 0)</f>
        <v>Dry climate zone</v>
      </c>
    </row>
    <row r="70" spans="4:5" ht="20.100000000000001" customHeight="1" x14ac:dyDescent="0.25">
      <c r="D70" s="39" t="str" cm="1">
        <f t="array" ref="D70">Common_InputFunctions.Utility_DisplayArrayInTable(Common_SourceData.Common_SourceData_WetAndDryZones_Data(), Table_SourceData_WetDryZones[[#Headers],[Climate zone]], 0)</f>
        <v>Cool temperate moist</v>
      </c>
      <c r="E70" s="39" t="str" cm="1">
        <f t="array" ref="E70">Common_InputFunctions.Utility_DisplayArrayInTable(Common_SourceData.Common_SourceData_WetAndDryZones_Data(), Table_SourceData_WetDryZones[[#Headers],[Climate zone]], 0)</f>
        <v>Wet climate zone</v>
      </c>
    </row>
    <row r="71" spans="4:5" ht="20.100000000000001" customHeight="1" x14ac:dyDescent="0.25">
      <c r="D71" s="39" t="str" cm="1">
        <f t="array" ref="D71">Common_InputFunctions.Utility_DisplayArrayInTable(Common_SourceData.Common_SourceData_WetAndDryZones_Data(), Table_SourceData_WetDryZones[[#Headers],[Climate zone]], 0)</f>
        <v>Cool temperate dry</v>
      </c>
      <c r="E71" s="39" t="str" cm="1">
        <f t="array" ref="E71">Common_InputFunctions.Utility_DisplayArrayInTable(Common_SourceData.Common_SourceData_WetAndDryZones_Data(), Table_SourceData_WetDryZones[[#Headers],[Climate zone]], 0)</f>
        <v>Dry climate zone</v>
      </c>
    </row>
    <row r="72" spans="4:5" ht="20.100000000000001" customHeight="1" x14ac:dyDescent="0.25">
      <c r="D72" s="39" t="str" cm="1">
        <f t="array" ref="D72">Common_InputFunctions.Utility_DisplayArrayInTable(Common_SourceData.Common_SourceData_WetAndDryZones_Data(), Table_SourceData_WetDryZones[[#Headers],[Climate zone]], 0)</f>
        <v>Warm temperate moist - low frost</v>
      </c>
      <c r="E72" s="39" t="str" cm="1">
        <f t="array" ref="E72">Common_InputFunctions.Utility_DisplayArrayInTable(Common_SourceData.Common_SourceData_WetAndDryZones_Data(), Table_SourceData_WetDryZones[[#Headers],[Climate zone]], 0)</f>
        <v>Wet climate zone</v>
      </c>
    </row>
    <row r="73" spans="4:5" ht="20.100000000000001" customHeight="1" x14ac:dyDescent="0.25">
      <c r="D73" s="39" t="str" cm="1">
        <f t="array" ref="D73">Common_InputFunctions.Utility_DisplayArrayInTable(Common_SourceData.Common_SourceData_WetAndDryZones_Data(), Table_SourceData_WetDryZones[[#Headers],[Climate zone]], 0)</f>
        <v>Warm temperate dry - low frost</v>
      </c>
      <c r="E73" s="39" t="str" cm="1">
        <f t="array" ref="E73">Common_InputFunctions.Utility_DisplayArrayInTable(Common_SourceData.Common_SourceData_WetAndDryZones_Data(), Table_SourceData_WetDryZones[[#Headers],[Climate zone]], 0)</f>
        <v>Dry climate zone</v>
      </c>
    </row>
    <row r="74" spans="4:5" ht="20.100000000000001" customHeight="1" x14ac:dyDescent="0.25">
      <c r="D74" s="39" t="str" cm="1">
        <f t="array" ref="D74">Common_InputFunctions.Utility_DisplayArrayInTable(Common_SourceData.Common_SourceData_WetAndDryZones_Data(), Table_SourceData_WetDryZones[[#Headers],[Climate zone]], 0)</f>
        <v>Warm temperate moist - high temp</v>
      </c>
      <c r="E74" s="39" t="str" cm="1">
        <f t="array" ref="E74">Common_InputFunctions.Utility_DisplayArrayInTable(Common_SourceData.Common_SourceData_WetAndDryZones_Data(), Table_SourceData_WetDryZones[[#Headers],[Climate zone]], 0)</f>
        <v>Wet climate zone</v>
      </c>
    </row>
    <row r="75" spans="4:5" ht="20.100000000000001" customHeight="1" x14ac:dyDescent="0.25">
      <c r="D75" s="39" t="str" cm="1">
        <f t="array" ref="D75">Common_InputFunctions.Utility_DisplayArrayInTable(Common_SourceData.Common_SourceData_WetAndDryZones_Data(), Table_SourceData_WetDryZones[[#Headers],[Climate zone]], 0)</f>
        <v>Warm temperate dry - high temp</v>
      </c>
      <c r="E75" s="39" t="str" cm="1">
        <f t="array" ref="E75">Common_InputFunctions.Utility_DisplayArrayInTable(Common_SourceData.Common_SourceData_WetAndDryZones_Data(), Table_SourceData_WetDryZones[[#Headers],[Climate zone]], 0)</f>
        <v>Dry climate zone</v>
      </c>
    </row>
    <row r="76" spans="4:5" ht="20.100000000000001" customHeight="1" x14ac:dyDescent="0.25">
      <c r="D76" s="39" t="str" cm="1">
        <f t="array" ref="D76">Common_InputFunctions.Utility_DisplayArrayInTable(Common_SourceData.Common_SourceData_WetAndDryZones_Data(), Table_SourceData_WetDryZones[[#Headers],[Climate zone]], 0)</f>
        <v>Cool temperate moist - low frost</v>
      </c>
      <c r="E76" s="39" t="str" cm="1">
        <f t="array" ref="E76">Common_InputFunctions.Utility_DisplayArrayInTable(Common_SourceData.Common_SourceData_WetAndDryZones_Data(), Table_SourceData_WetDryZones[[#Headers],[Climate zone]], 0)</f>
        <v>Wet climate zone</v>
      </c>
    </row>
    <row r="77" spans="4:5" ht="20.100000000000001" customHeight="1" x14ac:dyDescent="0.25">
      <c r="D77" s="39" t="str" cm="1">
        <f t="array" ref="D77">Common_InputFunctions.Utility_DisplayArrayInTable(Common_SourceData.Common_SourceData_WetAndDryZones_Data(), Table_SourceData_WetDryZones[[#Headers],[Climate zone]], 0)</f>
        <v>Cool temperate dry - low frost</v>
      </c>
      <c r="E77" s="39" t="str" cm="1">
        <f t="array" ref="E77">Common_InputFunctions.Utility_DisplayArrayInTable(Common_SourceData.Common_SourceData_WetAndDryZones_Data(), Table_SourceData_WetDryZones[[#Headers],[Climate zone]], 0)</f>
        <v>Dry climate zone</v>
      </c>
    </row>
    <row r="78" spans="4:5" ht="20.100000000000001" customHeight="1" x14ac:dyDescent="0.25"/>
    <row r="79" spans="4:5" ht="20.100000000000001" customHeight="1" x14ac:dyDescent="0.25"/>
    <row r="80" spans="4:5" ht="20.100000000000001" customHeight="1" x14ac:dyDescent="0.25"/>
    <row r="81" spans="4:19" ht="20.100000000000001" customHeight="1" x14ac:dyDescent="0.25">
      <c r="D81" s="6" t="str" cm="1">
        <f t="array" ref="D81">Common_SourceData.Common_SourceData_ClimateZones_Title()</f>
        <v>VEERG Australian climate zones</v>
      </c>
    </row>
    <row r="82" spans="4:19" ht="20.100000000000001" customHeight="1" x14ac:dyDescent="0.25">
      <c r="D82" s="5" t="str" cm="1">
        <f t="array" ref="D82">Common_SourceData.Common_SourceData_ClimateZones_Source()</f>
        <v>VEERG 2026: Table 1.3: Climate and Rainfall zone classifications and definitions</v>
      </c>
    </row>
    <row r="83" spans="4:19" ht="20.100000000000001" customHeight="1" x14ac:dyDescent="0.25">
      <c r="D83" s="58" t="str" cm="1">
        <f t="array" ref="D83:D87">"⚠️" &amp; Common_SourceData.Common_SourceData_ClimateZones_Variation()</f>
        <v>⚠️VARIATION OF SOURCE DATA:</v>
      </c>
    </row>
    <row r="84" spans="4:19" ht="20.100000000000001" customHeight="1" x14ac:dyDescent="0.25">
      <c r="D84" s="58" t="str">
        <v>⚠️Added warm / cool temperate moist / dry - low frost and high temp classes to accommodate climate scenarios excluded by VEERG criteria.</v>
      </c>
    </row>
    <row r="85" spans="4:19" ht="20.100000000000001" customHeight="1" x14ac:dyDescent="0.25">
      <c r="D85" s="58" t="str">
        <v>⚠️Fixed typo in MAT value for warm temperate dry - changed 10 to 11.</v>
      </c>
    </row>
    <row r="86" spans="4:19" ht="20.100000000000001" customHeight="1" x14ac:dyDescent="0.25">
      <c r="D86" s="58" t="str">
        <v>⚠️Added min and max columns for MAT, MAP, frost days per year, elevation, MAP:PET to calculate zones from real climate data.</v>
      </c>
    </row>
    <row r="87" spans="4:19" ht="20.100000000000001" customHeight="1" x14ac:dyDescent="0.25">
      <c r="D87" s="58" t="str">
        <v>⚠️GAF accepts rainfall as a proxy for precipitation.</v>
      </c>
    </row>
    <row r="88" spans="4:19" ht="20.100000000000001" customHeight="1" x14ac:dyDescent="0.25"/>
    <row r="89" spans="4:19" ht="20.100000000000001" customHeight="1" x14ac:dyDescent="0.25">
      <c r="D89" s="39" t="s">
        <v>10</v>
      </c>
      <c r="E89" s="39" t="s">
        <v>37</v>
      </c>
      <c r="F89" s="39" t="s">
        <v>38</v>
      </c>
      <c r="G89" s="39" t="s">
        <v>39</v>
      </c>
      <c r="H89" s="39" t="s">
        <v>40</v>
      </c>
      <c r="I89" s="39" t="s">
        <v>41</v>
      </c>
      <c r="J89" s="39" t="s">
        <v>42</v>
      </c>
      <c r="K89" s="39" t="s">
        <v>43</v>
      </c>
      <c r="L89" s="39" t="s">
        <v>44</v>
      </c>
      <c r="M89" s="39" t="s">
        <v>45</v>
      </c>
      <c r="N89" s="39" t="s">
        <v>46</v>
      </c>
      <c r="O89" s="39" t="s">
        <v>50</v>
      </c>
      <c r="P89" s="39" t="s">
        <v>47</v>
      </c>
      <c r="Q89" s="39" t="s">
        <v>51</v>
      </c>
      <c r="R89" s="39" t="s">
        <v>48</v>
      </c>
      <c r="S89" s="39" t="s">
        <v>52</v>
      </c>
    </row>
    <row r="90" spans="4:19" ht="20.100000000000001" customHeight="1" x14ac:dyDescent="0.25">
      <c r="D90" s="39" t="str" cm="1">
        <f t="array" ref="D90">Common_InputFunctions.Utility_DisplayArrayInTable(Common_SourceData.Common_SourceData_ClimateZones_Data(), Table_SourceData_ClimateZones[[#Headers],[Climate zone]], 0)</f>
        <v>Tropical montane</v>
      </c>
      <c r="E90" s="39" t="str" cm="1">
        <f t="array" ref="E90">Common_InputFunctions.Utility_DisplayArrayInTable(Common_SourceData.Common_SourceData_ClimateZones_Data(), Table_SourceData_ClimateZones[[#Headers],[Climate zone]], 0)</f>
        <v>&gt; 18 C</v>
      </c>
      <c r="F90" s="39" t="str" cm="1">
        <f t="array" ref="F90">Common_InputFunctions.Utility_DisplayArrayInTable(Common_SourceData.Common_SourceData_ClimateZones_Data(), Table_SourceData_ClimateZones[[#Headers],[Climate zone]], 0)</f>
        <v>Any</v>
      </c>
      <c r="G90" s="39" t="str" cm="1">
        <f t="array" ref="G90">Common_InputFunctions.Utility_DisplayArrayInTable(Common_SourceData.Common_SourceData_ClimateZones_Data(), Table_SourceData_ClimateZones[[#Headers],[Climate zone]], 0)</f>
        <v>≤ 7</v>
      </c>
      <c r="H90" s="39" t="str" cm="1">
        <f t="array" ref="H90">Common_InputFunctions.Utility_DisplayArrayInTable(Common_SourceData.Common_SourceData_ClimateZones_Data(), Table_SourceData_ClimateZones[[#Headers],[Climate zone]], 0)</f>
        <v>&gt; 1000 m</v>
      </c>
      <c r="I90" s="39" t="str" cm="1">
        <f t="array" ref="I90">Common_InputFunctions.Utility_DisplayArrayInTable(Common_SourceData.Common_SourceData_ClimateZones_Data(), Table_SourceData_ClimateZones[[#Headers],[Climate zone]], 0)</f>
        <v>Any</v>
      </c>
      <c r="J90" s="39" cm="1">
        <f t="array" ref="J90">Common_InputFunctions.Utility_DisplayArrayInTable(Common_SourceData.Common_SourceData_ClimateZones_Data(), Table_SourceData_ClimateZones[[#Headers],[Climate zone]], 0)</f>
        <v>18.001000000000001</v>
      </c>
      <c r="K90" s="39" cm="1">
        <f t="array" ref="K90">Common_InputFunctions.Utility_DisplayArrayInTable(Common_SourceData.Common_SourceData_ClimateZones_Data(), Table_SourceData_ClimateZones[[#Headers],[Climate zone]], 0)</f>
        <v>999999</v>
      </c>
      <c r="L90" s="39" cm="1">
        <f t="array" ref="L90">Common_InputFunctions.Utility_DisplayArrayInTable(Common_SourceData.Common_SourceData_ClimateZones_Data(), Table_SourceData_ClimateZones[[#Headers],[Climate zone]], 0)</f>
        <v>-999999</v>
      </c>
      <c r="M90" s="39" cm="1">
        <f t="array" ref="M90">Common_InputFunctions.Utility_DisplayArrayInTable(Common_SourceData.Common_SourceData_ClimateZones_Data(), Table_SourceData_ClimateZones[[#Headers],[Climate zone]], 0)</f>
        <v>999999</v>
      </c>
      <c r="N90" s="39" cm="1">
        <f t="array" ref="N90">Common_InputFunctions.Utility_DisplayArrayInTable(Common_SourceData.Common_SourceData_ClimateZones_Data(), Table_SourceData_ClimateZones[[#Headers],[Climate zone]], 0)</f>
        <v>-999999</v>
      </c>
      <c r="O90" s="39" cm="1">
        <f t="array" ref="O90">Common_InputFunctions.Utility_DisplayArrayInTable(Common_SourceData.Common_SourceData_ClimateZones_Data(), Table_SourceData_ClimateZones[[#Headers],[Climate zone]], 0)</f>
        <v>7</v>
      </c>
      <c r="P90" s="39" cm="1">
        <f t="array" ref="P90">Common_InputFunctions.Utility_DisplayArrayInTable(Common_SourceData.Common_SourceData_ClimateZones_Data(), Table_SourceData_ClimateZones[[#Headers],[Climate zone]], 0)</f>
        <v>1000</v>
      </c>
      <c r="Q90" s="39" cm="1">
        <f t="array" ref="Q90">Common_InputFunctions.Utility_DisplayArrayInTable(Common_SourceData.Common_SourceData_ClimateZones_Data(), Table_SourceData_ClimateZones[[#Headers],[Climate zone]], 0)</f>
        <v>999999</v>
      </c>
      <c r="R90" s="39" cm="1">
        <f t="array" ref="R90">Common_InputFunctions.Utility_DisplayArrayInTable(Common_SourceData.Common_SourceData_ClimateZones_Data(), Table_SourceData_ClimateZones[[#Headers],[Climate zone]], 0)</f>
        <v>-999999</v>
      </c>
      <c r="S90" s="39" cm="1">
        <f t="array" ref="S90">Common_InputFunctions.Utility_DisplayArrayInTable(Common_SourceData.Common_SourceData_ClimateZones_Data(), Table_SourceData_ClimateZones[[#Headers],[Climate zone]], 0)</f>
        <v>999999</v>
      </c>
    </row>
    <row r="91" spans="4:19" ht="20.100000000000001" customHeight="1" x14ac:dyDescent="0.25">
      <c r="D91" s="39" t="str" cm="1">
        <f t="array" ref="D91">Common_InputFunctions.Utility_DisplayArrayInTable(Common_SourceData.Common_SourceData_ClimateZones_Data(), Table_SourceData_ClimateZones[[#Headers],[Climate zone]], 0)</f>
        <v>Tropical wet</v>
      </c>
      <c r="E91" s="39" t="str" cm="1">
        <f t="array" ref="E91">Common_InputFunctions.Utility_DisplayArrayInTable(Common_SourceData.Common_SourceData_ClimateZones_Data(), Table_SourceData_ClimateZones[[#Headers],[Climate zone]], 0)</f>
        <v>&gt; 18 C</v>
      </c>
      <c r="F91" s="39" t="str" cm="1">
        <f t="array" ref="F91">Common_InputFunctions.Utility_DisplayArrayInTable(Common_SourceData.Common_SourceData_ClimateZones_Data(), Table_SourceData_ClimateZones[[#Headers],[Climate zone]], 0)</f>
        <v>&gt; 2000 mm</v>
      </c>
      <c r="G91" s="39" t="str" cm="1">
        <f t="array" ref="G91">Common_InputFunctions.Utility_DisplayArrayInTable(Common_SourceData.Common_SourceData_ClimateZones_Data(), Table_SourceData_ClimateZones[[#Headers],[Climate zone]], 0)</f>
        <v>≤ 7</v>
      </c>
      <c r="H91" s="39" t="str" cm="1">
        <f t="array" ref="H91">Common_InputFunctions.Utility_DisplayArrayInTable(Common_SourceData.Common_SourceData_ClimateZones_Data(), Table_SourceData_ClimateZones[[#Headers],[Climate zone]], 0)</f>
        <v>≤ 1000 m</v>
      </c>
      <c r="I91" s="39" t="str" cm="1">
        <f t="array" ref="I91">Common_InputFunctions.Utility_DisplayArrayInTable(Common_SourceData.Common_SourceData_ClimateZones_Data(), Table_SourceData_ClimateZones[[#Headers],[Climate zone]], 0)</f>
        <v>Any</v>
      </c>
      <c r="J91" s="39" cm="1">
        <f t="array" ref="J91">Common_InputFunctions.Utility_DisplayArrayInTable(Common_SourceData.Common_SourceData_ClimateZones_Data(), Table_SourceData_ClimateZones[[#Headers],[Climate zone]], 0)</f>
        <v>18.001000000000001</v>
      </c>
      <c r="K91" s="39" cm="1">
        <f t="array" ref="K91">Common_InputFunctions.Utility_DisplayArrayInTable(Common_SourceData.Common_SourceData_ClimateZones_Data(), Table_SourceData_ClimateZones[[#Headers],[Climate zone]], 0)</f>
        <v>999999</v>
      </c>
      <c r="L91" s="39" cm="1">
        <f t="array" ref="L91">Common_InputFunctions.Utility_DisplayArrayInTable(Common_SourceData.Common_SourceData_ClimateZones_Data(), Table_SourceData_ClimateZones[[#Headers],[Climate zone]], 0)</f>
        <v>2000.001</v>
      </c>
      <c r="M91" s="39" cm="1">
        <f t="array" ref="M91">Common_InputFunctions.Utility_DisplayArrayInTable(Common_SourceData.Common_SourceData_ClimateZones_Data(), Table_SourceData_ClimateZones[[#Headers],[Climate zone]], 0)</f>
        <v>999999</v>
      </c>
      <c r="N91" s="39" cm="1">
        <f t="array" ref="N91">Common_InputFunctions.Utility_DisplayArrayInTable(Common_SourceData.Common_SourceData_ClimateZones_Data(), Table_SourceData_ClimateZones[[#Headers],[Climate zone]], 0)</f>
        <v>-999999</v>
      </c>
      <c r="O91" s="39" cm="1">
        <f t="array" ref="O91">Common_InputFunctions.Utility_DisplayArrayInTable(Common_SourceData.Common_SourceData_ClimateZones_Data(), Table_SourceData_ClimateZones[[#Headers],[Climate zone]], 0)</f>
        <v>7</v>
      </c>
      <c r="P91" s="39" cm="1">
        <f t="array" ref="P91">Common_InputFunctions.Utility_DisplayArrayInTable(Common_SourceData.Common_SourceData_ClimateZones_Data(), Table_SourceData_ClimateZones[[#Headers],[Climate zone]], 0)</f>
        <v>-999999</v>
      </c>
      <c r="Q91" s="39" cm="1">
        <f t="array" ref="Q91">Common_InputFunctions.Utility_DisplayArrayInTable(Common_SourceData.Common_SourceData_ClimateZones_Data(), Table_SourceData_ClimateZones[[#Headers],[Climate zone]], 0)</f>
        <v>999.99900000000002</v>
      </c>
      <c r="R91" s="39" cm="1">
        <f t="array" ref="R91">Common_InputFunctions.Utility_DisplayArrayInTable(Common_SourceData.Common_SourceData_ClimateZones_Data(), Table_SourceData_ClimateZones[[#Headers],[Climate zone]], 0)</f>
        <v>-999999</v>
      </c>
      <c r="S91" s="39" cm="1">
        <f t="array" ref="S91">Common_InputFunctions.Utility_DisplayArrayInTable(Common_SourceData.Common_SourceData_ClimateZones_Data(), Table_SourceData_ClimateZones[[#Headers],[Climate zone]], 0)</f>
        <v>999999</v>
      </c>
    </row>
    <row r="92" spans="4:19" ht="20.100000000000001" customHeight="1" x14ac:dyDescent="0.25">
      <c r="D92" s="39" t="str" cm="1">
        <f t="array" ref="D92">Common_InputFunctions.Utility_DisplayArrayInTable(Common_SourceData.Common_SourceData_ClimateZones_Data(), Table_SourceData_ClimateZones[[#Headers],[Climate zone]], 0)</f>
        <v>Tropical moist</v>
      </c>
      <c r="E92" s="39" t="str" cm="1">
        <f t="array" ref="E92">Common_InputFunctions.Utility_DisplayArrayInTable(Common_SourceData.Common_SourceData_ClimateZones_Data(), Table_SourceData_ClimateZones[[#Headers],[Climate zone]], 0)</f>
        <v>&gt; 18 C</v>
      </c>
      <c r="F92" s="39" t="str" cm="1">
        <f t="array" ref="F92">Common_InputFunctions.Utility_DisplayArrayInTable(Common_SourceData.Common_SourceData_ClimateZones_Data(), Table_SourceData_ClimateZones[[#Headers],[Climate zone]], 0)</f>
        <v>&gt; 1000 mm - ≤ 2000 mm</v>
      </c>
      <c r="G92" s="39" t="str" cm="1">
        <f t="array" ref="G92">Common_InputFunctions.Utility_DisplayArrayInTable(Common_SourceData.Common_SourceData_ClimateZones_Data(), Table_SourceData_ClimateZones[[#Headers],[Climate zone]], 0)</f>
        <v>≤ 7</v>
      </c>
      <c r="H92" s="39" t="str" cm="1">
        <f t="array" ref="H92">Common_InputFunctions.Utility_DisplayArrayInTable(Common_SourceData.Common_SourceData_ClimateZones_Data(), Table_SourceData_ClimateZones[[#Headers],[Climate zone]], 0)</f>
        <v>≤ 1000 m</v>
      </c>
      <c r="I92" s="39" t="str" cm="1">
        <f t="array" ref="I92">Common_InputFunctions.Utility_DisplayArrayInTable(Common_SourceData.Common_SourceData_ClimateZones_Data(), Table_SourceData_ClimateZones[[#Headers],[Climate zone]], 0)</f>
        <v>Any</v>
      </c>
      <c r="J92" s="39" cm="1">
        <f t="array" ref="J92">Common_InputFunctions.Utility_DisplayArrayInTable(Common_SourceData.Common_SourceData_ClimateZones_Data(), Table_SourceData_ClimateZones[[#Headers],[Climate zone]], 0)</f>
        <v>18.001000000000001</v>
      </c>
      <c r="K92" s="39" cm="1">
        <f t="array" ref="K92">Common_InputFunctions.Utility_DisplayArrayInTable(Common_SourceData.Common_SourceData_ClimateZones_Data(), Table_SourceData_ClimateZones[[#Headers],[Climate zone]], 0)</f>
        <v>999999</v>
      </c>
      <c r="L92" s="39" cm="1">
        <f t="array" ref="L92">Common_InputFunctions.Utility_DisplayArrayInTable(Common_SourceData.Common_SourceData_ClimateZones_Data(), Table_SourceData_ClimateZones[[#Headers],[Climate zone]], 0)</f>
        <v>1000.001</v>
      </c>
      <c r="M92" s="39" cm="1">
        <f t="array" ref="M92">Common_InputFunctions.Utility_DisplayArrayInTable(Common_SourceData.Common_SourceData_ClimateZones_Data(), Table_SourceData_ClimateZones[[#Headers],[Climate zone]], 0)</f>
        <v>2000</v>
      </c>
      <c r="N92" s="39" cm="1">
        <f t="array" ref="N92">Common_InputFunctions.Utility_DisplayArrayInTable(Common_SourceData.Common_SourceData_ClimateZones_Data(), Table_SourceData_ClimateZones[[#Headers],[Climate zone]], 0)</f>
        <v>-999999</v>
      </c>
      <c r="O92" s="39" cm="1">
        <f t="array" ref="O92">Common_InputFunctions.Utility_DisplayArrayInTable(Common_SourceData.Common_SourceData_ClimateZones_Data(), Table_SourceData_ClimateZones[[#Headers],[Climate zone]], 0)</f>
        <v>7</v>
      </c>
      <c r="P92" s="39" cm="1">
        <f t="array" ref="P92">Common_InputFunctions.Utility_DisplayArrayInTable(Common_SourceData.Common_SourceData_ClimateZones_Data(), Table_SourceData_ClimateZones[[#Headers],[Climate zone]], 0)</f>
        <v>-999999</v>
      </c>
      <c r="Q92" s="39" cm="1">
        <f t="array" ref="Q92">Common_InputFunctions.Utility_DisplayArrayInTable(Common_SourceData.Common_SourceData_ClimateZones_Data(), Table_SourceData_ClimateZones[[#Headers],[Climate zone]], 0)</f>
        <v>999.99900000000002</v>
      </c>
      <c r="R92" s="39" cm="1">
        <f t="array" ref="R92">Common_InputFunctions.Utility_DisplayArrayInTable(Common_SourceData.Common_SourceData_ClimateZones_Data(), Table_SourceData_ClimateZones[[#Headers],[Climate zone]], 0)</f>
        <v>-999999</v>
      </c>
      <c r="S92" s="39" cm="1">
        <f t="array" ref="S92">Common_InputFunctions.Utility_DisplayArrayInTable(Common_SourceData.Common_SourceData_ClimateZones_Data(), Table_SourceData_ClimateZones[[#Headers],[Climate zone]], 0)</f>
        <v>999999</v>
      </c>
    </row>
    <row r="93" spans="4:19" ht="20.100000000000001" customHeight="1" x14ac:dyDescent="0.25">
      <c r="D93" s="39" t="str" cm="1">
        <f t="array" ref="D93">Common_InputFunctions.Utility_DisplayArrayInTable(Common_SourceData.Common_SourceData_ClimateZones_Data(), Table_SourceData_ClimateZones[[#Headers],[Climate zone]], 0)</f>
        <v>Tropical dry</v>
      </c>
      <c r="E93" s="39" t="str" cm="1">
        <f t="array" ref="E93">Common_InputFunctions.Utility_DisplayArrayInTable(Common_SourceData.Common_SourceData_ClimateZones_Data(), Table_SourceData_ClimateZones[[#Headers],[Climate zone]], 0)</f>
        <v>&gt; 18 C</v>
      </c>
      <c r="F93" s="39" t="str" cm="1">
        <f t="array" ref="F93">Common_InputFunctions.Utility_DisplayArrayInTable(Common_SourceData.Common_SourceData_ClimateZones_Data(), Table_SourceData_ClimateZones[[#Headers],[Climate zone]], 0)</f>
        <v>≤ 1000 mm</v>
      </c>
      <c r="G93" s="39" t="str" cm="1">
        <f t="array" ref="G93">Common_InputFunctions.Utility_DisplayArrayInTable(Common_SourceData.Common_SourceData_ClimateZones_Data(), Table_SourceData_ClimateZones[[#Headers],[Climate zone]], 0)</f>
        <v>≤ 7</v>
      </c>
      <c r="H93" s="39" t="str" cm="1">
        <f t="array" ref="H93">Common_InputFunctions.Utility_DisplayArrayInTable(Common_SourceData.Common_SourceData_ClimateZones_Data(), Table_SourceData_ClimateZones[[#Headers],[Climate zone]], 0)</f>
        <v>≤ 1000 m</v>
      </c>
      <c r="I93" s="39" t="str" cm="1">
        <f t="array" ref="I93">Common_InputFunctions.Utility_DisplayArrayInTable(Common_SourceData.Common_SourceData_ClimateZones_Data(), Table_SourceData_ClimateZones[[#Headers],[Climate zone]], 0)</f>
        <v>Any</v>
      </c>
      <c r="J93" s="39" cm="1">
        <f t="array" ref="J93">Common_InputFunctions.Utility_DisplayArrayInTable(Common_SourceData.Common_SourceData_ClimateZones_Data(), Table_SourceData_ClimateZones[[#Headers],[Climate zone]], 0)</f>
        <v>18.001000000000001</v>
      </c>
      <c r="K93" s="39" cm="1">
        <f t="array" ref="K93">Common_InputFunctions.Utility_DisplayArrayInTable(Common_SourceData.Common_SourceData_ClimateZones_Data(), Table_SourceData_ClimateZones[[#Headers],[Climate zone]], 0)</f>
        <v>999999</v>
      </c>
      <c r="L93" s="39" cm="1">
        <f t="array" ref="L93">Common_InputFunctions.Utility_DisplayArrayInTable(Common_SourceData.Common_SourceData_ClimateZones_Data(), Table_SourceData_ClimateZones[[#Headers],[Climate zone]], 0)</f>
        <v>-999999</v>
      </c>
      <c r="M93" s="39" cm="1">
        <f t="array" ref="M93">Common_InputFunctions.Utility_DisplayArrayInTable(Common_SourceData.Common_SourceData_ClimateZones_Data(), Table_SourceData_ClimateZones[[#Headers],[Climate zone]], 0)</f>
        <v>1000</v>
      </c>
      <c r="N93" s="39" cm="1">
        <f t="array" ref="N93">Common_InputFunctions.Utility_DisplayArrayInTable(Common_SourceData.Common_SourceData_ClimateZones_Data(), Table_SourceData_ClimateZones[[#Headers],[Climate zone]], 0)</f>
        <v>-999999</v>
      </c>
      <c r="O93" s="39" cm="1">
        <f t="array" ref="O93">Common_InputFunctions.Utility_DisplayArrayInTable(Common_SourceData.Common_SourceData_ClimateZones_Data(), Table_SourceData_ClimateZones[[#Headers],[Climate zone]], 0)</f>
        <v>7</v>
      </c>
      <c r="P93" s="39" cm="1">
        <f t="array" ref="P93">Common_InputFunctions.Utility_DisplayArrayInTable(Common_SourceData.Common_SourceData_ClimateZones_Data(), Table_SourceData_ClimateZones[[#Headers],[Climate zone]], 0)</f>
        <v>-999999</v>
      </c>
      <c r="Q93" s="39" cm="1">
        <f t="array" ref="Q93">Common_InputFunctions.Utility_DisplayArrayInTable(Common_SourceData.Common_SourceData_ClimateZones_Data(), Table_SourceData_ClimateZones[[#Headers],[Climate zone]], 0)</f>
        <v>999.99900000000002</v>
      </c>
      <c r="R93" s="39" cm="1">
        <f t="array" ref="R93">Common_InputFunctions.Utility_DisplayArrayInTable(Common_SourceData.Common_SourceData_ClimateZones_Data(), Table_SourceData_ClimateZones[[#Headers],[Climate zone]], 0)</f>
        <v>-999999</v>
      </c>
      <c r="S93" s="39" cm="1">
        <f t="array" ref="S93">Common_InputFunctions.Utility_DisplayArrayInTable(Common_SourceData.Common_SourceData_ClimateZones_Data(), Table_SourceData_ClimateZones[[#Headers],[Climate zone]], 0)</f>
        <v>999999</v>
      </c>
    </row>
    <row r="94" spans="4:19" ht="20.100000000000001" customHeight="1" x14ac:dyDescent="0.25">
      <c r="D94" s="39" t="str" cm="1">
        <f t="array" ref="D94">Common_InputFunctions.Utility_DisplayArrayInTable(Common_SourceData.Common_SourceData_ClimateZones_Data(), Table_SourceData_ClimateZones[[#Headers],[Climate zone]], 0)</f>
        <v>Warm temperate moist</v>
      </c>
      <c r="E94" s="39" t="str" cm="1">
        <f t="array" ref="E94">Common_InputFunctions.Utility_DisplayArrayInTable(Common_SourceData.Common_SourceData_ClimateZones_Data(), Table_SourceData_ClimateZones[[#Headers],[Climate zone]], 0)</f>
        <v>&gt; 10 C</v>
      </c>
      <c r="F94" s="39" t="str" cm="1">
        <f t="array" ref="F94">Common_InputFunctions.Utility_DisplayArrayInTable(Common_SourceData.Common_SourceData_ClimateZones_Data(), Table_SourceData_ClimateZones[[#Headers],[Climate zone]], 0)</f>
        <v>Any</v>
      </c>
      <c r="G94" s="39" t="str" cm="1">
        <f t="array" ref="G94">Common_InputFunctions.Utility_DisplayArrayInTable(Common_SourceData.Common_SourceData_ClimateZones_Data(), Table_SourceData_ClimateZones[[#Headers],[Climate zone]], 0)</f>
        <v>Any</v>
      </c>
      <c r="H94" s="39" t="str" cm="1">
        <f t="array" ref="H94">Common_InputFunctions.Utility_DisplayArrayInTable(Common_SourceData.Common_SourceData_ClimateZones_Data(), Table_SourceData_ClimateZones[[#Headers],[Climate zone]], 0)</f>
        <v>Any</v>
      </c>
      <c r="I94" s="39" t="str" cm="1">
        <f t="array" ref="I94">Common_InputFunctions.Utility_DisplayArrayInTable(Common_SourceData.Common_SourceData_ClimateZones_Data(), Table_SourceData_ClimateZones[[#Headers],[Climate zone]], 0)</f>
        <v>&gt; 1</v>
      </c>
      <c r="J94" s="39" cm="1">
        <f t="array" ref="J94">Common_InputFunctions.Utility_DisplayArrayInTable(Common_SourceData.Common_SourceData_ClimateZones_Data(), Table_SourceData_ClimateZones[[#Headers],[Climate zone]], 0)</f>
        <v>10.000999999999999</v>
      </c>
      <c r="K94" s="39" cm="1">
        <f t="array" ref="K94">Common_InputFunctions.Utility_DisplayArrayInTable(Common_SourceData.Common_SourceData_ClimateZones_Data(), Table_SourceData_ClimateZones[[#Headers],[Climate zone]], 0)</f>
        <v>999999</v>
      </c>
      <c r="L94" s="39" cm="1">
        <f t="array" ref="L94">Common_InputFunctions.Utility_DisplayArrayInTable(Common_SourceData.Common_SourceData_ClimateZones_Data(), Table_SourceData_ClimateZones[[#Headers],[Climate zone]], 0)</f>
        <v>-999999</v>
      </c>
      <c r="M94" s="39" cm="1">
        <f t="array" ref="M94">Common_InputFunctions.Utility_DisplayArrayInTable(Common_SourceData.Common_SourceData_ClimateZones_Data(), Table_SourceData_ClimateZones[[#Headers],[Climate zone]], 0)</f>
        <v>999999</v>
      </c>
      <c r="N94" s="39" cm="1">
        <f t="array" ref="N94">Common_InputFunctions.Utility_DisplayArrayInTable(Common_SourceData.Common_SourceData_ClimateZones_Data(), Table_SourceData_ClimateZones[[#Headers],[Climate zone]], 0)</f>
        <v>-999999</v>
      </c>
      <c r="O94" s="39" cm="1">
        <f t="array" ref="O94">Common_InputFunctions.Utility_DisplayArrayInTable(Common_SourceData.Common_SourceData_ClimateZones_Data(), Table_SourceData_ClimateZones[[#Headers],[Climate zone]], 0)</f>
        <v>999999</v>
      </c>
      <c r="P94" s="39" cm="1">
        <f t="array" ref="P94">Common_InputFunctions.Utility_DisplayArrayInTable(Common_SourceData.Common_SourceData_ClimateZones_Data(), Table_SourceData_ClimateZones[[#Headers],[Climate zone]], 0)</f>
        <v>-999999</v>
      </c>
      <c r="Q94" s="39" cm="1">
        <f t="array" ref="Q94">Common_InputFunctions.Utility_DisplayArrayInTable(Common_SourceData.Common_SourceData_ClimateZones_Data(), Table_SourceData_ClimateZones[[#Headers],[Climate zone]], 0)</f>
        <v>999999</v>
      </c>
      <c r="R94" s="39" cm="1">
        <f t="array" ref="R94">Common_InputFunctions.Utility_DisplayArrayInTable(Common_SourceData.Common_SourceData_ClimateZones_Data(), Table_SourceData_ClimateZones[[#Headers],[Climate zone]], 0)</f>
        <v>1.0009999999999999</v>
      </c>
      <c r="S94" s="39" cm="1">
        <f t="array" ref="S94">Common_InputFunctions.Utility_DisplayArrayInTable(Common_SourceData.Common_SourceData_ClimateZones_Data(), Table_SourceData_ClimateZones[[#Headers],[Climate zone]], 0)</f>
        <v>999999</v>
      </c>
    </row>
    <row r="95" spans="4:19" ht="20.100000000000001" customHeight="1" x14ac:dyDescent="0.25">
      <c r="D95" s="39" t="str" cm="1">
        <f t="array" ref="D95">Common_InputFunctions.Utility_DisplayArrayInTable(Common_SourceData.Common_SourceData_ClimateZones_Data(), Table_SourceData_ClimateZones[[#Headers],[Climate zone]], 0)</f>
        <v>Warm temperate dry</v>
      </c>
      <c r="E95" s="39" t="str" cm="1">
        <f t="array" ref="E95">Common_InputFunctions.Utility_DisplayArrayInTable(Common_SourceData.Common_SourceData_ClimateZones_Data(), Table_SourceData_ClimateZones[[#Headers],[Climate zone]], 0)</f>
        <v>&gt; 10 C</v>
      </c>
      <c r="F95" s="39" t="str" cm="1">
        <f t="array" ref="F95">Common_InputFunctions.Utility_DisplayArrayInTable(Common_SourceData.Common_SourceData_ClimateZones_Data(), Table_SourceData_ClimateZones[[#Headers],[Climate zone]], 0)</f>
        <v>Any</v>
      </c>
      <c r="G95" s="39" t="str" cm="1">
        <f t="array" ref="G95">Common_InputFunctions.Utility_DisplayArrayInTable(Common_SourceData.Common_SourceData_ClimateZones_Data(), Table_SourceData_ClimateZones[[#Headers],[Climate zone]], 0)</f>
        <v>Any</v>
      </c>
      <c r="H95" s="39" t="str" cm="1">
        <f t="array" ref="H95">Common_InputFunctions.Utility_DisplayArrayInTable(Common_SourceData.Common_SourceData_ClimateZones_Data(), Table_SourceData_ClimateZones[[#Headers],[Climate zone]], 0)</f>
        <v>Any</v>
      </c>
      <c r="I95" s="39" t="str" cm="1">
        <f t="array" ref="I95">Common_InputFunctions.Utility_DisplayArrayInTable(Common_SourceData.Common_SourceData_ClimateZones_Data(), Table_SourceData_ClimateZones[[#Headers],[Climate zone]], 0)</f>
        <v>≤ 1</v>
      </c>
      <c r="J95" s="39" cm="1">
        <f t="array" ref="J95">Common_InputFunctions.Utility_DisplayArrayInTable(Common_SourceData.Common_SourceData_ClimateZones_Data(), Table_SourceData_ClimateZones[[#Headers],[Climate zone]], 0)</f>
        <v>10.000999999999999</v>
      </c>
      <c r="K95" s="39" cm="1">
        <f t="array" ref="K95">Common_InputFunctions.Utility_DisplayArrayInTable(Common_SourceData.Common_SourceData_ClimateZones_Data(), Table_SourceData_ClimateZones[[#Headers],[Climate zone]], 0)</f>
        <v>999999</v>
      </c>
      <c r="L95" s="39" cm="1">
        <f t="array" ref="L95">Common_InputFunctions.Utility_DisplayArrayInTable(Common_SourceData.Common_SourceData_ClimateZones_Data(), Table_SourceData_ClimateZones[[#Headers],[Climate zone]], 0)</f>
        <v>-999999</v>
      </c>
      <c r="M95" s="39" cm="1">
        <f t="array" ref="M95">Common_InputFunctions.Utility_DisplayArrayInTable(Common_SourceData.Common_SourceData_ClimateZones_Data(), Table_SourceData_ClimateZones[[#Headers],[Climate zone]], 0)</f>
        <v>999999</v>
      </c>
      <c r="N95" s="39" cm="1">
        <f t="array" ref="N95">Common_InputFunctions.Utility_DisplayArrayInTable(Common_SourceData.Common_SourceData_ClimateZones_Data(), Table_SourceData_ClimateZones[[#Headers],[Climate zone]], 0)</f>
        <v>-999999</v>
      </c>
      <c r="O95" s="39" cm="1">
        <f t="array" ref="O95">Common_InputFunctions.Utility_DisplayArrayInTable(Common_SourceData.Common_SourceData_ClimateZones_Data(), Table_SourceData_ClimateZones[[#Headers],[Climate zone]], 0)</f>
        <v>999999</v>
      </c>
      <c r="P95" s="39" cm="1">
        <f t="array" ref="P95">Common_InputFunctions.Utility_DisplayArrayInTable(Common_SourceData.Common_SourceData_ClimateZones_Data(), Table_SourceData_ClimateZones[[#Headers],[Climate zone]], 0)</f>
        <v>-999999</v>
      </c>
      <c r="Q95" s="39" cm="1">
        <f t="array" ref="Q95">Common_InputFunctions.Utility_DisplayArrayInTable(Common_SourceData.Common_SourceData_ClimateZones_Data(), Table_SourceData_ClimateZones[[#Headers],[Climate zone]], 0)</f>
        <v>999999</v>
      </c>
      <c r="R95" s="39" cm="1">
        <f t="array" ref="R95">Common_InputFunctions.Utility_DisplayArrayInTable(Common_SourceData.Common_SourceData_ClimateZones_Data(), Table_SourceData_ClimateZones[[#Headers],[Climate zone]], 0)</f>
        <v>-999999</v>
      </c>
      <c r="S95" s="39" cm="1">
        <f t="array" ref="S95">Common_InputFunctions.Utility_DisplayArrayInTable(Common_SourceData.Common_SourceData_ClimateZones_Data(), Table_SourceData_ClimateZones[[#Headers],[Climate zone]], 0)</f>
        <v>1</v>
      </c>
    </row>
    <row r="96" spans="4:19" ht="20.100000000000001" customHeight="1" x14ac:dyDescent="0.25">
      <c r="D96" s="39" t="str" cm="1">
        <f t="array" ref="D96">Common_InputFunctions.Utility_DisplayArrayInTable(Common_SourceData.Common_SourceData_ClimateZones_Data(), Table_SourceData_ClimateZones[[#Headers],[Climate zone]], 0)</f>
        <v>Cool temperate moist</v>
      </c>
      <c r="E96" s="39" t="str" cm="1">
        <f t="array" ref="E96">Common_InputFunctions.Utility_DisplayArrayInTable(Common_SourceData.Common_SourceData_ClimateZones_Data(), Table_SourceData_ClimateZones[[#Headers],[Climate zone]], 0)</f>
        <v>&gt; 0 C - ≤ 10 C</v>
      </c>
      <c r="F96" s="39" t="str" cm="1">
        <f t="array" ref="F96">Common_InputFunctions.Utility_DisplayArrayInTable(Common_SourceData.Common_SourceData_ClimateZones_Data(), Table_SourceData_ClimateZones[[#Headers],[Climate zone]], 0)</f>
        <v>Any</v>
      </c>
      <c r="G96" s="39" t="str" cm="1">
        <f t="array" ref="G96">Common_InputFunctions.Utility_DisplayArrayInTable(Common_SourceData.Common_SourceData_ClimateZones_Data(), Table_SourceData_ClimateZones[[#Headers],[Climate zone]], 0)</f>
        <v>Any</v>
      </c>
      <c r="H96" s="39" t="str" cm="1">
        <f t="array" ref="H96">Common_InputFunctions.Utility_DisplayArrayInTable(Common_SourceData.Common_SourceData_ClimateZones_Data(), Table_SourceData_ClimateZones[[#Headers],[Climate zone]], 0)</f>
        <v>Any</v>
      </c>
      <c r="I96" s="39" t="str" cm="1">
        <f t="array" ref="I96">Common_InputFunctions.Utility_DisplayArrayInTable(Common_SourceData.Common_SourceData_ClimateZones_Data(), Table_SourceData_ClimateZones[[#Headers],[Climate zone]], 0)</f>
        <v>&gt; 1</v>
      </c>
      <c r="J96" s="39" cm="1">
        <f t="array" ref="J96">Common_InputFunctions.Utility_DisplayArrayInTable(Common_SourceData.Common_SourceData_ClimateZones_Data(), Table_SourceData_ClimateZones[[#Headers],[Climate zone]], 0)</f>
        <v>-999999</v>
      </c>
      <c r="K96" s="39" cm="1">
        <f t="array" ref="K96">Common_InputFunctions.Utility_DisplayArrayInTable(Common_SourceData.Common_SourceData_ClimateZones_Data(), Table_SourceData_ClimateZones[[#Headers],[Climate zone]], 0)</f>
        <v>10</v>
      </c>
      <c r="L96" s="39" cm="1">
        <f t="array" ref="L96">Common_InputFunctions.Utility_DisplayArrayInTable(Common_SourceData.Common_SourceData_ClimateZones_Data(), Table_SourceData_ClimateZones[[#Headers],[Climate zone]], 0)</f>
        <v>-999999</v>
      </c>
      <c r="M96" s="39" cm="1">
        <f t="array" ref="M96">Common_InputFunctions.Utility_DisplayArrayInTable(Common_SourceData.Common_SourceData_ClimateZones_Data(), Table_SourceData_ClimateZones[[#Headers],[Climate zone]], 0)</f>
        <v>999999</v>
      </c>
      <c r="N96" s="39" cm="1">
        <f t="array" ref="N96">Common_InputFunctions.Utility_DisplayArrayInTable(Common_SourceData.Common_SourceData_ClimateZones_Data(), Table_SourceData_ClimateZones[[#Headers],[Climate zone]], 0)</f>
        <v>-999999</v>
      </c>
      <c r="O96" s="39" cm="1">
        <f t="array" ref="O96">Common_InputFunctions.Utility_DisplayArrayInTable(Common_SourceData.Common_SourceData_ClimateZones_Data(), Table_SourceData_ClimateZones[[#Headers],[Climate zone]], 0)</f>
        <v>999999</v>
      </c>
      <c r="P96" s="39" cm="1">
        <f t="array" ref="P96">Common_InputFunctions.Utility_DisplayArrayInTable(Common_SourceData.Common_SourceData_ClimateZones_Data(), Table_SourceData_ClimateZones[[#Headers],[Climate zone]], 0)</f>
        <v>-999999</v>
      </c>
      <c r="Q96" s="39" cm="1">
        <f t="array" ref="Q96">Common_InputFunctions.Utility_DisplayArrayInTable(Common_SourceData.Common_SourceData_ClimateZones_Data(), Table_SourceData_ClimateZones[[#Headers],[Climate zone]], 0)</f>
        <v>999999</v>
      </c>
      <c r="R96" s="39" cm="1">
        <f t="array" ref="R96">Common_InputFunctions.Utility_DisplayArrayInTable(Common_SourceData.Common_SourceData_ClimateZones_Data(), Table_SourceData_ClimateZones[[#Headers],[Climate zone]], 0)</f>
        <v>1.0009999999999999</v>
      </c>
      <c r="S96" s="39" cm="1">
        <f t="array" ref="S96">Common_InputFunctions.Utility_DisplayArrayInTable(Common_SourceData.Common_SourceData_ClimateZones_Data(), Table_SourceData_ClimateZones[[#Headers],[Climate zone]], 0)</f>
        <v>999999</v>
      </c>
    </row>
    <row r="97" spans="4:19" ht="20.100000000000001" customHeight="1" x14ac:dyDescent="0.25">
      <c r="D97" s="39" t="str" cm="1">
        <f t="array" ref="D97">Common_InputFunctions.Utility_DisplayArrayInTable(Common_SourceData.Common_SourceData_ClimateZones_Data(), Table_SourceData_ClimateZones[[#Headers],[Climate zone]], 0)</f>
        <v>Cool temperate dry</v>
      </c>
      <c r="E97" s="39" t="str" cm="1">
        <f t="array" ref="E97">Common_InputFunctions.Utility_DisplayArrayInTable(Common_SourceData.Common_SourceData_ClimateZones_Data(), Table_SourceData_ClimateZones[[#Headers],[Climate zone]], 0)</f>
        <v>&gt; 0 C - ≤ 10 C</v>
      </c>
      <c r="F97" s="39" t="str" cm="1">
        <f t="array" ref="F97">Common_InputFunctions.Utility_DisplayArrayInTable(Common_SourceData.Common_SourceData_ClimateZones_Data(), Table_SourceData_ClimateZones[[#Headers],[Climate zone]], 0)</f>
        <v>Any</v>
      </c>
      <c r="G97" s="39" t="str" cm="1">
        <f t="array" ref="G97">Common_InputFunctions.Utility_DisplayArrayInTable(Common_SourceData.Common_SourceData_ClimateZones_Data(), Table_SourceData_ClimateZones[[#Headers],[Climate zone]], 0)</f>
        <v>Any</v>
      </c>
      <c r="H97" s="39" t="str" cm="1">
        <f t="array" ref="H97">Common_InputFunctions.Utility_DisplayArrayInTable(Common_SourceData.Common_SourceData_ClimateZones_Data(), Table_SourceData_ClimateZones[[#Headers],[Climate zone]], 0)</f>
        <v>Any</v>
      </c>
      <c r="I97" s="39" t="str" cm="1">
        <f t="array" ref="I97">Common_InputFunctions.Utility_DisplayArrayInTable(Common_SourceData.Common_SourceData_ClimateZones_Data(), Table_SourceData_ClimateZones[[#Headers],[Climate zone]], 0)</f>
        <v>≤ 1</v>
      </c>
      <c r="J97" s="39" cm="1">
        <f t="array" ref="J97">Common_InputFunctions.Utility_DisplayArrayInTable(Common_SourceData.Common_SourceData_ClimateZones_Data(), Table_SourceData_ClimateZones[[#Headers],[Climate zone]], 0)</f>
        <v>-999999</v>
      </c>
      <c r="K97" s="39" cm="1">
        <f t="array" ref="K97">Common_InputFunctions.Utility_DisplayArrayInTable(Common_SourceData.Common_SourceData_ClimateZones_Data(), Table_SourceData_ClimateZones[[#Headers],[Climate zone]], 0)</f>
        <v>10</v>
      </c>
      <c r="L97" s="39" cm="1">
        <f t="array" ref="L97">Common_InputFunctions.Utility_DisplayArrayInTable(Common_SourceData.Common_SourceData_ClimateZones_Data(), Table_SourceData_ClimateZones[[#Headers],[Climate zone]], 0)</f>
        <v>-999999</v>
      </c>
      <c r="M97" s="39" cm="1">
        <f t="array" ref="M97">Common_InputFunctions.Utility_DisplayArrayInTable(Common_SourceData.Common_SourceData_ClimateZones_Data(), Table_SourceData_ClimateZones[[#Headers],[Climate zone]], 0)</f>
        <v>999999</v>
      </c>
      <c r="N97" s="39" cm="1">
        <f t="array" ref="N97">Common_InputFunctions.Utility_DisplayArrayInTable(Common_SourceData.Common_SourceData_ClimateZones_Data(), Table_SourceData_ClimateZones[[#Headers],[Climate zone]], 0)</f>
        <v>-999999</v>
      </c>
      <c r="O97" s="39" cm="1">
        <f t="array" ref="O97">Common_InputFunctions.Utility_DisplayArrayInTable(Common_SourceData.Common_SourceData_ClimateZones_Data(), Table_SourceData_ClimateZones[[#Headers],[Climate zone]], 0)</f>
        <v>999999</v>
      </c>
      <c r="P97" s="39" cm="1">
        <f t="array" ref="P97">Common_InputFunctions.Utility_DisplayArrayInTable(Common_SourceData.Common_SourceData_ClimateZones_Data(), Table_SourceData_ClimateZones[[#Headers],[Climate zone]], 0)</f>
        <v>-999999</v>
      </c>
      <c r="Q97" s="39" cm="1">
        <f t="array" ref="Q97">Common_InputFunctions.Utility_DisplayArrayInTable(Common_SourceData.Common_SourceData_ClimateZones_Data(), Table_SourceData_ClimateZones[[#Headers],[Climate zone]], 0)</f>
        <v>999999</v>
      </c>
      <c r="R97" s="39" cm="1">
        <f t="array" ref="R97">Common_InputFunctions.Utility_DisplayArrayInTable(Common_SourceData.Common_SourceData_ClimateZones_Data(), Table_SourceData_ClimateZones[[#Headers],[Climate zone]], 0)</f>
        <v>-999999</v>
      </c>
      <c r="S97" s="39" cm="1">
        <f t="array" ref="S97">Common_InputFunctions.Utility_DisplayArrayInTable(Common_SourceData.Common_SourceData_ClimateZones_Data(), Table_SourceData_ClimateZones[[#Headers],[Climate zone]], 0)</f>
        <v>1</v>
      </c>
    </row>
    <row r="98" spans="4:19" ht="20.100000000000001" customHeight="1" x14ac:dyDescent="0.25">
      <c r="D98" s="57" t="str" cm="1">
        <f t="array" ref="D98:D101">Common_SourceData.Common_SourceData_ClimateZones_Appendices()</f>
        <v>Note:</v>
      </c>
    </row>
    <row r="99" spans="4:19" ht="20.100000000000001" customHeight="1" x14ac:dyDescent="0.25">
      <c r="D99" s="57" t="str">
        <v>MAT = mean annual temperature</v>
      </c>
    </row>
    <row r="100" spans="4:19" ht="20.100000000000001" customHeight="1" x14ac:dyDescent="0.25">
      <c r="D100" s="57" t="str">
        <v>MAP = mean annual precipitation</v>
      </c>
    </row>
    <row r="101" spans="4:19" ht="20.100000000000001" customHeight="1" x14ac:dyDescent="0.25">
      <c r="D101" s="57" t="str">
        <v>PET = potential evapotranspiration</v>
      </c>
    </row>
    <row r="102" spans="4:19" ht="20.100000000000001" customHeight="1" x14ac:dyDescent="0.25">
      <c r="D102" s="57"/>
    </row>
    <row r="103" spans="4:19" ht="20.100000000000001" customHeight="1" x14ac:dyDescent="0.25"/>
    <row r="104" spans="4:19" ht="20.100000000000001" customHeight="1" x14ac:dyDescent="0.25"/>
    <row r="105" spans="4:19" ht="20.100000000000001" customHeight="1" x14ac:dyDescent="0.25">
      <c r="D105" s="6" t="str" cm="1">
        <f t="array" ref="D105">Common_SourceData.Common_SourceData_TemperatureZones_Title()</f>
        <v>VEERG Australian temperature zones</v>
      </c>
    </row>
    <row r="106" spans="4:19" ht="20.100000000000001" customHeight="1" x14ac:dyDescent="0.25">
      <c r="D106" s="5" t="str" cm="1">
        <f t="array" ref="D106">Common_SourceData.Common_SourceData_TemperatureZones_Source()</f>
        <v>VEERG 2026: Table 1.3: Climate and Rainfall zone classifications and definitions</v>
      </c>
    </row>
    <row r="107" spans="4:19" ht="20.100000000000001" customHeight="1" x14ac:dyDescent="0.25">
      <c r="D107" s="58" t="str" cm="1">
        <f t="array" ref="D107">"⚠️" &amp; Common_SourceData.Common_SourceData_TemperatureZones_Variation()</f>
        <v>⚠️VARIATION OF SOURCE DATA: Added extra MAT min and MAT max columns to calculate zone from real temperature data.</v>
      </c>
    </row>
    <row r="108" spans="4:19" ht="20.100000000000001" customHeight="1" x14ac:dyDescent="0.25"/>
    <row r="109" spans="4:19" ht="20.100000000000001" customHeight="1" x14ac:dyDescent="0.25">
      <c r="D109" s="39" t="s">
        <v>56</v>
      </c>
      <c r="E109" s="39" t="s">
        <v>37</v>
      </c>
      <c r="F109" s="39" t="s">
        <v>57</v>
      </c>
      <c r="G109" s="39" t="s">
        <v>58</v>
      </c>
    </row>
    <row r="110" spans="4:19" ht="20.100000000000001" customHeight="1" x14ac:dyDescent="0.25">
      <c r="D110" s="39" t="str" cm="1">
        <f t="array" ref="D110">Common_InputFunctions.Utility_DisplayArrayInTable(Common_SourceData.Common_SourceData_TemperatureZones_Data(),Table_SourceData_TemperatureZones[[#Headers],[Temperature Zone]],0)</f>
        <v>Warm</v>
      </c>
      <c r="E110" s="39" t="str" cm="1">
        <f t="array" ref="E110">Common_InputFunctions.Utility_DisplayArrayInTable(Common_SourceData.Common_SourceData_TemperatureZones_Data(),Table_SourceData_TemperatureZones[[#Headers],[Temperature Zone]],0)</f>
        <v>≥ 26 C</v>
      </c>
      <c r="F110" s="39" cm="1">
        <f t="array" ref="F110">Common_InputFunctions.Utility_DisplayArrayInTable(Common_SourceData.Common_SourceData_TemperatureZones_Data(),Table_SourceData_TemperatureZones[[#Headers],[Temperature Zone]],0)</f>
        <v>26</v>
      </c>
      <c r="G110" s="39" cm="1">
        <f t="array" ref="G110">Common_InputFunctions.Utility_DisplayArrayInTable(Common_SourceData.Common_SourceData_TemperatureZones_Data(),Table_SourceData_TemperatureZones[[#Headers],[Temperature Zone]],0)</f>
        <v>999999</v>
      </c>
    </row>
    <row r="111" spans="4:19" ht="20.100000000000001" customHeight="1" x14ac:dyDescent="0.25">
      <c r="D111" s="39" t="str" cm="1">
        <f t="array" ref="D111">Common_InputFunctions.Utility_DisplayArrayInTable(Common_SourceData.Common_SourceData_TemperatureZones_Data(),Table_SourceData_TemperatureZones[[#Headers],[Temperature Zone]],0)</f>
        <v>Temperate</v>
      </c>
      <c r="E111" s="39" t="str" cm="1">
        <f t="array" ref="E111">Common_InputFunctions.Utility_DisplayArrayInTable(Common_SourceData.Common_SourceData_TemperatureZones_Data(),Table_SourceData_TemperatureZones[[#Headers],[Temperature Zone]],0)</f>
        <v>15 - 25 C</v>
      </c>
      <c r="F111" s="39" cm="1">
        <f t="array" ref="F111">Common_InputFunctions.Utility_DisplayArrayInTable(Common_SourceData.Common_SourceData_TemperatureZones_Data(),Table_SourceData_TemperatureZones[[#Headers],[Temperature Zone]],0)</f>
        <v>15</v>
      </c>
      <c r="G111" s="39" cm="1">
        <f t="array" ref="G111">Common_InputFunctions.Utility_DisplayArrayInTable(Common_SourceData.Common_SourceData_TemperatureZones_Data(),Table_SourceData_TemperatureZones[[#Headers],[Temperature Zone]],0)</f>
        <v>25.998999999999999</v>
      </c>
    </row>
    <row r="112" spans="4:19" ht="20.100000000000001" customHeight="1" x14ac:dyDescent="0.25">
      <c r="D112" s="39" t="str" cm="1">
        <f t="array" ref="D112">Common_InputFunctions.Utility_DisplayArrayInTable(Common_SourceData.Common_SourceData_TemperatureZones_Data(),Table_SourceData_TemperatureZones[[#Headers],[Temperature Zone]],0)</f>
        <v>Cool</v>
      </c>
      <c r="E112" s="39" t="str" cm="1">
        <f t="array" ref="E112">Common_InputFunctions.Utility_DisplayArrayInTable(Common_SourceData.Common_SourceData_TemperatureZones_Data(),Table_SourceData_TemperatureZones[[#Headers],[Temperature Zone]],0)</f>
        <v>≤ 14 C</v>
      </c>
      <c r="F112" s="39" cm="1">
        <f t="array" ref="F112">Common_InputFunctions.Utility_DisplayArrayInTable(Common_SourceData.Common_SourceData_TemperatureZones_Data(),Table_SourceData_TemperatureZones[[#Headers],[Temperature Zone]],0)</f>
        <v>-999999</v>
      </c>
      <c r="G112" s="39" cm="1">
        <f t="array" ref="G112">Common_InputFunctions.Utility_DisplayArrayInTable(Common_SourceData.Common_SourceData_TemperatureZones_Data(),Table_SourceData_TemperatureZones[[#Headers],[Temperature Zone]],0)</f>
        <v>14.999000000000001</v>
      </c>
    </row>
    <row r="113" spans="4:65" ht="20.100000000000001" customHeight="1" x14ac:dyDescent="0.25"/>
    <row r="114" spans="4:65" ht="20.100000000000001" customHeight="1" x14ac:dyDescent="0.25"/>
    <row r="115" spans="4:65" ht="20.100000000000001" customHeight="1" x14ac:dyDescent="0.25">
      <c r="D115" s="6" t="str" cm="1">
        <f t="array" ref="D115">Common_SourceData.Common_SourceData_RainfallZones_Title()</f>
        <v>VEERG Australian rainfall zones</v>
      </c>
      <c r="BM115" s="7"/>
    </row>
    <row r="116" spans="4:65" ht="20.100000000000001" customHeight="1" x14ac:dyDescent="0.25">
      <c r="D116" s="5" t="str" cm="1">
        <f t="array" ref="D116">Common_SourceData.Common_SourceData_RainfallZones_Source()</f>
        <v>VEERG 2026: Table 1.3: Climate and Rainfall zone classifications and definitions</v>
      </c>
      <c r="BM116" s="7"/>
    </row>
    <row r="117" spans="4:65" ht="20.100000000000001" customHeight="1" x14ac:dyDescent="0.25">
      <c r="D117" s="58" t="str" cm="1">
        <f t="array" ref="D117">"⚠️" &amp; Common_SourceData.Common_SourceData_RainfallZones_Variation()</f>
        <v>⚠️VARIATION OF SOURCE DATA: Added extra Rainfall min and Rainfall max columns to calculate zone from real rainfall data.</v>
      </c>
      <c r="BM117" s="7"/>
    </row>
    <row r="118" spans="4:65" ht="20.100000000000001" customHeight="1" x14ac:dyDescent="0.25">
      <c r="BM118" s="7"/>
    </row>
    <row r="119" spans="4:65" ht="20.100000000000001" customHeight="1" x14ac:dyDescent="0.25">
      <c r="D119" s="39" t="s">
        <v>59</v>
      </c>
      <c r="E119" s="39" t="s">
        <v>60</v>
      </c>
      <c r="F119" s="39" t="s">
        <v>44</v>
      </c>
      <c r="G119" s="39" t="s">
        <v>45</v>
      </c>
      <c r="BM119" s="7"/>
    </row>
    <row r="120" spans="4:65" ht="20.100000000000001" customHeight="1" x14ac:dyDescent="0.25">
      <c r="D120" s="39" t="str" cm="1">
        <f t="array" ref="D120">Common_InputFunctions.Utility_DisplayArrayInTable(Common_SourceData.Common_SourceData_RainfallZones_Data(),Table_SourceData_RainfallZones[[#Headers],[Rainfall Zone]],0)</f>
        <v>High rainfall</v>
      </c>
      <c r="E120" s="39" t="str" cm="1">
        <f t="array" ref="E120">Common_InputFunctions.Utility_DisplayArrayInTable(Common_SourceData.Common_SourceData_RainfallZones_Data(),Table_SourceData_RainfallZones[[#Headers],[Rainfall Zone]],0)</f>
        <v>Annual rainfall &gt; 600mm</v>
      </c>
      <c r="F120" s="39" cm="1">
        <f t="array" ref="F120">Common_InputFunctions.Utility_DisplayArrayInTable(Common_SourceData.Common_SourceData_RainfallZones_Data(),Table_SourceData_RainfallZones[[#Headers],[Rainfall Zone]],0)</f>
        <v>600.00099999999998</v>
      </c>
      <c r="G120" s="39" cm="1">
        <f t="array" ref="G120">Common_InputFunctions.Utility_DisplayArrayInTable(Common_SourceData.Common_SourceData_RainfallZones_Data(),Table_SourceData_RainfallZones[[#Headers],[Rainfall Zone]],0)</f>
        <v>999999</v>
      </c>
      <c r="BM120" s="7"/>
    </row>
    <row r="121" spans="4:65" ht="20.100000000000001" customHeight="1" x14ac:dyDescent="0.25">
      <c r="D121" s="39" t="str" cm="1">
        <f t="array" ref="D121">Common_InputFunctions.Utility_DisplayArrayInTable(Common_SourceData.Common_SourceData_RainfallZones_Data(),Table_SourceData_RainfallZones[[#Headers],[Rainfall Zone]],0)</f>
        <v>Low rainfall</v>
      </c>
      <c r="E121" s="39" t="str" cm="1">
        <f t="array" ref="E121">Common_InputFunctions.Utility_DisplayArrayInTable(Common_SourceData.Common_SourceData_RainfallZones_Data(),Table_SourceData_RainfallZones[[#Headers],[Rainfall Zone]],0)</f>
        <v>Annual rainfall ≤ 600mm</v>
      </c>
      <c r="F121" s="39" cm="1">
        <f t="array" ref="F121">Common_InputFunctions.Utility_DisplayArrayInTable(Common_SourceData.Common_SourceData_RainfallZones_Data(),Table_SourceData_RainfallZones[[#Headers],[Rainfall Zone]],0)</f>
        <v>-999999</v>
      </c>
      <c r="G121" s="39" cm="1">
        <f t="array" ref="G121">Common_InputFunctions.Utility_DisplayArrayInTable(Common_SourceData.Common_SourceData_RainfallZones_Data(),Table_SourceData_RainfallZones[[#Headers],[Rainfall Zone]],0)</f>
        <v>600</v>
      </c>
      <c r="BM121" s="7"/>
    </row>
    <row r="122" spans="4:65" ht="20.100000000000001" customHeight="1" x14ac:dyDescent="0.25">
      <c r="BM122" s="7"/>
    </row>
    <row r="123" spans="4:65" ht="20.100000000000001" customHeight="1" x14ac:dyDescent="0.25"/>
    <row r="124" spans="4:65" ht="20.100000000000001" customHeight="1" x14ac:dyDescent="0.25">
      <c r="D124" s="6" t="str" cm="1">
        <f t="array" ref="D124">Common_SourceData.Common_SourceData_LeachingZones_Title()</f>
        <v>VEERG Australian leaching zones</v>
      </c>
    </row>
    <row r="125" spans="4:65" ht="20.100000000000001" customHeight="1" x14ac:dyDescent="0.25">
      <c r="D125" s="5" t="str" cm="1">
        <f t="array" ref="D125">Common_SourceData.Common_SourceData_LeachingZones_Source()</f>
        <v>VEERG 2026: Table 1.3: Climate and Rainfall zone classifications and definitions</v>
      </c>
    </row>
    <row r="126" spans="4:65" ht="20.100000000000001" customHeight="1" x14ac:dyDescent="0.25"/>
    <row r="127" spans="4:65" ht="20.100000000000001" customHeight="1" x14ac:dyDescent="0.25">
      <c r="D127" s="39" t="s">
        <v>66</v>
      </c>
      <c r="E127" s="39" t="s">
        <v>67</v>
      </c>
    </row>
    <row r="128" spans="4:65" ht="20.100000000000001" customHeight="1" x14ac:dyDescent="0.25">
      <c r="D128" s="39" t="str" cm="1">
        <f t="array" ref="D128">Common_InputFunctions.Utility_DisplayArrayInTable(Common_SourceData.Common_SourceData_LeachingZones_Data(), Table_SourceData_LeachingZones[[#Headers],[Leaching Zone]], 0)</f>
        <v>Leaching occurs</v>
      </c>
      <c r="E128" s="39" t="str" cm="1">
        <f t="array" ref="E128">Common_InputFunctions.Utility_DisplayArrayInTable(Common_SourceData.Common_SourceData_LeachingZones_Data(), Table_SourceData_LeachingZones[[#Headers],[Leaching Zone]], 0)</f>
        <v>Σ(𝑟𝑎𝑖𝑛)&gt;Σ(𝐸𝑇0)+𝑠𝑜𝑖𝑙 𝑤𝑎𝑡𝑒𝑟 ℎ𝑜𝑙𝑑𝑖𝑛𝑔 𝑐𝑎𝑝𝑎𝑐𝑖𝑡𝑦</v>
      </c>
    </row>
    <row r="129" spans="4:76" ht="20.100000000000001" customHeight="1" x14ac:dyDescent="0.25">
      <c r="D129" s="39" t="str" cm="1">
        <f t="array" ref="D129">Common_InputFunctions.Utility_DisplayArrayInTable(Common_SourceData.Common_SourceData_LeachingZones_Data(), Table_SourceData_LeachingZones[[#Headers],[Leaching Zone]], 0)</f>
        <v>Leaching does not occur</v>
      </c>
      <c r="E129" s="39" t="str" cm="1">
        <f t="array" ref="E129">Common_InputFunctions.Utility_DisplayArrayInTable(Common_SourceData.Common_SourceData_LeachingZones_Data(), Table_SourceData_LeachingZones[[#Headers],[Leaching Zone]], 0)</f>
        <v>Σ(𝑟𝑎𝑖𝑛)≤Σ(𝐸𝑇0)+𝑠𝑜𝑖𝑙 𝑤𝑎𝑡𝑒𝑟 ℎ𝑜𝑙𝑑𝑖𝑛𝑔 𝑐𝑎𝑝𝑎𝑐𝑖𝑡𝑦</v>
      </c>
    </row>
    <row r="130" spans="4:76" ht="20.100000000000001" customHeight="1" x14ac:dyDescent="0.25"/>
    <row r="131" spans="4:76" ht="20.100000000000001" customHeight="1" x14ac:dyDescent="0.25"/>
    <row r="132" spans="4:76" ht="20.100000000000001" customHeight="1" x14ac:dyDescent="0.25">
      <c r="D132" s="6" t="str" cm="1">
        <f t="array" ref="D132">Common_SourceData.Common_SourceData_FracWET_Title()</f>
        <v>Fraction of N that is available for leaching and runoff</v>
      </c>
      <c r="E132" s="24"/>
    </row>
    <row r="133" spans="4:76" ht="20.100000000000001" customHeight="1" x14ac:dyDescent="0.25">
      <c r="D133" s="5" t="str" cm="1">
        <f t="array" ref="D133">Common_SourceData.Common_SourceData_FracWET_Source()</f>
        <v>VEERG 2026:5.5.2.3 Constant Parameters</v>
      </c>
      <c r="E133" s="24"/>
    </row>
    <row r="134" spans="4:76" ht="20.100000000000001" customHeight="1" x14ac:dyDescent="0.25">
      <c r="D134" t="s">
        <v>94</v>
      </c>
      <c r="E134" t="s">
        <v>95</v>
      </c>
    </row>
    <row r="135" spans="4:76" ht="20.100000000000001" customHeight="1" x14ac:dyDescent="0.25">
      <c r="D135" t="str" cm="1">
        <f t="array" ref="D135">Common_InputFunctions.Utility_DisplayArrayInTable(Common_SourceData.Common_SourceData_FracWET_Data(),Table_SourceData_FracWET[[#Headers],[Is in leaching zone]],0)</f>
        <v>Yes - in leaching zone</v>
      </c>
      <c r="E135" cm="1">
        <f t="array" ref="E135">Common_InputFunctions.Utility_DisplayArrayInTable(Common_SourceData.Common_SourceData_FracWET_Data(),Table_SourceData_FracWET[[#Headers],[Is in leaching zone]],0)</f>
        <v>1</v>
      </c>
    </row>
    <row r="136" spans="4:76" ht="20.100000000000001" customHeight="1" x14ac:dyDescent="0.25">
      <c r="D136" s="1" t="str" cm="1">
        <f t="array" ref="D136">Common_InputFunctions.Utility_DisplayArrayInTable(Common_SourceData.Common_SourceData_FracWET_Data(),Table_SourceData_FracWET[[#Headers],[Is in leaching zone]],0)</f>
        <v>No - not in leaching zone</v>
      </c>
      <c r="E136" s="39" cm="1">
        <f t="array" ref="E136">Common_InputFunctions.Utility_DisplayArrayInTable(Common_SourceData.Common_SourceData_FracWET_Data(),Table_SourceData_FracWET[[#Headers],[Is in leaching zone]],0)</f>
        <v>0</v>
      </c>
    </row>
    <row r="137" spans="4:76" ht="20.100000000000001" customHeight="1" x14ac:dyDescent="0.25"/>
    <row r="138" spans="4:76" ht="20.100000000000001" customHeight="1" x14ac:dyDescent="0.25"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</row>
    <row r="139" spans="4:76" ht="20.100000000000001" customHeight="1" x14ac:dyDescent="0.25">
      <c r="D139" s="6" t="str" cm="1">
        <f t="array" ref="D139">Common_SourceData.Common_SourceData_FracWETIrrigation_Title()</f>
        <v>FracWET for irrigation types</v>
      </c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</row>
    <row r="140" spans="4:76" ht="20.100000000000001" customHeight="1" x14ac:dyDescent="0.25">
      <c r="D140" s="5" t="str" cm="1">
        <f t="array" ref="D140">Common_SourceData.Common_SourceData_FracWETIrrigation_Source()</f>
        <v>VEERG 2026: Chapter 1, section 1.8.2 Leaching, climate and rainfall zones</v>
      </c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</row>
    <row r="141" spans="4:76" ht="20.100000000000001" customHeight="1" x14ac:dyDescent="0.25">
      <c r="D141" s="58" t="str" cm="1">
        <f t="array" ref="D141">Common_SourceData.Common_SourceData_FracWETIrrigation_Variation()</f>
        <v>VARIATION FROM SOURCE DATA: Table created based on VEERG text 'Areas are subject to leaching (i.e., in the leaching zone) when... the land is irrigated (except drip irrigation).'</v>
      </c>
      <c r="BM141" s="7"/>
    </row>
    <row r="142" spans="4:76" ht="20.100000000000001" customHeight="1" x14ac:dyDescent="0.25">
      <c r="D142" s="39" t="s">
        <v>341</v>
      </c>
      <c r="E142" s="39" t="s">
        <v>95</v>
      </c>
      <c r="BM142" s="7"/>
    </row>
    <row r="143" spans="4:76" ht="20.100000000000001" customHeight="1" x14ac:dyDescent="0.25">
      <c r="D143" s="39" t="str" cm="1">
        <f t="array" ref="D143">Common_InputFunctions.Utility_DisplayArrayInTable(Common_SourceData.Common_SourceData_FracWETIrrigation_Data(), Table_SourceData_FracWETIrrigation[[#Headers],[Irrigation type i]], 0)</f>
        <v>Not irrigated</v>
      </c>
      <c r="E143" s="39" cm="1">
        <f t="array" ref="E143">Common_InputFunctions.Utility_DisplayArrayInTable(Common_SourceData.Common_SourceData_FracWETIrrigation_Data(), Table_SourceData_FracWETIrrigation[[#Headers],[Irrigation type i]], 0)</f>
        <v>0</v>
      </c>
      <c r="BM143" s="7"/>
    </row>
    <row r="144" spans="4:76" ht="20.100000000000001" customHeight="1" x14ac:dyDescent="0.25">
      <c r="D144" s="1" t="str" cm="1">
        <f t="array" ref="D144">Common_InputFunctions.Utility_DisplayArrayInTable(Common_SourceData.Common_SourceData_FracWETIrrigation_Data(), Table_SourceData_FracWETIrrigation[[#Headers],[Irrigation type i]], 0)</f>
        <v>Drip irrigation</v>
      </c>
      <c r="E144" s="39" cm="1">
        <f t="array" ref="E144">Common_InputFunctions.Utility_DisplayArrayInTable(Common_SourceData.Common_SourceData_FracWETIrrigation_Data(), Table_SourceData_FracWETIrrigation[[#Headers],[Irrigation type i]], 0)</f>
        <v>0</v>
      </c>
      <c r="BM144" s="7"/>
    </row>
    <row r="145" spans="4:65" ht="20.100000000000001" customHeight="1" x14ac:dyDescent="0.25">
      <c r="D145" s="1" t="str" cm="1">
        <f t="array" ref="D145">Common_InputFunctions.Utility_DisplayArrayInTable(Common_SourceData.Common_SourceData_FracWETIrrigation_Data(), Table_SourceData_FracWETIrrigation[[#Headers],[Irrigation type i]], 0)</f>
        <v>Sprinkler irrigation</v>
      </c>
      <c r="E145" s="39" cm="1">
        <f t="array" ref="E145">Common_InputFunctions.Utility_DisplayArrayInTable(Common_SourceData.Common_SourceData_FracWETIrrigation_Data(), Table_SourceData_FracWETIrrigation[[#Headers],[Irrigation type i]], 0)</f>
        <v>1</v>
      </c>
      <c r="BM145" s="7"/>
    </row>
    <row r="146" spans="4:65" ht="20.100000000000001" customHeight="1" x14ac:dyDescent="0.25">
      <c r="D146" s="1" t="str" cm="1">
        <f t="array" ref="D146">Common_InputFunctions.Utility_DisplayArrayInTable(Common_SourceData.Common_SourceData_FracWETIrrigation_Data(), Table_SourceData_FracWETIrrigation[[#Headers],[Irrigation type i]], 0)</f>
        <v>Surface irrigation</v>
      </c>
      <c r="E146" s="39" cm="1">
        <f t="array" ref="E146">Common_InputFunctions.Utility_DisplayArrayInTable(Common_SourceData.Common_SourceData_FracWETIrrigation_Data(), Table_SourceData_FracWETIrrigation[[#Headers],[Irrigation type i]], 0)</f>
        <v>1</v>
      </c>
      <c r="BM146" s="7"/>
    </row>
    <row r="147" spans="4:65" ht="20.100000000000001" customHeight="1" x14ac:dyDescent="0.25">
      <c r="D147" s="1" t="str" cm="1">
        <f t="array" ref="D147">Common_InputFunctions.Utility_DisplayArrayInTable(Common_SourceData.Common_SourceData_FracWETIrrigation_Data(), Table_SourceData_FracWETIrrigation[[#Headers],[Irrigation type i]], 0)</f>
        <v>Other irrigation</v>
      </c>
      <c r="E147" s="39" cm="1">
        <f t="array" ref="E147">Common_InputFunctions.Utility_DisplayArrayInTable(Common_SourceData.Common_SourceData_FracWETIrrigation_Data(), Table_SourceData_FracWETIrrigation[[#Headers],[Irrigation type i]], 0)</f>
        <v>1</v>
      </c>
      <c r="BM147" s="7"/>
    </row>
    <row r="148" spans="4:65" ht="20.100000000000001" customHeight="1" x14ac:dyDescent="0.25">
      <c r="BM148" s="7"/>
    </row>
    <row r="149" spans="4:65" ht="20.100000000000001" customHeight="1" x14ac:dyDescent="0.25">
      <c r="BM149" s="7"/>
    </row>
    <row r="150" spans="4:65" ht="20.100000000000001" customHeight="1" x14ac:dyDescent="0.25">
      <c r="D150" s="6" t="str" cm="1">
        <f t="array" ref="D150">Common_SourceData.Common_SourceData_DataScores_Scope3_Title()</f>
        <v>Australian data scores for scope 3</v>
      </c>
      <c r="BM150" s="7"/>
    </row>
    <row r="151" spans="4:65" ht="20.100000000000001" customHeight="1" x14ac:dyDescent="0.25">
      <c r="D151" s="5" t="str" cm="1">
        <f t="array" ref="D151">Common_SourceData.Common_SourceData_DataScores_Scope3_Source()</f>
        <v>VEERG 2026: XXXXXXXX</v>
      </c>
      <c r="BM151" s="7"/>
    </row>
    <row r="152" spans="4:65" ht="20.100000000000001" customHeight="1" x14ac:dyDescent="0.25">
      <c r="BM152" s="7"/>
    </row>
    <row r="153" spans="4:65" ht="20.100000000000001" customHeight="1" x14ac:dyDescent="0.25">
      <c r="D153" s="39" t="s">
        <v>69</v>
      </c>
      <c r="E153" s="39" t="s">
        <v>70</v>
      </c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4:65" ht="20.100000000000001" customHeight="1" x14ac:dyDescent="0.25">
      <c r="D154" s="39" t="str" cm="1">
        <f t="array" ref="D154">Common_InputFunctions.Utility_DisplayArrayInTable(Common_SourceData.Common_SourceData_DataScores_Scope3_Data(), Table_SourceData_DataScores_Scope3[[#Headers],[Data source]], 0)</f>
        <v>International scope 3 database</v>
      </c>
      <c r="E154" s="39" cm="1">
        <f t="array" ref="E154">Common_InputFunctions.Utility_DisplayArrayInTable(Common_SourceData.Common_SourceData_DataScores_Scope3_Data(), Table_SourceData_DataScores_Scope3[[#Headers],[Data source]], 0)</f>
        <v>1</v>
      </c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4:65" ht="20.100000000000001" customHeight="1" x14ac:dyDescent="0.25">
      <c r="D155" s="39" t="str" cm="1">
        <f t="array" ref="D155">Common_InputFunctions.Utility_DisplayArrayInTable(Common_SourceData.Common_SourceData_DataScores_Scope3_Data(), Table_SourceData_DataScores_Scope3[[#Headers],[Data source]], 0)</f>
        <v>Australian scope 3 database</v>
      </c>
      <c r="E155" s="39" cm="1">
        <f t="array" ref="E155">Common_InputFunctions.Utility_DisplayArrayInTable(Common_SourceData.Common_SourceData_DataScores_Scope3_Data(), Table_SourceData_DataScores_Scope3[[#Headers],[Data source]], 0)</f>
        <v>2</v>
      </c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4:65" ht="20.100000000000001" customHeight="1" x14ac:dyDescent="0.25">
      <c r="D156" s="39" t="str" cm="1">
        <f t="array" ref="D156">Common_InputFunctions.Utility_DisplayArrayInTable(Common_SourceData.Common_SourceData_DataScores_Scope3_Data(), Table_SourceData_DataScores_Scope3[[#Headers],[Data source]], 0)</f>
        <v>State or regional scope 3 database</v>
      </c>
      <c r="E156" s="39" cm="1">
        <f t="array" ref="E156">Common_InputFunctions.Utility_DisplayArrayInTable(Common_SourceData.Common_SourceData_DataScores_Scope3_Data(), Table_SourceData_DataScores_Scope3[[#Headers],[Data source]], 0)</f>
        <v>3</v>
      </c>
    </row>
    <row r="157" spans="4:65" ht="20.100000000000001" customHeight="1" x14ac:dyDescent="0.25">
      <c r="D157" s="39" t="str" cm="1">
        <f t="array" ref="D157">Common_InputFunctions.Utility_DisplayArrayInTable(Common_SourceData.Common_SourceData_DataScores_Scope3_Data(), Table_SourceData_DataScores_Scope3[[#Headers],[Data source]], 0)</f>
        <v>Emissions intensity calculated from approved method</v>
      </c>
      <c r="E157" s="39" cm="1">
        <f t="array" ref="E157">Common_InputFunctions.Utility_DisplayArrayInTable(Common_SourceData.Common_SourceData_DataScores_Scope3_Data(), Table_SourceData_DataScores_Scope3[[#Headers],[Data source]], 0)</f>
        <v>4</v>
      </c>
    </row>
    <row r="158" spans="4:65" ht="20.100000000000001" customHeight="1" x14ac:dyDescent="0.25">
      <c r="D158" s="39" t="str" cm="1">
        <f t="array" ref="D158">Common_InputFunctions.Utility_DisplayArrayInTable(Common_SourceData.Common_SourceData_DataScores_Scope3_Data(), Table_SourceData_DataScores_Scope3[[#Headers],[Data source]], 0)</f>
        <v>Verified credential matching ISO14067</v>
      </c>
      <c r="E158" s="39" cm="1">
        <f t="array" ref="E158">Common_InputFunctions.Utility_DisplayArrayInTable(Common_SourceData.Common_SourceData_DataScores_Scope3_Data(), Table_SourceData_DataScores_Scope3[[#Headers],[Data source]], 0)</f>
        <v>5</v>
      </c>
    </row>
    <row r="159" spans="4:65" ht="20.100000000000001" customHeight="1" x14ac:dyDescent="0.25"/>
    <row r="160" spans="4:65" ht="20.100000000000001" customHeight="1" x14ac:dyDescent="0.25"/>
    <row r="161" spans="4:67" ht="20.100000000000001" customHeight="1" x14ac:dyDescent="0.25">
      <c r="D161" s="6" t="str" cm="1">
        <f t="array" ref="D161">Common_SourceData.Common_SourceData_FracLEACH_Title()</f>
        <v>Fraction of N that is available for leaching and runoff</v>
      </c>
      <c r="E161" s="24"/>
    </row>
    <row r="162" spans="4:67" ht="20.100000000000001" customHeight="1" x14ac:dyDescent="0.25">
      <c r="D162" s="5" t="str" cm="1">
        <f t="array" ref="D162">Common_SourceData.Common_SourceData_FracLEACH_Source()</f>
        <v>VEERG 2026:5.5.2.3 Constant Parameters</v>
      </c>
      <c r="E162" s="24"/>
    </row>
    <row r="163" spans="4:67" ht="20.100000000000001" customHeight="1" x14ac:dyDescent="0.25">
      <c r="D163" s="5" t="str" cm="1">
        <f t="array" ref="D163">Common_SourceData.Common_SourceData_FracLEACH_NIRReference()</f>
        <v>National Inventory Report Volume 1: Leaching and runoff (3.D.b.2)</v>
      </c>
      <c r="E163" s="24"/>
    </row>
    <row r="164" spans="4:67" ht="20.100000000000001" customHeight="1" x14ac:dyDescent="0.25">
      <c r="D164" s="24" t="str" cm="1">
        <f t="array" ref="D164:E164">Common_SourceData.Common_SourceData_FracLEACH_Data()</f>
        <v>FracLEACH</v>
      </c>
      <c r="E164" s="24">
        <v>0.24</v>
      </c>
    </row>
    <row r="165" spans="4:67" ht="20.100000000000001" customHeight="1" x14ac:dyDescent="0.25">
      <c r="BM165" s="7"/>
      <c r="BN165" s="7"/>
      <c r="BO165" s="7"/>
    </row>
    <row r="166" spans="4:67" ht="20.100000000000001" customHeight="1" x14ac:dyDescent="0.25">
      <c r="BM166" s="7"/>
      <c r="BN166" s="7"/>
      <c r="BO166" s="7"/>
    </row>
    <row r="167" spans="4:67" ht="20.100000000000001" customHeight="1" x14ac:dyDescent="0.25">
      <c r="D167" s="6" t="str" cm="1">
        <f t="array" ref="D167">Common_SourceData.Common_SourceData_EFleach_Title()</f>
        <v>Emission factor for nitrogen leaching and runoff</v>
      </c>
      <c r="BM167" s="7"/>
      <c r="BN167" s="7"/>
      <c r="BO167" s="7"/>
    </row>
    <row r="168" spans="4:67" ht="20.100000000000001" customHeight="1" x14ac:dyDescent="0.25">
      <c r="D168" s="5" t="str" cm="1">
        <f t="array" ref="D168">Common_SourceData.Common_SourceData_EFleach_Source()</f>
        <v>VEERG 2026:5.5.2.3 Constant Parameters</v>
      </c>
      <c r="BM168" s="7"/>
      <c r="BN168" s="7"/>
      <c r="BO168" s="7"/>
    </row>
    <row r="169" spans="4:67" ht="20.100000000000001" customHeight="1" x14ac:dyDescent="0.25">
      <c r="D169" s="5" t="str" cm="1">
        <f t="array" ref="D169">Common_SourceData.Common_SourceData_EFleach_NIRReference()</f>
        <v>National Inventory Report Volume 1: Equation 3.D.B_10</v>
      </c>
      <c r="BM169" s="7"/>
      <c r="BN169" s="7"/>
      <c r="BO169" s="7"/>
    </row>
    <row r="170" spans="4:67" ht="20.100000000000001" customHeight="1" x14ac:dyDescent="0.25">
      <c r="D170" s="1" t="str" cm="1">
        <f t="array" ref="D170:E170">Common_SourceData.Common_SourceData_EFleach_Data()</f>
        <v>EFleach</v>
      </c>
      <c r="E170" s="1">
        <v>1.0999999999999999E-2</v>
      </c>
      <c r="BM170" s="7"/>
      <c r="BN170" s="7"/>
      <c r="BO170" s="7"/>
    </row>
    <row r="171" spans="4:67" ht="20.100000000000001" customHeight="1" x14ac:dyDescent="0.25">
      <c r="BM171" s="7"/>
      <c r="BN171" s="7"/>
      <c r="BO171" s="7"/>
    </row>
    <row r="172" spans="4:67" ht="20.100000000000001" customHeight="1" x14ac:dyDescent="0.25">
      <c r="BM172" s="7"/>
      <c r="BN172" s="7"/>
      <c r="BO172" s="7"/>
    </row>
    <row r="173" spans="4:67" ht="20.100000000000001" customHeight="1" x14ac:dyDescent="0.25">
      <c r="D173" s="6" t="str" cm="1">
        <f t="array" ref="D173">Common_SourceData.Common_SourceData_DensityOfMethane_Title()</f>
        <v>p = density of methane</v>
      </c>
      <c r="BM173" s="7"/>
      <c r="BN173" s="7"/>
      <c r="BO173" s="7"/>
    </row>
    <row r="174" spans="4:67" ht="20.100000000000001" customHeight="1" x14ac:dyDescent="0.25">
      <c r="D174" s="5" t="str" cm="1">
        <f t="array" ref="D174">Common_SourceData.Common_SourceData_DensityOfMethane_Source()</f>
        <v>National Inventory Report 2023 Volume 1: Equations 3.B.1a_2, 3.B.1c_2, 3.B.3_1, 3.B.4g_2</v>
      </c>
      <c r="BM174" s="7"/>
      <c r="BN174" s="7"/>
      <c r="BO174" s="7"/>
    </row>
    <row r="175" spans="4:67" ht="20.100000000000001" customHeight="1" x14ac:dyDescent="0.25">
      <c r="D175" s="1" cm="1">
        <f t="array" ref="D175">Common_SourceData.Common_SourceData_DensityOfMethane_Data()</f>
        <v>0.6784</v>
      </c>
      <c r="E175" s="57" t="str" cm="1">
        <f t="array" ref="E175">Common_SourceData.Common_SourceData_DensityOfMethane_Unit()</f>
        <v>kg/m3</v>
      </c>
      <c r="BM175" s="7"/>
      <c r="BN175" s="7"/>
      <c r="BO175" s="7"/>
    </row>
    <row r="176" spans="4:67" ht="20.100000000000001" customHeight="1" x14ac:dyDescent="0.25">
      <c r="BM176" s="7"/>
      <c r="BN176" s="7"/>
      <c r="BO176" s="7"/>
    </row>
    <row r="177" spans="4:67" ht="20.100000000000001" customHeight="1" x14ac:dyDescent="0.25">
      <c r="BM177" s="7"/>
      <c r="BN177" s="7"/>
      <c r="BO177" s="7"/>
    </row>
    <row r="178" spans="4:67" ht="20.100000000000001" customHeight="1" x14ac:dyDescent="0.25">
      <c r="D178" s="6" t="str" cm="1">
        <f t="array" ref="D178">Common_SourceData.Common_SourceData_EFN2O_Title()</f>
        <v>Nitrous oxide emission factors for inorganic fertiliser application</v>
      </c>
      <c r="BM178" s="7"/>
      <c r="BN178" s="7"/>
      <c r="BO178" s="7"/>
    </row>
    <row r="179" spans="4:67" ht="20.100000000000001" customHeight="1" x14ac:dyDescent="0.25">
      <c r="D179" s="5" t="str" cm="1">
        <f t="array" ref="D179">Common_SourceData.Common_SourceData_EFN2O_Source()</f>
        <v>VEERG 2026: Table A.2.2.1</v>
      </c>
      <c r="BM179" s="7"/>
      <c r="BN179" s="7"/>
      <c r="BO179" s="7"/>
    </row>
    <row r="180" spans="4:67" ht="20.100000000000001" customHeight="1" x14ac:dyDescent="0.25">
      <c r="D180" s="57" t="str" cm="1">
        <f t="array" ref="D180">Common_SourceData.Common_SourceData_EFN2O_Unit()</f>
        <v>(kg N2O-N / kg N</v>
      </c>
    </row>
    <row r="181" spans="4:67" ht="20.100000000000001" customHeight="1" x14ac:dyDescent="0.25">
      <c r="D181" s="58" t="str" cm="1">
        <f t="array" ref="D181:D185">Common_SourceData.Common_SourceData_EFN2O_Variation()</f>
        <v>VARIATION OF SOURCE DATA:</v>
      </c>
    </row>
    <row r="182" spans="4:67" ht="20.100000000000001" customHeight="1" x14ac:dyDescent="0.25">
      <c r="D182" s="58" t="str">
        <v>Removed duplicate 'Aquaculture' row.</v>
      </c>
    </row>
    <row r="183" spans="4:67" ht="20.100000000000001" customHeight="1" x14ac:dyDescent="0.25">
      <c r="D183" s="58" t="str">
        <v>Removed asterisks to aid lookup.</v>
      </c>
    </row>
    <row r="184" spans="4:67" ht="20.100000000000001" customHeight="1" x14ac:dyDescent="0.25">
      <c r="D184" s="58" t="str">
        <v>Added 'production system only', 'rainfall zone' and 'irrigation method' columns to aid lookup.</v>
      </c>
    </row>
    <row r="185" spans="4:67" ht="20.100000000000001" customHeight="1" x14ac:dyDescent="0.25">
      <c r="D185" s="58" t="str">
        <v>Duplicated 'non-irrigated pasture' row with same EF for low and high rainfall zones to aid lookup.</v>
      </c>
    </row>
    <row r="186" spans="4:67" ht="20.100000000000001" customHeight="1" x14ac:dyDescent="0.25">
      <c r="D186" s="39" t="s">
        <v>304</v>
      </c>
      <c r="E186" s="39" t="s">
        <v>305</v>
      </c>
      <c r="F186" s="39" t="s">
        <v>306</v>
      </c>
      <c r="G186" s="39" t="s">
        <v>307</v>
      </c>
      <c r="H186" s="39" t="s">
        <v>36</v>
      </c>
    </row>
    <row r="187" spans="4:67" ht="20.100000000000001" customHeight="1" x14ac:dyDescent="0.25">
      <c r="D187" s="39" t="str" cm="1">
        <f t="array" ref="D187">Common_InputFunctions.Utility_DisplayArrayInTable(Common_SourceData.Common_SourceData_EFN2O_Data(), Table_SourceData_Common_EFN2O[[#Headers],[Production system j]], 0)</f>
        <v>Irrigated pasture</v>
      </c>
      <c r="E187" s="39" cm="1">
        <f t="array" ref="E187">Common_InputFunctions.Utility_DisplayArrayInTable(Common_SourceData.Common_SourceData_EFN2O_Data(), Table_SourceData_Common_EFN2O[[#Headers],[Production system j]], 0)</f>
        <v>5.8999999999999999E-3</v>
      </c>
      <c r="F187" s="39" t="str" cm="1">
        <f t="array" ref="F187">Common_InputFunctions.Utility_DisplayArrayInTable(Common_SourceData.Common_SourceData_EFN2O_Data(), Table_SourceData_Common_EFN2O[[#Headers],[Production system j]], 0)</f>
        <v>Pasture</v>
      </c>
      <c r="G187" s="39" t="str" cm="1">
        <f t="array" ref="G187">Common_InputFunctions.Utility_DisplayArrayInTable(Common_SourceData.Common_SourceData_EFN2O_Data(), Table_SourceData_Common_EFN2O[[#Headers],[Production system j]], 0)</f>
        <v>Any</v>
      </c>
      <c r="H187" s="39" t="str" cm="1">
        <f t="array" ref="H187">Common_InputFunctions.Utility_DisplayArrayInTable(Common_SourceData.Common_SourceData_EFN2O_Data(), Table_SourceData_Common_EFN2O[[#Headers],[Production system j]], 0)</f>
        <v>Any</v>
      </c>
    </row>
    <row r="188" spans="4:67" ht="20.100000000000001" customHeight="1" x14ac:dyDescent="0.25">
      <c r="D188" s="39" t="str" cm="1">
        <f t="array" ref="D188">Common_InputFunctions.Utility_DisplayArrayInTable(Common_SourceData.Common_SourceData_EFN2O_Data(), Table_SourceData_Common_EFN2O[[#Headers],[Production system j]], 0)</f>
        <v>Irrigated crop</v>
      </c>
      <c r="E188" s="39" cm="1">
        <f t="array" ref="E188">Common_InputFunctions.Utility_DisplayArrayInTable(Common_SourceData.Common_SourceData_EFN2O_Data(), Table_SourceData_Common_EFN2O[[#Headers],[Production system j]], 0)</f>
        <v>7.0000000000000001E-3</v>
      </c>
      <c r="F188" s="39" t="str" cm="1">
        <f t="array" ref="F188">Common_InputFunctions.Utility_DisplayArrayInTable(Common_SourceData.Common_SourceData_EFN2O_Data(), Table_SourceData_Common_EFN2O[[#Headers],[Production system j]], 0)</f>
        <v>Crop</v>
      </c>
      <c r="G188" s="39" t="str" cm="1">
        <f t="array" ref="G188">Common_InputFunctions.Utility_DisplayArrayInTable(Common_SourceData.Common_SourceData_EFN2O_Data(), Table_SourceData_Common_EFN2O[[#Headers],[Production system j]], 0)</f>
        <v>Any</v>
      </c>
      <c r="H188" s="39" t="str" cm="1">
        <f t="array" ref="H188">Common_InputFunctions.Utility_DisplayArrayInTable(Common_SourceData.Common_SourceData_EFN2O_Data(), Table_SourceData_Common_EFN2O[[#Headers],[Production system j]], 0)</f>
        <v>Any</v>
      </c>
    </row>
    <row r="189" spans="4:67" ht="20.100000000000001" customHeight="1" x14ac:dyDescent="0.25">
      <c r="D189" s="39" t="str" cm="1">
        <f t="array" ref="D189">Common_InputFunctions.Utility_DisplayArrayInTable(Common_SourceData.Common_SourceData_EFN2O_Data(), Table_SourceData_Common_EFN2O[[#Headers],[Production system j]], 0)</f>
        <v>Non-irrigated pasture</v>
      </c>
      <c r="E189" s="39" cm="1">
        <f t="array" ref="E189">Common_InputFunctions.Utility_DisplayArrayInTable(Common_SourceData.Common_SourceData_EFN2O_Data(), Table_SourceData_Common_EFN2O[[#Headers],[Production system j]], 0)</f>
        <v>1.8E-3</v>
      </c>
      <c r="F189" s="39" t="str" cm="1">
        <f t="array" ref="F189">Common_InputFunctions.Utility_DisplayArrayInTable(Common_SourceData.Common_SourceData_EFN2O_Data(), Table_SourceData_Common_EFN2O[[#Headers],[Production system j]], 0)</f>
        <v>Pasture</v>
      </c>
      <c r="G189" s="39" t="str" cm="1">
        <f t="array" ref="G189">Common_InputFunctions.Utility_DisplayArrayInTable(Common_SourceData.Common_SourceData_EFN2O_Data(), Table_SourceData_Common_EFN2O[[#Headers],[Production system j]], 0)</f>
        <v>Not irrigated</v>
      </c>
      <c r="H189" s="39" t="str" cm="1">
        <f t="array" ref="H189">Common_InputFunctions.Utility_DisplayArrayInTable(Common_SourceData.Common_SourceData_EFN2O_Data(), Table_SourceData_Common_EFN2O[[#Headers],[Production system j]], 0)</f>
        <v>Low rainfall</v>
      </c>
    </row>
    <row r="190" spans="4:67" ht="20.100000000000001" customHeight="1" x14ac:dyDescent="0.25">
      <c r="D190" s="39" t="str" cm="1">
        <f t="array" ref="D190">Common_InputFunctions.Utility_DisplayArrayInTable(Common_SourceData.Common_SourceData_EFN2O_Data(), Table_SourceData_Common_EFN2O[[#Headers],[Production system j]], 0)</f>
        <v>Non-irrigated pasture</v>
      </c>
      <c r="E190" s="39" cm="1">
        <f t="array" ref="E190">Common_InputFunctions.Utility_DisplayArrayInTable(Common_SourceData.Common_SourceData_EFN2O_Data(), Table_SourceData_Common_EFN2O[[#Headers],[Production system j]], 0)</f>
        <v>1.8E-3</v>
      </c>
      <c r="F190" s="39" t="str" cm="1">
        <f t="array" ref="F190">Common_InputFunctions.Utility_DisplayArrayInTable(Common_SourceData.Common_SourceData_EFN2O_Data(), Table_SourceData_Common_EFN2O[[#Headers],[Production system j]], 0)</f>
        <v>Pasture</v>
      </c>
      <c r="G190" s="39" t="str" cm="1">
        <f t="array" ref="G190">Common_InputFunctions.Utility_DisplayArrayInTable(Common_SourceData.Common_SourceData_EFN2O_Data(), Table_SourceData_Common_EFN2O[[#Headers],[Production system j]], 0)</f>
        <v>Not irrigated</v>
      </c>
      <c r="H190" s="39" t="str" cm="1">
        <f t="array" ref="H190">Common_InputFunctions.Utility_DisplayArrayInTable(Common_SourceData.Common_SourceData_EFN2O_Data(), Table_SourceData_Common_EFN2O[[#Headers],[Production system j]], 0)</f>
        <v>High rainfall</v>
      </c>
    </row>
    <row r="191" spans="4:67" ht="20.100000000000001" customHeight="1" x14ac:dyDescent="0.25">
      <c r="D191" s="39" t="str" cm="1">
        <f t="array" ref="D191">Common_InputFunctions.Utility_DisplayArrayInTable(Common_SourceData.Common_SourceData_EFN2O_Data(), Table_SourceData_Common_EFN2O[[#Headers],[Production system j]], 0)</f>
        <v>Non-irrigated crop (low rainfall)</v>
      </c>
      <c r="E191" s="39" cm="1">
        <f t="array" ref="E191">Common_InputFunctions.Utility_DisplayArrayInTable(Common_SourceData.Common_SourceData_EFN2O_Data(), Table_SourceData_Common_EFN2O[[#Headers],[Production system j]], 0)</f>
        <v>2.8999999999999998E-3</v>
      </c>
      <c r="F191" s="39" t="str" cm="1">
        <f t="array" ref="F191">Common_InputFunctions.Utility_DisplayArrayInTable(Common_SourceData.Common_SourceData_EFN2O_Data(), Table_SourceData_Common_EFN2O[[#Headers],[Production system j]], 0)</f>
        <v>Crop</v>
      </c>
      <c r="G191" s="39" t="str" cm="1">
        <f t="array" ref="G191">Common_InputFunctions.Utility_DisplayArrayInTable(Common_SourceData.Common_SourceData_EFN2O_Data(), Table_SourceData_Common_EFN2O[[#Headers],[Production system j]], 0)</f>
        <v>Not irrigated</v>
      </c>
      <c r="H191" s="39" t="str" cm="1">
        <f t="array" ref="H191">Common_InputFunctions.Utility_DisplayArrayInTable(Common_SourceData.Common_SourceData_EFN2O_Data(), Table_SourceData_Common_EFN2O[[#Headers],[Production system j]], 0)</f>
        <v>Low rainfall</v>
      </c>
    </row>
    <row r="192" spans="4:67" ht="20.100000000000001" customHeight="1" x14ac:dyDescent="0.25">
      <c r="D192" s="39" t="str" cm="1">
        <f t="array" ref="D192">Common_InputFunctions.Utility_DisplayArrayInTable(Common_SourceData.Common_SourceData_EFN2O_Data(), Table_SourceData_Common_EFN2O[[#Headers],[Production system j]], 0)</f>
        <v>Non-irrigated crop (high rainfall)</v>
      </c>
      <c r="E192" s="39" cm="1">
        <f t="array" ref="E192">Common_InputFunctions.Utility_DisplayArrayInTable(Common_SourceData.Common_SourceData_EFN2O_Data(), Table_SourceData_Common_EFN2O[[#Headers],[Production system j]], 0)</f>
        <v>8.0000000000000002E-3</v>
      </c>
      <c r="F192" s="39" t="str" cm="1">
        <f t="array" ref="F192">Common_InputFunctions.Utility_DisplayArrayInTable(Common_SourceData.Common_SourceData_EFN2O_Data(), Table_SourceData_Common_EFN2O[[#Headers],[Production system j]], 0)</f>
        <v>Crop</v>
      </c>
      <c r="G192" s="39" t="str" cm="1">
        <f t="array" ref="G192">Common_InputFunctions.Utility_DisplayArrayInTable(Common_SourceData.Common_SourceData_EFN2O_Data(), Table_SourceData_Common_EFN2O[[#Headers],[Production system j]], 0)</f>
        <v>Not irrigated</v>
      </c>
      <c r="H192" s="39" t="str" cm="1">
        <f t="array" ref="H192">Common_InputFunctions.Utility_DisplayArrayInTable(Common_SourceData.Common_SourceData_EFN2O_Data(), Table_SourceData_Common_EFN2O[[#Headers],[Production system j]], 0)</f>
        <v>High rainfall</v>
      </c>
    </row>
    <row r="193" spans="4:8" ht="20.100000000000001" customHeight="1" x14ac:dyDescent="0.25">
      <c r="D193" s="39" t="str" cm="1">
        <f t="array" ref="D193">Common_InputFunctions.Utility_DisplayArrayInTable(Common_SourceData.Common_SourceData_EFN2O_Data(), Table_SourceData_Common_EFN2O[[#Headers],[Production system j]], 0)</f>
        <v>Sugar</v>
      </c>
      <c r="E193" s="39" cm="1">
        <f t="array" ref="E193">Common_InputFunctions.Utility_DisplayArrayInTable(Common_SourceData.Common_SourceData_EFN2O_Data(), Table_SourceData_Common_EFN2O[[#Headers],[Production system j]], 0)</f>
        <v>1.9900000000000001E-2</v>
      </c>
      <c r="F193" s="39" t="str" cm="1">
        <f t="array" ref="F193">Common_InputFunctions.Utility_DisplayArrayInTable(Common_SourceData.Common_SourceData_EFN2O_Data(), Table_SourceData_Common_EFN2O[[#Headers],[Production system j]], 0)</f>
        <v>Sugar</v>
      </c>
      <c r="G193" s="39" t="str" cm="1">
        <f t="array" ref="G193">Common_InputFunctions.Utility_DisplayArrayInTable(Common_SourceData.Common_SourceData_EFN2O_Data(), Table_SourceData_Common_EFN2O[[#Headers],[Production system j]], 0)</f>
        <v>Any</v>
      </c>
      <c r="H193" s="39" t="str" cm="1">
        <f t="array" ref="H193">Common_InputFunctions.Utility_DisplayArrayInTable(Common_SourceData.Common_SourceData_EFN2O_Data(), Table_SourceData_Common_EFN2O[[#Headers],[Production system j]], 0)</f>
        <v>Any</v>
      </c>
    </row>
    <row r="194" spans="4:8" ht="20.100000000000001" customHeight="1" x14ac:dyDescent="0.25">
      <c r="D194" s="39" t="str" cm="1">
        <f t="array" ref="D194">Common_InputFunctions.Utility_DisplayArrayInTable(Common_SourceData.Common_SourceData_EFN2O_Data(), Table_SourceData_Common_EFN2O[[#Headers],[Production system j]], 0)</f>
        <v>Cotton</v>
      </c>
      <c r="E194" s="39" cm="1">
        <f t="array" ref="E194">Common_InputFunctions.Utility_DisplayArrayInTable(Common_SourceData.Common_SourceData_EFN2O_Data(), Table_SourceData_Common_EFN2O[[#Headers],[Production system j]], 0)</f>
        <v>5.3E-3</v>
      </c>
      <c r="F194" s="39" t="str" cm="1">
        <f t="array" ref="F194">Common_InputFunctions.Utility_DisplayArrayInTable(Common_SourceData.Common_SourceData_EFN2O_Data(), Table_SourceData_Common_EFN2O[[#Headers],[Production system j]], 0)</f>
        <v>Cotton</v>
      </c>
      <c r="G194" s="39" t="str" cm="1">
        <f t="array" ref="G194">Common_InputFunctions.Utility_DisplayArrayInTable(Common_SourceData.Common_SourceData_EFN2O_Data(), Table_SourceData_Common_EFN2O[[#Headers],[Production system j]], 0)</f>
        <v>Any</v>
      </c>
      <c r="H194" s="39" t="str" cm="1">
        <f t="array" ref="H194">Common_InputFunctions.Utility_DisplayArrayInTable(Common_SourceData.Common_SourceData_EFN2O_Data(), Table_SourceData_Common_EFN2O[[#Headers],[Production system j]], 0)</f>
        <v>Any</v>
      </c>
    </row>
    <row r="195" spans="4:8" ht="20.100000000000001" customHeight="1" x14ac:dyDescent="0.25">
      <c r="D195" s="39" t="str" cm="1">
        <f t="array" ref="D195">Common_InputFunctions.Utility_DisplayArrayInTable(Common_SourceData.Common_SourceData_EFN2O_Data(), Table_SourceData_Common_EFN2O[[#Headers],[Production system j]], 0)</f>
        <v>Horticultural crops</v>
      </c>
      <c r="E195" s="39" cm="1">
        <f t="array" ref="E195">Common_InputFunctions.Utility_DisplayArrayInTable(Common_SourceData.Common_SourceData_EFN2O_Data(), Table_SourceData_Common_EFN2O[[#Headers],[Production system j]], 0)</f>
        <v>6.4000000000000003E-3</v>
      </c>
      <c r="F195" s="39" t="str" cm="1">
        <f t="array" ref="F195">Common_InputFunctions.Utility_DisplayArrayInTable(Common_SourceData.Common_SourceData_EFN2O_Data(), Table_SourceData_Common_EFN2O[[#Headers],[Production system j]], 0)</f>
        <v>Horticultural crops</v>
      </c>
      <c r="G195" s="39" t="str" cm="1">
        <f t="array" ref="G195">Common_InputFunctions.Utility_DisplayArrayInTable(Common_SourceData.Common_SourceData_EFN2O_Data(), Table_SourceData_Common_EFN2O[[#Headers],[Production system j]], 0)</f>
        <v>Any</v>
      </c>
      <c r="H195" s="39" t="str" cm="1">
        <f t="array" ref="H195">Common_InputFunctions.Utility_DisplayArrayInTable(Common_SourceData.Common_SourceData_EFN2O_Data(), Table_SourceData_Common_EFN2O[[#Headers],[Production system j]], 0)</f>
        <v>Any</v>
      </c>
    </row>
    <row r="196" spans="4:8" ht="20.100000000000001" customHeight="1" x14ac:dyDescent="0.25">
      <c r="D196" s="39" t="str" cm="1">
        <f t="array" ref="D196">Common_InputFunctions.Utility_DisplayArrayInTable(Common_SourceData.Common_SourceData_EFN2O_Data(), Table_SourceData_Common_EFN2O[[#Headers],[Production system j]], 0)</f>
        <v>Rice (continuous flooding)</v>
      </c>
      <c r="E196" s="39" cm="1">
        <f t="array" ref="E196">Common_InputFunctions.Utility_DisplayArrayInTable(Common_SourceData.Common_SourceData_EFN2O_Data(), Table_SourceData_Common_EFN2O[[#Headers],[Production system j]], 0)</f>
        <v>3.0000000000000001E-3</v>
      </c>
      <c r="F196" s="39" t="str" cm="1">
        <f t="array" ref="F196">Common_InputFunctions.Utility_DisplayArrayInTable(Common_SourceData.Common_SourceData_EFN2O_Data(), Table_SourceData_Common_EFN2O[[#Headers],[Production system j]], 0)</f>
        <v>Rice</v>
      </c>
      <c r="G196" s="39" t="str" cm="1">
        <f t="array" ref="G196">Common_InputFunctions.Utility_DisplayArrayInTable(Common_SourceData.Common_SourceData_EFN2O_Data(), Table_SourceData_Common_EFN2O[[#Headers],[Production system j]], 0)</f>
        <v>Continuous flooding</v>
      </c>
      <c r="H196" s="39" t="str" cm="1">
        <f t="array" ref="H196">Common_InputFunctions.Utility_DisplayArrayInTable(Common_SourceData.Common_SourceData_EFN2O_Data(), Table_SourceData_Common_EFN2O[[#Headers],[Production system j]], 0)</f>
        <v>Any</v>
      </c>
    </row>
    <row r="197" spans="4:8" x14ac:dyDescent="0.25">
      <c r="D197" s="39" t="str" cm="1">
        <f t="array" ref="D197">Common_InputFunctions.Utility_DisplayArrayInTable(Common_SourceData.Common_SourceData_EFN2O_Data(), Table_SourceData_Common_EFN2O[[#Headers],[Production system j]], 0)</f>
        <v>Rice (single and multiple drainage, or alternate wetting and drying)</v>
      </c>
      <c r="E197" s="39" cm="1">
        <f t="array" ref="E197">Common_InputFunctions.Utility_DisplayArrayInTable(Common_SourceData.Common_SourceData_EFN2O_Data(), Table_SourceData_Common_EFN2O[[#Headers],[Production system j]], 0)</f>
        <v>5.0000000000000001E-3</v>
      </c>
      <c r="F197" s="39" t="str" cm="1">
        <f t="array" ref="F197">Common_InputFunctions.Utility_DisplayArrayInTable(Common_SourceData.Common_SourceData_EFN2O_Data(), Table_SourceData_Common_EFN2O[[#Headers],[Production system j]], 0)</f>
        <v>Rice</v>
      </c>
      <c r="G197" s="39" t="str" cm="1">
        <f t="array" ref="G197">Common_InputFunctions.Utility_DisplayArrayInTable(Common_SourceData.Common_SourceData_EFN2O_Data(), Table_SourceData_Common_EFN2O[[#Headers],[Production system j]], 0)</f>
        <v>Single and multiple drainage, or alternate wetting and drying</v>
      </c>
      <c r="H197" s="39" t="str" cm="1">
        <f t="array" ref="H197">Common_InputFunctions.Utility_DisplayArrayInTable(Common_SourceData.Common_SourceData_EFN2O_Data(), Table_SourceData_Common_EFN2O[[#Headers],[Production system j]], 0)</f>
        <v>Any</v>
      </c>
    </row>
    <row r="198" spans="4:8" x14ac:dyDescent="0.25">
      <c r="D198" s="39" t="str" cm="1">
        <f t="array" ref="D198">Common_InputFunctions.Utility_DisplayArrayInTable(Common_SourceData.Common_SourceData_EFN2O_Data(), Table_SourceData_Common_EFN2O[[#Headers],[Production system j]], 0)</f>
        <v>Aquaculture</v>
      </c>
      <c r="E198" s="39" cm="1">
        <f t="array" ref="E198">Common_InputFunctions.Utility_DisplayArrayInTable(Common_SourceData.Common_SourceData_EFN2O_Data(), Table_SourceData_Common_EFN2O[[#Headers],[Production system j]], 0)</f>
        <v>2.5999999999999999E-3</v>
      </c>
      <c r="F198" s="39" t="str" cm="1">
        <f t="array" ref="F198">Common_InputFunctions.Utility_DisplayArrayInTable(Common_SourceData.Common_SourceData_EFN2O_Data(), Table_SourceData_Common_EFN2O[[#Headers],[Production system j]], 0)</f>
        <v>Aquaculture</v>
      </c>
      <c r="G198" s="39" t="str" cm="1">
        <f t="array" ref="G198">Common_InputFunctions.Utility_DisplayArrayInTable(Common_SourceData.Common_SourceData_EFN2O_Data(), Table_SourceData_Common_EFN2O[[#Headers],[Production system j]], 0)</f>
        <v>Any</v>
      </c>
      <c r="H198" s="39" t="str" cm="1">
        <f t="array" ref="H198">Common_InputFunctions.Utility_DisplayArrayInTable(Common_SourceData.Common_SourceData_EFN2O_Data(), Table_SourceData_Common_EFN2O[[#Headers],[Production system j]], 0)</f>
        <v>Any</v>
      </c>
    </row>
    <row r="199" spans="4:8" x14ac:dyDescent="0.25">
      <c r="D199" s="39" t="str" cm="1">
        <f t="array" ref="D199">Common_InputFunctions.Utility_DisplayArrayInTable(Common_SourceData.Common_SourceData_EFN2O_Data(), Table_SourceData_Common_EFN2O[[#Headers],[Production system j]], 0)</f>
        <v>Forestry</v>
      </c>
      <c r="E199" s="39" cm="1">
        <f t="array" ref="E199">Common_InputFunctions.Utility_DisplayArrayInTable(Common_SourceData.Common_SourceData_EFN2O_Data(), Table_SourceData_Common_EFN2O[[#Headers],[Production system j]], 0)</f>
        <v>1.8E-3</v>
      </c>
      <c r="F199" s="39" t="str" cm="1">
        <f t="array" ref="F199">Common_InputFunctions.Utility_DisplayArrayInTable(Common_SourceData.Common_SourceData_EFN2O_Data(), Table_SourceData_Common_EFN2O[[#Headers],[Production system j]], 0)</f>
        <v>Forestry</v>
      </c>
      <c r="G199" s="39" t="str" cm="1">
        <f t="array" ref="G199">Common_InputFunctions.Utility_DisplayArrayInTable(Common_SourceData.Common_SourceData_EFN2O_Data(), Table_SourceData_Common_EFN2O[[#Headers],[Production system j]], 0)</f>
        <v>Any</v>
      </c>
      <c r="H199" s="39" t="str" cm="1">
        <f t="array" ref="H199">Common_InputFunctions.Utility_DisplayArrayInTable(Common_SourceData.Common_SourceData_EFN2O_Data(), Table_SourceData_Common_EFN2O[[#Headers],[Production system j]], 0)</f>
        <v>Any</v>
      </c>
    </row>
    <row r="202" spans="4:8" ht="23.25" x14ac:dyDescent="0.25">
      <c r="D202" s="6" t="str" cm="1">
        <f t="array" ref="D202">Common_SourceData.Common_SourceData_EFPastureRangeAndPaddock_Title()</f>
        <v>Emission factor for urine and dung deposited on pasture, range or paddock</v>
      </c>
    </row>
    <row r="203" spans="4:8" x14ac:dyDescent="0.25">
      <c r="D203" s="5" t="str" cm="1">
        <f t="array" ref="D203">Common_SourceData.Common_SourceData_EFPastureRangeAndPaddock_Source()</f>
        <v>VEERG 2026: Table A.2.2.2</v>
      </c>
    </row>
    <row r="204" spans="4:8" x14ac:dyDescent="0.25">
      <c r="D204" s="58" t="str" cm="1">
        <f t="array" ref="D204">Common_SourceData.Common_SourceData_EFPastureRangeAndPaddock_Variation()</f>
        <v>VARIATION FROM SOURCE DATA: Changed 'Dry climate zones' to singular 'Dry climate zone' to aid lookup.</v>
      </c>
    </row>
    <row r="205" spans="4:8" x14ac:dyDescent="0.25">
      <c r="D205" s="57" t="str" cm="1">
        <f t="array" ref="D205">Common_SourceData.Common_SourceData_EFPastureRangeAndPaddock_Unit()</f>
        <v>kg N2O - N / kg N</v>
      </c>
    </row>
    <row r="206" spans="4:8" x14ac:dyDescent="0.25">
      <c r="D206" s="39" t="s">
        <v>10</v>
      </c>
      <c r="E206" s="39" t="s">
        <v>342</v>
      </c>
    </row>
    <row r="207" spans="4:8" x14ac:dyDescent="0.25">
      <c r="D207" s="39" t="str" cm="1">
        <f t="array" ref="D207">Common_InputFunctions.Utility_DisplayArrayInTable(Common_SourceData.Common_SourceData_EFPastureRangeAndPaddock_Data(), Table_SourceData_EFPastureRangeAndPaddock[[#Headers],[Climate zone]], 0)</f>
        <v>Wet climate zone</v>
      </c>
      <c r="E207" s="39" cm="1">
        <f t="array" ref="E207">Common_InputFunctions.Utility_DisplayArrayInTable(Common_SourceData.Common_SourceData_EFPastureRangeAndPaddock_Data(), Table_SourceData_EFPastureRangeAndPaddock[[#Headers],[Climate zone]], 0)</f>
        <v>6.0000000000000001E-3</v>
      </c>
    </row>
    <row r="208" spans="4:8" x14ac:dyDescent="0.25">
      <c r="D208" s="1" t="str" cm="1">
        <f t="array" ref="D208">Common_InputFunctions.Utility_DisplayArrayInTable(Common_SourceData.Common_SourceData_EFPastureRangeAndPaddock_Data(), Table_SourceData_EFPastureRangeAndPaddock[[#Headers],[Climate zone]], 0)</f>
        <v>Dry climate zone</v>
      </c>
      <c r="E208" s="39" cm="1">
        <f t="array" ref="E208">Common_InputFunctions.Utility_DisplayArrayInTable(Common_SourceData.Common_SourceData_EFPastureRangeAndPaddock_Data(), Table_SourceData_EFPastureRangeAndPaddock[[#Headers],[Climate zone]], 0)</f>
        <v>2E-3</v>
      </c>
    </row>
  </sheetData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D3D89-F657-45A6-A770-73699ABB25CC}">
  <dimension ref="A1:M63"/>
  <sheetViews>
    <sheetView showGridLines="0" topLeftCell="A7" workbookViewId="0">
      <selection activeCell="A22" sqref="A3:A22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8" width="30.7109375" style="1" customWidth="1"/>
    <col min="9" max="9" width="30.85546875" style="1" customWidth="1"/>
    <col min="10" max="13" width="30.7109375" style="1" customWidth="1"/>
    <col min="14" max="16" width="30.7109375" customWidth="1"/>
  </cols>
  <sheetData>
    <row r="1" spans="1:13" ht="30" customHeight="1" x14ac:dyDescent="0.35">
      <c r="A1" s="68" t="e" vm="1">
        <v>#VALUE!</v>
      </c>
      <c r="C1" s="8" t="s">
        <v>80</v>
      </c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20.100000000000001" customHeight="1" x14ac:dyDescent="0.25">
      <c r="A2" s="7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20.100000000000001" customHeight="1" x14ac:dyDescent="0.25"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20.100000000000001" customHeight="1" x14ac:dyDescent="0.25"/>
    <row r="5" spans="1:13" ht="20.100000000000001" customHeight="1" x14ac:dyDescent="0.25"/>
    <row r="6" spans="1:13" ht="20.100000000000001" customHeight="1" x14ac:dyDescent="0.25">
      <c r="D6" s="6" t="str" cm="1">
        <f t="array" ref="D6">CommonLivestock_SourceData.SourceData_Livestock_Common_SymbolsMMS_Title()</f>
        <v>Table 5.12 Additional symbols used in algorithms for manure related emissions</v>
      </c>
      <c r="E6" s="3"/>
      <c r="F6" s="3"/>
      <c r="G6" s="3"/>
      <c r="H6" s="3"/>
    </row>
    <row r="7" spans="1:13" ht="20.100000000000001" customHeight="1" x14ac:dyDescent="0.25">
      <c r="D7" s="3" t="str" cm="1">
        <f t="array" ref="D7">CommonLivestock_SourceData.SourceData_Livestock_Common_SymbolsMMS_Vairable()</f>
        <v>MMS</v>
      </c>
      <c r="E7" s="3"/>
      <c r="F7" s="3"/>
      <c r="G7" s="3"/>
      <c r="H7" s="3"/>
    </row>
    <row r="8" spans="1:13" ht="20.100000000000001" customHeight="1" x14ac:dyDescent="0.25">
      <c r="D8" s="5" t="str" cm="1">
        <f t="array" ref="D8">CommonLivestock_SourceData.SourceData_Livestock_Common_SymbolsMMS_Source()</f>
        <v>National Inventory Report 2023 Volume 1: Table 5.12</v>
      </c>
      <c r="E8" s="3"/>
      <c r="F8" s="3"/>
      <c r="G8" s="3"/>
      <c r="H8" s="3"/>
    </row>
    <row r="9" spans="1:13" ht="20.100000000000001" customHeight="1" x14ac:dyDescent="0.25">
      <c r="D9" s="38" t="s">
        <v>81</v>
      </c>
      <c r="E9" s="39" t="s">
        <v>21</v>
      </c>
      <c r="F9" s="39" t="s">
        <v>82</v>
      </c>
      <c r="G9" s="3"/>
    </row>
    <row r="10" spans="1:13" ht="20.100000000000001" customHeight="1" x14ac:dyDescent="0.25">
      <c r="D10" s="38" t="str" cm="1">
        <f t="array" ref="D10">Common_InputFunctions.Utility_DisplayArrayInTable(CommonLivestock_SourceData.SourceData_Livestock_Common_SymbolsMMS_Data(), Table_Data_MMSSymbols[[#Headers],[Symbol]], 0)</f>
        <v>1</v>
      </c>
      <c r="E10" s="38" t="str" cm="1">
        <f t="array" ref="E10">Common_InputFunctions.Utility_DisplayArrayInTable(CommonLivestock_SourceData.SourceData_Livestock_Common_SymbolsMMS_Data(), Table_Data_MMSSymbols[[#Headers],[Symbol]], 0)</f>
        <v>Anaerobic lagoon</v>
      </c>
      <c r="F10" s="38" t="str" cm="1">
        <f t="array" ref="F10">Common_InputFunctions.Utility_DisplayArrayInTable(CommonLivestock_SourceData.SourceData_Livestock_Common_SymbolsMMS_Data(), Table_Data_MMSSymbols[[#Headers],[Symbol]], 0)</f>
        <v>Anaerobic lagoon (m=1)</v>
      </c>
      <c r="G10" s="3"/>
    </row>
    <row r="11" spans="1:13" ht="20.100000000000001" customHeight="1" x14ac:dyDescent="0.25">
      <c r="D11" s="38" t="str" cm="1">
        <f t="array" ref="D11">Common_InputFunctions.Utility_DisplayArrayInTable(CommonLivestock_SourceData.SourceData_Livestock_Common_SymbolsMMS_Data(), Table_Data_MMSSymbols[[#Headers],[Symbol]], 0)</f>
        <v>2</v>
      </c>
      <c r="E11" s="38" t="str" cm="1">
        <f t="array" ref="E11">Common_InputFunctions.Utility_DisplayArrayInTable(CommonLivestock_SourceData.SourceData_Livestock_Common_SymbolsMMS_Data(), Table_Data_MMSSymbols[[#Headers],[Symbol]], 0)</f>
        <v>Liquid systems</v>
      </c>
      <c r="F11" s="38" t="str" cm="1">
        <f t="array" ref="F11">Common_InputFunctions.Utility_DisplayArrayInTable(CommonLivestock_SourceData.SourceData_Livestock_Common_SymbolsMMS_Data(), Table_Data_MMSSymbols[[#Headers],[Symbol]], 0)</f>
        <v>Liquid systems (m=2)</v>
      </c>
      <c r="G11" s="3"/>
    </row>
    <row r="12" spans="1:13" ht="20.100000000000001" customHeight="1" x14ac:dyDescent="0.25">
      <c r="D12" s="39" t="str" cm="1">
        <f t="array" ref="D12">Common_InputFunctions.Utility_DisplayArrayInTable(CommonLivestock_SourceData.SourceData_Livestock_Common_SymbolsMMS_Data(), Table_Data_MMSSymbols[[#Headers],[Symbol]], 0)</f>
        <v>3</v>
      </c>
      <c r="E12" s="39" t="str" cm="1">
        <f t="array" ref="E12">Common_InputFunctions.Utility_DisplayArrayInTable(CommonLivestock_SourceData.SourceData_Livestock_Common_SymbolsMMS_Data(), Table_Data_MMSSymbols[[#Headers],[Symbol]], 0)</f>
        <v>Daily spread</v>
      </c>
      <c r="F12" s="39" t="str" cm="1">
        <f t="array" ref="F12">Common_InputFunctions.Utility_DisplayArrayInTable(CommonLivestock_SourceData.SourceData_Livestock_Common_SymbolsMMS_Data(), Table_Data_MMSSymbols[[#Headers],[Symbol]], 0)</f>
        <v>Daily spread (m=3)</v>
      </c>
      <c r="G12" s="3"/>
    </row>
    <row r="13" spans="1:13" ht="20.100000000000001" customHeight="1" x14ac:dyDescent="0.25">
      <c r="D13" s="39" t="str" cm="1">
        <f t="array" ref="D13">Common_InputFunctions.Utility_DisplayArrayInTable(CommonLivestock_SourceData.SourceData_Livestock_Common_SymbolsMMS_Data(), Table_Data_MMSSymbols[[#Headers],[Symbol]], 0)</f>
        <v>3a</v>
      </c>
      <c r="E13" s="39" t="str" cm="1">
        <f t="array" ref="E13">Common_InputFunctions.Utility_DisplayArrayInTable(CommonLivestock_SourceData.SourceData_Livestock_Common_SymbolsMMS_Data(), Table_Data_MMSSymbols[[#Headers],[Symbol]], 0)</f>
        <v>Sump and dispersal system</v>
      </c>
      <c r="F13" s="39" t="str" cm="1">
        <f t="array" ref="F13">Common_InputFunctions.Utility_DisplayArrayInTable(CommonLivestock_SourceData.SourceData_Livestock_Common_SymbolsMMS_Data(), Table_Data_MMSSymbols[[#Headers],[Symbol]], 0)</f>
        <v>Sump and dispersal system (m=3a)</v>
      </c>
      <c r="G13" s="3"/>
    </row>
    <row r="14" spans="1:13" ht="20.100000000000001" customHeight="1" x14ac:dyDescent="0.25">
      <c r="D14" s="39" t="str" cm="1">
        <f t="array" ref="D14">Common_InputFunctions.Utility_DisplayArrayInTable(CommonLivestock_SourceData.SourceData_Livestock_Common_SymbolsMMS_Data(), Table_Data_MMSSymbols[[#Headers],[Symbol]], 0)</f>
        <v>3b</v>
      </c>
      <c r="E14" s="39" t="str" cm="1">
        <f t="array" ref="E14">Common_InputFunctions.Utility_DisplayArrayInTable(CommonLivestock_SourceData.SourceData_Livestock_Common_SymbolsMMS_Data(), Table_Data_MMSSymbols[[#Headers],[Symbol]], 0)</f>
        <v>Drains to paddock</v>
      </c>
      <c r="F14" s="39" t="str" cm="1">
        <f t="array" ref="F14">Common_InputFunctions.Utility_DisplayArrayInTable(CommonLivestock_SourceData.SourceData_Livestock_Common_SymbolsMMS_Data(), Table_Data_MMSSymbols[[#Headers],[Symbol]], 0)</f>
        <v>Drains to paddock (m=3b)</v>
      </c>
      <c r="G14" s="3"/>
    </row>
    <row r="15" spans="1:13" ht="20.100000000000001" customHeight="1" x14ac:dyDescent="0.25">
      <c r="D15" s="39" t="str" cm="1">
        <f t="array" ref="D15">Common_InputFunctions.Utility_DisplayArrayInTable(CommonLivestock_SourceData.SourceData_Livestock_Common_SymbolsMMS_Data(), Table_Data_MMSSymbols[[#Headers],[Symbol]], 0)</f>
        <v>4</v>
      </c>
      <c r="E15" s="39" t="str" cm="1">
        <f t="array" ref="E15">Common_InputFunctions.Utility_DisplayArrayInTable(CommonLivestock_SourceData.SourceData_Livestock_Common_SymbolsMMS_Data(), Table_Data_MMSSymbols[[#Headers],[Symbol]], 0)</f>
        <v>Solid storage</v>
      </c>
      <c r="F15" s="39" t="str" cm="1">
        <f t="array" ref="F15">Common_InputFunctions.Utility_DisplayArrayInTable(CommonLivestock_SourceData.SourceData_Livestock_Common_SymbolsMMS_Data(), Table_Data_MMSSymbols[[#Headers],[Symbol]], 0)</f>
        <v>Solid storage (m=4)</v>
      </c>
      <c r="G15" s="3"/>
    </row>
    <row r="16" spans="1:13" ht="20.100000000000001" customHeight="1" x14ac:dyDescent="0.25">
      <c r="D16" s="39" t="str" cm="1">
        <f t="array" ref="D16">Common_InputFunctions.Utility_DisplayArrayInTable(CommonLivestock_SourceData.SourceData_Livestock_Common_SymbolsMMS_Data(), Table_Data_MMSSymbols[[#Headers],[Symbol]], 0)</f>
        <v>5</v>
      </c>
      <c r="E16" s="39" t="str" cm="1">
        <f t="array" ref="E16">Common_InputFunctions.Utility_DisplayArrayInTable(CommonLivestock_SourceData.SourceData_Livestock_Common_SymbolsMMS_Data(), Table_Data_MMSSymbols[[#Headers],[Symbol]], 0)</f>
        <v>Drylot (feed pad)</v>
      </c>
      <c r="F16" s="39" t="str" cm="1">
        <f t="array" ref="F16">Common_InputFunctions.Utility_DisplayArrayInTable(CommonLivestock_SourceData.SourceData_Livestock_Common_SymbolsMMS_Data(), Table_Data_MMSSymbols[[#Headers],[Symbol]], 0)</f>
        <v>Drylot (feed pad) (m=5)</v>
      </c>
      <c r="G16" s="3"/>
    </row>
    <row r="17" spans="4:8" ht="20.100000000000001" customHeight="1" x14ac:dyDescent="0.25">
      <c r="D17" s="39" t="str" cm="1">
        <f t="array" ref="D17">Common_InputFunctions.Utility_DisplayArrayInTable(CommonLivestock_SourceData.SourceData_Livestock_Common_SymbolsMMS_Data(), Table_Data_MMSSymbols[[#Headers],[Symbol]], 0)</f>
        <v>6</v>
      </c>
      <c r="E17" s="39" t="str" cm="1">
        <f t="array" ref="E17">Common_InputFunctions.Utility_DisplayArrayInTable(CommonLivestock_SourceData.SourceData_Livestock_Common_SymbolsMMS_Data(), Table_Data_MMSSymbols[[#Headers],[Symbol]], 0)</f>
        <v>Composting (passive windrow)</v>
      </c>
      <c r="F17" s="39" t="str" cm="1">
        <f t="array" ref="F17">Common_InputFunctions.Utility_DisplayArrayInTable(CommonLivestock_SourceData.SourceData_Livestock_Common_SymbolsMMS_Data(), Table_Data_MMSSymbols[[#Headers],[Symbol]], 0)</f>
        <v>Composting (passive windrow) (m=6)</v>
      </c>
      <c r="G17" s="3"/>
    </row>
    <row r="18" spans="4:8" ht="20.100000000000001" customHeight="1" x14ac:dyDescent="0.25">
      <c r="D18" s="39" t="str" cm="1">
        <f t="array" ref="D18">Common_InputFunctions.Utility_DisplayArrayInTable(CommonLivestock_SourceData.SourceData_Livestock_Common_SymbolsMMS_Data(), Table_Data_MMSSymbols[[#Headers],[Symbol]], 0)</f>
        <v>7</v>
      </c>
      <c r="E18" s="39" t="str" cm="1">
        <f t="array" ref="E18">Common_InputFunctions.Utility_DisplayArrayInTable(CommonLivestock_SourceData.SourceData_Livestock_Common_SymbolsMMS_Data(), Table_Data_MMSSymbols[[#Headers],[Symbol]], 0)</f>
        <v>Digester / covered lagoons</v>
      </c>
      <c r="F18" s="39" t="str" cm="1">
        <f t="array" ref="F18">Common_InputFunctions.Utility_DisplayArrayInTable(CommonLivestock_SourceData.SourceData_Livestock_Common_SymbolsMMS_Data(), Table_Data_MMSSymbols[[#Headers],[Symbol]], 0)</f>
        <v>Digester / covered lagoons (m=7)</v>
      </c>
      <c r="G18" s="3"/>
    </row>
    <row r="19" spans="4:8" ht="20.100000000000001" customHeight="1" x14ac:dyDescent="0.25">
      <c r="D19" s="39" t="str" cm="1">
        <f t="array" ref="D19">Common_InputFunctions.Utility_DisplayArrayInTable(CommonLivestock_SourceData.SourceData_Livestock_Common_SymbolsMMS_Data(), Table_Data_MMSSymbols[[#Headers],[Symbol]], 0)</f>
        <v>8</v>
      </c>
      <c r="E19" s="39" t="str" cm="1">
        <f t="array" ref="E19">Common_InputFunctions.Utility_DisplayArrayInTable(CommonLivestock_SourceData.SourceData_Livestock_Common_SymbolsMMS_Data(), Table_Data_MMSSymbols[[#Headers],[Symbol]], 0)</f>
        <v>Deep litter</v>
      </c>
      <c r="F19" s="39" t="str" cm="1">
        <f t="array" ref="F19">Common_InputFunctions.Utility_DisplayArrayInTable(CommonLivestock_SourceData.SourceData_Livestock_Common_SymbolsMMS_Data(), Table_Data_MMSSymbols[[#Headers],[Symbol]], 0)</f>
        <v>Deep litter (m=8)</v>
      </c>
      <c r="G19" s="3"/>
    </row>
    <row r="20" spans="4:8" ht="20.100000000000001" customHeight="1" x14ac:dyDescent="0.25">
      <c r="D20" s="39" t="str" cm="1">
        <f t="array" ref="D20">Common_InputFunctions.Utility_DisplayArrayInTable(CommonLivestock_SourceData.SourceData_Livestock_Common_SymbolsMMS_Data(), Table_Data_MMSSymbols[[#Headers],[Symbol]], 0)</f>
        <v>9</v>
      </c>
      <c r="E20" s="39" t="str" cm="1">
        <f t="array" ref="E20">Common_InputFunctions.Utility_DisplayArrayInTable(CommonLivestock_SourceData.SourceData_Livestock_Common_SymbolsMMS_Data(), Table_Data_MMSSymbols[[#Headers],[Symbol]], 0)</f>
        <v>Pit storage</v>
      </c>
      <c r="F20" s="39" t="str" cm="1">
        <f t="array" ref="F20">Common_InputFunctions.Utility_DisplayArrayInTable(CommonLivestock_SourceData.SourceData_Livestock_Common_SymbolsMMS_Data(), Table_Data_MMSSymbols[[#Headers],[Symbol]], 0)</f>
        <v>Pit storage (m=9)</v>
      </c>
      <c r="G20" s="3"/>
    </row>
    <row r="21" spans="4:8" ht="20.100000000000001" customHeight="1" x14ac:dyDescent="0.25">
      <c r="D21" s="39" t="str" cm="1">
        <f t="array" ref="D21">Common_InputFunctions.Utility_DisplayArrayInTable(CommonLivestock_SourceData.SourceData_Livestock_Common_SymbolsMMS_Data(), Table_Data_MMSSymbols[[#Headers],[Symbol]], 0)</f>
        <v>10</v>
      </c>
      <c r="E21" s="39" t="str" cm="1">
        <f t="array" ref="E21">Common_InputFunctions.Utility_DisplayArrayInTable(CommonLivestock_SourceData.SourceData_Livestock_Common_SymbolsMMS_Data(), Table_Data_MMSSymbols[[#Headers],[Symbol]], 0)</f>
        <v>Poultry manure with bedding</v>
      </c>
      <c r="F21" s="39" t="str" cm="1">
        <f t="array" ref="F21">Common_InputFunctions.Utility_DisplayArrayInTable(CommonLivestock_SourceData.SourceData_Livestock_Common_SymbolsMMS_Data(), Table_Data_MMSSymbols[[#Headers],[Symbol]], 0)</f>
        <v>Poultry manure with bedding (m=10)</v>
      </c>
      <c r="G21" s="3"/>
    </row>
    <row r="22" spans="4:8" ht="20.100000000000001" customHeight="1" x14ac:dyDescent="0.25">
      <c r="D22" s="39" t="str" cm="1">
        <f t="array" ref="D22">Common_InputFunctions.Utility_DisplayArrayInTable(CommonLivestock_SourceData.SourceData_Livestock_Common_SymbolsMMS_Data(), Table_Data_MMSSymbols[[#Headers],[Symbol]], 0)</f>
        <v>11</v>
      </c>
      <c r="E22" s="39" t="str" cm="1">
        <f t="array" ref="E22">Common_InputFunctions.Utility_DisplayArrayInTable(CommonLivestock_SourceData.SourceData_Livestock_Common_SymbolsMMS_Data(), Table_Data_MMSSymbols[[#Headers],[Symbol]], 0)</f>
        <v>Poultry manure without bedding</v>
      </c>
      <c r="F22" s="39" t="str" cm="1">
        <f t="array" ref="F22">Common_InputFunctions.Utility_DisplayArrayInTable(CommonLivestock_SourceData.SourceData_Livestock_Common_SymbolsMMS_Data(), Table_Data_MMSSymbols[[#Headers],[Symbol]], 0)</f>
        <v>Poultry manure without bedding (m=11)</v>
      </c>
      <c r="G22" s="3"/>
    </row>
    <row r="23" spans="4:8" ht="20.100000000000001" customHeight="1" x14ac:dyDescent="0.25">
      <c r="D23" s="39" t="str" cm="1">
        <f t="array" ref="D23">Common_InputFunctions.Utility_DisplayArrayInTable(CommonLivestock_SourceData.SourceData_Livestock_Common_SymbolsMMS_Data(), Table_Data_MMSSymbols[[#Headers],[Symbol]], 0)</f>
        <v>11a</v>
      </c>
      <c r="E23" s="39" t="str" cm="1">
        <f t="array" ref="E23">Common_InputFunctions.Utility_DisplayArrayInTable(CommonLivestock_SourceData.SourceData_Livestock_Common_SymbolsMMS_Data(), Table_Data_MMSSymbols[[#Headers],[Symbol]], 0)</f>
        <v>Belt manure removal</v>
      </c>
      <c r="F23" s="39" t="str" cm="1">
        <f t="array" ref="F23">Common_InputFunctions.Utility_DisplayArrayInTable(CommonLivestock_SourceData.SourceData_Livestock_Common_SymbolsMMS_Data(), Table_Data_MMSSymbols[[#Headers],[Symbol]], 0)</f>
        <v>Belt manure removal (m=11a)</v>
      </c>
      <c r="G23" s="3"/>
    </row>
    <row r="24" spans="4:8" ht="20.100000000000001" customHeight="1" x14ac:dyDescent="0.25">
      <c r="D24" s="39" t="str" cm="1">
        <f t="array" ref="D24">Common_InputFunctions.Utility_DisplayArrayInTable(CommonLivestock_SourceData.SourceData_Livestock_Common_SymbolsMMS_Data(), Table_Data_MMSSymbols[[#Headers],[Symbol]], 0)</f>
        <v>11b</v>
      </c>
      <c r="E24" s="39" t="str" cm="1">
        <f t="array" ref="E24">Common_InputFunctions.Utility_DisplayArrayInTable(CommonLivestock_SourceData.SourceData_Livestock_Common_SymbolsMMS_Data(), Table_Data_MMSSymbols[[#Headers],[Symbol]], 0)</f>
        <v>Manure stored in house</v>
      </c>
      <c r="F24" s="39" t="str" cm="1">
        <f t="array" ref="F24">Common_InputFunctions.Utility_DisplayArrayInTable(CommonLivestock_SourceData.SourceData_Livestock_Common_SymbolsMMS_Data(), Table_Data_MMSSymbols[[#Headers],[Symbol]], 0)</f>
        <v>Manure stored in house (m=11b)</v>
      </c>
      <c r="G24" s="3"/>
    </row>
    <row r="25" spans="4:8" ht="20.100000000000001" customHeight="1" x14ac:dyDescent="0.25">
      <c r="D25" s="39" t="str" cm="1">
        <f t="array" ref="D25">Common_InputFunctions.Utility_DisplayArrayInTable(CommonLivestock_SourceData.SourceData_Livestock_Common_SymbolsMMS_Data(), Table_Data_MMSSymbols[[#Headers],[Symbol]], 0)</f>
        <v>12</v>
      </c>
      <c r="E25" s="39" t="str" cm="1">
        <f t="array" ref="E25">Common_InputFunctions.Utility_DisplayArrayInTable(CommonLivestock_SourceData.SourceData_Livestock_Common_SymbolsMMS_Data(), Table_Data_MMSSymbols[[#Headers],[Symbol]], 0)</f>
        <v>Direct processing</v>
      </c>
      <c r="F25" s="39" t="str" cm="1">
        <f t="array" ref="F25">Common_InputFunctions.Utility_DisplayArrayInTable(CommonLivestock_SourceData.SourceData_Livestock_Common_SymbolsMMS_Data(), Table_Data_MMSSymbols[[#Headers],[Symbol]], 0)</f>
        <v>Direct processing (m=12)</v>
      </c>
      <c r="G25" s="3"/>
    </row>
    <row r="26" spans="4:8" ht="20.100000000000001" customHeight="1" x14ac:dyDescent="0.25">
      <c r="D26" s="39" t="str" cm="1">
        <f t="array" ref="D26">Common_InputFunctions.Utility_DisplayArrayInTable(CommonLivestock_SourceData.SourceData_Livestock_Common_SymbolsMMS_Data(), Table_Data_MMSSymbols[[#Headers],[Symbol]], 0)</f>
        <v>13</v>
      </c>
      <c r="E26" s="39" t="str" cm="1">
        <f t="array" ref="E26">Common_InputFunctions.Utility_DisplayArrayInTable(CommonLivestock_SourceData.SourceData_Livestock_Common_SymbolsMMS_Data(), Table_Data_MMSSymbols[[#Headers],[Symbol]], 0)</f>
        <v>Direct application</v>
      </c>
      <c r="F26" s="39" t="str" cm="1">
        <f t="array" ref="F26">Common_InputFunctions.Utility_DisplayArrayInTable(CommonLivestock_SourceData.SourceData_Livestock_Common_SymbolsMMS_Data(), Table_Data_MMSSymbols[[#Headers],[Symbol]], 0)</f>
        <v>Direct application (m=13)</v>
      </c>
      <c r="G26" s="3"/>
    </row>
    <row r="27" spans="4:8" ht="20.100000000000001" customHeight="1" x14ac:dyDescent="0.25">
      <c r="D27" s="39" t="str" cm="1">
        <f t="array" ref="D27">Common_InputFunctions.Utility_DisplayArrayInTable(CommonLivestock_SourceData.SourceData_Livestock_Common_SymbolsMMS_Data(), Table_Data_MMSSymbols[[#Headers],[Symbol]], 0)</f>
        <v>14</v>
      </c>
      <c r="E27" s="39" t="str" cm="1">
        <f t="array" ref="E27">Common_InputFunctions.Utility_DisplayArrayInTable(CommonLivestock_SourceData.SourceData_Livestock_Common_SymbolsMMS_Data(), Table_Data_MMSSymbols[[#Headers],[Symbol]], 0)</f>
        <v>Pasture range and paddock</v>
      </c>
      <c r="F27" s="39" t="str" cm="1">
        <f t="array" ref="F27">Common_InputFunctions.Utility_DisplayArrayInTable(CommonLivestock_SourceData.SourceData_Livestock_Common_SymbolsMMS_Data(), Table_Data_MMSSymbols[[#Headers],[Symbol]], 0)</f>
        <v>Pasture range and paddock (m=14)</v>
      </c>
      <c r="G27" s="3"/>
    </row>
    <row r="28" spans="4:8" ht="20.100000000000001" customHeight="1" x14ac:dyDescent="0.25">
      <c r="G28" s="3"/>
      <c r="H28" s="3"/>
    </row>
    <row r="29" spans="4:8" ht="20.100000000000001" customHeight="1" x14ac:dyDescent="0.25"/>
    <row r="30" spans="4:8" ht="20.100000000000001" customHeight="1" x14ac:dyDescent="0.25"/>
    <row r="31" spans="4:8" ht="20.100000000000001" customHeight="1" x14ac:dyDescent="0.25"/>
    <row r="32" spans="4:8" ht="20.100000000000001" customHeight="1" x14ac:dyDescent="0.25"/>
    <row r="33" ht="20.100000000000001" customHeight="1" x14ac:dyDescent="0.25"/>
    <row r="34" ht="20.100000000000001" customHeight="1" x14ac:dyDescent="0.25"/>
    <row r="35" ht="20.100000000000001" customHeight="1" x14ac:dyDescent="0.25"/>
    <row r="36" ht="20.100000000000001" customHeight="1" x14ac:dyDescent="0.25"/>
    <row r="37" ht="20.100000000000001" customHeight="1" x14ac:dyDescent="0.25"/>
    <row r="38" ht="20.100000000000001" customHeight="1" x14ac:dyDescent="0.25"/>
    <row r="39" ht="20.100000000000001" customHeight="1" x14ac:dyDescent="0.25"/>
    <row r="40" ht="20.100000000000001" customHeight="1" x14ac:dyDescent="0.25"/>
    <row r="41" ht="20.100000000000001" customHeight="1" x14ac:dyDescent="0.25"/>
    <row r="42" ht="20.100000000000001" customHeight="1" x14ac:dyDescent="0.25"/>
    <row r="43" ht="20.100000000000001" customHeight="1" x14ac:dyDescent="0.25"/>
    <row r="44" ht="20.100000000000001" customHeight="1" x14ac:dyDescent="0.25"/>
    <row r="45" ht="20.100000000000001" customHeight="1" x14ac:dyDescent="0.25"/>
    <row r="46" ht="20.100000000000001" customHeight="1" x14ac:dyDescent="0.25"/>
    <row r="47" ht="20.100000000000001" customHeight="1" x14ac:dyDescent="0.25"/>
    <row r="48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7A9DA-7B49-4536-9AC1-4BDE2DD493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83A6B-B8DF-40B8-B36B-2098F8DD980B}">
  <dimension ref="A1:U165"/>
  <sheetViews>
    <sheetView showGridLines="0" topLeftCell="A2" workbookViewId="0">
      <selection activeCell="F35" sqref="F35"/>
    </sheetView>
  </sheetViews>
  <sheetFormatPr defaultRowHeight="15.75" x14ac:dyDescent="0.25"/>
  <cols>
    <col min="1" max="1" width="30.7109375" customWidth="1"/>
    <col min="2" max="2" width="4.7109375" customWidth="1"/>
    <col min="3" max="3" width="4.7109375" style="1" customWidth="1"/>
    <col min="4" max="11" width="30.7109375" style="1" customWidth="1"/>
    <col min="12" max="12" width="4.7109375" style="1" customWidth="1"/>
    <col min="13" max="13" width="4.7109375" customWidth="1"/>
    <col min="14" max="14" width="4.7109375" style="1" customWidth="1"/>
    <col min="15" max="20" width="30.7109375" style="1" customWidth="1"/>
    <col min="21" max="21" width="4.7109375" style="1" customWidth="1"/>
  </cols>
  <sheetData>
    <row r="1" spans="1:21" s="8" customFormat="1" ht="30" customHeight="1" x14ac:dyDescent="0.35">
      <c r="A1" s="8" t="e" vm="1">
        <v>#VALUE!</v>
      </c>
    </row>
    <row r="2" spans="1:21" s="9" customFormat="1" ht="20.100000000000001" customHeight="1" x14ac:dyDescent="0.25"/>
    <row r="3" spans="1:21" ht="20.100000000000001" customHeight="1" x14ac:dyDescent="0.25">
      <c r="A3" s="17" t="s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N3" s="4"/>
      <c r="O3" s="4"/>
      <c r="P3" s="4"/>
      <c r="Q3" s="4"/>
      <c r="R3" s="4"/>
      <c r="S3" s="4"/>
      <c r="T3" s="4"/>
      <c r="U3" s="4"/>
    </row>
    <row r="4" spans="1:21" ht="20.100000000000001" customHeight="1" x14ac:dyDescent="0.25">
      <c r="A4" s="17" t="str">
        <f>HYPERLINK("#'Results'!A1", "Results")</f>
        <v>Results</v>
      </c>
    </row>
    <row r="5" spans="1:21" ht="20.100000000000001" customHeight="1" x14ac:dyDescent="0.25">
      <c r="A5" s="16"/>
    </row>
    <row r="6" spans="1:21" ht="20.100000000000001" customHeight="1" x14ac:dyDescent="0.25">
      <c r="A6" s="20" t="s">
        <v>3</v>
      </c>
    </row>
    <row r="7" spans="1:21" ht="20.100000000000001" customHeight="1" x14ac:dyDescent="0.25">
      <c r="A7" s="17" t="str">
        <f>HYPERLINK("#'Input - Site'!A1", "Site")</f>
        <v>Site</v>
      </c>
    </row>
    <row r="8" spans="1:21" ht="20.100000000000001" customHeight="1" x14ac:dyDescent="0.25">
      <c r="A8" s="17" t="str">
        <f>HYPERLINK("#'Input - Production'!A1", "Production and outputs")</f>
        <v>Production and outputs</v>
      </c>
    </row>
    <row r="9" spans="1:21" ht="20.100000000000001" customHeight="1" x14ac:dyDescent="0.25">
      <c r="A9" s="17" t="str">
        <f>HYPERLINK("#'Input - Herd - Dairy'!A1", "Herd - Dairy")</f>
        <v>Herd - Dairy</v>
      </c>
    </row>
    <row r="10" spans="1:21" ht="20.100000000000001" customHeight="1" x14ac:dyDescent="0.25">
      <c r="A10" s="17" t="str">
        <f>HYPERLINK("#'Input - Feed - Dairy'!A1", "Purchased feed - Livestock")</f>
        <v>Purchased feed - Livestock</v>
      </c>
    </row>
    <row r="11" spans="1:21" ht="20.100000000000001" customHeight="1" x14ac:dyDescent="0.25">
      <c r="A11" s="17" t="str">
        <f>HYPERLINK("#'Input - Herd - Feedlot'!A1", "Herd - Feedlot")</f>
        <v>Herd - Feedlot</v>
      </c>
    </row>
    <row r="12" spans="1:21" ht="20.100000000000001" customHeight="1" x14ac:dyDescent="0.25">
      <c r="A12" s="17" t="str">
        <f>HYPERLINK("#'Input - Pasture'!A1", "Pasture")</f>
        <v>Pasture</v>
      </c>
    </row>
    <row r="13" spans="1:21" ht="20.100000000000001" customHeight="1" x14ac:dyDescent="0.25">
      <c r="A13" s="17" t="str">
        <f>HYPERLINK("#'Input - Grains'!A1", "Crop - Grains")</f>
        <v>Crop - Grains</v>
      </c>
    </row>
    <row r="14" spans="1:21" ht="20.100000000000001" customHeight="1" x14ac:dyDescent="0.25">
      <c r="A14" s="17" t="str">
        <f>HYPERLINK("#'Input - Fert Lime Chem'!A1", "Fertiliser, Lime &amp; Chemicals")</f>
        <v>Fertiliser, Lime &amp; Chemicals</v>
      </c>
    </row>
    <row r="15" spans="1:21" ht="20.100000000000001" customHeight="1" x14ac:dyDescent="0.25">
      <c r="A15" s="17" t="str">
        <f>HYPERLINK("#'Input - Fuel &amp; Energy'!A1", "Electricity and fuel")</f>
        <v>Electricity and fuel</v>
      </c>
    </row>
    <row r="16" spans="1:21" ht="20.100000000000001" customHeight="1" x14ac:dyDescent="0.25">
      <c r="A16" s="70" t="s">
        <v>79</v>
      </c>
    </row>
    <row r="17" spans="1:1" ht="20.100000000000001" customHeight="1" x14ac:dyDescent="0.25">
      <c r="A17" s="70" t="s">
        <v>75</v>
      </c>
    </row>
    <row r="18" spans="1:1" ht="20.100000000000001" customHeight="1" x14ac:dyDescent="0.25">
      <c r="A18" s="17" t="str">
        <f>HYPERLINK("#'Input - Other Farm Inputs'!A1", "Other farm inputs")</f>
        <v>Other farm inputs</v>
      </c>
    </row>
    <row r="19" spans="1:1" ht="20.100000000000001" customHeight="1" x14ac:dyDescent="0.25">
      <c r="A19" s="17" t="str">
        <f>HYPERLINK("#'Input - Data quality'!A1", "Data quality")</f>
        <v>Data quality</v>
      </c>
    </row>
    <row r="20" spans="1:1" ht="20.100000000000001" customHeight="1" x14ac:dyDescent="0.25"/>
    <row r="21" spans="1:1" ht="20.100000000000001" customHeight="1" x14ac:dyDescent="0.25">
      <c r="A21" s="19" t="s">
        <v>77</v>
      </c>
    </row>
    <row r="22" spans="1:1" ht="20.100000000000001" customHeight="1" x14ac:dyDescent="0.25">
      <c r="A22" s="70" t="s">
        <v>1</v>
      </c>
    </row>
    <row r="23" spans="1:1" ht="20.100000000000001" customHeight="1" x14ac:dyDescent="0.25">
      <c r="A23" s="70" t="s">
        <v>76</v>
      </c>
    </row>
    <row r="24" spans="1:1" ht="20.100000000000001" customHeight="1" x14ac:dyDescent="0.25">
      <c r="A24" s="17" t="str">
        <f>HYPERLINK("#'Calcs - Fert Lime'!A1", "Fertiliser &amp; soil amendments")</f>
        <v>Fertiliser &amp; soil amendments</v>
      </c>
    </row>
    <row r="25" spans="1:1" ht="20.100000000000001" customHeight="1" x14ac:dyDescent="0.25">
      <c r="A25" s="17" t="str">
        <f>HYPERLINK("#'Calcs - Residue mgmt - Crop'!A1", "Residue management - Crop")</f>
        <v>Residue management - Crop</v>
      </c>
    </row>
    <row r="26" spans="1:1" ht="20.100000000000001" customHeight="1" x14ac:dyDescent="0.25">
      <c r="A26" s="17" t="str">
        <f>HYPERLINK("#'Calcs - Residue mgmt - Pasture'!A1", "Residue management - Pasture")</f>
        <v>Residue management - Pasture</v>
      </c>
    </row>
    <row r="27" spans="1:1" ht="20.100000000000001" customHeight="1" x14ac:dyDescent="0.25">
      <c r="A27" s="17" t="str">
        <f>HYPERLINK("#'Calcs - Field burning'!A1", "Field burning - Crop")</f>
        <v>Field burning - Crop</v>
      </c>
    </row>
    <row r="28" spans="1:1" ht="20.100000000000001" customHeight="1" x14ac:dyDescent="0.25">
      <c r="A28" s="17" t="str">
        <f>HYPERLINK("#'Calcs - Fuel'!A1", "Fuel")</f>
        <v>Fuel</v>
      </c>
    </row>
    <row r="29" spans="1:1" ht="20.100000000000001" customHeight="1" x14ac:dyDescent="0.25">
      <c r="A29" s="17" t="str">
        <f>HYPERLINK("#'Calcs - Electricity'!A1", "Electricity")</f>
        <v>Electricity</v>
      </c>
    </row>
    <row r="30" spans="1:1" ht="20.100000000000001" customHeight="1" x14ac:dyDescent="0.25">
      <c r="A30" s="17" t="str">
        <f>HYPERLINK("#'Calcs - Refrigerants'!A1", "Refrigerants")</f>
        <v>Refrigerants</v>
      </c>
    </row>
    <row r="31" spans="1:1" ht="20.100000000000001" customHeight="1" x14ac:dyDescent="0.25">
      <c r="A31" s="70" t="s">
        <v>79</v>
      </c>
    </row>
    <row r="32" spans="1:1" ht="20.100000000000001" customHeight="1" x14ac:dyDescent="0.25">
      <c r="A32" s="70" t="s">
        <v>75</v>
      </c>
    </row>
    <row r="33" spans="1:1" ht="20.100000000000001" customHeight="1" x14ac:dyDescent="0.25">
      <c r="A33" s="17" t="str">
        <f>HYPERLINK("#'Calcs - Scope 3'!A1", "Purchased goods scope 3")</f>
        <v>Purchased goods scope 3</v>
      </c>
    </row>
    <row r="34" spans="1:1" ht="20.100000000000001" customHeight="1" x14ac:dyDescent="0.25"/>
    <row r="35" spans="1:1" ht="20.100000000000001" customHeight="1" x14ac:dyDescent="0.25">
      <c r="A35" s="18" t="s">
        <v>4</v>
      </c>
    </row>
    <row r="36" spans="1:1" ht="20.100000000000001" customHeight="1" x14ac:dyDescent="0.25">
      <c r="A36" s="17" t="str">
        <f>HYPERLINK("#'Constants - Common'!A1", "Constants - Common")</f>
        <v>Constants - Common</v>
      </c>
    </row>
    <row r="37" spans="1:1" ht="20.100000000000001" customHeight="1" x14ac:dyDescent="0.25">
      <c r="A37" s="17" t="str">
        <f>HYPERLINK("#'Constants - Cropping'!A1", "Constants - Cropping")</f>
        <v>Constants - Cropping</v>
      </c>
    </row>
    <row r="38" spans="1:1" ht="20.100000000000001" customHeight="1" x14ac:dyDescent="0.25">
      <c r="A38" s="17" t="str">
        <f>HYPERLINK("#'Constants - Livestock'!A1", "Constants - Livestock")</f>
        <v>Constants - Livestock</v>
      </c>
    </row>
    <row r="39" spans="1:1" ht="20.100000000000001" customHeight="1" x14ac:dyDescent="0.25">
      <c r="A39" s="17" t="str">
        <f>HYPERLINK("#'Constants - Dairy'!A1", "Constants - Dairy")</f>
        <v>Constants - Dairy</v>
      </c>
    </row>
    <row r="40" spans="1:1" ht="20.100000000000001" customHeight="1" x14ac:dyDescent="0.25">
      <c r="A40" s="70" t="s">
        <v>2</v>
      </c>
    </row>
    <row r="41" spans="1:1" ht="20.100000000000001" customHeight="1" x14ac:dyDescent="0.25">
      <c r="A41" s="47"/>
    </row>
    <row r="42" spans="1:1" ht="20.100000000000001" customHeight="1" x14ac:dyDescent="0.25"/>
    <row r="43" spans="1:1" ht="20.100000000000001" customHeight="1" x14ac:dyDescent="0.25"/>
    <row r="44" spans="1:1" ht="20.100000000000001" customHeight="1" x14ac:dyDescent="0.25"/>
    <row r="45" spans="1:1" ht="20.100000000000001" customHeight="1" x14ac:dyDescent="0.25"/>
    <row r="46" spans="1:1" ht="20.100000000000001" customHeight="1" x14ac:dyDescent="0.25"/>
    <row r="47" spans="1:1" ht="20.100000000000001" customHeight="1" x14ac:dyDescent="0.25"/>
    <row r="48" spans="1:1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  <row r="61" ht="20.100000000000001" customHeight="1" x14ac:dyDescent="0.25"/>
    <row r="62" ht="20.100000000000001" customHeight="1" x14ac:dyDescent="0.25"/>
    <row r="63" ht="20.100000000000001" customHeight="1" x14ac:dyDescent="0.25"/>
    <row r="64" ht="20.100000000000001" customHeight="1" x14ac:dyDescent="0.25"/>
    <row r="65" ht="20.100000000000001" customHeight="1" x14ac:dyDescent="0.25"/>
    <row r="66" ht="20.100000000000001" customHeight="1" x14ac:dyDescent="0.25"/>
    <row r="67" ht="20.100000000000001" customHeight="1" x14ac:dyDescent="0.25"/>
    <row r="68" ht="20.100000000000001" customHeight="1" x14ac:dyDescent="0.25"/>
    <row r="69" ht="20.100000000000001" customHeight="1" x14ac:dyDescent="0.25"/>
    <row r="70" ht="20.100000000000001" customHeight="1" x14ac:dyDescent="0.25"/>
    <row r="71" ht="20.100000000000001" customHeight="1" x14ac:dyDescent="0.25"/>
    <row r="72" ht="20.100000000000001" customHeight="1" x14ac:dyDescent="0.25"/>
    <row r="73" ht="20.100000000000001" customHeight="1" x14ac:dyDescent="0.25"/>
    <row r="74" ht="20.100000000000001" customHeight="1" x14ac:dyDescent="0.25"/>
    <row r="75" ht="20.100000000000001" customHeight="1" x14ac:dyDescent="0.25"/>
    <row r="76" ht="20.100000000000001" customHeight="1" x14ac:dyDescent="0.25"/>
    <row r="77" ht="20.100000000000001" customHeight="1" x14ac:dyDescent="0.25"/>
    <row r="78" ht="20.100000000000001" customHeight="1" x14ac:dyDescent="0.25"/>
    <row r="79" ht="20.100000000000001" customHeight="1" x14ac:dyDescent="0.25"/>
    <row r="80" ht="20.100000000000001" customHeight="1" x14ac:dyDescent="0.25"/>
    <row r="81" ht="20.100000000000001" customHeight="1" x14ac:dyDescent="0.25"/>
    <row r="82" ht="20.100000000000001" customHeight="1" x14ac:dyDescent="0.25"/>
    <row r="83" ht="20.100000000000001" customHeight="1" x14ac:dyDescent="0.25"/>
    <row r="84" ht="20.100000000000001" customHeight="1" x14ac:dyDescent="0.25"/>
    <row r="85" ht="20.100000000000001" customHeight="1" x14ac:dyDescent="0.25"/>
    <row r="86" ht="20.100000000000001" customHeight="1" x14ac:dyDescent="0.25"/>
    <row r="87" ht="20.100000000000001" customHeight="1" x14ac:dyDescent="0.25"/>
    <row r="88" ht="20.100000000000001" customHeight="1" x14ac:dyDescent="0.25"/>
    <row r="89" ht="20.100000000000001" customHeight="1" x14ac:dyDescent="0.25"/>
    <row r="90" ht="20.100000000000001" customHeight="1" x14ac:dyDescent="0.25"/>
    <row r="91" ht="20.100000000000001" customHeight="1" x14ac:dyDescent="0.25"/>
    <row r="92" ht="20.100000000000001" customHeight="1" x14ac:dyDescent="0.25"/>
    <row r="93" ht="20.100000000000001" customHeight="1" x14ac:dyDescent="0.25"/>
    <row r="94" ht="20.100000000000001" customHeight="1" x14ac:dyDescent="0.25"/>
    <row r="95" ht="20.100000000000001" customHeight="1" x14ac:dyDescent="0.25"/>
    <row r="96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B660BB23738846A00119B5826AC974" ma:contentTypeVersion="11" ma:contentTypeDescription="Create a new document." ma:contentTypeScope="" ma:versionID="3e3613359d4ae7f6bda6c57be713f101">
  <xsd:schema xmlns:xsd="http://www.w3.org/2001/XMLSchema" xmlns:xs="http://www.w3.org/2001/XMLSchema" xmlns:p="http://schemas.microsoft.com/office/2006/metadata/properties" xmlns:ns2="7291119c-fce9-4911-96ae-b800be5dccd8" xmlns:ns3="09eef6d6-daa8-4301-8f9f-b1ec38079286" targetNamespace="http://schemas.microsoft.com/office/2006/metadata/properties" ma:root="true" ma:fieldsID="87491bfad7f11426ad96486e70428b3e" ns2:_="" ns3:_="">
    <xsd:import namespace="7291119c-fce9-4911-96ae-b800be5dccd8"/>
    <xsd:import namespace="09eef6d6-daa8-4301-8f9f-b1ec38079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91119c-fce9-4911-96ae-b800be5dc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ef6d6-daa8-4301-8f9f-b1ec3807928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52b9829-e58f-4759-907b-e4bc75f6ae89}" ma:internalName="TaxCatchAll" ma:showField="CatchAllData" ma:web="09eef6d6-daa8-4301-8f9f-b1ec38079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eef6d6-daa8-4301-8f9f-b1ec38079286" xsi:nil="true"/>
    <lcf76f155ced4ddcb4097134ff3c332f xmlns="7291119c-fce9-4911-96ae-b800be5dccd8">
      <Terms xmlns="http://schemas.microsoft.com/office/infopath/2007/PartnerControls"/>
    </lcf76f155ced4ddcb4097134ff3c332f>
  </documentManagement>
</p:properties>
</file>

<file path=customXml/item4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+ACAAMQA4ACAAQwBcACIALAAgAFwAIgBBAG4AeQBcACIALAAgAFwAIgBkIiAANwBcACIALAAgAFwAIgA+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+ACAAMQA4ACAAQwBcACIALAAgAFwAIgA+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+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+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+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AAIA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CcAQQBxAHUAYQBjAHUAbAB0AHUAcgBlACcAIAByAG8AdwAuAFwAIgA7AFwAbgAgACAAIAAgACAAIAAgACAAIAAgAFwAIgBSAGUAbQBvAHYAZQBkACAAYQBzAHQAZQByAGkAcwBrAHMAIAB0AG8AIABhAGkAZAAgAGwAbwBvAGsAdQBwAC4AXAAiADsAXABuACAAIAAgACAAIAAgACAAIAAgACAAXAAiAEEAZABkAGUAZAAgACcAcAByAG8AZAB1AGMAdABpAG8AbgAgAHMAeQBzAHQAZQBtACAAbwBuAGwAeQAnACwAIAAnAHIAYQBpAG4AZgBhAGwAbAAgAHoAbwBuAGUAJwAgAGEAbgBkACAAJwBpAHIAcgBpAGcAYQB0AGkAbwBuACAAbQBlAHQAaABvAGQAJwAgAGMAbwBsAHUAbQBuAHMAIAB0AG8AIABhAGkAZAAgAGwAbwBvAGsAdQBwAC4AXAAiADsAXABuACAAIAAgACAAIAAgACAAIAAgACAAXAAiAEQAdQBwAGwAaQBjAGEAdABlAGQAIAAnAG4AbwBuAC0AaQByAHIAaQBnAGEAdABlAGQAIABwAGEAcwB0AHUAcgBlACcAIAByAG8AdwAgAHcAaQB0AGgAIABzAGEAbQBlACAARQBGACAAZgBvAHIAIABsAG8AdwAgAGEAbgBkACAAaABpAGcAaAAgAHIAYQBpAG4AZgBhAGwAbAAgAHoAbwBuAGUAcwAgAHQAbwAgAGEAaQBkACAAbABvAG8AawB1AHAALg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SQByAHIAaQBnAGEAdABpAG8AbgBcAG4AVgBFAEUAUgBHACAAMgAwADIANgA6ACAAQwBoAGEAcAB0AGUAcgAgADEALAAgAHMAZQBjAHQAaQBvAG4AIAAxAC4AOAAuADIAIABMAGUAYQBjAGgAaQBuAGcALAAgAGMAbABpAG0AYQB0AGUAIABhAG4AZAAgAHIAYQBpAG4AZgBhAGwAbAAgAHoAbwBuAGUAcwBcAG4ASQBQAEMAQwA6ACAATgAyAE8AIABFAE0ASQBTAFMASQBPAE4AUwAgAEYAUgBPAE0AIABNAEEATgBBAEcARQBEACAAUwBPAEkATABTACwAIABBAE4ARAAgAEMATwAyACAARQBNAEkAUwBTAEkATwBOAFMAIABGAFIATwBNACAATABJAE0ARQAgAEEATgBEACAAVQBSAEUAQQAgAEEAUABQAEwASQBDAEEAVABJAE8ATgBcAG4ALQAtAC0ALQAtAC0ALQAtAC0ALQAtAC0ALQAtAC0ALQAtAC0ALQAtAC0ALQAtAC0ALQAtAC0ALQAtAC0ALQAtAC0ALQAtAC0ALQAtAFwAbgAqAC8AXABuAFwAbgBDAG8AbQBtAG8AbgBfAFMAbwB1AHIAYwBlAEQAYQB0AGEAXwBGAHIAYQBjAFcARQBUAEkAcgByAGkAZwBhAHQAaQBvAG4AXwBUAGkAdABsAGUAXABuACAAIAA9AEwAQQBNAEIARABBACgAXAAiAEYAcgBhAGMAVwBFAFQAIABmAG8AcgAgAGkAcgByAGkAZwBhAHQAaQBvAG4AIAB0AHkAcABlAHMAXAAiACkAOwBcAG4AXABuAEMAbwBtAG0AbwBuAF8AUwBvAHUAcgBjAGUARABhAHQAYQBfAEYAcgBhAGMAVwBFAFQASQByAHIAaQBnAGEAdABpAG8AbgBfAFUAbgBpAHQAXABuACAAIAA9AEwAQQBNAEIARABBACgAXAAiAGQAaQBtAGUAbgBzAGkAbwBuAGwAZQBzAHMAXAAiACkAOwBcAG4AXABuAEMAbwBtAG0AbwBuAF8AUwBvAHUAcgBjAGUARABhAHQAYQBfAEYAcgBhAGMAVwBFAFQASQByAHIAaQBnAGEAdABpAG8AbgBfAFMAbwB1AHIAYwBlAFwAbgAgACAAPQBMAEEATQBCAEQAQQAoAFwAIgBWAEUARQBSAEcAIAAyADAAMgA2ADoAIABDAGgAYQBwAHQAZQByACAAMQAsACAAcwBlAGMAdABpAG8AbgAgADEALgA4AC4AMgAgAEwAZQBhAGMAaABpAG4AZwAsACAAYwBsAGkAbQBhAHQAZQAgAGEAbgBkACAAcgBhAGkAbgBmAGEAbABsACAAegBvAG4AZQBzAFwAIgApADsAXABuAFwAbgBDAG8AbQBtAG8AbgBfAFMAbwB1AHIAYwBlAEQAYQB0AGEAXwBGAHIAYQBjAFcARQBUAEkAcgByAGkAZwBhAHQAaQBvAG4AXwBOAEkAUgBSAGUAZgBlAHIAZQBuAGMAZQBcAG4AIAAgAD0ATABBAE0AQgBEAEEAKABcACIASQBQAEMAQwAgADIAMAAxADkAIABSAGUAZgBpAG4AZQBtAGUAbgB0ACAAVgBvAGwAdQBtAGUAIAA0ADoAIABDAGgAYQBwAHQAZQByACAAMQAxADoAIABOADIATwAgAEUAbQBpAHMAcwBpAG8AbgBzACAAZgByAG8AbQAgAE0AYQBuAGEAZwBlAGQAIABTAG8AaQBsAHMALAAgAGEAbgBkACAAQwBPADIAIABFAG0AaQBzAHMAaQBvAG4AcwAgAGYAcgBvAG0AIABMAGkAbQBlACAAYQBuAGQAIABVAHIAZQBhACAAQQBwAHAAbABpAGMAYQB0AGkAbwBuAFwAIgApADsAXABuAFwAbgBDAG8AbQBtAG8AbgBfAFMAbwB1AHIAYwBlAEQAYQB0AGEAXwBGAHIAYQBjAFcARQBUAEkAcgByAGkAZwBhAHQAaQBvAG4AXwBEAGEAdABhAFwAbgAgACAAPQBMAEEATQBCAEQAQQAoAFwAbgAgACAAIAAgAE0AQQBLAEUAQQBSAFIAQQBZACgANgAsACAAMgAsACAAXABuACAAIAAgACAAIAAgAEwAQQBNAEIARABBACgAcgAsAGMALAAgAFwAbgAgACAAIAAgACAAIAAgACAASQBOAEQARQBYACgAewBcAG4AIAAgACAAIAAgACAAIAAgACAAIABcACIASQByAHIAaQBnAGEAdABpAG8AbgAgAHQAeQBwAGUAIABpAHIAXAAiACwAXAAiAEYAcgBhAGMAVwBFAFQAXAAiADsAXABuACAAIAAgACAAIAAgACAAIAAgACAAXAAiAE4AbwB0ACAAaQByAHIAaQBnAGEAdABlAGQAXAAiACwAIAAwADsAXABuACAAIAAgACAAIAAgACAAIAAgACAAXAAiAEQAcgBpAHAAIABpAHIAcgBpAGcAYQB0AGkAbwBuAFwAIgAsACAAMAA7AFwAbgAgACAAIAAgACAAIAAgACAAIAAgAFwAIgBTAHAAcgBpAG4AawBsAGUAcgAgAGkAcgByAGkAZwBhAHQAaQBvAG4AXAAiACwAIAAxADsAXABuACAAIAAgACAAIAAgACAAIAAgACAAXAAiAFMAdQByAGYAYQBjAGUAIABpAHIAcgBpAGcAYQB0AGkAbwBuAFwAIgAsACAAMQA7AFwAbgAgACAAIAAgACAAIAAgACAAIAAgAFwAIgBPAHQAaABlAHIAIABpAHIAcgBpAGcAYQB0AGkAbwBuAFwAIgAsACAAMQBcAG4AIAAgACAAIAAgACAAIAAgAH0ALAAgAHIALAAgAGMAKQBcAG4AIAAgACAAIAAgACAAKQBcAG4AIAAgACAAIAApAFwAbgAgACAAKQA7AFwAbgBcAG4AIAAgAEMAbwBtAG0AbwBuAF8AUwBvAHUAcgBjAGUARABhAHQAYQBfAEYAcgBhAGMAVwBFAFQASQByAHIAaQBnAGEAdABpAG8AbgBfAFYAYQByAGkAYQB0AGkAbwBuAFwAbgAgACAAPQBMAEEATQBCAEQAQQAoAFwAIgBWAEEAUgBJAEEAVABJAE8ATgAgAEYAUgBPAE0AIABTAE8AVQBSAEMARQAgAEQAQQBUAEEAOgAgAFQAYQBiAGwAZQAgAGMAcgBlAGEAdABlAGQAIABiAGEAcwBlAGQAIABvAG4AIABWAEUARQBSAEcAIAB0AGUAeAB0ACAAJ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An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AnAEQAcgB5ACAAYwBsAGkAbQBhAHQAZQAgAHoAbwBuAGUAcwAnACAAdABvACAAcwBpAG4AZwB1AGwAYQByACAAJwBEAHIAeQAgAGMAbABpAG0AYQB0AGUAIAB6AG8AbgBlACcAIAB0AG8AIABhAGkAZAAgAGwAbwBvAGsAdQBwAC4AXAAiACkAOw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+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A8ACAAUwApACwAXABuACAAIAAgACAAIAAgACAAIABsAGEAcwB0AFkAZQBhAHIALAB5AGIALQAoAEQAQQBUAEUAKAB5AGIALABtACwAZAApAD4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CcAdAAgAG8AdgBlAHIAbABhAHAAOwAgAG0AbwB2AGUAIAB0AG8AIABuAGUAeAB0ACAAeQBlAGEAcgAqAC8AXABuACAAIAAgACAAIAAgACAAIABmAGkAcgBzAHQAWQBlAGEAcgAsAHkAYQArACgAUABlAHIAaQBvAGQARQBuAGQAKABEAEEAVABFACgAeQBhACwAbQAsAGQAKQApADwAUwApACwAIAAvACoAaQBmACAAdABoAGUAIABhAG4AYwBoAG8AcgAgAGYAbwByACAAeQBiACAAcwB0AGEAcgB0AHMAIABhAGYAdABlAHIAIABFACwAaQB0ACAAYwBhAG4AJwB0ACAAbwB2AGUAcgBsAGEAcAA7ACAAbQBvAHYAZQAgAHQAbwAgAHAAcgBlAHYAaQBvAHUAcwAgAHkAZQBhAHIAKgAvAFwAbgAgACAAIAAgACAAIAAgACAAbABhAHMAdABZAGUAYQByACwAeQBiAC0AKABEAEEAVABFACgAeQBiACwAbQAsAGQAKQA+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AmACAAXAAiACAAdABvACAAXAAiACAAJgAgAGUAbgBkAHMAVABlAHgAdAAgAC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+ADAALAAgADEALAAgADAAKQBcAG4AIAAgACAAIAAp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CwAewAiAHAAYQB0AGgAIgA6ACIALwBwAHIAbwBqAGUAYwB0AHMALwBTAG8AdQByAGMAZQBEAGEAdABhAF8ARgBlAGUAZABsAG8AdAAiACwAIgB0AGUAeAB0ACIAOgAiAC8AKgAgAFwAbgAtAC0ALQAtAC0ALQAtAC0ALQAtAC0ALQAtAC0ALQAtAC0ALQAtAC0ALQAtAC0ALQAtAC0ALQAtAC0ALQAtAC0ALQAtAC0ALQAtAC0AXABuAFMAbwB1AHIAYwBlAEQAYQB0AGEAXwBGAGUAZQBkAGwAbwB0AF8AVgBTAEwAXABuAEYAcgBhAGMAdABpAG8AbgAgAG8AZgAgAHYAbwBsAGEAdABpAGwAZQAgAHMAbwBsAGkAZABzACAAbABvAHMAdAAgAGkAbgAgAHQAaABlACAAcAByAGkAbQBhAHIAeQAgAE0ATQBTAFwAbgAtAC0ALQAtAC0ALQAtAC0ALQAtAC0ALQAtAC0ALQAtAC0ALQAtAC0ALQAtAC0ALQAtAC0ALQAtAC0ALQAtAC0ALQAtAC0ALQAtAC0AXABuACoALwBcAG4AXABuAFMAbwB1AHIAYwBlAEQAYQB0AGEAXwBGAGUAZQBkAGwAbwB0AF8AVgBTAEwAXwBUAGkAdABsAGUAXABuACAAIAA9AEwAQQBNAEIARABBACgAXAAiAEYAZQBlAGQAbABvAHQAIAAtACAARgByAGEAYwB0AGkAbwBuACAAbwBmACAAdgBvAGwAYQB0AGkAbABlACAAcwBvAGwAaQBkAHMAIABsAG8AcwB0ACAAZAB1AHIAaQBuAGcAIABzAHQAbwByAGEAZwBlACAAaQBuACAAdABoAGUAIABwAHIAaQBtAGEAcgB5ACAAcwB5AHMAdABlAG0AXAAiACkAOwBcAG4AXABuAFMAbwB1AHIAYwBlAEQAYQB0AGEAXwBGAGUAZQBkAGwAbwB0AF8AVgBTAEwAXwBWAGEAcgBpAGEAYgBsAGUAXABuACAAIAA9AEwAQQBNAEIARABBACgAXAAiAFYAUwBMAFwAIgApADsAXABuAFwAbgBTAG8AdQByAGMAZQBEAGEAdABhAF8ARgBlAGUAZABsAG8AdABfAFYAUwBMAF8AVQBuAGkAdABcAG4AIAAgAD0ATABBAE0AQgBEAEEAKABcACIARgByAGEAYwB0AGkAbwBuAFwAIgApADsAXABuAFwAbgBTAG8AdQByAGMAZQBEAGEAdABhAF8ARgBlAGUAZABsAG8AdABfAFYAUwBMAF8AUwBvAHUAcgBjAGUAXABuACAAIAA9AEwAQQBNAEIARABBACgAXAAiAFYARQBFAFIARwAgADIAMAAyADYAOgAgADQALgAxAC4AMgAuADMAIABDAE8ATgBTAFQAQQBOAFQAUwBcACIAKQA7AFwAbgBcAG4AUwBvAHUAcgBjAGUARABhAHQAYQBfAEYAZQBlAGQAbABvAHQAXwBWAFMATABfAFYAYQByAGkAYQB0AGkAbwBuAFwAbgAgACAAPQBMAEEATQBCAEQAQQAoAFwAIgBcACIAKQA7AFwAbgBcAG4AUwBvAHUAcgBjAGUARABhAHQAYQBfAEYAZQBlAGQAbABvAHQAXwBWAFMATABfAEQAYQB0AGEAXABuACAAIAA9AEwAQQBNAEIARABBACgAMAAuADUAKQA7AFwAbgBcAG4ALwAqACAAXABuAC0ALQAtAC0ALQAtAC0ALQAtAC0ALQAtAC0ALQAtAC0ALQAtAC0ALQAtAC0ALQAtAC0ALQAtAC0ALQAtAC0ALQAtAC0ALQAtAC0ALQBcAG4AUwBvAHUAcgBjAGUARABhAHQAYQBfAEYAZQBlAGQAbABvAHQAXwBNAE0AUwBtADEAVAAzAFwAb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BuAC0ALQAtAC0ALQAtAC0ALQAtAC0ALQAtAC0ALQAtAC0ALQAtAC0ALQAtAC0ALQAtAC0ALQAtAC0ALQAtAC0ALQAtAC0ALQAtAC0ALQBcAG4AKgAvAFwAbgBcAG4AUwBvAHUAcgBjAGUARABhAHQAYQBfAEYAZQBlAGQAbABvAHQAXwBNAE0AUwBtADEAVAAzAF8AVABpAHQAbABlAFwAbgAgACAAPQBMAEEATQBCAEQAQQAoAFwAIgBGAHIAYQBjAHQAaQBvAG4AIABvAGYAIAB2AG8AbABhAHQAaQBsAGUAIABzAG8AbABpAGQAcwAgAHQAbwAgAGUAYQBjAGgAIAB0AGUAcgB0AGkAYQByAHkAIABzAHkAcwB0AGUAbQAgAGEAcwBzAHUAbQBlAGQAIAB0AGgAYQB0ACAAMgAgAHAAZQByACAAYwBlAG4AdAAgAGkAcwAgAHIAdQBuACAALQAgAG8AZgBmACAAZgByAG8AbQAgAHQAaABlACAAZgBlAGUAZAAgAHAAYQBkAC4AXAAiACkAOwBcAG4AXABuAFMAbwB1AHIAYwBlAEQAYQB0AGEAXwBGAGUAZQBkAGwAbwB0AF8ATQBNAFMAbQAxAFQAMwBfAFYAYQByAGkAYQBiAGwAZQBcAG4AIAAgAD0ATABBAE0AQgBEAEEAKABcACIATQBNAFMAbQAxAFQAMwBcACIAKQA7AFwAbgBcAG4AUwBvAHUAcgBjAGUARABhAHQAYQBfAEYAZQBlAGQAbABvAHQAXwBNAE0AUwBtADEAVAAzAF8AVQBuAGkAdABcAG4AIAAgAD0ATABBAE0AQgBEAEEAKABcACIARgByAGEAYwB0AGkAbwBuAFwAIgApADsAXABuAFwAbgBTAG8AdQByAGMAZQBEAGEAdABhAF8ARgBlAGUAZABsAG8AdABfAE0ATQBTAG0AMQBUADMAXwBTAG8AdQByAGMAZQBcAG4AIAAgAD0ATABBAE0AQgBEAEEAKABcACIAVgBFAEUAUgBHACAAMgAwADIANgA6ACAANAAuADEALgAyAC4AMwAgAEMATwBOAFMAVABBAE4AVABTAFwAIgApADsAXABuAFwAbgBTAG8AdQByAGMAZQBEAGEAdABhAF8ARgBlAGUAZABsAG8AdABfAE0ATQBTAG0AMQBUADMAXwBWAGEAcgBpAGEAdABpAG8AbgBcAG4AIAAgAD0ATABBAE0AQgBEAEEAKABcACIAXAAiACkAOwBcAG4AXABuAFMAbwB1AHIAYwBlAEQAYQB0AGEAXwBGAGUAZQBkAGwAbwB0AF8ATQBNAFMAbQAxAFQAMwBfAEQAYQB0AGEAXABuACAAIAA9AEwAQQBNAEIARABBACgAMAAuADAAMgApADsAXABuAFwAbgAvACoAIABcAG4ALQAtAC0ALQAtAC0ALQAtAC0ALQAtAC0ALQAtAC0ALQAtAC0ALQAtAC0ALQAtAC0ALQAtAC0ALQAtAC0ALQAtAC0ALQAtAC0ALQAtAFwAbgBTAG8AdQByAGMAZQBEAGEAdABhAF8ARgBlAGUAZABsAG8AdABfAEEAcwBoAEMAbwBuAHQAZQBuAHQAXABuAEEAcwBoACAAYwBvAG4AdABlAG4AdAAgAG8AZgAgAG0AYQBuAHUAcgBlAC4AXABuAC0ALQAtAC0ALQAtAC0ALQAtAC0ALQAtAC0ALQAtAC0ALQAtAC0ALQAtAC0ALQAtAC0ALQAtAC0ALQAtAC0ALQAtAC0ALQAtAC0ALQBcAG4AKgAvAFwAbgBcAG4AUwBvAHUAcgBjAGUARABhAHQAYQBfAEYAZQBlAGQAbABvAHQAXwBBAHMAaABDAG8AbgB0AGUAbgB0AF8AVABpAHQAbABlAFwAbgAgACAAPQBMAEEATQBCAEQAQQAoAFwAIgBBAHMAaAAgAGMAbwBuAHQAZQBuAHQAIABvAGYAIABtAGEAbgB1AHIAZQAuAFwAIgApADsAXABuAFwAbgBTAG8AdQByAGMAZQBEAGEAdABhAF8ARgBlAGUAZABsAG8AdABfAEEAcwBoAEMAbwBuAHQAZQBuAHQAXwBWAGEAcgBpAGEAYgBsAGUAXABuACAAIAA9AEwAQQBNAEIARABBACgAXAAiAEEAXAAiACkAOwBcAG4AXABuAFMAbwB1AHIAYwBlAEQAYQB0AGEAXwBGAGUAZQBkAGwAbwB0AF8AQQBzAGgAQwBvAG4AdABlAG4AdABfAFUAbgBpAHQAXABuACAAIAA9AEwAQQBNAEIARABBACgAXAAiAEYAcgBhAGMAdABpAG8AbgBcACIAKQA7AFwAbgBcAG4AUwBvAHUAcgBjAGUARABhAHQAYQBfAEYAZQBlAGQAbABvAHQAXwBBAHMAaABDAG8AbgB0AGUAbgB0AF8AUwBvAHUAcgBjAGUAXABuACAAIAA9AEwAQQBNAEIARABBACgAXAAiAFYARQBFAFIARwAgADIAMAAyADYAOgAgADQALgAxAC4AMgAuADMAIABDAE8ATgBTAFQAQQBOAFQAUwBcACIAKQA7AFwAbgBcAG4AUwBvAHUAcgBjAGUARABhAHQAYQBfAEYAZQBlAGQAbABvAHQAXwBBAHMAaABDAG8AbgB0AGUAbgB0AF8AVgBhAHIAaQBhAHQAaQBvAG4AXABuACAAIAA9AEwAQQBNAEIARABBACgAXAAiAFwAIgApADsAXABuAFwAbgBTAG8AdQByAGMAZQBEAGEAdABhAF8ARgBlAGUAZABsAG8AdABfAEEAcwBoAEMAbwBuAHQAZQBuAHQAXwBEAGEAdABhAFwAbgAgACAAPQBMAEEATQBCAEQAQQAoADAALgAxADYAKQA7AFwAbgBcAG4ALwAqACAAXABuAC0ALQAtAC0ALQAtAC0ALQAtAC0ALQAtAC0ALQAtAC0ALQAtAC0ALQAtAC0ALQAtAC0ALQAtAC0ALQAtAC0ALQAtAC0ALQAtAC0ALQBcAG4AUwBvAHUAcgBjAGUARABhAHQAYQBfAEYAZQBlAGQAbABvAHQAXwBNAGUAdABoAGEAbgBlAEUAbQBpAHMAcwBpAG8AbgBzAFAAbwB0AGUAbgB0AGkAYQBsAFwAbgBNAGUAdABoAGEAbgBlACAAZQBtAGkAcwBzAGkAbwBuAHMAIABwAG8AdABlAG4AdABpAGEAbAAuAFwAbgAtAC0ALQAtAC0ALQAtAC0ALQAtAC0ALQAtAC0ALQAtAC0ALQAtAC0ALQAtAC0ALQAtAC0ALQAtAC0ALQAtAC0ALQAtAC0ALQAtAC0AXABuACoALwBcAG4AXABuAFMAbwB1AHIAYwBlAEQAYQB0AGEAXwBGAGUAZQBkAGwAbwB0AF8ATQBlAHQAaABhAG4AZQBFAG0AaQBzAHMAaQBvAG4AcwBQAG8AdABlAG4AdABpAGEAbABfAFQAaQB0AGwAZQBcAG4AIAAgAD0ATABBAE0AQgBEAEEAKABcACIATQBlAHQAaABhAG4AZQAgAGUAbQBpAHMAcwBpAG8AbgBzACAAcABvAHQAZQBuAHQAaQBhAGwALgBcACIAKQA7AFwAbgBcAG4AUwBvAHUAcgBjAGUARABhAHQAYQBfAEYAZQBlAGQAbABvAHQAXwBNAGUAdABoAGEAbgBlAEUAbQBpAHMAcwBpAG8AbgBzAFAAbwB0AGUAbgB0AGkAYQBsAF8AVgBhAHIAaQBhAGIAbABlAFwAbgAgACAAPQBMAEEATQBCAEQAQQAoAFwAIgBCADAAXAAiACkAOwBcAG4AXABuAFMAbwB1AHIAYwBlAEQAYQB0AGEAXwBGAGUAZQBkAGwAbwB0AF8ATQBlAHQAaABhAG4AZQBFAG0AaQBzAHMAaQBvAG4AcwBQAG8AdABlAG4AdABpAGEAbABfAFUAbgBpAHQAXABuACAAIAA9AEwAQQBNAEIARABBACgAXAAiAG0AMwAgAEMASAA0ACAALwAgAGsAZwAgAFYAUwBcACIAKQA7AFwAbgBcAG4AUwBvAHUAcgBjAGUARABhAHQAYQBfAEYAZQBlAGQAbABvAHQAXwBNAGUAdABoAGEAbgBlAEUAbQBpAHMAcwBpAG8AbgBzAFAAbwB0AGUAbgB0AGkAYQBsAF8AUwBvAHUAcgBjAGUAXABuACAAIAA9AEwAQQBNAEIARABBACgAXAAiAFYARQBFAFIARwAgADIAMAAyADYAOgAgADQALgAxAC4AMgAuADMAIABDAE8ATgBTAFQAQQBOAFQAUwBcACIAKQA7AFwAbgBcAG4AUwBvAHUAcgBjAGUARABhAHQAYQBfAEYAZQBlAGQAbABvAHQAXwBNAGUAdABoAGEAbgBlAEUAbQBpAHMAcwBpAG8AbgBzAFAAbwB0AGUAbgB0AGkAYQBsAF8AVgBhAHIAaQBhAHQAaQBvAG4AXABuACAAIAA9AEwAQQBNAEIARABBACgAXAAiAFwAIgApADsAXABuAFwAbgBTAG8AdQByAGMAZQBEAGEAdABhAF8ARgBlAGUAZABsAG8AdABfAE0AZQB0AGgAYQBuAGUARQBtAGkAcwBzAGkAbwBuAHMAUABvAHQAZQBuAHQAaQBhAGwAXwBEAGEAdABhAFwAbgAgACAAPQBMAEEATQBCAEQAQQAoADAALgAxADkAKQA7AFwAbgBcAG4AXABuAFMAbwB1AHIAYwBlAEQAYQB0AGEAXwBGAGUAZQBkAGwAbwB0AF8AUwB0AGEAZwBlADEATQBNAFMATwBwAHQAaQBvAG4AcwBcAG4AIAAgAD0ATABBAE0AQgBEAEEAKABcAG4AIAAgACAAIABNAEEASwBFAEEAUgBSAEEAWQAoADEALAAgADEALABcAG4AIAAgACAAIAAgACAATABBAE0AQgBEAEEAKAByACwAYwAsAFwAbgAgACAAIAAgACAAIAAgACAASQBOAEQARQBYACgAewBcAG4AIAAgACAAIAAgACAAIAAgACAAIABcACIARAByAHkAbABvAHQAIAAoAGYAZQBlAGQAIABwAGEAZAApAFwAIgBcAG4AIAAgACAAIAAgACAAIAAgAH0ALAAgAHIALAAgAGMAKQBcAG4AIAAgACAAIAAgACAAKQBcAG4AIAAgACAAIAApAFwAbgAgACAAKQA7AFwAbgBcAG4AUwBvAHUAcgBjAGUARABhAHQAYQBfAEYAZQBlAGQAbABvAHQAXwBTAHQAYQBnAGUAMgBNAE0AUwBPAHAAdABpAG8AbgBzAFwAbgAgACAAPQBMAEEATQBCAEQAQQAoAFwAbgAgACAAIAAgAE0AQQBLAEUAQQBSAFIAQQBZACgANAAsACAAMQAsAFwAbgAgACAAIAAgACAAIABMAEEATQBCAEQAQQAoAHIALABjACwAXABuACAAIAAgACAAIAAgACAAIABJAE4ARABFAFgAKAB7AFwAbgAgACAAIAAgACAAIAAgACAAIAAgAFwAIgBTAG8AbABpAGQAIABzAHQAbwByAGEAZwBlAFwAIgA7AFwAbgAgACAAIAAgACAAIAAgACAAIAAgAFwAIgBDAG8AbQBwAG8AcwB0AGkAbgBnACAAKABwAGEAcwBzAGkAdgBlACAAdwBpAG4AZAByAG8AdwApAFwAIgA7AFwAbgAgACAAIAAgACAAIAAgACAAIAAgAFwAIgBEAGkAcgBlAGMAdAAgAGEAcABwAGwAaQBjAGEAdABpAG8AbgBcACIAOwBcAG4AIAAgACAAIAAgACAAIAAgACAAIABcACIATgBvACAATQBNAFMAXAAiAFwAbgAgACAAIAAgACAAIAAgACAAfQAsACAAcgAsACAAYwApAFwAbgAgACAAIAAgACAAIAApAFwAbgAgACAAIAAgACkAXABuACAAIAApADsAXABuAFwAbgBTAG8AdQByAGMAZQBEAGEAdABhAF8ARgBlAGUAZABsAG8AdABfAFMAdABhAGcAZQAzAE0ATQBTAE8AcAB0AGkAbwBuAHMAXABuACAAIAA9AEwAQQBNAEIARABBACgAXABuACAAIAAgACAATQBBAEsARQBBAFIAUgBBAFkAKAAxACwAIAAxACwAXABuACAAIAAgACAAIAAgAEwAQQBNAEIARABBACgAcgAsAGMALABcAG4AIAAgACAAIAAgACAAIAAgAEkATgBEAEUAWAAoAHsAXABuACAAIAAgACAAIAAgACAAIAAgACAAXAAiAEEAbgBhAGUAcgBvAGIAaQBjACAAbABhAGcAbwBvAG4AXAAiAFwAbgAgACAAIAAgACAAIAAgACAAfQAsACAAcgAsACAAYwApAFwAbgAgACAAIAAgACAAIAApAFwAbgAgACAAIAAgACkAXABuACAAIAApADsAXABuAFwAbgBTAG8AdQByAGMAZQBEAGEAdABhAF8ARgBlAGUAZABsAG8AdABfAEwAaQB2AGUAcwB0AG8AYwBrAEMAbABhAHMAcwBlAHMAXABuACAAIAA9AEwAQQBNAEIARABBACgAXABuACAAIAAgACAATQBBAEsARQBBAFIAUgBBAFkAKAAzACwAIAAxACwAXABuACAAIAAgACAAIAAgAEwAQQBNAEIARABBACgAcgAsAGMALABcAG4AIAAgACAAIAAgACAAIAAgAEkATgBEAEUAWAAoAHsAXABuACAAIAAgACAAIAAgACAAIAAgACAAXAAiAEQAbwBtAGUAcwB0AGkAYwBcACIAOwAgAFwAbgAgACAAIAAgACAAIAAgACAAIAAgAFwAIgBFAHgAcABvAHIAdAAgAG0AaQBkACAAZgBlAGQAXAAiADsAIABcAG4AIAAgACAAIAAgACAAIAAgACAAIABcACIARQB4AHAAbwByAHQAIABsAG8AbgBnACAAZgBlAGQAXAAiAFwAbgAgACAAIAAgACAAIAAgACAAfQAsACAAcgAsACAAYwApAFwAbgAgACAAIAAgACAAIAApAFwAbgAgACAAIAAgACkAXABuACAAIAApADsAXABuAFwAbgBcAG4ALwAqACAAXABuAC0ALQAtAC0ALQAtAC0ALQAtAC0ALQAtAC0ALQAtAC0ALQAtAC0ALQAtAC0ALQAtAC0ALQAtAC0ALQAtAC0ALQAtAC0ALQAtAC0ALQBcAG4AUwBvAHUAcgBjAGUARABhAHQAYQBfAEYAZQBlAGQAbABvAHQAXwBEAHUAcgBhAHQAaQBvAG4ATwBmAFMAdABhAHkAXABuAFQAYQBiAGwAZQAgAEEALgAxAC4AMQAuADEAOgAgAEIAZQBlAGYAIABmAGUAZQBkAGwAbwB0ACAAYwBhAHQAdABsAGUAIAAtACAARAB1AHIAYQB0AGkAbwBuACAAbwBmACAAcwB0AGEAeQAgACgAZABhAHkAcwApAFwAbgAtAC0ALQAtAC0ALQAtAC0ALQAtAC0ALQAtAC0ALQAtAC0ALQAtAC0ALQAtAC0ALQAtAC0ALQAtAC0ALQAtAC0ALQAtAC0ALQAtAC0AXABuACoALwBcAG4AXABuAFMAbwB1AHIAYwBlAEQAYQB0AGEAXwBGAGUAZQBkAGwAbwB0AF8ARAB1AHIAYQB0AGkAbwBuAE8AZgBTAHQAYQB5AF8AVABpAHQAbABlAFwAbgAgACAAPQBMAEEATQBCAEQAQQAoAFwAIgBCAGUAZQBmACAAZgBlAGUAZABsAG8AdAAgAGMAYQB0AHQAbABlACAALQAgAEQAdQByAGEAdABpAG8AbgAgAG8AZgAgAHMAdABhAHkAIAAoAGQAYQB5AHMAKQBcACIAKQA7AFwAbgBcAG4AUwBvAHUAcgBjAGUARABhAHQAYQBfAEYAZQBlAGQAbABvAHQAXwBEAHUAcgBhAHQAaQBvAG4ATwBmAFMAdABhAHkAXwBVAG4AaQB0AFwAbgAgACAAPQBMAEEATQBCAEQAQQAoAFwAIgBcACIAKQA7AFwAbgBcAG4AUwBvAHUAcgBjAGUARABhAHQAYQBfAEYAZQBlAGQAbABvAHQAXwBEAHUAcgBhAHQAaQBvAG4ATwBmAFMAdABhAHkAXwBTAG8AdQByAGMAZQBcAG4AIAAgAD0ATABBAE0AQgBEAEEAKABcACIAVgBFAEUAUgBHACAAMgAwADIANgA6ACAAVABhAGIAbABlACAAQQAuADEALgAxAC4AMQA6ACAAQgBlAGUAZgAgAGYAZQBlAGQAbABvAHQAIABjAGEAdAB0AGwAZQAgAC0AIABEAHUAcgBhAHQAaQBvAG4AIABvAGYAIABzAHQAYQB5ACAAKABkAGEAeQBzACkAXAAiACkAOwBcAG4AXABuAFMAbwB1AHIAYwBlAEQAYQB0AGEAXwBGAGUAZQBkAGwAbwB0AF8ARAB1AHIAYQB0AGkAbwBuAE8AZgBTAHQAYQB5AF8AVgBhAHIAaQBhAHQAaQBvAG4AXABuACAAIAA9AEwAQQBNAEIARABBACgAXAAiAFwAIgApADsAXABuAFwAbgBTAG8AdQByAGMAZQBEAGEAdABhAF8ARgBlAGUAZABsAG8AdABfAEQAdQByAGEAdABpAG8AbgBPAGYAUwB0AGEAeQBfAEQAYQB0AGEAXABuACAAIAA9AEwAQQBNAEIARABBACgAXABuACAAIAAgACAATQBBAEsARQBBAFIAUgBBAFkAKAA0ACwAIAAyACwAIABcAG4AIAAgACAAIAAgACAATABBAE0AQgBEAEEAKAByACwAYwAsACAAXABuACAAIAAgACAAIAAgACAAIABJAE4ARABFAFgAKAB7AFwAbgAgACAAIAAgACAAIAAgACAAIAAgAFwAIgBGAGUAZQBkAGwAbwB0ACAAdAB5AHAAZQBcACIALAAgAFwAIgBMAGUAbgBnAHQAaAAgAG8AZgAgAFMAdABhAHkAXAAiADsAXABuACAAIAAgACAAIAAgACAAIAAgACAAXAAiAEQAbwBtAGUAcwB0AGkAYwBcACIALAAgAFwAIgAxAC0AOAAwACAAZABhAHkAcwBcACIAOwBcAG4AIAAgACAAIAAgACAAIAAgACAAIABcACIATQBpAGQALQBmAGUAZABcACIALAAgAFwAIgA4ADEALQAyADAAMAAgAGQAYQB5AHMAXAAiADsAXABuACAAIAAgACAAIAAgACAAIAAgACAAXAAiAEwAbwBuAGcALQBmAGUAZABcACIALAAgAFwAIgAyADAAMQArACAAZABhAHkAcw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BAG4AaQBtAGEAbABDAGgAYQByAGEAYwB0AGUAcgBpAHMAdABpAGMAcwBcAG4AVABhAGIAbABlACAAQQAuADEALgAxAC4AMgA6ACAAQgBlAGUAZgAgAGYAZQBlAGQAbABvAHQAIABjAGEAdAB0AGwAZQAgAC0AIABBAG4AaQBtAGEAbAAgAGMAaABhAHIAYQBjAHQAZQByAGkAcwB0AGkAYwBzAFwAbgAtAC0ALQAtAC0ALQAtAC0ALQAtAC0ALQAtAC0ALQAtAC0ALQAtAC0ALQAtAC0ALQAtAC0ALQAtAC0ALQAtAC0ALQAtAC0ALQAtAC0AXABuACoALwBcAG4AXABuAFMAbwB1AHIAYwBlAEQAYQB0AGEAXwBGAGUAZQBkAGwAbwB0AF8AQQBuAGkAbQBhAGwAQwBoAGEAcgBhAGMAdABlAHIAaQBzAHQAaQBjAHMAXwBUAGkAdABsAGUAXABuACAAIAA9AEwAQQBNAEIARABBACgAXAAiAEIAZQBlAGYAIABmAGUAZQBkAGwAbwB0ACAAYwBhAHQAdABsAGUAIAAtACAAQQBuAGkAbQBhAGwAIABjAGgAYQByAGEAYwB0AGUAcgBpAHMAdABpAGMAcwBcACIAKQA7AFwAbgBcAG4AUwBvAHUAcgBjAGUARABhAHQAYQBfAEYAZQBlAGQAbABvAHQAXwBBAG4AaQBtAGEAbABDAGgAYQByAGEAYwB0AGUAcgBpAHMAdABpAGMAcwBfAFUAbgBpAHQAXABuACAAIAA9AEwAQQBNAEIARABBACgAXAAiAFwAIgApADsAXABuAFwAbgBTAG8AdQByAGMAZQBEAGEAdABhAF8ARgBlAGUAZABsAG8AdABfAEEAbgBpAG0AYQBsAEMAaABhAHIAYQBjAHQAZQByAGkAcwB0AGkAYwBzAF8AUwBvAHUAcgBjAGUAXABuACAAIAA9AEwAQQBNAEIARABBACgAXAAiAFYARQBFAFIARwAgADIAMAAyADYAOgAgAFQAYQBiAGwAZQAgAEEALgAxAC4AMQAuADIAOgAgAEIAZQBlAGYAIABmAGUAZQBkAGwAbwB0ACAAYwBhAHQAdABsAGUAIAAtACAAQQBuAGkAbQBhAGwAIABjAGgAYQByAGEAYwB0AGUAcgBpAHMAdABpAGMAcwBcACIAKQA7AFwAbgBcAG4AUwBvAHUAcgBjAGUARABhAHQAYQBfAEYAZQBlAGQAbABvAHQAXwBBAG4AaQBtAGEAbABDAGgAYQByAGEAYwB0AGUAcgBpAHMAdABpAGM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NAG8AdgBlAGQAIABmAGUAZQBkAGwAbwB0ACAAdAB5AHAAZQBzACAAdABvACAAYQAgAHMAZQBwAGEAcgBhAHQAZQAgAGMAbwBsAHUAbQBuACAAdABvACAAYQBpAGQAIABsAG8AbwBrAHUAcAAuAFwAIgA7AFwAbgAgACAAIAAgACAAIAAgACAAIAAgAFwAIgBOAGEAbQBlAGQAIAAnAGMAaABhAHIAYQBjAHQAZQByAGkAcwB0AGkAYwAnACAAYwBvAGwAdQBtAG4AIAAtACAAbwByAGkAZwBpAG4AYQBsACAAaABhAHMAIABoAGUAYQBkAGUAcgAgACcAVQBuAGkAdAAn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AnAEMAbwBuAHYAZQByAHQAZQBkACAAdABvACAAZgByAGEAYwB0AGkAbwBuACAAYwBvAGwAdQBtAG4AIABhAG4AZAAgAGMAbwBuAHYAZQByAHQAZQBkACAATgBEAEYAIABhAG4AZAAgAEUAdABoAGUAcgAgAGUAeAB0AHIAYQBjAHQAIAB2AGEAbAB1AGUAcwAgAHQAbwAgAGYAcgBhAGMAdABpAG8AbgBzAC4AXAAiADsAXABuACAAIAAgACAAIAAgACAAIAAgACAAXAAiAE0AbwB2AGUAZAAgAGYAZQBlAGQAbABvAHQAIAB0AHkAcABlAHMAIAB0AG8AIABhACAAcwBlAHAAYQByAGEAdABlACAAYwBvAGwAdQBtAG4AIAB0AG8AIABhAGkAZAAgAGwAbwBvAGsAdQBwAC4AXAAiAFwAbgAgACAAIAAgACAAIAAgACAAfQAsACAAcgAsACAAYwApAFwAbgAgACAAIAAgACAAIAApAFwAbgAgACAAIAAgACkAXABuACAAIAApADsAXABuAFwAbgBTAG8AdQByAGMAZQBEAGEAdABhAF8ARgBlAGUAZABsAG8AdABfAEQAaQBlAHQAUAByAG8AcABlAHIAdABpAGUAcwBfAEQAYQB0AGEAXABuACAAIAA9AEwAQQBNAEIARABBACgAXABuACAAIAAgACAATQBBAEsARQBBAFIAUgBBAFkAKAAxADMALAAgADgALAAgAFwAbgAgACAAIAAgACAAIABMAEEATQBCAEQAQQAoAHIALABjACwAIABcAG4AIAAgACAAIAAgACAAIAAgAEkATgBEAEUAWAAoAHsAXABuACAAIAAgACAAIAAgACAAIAAgACAAXAAiAEYAZQBlAGQAbABvAHQAIAB0AHkAcABlAFwAIgAsACAAXAAiAE4AdQB0AHIAaQBlAG4AdAAgAGEAbgBhAGwAeQBzAGkAcwBcACIALAAgAFwAIgBVAG4AaQB0AFwAIgAsACAAXAAiADIAMAAwADUALQAyADAAMAA5AFwAIgAsACAAXAAiADIAMAAxADAALQAyADAAMQA0AFwAIgAsACAAXAAiADIAMAAxADUALQAyADAAMQA5AFwAIgAsACAAXAAiADIAMAAyADAALQAyADAAMgAzAFwAIgAsACAAXAAiAEMAbwBuAHYAZQByAHQAZQBkACAAdABvACAAZgByAGEAYwB0AGkAbwBuAFwAIgA7AFwAbgAgACAAIAAgACAAIAAgACAAIAAgAFwAIgBEAG8AbQBlAHMAdABpAGMAXAAiACwAIABcACIARAByAHkAIABtAGEAdAB0AGUAcgAgAGQAaQBnAGUAcwB0AGkAYgBpAGwAaQB0AHkAXAAiACwAIABcACIAZgByAGEAYwB0AGkAbwBuAFwAIgAsACAAMAAuADgAMQAsACAAMAAuADgAMQAsACAAMAAuADgAMQAsACAAMAAuADgAMQAsACAAMAAuADgAMQA7AFwAbgAgACAAIAAgACAAIAAgACAAIAAgAFwAIgBEAG8AbQBlAHMAdABpAGMAXAAiACwAIABcACIAQwByAHUAZABlACAAcAByAG8AdABlAGkAbgBcACIALAAgAFwAIgBmAHIAYQBjAHQAaQBvAG4AXAAiACwAIAAwAC4AMQA0ACwAIAAwAC4AMQA0ACwAIAAwAC4AMQA0ACwAIAAwAC4AMQA0ACwAIAAwAC4AMQA0ADsAXABuACAAIAAgACAAIAAgACAAIAAgACAAXAAiAEQAbwBtAGUAcwB0AGkAYwBcACIALAAgAFwAIgBOAEQARgBcACIALAAgAFwAIgBwAGUAcgAgAGMAZQBuAHQAXAAiACwAIAAyADMALgAwACwAIAAyADIALgAwACwAIAAyADIALgAwACwAIAAyADIALgAwACwAIAAwAC4AMgAyADsAXABuACAAIAAgACAAIAAgACAAIAAgACAAXAAiAEQAbwBtAGUAcwB0AGkAYwBcACIALAAgAFwAIgBFAHQAaABlAHIAIABFAHgAdAByAGEAYwB0AFwAIgAsACAAXAAiAHAAZQByACAAYwBlAG4AdABcACIALAAgADQALgA1ACwAIAA0AC4ANQAsACAANAAuADgALAAgADQALgA4ACwAIAAwAC4AMAA0ADgAOwBcAG4AIAAgACAAIAAgACAAIAAgACAAIABcACIATQBpAGQALQBmAGUAZABcACIALAAgAFwAIgBEAHIAeQAgAG0AYQB0AHQAZQByACAAZABpAGcAZQBzAHQAaQBiAGkAbABpAHQAeQBcACIALAAgAFwAIgBmAHIAYQBjAHQAaQBvAG4AXAAiACwAIAAwAC4AOAAxACwAIAAwAC4AOAAxACwAIAAwAC4AOAAxACwAIAAwAC4AOAAxACwAIAAwAC4AOAAxADsAXABuACAAIAAgACAAIAAgACAAIAAgACAAXAAiAE0AaQBkAC0AZgBlAGQAXAAiACwAIABcACIAQwByAHUAZABlACAAcAByAG8AdABlAGkAbgBcACIALAAgAFwAIgBmAHIAYQBjAHQAaQBvAG4AXAAiACwAIAAwAC4AMQAzACwAIAAwAC4AMQAyADUALAAgADAALgAxADIALAAgADAALgAxADIALAAgADAALgAxADIAOwBcAG4AIAAgACAAIAAgACAAIAAgACAAIABcACIATQBpAGQALQBmAGUAZABcACIALAAgAFwAIgBOAEQARgBcACIALAAgAFwAIgBwAGUAcgAgAGMAZQBuAHQAXAAiACwAIAAyADQALgAwACwAIAAyADIALgAwACwAIAAyADIALgAwACwAIAAyADIALgAwACwAIAAwAC4AMgAyADsAXABuACAAIAAgACAAIAAgACAAIAAgACAAXAAiAE0AaQBkAC0AZgBlAGQAXAAiACwAIABcACIARQB0AGgAZQByACAARQB4AHQAcgBhAGMAdABcACIALAAgAFwAIgBwAGUAcgAgAGMAZQBuAHQAXAAiACwAIAA1AC4AMAAsACAANQAuADAALAAgADUALgAwACwAIAA1AC4AMAAsACAAMAAuADAANQA7AFwAbgAgACAAIAAgACAAIAAgACAAIAAgAFwAIgBMAG8AbgBnAC0ARgBlAGQAXAAiACwAIABcACIARAByAHkAIABtAGEAdAB0AGUAcgAgAGQAaQBnAGUAcwB0AGkAYgBpAGwAaQB0AHkAXAAiACwAIABcACIAZgByAGEAYwB0AGkAbwBuAFwAIgAsACAAMAAuADgAMQAsACAAMAAuADgAMQAsACAAMAAuADgAMQAsACAAMAAuADgAMQAsACAAMAAuADgAMQA7AFwAbgAgACAAIAAgACAAIAAgACAAIAAgAFwAIgBMAG8AbgBnAC0ARgBlAGQAXAAiACwAIABcACIAQwByAHUAZABlACAAcAByAG8AdABlAGkAbgBcACIALAAgAFwAIgBmAHIAYQBjAHQAaQBvAG4AXAAiACwAIAAwAC4AMQAzACwAIAAwAC4AMQAyADUALAAgADAALgAxADIALAAgADAALgAxADIALAAgADAALgAxADIAOwBcAG4AIAAgACAAIAAgACAAIAAgACAAIABcACIATABvAG4AZwAtAEYAZQBkAFwAIgAsACAAXAAiAE4ARABGAFwAIgAsACAAXAAiAHAAZQByACAAYwBlAG4AdABcACIALAAgADIANAAuADAALAAgADIANAAuADAALAAgADIANAAuADAALAAgADIANAAuADAALAAgADAALgAyADQAOwBcAG4AIAAgACAAIAAgACAAIAAgACAAIABcACIATABvAG4AZwAtAEYAZQBkAFwAIgAsACAAXAAiAEUAdABoAGUAcgAgAEUAeAB0AHIAYQBjAHQAXAAiACwAIABcACIAcABlAHIAIABjAGUAbgB0AFwAIgAsACAANQAuADAALAAgADUALgAwACwAIAA1AC4ANQAsACAANQAuADUALAAgADAALgAwADUANQ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TQBDAEYAXABuAFQAYQBiAGwAZQAgAEEALgAxAC4AMQAuADQAOgAgAEIAZQBlAGYAIABmAGUAZQBkAGwAbwB0ACAAYwBhAHQAdABsAGUAIAAtACAATQBDAEYAcwAgACgAZgByAGEAYwB0AGkAbwBuACkAIAAoAE0AQwBGAGkAbQBUACkAXABuAC0ALQAtAC0ALQAtAC0ALQAtAC0ALQAtAC0ALQAtAC0ALQAtAC0ALQAtAC0ALQAtAC0ALQAtAC0ALQAtAC0ALQAtAC0ALQAtAC0ALQBcAG4AKgAvAFwAbgBcAG4AUwBvAHUAcgBjAGUARABhAHQAYQBfAEYAZQBlAGQAbABvAHQAXwBNAEMARgBfAFQAaQB0AGwAZQBcAG4AIAAgAD0ATABBAE0AQgBEAEEAKABcACIARgBlAGUAZABsAG8AdAAgAC0AIABNAEMARgBzAFwAIgApADsAXABuAFwAbgBTAG8AdQByAGMAZQBEAGEAdABhAF8ARgBlAGUAZABsAG8AdABfAE0AQwBGAF8AVQBuAGkAdABcAG4AIAAgAD0ATABBAE0AQgBEAEEAKABcACIAXAAiACkAOwBcAG4AXABuAFMAbwB1AHIAYwBlAEQAYQB0AGEAXwBGAGUAZQBkAGwAbwB0AF8ATQBDAEYAXwBTAG8AdQByAGMAZQBcAG4AIAAgAD0ATABBAE0AQgBEAEEAKABcACIAVgBFAEUAUgBHACAAMgAwADIANgA6ACAAVABhAGIAbABlACAAQQAuADEALgAxAC4ANAA6ACAAQgBlAGUAZgAgAGYAZQBlAGQAbABvAHQAIABjAGEAdAB0AGwAZQAgAC0AIABNAEMARgBzACAAKABmAHIAYQBjAHQAaQBvAG4AKQAgACgATQBDAEYAaQBtAFQAKQBcACIAKQA7AFwAbgBcAG4AUwBvAHUAcgBjAGUARABhAHQAYQBfAEYAZQBlAGQAbABvAHQAXwBNAEMARgBfAFYAYQByAGkAYQB0AGkAbwBuAFwAbgAgACAAPQBMAEEATQBCAEQAQQAoAFwAbgAgACAAIAAgAE0AQQBLAEUAQQBSAFIAQQBZACgANAAsACAAMQAsACAAXABuACAAIAAgACAAIAAgAEwAQQBNAEIARABBACgAcgAsAGMALAAgAFwAbgAgACAAIAAgACAAIAAgACAASQBOAEQARQBYACgAewBcAG4AIAAgACAAIAAgACAAIAAgACAAIABcACIAVgBBAFIASQBBAFQASQBPAE4AIABPAE4AIABTAE8AVQBSAEMARQA6AFwAIgA7AFwAbgAgACAAIAAgACAAIAAgACAAIAAgAFwAIgBEAHUAcABsAGkAYwBhAHQAZQBkACAATgBTAFcAIAB2AGEAbAB1AGUAcwAgAGYAbwByACAAQQBDAFQAXAAiADsAXABuACAAIAAgACAAIAAgACAAIAAgACAAXAAiAEEAZABkAGUAZAAgAE4AVAAgAGEAbgBkACAAVABBAFMAIABjAG8AbAB1AG0AbgBzACAAdwBpAHQAaAAgACcAbgBvACAAZABhAHQAYQAnACAAdgBhAGwAdQBlAHMAXAAiADsAXABuACAAIAAgACAAIAAgACAAIAAgACAAXAAiAEEAZABkAGUAZAAgACcATgBJAFIAIABkAGUAZgBpAG4AaQB0AGkAbwBuAC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FwAIgBOAG8AIABkAGEAdABhAFwAIgAsACAAMAAuADAAMQAsACAAMAAuADAAMQAsACAAMAAuADAAMQAsACAAXAAiAE4AbwAgAGQAYQB0AGEAXAAiACwAIABcACIARAByAHkAbABvAHQAIAAoAGYAZQBlAGQAIABwAGEAZAApAFwAIgA7ACAAXABuACAAIAAgACAAIAAgACAAIAAgACAAXAAiAFMAZQBjAG8AbgBkAGEAcgB5AFwAIgAsACAAXAAiAFMAbwBsAGkAZAAgAFMAdABvAHIAYQBnAGUAIAAoAFMAdABvAGMAawBwAGkAbABlACkAXAAiACwAIAAwAC4AMAAyACwAIAAwAC4AMAAyACwAIAAwAC4AMAAyACwAIABcACIATgBvACAAZABhAHQAYQBcACIALAAgADAALgAwADIALAAgADAALgAwADIALAAgADAALgAwADIALAAgAFwAIgBOAG8AIABkAGEAdABhAFwAIgAsACAAXAAiAFMAbwBsAGkAZAAgAHMAdABvAHIAYQBnAGUAXAAiADsAIABcAG4AIAAgACAAIAAgACAAIAAgACAAIABcACIAUwBlAGMAbwBuAGQAYQByAHkAXAAiACwAIABcACIAQwBvAG0AcABvAHMAdABpAG4AZwAgACgAUABhAHMAcwBpAHYAZQAgAFcAaQBuAGQAcgBvAHcAKQBcACIALAAgADAALgAwADEALAAgADAALgAwADEALAAgADAALgAwADEALAAgAFwAIgBOAG8AIABkAGEAdABhAFwAIgAsACAAMAAuADAAMQAsACAAMAAuADAAMQAsACAAMAAuADAAMQAsACAAXAAiAE4AbwAgAGQAYQB0AGEAXAAiACwAIABcACIAQwBvAG0AcABvAHMAdABpAG4AZwAgACgAcABhAHMAcwBpAHYAZQAgAHcAaQBuAGQAcgBvAHcAKQBcACIAOwAgAFwAbgAgACAAIAAgACAAIAAgACAAIAAgAFwAIgBTAGUAYwBvAG4AZABhAHIAeQBcACIALAAgAFwAIgBEAGkAcgBlAGMAdAAgAEEAcABwAGwAaQBjAGEAdABpAG8AbgAgAHQAbwAgAHMAbwBpAGwAXAAiACwAIAAwACwAIAAwACwAIAAwACwAIABcACIATgBvACAAZABhAHQAYQBcACIALAAgADAALAAgADAALAAgADAALAAgAFwAIgBOAG8AIABkAGEAdABhAFwAIgAsACAAXAAiAEQAaQByAGUAYwB0ACAAYQBwAHAAbABpAGMAYQB0AGkAbwBuAFwAIgA7ACAAXABuACAAIAAgACAAIAAgACAAIAAgACAAXAAiAFQAZQByAHQAaQBhAHIAeQBcACIALAAgAFwAIgBVAG4AYwBvAHYAZQByAGUAZAAgAGEAbgBhAGUAcgBvAGIAaQBjACAAbABhAGcAbwBvAG4AIAAoAEUAZgBmAGwAdQBlAG4AdAAgAHAAbwBuAGQAKQBcACIALAAgADAALgA3ADUALAAgADAALgA3ADUALAAgADAALgA3ADcALAAgAFwAIgBOAG8AIABkAGEAdABhAFwAIgAsACAAMAAuADcANQAsACAAMAAuADcANQAsACAAMAAuADcANwAsACAAXAAiAE4AbwAgAGQAYQB0AGEAXAAi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OAGkAdAByAG8AdQBzAE8AeABpAGQAZQBFAEYAcwBcAG4AVABhAGIAbABlACAAQQAuADEALgAxAC4ANQA6ACAAQgBlAGUAZgAgAGYAZQBlAGQAbABvAHQAIABjAGEAdAB0AGwAZQAgAC0AIABOAGkAdAByAG8AdQBzACAAbwB4AGkAZABlACAARQBGAHMAIAAoAEUARgBtAFQAKQBcAG4ALQAtAC0ALQAtAC0ALQAtAC0ALQAtAC0ALQAtAC0ALQAtAC0ALQAtAC0ALQAtAC0ALQAtAC0ALQAtAC0ALQAtAC0ALQAtAC0ALQAtAFwAbgAqAC8AXABuAFwAbgBTAG8AdQByAGMAZQBEAGEAdABhAF8ARgBlAGUAZABsAG8AdABfAE4AaQB0AHIAbwB1AHMATwB4AGkAZABlAEUARgBzAF8AVABpAHQAbABlAFwAbgAgACAAPQBMAEEATQBCAEQAQQAoAFwAIgBGAGUAZQBkAGwAbwB0ACAALQAgAE4AaQB0AHIAbwB1AHMAIABvAHgAaQBkAGUAIABFAEYAcwBcACIAKQA7AFwAbgBcAG4AUwBvAHUAcgBjAGUARABhAHQAYQBfAEYAZQBlAGQAbABvAHQAXwBOAGkAdAByAG8AdQBzAE8AeABpAGQAZQBFAEYAcwBfAFUAbgBpAHQAXABuACAAIAA9AEwAQQBNAEIARABBACgAXAAiAFwAIgApADsAXABuAFwAbgBTAG8AdQByAGMAZQBEAGEAdABhAF8ARgBlAGUAZABsAG8AdABfAE4AaQB0AHIAbwB1AHMATwB4AGkAZABlAEUARgBzAF8AUwBvAHUAcgBjAGUAXABuACAAIAA9AEwAQQBNAEIARABBACgAXAAiAFYARQBFAFIARwAgADIAMAAyADYAOgAgAFQAYQBiAGwAZQAgAEEALgAxAC4AMQAuADUAOgAgAEIAZQBlAGYAIABmAGUAZQBkAGwAbwB0ACAAYwBhAHQAdABsAGUAIAAtACAATgBpAHQAcgBvAHUAcwAgAG8AeABpAGQAZQAgAEUARgBzACAAKABFAEYAbQBUACkAXAAiACkAOwBcAG4AXABuAFMAbwB1AHIAYwBlAEQAYQB0AGEAXwBGAGUAZQBkAGwAbwB0AF8ATgBpAHQAcgBvAHUAcwBPAHgAaQBkAGUARQBGAHM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JwBOAEkAUgAgAGQAZQBmAGkAbgBpAHQAaQBvAG4AJ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JwBOAEkAUgAgAGQAZQBmAGkAbgBpAHQAaQBvAG4AJ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YAcgBhAGMATgBWAG8AbABhAHQAaQBsAGkAcwBlAGQAXwBEAGEAdABhAFwAbgAgACAAPQBMAEEATQBCAEQAQQAoAFwAbgAgACAAIAAgAE0AQQBLAEUAQQBSAFIAQQBZACgANgAsACAANAAsACAAXABuACAAIAAgACAAIAAgAEwAQQBNAEIARABBACgAcgAsAGMALAAgAFwAbgAgACAAIAAgACAAIAAgACAASQBOAEQARQBYACgAewBcAG4AIAAgACAAIAAgACAAIAAgACAAIABcACIAVAByAGUAYQB0AG0AZQBuAHQAIABzAHQAYQBnAGUAIABUAFwAIgAsACAAXAAiAE0ATQBTACAAbQBcACIALAAgAFwAIgBGAHIAYQBjAEcAQQBTAE0AbQBUACAAKABrAGcAIABOAEgAMwAtAE4AIAArACAATgBPAHgALQBOACkALwBrAGcAIABOAFwAIgAsACAAXAAiAE4ASQBSACAAZABlAGYAaQBuAGkAdABpAG8AbgBcACIAOwBcAG4AIAAgACAAIAAgACAAIAAgACAAIABcACIAUAByAGkAbQBhAHIAeQBcACIALAAgAFwAIgBEAHIAeQAgAGwAbwB0ACAAKABGAGUAZQBkAHAAYQBkACkAXAAiACwAIAAwAC4ANgAsACAAXAAiAEQAcgB5AGwAbwB0ACAAKABmAGUAZQBkACAAcABhAGQAKQBcACIAOwBcAG4AIAAgACAAIAAgACAAIAAgACAAIABcACIAUwBlAGMAbwBuAGQAYQByAHkAXAAiACwAIABcACIAUwBvAGwAaQBkACAAUwB0AG8AcgBhAGcAZQAgACgAUwB0AG8AYwBrAHAAaQBsAGUAKQBcACIALAAgADAALgAyADUALAAgAFwAIgBTAG8AbABpAGQAIABzAHQAbwByAGEAZwBlAFwAIgA7AFwAbgAgACAAIAAgACAAIAAgACAAIAAgAFwAIgBTAGUAYwBvAG4AZABhAHIAeQBcACIALAAgAFwAIgBDAG8AbQBwAG8AcwB0AGkAbgBnACAAKABQAGEAcwBzAGkAdgBlACAAVwBpAG4AZAByAG8AdwApAFwAIgAsACAAMAAuADQALAAgAFwAIgBDAG8AbQBwAG8AcwB0AGkAbgBnACAAKABwAGEAcwBzAGkAdgBlACAAdwBpAG4AZAByAG8AdwApAFwAIgA7AFwAbgAgACAAIAAgACAAIAAgACAAIAAgAFwAIgBTAGUAYwBvAG4AZABhAHIAeQBcACIALAAgAFwAIgBEAGkAcgBlAGMAdAAgAEEAcABwAGwAaQBjAGEAdABpAG8AbgAgAHQAbwAgAHMAbwBpAGwAXAAiACwAIAAwACwAIABcACIARABpAHIAZQBjAHQAIABhAHAAcABsAGkAYwBhAHQAaQBvAG4AXAAiADsAXABuACAAIAAgACAAIAAgACAAIAAgACAAXAAiAFQAZQByAHQAaQBhAHIAeQBcACIALAAgAFwAIgBVAG4AYwBvAHYAZQByAGUAZAAgAGEAbgBhAGUAcgBvAGIAaQBjACAAbABhAGcAbwBvAG4AIAAoAEUAZgBmAGwAdQBlAG4AdAAgAHAAbwBuAGQAKQBcACIALAAgADAALgAzADUALAAgAFwAIgBBAG4AYQBlAHIAbwBiAGkAYwAgAGwAYQBnAG8AbwBuAFwAIgBcAG4AIAAgACAAIAAgACAAIAAgAH0ALAAgAHIALAAgAGMAKQBcAG4AIAAgACAAIAAgACAAKQBcAG4AIAAgACAAIAApAFwAbgAgACAAKQA7AFwAbgBcAG4AIgB9ACwAewAiAHAAYQB0AGgAIgA6ACIALwBwAHIAbwBqAGUAYwB0AHMALwBNAE0AUwBfAEYAZQBlAGQAbABvAHQ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QAgAE0AZQB0AGgAbwBkACAAMQAgAC0AIABNAGEAbgB1AHIAZQAgAE0AZQB0AGgAYQBuAGU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EAXwBfADEAXwBUAG8AdABhAGwAQQBuAG4AdQBhAGwATQBlAHQAaABhAG4AZQBFAG0AaQBzAHMAaQBvAG4AcwBcAG4AVABvAHQAYQBsACAAYQBuAG4AdQBhAGwAIABtAGUAdABoAGEAbgBlACAAZQBtAGkAcwBzAGkAbwBuAHMAIABmAHIAbwBtACAAbQBhAG4AdQByAGUAIABtAGEAbgBhAGcAZQBtAGUAbgB0AFwAbgBFAF8AQwBIADQAXABuAHQAIABDAEgANABcAG4AewBFAH0AXwB7AEMASAA0AH0APQBcAFwAcwB1AG0AXwB7AGoAfQBcAFwAcwB1AG0AXwB7AG0AfQBcAFwAcwB1AG0AXwB7AFQAfQAoAEQAXwB7AGoAfQBcAFwAdABpAG0AZQBzACAATQBfAHsAagBtAFQAfQBcAFwAdABpAG0AZQBzACAATgBfAHsAagB9ACkAXABcAHQAaQBtAGUAcwAxADAAXgB7AC0AMwB9AFwAbgBEAF8AagAgAD0AIABsAGUAbgBnAHQAaAAgAG8AZgAgAHMAdABhAHkAIABvAGYAIABlAGEAYwBoACAAYwBhAHQAdABsAGUAIABnAHIAbwB1AHAAIAA6ACAAZABhAHkAcwBcAG4ATQBfAGoAbQBUACAAPQAgAG0AZQB0AGgAYQBuAGUAIABwAHIAbwBkAHUAYwB0AGkAbwBuACAAZgByAG8AbQAgAG0AYQBuAHUAcgBlACAAcABlAHIAIABjAGEAdAB0AGwAZQAgAGcAcgBvAHUAcAAsACAATQBNAFMALAAgAGEAbgBkACAAdAByAGUAYQB0AG0AZQBuAHQAIABzAHQAYQBnAGUAIAA6ACAAawBnACAAQwBIADQALwBoAGUAYQBkAC8AZABhAHkAXABuAE4AXwBqACAAPQAgAG4AdQBtAGIAZQByAHMAIABvAGYAIABiAGUAZQBmACAAYwBhAHQAdABsAGUAIABpAG4AIABlAGEAYwBoACAAZwByAG8AdQBwACAAOgAgAGgAZQBhAGQAXABuAC0ALQAtAC0ALQAtAC0ALQAtAC0ALQAtAC0ALQAtAC0ALQAtAC0ALQAtAC0ALQAtAC0ALQAtAC0ALQAtAC0ALQAtAC0ALQAtAC0ALQBcAG4AKgAvAFwAbgBcAG4AVgBFAEUAUgBHAF8ANABfADEAXwAxAF8AMQBfAF8AMQBfAFQAbwB0AGEAbABBAG4AbgB1AGEAbABNAGUAdABoAGEAbgBlAEUAbQBpAHMAcwBpAG8AbgBzAFwAbgAgACAAPQBMAEEATQBCAEQAQQAoAFwAbgAgACAAIAAgAEQAXwBqACwAIABNAF8AagBtAFQALAAgAE4AXwBqACwAXABuACAAIAAgACAAKABEAF8AagAgACoAIABNAF8AagBtAFQAIAAqACAATgBfAGoAKQAgACoAIAAxADAAIABeACAALQAzAFwAbgAgACAAKQA7AFwAbgBcAG4AVgBFAEUAUgBHAF8ANABfADEAXwAxAF8AMQBfAF8AMQBfAFQAbwB0AGEAbABBAG4AbgB1AGEAbABNAGUAdABoAGEAbgBlAEUAbQBpAHMAcwBpAG8AbgBzAF8AVABpAHQAbABlAFwAbgAgACAAPQBMAEEATQBCAEQAQQAoAFwAIgBUAG8AdABhAGwAIABhAG4AbgB1AGEAbAAgAG0AZQB0AGgAYQBuAGUAIABlAG0AaQBzAHMAaQBvAG4AcwAgAGYAcgBvAG0AIABtAGEAbgB1AHIAZQAgAG0AYQBuAGEAZwBlAG0AZQBuAHQAXAAiACkAOwBcAG4AXABuAFYARQBFAFIARwBfADQAXwAxAF8AMQBfADEAXwBfADEAXwBUAG8AdABhAGwAQQBuAG4AdQBhAGwATQBlAHQAaABhAG4AZQBFAG0AaQBzAHMAaQBvAG4AcwBfAFYAYQByAGkAYQBiAGwAZQBcAG4AIAAgAD0ATABBAE0AQgBEAEEAKABcACIARQBfAEMASAA0AFwAIgApADsAXABuAFwAbgBWAEUARQBSAEcAXwA0AF8AMQBfADEAXwAxAF8AXwAxAF8AVABvAHQAYQBsAEEAbgBuAHUAYQBsAE0AZQB0AGgAYQBuAGUARQBtAGkAcwBzAGkAbwBuAHMAXwBVAG4AaQB0AFwAbgAgACAAPQBMAEEATQBCAEQAQQAoAFwAIgB0ACAAQwBIADQAXAAiACkAOwBcAG4AXABuAFYARQBFAFIARwBfADQAXwAxAF8AMQBfADEAXwBfADEAXwBUAG8AdABhAGwAQQBuAG4AdQBhAGwATQBlAHQAaABhAG4AZQBFAG0AaQBzAHMAaQBvAG4AcwBfAFMAbwB1AHIAYwBlAFwAbgAgACAAPQBMAEEATQBCAEQAQQAoAFwAIgBWAEUARQBSAEcAIAAyADAAMgA2ADoAIAA0AC4AMQAuADEALgAxACwAIABFAHEAdQBhAHQAaQBvAG4AIAAoADEAKQBcACIAKQA7AFwAbgBcAG4AVgBFAEUAUgBHAF8ANABfADEAXwAxAF8AMQBfAF8AMQBfAFQAbwB0AGEAbABBAG4AbgB1AGEAbABNAGUAdABoAGEAbgBlAEUAbQBpAHMAcwBpAG8AbgBzAF8ATgBJAFIAUgBlAGYAZQByAGUAbgBjAGUAXABuACAAIAA9AEwAQQBNAEIARABBACgAXAAiAFwAIgApADsAXABuAFwAbgBWAEUARQBSAEcAXwA0AF8AMQBfADEAXwAxAF8AXwAxAF8AVABvAHQAYQBsAEEAbgBuAHUAYQBsAE0AZQB0AGgAYQBuAGUARQBtAGkAcwBzAGkAbwBuAHMAXwBMAGEAdABlAHgARQBxAHUAYQB0AGkAbwBuAFwAbgAgACAAPQBMAEEATQBCAEQAQQAoAFwAIgB7AEUAfQBfAHsAQwBIADQAfQA9AFwAXABzAHUAbQBfAHsAagB9AFwAXABzAHUAbQBfAHsAbQB9AFwAXABzAHUAbQBfAHsAVAB9ACgARABfAHsAagB9AFwAXAB0AGkAbQBlAHMAIABNAF8AewBqAG0AVAB9AFwAXAB0AGkAbQBlAHMAIABOAF8AewBqAH0AKQBcAFwAdABpAG0AZQBzADEAMABeAHsALQAzAH0AXAAiACkAOwBcAG4AXABuAFYARQBFAFIARwBfADQAXwAxAF8AMQBfADEAXwBfADEAXwBUAG8AdABhAGwAQQBuAG4AdQBhAGwATQBlAHQAaABhAG4AZQBFAG0AaQBzAHMAaQBvAG4AcwBfAEEAcgBnAHUAbQBlAG4AdABzAFwAbgAgACAAPQBMAEEATQBCAEQAQQAoAFwAbgAgACAAIAAgAE0AQQBLAEUAQQBSAFIAQQBZACgAMwAsACAAMgAsAFwAbgAgACAAIAAgACAAIABMAEEATQBCAEQAQQAoAHIALABjACwAXABuACAAIAAgACAAIAAgACAAIABJAE4ARABFAFgAKAB7AFwAbgAgACAAIAAgACAAIAAgACAAIAAgAFwAIgBEAF8AagBcACIALABcACIAbABlAG4AZwB0AGgAIABvAGYAIABzAHQAYQB5ACAAbwBmACAAZQBhAGMAaAAgAGMAYQB0AHQAbABlACAAZwByAG8AdQBwACAAOgAgAGQAYQB5AHMAXAAiADsAXABuACAAIAAgACAAIAAgACAAIAAgACAAXAAiAE0AXwBqAG0AVABcACIALABcACIAbQBlAHQAaABhAG4AZQAgAHAAcgBvAGQAdQBjAHQAaQBvAG4AIABmAHIAbwBtACAAbQBhAG4AdQByAGUAIABwAGUAcgAgAGMAYQB0AHQAbABlACAAZwByAG8AdQBwACwAIABNAE0AUwAsACAAYQBuAGQAIAB0AHIAZQBhAHQAbQBlAG4AdAAgAHMAdABhAGcAZQAgADoAIABrAGcAIABDAEgANAAvAGgAZQBhAGQALwBkAGEAeQBcACIAOwBcAG4AIAAgACAAIAAgACAAIAAgACAAIABcACIATgBfAGoAXAAiACwAXAAiAG4AdQBtAGIAZQByAHMAIABvAGYAIABiAGUAZQBmACAAYwBhAHQAdABsAGUAIABpAG4AIABlAGEAYwBoACAAZwByAG8AdQBwACAAOgAgAGgAZQBhAG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0AGUAbQBwAGUAcgBhAHQAdQByAGUAIAB6AG8Ab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DUAVAAxAFwAIgAsAFwAIgBmAHIAYQBjAHQAaQBvAG4AIABvAGYAIABtAGEAbgB1AHIAZQAgAGkAbgAgAHAAcgBpAG0AYQByAHkAIABzAHkAcwB0AGUAbQAgAGQAcgB5AGwAbwB0ACAATQBNAFMAIAA6ACAAZgByAGEAYwB0AGkAbwBuAFwAIgA7AFwAbgAgACAAIAAgACAAIAAgACAAIAAgAFwAIgBNAEMARgBfAGkAbQA1AFwAIgAsAFwAIgBtAGUAdABoAGEAbgBlACAAYwBvAG4AdgBlAHIAcwBpAG8AbgAgAGYAYQBjAHQAbwByACAAZgBvAHIAIAB0AGUAbQBwAGUAcgBhAHQAdQByAGUAIAB6AG8AbgBlACAAYQBuAGQAIABkAHIAeQBsAG8AdAAgAHMAeQBzAHQAZQBtACAAOgAgAGYAcgBhAGMAdABpAG8AbgBcACIAOwBcAG4AIAAgACAAIAAgACAAIAAgACAAIABcACIAcgBoAG8AXAAiACwAXAAiAGQAZQBuAHMAaQB0AHkAIABvAGYAIABtAGUAdABoAGEAbgBlACAAOgAgAGsAZwAvAG0AMwBcACIAOwBcAG4AIAAgACAAIAAgACAAIAAgACAAIABcACIAaQBcACIALAAgAFwAIgBzAHQAYQB0AGU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HQAZQBtAHAAZQByAGEAdAB1AHIAZQAgAHoAbwBuAGUAIABhAG4AZAAgAE0AT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MAXwBTAHQAYQBnAGUAMgBNAGUAdABoAGEAbgBlAFAAcgBvAGQAdQBjAHQAaQBvAG4AXABuACAAIAA9AEwAQQBNAEIARABBACgAXABuACAAIAAgACAAVgBTAEwALAAgAFYAUwBfAGoALAAgAEIATwAsACAATQBNAFMAXwBtAFQAMgAsACAATQBDAEYAXwBpAG0ALAAgAHIAaABvACwAXABuACAAIAAgACAAKAAxACAALQAgAFYAUwBMACkAIAAqACAAVgBTAF8AagAgACoAIABCAE8AIAAqACAATQBNAFMAXwBtAFQAMgAgACoAIABNAEMARgBfAGkAbQAgACoAIAByAGgAbwBcAG4AIAAgACkAOwBcAG4AXABuAFYARQBFAFIARwBfADQAXwAxAF8AMQBfADEAXwBfADMAXwBTAHQAYQBnAGUAMgBNAGUAdABoAGEAbgBlAFAAcgBvAGQAdQBjAHQAaQBvAG4AXwBUAGkAdABsAGUAXABuACAAIAA9AEwAQQBNAEIARABBACgAXAAiAFAAcgBvAGQAdQBjAHQAaQBvAG4AIABvAGYAIABtAGUAdABoAGEAbgBlACAAaQBuACAAdAByAGUAYQB0AG0AZQBuAHQAIABzAHQAYQBnAGUAIAAyACAATQBNAFMAXAAiACkAOwBcAG4AXABuAFYARQBFAFIARwBfADQAXwAxAF8AMQBfADEAXwBfADMAXwBTAHQAYQBnAGUAMgBNAGUAdABoAGEAbgBlAFAAcgBvAGQAdQBjAHQAaQBvAG4AXwBWAGEAcgBpAGEAYgBsAGUAXABuACAAIAA9AEwAQQBNAEIARABBACgAXAAiAE0AXwBqAG0AVAAyAFwAIgApADsAXABuAFwAbgBWAEUARQBSAEcAXwA0AF8AMQBfADEAXwAxAF8AXwAzAF8AUwB0AGEAZwBlADIATQBlAHQAaABhAG4AZQBQAHIAbwBkAHUAYwB0AGkAbwBuAF8AVQBuAGkAdABcAG4AIAAgAD0ATABBAE0AQgBEAEEAKABcACIAawBnACAAQwBIADQALwBoAGUAYQBkAC8AZABhAHkAXAAiACkAOwBcAG4AXABuAFYARQBFAFIARwBfADQAXwAxAF8AMQBfADEAXwBfADMAXwBTAHQAYQBnAGUAMgBNAGUAdABoAGEAbgBlAFAAcgBvAGQAdQBjAHQAaQBvAG4AXwBTAG8AdQByAGMAZQBcAG4AIAAgAD0ATABBAE0AQgBEAEEAKABcACIAVgBFAEUAUgBHACAAMgAwADIANgA6ACAANAAuADEALgAxAC4AMQAsACAARQBxAHUAYQB0AGkAbwBuACAAKAAzACkAXAAiACkAOwBcAG4AXABuAFYARQBFAFIARwBfADQAXwAxAF8AMQBfADEAXwBfADMAXwBTAHQAYQBnAGUAMgBNAGUAdABoAGEAbgBlAFAAcgBvAGQAdQBjAHQAaQBvAG4AXwBOAEkAUgBSAGUAZgBlAHIAZQBuAGMAZQBcAG4AIAAgAD0ATABBAE0AQgBEAEEAKABcACIAXAAiACkAOwBcAG4AXABuAFYARQBFAFIARwBfADQAXwAxAF8AMQBfADEAXwBfADMAXwBTAHQAYQBnAGUAMgBNAGUAdABoAGEAbgBlAFAAcgBvAGQAdQBjAHQAaQBvAG4AXwBMAGEAdABlAHgARQBxAHUAYQB0AGkAbwBuAFwAbgAgACAAPQBMAEEATQBCAEQAQQAoAFwAIgBNAF8AewBqAG0AVAA9ADIAfQA9ACgAMQAtAFYAUwBMACkAXABcAHQAaQBtAGUAcwAgAFYAUwBfAHsAagB9AFwAXAB0AGkAbQBlAHMAIABCAE8AXABcAHQAaQBtAGUAcwAgAE0ATQBTAF8AewBtAFQAPQAyAH0AXABcAHQAaQBtAGUAcwAgAE0AQwBGAF8AewBpAG0AfQBcAFwAdABpAG0AZQBzACAAXABcAHIAaABvAFwAIgApADsAXABuAFwAbgBWAEUARQBSAEcAXwA0AF8AMQBfADEAXwAxAF8AXwAzAF8AUwB0AGEAZwBlADIATQBlAHQAaABhAG4AZQBQAHIAbwBkAHUAYwB0AGkAbwBuAF8AQQByAGcAdQBtAGUAbgB0AHMAXABuACAAIAA9AEwAQQBNAEIARABBACgAXABuACAAIAAgACAATQBBAEsARQBBAFIAUgBBAFkAKAA3ACwAIAAy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AgADoAIABmAHIAYQBjAHQAaQBvAG4AXAAiADsAXABuACAAIAAgACAAIAAgACAAIAAgACAAXAAiAFYAUwBfAGoAXAAiACwAXAAiAHYAbwBsAGEAdABpAGwAZQAgAHMAbwBsAGkAZAAgAHAAcgBvAGQAdQBjAHQAaQBvAG4AIABmAHIAbwBtACAAZgBlAGUAZABsAG8AdAAgAGMAYQB0AHQAbABlACAAaQBuACAAZQBhAGMAaAAgAGcAcgBvAHUAcAAgADoAIABrAGcALwBoAGUAYQBkAC8AZABhAHkAXAAiADsAXABuACAAIAAgACAAIAAgACAAIAAgACAAXAAiAEIATwBcACIALABcACIAZQBtAGkAcwBzAGkAbwBuAHMAIABwAG8AdABlAG4AdABpAGEAbAAgADoAIABtADMAIABDAEgANAAvAGsAZwAgAFYAUwBcACIAOwBcAG4AIAAgACAAIAAgACAAIAAgACAAIABcACIATQBNAFMAXwBtAFQAMgBcACIALABcACIAZgByAGEAYwB0AGkAbwBuACAAbwBmACAAbQBhAG4AdQByAGUAIABpAG4AIABlAGEAYwBoACAAcwBlAGMAbwBuAGQAYQByAHkAIABzAHkAcwB0AGUAbQAgADoAIABmAHIAYQBjAHQAaQBvAG4AXAAiADsAXABuACAAIAAgACAAIAAgACAAIAAgACAAXAAiAE0AQwBGAF8AaQBtAFwAIgAsAFwAIgBtAGUAdABoAGEAbgBlACAAYwBvAG4AdgBlAHIAcwBpAG8AbgAgAGYAYQBjAHQAbwByACAAZgBvAHIAIAB0AGUAbQBwAGUAcgBhAHQAdQByAGUAIAB6AG8AbgBlACAAYQBuAGQAIABNAE0AUwAgADoAIABmAHIAYQBjAHQAaQBvAG4AXAAiADsAXABuACAAIAAgACAAIAAgACAAIAAgACAAXAAiAHIAaABvAFwAIgAsAFwAIgBkAGUAbgBzAGkAdAB5ACAAbwBmACAAbQBlAHQAaABhAG4AZQAgADoAIABrAGcALwBtADMAXAAiADsAXABuACAAIAAgACAAIAAgACAAIAAgACAAXAAiAGkAXAAiACwAIABcACIAcwB0AGEAdABl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QAXwBTAHQAYQBnAGUAMwBNAGUAdABoAGEAbgBlAFAAcgBvAGQAdQBjAHQAaQBvAG4AQQBuAGEAZQByAG8AYgBpAGMATABhAGcAbwBvAG4AXABuAFAAcgBvAGQAdQBjAHQAaQBvAG4AIABvAGYAIABtAGUAdABoAGEAbgBlACAAaQBuACAAdAByAGUAYQB0AG0AZQBuAHQAIABzAHQAYQBnAGUAIAAzACAATQBNAFMAXABuAE0AXwBqAG0AMQBUADMAXABuAGsAZwAgAEMASAA0AC8AaABlAGEAZAAvAGQAYQB5AFwAbgBNAF8AewBqAG0APQAxACwAVAA9ADMAfQA9AFYAUwBfAHsAagB9AFwAXAB0AGkAbQBlAHMAIABCAE8AXABcAHQAaQBtAGUAcwAgAE0ATQBTAF8AewBtAD0AMQAsAFQAPQAzAH0AXABcAHQAaQBtAGUAcwAgAE0AQwBGAF8AewBpAG0APQAx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EAVAAzACAAPQAgAGYAcgBhAGMAdABpAG8AbgAgAG8AZgAgAG0AYQBuAHUAcgBlACAAdABvACAAdABlAHIAdABpAGEAcgB5ACAAYQBuAGEAZQByAG8AYgBpAGMAIABsAGEAZwBvAG8AbgAgAHMAeQBzAHQAZQBtACAAOgAgAGYAcgBhAGMAdABpAG8AbgBcAG4ATQBDAEYAXwBpAG0AMQAgAD0AIABtAGUAdABoAGEAbgBlACAAYwBvAG4AdgBlAHIAcwBpAG8AbgAgAGYAYQBjAHQAbwByACAAZgBvAHIAIAB0AGUAbQBwAGUAcgBhAHQAdQByAGUAIAB6AG8Ab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y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IAA6ACAAawBnAC8AaABlAGEAZAAvAGQAYQB5AFwAIgA7AFwAbgAgACAAIAAgACAAIAAgACAAIAAgAFwAIgBCAE8AXAAiACwAXAAiAGUAbQBpAHMAcwBpAG8AbgBzACAAcABvAHQAZQBuAHQAaQBhAGwAIAA6ACAAbQAzACAAQwBIADQALwBrAGcAIABWAFMAXAAiADsAXABuACAAIAAgACAAIAAgACAAIAAgACAAXAAiAE0ATQBTAF8AbQAxAFQAMwBcACIALABcACIAZgByAGEAYwB0AGkAbwBuACAAbwBmACAAbQBhAG4AdQByAGUAIAB0AG8AIAB0AGUAcgB0AGkAYQByAHkAIABhAG4AYQBlAHIAbwBiAGkAYwAgAGwAYQBnAG8AbwBuACAAcwB5AHMAdABlAG0AIAA6ACAAZgByAGEAYwB0AGkAbwBuAFwAIgA7AFwAbgAgACAAIAAgACAAIAAgACAAIAAgAFwAIgBNAEMARgBfAGkAbQAxAFwAIgAsAFwAIgBtAGUAdABoAGEAbgBlACAAYwBvAG4AdgBlAHIAcwBpAG8AbgAgAGYAYQBjAHQAbwByACAAZgBvAHIAIAB0AGUAbQBwAGUAcgBhAHQAdQByAGUAIAB6AG8AbgBlACAAYQBuAGQAIABhAG4AYQBlAHIAbwBiAGkAYwAgAGwAYQBnAG8AbwBuACAAcwB5AHMAdABlAG0AIAA6ACAAZgByAGEAYwB0AGkAbwBuAFwAIgA7AFwAbgAgACAAIAAgACAAIAAgACAAIAAgAFwAIgByAGgAbwBcACIALABcACIAZABlAG4AcwBpAHQAeQAgAG8AZgAgAG0AZQB0AGgAYQBuAGUAIAA6ACAAawBnAC8AbQAzAFwAIgA7AFwAbgAgACAAIAAgACAAIAAgACAAIAAgAFwAIgBpAFwAIgAsACAAXAAiAHMAdABhAHQAZQ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MgAsAFwAbgAgACAAIAAgACAAIABMAEEATQBCAEQAQQAoAHIALABjACwAXABuACAAIAAgACAAIAAgACAAIABJAE4ARABFAFgAKAB7AFwAbgAgACAAIAAgACAAIAAgACAAIAAgAFwAIgBJAF8AagBcACIALABcACIAZAByAHkAIABtAGEAdAB0AGUAcgAgAGkAbgB0AGEAawBlACAAZgBvAHIAIABlAGEAYwBoACAAZwByAG8AdQBwACAAagAgADoAIABrAGcAIABEAE0ALwBoAGUAYQBkAC8AZABhAHkAXAAiADsAXABuACAAIAAgACAAIAAgACAAIAAgACAAXAAiAEQATQBEAF8AagBcACIALABcACIAZAByAHkAIABtAGEAdAB0AGUAcgAgAGQAaQBnAGUAcwB0AGkAYgBpAGwAaQB0AHkAIABmAG8AcgAgAGUAYQBjAGgAIABnAHIAbwB1AHAAIABqACAAOgAgAGYAcgBhAGMAdABpAG8AbgBcACIAOwBcAG4AIAAgACAAIAAgACAAIAAgACAAIABcACIAQQBcACIALABcACIAYQBzAGgAIABjAG8AbgB0AGUAbgB0ACAAbwBmACAAbQBhAG4AdQByAGUAIAA6ACAAZgByAGEAYwB0AGkAbwBu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y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CAAOgAgAGsAZwAgAE4AXAAiADsAXABuACAAIAAgACAAIAAgACAAIAAgACAAXAAiAEUARgBfAG0AVAAyADMAXAAiACwAXAAiAG4AaQB0AHIAbwB1AHMAIABvAHgAaQBkAGUAIABlAG0AaQBzAHMAaQBvAG4AIABmAGEAYwB0AG8AcgAgAGYAbwByACAAZQBhAGMAaAAgAE0ATQBTACAAOgAgAGsAZwAgAE4AMgBPAC0ATgAvAGsAZwAgAE4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CAAOgAgACgAawBnACAATgBIADMALQBOACAAKwAgAE4ATwB4AC0ATgApAC8AawBnACAATgBcACIAOwBcAG4AIAAgACAAIAAgACAAIAAgACAAIABcACIAUABGAFwAIgAsAFwAIgBmAHIAYQBjAHQAaQBvAG4AIABvAGYAIABtAGEAbgB1AHIAZQAgAGEAcABwAGwAaQBlAGQAIAB0AG8AIABzAG8AaQBsACAAdwBpAHQAaABpAG4AIAB0AGgAZQAgAGYAZQBlAGQAbABvAHQAIABiAG8AdQBuAGQAYQByAHk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I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IAA6ACAAawBnACAATgBcACIAOwBcAG4AIAAgACAAIAAgACAAIAAgACAAIABcACIARQBGAF8AbQBUADIAMwBcACIALABcACIAbgBpAHQAcgBvAHUAcwAgAG8AeABpAGQAZQAgAGUAbQBpAHMAcwBpAG8AbgAgAGYAYQBjAHQAbwByACAAZgBvAHIAIABlAGEAYwBoACAATQBNAFMAIAA6ACAAawBnACAATgAyAE8ALQBOAC8AawBnACAATg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IAA6ACAAKABrAGcAIABOAEgAMwAtAE4AIAArACAATgBPAHgALQBOACkALwBrAGcAIABOAFwAIgA7AFwAbgAgACAAIAAgACAAIAAgACAAIAAgAFwAIgBQAEYAXAAiACwAXAAiAGYAcgBhAGMAdABpAG8AbgAgAG8AZgAgAG0AYQBuAHUAcgBlACAAYQBwAHAAbABpAGUAZAAgAHQAbwAgAHMAbwBpAGwAIAB3AGkAdABoAGkAbgAgAHQAaABlACAAZgBlAGUAZABsAG8AdAAgAGIAbwB1AG4AZABhAHIAeQAgADoAIABmAHIAYQBjAHQAaQBvAG4AXAAiAFwAbgAgACAAIAAgACAAIAAgACAAfQAsACAAcgAsACAAYwApAFwAbgAgACAAIAAgACAAIAApAFwAbgAgACAAIAAgACkAXABuACAAIAApADsAXABuAFwAbgBcAG4AIgB9ACwAewAiAHAAYQB0AGgAIgA6ACIALwBwAHIAbwBqAGUAYwB0AHMALwBNAE0AUwBfAEYAZQBlAGQAbABvAHQ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UAIABNAGUAdABoAG8AZAAgADEAIAAtACAATQBhAG4AdQByAGUAIABBAHQAbQBvAHMAcABoAGUAcgBpAGMAIABEAGUAcABvAHMAaQB0AGkAbwBu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1AF8AXwAxAF8AVABvAHQAYQBsAEEAbgBuAHUAYQBsAEEAdABtAG8AcwBwAGgAZQByAGkAYwBEAGUAcABvAHMAaQB0AGkAbwBuAEUAbQBpAHMAcwBpAG8AbgBzAFwAbgBUAG8AdABhAGwAIABhAG4AbgB1AGEAbAAgAGEAdABtAG8AcwBwAGgAZQByAGkAYwAgAGQAZQBwAG8AcwBpAHQAaQBvAG4AIABlAG0AaQBzAHMAaQBvAG4AcwAgAGYAcgBvAG0AIABtAGEAbgB1AHIAZQAgAG0AYQBuAGEAZwBlAG0AZQBuAHQAXABuAEUAXwBOADIATwBhAGQAXABuAHQAIABOADIATwBcAG4ARQBfAHsATgAyAE8ALABhAGQAfQA9ACgATQBNAFMAXwB7AEEAVABNAE8AUwB9AFwAXAB0AGkAbQBlAHMAIABFAEYAXwB7AE4AMgBPAH0AXABcAHQAaQBtAGUAcwAgAEMAXwB7AE4AMgBPAH0AKQBcAFwAdABpAG0AZQBzADEAMABeAHsALQAzAH0AXABuAE0ATQBTAF8AQQBUAE0ATwBTACAAPQAgAG0AYQBzAHMAIABvAGYAIABOACAAdgBvAGwAYQB0AGkAbABpAHMAZQBkACAAZgByAG8AbQAgAE0ATQBTACAAOgAgAGsAZwAgAE4AXABuAEUARgBfAE4AMgBPACAAPQAgAG4AaQB0AHIAbwB1AHMAIABvAHgAaQBkAGUAIABlAG0AaQBzAHMAaQBvAG4AIABmAGEAYwB0AG8AcgAgAGYAbwByACAAYQB0AG0AbwBzAHAAaABlAHIAaQBjACAAZABlAHAAbwBzAGkAdABpAG8AbgAgADoAIABrAGcAIABOADIATwAtAE4ALwBrAGcAIABOAFwAbgBDAF8ATgAyAE8AIAA9ACAAZgBhAGMAdABvAHIAIAB0AG8AIABjAG8AbgB2AGUAcgB0ACAAZQBsAGUAbQBlAG4AdABhAGwAIABtAGEAcwBzACAAbwBmACAAbgBpAHQAcgBvAHUAcwAgAG8AeABpAGQAZQAgAHQAbwAgAG0AbwBsAGUAYwB1AGwAYQByACAAbQBhAHMAcwAgADoAIAByAGEAdABpAG8AXABuAC0ALQAtAC0ALQAtAC0ALQAtAC0ALQAtAC0ALQAtAC0ALQAtAC0ALQAtAC0ALQAtAC0ALQAtAC0ALQAtAC0ALQAtAC0ALQAtAC0ALQBcAG4AKgAvAFwAbgBcAG4AVgBFAEUAUgBHAF8ANABfADEAXwAxAF8ANQBfAF8AMQBfAFQAbwB0AGEAbABBAG4AbgB1AGEAbABBAHQAbQBvAHMAcABoAGUAcgBpAGMARABlAHAAbwBzAGkAdABpAG8AbgBFAG0AaQBzAHMAaQBvAG4AcwBcAG4AIAAgAD0ATABBAE0AQgBEAEEAKABcAG4AIAAgACAAIABNAE0AUwBfAEEAVABNAE8AUwAsACAARQBGAF8ATgAyAE8ALAAgAEMAXwBOADIATwAsAFwAbgAgACAAIAAgACgATQBNAFMAXwBBAFQATQBPAFMAIAAqACAARQBGAF8ATgAyAE8AIAAqACAAQwBfAE4AMgBPACkAIAAqACAAMQAwACAAXgAgAC0AMwBcAG4AIAAgACkAOwBcAG4AXABuAFYARQBFAFIARwBfADQAXwAxAF8AMQBfADUAXwBfADEAXwBUAG8AdABhAGwAQQBuAG4AdQBhAGwAQQB0AG0AbwBzAHAAaABlAHIAaQBjAEQAZQBwAG8AcwBpAHQAaQBvAG4ARQBtAGkAcwBzAGkAbwBuAHMAXwBUAGkAdABsAGUAXABuACAAIAA9AEwAQQBNAEIARABBACgAXAAiAFQAbwB0AGEAbAAgAGEAbgBuAHUAYQBsACAAYQB0AG0AbwBzAHAAaABlAHIAaQBjACAAZABlAHAAbwBzAGkAdABpAG8AbgAgAGUAbQBpAHMAcwBpAG8AbgBzACAAZgByAG8AbQAgAG0AYQBuAHUAcgBlACAAbQBhAG4AYQBnAGUAbQBlAG4AdABcACIAKQA7AFwAbgBcAG4AVgBFAEUAUgBHAF8ANABfADEAXwAxAF8ANQBfAF8AMQBfAFQAbwB0AGEAbABBAG4AbgB1AGEAbABBAHQAbQBvAHMAcABoAGUAcgBpAGMARABlAHAAbwBzAGkAdABpAG8AbgBFAG0AaQBzAHMAaQBvAG4AcwBfAFYAYQByAGkAYQBiAGwAZQBcAG4AIAAgAD0ATABBAE0AQgBEAEEAKABcACIARQBfAE4AMgBPAGEAZABcACIAKQA7AFwAbgBcAG4AVgBFAEUAUgBHAF8ANABfADEAXwAxAF8ANQBfAF8AMQBfAFQAbwB0AGEAbABBAG4AbgB1AGEAbABBAHQAbQBvAHMAcABoAGUAcgBpAGMARABlAHAAbwBzAGkAdABpAG8AbgBFAG0AaQBzAHMAaQBvAG4AcwBfAFUAbgBpAHQAXABuACAAIAA9AEwAQQBNAEIARABBACgAXAAiAHQAIABOADIATwBcACIAKQA7AFwAbgBcAG4AVgBFAEUAUgBHAF8ANABfADEAXwAxAF8ANQBfAF8AMQBfAFQAbwB0AGEAbABBAG4AbgB1AGEAbABBAHQAbQBvAHMAcABoAGUAcgBpAGMARABlAHAAbwBzAGkAdABpAG8AbgBFAG0AaQBzAHMAaQBvAG4AcwBfAFMAbwB1AHIAYwBlAFwAbgAgACAAPQBMAEEATQBCAEQAQQAoAFwAIgBWAEUARQBSAEcAIAAyADAAMgA2ADoAIAA0AC4AMQAuADEALgA1ACwAIABFAHEAdQBhAHQAaQBvAG4AIAAoADEAKQBcACIAKQA7AFwAbgBcAG4AVgBFAEUAUgBHAF8ANABfADEAXwAxAF8ANQBfAF8AMQBfAFQAbwB0AGEAbABBAG4AbgB1AGEAbABBAHQAbQBvAHMAcABoAGUAcgBpAGMARABlAHAAbwBzAGkAdABpAG8AbgBFAG0AaQBzAHMAaQBvAG4AcwBfAE4ASQBSAFIAZQBmAGUAcgBlAG4AYwBlAFwAbgAgACAAPQBMAEEATQBCAEQAQQAoAFwAIgBcACIAKQA7AFwAbgBcAG4AVgBFAEUAUgBHAF8ANABfADEAXwAxAF8ANQBfAF8AMQBfAFQAbwB0AGEAbABBAG4AbgB1AGEAbABBAHQAbQBvAHMAcABoAGUAcgBpAGMARABlAHAAbwBzAGkAdABpAG8AbgBFAG0AaQBzAHMAaQBvAG4AcwBfAEwAYQB0AGUAeABFAHEAdQBhAHQAaQBvAG4AXABuACAAIAA9AEwAQQBNAEIARABBACgAXAAiAEUAXwB7AE4AMgBPACwAYQBkAH0APQAoAE0ATQBTAF8AewBBAFQATQBPAFMAfQBcAFwAdABpAG0AZQBzACAARQBGAF8AewBOADIATwB9AFwAXAB0AGkAbQBlAHMAIABDAF8AewBOADIATwB9ACkAXABcAHQAaQBtAGUAcwAxADAAXgB7AC0AMwB9AFwAIgApADsAXABuAFwAbgBWAEUARQBSAEcAXwA0AF8AMQBfADEAXwA1AF8AXwAxAF8AVABvAHQAYQBsAEEAbgBuAHUAYQBsAEEAdABtAG8AcwBwAGgAZQByAGkAYwBEAGUAcABvAHMAaQB0AGkAbwBuAEUAbQBpAHMAcwBpAG8AbgBzAF8AQQByAGcAdQBtAGUAbgB0AHMAXABuACAAIAA9AEwAQQBNAEIARABBACgAXABuACAAIAAgACAATQBBAEsARQBBAFIAUgBBAFkAKAA2ACwAIAAyACwAXABuACAAIAAgACAAIAAgAEwAQQBNAEIARABBACgAcgAsAGMALABcAG4AIAAgACAAIAAgACAAIAAgAEkATgBEAEUAWAAoAHsAXABuACAAIAAgACAAIAAgACAAIAAgACAAXAAiAE0ATQBTAF8AQQBUAE0ATwBTAFwAIgAsAFwAIgBtAGEAcwBzACAAbwBmACAATgAgAHYAbwBsAGEAdABpAGwAaQBzAGUAZAAgAGYAcgBvAG0AIABNAE0AUwAgADoAIABrAGcAIABOAFwAIgA7AFwAbgAgACAAIAAgACAAIAAgACAAIAAgAFwAIgBFAEYAXwBOADIATwBcACIALABcACIAbgBpAHQAcgBvAHUAcwAgAG8AeABpAGQAZQAgAGUAbQBpAHMAcwBpAG8AbgAgAGYAYQBjAHQAbwByACAAZgBvAHIAIABhAHQAbQBvAHMAcABoAGUAcgBpAGMAIABkAGUAcABvAHMAaQB0AGkAbwBu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DsAXABuACAAIAAgACAAIAAgACAAIAAgACAAXAAiAGoAXAAiACwAIABcACIAcAByAG8AZAB1AGMAdABpAG8AbgAgAHMAeQBzAHQAZQBtAFwAIgA7AFwAbgAgACAAIAAgACAAIAAgACAAIAAgAFwAIgBpAFwAIgAsACAAXAAiAGkAcgByAGkAZwBhAHQAaQBvAG4AIABtAGUAdABoAG8AZABcACIAOwBcAG4AIAAgACAAIAAgACAAIAAgACAAIABcACIAcgBcACIALAAgAFwAIgByAGEAaQBuAGYAYQBsAGwAIAB6AG8AbgBl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I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AgADoAIABrAGcAIABOAFwAIgA7AFwAbgAgACAAIAAgACAAIAAgACAAIAAgAFwAIgBGAHIAYQBjAEcAQQBTAE0AXwBtAFQAXAAiACwAXAAiAGYAcgBhAGMAdABpAG8AbgAgAG8AZgAgAE4AIAB2AG8AbABhAHQAaQBsAGkAcwBlAGQAIABpAG4AIABlAGEAYwBoACAATQBNAFMAIAA6ACAAKABrAGcAIABOAEgAMwAtAE4AIAArACAATgBPAHgALQBOACkALwBrAGcAIABO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y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IAA6ACAAawBnACAATgBcACIAOwBcAG4AIAAgACAAIAAgACAAIAAgACAAIABcACIARQBGAF8AagBtAFwAIgAsAFwAIgBuAGkAdAByAG8AdQBzACAAbwB4AGkAZABlACAAZQBtAGkAcwBzAGkAbwBuACAAZgBhAGMAdABvAHIAIABmAG8AcgAgAE0ATQBTACAAOgAgAGsAZwAgAE4AMgBPAC0ATgAvAGsAZwAgAE4AXAAiADsAXABuACAAIAAgACAAIAAgACAAIAAgACAAXAAiAEMAXwBOADIATwBcACIALABcACIAZgBhAGMAdABvAHIAIAB0AG8AIABjAG8AbgB2AGUAcgB0ACAAZQBsAGUAbQBlAG4AdABhAGwAIABtAGEAcwBzACAAbwBmACAAbgBpAHQAcgBvAHUAcwAgAG8AeABpAGQAZQAgAHQAbwAgAG0AbwBsAGUAYwB1AGwAYQByACAAbQBhAHMAcwAgADoAIAByAGEAdABpAG8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MgBfAFMAdABhAGcAZQAxAE4AaQB0AHIAbwBnAGUAbgBJAG4ATQBNAFMARAByAHkAbABvAHQAXABuAE4AaQB0AHIAbwBnAGUAbgAgAGkAbgAgAHQAcgBlAGEAdABtAGUAbgB0ACAAcwB0AGEAZwBlACAAMQAgAE0ATQBTAFwAbgBNAE4AXwBqAG0ANQBUADEAXABuAGsAZwAgAE4AXABuAE0ATgBfAHsAagBtAD0ANQAsAFQAPQAxAH0APQBBAEUAXwB7AGoAfQBcAFwAdABpAG0AZQBzACAATQBNAFMAXwB7AGoAbQA9ADUALABUAD0AMQB9AFwAbgBBAEUAXwBqACAAPQAgAHQAbwB0AGEAbAAgAG4AaQB0AHIAbwBnAGUAbgAgAGUAeABjAHIAZQB0AGUAZAAgAGIAeQAgAGUAYQBjAGgAIABjAGEAdAB0AGwAZQAgAGcAcgBvAHUAcAAgADoAIABrAGcAIABOAFwAbgBNAE0AUwBfAGoAbQA1AFQAMQAgAD0AIABmAHIAYQBjAHQAaQBvAG4AIABvAGYAIABtAGEAbgB1AHIAZQAgAGkAbgAgAHAAcgBpAG0AYQByAHkAIABzAHkAcwB0AGUAbQAgAGQAcgB5AGwAbwB0ACAATQBNAFMAIAA6ACAAZgByAGEAYwB0AGkAbwBuAFwAbgAtAC0ALQAtAC0ALQAtAC0ALQAtAC0ALQAtAC0ALQAtAC0ALQAtAC0ALQAtAC0ALQAtAC0ALQAtAC0ALQAtAC0ALQAtAC0ALQAtAC0AXABuACoALwBcAG4AXABuAFYARQBFAFIARwBfADQAXwAxAF8AMQBfADMAXwBfADIAXwBTAHQAYQBnAGUAMQBOAGkAdAByAG8AZwBlAG4ASQBuAE0ATQBTAEQAcgB5AGwAbwB0AFwAbgAgACAAPQBMAEEATQBCAEQAQQAoAFwAbgAgACAAIAAgAEEARQBfAGoALAAgAE0ATQBTAF8AagBtADUAVAAxACwAXABuACAAIAAgACAAQQBFAF8AagAgACoAIABNAE0AUwBfAGoAbQA1AFQAMQBcAG4AIAAgACkAOwBcAG4AXABuAFYARQBFAFIARwBfADQAXwAxAF8AMQBfADMAXwBfADIAXwBTAHQAYQBnAGUAMQBOAGkAdAByAG8AZwBlAG4ASQBuAE0ATQBTAEQAcgB5AGwAbwB0AF8AVABpAHQAbABlAFwAbgAgACAAPQBMAEEATQBCAEQAQQAoAFwAIgBOAGkAdAByAG8AZwBlAG4AIABpAG4AIAB0AHIAZQBhAHQAbQBlAG4AdAAgAHMAdABhAGcAZQAgADEAIABNAE0AUwBcACIAKQA7AFwAbgBcAG4AVgBFAEUAUgBHAF8ANABfADEAXwAxAF8AMwBfAF8AMgBfAFMAdABhAGcAZQAxAE4AaQB0AHIAbwBnAGUAbgBJAG4ATQBNAFMARAByAHkAbABvAHQAXwBWAGEAcgBpAGEAYgBsAGUAXABuACAAIAA9AEwAQQBNAEIARABBACgAXAAiAE0ATgBfAGoAbQA1AFQAMQBcACIAKQA7AFwAbgBcAG4AVgBFAEUAUgBHAF8ANABfADEAXwAxAF8AMwBfAF8AMgBfAFMAdABhAGcAZQAxAE4AaQB0AHIAbwBnAGUAbgBJAG4ATQBNAFMARAByAHkAbABvAHQAXwBVAG4AaQB0AFwAbgAgACAAPQBMAEEATQBCAEQAQQAoAFwAIgBrAGcAIABOAFwAIgApADsAXABuAFwAbgBWAEUARQBSAEcAXwA0AF8AMQBfADEAXwAzAF8AXwAyAF8AUwB0AGEAZwBlADEATgBpAHQAcgBvAGcAZQBuAEkAbgBNAE0AUwBEAHIAeQBsAG8AdABfAFMAbwB1AHIAYwBlAFwAbgAgACAAPQBMAEEATQBCAEQAQQAoAFwAIgBWAEUARQBSAEcAIAAyADAAMgA2ADoAIAA0AC4AMQAuADEALgAzACwAIABFAHEAdQBhAHQAaQBvAG4AIAAoADIAKQBcACIAKQA7AFwAbgBcAG4AVgBFAEUAUgBHAF8ANABfADEAXwAxAF8AMwBfAF8AMgBfAFMAdABhAGcAZQAxAE4AaQB0AHIAbwBnAGUAbgBJAG4ATQBNAFMARAByAHkAbABvAHQAXwBOAEkAUgBSAGUAZgBlAHIAZQBuAGMAZQBcAG4AIAAgAD0ATABBAE0AQgBEAEEAKABcACIAXAAiACkAOwBcAG4AXABuAFYARQBFAFIARwBfADQAXwAxAF8AMQBfADMAXwBfADIAXwBTAHQAYQBnAGUAMQBOAGkAdAByAG8AZwBlAG4ASQBuAE0ATQBTAEQAcgB5AGwAbwB0AF8ATABhAHQAZQB4AEUAcQB1AGEAdABpAG8AbgBcAG4AIAAgAD0ATABBAE0AQgBEAEEAKABcACIATQBOAF8AewBqAG0APQA1ACwAVAA9ADEAfQA9AEEARQBfAHsAagB9AFwAXAB0AGkAbQBlAHMAIABNAE0AUwBfAHsAagBtAD0ANQAsAFQAPQAxAH0AXAAiACkAOwBcAG4AXABuAFYARQBFAFIARwBfADQAXwAxAF8AMQBfADMAXwBfADIAXwBTAHQAYQBnAGUAMQBOAGkAdAByAG8AZwBlAG4ASQBuAE0ATQBTAEQAcgB5AGwAbwB0AF8AQQByAGcAdQBtAGUAbgB0AHMAXABuACAAIAA9AEwAQQBNAEIARABBACgAXABuACAAIAAgACAATQBBAEsARQBBAFIAUgBBAFkAKAAyACwAIAAyACwAXABuACAAIAAgACAAIAAgAEwAQQBNAEIARABBACgAcgAsAGMALABcAG4AIAAgACAAIAAgACAAIAAgAEkATgBEAEUAWAAoAHsAXABuACAAIAAgACAAIAAgACAAIAAgACAAXAAiAEEARQBfAGoAXAAiACwAXAAiAHQAbwB0AGEAbAAgAG4AaQB0AHIAbwBnAGUAbgAgAGUAeABjAHIAZQB0AGUAZAAgAGIAeQAgAGUAYQBjAGgAIABjAGEAdAB0AGwAZQAgAGcAcgBvAHUAcAAgADoAIABrAGcAIABOAFwAIgA7AFwAbgAgACAAIAAgACAAIAAgACAAIAAgAFwAIgBNAE0AUwBfAGoAbQA1AFQAMQBcACIALABcACIAZgByAGEAYwB0AGkAbwBuACAAbwBmACAAbQBhAG4AdQByAGUAIABpAG4AIABwAHIAaQBtAGEAcgB5ACAAcwB5AHMAdABlAG0AIABkAHIAeQBsAG8AdAAgAE0ATQBTACAAOgAgAGYAcgBhAGMAdABpAG8Abg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MgAsAFwAbgAgACAAIAAgACAAIABMAEEATQBCAEQAQQAoAHIALABjACwAXABuACAAIAAgACAAIAAgACAAIABJAE4ARABFAFgAKAB7AFwAbgAgACAAIAAgACAAIAAgACAAIAAgAFwAIgBOAF8AagBcACIALABcACIAbgB1AG0AYgBlAHIAIABvAGYAIABjAGEAdAB0AGwAZQAgAGkAbgAgAGUAYQBjAGgAIABnAHIAbwB1AHAAIAA6ACAAaABlAGEAZABcACIAOwBcAG4AIAAgACAAIAAgACAAIAAgACAAIABcACIATgBFAF8AagBcACIALABcACIAbgBpAHQAcgBvAGcAZQBuACAAZQB4AGMAcgBlAHQAaQBvAG4AIAA6ACAAawBnACAATgAvAGgAZQBhAGQALwBkAGEAeQBcACIAOwBcAG4AIAAgACAAIAAgACAAIAAgACAAIABcACIARABfAGoAXAAiACwAXAAiAGQAdQByAGEAdABpAG8AbgAgAG8AZgAgAHMAdABhAHkAIABvAGYAIABjAGEAdAB0AGwAZQAgAGcAcgBvAHUAcAAgADoAIABkAGEAeQBz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QAXwBOAGkAdAByAG8AZwBlAG4ARQB4AGMAcgBlAHQAaQBvAG4AUABlAHIASABlAGEAZABcAG4ATgBpAHQAcgBvAGcAZQBuACAAZQB4AGMAcgBlAHQAaQBvAG4AIABwAGUAcgAgAGgAZQBhAGQAIABwAGUAcgAgAGQAYQB5AFwAbgBOAEUAXwBqAFwAbgBrAGcAIABOAC8AaABlAGEAZAAvAGQAYQB5AFwAbgBOAEUAXwB7AGoAfQA9AE4ASQBfAHsAagB9AFwAXAB0AGkAbQBlAHMAKAAxAC0ATgBSAF8AewBqAH0AKQBcAG4ATgBJAF8AagAgAD0AIABuAGkAdAByAG8AZwBlAG4AIABpAG4AdABhAGsAZQAgADoAIABrAGcAIABOAC8AaABlAGEAZAAvAGQAYQB5AFwAbgBOAFIAXwBqACAAPQAgAG4AaQB0AHIAbwBnAGUAbgAgAHIAZQB0AGUAbgB0AGkAbwBuACAAZQB4AHAAcgBlAHMAcwBlAGQAIABhAHMAIABhACAAZgByAGEAYwB0AGkAbwBuACAAbwBmACAAaQBuAHQAYQBrAGUAIAA6ACAAZgByAGEAYwB0AGkAbwBuAFwAbgAtAC0ALQAtAC0ALQAtAC0ALQAtAC0ALQAtAC0ALQAtAC0ALQAtAC0ALQAtAC0ALQAtAC0ALQAtAC0ALQAtAC0ALQAtAC0ALQAtAC0AXABuACoALwBcAG4AXABuAFYARQBFAFIARwBfADQAXwAxAF8AMQBfADMAXwBfADQAXwBOAGkAdAByAG8AZwBlAG4ARQB4AGMAcgBlAHQAaQBvAG4AUABlAHIASABlAGEAZABcAG4AIAAgAD0ATABBAE0AQgBEAEEAKABcAG4AIAAgACAAIABOAEkAXwBqACwAIABOAFIAXwBqACwAXABuACAAIAAgACAATgBJAF8AagAgACoAIAAoADEAIAAtACAATgBSAF8AagApAFwAbgAgACAAKQA7AFwAbgBcAG4AVgBFAEUAUgBHAF8ANABfADEAXwAxAF8AMwBfAF8ANABfAE4AaQB0AHIAbwBnAGUAbgBFAHgAYwByAGUAdABpAG8AbgBQAGUAcgBIAGUAYQBkAF8AVABpAHQAbABlAFwAbgAgACAAPQBMAEEATQBCAEQAQQAoAFwAIgBOAGkAdAByAG8AZwBlAG4AIABlAHgAYwByAGUAdABpAG8AbgAgAHAAZQByACAAaABlAGEAZAAgAHAAZQByACAAZABhAHkAXAAiACkAOwBcAG4AXABuAFYARQBFAFIARwBfADQAXwAxAF8AMQBfADMAXwBfADQAXwBOAGkAdAByAG8AZwBlAG4ARQB4AGMAcgBlAHQAaQBvAG4AUABlAHIASABlAGEAZABfAFYAYQByAGkAYQBiAGwAZQBcAG4AIAAgAD0ATABBAE0AQgBEAEEAKABcACIATgBFAF8AagBcACIAKQA7AFwAbgBcAG4AVgBFAEUAUgBHAF8ANABfADEAXwAxAF8AMwBfAF8ANABfAE4AaQB0AHIAbwBnAGUAbgBFAHgAYwByAGUAdABpAG8AbgBQAGUAcgBIAGUAYQBkAF8AVQBuAGkAdABcAG4AIAAgAD0ATABBAE0AQgBEAEEAKABcACIAawBnACAATgAvAGgAZQBhAGQALwBkAGEAeQBcACIAKQA7AFwAbgBcAG4AVgBFAEUAUgBHAF8ANABfADEAXwAxAF8AMwBfAF8ANABfAE4AaQB0AHIAbwBnAGUAbgBFAHgAYwByAGUAdABpAG8AbgBQAGUAcgBIAGUAYQBkAF8AUwBvAHUAcgBjAGUAXABuACAAIAA9AEwAQQBNAEIARABBACgAXAAiAFYARQBFAFIARwAgADIAMAAyADYAOgAgADQALgAxAC4AMQAuADMALAAgAEUAcQB1AGEAdABpAG8AbgAgACgANAApAFwAIgApADsAXABuAFwAbgBWAEUARQBSAEcAXwA0AF8AMQBfADEAXwAzAF8AXwA0AF8ATgBpAHQAcgBvAGcAZQBuAEUAeABjAHIAZQB0AGkAbwBuAFAAZQByAEgAZQBhAGQAXwBOAEkAUgBSAGUAZgBlAHIAZQBuAGMAZQBcAG4AIAAgAD0ATABBAE0AQgBEAEEAKABcACIAXAAiACkAOwBcAG4AXABuAFYARQBFAFIARwBfADQAXwAxAF8AMQBfADMAXwBfADQAXwBOAGkAdAByAG8AZwBlAG4ARQB4AGMAcgBlAHQAaQBvAG4AUABlAHIASABlAGEAZABfAEwAYQB0AGUAeABFAHEAdQBhAHQAaQBvAG4AXABuACAAIAA9AEwAQQBNAEIARABBACgAXAAiAE4ARQBfAHsAagB9AD0ATgBJAF8AewBqAH0AXABcAHQAaQBtAGUAcwAoADEALQBOAFIAXwB7AGoAfQApAFwAIgApADsAXABuAFwAbgBWAEUARQBSAEcAXwA0AF8AMQBfADEAXwAzAF8AXwA0AF8ATgBpAHQAcgBvAGcAZQBuAEUAeABjAHIAZQB0AGkAbwBuAFAAZQByAEgAZQBhAGQAXwBBAHIAZwB1AG0AZQBuAHQAcwBcAG4AIAAgAD0ATABBAE0AQgBEAEEAKABcAG4AIAAgACAAIABNAEEASwBFAEEAUgBSAEEAWQAoADIALAAgADIALABcAG4AIAAgACAAIAAgACAATABBAE0AQgBEAEEAKAByACwAYwAsAFwAbgAgACAAIAAgACAAIAAgACAASQBOAEQARQBYACgAewBcAG4AIAAgACAAIAAgACAAIAAgACAAIABcACIATgBJAF8AagBcACIALABcACIAbgBpAHQAcgBvAGcAZQBuACAAaQBuAHQAYQBrAGUAIAA6ACAAawBnACAATgAvAGgAZQBhAGQALwBkAGEAeQBcACIAOwBcAG4AIAAgACAAIAAgACAAIAAgACAAIABcACIATgBSAF8AagBcACIALABcACIAbgBpAHQAcgBvAGcAZQBuACAAcgBlAHQAZQBuAHQAaQBvAG4AIABlAHgAcAByAGUAcwBzAGUAZAAgAGEAcwAgAGEAIABmAHIAYQBjAHQAaQBvAG4AIABvAGYAIABpAG4AdABhAGsAZQAgADoAIABmAHIAYQBjAHQAaQBvAG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yACwAXABuACAAIAAgACAAIAAgAEwAQQBNAEIARABBACgAcgAsAGMALABcAG4AIAAgACAAIAAgACAAIAAgAEkATgBEAEUAWAAoAHsAXABuACAAIAAgACAAIAAgACAAIAAgACAAXAAiAEkAXwBqAFwAIgAsAFwAIgBkAHIAeQAgAG0AYQB0AHQAZQByACAAaQBuAHQAYQBrAGUAIAA6ACAAawBnACAARABNAC8AaABlAGEAZAAvAGQAYQB5AFwAIgA7AFwAbgAgACAAIAAgACAAIAAgACAAIAAgAFwAIgBDAFAAXwBqAFwAIgAsAFwAIgBjAHIAdQBkAGUAIABwAHIAbwB0AGUAaQBuACAAYwBvAG4AdABlAG4AdAAgAG8AZgAgAGYAZQBlAGQAIAA6ACAAZgByAGEAYwB0AGkAbwBuAFwAIgA7AFwAbgAgACAAIAAgACAAIAAgACAAIAAgAFwAIgA2AC4AMgA1AFwAIgAsAFwAIgBmAGEAYwB0AG8AcgAgAGYAbwByACAAYwBvAG4AdgBlAHIAdABpAG4AZwAgAGMAcgB1AGQAZQAgAHAAcgBvAHQAZQBpAG4AIABpAG4AdABvACAAbgBpAHQAcgBvAGcAZQBuACAAOgAgAHIAYQB0AGkAbw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y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AgADoAIABrAGcAIABOAFwAIgA7AFwAbgAgACAAIAAgACAAIAAgACAAIAAgAFwAIgBNAE0AUwBfAGoAbQBUADIAXAAiACwAXAAiAGYAcgBhAGMAdABpAG8AbgAgAG8AZgAgAG0AYQBuAHUAcgBlACAAaQBuACAAZQBhAGMAaAAgAHMAZQBjAG8AbgBkAGEAcgB5ACAAcwB5AHMAdABlAG0AIAA6ACAAZgByAGEAYwB0AGkAbwBu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yACwAXABuACAAIAAgACAAIAAgAEwAQQBNAEIARABBACgAcgAsAGMALABcAG4AIAAgACAAIAAgACAAIAAgAEkATgBEAEUAWAAoAHsAXABuACAAIAAgACAAIAAgACAAIAAgACAAXAAiAE0ATgBfAGoAbQA1AFQAMQBcACIALABcACIAbgBpAHQAcgBvAGcAZQBuACAAaQBuACAATQBNAFMAIAB0AHIAZQBhAHQAbQBlAG4AdAAgAHMAdABhAGcAZQAgADEAIAA6ACAAawBnACAATgBcACIAOwBcAG4AIAAgACAAIAAgACAAIAAgACAAIABcACIARgByAGEAYwBHAEEAUwBNAF8AbQA1AFwAIgAsAFwAIgBmAHIAYQBjAHQAaQBvAG4AIABvAGYAIABOACAAdgBvAGwAYQB0AGkAbABpAHMAZQBkACAAZgByAG8AbQAgAGQAcgB5AGwAbwB0ACAATQBNAFMAIAA6ACAAZgByAGEAYwB0AGkAbwBuAFwAIgA7AFwAbgAgACAAIAAgACAAIAAgACAAIAAgAFwAIgBFAEYAXwBtADUAXAAiACwAXAAiAG4AaQB0AHIAbwB1AHMAIABvAHgAaQBkAGUAIABlAG0AaQBzAHMAaQBvAG4AIABmAGEAYwB0AG8AcgAgAGYAbwByACAAZAByAHkAbABvAHQAIABNAE0AUwAgADoAIABrAGcAIABOADIATwAtAE4ALwBrAGcAIABOACAAZABlAHAAbwBzAGkAdABlAGQAXAAiADsAXABuACAAIAAgACAAIAAgACAAIAAgACAAXAAiAE0ATgBfAGoAbQBUADMAXAAiACwAXAAiAG4AaQB0AHIAbwBnAGUAbgAgAGkAbgAgAE0ATQBTACAAdAByAGUAYQB0AG0AZQBuAHQAIABzAHQAYQBnAGUAIAAzACAAOgAgAGsAZwAgAE4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IALABcAG4AIAAgACAAIAAgACAATABBAE0AQgBEAEEAKAByACwAYwAsAFwAbgAgACAAIAAgACAAIAAgACAASQBOAEQARQBYACgAewBcAG4AIAAgACAAIAAgACAAIAAgACAAIABcACIAQQBFAF8AagBcACIALABcACIAdABvAHQAYQBsACAAbgBpAHQAcgBvAGcAZQBuACAAZQB4AGMAcgBlAHQAZQBkACAAYgB5ACAAZQBhAGMAaAAgAGMAYQB0AHQAbABlACAAZwByAG8AdQBwACAAOgAgAGsAZwAgAE4AXAAiADsAXABuACAAIAAgACAAIAAgACAAIAAgACAAXAAiAE0ATQBTAF8AagBtADEAVAAzAFwAIgAsAFwAIgBmAHIAYQBjAHQAaQBvAG4AIABvAGYAIABtAGEAbgB1AHIAZQAgAHQAbwAgAHQAZQByAHQAaQBhAHIAeQAgAGEAbgBhAGUAcgBvAGIAaQBjACAAbABhAGcAbwBvAG4AIABzAHkAcwB0AGUAbQAgADoAIABmAHIAYQBjAHQAaQBvAG4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wBfAFMAdABhAGcAZQAyAE0AZQB0AGgAYQBuAGUAUAByAG8AZAB1AGMAdABpAG8AbgAiACwAIgBNAE0AUwBfAEYAZQBlAGQAbABvAHQAXwBNAGUAdABoAGEAbgBlAF8ARQBxAHUAYQB0AGkAbwBuAHMALgBWAEUARQBSAEcAXwA0AF8AMQBfADEAXwAxAF8AXwAzAF8AUwB0AGEAZwBlADIATQBlAHQAaABhAG4AZQBQAHIAbwBkAHUAYwB0AGkAbwBuAF8AVABpAHQAbABlACIALAAiAE0ATQBTAF8ARgBlAGUAZABsAG8AdABfAE0AZQB0AGgAYQBuAGUAXwBFAHEAdQBhAHQAaQBvAG4AcwAuAFYARQBFAFIARwBfADQAXwAxAF8AMQBfADEAXwBfADMAXwBTAHQAYQBnAGUAMgBNAGUAdABoAGEAbgBlAFAAcgBvAGQAdQBjAHQAaQBvAG4AXwBWAGEAcgBpAGEAYgBsAGUAIgAsACIATQBNAFMAXwBGAGUAZQBkAGwAbwB0AF8ATQBlAHQAaABhAG4AZQBfAEUAcQB1AGEAdABpAG8AbgBzAC4AVgBFAEUAUgBHAF8ANABfADEAXwAxAF8AMQBfAF8AMwBfAFMAdABhAGcAZQAyAE0AZQB0AGgAYQBuAGUAUAByAG8AZAB1AGMAdABpAG8AbgBfAFUAbgBpAHQAIgAsACIATQBNAFMAXwBGAGUAZQBkAGwAbwB0AF8ATQBlAHQAaABhAG4AZQBfAEUAcQB1AGEAdABpAG8AbgBzAC4AVgBFAEUAUgBHAF8ANABfADEAXwAxAF8AMQBfAF8AMwBfAFMAdABhAGcAZQAyAE0AZQB0AGgAYQBuAGUAUAByAG8AZAB1AGMAdABpAG8AbgBfAFMAbwB1AHIAYwBlACIALAAiAE0ATQBTAF8ARgBlAGUAZABsAG8AdABfAE0AZQB0AGgAYQBuAGUAXwBFAHEAdQBhAHQAaQBvAG4AcwAuAFYARQBFAFIARwBfADQAXwAxAF8AMQBfADEAXwBfADMAXwBTAHQAYQBnAGUAMgBNAGUAdABoAGEAbgBlAFAAcgBvAGQAdQBjAHQAaQBvAG4AXwBOAEkAUgBSAGUAZgBlAHIAZQBuAGMAZQAiACwAIgBNAE0AUwBfAEYAZQBlAGQAbABvAHQAXwBNAGUAdABoAGEAbgBlAF8ARQBxAHUAYQB0AGkAbwBuAHMALgBWAEUARQBSAEcAXwA0AF8AMQBfADEAXwAxAF8AXwAzAF8AUwB0AGEAZwBlADIATQBlAHQAaABhAG4AZQBQAHIAbwBkAHUAYwB0AGkAbwBuAF8ATABhAHQAZQB4AEUAcQB1AGEAdABpAG8AbgAiACwAIgBNAE0AUwBfAEYAZQBlAGQAbABvAHQAXwBNAGUAdABoAGEAbgBlAF8ARQBxAHUAYQB0AGkAbwBuAHMALgBWAEUARQBSAEcAXwA0AF8AMQBfADEAXwAxAF8AXwAzAF8AUwB0AGEAZwBlADIATQBlAHQAaABhAG4AZQBQAHIAbwBkAHUAYwB0AGkAbwBuAF8AQQByAGcAdQBtAGUAbgB0AHM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=</AFEJSONBlob>
</file>

<file path=customXml/itemProps1.xml><?xml version="1.0" encoding="utf-8"?>
<ds:datastoreItem xmlns:ds="http://schemas.openxmlformats.org/officeDocument/2006/customXml" ds:itemID="{809E3D44-A88D-4EBF-A307-6B8CE77A33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91119c-fce9-4911-96ae-b800be5dccd8"/>
    <ds:schemaRef ds:uri="09eef6d6-daa8-4301-8f9f-b1ec380792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A9CF321-0D35-4044-BC72-33748FE2B8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D460F9D-420A-4723-B323-396E4D19EC9B}">
  <ds:schemaRefs>
    <ds:schemaRef ds:uri="http://schemas.microsoft.com/office/2006/metadata/properties"/>
    <ds:schemaRef ds:uri="http://schemas.microsoft.com/office/infopath/2007/PartnerControls"/>
    <ds:schemaRef ds:uri="09eef6d6-daa8-4301-8f9f-b1ec38079286"/>
    <ds:schemaRef ds:uri="7291119c-fce9-4911-96ae-b800be5dccd8"/>
  </ds:schemaRefs>
</ds:datastoreItem>
</file>

<file path=customXml/itemProps4.xml><?xml version="1.0" encoding="utf-8"?>
<ds:datastoreItem xmlns:ds="http://schemas.openxmlformats.org/officeDocument/2006/customXml" ds:itemID="{B6BE249C-20B1-4A62-BBCD-F2A46D88BCAB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Home</vt:lpstr>
      <vt:lpstr>Results</vt:lpstr>
      <vt:lpstr>Input - Site</vt:lpstr>
      <vt:lpstr>Input - Feedlot</vt:lpstr>
      <vt:lpstr>4.1.1.1-2 Methane</vt:lpstr>
      <vt:lpstr>4.1.1.3-4 Direct N20</vt:lpstr>
      <vt:lpstr>4.1.1.5-6 Atmos Deposition</vt:lpstr>
      <vt:lpstr>4.1.1.9 Manure applied to soils</vt:lpstr>
      <vt:lpstr>Constants - Feedlot</vt:lpstr>
      <vt:lpstr>Constants - Common</vt:lpstr>
      <vt:lpstr>Constants - Livestock</vt:lpstr>
      <vt:lpstr>Acknowledgements</vt:lpstr>
      <vt:lpstr>Tab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Kotz</dc:creator>
  <cp:lastModifiedBy>Paul Kotz</cp:lastModifiedBy>
  <dcterms:created xsi:type="dcterms:W3CDTF">2025-11-17T03:37:23Z</dcterms:created>
  <dcterms:modified xsi:type="dcterms:W3CDTF">2026-04-07T08:18:45Z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0x010100ACB660BB23738846A00119B5826AC974</vt:lpwstr>
  </property>
  <property fmtid="{D5CDD505-2E9C-101B-9397-08002B2CF9AE}" pid="3" name="MediaServiceImageTags">
    <vt:lpwstr/>
  </property>
</Properties>
</file>