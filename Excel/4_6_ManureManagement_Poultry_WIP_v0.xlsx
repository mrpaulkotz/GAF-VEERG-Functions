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BFD6CE63-3529-468C-9BE6-6A840ECE9F80}" xr6:coauthVersionLast="47" xr6:coauthVersionMax="47" xr10:uidLastSave="{00000000-0000-0000-0000-000000000000}"/>
  <bookViews>
    <workbookView xWindow="735" yWindow="345" windowWidth="36585" windowHeight="19950" firstSheet="2" activeTab="3" xr2:uid="{992023F3-CAB7-4E5B-A348-08D563A0EF40}"/>
  </bookViews>
  <sheets>
    <sheet name="Home" sheetId="71" r:id="rId1"/>
    <sheet name="Results" sheetId="13" r:id="rId2"/>
    <sheet name="Input - Site" sheetId="15" r:id="rId3"/>
    <sheet name="Input - Poultry" sheetId="70" r:id="rId4"/>
    <sheet name="4.6.1.1-2 Methane" sheetId="69" r:id="rId5"/>
    <sheet name="4.6.1.3-4 Direct N20" sheetId="76" r:id="rId6"/>
    <sheet name="4.5.1.5-6 Atmos Dep" sheetId="97" r:id="rId7"/>
    <sheet name="4.5.1.7-8 Leaching and runoff" sheetId="98" r:id="rId8"/>
    <sheet name="4.5.1.9 Manure applied to soils" sheetId="105" r:id="rId9"/>
    <sheet name="Constants - Poultry" sheetId="79" r:id="rId10"/>
    <sheet name="Constants - Common" sheetId="103" r:id="rId11"/>
    <sheet name="Constants - Livestock" sheetId="43" r:id="rId12"/>
    <sheet name="Acknowledgements" sheetId="72" r:id="rId13"/>
    <sheet name="Tab template" sheetId="74" r:id="rId14"/>
  </sheets>
  <externalReferences>
    <externalReference r:id="rId15"/>
    <externalReference r:id="rId16"/>
  </externalReferences>
  <definedNames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_xlpm.tag, IF(_xlpm.starts = _xlpm.ReportingCycleStart, " (This reporting cycle)", ""), _xlpm.startsText, TEXT(_xlpm.starts, "dd mmm yyyy"), _xlpm.endsText, TEXT(_xlpm.ends, "dd mmm yyyy"), IF(_xlpm.n = 0, "", _xlfn.HSTACK(_xlpm.startsText &amp; " to " &amp; _xlpm.endsText &amp; _xlpm.tag))))</definedName>
    <definedName name="Common_InputFunctions.Utility_ConvertStateCommonNameToAbbreviation">_xlfn.LAMBDA(_xlpm.StateCommonName,_xlpm.StateCommonNameArray,_xlpm.StateAbbreviationArray, _xlfn.XLOOKUP(_xlpm.StateCommonName, _xlpm.StateCommonNameArray, _xlpm.StateAbbreviationArray, ""))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_xlfn.TEXTBEFORE(_xlfn.FORMULATEXT(_xlpm.Function), "("))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>_xlfn.LAMBDA(_xlpm.avgTemp,_xlpm.avgRain,_xlpm.frostDays,_xlpm.elev,_xlpm.map_pet,_xlpm.minTempArray,_xlpm.maxTempArray,_xlpm.minRainfallArray,_xlpm.maxRainfallArray,_xlpm.minFrostArray,_xlpm.maxFrostArray,_xlpm.minElevationArray,_xlpm.maxElevationArray,_xlpm.minPETArray,_xlpm.maxPETArray,_xlpm.climateZoneArray, _xlfn.LET(_xlpm.mask, (VALUE(_xlpm.minTempArray) &lt;= _xlpm.avgTemp) * (VALUE(_xlpm.maxTempArray) &gt;= _xlpm.avgTemp) * (VALUE(_xlpm.minRainfallArray) &lt;= _xlpm.avgRain) * (VALUE(_xlpm.maxRainfallArray) &gt;= _xlpm.avgRain) * (VALUE(_xlpm.minFrostArray) &lt;= _xlpm.frostDays) * (VALUE(_xlpm.maxFrostArray) &gt;= _xlpm.frostDays) * (VALUE(_xlpm.minElevationArray) &lt;= _xlpm.elev) * (VALUE(_xlpm.maxElevationArray) &gt;= _xlpm.elev) * (VALUE(_xlpm.minPETArray) &lt;= _xlpm.map_pet) * (VALUE(_xlpm.maxPETArray) &gt;= _xlpm.map_pet), _xlfn.TAKE(_xlfn._xlws.FILTER(_xlpm.climateZoneArray,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N2OEFFromProdIrrigationRainfall">_xlfn.LAMBDA(_xlpm.ProductionSystem,_xlpm.IrrigationMethod,_xlpm.RainfallZone,_xlpm.ProductionSystemArray,_xlpm.IrrigationMethodArray,_xlpm.RainfallZoneArray,_xlpm.ReturnArray, _xlfn.LET(_xlpm.IrrigationMethod, IF(_xlpm.IrrigationMethod = "Not irrigated", "Not irrigated", "Any"), _xlpm.RainfallZone, IF(_xlpm.IrrigationMethod = "Not irrigated", _xlpm.RainfallZone, "Any"), _xlfn.XLOOKUP(1, (_xlpm.ProductionSystemArray = _xlpm.ProductionSystem) * (_xlpm.IrrigationMethodArray = _xlpm.IrrigationMethod) * (_xlpm.RainfallZoneArray = _xlpm.RainfallZone), _xlpm.ReturnArray)))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LookupValueInTableOneColumnAndHeader">_xlfn.LAMBDA(_xlpm.LookupValue1,_xlpm.LookupValue2,_xlpm.LookupArray1,_xlpm.LookupArray2,_xlpm.ReturnArray, _xlfn.XLOOKUP(_xlpm.LookupValue1, _xlpm.LookupArray1, _xlfn.XLOOKUP(_xlpm.LookupValue2, _xlpm.LookupArray2, _xlpm.ReturnArray)))</definedName>
    <definedName name="Common_InputFunctions.Utility_LookupValueInTableTwoColumns">_xlfn.LAMBDA(_xlpm.LookupValue1,_xlpm.LookupValue2,_xlpm.LookupArray1,_xlpm.LookupArray2,_xlpm.ReturnArray, _xlfn.XLOOKUP(1, (_xlpm.LookupArray1 = _xlpm.LookupValue1) * (_xlpm.LookupArray2 = _xlpm.LookupValue2), _xlpm.ReturnArray, ""))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EFN2O_Data">_xlfn.LAMBDA(_xlfn.MAKEARRAY(15, 5, _xlfn.LAMBDA(_xlpm.r,_xlpm.c, INDEX({"Production system j","EFN2O","Production system only","Irrigation method","Rainfall zone";"Irrigated pasture",0.0059,"Pasture","Any","Any";"Irrigated crop",0.007,"Crop","Any","Any";"Non-irrigated pasture",0.0018,"Pasture","Not irrigated","Low rainfall";"Non-irrigated pasture",0.0018,"Pasture","Not irrigated","High rainfall";"Non-irrigated crop (low rainfall)",0.0029,"Crop","Not irrigated","Low rainfall";"Non-irrigated crop (high rainfall)",0.008,"Crop","Not irrigated","High rainfall";"Sugar",0.0199,"Sugar","Any","Any";"Cotton",0.0053,"Cotton","Any","Any";"Horticultural crops",0.0064,"Horticultural crops","Any","Any";"Rice (continuous flooding)",0.003,"Rice","Continuous flooding","Any";"Rice (single and multiple drainage, or alternate wetting and drying)",0.005,"Rice","Single and multiple drainage, or alternate wetting and drying","Any";"Aquaculture",0.0026,"Aquaculture","Any","Any";"Forestry",0.0018,"Forestry","Any","Any"}, _xlpm.r, _xlpm.c))))</definedName>
    <definedName name="Common_SourceData.Common_SourceData_EFN2O_NIRReference">_xlfn.LAMBDA("")</definedName>
    <definedName name="Common_SourceData.Common_SourceData_EFN2O_Source">_xlfn.LAMBDA("VEERG 2026: Table A.2.2.1")</definedName>
    <definedName name="Common_SourceData.Common_SourceData_EFN2O_Title">_xlfn.LAMBDA("Nitrous oxide emission factors for inorganic fertiliser application")</definedName>
    <definedName name="Common_SourceData.Common_SourceData_EFN2O_Unit">_xlfn.LAMBDA("(kg N2O-N / kg N")</definedName>
    <definedName name="Common_SourceData.Common_SourceData_EFN2O_Variation">_xlfn.LAMBDA(_xlfn.MAKEARRAY(5, 1, _xlfn.LAMBDA(_xlpm.r,_xlpm.c, INDEX({"VARIATION OF SOURCE DATA:";"Removed duplicate 'Aquaculture' row.";"Removed asterisks to aid lookup.";"Added 'production system only', 'rainfall zone' and 'irrigation method' columns to aid lookup.";"Duplicated 'non-irrigated pasture' row with same EF for low and high rainfall zones to aid lookup."}, _xlpm.r, _xlpm.c))))</definedName>
    <definedName name="Common_SourceData.Common_SourceData_EFPastureRangeAndPaddock_Data">_xlfn.LAMBDA(_xlfn.MAKEARRAY(3, 2, _xlfn.LAMBDA(_xlpm.r,_xlpm.c, INDEX({"Climate zone","EFPRP";"Wet climate zone",0.006;"Dry climate zone",0.002}, _xlpm.r, _xlpm.c))))</definedName>
    <definedName name="Common_SourceData.Common_SourceData_EFPastureRangeAndPaddock_NIRReference">_xlfn.LAMBDA("")</definedName>
    <definedName name="Common_SourceData.Common_SourceData_EFPastureRangeAndPaddock_Source">_xlfn.LAMBDA("VEERG 2026: Table A.2.2.2")</definedName>
    <definedName name="Common_SourceData.Common_SourceData_EFPastureRangeAndPaddock_Title">_xlfn.LAMBDA("Emission factor for urine and dung deposited on pasture, range or paddock")</definedName>
    <definedName name="Common_SourceData.Common_SourceData_EFPastureRangeAndPaddock_Unit">_xlfn.LAMBDA("kg N2O - N / kg N")</definedName>
    <definedName name="Common_SourceData.Common_SourceData_EFPastureRangeAndPaddock_Variation">_xlfn.LAMBDA("VARIATION FROM SOURCE DATA: Changed 'Dry climate zones' to singular 'Dry climate zone' to aid lookup.")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FracWETIrrigation_Data">_xlfn.LAMBDA(_xlfn.MAKEARRAY(6, 2, _xlfn.LAMBDA(_xlpm.r,_xlpm.c, INDEX({"Irrigation type ir","FracWET";"Not irrigated",0;"Drip irrigation",0;"Sprinkler irrigation",1;"Surface irrigation",1;"Other irrigation",1}, _xlpm.r, _xlpm.c))))</definedName>
    <definedName name="Common_SourceData.Common_SourceData_FracWETIrrigation_NIRReference">_xlfn.LAMBDA("IPCC 2019 Refinement Volume 4: Chapter 11: N2O Emissions from Managed Soils, and CO2 Emissions from Lime and Urea Application")</definedName>
    <definedName name="Common_SourceData.Common_SourceData_FracWETIrrigation_Source">_xlfn.LAMBDA("VEERG 2026: Chapter 1, section 1.8.2 Leaching, climate and rainfall zones")</definedName>
    <definedName name="Common_SourceData.Common_SourceData_FracWETIrrigation_Title">_xlfn.LAMBDA("FracWET for irrigation types")</definedName>
    <definedName name="Common_SourceData.Common_SourceData_FracWETIrrigation_Unit">_xlfn.LAMBDA("dimensionless")</definedName>
    <definedName name="Common_SourceData.Common_SourceData_FracWETIrrigation_Variation">_xlfn.LAMBDA("VARIATION FROM SOURCE DATA: Table created based on VEERG text 'Areas are subject to leaching (i.e., in the leaching zone) when... the land is irrigated (except drip irrigation).'")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MonthsToSeasons_Data">_xlfn.LAMBDA(_xlfn.MAKEARRAY(13, 2, _xlfn.LAMBDA(_xlpm.r,_xlpm.c, INDEX({"Month","Season";"January","Summer";"February","Summer";"March","Autumn";"April","Autumn";"May","Autumn";"June","Winter";"July","Winter";"August","Winter";"September","Spring";"October","Spring";"November","Spring";"December","Summer"}, _xlpm.r, _xlpm.c))))</definedName>
    <definedName name="Common_SourceData.Common_SourceData_MonthsToSeasons_NIRReference">_xlfn.LAMBDA("")</definedName>
    <definedName name="Common_SourceData.Common_SourceData_MonthsToSeasons_Source">_xlfn.LAMBDA("")</definedName>
    <definedName name="Common_SourceData.Common_SourceData_MonthsToSeasons_Title">_xlfn.LAMBDA("Months to Seasons Mapping")</definedName>
    <definedName name="Common_SourceData.Common_SourceData_MonthsToSeasons_Unit">_xlfn.LAMBDA("")</definedName>
    <definedName name="Common_SourceData.Common_SourceData_MonthsToSeason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Cropping_InputFunctions.CommonCropping_CalculateFractionResidueRemoved">_xlfn.LAMBDA(_xlpm.TotalResidue,_xlpm.AmountRemoved, (_xlpm.AmountRemoved * 10 ^ 3) / (_xlpm.TotalResidue * 10 ^ 3))</definedName>
    <definedName name="CommonCropping_InputFunctions.CommonCropping_CalculateHarvestIndex">_xlfn.LAMBDA(_xlpm.CropType,_xlpm.CropTypeArray,_xlpm.ResidueCropRatioArray, 1 / (1 + Common_InputFunctions.Utility_LookupValueInTableNumber(_xlpm.CropType, _xlpm.CropTypeArray, _xlpm.ResidueCropRatioArray)))</definedName>
    <definedName name="CommonCropping_InputFunctions.CommonCropping_CalculateResidueCropRatio">_xlfn.LAMBDA(_xlpm.HarvestIndex, (1 - _xlpm.HarvestIndex) / _xlpm.HarvestIndex)</definedName>
    <definedName name="CommonCropping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Livestock_InputFunctions.AverageLiveweightEndOfMonth" localSheetId="8">_xlfn.LAMBDA(_xlpm.Month,_xlpm.LivestockClass,_xlpm.HeadAtStart,_xlpm.LiveweightAtStart,_xlpm.LiveweightGain, [0]!CommonLivestock_InputFunctions.LivestockMovement_ProportionalAverageLiveweightAddedDuringMonth(_xlpm.Month, _xlpm.LivestockClass, _xlpm.HeadAtStart) + '4.5.1.9 Manure applied to soils'!CommonLivestock_InputFunctions.LivestockMovement_ProportionalAverageLiveweightRemainingAtEndOfMonth(_xlpm.Month, _xlpm.LivestockClass, _xlpm.HeadAtStart, _xlpm.LiveweightAtStart, _xlpm.LiveweightGain))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Livestock_LookupMCFState">_xlfn.LAMBDA(_xlpm.MMS,_xlpm.MMSArray,_xlpm.State,_xlpm.StateArray,_xlpm.ReturnArray, _xlfn.XLOOKUP(_xlpm.MMS, _xlpm.MMSArray, _xlfn.XLOOKUP(_xlpm.State, _xlpm.StateArray, _xlpm.ReturnArray)))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GetMovementLiveweightGain" localSheetId="10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 localSheetId="10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 localSheetId="10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 localSheetId="8">_xlfn.LAMBDA(_xlpm.LivestockClass,_xlpm.MovementDate,_xlpm.WeightAtMovementDate,_xlpm.Head, IFERROR(_xlpm.Head * (_xlpm.WeightAtMovementDate + '4.5.1.9 Manure applied to soils'!CommonLivestock_InputFunctions.LivestockMovement_LiveweightGrownDuringMonthPerHead(_xlpm.LivestockClass, _xlpm.MovementDate)),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GrownDuringMonthPerHead" localSheetId="8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 localSheetId="8">_xlfn.LAMBDA(_xlpm.LivestockClass,_xlpm.Month, '4.5.1.9 Manure applied to soils'!CommonLivestock_InputFunctions.LivestockMovement_LiveweightGrownDuringMonthPerHead(_xlpm.LivestockClass, EOMONTH(_xlpm.Month, -1) + 1))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 localSheetId="8">_xlfn.LAMBDA(_xlpm.LivestockClass,_xlpm.Month,_xlpm.HeadAtStartOfMonth, [0]!CommonLivestock_InputFunctions.LivestockMovement_HeadRemainingAtMonthEnd(_xlpm.Month, _xlpm.LivestockClass, _xlpm.HeadAtStartOfMonth) * '4.5.1.9 Manure applied to soils'!CommonLivestock_InputFunctions.LivestockMovement_LiveweightGrownFromMonthStartPerHead(_xlpm.LivestockClass, _xlpm.Month))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 localSheetId="8">_xlfn.LAMBDA(_xlpm.LivestockClass,_xlpm.MovementDate,_xlpm.Head, '4.5.1.9 Manure applied to soils'!CommonLivestock_InputFunctions.LivestockMovement_LiveweightGrownDuringMonthPerHead(_xlpm.LivestockClass, _xlpm.MovementDate) * _xlpm.Head)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 localSheetId="8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TotalLiveweightAddedDuringMonth" localSheetId="10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 localSheetId="10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 localSheetId="8">_xlfn.LAMBDA(_xlpm.Month,_xlpm.LivestockClass,_xlpm.HeadAtStart, '4.5.1.9 Manure applied to soils'!CommonLivestock_InputFunctions.LivestockMovement_LiveweightGrownFromMonthStartTotal(_xlpm.LivestockClass,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SourceData.SourceData_Livestock_Common_FracLEACH_MS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Livestock_SourceData.SourceData_Livestock_Common_FracLEACH_MS_Source">_xlfn.LAMBDA("National Inventory Report 2023 Volume 1: Equations 3.B.5a_3, 3.B.5c_3, 3.B.5d_3")</definedName>
    <definedName name="CommonLivestock_SourceData.SourceData_Livestock_Common_FracLEACH_MS_Title">_xlfn.LAMBDA("Fraction of N lost through leaching and runoff")</definedName>
    <definedName name="CommonLivestock_SourceData.SourceData_Livestock_Common_FracLEACH_MS_Unit">_xlfn.LAMBDA("Fraction")</definedName>
    <definedName name="CommonLivestock_SourceData.SourceData_Livestock_Common_FracWETMMS_Data">_xlfn.LAMBDA(1)</definedName>
    <definedName name="CommonLivestock_SourceData.SourceData_Livestock_Common_FracWETMMS_Source">_xlfn.LAMBDA("National Inventory Report 2023 Volume 1: Equations 3.B.5a_3, 3.B.5c_3, 3.B.5d_3")</definedName>
    <definedName name="CommonLivestock_SourceData.SourceData_Livestock_Common_FracWETMMS_Title">_xlfn.LAMBDA("Fraction of N available for leaching and runoff")</definedName>
    <definedName name="CommonLivestock_SourceData.SourceData_Livestock_Common_FracWETMMS_Unit">_xlfn.LAMBDA("Fraction")</definedName>
    <definedName name="CommonLivestock_SourceData.SourceData_Livestock_Common_SymbolsMMS_Data">_xlfn.LAMBDA(_xlfn.MAKEARRAY(19, 3, _xlfn.LAMBDA(_xlpm.r,_xlpm.c, INDEX({"Symbol","Manure management system","";"1","Anaerobic lagoon","Anaerobic lagoon (m=1)";"2","Liquid systems","Liquid systems (m=2)";"3","Daily spread","Daily spread (m=3)";"3a","Sump and dispersal system","Sump and dispersal system (m=3a)";"3b","Drains to paddock","Drains to paddock (m=3b)";"4","Solid storage","Solid storage (m=4)";"5","Drylot (feed pad)","Drylot (feed pad) (m=5)";"6","Composting (passive windrow)","Composting (passive windrow) (m=6)";"7","Digester / covered lagoons","Digester / covered lagoons (m=7)";"8","Deep litter","Deep litter (m=8)";"9","Pit storage","Pit storage (m=9)";"10","Poultry manure with bedding","Poultry manure with bedding (m=10)";"11","Poultry manure without bedding","Poultry manure without bedding (m=11)";"11a","Belt manure removal","Belt manure removal (m=11a)";"11b","Manure stored in house","Manure stored in house (m=11b)";"12","Direct processing","Direct processing (m=12)";"13","Direct application","Direct application (m=13)";"14","Pasture range and paddock","Pasture range and paddock (m=14)"}, _xlpm.r, _xlpm.c))))</definedName>
    <definedName name="CommonLivestock_SourceData.SourceData_Livestock_Common_SymbolsMMS_Source">_xlfn.LAMBDA("National Inventory Report 2023 Volume 1: Table 5.12")</definedName>
    <definedName name="CommonLivestock_SourceData.SourceData_Livestock_Common_SymbolsMMS_Title">_xlfn.LAMBDA("Table 5.12 Additional symbols used in algorithms for manure related emissions")</definedName>
    <definedName name="CommonLivestock_SourceData.SourceData_Livestock_Common_SymbolsMMS_Unit">_xlfn.LAMBDA("")</definedName>
    <definedName name="CommonLivestock_SourceData.SourceData_Livestock_Common_SymbolsMMS_Vairable">_xlfn.LAMBDA("MMS")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ManureManagement_Swine_Methane.VEERG_4_5_1_1__1_TotalAnnualMethaneEmissions">_xlfn.LAMBDA(_xlpm.Dj,_xlpm.Mmj,_xlpm.Nj, _xlpm.Dj * _xlpm.Mmj * _xlpm.Nj * 10 ^ -3)</definedName>
    <definedName name="ManureManagement_Swine_Methane.VEERG_4_5_1_1__1_TotalAnnualMethaneEmissions_Arguments">_xlfn.LAMBDA(_xlfn.MAKEARRAY(3, 2, _xlfn.LAMBDA(_xlpm.r,_xlpm.c, INDEX({"Dj","length of stay of each class of swine : days";"Mmj","methane production from manure in each swine class : kg CH4/head/day";"Nj","numbers of swine in each class : head"}, _xlpm.r, _xlpm.c))))</definedName>
    <definedName name="ManureManagement_Swine_Methane.VEERG_4_5_1_1__1_TotalAnnualMethaneEmissions_Source">_xlfn.LAMBDA("VEERG 2026: 4.5.1.1, Equation (1)")</definedName>
    <definedName name="ManureManagement_Swine_Methane.VEERG_4_5_1_1__1_TotalAnnualMethaneEmissions_Title">_xlfn.LAMBDA("Total annual methane emissions from manure management")</definedName>
    <definedName name="ManureManagement_Swine_Methane.VEERG_4_5_1_1__1_TotalAnnualMethaneEmissions_Unit">_xlfn.LAMBDA("t CH4")</definedName>
    <definedName name="ManureManagement_Swine_Methane.VEERG_4_5_1_1__1_TotalAnnualMethaneEmissions_Variable">_xlfn.LAMBDA("ECH4")</definedName>
    <definedName name="ManureManagement_Swine_Methane.VEERG_4_5_1_1__2_MethaneProductionPerClass_Arguments">_xlfn.LAMBDA(_xlfn.MAKEARRAY(1, 2, _xlfn.LAMBDA(_xlpm.r,_xlpm.c, INDEX({"MjmT","methane production from manure per class, MMS, and treatment stage : kg CH4/head/day"}, _xlpm.r, _xlpm.c))))</definedName>
    <definedName name="ManureManagement_Swine_Methane.VEERG_4_5_1_1__2_MethaneProductionPerClass_Source">_xlfn.LAMBDA("VEERG 2026: 4.5.1.1, Equation (2)")</definedName>
    <definedName name="ManureManagement_Swine_Methane.VEERG_4_5_1_1__2_MethaneProductionPerClass_Title">_xlfn.LAMBDA("Methane production from the manure of each class of swine")</definedName>
    <definedName name="ManureManagement_Swine_Methane.VEERG_4_5_1_1__2_MethaneProductionPerClass_Unit">_xlfn.LAMBDA("kg CH4/head/day")</definedName>
    <definedName name="ManureManagement_Swine_Methane.VEERG_4_5_1_1__2_MethaneProductionPerClass_Variable">_xlfn.LAMBDA("Mmj")</definedName>
    <definedName name="ManureManagement_Swine_Methane.VEERG_4_5_1_1__2_MethaneProductionPerClass_Variation">_xlfn.LAMBDA("VARIATION ON SOURCE: Split variable Mjm into MjmT1 and MjmT2 for stage 1 and 2 MMS.")</definedName>
    <definedName name="ManureManagement_Swine_Methane.VEERG_4_5_1_1__2_MethaneProductionPerClassVariation">_xlfn.LAMBDA(_xlpm.MjmT1,_xlpm.MjmT2, SUM(_xlpm.MjmT1, _xlpm.MjmT2))</definedName>
    <definedName name="ManureManagement_Swine_Methane.VEERG_4_5_1_1__3_Stage1MethaneProduction">_xlfn.LAMBDA(_xlpm.VSj,_xlpm.FVSjmT1,_xlpm.MCFim,_xlpm.BO,_xlpm.rho, _xlpm.VSj * _xlpm.FVSjmT1 * _xlpm.MCFim * _xlpm.BO * _xlpm.rho)</definedName>
    <definedName name="ManureManagement_Swine_Methane.VEERG_4_5_1_1__3_Stage1MethaneProduction_Arguments">_xlfn.LAMBDA(_xlfn.MAKEARRAY(5, 2, _xlfn.LAMBDA(_xlpm.r,_xlpm.c, INDEX({"VSj","volatile solid production from swine in each class : kg/head/day";"FVSjmT1","fraction of volatile solids in each primary system : fraction";"MCFim","methane conversion factor for temperate zone and system : fraction";"BO","emissions potential : m3 CH4/kg VS";"rho","density of methane : kg/m3"}, _xlpm.r, _xlpm.c))))</definedName>
    <definedName name="ManureManagement_Swine_Methane.VEERG_4_5_1_1__3_Stage1MethaneProduction_Source">_xlfn.LAMBDA("VEERG 2026: 4.5.1.1, Equation (3)")</definedName>
    <definedName name="ManureManagement_Swine_Methane.VEERG_4_5_1_1__3_Stage1MethaneProduction_Title">_xlfn.LAMBDA("Production of methane in treatment stage 1 MMS")</definedName>
    <definedName name="ManureManagement_Swine_Methane.VEERG_4_5_1_1__3_Stage1MethaneProduction_Unit">_xlfn.LAMBDA("kg CH4/head/day")</definedName>
    <definedName name="ManureManagement_Swine_Methane.VEERG_4_5_1_1__3_Stage1MethaneProduction_Variable">_xlfn.LAMBDA("MijmT1")</definedName>
    <definedName name="ManureManagement_Swine_Methane.VEERG_4_5_1_1__4_FractionVolatileSolidsPrimarySystem">_xlfn.LAMBDA(_xlpm.MMSjmT1,_xlpm.SSm, _xlfn.LET(_xlpm.ssm, IF(ISNUMBER(_xlpm.SSm), _xlpm.SSm, 0), _xlpm.MMSjmT1 * (1 - _xlpm.ssm)))</definedName>
    <definedName name="ManureManagement_Swine_Methane.VEERG_4_5_1_1__4_FractionVolatileSolidsPrimarySystem_Arguments">_xlfn.LAMBDA(_xlfn.MAKEARRAY(2, 2, _xlfn.LAMBDA(_xlpm.r,_xlpm.c, INDEX({"MMSjmT1","fraction of manure to each primary MMS for each class prior to solid separation : fraction";"SSm","fraction of volatile solids separated to solid storage for each MMS : fraction"}, _xlpm.r, _xlpm.c))))</definedName>
    <definedName name="ManureManagement_Swine_Methane.VEERG_4_5_1_1__4_FractionVolatileSolidsPrimarySystem_Source">_xlfn.LAMBDA("VEERG 2026: 4.5.1.1, Equation (4)")</definedName>
    <definedName name="ManureManagement_Swine_Methane.VEERG_4_5_1_1__4_FractionVolatileSolidsPrimarySystem_Title">_xlfn.LAMBDA("Fraction of volatile solids in each primary system other than solid storage")</definedName>
    <definedName name="ManureManagement_Swine_Methane.VEERG_4_5_1_1__4_FractionVolatileSolidsPrimarySystem_Unit">_xlfn.LAMBDA("fraction")</definedName>
    <definedName name="ManureManagement_Swine_Methane.VEERG_4_5_1_1__4_FractionVolatileSolidsPrimarySystem_Variable">_xlfn.LAMBDA("FVSjmT1")</definedName>
    <definedName name="ManureManagement_Swine_Methane.VEERG_4_5_1_1__4_FractionVolatileSolidsPrimarySystem_Variation">_xlfn.LAMBDA("VARIATION ON SOURCE: Added check to convert 'N/A' value to zero.")</definedName>
    <definedName name="ManureManagement_Swine_Methane.VEERG_4_5_1_1__5_FractionVolatileSolidsSolidStorage">_xlfn.LAMBDA(_xlpm.MMSjm4T1,_xlpm.MMSjm179T1,_xlpm.SSm, _xlfn.LET(_xlpm.MMSjm4T1, IF(ISNUMBER(_xlpm.MMSjm4T1), _xlpm.MMSjm4T1, 0), _xlpm.MMSjm179T1, IF(ISNUMBER(_xlpm.MMSjm179T1), _xlpm.MMSjm179T1, 0), _xlpm.SSm, IF(ISNUMBER(_xlpm.SSm), _xlpm.SSm, 0), _xlpm.MMSjm4T1 + (_xlpm.MMSjm179T1 * _xlpm.SSm)))</definedName>
    <definedName name="ManureManagement_Swine_Methane.VEERG_4_5_1_1__5_FractionVolatileSolidsSolidStorage_Arguments">_xlfn.LAMBDA(_xlfn.MAKEARRAY(3, 2, _xlfn.LAMBDA(_xlpm.r,_xlpm.c, INDEX({"MMSjm4T1","fraction of manure in solid storage primary system : fraction";"MMSjm179T1","fraction of manure in MMS 1, 7, and 9 in treatment stage 1 : fraction";"SSm","fraction of volatile solids separated to solid storage for each MMS : fraction"}, _xlpm.r, _xlpm.c))))</definedName>
    <definedName name="ManureManagement_Swine_Methane.VEERG_4_5_1_1__5_FractionVolatileSolidsSolidStorage_Source">_xlfn.LAMBDA("VEERG 2026: 4.5.1.1, Equation (5)")</definedName>
    <definedName name="ManureManagement_Swine_Methane.VEERG_4_5_1_1__5_FractionVolatileSolidsSolidStorage_Title">_xlfn.LAMBDA("Fraction of volatile solids in solid storage")</definedName>
    <definedName name="ManureManagement_Swine_Methane.VEERG_4_5_1_1__5_FractionVolatileSolidsSolidStorage_Unit">_xlfn.LAMBDA("fraction")</definedName>
    <definedName name="ManureManagement_Swine_Methane.VEERG_4_5_1_1__5_FractionVolatileSolidsSolidStorage_Variable">_xlfn.LAMBDA("FVSjm4T1")</definedName>
    <definedName name="ManureManagement_Swine_Methane.VEERG_4_5_1_1__6_Stage2MethaneProduction">_xlfn.LAMBDA(_xlpm.VSTjmT2,_xlpm.BO,_xlpm.MMSjmT2,_xlpm.MCFim,_xlpm.rho, _xlfn.LET(_xlpm.VSTjmT2, IF(ISNUMBER(_xlpm.VSTjmT2), _xlpm.VSTjmT2, 0), _xlpm.MMSjmT2, IF(ISNUMBER(_xlpm.MMSjmT2), _xlpm.MMSjmT2, 0), _xlpm.VSTjmT2 * _xlpm.BO * _xlpm.MMSjmT2 * _xlpm.MCFim * _xlpm.rho))</definedName>
    <definedName name="ManureManagement_Swine_Methane.VEERG_4_5_1_1__6_Stage2MethaneProduction_Arguments">_xlfn.LAMBDA(_xlfn.MAKEARRAY(6, 2, _xlfn.LAMBDA(_xlpm.r,_xlpm.c, INDEX({"VSTjmT2","volatile solids transferred to treatment stage 2 MMS : kg/head/day";"BO","emissions potential : m3 CH4/kg VS";"MMSjmT2","fraction of manure in each secondary system : fraction";"MCFim","methane conversion factor for temperate zone and system : fraction";"rho","density of methane : kg/m3";"i","state"}, _xlpm.r, _xlpm.c))))</definedName>
    <definedName name="ManureManagement_Swine_Methane.VEERG_4_5_1_1__6_Stage2MethaneProduction_Source">_xlfn.LAMBDA("VEERG 2026: 4.5.1.1, Equation (6)")</definedName>
    <definedName name="ManureManagement_Swine_Methane.VEERG_4_5_1_1__6_Stage2MethaneProduction_Title">_xlfn.LAMBDA("Production of methane in each treatment stage 2 MMS")</definedName>
    <definedName name="ManureManagement_Swine_Methane.VEERG_4_5_1_1__6_Stage2MethaneProduction_Unit">_xlfn.LAMBDA("kg CH4/head/day")</definedName>
    <definedName name="ManureManagement_Swine_Methane.VEERG_4_5_1_1__6_Stage2MethaneProduction_Variable">_xlfn.LAMBDA("MijmT2")</definedName>
    <definedName name="ManureManagement_Swine_Methane.VEERG_4_5_1_1__7_VolatileSolidsTransferredStage2">_xlfn.LAMBDA(_xlpm.VSj,_xlpm.FVSjmT1,_xlpm.VSLmT1, _xlpm.VSj * _xlpm.FVSjmT1 * (1 - _xlpm.VSLmT1))</definedName>
    <definedName name="ManureManagement_Swine_Methane.VEERG_4_5_1_1__7_VolatileSolidsTransferredStage2_Arguments">_xlfn.LAMBDA(_xlfn.MAKEARRAY(3, 2, _xlfn.LAMBDA(_xlpm.r,_xlpm.c, INDEX({"VSj","volatile solid production from swine in each class : kg/head/day";"FVSjmT1","fraction of volatile solids in each primary system : fraction";"VSLmT1","fraction of volatile solids lost during storage in the primary system : fraction"}, _xlpm.r, _xlpm.c))))</definedName>
    <definedName name="ManureManagement_Swine_Methane.VEERG_4_5_1_1__7_VolatileSolidsTransferredStage2_Source">_xlfn.LAMBDA("VEERG 2026: 4.5.1.1, Equation (7)")</definedName>
    <definedName name="ManureManagement_Swine_Methane.VEERG_4_5_1_1__7_VolatileSolidsTransferredStage2_Title">_xlfn.LAMBDA("Volatile solids transferred to treatment stage 2 MMS")</definedName>
    <definedName name="ManureManagement_Swine_Methane.VEERG_4_5_1_1__7_VolatileSolidsTransferredStage2_Unit">_xlfn.LAMBDA("kg VS")</definedName>
    <definedName name="ManureManagement_Swine_Methane.VEERG_4_5_1_1__7_VolatileSolidsTransferredStage2_Variable">_xlfn.LAMBDA("VSTijmT2")</definedName>
    <definedName name="MMS_poultry_Methane_Equations.VEERG_4_6_1_1__1_TotalAnnualMethaneEmissions">_xlfn.LAMBDA(_xlpm.D_jk,_xlpm.M_jkmT,_xlpm.N_jk, (_xlpm.D_jk * _xlpm.M_jkmT * _xlpm.N_jk) * 10 ^ -3)</definedName>
    <definedName name="MMS_poultry_Methane_Equations.VEERG_4_6_1_1__1_TotalAnnualMethaneEmissions_Arguments">_xlfn.LAMBDA(_xlfn.MAKEARRAY(3, 2, _xlfn.LAMBDA(_xlpm.r,_xlpm.c, INDEX({"D_jk","duration of stay of each class and subclass of poultry : days";"M_jkmT","methane production from manure per class, subclass, MMS, and treatment stage : kg CH4/bird/day";"N_jk","numbers of poultry in each class and subclass : bird"}, _xlpm.r, _xlpm.c))))</definedName>
    <definedName name="MMS_poultry_Methane_Equations.VEERG_4_6_1_1__1_TotalAnnualMethaneEmissions_LatexEquation">_xlfn.LAMBDA("E_{CH4}=\sum_{j}\sum_{k}\sum_{m}\sum_{T}(D_{jk}\times M_{jkmT}\times N_{jk})\times10^{-3}")</definedName>
    <definedName name="MMS_poultry_Methane_Equations.VEERG_4_6_1_1__1_TotalAnnualMethaneEmissions_NIRReference">_xlfn.LAMBDA("")</definedName>
    <definedName name="MMS_poultry_Methane_Equations.VEERG_4_6_1_1__1_TotalAnnualMethaneEmissions_Source">_xlfn.LAMBDA("VEERG 2026: 4.4.1.1, Equation (1)")</definedName>
    <definedName name="MMS_poultry_Methane_Equations.VEERG_4_6_1_1__1_TotalAnnualMethaneEmissions_Title">_xlfn.LAMBDA("Total annual methane emissions from manure management")</definedName>
    <definedName name="MMS_poultry_Methane_Equations.VEERG_4_6_1_1__1_TotalAnnualMethaneEmissions_Unit">_xlfn.LAMBDA("t CH4")</definedName>
    <definedName name="MMS_poultry_Methane_Equations.VEERG_4_6_1_1__1_TotalAnnualMethaneEmissions_Variable">_xlfn.LAMBDA("E_CH4")</definedName>
    <definedName name="MMS_poultry_Methane_Equations.VEERG_4_6_1_1__2_Stage1MethaneProduction">_xlfn.LAMBDA(_xlpm.VS_jk,_xlpm.BO_j,_xlpm.MMS_jmT1,_xlpm.MCF_im,_xlpm.rho, _xlpm.VS_jk * _xlpm.BO_j * _xlpm.MMS_jmT1 * _xlpm.MCF_im * _xlpm.rho)</definedName>
    <definedName name="MMS_poultry_Methane_Equations.VEERG_4_6_1_1__2_Stage1MethaneProduction_Arguments">_xlfn.LAMBDA(_xlfn.MAKEARRAY(6, 2, _xlfn.LAMBDA(_xlpm.r,_xlpm.c, INDEX({"VS_jk","volatile solid production poultry classes : kg VS/bird/day";"BO_j","emissions potential per class : m3 CH4/kg VS";"MMS_jmT1","fraction of manure in each primary system : fraction";"MCF_im","methane conversion factor for temperature zone and MMS : fraction";"rho","density of methane : kg/m3";"i","state"}, _xlpm.r, _xlpm.c))))</definedName>
    <definedName name="MMS_poultry_Methane_Equations.VEERG_4_6_1_1__2_Stage1MethaneProduction_LatexEquation">_xlfn.LAMBDA("M_{jkmT=1}=VS_{jk}\times BO_{j}\times MMS_{jmT=1}\times MCF_{im}\times \rho")</definedName>
    <definedName name="MMS_poultry_Methane_Equations.VEERG_4_6_1_1__2_Stage1MethaneProduction_NIRReference">_xlfn.LAMBDA("")</definedName>
    <definedName name="MMS_poultry_Methane_Equations.VEERG_4_6_1_1__2_Stage1MethaneProduction_Source">_xlfn.LAMBDA("VEERG 2026: 4.4.1.1, Equation (2)")</definedName>
    <definedName name="MMS_poultry_Methane_Equations.VEERG_4_6_1_1__2_Stage1MethaneProduction_Title">_xlfn.LAMBDA("Production of methane in treatment stage 1 MMS")</definedName>
    <definedName name="MMS_poultry_Methane_Equations.VEERG_4_6_1_1__2_Stage1MethaneProduction_Unit">_xlfn.LAMBDA("kg CH4/bird/day")</definedName>
    <definedName name="MMS_poultry_Methane_Equations.VEERG_4_6_1_1__2_Stage1MethaneProduction_Variable">_xlfn.LAMBDA("M_jkmT1")</definedName>
    <definedName name="MMS_poultry_Methane_Equations.VEERG_4_6_1_1__3_Stage2MethaneProduction">_xlfn.LAMBDA(_xlpm.VST_jk,_xlpm.BO,_xlpm.MMS_jmT2,_xlpm.MCF_im,_xlpm.rho, _xlpm.VST_jk * _xlpm.BO * _xlpm.MMS_jmT2 * _xlpm.MCF_im * _xlpm.rho)</definedName>
    <definedName name="MMS_poultry_Methane_Equations.VEERG_4_6_1_1__3_Stage2MethaneProduction_Arguments">_xlfn.LAMBDA(_xlfn.MAKEARRAY(6, 2, _xlfn.LAMBDA(_xlpm.r,_xlpm.c, INDEX({"VST_jk","volatile solids transferred to treatment stage 2 MMS : kg VS/bird/day";"BO","emissions potential : m3 CH4/kg VS";"MMS_jmT2","fraction of manure in each secondary system : fraction";"MCF_im","methane conversion factor for temperature zone and MMS : fraction";"rho","density of methane : kg/m3";"i","state"}, _xlpm.r, _xlpm.c))))</definedName>
    <definedName name="MMS_poultry_Methane_Equations.VEERG_4_6_1_1__3_Stage2MethaneProduction_LatexEquation">_xlfn.LAMBDA("M_{jkmT=2}=VST_{jk}\times BO\times MMS_{jmT=2}\times MCF_{im}\times \rho")</definedName>
    <definedName name="MMS_poultry_Methane_Equations.VEERG_4_6_1_1__3_Stage2MethaneProduction_NIRReference">_xlfn.LAMBDA("")</definedName>
    <definedName name="MMS_poultry_Methane_Equations.VEERG_4_6_1_1__3_Stage2MethaneProduction_Source">_xlfn.LAMBDA("VEERG 2026: 4.4.1.1, Equation (3)")</definedName>
    <definedName name="MMS_poultry_Methane_Equations.VEERG_4_6_1_1__3_Stage2MethaneProduction_Title">_xlfn.LAMBDA("Production of methane in treatment stage 2 MMS")</definedName>
    <definedName name="MMS_poultry_Methane_Equations.VEERG_4_6_1_1__3_Stage2MethaneProduction_Unit">_xlfn.LAMBDA("kg CH4/bird/day")</definedName>
    <definedName name="MMS_poultry_Methane_Equations.VEERG_4_6_1_1__3_Stage2MethaneProduction_Variable">_xlfn.LAMBDA("M_jkmT2")</definedName>
    <definedName name="MMS_poultry_Methane_Equations.VEERG_4_6_1_1__4_VolatileSolidsTransferred">_xlfn.LAMBDA(_xlpm.VS_jk,_xlpm.MMS_jmT1,_xlpm.VSL_mT1, _xlpm.VS_jk * _xlpm.MMS_jmT1 * (1 - _xlpm.VSL_mT1))</definedName>
    <definedName name="MMS_poultry_Methane_Equations.VEERG_4_6_1_1__4_VolatileSolidsTransferred_Arguments">_xlfn.LAMBDA(_xlfn.MAKEARRAY(3, 2, _xlfn.LAMBDA(_xlpm.r,_xlpm.c, INDEX({"VS_jk","volatile solid production poultry classes : kg VS/bird/day";"MMS_jmT1","fraction of manure in each primary system : fraction";"VSL_mT1","fraction of volatile solids lost during storage in the primary system : fraction"}, _xlpm.r, _xlpm.c))))</definedName>
    <definedName name="MMS_poultry_Methane_Equations.VEERG_4_6_1_1__4_VolatileSolidsTransferred_LatexEquation">_xlfn.LAMBDA("VST_{jk}=VS_{jk}\times MMS_{jmT=1}\times (1-VSL_{mT=1})")</definedName>
    <definedName name="MMS_poultry_Methane_Equations.VEERG_4_6_1_1__4_VolatileSolidsTransferred_NIRReference">_xlfn.LAMBDA("")</definedName>
    <definedName name="MMS_poultry_Methane_Equations.VEERG_4_6_1_1__4_VolatileSolidsTransferred_Source">_xlfn.LAMBDA("VEERG 2026: 4.4.1.1, Equation (4)")</definedName>
    <definedName name="MMS_poultry_Methane_Equations.VEERG_4_6_1_1__4_VolatileSolidsTransferred_Title">_xlfn.LAMBDA("Volatile solids transferred to treatment stage 2 MMS")</definedName>
    <definedName name="MMS_poultry_Methane_Equations.VEERG_4_6_1_1__4_VolatileSolidsTransferred_Unit">_xlfn.LAMBDA("kg VS/bird/day")</definedName>
    <definedName name="MMS_poultry_Methane_Equations.VEERG_4_6_1_1__4_VolatileSolidsTransferred_Variable">_xlfn.LAMBDA("VST_jk")</definedName>
    <definedName name="MMS_poultry_Methane_Equations.VEERG_4_6_1_1__5_VolatileSolidProduction">_xlfn.LAMBDA(_xlpm.I_jk,_xlpm.DMD_jk,_xlpm.A_j, _xlpm.I_jk * (1 - _xlpm.DMD_jk) * (1 - _xlpm.A_j))</definedName>
    <definedName name="MMS_poultry_Methane_Equations.VEERG_4_6_1_1__5_VolatileSolidProduction_Arguments">_xlfn.LAMBDA(_xlfn.MAKEARRAY(3, 2, _xlfn.LAMBDA(_xlpm.r,_xlpm.c, INDEX({"I_jk","dry matter intake for each class and subclass : kg DM/bird/day";"DMD_jk","dry matter digestibility for each class and subclass : fraction";"A_j","ash content of manure for each class and subclass : fraction"}, _xlpm.r, _xlpm.c))))</definedName>
    <definedName name="MMS_poultry_Methane_Equations.VEERG_4_6_1_1__5_VolatileSolidProduction_LatexEquation">_xlfn.LAMBDA("VS_{jk}=I_{jk}\times (1-DMD_{jk})\times (1-A_{j})")</definedName>
    <definedName name="MMS_poultry_Methane_Equations.VEERG_4_6_1_1__5_VolatileSolidProduction_NIRReference">_xlfn.LAMBDA("")</definedName>
    <definedName name="MMS_poultry_Methane_Equations.VEERG_4_6_1_1__5_VolatileSolidProduction_Source">_xlfn.LAMBDA("VEERG 2026: 4.4.1.1, Equation (5)")</definedName>
    <definedName name="MMS_poultry_Methane_Equations.VEERG_4_6_1_1__5_VolatileSolidProduction_Title">_xlfn.LAMBDA("Volatile solid production poultry classes")</definedName>
    <definedName name="MMS_poultry_Methane_Equations.VEERG_4_6_1_1__5_VolatileSolidProduction_Unit">_xlfn.LAMBDA("kg VS/bird/day")</definedName>
    <definedName name="MMS_poultry_Methane_Equations.VEERG_4_6_1_1__5_VolatileSolidProduction_Variable">_xlfn.LAMBDA("VS_jk")</definedName>
    <definedName name="MMS_Poultry_N2ODirect_Equations.VEERG_4_6_1_3__1_TotalAnnualDirectNitrousOxideEmissionsFromMMS">_xlfn.LAMBDA(_xlpm.MN_jkmT,_xlpm.EF_jm,_xlpm.C_N2O, _xlpm.MN_jkmT * _xlpm.EF_jm * _xlpm.C_N2O * 10 ^ -3)</definedName>
    <definedName name="MMS_Poultry_N2ODirect_Equations.VEERG_4_6_1_3__1_TotalAnnualDirectNitrousOxideEmissionsFromMMS_Arguments">_xlfn.LAMBDA(_xlfn.MAKEARRAY(3, 2, _xlfn.LAMBDA(_xlpm.r,_xlpm.c, INDEX({"MN_jkmT","nitrogen per poultry class, subclass, MMS and treatment stage : kg N";"EF_jm","nitrous oxide emission factor for MMS : kg N2O-N/kg N";"C_N2O","factor to convert elemental mass of nitrous oxide to molecular mass : ratio"}, _xlpm.r, _xlpm.c))))</definedName>
    <definedName name="MMS_Poultry_N2ODirect_Equations.VEERG_4_6_1_3__1_TotalAnnualDirectNitrousOxideEmissionsFromMMS_LatexEquation">_xlfn.LAMBDA("E_{N2O,dir}=\sum_{j}\sum_{k}\sum_{m}\sum_{T}(MN_{jkmT}\times EF_{jm}\times C_{N2O})\times10^{-3}")</definedName>
    <definedName name="MMS_Poultry_N2ODirect_Equations.VEERG_4_6_1_3__1_TotalAnnualDirectNitrousOxideEmissionsFromMMS_NIRReference">_xlfn.LAMBDA("")</definedName>
    <definedName name="MMS_Poultry_N2ODirect_Equations.VEERG_4_6_1_3__1_TotalAnnualDirectNitrousOxideEmissionsFromMMS_Source">_xlfn.LAMBDA("VEERG 2026: 4.6.1.3, Equation (1)")</definedName>
    <definedName name="MMS_Poultry_N2ODirect_Equations.VEERG_4_6_1_3__1_TotalAnnualDirectNitrousOxideEmissionsFromMMS_Title">_xlfn.LAMBDA("Total annual direct nitrous oxide emissions from manure management systems")</definedName>
    <definedName name="MMS_Poultry_N2ODirect_Equations.VEERG_4_6_1_3__1_TotalAnnualDirectNitrousOxideEmissionsFromMMS_Unit">_xlfn.LAMBDA("t N2O")</definedName>
    <definedName name="MMS_Poultry_N2ODirect_Equations.VEERG_4_6_1_3__1_TotalAnnualDirectNitrousOxideEmissionsFromMMS_Variable">_xlfn.LAMBDA("E_N2Odir")</definedName>
    <definedName name="MMS_Poultry_N2ODirect_Equations.VEERG_4_6_1_3__2_Stage1NitrogenInMMS">_xlfn.LAMBDA(_xlpm.AE_jk,_xlpm.MMS_jmT1, _xlpm.AE_jk * _xlpm.MMS_jmT1)</definedName>
    <definedName name="MMS_Poultry_N2ODirect_Equations.VEERG_4_6_1_3__2_Stage1NitrogenInMMS_Arguments">_xlfn.LAMBDA(_xlfn.MAKEARRAY(2, 2, _xlfn.LAMBDA(_xlpm.r,_xlpm.c, INDEX({"AE_jk","total nitrogen excreted by each poultry class and subclass : kg N";"MMS_jmT1","fraction of manure in each primary system : fraction"}, _xlpm.r, _xlpm.c))))</definedName>
    <definedName name="MMS_Poultry_N2ODirect_Equations.VEERG_4_6_1_3__2_Stage1NitrogenInMMS_LatexEquation">_xlfn.LAMBDA("MN_{jkm,T=1}=AE_{jk}\times MMS_{jm,T=1}")</definedName>
    <definedName name="MMS_Poultry_N2ODirect_Equations.VEERG_4_6_1_3__2_Stage1NitrogenInMMS_NIRReference">_xlfn.LAMBDA("")</definedName>
    <definedName name="MMS_Poultry_N2ODirect_Equations.VEERG_4_6_1_3__2_Stage1NitrogenInMMS_Source">_xlfn.LAMBDA("VEERG 2026: 4.6.1.3, Equation (2)")</definedName>
    <definedName name="MMS_Poultry_N2ODirect_Equations.VEERG_4_6_1_3__2_Stage1NitrogenInMMS_Title">_xlfn.LAMBDA("Nitrogen in treatment stage 1 MMS")</definedName>
    <definedName name="MMS_Poultry_N2ODirect_Equations.VEERG_4_6_1_3__2_Stage1NitrogenInMMS_Unit">_xlfn.LAMBDA("kg N")</definedName>
    <definedName name="MMS_Poultry_N2ODirect_Equations.VEERG_4_6_1_3__2_Stage1NitrogenInMMS_Variable">_xlfn.LAMBDA("MN_jkmT1")</definedName>
    <definedName name="MMS_Poultry_N2ODirect_Equations.VEERG_4_6_1_3__3_AnnualNitrogenExcretion">_xlfn.LAMBDA(_xlpm.N_jk,_xlpm.NE_jk,_xlpm.D_jk, _xlpm.N_jk * _xlpm.NE_jk * _xlpm.D_jk)</definedName>
    <definedName name="MMS_Poultry_N2ODirect_Equations.VEERG_4_6_1_3__3_AnnualNitrogenExcretion_Arguments">_xlfn.LAMBDA(_xlfn.MAKEARRAY(3, 2, _xlfn.LAMBDA(_xlpm.r,_xlpm.c, INDEX({"N_jk","number of poultry in each class and subclass : bird";"NE_jk","nitrogen excretion : kg N/bird/day";"D_jk","duration of stay of each class and subclass : days"}, _xlpm.r, _xlpm.c))))</definedName>
    <definedName name="MMS_Poultry_N2ODirect_Equations.VEERG_4_6_1_3__3_AnnualNitrogenExcretion_LatexEquation">_xlfn.LAMBDA("AE_{jk}=N_{jk}\times NE_{jk}\times D_{jk}")</definedName>
    <definedName name="MMS_Poultry_N2ODirect_Equations.VEERG_4_6_1_3__3_AnnualNitrogenExcretion_NIRReference">_xlfn.LAMBDA("")</definedName>
    <definedName name="MMS_Poultry_N2ODirect_Equations.VEERG_4_6_1_3__3_AnnualNitrogenExcretion_Source">_xlfn.LAMBDA("VEERG 2026: 4.6.1.3, Equation (3)")</definedName>
    <definedName name="MMS_Poultry_N2ODirect_Equations.VEERG_4_6_1_3__3_AnnualNitrogenExcretion_Title">_xlfn.LAMBDA("Annual nitrogen excretion for each poultry class and subclass")</definedName>
    <definedName name="MMS_Poultry_N2ODirect_Equations.VEERG_4_6_1_3__3_AnnualNitrogenExcretion_Unit">_xlfn.LAMBDA("kg N")</definedName>
    <definedName name="MMS_Poultry_N2ODirect_Equations.VEERG_4_6_1_3__3_AnnualNitrogenExcretion_Variable">_xlfn.LAMBDA("AE_jk")</definedName>
    <definedName name="MMS_Poultry_N2ODirect_Equations.VEERG_4_6_1_3__4_NitrogenExcretionPerBird">_xlfn.LAMBDA(_xlpm.NI_jk,_xlpm.NR_jk, _xlpm.NI_jk * (1 - _xlpm.NR_jk))</definedName>
    <definedName name="MMS_Poultry_N2ODirect_Equations.VEERG_4_6_1_3__4_NitrogenExcretionPerBird_Arguments">_xlfn.LAMBDA(_xlfn.MAKEARRAY(2, 2, _xlfn.LAMBDA(_xlpm.r,_xlpm.c, INDEX({"NI_jk","nitrogen intake : kg N/bird/day";"NR_jk","nitrogen retention expressed as a fraction of intake : fraction"}, _xlpm.r, _xlpm.c))))</definedName>
    <definedName name="MMS_Poultry_N2ODirect_Equations.VEERG_4_6_1_3__4_NitrogenExcretionPerBird_LatexEquation">_xlfn.LAMBDA("NE_{jk}=NI_{jk}\times(1-NR_{jk})")</definedName>
    <definedName name="MMS_Poultry_N2ODirect_Equations.VEERG_4_6_1_3__4_NitrogenExcretionPerBird_NIRReference">_xlfn.LAMBDA("")</definedName>
    <definedName name="MMS_Poultry_N2ODirect_Equations.VEERG_4_6_1_3__4_NitrogenExcretionPerBird_Source">_xlfn.LAMBDA("VEERG 2026: 4.6.1.3, Equation (4)")</definedName>
    <definedName name="MMS_Poultry_N2ODirect_Equations.VEERG_4_6_1_3__4_NitrogenExcretionPerBird_Title">_xlfn.LAMBDA("Nitrogen excretion per bird per day")</definedName>
    <definedName name="MMS_Poultry_N2ODirect_Equations.VEERG_4_6_1_3__4_NitrogenExcretionPerBird_Unit">_xlfn.LAMBDA("kg N/bird/day")</definedName>
    <definedName name="MMS_Poultry_N2ODirect_Equations.VEERG_4_6_1_3__4_NitrogenExcretionPerBird_Variable">_xlfn.LAMBDA("NE_jk")</definedName>
    <definedName name="MMS_Poultry_N2ODirect_Equations.VEERG_4_6_1_3__5_NitrogenIntake">_xlfn.LAMBDA(_xlpm.I_jk,_xlpm.CP_jk, _xlpm.I_jk * _xlpm.CP_jk / 6.25)</definedName>
    <definedName name="MMS_Poultry_N2ODirect_Equations.VEERG_4_6_1_3__5_NitrogenIntake_Arguments">_xlfn.LAMBDA(_xlfn.MAKEARRAY(3, 2, _xlfn.LAMBDA(_xlpm.r,_xlpm.c, INDEX({"I_jk","dry matter intake for each class and subclass : kg DM/bird/day";"CP_jk","crude protein content of feed : fraction";"6.25","factor for converting crude protein into nitrogen : ratio"}, _xlpm.r, _xlpm.c))))</definedName>
    <definedName name="MMS_Poultry_N2ODirect_Equations.VEERG_4_6_1_3__5_NitrogenIntake_LatexEquation">_xlfn.LAMBDA("NI_{jk}=I_{jk}\times CP_{jk}\div 6.25")</definedName>
    <definedName name="MMS_Poultry_N2ODirect_Equations.VEERG_4_6_1_3__5_NitrogenIntake_NIRReference">_xlfn.LAMBDA("")</definedName>
    <definedName name="MMS_Poultry_N2ODirect_Equations.VEERG_4_6_1_3__5_NitrogenIntake_Source">_xlfn.LAMBDA("VEERG 2026: 4.6.1.3, Equation (5)")</definedName>
    <definedName name="MMS_Poultry_N2ODirect_Equations.VEERG_4_6_1_3__5_NitrogenIntake_Title">_xlfn.LAMBDA("Nitrogen intake of poultry")</definedName>
    <definedName name="MMS_Poultry_N2ODirect_Equations.VEERG_4_6_1_3__5_NitrogenIntake_Unit">_xlfn.LAMBDA("kg N/bird/day")</definedName>
    <definedName name="MMS_Poultry_N2ODirect_Equations.VEERG_4_6_1_3__5_NitrogenIntake_Variable">_xlfn.LAMBDA("NI_jk")</definedName>
    <definedName name="MMS_Poultry_N2ODirect_Equations.VEERG_4_6_1_3__6_Stage2NitrogenInMMS">_xlfn.LAMBDA(_xlpm.NT_jkmT2,_xlpm.MMS_mT2, _xlpm.NT_jkmT2 * _xlpm.MMS_mT2)</definedName>
    <definedName name="MMS_Poultry_N2ODirect_Equations.VEERG_4_6_1_3__6_Stage2NitrogenInMMS_Arguments">_xlfn.LAMBDA(_xlfn.MAKEARRAY(2, 2, _xlfn.LAMBDA(_xlpm.r,_xlpm.c, INDEX({"NT_jkmT2","nitrogen transferred to secondary treatment MMS : kg N";"MMS_mT2","fraction of manure in each secondary system : fraction"}, _xlpm.r, _xlpm.c))))</definedName>
    <definedName name="MMS_Poultry_N2ODirect_Equations.VEERG_4_6_1_3__6_Stage2NitrogenInMMS_LatexEquation">_xlfn.LAMBDA("MN_{jkm,T=2}=NT_{jkm,T=2}\times MMS_{m,T=2}")</definedName>
    <definedName name="MMS_Poultry_N2ODirect_Equations.VEERG_4_6_1_3__6_Stage2NitrogenInMMS_NIRReference">_xlfn.LAMBDA("")</definedName>
    <definedName name="MMS_Poultry_N2ODirect_Equations.VEERG_4_6_1_3__6_Stage2NitrogenInMMS_Source">_xlfn.LAMBDA("VEERG 2026: 4.6.1.3, Equation (6)")</definedName>
    <definedName name="MMS_Poultry_N2ODirect_Equations.VEERG_4_6_1_3__6_Stage2NitrogenInMMS_Title">_xlfn.LAMBDA("Nitrogen in treatment stage 2 MMS")</definedName>
    <definedName name="MMS_Poultry_N2ODirect_Equations.VEERG_4_6_1_3__6_Stage2NitrogenInMMS_Unit">_xlfn.LAMBDA("kg N")</definedName>
    <definedName name="MMS_Poultry_N2ODirect_Equations.VEERG_4_6_1_3__6_Stage2NitrogenInMMS_Variable">_xlfn.LAMBDA("MN_jkmT2")</definedName>
    <definedName name="MMS_Poultry_N2ODirect_Equations.VEERG_4_6_1_3__7_NitrogenTransferredToStage2MMS">_xlfn.LAMBDA(_xlpm.MN_jkmT1,_xlpm.FracGASM_mT1,_xlpm.EF_mT1, _xlpm.MN_jkmT1 * (1 - _xlpm.FracGASM_mT1 - _xlpm.EF_mT1))</definedName>
    <definedName name="MMS_Poultry_N2ODirect_Equations.VEERG_4_6_1_3__7_NitrogenTransferredToStage2MMS_Arguments">_xlfn.LAMBDA(_xlfn.MAKEARRAY(3, 2, _xlfn.LAMBDA(_xlpm.r,_xlpm.c, INDEX({"MN_jkmT1","nitrogen in MMS treatment stage 1 : kg N";"FracGASM_mT1","fraction of N volatilised from MMS treatment at stage 1 : fraction";"EF_mT1","nitrous oxide emission factor for MMS treatment at stage 1 : kg N2O-N/kg N"}, _xlpm.r, _xlpm.c))))</definedName>
    <definedName name="MMS_Poultry_N2ODirect_Equations.VEERG_4_6_1_3__7_NitrogenTransferredToStage2MMS_LatexEquation">_xlfn.LAMBDA("NT_{jkm,T=2}=MN_{jkm,T=1}\times(1-FracGASM_{m,T=1}-EF_{m,T=1})")</definedName>
    <definedName name="MMS_Poultry_N2ODirect_Equations.VEERG_4_6_1_3__7_NitrogenTransferredToStage2MMS_NIRReference">_xlfn.LAMBDA("")</definedName>
    <definedName name="MMS_Poultry_N2ODirect_Equations.VEERG_4_6_1_3__7_NitrogenTransferredToStage2MMS_Source">_xlfn.LAMBDA("VEERG 2026: 4.6.1.3, Equation (7)")</definedName>
    <definedName name="MMS_Poultry_N2ODirect_Equations.VEERG_4_6_1_3__7_NitrogenTransferredToStage2MMS_Title">_xlfn.LAMBDA("Nitrogen transferred to treatment stage 2 MMS")</definedName>
    <definedName name="MMS_Poultry_N2ODirect_Equations.VEERG_4_6_1_3__7_NitrogenTransferredToStage2MMS_Unit">_xlfn.LAMBDA("kg N")</definedName>
    <definedName name="MMS_Poultry_N2ODirect_Equations.VEERG_4_6_1_3__7_NitrogenTransferredToStage2MMS_Variable">_xlfn.LAMBDA("NT_jkmT2")</definedName>
    <definedName name="MMS_Swine_AtmosphericDeposition_Equations.VEERG_4_5_1_5__1_AnnualAtmosphericDepositionEmissionsFromMMS">_xlfn.LAMBDA(_xlpm.MMS_ATMOS,_xlpm.EF_N2O,_xlpm.C_N2O, _xlpm.MMS_ATMOS * _xlpm.EF_N2O * _xlpm.C_N2O * 10 ^ -3)</definedName>
    <definedName name="MMS_Swine_AtmosphericDeposition_Equations.VEERG_4_5_1_5__1_AnnualAtmosphericDepositionEmissionsFromMMS_Arguments">_xlfn.LAMBDA(_xlfn.MAKEARRAY(6, 2, _xlfn.LAMBDA(_xlpm.r,_xlpm.c, INDEX({"MMS_ATMOS","mass of N volatilised from MMS (kg N)";"EF_N2O","nitrous oxide emission factor for atmospheric deposition (kg N2O-N/kg N)";"C_N2O","factor to convert elemental mass of N2O to molecular mass";"j","production system";"ir","irrigation method";"r","rainfall region"}, _xlpm.r, _xlpm.c))))</definedName>
    <definedName name="MMS_Swine_AtmosphericDeposition_Equations.VEERG_4_5_1_5__1_AnnualAtmosphericDepositionEmissionsFromMMS_LatexEquation">_xlfn.LAMBDA("E_{N2O,ad}=MMS_{ATMOS}\times EF_{N2O}\times C_{N2O}\times 10^{-3}")</definedName>
    <definedName name="MMS_Swine_AtmosphericDeposition_Equations.VEERG_4_5_1_5__1_AnnualAtmosphericDepositionEmissionsFromMMS_NIRReference">_xlfn.LAMBDA("")</definedName>
    <definedName name="MMS_Swine_AtmosphericDeposition_Equations.VEERG_4_5_1_5__1_AnnualAtmosphericDepositionEmissionsFromMMS_Source">_xlfn.LAMBDA("VEERG 2026: 4.5.1.1, Equation (1)")</definedName>
    <definedName name="MMS_Swine_AtmosphericDeposition_Equations.VEERG_4_5_1_5__1_AnnualAtmosphericDepositionEmissionsFromMMS_Title">_xlfn.LAMBDA("Annual atmospheric deposition emissions from MMS")</definedName>
    <definedName name="MMS_Swine_AtmosphericDeposition_Equations.VEERG_4_5_1_5__1_AnnualAtmosphericDepositionEmissionsFromMMS_Unit">_xlfn.LAMBDA("t N2O")</definedName>
    <definedName name="MMS_Swine_AtmosphericDeposition_Equations.VEERG_4_5_1_5__1_AnnualAtmosphericDepositionEmissionsFromMMS_Variable">_xlfn.LAMBDA("E_N2OMMSad")</definedName>
    <definedName name="MMS_Swine_AtmosphericDeposition_Equations.VEERG_4_5_1_5__2_TotalNitrogenVolatilisedFromMMS">_xlfn.LAMBDA(_xlpm.MN_jmT,_xlpm.FracGASMmT, _xlpm.MN_jmT * _xlpm.FracGASMmT)</definedName>
    <definedName name="MMS_Swine_AtmosphericDeposition_Equations.VEERG_4_5_1_5__2_TotalNitrogenVolatilisedFromMMS_Arguments">_xlfn.LAMBDA(_xlfn.MAKEARRAY(2, 2, _xlfn.LAMBDA(_xlpm.r,_xlpm.c, INDEX({"MN_jmT","nitrogen per swine class, MMS and treatment stage (kg N)";"FracGASMmT","fraction of N volatilised in each MMS ((kg NH3-N + NOx-N)/kg N)"}, _xlpm.r, _xlpm.c))))</definedName>
    <definedName name="MMS_Swine_AtmosphericDeposition_Equations.VEERG_4_5_1_5__2_TotalNitrogenVolatilisedFromMMS_LatexEquation">_xlfn.LAMBDA("MMS_{ATMOS}=\sum_{j}\sum_{m}\sum_{T}(MN_{jmT}\times FracGASM_{mT})")</definedName>
    <definedName name="MMS_Swine_AtmosphericDeposition_Equations.VEERG_4_5_1_5__2_TotalNitrogenVolatilisedFromMMS_NIRReference">_xlfn.LAMBDA("")</definedName>
    <definedName name="MMS_Swine_AtmosphericDeposition_Equations.VEERG_4_5_1_5__2_TotalNitrogenVolatilisedFromMMS_Source">_xlfn.LAMBDA("VEERG 2026: 4.5.1.1, Equation (2)")</definedName>
    <definedName name="MMS_Swine_AtmosphericDeposition_Equations.VEERG_4_5_1_5__2_TotalNitrogenVolatilisedFromMMS_Title">_xlfn.LAMBDA("Total nitrogen volatilised from MMS")</definedName>
    <definedName name="MMS_Swine_AtmosphericDeposition_Equations.VEERG_4_5_1_5__2_TotalNitrogenVolatilisedFromMMS_Unit">_xlfn.LAMBDA("kg N")</definedName>
    <definedName name="MMS_Swine_AtmosphericDeposition_Equations.VEERG_4_5_1_5__2_TotalNitrogenVolatilisedFromMMS_Variable">_xlfn.LAMBDA("MMS_ATMOS")</definedName>
    <definedName name="MMS_Swine_LeachingAndRunoff_Equations.VEERG_4_5_1_7__1_AnnualEmissionsFromLeachingAndRunoffFromMMS">_xlfn.LAMBDA(_xlpm.MNLeach_jm5,_xlpm.EF_leach,_xlpm.C_N2O, _xlpm.MNLeach_jm5 * _xlpm.EF_leach * _xlpm.C_N2O * 10 ^ -3)</definedName>
    <definedName name="MMS_Swine_LeachingAndRunoff_Equations.VEERG_4_5_1_7__1_AnnualEmissionsFromLeachingAndRunoffFromMMS_Arguments">_xlfn.LAMBDA(_xlfn.MAKEARRAY(3, 2, _xlfn.LAMBDA(_xlpm.r,_xlpm.c, INDEX({"MNLeach_jm5","mass of N lost through leaching and runoff from drylot MMS (kg N)";"EF_leach","emission factor for leaching and runoff (kg N2O-N/kg N)";"C_N2O","factor to convert elemental mass of N2O to molecular mass"}, _xlpm.r, _xlpm.c))))</definedName>
    <definedName name="MMS_Swine_LeachingAndRunoff_Equations.VEERG_4_5_1_7__1_AnnualEmissionsFromLeachingAndRunoffFromMMS_LatexEquation">_xlfn.LAMBDA("E_{N2O,leach}=MNLeach_{jm=5}\times EF_{leach}\times C_{N2O}\times 10^{-3}")</definedName>
    <definedName name="MMS_Swine_LeachingAndRunoff_Equations.VEERG_4_5_1_7__1_AnnualEmissionsFromLeachingAndRunoffFromMMS_NIRReference">_xlfn.LAMBDA("")</definedName>
    <definedName name="MMS_Swine_LeachingAndRunoff_Equations.VEERG_4_5_1_7__1_AnnualEmissionsFromLeachingAndRunoffFromMMS_Source">_xlfn.LAMBDA("VEERG 2026: 4.5.1.7, Equation (1)")</definedName>
    <definedName name="MMS_Swine_LeachingAndRunoff_Equations.VEERG_4_5_1_7__1_AnnualEmissionsFromLeachingAndRunoffFromMMS_Title">_xlfn.LAMBDA("Annual emissions from leaching and runoff from each MMS")</definedName>
    <definedName name="MMS_Swine_LeachingAndRunoff_Equations.VEERG_4_5_1_7__1_AnnualEmissionsFromLeachingAndRunoffFromMMS_Unit">_xlfn.LAMBDA("t N2O")</definedName>
    <definedName name="MMS_Swine_LeachingAndRunoff_Equations.VEERG_4_5_1_7__1_AnnualEmissionsFromLeachingAndRunoffFromMMS_Variable">_xlfn.LAMBDA("E_N2Oleach")</definedName>
    <definedName name="MMS_Swine_LeachingAndRunoff_Equations.VEERG_4_5_1_7__2_MassOfNitrogenLostToLeachingAndRunoffFromDrylotMMS">_xlfn.LAMBDA(_xlpm.MN_jm5T1,_xlpm.FracWET,_xlpm.FracLEACH_MS, _xlpm.MN_jm5T1 * _xlpm.FracWET * _xlpm.FracLEACH_MS)</definedName>
    <definedName name="MMS_Swine_LeachingAndRunoff_Equations.VEERG_4_5_1_7__2_MassOfNitrogenLostToLeachingAndRunoffFromDrylotMMS_Arguments">_xlfn.LAMBDA(_xlfn.MAKEARRAY(6, 2, _xlfn.LAMBDA(_xlpm.r,_xlpm.c, INDEX({"MN_jm5T1","nitrogen in treatment stage 1 drylot MMS (kg N)";"FracWET","fraction of N available for leaching and runoff";"FracLEACH_MS","fraction of N lost through leaching and runoff";"z","location in leaching zone";"j","production system";"ir","irrigation method"}, _xlpm.r, _xlpm.c))))</definedName>
    <definedName name="MMS_Swine_LeachingAndRunoff_Equations.VEERG_4_5_1_7__2_MassOfNitrogenLostToLeachingAndRunoffFromDrylotMMS_LatexEquation">_xlfn.LAMBDA("MNLeach_{jm=5}=MN_{jm=5,T=1}\times FracWET\times FracLEACH_{MS}")</definedName>
    <definedName name="MMS_Swine_LeachingAndRunoff_Equations.VEERG_4_5_1_7__2_MassOfNitrogenLostToLeachingAndRunoffFromDrylotMMS_NIRReference">_xlfn.LAMBDA("")</definedName>
    <definedName name="MMS_Swine_LeachingAndRunoff_Equations.VEERG_4_5_1_7__2_MassOfNitrogenLostToLeachingAndRunoffFromDrylotMMS_Source">_xlfn.LAMBDA("VEERG 2026: 4.5.1.7, Equation (2)")</definedName>
    <definedName name="MMS_Swine_LeachingAndRunoff_Equations.VEERG_4_5_1_7__2_MassOfNitrogenLostToLeachingAndRunoffFromDrylotMMS_Title">_xlfn.LAMBDA("Mass of nitrogen lost to leaching and runoff from drylot MMS")</definedName>
    <definedName name="MMS_Swine_LeachingAndRunoff_Equations.VEERG_4_5_1_7__2_MassOfNitrogenLostToLeachingAndRunoffFromDrylotMMS_Unit">_xlfn.LAMBDA("kg N")</definedName>
    <definedName name="MMS_Swine_LeachingAndRunoff_Equations.VEERG_4_5_1_7__2_MassOfNitrogenLostToLeachingAndRunoffFromDrylotMMS_Variable">_xlfn.LAMBDA("MNLeach_jm5")</definedName>
    <definedName name="MMS_Swine_ManureAppliedToSoils_Equations.VEERG_4_5_1_9__1_MassOfNitrogenAppliedToSoilsScope1">_xlfn.LAMBDA(_xlpm.MN_jmT2,_xlpm.EF_mT2,_xlpm.FracGASM_mT2,_xlpm.MNLeach_jm5,_xlpm.PF, (_xlpm.MN_jmT2 * (1 - _xlpm.EF_mT2 - _xlpm.FracGASM_mT2) - _xlpm.MNLeach_jm5) * _xlpm.PF)</definedName>
    <definedName name="MMS_Swine_ManureAppliedToSoils_Equations.VEERG_4_5_1_9__1_MassOfNitrogenAppliedToSoilsScope1_Arguments">_xlfn.LAMBDA(_xlfn.MAKEARRAY(5, 2, _xlfn.LAMBDA(_xlpm.r,_xlpm.c, INDEX({"MN_jmT2","mass of N in MMS at treatment stage 2 : kg N";"EF_mT2","nitrous oxide emission factor for each MMS at treatment stage 2 : kg N2O-N/kg N";"FracGASM_mT2","fraction of animal waste N volatilised in each MMS at treatment stage 2 : (kg NH3-N + NOx-N)/kg N";"MNLeach_jm5","mass of N lost to leaching and runoff from drylot MMS : kg N";"PF","fraction of manure applied to soil within the piggery boundary : fraction"}, _xlpm.r, _xlpm.c))))</definedName>
    <definedName name="MMS_Swine_ManureAppliedToSoils_Equations.VEERG_4_5_1_9__1_MassOfNitrogenAppliedToSoilsScope1_LatexEquation">_xlfn.LAMBDA("MNSoil_{scope1}=\sum_{j}\sum_{m}(MN_{jmT=2}\times(1-EF_{mT=2}-FracGASM_{mT=2})-MNLeach_{jm=5})\times PF")</definedName>
    <definedName name="MMS_Swine_ManureAppliedToSoils_Equations.VEERG_4_5_1_9__1_MassOfNitrogenAppliedToSoilsScope1_NIRReference">_xlfn.LAMBDA("")</definedName>
    <definedName name="MMS_Swine_ManureAppliedToSoils_Equations.VEERG_4_5_1_9__1_MassOfNitrogenAppliedToSoilsScope1_Source">_xlfn.LAMBDA("VEERG 2026: 4.5.1.9, Equation (1)")</definedName>
    <definedName name="MMS_Swine_ManureAppliedToSoils_Equations.VEERG_4_5_1_9__1_MassOfNitrogenAppliedToSoilsScope1_Title">_xlfn.LAMBDA("Mass of nitrogen applied to soils for scope 1 emissions")</definedName>
    <definedName name="MMS_Swine_ManureAppliedToSoils_Equations.VEERG_4_5_1_9__1_MassOfNitrogenAppliedToSoilsScope1_Unit">_xlfn.LAMBDA("kg N")</definedName>
    <definedName name="MMS_Swine_ManureAppliedToSoils_Equations.VEERG_4_5_1_9__1_MassOfNitrogenAppliedToSoilsScope1_Variable">_xlfn.LAMBDA("MNSoil_scope1")</definedName>
    <definedName name="MMS_Swine_ManureAppliedToSoils_Equations.VEERG_4_5_1_9__2_MassOfNitrogenAppliedToSoilsScope3">_xlfn.LAMBDA(_xlpm.MN_jmT2,_xlpm.EF_mT2,_xlpm.FracGASM_mT2,_xlpm.MNLeach_jm5,_xlpm.PF, (_xlpm.MN_jmT2 * (1 - _xlpm.EF_mT2 - _xlpm.FracGASM_mT2) - _xlpm.MNLeach_jm5) * (1 - _xlpm.PF))</definedName>
    <definedName name="MMS_Swine_ManureAppliedToSoils_Equations.VEERG_4_5_1_9__2_MassOfNitrogenAppliedToSoilsScope3_Arguments">_xlfn.LAMBDA(_xlfn.MAKEARRAY(5, 2, _xlfn.LAMBDA(_xlpm.r,_xlpm.c, INDEX({"MN_jmT2","mass of N in MMS at treatment stage 2 : kg N";"EF_mT2","nitrous oxide emission factor for each MMS at treatment stage 2 : kg N2O-N/kg N";"FracGASM_mT2","fraction of animal waste N volatilised in each MMS at treatment stage 2 : (kg NH3-N + NOx-N)/kg N";"MNLeach_jm5","mass of N lost to leaching and runoff from drylot MMS : kg N";"PF","fraction of manure applied to soil within the piggery boundary : fraction"}, _xlpm.r, _xlpm.c))))</definedName>
    <definedName name="MMS_Swine_ManureAppliedToSoils_Equations.VEERG_4_5_1_9__2_MassOfNitrogenAppliedToSoilsScope3_LatexEquation">_xlfn.LAMBDA("MNSoil_{scope3}=\sum_{j}\sum_{m}(MN_{jmT=2}\times(1-EF_{mT=2}-FracGASM_{mT=2})-MNLeach_{jm=5})\times(1-PF)")</definedName>
    <definedName name="MMS_Swine_ManureAppliedToSoils_Equations.VEERG_4_5_1_9__2_MassOfNitrogenAppliedToSoilsScope3_NIRReference">_xlfn.LAMBDA("")</definedName>
    <definedName name="MMS_Swine_ManureAppliedToSoils_Equations.VEERG_4_5_1_9__2_MassOfNitrogenAppliedToSoilsScope3_Source">_xlfn.LAMBDA("VEERG 2026: 4.5.1.9, Equation (2)")</definedName>
    <definedName name="MMS_Swine_ManureAppliedToSoils_Equations.VEERG_4_5_1_9__2_MassOfNitrogenAppliedToSoilsScope3_Title">_xlfn.LAMBDA("Mass of nitrogen applied to soils for scope 3 emissions")</definedName>
    <definedName name="MMS_Swine_ManureAppliedToSoils_Equations.VEERG_4_5_1_9__2_MassOfNitrogenAppliedToSoilsScope3_Unit">_xlfn.LAMBDA("kg N")</definedName>
    <definedName name="MMS_Swine_ManureAppliedToSoils_Equations.VEERG_4_5_1_9__2_MassOfNitrogenAppliedToSoilsScope3_Variable">_xlfn.LAMBDA("MNSoil_scope3")</definedName>
    <definedName name="Range_LivestockStartingValues">#REF!</definedName>
    <definedName name="SourceData_Poultry.SourceData_Poultry_DietProperties_Data">_xlfn.LAMBDA(_xlfn.MAKEARRAY(6, 5, _xlfn.LAMBDA(_xlpm.r,_xlpm.c, INDEX({"Nutrient analysis","Layers","Meat chicken growers","Meat chicken breeder","Meat other";"Dry matter intake (kg/head/day)",0.086,0.093,0.103,0.093;"Dry matter digestibility",0.8,0.8,0.8,0.8;"Crude protein",0.19,0.23,0.19,0.23;"Nitrogen retention rate",0.35,0.47,0.32,0.47;"Manure ash",0.18,0.15,0.18,0.15}, _xlpm.r, _xlpm.c))))</definedName>
    <definedName name="SourceData_Poultry.SourceData_Poultry_DietProperties_Source">_xlfn.LAMBDA("VEERG 2026: Table A.1.7.1: Poultry - Diet properties")</definedName>
    <definedName name="SourceData_Poultry.SourceData_Poultry_DietProperties_Title">_xlfn.LAMBDA("Poultry - Diet properties")</definedName>
    <definedName name="SourceData_Poultry.SourceData_Poultry_DietProperties_Unit">_xlfn.LAMBDA("")</definedName>
    <definedName name="SourceData_Poultry.SourceData_Poultry_DietProperties_Variation">_xlfn.LAMBDA("")</definedName>
    <definedName name="SourceData_Poultry.SourceData_Poultry_MCF_Data">_xlfn.LAMBDA(_xlfn.MAKEARRAY(10, 11, _xlfn.LAMBDA(_xlpm.r,_xlpm.c, INDEX({"MMS m","All states","NSW","ACT","QLD","NT","VIC","SA","WA","TAS","NIR definition";"Poultry manure with litter",0.015,0.015,0.015,0.015,0.015,0.015,0.015,0.015,0.015,"Poultry manure with bedding";"Poultry manure without litter",0.015,0.015,0.015,0.015,0.015,0.015,0.015,0.015,0.015,"Belt manure removal";"Poultry manure without litter",0.015,0.015,0.015,0.015,0.015,0.015,0.015,0.015,0.015,"Manure stored in house";"Pasture range and paddock","n/a",0.01,0.01,0.03,0.03,0.01,0.01,0.01,0.01,"Pasture range and paddock";"Solid storage",0.02,0.02,0.02,0.02,0.02,0.02,0.02,0.02,0.02,"Solid storage";"Composting (passive windrow)","n/a",0.01,0.01,0.01,0.01,0.01,0.01,0.01,0.005,"Composting (passive windrow)";"Anaerobic digester / Covered pond",0.1,0.1,0.1,0.1,0.1,0.1,0.1,0.1,0.1,"Digester / covered lagoons";"Direct processing",0,0,0,0,0,0,0,0,0,"Direct processing";"Direct application to soil",0,0,0,0,0,0,0,0,0,"Direct application"}, _xlpm.r, _xlpm.c))))</definedName>
    <definedName name="SourceData_Poultry.SourceData_Poultry_MCF_Notes">_xlfn.LAMBDA("'Pasture range and paddock' applies MCF for drylot.")</definedName>
    <definedName name="SourceData_Poultry.SourceData_Poultry_MCF_Source">_xlfn.LAMBDA("VEERG 2026: Table A.1.7.4: Poultry - MCFs")</definedName>
    <definedName name="SourceData_Poultry.SourceData_Poultry_MCF_Title">_xlfn.LAMBDA("Poultry - MCFs")</definedName>
    <definedName name="SourceData_Poultry.SourceData_Poultry_MCF_Unit">_xlfn.LAMBDA("")</definedName>
    <definedName name="SourceData_Poultry.SourceData_Poultry_MCF_Variation">_xlfn.LAMBDA(_xlfn.MAKEARRAY(5, 1, _xlfn.LAMBDA(_xlpm.r,_xlpm.c, INDEX({"VARIATION ON SOURCE:";"Split NSW and ACT into separate states. Split QLD and NT into separate states.";"Included values for each state when 'All states' value is given.";"Added 'NIR definition' column with MMS names that match NIR definitions.";"Duplicated 'Poultry manure without litter' row for NIR MMS 'Belt manure removal' and 'Manure stored in house'"}, _xlpm.r, _xlpm.c))))</definedName>
    <definedName name="SourceData_Poultry.SourceData_Poultry_MethaneEmissionsPotential_Data">_xlfn.LAMBDA(_xlfn.MAKEARRAY(3, 2, _xlfn.LAMBDA(_xlpm.r,_xlpm.c, INDEX({"Poultry class","B0";"Layers",0.39;"Meat chickens",0.36}, _xlpm.r, _xlpm.c))))</definedName>
    <definedName name="SourceData_Poultry.SourceData_Poultry_MethaneEmissionsPotential_Source">_xlfn.LAMBDA("VEERG 2026: 4.6.2.3 CONSTANT: Poultry - Methane emissions potential per class")</definedName>
    <definedName name="SourceData_Poultry.SourceData_Poultry_MethaneEmissionsPotential_Title">_xlfn.LAMBDA("Poultry - Methane emissions potential per class")</definedName>
    <definedName name="SourceData_Poultry.SourceData_Poultry_MethaneEmissionsPotential_Unit">_xlfn.LAMBDA("m3 CH4/kg VS")</definedName>
    <definedName name="SourceData_Poultry.SourceData_Poultry_MethaneEmissionsPotential_Variation">_xlfn.LAMBDA("")</definedName>
    <definedName name="SourceData_Poultry.SourceData_Poultry_ProductionSystems_Data">_xlfn.LAMBDA(_xlfn.MAKEARRAY(4, 1, _xlfn.LAMBDA(_xlpm.r,_xlpm.c, INDEX({"Production system";"Free range";"Barn";"Cage"}, _xlpm.r, _xlpm.c))))</definedName>
    <definedName name="SourceData_Poultry.SourceData_Poultry_ProductionSystems_Source">_xlfn.LAMBDA("VEERG 2026: 4.6 Poultry")</definedName>
    <definedName name="SourceData_Poultry.SourceData_Poultry_ProductionSystems_Title">_xlfn.LAMBDA("Poultry - Production systems")</definedName>
    <definedName name="SourceData_Poultry.SourceData_Poultry_ProductionSystems_Unit">_xlfn.LAMBDA("")</definedName>
    <definedName name="SourceData_Poultry.SourceData_Poultry_ProductionSystems_Variation">_xlfn.LAMBDA("")</definedName>
    <definedName name="SourceData_Poultry.SourceData_Poultry_VSL_Data">_xlfn.LAMBDA(_xlfn.MAKEARRAY(4, 3, _xlfn.LAMBDA(_xlpm.r,_xlpm.c, INDEX({"MMS","VSL","NIR definition";"Poultry manure with litter",0.15,"Poultry manure with bedding";"Poultry manure without litter - stored in house",0.2,"Manure stored in house";"Poultry manure without litter - belt removal",0,"Belt manure removal"}, _xlpm.r, _xlpm.c))))</definedName>
    <definedName name="SourceData_Poultry.SourceData_Poultry_VSL_Source">_xlfn.LAMBDA("VEERG 2026: 4.6.2.3 CONSTANT")</definedName>
    <definedName name="SourceData_Poultry.SourceData_Poultry_VSL_Title">_xlfn.LAMBDA("Poultry - Fraction of volatile solids lost in the primary MMS")</definedName>
    <definedName name="SourceData_Poultry.SourceData_Poultry_VSL_Unit">_xlfn.LAMBDA("")</definedName>
    <definedName name="SourceData_Poultry.SourceData_Poultry_VSL_Variation">_xlfn.LAMBDA("VARIATION ON SOURCE: Table generated from line items. Added 'NIR definition column'.")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76" l="1"/>
  <c r="F25" i="76"/>
  <c r="E25" i="76"/>
  <c r="D25" i="76"/>
  <c r="D20" i="76"/>
  <c r="G20" i="76"/>
  <c r="F20" i="76"/>
  <c r="E20" i="76"/>
  <c r="E7" i="76" a="1"/>
  <c r="E7" i="76" s="1"/>
  <c r="D13" i="76" a="1"/>
  <c r="D13" i="76" s="1"/>
  <c r="E11" i="76" a="1"/>
  <c r="E11" i="76" s="1"/>
  <c r="E10" i="76" a="1"/>
  <c r="E10" i="76" s="1"/>
  <c r="D6" i="76" a="1"/>
  <c r="D6" i="76" s="1"/>
  <c r="D5" i="76" a="1"/>
  <c r="D5" i="76" s="1"/>
  <c r="H23" i="70"/>
  <c r="G23" i="70"/>
  <c r="F23" i="70"/>
  <c r="E23" i="70"/>
  <c r="H18" i="70"/>
  <c r="G18" i="70"/>
  <c r="F18" i="70"/>
  <c r="E18" i="70"/>
  <c r="P214" i="69" a="1"/>
  <c r="P214" i="69" s="1"/>
  <c r="Q212" i="69"/>
  <c r="N211" i="69" a="1"/>
  <c r="N211" i="69" s="1"/>
  <c r="P209" i="69"/>
  <c r="T207" i="69"/>
  <c r="O207" i="69"/>
  <c r="T206" i="69"/>
  <c r="O206" i="69"/>
  <c r="T205" i="69"/>
  <c r="O205" i="69"/>
  <c r="T204" i="69"/>
  <c r="O204" i="69"/>
  <c r="T203" i="69"/>
  <c r="O203" i="69"/>
  <c r="T202" i="69"/>
  <c r="O202" i="69"/>
  <c r="T201" i="69"/>
  <c r="O201" i="69"/>
  <c r="T200" i="69"/>
  <c r="O200" i="69"/>
  <c r="T199" i="69"/>
  <c r="O199" i="69"/>
  <c r="T198" i="69"/>
  <c r="O198" i="69"/>
  <c r="T197" i="69"/>
  <c r="O197" i="69"/>
  <c r="T196" i="69"/>
  <c r="O196" i="69"/>
  <c r="N196" i="69"/>
  <c r="T195" i="69"/>
  <c r="N195" i="69"/>
  <c r="T194" i="69"/>
  <c r="T193" i="69"/>
  <c r="N193" i="69"/>
  <c r="T192" i="69"/>
  <c r="G212" i="69"/>
  <c r="D211" i="69" a="1"/>
  <c r="D211" i="69" s="1"/>
  <c r="F209" i="69"/>
  <c r="F214" i="69" a="1"/>
  <c r="F214" i="69" s="1"/>
  <c r="H176" i="69"/>
  <c r="J207" i="69"/>
  <c r="J206" i="69"/>
  <c r="J205" i="69"/>
  <c r="J204" i="69"/>
  <c r="J203" i="69"/>
  <c r="J202" i="69"/>
  <c r="J201" i="69"/>
  <c r="J200" i="69"/>
  <c r="J199" i="69"/>
  <c r="J198" i="69"/>
  <c r="J197" i="69"/>
  <c r="J196" i="69"/>
  <c r="J195" i="69"/>
  <c r="J194" i="69"/>
  <c r="J193" i="69"/>
  <c r="J192" i="69"/>
  <c r="E207" i="69"/>
  <c r="E206" i="69"/>
  <c r="E205" i="69"/>
  <c r="E204" i="69"/>
  <c r="D204" i="69"/>
  <c r="E203" i="69"/>
  <c r="E202" i="69"/>
  <c r="E201" i="69"/>
  <c r="E200" i="69"/>
  <c r="E199" i="69"/>
  <c r="E198" i="69"/>
  <c r="E197" i="69"/>
  <c r="E196" i="69"/>
  <c r="D194" i="69"/>
  <c r="D193" i="69"/>
  <c r="D192" i="69"/>
  <c r="G187" i="69"/>
  <c r="F187" i="69"/>
  <c r="E187" i="69"/>
  <c r="D187" i="69"/>
  <c r="H177" i="69"/>
  <c r="H175" i="69"/>
  <c r="T163" i="69"/>
  <c r="T162" i="69"/>
  <c r="T161" i="69"/>
  <c r="T160" i="69"/>
  <c r="T159" i="69"/>
  <c r="T158" i="69"/>
  <c r="T157" i="69"/>
  <c r="T156" i="69"/>
  <c r="T155" i="69"/>
  <c r="T154" i="69"/>
  <c r="T153" i="69"/>
  <c r="T152" i="69"/>
  <c r="J163" i="69"/>
  <c r="J162" i="69"/>
  <c r="J161" i="69"/>
  <c r="J160" i="69"/>
  <c r="J159" i="69"/>
  <c r="J158" i="69"/>
  <c r="J157" i="69"/>
  <c r="J156" i="69"/>
  <c r="J155" i="69"/>
  <c r="J154" i="69"/>
  <c r="J153" i="69"/>
  <c r="J152" i="69"/>
  <c r="G182" i="69"/>
  <c r="F182" i="69"/>
  <c r="E182" i="69"/>
  <c r="D182" i="69"/>
  <c r="D175" i="69" a="1"/>
  <c r="D175" i="69" s="1"/>
  <c r="E173" i="69" a="1"/>
  <c r="E173" i="69" s="1"/>
  <c r="E172" i="69" a="1"/>
  <c r="E172" i="69" s="1"/>
  <c r="D168" i="69" a="1"/>
  <c r="D168" i="69" s="1"/>
  <c r="D167" i="69" a="1"/>
  <c r="D167" i="69" s="1"/>
  <c r="O163" i="69"/>
  <c r="O162" i="69"/>
  <c r="O161" i="69"/>
  <c r="O160" i="69"/>
  <c r="O159" i="69"/>
  <c r="O158" i="69"/>
  <c r="O157" i="69"/>
  <c r="O156" i="69"/>
  <c r="N156" i="69"/>
  <c r="O155" i="69"/>
  <c r="O154" i="69"/>
  <c r="O153" i="69"/>
  <c r="O152" i="69"/>
  <c r="D118" i="69" a="1"/>
  <c r="D118" i="69"/>
  <c r="E163" i="69"/>
  <c r="E162" i="69"/>
  <c r="E161" i="69"/>
  <c r="E160" i="69"/>
  <c r="E147" i="69"/>
  <c r="E146" i="69"/>
  <c r="E145" i="69"/>
  <c r="E144" i="69"/>
  <c r="D160" i="69"/>
  <c r="E159" i="69"/>
  <c r="E158" i="69"/>
  <c r="E157" i="69"/>
  <c r="E156" i="69"/>
  <c r="E155" i="69"/>
  <c r="E154" i="69"/>
  <c r="E153" i="69"/>
  <c r="E152" i="69"/>
  <c r="G128" i="69"/>
  <c r="I147" i="69"/>
  <c r="H147" i="69"/>
  <c r="G147" i="69"/>
  <c r="F147" i="69"/>
  <c r="I146" i="69"/>
  <c r="H146" i="69"/>
  <c r="G146" i="69"/>
  <c r="F146" i="69"/>
  <c r="I145" i="69"/>
  <c r="H145" i="69"/>
  <c r="G145" i="69"/>
  <c r="F145" i="69"/>
  <c r="I144" i="69"/>
  <c r="H144" i="69"/>
  <c r="G144" i="69"/>
  <c r="F144" i="69"/>
  <c r="I143" i="69"/>
  <c r="H143" i="69"/>
  <c r="G143" i="69"/>
  <c r="F143" i="69"/>
  <c r="I142" i="69"/>
  <c r="H142" i="69"/>
  <c r="G142" i="69"/>
  <c r="F142" i="69"/>
  <c r="I141" i="69"/>
  <c r="H141" i="69"/>
  <c r="G141" i="69"/>
  <c r="F141" i="69"/>
  <c r="I140" i="69"/>
  <c r="H140" i="69"/>
  <c r="G140" i="69"/>
  <c r="F140" i="69"/>
  <c r="I139" i="69"/>
  <c r="H139" i="69"/>
  <c r="G139" i="69"/>
  <c r="F139" i="69"/>
  <c r="I138" i="69"/>
  <c r="H138" i="69"/>
  <c r="G138" i="69"/>
  <c r="F138" i="69"/>
  <c r="I137" i="69"/>
  <c r="H137" i="69"/>
  <c r="G137" i="69"/>
  <c r="F137" i="69"/>
  <c r="I136" i="69"/>
  <c r="H136" i="69"/>
  <c r="G136" i="69"/>
  <c r="F136" i="69"/>
  <c r="E143" i="69"/>
  <c r="E142" i="69"/>
  <c r="E141" i="69"/>
  <c r="E140" i="69"/>
  <c r="E139" i="69"/>
  <c r="E138" i="69"/>
  <c r="E137" i="69"/>
  <c r="E136" i="69"/>
  <c r="D144" i="69"/>
  <c r="D140" i="69"/>
  <c r="D136" i="69"/>
  <c r="G131" i="69"/>
  <c r="G130" i="69"/>
  <c r="G51" i="69"/>
  <c r="G129" i="69"/>
  <c r="G127" i="69"/>
  <c r="G126" i="69"/>
  <c r="S114" i="69"/>
  <c r="N114" i="69"/>
  <c r="S113" i="69"/>
  <c r="N113" i="69"/>
  <c r="S112" i="69"/>
  <c r="D90" i="69" a="1"/>
  <c r="D90" i="69" s="1"/>
  <c r="I114" i="69"/>
  <c r="I113" i="69"/>
  <c r="I112" i="69"/>
  <c r="D113" i="69"/>
  <c r="G100" i="69"/>
  <c r="G99" i="69"/>
  <c r="G98" i="69"/>
  <c r="D98" i="69" a="1"/>
  <c r="D98" i="69" s="1"/>
  <c r="E96" i="69" a="1"/>
  <c r="E96" i="69" s="1"/>
  <c r="E95" i="69" a="1"/>
  <c r="E95" i="69" s="1"/>
  <c r="D91" i="69" a="1"/>
  <c r="D91" i="69" s="1"/>
  <c r="S86" i="69"/>
  <c r="S85" i="69"/>
  <c r="S84" i="69"/>
  <c r="S83" i="69"/>
  <c r="I86" i="69"/>
  <c r="I85" i="69"/>
  <c r="I84" i="69"/>
  <c r="I83" i="69"/>
  <c r="D40" i="69" a="1"/>
  <c r="D40" i="69" s="1"/>
  <c r="G50" i="69"/>
  <c r="D78" i="69"/>
  <c r="D77" i="69"/>
  <c r="D76" i="69"/>
  <c r="D75" i="69"/>
  <c r="D74" i="69"/>
  <c r="D73" i="69"/>
  <c r="D72" i="69"/>
  <c r="D71" i="69"/>
  <c r="D70" i="69"/>
  <c r="G48" i="69"/>
  <c r="G49" i="69"/>
  <c r="H60" i="69"/>
  <c r="G60" i="69"/>
  <c r="F60" i="69"/>
  <c r="E60" i="69"/>
  <c r="H59" i="69"/>
  <c r="G59" i="69"/>
  <c r="F59" i="69"/>
  <c r="E59" i="69"/>
  <c r="H58" i="69"/>
  <c r="G58" i="69"/>
  <c r="F58" i="69"/>
  <c r="E58" i="69"/>
  <c r="H57" i="69"/>
  <c r="G57" i="69"/>
  <c r="F57" i="69"/>
  <c r="E57" i="69"/>
  <c r="G52" i="69"/>
  <c r="G47" i="69"/>
  <c r="D47" i="69" a="1"/>
  <c r="D47" i="69" s="1"/>
  <c r="E45" i="69" a="1"/>
  <c r="E45" i="69" s="1"/>
  <c r="E44" i="69" a="1"/>
  <c r="E44" i="69"/>
  <c r="D39" i="69" a="1"/>
  <c r="D39" i="69" s="1"/>
  <c r="D126" i="69" a="1"/>
  <c r="D126" i="69" s="1"/>
  <c r="E124" i="69" a="1"/>
  <c r="E124" i="69" s="1"/>
  <c r="E123" i="69" a="1"/>
  <c r="E123" i="69" s="1"/>
  <c r="D119" i="69" a="1"/>
  <c r="D119" i="69" s="1"/>
  <c r="D13" i="69" a="1"/>
  <c r="D13" i="69" s="1"/>
  <c r="E11" i="69" a="1"/>
  <c r="E11" i="69" s="1"/>
  <c r="H35" i="69" s="1"/>
  <c r="E10" i="69" a="1"/>
  <c r="E10" i="69" s="1"/>
  <c r="D6" i="69" a="1"/>
  <c r="D6" i="69" s="1"/>
  <c r="D5" i="69" a="1"/>
  <c r="D5" i="69" s="1"/>
  <c r="G15" i="69"/>
  <c r="G14" i="69"/>
  <c r="G13" i="69"/>
  <c r="D11" i="70"/>
  <c r="L55" i="70"/>
  <c r="L41" i="70"/>
  <c r="H42" i="70"/>
  <c r="G42" i="70"/>
  <c r="F42" i="70"/>
  <c r="E42" i="70"/>
  <c r="H56" i="70"/>
  <c r="G56" i="70"/>
  <c r="F56" i="70"/>
  <c r="E56" i="70"/>
  <c r="D55" i="70"/>
  <c r="D54" i="70"/>
  <c r="D53" i="70"/>
  <c r="D52" i="70"/>
  <c r="D48" i="70"/>
  <c r="D47" i="70"/>
  <c r="D46" i="70"/>
  <c r="D45" i="70"/>
  <c r="D41" i="70"/>
  <c r="D40" i="70"/>
  <c r="D39" i="70"/>
  <c r="D38" i="70"/>
  <c r="D33" i="70"/>
  <c r="D86" i="69" s="1"/>
  <c r="H34" i="70"/>
  <c r="G34" i="70"/>
  <c r="F34" i="70"/>
  <c r="E34" i="70"/>
  <c r="D32" i="70"/>
  <c r="D85" i="69" s="1"/>
  <c r="D31" i="70"/>
  <c r="N84" i="69" s="1"/>
  <c r="D30" i="70"/>
  <c r="D112" i="69" s="1"/>
  <c r="F79" i="79" a="1"/>
  <c r="F79" i="79" s="1"/>
  <c r="E79" i="79" a="1"/>
  <c r="E79" i="79" s="1"/>
  <c r="D79" i="79" a="1"/>
  <c r="D79" i="79" s="1"/>
  <c r="F78" i="79" a="1"/>
  <c r="F78" i="79" s="1"/>
  <c r="E78" i="79" a="1"/>
  <c r="E78" i="79" s="1"/>
  <c r="D78" i="79" a="1"/>
  <c r="D78" i="79" s="1"/>
  <c r="F77" i="79" a="1"/>
  <c r="F77" i="79" s="1"/>
  <c r="E77" i="79" a="1"/>
  <c r="E77" i="79" s="1"/>
  <c r="D77" i="79" a="1"/>
  <c r="D77" i="79" s="1"/>
  <c r="D74" i="79" a="1"/>
  <c r="D74" i="79" s="1"/>
  <c r="D73" i="79" a="1"/>
  <c r="D73" i="79" s="1"/>
  <c r="D72" i="79" a="1"/>
  <c r="D72" i="79" s="1"/>
  <c r="N68" i="79" a="1"/>
  <c r="N68" i="79" s="1"/>
  <c r="M68" i="79" a="1"/>
  <c r="M68" i="79" s="1"/>
  <c r="L68" i="79" a="1"/>
  <c r="L68" i="79" s="1"/>
  <c r="K68" i="79" a="1"/>
  <c r="K68" i="79" s="1"/>
  <c r="J68" i="79" a="1"/>
  <c r="J68" i="79" s="1"/>
  <c r="I68" i="79" a="1"/>
  <c r="I68" i="79" s="1"/>
  <c r="H68" i="79" a="1"/>
  <c r="H68" i="79" s="1"/>
  <c r="G68" i="79" a="1"/>
  <c r="G68" i="79" s="1"/>
  <c r="F68" i="79" a="1"/>
  <c r="F68" i="79" s="1"/>
  <c r="E68" i="79" a="1"/>
  <c r="E68" i="79" s="1"/>
  <c r="D68" i="79" a="1"/>
  <c r="D68" i="79" s="1"/>
  <c r="N67" i="79" a="1"/>
  <c r="N67" i="79" s="1"/>
  <c r="M67" i="79" a="1"/>
  <c r="M67" i="79" s="1"/>
  <c r="L67" i="79" a="1"/>
  <c r="L67" i="79" s="1"/>
  <c r="K67" i="79" a="1"/>
  <c r="K67" i="79" s="1"/>
  <c r="J67" i="79" a="1"/>
  <c r="J67" i="79" s="1"/>
  <c r="I67" i="79" a="1"/>
  <c r="I67" i="79" s="1"/>
  <c r="H67" i="79" a="1"/>
  <c r="H67" i="79" s="1"/>
  <c r="G67" i="79" a="1"/>
  <c r="G67" i="79" s="1"/>
  <c r="F67" i="79" a="1"/>
  <c r="F67" i="79" s="1"/>
  <c r="E67" i="79" a="1"/>
  <c r="E67" i="79" s="1"/>
  <c r="D67" i="79" a="1"/>
  <c r="D67" i="79" s="1"/>
  <c r="N66" i="79" a="1"/>
  <c r="N66" i="79" s="1"/>
  <c r="M66" i="79" a="1"/>
  <c r="M66" i="79" s="1"/>
  <c r="L66" i="79" a="1"/>
  <c r="L66" i="79" s="1"/>
  <c r="K66" i="79" a="1"/>
  <c r="K66" i="79" s="1"/>
  <c r="J66" i="79" a="1"/>
  <c r="J66" i="79" s="1"/>
  <c r="I66" i="79" a="1"/>
  <c r="I66" i="79" s="1"/>
  <c r="H66" i="79" a="1"/>
  <c r="H66" i="79" s="1"/>
  <c r="G66" i="79" a="1"/>
  <c r="G66" i="79" s="1"/>
  <c r="F66" i="79" a="1"/>
  <c r="F66" i="79" s="1"/>
  <c r="E66" i="79" a="1"/>
  <c r="E66" i="79" s="1"/>
  <c r="D66" i="79" a="1"/>
  <c r="D66" i="79" s="1"/>
  <c r="N65" i="79" a="1"/>
  <c r="N65" i="79" s="1"/>
  <c r="M65" i="79" a="1"/>
  <c r="M65" i="79" s="1"/>
  <c r="L65" i="79" a="1"/>
  <c r="L65" i="79" s="1"/>
  <c r="K65" i="79" a="1"/>
  <c r="K65" i="79" s="1"/>
  <c r="J65" i="79" a="1"/>
  <c r="J65" i="79" s="1"/>
  <c r="I65" i="79" a="1"/>
  <c r="I65" i="79" s="1"/>
  <c r="H65" i="79" a="1"/>
  <c r="H65" i="79" s="1"/>
  <c r="G65" i="79" a="1"/>
  <c r="G65" i="79" s="1"/>
  <c r="F65" i="79" a="1"/>
  <c r="F65" i="79" s="1"/>
  <c r="E65" i="79" a="1"/>
  <c r="E65" i="79" s="1"/>
  <c r="D65" i="79" a="1"/>
  <c r="D65" i="79" s="1"/>
  <c r="N64" i="79" a="1"/>
  <c r="N64" i="79" s="1"/>
  <c r="M64" i="79" a="1"/>
  <c r="M64" i="79" s="1"/>
  <c r="L64" i="79" a="1"/>
  <c r="L64" i="79" s="1"/>
  <c r="K64" i="79" a="1"/>
  <c r="K64" i="79" s="1"/>
  <c r="J64" i="79" a="1"/>
  <c r="J64" i="79" s="1"/>
  <c r="I64" i="79" a="1"/>
  <c r="I64" i="79" s="1"/>
  <c r="H64" i="79" a="1"/>
  <c r="H64" i="79" s="1"/>
  <c r="G64" i="79" a="1"/>
  <c r="G64" i="79" s="1"/>
  <c r="F64" i="79" a="1"/>
  <c r="F64" i="79" s="1"/>
  <c r="E64" i="79" a="1"/>
  <c r="E64" i="79" s="1"/>
  <c r="D64" i="79" a="1"/>
  <c r="D64" i="79" s="1"/>
  <c r="N63" i="79" a="1"/>
  <c r="N63" i="79" s="1"/>
  <c r="M63" i="79" a="1"/>
  <c r="M63" i="79" s="1"/>
  <c r="L63" i="79" a="1"/>
  <c r="L63" i="79" s="1"/>
  <c r="K63" i="79" a="1"/>
  <c r="K63" i="79" s="1"/>
  <c r="J63" i="79" a="1"/>
  <c r="J63" i="79" s="1"/>
  <c r="I63" i="79" a="1"/>
  <c r="I63" i="79" s="1"/>
  <c r="H63" i="79" a="1"/>
  <c r="H63" i="79" s="1"/>
  <c r="G63" i="79" a="1"/>
  <c r="G63" i="79" s="1"/>
  <c r="F63" i="79" a="1"/>
  <c r="F63" i="79" s="1"/>
  <c r="E63" i="79" a="1"/>
  <c r="E63" i="79" s="1"/>
  <c r="D63" i="79" a="1"/>
  <c r="D63" i="79" s="1"/>
  <c r="N62" i="79" a="1"/>
  <c r="N62" i="79" s="1"/>
  <c r="M62" i="79" a="1"/>
  <c r="M62" i="79" s="1"/>
  <c r="L62" i="79" a="1"/>
  <c r="L62" i="79" s="1"/>
  <c r="K62" i="79" a="1"/>
  <c r="K62" i="79" s="1"/>
  <c r="J62" i="79" a="1"/>
  <c r="J62" i="79" s="1"/>
  <c r="I62" i="79" a="1"/>
  <c r="I62" i="79" s="1"/>
  <c r="H62" i="79" a="1"/>
  <c r="H62" i="79" s="1"/>
  <c r="G62" i="79" a="1"/>
  <c r="G62" i="79" s="1"/>
  <c r="F62" i="79" a="1"/>
  <c r="F62" i="79" s="1"/>
  <c r="E62" i="79" a="1"/>
  <c r="E62" i="79" s="1"/>
  <c r="D62" i="79" a="1"/>
  <c r="D62" i="79" s="1"/>
  <c r="N61" i="79" a="1"/>
  <c r="N61" i="79" s="1"/>
  <c r="M61" i="79" a="1"/>
  <c r="M61" i="79" s="1"/>
  <c r="L61" i="79" a="1"/>
  <c r="L61" i="79" s="1"/>
  <c r="K61" i="79" a="1"/>
  <c r="K61" i="79" s="1"/>
  <c r="J61" i="79" a="1"/>
  <c r="J61" i="79" s="1"/>
  <c r="I61" i="79" a="1"/>
  <c r="I61" i="79" s="1"/>
  <c r="H61" i="79" a="1"/>
  <c r="H61" i="79" s="1"/>
  <c r="G61" i="79" a="1"/>
  <c r="G61" i="79" s="1"/>
  <c r="F61" i="79" a="1"/>
  <c r="F61" i="79" s="1"/>
  <c r="E61" i="79" a="1"/>
  <c r="E61" i="79" s="1"/>
  <c r="D61" i="79" a="1"/>
  <c r="D61" i="79" s="1"/>
  <c r="N60" i="79" a="1"/>
  <c r="N60" i="79" s="1"/>
  <c r="E75" i="69" s="1" a="1"/>
  <c r="E75" i="69" s="1"/>
  <c r="M60" i="79" a="1"/>
  <c r="M60" i="79" s="1"/>
  <c r="L60" i="79" a="1"/>
  <c r="L60" i="79" s="1"/>
  <c r="K60" i="79" a="1"/>
  <c r="K60" i="79" s="1"/>
  <c r="J60" i="79" a="1"/>
  <c r="J60" i="79" s="1"/>
  <c r="I60" i="79" a="1"/>
  <c r="I60" i="79" s="1"/>
  <c r="H60" i="79" a="1"/>
  <c r="H60" i="79" s="1"/>
  <c r="G60" i="79" a="1"/>
  <c r="G60" i="79" s="1"/>
  <c r="F60" i="79" a="1"/>
  <c r="F60" i="79" s="1"/>
  <c r="E60" i="79" a="1"/>
  <c r="E60" i="79" s="1"/>
  <c r="D60" i="79" a="1"/>
  <c r="D60" i="79" s="1"/>
  <c r="D53" i="79" a="1"/>
  <c r="D53" i="79" s="1"/>
  <c r="D52" i="79" a="1"/>
  <c r="D52" i="79" s="1"/>
  <c r="D51" i="79" a="1"/>
  <c r="D51" i="79" s="1"/>
  <c r="D47" i="79" a="1"/>
  <c r="D47" i="79" s="1"/>
  <c r="D46" i="79" a="1"/>
  <c r="D46" i="79" s="1"/>
  <c r="D45" i="79" a="1"/>
  <c r="D45" i="79" s="1"/>
  <c r="E37" i="79"/>
  <c r="D37" i="79"/>
  <c r="E36" i="79"/>
  <c r="D36" i="79"/>
  <c r="E35" i="79"/>
  <c r="D35" i="79"/>
  <c r="E34" i="79"/>
  <c r="D34" i="79"/>
  <c r="K33" i="79"/>
  <c r="J33" i="79"/>
  <c r="E33" i="79"/>
  <c r="D33" i="79"/>
  <c r="K32" i="79"/>
  <c r="J32" i="79"/>
  <c r="H32" i="79"/>
  <c r="G32" i="79"/>
  <c r="E32" i="79"/>
  <c r="D32" i="79"/>
  <c r="K31" i="79"/>
  <c r="J31" i="79"/>
  <c r="H31" i="79"/>
  <c r="G31" i="79"/>
  <c r="E31" i="79"/>
  <c r="D31" i="79"/>
  <c r="K30" i="79"/>
  <c r="J30" i="79"/>
  <c r="H30" i="79"/>
  <c r="G30" i="79"/>
  <c r="E30" i="79"/>
  <c r="D30" i="79"/>
  <c r="K29" i="79"/>
  <c r="J29" i="79"/>
  <c r="H29" i="79"/>
  <c r="G29" i="79"/>
  <c r="E29" i="79"/>
  <c r="D29" i="79"/>
  <c r="E21" i="79" a="1"/>
  <c r="E21" i="79" s="1"/>
  <c r="G65" i="69" s="1"/>
  <c r="D21" i="79" a="1"/>
  <c r="D21" i="79" s="1"/>
  <c r="E20" i="79" a="1"/>
  <c r="E20" i="79" s="1"/>
  <c r="D65" i="69" s="1"/>
  <c r="D20" i="79" a="1"/>
  <c r="D20" i="79" s="1"/>
  <c r="D18" i="79" a="1"/>
  <c r="D18" i="79" s="1"/>
  <c r="D17" i="79" a="1"/>
  <c r="D17" i="79" s="1"/>
  <c r="H13" i="79" a="1"/>
  <c r="H13" i="79" s="1"/>
  <c r="G30" i="69" s="1"/>
  <c r="G13" i="79" a="1"/>
  <c r="G13" i="79" s="1"/>
  <c r="F30" i="69" s="1"/>
  <c r="F13" i="79" a="1"/>
  <c r="F13" i="79" s="1"/>
  <c r="E30" i="69" s="1"/>
  <c r="E13" i="79" a="1"/>
  <c r="E13" i="79" s="1"/>
  <c r="D30" i="69" s="1"/>
  <c r="D13" i="79" a="1"/>
  <c r="D13" i="79" s="1"/>
  <c r="H12" i="79" a="1"/>
  <c r="H12" i="79" s="1"/>
  <c r="G12" i="79" a="1"/>
  <c r="G12" i="79" s="1"/>
  <c r="F12" i="79" a="1"/>
  <c r="F12" i="79" s="1"/>
  <c r="E12" i="79" a="1"/>
  <c r="E12" i="79" s="1"/>
  <c r="D12" i="79" a="1"/>
  <c r="D12" i="79" s="1"/>
  <c r="H11" i="79" a="1"/>
  <c r="H11" i="79" s="1"/>
  <c r="G11" i="79" a="1"/>
  <c r="G11" i="79" s="1"/>
  <c r="F11" i="79" a="1"/>
  <c r="F11" i="79" s="1"/>
  <c r="E11" i="79" a="1"/>
  <c r="E11" i="79" s="1"/>
  <c r="D11" i="79" a="1"/>
  <c r="D11" i="79" s="1"/>
  <c r="H10" i="79" a="1"/>
  <c r="H10" i="79" s="1"/>
  <c r="H22" i="70" s="1"/>
  <c r="Q25" i="69" s="1"/>
  <c r="G10" i="79" a="1"/>
  <c r="G10" i="79" s="1"/>
  <c r="G22" i="70" s="1"/>
  <c r="P25" i="69" s="1"/>
  <c r="F10" i="79" a="1"/>
  <c r="F10" i="79" s="1"/>
  <c r="F22" i="70" s="1"/>
  <c r="O25" i="69" s="1"/>
  <c r="E10" i="79" a="1"/>
  <c r="E10" i="79" s="1"/>
  <c r="E22" i="70" s="1"/>
  <c r="N25" i="69" s="1"/>
  <c r="D10" i="79" a="1"/>
  <c r="D10" i="79" s="1"/>
  <c r="H9" i="79" a="1"/>
  <c r="H9" i="79" s="1"/>
  <c r="H16" i="70" s="1"/>
  <c r="G20" i="69" s="1"/>
  <c r="G9" i="79" a="1"/>
  <c r="G9" i="79" s="1"/>
  <c r="G21" i="70" s="1"/>
  <c r="P20" i="69" s="1"/>
  <c r="F9" i="79" a="1"/>
  <c r="F9" i="79" s="1"/>
  <c r="F21" i="70" s="1"/>
  <c r="O20" i="69" s="1"/>
  <c r="E9" i="79" a="1"/>
  <c r="E9" i="79" s="1"/>
  <c r="E21" i="70" s="1"/>
  <c r="N20" i="69" s="1"/>
  <c r="D9" i="79" a="1"/>
  <c r="D9" i="79" s="1"/>
  <c r="D6" i="79" a="1"/>
  <c r="D6" i="79" s="1"/>
  <c r="D5" i="79" a="1"/>
  <c r="D5" i="79" s="1"/>
  <c r="A21" i="98"/>
  <c r="A20" i="98"/>
  <c r="A19" i="98"/>
  <c r="A18" i="98"/>
  <c r="A15" i="98"/>
  <c r="A14" i="98"/>
  <c r="A13" i="98"/>
  <c r="A12" i="98"/>
  <c r="A11" i="98"/>
  <c r="A8" i="98"/>
  <c r="A7" i="98"/>
  <c r="A4" i="98"/>
  <c r="A3" i="98"/>
  <c r="A21" i="97"/>
  <c r="A20" i="97"/>
  <c r="A19" i="97"/>
  <c r="A18" i="97"/>
  <c r="A15" i="97"/>
  <c r="A14" i="97"/>
  <c r="A13" i="97"/>
  <c r="A12" i="97"/>
  <c r="A11" i="97"/>
  <c r="A8" i="97"/>
  <c r="A7" i="97"/>
  <c r="A4" i="97"/>
  <c r="A3" i="97"/>
  <c r="A21" i="76"/>
  <c r="A20" i="76"/>
  <c r="A19" i="76"/>
  <c r="A18" i="76"/>
  <c r="A15" i="76"/>
  <c r="A14" i="76"/>
  <c r="A13" i="76"/>
  <c r="A12" i="76"/>
  <c r="A11" i="76"/>
  <c r="A8" i="76"/>
  <c r="A7" i="76"/>
  <c r="A4" i="76"/>
  <c r="A3" i="76"/>
  <c r="A21" i="69"/>
  <c r="A20" i="69"/>
  <c r="A19" i="69"/>
  <c r="A18" i="69"/>
  <c r="A15" i="69"/>
  <c r="A14" i="69"/>
  <c r="A13" i="69"/>
  <c r="A12" i="69"/>
  <c r="A11" i="69"/>
  <c r="A8" i="69"/>
  <c r="A7" i="69"/>
  <c r="A4" i="69"/>
  <c r="A3" i="69"/>
  <c r="A21" i="70"/>
  <c r="A20" i="70"/>
  <c r="A19" i="70"/>
  <c r="A18" i="70"/>
  <c r="A15" i="70"/>
  <c r="A14" i="70"/>
  <c r="A13" i="70"/>
  <c r="A12" i="70"/>
  <c r="A11" i="70"/>
  <c r="A8" i="70"/>
  <c r="A7" i="70"/>
  <c r="A4" i="70"/>
  <c r="A3" i="70"/>
  <c r="A21" i="15"/>
  <c r="A20" i="15"/>
  <c r="A19" i="15"/>
  <c r="A18" i="15"/>
  <c r="A15" i="15"/>
  <c r="A14" i="15"/>
  <c r="A13" i="15"/>
  <c r="A12" i="15"/>
  <c r="A11" i="15"/>
  <c r="A8" i="15"/>
  <c r="A7" i="15"/>
  <c r="A4" i="15"/>
  <c r="A3" i="15"/>
  <c r="A21" i="13"/>
  <c r="A20" i="13"/>
  <c r="A19" i="13"/>
  <c r="A18" i="13"/>
  <c r="A15" i="13"/>
  <c r="A14" i="13"/>
  <c r="A13" i="13"/>
  <c r="A12" i="13"/>
  <c r="A11" i="13"/>
  <c r="A8" i="13"/>
  <c r="A7" i="13"/>
  <c r="A4" i="13"/>
  <c r="A3" i="13"/>
  <c r="A21" i="43"/>
  <c r="A20" i="43"/>
  <c r="A19" i="43"/>
  <c r="A18" i="43"/>
  <c r="A15" i="43"/>
  <c r="A14" i="43"/>
  <c r="A13" i="43"/>
  <c r="A12" i="43"/>
  <c r="A11" i="43"/>
  <c r="A8" i="43"/>
  <c r="A7" i="43"/>
  <c r="A4" i="43"/>
  <c r="A3" i="43"/>
  <c r="A21" i="79"/>
  <c r="A20" i="79"/>
  <c r="A19" i="79"/>
  <c r="A18" i="79"/>
  <c r="A15" i="79"/>
  <c r="A14" i="79"/>
  <c r="A13" i="79"/>
  <c r="A12" i="79"/>
  <c r="A11" i="79"/>
  <c r="A8" i="79"/>
  <c r="A7" i="79"/>
  <c r="A4" i="79"/>
  <c r="A3" i="79"/>
  <c r="A14" i="105"/>
  <c r="A15" i="105"/>
  <c r="A21" i="105"/>
  <c r="A20" i="105"/>
  <c r="A19" i="105"/>
  <c r="A18" i="105"/>
  <c r="A13" i="105"/>
  <c r="A12" i="105"/>
  <c r="A11" i="105"/>
  <c r="A8" i="105"/>
  <c r="A7" i="105"/>
  <c r="A4" i="105"/>
  <c r="A3" i="105"/>
  <c r="F19" i="13"/>
  <c r="F18" i="13"/>
  <c r="F17" i="13"/>
  <c r="P235" i="105"/>
  <c r="T233" i="105"/>
  <c r="T232" i="105"/>
  <c r="T231" i="105"/>
  <c r="T230" i="105"/>
  <c r="N230" i="105"/>
  <c r="T229" i="105"/>
  <c r="T228" i="105"/>
  <c r="T227" i="105"/>
  <c r="T226" i="105"/>
  <c r="T225" i="105"/>
  <c r="T224" i="105"/>
  <c r="T223" i="105"/>
  <c r="T222" i="105"/>
  <c r="T221" i="105"/>
  <c r="T220" i="105"/>
  <c r="T219" i="105"/>
  <c r="T218" i="105"/>
  <c r="T217" i="105"/>
  <c r="T216" i="105"/>
  <c r="T215" i="105"/>
  <c r="T214" i="105"/>
  <c r="F235" i="105"/>
  <c r="J233" i="105"/>
  <c r="J232" i="105"/>
  <c r="J231" i="105"/>
  <c r="J230" i="105"/>
  <c r="D230" i="105"/>
  <c r="J229" i="105"/>
  <c r="J228" i="105"/>
  <c r="J227" i="105"/>
  <c r="J226" i="105"/>
  <c r="J225" i="105"/>
  <c r="J224" i="105"/>
  <c r="J223" i="105"/>
  <c r="J222" i="105"/>
  <c r="J221" i="105"/>
  <c r="J220" i="105"/>
  <c r="J219" i="105"/>
  <c r="J218" i="105"/>
  <c r="J217" i="105"/>
  <c r="J216" i="105"/>
  <c r="J215" i="105"/>
  <c r="J214" i="105"/>
  <c r="P178" i="105"/>
  <c r="T176" i="105"/>
  <c r="T175" i="105"/>
  <c r="T174" i="105"/>
  <c r="T173" i="105"/>
  <c r="N173" i="105"/>
  <c r="T172" i="105"/>
  <c r="T171" i="105"/>
  <c r="T170" i="105"/>
  <c r="T169" i="105"/>
  <c r="T168" i="105"/>
  <c r="T167" i="105"/>
  <c r="T166" i="105"/>
  <c r="T165" i="105"/>
  <c r="T164" i="105"/>
  <c r="T163" i="105"/>
  <c r="T162" i="105"/>
  <c r="T161" i="105"/>
  <c r="T160" i="105"/>
  <c r="T159" i="105"/>
  <c r="T158" i="105"/>
  <c r="T157" i="105"/>
  <c r="F209" i="105"/>
  <c r="F208" i="105"/>
  <c r="F207" i="105"/>
  <c r="F206" i="105"/>
  <c r="F205" i="105"/>
  <c r="F204" i="105"/>
  <c r="F203" i="105"/>
  <c r="F202" i="105"/>
  <c r="F201" i="105"/>
  <c r="F200" i="105"/>
  <c r="F199" i="105"/>
  <c r="F198" i="105"/>
  <c r="F197" i="105"/>
  <c r="F196" i="105"/>
  <c r="F195" i="105"/>
  <c r="F194" i="105"/>
  <c r="F193" i="105"/>
  <c r="F192" i="105"/>
  <c r="F191" i="105"/>
  <c r="F190" i="105"/>
  <c r="D206" i="105"/>
  <c r="D182" i="105"/>
  <c r="F178" i="105"/>
  <c r="J176" i="105"/>
  <c r="J175" i="105"/>
  <c r="J174" i="105"/>
  <c r="J173" i="105"/>
  <c r="D173" i="105"/>
  <c r="J172" i="105"/>
  <c r="J171" i="105"/>
  <c r="J170" i="105"/>
  <c r="J169" i="105"/>
  <c r="J168" i="105"/>
  <c r="J167" i="105"/>
  <c r="J166" i="105"/>
  <c r="J165" i="105"/>
  <c r="J164" i="105"/>
  <c r="J163" i="105"/>
  <c r="J162" i="105"/>
  <c r="J161" i="105"/>
  <c r="J160" i="105"/>
  <c r="J159" i="105"/>
  <c r="J158" i="105"/>
  <c r="J157" i="105"/>
  <c r="H152" i="105"/>
  <c r="H151" i="105"/>
  <c r="H150" i="105"/>
  <c r="H149" i="105"/>
  <c r="H148" i="105"/>
  <c r="D148" i="105" a="1"/>
  <c r="D148" i="105" s="1"/>
  <c r="E146" i="105" a="1"/>
  <c r="E146" i="105" s="1"/>
  <c r="E145" i="105" a="1"/>
  <c r="E145" i="105" s="1"/>
  <c r="D141" i="105" a="1"/>
  <c r="D141" i="105" s="1"/>
  <c r="D140" i="105" a="1"/>
  <c r="D140" i="105" s="1"/>
  <c r="E169" i="69" a="1"/>
  <c r="E120" i="69" a="1"/>
  <c r="E92" i="69" a="1"/>
  <c r="E41" i="69" a="1"/>
  <c r="E7" i="69" a="1"/>
  <c r="E142" i="105" a="1"/>
  <c r="D57" i="69" l="1"/>
  <c r="D83" i="69"/>
  <c r="N112" i="69"/>
  <c r="D195" i="69"/>
  <c r="D84" i="69"/>
  <c r="N160" i="69"/>
  <c r="D196" i="69"/>
  <c r="N204" i="69"/>
  <c r="N86" i="69"/>
  <c r="D152" i="69"/>
  <c r="N192" i="69"/>
  <c r="O35" i="69" a="1"/>
  <c r="O35" i="69" s="1"/>
  <c r="D200" i="69"/>
  <c r="N200" i="69"/>
  <c r="D106" i="69"/>
  <c r="D156" i="69"/>
  <c r="N194" i="69"/>
  <c r="N152" i="69"/>
  <c r="D105" i="69"/>
  <c r="R113" i="69" s="1" a="1"/>
  <c r="R113" i="69" s="1"/>
  <c r="N83" i="69"/>
  <c r="E169" i="69"/>
  <c r="E120" i="69"/>
  <c r="E92" i="69"/>
  <c r="N35" i="69" a="1"/>
  <c r="N35" i="69" s="1"/>
  <c r="O86" i="69" s="1" a="1"/>
  <c r="O86" i="69" s="1"/>
  <c r="P195" i="69" s="1" a="1"/>
  <c r="P195" i="69" s="1"/>
  <c r="H21" i="70"/>
  <c r="Q20" i="69" s="1"/>
  <c r="Q35" i="69" s="1" a="1"/>
  <c r="Q35" i="69" s="1"/>
  <c r="R86" i="69" s="1" a="1"/>
  <c r="R86" i="69" s="1"/>
  <c r="S195" i="69" s="1" a="1"/>
  <c r="S195" i="69" s="1"/>
  <c r="F17" i="70"/>
  <c r="E25" i="69" s="1"/>
  <c r="E76" i="69" a="1"/>
  <c r="E76" i="69" s="1"/>
  <c r="G17" i="70"/>
  <c r="F25" i="69" s="1"/>
  <c r="E77" i="69" a="1"/>
  <c r="E77" i="69" s="1"/>
  <c r="H17" i="70"/>
  <c r="G25" i="69" s="1"/>
  <c r="E78" i="69" a="1"/>
  <c r="E78" i="69" s="1"/>
  <c r="E17" i="70"/>
  <c r="D25" i="69" s="1"/>
  <c r="E70" i="69" a="1"/>
  <c r="E70" i="69" s="1"/>
  <c r="O83" i="69" s="1" a="1"/>
  <c r="O83" i="69" s="1"/>
  <c r="P192" i="69" s="1" a="1"/>
  <c r="P192" i="69" s="1"/>
  <c r="E65" i="69"/>
  <c r="E71" i="69" a="1"/>
  <c r="E71" i="69" s="1"/>
  <c r="F65" i="69"/>
  <c r="E72" i="69" a="1"/>
  <c r="E72" i="69" s="1"/>
  <c r="E106" i="69" a="1"/>
  <c r="E106" i="69" s="1"/>
  <c r="E16" i="70"/>
  <c r="D20" i="69" s="1"/>
  <c r="F16" i="70"/>
  <c r="E20" i="69" s="1"/>
  <c r="E35" i="69" s="1" a="1"/>
  <c r="E35" i="69" s="1"/>
  <c r="E73" i="69" a="1"/>
  <c r="E73" i="69" s="1"/>
  <c r="G16" i="70"/>
  <c r="F20" i="69" s="1"/>
  <c r="E74" i="69" a="1"/>
  <c r="E74" i="69" s="1"/>
  <c r="D58" i="69"/>
  <c r="D107" i="69"/>
  <c r="E107" i="69" s="1" a="1"/>
  <c r="E107" i="69" s="1"/>
  <c r="D59" i="69"/>
  <c r="D60" i="69"/>
  <c r="N85" i="69"/>
  <c r="P35" i="69" a="1"/>
  <c r="P35" i="69" s="1"/>
  <c r="D114" i="69"/>
  <c r="F35" i="69" a="1"/>
  <c r="F35" i="69" s="1"/>
  <c r="G35" i="69" a="1"/>
  <c r="G35" i="69" s="1"/>
  <c r="H84" i="69" s="1" a="1"/>
  <c r="H84" i="69" s="1"/>
  <c r="I193" i="69" s="1" a="1"/>
  <c r="I193" i="69" s="1"/>
  <c r="R83" i="69" a="1"/>
  <c r="R83" i="69" s="1"/>
  <c r="S192" i="69" s="1" a="1"/>
  <c r="S192" i="69" s="1"/>
  <c r="P86" i="69" a="1"/>
  <c r="P86" i="69" s="1"/>
  <c r="Q195" i="69" s="1" a="1"/>
  <c r="Q195" i="69" s="1"/>
  <c r="O84" i="69" a="1"/>
  <c r="O84" i="69" s="1"/>
  <c r="P193" i="69" s="1" a="1"/>
  <c r="P193" i="69" s="1"/>
  <c r="E41" i="69"/>
  <c r="R35" i="69"/>
  <c r="E7" i="69"/>
  <c r="E142" i="105"/>
  <c r="R85" i="69" l="1" a="1"/>
  <c r="R85" i="69" s="1"/>
  <c r="S194" i="69" s="1" a="1"/>
  <c r="S194" i="69" s="1"/>
  <c r="G114" i="69" a="1"/>
  <c r="G114" i="69" s="1"/>
  <c r="H114" i="69" a="1"/>
  <c r="H114" i="69" s="1"/>
  <c r="F114" i="69" a="1"/>
  <c r="F114" i="69" s="1"/>
  <c r="E114" i="69" a="1"/>
  <c r="E114" i="69" s="1"/>
  <c r="P113" i="69" a="1"/>
  <c r="P113" i="69" s="1"/>
  <c r="O113" i="69" a="1"/>
  <c r="O113" i="69" s="1"/>
  <c r="P84" i="69" a="1"/>
  <c r="P84" i="69" s="1"/>
  <c r="Q193" i="69" s="1" a="1"/>
  <c r="Q193" i="69" s="1"/>
  <c r="Q113" i="69" a="1"/>
  <c r="Q113" i="69" s="1"/>
  <c r="P83" i="69" a="1"/>
  <c r="P83" i="69" s="1"/>
  <c r="Q192" i="69" s="1" a="1"/>
  <c r="Q192" i="69" s="1"/>
  <c r="O209" i="69" s="1"/>
  <c r="Q211" i="69" s="1"/>
  <c r="O214" i="69" s="1" a="1"/>
  <c r="O214" i="69" s="1"/>
  <c r="G112" i="69" a="1"/>
  <c r="G112" i="69" s="1"/>
  <c r="D35" i="69" a="1"/>
  <c r="D35" i="69" s="1"/>
  <c r="Q114" i="69" a="1"/>
  <c r="Q114" i="69" s="1"/>
  <c r="R114" i="69" a="1"/>
  <c r="R114" i="69" s="1"/>
  <c r="E105" i="69" a="1"/>
  <c r="E105" i="69" s="1"/>
  <c r="E112" i="69" s="1" a="1"/>
  <c r="E112" i="69" s="1"/>
  <c r="F113" i="69" a="1"/>
  <c r="F113" i="69" s="1"/>
  <c r="P114" i="69" a="1"/>
  <c r="P114" i="69" s="1"/>
  <c r="G113" i="69" a="1"/>
  <c r="G113" i="69" s="1"/>
  <c r="R84" i="69" a="1"/>
  <c r="R84" i="69" s="1"/>
  <c r="S193" i="69" s="1" a="1"/>
  <c r="S193" i="69" s="1"/>
  <c r="H113" i="69" a="1"/>
  <c r="H113" i="69" s="1"/>
  <c r="F112" i="69" a="1"/>
  <c r="F112" i="69" s="1"/>
  <c r="O114" i="69" a="1"/>
  <c r="O114" i="69" s="1"/>
  <c r="E113" i="69" a="1"/>
  <c r="E113" i="69" s="1"/>
  <c r="E86" i="69" a="1"/>
  <c r="E86" i="69" s="1"/>
  <c r="F195" i="69" s="1" a="1"/>
  <c r="F195" i="69" s="1"/>
  <c r="E83" i="69" a="1"/>
  <c r="E83" i="69" s="1"/>
  <c r="F192" i="69" s="1" a="1"/>
  <c r="F192" i="69" s="1"/>
  <c r="Q85" i="69" a="1"/>
  <c r="Q85" i="69" s="1"/>
  <c r="R194" i="69" s="1" a="1"/>
  <c r="R194" i="69" s="1"/>
  <c r="O85" i="69" a="1"/>
  <c r="O85" i="69" s="1"/>
  <c r="P194" i="69" s="1" a="1"/>
  <c r="P194" i="69" s="1"/>
  <c r="P85" i="69" a="1"/>
  <c r="P85" i="69" s="1"/>
  <c r="Q194" i="69" s="1" a="1"/>
  <c r="Q194" i="69" s="1"/>
  <c r="F86" i="69" a="1"/>
  <c r="F86" i="69" s="1"/>
  <c r="G195" i="69" s="1" a="1"/>
  <c r="G195" i="69" s="1"/>
  <c r="Q83" i="69" a="1"/>
  <c r="Q83" i="69" s="1"/>
  <c r="R192" i="69" s="1" a="1"/>
  <c r="R192" i="69" s="1"/>
  <c r="Q86" i="69" a="1"/>
  <c r="Q86" i="69" s="1"/>
  <c r="R195" i="69" s="1" a="1"/>
  <c r="R195" i="69" s="1"/>
  <c r="Q84" i="69" a="1"/>
  <c r="Q84" i="69" s="1"/>
  <c r="R193" i="69" s="1" a="1"/>
  <c r="R193" i="69" s="1"/>
  <c r="G85" i="69" a="1"/>
  <c r="G85" i="69" s="1"/>
  <c r="H194" i="69" s="1" a="1"/>
  <c r="H194" i="69" s="1"/>
  <c r="E84" i="69" a="1"/>
  <c r="E84" i="69" s="1"/>
  <c r="F193" i="69" s="1" a="1"/>
  <c r="F193" i="69" s="1"/>
  <c r="G84" i="69" a="1"/>
  <c r="G84" i="69" s="1"/>
  <c r="H193" i="69" s="1" a="1"/>
  <c r="H193" i="69" s="1"/>
  <c r="G83" i="69" a="1"/>
  <c r="G83" i="69" s="1"/>
  <c r="H192" i="69" s="1" a="1"/>
  <c r="H192" i="69" s="1"/>
  <c r="H85" i="69" a="1"/>
  <c r="H85" i="69" s="1"/>
  <c r="I194" i="69" s="1" a="1"/>
  <c r="I194" i="69" s="1"/>
  <c r="F85" i="69" a="1"/>
  <c r="F85" i="69" s="1"/>
  <c r="G194" i="69" s="1" a="1"/>
  <c r="G194" i="69" s="1"/>
  <c r="G86" i="69" a="1"/>
  <c r="G86" i="69" s="1"/>
  <c r="H195" i="69" s="1" a="1"/>
  <c r="H195" i="69" s="1"/>
  <c r="H86" i="69" a="1"/>
  <c r="H86" i="69" s="1"/>
  <c r="I195" i="69" s="1" a="1"/>
  <c r="I195" i="69" s="1"/>
  <c r="F84" i="69" a="1"/>
  <c r="F84" i="69" s="1"/>
  <c r="G193" i="69" s="1" a="1"/>
  <c r="G193" i="69" s="1"/>
  <c r="F83" i="69" a="1"/>
  <c r="F83" i="69" s="1"/>
  <c r="G192" i="69" s="1" a="1"/>
  <c r="G192" i="69" s="1"/>
  <c r="E85" i="69" a="1"/>
  <c r="E85" i="69" s="1"/>
  <c r="F194" i="69" s="1" a="1"/>
  <c r="F194" i="69" s="1"/>
  <c r="H83" i="69" a="1"/>
  <c r="H83" i="69" s="1"/>
  <c r="I192" i="69" s="1" a="1"/>
  <c r="I192" i="69" s="1"/>
  <c r="P152" i="69" l="1" a="1"/>
  <c r="P152" i="69" s="1"/>
  <c r="P196" i="69" s="1" a="1"/>
  <c r="P196" i="69" s="1"/>
  <c r="F152" i="69" a="1"/>
  <c r="F152" i="69" s="1"/>
  <c r="F196" i="69" s="1" a="1"/>
  <c r="F196" i="69" s="1"/>
  <c r="P153" i="69" a="1"/>
  <c r="P153" i="69" s="1"/>
  <c r="P197" i="69" s="1" a="1"/>
  <c r="P197" i="69" s="1"/>
  <c r="P155" i="69" a="1"/>
  <c r="P155" i="69" s="1"/>
  <c r="P199" i="69" s="1" a="1"/>
  <c r="P199" i="69" s="1"/>
  <c r="P154" i="69" a="1"/>
  <c r="P154" i="69" s="1"/>
  <c r="P198" i="69" s="1" a="1"/>
  <c r="P198" i="69" s="1"/>
  <c r="F155" i="69" a="1"/>
  <c r="F155" i="69" s="1"/>
  <c r="F199" i="69" s="1" a="1"/>
  <c r="F199" i="69" s="1"/>
  <c r="F154" i="69" a="1"/>
  <c r="F154" i="69" s="1"/>
  <c r="F198" i="69" s="1" a="1"/>
  <c r="F198" i="69" s="1"/>
  <c r="F153" i="69" a="1"/>
  <c r="F153" i="69" s="1"/>
  <c r="F197" i="69" s="1" a="1"/>
  <c r="F197" i="69" s="1"/>
  <c r="I156" i="69" a="1"/>
  <c r="I156" i="69" s="1"/>
  <c r="I200" i="69" s="1" a="1"/>
  <c r="I200" i="69" s="1"/>
  <c r="S156" i="69" a="1"/>
  <c r="S156" i="69" s="1"/>
  <c r="S200" i="69" s="1" a="1"/>
  <c r="S200" i="69" s="1"/>
  <c r="S159" i="69" a="1"/>
  <c r="S159" i="69" s="1"/>
  <c r="S203" i="69" s="1" a="1"/>
  <c r="S203" i="69" s="1"/>
  <c r="I157" i="69" a="1"/>
  <c r="I157" i="69" s="1"/>
  <c r="I201" i="69" s="1" a="1"/>
  <c r="I201" i="69" s="1"/>
  <c r="I158" i="69" a="1"/>
  <c r="I158" i="69" s="1"/>
  <c r="I202" i="69" s="1" a="1"/>
  <c r="I202" i="69" s="1"/>
  <c r="I159" i="69" a="1"/>
  <c r="I159" i="69" s="1"/>
  <c r="I203" i="69" s="1" a="1"/>
  <c r="I203" i="69" s="1"/>
  <c r="S158" i="69" a="1"/>
  <c r="S158" i="69" s="1"/>
  <c r="S202" i="69" s="1" a="1"/>
  <c r="S202" i="69" s="1"/>
  <c r="S157" i="69" a="1"/>
  <c r="S157" i="69" s="1"/>
  <c r="S201" i="69" s="1" a="1"/>
  <c r="S201" i="69" s="1"/>
  <c r="O112" i="69" a="1"/>
  <c r="O112" i="69" s="1"/>
  <c r="Q112" i="69" a="1"/>
  <c r="Q112" i="69" s="1"/>
  <c r="R153" i="69" a="1"/>
  <c r="R153" i="69" s="1"/>
  <c r="R197" i="69" s="1" a="1"/>
  <c r="R197" i="69" s="1"/>
  <c r="H152" i="69" a="1"/>
  <c r="H152" i="69" s="1"/>
  <c r="H196" i="69" s="1" a="1"/>
  <c r="H196" i="69" s="1"/>
  <c r="R152" i="69" a="1"/>
  <c r="R152" i="69" s="1"/>
  <c r="R196" i="69" s="1" a="1"/>
  <c r="R196" i="69" s="1"/>
  <c r="H155" i="69" a="1"/>
  <c r="H155" i="69" s="1"/>
  <c r="H199" i="69" s="1" a="1"/>
  <c r="H199" i="69" s="1"/>
  <c r="R155" i="69" a="1"/>
  <c r="R155" i="69" s="1"/>
  <c r="R199" i="69" s="1" a="1"/>
  <c r="R199" i="69" s="1"/>
  <c r="H153" i="69" a="1"/>
  <c r="H153" i="69" s="1"/>
  <c r="H197" i="69" s="1" a="1"/>
  <c r="H197" i="69" s="1"/>
  <c r="R154" i="69" a="1"/>
  <c r="R154" i="69" s="1"/>
  <c r="R198" i="69" s="1" a="1"/>
  <c r="R198" i="69" s="1"/>
  <c r="H154" i="69" a="1"/>
  <c r="H154" i="69" s="1"/>
  <c r="H198" i="69" s="1" a="1"/>
  <c r="H198" i="69" s="1"/>
  <c r="G152" i="69" a="1"/>
  <c r="G152" i="69" s="1"/>
  <c r="G196" i="69" s="1" a="1"/>
  <c r="G196" i="69" s="1"/>
  <c r="Q153" i="69" a="1"/>
  <c r="Q153" i="69" s="1"/>
  <c r="Q197" i="69" s="1" a="1"/>
  <c r="Q197" i="69" s="1"/>
  <c r="G153" i="69" a="1"/>
  <c r="G153" i="69" s="1"/>
  <c r="G197" i="69" s="1" a="1"/>
  <c r="G197" i="69" s="1"/>
  <c r="G154" i="69" a="1"/>
  <c r="G154" i="69" s="1"/>
  <c r="G198" i="69" s="1" a="1"/>
  <c r="G198" i="69" s="1"/>
  <c r="Q152" i="69" a="1"/>
  <c r="Q152" i="69" s="1"/>
  <c r="Q196" i="69" s="1" a="1"/>
  <c r="Q196" i="69" s="1"/>
  <c r="G155" i="69" a="1"/>
  <c r="G155" i="69" s="1"/>
  <c r="G199" i="69" s="1" a="1"/>
  <c r="G199" i="69" s="1"/>
  <c r="Q155" i="69" a="1"/>
  <c r="Q155" i="69" s="1"/>
  <c r="Q199" i="69" s="1" a="1"/>
  <c r="Q199" i="69" s="1"/>
  <c r="Q154" i="69" a="1"/>
  <c r="Q154" i="69" s="1"/>
  <c r="Q198" i="69" s="1" a="1"/>
  <c r="Q198" i="69" s="1"/>
  <c r="R112" i="69" a="1"/>
  <c r="R112" i="69" s="1"/>
  <c r="P112" i="69" a="1"/>
  <c r="P112" i="69" s="1"/>
  <c r="H112" i="69" a="1"/>
  <c r="H112" i="69" s="1"/>
  <c r="H156" i="69" a="1"/>
  <c r="H156" i="69" s="1"/>
  <c r="H200" i="69" s="1" a="1"/>
  <c r="H200" i="69" s="1"/>
  <c r="R156" i="69" a="1"/>
  <c r="R156" i="69" s="1"/>
  <c r="R200" i="69" s="1" a="1"/>
  <c r="R200" i="69" s="1"/>
  <c r="H157" i="69" a="1"/>
  <c r="H157" i="69" s="1"/>
  <c r="H201" i="69" s="1" a="1"/>
  <c r="H201" i="69" s="1"/>
  <c r="R159" i="69" a="1"/>
  <c r="R159" i="69" s="1"/>
  <c r="R203" i="69" s="1" a="1"/>
  <c r="R203" i="69" s="1"/>
  <c r="R158" i="69" a="1"/>
  <c r="R158" i="69" s="1"/>
  <c r="R202" i="69" s="1" a="1"/>
  <c r="R202" i="69" s="1"/>
  <c r="R157" i="69" a="1"/>
  <c r="R157" i="69" s="1"/>
  <c r="R201" i="69" s="1" a="1"/>
  <c r="R201" i="69" s="1"/>
  <c r="H159" i="69" a="1"/>
  <c r="H159" i="69" s="1"/>
  <c r="H203" i="69" s="1" a="1"/>
  <c r="H203" i="69" s="1"/>
  <c r="H158" i="69" a="1"/>
  <c r="H158" i="69" s="1"/>
  <c r="H202" i="69" s="1" a="1"/>
  <c r="H202" i="69" s="1"/>
  <c r="P160" i="69" a="1"/>
  <c r="P160" i="69" s="1"/>
  <c r="P204" i="69" s="1" a="1"/>
  <c r="P204" i="69" s="1"/>
  <c r="F162" i="69" a="1"/>
  <c r="F162" i="69" s="1"/>
  <c r="F206" i="69" s="1" a="1"/>
  <c r="F206" i="69" s="1"/>
  <c r="F160" i="69" a="1"/>
  <c r="F160" i="69" s="1"/>
  <c r="F204" i="69" s="1" a="1"/>
  <c r="F204" i="69" s="1"/>
  <c r="P163" i="69" a="1"/>
  <c r="P163" i="69" s="1"/>
  <c r="P207" i="69" s="1" a="1"/>
  <c r="P207" i="69" s="1"/>
  <c r="F163" i="69" a="1"/>
  <c r="F163" i="69" s="1"/>
  <c r="F207" i="69" s="1" a="1"/>
  <c r="F207" i="69" s="1"/>
  <c r="P161" i="69" a="1"/>
  <c r="P161" i="69" s="1"/>
  <c r="P205" i="69" s="1" a="1"/>
  <c r="P205" i="69" s="1"/>
  <c r="F161" i="69" a="1"/>
  <c r="F161" i="69" s="1"/>
  <c r="F205" i="69" s="1" a="1"/>
  <c r="F205" i="69" s="1"/>
  <c r="P162" i="69" a="1"/>
  <c r="P162" i="69" s="1"/>
  <c r="P206" i="69" s="1" a="1"/>
  <c r="P206" i="69" s="1"/>
  <c r="Q161" i="69" a="1"/>
  <c r="Q161" i="69" s="1"/>
  <c r="Q205" i="69" s="1" a="1"/>
  <c r="Q205" i="69" s="1"/>
  <c r="G160" i="69" a="1"/>
  <c r="G160" i="69" s="1"/>
  <c r="G204" i="69" s="1" a="1"/>
  <c r="G204" i="69" s="1"/>
  <c r="Q160" i="69" a="1"/>
  <c r="Q160" i="69" s="1"/>
  <c r="Q204" i="69" s="1" a="1"/>
  <c r="Q204" i="69" s="1"/>
  <c r="G162" i="69" a="1"/>
  <c r="G162" i="69" s="1"/>
  <c r="G206" i="69" s="1" a="1"/>
  <c r="G206" i="69" s="1"/>
  <c r="G161" i="69" a="1"/>
  <c r="G161" i="69" s="1"/>
  <c r="G205" i="69" s="1" a="1"/>
  <c r="G205" i="69" s="1"/>
  <c r="Q163" i="69" a="1"/>
  <c r="Q163" i="69" s="1"/>
  <c r="Q207" i="69" s="1" a="1"/>
  <c r="Q207" i="69" s="1"/>
  <c r="Q162" i="69" a="1"/>
  <c r="Q162" i="69" s="1"/>
  <c r="Q206" i="69" s="1" a="1"/>
  <c r="Q206" i="69" s="1"/>
  <c r="G163" i="69" a="1"/>
  <c r="G163" i="69" s="1"/>
  <c r="G207" i="69" s="1" a="1"/>
  <c r="G207" i="69" s="1"/>
  <c r="G156" i="69" a="1"/>
  <c r="G156" i="69" s="1"/>
  <c r="G200" i="69" s="1" a="1"/>
  <c r="G200" i="69" s="1"/>
  <c r="Q156" i="69" a="1"/>
  <c r="Q156" i="69" s="1"/>
  <c r="Q200" i="69" s="1" a="1"/>
  <c r="Q200" i="69" s="1"/>
  <c r="G157" i="69" a="1"/>
  <c r="G157" i="69" s="1"/>
  <c r="G201" i="69" s="1" a="1"/>
  <c r="G201" i="69" s="1"/>
  <c r="G159" i="69" a="1"/>
  <c r="G159" i="69" s="1"/>
  <c r="G203" i="69" s="1" a="1"/>
  <c r="G203" i="69" s="1"/>
  <c r="Q159" i="69" a="1"/>
  <c r="Q159" i="69" s="1"/>
  <c r="Q203" i="69" s="1" a="1"/>
  <c r="Q203" i="69" s="1"/>
  <c r="G158" i="69" a="1"/>
  <c r="G158" i="69" s="1"/>
  <c r="G202" i="69" s="1" a="1"/>
  <c r="G202" i="69" s="1"/>
  <c r="Q158" i="69" a="1"/>
  <c r="Q158" i="69" s="1"/>
  <c r="Q202" i="69" s="1" a="1"/>
  <c r="Q202" i="69" s="1"/>
  <c r="Q157" i="69" a="1"/>
  <c r="Q157" i="69" s="1"/>
  <c r="Q201" i="69" s="1" a="1"/>
  <c r="Q201" i="69" s="1"/>
  <c r="S161" i="69" a="1"/>
  <c r="S161" i="69" s="1"/>
  <c r="S205" i="69" s="1" a="1"/>
  <c r="S205" i="69" s="1"/>
  <c r="I160" i="69" a="1"/>
  <c r="I160" i="69" s="1"/>
  <c r="I204" i="69" s="1" a="1"/>
  <c r="I204" i="69" s="1"/>
  <c r="I161" i="69" a="1"/>
  <c r="I161" i="69" s="1"/>
  <c r="I205" i="69" s="1" a="1"/>
  <c r="I205" i="69" s="1"/>
  <c r="I163" i="69" a="1"/>
  <c r="I163" i="69" s="1"/>
  <c r="I207" i="69" s="1" a="1"/>
  <c r="I207" i="69" s="1"/>
  <c r="I162" i="69" a="1"/>
  <c r="I162" i="69" s="1"/>
  <c r="I206" i="69" s="1" a="1"/>
  <c r="I206" i="69" s="1"/>
  <c r="S163" i="69" a="1"/>
  <c r="S163" i="69" s="1"/>
  <c r="S207" i="69" s="1" a="1"/>
  <c r="S207" i="69" s="1"/>
  <c r="S162" i="69" a="1"/>
  <c r="S162" i="69" s="1"/>
  <c r="S206" i="69" s="1" a="1"/>
  <c r="S206" i="69" s="1"/>
  <c r="S160" i="69" a="1"/>
  <c r="S160" i="69" s="1"/>
  <c r="S204" i="69" s="1" a="1"/>
  <c r="S204" i="69" s="1"/>
  <c r="R160" i="69" a="1"/>
  <c r="R160" i="69" s="1"/>
  <c r="R204" i="69" s="1" a="1"/>
  <c r="R204" i="69" s="1"/>
  <c r="R163" i="69" a="1"/>
  <c r="R163" i="69" s="1"/>
  <c r="R207" i="69" s="1" a="1"/>
  <c r="R207" i="69" s="1"/>
  <c r="H162" i="69" a="1"/>
  <c r="H162" i="69" s="1"/>
  <c r="H206" i="69" s="1" a="1"/>
  <c r="H206" i="69" s="1"/>
  <c r="H160" i="69" a="1"/>
  <c r="H160" i="69" s="1"/>
  <c r="H204" i="69" s="1" a="1"/>
  <c r="H204" i="69" s="1"/>
  <c r="R161" i="69" a="1"/>
  <c r="R161" i="69" s="1"/>
  <c r="R205" i="69" s="1" a="1"/>
  <c r="R205" i="69" s="1"/>
  <c r="H161" i="69" a="1"/>
  <c r="H161" i="69" s="1"/>
  <c r="H205" i="69" s="1" a="1"/>
  <c r="H205" i="69" s="1"/>
  <c r="H163" i="69" a="1"/>
  <c r="H163" i="69" s="1"/>
  <c r="H207" i="69" s="1" a="1"/>
  <c r="H207" i="69" s="1"/>
  <c r="R162" i="69" a="1"/>
  <c r="R162" i="69" s="1"/>
  <c r="R206" i="69" s="1" a="1"/>
  <c r="R206" i="69" s="1"/>
  <c r="F156" i="69" a="1"/>
  <c r="F156" i="69" s="1"/>
  <c r="F200" i="69" s="1" a="1"/>
  <c r="F200" i="69" s="1"/>
  <c r="P156" i="69" a="1"/>
  <c r="P156" i="69" s="1"/>
  <c r="P200" i="69" s="1" a="1"/>
  <c r="P200" i="69" s="1"/>
  <c r="P157" i="69" a="1"/>
  <c r="P157" i="69" s="1"/>
  <c r="P201" i="69" s="1" a="1"/>
  <c r="P201" i="69" s="1"/>
  <c r="F157" i="69" a="1"/>
  <c r="F157" i="69" s="1"/>
  <c r="F201" i="69" s="1" a="1"/>
  <c r="F201" i="69" s="1"/>
  <c r="F159" i="69" a="1"/>
  <c r="F159" i="69" s="1"/>
  <c r="F203" i="69" s="1" a="1"/>
  <c r="F203" i="69" s="1"/>
  <c r="P159" i="69" a="1"/>
  <c r="P159" i="69" s="1"/>
  <c r="P203" i="69" s="1" a="1"/>
  <c r="P203" i="69" s="1"/>
  <c r="P158" i="69" a="1"/>
  <c r="P158" i="69" s="1"/>
  <c r="P202" i="69" s="1" a="1"/>
  <c r="P202" i="69" s="1"/>
  <c r="F158" i="69" a="1"/>
  <c r="F158" i="69" s="1"/>
  <c r="F202" i="69" s="1" a="1"/>
  <c r="F202" i="69" s="1"/>
  <c r="E209" i="69"/>
  <c r="G211" i="69" s="1"/>
  <c r="E214" i="69" s="1" a="1"/>
  <c r="E214" i="69" s="1"/>
  <c r="S153" i="69" l="1" a="1"/>
  <c r="S153" i="69" s="1"/>
  <c r="S197" i="69" s="1" a="1"/>
  <c r="S197" i="69" s="1"/>
  <c r="I152" i="69" a="1"/>
  <c r="I152" i="69" s="1"/>
  <c r="I196" i="69" s="1" a="1"/>
  <c r="I196" i="69" s="1"/>
  <c r="S152" i="69" a="1"/>
  <c r="S152" i="69" s="1"/>
  <c r="S196" i="69" s="1" a="1"/>
  <c r="S196" i="69" s="1"/>
  <c r="S155" i="69" a="1"/>
  <c r="S155" i="69" s="1"/>
  <c r="S199" i="69" s="1" a="1"/>
  <c r="S199" i="69" s="1"/>
  <c r="I153" i="69" a="1"/>
  <c r="I153" i="69" s="1"/>
  <c r="I197" i="69" s="1" a="1"/>
  <c r="I197" i="69" s="1"/>
  <c r="I155" i="69" a="1"/>
  <c r="I155" i="69" s="1"/>
  <c r="I199" i="69" s="1" a="1"/>
  <c r="I199" i="69" s="1"/>
  <c r="I154" i="69" a="1"/>
  <c r="I154" i="69" s="1"/>
  <c r="I198" i="69" s="1" a="1"/>
  <c r="I198" i="69" s="1"/>
  <c r="S154" i="69" a="1"/>
  <c r="S154" i="69" s="1"/>
  <c r="S198" i="69" s="1" a="1"/>
  <c r="S198" i="69" s="1"/>
  <c r="N131" i="105" l="1"/>
  <c r="T66" i="105"/>
  <c r="T65" i="105"/>
  <c r="T64" i="105"/>
  <c r="T63" i="105"/>
  <c r="N63" i="105"/>
  <c r="T62" i="105"/>
  <c r="T61" i="105"/>
  <c r="T60" i="105"/>
  <c r="T59" i="105"/>
  <c r="T58" i="105"/>
  <c r="T57" i="105"/>
  <c r="T56" i="105"/>
  <c r="T55" i="105"/>
  <c r="T54" i="105"/>
  <c r="T53" i="105"/>
  <c r="T52" i="105"/>
  <c r="T51" i="105"/>
  <c r="T50" i="105"/>
  <c r="T49" i="105"/>
  <c r="T48" i="105"/>
  <c r="T47" i="105"/>
  <c r="N38" i="105"/>
  <c r="D5" i="105" a="1"/>
  <c r="D5" i="105" s="1"/>
  <c r="D131" i="105"/>
  <c r="H14" i="105"/>
  <c r="D110" i="105"/>
  <c r="H15" i="105"/>
  <c r="D100" i="105"/>
  <c r="H17" i="105"/>
  <c r="D87" i="105"/>
  <c r="J66" i="105"/>
  <c r="J65" i="105"/>
  <c r="J64" i="105"/>
  <c r="J63" i="105"/>
  <c r="J62" i="105"/>
  <c r="J61" i="105"/>
  <c r="J60" i="105"/>
  <c r="J59" i="105"/>
  <c r="J58" i="105"/>
  <c r="J57" i="105"/>
  <c r="J56" i="105"/>
  <c r="J55" i="105"/>
  <c r="J54" i="105"/>
  <c r="J53" i="105"/>
  <c r="J52" i="105"/>
  <c r="J51" i="105"/>
  <c r="J50" i="105"/>
  <c r="J49" i="105"/>
  <c r="J48" i="105"/>
  <c r="J47" i="105"/>
  <c r="H16" i="105"/>
  <c r="D63" i="105"/>
  <c r="H13" i="105"/>
  <c r="D38" i="105"/>
  <c r="D13" i="105" a="1"/>
  <c r="D13" i="105" s="1"/>
  <c r="E11" i="105" a="1"/>
  <c r="E11" i="105" s="1"/>
  <c r="J134" i="105" s="1"/>
  <c r="E10" i="105" a="1"/>
  <c r="E10" i="105" s="1"/>
  <c r="D6" i="105" a="1"/>
  <c r="D6" i="105" s="1"/>
  <c r="O54" i="98" a="1"/>
  <c r="O54" i="98" s="1"/>
  <c r="P52" i="98"/>
  <c r="M51" i="98" a="1"/>
  <c r="M51" i="98" s="1"/>
  <c r="O49" i="98"/>
  <c r="F54" i="98" a="1"/>
  <c r="F54" i="98" s="1"/>
  <c r="G52" i="98"/>
  <c r="D51" i="98" a="1"/>
  <c r="D51" i="98" s="1"/>
  <c r="I47" i="98"/>
  <c r="G40" i="98"/>
  <c r="D40" i="98" a="1"/>
  <c r="D40" i="98" s="1"/>
  <c r="E38" i="98" a="1"/>
  <c r="E38" i="98" s="1"/>
  <c r="R47" i="98" s="1"/>
  <c r="E37" i="98" a="1"/>
  <c r="E37" i="98" s="1"/>
  <c r="D33" i="98" a="1"/>
  <c r="D33" i="98" s="1"/>
  <c r="D32" i="98" a="1"/>
  <c r="D32" i="98" s="1"/>
  <c r="G15" i="98"/>
  <c r="G18" i="98"/>
  <c r="G17" i="98"/>
  <c r="G16" i="98"/>
  <c r="G13" i="98"/>
  <c r="D13" i="98" a="1"/>
  <c r="D13" i="98" s="1"/>
  <c r="E11" i="98" a="1"/>
  <c r="E11" i="98" s="1"/>
  <c r="R28" i="98" s="1"/>
  <c r="E10" i="98" a="1"/>
  <c r="E10" i="98" s="1"/>
  <c r="D6" i="98" a="1"/>
  <c r="D6" i="98" s="1"/>
  <c r="D5" i="98" a="1"/>
  <c r="D5" i="98" s="1"/>
  <c r="N102" i="97" a="1"/>
  <c r="N102" i="97" s="1"/>
  <c r="D102" i="97" a="1"/>
  <c r="D102" i="97" s="1"/>
  <c r="O100" i="97" a="1"/>
  <c r="O100" i="97" s="1"/>
  <c r="P109" i="97" s="1"/>
  <c r="E100" i="97" a="1"/>
  <c r="E100" i="97" s="1"/>
  <c r="F109" i="97" s="1"/>
  <c r="O99" i="97" a="1"/>
  <c r="O99" i="97" s="1"/>
  <c r="E99" i="97" a="1"/>
  <c r="E99" i="97" s="1"/>
  <c r="N95" i="97" a="1"/>
  <c r="N95" i="97" s="1"/>
  <c r="D95" i="97" a="1"/>
  <c r="D95" i="97" s="1"/>
  <c r="N94" i="97" a="1"/>
  <c r="N94" i="97" s="1"/>
  <c r="D94" i="97" a="1"/>
  <c r="D94" i="97" s="1"/>
  <c r="D13" i="97" a="1"/>
  <c r="D13" i="97" s="1"/>
  <c r="E11" i="97" a="1"/>
  <c r="E11" i="97" s="1"/>
  <c r="P90" i="97" s="1"/>
  <c r="E10" i="97" a="1"/>
  <c r="E10" i="97" s="1"/>
  <c r="D6" i="97" a="1"/>
  <c r="D6" i="97" s="1"/>
  <c r="D5" i="97" a="1"/>
  <c r="D5" i="97" s="1"/>
  <c r="P114" i="97" a="1"/>
  <c r="P114" i="97" s="1"/>
  <c r="Q112" i="97"/>
  <c r="N111" i="97" a="1"/>
  <c r="N111" i="97" s="1"/>
  <c r="N85" i="97"/>
  <c r="N68" i="97"/>
  <c r="N45" i="97"/>
  <c r="N24" i="97"/>
  <c r="G14" i="97"/>
  <c r="G13" i="97"/>
  <c r="F114" i="97" a="1"/>
  <c r="F114" i="97" s="1"/>
  <c r="G112" i="97"/>
  <c r="D111" i="97" a="1"/>
  <c r="D111" i="97" s="1"/>
  <c r="G106" i="97"/>
  <c r="G105" i="97"/>
  <c r="D58" i="97"/>
  <c r="D85" i="97"/>
  <c r="D68" i="97"/>
  <c r="D45" i="97"/>
  <c r="D24" i="97"/>
  <c r="E7" i="105" a="1"/>
  <c r="E34" i="98" a="1"/>
  <c r="E7" i="98" a="1"/>
  <c r="O96" i="97" a="1"/>
  <c r="E96" i="97" a="1"/>
  <c r="E7" i="97" a="1"/>
  <c r="T121" i="105" l="1"/>
  <c r="T129" i="105"/>
  <c r="T125" i="105"/>
  <c r="T127" i="105"/>
  <c r="T123" i="105"/>
  <c r="T115" i="105"/>
  <c r="T119" i="105"/>
  <c r="T131" i="105"/>
  <c r="T118" i="105"/>
  <c r="T120" i="105"/>
  <c r="T124" i="105"/>
  <c r="T130" i="105"/>
  <c r="T122" i="105"/>
  <c r="T132" i="105"/>
  <c r="T116" i="105"/>
  <c r="T128" i="105"/>
  <c r="T117" i="105"/>
  <c r="T126" i="105"/>
  <c r="T134" i="105"/>
  <c r="T133" i="105"/>
  <c r="P136" i="105"/>
  <c r="J121" i="105"/>
  <c r="J122" i="105"/>
  <c r="J123" i="105"/>
  <c r="J124" i="105"/>
  <c r="J125" i="105"/>
  <c r="F136" i="105"/>
  <c r="J128" i="105"/>
  <c r="J115" i="105"/>
  <c r="J129" i="105"/>
  <c r="J116" i="105"/>
  <c r="J130" i="105"/>
  <c r="J127" i="105"/>
  <c r="J117" i="105"/>
  <c r="J131" i="105"/>
  <c r="J126" i="105"/>
  <c r="J118" i="105"/>
  <c r="J132" i="105"/>
  <c r="J119" i="105"/>
  <c r="J133" i="105"/>
  <c r="J120" i="105"/>
  <c r="E7" i="105"/>
  <c r="I28" i="98"/>
  <c r="F49" i="98"/>
  <c r="E34" i="98"/>
  <c r="E7" i="98"/>
  <c r="J78" i="97"/>
  <c r="J66" i="97"/>
  <c r="J69" i="97"/>
  <c r="J81" i="97"/>
  <c r="T69" i="97"/>
  <c r="T83" i="97"/>
  <c r="T86" i="97"/>
  <c r="J70" i="97"/>
  <c r="J82" i="97"/>
  <c r="T71" i="97"/>
  <c r="T75" i="97"/>
  <c r="J71" i="97"/>
  <c r="T73" i="97"/>
  <c r="T85" i="97"/>
  <c r="J72" i="97"/>
  <c r="J83" i="97"/>
  <c r="J73" i="97"/>
  <c r="J84" i="97"/>
  <c r="J74" i="97"/>
  <c r="J85" i="97"/>
  <c r="T67" i="97"/>
  <c r="T78" i="97"/>
  <c r="T81" i="97"/>
  <c r="J75" i="97"/>
  <c r="T65" i="97"/>
  <c r="T87" i="97"/>
  <c r="J63" i="97"/>
  <c r="J76" i="97"/>
  <c r="J86" i="97"/>
  <c r="T63" i="97"/>
  <c r="T70" i="97"/>
  <c r="J64" i="97"/>
  <c r="J87" i="97"/>
  <c r="T74" i="97"/>
  <c r="J65" i="97"/>
  <c r="J77" i="97"/>
  <c r="J88" i="97"/>
  <c r="T72" i="97"/>
  <c r="T84" i="97"/>
  <c r="F90" i="97"/>
  <c r="J67" i="97"/>
  <c r="J79" i="97"/>
  <c r="T68" i="97"/>
  <c r="T76" i="97"/>
  <c r="T77" i="97"/>
  <c r="T80" i="97"/>
  <c r="J68" i="97"/>
  <c r="T88" i="97"/>
  <c r="J80" i="97"/>
  <c r="T64" i="97"/>
  <c r="T66" i="97"/>
  <c r="T79" i="97"/>
  <c r="T82" i="97"/>
  <c r="O96" i="97"/>
  <c r="E96" i="97"/>
  <c r="E7" i="97"/>
  <c r="E110" i="105" l="1" a="1"/>
  <c r="E110" i="105" s="1"/>
  <c r="E100" i="105" a="1"/>
  <c r="E100" i="105" s="1"/>
  <c r="E58" i="97" a="1"/>
  <c r="E58" i="97" s="1"/>
  <c r="I22" i="97"/>
  <c r="S19" i="97"/>
  <c r="S24" i="97"/>
  <c r="S22" i="97"/>
  <c r="S23" i="97"/>
  <c r="S21" i="97"/>
  <c r="S20" i="97"/>
  <c r="J43" i="97"/>
  <c r="T38" i="97"/>
  <c r="T44" i="97"/>
  <c r="T47" i="97"/>
  <c r="T32" i="97"/>
  <c r="T29" i="97"/>
  <c r="T35" i="97"/>
  <c r="T42" i="97"/>
  <c r="T37" i="97"/>
  <c r="T46" i="97"/>
  <c r="T41" i="97"/>
  <c r="T31" i="97"/>
  <c r="T45" i="97"/>
  <c r="T40" i="97"/>
  <c r="T36" i="97"/>
  <c r="T30" i="97"/>
  <c r="T43" i="97"/>
  <c r="T34" i="97"/>
  <c r="T48" i="97"/>
  <c r="T33" i="97"/>
  <c r="T39" i="97"/>
  <c r="I19" i="97"/>
  <c r="I20" i="97"/>
  <c r="I23" i="97"/>
  <c r="I21" i="97"/>
  <c r="I24" i="97"/>
  <c r="J34" i="97"/>
  <c r="J45" i="97"/>
  <c r="J35" i="97"/>
  <c r="J36" i="97"/>
  <c r="J46" i="97"/>
  <c r="J47" i="97"/>
  <c r="J37" i="97"/>
  <c r="J48" i="97"/>
  <c r="J38" i="97"/>
  <c r="J39" i="97"/>
  <c r="J33" i="97"/>
  <c r="J40" i="97"/>
  <c r="J42" i="97"/>
  <c r="J44" i="97"/>
  <c r="J29" i="97"/>
  <c r="J41" i="97"/>
  <c r="J30" i="97"/>
  <c r="J31" i="97"/>
  <c r="J32" i="97"/>
  <c r="D10" i="70"/>
  <c r="H49" i="70"/>
  <c r="G49" i="70"/>
  <c r="F49" i="70"/>
  <c r="O19" i="97" l="1"/>
  <c r="O21" i="97"/>
  <c r="O22" i="97"/>
  <c r="O24" i="97"/>
  <c r="P23" i="97"/>
  <c r="P21" i="97"/>
  <c r="P19" i="97"/>
  <c r="P24" i="97"/>
  <c r="P22" i="97"/>
  <c r="E21" i="97"/>
  <c r="R19" i="97"/>
  <c r="R22" i="97"/>
  <c r="R24" i="97"/>
  <c r="R21" i="97"/>
  <c r="R23" i="97"/>
  <c r="E23" i="98"/>
  <c r="O23" i="97"/>
  <c r="Q22" i="97"/>
  <c r="Q19" i="97"/>
  <c r="Q24" i="97"/>
  <c r="Q21" i="97"/>
  <c r="Q23" i="97"/>
  <c r="F23" i="98"/>
  <c r="H23" i="98"/>
  <c r="G23" i="98"/>
  <c r="E20" i="97" l="1"/>
  <c r="O20" i="97"/>
  <c r="N23" i="98"/>
  <c r="P23" i="98"/>
  <c r="Q20" i="97"/>
  <c r="O23" i="98"/>
  <c r="P20" i="97"/>
  <c r="Q23" i="98"/>
  <c r="R20" i="97"/>
  <c r="F40" i="105"/>
  <c r="E24" i="97"/>
  <c r="H39" i="105"/>
  <c r="G24" i="97"/>
  <c r="H20" i="97"/>
  <c r="E23" i="97"/>
  <c r="E19" i="97"/>
  <c r="E22" i="97"/>
  <c r="G22" i="97"/>
  <c r="G21" i="97"/>
  <c r="H19" i="97"/>
  <c r="G19" i="97"/>
  <c r="H23" i="97"/>
  <c r="F41" i="105"/>
  <c r="G23" i="97"/>
  <c r="H24" i="97"/>
  <c r="F38" i="105"/>
  <c r="F22" i="97"/>
  <c r="F19" i="97"/>
  <c r="F23" i="97"/>
  <c r="F20" i="97"/>
  <c r="H21" i="97"/>
  <c r="G39" i="105"/>
  <c r="F24" i="97"/>
  <c r="F21" i="97"/>
  <c r="G20" i="97"/>
  <c r="H22" i="97"/>
  <c r="H40" i="105" l="1"/>
  <c r="F47" i="97"/>
  <c r="F46" i="97"/>
  <c r="F39" i="105"/>
  <c r="G40" i="105"/>
  <c r="S38" i="105"/>
  <c r="S39" i="105"/>
  <c r="S41" i="105"/>
  <c r="S40" i="105"/>
  <c r="G41" i="105"/>
  <c r="Q40" i="105"/>
  <c r="Q38" i="105"/>
  <c r="Q41" i="105"/>
  <c r="Q39" i="105"/>
  <c r="R40" i="105"/>
  <c r="R41" i="105"/>
  <c r="R38" i="105"/>
  <c r="R39" i="105"/>
  <c r="P39" i="105"/>
  <c r="P40" i="105"/>
  <c r="P38" i="105"/>
  <c r="P41" i="105"/>
  <c r="F48" i="97"/>
  <c r="G46" i="97"/>
  <c r="H46" i="97"/>
  <c r="F45" i="97"/>
  <c r="I38" i="105"/>
  <c r="I40" i="105"/>
  <c r="G47" i="97" l="1"/>
  <c r="H47" i="97"/>
  <c r="G48" i="97"/>
  <c r="H48" i="97"/>
  <c r="H41" i="105"/>
  <c r="I48" i="97"/>
  <c r="I41" i="105"/>
  <c r="H45" i="97"/>
  <c r="H38" i="105"/>
  <c r="I46" i="97"/>
  <c r="I39" i="105"/>
  <c r="G45" i="97"/>
  <c r="G38" i="105"/>
  <c r="R48" i="97"/>
  <c r="S47" i="97"/>
  <c r="R47" i="97"/>
  <c r="S48" i="97"/>
  <c r="S46" i="97"/>
  <c r="S45" i="97"/>
  <c r="P48" i="97"/>
  <c r="P45" i="97"/>
  <c r="P47" i="97"/>
  <c r="Q46" i="97"/>
  <c r="P46" i="97"/>
  <c r="Q48" i="97"/>
  <c r="R46" i="97"/>
  <c r="Q45" i="97"/>
  <c r="R45" i="97"/>
  <c r="Q47" i="97"/>
  <c r="I47" i="97"/>
  <c r="I45" i="97"/>
  <c r="E49" i="70" l="1"/>
  <c r="L40" i="70"/>
  <c r="F73" i="105" s="1"/>
  <c r="L39" i="70"/>
  <c r="F72" i="105" s="1"/>
  <c r="L38" i="70"/>
  <c r="F71" i="105" s="1"/>
  <c r="L48" i="70"/>
  <c r="F77" i="105" s="1"/>
  <c r="L47" i="70"/>
  <c r="F76" i="105" s="1"/>
  <c r="L46" i="70"/>
  <c r="F75" i="105" s="1"/>
  <c r="L45" i="70"/>
  <c r="F74" i="105" s="1"/>
  <c r="L54" i="70"/>
  <c r="F80" i="105" s="1"/>
  <c r="L53" i="70"/>
  <c r="F79" i="105" s="1"/>
  <c r="L52" i="70"/>
  <c r="F78" i="105" s="1"/>
  <c r="F83" i="105"/>
  <c r="F82" i="105"/>
  <c r="F81" i="105"/>
  <c r="F86" i="105"/>
  <c r="F85" i="105"/>
  <c r="F84" i="105"/>
  <c r="F90" i="105"/>
  <c r="F89" i="105"/>
  <c r="F88" i="105"/>
  <c r="F87" i="105"/>
  <c r="E51" i="70"/>
  <c r="E44" i="70"/>
  <c r="E37" i="70"/>
  <c r="E224" i="103" l="1" a="1"/>
  <c r="E224" i="103" s="1"/>
  <c r="D224" i="103" a="1"/>
  <c r="D224" i="103" s="1"/>
  <c r="E223" i="103" a="1"/>
  <c r="E223" i="103" s="1"/>
  <c r="D223" i="103" a="1"/>
  <c r="D223" i="103" s="1"/>
  <c r="E222" i="103" a="1"/>
  <c r="E222" i="103" s="1"/>
  <c r="D222" i="103" a="1"/>
  <c r="D222" i="103" s="1"/>
  <c r="E221" i="103" a="1"/>
  <c r="E221" i="103" s="1"/>
  <c r="D221" i="103" a="1"/>
  <c r="D221" i="103" s="1"/>
  <c r="E220" i="103" a="1"/>
  <c r="E220" i="103" s="1"/>
  <c r="D220" i="103" a="1"/>
  <c r="D220" i="103" s="1"/>
  <c r="E219" i="103" a="1"/>
  <c r="E219" i="103" s="1"/>
  <c r="D219" i="103" a="1"/>
  <c r="D219" i="103" s="1"/>
  <c r="E218" i="103" a="1"/>
  <c r="E218" i="103" s="1"/>
  <c r="D218" i="103" a="1"/>
  <c r="D218" i="103" s="1"/>
  <c r="E217" i="103" a="1"/>
  <c r="E217" i="103" s="1"/>
  <c r="D217" i="103" a="1"/>
  <c r="D217" i="103" s="1"/>
  <c r="E216" i="103" a="1"/>
  <c r="E216" i="103" s="1"/>
  <c r="D216" i="103" a="1"/>
  <c r="D216" i="103" s="1"/>
  <c r="E215" i="103" a="1"/>
  <c r="E215" i="103" s="1"/>
  <c r="D215" i="103" a="1"/>
  <c r="D215" i="103" s="1"/>
  <c r="E214" i="103" a="1"/>
  <c r="E214" i="103" s="1"/>
  <c r="D214" i="103" a="1"/>
  <c r="D214" i="103" s="1"/>
  <c r="E213" i="103" a="1"/>
  <c r="E213" i="103" s="1"/>
  <c r="D213" i="103" a="1"/>
  <c r="D213" i="103" s="1"/>
  <c r="D211" i="103" a="1"/>
  <c r="D211" i="103" s="1"/>
  <c r="E208" i="103" a="1"/>
  <c r="E208" i="103" s="1"/>
  <c r="D208" i="103" a="1"/>
  <c r="D208" i="103" s="1"/>
  <c r="E207" i="103" a="1"/>
  <c r="E207" i="103" s="1"/>
  <c r="D207" i="103" a="1"/>
  <c r="D207" i="103" s="1"/>
  <c r="D205" i="103" a="1"/>
  <c r="D205" i="103" s="1"/>
  <c r="D204" i="103" a="1"/>
  <c r="D204" i="103" s="1"/>
  <c r="D203" i="103" a="1"/>
  <c r="D203" i="103" s="1"/>
  <c r="D202" i="103" a="1"/>
  <c r="D202" i="103" s="1"/>
  <c r="H199" i="103" a="1"/>
  <c r="H199" i="103" s="1"/>
  <c r="G199" i="103" a="1"/>
  <c r="G199" i="103" s="1"/>
  <c r="F199" i="103" a="1"/>
  <c r="F199" i="103" s="1"/>
  <c r="E199" i="103" a="1"/>
  <c r="E199" i="103" s="1"/>
  <c r="D199" i="103" a="1"/>
  <c r="D199" i="103" s="1"/>
  <c r="H198" i="103" a="1"/>
  <c r="H198" i="103" s="1"/>
  <c r="G198" i="103" a="1"/>
  <c r="G198" i="103" s="1"/>
  <c r="F198" i="103" a="1"/>
  <c r="F198" i="103" s="1"/>
  <c r="E198" i="103" a="1"/>
  <c r="E198" i="103" s="1"/>
  <c r="D198" i="103" a="1"/>
  <c r="D198" i="103" s="1"/>
  <c r="H197" i="103" a="1"/>
  <c r="H197" i="103" s="1"/>
  <c r="G197" i="103" a="1"/>
  <c r="G197" i="103" s="1"/>
  <c r="F197" i="103" a="1"/>
  <c r="F197" i="103" s="1"/>
  <c r="E197" i="103" a="1"/>
  <c r="E197" i="103" s="1"/>
  <c r="D197" i="103" a="1"/>
  <c r="D197" i="103" s="1"/>
  <c r="H196" i="103" a="1"/>
  <c r="H196" i="103" s="1"/>
  <c r="G196" i="103" a="1"/>
  <c r="G196" i="103" s="1"/>
  <c r="F196" i="103" a="1"/>
  <c r="F196" i="103" s="1"/>
  <c r="E196" i="103" a="1"/>
  <c r="E196" i="103" s="1"/>
  <c r="D196" i="103" a="1"/>
  <c r="D196" i="103" s="1"/>
  <c r="H195" i="103" a="1"/>
  <c r="H195" i="103" s="1"/>
  <c r="G195" i="103" a="1"/>
  <c r="G195" i="103" s="1"/>
  <c r="F195" i="103" a="1"/>
  <c r="F195" i="103" s="1"/>
  <c r="E195" i="103" a="1"/>
  <c r="E195" i="103" s="1"/>
  <c r="D195" i="103" a="1"/>
  <c r="D195" i="103" s="1"/>
  <c r="H194" i="103" a="1"/>
  <c r="H194" i="103" s="1"/>
  <c r="G194" i="103" a="1"/>
  <c r="G194" i="103" s="1"/>
  <c r="F194" i="103" a="1"/>
  <c r="F194" i="103" s="1"/>
  <c r="E194" i="103" a="1"/>
  <c r="E194" i="103" s="1"/>
  <c r="D194" i="103" a="1"/>
  <c r="D194" i="103" s="1"/>
  <c r="H193" i="103" a="1"/>
  <c r="H193" i="103" s="1"/>
  <c r="G193" i="103" a="1"/>
  <c r="G193" i="103" s="1"/>
  <c r="F193" i="103" a="1"/>
  <c r="F193" i="103" s="1"/>
  <c r="E193" i="103" a="1"/>
  <c r="E193" i="103" s="1"/>
  <c r="D193" i="103" a="1"/>
  <c r="D193" i="103" s="1"/>
  <c r="H192" i="103" a="1"/>
  <c r="H192" i="103" s="1"/>
  <c r="G192" i="103" a="1"/>
  <c r="G192" i="103" s="1"/>
  <c r="F192" i="103" a="1"/>
  <c r="F192" i="103" s="1"/>
  <c r="E192" i="103" a="1"/>
  <c r="E192" i="103" s="1"/>
  <c r="D192" i="103" a="1"/>
  <c r="D192" i="103" s="1"/>
  <c r="H191" i="103" a="1"/>
  <c r="H191" i="103" s="1"/>
  <c r="G191" i="103" a="1"/>
  <c r="G191" i="103" s="1"/>
  <c r="F191" i="103" a="1"/>
  <c r="F191" i="103" s="1"/>
  <c r="E191" i="103" a="1"/>
  <c r="E191" i="103" s="1"/>
  <c r="D191" i="103" a="1"/>
  <c r="D191" i="103" s="1"/>
  <c r="H190" i="103" a="1"/>
  <c r="H190" i="103" s="1"/>
  <c r="G190" i="103" a="1"/>
  <c r="G190" i="103" s="1"/>
  <c r="F190" i="103" a="1"/>
  <c r="F190" i="103" s="1"/>
  <c r="E190" i="103" a="1"/>
  <c r="E190" i="103" s="1"/>
  <c r="D190" i="103" a="1"/>
  <c r="D190" i="103" s="1"/>
  <c r="H189" i="103" a="1"/>
  <c r="H189" i="103" s="1"/>
  <c r="G189" i="103" a="1"/>
  <c r="G189" i="103" s="1"/>
  <c r="F189" i="103" a="1"/>
  <c r="F189" i="103" s="1"/>
  <c r="E189" i="103" a="1"/>
  <c r="E189" i="103" s="1"/>
  <c r="D189" i="103" a="1"/>
  <c r="D189" i="103" s="1"/>
  <c r="H188" i="103" a="1"/>
  <c r="H188" i="103" s="1"/>
  <c r="G188" i="103" a="1"/>
  <c r="G188" i="103" s="1"/>
  <c r="F188" i="103" a="1"/>
  <c r="F188" i="103" s="1"/>
  <c r="E188" i="103" a="1"/>
  <c r="E188" i="103" s="1"/>
  <c r="D188" i="103" a="1"/>
  <c r="D188" i="103" s="1"/>
  <c r="H187" i="103" a="1"/>
  <c r="H187" i="103" s="1"/>
  <c r="G187" i="103" a="1"/>
  <c r="G187" i="103" s="1"/>
  <c r="F187" i="103" a="1"/>
  <c r="F187" i="103" s="1"/>
  <c r="E187" i="103" a="1"/>
  <c r="E187" i="103" s="1"/>
  <c r="D187" i="103" a="1"/>
  <c r="D187" i="103" s="1"/>
  <c r="D181" i="103" a="1"/>
  <c r="D181" i="103" s="1"/>
  <c r="D180" i="103" a="1"/>
  <c r="D180" i="103" s="1"/>
  <c r="D179" i="103" a="1"/>
  <c r="D179" i="103" s="1"/>
  <c r="D178" i="103" a="1"/>
  <c r="D178" i="103" s="1"/>
  <c r="E175" i="103" a="1"/>
  <c r="E175" i="103" s="1"/>
  <c r="D175" i="103" a="1"/>
  <c r="D175" i="103" s="1"/>
  <c r="D174" i="103" a="1"/>
  <c r="D174" i="103" s="1"/>
  <c r="D173" i="103" a="1"/>
  <c r="D173" i="103" s="1"/>
  <c r="D170" i="103" a="1"/>
  <c r="D169" i="103" a="1"/>
  <c r="D169" i="103" s="1"/>
  <c r="D168" i="103" a="1"/>
  <c r="D168" i="103" s="1"/>
  <c r="D167" i="103" a="1"/>
  <c r="D167" i="103" s="1"/>
  <c r="D164" i="103" a="1"/>
  <c r="D164" i="103" s="1"/>
  <c r="D163" i="103" a="1"/>
  <c r="D163" i="103" s="1"/>
  <c r="D162" i="103" a="1"/>
  <c r="D162" i="103" s="1"/>
  <c r="D161" i="103" a="1"/>
  <c r="D161" i="103" s="1"/>
  <c r="E158" i="103" a="1"/>
  <c r="E158" i="103" s="1"/>
  <c r="D158" i="103" a="1"/>
  <c r="D158" i="103" s="1"/>
  <c r="E157" i="103" a="1"/>
  <c r="E157" i="103" s="1"/>
  <c r="D157" i="103" a="1"/>
  <c r="D157" i="103" s="1"/>
  <c r="E156" i="103" a="1"/>
  <c r="E156" i="103" s="1"/>
  <c r="D156" i="103" a="1"/>
  <c r="D156" i="103" s="1"/>
  <c r="E155" i="103" a="1"/>
  <c r="E155" i="103" s="1"/>
  <c r="D155" i="103" a="1"/>
  <c r="D155" i="103" s="1"/>
  <c r="E154" i="103" a="1"/>
  <c r="E154" i="103" s="1"/>
  <c r="D154" i="103" a="1"/>
  <c r="D154" i="103" s="1"/>
  <c r="D151" i="103" a="1"/>
  <c r="D151" i="103" s="1"/>
  <c r="D150" i="103" a="1"/>
  <c r="D150" i="103" s="1"/>
  <c r="E147" i="103" a="1"/>
  <c r="E147" i="103" s="1"/>
  <c r="D147" i="103" a="1"/>
  <c r="D147" i="103" s="1"/>
  <c r="E146" i="103" a="1"/>
  <c r="E146" i="103" s="1"/>
  <c r="D146" i="103" a="1"/>
  <c r="D146" i="103" s="1"/>
  <c r="E145" i="103" a="1"/>
  <c r="E145" i="103" s="1"/>
  <c r="D145" i="103" a="1"/>
  <c r="D145" i="103" s="1"/>
  <c r="E144" i="103" a="1"/>
  <c r="E144" i="103" s="1"/>
  <c r="D144" i="103" a="1"/>
  <c r="D144" i="103" s="1"/>
  <c r="E143" i="103" a="1"/>
  <c r="E143" i="103" s="1"/>
  <c r="D143" i="103" a="1"/>
  <c r="D143" i="103" s="1"/>
  <c r="D141" i="103" a="1"/>
  <c r="D141" i="103" s="1"/>
  <c r="D140" i="103" a="1"/>
  <c r="D140" i="103" s="1"/>
  <c r="D139" i="103" a="1"/>
  <c r="D139" i="103" s="1"/>
  <c r="E136" i="103" a="1"/>
  <c r="E136" i="103" s="1"/>
  <c r="D136" i="103" a="1"/>
  <c r="D136" i="103" s="1"/>
  <c r="E135" i="103" a="1"/>
  <c r="E135" i="103" s="1"/>
  <c r="D135" i="103" a="1"/>
  <c r="D135" i="103" s="1"/>
  <c r="D133" i="103" a="1"/>
  <c r="D133" i="103" s="1"/>
  <c r="D132" i="103" a="1"/>
  <c r="D132" i="103" s="1"/>
  <c r="E129" i="103" a="1"/>
  <c r="E129" i="103" s="1"/>
  <c r="D129" i="103" a="1"/>
  <c r="D129" i="103" s="1"/>
  <c r="E128" i="103" a="1"/>
  <c r="E128" i="103" s="1"/>
  <c r="D128" i="103" a="1"/>
  <c r="D128" i="103" s="1"/>
  <c r="D125" i="103" a="1"/>
  <c r="D125" i="103" s="1"/>
  <c r="D124" i="103" a="1"/>
  <c r="D124" i="103" s="1"/>
  <c r="G121" i="103" a="1"/>
  <c r="G121" i="103" s="1"/>
  <c r="F121" i="103" a="1"/>
  <c r="F121" i="103" s="1"/>
  <c r="E121" i="103" a="1"/>
  <c r="E121" i="103" s="1"/>
  <c r="D121" i="103" a="1"/>
  <c r="D121" i="103" s="1"/>
  <c r="G120" i="103" a="1"/>
  <c r="G120" i="103" s="1"/>
  <c r="F120" i="103" a="1"/>
  <c r="F120" i="103" s="1"/>
  <c r="E30" i="15" s="1"/>
  <c r="G107" i="97" s="1"/>
  <c r="E120" i="103" a="1"/>
  <c r="E120" i="103" s="1"/>
  <c r="D120" i="103" a="1"/>
  <c r="D120" i="103" s="1"/>
  <c r="D117" i="103" a="1"/>
  <c r="D117" i="103" s="1"/>
  <c r="D116" i="103" a="1"/>
  <c r="D116" i="103" s="1"/>
  <c r="D115" i="103" a="1"/>
  <c r="D115" i="103" s="1"/>
  <c r="G112" i="103" a="1"/>
  <c r="G112" i="103" s="1"/>
  <c r="F112" i="103" a="1"/>
  <c r="F112" i="103" s="1"/>
  <c r="E112" i="103" a="1"/>
  <c r="E112" i="103" s="1"/>
  <c r="D112" i="103" a="1"/>
  <c r="D112" i="103" s="1"/>
  <c r="G111" i="103" a="1"/>
  <c r="G111" i="103" s="1"/>
  <c r="F111" i="103" a="1"/>
  <c r="F111" i="103" s="1"/>
  <c r="E111" i="103" a="1"/>
  <c r="E111" i="103" s="1"/>
  <c r="D111" i="103" a="1"/>
  <c r="D111" i="103" s="1"/>
  <c r="G110" i="103" a="1"/>
  <c r="G110" i="103" s="1"/>
  <c r="F110" i="103" a="1"/>
  <c r="F110" i="103" s="1"/>
  <c r="E33" i="15" s="1"/>
  <c r="E110" i="103" a="1"/>
  <c r="E110" i="103" s="1"/>
  <c r="D110" i="103" a="1"/>
  <c r="D110" i="103" s="1"/>
  <c r="D107" i="103" a="1"/>
  <c r="D107" i="103" s="1"/>
  <c r="D106" i="103" a="1"/>
  <c r="D106" i="103" s="1"/>
  <c r="D105" i="103" a="1"/>
  <c r="D105" i="103" s="1"/>
  <c r="D98" i="103" a="1"/>
  <c r="D98" i="103" s="1"/>
  <c r="S97" i="103" a="1"/>
  <c r="S97" i="103" s="1"/>
  <c r="R97" i="103" a="1"/>
  <c r="R97" i="103" s="1"/>
  <c r="Q97" i="103" a="1"/>
  <c r="Q97" i="103" s="1"/>
  <c r="P97" i="103" a="1"/>
  <c r="P97" i="103" s="1"/>
  <c r="O97" i="103" a="1"/>
  <c r="O97" i="103" s="1"/>
  <c r="N97" i="103" a="1"/>
  <c r="N97" i="103" s="1"/>
  <c r="M97" i="103" a="1"/>
  <c r="M97" i="103" s="1"/>
  <c r="L97" i="103" a="1"/>
  <c r="L97" i="103" s="1"/>
  <c r="K97" i="103" a="1"/>
  <c r="K97" i="103" s="1"/>
  <c r="J97" i="103" a="1"/>
  <c r="J97" i="103" s="1"/>
  <c r="I97" i="103" a="1"/>
  <c r="I97" i="103" s="1"/>
  <c r="H97" i="103" a="1"/>
  <c r="H97" i="103" s="1"/>
  <c r="G97" i="103" a="1"/>
  <c r="G97" i="103" s="1"/>
  <c r="F97" i="103" a="1"/>
  <c r="F97" i="103" s="1"/>
  <c r="E97" i="103" a="1"/>
  <c r="E97" i="103" s="1"/>
  <c r="D97" i="103" a="1"/>
  <c r="D97" i="103" s="1"/>
  <c r="S96" i="103" a="1"/>
  <c r="S96" i="103" s="1"/>
  <c r="R96" i="103" a="1"/>
  <c r="R96" i="103" s="1"/>
  <c r="Q96" i="103" a="1"/>
  <c r="Q96" i="103" s="1"/>
  <c r="P96" i="103" a="1"/>
  <c r="P96" i="103" s="1"/>
  <c r="O96" i="103" a="1"/>
  <c r="O96" i="103" s="1"/>
  <c r="N96" i="103" a="1"/>
  <c r="N96" i="103" s="1"/>
  <c r="M96" i="103" a="1"/>
  <c r="M96" i="103" s="1"/>
  <c r="L96" i="103" a="1"/>
  <c r="L96" i="103" s="1"/>
  <c r="K96" i="103" a="1"/>
  <c r="K96" i="103" s="1"/>
  <c r="J96" i="103" a="1"/>
  <c r="J96" i="103" s="1"/>
  <c r="I96" i="103" a="1"/>
  <c r="I96" i="103" s="1"/>
  <c r="H96" i="103" a="1"/>
  <c r="H96" i="103" s="1"/>
  <c r="G96" i="103" a="1"/>
  <c r="G96" i="103" s="1"/>
  <c r="F96" i="103" a="1"/>
  <c r="F96" i="103" s="1"/>
  <c r="E96" i="103" a="1"/>
  <c r="E96" i="103" s="1"/>
  <c r="D96" i="103" a="1"/>
  <c r="D96" i="103" s="1"/>
  <c r="S95" i="103" a="1"/>
  <c r="S95" i="103" s="1"/>
  <c r="R95" i="103" a="1"/>
  <c r="R95" i="103" s="1"/>
  <c r="Q95" i="103" a="1"/>
  <c r="Q95" i="103" s="1"/>
  <c r="P95" i="103" a="1"/>
  <c r="P95" i="103" s="1"/>
  <c r="O95" i="103" a="1"/>
  <c r="O95" i="103" s="1"/>
  <c r="N95" i="103" a="1"/>
  <c r="N95" i="103" s="1"/>
  <c r="M95" i="103" a="1"/>
  <c r="M95" i="103" s="1"/>
  <c r="L95" i="103" a="1"/>
  <c r="L95" i="103" s="1"/>
  <c r="K95" i="103" a="1"/>
  <c r="K95" i="103" s="1"/>
  <c r="J95" i="103" a="1"/>
  <c r="J95" i="103" s="1"/>
  <c r="I95" i="103" a="1"/>
  <c r="I95" i="103" s="1"/>
  <c r="H95" i="103" a="1"/>
  <c r="H95" i="103" s="1"/>
  <c r="G95" i="103" a="1"/>
  <c r="G95" i="103" s="1"/>
  <c r="F95" i="103" a="1"/>
  <c r="F95" i="103" s="1"/>
  <c r="E95" i="103" a="1"/>
  <c r="E95" i="103" s="1"/>
  <c r="D95" i="103" a="1"/>
  <c r="D95" i="103" s="1"/>
  <c r="S94" i="103" a="1"/>
  <c r="S94" i="103" s="1"/>
  <c r="R94" i="103" a="1"/>
  <c r="R94" i="103" s="1"/>
  <c r="Q94" i="103" a="1"/>
  <c r="Q94" i="103" s="1"/>
  <c r="P94" i="103" a="1"/>
  <c r="P94" i="103" s="1"/>
  <c r="O94" i="103" a="1"/>
  <c r="O94" i="103" s="1"/>
  <c r="N94" i="103" a="1"/>
  <c r="N94" i="103" s="1"/>
  <c r="M94" i="103" a="1"/>
  <c r="M94" i="103" s="1"/>
  <c r="L94" i="103" a="1"/>
  <c r="L94" i="103" s="1"/>
  <c r="K94" i="103" a="1"/>
  <c r="K94" i="103" s="1"/>
  <c r="J94" i="103" a="1"/>
  <c r="J94" i="103" s="1"/>
  <c r="I94" i="103" a="1"/>
  <c r="I94" i="103" s="1"/>
  <c r="H94" i="103" a="1"/>
  <c r="H94" i="103" s="1"/>
  <c r="G94" i="103" a="1"/>
  <c r="G94" i="103" s="1"/>
  <c r="F94" i="103" a="1"/>
  <c r="F94" i="103" s="1"/>
  <c r="E94" i="103" a="1"/>
  <c r="E94" i="103" s="1"/>
  <c r="D94" i="103" a="1"/>
  <c r="D94" i="103" s="1"/>
  <c r="S93" i="103" a="1"/>
  <c r="S93" i="103" s="1"/>
  <c r="R93" i="103" a="1"/>
  <c r="R93" i="103" s="1"/>
  <c r="Q93" i="103" a="1"/>
  <c r="Q93" i="103" s="1"/>
  <c r="P93" i="103" a="1"/>
  <c r="P93" i="103" s="1"/>
  <c r="O93" i="103" a="1"/>
  <c r="O93" i="103" s="1"/>
  <c r="N93" i="103" a="1"/>
  <c r="N93" i="103" s="1"/>
  <c r="M93" i="103" a="1"/>
  <c r="M93" i="103" s="1"/>
  <c r="L93" i="103" a="1"/>
  <c r="L93" i="103" s="1"/>
  <c r="K93" i="103" a="1"/>
  <c r="K93" i="103" s="1"/>
  <c r="J93" i="103" a="1"/>
  <c r="J93" i="103" s="1"/>
  <c r="I93" i="103" a="1"/>
  <c r="I93" i="103" s="1"/>
  <c r="H93" i="103" a="1"/>
  <c r="H93" i="103" s="1"/>
  <c r="G93" i="103" a="1"/>
  <c r="G93" i="103" s="1"/>
  <c r="F93" i="103" a="1"/>
  <c r="F93" i="103" s="1"/>
  <c r="E93" i="103" a="1"/>
  <c r="E93" i="103" s="1"/>
  <c r="D93" i="103" a="1"/>
  <c r="D93" i="103" s="1"/>
  <c r="S92" i="103" a="1"/>
  <c r="S92" i="103" s="1"/>
  <c r="R92" i="103" a="1"/>
  <c r="R92" i="103" s="1"/>
  <c r="Q92" i="103" a="1"/>
  <c r="Q92" i="103" s="1"/>
  <c r="P92" i="103" a="1"/>
  <c r="P92" i="103" s="1"/>
  <c r="O92" i="103" a="1"/>
  <c r="O92" i="103" s="1"/>
  <c r="N92" i="103" a="1"/>
  <c r="N92" i="103" s="1"/>
  <c r="M92" i="103" a="1"/>
  <c r="M92" i="103" s="1"/>
  <c r="L92" i="103" a="1"/>
  <c r="L92" i="103" s="1"/>
  <c r="K92" i="103" a="1"/>
  <c r="K92" i="103" s="1"/>
  <c r="J92" i="103" a="1"/>
  <c r="J92" i="103" s="1"/>
  <c r="I92" i="103" a="1"/>
  <c r="I92" i="103" s="1"/>
  <c r="H92" i="103" a="1"/>
  <c r="H92" i="103" s="1"/>
  <c r="G92" i="103" a="1"/>
  <c r="G92" i="103" s="1"/>
  <c r="F92" i="103" a="1"/>
  <c r="F92" i="103" s="1"/>
  <c r="E92" i="103" a="1"/>
  <c r="E92" i="103" s="1"/>
  <c r="D92" i="103" a="1"/>
  <c r="D92" i="103" s="1"/>
  <c r="S91" i="103" a="1"/>
  <c r="S91" i="103" s="1"/>
  <c r="R91" i="103" a="1"/>
  <c r="R91" i="103" s="1"/>
  <c r="Q91" i="103" a="1"/>
  <c r="Q91" i="103" s="1"/>
  <c r="P91" i="103" a="1"/>
  <c r="P91" i="103" s="1"/>
  <c r="O91" i="103" a="1"/>
  <c r="O91" i="103" s="1"/>
  <c r="N91" i="103" a="1"/>
  <c r="N91" i="103" s="1"/>
  <c r="M91" i="103" a="1"/>
  <c r="M91" i="103" s="1"/>
  <c r="L91" i="103" a="1"/>
  <c r="L91" i="103" s="1"/>
  <c r="K91" i="103" a="1"/>
  <c r="K91" i="103" s="1"/>
  <c r="J91" i="103" a="1"/>
  <c r="J91" i="103" s="1"/>
  <c r="I91" i="103" a="1"/>
  <c r="I91" i="103" s="1"/>
  <c r="H91" i="103" a="1"/>
  <c r="H91" i="103" s="1"/>
  <c r="G91" i="103" a="1"/>
  <c r="G91" i="103" s="1"/>
  <c r="F91" i="103" a="1"/>
  <c r="F91" i="103" s="1"/>
  <c r="E91" i="103" a="1"/>
  <c r="E91" i="103" s="1"/>
  <c r="D91" i="103" a="1"/>
  <c r="D91" i="103" s="1"/>
  <c r="S90" i="103" a="1"/>
  <c r="S90" i="103" s="1"/>
  <c r="R90" i="103" a="1"/>
  <c r="R90" i="103" s="1"/>
  <c r="Q90" i="103" a="1"/>
  <c r="Q90" i="103" s="1"/>
  <c r="P90" i="103" a="1"/>
  <c r="P90" i="103" s="1"/>
  <c r="O90" i="103" a="1"/>
  <c r="O90" i="103" s="1"/>
  <c r="N90" i="103" a="1"/>
  <c r="N90" i="103" s="1"/>
  <c r="M90" i="103" a="1"/>
  <c r="M90" i="103" s="1"/>
  <c r="L90" i="103" a="1"/>
  <c r="L90" i="103" s="1"/>
  <c r="K90" i="103" a="1"/>
  <c r="K90" i="103" s="1"/>
  <c r="J90" i="103" a="1"/>
  <c r="J90" i="103" s="1"/>
  <c r="E31" i="15" s="1"/>
  <c r="E32" i="15" s="1"/>
  <c r="I90" i="103" a="1"/>
  <c r="I90" i="103" s="1"/>
  <c r="H90" i="103" a="1"/>
  <c r="H90" i="103" s="1"/>
  <c r="G90" i="103" a="1"/>
  <c r="G90" i="103" s="1"/>
  <c r="F90" i="103" a="1"/>
  <c r="F90" i="103" s="1"/>
  <c r="E90" i="103" a="1"/>
  <c r="E90" i="103" s="1"/>
  <c r="D90" i="103" a="1"/>
  <c r="D90" i="103" s="1"/>
  <c r="D83" i="103" a="1"/>
  <c r="D83" i="103" s="1"/>
  <c r="D82" i="103" a="1"/>
  <c r="D82" i="103" s="1"/>
  <c r="D81" i="103" a="1"/>
  <c r="D81" i="103" s="1"/>
  <c r="E77" i="103" a="1"/>
  <c r="E77" i="103" s="1"/>
  <c r="D77" i="103" a="1"/>
  <c r="D77" i="103" s="1"/>
  <c r="E76" i="103" a="1"/>
  <c r="E76" i="103" s="1"/>
  <c r="D76" i="103" a="1"/>
  <c r="D76" i="103" s="1"/>
  <c r="E75" i="103" a="1"/>
  <c r="E75" i="103" s="1"/>
  <c r="D75" i="103" a="1"/>
  <c r="D75" i="103" s="1"/>
  <c r="E74" i="103" a="1"/>
  <c r="E74" i="103" s="1"/>
  <c r="D74" i="103" a="1"/>
  <c r="D74" i="103" s="1"/>
  <c r="E73" i="103" a="1"/>
  <c r="E73" i="103" s="1"/>
  <c r="D73" i="103" a="1"/>
  <c r="D73" i="103" s="1"/>
  <c r="E72" i="103" a="1"/>
  <c r="E72" i="103" s="1"/>
  <c r="D72" i="103" a="1"/>
  <c r="D72" i="103" s="1"/>
  <c r="E71" i="103" a="1"/>
  <c r="E71" i="103" s="1"/>
  <c r="D71" i="103" a="1"/>
  <c r="D71" i="103" s="1"/>
  <c r="E70" i="103" a="1"/>
  <c r="E70" i="103" s="1"/>
  <c r="D70" i="103" a="1"/>
  <c r="D70" i="103" s="1"/>
  <c r="E69" i="103" a="1"/>
  <c r="E69" i="103" s="1"/>
  <c r="D69" i="103" a="1"/>
  <c r="D69" i="103" s="1"/>
  <c r="E68" i="103" a="1"/>
  <c r="E68" i="103" s="1"/>
  <c r="D68" i="103" a="1"/>
  <c r="D68" i="103" s="1"/>
  <c r="E67" i="103" a="1"/>
  <c r="E67" i="103" s="1"/>
  <c r="D67" i="103" a="1"/>
  <c r="D67" i="103" s="1"/>
  <c r="E66" i="103" a="1"/>
  <c r="E66" i="103" s="1"/>
  <c r="D66" i="103" a="1"/>
  <c r="D66" i="103" s="1"/>
  <c r="E65" i="103" a="1"/>
  <c r="E65" i="103" s="1"/>
  <c r="D65" i="103" a="1"/>
  <c r="D65" i="103" s="1"/>
  <c r="E64" i="103" a="1"/>
  <c r="E64" i="103" s="1"/>
  <c r="D64" i="103" a="1"/>
  <c r="D64" i="103" s="1"/>
  <c r="D59" i="103" a="1"/>
  <c r="D59" i="103" s="1"/>
  <c r="D58" i="103" a="1"/>
  <c r="D58" i="103" s="1"/>
  <c r="D57" i="103" a="1"/>
  <c r="D57" i="103" s="1"/>
  <c r="G54" i="103" a="1"/>
  <c r="G54" i="103" s="1"/>
  <c r="F54" i="103" a="1"/>
  <c r="F54" i="103" s="1"/>
  <c r="E54" i="103" a="1"/>
  <c r="E54" i="103" s="1"/>
  <c r="D54" i="103" a="1"/>
  <c r="D54" i="103" s="1"/>
  <c r="G53" i="103" a="1"/>
  <c r="G53" i="103" s="1"/>
  <c r="F53" i="103" a="1"/>
  <c r="F53" i="103" s="1"/>
  <c r="E53" i="103" a="1"/>
  <c r="E53" i="103" s="1"/>
  <c r="D53" i="103" a="1"/>
  <c r="D53" i="103" s="1"/>
  <c r="G52" i="103" a="1"/>
  <c r="G52" i="103" s="1"/>
  <c r="F52" i="103" a="1"/>
  <c r="F52" i="103" s="1"/>
  <c r="E52" i="103" a="1"/>
  <c r="E52" i="103" s="1"/>
  <c r="D52" i="103" a="1"/>
  <c r="D52" i="103" s="1"/>
  <c r="G51" i="103" a="1"/>
  <c r="G51" i="103" s="1"/>
  <c r="F51" i="103" a="1"/>
  <c r="F51" i="103" s="1"/>
  <c r="E51" i="103" a="1"/>
  <c r="E51" i="103" s="1"/>
  <c r="D51" i="103" a="1"/>
  <c r="D51" i="103" s="1"/>
  <c r="G50" i="103" a="1"/>
  <c r="G50" i="103" s="1"/>
  <c r="F50" i="103" a="1"/>
  <c r="F50" i="103" s="1"/>
  <c r="E50" i="103" a="1"/>
  <c r="E50" i="103" s="1"/>
  <c r="D50" i="103" a="1"/>
  <c r="D50" i="103" s="1"/>
  <c r="G49" i="103" a="1"/>
  <c r="G49" i="103" s="1"/>
  <c r="F49" i="103" a="1"/>
  <c r="F49" i="103" s="1"/>
  <c r="E49" i="103" a="1"/>
  <c r="E49" i="103" s="1"/>
  <c r="D49" i="103" a="1"/>
  <c r="D49" i="103" s="1"/>
  <c r="G48" i="103" a="1"/>
  <c r="G48" i="103" s="1"/>
  <c r="F48" i="103" a="1"/>
  <c r="F48" i="103" s="1"/>
  <c r="E48" i="103" a="1"/>
  <c r="E48" i="103" s="1"/>
  <c r="D48" i="103" a="1"/>
  <c r="D48" i="103" s="1"/>
  <c r="D46" i="103" a="1"/>
  <c r="D46" i="103" s="1"/>
  <c r="D45" i="103" a="1"/>
  <c r="D45" i="103" s="1"/>
  <c r="E43" i="103" a="1"/>
  <c r="E43" i="103" s="1"/>
  <c r="D43" i="103" a="1"/>
  <c r="D43" i="103" s="1"/>
  <c r="E42" i="103" a="1"/>
  <c r="E42" i="103" s="1"/>
  <c r="D42" i="103" a="1"/>
  <c r="D42" i="103" s="1"/>
  <c r="E41" i="103" a="1"/>
  <c r="E41" i="103" s="1"/>
  <c r="D41" i="103" a="1"/>
  <c r="D41" i="103" s="1"/>
  <c r="E40" i="103" a="1"/>
  <c r="E40" i="103" s="1"/>
  <c r="D40" i="103" a="1"/>
  <c r="D40" i="103" s="1"/>
  <c r="E39" i="103" a="1"/>
  <c r="E39" i="103" s="1"/>
  <c r="D39" i="103" a="1"/>
  <c r="D39" i="103" s="1"/>
  <c r="E38" i="103" a="1"/>
  <c r="E38" i="103" s="1"/>
  <c r="D38" i="103" a="1"/>
  <c r="D38" i="103" s="1"/>
  <c r="E37" i="103" a="1"/>
  <c r="E37" i="103" s="1"/>
  <c r="D37" i="103" a="1"/>
  <c r="D37" i="103" s="1"/>
  <c r="D35" i="103" a="1"/>
  <c r="D35" i="103" s="1"/>
  <c r="D34" i="103" a="1"/>
  <c r="D34" i="103" s="1"/>
  <c r="D30" i="103" a="1"/>
  <c r="D30" i="103" s="1"/>
  <c r="D29" i="103" a="1"/>
  <c r="D29" i="103" s="1"/>
  <c r="D28" i="103" a="1"/>
  <c r="D28" i="103" s="1"/>
  <c r="D27" i="103" a="1"/>
  <c r="D27" i="103" s="1"/>
  <c r="D26" i="103" a="1"/>
  <c r="D26" i="103" s="1"/>
  <c r="D25" i="103" a="1"/>
  <c r="D25" i="103" s="1"/>
  <c r="D24" i="103" a="1"/>
  <c r="D24" i="103" s="1"/>
  <c r="D23" i="103" a="1"/>
  <c r="D23" i="103" s="1"/>
  <c r="D22" i="103" a="1"/>
  <c r="D22" i="103" s="1"/>
  <c r="D21" i="103" a="1"/>
  <c r="D21" i="103" s="1"/>
  <c r="D19" i="103" a="1"/>
  <c r="D19" i="103" s="1"/>
  <c r="D18" i="103" a="1"/>
  <c r="D18" i="103" s="1"/>
  <c r="F14" i="103" a="1"/>
  <c r="F14" i="103" s="1"/>
  <c r="E14" i="103" a="1"/>
  <c r="E14" i="103" s="1"/>
  <c r="D14" i="103" a="1"/>
  <c r="D14" i="103" s="1"/>
  <c r="F13" i="103" a="1"/>
  <c r="F13" i="103" s="1"/>
  <c r="E13" i="103" a="1"/>
  <c r="E13" i="103" s="1"/>
  <c r="D13" i="103" a="1"/>
  <c r="D13" i="103" s="1"/>
  <c r="F12" i="103" a="1"/>
  <c r="F12" i="103" s="1"/>
  <c r="E12" i="103" a="1"/>
  <c r="E12" i="103" s="1"/>
  <c r="D12" i="103" a="1"/>
  <c r="D12" i="103" s="1"/>
  <c r="F11" i="103" a="1"/>
  <c r="F11" i="103" s="1"/>
  <c r="E11" i="103" a="1"/>
  <c r="E11" i="103" s="1"/>
  <c r="D11" i="103" a="1"/>
  <c r="D11" i="103" s="1"/>
  <c r="F10" i="103" a="1"/>
  <c r="F10" i="103" s="1"/>
  <c r="E10" i="103" a="1"/>
  <c r="E10" i="103" s="1"/>
  <c r="D10" i="103" a="1"/>
  <c r="D10" i="103" s="1"/>
  <c r="F9" i="103" a="1"/>
  <c r="F9" i="103" s="1"/>
  <c r="E9" i="103" a="1"/>
  <c r="E9" i="103" s="1"/>
  <c r="D9" i="103" a="1"/>
  <c r="D9" i="103" s="1"/>
  <c r="F8" i="103" a="1"/>
  <c r="F8" i="103" s="1"/>
  <c r="E8" i="103" a="1"/>
  <c r="E8" i="103" s="1"/>
  <c r="D8" i="103" a="1"/>
  <c r="D8" i="103" s="1"/>
  <c r="F7" i="103" a="1"/>
  <c r="F7" i="103" s="1"/>
  <c r="E7" i="103" a="1"/>
  <c r="E7" i="103" s="1"/>
  <c r="D7" i="103" a="1"/>
  <c r="D7" i="103" s="1"/>
  <c r="D5" i="103" a="1"/>
  <c r="D5" i="103" s="1"/>
  <c r="G14" i="98" l="1"/>
  <c r="G103" i="97"/>
  <c r="D170" i="103"/>
  <c r="G41" i="98"/>
  <c r="H51" i="103"/>
  <c r="H49" i="103"/>
  <c r="H54" i="103"/>
  <c r="H50" i="103"/>
  <c r="G104" i="97" s="1"/>
  <c r="H52" i="103"/>
  <c r="H48" i="103"/>
  <c r="H53" i="103"/>
  <c r="H28" i="98" l="1" a="1"/>
  <c r="H28" i="98" s="1"/>
  <c r="G28" i="98" a="1"/>
  <c r="G28" i="98" s="1"/>
  <c r="E28" i="98" a="1"/>
  <c r="E28" i="98" s="1"/>
  <c r="F28" i="98" a="1"/>
  <c r="F28" i="98" s="1"/>
  <c r="O28" i="98" a="1"/>
  <c r="O28" i="98" s="1"/>
  <c r="P28" i="98" a="1"/>
  <c r="P28" i="98" s="1"/>
  <c r="N28" i="98" a="1"/>
  <c r="N28" i="98" s="1"/>
  <c r="Q28" i="98" a="1"/>
  <c r="Q28" i="98" s="1"/>
  <c r="G42" i="98"/>
  <c r="S50" i="105" l="1"/>
  <c r="S53" i="105"/>
  <c r="S52" i="105"/>
  <c r="S51" i="105"/>
  <c r="F50" i="105"/>
  <c r="F51" i="105"/>
  <c r="F52" i="105"/>
  <c r="F53" i="105"/>
  <c r="P50" i="105"/>
  <c r="P51" i="105"/>
  <c r="P53" i="105"/>
  <c r="P52" i="105"/>
  <c r="Q50" i="105"/>
  <c r="Q52" i="105"/>
  <c r="Q53" i="105"/>
  <c r="Q51" i="105"/>
  <c r="G50" i="105"/>
  <c r="G53" i="105"/>
  <c r="G52" i="105"/>
  <c r="G51" i="105"/>
  <c r="H50" i="105"/>
  <c r="H53" i="105"/>
  <c r="H52" i="105"/>
  <c r="H51" i="105"/>
  <c r="R50" i="105"/>
  <c r="R53" i="105"/>
  <c r="R52" i="105"/>
  <c r="R51" i="105"/>
  <c r="I53" i="105"/>
  <c r="I52" i="105"/>
  <c r="I50" i="105"/>
  <c r="I51" i="105"/>
  <c r="Q47" i="98" a="1"/>
  <c r="Q47" i="98" s="1"/>
  <c r="N47" i="98" a="1"/>
  <c r="N47" i="98" s="1"/>
  <c r="P47" i="98" a="1"/>
  <c r="P47" i="98" s="1"/>
  <c r="O47" i="98" a="1"/>
  <c r="O47" i="98" s="1"/>
  <c r="F47" i="98" a="1"/>
  <c r="F47" i="98" s="1"/>
  <c r="E47" i="98" a="1"/>
  <c r="E47" i="98" s="1"/>
  <c r="G47" i="98" a="1"/>
  <c r="G47" i="98" s="1"/>
  <c r="H47" i="98" a="1"/>
  <c r="H47" i="98" s="1"/>
  <c r="N49" i="98" l="1"/>
  <c r="P51" i="98" s="1"/>
  <c r="N54" i="98" s="1" a="1"/>
  <c r="N54" i="98" s="1"/>
  <c r="I10" i="13" s="1"/>
  <c r="E49" i="98"/>
  <c r="G51" i="98" s="1"/>
  <c r="E54" i="98" s="1" a="1"/>
  <c r="E54" i="98" s="1"/>
  <c r="H10" i="13" s="1"/>
  <c r="A39" i="74"/>
  <c r="A38" i="74"/>
  <c r="A37" i="74"/>
  <c r="A36" i="74"/>
  <c r="A33" i="74"/>
  <c r="A30" i="74"/>
  <c r="A29" i="74"/>
  <c r="A28" i="74"/>
  <c r="A27" i="74"/>
  <c r="A26" i="74"/>
  <c r="A25" i="74"/>
  <c r="A24" i="74"/>
  <c r="A19" i="74"/>
  <c r="A18" i="74"/>
  <c r="A15" i="74"/>
  <c r="A14" i="74"/>
  <c r="A13" i="74"/>
  <c r="A12" i="74"/>
  <c r="A11" i="74"/>
  <c r="A10" i="74"/>
  <c r="A9" i="74"/>
  <c r="A8" i="74"/>
  <c r="A7" i="74"/>
  <c r="A4" i="74"/>
  <c r="F27" i="43" l="1" a="1"/>
  <c r="F27" i="43" s="1"/>
  <c r="E27" i="43" a="1"/>
  <c r="E27" i="43" s="1"/>
  <c r="D27" i="43" a="1"/>
  <c r="D27" i="43" s="1"/>
  <c r="F26" i="43" a="1"/>
  <c r="F26" i="43" s="1"/>
  <c r="E26" i="43" a="1"/>
  <c r="E26" i="43" s="1"/>
  <c r="D26" i="43" a="1"/>
  <c r="D26" i="43" s="1"/>
  <c r="F25" i="43" a="1"/>
  <c r="F25" i="43" s="1"/>
  <c r="E25" i="43" a="1"/>
  <c r="E25" i="43" s="1"/>
  <c r="D25" i="43" a="1"/>
  <c r="D25" i="43" s="1"/>
  <c r="F24" i="43" a="1"/>
  <c r="F24" i="43" s="1"/>
  <c r="E24" i="43" a="1"/>
  <c r="E24" i="43" s="1"/>
  <c r="D24" i="43" a="1"/>
  <c r="D24" i="43" s="1"/>
  <c r="F23" i="43" a="1"/>
  <c r="F23" i="43" s="1"/>
  <c r="E23" i="43" a="1"/>
  <c r="E23" i="43" s="1"/>
  <c r="D23" i="43" a="1"/>
  <c r="D23" i="43" s="1"/>
  <c r="F22" i="43" a="1"/>
  <c r="F22" i="43" s="1"/>
  <c r="E22" i="43" a="1"/>
  <c r="E22" i="43" s="1"/>
  <c r="D22" i="43" a="1"/>
  <c r="D22" i="43" s="1"/>
  <c r="F21" i="43" a="1"/>
  <c r="F21" i="43" s="1"/>
  <c r="E21" i="43" a="1"/>
  <c r="E21" i="43" s="1"/>
  <c r="D21" i="43" a="1"/>
  <c r="D21" i="43" s="1"/>
  <c r="F20" i="43" a="1"/>
  <c r="F20" i="43" s="1"/>
  <c r="E20" i="43" a="1"/>
  <c r="E20" i="43" s="1"/>
  <c r="D20" i="43" a="1"/>
  <c r="D20" i="43" s="1"/>
  <c r="F19" i="43" a="1"/>
  <c r="F19" i="43" s="1"/>
  <c r="E19" i="43" a="1"/>
  <c r="E19" i="43" s="1"/>
  <c r="D19" i="43" a="1"/>
  <c r="D19" i="43" s="1"/>
  <c r="F18" i="43" a="1"/>
  <c r="F18" i="43" s="1"/>
  <c r="E18" i="43" a="1"/>
  <c r="E18" i="43" s="1"/>
  <c r="D18" i="43" a="1"/>
  <c r="D18" i="43" s="1"/>
  <c r="F17" i="43" a="1"/>
  <c r="F17" i="43" s="1"/>
  <c r="E17" i="43" a="1"/>
  <c r="E17" i="43" s="1"/>
  <c r="D17" i="43" a="1"/>
  <c r="D17" i="43" s="1"/>
  <c r="F16" i="43" a="1"/>
  <c r="F16" i="43" s="1"/>
  <c r="E16" i="43" a="1"/>
  <c r="E16" i="43" s="1"/>
  <c r="D16" i="43" a="1"/>
  <c r="D16" i="43" s="1"/>
  <c r="F15" i="43" a="1"/>
  <c r="F15" i="43" s="1"/>
  <c r="E15" i="43" a="1"/>
  <c r="E15" i="43" s="1"/>
  <c r="D15" i="43" a="1"/>
  <c r="D15" i="43" s="1"/>
  <c r="F14" i="43" a="1"/>
  <c r="F14" i="43" s="1"/>
  <c r="E14" i="43" a="1"/>
  <c r="E14" i="43" s="1"/>
  <c r="D14" i="43" a="1"/>
  <c r="D14" i="43" s="1"/>
  <c r="F13" i="43" a="1"/>
  <c r="F13" i="43" s="1"/>
  <c r="E13" i="43" a="1"/>
  <c r="E13" i="43" s="1"/>
  <c r="D13" i="43" a="1"/>
  <c r="D13" i="43" s="1"/>
  <c r="F12" i="43" a="1"/>
  <c r="F12" i="43" s="1"/>
  <c r="E12" i="43" a="1"/>
  <c r="E12" i="43" s="1"/>
  <c r="D12" i="43" a="1"/>
  <c r="D12" i="43" s="1"/>
  <c r="F11" i="43" a="1"/>
  <c r="F11" i="43" s="1"/>
  <c r="E11" i="43" a="1"/>
  <c r="E11" i="43" s="1"/>
  <c r="D11" i="43" a="1"/>
  <c r="D11" i="43" s="1"/>
  <c r="F10" i="43" a="1"/>
  <c r="F10" i="43" s="1"/>
  <c r="E10" i="43" a="1"/>
  <c r="E10" i="43" s="1"/>
  <c r="D10" i="43" a="1"/>
  <c r="D10" i="43" s="1"/>
  <c r="D8" i="43" a="1"/>
  <c r="D8" i="43" s="1"/>
  <c r="D7" i="43" a="1"/>
  <c r="D7" i="43" s="1"/>
  <c r="D6" i="43" a="1"/>
  <c r="D6" i="43" s="1"/>
  <c r="E29" i="15" l="1"/>
  <c r="N217" i="105" l="1"/>
  <c r="D217" i="105"/>
  <c r="D193" i="105"/>
  <c r="N160" i="105"/>
  <c r="D160" i="105"/>
  <c r="D190" i="105"/>
  <c r="D157" i="105"/>
  <c r="N214" i="105"/>
  <c r="N157" i="105"/>
  <c r="D214" i="105"/>
  <c r="N164" i="105"/>
  <c r="D164" i="105"/>
  <c r="N221" i="105"/>
  <c r="D197" i="105"/>
  <c r="D221" i="105"/>
  <c r="N170" i="105"/>
  <c r="D170" i="105"/>
  <c r="N227" i="105"/>
  <c r="D227" i="105"/>
  <c r="D203" i="105"/>
  <c r="D200" i="105"/>
  <c r="N167" i="105"/>
  <c r="D224" i="105"/>
  <c r="D167" i="105"/>
  <c r="N224" i="105"/>
  <c r="D29" i="105"/>
  <c r="N122" i="105"/>
  <c r="N54" i="105"/>
  <c r="D122" i="105"/>
  <c r="D107" i="105"/>
  <c r="E107" i="105" s="1" a="1"/>
  <c r="E107" i="105" s="1"/>
  <c r="D54" i="105"/>
  <c r="N29" i="105"/>
  <c r="D78" i="105"/>
  <c r="D97" i="105"/>
  <c r="E97" i="105" s="1" a="1"/>
  <c r="E97" i="105" s="1"/>
  <c r="N69" i="97"/>
  <c r="N29" i="97"/>
  <c r="D29" i="97"/>
  <c r="N47" i="105"/>
  <c r="D71" i="105"/>
  <c r="D105" i="105"/>
  <c r="E105" i="105" s="1" a="1"/>
  <c r="E105" i="105" s="1"/>
  <c r="D22" i="105"/>
  <c r="D95" i="105"/>
  <c r="E95" i="105" s="1" a="1"/>
  <c r="E95" i="105" s="1"/>
  <c r="D69" i="97"/>
  <c r="D115" i="105"/>
  <c r="D47" i="105"/>
  <c r="N115" i="105"/>
  <c r="N22" i="105"/>
  <c r="D25" i="105"/>
  <c r="D74" i="105"/>
  <c r="D106" i="105"/>
  <c r="E106" i="105" s="1" a="1"/>
  <c r="E106" i="105" s="1"/>
  <c r="D118" i="105"/>
  <c r="D50" i="105"/>
  <c r="N118" i="105"/>
  <c r="N25" i="105"/>
  <c r="N50" i="105"/>
  <c r="D96" i="105"/>
  <c r="E96" i="105" s="1" a="1"/>
  <c r="E96" i="105" s="1"/>
  <c r="D35" i="105"/>
  <c r="D109" i="105"/>
  <c r="E109" i="105" s="1" a="1"/>
  <c r="E109" i="105" s="1"/>
  <c r="D84" i="105"/>
  <c r="N60" i="105"/>
  <c r="D128" i="105"/>
  <c r="D60" i="105"/>
  <c r="N128" i="105"/>
  <c r="D99" i="105"/>
  <c r="E99" i="105" s="1" a="1"/>
  <c r="E99" i="105" s="1"/>
  <c r="N35" i="105"/>
  <c r="D32" i="105"/>
  <c r="N32" i="105"/>
  <c r="D108" i="105"/>
  <c r="E108" i="105" s="1" a="1"/>
  <c r="E108" i="105" s="1"/>
  <c r="D81" i="105"/>
  <c r="N57" i="105"/>
  <c r="D98" i="105"/>
  <c r="E98" i="105" s="1" a="1"/>
  <c r="E98" i="105" s="1"/>
  <c r="D125" i="105"/>
  <c r="D57" i="105"/>
  <c r="N125" i="105"/>
  <c r="N21" i="97"/>
  <c r="D76" i="97"/>
  <c r="D55" i="97"/>
  <c r="E55" i="97" s="1" a="1"/>
  <c r="E55" i="97" s="1"/>
  <c r="D65" i="97"/>
  <c r="D21" i="97"/>
  <c r="N36" i="97"/>
  <c r="N76" i="97"/>
  <c r="D51" i="70"/>
  <c r="N65" i="97"/>
  <c r="D36" i="97"/>
  <c r="D53" i="97"/>
  <c r="D63" i="97"/>
  <c r="D37" i="70"/>
  <c r="N19" i="97"/>
  <c r="N63" i="97"/>
  <c r="D19" i="97"/>
  <c r="D47" i="98"/>
  <c r="M28" i="98"/>
  <c r="D28" i="98"/>
  <c r="M47" i="98"/>
  <c r="M23" i="98"/>
  <c r="N20" i="97"/>
  <c r="D54" i="97"/>
  <c r="E54" i="97" s="1" a="1"/>
  <c r="E54" i="97" s="1"/>
  <c r="D32" i="97"/>
  <c r="N32" i="97"/>
  <c r="N72" i="97"/>
  <c r="N64" i="97"/>
  <c r="D23" i="98"/>
  <c r="D44" i="70"/>
  <c r="D72" i="97"/>
  <c r="D64" i="97"/>
  <c r="D20" i="97"/>
  <c r="N22" i="97"/>
  <c r="D22" i="97"/>
  <c r="D39" i="97"/>
  <c r="N66" i="97"/>
  <c r="N79" i="97"/>
  <c r="D56" i="97"/>
  <c r="E56" i="97" s="1" a="1"/>
  <c r="E56" i="97" s="1"/>
  <c r="D66" i="97"/>
  <c r="D79" i="97"/>
  <c r="N39" i="97"/>
  <c r="N67" i="97"/>
  <c r="N23" i="97"/>
  <c r="D82" i="97"/>
  <c r="D67" i="97"/>
  <c r="D23" i="97"/>
  <c r="N42" i="97"/>
  <c r="D42" i="97"/>
  <c r="N82" i="97"/>
  <c r="D57" i="97"/>
  <c r="E57" i="97" s="1" a="1"/>
  <c r="E57" i="97" s="1"/>
  <c r="E10" i="13"/>
  <c r="F10" i="13"/>
  <c r="E13" i="15"/>
  <c r="O229" i="105" l="1"/>
  <c r="E205" i="105"/>
  <c r="E229" i="105"/>
  <c r="O172" i="105"/>
  <c r="E172" i="105"/>
  <c r="O170" i="105"/>
  <c r="E170" i="105"/>
  <c r="O227" i="105"/>
  <c r="E227" i="105"/>
  <c r="E203" i="105"/>
  <c r="E225" i="105"/>
  <c r="E168" i="105"/>
  <c r="O168" i="105"/>
  <c r="O225" i="105"/>
  <c r="E201" i="105"/>
  <c r="E165" i="105"/>
  <c r="E198" i="105"/>
  <c r="E222" i="105"/>
  <c r="O222" i="105"/>
  <c r="O165" i="105"/>
  <c r="O158" i="105"/>
  <c r="E158" i="105"/>
  <c r="O215" i="105"/>
  <c r="E215" i="105"/>
  <c r="E191" i="105"/>
  <c r="E169" i="105"/>
  <c r="O226" i="105"/>
  <c r="O169" i="105"/>
  <c r="E202" i="105"/>
  <c r="E226" i="105"/>
  <c r="E200" i="105"/>
  <c r="E224" i="105"/>
  <c r="O167" i="105"/>
  <c r="E167" i="105"/>
  <c r="O224" i="105"/>
  <c r="O157" i="105"/>
  <c r="O214" i="105"/>
  <c r="E157" i="105"/>
  <c r="E190" i="105"/>
  <c r="E214" i="105"/>
  <c r="E159" i="105"/>
  <c r="O216" i="105"/>
  <c r="E216" i="105"/>
  <c r="O159" i="105"/>
  <c r="E192" i="105"/>
  <c r="E230" i="105"/>
  <c r="O173" i="105"/>
  <c r="E206" i="105"/>
  <c r="E173" i="105"/>
  <c r="G173" i="105" s="1" a="1"/>
  <c r="G173" i="105" s="1"/>
  <c r="O230" i="105"/>
  <c r="E231" i="105"/>
  <c r="G231" i="105" s="1" a="1"/>
  <c r="G231" i="105" s="1"/>
  <c r="O174" i="105"/>
  <c r="Q174" i="105" s="1" a="1"/>
  <c r="Q174" i="105" s="1"/>
  <c r="E174" i="105"/>
  <c r="H174" i="105" s="1" a="1"/>
  <c r="H174" i="105" s="1"/>
  <c r="E207" i="105"/>
  <c r="O231" i="105"/>
  <c r="O220" i="105"/>
  <c r="O163" i="105"/>
  <c r="E196" i="105"/>
  <c r="E163" i="105"/>
  <c r="E220" i="105"/>
  <c r="O164" i="105"/>
  <c r="E164" i="105"/>
  <c r="E197" i="105"/>
  <c r="O221" i="105"/>
  <c r="E221" i="105"/>
  <c r="O217" i="105"/>
  <c r="E217" i="105"/>
  <c r="O160" i="105"/>
  <c r="E160" i="105"/>
  <c r="E193" i="105"/>
  <c r="E175" i="105"/>
  <c r="O175" i="105"/>
  <c r="E208" i="105"/>
  <c r="O232" i="105"/>
  <c r="E232" i="105"/>
  <c r="G232" i="105" s="1" a="1"/>
  <c r="G232" i="105" s="1"/>
  <c r="E171" i="105"/>
  <c r="O228" i="105"/>
  <c r="E228" i="105"/>
  <c r="O171" i="105"/>
  <c r="E204" i="105"/>
  <c r="E218" i="105"/>
  <c r="O161" i="105"/>
  <c r="E194" i="105"/>
  <c r="E161" i="105"/>
  <c r="O218" i="105"/>
  <c r="O176" i="105"/>
  <c r="E209" i="105"/>
  <c r="E176" i="105"/>
  <c r="H176" i="105" s="1" a="1"/>
  <c r="H176" i="105" s="1"/>
  <c r="O233" i="105"/>
  <c r="E233" i="105"/>
  <c r="H233" i="105" s="1" a="1"/>
  <c r="H233" i="105" s="1"/>
  <c r="E219" i="105"/>
  <c r="E195" i="105"/>
  <c r="E162" i="105"/>
  <c r="O162" i="105"/>
  <c r="O219" i="105"/>
  <c r="O223" i="105"/>
  <c r="E199" i="105"/>
  <c r="E223" i="105"/>
  <c r="E166" i="105"/>
  <c r="O166" i="105"/>
  <c r="P176" i="105" a="1"/>
  <c r="P176" i="105" s="1"/>
  <c r="S176" i="105" a="1"/>
  <c r="S176" i="105" s="1"/>
  <c r="R176" i="105" a="1"/>
  <c r="R176" i="105" s="1"/>
  <c r="Q176" i="105" a="1"/>
  <c r="Q176" i="105" s="1"/>
  <c r="Q233" i="105" a="1"/>
  <c r="Q233" i="105" s="1"/>
  <c r="I176" i="105" a="1"/>
  <c r="I176" i="105" s="1"/>
  <c r="F232" i="105" a="1"/>
  <c r="F232" i="105" s="1"/>
  <c r="F175" i="105" a="1"/>
  <c r="F175" i="105" s="1"/>
  <c r="Q175" i="105" a="1"/>
  <c r="Q175" i="105" s="1"/>
  <c r="G175" i="105" a="1"/>
  <c r="G175" i="105" s="1"/>
  <c r="H175" i="105" a="1"/>
  <c r="H175" i="105" s="1"/>
  <c r="H232" i="105" a="1"/>
  <c r="H232" i="105" s="1"/>
  <c r="I175" i="105" a="1"/>
  <c r="I175" i="105" s="1"/>
  <c r="P175" i="105" a="1"/>
  <c r="P175" i="105" s="1"/>
  <c r="S175" i="105" a="1"/>
  <c r="S175" i="105" s="1"/>
  <c r="R175" i="105" a="1"/>
  <c r="R175" i="105" s="1"/>
  <c r="F230" i="105" a="1"/>
  <c r="F230" i="105" s="1"/>
  <c r="P230" i="105" a="1"/>
  <c r="P230" i="105" s="1"/>
  <c r="P173" i="105" a="1"/>
  <c r="P173" i="105" s="1"/>
  <c r="S173" i="105" a="1"/>
  <c r="S173" i="105" s="1"/>
  <c r="Q173" i="105" a="1"/>
  <c r="Q173" i="105" s="1"/>
  <c r="R230" i="105" a="1"/>
  <c r="R230" i="105" s="1"/>
  <c r="Q230" i="105" a="1"/>
  <c r="Q230" i="105" s="1"/>
  <c r="S230" i="105" a="1"/>
  <c r="S230" i="105" s="1"/>
  <c r="R173" i="105" a="1"/>
  <c r="R173" i="105" s="1"/>
  <c r="I230" i="105" a="1"/>
  <c r="I230" i="105" s="1"/>
  <c r="G230" i="105" a="1"/>
  <c r="G230" i="105" s="1"/>
  <c r="H230" i="105" a="1"/>
  <c r="H230" i="105" s="1"/>
  <c r="E27" i="105"/>
  <c r="E120" i="105"/>
  <c r="E52" i="105"/>
  <c r="O120" i="105"/>
  <c r="O52" i="105"/>
  <c r="O27" i="105"/>
  <c r="E76" i="105"/>
  <c r="E34" i="105"/>
  <c r="E83" i="105"/>
  <c r="O59" i="105"/>
  <c r="O34" i="105"/>
  <c r="E127" i="105"/>
  <c r="E59" i="105"/>
  <c r="O127" i="105"/>
  <c r="E35" i="105"/>
  <c r="E84" i="105"/>
  <c r="O60" i="105"/>
  <c r="E128" i="105"/>
  <c r="E60" i="105"/>
  <c r="O128" i="105"/>
  <c r="O35" i="105"/>
  <c r="E30" i="105"/>
  <c r="E123" i="105"/>
  <c r="E55" i="105"/>
  <c r="O123" i="105"/>
  <c r="E79" i="105"/>
  <c r="O55" i="105"/>
  <c r="O30" i="105"/>
  <c r="E23" i="105"/>
  <c r="O48" i="105"/>
  <c r="E72" i="105"/>
  <c r="O23" i="105"/>
  <c r="E116" i="105"/>
  <c r="E48" i="105"/>
  <c r="O116" i="105"/>
  <c r="E24" i="105"/>
  <c r="O24" i="105"/>
  <c r="E73" i="105"/>
  <c r="E117" i="105"/>
  <c r="O117" i="105"/>
  <c r="O49" i="105"/>
  <c r="E49" i="105"/>
  <c r="E33" i="105"/>
  <c r="E82" i="105"/>
  <c r="O58" i="105"/>
  <c r="O33" i="105"/>
  <c r="E126" i="105"/>
  <c r="E58" i="105"/>
  <c r="O126" i="105"/>
  <c r="E25" i="105"/>
  <c r="E118" i="105"/>
  <c r="E50" i="105"/>
  <c r="O118" i="105"/>
  <c r="O25" i="105"/>
  <c r="O50" i="105"/>
  <c r="E74" i="105"/>
  <c r="E29" i="105"/>
  <c r="O54" i="105"/>
  <c r="E122" i="105"/>
  <c r="E54" i="105"/>
  <c r="E78" i="105"/>
  <c r="O122" i="105"/>
  <c r="O29" i="105"/>
  <c r="E32" i="105"/>
  <c r="O32" i="105"/>
  <c r="E81" i="105"/>
  <c r="O57" i="105"/>
  <c r="O125" i="105"/>
  <c r="E125" i="105"/>
  <c r="E57" i="105"/>
  <c r="E22" i="105"/>
  <c r="O47" i="105"/>
  <c r="E71" i="105"/>
  <c r="E115" i="105"/>
  <c r="E47" i="105"/>
  <c r="O115" i="105"/>
  <c r="O22" i="105"/>
  <c r="E38" i="105"/>
  <c r="E131" i="105"/>
  <c r="E63" i="105"/>
  <c r="O63" i="105"/>
  <c r="O131" i="105"/>
  <c r="O38" i="105"/>
  <c r="E87" i="105"/>
  <c r="E39" i="105"/>
  <c r="O132" i="105"/>
  <c r="E132" i="105"/>
  <c r="E64" i="105"/>
  <c r="O39" i="105"/>
  <c r="O64" i="105"/>
  <c r="E88" i="105"/>
  <c r="E36" i="105"/>
  <c r="E129" i="105"/>
  <c r="E61" i="105"/>
  <c r="O129" i="105"/>
  <c r="O36" i="105"/>
  <c r="E85" i="105"/>
  <c r="O61" i="105"/>
  <c r="E41" i="105"/>
  <c r="E134" i="105"/>
  <c r="E66" i="105"/>
  <c r="O134" i="105"/>
  <c r="O66" i="105"/>
  <c r="E90" i="105"/>
  <c r="O41" i="105"/>
  <c r="R68" i="97" a="1"/>
  <c r="R68" i="97" s="1"/>
  <c r="P68" i="97" a="1"/>
  <c r="P68" i="97" s="1"/>
  <c r="Q68" i="97" a="1"/>
  <c r="Q68" i="97" s="1"/>
  <c r="S68" i="97" a="1"/>
  <c r="S68" i="97" s="1"/>
  <c r="E26" i="105"/>
  <c r="E51" i="105"/>
  <c r="O51" i="105"/>
  <c r="O26" i="105"/>
  <c r="E119" i="105"/>
  <c r="O119" i="105"/>
  <c r="E75" i="105"/>
  <c r="E40" i="105"/>
  <c r="O40" i="105"/>
  <c r="E133" i="105"/>
  <c r="E65" i="105"/>
  <c r="O133" i="105"/>
  <c r="O65" i="105"/>
  <c r="E89" i="105"/>
  <c r="E31" i="105"/>
  <c r="O124" i="105"/>
  <c r="O31" i="105"/>
  <c r="E80" i="105"/>
  <c r="E124" i="105"/>
  <c r="O56" i="105"/>
  <c r="E56" i="105"/>
  <c r="E28" i="105"/>
  <c r="E121" i="105"/>
  <c r="E53" i="105"/>
  <c r="O121" i="105"/>
  <c r="O53" i="105"/>
  <c r="O28" i="105"/>
  <c r="E77" i="105"/>
  <c r="E37" i="105"/>
  <c r="O37" i="105"/>
  <c r="E62" i="105"/>
  <c r="E130" i="105"/>
  <c r="O130" i="105"/>
  <c r="E86" i="105"/>
  <c r="O62" i="105"/>
  <c r="O39" i="97"/>
  <c r="E39" i="97"/>
  <c r="E79" i="97"/>
  <c r="O79" i="97"/>
  <c r="O85" i="97"/>
  <c r="E45" i="97"/>
  <c r="E85" i="97"/>
  <c r="O45" i="97"/>
  <c r="O69" i="97"/>
  <c r="E69" i="97"/>
  <c r="O29" i="97"/>
  <c r="E29" i="97"/>
  <c r="E47" i="97"/>
  <c r="O47" i="97"/>
  <c r="O87" i="97"/>
  <c r="E87" i="97"/>
  <c r="O78" i="97"/>
  <c r="E78" i="97"/>
  <c r="O38" i="97"/>
  <c r="E38" i="97"/>
  <c r="F68" i="97" a="1"/>
  <c r="F68" i="97" s="1"/>
  <c r="I68" i="97" a="1"/>
  <c r="I68" i="97" s="1"/>
  <c r="E53" i="97" a="1"/>
  <c r="E53" i="97" s="1"/>
  <c r="Q63" i="97" s="1" a="1"/>
  <c r="Q63" i="97" s="1"/>
  <c r="G68" i="97" a="1"/>
  <c r="G68" i="97" s="1"/>
  <c r="H68" i="97" a="1"/>
  <c r="H68" i="97" s="1"/>
  <c r="E86" i="97"/>
  <c r="E46" i="97"/>
  <c r="O46" i="97"/>
  <c r="O86" i="97"/>
  <c r="E48" i="97"/>
  <c r="O48" i="97"/>
  <c r="O88" i="97"/>
  <c r="E88" i="97"/>
  <c r="E34" i="97"/>
  <c r="E74" i="97"/>
  <c r="O34" i="97"/>
  <c r="O74" i="97"/>
  <c r="O43" i="97"/>
  <c r="E43" i="97"/>
  <c r="O83" i="97"/>
  <c r="E83" i="97"/>
  <c r="O42" i="97"/>
  <c r="E82" i="97"/>
  <c r="O82" i="97"/>
  <c r="E42" i="97"/>
  <c r="O73" i="97"/>
  <c r="E73" i="97"/>
  <c r="E33" i="97"/>
  <c r="O33" i="97"/>
  <c r="O40" i="97"/>
  <c r="E40" i="97"/>
  <c r="O80" i="97"/>
  <c r="E80" i="97"/>
  <c r="E44" i="97"/>
  <c r="E84" i="97"/>
  <c r="O44" i="97"/>
  <c r="O84" i="97"/>
  <c r="F66" i="97" a="1"/>
  <c r="F66" i="97" s="1"/>
  <c r="I66" i="97" a="1"/>
  <c r="I66" i="97" s="1"/>
  <c r="O35" i="97"/>
  <c r="O75" i="97"/>
  <c r="E75" i="97"/>
  <c r="E35" i="97"/>
  <c r="H64" i="97" a="1"/>
  <c r="H64" i="97" s="1"/>
  <c r="G64" i="97" a="1"/>
  <c r="G64" i="97" s="1"/>
  <c r="E41" i="97"/>
  <c r="O81" i="97"/>
  <c r="E81" i="97"/>
  <c r="O41" i="97"/>
  <c r="E37" i="97"/>
  <c r="O37" i="97"/>
  <c r="O77" i="97"/>
  <c r="E77" i="97"/>
  <c r="E31" i="97"/>
  <c r="O71" i="97"/>
  <c r="E71" i="97"/>
  <c r="O31" i="97"/>
  <c r="O76" i="97"/>
  <c r="O36" i="97"/>
  <c r="E76" i="97"/>
  <c r="E36" i="97"/>
  <c r="O72" i="97"/>
  <c r="E72" i="97"/>
  <c r="E32" i="97"/>
  <c r="O32" i="97"/>
  <c r="F65" i="97" a="1"/>
  <c r="F65" i="97" s="1"/>
  <c r="I65" i="97" a="1"/>
  <c r="I65" i="97" s="1"/>
  <c r="G65" i="97" a="1"/>
  <c r="G65" i="97" s="1"/>
  <c r="H65" i="97" a="1"/>
  <c r="H65" i="97" s="1"/>
  <c r="O70" i="97"/>
  <c r="O30" i="97"/>
  <c r="E30" i="97"/>
  <c r="E70" i="97"/>
  <c r="I63" i="97" l="1" a="1"/>
  <c r="I63" i="97" s="1"/>
  <c r="R232" i="105" a="1"/>
  <c r="R232" i="105" s="1"/>
  <c r="S232" i="105" a="1"/>
  <c r="S232" i="105" s="1"/>
  <c r="P232" i="105" a="1"/>
  <c r="P232" i="105" s="1"/>
  <c r="R174" i="105" a="1"/>
  <c r="R174" i="105" s="1"/>
  <c r="S174" i="105" a="1"/>
  <c r="S174" i="105" s="1"/>
  <c r="I232" i="105" a="1"/>
  <c r="I232" i="105" s="1"/>
  <c r="I233" i="105" a="1"/>
  <c r="I233" i="105" s="1"/>
  <c r="I173" i="105" a="1"/>
  <c r="I173" i="105" s="1"/>
  <c r="P233" i="105" a="1"/>
  <c r="P233" i="105" s="1"/>
  <c r="S233" i="105" a="1"/>
  <c r="S233" i="105" s="1"/>
  <c r="F173" i="105" a="1"/>
  <c r="F173" i="105" s="1"/>
  <c r="H173" i="105" a="1"/>
  <c r="H173" i="105" s="1"/>
  <c r="P174" i="105" a="1"/>
  <c r="P174" i="105" s="1"/>
  <c r="Q232" i="105" a="1"/>
  <c r="Q232" i="105" s="1"/>
  <c r="G176" i="105" a="1"/>
  <c r="G176" i="105" s="1"/>
  <c r="I231" i="105" a="1"/>
  <c r="I231" i="105" s="1"/>
  <c r="I174" i="105" a="1"/>
  <c r="I174" i="105" s="1"/>
  <c r="S231" i="105" a="1"/>
  <c r="S231" i="105" s="1"/>
  <c r="P231" i="105" a="1"/>
  <c r="P231" i="105" s="1"/>
  <c r="Q231" i="105" a="1"/>
  <c r="Q231" i="105" s="1"/>
  <c r="R231" i="105" a="1"/>
  <c r="R231" i="105" s="1"/>
  <c r="F231" i="105" a="1"/>
  <c r="F231" i="105" s="1"/>
  <c r="H231" i="105" a="1"/>
  <c r="H231" i="105" s="1"/>
  <c r="G174" i="105" a="1"/>
  <c r="G174" i="105" s="1"/>
  <c r="F174" i="105" a="1"/>
  <c r="F174" i="105" s="1"/>
  <c r="R233" i="105" a="1"/>
  <c r="R233" i="105" s="1"/>
  <c r="F233" i="105" a="1"/>
  <c r="F233" i="105" s="1"/>
  <c r="G233" i="105" a="1"/>
  <c r="G233" i="105" s="1"/>
  <c r="F176" i="105" a="1"/>
  <c r="F176" i="105" s="1"/>
  <c r="P64" i="97" a="1"/>
  <c r="P64" i="97" s="1"/>
  <c r="Q64" i="97" a="1"/>
  <c r="Q64" i="97" s="1"/>
  <c r="P65" i="97" a="1"/>
  <c r="P65" i="97" s="1"/>
  <c r="R64" i="97" a="1"/>
  <c r="R64" i="97" s="1"/>
  <c r="R65" i="97" a="1"/>
  <c r="R65" i="97" s="1"/>
  <c r="Q67" i="97" a="1"/>
  <c r="Q67" i="97" s="1"/>
  <c r="S64" i="97" a="1"/>
  <c r="S64" i="97" s="1"/>
  <c r="Q65" i="97" a="1"/>
  <c r="Q65" i="97" s="1"/>
  <c r="R67" i="97" a="1"/>
  <c r="R67" i="97" s="1"/>
  <c r="F64" i="97" a="1"/>
  <c r="F64" i="97" s="1"/>
  <c r="S65" i="97" a="1"/>
  <c r="S65" i="97" s="1"/>
  <c r="S67" i="97" a="1"/>
  <c r="S67" i="97" s="1"/>
  <c r="Q66" i="97" a="1"/>
  <c r="Q66" i="97" s="1"/>
  <c r="P67" i="97" a="1"/>
  <c r="P67" i="97" s="1"/>
  <c r="I64" i="97" a="1"/>
  <c r="I64" i="97" s="1"/>
  <c r="F67" i="97" a="1"/>
  <c r="F67" i="97" s="1"/>
  <c r="R66" i="97" a="1"/>
  <c r="R66" i="97" s="1"/>
  <c r="I67" i="97" a="1"/>
  <c r="I67" i="97" s="1"/>
  <c r="S66" i="97" a="1"/>
  <c r="S66" i="97" s="1"/>
  <c r="G67" i="97" a="1"/>
  <c r="G67" i="97" s="1"/>
  <c r="P66" i="97" a="1"/>
  <c r="P66" i="97" s="1"/>
  <c r="G66" i="97" a="1"/>
  <c r="G66" i="97" s="1"/>
  <c r="H67" i="97" a="1"/>
  <c r="H67" i="97" s="1"/>
  <c r="H66" i="97" a="1"/>
  <c r="H66" i="97" s="1"/>
  <c r="H63" i="97" a="1"/>
  <c r="H63" i="97" s="1"/>
  <c r="G63" i="97" a="1"/>
  <c r="G63" i="97" s="1"/>
  <c r="F63" i="97" a="1"/>
  <c r="F63" i="97" s="1"/>
  <c r="R131" i="105" a="1"/>
  <c r="R131" i="105" s="1"/>
  <c r="S131" i="105" a="1"/>
  <c r="S131" i="105" s="1"/>
  <c r="Q131" i="105" a="1"/>
  <c r="Q131" i="105" s="1"/>
  <c r="P131" i="105" a="1"/>
  <c r="P131" i="105" s="1"/>
  <c r="S87" i="97" a="1"/>
  <c r="S87" i="97" s="1"/>
  <c r="R87" i="97" a="1"/>
  <c r="R87" i="97" s="1"/>
  <c r="Q87" i="97" a="1"/>
  <c r="Q87" i="97" s="1"/>
  <c r="P87" i="97" a="1"/>
  <c r="P87" i="97" s="1"/>
  <c r="F133" i="105" a="1"/>
  <c r="F133" i="105" s="1"/>
  <c r="I133" i="105" a="1"/>
  <c r="I133" i="105" s="1"/>
  <c r="H133" i="105" a="1"/>
  <c r="H133" i="105" s="1"/>
  <c r="G133" i="105" a="1"/>
  <c r="G133" i="105" s="1"/>
  <c r="S88" i="97" a="1"/>
  <c r="S88" i="97" s="1"/>
  <c r="R88" i="97" a="1"/>
  <c r="R88" i="97" s="1"/>
  <c r="Q88" i="97" a="1"/>
  <c r="Q88" i="97" s="1"/>
  <c r="P88" i="97" a="1"/>
  <c r="P88" i="97" s="1"/>
  <c r="P86" i="97" a="1"/>
  <c r="P86" i="97" s="1"/>
  <c r="Q86" i="97" a="1"/>
  <c r="Q86" i="97" s="1"/>
  <c r="R86" i="97" a="1"/>
  <c r="R86" i="97" s="1"/>
  <c r="S86" i="97" a="1"/>
  <c r="S86" i="97" s="1"/>
  <c r="F131" i="105" a="1"/>
  <c r="F131" i="105" s="1"/>
  <c r="I131" i="105" a="1"/>
  <c r="I131" i="105" s="1"/>
  <c r="H131" i="105" a="1"/>
  <c r="H131" i="105" s="1"/>
  <c r="G131" i="105" a="1"/>
  <c r="G131" i="105" s="1"/>
  <c r="S85" i="97" a="1"/>
  <c r="S85" i="97" s="1"/>
  <c r="Q85" i="97" a="1"/>
  <c r="Q85" i="97" s="1"/>
  <c r="R85" i="97" a="1"/>
  <c r="R85" i="97" s="1"/>
  <c r="P85" i="97" a="1"/>
  <c r="P85" i="97" s="1"/>
  <c r="S134" i="105" a="1"/>
  <c r="S134" i="105" s="1"/>
  <c r="R134" i="105" a="1"/>
  <c r="R134" i="105" s="1"/>
  <c r="Q134" i="105" a="1"/>
  <c r="Q134" i="105" s="1"/>
  <c r="P134" i="105" a="1"/>
  <c r="P134" i="105" s="1"/>
  <c r="G132" i="105" a="1"/>
  <c r="G132" i="105" s="1"/>
  <c r="H132" i="105" a="1"/>
  <c r="H132" i="105" s="1"/>
  <c r="F132" i="105" a="1"/>
  <c r="F132" i="105" s="1"/>
  <c r="I132" i="105" a="1"/>
  <c r="I132" i="105" s="1"/>
  <c r="R63" i="97" a="1"/>
  <c r="R63" i="97" s="1"/>
  <c r="F134" i="105" a="1"/>
  <c r="F134" i="105" s="1"/>
  <c r="G134" i="105" a="1"/>
  <c r="G134" i="105" s="1"/>
  <c r="I134" i="105" a="1"/>
  <c r="I134" i="105" s="1"/>
  <c r="H134" i="105" a="1"/>
  <c r="H134" i="105" s="1"/>
  <c r="Q132" i="105" a="1"/>
  <c r="Q132" i="105" s="1"/>
  <c r="P132" i="105" a="1"/>
  <c r="P132" i="105" s="1"/>
  <c r="S132" i="105" a="1"/>
  <c r="S132" i="105" s="1"/>
  <c r="R132" i="105" a="1"/>
  <c r="R132" i="105" s="1"/>
  <c r="P63" i="97" a="1"/>
  <c r="P63" i="97" s="1"/>
  <c r="S63" i="97" a="1"/>
  <c r="S63" i="97" s="1"/>
  <c r="Q133" i="105" a="1"/>
  <c r="Q133" i="105" s="1"/>
  <c r="S133" i="105" a="1"/>
  <c r="S133" i="105" s="1"/>
  <c r="R133" i="105" a="1"/>
  <c r="R133" i="105" s="1"/>
  <c r="P133" i="105" a="1"/>
  <c r="P133" i="105" s="1"/>
  <c r="H88" i="97" a="1"/>
  <c r="H88" i="97" s="1"/>
  <c r="G88" i="97" a="1"/>
  <c r="G88" i="97" s="1"/>
  <c r="F88" i="97" a="1"/>
  <c r="F88" i="97" s="1"/>
  <c r="I88" i="97" a="1"/>
  <c r="I88" i="97" s="1"/>
  <c r="F87" i="97" a="1"/>
  <c r="F87" i="97" s="1"/>
  <c r="H87" i="97" a="1"/>
  <c r="H87" i="97" s="1"/>
  <c r="G87" i="97" a="1"/>
  <c r="G87" i="97" s="1"/>
  <c r="I87" i="97" a="1"/>
  <c r="I87" i="97" s="1"/>
  <c r="I85" i="97" a="1"/>
  <c r="I85" i="97" s="1"/>
  <c r="H85" i="97" a="1"/>
  <c r="H85" i="97" s="1"/>
  <c r="F85" i="97" a="1"/>
  <c r="F85" i="97" s="1"/>
  <c r="G85" i="97" a="1"/>
  <c r="G85" i="97" s="1"/>
  <c r="F86" i="97" a="1"/>
  <c r="F86" i="97" s="1"/>
  <c r="H86" i="97" a="1"/>
  <c r="H86" i="97" s="1"/>
  <c r="I86" i="97" a="1"/>
  <c r="I86" i="97" s="1"/>
  <c r="G86" i="97" a="1"/>
  <c r="G86" i="97" s="1"/>
  <c r="R32" i="97" l="1"/>
  <c r="R72" i="97" s="1" a="1"/>
  <c r="R72" i="97" s="1"/>
  <c r="R25" i="105"/>
  <c r="P39" i="97"/>
  <c r="P79" i="97" s="1" a="1"/>
  <c r="P79" i="97" s="1"/>
  <c r="P32" i="105"/>
  <c r="P33" i="97"/>
  <c r="P73" i="97" s="1" a="1"/>
  <c r="P73" i="97" s="1"/>
  <c r="P26" i="105"/>
  <c r="R37" i="97"/>
  <c r="R77" i="97" s="1" a="1"/>
  <c r="R77" i="97" s="1"/>
  <c r="R30" i="105"/>
  <c r="S43" i="97"/>
  <c r="S83" i="97" s="1" a="1"/>
  <c r="S83" i="97" s="1"/>
  <c r="S36" i="105"/>
  <c r="P44" i="97"/>
  <c r="P84" i="97" s="1" a="1"/>
  <c r="P84" i="97" s="1"/>
  <c r="P37" i="105"/>
  <c r="Q33" i="97"/>
  <c r="Q73" i="97" s="1" a="1"/>
  <c r="Q73" i="97" s="1"/>
  <c r="Q26" i="105"/>
  <c r="P35" i="97"/>
  <c r="P75" i="97" s="1" a="1"/>
  <c r="P75" i="97" s="1"/>
  <c r="P28" i="105"/>
  <c r="S44" i="97"/>
  <c r="S84" i="97" s="1" a="1"/>
  <c r="S84" i="97" s="1"/>
  <c r="S37" i="105"/>
  <c r="P42" i="97"/>
  <c r="P82" i="97" s="1" a="1"/>
  <c r="P82" i="97" s="1"/>
  <c r="P35" i="105"/>
  <c r="R33" i="97"/>
  <c r="R73" i="97" s="1" a="1"/>
  <c r="R73" i="97" s="1"/>
  <c r="R26" i="105"/>
  <c r="P40" i="97"/>
  <c r="P80" i="97" s="1" a="1"/>
  <c r="P80" i="97" s="1"/>
  <c r="P33" i="105"/>
  <c r="P34" i="97"/>
  <c r="P74" i="97" s="1" a="1"/>
  <c r="P74" i="97" s="1"/>
  <c r="P27" i="105"/>
  <c r="S42" i="97"/>
  <c r="S82" i="97" s="1" a="1"/>
  <c r="S82" i="97" s="1"/>
  <c r="S35" i="105"/>
  <c r="P43" i="97"/>
  <c r="P83" i="97" s="1" a="1"/>
  <c r="P83" i="97" s="1"/>
  <c r="P36" i="105"/>
  <c r="S40" i="97"/>
  <c r="S80" i="97" s="1" a="1"/>
  <c r="S80" i="97" s="1"/>
  <c r="S33" i="105"/>
  <c r="R42" i="97"/>
  <c r="R82" i="97" s="1" a="1"/>
  <c r="R82" i="97" s="1"/>
  <c r="R35" i="105"/>
  <c r="P32" i="97"/>
  <c r="P72" i="97" s="1" a="1"/>
  <c r="P72" i="97" s="1"/>
  <c r="P25" i="105"/>
  <c r="S39" i="97"/>
  <c r="S79" i="97" s="1" a="1"/>
  <c r="S79" i="97" s="1"/>
  <c r="S32" i="105"/>
  <c r="Q37" i="97"/>
  <c r="Q77" i="97" s="1" a="1"/>
  <c r="Q77" i="97" s="1"/>
  <c r="Q30" i="105"/>
  <c r="Q31" i="97"/>
  <c r="Q71" i="97" s="1" a="1"/>
  <c r="Q71" i="97" s="1"/>
  <c r="Q24" i="105"/>
  <c r="R44" i="97"/>
  <c r="R84" i="97" s="1" a="1"/>
  <c r="R84" i="97" s="1"/>
  <c r="R37" i="105"/>
  <c r="Q43" i="97"/>
  <c r="Q83" i="97" s="1" a="1"/>
  <c r="Q83" i="97" s="1"/>
  <c r="Q36" i="105"/>
  <c r="R34" i="97"/>
  <c r="R74" i="97" s="1" a="1"/>
  <c r="R74" i="97" s="1"/>
  <c r="R27" i="105"/>
  <c r="R38" i="97"/>
  <c r="R78" i="97" s="1" a="1"/>
  <c r="R78" i="97" s="1"/>
  <c r="R31" i="105"/>
  <c r="R35" i="97"/>
  <c r="R75" i="97" s="1" a="1"/>
  <c r="R75" i="97" s="1"/>
  <c r="R28" i="105"/>
  <c r="P41" i="97"/>
  <c r="P81" i="97" s="1" a="1"/>
  <c r="P81" i="97" s="1"/>
  <c r="P34" i="105"/>
  <c r="S41" i="97"/>
  <c r="S81" i="97" s="1" a="1"/>
  <c r="S81" i="97" s="1"/>
  <c r="S34" i="105"/>
  <c r="Q36" i="97"/>
  <c r="Q76" i="97" s="1" a="1"/>
  <c r="Q76" i="97" s="1"/>
  <c r="Q29" i="105"/>
  <c r="Q40" i="97"/>
  <c r="Q80" i="97" s="1" a="1"/>
  <c r="Q80" i="97" s="1"/>
  <c r="Q33" i="105"/>
  <c r="Q38" i="97"/>
  <c r="Q78" i="97" s="1" a="1"/>
  <c r="Q78" i="97" s="1"/>
  <c r="Q31" i="105"/>
  <c r="Q29" i="97"/>
  <c r="Q69" i="97" s="1" a="1"/>
  <c r="Q69" i="97" s="1"/>
  <c r="Q22" i="105"/>
  <c r="R43" i="97"/>
  <c r="R83" i="97" s="1" a="1"/>
  <c r="R83" i="97" s="1"/>
  <c r="R36" i="105"/>
  <c r="P37" i="97"/>
  <c r="P77" i="97" s="1" a="1"/>
  <c r="P77" i="97" s="1"/>
  <c r="P30" i="105"/>
  <c r="Q41" i="97"/>
  <c r="Q81" i="97" s="1" a="1"/>
  <c r="Q81" i="97" s="1"/>
  <c r="Q34" i="105"/>
  <c r="R36" i="97"/>
  <c r="R76" i="97" s="1" a="1"/>
  <c r="R76" i="97" s="1"/>
  <c r="R29" i="105"/>
  <c r="Q39" i="97"/>
  <c r="Q79" i="97" s="1" a="1"/>
  <c r="Q79" i="97" s="1"/>
  <c r="Q32" i="105"/>
  <c r="Q30" i="97"/>
  <c r="Q70" i="97" s="1" a="1"/>
  <c r="Q70" i="97" s="1"/>
  <c r="Q23" i="105"/>
  <c r="Q44" i="97"/>
  <c r="Q84" i="97" s="1" a="1"/>
  <c r="Q84" i="97" s="1"/>
  <c r="Q37" i="105"/>
  <c r="P38" i="97"/>
  <c r="P78" i="97" s="1" a="1"/>
  <c r="P78" i="97" s="1"/>
  <c r="P31" i="105"/>
  <c r="S38" i="97"/>
  <c r="S78" i="97" s="1" a="1"/>
  <c r="S78" i="97" s="1"/>
  <c r="S31" i="105"/>
  <c r="Q42" i="97"/>
  <c r="Q82" i="97" s="1" a="1"/>
  <c r="Q82" i="97" s="1"/>
  <c r="Q35" i="105"/>
  <c r="P36" i="97"/>
  <c r="P76" i="97" s="1" a="1"/>
  <c r="P76" i="97" s="1"/>
  <c r="P29" i="105"/>
  <c r="S34" i="97"/>
  <c r="S74" i="97" s="1" a="1"/>
  <c r="S74" i="97" s="1"/>
  <c r="S27" i="105"/>
  <c r="R39" i="97"/>
  <c r="R79" i="97" s="1" a="1"/>
  <c r="R79" i="97" s="1"/>
  <c r="R32" i="105"/>
  <c r="Q34" i="97"/>
  <c r="Q74" i="97" s="1" a="1"/>
  <c r="Q74" i="97" s="1"/>
  <c r="Q27" i="105"/>
  <c r="S33" i="97"/>
  <c r="S73" i="97" s="1" a="1"/>
  <c r="S73" i="97" s="1"/>
  <c r="S26" i="105"/>
  <c r="S36" i="97"/>
  <c r="S76" i="97" s="1" a="1"/>
  <c r="S76" i="97" s="1"/>
  <c r="S29" i="105"/>
  <c r="R40" i="97"/>
  <c r="R80" i="97" s="1" a="1"/>
  <c r="R80" i="97" s="1"/>
  <c r="R33" i="105"/>
  <c r="S35" i="97"/>
  <c r="S75" i="97" s="1" a="1"/>
  <c r="S75" i="97" s="1"/>
  <c r="S28" i="105"/>
  <c r="S37" i="97"/>
  <c r="S77" i="97" s="1" a="1"/>
  <c r="S77" i="97" s="1"/>
  <c r="S30" i="105"/>
  <c r="Q32" i="97"/>
  <c r="Q72" i="97" s="1" a="1"/>
  <c r="Q72" i="97" s="1"/>
  <c r="Q25" i="105"/>
  <c r="Q35" i="97"/>
  <c r="Q75" i="97" s="1" a="1"/>
  <c r="Q75" i="97" s="1"/>
  <c r="Q28" i="105"/>
  <c r="S32" i="97"/>
  <c r="S72" i="97" s="1" a="1"/>
  <c r="S72" i="97" s="1"/>
  <c r="S25" i="105"/>
  <c r="R41" i="97"/>
  <c r="R81" i="97" s="1" a="1"/>
  <c r="R81" i="97" s="1"/>
  <c r="R34" i="105"/>
  <c r="G33" i="97"/>
  <c r="G73" i="97" s="1" a="1"/>
  <c r="G73" i="97" s="1"/>
  <c r="G26" i="105"/>
  <c r="F41" i="97"/>
  <c r="F81" i="97" s="1" a="1"/>
  <c r="F81" i="97" s="1"/>
  <c r="F34" i="105"/>
  <c r="F33" i="97"/>
  <c r="F73" i="97" s="1" a="1"/>
  <c r="F73" i="97" s="1"/>
  <c r="F26" i="105"/>
  <c r="G34" i="97"/>
  <c r="G74" i="97" s="1" a="1"/>
  <c r="G74" i="97" s="1"/>
  <c r="G27" i="105"/>
  <c r="H38" i="97"/>
  <c r="H78" i="97" s="1" a="1"/>
  <c r="H78" i="97" s="1"/>
  <c r="H31" i="105"/>
  <c r="I33" i="97"/>
  <c r="I73" i="97" s="1" a="1"/>
  <c r="I73" i="97" s="1"/>
  <c r="I26" i="105"/>
  <c r="F32" i="97"/>
  <c r="F72" i="97" s="1" a="1"/>
  <c r="F72" i="97" s="1"/>
  <c r="F25" i="105"/>
  <c r="H42" i="97"/>
  <c r="H82" i="97" s="1" a="1"/>
  <c r="H82" i="97" s="1"/>
  <c r="H35" i="105"/>
  <c r="F35" i="97"/>
  <c r="F75" i="97" s="1" a="1"/>
  <c r="F75" i="97" s="1"/>
  <c r="F28" i="105"/>
  <c r="H32" i="97"/>
  <c r="H72" i="97" s="1" a="1"/>
  <c r="H72" i="97" s="1"/>
  <c r="H25" i="105"/>
  <c r="G32" i="97"/>
  <c r="G72" i="97" s="1" a="1"/>
  <c r="G72" i="97" s="1"/>
  <c r="G25" i="105"/>
  <c r="F39" i="97"/>
  <c r="F79" i="97" s="1" a="1"/>
  <c r="F79" i="97" s="1"/>
  <c r="F32" i="105"/>
  <c r="H37" i="97"/>
  <c r="H77" i="97" s="1" a="1"/>
  <c r="H77" i="97" s="1"/>
  <c r="H30" i="105"/>
  <c r="F34" i="97"/>
  <c r="F74" i="97" s="1" a="1"/>
  <c r="F74" i="97" s="1"/>
  <c r="F27" i="105"/>
  <c r="H35" i="97"/>
  <c r="H75" i="97" s="1" a="1"/>
  <c r="H75" i="97" s="1"/>
  <c r="H28" i="105"/>
  <c r="G35" i="97"/>
  <c r="G75" i="97" s="1" a="1"/>
  <c r="G75" i="97" s="1"/>
  <c r="G28" i="105"/>
  <c r="F40" i="97"/>
  <c r="F80" i="97" s="1" a="1"/>
  <c r="F80" i="97" s="1"/>
  <c r="F33" i="105"/>
  <c r="H36" i="97"/>
  <c r="H76" i="97" s="1" a="1"/>
  <c r="H76" i="97" s="1"/>
  <c r="H29" i="105"/>
  <c r="H43" i="97"/>
  <c r="H83" i="97" s="1" a="1"/>
  <c r="H83" i="97" s="1"/>
  <c r="H36" i="105"/>
  <c r="F43" i="97"/>
  <c r="F83" i="97" s="1" a="1"/>
  <c r="F83" i="97" s="1"/>
  <c r="F36" i="105"/>
  <c r="H33" i="97"/>
  <c r="H73" i="97" s="1" a="1"/>
  <c r="H73" i="97" s="1"/>
  <c r="H26" i="105"/>
  <c r="G43" i="97"/>
  <c r="G83" i="97" s="1" a="1"/>
  <c r="G83" i="97" s="1"/>
  <c r="G36" i="105"/>
  <c r="G39" i="97"/>
  <c r="G79" i="97" s="1" a="1"/>
  <c r="G79" i="97" s="1"/>
  <c r="G32" i="105"/>
  <c r="G44" i="97"/>
  <c r="G84" i="97" s="1" a="1"/>
  <c r="G84" i="97" s="1"/>
  <c r="G37" i="105"/>
  <c r="G37" i="97"/>
  <c r="G77" i="97" s="1" a="1"/>
  <c r="G77" i="97" s="1"/>
  <c r="G30" i="105"/>
  <c r="F44" i="97"/>
  <c r="F84" i="97" s="1" a="1"/>
  <c r="F84" i="97" s="1"/>
  <c r="F37" i="105"/>
  <c r="F36" i="97"/>
  <c r="F76" i="97" s="1" a="1"/>
  <c r="F76" i="97" s="1"/>
  <c r="F29" i="105"/>
  <c r="H40" i="97"/>
  <c r="H80" i="97" s="1" a="1"/>
  <c r="H80" i="97" s="1"/>
  <c r="H33" i="105"/>
  <c r="I37" i="97"/>
  <c r="I77" i="97" s="1" a="1"/>
  <c r="I77" i="97" s="1"/>
  <c r="I30" i="105"/>
  <c r="G36" i="97"/>
  <c r="G76" i="97" s="1" a="1"/>
  <c r="G76" i="97" s="1"/>
  <c r="G29" i="105"/>
  <c r="I41" i="97"/>
  <c r="I81" i="97" s="1" a="1"/>
  <c r="I81" i="97" s="1"/>
  <c r="I34" i="105"/>
  <c r="G41" i="97"/>
  <c r="G81" i="97" s="1" a="1"/>
  <c r="G81" i="97" s="1"/>
  <c r="G34" i="105"/>
  <c r="H44" i="97"/>
  <c r="H84" i="97" s="1" a="1"/>
  <c r="H84" i="97" s="1"/>
  <c r="H37" i="105"/>
  <c r="F42" i="97"/>
  <c r="F82" i="97" s="1" a="1"/>
  <c r="F82" i="97" s="1"/>
  <c r="F35" i="105"/>
  <c r="G40" i="97"/>
  <c r="G80" i="97" s="1" a="1"/>
  <c r="G80" i="97" s="1"/>
  <c r="G33" i="105"/>
  <c r="I34" i="97"/>
  <c r="I74" i="97" s="1" a="1"/>
  <c r="I74" i="97" s="1"/>
  <c r="I27" i="105"/>
  <c r="F37" i="97"/>
  <c r="F77" i="97" s="1" a="1"/>
  <c r="F77" i="97" s="1"/>
  <c r="F30" i="105"/>
  <c r="G38" i="97"/>
  <c r="G78" i="97" s="1" a="1"/>
  <c r="G78" i="97" s="1"/>
  <c r="G31" i="105"/>
  <c r="I35" i="97"/>
  <c r="I75" i="97" s="1" a="1"/>
  <c r="I75" i="97" s="1"/>
  <c r="I28" i="105"/>
  <c r="I40" i="97"/>
  <c r="I80" i="97" s="1" a="1"/>
  <c r="I80" i="97" s="1"/>
  <c r="I33" i="105"/>
  <c r="H34" i="97"/>
  <c r="H74" i="97" s="1" a="1"/>
  <c r="H74" i="97" s="1"/>
  <c r="H27" i="105"/>
  <c r="H41" i="97"/>
  <c r="H81" i="97" s="1" a="1"/>
  <c r="H81" i="97" s="1"/>
  <c r="H34" i="105"/>
  <c r="F38" i="97"/>
  <c r="F78" i="97" s="1" a="1"/>
  <c r="F78" i="97" s="1"/>
  <c r="F31" i="105"/>
  <c r="H39" i="97"/>
  <c r="H79" i="97" s="1" a="1"/>
  <c r="H79" i="97" s="1"/>
  <c r="H32" i="105"/>
  <c r="I38" i="97"/>
  <c r="I78" i="97" s="1" a="1"/>
  <c r="I78" i="97" s="1"/>
  <c r="I31" i="105"/>
  <c r="G42" i="97"/>
  <c r="G82" i="97" s="1" a="1"/>
  <c r="G82" i="97" s="1"/>
  <c r="G35" i="105"/>
  <c r="I39" i="97"/>
  <c r="I79" i="97" s="1" a="1"/>
  <c r="I79" i="97" s="1"/>
  <c r="I32" i="105"/>
  <c r="I36" i="97"/>
  <c r="I76" i="97" s="1" a="1"/>
  <c r="I76" i="97" s="1"/>
  <c r="I29" i="105"/>
  <c r="I32" i="97"/>
  <c r="I72" i="97" s="1" a="1"/>
  <c r="I72" i="97" s="1"/>
  <c r="I25" i="105"/>
  <c r="I43" i="97"/>
  <c r="I83" i="97" s="1" a="1"/>
  <c r="I83" i="97" s="1"/>
  <c r="I36" i="105"/>
  <c r="I44" i="97"/>
  <c r="I84" i="97" s="1" a="1"/>
  <c r="I84" i="97" s="1"/>
  <c r="I37" i="105"/>
  <c r="I42" i="97"/>
  <c r="I82" i="97" s="1" a="1"/>
  <c r="I82" i="97" s="1"/>
  <c r="I35" i="105"/>
  <c r="F22" i="105"/>
  <c r="F24" i="105"/>
  <c r="F23" i="105"/>
  <c r="S22" i="105"/>
  <c r="S23" i="105"/>
  <c r="S24" i="105"/>
  <c r="P22" i="105"/>
  <c r="P23" i="105"/>
  <c r="P24" i="105"/>
  <c r="G24" i="105"/>
  <c r="G23" i="105"/>
  <c r="G22" i="105"/>
  <c r="I22" i="105"/>
  <c r="I23" i="105"/>
  <c r="I24" i="105"/>
  <c r="R23" i="105"/>
  <c r="R24" i="105"/>
  <c r="R22" i="105"/>
  <c r="H24" i="105"/>
  <c r="H22" i="105"/>
  <c r="H23" i="105"/>
  <c r="G123" i="105" l="1" a="1"/>
  <c r="G123" i="105" s="1"/>
  <c r="G165" i="105" a="1"/>
  <c r="G165" i="105" s="1"/>
  <c r="G222" i="105" a="1"/>
  <c r="G222" i="105" s="1"/>
  <c r="R126" i="105" a="1"/>
  <c r="R126" i="105" s="1"/>
  <c r="R225" i="105" a="1"/>
  <c r="R225" i="105" s="1"/>
  <c r="R168" i="105" a="1"/>
  <c r="R168" i="105" s="1"/>
  <c r="Q128" i="105" a="1"/>
  <c r="Q128" i="105" s="1"/>
  <c r="Q227" i="105" a="1"/>
  <c r="Q227" i="105" s="1"/>
  <c r="Q170" i="105" a="1"/>
  <c r="Q170" i="105" s="1"/>
  <c r="Q127" i="105" a="1"/>
  <c r="Q127" i="105" s="1"/>
  <c r="Q226" i="105" a="1"/>
  <c r="Q226" i="105" s="1"/>
  <c r="Q169" i="105" a="1"/>
  <c r="Q169" i="105" s="1"/>
  <c r="S127" i="105" a="1"/>
  <c r="S127" i="105" s="1"/>
  <c r="S169" i="105" a="1"/>
  <c r="S169" i="105" s="1"/>
  <c r="S226" i="105" a="1"/>
  <c r="S226" i="105" s="1"/>
  <c r="Q117" i="105" a="1"/>
  <c r="Q117" i="105" s="1"/>
  <c r="Q216" i="105" a="1"/>
  <c r="Q216" i="105" s="1"/>
  <c r="Q159" i="105" a="1"/>
  <c r="Q159" i="105" s="1"/>
  <c r="S128" i="105" a="1"/>
  <c r="S128" i="105" s="1"/>
  <c r="S170" i="105" a="1"/>
  <c r="S170" i="105" s="1"/>
  <c r="S227" i="105" a="1"/>
  <c r="S227" i="105" s="1"/>
  <c r="Q119" i="105" a="1"/>
  <c r="Q119" i="105" s="1"/>
  <c r="Q161" i="105" a="1"/>
  <c r="Q161" i="105" s="1"/>
  <c r="Q218" i="105" a="1"/>
  <c r="Q218" i="105" s="1"/>
  <c r="H116" i="105" a="1"/>
  <c r="H116" i="105" s="1"/>
  <c r="H158" i="105" a="1"/>
  <c r="H158" i="105" s="1"/>
  <c r="H215" i="105" a="1"/>
  <c r="H215" i="105" s="1"/>
  <c r="R117" i="105" a="1"/>
  <c r="R117" i="105" s="1"/>
  <c r="R216" i="105" a="1"/>
  <c r="R216" i="105" s="1"/>
  <c r="R159" i="105" a="1"/>
  <c r="R159" i="105" s="1"/>
  <c r="P117" i="105" a="1"/>
  <c r="P117" i="105" s="1"/>
  <c r="P216" i="105" a="1"/>
  <c r="P216" i="105" s="1"/>
  <c r="P159" i="105" a="1"/>
  <c r="P159" i="105" s="1"/>
  <c r="F116" i="105" a="1"/>
  <c r="F116" i="105" s="1"/>
  <c r="F158" i="105" a="1"/>
  <c r="F158" i="105" s="1"/>
  <c r="F215" i="105" a="1"/>
  <c r="F215" i="105" s="1"/>
  <c r="F124" i="105" a="1"/>
  <c r="F124" i="105" s="1"/>
  <c r="F166" i="105" a="1"/>
  <c r="F166" i="105" s="1"/>
  <c r="F223" i="105" a="1"/>
  <c r="F223" i="105" s="1"/>
  <c r="H122" i="105" a="1"/>
  <c r="H122" i="105" s="1"/>
  <c r="H221" i="105" a="1"/>
  <c r="H221" i="105" s="1"/>
  <c r="H164" i="105" a="1"/>
  <c r="H164" i="105" s="1"/>
  <c r="G118" i="105" a="1"/>
  <c r="G118" i="105" s="1"/>
  <c r="G217" i="105" a="1"/>
  <c r="G217" i="105" s="1"/>
  <c r="G160" i="105" a="1"/>
  <c r="G160" i="105" s="1"/>
  <c r="G120" i="105" a="1"/>
  <c r="G120" i="105" s="1"/>
  <c r="G219" i="105" a="1"/>
  <c r="G219" i="105" s="1"/>
  <c r="G162" i="105" a="1"/>
  <c r="G162" i="105" s="1"/>
  <c r="R127" i="105" a="1"/>
  <c r="R127" i="105" s="1"/>
  <c r="R226" i="105" a="1"/>
  <c r="R226" i="105" s="1"/>
  <c r="R169" i="105" a="1"/>
  <c r="R169" i="105" s="1"/>
  <c r="R116" i="105" a="1"/>
  <c r="R116" i="105" s="1"/>
  <c r="R215" i="105" a="1"/>
  <c r="R215" i="105" s="1"/>
  <c r="R158" i="105" a="1"/>
  <c r="R158" i="105" s="1"/>
  <c r="P116" i="105" a="1"/>
  <c r="P116" i="105" s="1"/>
  <c r="P158" i="105" a="1"/>
  <c r="P158" i="105" s="1"/>
  <c r="P215" i="105" a="1"/>
  <c r="P215" i="105" s="1"/>
  <c r="F117" i="105" a="1"/>
  <c r="F117" i="105" s="1"/>
  <c r="F159" i="105" a="1"/>
  <c r="F159" i="105" s="1"/>
  <c r="F216" i="105" a="1"/>
  <c r="F216" i="105" s="1"/>
  <c r="G130" i="105" a="1"/>
  <c r="G130" i="105" s="1"/>
  <c r="G172" i="105" a="1"/>
  <c r="G172" i="105" s="1"/>
  <c r="G229" i="105" a="1"/>
  <c r="G229" i="105" s="1"/>
  <c r="S122" i="105" a="1"/>
  <c r="S122" i="105" s="1"/>
  <c r="S164" i="105" a="1"/>
  <c r="S164" i="105" s="1"/>
  <c r="S221" i="105" a="1"/>
  <c r="S221" i="105" s="1"/>
  <c r="S124" i="105" a="1"/>
  <c r="S124" i="105" s="1"/>
  <c r="S223" i="105" a="1"/>
  <c r="S223" i="105" s="1"/>
  <c r="S166" i="105" a="1"/>
  <c r="S166" i="105" s="1"/>
  <c r="P123" i="105" a="1"/>
  <c r="P123" i="105" s="1"/>
  <c r="P222" i="105" a="1"/>
  <c r="P222" i="105" s="1"/>
  <c r="P165" i="105" a="1"/>
  <c r="P165" i="105" s="1"/>
  <c r="P127" i="105" a="1"/>
  <c r="P127" i="105" s="1"/>
  <c r="P226" i="105" a="1"/>
  <c r="P226" i="105" s="1"/>
  <c r="P169" i="105" a="1"/>
  <c r="P169" i="105" s="1"/>
  <c r="Q123" i="105" a="1"/>
  <c r="Q123" i="105" s="1"/>
  <c r="Q165" i="105" a="1"/>
  <c r="Q165" i="105" s="1"/>
  <c r="Q222" i="105" a="1"/>
  <c r="Q222" i="105" s="1"/>
  <c r="P120" i="105" a="1"/>
  <c r="P120" i="105" s="1"/>
  <c r="P219" i="105" a="1"/>
  <c r="P219" i="105" s="1"/>
  <c r="P162" i="105" a="1"/>
  <c r="P162" i="105" s="1"/>
  <c r="P130" i="105" a="1"/>
  <c r="P130" i="105" s="1"/>
  <c r="P229" i="105" a="1"/>
  <c r="P229" i="105" s="1"/>
  <c r="P172" i="105" a="1"/>
  <c r="P172" i="105" s="1"/>
  <c r="I117" i="105" a="1"/>
  <c r="I117" i="105" s="1"/>
  <c r="I159" i="105" a="1"/>
  <c r="I159" i="105" s="1"/>
  <c r="I216" i="105" a="1"/>
  <c r="I216" i="105" s="1"/>
  <c r="G125" i="105" a="1"/>
  <c r="G125" i="105" s="1"/>
  <c r="G224" i="105" a="1"/>
  <c r="G224" i="105" s="1"/>
  <c r="G167" i="105" a="1"/>
  <c r="G167" i="105" s="1"/>
  <c r="S118" i="105" a="1"/>
  <c r="S118" i="105" s="1"/>
  <c r="S160" i="105" a="1"/>
  <c r="S160" i="105" s="1"/>
  <c r="S217" i="105" a="1"/>
  <c r="S217" i="105" s="1"/>
  <c r="S119" i="105" a="1"/>
  <c r="S119" i="105" s="1"/>
  <c r="S161" i="105" a="1"/>
  <c r="S161" i="105" s="1"/>
  <c r="S218" i="105" a="1"/>
  <c r="S218" i="105" s="1"/>
  <c r="P124" i="105" a="1"/>
  <c r="P124" i="105" s="1"/>
  <c r="P223" i="105" a="1"/>
  <c r="P223" i="105" s="1"/>
  <c r="P166" i="105" a="1"/>
  <c r="P166" i="105" s="1"/>
  <c r="R129" i="105" a="1"/>
  <c r="R129" i="105" s="1"/>
  <c r="R171" i="105" a="1"/>
  <c r="R171" i="105" s="1"/>
  <c r="R228" i="105" a="1"/>
  <c r="R228" i="105" s="1"/>
  <c r="R121" i="105" a="1"/>
  <c r="R121" i="105" s="1"/>
  <c r="R163" i="105" a="1"/>
  <c r="R163" i="105" s="1"/>
  <c r="R220" i="105" a="1"/>
  <c r="R220" i="105" s="1"/>
  <c r="S125" i="105" a="1"/>
  <c r="S125" i="105" s="1"/>
  <c r="S167" i="105" a="1"/>
  <c r="S167" i="105" s="1"/>
  <c r="S224" i="105" a="1"/>
  <c r="S224" i="105" s="1"/>
  <c r="P126" i="105" a="1"/>
  <c r="P126" i="105" s="1"/>
  <c r="P168" i="105" a="1"/>
  <c r="P168" i="105" s="1"/>
  <c r="P225" i="105" a="1"/>
  <c r="P225" i="105" s="1"/>
  <c r="S129" i="105" a="1"/>
  <c r="S129" i="105" s="1"/>
  <c r="S171" i="105" a="1"/>
  <c r="S171" i="105" s="1"/>
  <c r="S228" i="105" a="1"/>
  <c r="S228" i="105" s="1"/>
  <c r="G117" i="105" a="1"/>
  <c r="G117" i="105" s="1"/>
  <c r="G159" i="105" a="1"/>
  <c r="G159" i="105" s="1"/>
  <c r="G216" i="105" a="1"/>
  <c r="G216" i="105" s="1"/>
  <c r="H115" i="105" a="1"/>
  <c r="H115" i="105" s="1"/>
  <c r="H214" i="105" a="1"/>
  <c r="H214" i="105" s="1"/>
  <c r="H157" i="105" a="1"/>
  <c r="H157" i="105" s="1"/>
  <c r="F115" i="105" a="1"/>
  <c r="F115" i="105" s="1"/>
  <c r="F214" i="105" a="1"/>
  <c r="F214" i="105" s="1"/>
  <c r="F157" i="105" a="1"/>
  <c r="F157" i="105" s="1"/>
  <c r="H127" i="105" a="1"/>
  <c r="H127" i="105" s="1"/>
  <c r="H226" i="105" a="1"/>
  <c r="H226" i="105" s="1"/>
  <c r="H169" i="105" a="1"/>
  <c r="H169" i="105" s="1"/>
  <c r="I120" i="105" a="1"/>
  <c r="I120" i="105" s="1"/>
  <c r="I162" i="105" a="1"/>
  <c r="I162" i="105" s="1"/>
  <c r="I219" i="105" a="1"/>
  <c r="I219" i="105" s="1"/>
  <c r="G122" i="105" a="1"/>
  <c r="G122" i="105" s="1"/>
  <c r="G164" i="105" a="1"/>
  <c r="G164" i="105" s="1"/>
  <c r="G221" i="105" a="1"/>
  <c r="G221" i="105" s="1"/>
  <c r="F126" i="105" a="1"/>
  <c r="F126" i="105" s="1"/>
  <c r="F225" i="105" a="1"/>
  <c r="F225" i="105" s="1"/>
  <c r="F168" i="105" a="1"/>
  <c r="F168" i="105" s="1"/>
  <c r="I128" i="105" a="1"/>
  <c r="I128" i="105" s="1"/>
  <c r="I227" i="105" a="1"/>
  <c r="I227" i="105" s="1"/>
  <c r="I170" i="105" a="1"/>
  <c r="I170" i="105" s="1"/>
  <c r="H120" i="105" a="1"/>
  <c r="H120" i="105" s="1"/>
  <c r="H219" i="105" a="1"/>
  <c r="H219" i="105" s="1"/>
  <c r="H162" i="105" a="1"/>
  <c r="H162" i="105" s="1"/>
  <c r="I115" i="105" a="1"/>
  <c r="I115" i="105" s="1"/>
  <c r="I157" i="105" a="1"/>
  <c r="I157" i="105" s="1"/>
  <c r="I214" i="105" a="1"/>
  <c r="I214" i="105" s="1"/>
  <c r="Q121" i="105" a="1"/>
  <c r="Q121" i="105" s="1"/>
  <c r="Q220" i="105" a="1"/>
  <c r="Q220" i="105" s="1"/>
  <c r="Q163" i="105" a="1"/>
  <c r="Q163" i="105" s="1"/>
  <c r="Q120" i="105" a="1"/>
  <c r="Q120" i="105" s="1"/>
  <c r="Q219" i="105" a="1"/>
  <c r="Q219" i="105" s="1"/>
  <c r="Q162" i="105" a="1"/>
  <c r="Q162" i="105" s="1"/>
  <c r="Q130" i="105" a="1"/>
  <c r="Q130" i="105" s="1"/>
  <c r="Q229" i="105" a="1"/>
  <c r="Q229" i="105" s="1"/>
  <c r="Q172" i="105" a="1"/>
  <c r="Q172" i="105" s="1"/>
  <c r="Q115" i="105" a="1"/>
  <c r="Q115" i="105" s="1"/>
  <c r="Q214" i="105" a="1"/>
  <c r="Q214" i="105" s="1"/>
  <c r="Q157" i="105" a="1"/>
  <c r="Q157" i="105" s="1"/>
  <c r="P118" i="105" a="1"/>
  <c r="P118" i="105" s="1"/>
  <c r="P217" i="105" a="1"/>
  <c r="P217" i="105" s="1"/>
  <c r="P160" i="105" a="1"/>
  <c r="P160" i="105" s="1"/>
  <c r="R123" i="105" a="1"/>
  <c r="R123" i="105" s="1"/>
  <c r="R222" i="105" a="1"/>
  <c r="R222" i="105" s="1"/>
  <c r="R165" i="105" a="1"/>
  <c r="R165" i="105" s="1"/>
  <c r="H117" i="105" a="1"/>
  <c r="H117" i="105" s="1"/>
  <c r="H159" i="105" a="1"/>
  <c r="H159" i="105" s="1"/>
  <c r="H216" i="105" a="1"/>
  <c r="H216" i="105" s="1"/>
  <c r="H118" i="105" a="1"/>
  <c r="H118" i="105" s="1"/>
  <c r="H217" i="105" a="1"/>
  <c r="H217" i="105" s="1"/>
  <c r="H160" i="105" a="1"/>
  <c r="H160" i="105" s="1"/>
  <c r="I116" i="105" a="1"/>
  <c r="I116" i="105" s="1"/>
  <c r="I158" i="105" a="1"/>
  <c r="I158" i="105" s="1"/>
  <c r="I215" i="105" a="1"/>
  <c r="I215" i="105" s="1"/>
  <c r="G126" i="105" a="1"/>
  <c r="G126" i="105" s="1"/>
  <c r="G225" i="105" a="1"/>
  <c r="G225" i="105" s="1"/>
  <c r="G168" i="105" a="1"/>
  <c r="G168" i="105" s="1"/>
  <c r="R119" i="105" a="1"/>
  <c r="R119" i="105" s="1"/>
  <c r="R161" i="105" a="1"/>
  <c r="R161" i="105" s="1"/>
  <c r="R218" i="105" a="1"/>
  <c r="R218" i="105" s="1"/>
  <c r="S117" i="105" a="1"/>
  <c r="S117" i="105" s="1"/>
  <c r="S159" i="105" a="1"/>
  <c r="S159" i="105" s="1"/>
  <c r="S216" i="105" a="1"/>
  <c r="S216" i="105" s="1"/>
  <c r="I125" i="105" a="1"/>
  <c r="I125" i="105" s="1"/>
  <c r="I224" i="105" a="1"/>
  <c r="I224" i="105" s="1"/>
  <c r="I167" i="105" a="1"/>
  <c r="I167" i="105" s="1"/>
  <c r="I126" i="105" a="1"/>
  <c r="I126" i="105" s="1"/>
  <c r="I225" i="105" a="1"/>
  <c r="I225" i="105" s="1"/>
  <c r="I168" i="105" a="1"/>
  <c r="I168" i="105" s="1"/>
  <c r="F128" i="105" a="1"/>
  <c r="F128" i="105" s="1"/>
  <c r="F227" i="105" a="1"/>
  <c r="F227" i="105" s="1"/>
  <c r="F170" i="105" a="1"/>
  <c r="F170" i="105" s="1"/>
  <c r="H126" i="105" a="1"/>
  <c r="H126" i="105" s="1"/>
  <c r="H168" i="105" a="1"/>
  <c r="H168" i="105" s="1"/>
  <c r="H225" i="105" a="1"/>
  <c r="H225" i="105" s="1"/>
  <c r="H121" i="105" a="1"/>
  <c r="H121" i="105" s="1"/>
  <c r="H220" i="105" a="1"/>
  <c r="H220" i="105" s="1"/>
  <c r="H163" i="105" a="1"/>
  <c r="H163" i="105" s="1"/>
  <c r="H128" i="105" a="1"/>
  <c r="H128" i="105" s="1"/>
  <c r="H227" i="105" a="1"/>
  <c r="H227" i="105" s="1"/>
  <c r="H170" i="105" a="1"/>
  <c r="H170" i="105" s="1"/>
  <c r="G119" i="105" a="1"/>
  <c r="G119" i="105" s="1"/>
  <c r="G218" i="105" a="1"/>
  <c r="G218" i="105" s="1"/>
  <c r="G161" i="105" a="1"/>
  <c r="G161" i="105" s="1"/>
  <c r="G129" i="105" a="1"/>
  <c r="G129" i="105" s="1"/>
  <c r="G228" i="105" a="1"/>
  <c r="G228" i="105" s="1"/>
  <c r="G171" i="105" a="1"/>
  <c r="G171" i="105" s="1"/>
  <c r="R124" i="105" a="1"/>
  <c r="R124" i="105" s="1"/>
  <c r="R223" i="105" a="1"/>
  <c r="R223" i="105" s="1"/>
  <c r="R166" i="105" a="1"/>
  <c r="R166" i="105" s="1"/>
  <c r="S116" i="105" a="1"/>
  <c r="S116" i="105" s="1"/>
  <c r="S158" i="105" a="1"/>
  <c r="S158" i="105" s="1"/>
  <c r="S215" i="105" a="1"/>
  <c r="S215" i="105" s="1"/>
  <c r="I130" i="105" a="1"/>
  <c r="I130" i="105" s="1"/>
  <c r="I172" i="105" a="1"/>
  <c r="I172" i="105" s="1"/>
  <c r="I229" i="105" a="1"/>
  <c r="I229" i="105" s="1"/>
  <c r="H119" i="105" a="1"/>
  <c r="H119" i="105" s="1"/>
  <c r="H218" i="105" a="1"/>
  <c r="H218" i="105" s="1"/>
  <c r="H161" i="105" a="1"/>
  <c r="H161" i="105" s="1"/>
  <c r="Q118" i="105" a="1"/>
  <c r="Q118" i="105" s="1"/>
  <c r="Q160" i="105" a="1"/>
  <c r="Q160" i="105" s="1"/>
  <c r="Q217" i="105" a="1"/>
  <c r="Q217" i="105" s="1"/>
  <c r="R125" i="105" a="1"/>
  <c r="R125" i="105" s="1"/>
  <c r="R167" i="105" a="1"/>
  <c r="R167" i="105" s="1"/>
  <c r="R224" i="105" a="1"/>
  <c r="R224" i="105" s="1"/>
  <c r="Q116" i="105" a="1"/>
  <c r="Q116" i="105" s="1"/>
  <c r="Q215" i="105" a="1"/>
  <c r="Q215" i="105" s="1"/>
  <c r="Q158" i="105" a="1"/>
  <c r="Q158" i="105" s="1"/>
  <c r="Q124" i="105" a="1"/>
  <c r="Q124" i="105" s="1"/>
  <c r="Q223" i="105" a="1"/>
  <c r="Q223" i="105" s="1"/>
  <c r="Q166" i="105" a="1"/>
  <c r="Q166" i="105" s="1"/>
  <c r="R120" i="105" a="1"/>
  <c r="R120" i="105" s="1"/>
  <c r="R162" i="105" a="1"/>
  <c r="R162" i="105" s="1"/>
  <c r="R219" i="105" a="1"/>
  <c r="R219" i="105" s="1"/>
  <c r="R128" i="105" a="1"/>
  <c r="R128" i="105" s="1"/>
  <c r="R227" i="105" a="1"/>
  <c r="R227" i="105" s="1"/>
  <c r="R170" i="105" a="1"/>
  <c r="R170" i="105" s="1"/>
  <c r="P128" i="105" a="1"/>
  <c r="P128" i="105" s="1"/>
  <c r="P227" i="105" a="1"/>
  <c r="P227" i="105" s="1"/>
  <c r="P170" i="105" a="1"/>
  <c r="P170" i="105" s="1"/>
  <c r="P119" i="105" a="1"/>
  <c r="P119" i="105" s="1"/>
  <c r="P218" i="105" a="1"/>
  <c r="P218" i="105" s="1"/>
  <c r="P161" i="105" a="1"/>
  <c r="P161" i="105" s="1"/>
  <c r="F119" i="105" a="1"/>
  <c r="F119" i="105" s="1"/>
  <c r="F218" i="105" a="1"/>
  <c r="F218" i="105" s="1"/>
  <c r="F161" i="105" a="1"/>
  <c r="F161" i="105" s="1"/>
  <c r="I123" i="105" a="1"/>
  <c r="I123" i="105" s="1"/>
  <c r="I165" i="105" a="1"/>
  <c r="I165" i="105" s="1"/>
  <c r="I222" i="105" a="1"/>
  <c r="I222" i="105" s="1"/>
  <c r="S115" i="105" a="1"/>
  <c r="S115" i="105" s="1"/>
  <c r="S157" i="105" a="1"/>
  <c r="S157" i="105" s="1"/>
  <c r="S214" i="105" a="1"/>
  <c r="S214" i="105" s="1"/>
  <c r="G128" i="105" a="1"/>
  <c r="G128" i="105" s="1"/>
  <c r="G227" i="105" a="1"/>
  <c r="G227" i="105" s="1"/>
  <c r="G170" i="105" a="1"/>
  <c r="G170" i="105" s="1"/>
  <c r="I121" i="105" a="1"/>
  <c r="I121" i="105" s="1"/>
  <c r="I220" i="105" a="1"/>
  <c r="I220" i="105" s="1"/>
  <c r="I163" i="105" a="1"/>
  <c r="I163" i="105" s="1"/>
  <c r="H130" i="105" a="1"/>
  <c r="H130" i="105" s="1"/>
  <c r="H172" i="105" a="1"/>
  <c r="H172" i="105" s="1"/>
  <c r="H229" i="105" a="1"/>
  <c r="H229" i="105" s="1"/>
  <c r="F122" i="105" a="1"/>
  <c r="F122" i="105" s="1"/>
  <c r="F221" i="105" a="1"/>
  <c r="F221" i="105" s="1"/>
  <c r="F164" i="105" a="1"/>
  <c r="F164" i="105" s="1"/>
  <c r="F120" i="105" a="1"/>
  <c r="F120" i="105" s="1"/>
  <c r="F162" i="105" a="1"/>
  <c r="F162" i="105" s="1"/>
  <c r="F219" i="105" a="1"/>
  <c r="F219" i="105" s="1"/>
  <c r="F118" i="105" a="1"/>
  <c r="F118" i="105" s="1"/>
  <c r="F160" i="105" a="1"/>
  <c r="F160" i="105" s="1"/>
  <c r="F217" i="105" a="1"/>
  <c r="F217" i="105" s="1"/>
  <c r="S123" i="105" a="1"/>
  <c r="S123" i="105" s="1"/>
  <c r="S165" i="105" a="1"/>
  <c r="S165" i="105" s="1"/>
  <c r="S222" i="105" a="1"/>
  <c r="S222" i="105" s="1"/>
  <c r="S120" i="105" a="1"/>
  <c r="S120" i="105" s="1"/>
  <c r="S219" i="105" a="1"/>
  <c r="S219" i="105" s="1"/>
  <c r="S162" i="105" a="1"/>
  <c r="S162" i="105" s="1"/>
  <c r="Q125" i="105" a="1"/>
  <c r="Q125" i="105" s="1"/>
  <c r="Q167" i="105" a="1"/>
  <c r="Q167" i="105" s="1"/>
  <c r="Q224" i="105" a="1"/>
  <c r="Q224" i="105" s="1"/>
  <c r="Q126" i="105" a="1"/>
  <c r="Q126" i="105" s="1"/>
  <c r="Q168" i="105" a="1"/>
  <c r="Q168" i="105" s="1"/>
  <c r="Q225" i="105" a="1"/>
  <c r="Q225" i="105" s="1"/>
  <c r="Q129" i="105" a="1"/>
  <c r="Q129" i="105" s="1"/>
  <c r="Q171" i="105" a="1"/>
  <c r="Q171" i="105" s="1"/>
  <c r="Q228" i="105" a="1"/>
  <c r="Q228" i="105" s="1"/>
  <c r="S126" i="105" a="1"/>
  <c r="S126" i="105" s="1"/>
  <c r="S168" i="105" a="1"/>
  <c r="S168" i="105" s="1"/>
  <c r="S225" i="105" a="1"/>
  <c r="S225" i="105" s="1"/>
  <c r="S130" i="105" a="1"/>
  <c r="S130" i="105" s="1"/>
  <c r="S172" i="105" a="1"/>
  <c r="S172" i="105" s="1"/>
  <c r="S229" i="105" a="1"/>
  <c r="S229" i="105" s="1"/>
  <c r="P125" i="105" a="1"/>
  <c r="P125" i="105" s="1"/>
  <c r="P167" i="105" a="1"/>
  <c r="P167" i="105" s="1"/>
  <c r="P224" i="105" a="1"/>
  <c r="P224" i="105" s="1"/>
  <c r="F123" i="105" a="1"/>
  <c r="F123" i="105" s="1"/>
  <c r="F165" i="105" a="1"/>
  <c r="F165" i="105" s="1"/>
  <c r="F222" i="105" a="1"/>
  <c r="F222" i="105" s="1"/>
  <c r="P115" i="105" a="1"/>
  <c r="P115" i="105" s="1"/>
  <c r="P157" i="105" a="1"/>
  <c r="P157" i="105" s="1"/>
  <c r="P214" i="105" a="1"/>
  <c r="P214" i="105" s="1"/>
  <c r="G121" i="105" a="1"/>
  <c r="G121" i="105" s="1"/>
  <c r="G220" i="105" a="1"/>
  <c r="G220" i="105" s="1"/>
  <c r="G163" i="105" a="1"/>
  <c r="G163" i="105" s="1"/>
  <c r="F121" i="105" a="1"/>
  <c r="F121" i="105" s="1"/>
  <c r="F163" i="105" a="1"/>
  <c r="F163" i="105" s="1"/>
  <c r="F220" i="105" a="1"/>
  <c r="F220" i="105" s="1"/>
  <c r="F127" i="105" a="1"/>
  <c r="F127" i="105" s="1"/>
  <c r="F226" i="105" a="1"/>
  <c r="F226" i="105" s="1"/>
  <c r="F169" i="105" a="1"/>
  <c r="F169" i="105" s="1"/>
  <c r="I129" i="105" a="1"/>
  <c r="I129" i="105" s="1"/>
  <c r="I228" i="105" a="1"/>
  <c r="I228" i="105" s="1"/>
  <c r="I171" i="105" a="1"/>
  <c r="I171" i="105" s="1"/>
  <c r="I124" i="105" a="1"/>
  <c r="I124" i="105" s="1"/>
  <c r="I223" i="105" a="1"/>
  <c r="I223" i="105" s="1"/>
  <c r="I166" i="105" a="1"/>
  <c r="I166" i="105" s="1"/>
  <c r="G127" i="105" a="1"/>
  <c r="G127" i="105" s="1"/>
  <c r="G169" i="105" a="1"/>
  <c r="G169" i="105" s="1"/>
  <c r="G226" i="105" a="1"/>
  <c r="G226" i="105" s="1"/>
  <c r="H123" i="105" a="1"/>
  <c r="H123" i="105" s="1"/>
  <c r="H165" i="105" a="1"/>
  <c r="H165" i="105" s="1"/>
  <c r="H222" i="105" a="1"/>
  <c r="H222" i="105" s="1"/>
  <c r="I119" i="105" a="1"/>
  <c r="I119" i="105" s="1"/>
  <c r="I161" i="105" a="1"/>
  <c r="I161" i="105" s="1"/>
  <c r="I218" i="105" a="1"/>
  <c r="I218" i="105" s="1"/>
  <c r="G115" i="105" a="1"/>
  <c r="G115" i="105" s="1"/>
  <c r="G214" i="105" a="1"/>
  <c r="G214" i="105" s="1"/>
  <c r="G157" i="105" a="1"/>
  <c r="G157" i="105" s="1"/>
  <c r="I118" i="105" a="1"/>
  <c r="I118" i="105" s="1"/>
  <c r="I217" i="105" a="1"/>
  <c r="I217" i="105" s="1"/>
  <c r="I160" i="105" a="1"/>
  <c r="I160" i="105" s="1"/>
  <c r="G124" i="105" a="1"/>
  <c r="G124" i="105" s="1"/>
  <c r="G223" i="105" a="1"/>
  <c r="G223" i="105" s="1"/>
  <c r="G166" i="105" a="1"/>
  <c r="G166" i="105" s="1"/>
  <c r="F130" i="105" a="1"/>
  <c r="F130" i="105" s="1"/>
  <c r="F172" i="105" a="1"/>
  <c r="F172" i="105" s="1"/>
  <c r="F229" i="105" a="1"/>
  <c r="F229" i="105" s="1"/>
  <c r="H129" i="105" a="1"/>
  <c r="H129" i="105" s="1"/>
  <c r="H228" i="105" a="1"/>
  <c r="H228" i="105" s="1"/>
  <c r="H171" i="105" a="1"/>
  <c r="H171" i="105" s="1"/>
  <c r="S121" i="105" a="1"/>
  <c r="S121" i="105" s="1"/>
  <c r="S163" i="105" a="1"/>
  <c r="S163" i="105" s="1"/>
  <c r="S220" i="105" a="1"/>
  <c r="S220" i="105" s="1"/>
  <c r="P122" i="105" a="1"/>
  <c r="P122" i="105" s="1"/>
  <c r="P164" i="105" a="1"/>
  <c r="P164" i="105" s="1"/>
  <c r="P221" i="105" a="1"/>
  <c r="P221" i="105" s="1"/>
  <c r="R122" i="105" a="1"/>
  <c r="R122" i="105" s="1"/>
  <c r="R164" i="105" a="1"/>
  <c r="R164" i="105" s="1"/>
  <c r="R221" i="105" a="1"/>
  <c r="R221" i="105" s="1"/>
  <c r="Q122" i="105" a="1"/>
  <c r="Q122" i="105" s="1"/>
  <c r="Q164" i="105" a="1"/>
  <c r="Q164" i="105" s="1"/>
  <c r="Q221" i="105" a="1"/>
  <c r="Q221" i="105" s="1"/>
  <c r="R130" i="105" a="1"/>
  <c r="R130" i="105" s="1"/>
  <c r="R229" i="105" a="1"/>
  <c r="R229" i="105" s="1"/>
  <c r="R172" i="105" a="1"/>
  <c r="R172" i="105" s="1"/>
  <c r="P129" i="105" a="1"/>
  <c r="P129" i="105" s="1"/>
  <c r="P171" i="105" a="1"/>
  <c r="P171" i="105" s="1"/>
  <c r="P228" i="105" a="1"/>
  <c r="P228" i="105" s="1"/>
  <c r="P121" i="105" a="1"/>
  <c r="P121" i="105" s="1"/>
  <c r="P220" i="105" a="1"/>
  <c r="P220" i="105" s="1"/>
  <c r="P163" i="105" a="1"/>
  <c r="P163" i="105" s="1"/>
  <c r="R118" i="105" a="1"/>
  <c r="R118" i="105" s="1"/>
  <c r="R160" i="105" a="1"/>
  <c r="R160" i="105" s="1"/>
  <c r="R217" i="105" a="1"/>
  <c r="R217" i="105" s="1"/>
  <c r="R115" i="105" a="1"/>
  <c r="R115" i="105" s="1"/>
  <c r="R157" i="105" a="1"/>
  <c r="R157" i="105" s="1"/>
  <c r="R214" i="105" a="1"/>
  <c r="R214" i="105" s="1"/>
  <c r="I122" i="105" a="1"/>
  <c r="I122" i="105" s="1"/>
  <c r="I164" i="105" a="1"/>
  <c r="I164" i="105" s="1"/>
  <c r="I221" i="105" a="1"/>
  <c r="I221" i="105" s="1"/>
  <c r="F129" i="105" a="1"/>
  <c r="F129" i="105" s="1"/>
  <c r="F228" i="105" a="1"/>
  <c r="F228" i="105" s="1"/>
  <c r="F171" i="105" a="1"/>
  <c r="F171" i="105" s="1"/>
  <c r="G116" i="105" a="1"/>
  <c r="G116" i="105" s="1"/>
  <c r="G158" i="105" a="1"/>
  <c r="G158" i="105" s="1"/>
  <c r="G215" i="105" a="1"/>
  <c r="G215" i="105" s="1"/>
  <c r="H125" i="105" a="1"/>
  <c r="H125" i="105" s="1"/>
  <c r="H224" i="105" a="1"/>
  <c r="H224" i="105" s="1"/>
  <c r="H167" i="105" a="1"/>
  <c r="H167" i="105" s="1"/>
  <c r="I127" i="105" a="1"/>
  <c r="I127" i="105" s="1"/>
  <c r="I169" i="105" a="1"/>
  <c r="I169" i="105" s="1"/>
  <c r="I226" i="105" a="1"/>
  <c r="I226" i="105" s="1"/>
  <c r="F125" i="105" a="1"/>
  <c r="F125" i="105" s="1"/>
  <c r="F224" i="105" a="1"/>
  <c r="F224" i="105" s="1"/>
  <c r="F167" i="105" a="1"/>
  <c r="F167" i="105" s="1"/>
  <c r="H124" i="105" a="1"/>
  <c r="H124" i="105" s="1"/>
  <c r="H223" i="105" a="1"/>
  <c r="H223" i="105" s="1"/>
  <c r="H166" i="105" a="1"/>
  <c r="H166" i="105" s="1"/>
  <c r="G30" i="97"/>
  <c r="G70" i="97" s="1" a="1"/>
  <c r="G70" i="97" s="1"/>
  <c r="S30" i="97"/>
  <c r="S70" i="97" s="1" a="1"/>
  <c r="S70" i="97" s="1"/>
  <c r="R30" i="97"/>
  <c r="R70" i="97" s="1" a="1"/>
  <c r="R70" i="97" s="1"/>
  <c r="S29" i="97"/>
  <c r="S69" i="97" s="1" a="1"/>
  <c r="S69" i="97" s="1"/>
  <c r="G31" i="97"/>
  <c r="G71" i="97" s="1" a="1"/>
  <c r="G71" i="97" s="1"/>
  <c r="I31" i="97"/>
  <c r="I71" i="97" s="1" a="1"/>
  <c r="I71" i="97" s="1"/>
  <c r="P31" i="97"/>
  <c r="P71" i="97" s="1" a="1"/>
  <c r="P71" i="97" s="1"/>
  <c r="P30" i="97"/>
  <c r="P70" i="97" s="1" a="1"/>
  <c r="P70" i="97" s="1"/>
  <c r="I30" i="97"/>
  <c r="I70" i="97" s="1" a="1"/>
  <c r="I70" i="97" s="1"/>
  <c r="P29" i="97"/>
  <c r="P69" i="97" s="1" a="1"/>
  <c r="P69" i="97" s="1"/>
  <c r="H30" i="97"/>
  <c r="H70" i="97" s="1" a="1"/>
  <c r="H70" i="97" s="1"/>
  <c r="H29" i="97"/>
  <c r="H69" i="97" s="1" a="1"/>
  <c r="H69" i="97" s="1"/>
  <c r="I29" i="97"/>
  <c r="I69" i="97" s="1" a="1"/>
  <c r="I69" i="97" s="1"/>
  <c r="H31" i="97"/>
  <c r="H71" i="97" s="1" a="1"/>
  <c r="H71" i="97" s="1"/>
  <c r="F30" i="97"/>
  <c r="F70" i="97" s="1" a="1"/>
  <c r="F70" i="97" s="1"/>
  <c r="F31" i="97"/>
  <c r="F71" i="97" s="1" a="1"/>
  <c r="F71" i="97" s="1"/>
  <c r="R29" i="97"/>
  <c r="R69" i="97" s="1" a="1"/>
  <c r="R69" i="97" s="1"/>
  <c r="R31" i="97"/>
  <c r="R71" i="97" s="1" a="1"/>
  <c r="R71" i="97" s="1"/>
  <c r="G29" i="97"/>
  <c r="G69" i="97" s="1" a="1"/>
  <c r="G69" i="97" s="1"/>
  <c r="S31" i="97"/>
  <c r="S71" i="97" s="1" a="1"/>
  <c r="S71" i="97" s="1"/>
  <c r="F29" i="97"/>
  <c r="F69" i="97" s="1" a="1"/>
  <c r="F69" i="97" s="1"/>
  <c r="O136" i="105" l="1"/>
  <c r="E136" i="105"/>
  <c r="E17" i="13" s="1"/>
  <c r="O235" i="105"/>
  <c r="E178" i="105"/>
  <c r="E19" i="13" s="1"/>
  <c r="E235" i="105"/>
  <c r="E18" i="13" s="1"/>
  <c r="I7" i="13"/>
  <c r="F7" i="13"/>
  <c r="O178" i="105"/>
  <c r="H7" i="13"/>
  <c r="E7" i="13"/>
  <c r="O90" i="97"/>
  <c r="E90" i="97"/>
  <c r="I8" i="13" l="1"/>
  <c r="F8" i="13"/>
  <c r="H8" i="13"/>
  <c r="E8" i="13"/>
  <c r="G102" i="97"/>
  <c r="E109" i="97" s="1" a="1"/>
  <c r="E109" i="97" s="1"/>
  <c r="Q102" i="97"/>
  <c r="O109" i="97" s="1" a="1"/>
  <c r="O109" i="97" s="1"/>
  <c r="G111" i="97" l="1"/>
  <c r="E114" i="97" s="1" a="1"/>
  <c r="E114" i="97" s="1"/>
  <c r="H9" i="13" s="1"/>
  <c r="H11" i="13" s="1"/>
  <c r="E9" i="13"/>
  <c r="Q111" i="97"/>
  <c r="O114" i="97" s="1" a="1"/>
  <c r="O114" i="97" s="1"/>
  <c r="I9" i="13" s="1"/>
  <c r="I11" i="13" s="1"/>
  <c r="F9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<sst xmlns="http://schemas.openxmlformats.org/spreadsheetml/2006/main" count="859" uniqueCount="297">
  <si>
    <t>Home</t>
  </si>
  <si>
    <t>N2O MMS</t>
  </si>
  <si>
    <t>Sources &amp; acknowledgements</t>
  </si>
  <si>
    <t>INPUTS</t>
  </si>
  <si>
    <t>APPENDICES</t>
  </si>
  <si>
    <t>Emissions breakdown</t>
  </si>
  <si>
    <t>Test Farms</t>
  </si>
  <si>
    <t>Farm name</t>
  </si>
  <si>
    <t>State</t>
  </si>
  <si>
    <t>Leaching zone</t>
  </si>
  <si>
    <t>Climate zone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</si>
  <si>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Please select</t>
    </r>
  </si>
  <si>
    <t>Degrees celsius</t>
  </si>
  <si>
    <t>Millimetres</t>
  </si>
  <si>
    <t>Location and climate</t>
  </si>
  <si>
    <t>Your business</t>
  </si>
  <si>
    <t>Location information is used to reference some region and climate-specific emission factors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</si>
  <si>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Automatically calculated, 12 months after start date</t>
    </r>
  </si>
  <si>
    <t>Percent</t>
  </si>
  <si>
    <t>Unit</t>
  </si>
  <si>
    <t>Manure management system</t>
  </si>
  <si>
    <t>State/Territory</t>
  </si>
  <si>
    <t>Common Name</t>
  </si>
  <si>
    <t>Abbreviation</t>
  </si>
  <si>
    <t>SA 4 Name</t>
  </si>
  <si>
    <t>Region (ABS Statistical area level 4) if state is WA</t>
  </si>
  <si>
    <t>Function name</t>
  </si>
  <si>
    <t>Gas</t>
  </si>
  <si>
    <t>CO2-e factor</t>
  </si>
  <si>
    <t>Variable</t>
  </si>
  <si>
    <t>Conversion factor</t>
  </si>
  <si>
    <t>Conversion factor 1</t>
  </si>
  <si>
    <t>Conversion factor 2</t>
  </si>
  <si>
    <t>Conversion factor combined</t>
  </si>
  <si>
    <t>Western Australia - Outback (South)</t>
  </si>
  <si>
    <t>Rainfall zone</t>
  </si>
  <si>
    <t>MAT</t>
  </si>
  <si>
    <t>MAP</t>
  </si>
  <si>
    <t>Frost days per year</t>
  </si>
  <si>
    <t>Elevation</t>
  </si>
  <si>
    <t>MAP:PET</t>
  </si>
  <si>
    <t>Min temp</t>
  </si>
  <si>
    <t>Max temp</t>
  </si>
  <si>
    <t>Min rainfall</t>
  </si>
  <si>
    <t>Max rainfall</t>
  </si>
  <si>
    <t>Min frost days</t>
  </si>
  <si>
    <t>Min elevation</t>
  </si>
  <si>
    <t>Min MAP:PET</t>
  </si>
  <si>
    <t>Wet or Dry Zone</t>
  </si>
  <si>
    <t>Max frost days</t>
  </si>
  <si>
    <t>Max elevation</t>
  </si>
  <si>
    <t>Max MAP:PET</t>
  </si>
  <si>
    <t>Temperature zone</t>
  </si>
  <si>
    <t>Meters</t>
  </si>
  <si>
    <t>Days</t>
  </si>
  <si>
    <t>Temperature Zone</t>
  </si>
  <si>
    <t>Min MAT</t>
  </si>
  <si>
    <t>Max MAT</t>
  </si>
  <si>
    <t>Rainfall Zone</t>
  </si>
  <si>
    <t>Annual rainfall</t>
  </si>
  <si>
    <t>MAP:PET ratio</t>
  </si>
  <si>
    <t>Average temperature for reporting period</t>
  </si>
  <si>
    <t>Total rainfall for reporting period</t>
  </si>
  <si>
    <t>Potential evapotranspiration for reporting period</t>
  </si>
  <si>
    <t>Number of frost days for reporting period</t>
  </si>
  <si>
    <t>Leaching Zone</t>
  </si>
  <si>
    <t>Leaching criteria</t>
  </si>
  <si>
    <t>MMS</t>
  </si>
  <si>
    <t>Data source</t>
  </si>
  <si>
    <t>Data score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</si>
  <si>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DD/MM/YYYY or DD Month YYYY</t>
    </r>
  </si>
  <si>
    <t>Tip: Use the web-based GAF Location Helper tool to easily get region and climate information. You will need an internet connection to use the GAF Location Helper.</t>
  </si>
  <si>
    <t>Reporting entity name</t>
  </si>
  <si>
    <t>Test Farms Pty Ltd</t>
  </si>
  <si>
    <t>Freight and transport</t>
  </si>
  <si>
    <t>Enteric methane</t>
  </si>
  <si>
    <t>CALCULATIONS</t>
  </si>
  <si>
    <t>Constants - Common</t>
  </si>
  <si>
    <t>Waste</t>
  </si>
  <si>
    <t>Constants - Livestock</t>
  </si>
  <si>
    <t>Symbol</t>
  </si>
  <si>
    <t>Symbol and MMS</t>
  </si>
  <si>
    <t>ACT</t>
  </si>
  <si>
    <t>NSW</t>
  </si>
  <si>
    <t>NT</t>
  </si>
  <si>
    <t>QLD</t>
  </si>
  <si>
    <t>SA</t>
  </si>
  <si>
    <t>TAS</t>
  </si>
  <si>
    <t>VIC</t>
  </si>
  <si>
    <t>WA</t>
  </si>
  <si>
    <t>💡An 'Emissions accounting period' is a 12 month period where the business can report on the emissions, and is typically the same as the business' financial accounting period.</t>
  </si>
  <si>
    <t>Input - Site</t>
  </si>
  <si>
    <t>Wet or dry climate zone</t>
  </si>
  <si>
    <t>Is in leaching zone</t>
  </si>
  <si>
    <t>FracWET</t>
  </si>
  <si>
    <t>NO - Not in leaching zone</t>
  </si>
  <si>
    <t>Emissions calculation period start date</t>
  </si>
  <si>
    <t>Emissions calculation period end date</t>
  </si>
  <si>
    <r>
      <t>MCF</t>
    </r>
    <r>
      <rPr>
        <b/>
        <vertAlign val="subscript"/>
        <sz val="11"/>
        <color rgb="FF183C1B"/>
        <rFont val="Times New Roman"/>
        <family val="1"/>
      </rPr>
      <t>im</t>
    </r>
  </si>
  <si>
    <t>Head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</si>
  <si>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</si>
  <si>
    <t>Method 1</t>
  </si>
  <si>
    <t>Method 2</t>
  </si>
  <si>
    <t>Volatile solid production (Method 1)</t>
  </si>
  <si>
    <t>Dry matter digestibility (Method 1)</t>
  </si>
  <si>
    <t>Volatile solid production (Method 2)</t>
  </si>
  <si>
    <t>Scope 1 source</t>
  </si>
  <si>
    <t>Production system j</t>
  </si>
  <si>
    <t>EFN2O</t>
  </si>
  <si>
    <t>Production system only</t>
  </si>
  <si>
    <t>Irrigation method</t>
  </si>
  <si>
    <t>Production system</t>
  </si>
  <si>
    <t>Sprinkler irrigation</t>
  </si>
  <si>
    <t>Total</t>
  </si>
  <si>
    <t>GHG Unit</t>
  </si>
  <si>
    <t>CO2-e unit</t>
  </si>
  <si>
    <t>Month</t>
  </si>
  <si>
    <t>fraction</t>
  </si>
  <si>
    <t>t CH4</t>
  </si>
  <si>
    <t>Irrigation type i</t>
  </si>
  <si>
    <t>t CO2e</t>
  </si>
  <si>
    <t>EFPRP</t>
  </si>
  <si>
    <t>GHG emissions method 1</t>
  </si>
  <si>
    <t>GHG emissions method 2</t>
  </si>
  <si>
    <t>CO2-e emissions method 1</t>
  </si>
  <si>
    <t>CO2-e emissions method 2</t>
  </si>
  <si>
    <t>Season</t>
  </si>
  <si>
    <t>Western Australia</t>
  </si>
  <si>
    <t>days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</si>
  <si>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CH4</t>
    </r>
  </si>
  <si>
    <t>t N2O</t>
  </si>
  <si>
    <t>Crop</t>
  </si>
  <si>
    <t>Acknowledgements</t>
  </si>
  <si>
    <t>Manure production</t>
  </si>
  <si>
    <t>Boars</t>
  </si>
  <si>
    <t>Sows</t>
  </si>
  <si>
    <t>Gilts</t>
  </si>
  <si>
    <t>NIR definition</t>
  </si>
  <si>
    <t>VSL</t>
  </si>
  <si>
    <t>Stage 1 management</t>
  </si>
  <si>
    <t>Table_VSL_m_T-1</t>
  </si>
  <si>
    <t>Table_MMS_j_m_T-2</t>
  </si>
  <si>
    <t>Stage 2 management</t>
  </si>
  <si>
    <t>Table_MCF_i_m</t>
  </si>
  <si>
    <t>Methane conversion factor for state</t>
  </si>
  <si>
    <t>N/A</t>
  </si>
  <si>
    <t>Manure management systems</t>
  </si>
  <si>
    <t>Stage 1 MMS</t>
  </si>
  <si>
    <t>Total sent to all MMS (Must equal 100%)</t>
  </si>
  <si>
    <t>Stage 2 MMS</t>
  </si>
  <si>
    <t>This tool demostrates inputs for one production system.</t>
  </si>
  <si>
    <t>Destination after stage 2 MMS (Percent)</t>
  </si>
  <si>
    <t>Sold</t>
  </si>
  <si>
    <t>Fert for own farm (eg crop)</t>
  </si>
  <si>
    <t>Direct application to soil</t>
  </si>
  <si>
    <t>▼</t>
  </si>
  <si>
    <t>►</t>
  </si>
  <si>
    <t>Duration of stay</t>
  </si>
  <si>
    <t>Method 1 default values (Do not edit)</t>
  </si>
  <si>
    <t>Method 2 custom values (Edit if known)</t>
  </si>
  <si>
    <t>Methane emissions from manure management (Method 1)</t>
  </si>
  <si>
    <t>Others</t>
  </si>
  <si>
    <t>Methane emissions from manure management (Method 2)</t>
  </si>
  <si>
    <t>Table_MMS_j_m_T-1</t>
  </si>
  <si>
    <t>M1_Table_MN_j_m_T-1</t>
  </si>
  <si>
    <t>Nitrogen in treatment stage 1 MMS (Method 1)</t>
  </si>
  <si>
    <t>FracGASMm</t>
  </si>
  <si>
    <t>EF</t>
  </si>
  <si>
    <t>M1_Table_MN_j_m_T-2</t>
  </si>
  <si>
    <t>Nitrogen in stage 2 MMS (Method 1)</t>
  </si>
  <si>
    <t>M1_Table_E_N2O_dir</t>
  </si>
  <si>
    <t>Total direct nitrous oxide emissions from MMS (Method 1)</t>
  </si>
  <si>
    <r>
      <t>MMS</t>
    </r>
    <r>
      <rPr>
        <b/>
        <vertAlign val="subscript"/>
        <sz val="16"/>
        <color theme="1" tint="0.24994659260841701"/>
        <rFont val="Times New Roman"/>
        <family val="1"/>
      </rPr>
      <t>ATMOS</t>
    </r>
  </si>
  <si>
    <t>Where manure was deposited on farm soils, what is the closest match?</t>
  </si>
  <si>
    <r>
      <t>MMS</t>
    </r>
    <r>
      <rPr>
        <b/>
        <vertAlign val="subscript"/>
        <sz val="12"/>
        <color theme="1" tint="0.24994659260841701"/>
        <rFont val="Times New Roman"/>
        <family val="1"/>
      </rPr>
      <t>ATMOS</t>
    </r>
  </si>
  <si>
    <t>4.2.1.7-8 Leaching and runoff</t>
  </si>
  <si>
    <r>
      <t xml:space="preserve">This infers that drylot is </t>
    </r>
    <r>
      <rPr>
        <b/>
        <sz val="12"/>
        <color theme="1" tint="0.24994659260841701"/>
        <rFont val="Times New Roman"/>
        <family val="1"/>
      </rPr>
      <t>not</t>
    </r>
    <r>
      <rPr>
        <sz val="12"/>
        <color theme="1" tint="0.24994659260841701"/>
        <rFont val="Times New Roman"/>
        <family val="1"/>
      </rPr>
      <t xml:space="preserve"> a stage 2 MMS option</t>
    </r>
  </si>
  <si>
    <t>M1_Table_MN_j_m-5_T-1</t>
  </si>
  <si>
    <t>kg N</t>
  </si>
  <si>
    <t>Nitrogen in stage 1 drylot (Method 1)</t>
  </si>
  <si>
    <t>M2_Table_MN_j_m-5_T-1</t>
  </si>
  <si>
    <t>Nitrogen in stage 1 drylot (Method 2)</t>
  </si>
  <si>
    <t>Doc has typo - refers to 'solid storage'</t>
  </si>
  <si>
    <t>M1_Table_MN_leach_j_m-5</t>
  </si>
  <si>
    <t>Mass of nitrogen lost to leaching (Method 1)</t>
  </si>
  <si>
    <t>M1_Table_E_N2O_leach</t>
  </si>
  <si>
    <t>Annual emissions from leaching and runoff (Method 1)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</si>
  <si>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N2O,leach</t>
    </r>
  </si>
  <si>
    <t>M2_Table_E_N2O_leach</t>
  </si>
  <si>
    <t>Annual emissions from leaching and runoff (Method 2)</t>
  </si>
  <si>
    <t>4.5.1.7-8 Leaching and runoff</t>
  </si>
  <si>
    <t>4.5.1.5-6 Atmospheric deposition N2O</t>
  </si>
  <si>
    <t>4.5.1.9 Manure applied to soils</t>
  </si>
  <si>
    <t xml:space="preserve"> but 4.5.1.7, Equation (2) says MNleachjm=5 only comes from stage 1 MMS</t>
  </si>
  <si>
    <t>MNleachjm=5 infers stage 1 and 2 drylot MMS</t>
  </si>
  <si>
    <t>N lost through leaching and runoff from stage 1 drylot MMS</t>
  </si>
  <si>
    <t>M1_Table_PF</t>
  </si>
  <si>
    <t>Fraction of manure applied to soil (Method 1)</t>
  </si>
  <si>
    <t>PF</t>
  </si>
  <si>
    <t>Table_FracGASM_m_t</t>
  </si>
  <si>
    <t>Fraction of N volatilised from MMS</t>
  </si>
  <si>
    <t>Table_EF_m_T</t>
  </si>
  <si>
    <t>Nitrous oxide emissions factor for MMS</t>
  </si>
  <si>
    <t>M1_Table_MNSoil_scope1</t>
  </si>
  <si>
    <t>Mass of nitrogen applied to soils for scope 1 emissions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</si>
  <si>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scope1</t>
    </r>
  </si>
  <si>
    <t>M2_Table_MN_j_m_T-2</t>
  </si>
  <si>
    <t>Nitrogen in stage 2 MMS (Method 2)</t>
  </si>
  <si>
    <t>M1_Table_MNSoil_scope3</t>
  </si>
  <si>
    <t>Mass of nitrogen applied to soils for scope 3 emissions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</si>
  <si>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scope3</t>
    </r>
  </si>
  <si>
    <t>* Scope 1: Manure that is removed from MMS and used as fertiliser on the farm, for other enterprises (eg crops)</t>
  </si>
  <si>
    <t>Scope 1: Mass of nitrogen applied as fertiliser on own farm</t>
  </si>
  <si>
    <t>M1_Table_PF_fert</t>
  </si>
  <si>
    <t>Fraction of manure applied as fertiliser on farm for other enterpsises (eg crops) (Method 1)</t>
  </si>
  <si>
    <r>
      <t>PF</t>
    </r>
    <r>
      <rPr>
        <b/>
        <vertAlign val="subscript"/>
        <sz val="11"/>
        <color rgb="FF183C1B"/>
        <rFont val="Times New Roman"/>
        <family val="1"/>
      </rPr>
      <t>fert</t>
    </r>
  </si>
  <si>
    <t>M1_Table_MNSoil_scope1_fert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</si>
  <si>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scope1,fert</t>
    </r>
  </si>
  <si>
    <t>M2_Table_MNSoil_scope1_fert</t>
  </si>
  <si>
    <t>Mass of nitrogen applied as fertiliser on own farm for other enterprise (eg crops) for scope 1 emissions (Method 1)</t>
  </si>
  <si>
    <t>Mass of nitrogen applied as fertiliser on own farm for other enterprise (eg crops) for scope 1 emissions (Method 2)</t>
  </si>
  <si>
    <t>WARNING: Manure nitrogen that was applied to soils must be accounted for</t>
  </si>
  <si>
    <t>See the table below for how to account for manure applied to soils for scope 1 and 3.</t>
  </si>
  <si>
    <t>Manure nitrogen use</t>
  </si>
  <si>
    <t>Amount of N in manure</t>
  </si>
  <si>
    <t>N unit</t>
  </si>
  <si>
    <t>Emissions allocated to</t>
  </si>
  <si>
    <t>VEERG Calculation method</t>
  </si>
  <si>
    <r>
      <t>Manure nitrogen deposited on farm soils (</t>
    </r>
    <r>
      <rPr>
        <i/>
        <sz val="12"/>
        <color theme="1" tint="0.24994659260841701"/>
        <rFont val="Times New Roman"/>
        <family val="1"/>
      </rPr>
      <t>including</t>
    </r>
    <r>
      <rPr>
        <sz val="12"/>
        <color theme="1" tint="0.24994659260841701"/>
        <rFont val="Times New Roman"/>
        <family val="1"/>
      </rPr>
      <t xml:space="preserve"> use as fertiliser for other enterprises on own farm eg crops)</t>
    </r>
  </si>
  <si>
    <t>5.2.2.1 (1), 5.4.1.3 (1, 2), 5.5.1.1 (1, 3)</t>
  </si>
  <si>
    <t>Manure nitrogen deposited on farm soils as fertiliser for other farm enterpsies (eg crops)</t>
  </si>
  <si>
    <t>Manure nitrogen sold</t>
  </si>
  <si>
    <t>Scope 3 (downstream)</t>
  </si>
  <si>
    <t>15.13.1.1 (1), 5.2.2.1 (1), 5.4.1.3 (1, 2), 5.5.1.1 (1, 3)</t>
  </si>
  <si>
    <t>Scope 1 - This piggery</t>
  </si>
  <si>
    <t>4.5.1.1-2 Manure methane</t>
  </si>
  <si>
    <t>4.5.1.3-4 Direct N2O</t>
  </si>
  <si>
    <t>4.5.1.5-6 Atmospheric deposition</t>
  </si>
  <si>
    <t>4.6 Manure management: Poultry: Results</t>
  </si>
  <si>
    <t>Input -Poultry</t>
  </si>
  <si>
    <t>Constants - Poultry</t>
  </si>
  <si>
    <t>Nutrient analysis</t>
  </si>
  <si>
    <t>Layers</t>
  </si>
  <si>
    <t>Meat chicken growers</t>
  </si>
  <si>
    <t>Meat chicken breeder</t>
  </si>
  <si>
    <t>Meat other</t>
  </si>
  <si>
    <t>Poultry class</t>
  </si>
  <si>
    <t>B0</t>
  </si>
  <si>
    <t>Poultry manure management systems</t>
  </si>
  <si>
    <t>Poultry manure management systems - Stage 1</t>
  </si>
  <si>
    <t>Poultry manure management systems - Stage 2</t>
  </si>
  <si>
    <t>No MMS</t>
  </si>
  <si>
    <t>Poultry production systems</t>
  </si>
  <si>
    <t>MMS m</t>
  </si>
  <si>
    <t>All states</t>
  </si>
  <si>
    <t>Couldn't find these numbers in NIR - what is the source?</t>
  </si>
  <si>
    <t>Free range</t>
  </si>
  <si>
    <t>Meat chicken breeders</t>
  </si>
  <si>
    <t>Other</t>
  </si>
  <si>
    <t>4.6.1.1-2 Manure Methane</t>
  </si>
  <si>
    <t>Dry matter intake</t>
  </si>
  <si>
    <t>Dry matter digestibility (DMD)</t>
  </si>
  <si>
    <t>kg/DM/bird/day</t>
  </si>
  <si>
    <t>M1_Table_I_j_k</t>
  </si>
  <si>
    <t>M2_Table_I_j_k</t>
  </si>
  <si>
    <t>Dry matter intake (Method 2)</t>
  </si>
  <si>
    <t>Dry matter intake (Method 1)</t>
  </si>
  <si>
    <t>M1_Table_DMD_j_k</t>
  </si>
  <si>
    <t>Table_A_j</t>
  </si>
  <si>
    <t>Ash content of manure</t>
  </si>
  <si>
    <t>M1_Table_VS_j_k</t>
  </si>
  <si>
    <t>M2_Table_VS_j_k</t>
  </si>
  <si>
    <t>Table_B_0_j</t>
  </si>
  <si>
    <t>Methane emissions potential per class</t>
  </si>
  <si>
    <t>m3 CH4/kg VS</t>
  </si>
  <si>
    <t>M1_Table_M_j_k_m_T-1</t>
  </si>
  <si>
    <t>Production of methane in stage 1 MMS (Method 1)</t>
  </si>
  <si>
    <t>Fraction of manure sent to stage 1 MMS</t>
  </si>
  <si>
    <t>Fraction volatile solids list in stage 1 MMS</t>
  </si>
  <si>
    <r>
      <t>VSL</t>
    </r>
    <r>
      <rPr>
        <b/>
        <vertAlign val="subscript"/>
        <sz val="11"/>
        <color rgb="FF183C1B"/>
        <rFont val="Times New Roman"/>
        <family val="1"/>
      </rPr>
      <t>mT=1</t>
    </r>
  </si>
  <si>
    <t>M1_Table_VST_j_k</t>
  </si>
  <si>
    <t>M2_Table_VST_j_k</t>
  </si>
  <si>
    <t>Volatile solids sent to stage 2 MMS (Method 1)</t>
  </si>
  <si>
    <t>Volatile solids sent to stage 2 MMS (Method 2)</t>
  </si>
  <si>
    <t>Fraction of manure in stage 2 MMS</t>
  </si>
  <si>
    <t>M1_Table_M_j_k_m_T-2</t>
  </si>
  <si>
    <t>Production of methane in stage 2 MMS</t>
  </si>
  <si>
    <t>Table_D_j_k</t>
  </si>
  <si>
    <t>Table_N_j_k</t>
  </si>
  <si>
    <t>Number of poultry</t>
  </si>
  <si>
    <t>birds</t>
  </si>
  <si>
    <t>M1_Table_N_j_k</t>
  </si>
  <si>
    <t>M2_Table_N_j_k</t>
  </si>
  <si>
    <t>Crude protein (CP)</t>
  </si>
  <si>
    <t>4.6.1.3-4 Manure Direct N2O</t>
  </si>
  <si>
    <t>M1_Table_CP_j_k</t>
  </si>
  <si>
    <t>Crude protein content of feed (Method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</si>
</sst>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0.000"/>
    <numFmt numFmtId="165" formatCode="#,##0.000"/>
    <numFmt numFmtId="166" formatCode="d/mm/yyyy;@"/>
    <numFmt numFmtId="167" formatCode="_-* #,##0_-;\-* #,##0_-;_-* &quot;-&quot;??_-;_-@_-"/>
    <numFmt numFmtId="168" formatCode="[$-C09]dd\-mmmm\-yyyy;@"/>
    <numFmt numFmtId="169" formatCode="#,##0.000000"/>
  </numFmts>
  <fonts count="66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i/>
      <sz val="10"/>
      <color theme="1" tint="0.34998626667073579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u/>
      <sz val="11"/>
      <color theme="10"/>
      <name val="Times New Roman"/>
      <family val="2"/>
      <scheme val="minor"/>
    </font>
    <font>
      <sz val="9"/>
      <color theme="1" tint="0.249977111117893"/>
      <name val="Times New Roman"/>
      <family val="1"/>
    </font>
    <font>
      <sz val="9"/>
      <color rgb="FF008000"/>
      <name val="Times New Roman"/>
      <family val="1"/>
    </font>
    <font>
      <sz val="9"/>
      <color rgb="FFCC6600"/>
      <name val="Times New Roman"/>
      <family val="1"/>
    </font>
    <font>
      <sz val="12"/>
      <color theme="0"/>
      <name val="Times New Roman"/>
      <family val="1"/>
    </font>
    <font>
      <sz val="8"/>
      <name val="Times New Roman"/>
      <family val="2"/>
      <scheme val="minor"/>
    </font>
    <font>
      <sz val="11"/>
      <color theme="1" tint="0.49998474074526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249977111117893"/>
      <name val="Times New Roman"/>
      <family val="1"/>
    </font>
    <font>
      <sz val="12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  <font>
      <b/>
      <sz val="11"/>
      <color theme="1"/>
      <name val="Times New Roman"/>
      <family val="1"/>
      <scheme val="minor"/>
    </font>
    <font>
      <b/>
      <sz val="14"/>
      <color theme="1"/>
      <name val="Times New Roman"/>
      <family val="1"/>
      <scheme val="minor"/>
    </font>
    <font>
      <sz val="11"/>
      <color rgb="FF242424"/>
      <name val="Consolas"/>
      <family val="3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2"/>
      <color theme="1" tint="0.24994659260841701"/>
      <name val="Times New Roman"/>
      <family val="1"/>
    </font>
    <font>
      <b/>
      <vertAlign val="subscript"/>
      <sz val="11"/>
      <color rgb="FF183C1B"/>
      <name val="Times New Roman"/>
      <family val="1"/>
    </font>
    <font>
      <b/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i/>
      <sz val="12"/>
      <color theme="1" tint="0.14999847407452621"/>
      <name val="Times New Roman"/>
      <family val="1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  <font>
      <b/>
      <sz val="16"/>
      <color theme="1" tint="0.24994659260841701"/>
      <name val="Times New Roman"/>
      <family val="1"/>
    </font>
    <font>
      <sz val="16"/>
      <color theme="1" tint="0.24994659260841701"/>
      <name val="Times New Roman"/>
      <family val="1"/>
    </font>
    <font>
      <i/>
      <sz val="16"/>
      <color theme="1" tint="0.34998626667073579"/>
      <name val="Times New Roman"/>
      <family val="1"/>
    </font>
    <font>
      <vertAlign val="subscript"/>
      <sz val="12"/>
      <color theme="1" tint="0.24994659260841701"/>
      <name val="Times New Roman"/>
      <family val="1"/>
    </font>
    <font>
      <sz val="14"/>
      <color theme="1" tint="0.34998626667073579"/>
      <name val="Times New Roman"/>
      <family val="1"/>
    </font>
    <font>
      <b/>
      <sz val="12"/>
      <color rgb="FFCC6600"/>
      <name val="Times New Roman"/>
      <family val="1"/>
    </font>
    <font>
      <b/>
      <vertAlign val="subscript"/>
      <sz val="16"/>
      <color theme="1" tint="0.24994659260841701"/>
      <name val="Times New Roman"/>
      <family val="1"/>
    </font>
    <font>
      <b/>
      <vertAlign val="subscript"/>
      <sz val="12"/>
      <color theme="1" tint="0.24994659260841701"/>
      <name val="Times New Roman"/>
      <family val="1"/>
    </font>
    <font>
      <b/>
      <sz val="20"/>
      <color theme="4" tint="-0.249977111117893"/>
      <name val="Times New Roman"/>
      <family val="1"/>
    </font>
    <font>
      <b/>
      <sz val="11"/>
      <color theme="5" tint="-0.499984740745262"/>
      <name val="Times New Roman"/>
      <family val="1"/>
      <scheme val="minor"/>
    </font>
    <font>
      <b/>
      <sz val="12"/>
      <color theme="1" tint="0.499984740745262"/>
      <name val="Times New Roman"/>
      <family val="1"/>
    </font>
    <font>
      <sz val="10"/>
      <color theme="1" tint="0.499984740745262"/>
      <name val="Times New Roman"/>
      <family val="1"/>
    </font>
    <font>
      <i/>
      <sz val="12"/>
      <color theme="1" tint="0.24994659260841701"/>
      <name val="Times New Roman"/>
      <family val="1"/>
    </font>
    <font>
      <b/>
      <sz val="22"/>
      <color theme="5" tint="-0.499984740745262"/>
      <name val="Times New Roman"/>
      <family val="1"/>
    </font>
    <font>
      <sz val="12"/>
      <color rgb="FFCC66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thin">
        <color theme="3" tint="0.749961851863155"/>
      </top>
      <bottom/>
      <diagonal/>
    </border>
    <border>
      <left/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/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 style="thin">
        <color theme="0" tint="-0.34998626667073579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</borders>
  <cellStyleXfs count="65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7" fillId="3" borderId="0">
      <alignment vertical="center"/>
    </xf>
    <xf numFmtId="0" fontId="38" fillId="4" borderId="0">
      <alignment horizontal="left" vertical="center"/>
    </xf>
    <xf numFmtId="0" fontId="44" fillId="4" borderId="0">
      <alignment vertical="center"/>
    </xf>
    <xf numFmtId="0" fontId="3" fillId="4" borderId="0">
      <alignment horizontal="left" vertical="center"/>
    </xf>
    <xf numFmtId="0" fontId="40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9" fontId="10" fillId="0" borderId="0" applyFont="0" applyFill="0" applyBorder="0" applyAlignment="0" applyProtection="0"/>
    <xf numFmtId="0" fontId="2" fillId="0" borderId="2">
      <alignment horizontal="center" vertical="center"/>
    </xf>
    <xf numFmtId="0" fontId="3" fillId="12" borderId="2">
      <alignment horizontal="center" vertical="center"/>
    </xf>
    <xf numFmtId="9" fontId="2" fillId="0" borderId="2">
      <alignment horizontal="center" vertical="center"/>
    </xf>
    <xf numFmtId="4" fontId="2" fillId="0" borderId="2">
      <alignment horizontal="center" vertical="center"/>
    </xf>
    <xf numFmtId="3" fontId="2" fillId="0" borderId="2">
      <alignment horizontal="center" vertical="center"/>
    </xf>
    <xf numFmtId="0" fontId="14" fillId="0" borderId="2">
      <alignment horizontal="center" vertical="center"/>
    </xf>
    <xf numFmtId="0" fontId="15" fillId="0" borderId="2">
      <alignment horizontal="center" vertical="center"/>
    </xf>
    <xf numFmtId="9" fontId="14" fillId="0" borderId="2">
      <alignment horizontal="center" vertical="center"/>
    </xf>
    <xf numFmtId="165" fontId="14" fillId="0" borderId="2">
      <alignment horizontal="center" vertical="center"/>
    </xf>
    <xf numFmtId="3" fontId="14" fillId="0" borderId="2">
      <alignment horizontal="center" vertical="center"/>
    </xf>
    <xf numFmtId="0" fontId="16" fillId="4" borderId="0">
      <alignment horizontal="left" vertical="center"/>
    </xf>
    <xf numFmtId="0" fontId="6" fillId="4" borderId="4">
      <alignment horizontal="left" vertical="center" indent="1"/>
    </xf>
    <xf numFmtId="164" fontId="8" fillId="4" borderId="4">
      <alignment horizontal="center" vertical="center"/>
    </xf>
    <xf numFmtId="0" fontId="3" fillId="4" borderId="4">
      <alignment horizontal="left" vertical="center"/>
    </xf>
    <xf numFmtId="0" fontId="13" fillId="6" borderId="0">
      <alignment horizontal="left" vertical="center" indent="1"/>
    </xf>
    <xf numFmtId="0" fontId="13" fillId="6" borderId="0">
      <alignment horizontal="center" vertical="center"/>
      <protection locked="0"/>
    </xf>
    <xf numFmtId="0" fontId="12" fillId="4" borderId="0">
      <alignment vertical="center"/>
    </xf>
    <xf numFmtId="0" fontId="17" fillId="7" borderId="0">
      <alignment vertical="center"/>
    </xf>
    <xf numFmtId="0" fontId="11" fillId="0" borderId="0"/>
    <xf numFmtId="0" fontId="18" fillId="0" borderId="0" applyNumberFormat="0" applyFill="0" applyBorder="0" applyAlignment="0" applyProtection="0"/>
    <xf numFmtId="0" fontId="2" fillId="0" borderId="0">
      <alignment horizontal="left" vertical="center" indent="1"/>
    </xf>
    <xf numFmtId="0" fontId="19" fillId="9" borderId="5">
      <alignment horizontal="left" vertical="center" indent="1"/>
    </xf>
    <xf numFmtId="0" fontId="22" fillId="10" borderId="0">
      <alignment horizontal="left" vertical="center" indent="1"/>
    </xf>
    <xf numFmtId="0" fontId="22" fillId="5" borderId="0">
      <alignment horizontal="left" vertical="center" indent="1"/>
    </xf>
    <xf numFmtId="0" fontId="22" fillId="8" borderId="0">
      <alignment horizontal="left" vertical="center" indent="1"/>
    </xf>
    <xf numFmtId="0" fontId="24" fillId="0" borderId="0">
      <alignment horizontal="left" vertical="center" indent="2"/>
    </xf>
    <xf numFmtId="0" fontId="46" fillId="13" borderId="8">
      <alignment horizontal="left" vertical="center"/>
    </xf>
    <xf numFmtId="43" fontId="10" fillId="0" borderId="0" applyFont="0" applyFill="0" applyBorder="0" applyAlignment="0" applyProtection="0"/>
    <xf numFmtId="3" fontId="35" fillId="4" borderId="2">
      <alignment horizontal="center" vertical="center"/>
    </xf>
    <xf numFmtId="168" fontId="2" fillId="0" borderId="2">
      <alignment horizontal="center" vertical="center"/>
    </xf>
    <xf numFmtId="0" fontId="36" fillId="0" borderId="0"/>
    <xf numFmtId="0" fontId="10" fillId="0" borderId="0"/>
    <xf numFmtId="0" fontId="36" fillId="0" borderId="0"/>
    <xf numFmtId="166" fontId="35" fillId="4" borderId="2">
      <alignment horizontal="center" vertical="center"/>
    </xf>
    <xf numFmtId="4" fontId="35" fillId="4" borderId="2">
      <alignment horizontal="center" vertical="center"/>
    </xf>
    <xf numFmtId="0" fontId="55" fillId="4" borderId="0">
      <alignment horizontal="left" vertical="center"/>
    </xf>
    <xf numFmtId="0" fontId="39" fillId="4" borderId="0" applyNumberFormat="0">
      <alignment horizontal="center" vertical="center"/>
    </xf>
    <xf numFmtId="165" fontId="35" fillId="4" borderId="2">
      <alignment horizontal="center" vertical="center"/>
    </xf>
    <xf numFmtId="0" fontId="34" fillId="4" borderId="0">
      <alignment horizontal="left" vertical="center"/>
    </xf>
    <xf numFmtId="169" fontId="35" fillId="4" borderId="2">
      <alignment horizontal="center" vertical="center"/>
    </xf>
    <xf numFmtId="0" fontId="35" fillId="4" borderId="2">
      <alignment horizontal="center" vertical="center"/>
    </xf>
    <xf numFmtId="0" fontId="6" fillId="4" borderId="0">
      <alignment horizontal="left" vertical="center"/>
    </xf>
    <xf numFmtId="0" fontId="43" fillId="4" borderId="0">
      <alignment horizontal="left" vertical="center"/>
    </xf>
    <xf numFmtId="0" fontId="10" fillId="0" borderId="0"/>
    <xf numFmtId="0" fontId="2" fillId="0" borderId="2">
      <alignment horizontal="center" vertical="center"/>
    </xf>
    <xf numFmtId="0" fontId="49" fillId="4" borderId="0">
      <alignment horizontal="left" vertical="center"/>
    </xf>
    <xf numFmtId="0" fontId="50" fillId="4" borderId="0">
      <alignment horizontal="left" vertical="center"/>
    </xf>
    <xf numFmtId="0" fontId="56" fillId="4" borderId="0">
      <alignment horizontal="left" vertical="center"/>
    </xf>
    <xf numFmtId="0" fontId="48" fillId="11" borderId="0">
      <alignment horizontal="center" vertical="center"/>
    </xf>
    <xf numFmtId="0" fontId="22" fillId="11" borderId="0">
      <alignment horizontal="left" vertical="center" indent="1"/>
    </xf>
  </cellStyleXfs>
  <cellXfs count="142">
    <xf numFmtId="0" fontId="0" fillId="0" borderId="0" xfId="0"/>
    <xf numFmtId="0" fontId="40" fillId="4" borderId="0" xfId="8">
      <alignment horizontal="left" vertical="center"/>
    </xf>
    <xf numFmtId="0" fontId="6" fillId="4" borderId="0" xfId="12">
      <alignment horizontal="left" vertical="center" indent="1"/>
    </xf>
    <xf numFmtId="0" fontId="3" fillId="4" borderId="0" xfId="7">
      <alignment horizontal="left" vertical="center"/>
    </xf>
    <xf numFmtId="0" fontId="17" fillId="3" borderId="0" xfId="4">
      <alignment vertical="center"/>
    </xf>
    <xf numFmtId="0" fontId="44" fillId="4" borderId="0" xfId="6">
      <alignment vertical="center"/>
    </xf>
    <xf numFmtId="0" fontId="38" fillId="4" borderId="0" xfId="5">
      <alignment horizontal="left" vertical="center"/>
    </xf>
    <xf numFmtId="0" fontId="3" fillId="0" borderId="0" xfId="7" applyFill="1">
      <alignment horizontal="left" vertical="center"/>
    </xf>
    <xf numFmtId="0" fontId="4" fillId="0" borderId="0" xfId="2"/>
    <xf numFmtId="0" fontId="1" fillId="0" borderId="0" xfId="3">
      <alignment vertical="center"/>
    </xf>
    <xf numFmtId="0" fontId="2" fillId="4" borderId="0" xfId="7" applyFont="1">
      <alignment horizontal="left" vertical="center"/>
    </xf>
    <xf numFmtId="0" fontId="17" fillId="0" borderId="0" xfId="4" applyFill="1">
      <alignment vertical="center"/>
    </xf>
    <xf numFmtId="0" fontId="11" fillId="0" borderId="0" xfId="2" applyFont="1"/>
    <xf numFmtId="0" fontId="16" fillId="4" borderId="0" xfId="25">
      <alignment horizontal="left" vertical="center"/>
    </xf>
    <xf numFmtId="0" fontId="12" fillId="4" borderId="0" xfId="31">
      <alignment vertical="center"/>
    </xf>
    <xf numFmtId="0" fontId="17" fillId="7" borderId="0" xfId="32">
      <alignment vertical="center"/>
    </xf>
    <xf numFmtId="0" fontId="2" fillId="9" borderId="0" xfId="7" applyFont="1" applyFill="1" applyAlignment="1">
      <alignment horizontal="left" vertical="center" indent="1"/>
    </xf>
    <xf numFmtId="0" fontId="2" fillId="0" borderId="0" xfId="35">
      <alignment horizontal="left" vertical="center" indent="1"/>
    </xf>
    <xf numFmtId="0" fontId="19" fillId="9" borderId="5" xfId="36">
      <alignment horizontal="left" vertical="center" indent="1"/>
    </xf>
    <xf numFmtId="0" fontId="20" fillId="9" borderId="5" xfId="36" applyFont="1">
      <alignment horizontal="left" vertical="center" indent="1"/>
    </xf>
    <xf numFmtId="0" fontId="21" fillId="9" borderId="5" xfId="36" applyFont="1">
      <alignment horizontal="left" vertical="center" indent="1"/>
    </xf>
    <xf numFmtId="0" fontId="46" fillId="13" borderId="8" xfId="41">
      <alignment horizontal="left" vertical="center"/>
    </xf>
    <xf numFmtId="0" fontId="0" fillId="4" borderId="0" xfId="0" applyFill="1"/>
    <xf numFmtId="2" fontId="32" fillId="4" borderId="1" xfId="0" applyNumberFormat="1" applyFont="1" applyFill="1" applyBorder="1"/>
    <xf numFmtId="2" fontId="0" fillId="4" borderId="0" xfId="0" applyNumberFormat="1" applyFill="1" applyAlignment="1">
      <alignment vertical="center"/>
    </xf>
    <xf numFmtId="0" fontId="17" fillId="4" borderId="0" xfId="4" applyFill="1">
      <alignment vertical="center"/>
    </xf>
    <xf numFmtId="0" fontId="31" fillId="4" borderId="0" xfId="0" applyFont="1" applyFill="1"/>
    <xf numFmtId="2" fontId="32" fillId="4" borderId="0" xfId="0" applyNumberFormat="1" applyFont="1" applyFill="1"/>
    <xf numFmtId="0" fontId="6" fillId="4" borderId="0" xfId="12" applyAlignment="1">
      <alignment horizontal="left" indent="1"/>
    </xf>
    <xf numFmtId="0" fontId="32" fillId="4" borderId="1" xfId="0" applyFont="1" applyFill="1" applyBorder="1"/>
    <xf numFmtId="0" fontId="40" fillId="4" borderId="0" xfId="8" applyAlignment="1">
      <alignment horizontal="right" vertical="center"/>
    </xf>
    <xf numFmtId="4" fontId="2" fillId="4" borderId="0" xfId="18" applyFill="1" applyBorder="1">
      <alignment horizontal="center" vertical="center"/>
    </xf>
    <xf numFmtId="0" fontId="13" fillId="4" borderId="0" xfId="30" applyFill="1">
      <alignment horizontal="center" vertical="center"/>
      <protection locked="0"/>
    </xf>
    <xf numFmtId="0" fontId="2" fillId="0" borderId="2" xfId="15">
      <alignment horizontal="center" vertical="center"/>
    </xf>
    <xf numFmtId="0" fontId="29" fillId="4" borderId="0" xfId="7" applyFont="1" applyAlignment="1">
      <alignment horizontal="center" vertical="center"/>
    </xf>
    <xf numFmtId="166" fontId="29" fillId="4" borderId="0" xfId="7" applyNumberFormat="1" applyFont="1" applyAlignment="1">
      <alignment horizontal="center" vertical="center"/>
    </xf>
    <xf numFmtId="0" fontId="0" fillId="0" borderId="0" xfId="7" applyFont="1" applyFill="1">
      <alignment horizontal="left" vertical="center"/>
    </xf>
    <xf numFmtId="0" fontId="0" fillId="0" borderId="0" xfId="8" applyFont="1" applyFill="1">
      <alignment horizontal="left" vertical="center"/>
    </xf>
    <xf numFmtId="0" fontId="2" fillId="0" borderId="0" xfId="7" applyFont="1" applyFill="1">
      <alignment horizontal="left" vertical="center"/>
    </xf>
    <xf numFmtId="0" fontId="3" fillId="12" borderId="2" xfId="16">
      <alignment horizontal="center" vertical="center"/>
    </xf>
    <xf numFmtId="0" fontId="38" fillId="0" borderId="0" xfId="5" applyFill="1">
      <alignment horizontal="left" vertical="center"/>
    </xf>
    <xf numFmtId="0" fontId="44" fillId="0" borderId="0" xfId="6" applyFill="1">
      <alignment vertical="center"/>
    </xf>
    <xf numFmtId="0" fontId="40" fillId="0" borderId="0" xfId="8" applyFill="1">
      <alignment horizontal="left" vertical="center"/>
    </xf>
    <xf numFmtId="0" fontId="9" fillId="0" borderId="0" xfId="12" applyFont="1" applyFill="1" applyAlignment="1">
      <alignment horizontal="left" vertical="center"/>
    </xf>
    <xf numFmtId="0" fontId="37" fillId="0" borderId="0" xfId="0" applyFont="1"/>
    <xf numFmtId="0" fontId="40" fillId="4" borderId="1" xfId="8" applyBorder="1">
      <alignment horizontal="left" vertical="center"/>
    </xf>
    <xf numFmtId="9" fontId="2" fillId="0" borderId="2" xfId="17">
      <alignment horizontal="center" vertical="center"/>
    </xf>
    <xf numFmtId="4" fontId="26" fillId="0" borderId="0" xfId="18" applyFont="1" applyBorder="1">
      <alignment horizontal="center" vertical="center"/>
    </xf>
    <xf numFmtId="0" fontId="55" fillId="4" borderId="0" xfId="50">
      <alignment horizontal="left" vertical="center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/>
    <xf numFmtId="0" fontId="5" fillId="2" borderId="0" xfId="9">
      <alignment horizontal="center" vertical="center"/>
    </xf>
    <xf numFmtId="0" fontId="35" fillId="4" borderId="2" xfId="55">
      <alignment horizontal="center" vertical="center"/>
    </xf>
    <xf numFmtId="0" fontId="42" fillId="4" borderId="0" xfId="8" applyFont="1">
      <alignment horizontal="left" vertical="center"/>
    </xf>
    <xf numFmtId="0" fontId="6" fillId="4" borderId="0" xfId="56">
      <alignment horizontal="left" vertical="center"/>
    </xf>
    <xf numFmtId="0" fontId="43" fillId="4" borderId="0" xfId="57">
      <alignment horizontal="left" vertical="center"/>
    </xf>
    <xf numFmtId="0" fontId="10" fillId="0" borderId="0" xfId="58"/>
    <xf numFmtId="0" fontId="35" fillId="4" borderId="2" xfId="55" applyAlignment="1">
      <alignment horizontal="left" vertical="center"/>
    </xf>
    <xf numFmtId="0" fontId="35" fillId="4" borderId="7" xfId="55" applyBorder="1" applyAlignment="1">
      <alignment horizontal="left" vertical="center"/>
    </xf>
    <xf numFmtId="0" fontId="35" fillId="4" borderId="6" xfId="55" applyBorder="1" applyAlignment="1">
      <alignment horizontal="left" vertical="center"/>
    </xf>
    <xf numFmtId="0" fontId="0" fillId="4" borderId="0" xfId="7" applyFont="1">
      <alignment horizontal="left" vertical="center"/>
    </xf>
    <xf numFmtId="4" fontId="26" fillId="4" borderId="0" xfId="18" applyFont="1" applyFill="1" applyBorder="1">
      <alignment horizontal="center" vertical="center"/>
    </xf>
    <xf numFmtId="9" fontId="26" fillId="4" borderId="0" xfId="14" applyFont="1" applyFill="1" applyBorder="1" applyAlignment="1">
      <alignment horizontal="center" vertical="center"/>
    </xf>
    <xf numFmtId="0" fontId="13" fillId="6" borderId="0" xfId="29">
      <alignment horizontal="left" vertical="center" indent="1"/>
    </xf>
    <xf numFmtId="168" fontId="2" fillId="0" borderId="2" xfId="44">
      <alignment horizontal="center" vertical="center"/>
    </xf>
    <xf numFmtId="0" fontId="2" fillId="0" borderId="0" xfId="7" applyFont="1" applyFill="1" applyAlignment="1">
      <alignment horizontal="left" vertical="center" indent="1"/>
    </xf>
    <xf numFmtId="0" fontId="2" fillId="0" borderId="2" xfId="59">
      <alignment horizontal="center" vertical="center"/>
    </xf>
    <xf numFmtId="0" fontId="45" fillId="0" borderId="0" xfId="35" applyFont="1">
      <alignment horizontal="left" vertical="center" indent="1"/>
    </xf>
    <xf numFmtId="0" fontId="11" fillId="0" borderId="0" xfId="33"/>
    <xf numFmtId="0" fontId="3" fillId="4" borderId="3" xfId="7" applyBorder="1">
      <alignment horizontal="left" vertical="center"/>
    </xf>
    <xf numFmtId="166" fontId="35" fillId="4" borderId="2" xfId="43" applyNumberFormat="1">
      <alignment horizontal="center" vertical="center"/>
    </xf>
    <xf numFmtId="164" fontId="8" fillId="4" borderId="0" xfId="27" applyBorder="1">
      <alignment horizontal="center" vertical="center"/>
    </xf>
    <xf numFmtId="0" fontId="26" fillId="4" borderId="0" xfId="8" applyFont="1" applyAlignment="1">
      <alignment horizontal="center" vertical="center"/>
    </xf>
    <xf numFmtId="166" fontId="26" fillId="4" borderId="0" xfId="8" applyNumberFormat="1" applyFont="1" applyAlignment="1">
      <alignment horizontal="center" vertical="center"/>
    </xf>
    <xf numFmtId="0" fontId="26" fillId="4" borderId="0" xfId="12" applyFont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0" xfId="0" applyFont="1" applyFill="1"/>
    <xf numFmtId="0" fontId="26" fillId="4" borderId="0" xfId="0" applyFont="1" applyFill="1"/>
    <xf numFmtId="0" fontId="28" fillId="4" borderId="0" xfId="7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4" fontId="3" fillId="4" borderId="0" xfId="7" applyNumberFormat="1">
      <alignment horizontal="left" vertical="center"/>
    </xf>
    <xf numFmtId="0" fontId="18" fillId="4" borderId="0" xfId="34" applyFill="1" applyBorder="1"/>
    <xf numFmtId="166" fontId="2" fillId="4" borderId="0" xfId="19" applyNumberFormat="1" applyFill="1" applyBorder="1">
      <alignment horizontal="center" vertical="center"/>
    </xf>
    <xf numFmtId="167" fontId="3" fillId="4" borderId="0" xfId="42" applyNumberFormat="1" applyFont="1" applyFill="1" applyBorder="1" applyAlignment="1">
      <alignment horizontal="center" vertical="center"/>
    </xf>
    <xf numFmtId="0" fontId="33" fillId="4" borderId="0" xfId="0" applyFont="1" applyFill="1"/>
    <xf numFmtId="0" fontId="46" fillId="13" borderId="10" xfId="41" applyBorder="1">
      <alignment horizontal="left" vertical="center"/>
    </xf>
    <xf numFmtId="0" fontId="46" fillId="13" borderId="12" xfId="41" applyBorder="1">
      <alignment horizontal="left" vertical="center"/>
    </xf>
    <xf numFmtId="0" fontId="46" fillId="13" borderId="14" xfId="41" applyBorder="1">
      <alignment horizontal="left" vertical="center"/>
    </xf>
    <xf numFmtId="0" fontId="46" fillId="13" borderId="13" xfId="41" applyBorder="1">
      <alignment horizontal="left" vertical="center"/>
    </xf>
    <xf numFmtId="0" fontId="46" fillId="13" borderId="15" xfId="41" applyBorder="1">
      <alignment horizontal="left" vertical="center"/>
    </xf>
    <xf numFmtId="0" fontId="46" fillId="13" borderId="17" xfId="41" applyBorder="1">
      <alignment horizontal="left" vertical="center"/>
    </xf>
    <xf numFmtId="0" fontId="46" fillId="13" borderId="11" xfId="41" applyBorder="1">
      <alignment horizontal="left" vertical="center"/>
    </xf>
    <xf numFmtId="0" fontId="46" fillId="13" borderId="16" xfId="41" applyBorder="1">
      <alignment horizontal="left" vertical="center"/>
    </xf>
    <xf numFmtId="0" fontId="46" fillId="13" borderId="18" xfId="41" applyBorder="1">
      <alignment horizontal="left" vertical="center"/>
    </xf>
    <xf numFmtId="0" fontId="47" fillId="13" borderId="9" xfId="41" applyFont="1" applyBorder="1">
      <alignment horizontal="left" vertical="center"/>
    </xf>
    <xf numFmtId="9" fontId="35" fillId="4" borderId="2" xfId="14" applyFont="1" applyFill="1" applyBorder="1" applyAlignment="1">
      <alignment horizontal="center" vertical="center"/>
    </xf>
    <xf numFmtId="0" fontId="50" fillId="4" borderId="0" xfId="61">
      <alignment horizontal="left" vertical="center"/>
    </xf>
    <xf numFmtId="0" fontId="49" fillId="4" borderId="0" xfId="60">
      <alignment horizontal="left" vertical="center"/>
    </xf>
    <xf numFmtId="0" fontId="35" fillId="4" borderId="19" xfId="55" applyBorder="1" applyAlignment="1">
      <alignment horizontal="left" vertical="center"/>
    </xf>
    <xf numFmtId="0" fontId="51" fillId="4" borderId="1" xfId="8" applyFont="1" applyBorder="1">
      <alignment horizontal="left" vertical="center"/>
    </xf>
    <xf numFmtId="0" fontId="52" fillId="4" borderId="1" xfId="8" applyFont="1" applyBorder="1">
      <alignment horizontal="left" vertical="center"/>
    </xf>
    <xf numFmtId="0" fontId="53" fillId="4" borderId="1" xfId="56" applyFont="1" applyBorder="1">
      <alignment horizontal="left" vertical="center"/>
    </xf>
    <xf numFmtId="0" fontId="35" fillId="4" borderId="19" xfId="55" applyBorder="1">
      <alignment horizontal="center" vertical="center"/>
    </xf>
    <xf numFmtId="0" fontId="6" fillId="4" borderId="1" xfId="56" applyBorder="1">
      <alignment horizontal="left" vertical="center"/>
    </xf>
    <xf numFmtId="0" fontId="56" fillId="4" borderId="0" xfId="62">
      <alignment horizontal="left" vertical="center"/>
    </xf>
    <xf numFmtId="0" fontId="40" fillId="14" borderId="0" xfId="8" applyFill="1">
      <alignment horizontal="left" vertical="center"/>
    </xf>
    <xf numFmtId="0" fontId="35" fillId="4" borderId="2" xfId="55" applyAlignment="1">
      <alignment vertical="center"/>
    </xf>
    <xf numFmtId="0" fontId="35" fillId="4" borderId="6" xfId="55" applyBorder="1" applyAlignment="1">
      <alignment vertical="center"/>
    </xf>
    <xf numFmtId="0" fontId="35" fillId="4" borderId="7" xfId="55" applyBorder="1" applyAlignment="1">
      <alignment vertical="center"/>
    </xf>
    <xf numFmtId="9" fontId="8" fillId="4" borderId="0" xfId="11">
      <alignment horizontal="center" vertical="center"/>
    </xf>
    <xf numFmtId="164" fontId="8" fillId="4" borderId="0" xfId="10">
      <alignment horizontal="center" vertical="center"/>
    </xf>
    <xf numFmtId="0" fontId="42" fillId="4" borderId="1" xfId="8" applyFont="1" applyBorder="1">
      <alignment horizontal="left" vertical="center"/>
    </xf>
    <xf numFmtId="2" fontId="32" fillId="4" borderId="1" xfId="0" applyNumberFormat="1" applyFont="1" applyFill="1" applyBorder="1" applyAlignment="1">
      <alignment horizontal="center"/>
    </xf>
    <xf numFmtId="0" fontId="48" fillId="11" borderId="0" xfId="63">
      <alignment horizontal="center" vertical="center"/>
    </xf>
    <xf numFmtId="0" fontId="59" fillId="0" borderId="0" xfId="2" applyFont="1"/>
    <xf numFmtId="0" fontId="60" fillId="6" borderId="0" xfId="30" applyFont="1" applyProtection="1">
      <alignment horizontal="center" vertical="center"/>
    </xf>
    <xf numFmtId="0" fontId="13" fillId="6" borderId="0" xfId="30">
      <alignment horizontal="center" vertical="center"/>
      <protection locked="0"/>
    </xf>
    <xf numFmtId="0" fontId="0" fillId="0" borderId="0" xfId="1" applyFont="1" applyFill="1">
      <alignment horizontal="left" vertical="center" indent="1"/>
      <protection locked="0"/>
    </xf>
    <xf numFmtId="0" fontId="61" fillId="4" borderId="0" xfId="8" applyFont="1">
      <alignment horizontal="left" vertical="center"/>
    </xf>
    <xf numFmtId="0" fontId="62" fillId="4" borderId="0" xfId="8" applyFont="1">
      <alignment horizontal="left" vertical="center"/>
    </xf>
    <xf numFmtId="0" fontId="40" fillId="4" borderId="0" xfId="8" applyAlignment="1">
      <alignment horizontal="left" vertical="center" indent="3"/>
    </xf>
    <xf numFmtId="0" fontId="42" fillId="4" borderId="0" xfId="8" applyFont="1" applyAlignment="1">
      <alignment horizontal="left" vertical="center" indent="3"/>
    </xf>
    <xf numFmtId="0" fontId="40" fillId="4" borderId="0" xfId="8" applyAlignment="1">
      <alignment horizontal="left" vertical="center" indent="6"/>
    </xf>
    <xf numFmtId="0" fontId="13" fillId="6" borderId="0" xfId="29" applyAlignment="1">
      <alignment horizontal="left" vertical="center" indent="6"/>
    </xf>
    <xf numFmtId="0" fontId="42" fillId="4" borderId="0" xfId="8" applyFont="1" applyAlignment="1">
      <alignment horizontal="left" vertical="center" indent="9"/>
    </xf>
    <xf numFmtId="0" fontId="40" fillId="4" borderId="0" xfId="8" applyAlignment="1">
      <alignment horizontal="left" vertical="center" indent="9"/>
    </xf>
    <xf numFmtId="0" fontId="40" fillId="4" borderId="0" xfId="8" applyAlignment="1">
      <alignment horizontal="center" vertical="center"/>
    </xf>
    <xf numFmtId="0" fontId="64" fillId="4" borderId="0" xfId="62" applyFont="1" applyAlignment="1">
      <alignment horizontal="left" vertical="center" indent="6"/>
    </xf>
    <xf numFmtId="0" fontId="64" fillId="4" borderId="0" xfId="62" applyFont="1">
      <alignment horizontal="left" vertical="center"/>
    </xf>
    <xf numFmtId="0" fontId="40" fillId="4" borderId="1" xfId="8" applyFont="1" applyBorder="1">
      <alignment horizontal="left" vertical="center"/>
    </xf>
    <xf numFmtId="0" fontId="6" fillId="4" borderId="1" xfId="56" applyFont="1" applyBorder="1">
      <alignment horizontal="left" vertical="center"/>
    </xf>
    <xf numFmtId="0" fontId="46" fillId="13" borderId="9" xfId="41" applyBorder="1">
      <alignment horizontal="left" vertical="center"/>
    </xf>
    <xf numFmtId="0" fontId="65" fillId="4" borderId="0" xfId="62" applyFont="1">
      <alignment horizontal="left" vertical="center"/>
    </xf>
    <xf numFmtId="0" fontId="22" fillId="10" borderId="0" xfId="37">
      <alignment horizontal="left" vertical="center" indent="1"/>
    </xf>
    <xf numFmtId="0" fontId="22" fillId="8" borderId="0" xfId="39">
      <alignment horizontal="left" vertical="center" indent="1"/>
    </xf>
    <xf numFmtId="0" fontId="22" fillId="5" borderId="0" xfId="38">
      <alignment horizontal="left" vertical="center" indent="1"/>
    </xf>
    <xf numFmtId="0" fontId="22" fillId="11" borderId="0" xfId="64">
      <alignment horizontal="left" vertical="center" indent="1"/>
    </xf>
    <xf numFmtId="0" fontId="40" fillId="4" borderId="20" xfId="8" applyBorder="1">
      <alignment horizontal="left" vertical="center"/>
    </xf>
    <xf numFmtId="0" fontId="49" fillId="4" borderId="0" xfId="8" applyFont="1">
      <alignment horizontal="left" vertical="center"/>
    </xf>
    <xf numFmtId="0" fontId="50" fillId="4" borderId="0" xfId="8" applyFont="1">
      <alignment horizontal="left" vertical="center"/>
    </xf>
  </cellXfs>
  <cellStyles count="65">
    <cellStyle name="Alert" xfId="62" xr:uid="{34EFE908-8095-4010-8F93-8CFE88055637}"/>
    <cellStyle name="Block heading" xfId="5" xr:uid="{74527274-3B4A-494A-B37C-EA50686E114C}"/>
    <cellStyle name="Block subheading" xfId="50" xr:uid="{34E62905-A3E0-4883-B81A-BDB58FC88DA7}"/>
    <cellStyle name="Code" xfId="25" xr:uid="{99B3520F-01DD-4F8E-A8D0-24EAA04E90EB}"/>
    <cellStyle name="Comma" xfId="42" builtinId="3"/>
    <cellStyle name="Content bold" xfId="7" xr:uid="{468A1381-682E-4BF1-945B-DF2E2BCA4419}"/>
    <cellStyle name="Content bold total" xfId="28" xr:uid="{17159E75-EF9F-42B8-8195-E83583796F67}"/>
    <cellStyle name="Content hidden" xfId="53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Hyperlink" xfId="34" builtinId="8"/>
    <cellStyle name="Information tip" xfId="41" xr:uid="{7D200D09-32E3-4546-9822-1B93AD118A74}"/>
    <cellStyle name="Information variation" xfId="57" xr:uid="{205494A3-14DD-4E6A-BDD3-5C5A864D6FA7}"/>
    <cellStyle name="Input block subheading" xfId="31" xr:uid="{A9FEBDB0-0992-4E30-96E5-9F9CAE92E3FB}"/>
    <cellStyle name="Input date" xfId="44" xr:uid="{A1D72D5E-DCF3-445F-8FC0-A147E105D774}"/>
    <cellStyle name="Input date calculated" xfId="48" xr:uid="{5A42AD0E-F665-46A9-9757-6B6A4BE7013E}"/>
    <cellStyle name="Input number 2 decimal places" xfId="18" xr:uid="{F9671E40-5700-4055-A6D2-272CF9DB620E}"/>
    <cellStyle name="Input number 2 decimal places calculated" xfId="49" xr:uid="{C04BA53C-14E1-48A5-99A3-C9FD44741A2A}"/>
    <cellStyle name="Input number 3 decimal places calculated" xfId="52" xr:uid="{637E6039-0A01-48EF-8C15-C29A497EF449}"/>
    <cellStyle name="Input number 3 decimal places disabled" xfId="23" xr:uid="{6B1B6177-B1C0-4190-858F-6E4C823402C3}"/>
    <cellStyle name="Input number 6 decimal places calculated" xfId="54" xr:uid="{CE70A7A2-3CEE-4689-8FF6-8EB6FCE0A94C}"/>
    <cellStyle name="Input number general" xfId="59" xr:uid="{D8583F7D-F13A-4EA8-BAA6-B42739FDBDDB}"/>
    <cellStyle name="Input number general calculated" xfId="55" xr:uid="{34755FEB-6E4E-4BD7-A478-DF7299A7A914}"/>
    <cellStyle name="Input number no decimals" xfId="19" xr:uid="{B33B4FB5-F3F4-4036-B2DD-663B694E2A90}"/>
    <cellStyle name="Input number no decimals calculated" xfId="43" xr:uid="{5A48F48F-03B2-410E-887B-2A9297006BAF}"/>
    <cellStyle name="Input number no decimals disabled" xfId="24" xr:uid="{7ABDCB2D-7703-4392-9553-5620789B1E19}"/>
    <cellStyle name="Input number percent disabled" xfId="22" xr:uid="{D0E8B42E-13A8-477C-99CB-5FF73C5BBAA4}"/>
    <cellStyle name="Input page heading" xfId="33" xr:uid="{74FB9B3B-4B5B-4B7F-A54C-22E0724783C8}"/>
    <cellStyle name="Input page section heading" xfId="32" xr:uid="{1A05B367-BE5D-4E2B-9831-A28D5CFAC8EC}"/>
    <cellStyle name="Input percent" xfId="17" xr:uid="{923E56A7-7902-46CD-9AA8-0D69F2E1ECA1}"/>
    <cellStyle name="Input select" xfId="16" xr:uid="{3CF2E653-7F22-4996-ABB9-95CA16698B1F}"/>
    <cellStyle name="Input select disabled" xfId="21" xr:uid="{5CE680CC-504C-444D-8337-CF97D9BB5A78}"/>
    <cellStyle name="Input table column header" xfId="30" xr:uid="{EF98B018-1246-451D-91C2-97FCD443EDC9}"/>
    <cellStyle name="Input table header" xfId="29" xr:uid="{04872377-9FDD-4D5A-91FC-B9D8DA1E8E91}"/>
    <cellStyle name="Input text" xfId="15" xr:uid="{4C71A4C5-ADD8-4A09-A7FE-940DA96821F6}"/>
    <cellStyle name="Input text calculated" xfId="51" xr:uid="{43DCF082-1F0D-4E07-9785-CAF41B37CFCC}"/>
    <cellStyle name="Input text disabled" xfId="20" xr:uid="{79E76B35-E5FF-43A1-B0D0-016F346F8B97}"/>
    <cellStyle name="Menu link child" xfId="40" xr:uid="{609090D3-DE1E-48FE-A8AA-233CE9B146E0}"/>
    <cellStyle name="Menu link default" xfId="35" xr:uid="{11B84453-1DD4-492A-B241-FE6AD4CB25FA}"/>
    <cellStyle name="Menu link selected" xfId="37" xr:uid="{B16EBA6F-62C4-483F-8E15-B20D06ABF61F}"/>
    <cellStyle name="Menu link selected equations" xfId="39" xr:uid="{7AFCC545-C221-4BAC-933E-19109D0FB654}"/>
    <cellStyle name="Menu link selected input" xfId="38" xr:uid="{17D327F4-9149-4DAC-85BB-811698090830}"/>
    <cellStyle name="Menu link selected results" xfId="64" xr:uid="{0DC56464-F1A3-42A3-BF89-514E2163E7F0}"/>
    <cellStyle name="Menu section title" xfId="36" xr:uid="{E2117B15-AE58-4F76-B13B-671D455A4107}"/>
    <cellStyle name="Normal" xfId="0" builtinId="0"/>
    <cellStyle name="Normal 2" xfId="58" xr:uid="{FE64FEFB-54C6-42B4-AA7F-D49670F5ED19}"/>
    <cellStyle name="Normal 2 2" xfId="47" xr:uid="{B8803ACE-513D-4EEF-BBE0-0BB76AE7D7F4}"/>
    <cellStyle name="Normal 4" xfId="45" xr:uid="{99CD1B63-5040-4067-BBD7-470030C57E5D}"/>
    <cellStyle name="Normal 5" xfId="46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7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Percent" xfId="14" builtinId="5"/>
    <cellStyle name="Results table column header" xfId="63" xr:uid="{A846043F-10AE-4BED-BAA6-90407C977915}"/>
    <cellStyle name="Table description" xfId="61" xr:uid="{8BD2F353-2E3C-42FF-89E9-616E85DC18C5}"/>
    <cellStyle name="Table name" xfId="60" xr:uid="{D56F17A4-9740-44B6-BDDB-150E2C950B8B}"/>
    <cellStyle name="Unit" xfId="12" xr:uid="{90B9E191-F5E0-43AB-A245-D6CA23D4ADFC}"/>
    <cellStyle name="Unit no indent" xfId="56" xr:uid="{2829D020-DAD8-4B7D-9262-450720E27D2B}"/>
    <cellStyle name="Unit total" xfId="26" xr:uid="{65428923-3DAD-47B6-8DDF-0EBD05E7C55B}"/>
  </cellStyles>
  <dxfs count="88"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87"/>
      <tableStyleElement type="headerRow" dxfId="86"/>
      <tableStyleElement type="totalRow" dxfId="85"/>
      <tableStyleElement type="firstColumn" dxfId="84"/>
      <tableStyleElement type="firstRowStripe" dxfId="83"/>
      <tableStyleElement type="secondRowStripe" dxfId="82"/>
    </tableStyle>
    <tableStyle name="Equation table" pivot="0" count="6" xr9:uid="{B247698E-E41D-4CCD-AA0A-C14817E9DE65}">
      <tableStyleElement type="wholeTable" dxfId="81"/>
      <tableStyleElement type="headerRow" dxfId="80"/>
      <tableStyleElement type="totalRow" dxfId="79"/>
      <tableStyleElement type="firstColumn" dxfId="78"/>
      <tableStyleElement type="firstRowStripe" dxfId="77"/>
      <tableStyleElement type="secondRowStripe" dxfId="76"/>
    </tableStyle>
    <tableStyle name="Table Style 1" pivot="0" count="0" xr9:uid="{97B370DB-5463-4A31-9160-5A96BD6A559D}"/>
  </tableStyles>
  <colors>
    <mruColors>
      <color rgb="FFC44340"/>
      <color rgb="FF0C769E"/>
      <color rgb="FF008000"/>
      <color rgb="FFFFCCCC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eetMetadata" Target="metadata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938212</xdr:colOff>
      <xdr:row>65</xdr:row>
      <xdr:rowOff>200025</xdr:rowOff>
    </xdr:from>
    <xdr:to>
      <xdr:col>9</xdr:col>
      <xdr:colOff>1443037</xdr:colOff>
      <xdr:row>77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A1AD2-453E-4F97-8BC2-DE4AF2798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190500</xdr:colOff>
      <xdr:row>2</xdr:row>
      <xdr:rowOff>156882</xdr:rowOff>
    </xdr:from>
    <xdr:to>
      <xdr:col>21</xdr:col>
      <xdr:colOff>298636</xdr:colOff>
      <xdr:row>29</xdr:row>
      <xdr:rowOff>73656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72DE53-EBCE-4DC5-A0AE-A3D179519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54765" y="784411"/>
          <a:ext cx="13039725" cy="65730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</xdr:colOff>
      <xdr:row>7</xdr:row>
      <xdr:rowOff>133350</xdr:rowOff>
    </xdr:from>
    <xdr:ext cx="2264338" cy="1949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67DBD7D-59A6-365A-4117-725E1658E20F}"/>
                </a:ext>
              </a:extLst>
            </xdr:cNvPr>
            <xdr:cNvSpPr txBox="1"/>
          </xdr:nvSpPr>
          <xdr:spPr>
            <a:xfrm>
              <a:off x="2690812" y="2000250"/>
              <a:ext cx="2264338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67DBD7D-59A6-365A-4117-725E1658E20F}"/>
                </a:ext>
              </a:extLst>
            </xdr:cNvPr>
            <xdr:cNvSpPr txBox="1"/>
          </xdr:nvSpPr>
          <xdr:spPr>
            <a:xfrm>
              <a:off x="2690812" y="2000250"/>
              <a:ext cx="2264338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𝑉𝑆_𝑗𝑘=𝐼_𝑗𝑘×(1−𝐷𝑀𝐷_𝑗𝑘 )×(1−𝐴_𝑗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41</xdr:row>
      <xdr:rowOff>133350</xdr:rowOff>
    </xdr:from>
    <xdr:ext cx="3038011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E1E3620-8F79-4902-95C5-830799C6562D}"/>
                </a:ext>
              </a:extLst>
            </xdr:cNvPr>
            <xdr:cNvSpPr txBox="1"/>
          </xdr:nvSpPr>
          <xdr:spPr>
            <a:xfrm>
              <a:off x="2681287" y="10420350"/>
              <a:ext cx="3038011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E1E3620-8F79-4902-95C5-830799C6562D}"/>
                </a:ext>
              </a:extLst>
            </xdr:cNvPr>
            <xdr:cNvSpPr txBox="1"/>
          </xdr:nvSpPr>
          <xdr:spPr>
            <a:xfrm>
              <a:off x="2681287" y="10420350"/>
              <a:ext cx="3038011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𝑀_(𝑗𝑘𝑚𝑇=1)=𝑉𝑆_𝑗𝑘×𝐵𝑂_𝑗×𝑀𝑀𝑆_(𝑗𝑚𝑇=1)×𝑀𝐶𝐹_𝑖𝑚×𝜌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23812</xdr:colOff>
      <xdr:row>92</xdr:row>
      <xdr:rowOff>142875</xdr:rowOff>
    </xdr:from>
    <xdr:ext cx="2713179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05D1842-9514-46BC-48C0-7AA066D0832F}"/>
                </a:ext>
              </a:extLst>
            </xdr:cNvPr>
            <xdr:cNvSpPr txBox="1"/>
          </xdr:nvSpPr>
          <xdr:spPr>
            <a:xfrm>
              <a:off x="2700337" y="23060025"/>
              <a:ext cx="2713179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𝑉𝑆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𝑉𝑆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05D1842-9514-46BC-48C0-7AA066D0832F}"/>
                </a:ext>
              </a:extLst>
            </xdr:cNvPr>
            <xdr:cNvSpPr txBox="1"/>
          </xdr:nvSpPr>
          <xdr:spPr>
            <a:xfrm>
              <a:off x="2700337" y="23060025"/>
              <a:ext cx="2713179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𝑉𝑆𝑇_𝑗𝑘=𝑉𝑆_𝑗𝑘×𝑀𝑀𝑆_(𝑗𝑚𝑇=1)×(1−𝑉𝑆𝐿_(𝑚𝑇=1)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300037</xdr:colOff>
      <xdr:row>120</xdr:row>
      <xdr:rowOff>123825</xdr:rowOff>
    </xdr:from>
    <xdr:ext cx="3071995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C07813F7-E279-EDBB-DB39-FA4114A3ECA8}"/>
                </a:ext>
              </a:extLst>
            </xdr:cNvPr>
            <xdr:cNvSpPr txBox="1"/>
          </xdr:nvSpPr>
          <xdr:spPr>
            <a:xfrm>
              <a:off x="2662237" y="29975175"/>
              <a:ext cx="307199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𝑉𝑆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C07813F7-E279-EDBB-DB39-FA4114A3ECA8}"/>
                </a:ext>
              </a:extLst>
            </xdr:cNvPr>
            <xdr:cNvSpPr txBox="1"/>
          </xdr:nvSpPr>
          <xdr:spPr>
            <a:xfrm>
              <a:off x="2662237" y="29975175"/>
              <a:ext cx="307199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𝑀_(𝑗𝑘𝑚𝑇=2)=𝑉𝑆𝑇_𝑗𝑘×𝐵𝑂×𝑀𝑀𝑆_(𝑗𝑚𝑇=2)×𝑀𝐶𝐹_𝑖𝑚×𝜌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169</xdr:row>
      <xdr:rowOff>76200</xdr:rowOff>
    </xdr:from>
    <xdr:ext cx="3010631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77A974D-CDB2-4C02-3500-179514FF609E}"/>
                </a:ext>
              </a:extLst>
            </xdr:cNvPr>
            <xdr:cNvSpPr txBox="1"/>
          </xdr:nvSpPr>
          <xdr:spPr>
            <a:xfrm>
              <a:off x="2681287" y="42062400"/>
              <a:ext cx="3010631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𝐶𝐻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</m:sub>
                              <m:sup/>
                              <m:e>
                                <m:nary>
                                  <m:naryPr>
                                    <m:chr m:val="∑"/>
                                    <m:supHide m:val="on"/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</m:sub>
                                  <m:sup/>
                                  <m:e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𝐷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×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𝑗𝑘𝑚𝑇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×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𝑁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nary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77A974D-CDB2-4C02-3500-179514FF609E}"/>
                </a:ext>
              </a:extLst>
            </xdr:cNvPr>
            <xdr:cNvSpPr txBox="1"/>
          </xdr:nvSpPr>
          <xdr:spPr>
            <a:xfrm>
              <a:off x="2681287" y="42062400"/>
              <a:ext cx="3010631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𝐸_𝐶𝐻4=∑8_𝑗▒∑8_𝑘▒∑8_𝑚▒∑8_𝑇▒(𝐷_𝑗𝑘×𝑀_𝑗𝑘𝑚𝑇×𝑁_𝑗𝑘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304800</xdr:colOff>
      <xdr:row>7</xdr:row>
      <xdr:rowOff>125506</xdr:rowOff>
    </xdr:from>
    <xdr:ext cx="1494833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B32B1B2-2BC6-5175-1E00-6EA38F1A34E1}"/>
                </a:ext>
              </a:extLst>
            </xdr:cNvPr>
            <xdr:cNvSpPr txBox="1"/>
          </xdr:nvSpPr>
          <xdr:spPr>
            <a:xfrm>
              <a:off x="2669241" y="1985682"/>
              <a:ext cx="149483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÷6.25</m:t>
                    </m:r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B32B1B2-2BC6-5175-1E00-6EA38F1A34E1}"/>
                </a:ext>
              </a:extLst>
            </xdr:cNvPr>
            <xdr:cNvSpPr txBox="1"/>
          </xdr:nvSpPr>
          <xdr:spPr>
            <a:xfrm>
              <a:off x="2669241" y="1985682"/>
              <a:ext cx="149483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𝑁𝐼_𝑗𝑘=𝐼_𝑗𝑘×𝐶𝑃_𝑗𝑘÷6.25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7</xdr:row>
      <xdr:rowOff>57150</xdr:rowOff>
    </xdr:from>
    <xdr:ext cx="3032882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5738F73-5B01-5D6D-CCAA-34F364D0FCCE}"/>
                </a:ext>
              </a:extLst>
            </xdr:cNvPr>
            <xdr:cNvSpPr txBox="1"/>
          </xdr:nvSpPr>
          <xdr:spPr>
            <a:xfrm>
              <a:off x="2671762" y="1924050"/>
              <a:ext cx="303288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𝐴𝑇𝑀𝑂𝑆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𝐹𝑟𝑎𝑐𝐺𝐴𝑆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5738F73-5B01-5D6D-CCAA-34F364D0FCCE}"/>
                </a:ext>
              </a:extLst>
            </xdr:cNvPr>
            <xdr:cNvSpPr txBox="1"/>
          </xdr:nvSpPr>
          <xdr:spPr>
            <a:xfrm>
              <a:off x="2671762" y="1924050"/>
              <a:ext cx="303288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𝑀𝑀𝑆_𝐴𝑇𝑀𝑂𝑆=∑8_𝑗▒∑8_𝑚▒∑8_𝑇▒(𝑀𝑁_𝑗𝑚𝑇×𝐹𝑟𝑎𝑐𝐺𝐴𝑆𝑀_𝑚𝑇 )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96</xdr:row>
      <xdr:rowOff>142875</xdr:rowOff>
    </xdr:from>
    <xdr:ext cx="2797753" cy="1801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1BBA152-5DCE-A88E-8CAE-A189849ED403}"/>
                </a:ext>
              </a:extLst>
            </xdr:cNvPr>
            <xdr:cNvSpPr txBox="1"/>
          </xdr:nvSpPr>
          <xdr:spPr>
            <a:xfrm>
              <a:off x="2681287" y="26527125"/>
              <a:ext cx="2797753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𝑎𝑑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𝐴𝑇𝑀𝑂𝑆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1BBA152-5DCE-A88E-8CAE-A189849ED403}"/>
                </a:ext>
              </a:extLst>
            </xdr:cNvPr>
            <xdr:cNvSpPr txBox="1"/>
          </xdr:nvSpPr>
          <xdr:spPr>
            <a:xfrm>
              <a:off x="2681287" y="26527125"/>
              <a:ext cx="2797753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𝐸_(𝑁2𝑂,𝑎𝑑)=𝑀𝑀𝑆_𝐴𝑇𝑀𝑂𝑆×𝐸𝐹_𝑁2𝑂×𝐶_𝑁2𝑂×10^(−3)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13</xdr:col>
      <xdr:colOff>4762</xdr:colOff>
      <xdr:row>96</xdr:row>
      <xdr:rowOff>142875</xdr:rowOff>
    </xdr:from>
    <xdr:ext cx="2797753" cy="1801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217D665-2149-42DA-B114-442B1624E1C7}"/>
                </a:ext>
              </a:extLst>
            </xdr:cNvPr>
            <xdr:cNvSpPr txBox="1"/>
          </xdr:nvSpPr>
          <xdr:spPr>
            <a:xfrm>
              <a:off x="2681287" y="26527125"/>
              <a:ext cx="2797753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𝑎𝑑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𝐴𝑇𝑀𝑂𝑆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217D665-2149-42DA-B114-442B1624E1C7}"/>
                </a:ext>
              </a:extLst>
            </xdr:cNvPr>
            <xdr:cNvSpPr txBox="1"/>
          </xdr:nvSpPr>
          <xdr:spPr>
            <a:xfrm>
              <a:off x="2681287" y="26527125"/>
              <a:ext cx="2797753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𝐸_(𝑁2𝑂,𝑎𝑑)=𝑀𝑀𝑆_𝐴𝑇𝑀𝑂𝑆×𝐸𝐹_𝑁2𝑂×𝐶_𝑁2𝑂×10^(−3)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</xdr:colOff>
      <xdr:row>7</xdr:row>
      <xdr:rowOff>171450</xdr:rowOff>
    </xdr:from>
    <xdr:ext cx="3621055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3A2DC7A-E8E4-E8E7-4961-8E07C662A470}"/>
                </a:ext>
              </a:extLst>
            </xdr:cNvPr>
            <xdr:cNvSpPr txBox="1"/>
          </xdr:nvSpPr>
          <xdr:spPr>
            <a:xfrm>
              <a:off x="2681287" y="2038350"/>
              <a:ext cx="362105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𝑀𝑁𝐿𝑒𝑎𝑐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𝐹𝑟𝑎𝑐𝑊𝐸𝑇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𝐹𝑟𝑎𝑐𝐿𝐸𝐴𝐶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𝑀𝑆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3A2DC7A-E8E4-E8E7-4961-8E07C662A470}"/>
                </a:ext>
              </a:extLst>
            </xdr:cNvPr>
            <xdr:cNvSpPr txBox="1"/>
          </xdr:nvSpPr>
          <xdr:spPr>
            <a:xfrm>
              <a:off x="2681287" y="2038350"/>
              <a:ext cx="362105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𝑀𝑁𝐿𝑒𝑎𝑐ℎ_(𝑗𝑚=5)=𝑀𝑁_(𝑗𝑚=5,𝑇=1)×𝐹𝑟𝑎𝑐𝑊𝐸𝑇×𝐹𝑟𝑎𝑐𝐿𝐸𝐴𝐶𝐻_𝑀𝑆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34</xdr:row>
      <xdr:rowOff>123825</xdr:rowOff>
    </xdr:from>
    <xdr:ext cx="3207865" cy="18633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DFF59A9-9828-6685-931C-FADA6B557BAB}"/>
                </a:ext>
              </a:extLst>
            </xdr:cNvPr>
            <xdr:cNvSpPr txBox="1"/>
          </xdr:nvSpPr>
          <xdr:spPr>
            <a:xfrm>
              <a:off x="2671762" y="8677275"/>
              <a:ext cx="3207865" cy="1863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𝑀𝑁𝐿𝑒𝑎𝑐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DFF59A9-9828-6685-931C-FADA6B557BAB}"/>
                </a:ext>
              </a:extLst>
            </xdr:cNvPr>
            <xdr:cNvSpPr txBox="1"/>
          </xdr:nvSpPr>
          <xdr:spPr>
            <a:xfrm>
              <a:off x="2671762" y="8677275"/>
              <a:ext cx="3207865" cy="1863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𝐸_(𝑁2𝑂,𝑙𝑒𝑎𝑐ℎ)=𝑀𝑁𝐿𝑒𝑎𝑐ℎ_(𝑗𝑚=5)×𝐸𝐹_𝑙𝑒𝑎𝑐ℎ×𝐶_𝑁2𝑂×10^(−3)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</xdr:colOff>
      <xdr:row>7</xdr:row>
      <xdr:rowOff>47625</xdr:rowOff>
    </xdr:from>
    <xdr:ext cx="5621219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635B234-5189-FB55-0706-EBE0B687057C}"/>
                </a:ext>
              </a:extLst>
            </xdr:cNvPr>
            <xdr:cNvSpPr txBox="1"/>
          </xdr:nvSpPr>
          <xdr:spPr>
            <a:xfrm>
              <a:off x="2690812" y="1914525"/>
              <a:ext cx="5621219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𝑗𝑚𝑇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=2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1−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𝐸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𝐹𝑟𝑎𝑐𝐺𝐴𝑆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𝑀𝑁𝐿𝑒𝑎𝑐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𝑗𝑚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=5</m:t>
                                    </m:r>
                                  </m:sub>
                                </m:sSub>
                              </m:e>
                            </m:d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𝑃𝐹</m:t>
                    </m:r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635B234-5189-FB55-0706-EBE0B687057C}"/>
                </a:ext>
              </a:extLst>
            </xdr:cNvPr>
            <xdr:cNvSpPr txBox="1"/>
          </xdr:nvSpPr>
          <xdr:spPr>
            <a:xfrm>
              <a:off x="2690812" y="1914525"/>
              <a:ext cx="5621219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𝑀𝑁𝑆𝑜𝑖𝑙_𝑠𝑐𝑜𝑝𝑒1=∑8_𝑗▒∑8_𝑚▒(𝑀𝑁_(𝑗𝑚𝑇=2)×(1−𝐸𝐹_(𝑚𝑇=2)−𝐹𝑟𝑎𝑐𝐺𝐴𝑆𝑀_(𝑚𝑇=2) )−𝑀𝑁𝐿𝑒𝑎𝑐ℎ_(𝑗𝑚=5) ) ×𝑃𝐹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300037</xdr:colOff>
      <xdr:row>142</xdr:row>
      <xdr:rowOff>19050</xdr:rowOff>
    </xdr:from>
    <xdr:ext cx="5984522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2946C70-B61B-491F-E52A-82BBDF72FC76}"/>
                </a:ext>
              </a:extLst>
            </xdr:cNvPr>
            <xdr:cNvSpPr txBox="1"/>
          </xdr:nvSpPr>
          <xdr:spPr>
            <a:xfrm>
              <a:off x="2662237" y="35318700"/>
              <a:ext cx="598452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𝑗𝑚𝑇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=2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1−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𝐸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𝐹𝑟𝑎𝑐𝐺𝐴𝑆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𝑀𝑁𝐿𝑒𝑎𝑐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𝑗𝑚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=5</m:t>
                                    </m:r>
                                  </m:sub>
                                </m:sSub>
                              </m:e>
                            </m:d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𝑃𝐹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2946C70-B61B-491F-E52A-82BBDF72FC76}"/>
                </a:ext>
              </a:extLst>
            </xdr:cNvPr>
            <xdr:cNvSpPr txBox="1"/>
          </xdr:nvSpPr>
          <xdr:spPr>
            <a:xfrm>
              <a:off x="2662237" y="35318700"/>
              <a:ext cx="598452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𝑀𝑁𝑆𝑜𝑖𝑙_𝑠𝑐𝑜𝑝𝑒3=∑8_𝑗▒∑8_𝑚▒(𝑀𝑁_(𝑗𝑚𝑇=2)×(1−𝐸𝐹_(𝑚𝑇=2)−𝐹𝑟𝑎𝑐𝐺𝐴𝑆𝑀_(𝑚𝑇=2) )−𝑀𝑁𝐿𝑒𝑎𝑐ℎ_(𝑗𝑚=5) ) ×(1−𝑃𝐹)</a:t>
              </a:r>
              <a:endParaRPr lang="en-AU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Old\GAF2-Template-WIP-v30.xlsx" TargetMode="External"/><Relationship Id="rId1" Type="http://schemas.openxmlformats.org/officeDocument/2006/relationships/externalLinkPath" Target="Old/GAF2-Template-WIP-v3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4_1_ManureManagement_Feedlot_WIP_v04.xlsx" TargetMode="External"/><Relationship Id="rId1" Type="http://schemas.openxmlformats.org/officeDocument/2006/relationships/externalLinkPath" Target="4_1_ManureManagement_Feedlot_WIP_v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 - MMS - Feedlot"/>
      <sheetName val="Calcs - CH4 MMS Feedlot"/>
      <sheetName val="Input - MMS - Poultry"/>
      <sheetName val="Calcs - CH4 MMS Poultry"/>
      <sheetName val="Input - Herd - Swine"/>
      <sheetName val="Input - MMS - Swine"/>
      <sheetName val="Calcs - CH4 MMS Swine"/>
      <sheetName val="Tab template"/>
      <sheetName val="Results"/>
      <sheetName val="Input - Site"/>
      <sheetName val="Input - Production"/>
      <sheetName val="Input - Herd - Dairy"/>
      <sheetName val="Input - Feed - Dairy"/>
      <sheetName val="Input - Herd - Feedlot"/>
      <sheetName val="Input - Grains"/>
      <sheetName val="Input - Pasture"/>
      <sheetName val="Input - Fert Lime Chem"/>
      <sheetName val="Input - Fuel &amp; Energy"/>
      <sheetName val="Input - Other Farm Inputs"/>
      <sheetName val="Input - Aquaculture"/>
      <sheetName val="Input - Data Quality"/>
      <sheetName val="Input - LULUCF"/>
      <sheetName val="Calcs - Fert Lime"/>
      <sheetName val="Calcs - Residue mgmt - Crop"/>
      <sheetName val="Calcs - Residue mgmt - Pasture"/>
      <sheetName val="Calcs - Field burning"/>
      <sheetName val="Calcs - Fuel"/>
      <sheetName val="Calcs - Electricity"/>
      <sheetName val="Calcs - Refrigerants"/>
      <sheetName val="Calcs - Scope 3"/>
      <sheetName val="Constants - Common"/>
      <sheetName val="Constants - Cropping"/>
      <sheetName val="Constants - Livestock"/>
      <sheetName val="Constants - Dairy"/>
      <sheetName val="Constants - Feedlot"/>
      <sheetName val="Sty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5">
          <cell r="E15" t="str">
            <v>Solid storage</v>
          </cell>
          <cell r="F15" t="str">
            <v>Solid storage (m=4)</v>
          </cell>
        </row>
        <row r="17">
          <cell r="E17" t="str">
            <v>Composting (passive windrow)</v>
          </cell>
          <cell r="F17" t="str">
            <v>Composting (passive windrow) (m=6)</v>
          </cell>
        </row>
        <row r="18">
          <cell r="E18" t="str">
            <v>Digester / covered lagoons</v>
          </cell>
          <cell r="F18" t="str">
            <v>Digester / covered lagoons (m=7)</v>
          </cell>
        </row>
        <row r="21">
          <cell r="E21" t="str">
            <v>Poultry manure with bedding</v>
          </cell>
          <cell r="F21" t="str">
            <v>Poultry manure with bedding (m=10)</v>
          </cell>
        </row>
        <row r="23">
          <cell r="E23" t="str">
            <v>Belt manure removal</v>
          </cell>
          <cell r="F23" t="str">
            <v>Belt manure removal (m=11a)</v>
          </cell>
        </row>
        <row r="24">
          <cell r="E24" t="str">
            <v>Manure stored in house</v>
          </cell>
          <cell r="F24" t="str">
            <v>Manure stored in house (m=11b)</v>
          </cell>
        </row>
        <row r="25">
          <cell r="E25" t="str">
            <v>Direct processing</v>
          </cell>
          <cell r="F25" t="str">
            <v>Direct processing (m=12)</v>
          </cell>
        </row>
        <row r="26">
          <cell r="E26" t="str">
            <v>Direct application</v>
          </cell>
          <cell r="F26" t="str">
            <v>Direct application (m=13)</v>
          </cell>
        </row>
        <row r="27">
          <cell r="E27" t="str">
            <v>Pasture range and paddock</v>
          </cell>
          <cell r="F27" t="str">
            <v>Pasture range and paddock (m=14)</v>
          </cell>
        </row>
      </sheetData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Results"/>
      <sheetName val="Input - Site"/>
      <sheetName val="Input - Feedlot"/>
      <sheetName val="4.1.1.1-2 Methane"/>
      <sheetName val="4.1.1.3-4 Direct N20"/>
      <sheetName val="4.1.1.5-6 Atmos Deposition"/>
      <sheetName val="4.1.1.9 Manure applied to soils"/>
      <sheetName val="Constants - Feedlot"/>
      <sheetName val="Constants - Common"/>
      <sheetName val="Constants - Livestock"/>
      <sheetName val="Acknowledgements"/>
      <sheetName val="Tab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1">
    <v>2</v>
    <v>1</v>
    <v>19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error">
    <k n="errorType" t="i"/>
    <k n="argument" t="s"/>
    <k n="subType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EBB88F-78E2-4301-A115-5D57142F74BA}" name="Table_SourceData_Poultry_DietProperties" displayName="Table_SourceData_Poultry_DietProperties" ref="D8:H13" totalsRowShown="0">
  <autoFilter ref="D8:H13" xr:uid="{C0EBB88F-78E2-4301-A115-5D57142F74BA}"/>
  <tableColumns count="5">
    <tableColumn id="1" xr3:uid="{C87DC6D9-335D-4EE2-BBEC-7AD45CC183B5}" name="Nutrient analysis">
      <calculatedColumnFormula array="1">Common_InputFunctions.Utility_DisplayArrayInTable(SourceData_Poultry.SourceData_Poultry_DietProperties_Data(), Table_SourceData_Poultry_DietProperties[[#Headers],[Nutrient analysis]], 0)</calculatedColumnFormula>
    </tableColumn>
    <tableColumn id="2" xr3:uid="{57461AF5-0667-4FCB-8332-88C8FE7F18B5}" name="Layers" dataDxfId="55" dataCellStyle="Content normal">
      <calculatedColumnFormula array="1">Common_InputFunctions.Utility_DisplayArrayInTable(SourceData_Poultry.SourceData_Poultry_DietProperties_Data(), Table_SourceData_Poultry_DietProperties[[#Headers],[Nutrient analysis]], 0)</calculatedColumnFormula>
    </tableColumn>
    <tableColumn id="3" xr3:uid="{BBD63E84-AE9F-4272-BEE7-379028D818EB}" name="Meat chicken growers" dataDxfId="54" dataCellStyle="Content normal">
      <calculatedColumnFormula array="1">Common_InputFunctions.Utility_DisplayArrayInTable(SourceData_Poultry.SourceData_Poultry_DietProperties_Data(), Table_SourceData_Poultry_DietProperties[[#Headers],[Nutrient analysis]], 0)</calculatedColumnFormula>
    </tableColumn>
    <tableColumn id="4" xr3:uid="{20F9064F-204E-49AA-B166-1040B3B7326B}" name="Meat chicken breeder" dataDxfId="53" dataCellStyle="Content normal">
      <calculatedColumnFormula array="1">Common_InputFunctions.Utility_DisplayArrayInTable(SourceData_Poultry.SourceData_Poultry_DietProperties_Data(), Table_SourceData_Poultry_DietProperties[[#Headers],[Nutrient analysis]], 0)</calculatedColumnFormula>
    </tableColumn>
    <tableColumn id="5" xr3:uid="{B7F00411-E5E4-487B-81BB-C26564C09F24}" name="Meat other" dataDxfId="52" dataCellStyle="Content normal">
      <calculatedColumnFormula array="1">Common_InputFunctions.Utility_DisplayArrayInTable(SourceData_Poultry.SourceData_Poultry_DietProperties_Data(), Table_SourceData_Poultry_DietProperties[[#Headers],[Nutrient analysis]], 0)</calculatedColumnFormula>
    </tableColumn>
  </tableColumns>
  <tableStyleInfo name="Equation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337049C-2437-4EFA-AAFD-35A825C8877D}" name="Table_SourceData_Poultry_MethaneEmissionsPotential" displayName="Table_SourceData_Poultry_MethaneEmissionsPotential" ref="D19:E21" totalsRowShown="0">
  <autoFilter ref="D19:E21" xr:uid="{B337049C-2437-4EFA-AAFD-35A825C8877D}"/>
  <tableColumns count="2">
    <tableColumn id="1" xr3:uid="{DEBB59A0-CAC2-4DEA-9982-17651E388A17}" name="Poultry class">
      <calculatedColumnFormula array="1">Common_InputFunctions.Utility_DisplayArrayInTable(SourceData_Poultry.SourceData_Poultry_MethaneEmissionsPotential_Data(), Table_SourceData_Poultry_MethaneEmissionsPotential[[#Headers],[Poultry class]], 0)</calculatedColumnFormula>
    </tableColumn>
    <tableColumn id="2" xr3:uid="{920E8514-DD22-464B-9DB6-900D6A99CD4D}" name="B0" dataDxfId="51" dataCellStyle="Content normal">
      <calculatedColumnFormula array="1">Common_InputFunctions.Utility_DisplayArrayInTable(SourceData_Poultry.SourceData_Poultry_MethaneEmissionsPotential_Data(), Table_SourceData_Poultry_MethaneEmissionsPotential[[#Headers],[Poultry class]], 0)</calculatedColumnFormula>
    </tableColumn>
  </tableColumns>
  <tableStyleInfo name="Equation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F7090B5-6718-41B7-9B26-A00EDB46BAC3}" name="Table_SourceData_PoultryMMS" displayName="Table_SourceData_PoultryMMS" ref="D28:E38" totalsRowShown="0">
  <autoFilter ref="D28:E38" xr:uid="{AF7090B5-6718-41B7-9B26-A00EDB46BAC3}"/>
  <tableColumns count="2">
    <tableColumn id="1" xr3:uid="{47CF50D5-E766-4A0D-8070-E14082E43836}" name="MMS"/>
    <tableColumn id="2" xr3:uid="{EABA1EC1-40EE-4DB0-9429-6D402A5B5F90}" name="Symbol and MMS" dataDxfId="50" dataCellStyle="Content normal"/>
  </tableColumns>
  <tableStyleInfo name="Equation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5810106E-36C6-489E-8962-5DE08C5F2EAC}" name="Table_SourceData_Poultry_ProductionSystems" displayName="Table_SourceData_Poultry_ProductionSystems" ref="D44:D47" totalsRowShown="0">
  <autoFilter ref="D44:D47" xr:uid="{5810106E-36C6-489E-8962-5DE08C5F2EAC}"/>
  <tableColumns count="1">
    <tableColumn id="1" xr3:uid="{F1CB7D97-90DF-41BF-87CB-E70D8254376B}" name="Production system">
      <calculatedColumnFormula array="1">Common_InputFunctions.Utility_DisplayArrayInTable(SourceData_Poultry.SourceData_Poultry_ProductionSystems_Data(), Table_SourceData_Poultry_ProductionSystems[[#Headers],[Production system]], 0)</calculatedColumnFormula>
    </tableColumn>
  </tableColumns>
  <tableStyleInfo name="Equation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26BAEA5-5A43-49B7-A0AB-1CF0D30AA767}" name="Table_SourceData_Poultry_MMSMCF" displayName="Table_SourceData_Poultry_MMSMCF" ref="D59:N68" totalsRowShown="0">
  <autoFilter ref="D59:N68" xr:uid="{F26BAEA5-5A43-49B7-A0AB-1CF0D30AA767}"/>
  <tableColumns count="11">
    <tableColumn id="1" xr3:uid="{E7FEC0DD-5366-4EB8-BE39-F19E084CE3E5}" name="MMS m">
      <calculatedColumnFormula array="1">Common_InputFunctions.Utility_DisplayArrayInTable(SourceData_Poultry.SourceData_Poultry_MCF_Data(), Table_SourceData_Poultry_MMSMCF[[#Headers],[MMS m]], 0)</calculatedColumnFormula>
    </tableColumn>
    <tableColumn id="2" xr3:uid="{269563D6-D06B-469F-866D-B00E1ED1865F}" name="All states" dataDxfId="49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3" xr3:uid="{7C7AFB2F-9F78-49C3-824F-3F0C9D5E1146}" name="NSW" dataDxfId="48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4" xr3:uid="{8F6C8F7B-16F4-4119-9CD6-B9D7410A1058}" name="ACT" dataDxfId="47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5" xr3:uid="{35DF7A08-4598-4E85-8418-B56B47561C03}" name="QLD" dataDxfId="46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6" xr3:uid="{0B5D1F9A-8137-494F-B4FA-06AEED00BE12}" name="NT" dataDxfId="45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7" xr3:uid="{20E75A60-87D5-4323-B301-DFEBFE0A70D0}" name="VIC" dataDxfId="44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8" xr3:uid="{704B2AB5-8F76-4A6E-BC83-4EE3CB8F0CD9}" name="SA" dataDxfId="43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9" xr3:uid="{DCEEC972-73B0-4C14-9A4D-FCB373657CEB}" name="WA" dataDxfId="42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10" xr3:uid="{94C744BC-E6D5-4FB2-974B-2F4DFD6F4EFB}" name="TAS" dataDxfId="41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11" xr3:uid="{F98C8970-3F12-428D-A15A-417E592F316E}" name="NIR definition" dataDxfId="40" dataCellStyle="Content normal">
      <calculatedColumnFormula array="1">Common_InputFunctions.Utility_DisplayArrayInTable(SourceData_Poultry.SourceData_Poultry_MCF_Data(), Table_SourceData_Poultry_MMSMCF[[#Headers],[MMS m]], 0)</calculatedColumnFormula>
    </tableColumn>
  </tableColumns>
  <tableStyleInfo name="Equatio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DEE6EA5E-2B4D-4BFE-9875-EACD468C453A}" name="Table_SourceData_PoultryMMSSTage1" displayName="Table_SourceData_PoultryMMSSTage1" ref="G28:H33" totalsRowShown="0">
  <autoFilter ref="G28:H33" xr:uid="{DEE6EA5E-2B4D-4BFE-9875-EACD468C453A}"/>
  <tableColumns count="2">
    <tableColumn id="1" xr3:uid="{4E5C4C69-995C-42D1-BBE3-542B0FF491A1}" name="MMS"/>
    <tableColumn id="2" xr3:uid="{8B69BB2A-335F-47C5-9D1B-E4F564913CD2}" name="Symbol and MMS" dataDxfId="39" dataCellStyle="Content normal"/>
  </tableColumns>
  <tableStyleInfo name="Equation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EC4CB048-5E1F-4D26-9F6C-B04ADADF31C3}" name="Table_SourceData_PoultryMMSStage2" displayName="Table_SourceData_PoultryMMSStage2" ref="J28:K34" totalsRowShown="0">
  <autoFilter ref="J28:K34" xr:uid="{EC4CB048-5E1F-4D26-9F6C-B04ADADF31C3}"/>
  <tableColumns count="2">
    <tableColumn id="1" xr3:uid="{A833F318-5E96-452B-914B-56EBEE0F957E}" name="MMS"/>
    <tableColumn id="2" xr3:uid="{6F353241-E782-4530-8CAF-E831533C8B4E}" name="Symbol and MMS" dataDxfId="38" dataCellStyle="Content normal"/>
  </tableColumns>
  <tableStyleInfo name="Equation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227BAFF-4BC8-4D7F-BDAE-6BC460B8A0CA}" name="Table_SourceData_Poultry_MMSVSL" displayName="Table_SourceData_Poultry_MMSVSL" ref="D76:F79" totalsRowShown="0">
  <autoFilter ref="D76:F79" xr:uid="{9227BAFF-4BC8-4D7F-BDAE-6BC460B8A0CA}"/>
  <tableColumns count="3">
    <tableColumn id="1" xr3:uid="{3F31A5AB-9F38-4ADE-A3EA-A68D670EEA61}" name="MMS">
      <calculatedColumnFormula array="1">Common_InputFunctions.Utility_DisplayArrayInTable(SourceData_Poultry.SourceData_Poultry_VSL_Data(), Table_SourceData_Poultry_MMSVSL[[#Headers],[MMS]], 0)</calculatedColumnFormula>
    </tableColumn>
    <tableColumn id="2" xr3:uid="{C618765F-80B1-4CE0-8745-39A121688928}" name="VSL" dataDxfId="37" dataCellStyle="Content normal">
      <calculatedColumnFormula array="1">Common_InputFunctions.Utility_DisplayArrayInTable(SourceData_Poultry.SourceData_Poultry_VSL_Data(), Table_SourceData_Poultry_MMSVSL[[#Headers],[MMS]], 0)</calculatedColumnFormula>
    </tableColumn>
    <tableColumn id="3" xr3:uid="{29EBD005-C894-48D5-96B7-8F2BE6A56B71}" name="NIR definition" dataDxfId="36" dataCellStyle="Content normal">
      <calculatedColumnFormula array="1">Common_InputFunctions.Utility_DisplayArrayInTable(SourceData_Poultry.SourceData_Poultry_VSL_Data(), Table_SourceData_Poultry_MMSVSL[[#Headers],[MMS]], 0)</calculatedColumnFormula>
    </tableColumn>
  </tableColumns>
  <tableStyleInfo name="Equation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14E434-889D-47DE-ACD8-BE2A202486E8}" name="Table_AustralianStates" displayName="Table_AustralianStates" ref="D6:F14" totalsRowShown="0">
  <autoFilter ref="D6:F14" xr:uid="{E0906749-7FC7-47DE-82F6-F796C4463018}">
    <filterColumn colId="0" hiddenButton="1"/>
    <filterColumn colId="1" hiddenButton="1"/>
    <filterColumn colId="2" hiddenButton="1"/>
  </autoFilter>
  <tableColumns count="3">
    <tableColumn id="1" xr3:uid="{1BD52E55-D470-4E67-B411-FE7F21B4A715}" name="State/Territory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2" xr3:uid="{29FBE776-2EA2-4B6A-AC4A-C6BBE34D4120}" name="Common Name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3" xr3:uid="{FEFD51E3-66D0-435B-BD24-67520342A277}" name="Abbreviation">
      <calculatedColumnFormula array="1">Common_InputFunctions.Utility_DisplayArrayInTable(Common_SourceData.Common_SourceData_AustralianStatesTerritories_Data(),Table_AustralianStates[[#Headers],[State/Territory]],0)</calculatedColumnFormula>
    </tableColumn>
  </tableColumns>
  <tableStyleInfo name="Equation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55AF0A-9700-41F1-B3C9-1ED235350471}" name="Table_WASA4Areas" displayName="Table_WASA4Areas" ref="D20:D30" totalsRowShown="0">
  <autoFilter ref="D20:D30" xr:uid="{5FA81339-C6C8-4D36-BEEA-6C4AEDD9E676}">
    <filterColumn colId="0" hiddenButton="1"/>
  </autoFilter>
  <tableColumns count="1">
    <tableColumn id="1" xr3:uid="{7AACF761-606D-4089-BB17-74378191C3F0}" name="SA 4 Name">
      <calculatedColumnFormula array="1">Common_InputFunctions.Utility_DisplayArrayInTable(Common_SourceData.Common_SourceData_WASA4Areas_Data(), Table_WASA4Areas[[#Headers],[SA 4 Name]], 0)</calculatedColumnFormula>
    </tableColumn>
  </tableColumns>
  <tableStyleInfo name="Equation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DD734A-FB69-4DB5-952D-2AD6D7A89E23}" name="Table_GWPData" displayName="Table_GWPData" ref="D36:E43" totalsRowShown="0">
  <autoFilter ref="D36:E43" xr:uid="{B8E87A66-3E41-4AD3-925D-01EE21B43D7A}">
    <filterColumn colId="0" hiddenButton="1"/>
    <filterColumn colId="1" hiddenButton="1"/>
  </autoFilter>
  <tableColumns count="2">
    <tableColumn id="1" xr3:uid="{FC90A6A4-699A-41A3-BFAC-BB147909438D}" name="Gas">
      <calculatedColumnFormula array="1">Common_InputFunctions.Utility_DisplayArrayInTable(Common_SourceData.Common_SourceData_GWP_Data(), Table_GWPData[[#Headers],[Gas]], 0)</calculatedColumnFormula>
    </tableColumn>
    <tableColumn id="2" xr3:uid="{2CE36D17-19E0-4EEB-8214-07A18E9A7F3C}" name="CO2-e factor">
      <calculatedColumnFormula array="1">Common_InputFunctions.Utility_DisplayArrayInTable(Common_SourceData.Common_SourceData_GWP_Data(), Table_GWPData[[#Headers],[Gas]], 0)</calculatedColumnFormula>
    </tableColumn>
  </tableColumns>
  <tableStyleInfo name="Equation 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15AD6FC-302D-427F-A781-E5828A7A65E1}" name="Table_GasToMolecularConversionFactor" displayName="Table_GasToMolecularConversionFactor" ref="D47:H54" totalsRowShown="0">
  <autoFilter ref="D47:H54" xr:uid="{C1F562BB-DAA6-45BB-951A-7BAFA5B64B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4C6DCD0-6078-4EF7-B1BB-C0D3612B09C7}" name="Gas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5" xr3:uid="{470EF58C-4CB9-4D0C-9992-015D2D3CA871}" name="Conversion factor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2" xr3:uid="{CAF92784-602B-40C5-B453-8572B81D441F}" name="Conversion factor 1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3" xr3:uid="{F0897094-15F9-44CD-90FE-13C9ED251957}" name="Conversion factor 2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4" xr3:uid="{D7CF9F46-8C4B-40D3-8CF5-E5009A83EEE9}" name="Conversion factor combined">
      <calculatedColumnFormula>Table_GasToMolecularConversionFactor[[#This Row],[Conversion factor 1]]/Table_GasToMolecularConversionFactor[[#This Row],[Conversion factor 2]]</calculatedColumnFormula>
    </tableColumn>
  </tableColumns>
  <tableStyleInfo name="Equation 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873E098-F5E4-417C-A9F6-BFF34B1FE162}" name="Table_SourceData_ClimateZones" displayName="Table_SourceData_ClimateZones" ref="D89:S97" totalsRowShown="0">
  <autoFilter ref="D89:S97" xr:uid="{5A437AE9-7724-4CF2-ACCF-291078682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8936C808-11CC-423D-A499-3035F684A245}" name="Climate zone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2" xr3:uid="{9D023567-C6B2-4516-B815-FFF4936E21AB}" name="MAT" totalsRowDxfId="7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3" xr3:uid="{6EBFE4AE-75FA-4641-A4D8-E3F7C8FC3680}" name="MAP" totalsRowDxfId="7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4" xr3:uid="{D75DE766-1ED4-4286-8453-81FD486A9E67}" name="Frost days per year" totalsRowDxfId="7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5" xr3:uid="{0AC2CA51-AB88-4F72-A696-B9E0188C9FEA}" name="Elevation" totalsRowDxfId="7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6" xr3:uid="{D9F2F6F9-1629-4B3D-98BE-FD8ADE2F956F}" name="MAP:PET" totalsRowDxfId="7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7" xr3:uid="{317BAE18-3FFE-43C4-AF7E-C6E874B45E18}" name="Min temp" totalsRowDxfId="7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8" xr3:uid="{9460DC64-05B3-4084-8F3F-D00565895293}" name="Max temp" totalsRowDxfId="6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9" xr3:uid="{E98CF4A7-C810-474B-8823-2E16A44A2ED6}" name="Min rainfall" totalsRowDxfId="6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0" xr3:uid="{1D929ECC-61A9-46B6-9049-3F8A22CE1431}" name="Max rainfall" totalsRowDxfId="6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1" xr3:uid="{53E7B95D-FF52-428D-A614-859A01065E4E}" name="Min frost days" totalsRowDxfId="6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5" xr3:uid="{915CC739-4D0A-45CF-9541-78A464970DEA}" name="Max frost days" totalsRowDxfId="6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2" xr3:uid="{62BE1DA6-3AEE-4CFB-91CC-CBBB020D9734}" name="Min elevation" totalsRowDxfId="6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6" xr3:uid="{937C7D03-A642-49B6-81E2-894272504EDE}" name="Max elevation" totalsRowDxfId="6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3" xr3:uid="{82689D1B-26D8-4212-8EFA-58E5218DAD23}" name="Min MAP:PET" totalsRowDxfId="6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7" xr3:uid="{26145D94-0E62-4C99-AD96-F8206FC4D9FA}" name="Max MAP:PET" totalsRowDxfId="6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</tableColumns>
  <tableStyleInfo name="Equation tab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37E1C34-0FD0-40DE-9B42-87B2B40FD1D0}" name="Table_SourceData_WetDryZones" displayName="Table_SourceData_WetDryZones" ref="D63:E77" totalsRowShown="0">
  <autoFilter ref="D63:E77" xr:uid="{3597E019-B21E-4B76-BCC8-D02D497BCFA9}">
    <filterColumn colId="0" hiddenButton="1"/>
    <filterColumn colId="1" hiddenButton="1"/>
  </autoFilter>
  <tableColumns count="2">
    <tableColumn id="1" xr3:uid="{2A2A21D1-D21A-4288-AA27-6201BCE7270E}" name="Climate zone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  <tableColumn id="2" xr3:uid="{259B53B9-EDAA-4996-8EAF-5810B99ACDB7}" name="Wet or Dry Zone" totalsRowDxfId="60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</tableColumns>
  <tableStyleInfo name="Equation tabl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1F8E9F8-C781-423F-AA40-DAD57D45919D}" name="Table_SourceData_TemperatureZones" displayName="Table_SourceData_TemperatureZones" ref="D109:G112" totalsRowShown="0">
  <autoFilter ref="D109:G112" xr:uid="{AB16FEAB-AB03-45E1-BBD4-66D29CD412DF}">
    <filterColumn colId="0" hiddenButton="1"/>
    <filterColumn colId="1" hiddenButton="1"/>
    <filterColumn colId="2" hiddenButton="1"/>
    <filterColumn colId="3" hiddenButton="1"/>
  </autoFilter>
  <tableColumns count="4">
    <tableColumn id="1" xr3:uid="{F3FB998F-5E29-4FFF-871F-2097D6D4AF0D}" name="Temperature Zone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2" xr3:uid="{EDF51FDA-99C3-4A2C-9E9F-5526EFE4C336}" name="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3" xr3:uid="{2F1F32E2-2C0F-4F66-9AF3-409D5BB4907B}" name="Min 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4" xr3:uid="{DC7A3B3C-B9C4-4210-89CB-1E016A7A709E}" name="Max MAT">
      <calculatedColumnFormula array="1">Common_InputFunctions.Utility_DisplayArrayInTable(Common_SourceData.Common_SourceData_TemperatureZones_Data(),Table_SourceData_TemperatureZones[[#Headers],[Temperature Zone]],0)</calculatedColumnFormula>
    </tableColumn>
  </tableColumns>
  <tableStyleInfo name="Equation tabl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975861C-0A17-4AAE-A53F-2A755616699E}" name="Table_SourceData_RainfallZones" displayName="Table_SourceData_RainfallZones" ref="D119:G121" totalsRowShown="0">
  <autoFilter ref="D119:G121" xr:uid="{E08772F3-2E8C-40A8-B755-08A5BBDF4130}">
    <filterColumn colId="0" hiddenButton="1"/>
    <filterColumn colId="1" hiddenButton="1"/>
    <filterColumn colId="2" hiddenButton="1"/>
    <filterColumn colId="3" hiddenButton="1"/>
  </autoFilter>
  <tableColumns count="4">
    <tableColumn id="1" xr3:uid="{4AD7AC1D-F3A2-4192-B9FE-E1BDDE484B1F}" name="Rainfall Zone">
      <calculatedColumnFormula array="1">Common_InputFunctions.Utility_DisplayArrayInTable(Common_SourceData.Common_SourceData_RainfallZones_Data(),Table_SourceData_RainfallZones[[#Headers],[Rainfall Zone]],0)</calculatedColumnFormula>
    </tableColumn>
    <tableColumn id="2" xr3:uid="{EE5A63EE-DF52-4770-904A-9A40C7F56ACC}" name="Annual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3" xr3:uid="{AB659730-FBF6-426A-9650-6024CA2A6DC7}" name="Min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4" xr3:uid="{A69016EC-BD8C-42D8-B078-A560C7E151FA}" name="Max rainfall">
      <calculatedColumnFormula array="1">Common_InputFunctions.Utility_DisplayArrayInTable(Common_SourceData.Common_SourceData_RainfallZones_Data(),Table_SourceData_RainfallZones[[#Headers],[Rainfall Zone]],0)</calculatedColumnFormula>
    </tableColumn>
  </tableColumns>
  <tableStyleInfo name="Equation tabl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D4A285F-3571-447E-B6B3-9BF7947DC69F}" name="Table_SourceData_LeachingZones" displayName="Table_SourceData_LeachingZones" ref="D127:E129" totalsRowShown="0">
  <autoFilter ref="D127:E129" xr:uid="{A159E140-02ED-4547-B6E1-6695D8B16A11}">
    <filterColumn colId="0" hiddenButton="1"/>
    <filterColumn colId="1" hiddenButton="1"/>
  </autoFilter>
  <tableColumns count="2">
    <tableColumn id="1" xr3:uid="{4E215647-CEF8-437C-AC2A-47BB6C9F0F5E}" name="Leaching Zone">
      <calculatedColumnFormula array="1">Common_InputFunctions.Utility_DisplayArrayInTable(Common_SourceData.Common_SourceData_LeachingZones_Data(), Table_SourceData_LeachingZones[[#Headers],[Leaching Zone]], 0)</calculatedColumnFormula>
    </tableColumn>
    <tableColumn id="2" xr3:uid="{9A7A4C91-E116-4B13-9CE1-55F0563268CB}" name="Leaching criteria">
      <calculatedColumnFormula array="1">Common_InputFunctions.Utility_DisplayArrayInTable(Common_SourceData.Common_SourceData_LeachingZones_Data(), Table_SourceData_LeachingZones[[#Headers],[Leaching Zone]], 0)</calculatedColumnFormula>
    </tableColumn>
  </tableColumns>
  <tableStyleInfo name="Equation tabl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A62EB1C-5F71-4A9D-AC91-F62515AAABB9}" name="Table_SourceData_DataScores_Scope3" displayName="Table_SourceData_DataScores_Scope3" ref="D153:E158" totalsRowShown="0">
  <autoFilter ref="D153:E158" xr:uid="{133D42B0-F6D2-470A-858A-37E6A7F5EC2B}">
    <filterColumn colId="0" hiddenButton="1"/>
    <filterColumn colId="1" hiddenButton="1"/>
  </autoFilter>
  <tableColumns count="2">
    <tableColumn id="1" xr3:uid="{E6F280A7-E25E-46DD-B2F5-A46896C5A8FA}" name="Data source">
      <calculatedColumnFormula array="1">Common_InputFunctions.Utility_DisplayArrayInTable(Common_SourceData.Common_SourceData_DataScores_Scope3_Data(), Table_SourceData_DataScores_Scope3[[#Headers],[Data source]], 0)</calculatedColumnFormula>
    </tableColumn>
    <tableColumn id="2" xr3:uid="{0A4D6A17-AB99-4163-9F24-9CB271B53EC9}" name="Data score">
      <calculatedColumnFormula array="1">Common_InputFunctions.Utility_DisplayArrayInTable(Common_SourceData.Common_SourceData_DataScores_Scope3_Data(), Table_SourceData_DataScores_Scope3[[#Headers],[Data source]], 0)</calculatedColumnFormula>
    </tableColumn>
  </tableColumns>
  <tableStyleInfo name="Equation table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6125330-373F-429E-AF4E-AFA0D8B5EBD5}" name="Table_SourceData_FracWET" displayName="Table_SourceData_FracWET" ref="D134:E136" totalsRowShown="0">
  <autoFilter ref="D134:E136" xr:uid="{308E99BE-FE1F-47A4-B2CA-97217277C4E9}">
    <filterColumn colId="0" hiddenButton="1"/>
    <filterColumn colId="1" hiddenButton="1"/>
  </autoFilter>
  <tableColumns count="2">
    <tableColumn id="1" xr3:uid="{712FE205-9822-4622-8C50-79A1510F1946}" name="Is in leaching zone">
      <calculatedColumnFormula array="1">Common_InputFunctions.Utility_DisplayArrayInTable(Common_SourceData.Common_SourceData_FracWET_Data(),Table_SourceData_FracWET[[#Headers],[Is in leaching zone]],0)</calculatedColumnFormula>
    </tableColumn>
    <tableColumn id="2" xr3:uid="{C983B818-12CF-4DF3-AC3A-2F83225637C2}" name="FracWET" dataDxfId="59">
      <calculatedColumnFormula array="1">Common_InputFunctions.Utility_DisplayArrayInTable(Common_SourceData.Common_SourceData_FracWET_Data(),Table_SourceData_FracWET[[#Headers],[Is in leaching zone]],0)</calculatedColumnFormula>
    </tableColumn>
  </tableColumns>
  <tableStyleInfo name="Equation table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ECE0720-1884-4633-BEF5-C686AF735D54}" name="Table_SourceData_Common_EFN2O" displayName="Table_SourceData_Common_EFN2O" ref="D186:H199" totalsRowShown="0">
  <autoFilter ref="D186:H199" xr:uid="{D41FBEA4-8379-4DF7-A068-BF94D364F1A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CEC9435-12CC-4BE2-B5A3-5226E027534C}" name="Production system j">
      <calculatedColumnFormula array="1">Common_InputFunctions.Utility_DisplayArrayInTable(Common_SourceData.Common_SourceData_EFN2O_Data(), Table_SourceData_Common_EFN2O[[#Headers],[Production system j]], 0)</calculatedColumnFormula>
    </tableColumn>
    <tableColumn id="2" xr3:uid="{7D2CC188-168F-4D38-9F41-91E19FBF008B}" name="EFN2O">
      <calculatedColumnFormula array="1">Common_InputFunctions.Utility_DisplayArrayInTable(Common_SourceData.Common_SourceData_EFN2O_Data(), Table_SourceData_Common_EFN2O[[#Headers],[Production system j]], 0)</calculatedColumnFormula>
    </tableColumn>
    <tableColumn id="3" xr3:uid="{2D9449B9-0867-4E9C-ABC8-96E02D16A083}" name="Production system only">
      <calculatedColumnFormula array="1">Common_InputFunctions.Utility_DisplayArrayInTable(Common_SourceData.Common_SourceData_EFN2O_Data(), Table_SourceData_Common_EFN2O[[#Headers],[Production system j]], 0)</calculatedColumnFormula>
    </tableColumn>
    <tableColumn id="4" xr3:uid="{B3649442-D3F6-4651-90E6-0DD808859B3B}" name="Irrigation method">
      <calculatedColumnFormula array="1">Common_InputFunctions.Utility_DisplayArrayInTable(Common_SourceData.Common_SourceData_EFN2O_Data(), Table_SourceData_Common_EFN2O[[#Headers],[Production system j]], 0)</calculatedColumnFormula>
    </tableColumn>
    <tableColumn id="5" xr3:uid="{4A541780-B6AD-480A-AE02-62D2D9E38216}" name="Rainfall zone">
      <calculatedColumnFormula array="1">Common_InputFunctions.Utility_DisplayArrayInTable(Common_SourceData.Common_SourceData_EFN2O_Data(), Table_SourceData_Common_EFN2O[[#Headers],[Production system j]], 0)</calculatedColumnFormula>
    </tableColumn>
  </tableColumns>
  <tableStyleInfo name="Equation table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96F0352-C7B5-434C-85A8-32A1131DE35B}" name="Table_SourceData_FracWETIrrigation" displayName="Table_SourceData_FracWETIrrigation" ref="D142:E147" totalsRowShown="0">
  <autoFilter ref="D142:E147" xr:uid="{1F48CA34-50DE-46D5-B32A-BB3A1E818E37}">
    <filterColumn colId="0" hiddenButton="1"/>
    <filterColumn colId="1" hiddenButton="1"/>
  </autoFilter>
  <tableColumns count="2">
    <tableColumn id="1" xr3:uid="{7BA7974A-5274-4E8F-8EFE-BA3BF6A4009A}" name="Irrigation type i">
      <calculatedColumnFormula array="1">Common_InputFunctions.Utility_DisplayArrayInTable(Common_SourceData.Common_SourceData_FracWETIrrigation_Data(), Table_SourceData_FracWETIrrigation[[#Headers],[Irrigation type i]], 0)</calculatedColumnFormula>
    </tableColumn>
    <tableColumn id="2" xr3:uid="{C54ECB28-6C1A-4E5F-B2BA-C42958055C76}" name="FracWET" dataDxfId="58" dataCellStyle="Content normal">
      <calculatedColumnFormula array="1">Common_InputFunctions.Utility_DisplayArrayInTable(Common_SourceData.Common_SourceData_FracWETIrrigation_Data(), Table_SourceData_FracWETIrrigation[[#Headers],[Irrigation type i]], 0)</calculatedColumnFormula>
    </tableColumn>
  </tableColumns>
  <tableStyleInfo name="Equation table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52AFED5-8651-436E-9D54-3CF47EBEE874}" name="Table_SourceData_EFPastureRangeAndPaddock" displayName="Table_SourceData_EFPastureRangeAndPaddock" ref="D206:E208" totalsRowShown="0">
  <autoFilter ref="D206:E208" xr:uid="{D5BE3F89-D70E-4C53-A71C-E756622DEF38}">
    <filterColumn colId="0" hiddenButton="1"/>
    <filterColumn colId="1" hiddenButton="1"/>
  </autoFilter>
  <tableColumns count="2">
    <tableColumn id="1" xr3:uid="{E92DBF51-6421-41F8-906B-7B99C0D5AE99}" name="Climate zone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  <tableColumn id="2" xr3:uid="{C6D83246-9414-4D37-8608-3D40F5820909}" name="EFPRP" dataDxfId="57" dataCellStyle="Content normal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</tableColumns>
  <tableStyleInfo name="Equation table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DF0C2B1-E800-46A6-8A21-BEF6C0BD31DC}" name="Table_SourceData_Common_MonthToSeason" displayName="Table_SourceData_Common_MonthToSeason" ref="D212:E224" totalsRowShown="0">
  <autoFilter ref="D212:E224" xr:uid="{97796C3A-D95E-4077-AA20-A8FE4145DAAD}">
    <filterColumn colId="0" hiddenButton="1"/>
    <filterColumn colId="1" hiddenButton="1"/>
  </autoFilter>
  <tableColumns count="2">
    <tableColumn id="1" xr3:uid="{72EF50FF-F00E-4F8E-BEEF-C29C5F5315EA}" name="Month">
      <calculatedColumnFormula array="1">Common_InputFunctions.Utility_DisplayArrayInTable(Common_SourceData.Common_SourceData_MonthsToSeasons_Data(), Table_SourceData_Common_MonthToSeason[[#Headers],[Month]], 0)</calculatedColumnFormula>
    </tableColumn>
    <tableColumn id="2" xr3:uid="{346692E2-8620-468E-AFA1-C904D973A838}" name="Season" dataDxfId="56" dataCellStyle="Content normal">
      <calculatedColumnFormula array="1">Common_InputFunctions.Utility_DisplayArrayInTable(Common_SourceData.Common_SourceData_MonthsToSeasons_Data(), Table_SourceData_Common_MonthToSeason[[#Headers],[Month]], 0)</calculatedColumnFormula>
    </tableColumn>
  </tableColumns>
  <tableStyleInfo name="Equation table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CC28B-CF78-4195-86CA-5AEBBA7FA04E}" name="Table_Data_MMSSymbols" displayName="Table_Data_MMSSymbols" ref="D9:F27" totalsRowShown="0">
  <autoFilter ref="D9:F27" xr:uid="{757CC28B-CF78-4195-86CA-5AEBBA7FA04E}">
    <filterColumn colId="0" hiddenButton="1"/>
    <filterColumn colId="1" hiddenButton="1"/>
    <filterColumn colId="2" hiddenButton="1"/>
  </autoFilter>
  <tableColumns count="3">
    <tableColumn id="1" xr3:uid="{FA4B4DF7-A993-40F2-870A-87A35A1D1CD3}" name="Symbol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2" xr3:uid="{8A23F85B-E11F-43B7-AF58-1032F42D9585}" name="Manure management system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3" xr3:uid="{58D0574C-2490-473B-A8E1-317E3A493B21}" name="Symbol and MMS">
      <calculatedColumnFormula array="1">InputFunctions_Utilities.Utility_DisplayArrayInTable(CommonLivestock_SourceData.SourceData_Livestock_Common_SymbolsMMS_Data(), Table_Data_MMSSymbols[[#Headers],[Symbol]], 0)</calculatedColumnFormula>
    </tableColumn>
  </tableColumns>
  <tableStyleInfo name="Equation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5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.xml"/><Relationship Id="rId13" Type="http://schemas.openxmlformats.org/officeDocument/2006/relationships/table" Target="../tables/table21.xml"/><Relationship Id="rId3" Type="http://schemas.openxmlformats.org/officeDocument/2006/relationships/table" Target="../tables/table11.xml"/><Relationship Id="rId7" Type="http://schemas.openxmlformats.org/officeDocument/2006/relationships/table" Target="../tables/table15.xml"/><Relationship Id="rId12" Type="http://schemas.openxmlformats.org/officeDocument/2006/relationships/table" Target="../tables/table20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6" Type="http://schemas.openxmlformats.org/officeDocument/2006/relationships/table" Target="../tables/table14.xml"/><Relationship Id="rId11" Type="http://schemas.openxmlformats.org/officeDocument/2006/relationships/table" Target="../tables/table19.xml"/><Relationship Id="rId5" Type="http://schemas.openxmlformats.org/officeDocument/2006/relationships/table" Target="../tables/table13.xml"/><Relationship Id="rId15" Type="http://schemas.openxmlformats.org/officeDocument/2006/relationships/table" Target="../tables/table23.xml"/><Relationship Id="rId10" Type="http://schemas.openxmlformats.org/officeDocument/2006/relationships/table" Target="../tables/table18.xml"/><Relationship Id="rId4" Type="http://schemas.openxmlformats.org/officeDocument/2006/relationships/table" Target="../tables/table12.xml"/><Relationship Id="rId9" Type="http://schemas.openxmlformats.org/officeDocument/2006/relationships/table" Target="../tables/table17.xml"/><Relationship Id="rId14" Type="http://schemas.openxmlformats.org/officeDocument/2006/relationships/table" Target="../tables/table2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26AA-F4FA-460F-9B3A-C19960195F0B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0AE0-5101-4331-B8DF-043DE9AAFBA8}">
  <sheetPr>
    <pageSetUpPr autoPageBreaks="0"/>
  </sheetPr>
  <dimension ref="A1:K87"/>
  <sheetViews>
    <sheetView showGridLines="0" zoomScaleNormal="100" workbookViewId="0">
      <selection activeCell="C2" sqref="C2"/>
    </sheetView>
  </sheetViews>
  <sheetFormatPr defaultRowHeight="15" x14ac:dyDescent="0.25"/>
  <cols>
    <col min="1" max="1" width="30.7109375" customWidth="1"/>
    <col min="2" max="3" width="2.7109375" customWidth="1"/>
    <col min="4" max="4" width="97.140625" customWidth="1"/>
    <col min="5" max="10" width="30.7109375" customWidth="1"/>
    <col min="11" max="11" width="7.42578125" customWidth="1"/>
    <col min="12" max="26" width="28.7109375" customWidth="1"/>
  </cols>
  <sheetData>
    <row r="1" spans="1:11" ht="30" customHeight="1" x14ac:dyDescent="0.35">
      <c r="A1" s="68" t="e" vm="1">
        <v>#VALUE!</v>
      </c>
      <c r="C1" s="116" t="s">
        <v>238</v>
      </c>
    </row>
    <row r="2" spans="1:11" ht="20.100000000000001" customHeight="1" x14ac:dyDescent="0.25">
      <c r="A2" s="9"/>
      <c r="C2" s="9"/>
    </row>
    <row r="3" spans="1:11" ht="20.100000000000001" customHeight="1" x14ac:dyDescent="0.25">
      <c r="A3" s="17" t="str">
        <f>HYPERLINK("#'Home'!A1", "Home")</f>
        <v>Home</v>
      </c>
      <c r="C3" s="22"/>
      <c r="D3" s="22"/>
      <c r="E3" s="22"/>
      <c r="F3" s="22"/>
      <c r="G3" s="22"/>
      <c r="H3" s="22"/>
      <c r="I3" s="22"/>
      <c r="J3" s="22"/>
      <c r="K3" s="22"/>
    </row>
    <row r="4" spans="1:11" ht="20.100000000000001" customHeight="1" x14ac:dyDescent="0.25">
      <c r="A4" s="138" t="str">
        <f>HYPERLINK("#'Results'!A1", "Results")</f>
        <v>Results</v>
      </c>
      <c r="C4" s="22"/>
      <c r="D4" s="6" t="s">
        <v>5</v>
      </c>
      <c r="E4" s="24"/>
      <c r="F4" s="24"/>
      <c r="G4" s="24"/>
      <c r="H4" s="6"/>
      <c r="I4" s="6"/>
      <c r="J4" s="6"/>
      <c r="K4" s="25"/>
    </row>
    <row r="5" spans="1:11" ht="20.100000000000001" customHeight="1" x14ac:dyDescent="0.3">
      <c r="A5" s="16"/>
      <c r="C5" s="22"/>
      <c r="D5" s="26"/>
      <c r="E5" s="27"/>
      <c r="F5" s="27"/>
      <c r="G5" s="27"/>
      <c r="H5" s="24"/>
      <c r="I5" s="22"/>
      <c r="J5" s="22"/>
      <c r="K5" s="22"/>
    </row>
    <row r="6" spans="1:11" ht="20.100000000000001" customHeight="1" x14ac:dyDescent="0.25">
      <c r="A6" s="20" t="s">
        <v>3</v>
      </c>
      <c r="C6" s="22"/>
      <c r="D6" s="115" t="s">
        <v>106</v>
      </c>
      <c r="E6" s="115" t="s">
        <v>122</v>
      </c>
      <c r="F6" s="115" t="s">
        <v>123</v>
      </c>
      <c r="G6" s="115" t="s">
        <v>114</v>
      </c>
      <c r="H6" s="115" t="s">
        <v>124</v>
      </c>
      <c r="I6" s="115" t="s">
        <v>125</v>
      </c>
      <c r="J6" s="115" t="s">
        <v>115</v>
      </c>
      <c r="K6" s="22"/>
    </row>
    <row r="7" spans="1:11" ht="20.100000000000001" customHeight="1" x14ac:dyDescent="0.25">
      <c r="A7" s="17" t="str">
        <f>HYPERLINK("#'Input - Site'!A1", "Site")</f>
        <v>Site</v>
      </c>
      <c r="C7" s="22"/>
      <c r="D7" s="1" t="s">
        <v>235</v>
      </c>
      <c r="E7" s="112">
        <f>'4.6.1.1-2 Methane'!E280</f>
        <v>0</v>
      </c>
      <c r="F7" s="112">
        <f>'4.6.1.1-2 Methane'!O280</f>
        <v>0</v>
      </c>
      <c r="G7" s="54" t="s">
        <v>118</v>
      </c>
      <c r="H7" s="112">
        <f>'4.6.1.1-2 Methane'!E285</f>
        <v>0</v>
      </c>
      <c r="I7" s="112">
        <f>'4.6.1.1-2 Methane'!O285</f>
        <v>0</v>
      </c>
      <c r="J7" s="54" t="s">
        <v>120</v>
      </c>
      <c r="K7" s="22"/>
    </row>
    <row r="8" spans="1:11" ht="20.100000000000001" customHeight="1" x14ac:dyDescent="0.25">
      <c r="A8" s="17" t="str">
        <f>HYPERLINK("#'Input - Swine'!A1", "Swine")</f>
        <v>Swine</v>
      </c>
      <c r="C8" s="22"/>
      <c r="D8" s="1" t="s">
        <v>236</v>
      </c>
      <c r="E8" s="112">
        <f>'4.6.1.3-4 Direct N20'!E274</f>
        <v>0</v>
      </c>
      <c r="F8" s="112">
        <f>'4.6.1.3-4 Direct N20'!O274</f>
        <v>0</v>
      </c>
      <c r="G8" s="54" t="s">
        <v>130</v>
      </c>
      <c r="H8" s="112">
        <f>'4.6.1.3-4 Direct N20'!E279</f>
        <v>0</v>
      </c>
      <c r="I8" s="112">
        <f>'4.6.1.3-4 Direct N20'!O279</f>
        <v>0</v>
      </c>
      <c r="J8" s="54" t="s">
        <v>120</v>
      </c>
      <c r="K8" s="22"/>
    </row>
    <row r="9" spans="1:11" ht="20.100000000000001" customHeight="1" x14ac:dyDescent="0.25">
      <c r="A9" s="17"/>
      <c r="C9" s="22"/>
      <c r="D9" s="1" t="s">
        <v>237</v>
      </c>
      <c r="E9" s="112" t="e">
        <f>'4.5.1.5-6 Atmos Dep'!E109</f>
        <v>#REF!</v>
      </c>
      <c r="F9" s="112" t="e">
        <f>'4.5.1.5-6 Atmos Dep'!O109</f>
        <v>#REF!</v>
      </c>
      <c r="G9" s="54" t="s">
        <v>130</v>
      </c>
      <c r="H9" s="112" t="e">
        <f>'4.5.1.5-6 Atmos Dep'!E114</f>
        <v>#REF!</v>
      </c>
      <c r="I9" s="112" t="e">
        <f>'4.5.1.5-6 Atmos Dep'!O114</f>
        <v>#REF!</v>
      </c>
      <c r="J9" s="54" t="s">
        <v>120</v>
      </c>
      <c r="K9" s="22"/>
    </row>
    <row r="10" spans="1:11" ht="20.100000000000001" customHeight="1" x14ac:dyDescent="0.25">
      <c r="A10" s="19" t="s">
        <v>76</v>
      </c>
      <c r="C10" s="22"/>
      <c r="D10" s="1" t="s">
        <v>175</v>
      </c>
      <c r="E10" s="112">
        <f>'4.5.1.7-8 Leaching and runoff'!$E$36</f>
        <v>0</v>
      </c>
      <c r="F10" s="112">
        <f>'4.5.1.7-8 Leaching and runoff'!$N$36</f>
        <v>0</v>
      </c>
      <c r="G10" s="54" t="s">
        <v>130</v>
      </c>
      <c r="H10" s="112">
        <f>'4.5.1.7-8 Leaching and runoff'!E54</f>
        <v>0</v>
      </c>
      <c r="I10" s="112">
        <f>'4.5.1.7-8 Leaching and runoff'!N54</f>
        <v>0</v>
      </c>
      <c r="J10" s="54" t="s">
        <v>120</v>
      </c>
      <c r="K10" s="22"/>
    </row>
    <row r="11" spans="1:11" ht="20.100000000000001" customHeight="1" x14ac:dyDescent="0.3">
      <c r="A11" s="17" t="str">
        <f>HYPERLINK("#'4.5.1.1-2 Methane'!A1", "4.5.1.1-2 Methane")</f>
        <v>4.5.1.1-2 Methane</v>
      </c>
      <c r="C11" s="22"/>
      <c r="D11" s="29" t="s">
        <v>113</v>
      </c>
      <c r="E11" s="23"/>
      <c r="F11" s="23"/>
      <c r="G11" s="29"/>
      <c r="H11" s="114" t="e">
        <f>SUM(H7:H10)</f>
        <v>#REF!</v>
      </c>
      <c r="I11" s="114" t="e">
        <f>SUM(I7:I10)</f>
        <v>#REF!</v>
      </c>
      <c r="J11" s="105" t="s">
        <v>120</v>
      </c>
      <c r="K11" s="22"/>
    </row>
    <row r="12" spans="1:11" ht="20.100000000000001" customHeight="1" x14ac:dyDescent="0.25">
      <c r="A12" s="17" t="str">
        <f>HYPERLINK("#'4.5.1.3-4 Direct N20'!A1", "4.5.1.3-4 Direct N2O")</f>
        <v>4.5.1.3-4 Direct N2O</v>
      </c>
      <c r="C12" s="22"/>
      <c r="D12" s="1"/>
      <c r="E12" s="1"/>
      <c r="F12" s="1"/>
      <c r="G12" s="24"/>
      <c r="H12" s="22"/>
      <c r="I12" s="1"/>
      <c r="J12" s="1"/>
      <c r="K12" s="22"/>
    </row>
    <row r="13" spans="1:11" ht="20.100000000000001" customHeight="1" x14ac:dyDescent="0.25">
      <c r="A13" s="17" t="str">
        <f>HYPERLINK("#'4.5.1.5-6 Atmos Dep'!A1", "4.5.1.5-6 Soil atm. deposition")</f>
        <v>4.5.1.5-6 Soil atm. deposition</v>
      </c>
      <c r="C13" s="22"/>
      <c r="D13" s="106" t="s">
        <v>221</v>
      </c>
      <c r="E13" s="1"/>
      <c r="F13" s="1"/>
      <c r="G13" s="1"/>
      <c r="H13" s="24"/>
      <c r="I13" s="1"/>
      <c r="J13" s="22"/>
      <c r="K13" s="22"/>
    </row>
    <row r="14" spans="1:11" ht="20.100000000000001" customHeight="1" x14ac:dyDescent="0.25">
      <c r="A14" s="17" t="str">
        <f>HYPERLINK("#'4.5.1.7-8 Leaching and runoff'!A1", "4.5.1.7-8 Leaching &amp; runoff")</f>
        <v>4.5.1.7-8 Leaching &amp; runoff</v>
      </c>
      <c r="C14" s="22"/>
      <c r="D14" s="134" t="s">
        <v>222</v>
      </c>
      <c r="E14" s="1"/>
      <c r="F14" s="1"/>
      <c r="G14" s="1"/>
      <c r="H14" s="1"/>
      <c r="I14" s="1"/>
      <c r="J14" s="22"/>
      <c r="K14" s="22"/>
    </row>
    <row r="15" spans="1:11" ht="20.100000000000001" customHeight="1" x14ac:dyDescent="0.25">
      <c r="A15" s="17" t="str">
        <f>HYPERLINK("#'4.5.1.9 Manure applied to soils'!A1", "4.5.1.9 Manure applied to soils")</f>
        <v>4.5.1.9 Manure applied to soils</v>
      </c>
      <c r="C15" s="22"/>
      <c r="D15" s="106"/>
      <c r="E15" s="1"/>
      <c r="F15" s="1"/>
      <c r="G15" s="1"/>
      <c r="H15" s="1"/>
      <c r="I15" s="1"/>
      <c r="J15" s="22"/>
      <c r="K15" s="22"/>
    </row>
    <row r="16" spans="1:11" ht="20.100000000000001" customHeight="1" x14ac:dyDescent="0.25">
      <c r="C16" s="22"/>
      <c r="D16" s="115" t="s">
        <v>223</v>
      </c>
      <c r="E16" s="115" t="s">
        <v>224</v>
      </c>
      <c r="F16" s="115" t="s">
        <v>225</v>
      </c>
      <c r="G16" s="115" t="s">
        <v>226</v>
      </c>
      <c r="H16" s="115" t="s">
        <v>227</v>
      </c>
      <c r="I16" s="1"/>
      <c r="J16" s="22"/>
      <c r="K16" s="22"/>
    </row>
    <row r="17" spans="1:11" ht="20.100000000000001" customHeight="1" x14ac:dyDescent="0.25">
      <c r="A17" s="18" t="s">
        <v>4</v>
      </c>
      <c r="C17" s="22"/>
      <c r="D17" s="1" t="s">
        <v>228</v>
      </c>
      <c r="E17" s="128" t="e">
        <f>'4.5.1.9 Manure applied to soils'!E136</f>
        <v>#N/A</v>
      </c>
      <c r="F17" s="54" t="str">
        <f>'4.5.1.9 Manure applied to soils'!F136</f>
        <v>kg N</v>
      </c>
      <c r="G17" s="1" t="s">
        <v>234</v>
      </c>
      <c r="H17" s="1" t="s">
        <v>229</v>
      </c>
      <c r="I17" s="1"/>
      <c r="J17" s="22"/>
      <c r="K17" s="22"/>
    </row>
    <row r="18" spans="1:11" ht="20.100000000000001" customHeight="1" x14ac:dyDescent="0.25">
      <c r="A18" s="17" t="str">
        <f>HYPERLINK("#'Constants - Swine'!A1", "Constants - Swine")</f>
        <v>Constants - Swine</v>
      </c>
      <c r="C18" s="22"/>
      <c r="D18" s="1" t="s">
        <v>230</v>
      </c>
      <c r="E18" s="128" t="e">
        <f>'4.5.1.9 Manure applied to soils'!E235</f>
        <v>#N/A</v>
      </c>
      <c r="F18" s="54" t="str">
        <f>'4.5.1.9 Manure applied to soils'!F235</f>
        <v>kg N</v>
      </c>
      <c r="G18" s="1" t="s">
        <v>234</v>
      </c>
      <c r="H18" s="1" t="s">
        <v>229</v>
      </c>
      <c r="I18" s="22"/>
      <c r="J18" s="22"/>
      <c r="K18" s="22"/>
    </row>
    <row r="19" spans="1:11" ht="20.100000000000001" customHeight="1" x14ac:dyDescent="0.25">
      <c r="A19" s="17" t="str">
        <f>HYPERLINK("#'Constants - Livestock'!A1", "Constants - Livestock")</f>
        <v>Constants - Livestock</v>
      </c>
      <c r="C19" s="22"/>
      <c r="D19" s="1" t="s">
        <v>231</v>
      </c>
      <c r="E19" s="128" t="e">
        <f>'4.5.1.9 Manure applied to soils'!E178</f>
        <v>#N/A</v>
      </c>
      <c r="F19" s="54" t="str">
        <f>'4.5.1.9 Manure applied to soils'!F178</f>
        <v>kg N</v>
      </c>
      <c r="G19" s="1" t="s">
        <v>232</v>
      </c>
      <c r="H19" s="1" t="s">
        <v>233</v>
      </c>
      <c r="I19" s="22"/>
      <c r="J19" s="22"/>
      <c r="K19" s="22"/>
    </row>
    <row r="20" spans="1:11" ht="20.100000000000001" customHeight="1" x14ac:dyDescent="0.3">
      <c r="A20" s="17" t="str">
        <f>HYPERLINK("#'Constants - Common'!A1", "Constants - Common")</f>
        <v>Constants - Common</v>
      </c>
      <c r="C20" s="22"/>
      <c r="D20" s="1"/>
      <c r="E20" s="1"/>
      <c r="F20" s="1"/>
      <c r="G20" s="1"/>
      <c r="H20" s="27"/>
      <c r="I20" s="22"/>
      <c r="J20" s="22"/>
      <c r="K20" s="22"/>
    </row>
    <row r="21" spans="1:11" ht="20.100000000000001" customHeight="1" x14ac:dyDescent="0.3">
      <c r="A21" s="17" t="str">
        <f>HYPERLINK("#'Acknowledgements'!A1", "Acknowledgements")</f>
        <v>Acknowledgements</v>
      </c>
      <c r="C21" s="22"/>
      <c r="D21" s="1"/>
      <c r="E21" s="1"/>
      <c r="F21" s="1"/>
      <c r="G21" s="1"/>
      <c r="H21" s="27"/>
      <c r="I21" s="22"/>
      <c r="J21" s="22"/>
      <c r="K21" s="22"/>
    </row>
    <row r="22" spans="1:11" ht="20.100000000000001" customHeight="1" x14ac:dyDescent="0.3">
      <c r="C22" s="22"/>
      <c r="D22" s="1"/>
      <c r="E22" s="1"/>
      <c r="F22" s="1"/>
      <c r="G22" s="1"/>
      <c r="H22" s="27"/>
      <c r="I22" s="22"/>
      <c r="J22" s="22"/>
      <c r="K22" s="22"/>
    </row>
    <row r="23" spans="1:11" ht="20.100000000000001" customHeight="1" x14ac:dyDescent="0.3">
      <c r="A23" s="17"/>
      <c r="C23" s="22"/>
      <c r="D23" s="1"/>
      <c r="E23" s="1"/>
      <c r="F23" s="1"/>
      <c r="G23" s="1"/>
      <c r="H23" s="27"/>
      <c r="I23" s="22"/>
      <c r="J23" s="22"/>
      <c r="K23" s="22"/>
    </row>
    <row r="24" spans="1:11" ht="20.100000000000001" customHeight="1" x14ac:dyDescent="0.3">
      <c r="A24" s="17"/>
      <c r="C24" s="22"/>
      <c r="D24" s="1"/>
      <c r="E24" s="1"/>
      <c r="F24" s="1"/>
      <c r="G24" s="1"/>
      <c r="H24" s="27"/>
      <c r="I24" s="22"/>
      <c r="J24" s="22"/>
      <c r="K24" s="22"/>
    </row>
    <row r="25" spans="1:11" ht="20.100000000000001" customHeight="1" x14ac:dyDescent="0.3">
      <c r="C25" s="22"/>
      <c r="D25" s="1"/>
      <c r="E25" s="1"/>
      <c r="F25" s="1"/>
      <c r="G25" s="1"/>
      <c r="H25" s="27"/>
      <c r="I25" s="22"/>
      <c r="J25" s="22"/>
      <c r="K25" s="22"/>
    </row>
    <row r="26" spans="1:11" ht="20.100000000000001" customHeight="1" x14ac:dyDescent="0.3">
      <c r="C26" s="22"/>
      <c r="D26" s="1"/>
      <c r="E26" s="1"/>
      <c r="F26" s="1"/>
      <c r="G26" s="1"/>
      <c r="H26" s="27"/>
      <c r="I26" s="22"/>
      <c r="J26" s="22"/>
      <c r="K26" s="22"/>
    </row>
    <row r="27" spans="1:11" ht="20.100000000000001" customHeight="1" x14ac:dyDescent="0.25">
      <c r="C27" s="22"/>
      <c r="D27" s="1"/>
      <c r="E27" s="1"/>
      <c r="F27" s="1"/>
      <c r="G27" s="1"/>
      <c r="H27" s="1"/>
      <c r="I27" s="1"/>
      <c r="J27" s="22"/>
      <c r="K27" s="22"/>
    </row>
    <row r="28" spans="1:11" ht="20.100000000000001" customHeight="1" x14ac:dyDescent="0.25">
      <c r="C28" s="22"/>
      <c r="D28" s="1"/>
      <c r="E28" s="1"/>
      <c r="F28" s="1"/>
      <c r="G28" s="1"/>
      <c r="H28" s="1"/>
      <c r="I28" s="1"/>
      <c r="J28" s="22"/>
      <c r="K28" s="22"/>
    </row>
    <row r="29" spans="1:11" ht="20.100000000000001" customHeight="1" x14ac:dyDescent="0.25">
      <c r="C29" s="22"/>
      <c r="D29" s="1"/>
      <c r="E29" s="1"/>
      <c r="F29" s="1"/>
      <c r="G29" s="1"/>
      <c r="H29" s="1"/>
      <c r="I29" s="1"/>
      <c r="J29" s="22"/>
      <c r="K29" s="22"/>
    </row>
    <row r="30" spans="1:11" ht="20.100000000000001" customHeight="1" x14ac:dyDescent="0.25">
      <c r="C30" s="22"/>
      <c r="D30" s="1"/>
      <c r="E30" s="1"/>
      <c r="F30" s="1"/>
      <c r="G30" s="1"/>
      <c r="H30" s="1"/>
      <c r="I30" s="1"/>
      <c r="J30" s="22"/>
      <c r="K30" s="22"/>
    </row>
    <row r="31" spans="1:11" ht="20.100000000000001" customHeight="1" x14ac:dyDescent="0.25">
      <c r="C31" s="22"/>
      <c r="D31" s="1"/>
      <c r="E31" s="1"/>
      <c r="F31" s="1"/>
      <c r="G31" s="1"/>
      <c r="H31" s="1"/>
      <c r="I31" s="1"/>
      <c r="J31" s="22"/>
      <c r="K31" s="22"/>
    </row>
    <row r="32" spans="1:11" ht="20.100000000000001" customHeight="1" x14ac:dyDescent="0.25">
      <c r="C32" s="22"/>
      <c r="D32" s="1"/>
      <c r="E32" s="1"/>
      <c r="F32" s="1"/>
      <c r="G32" s="1"/>
      <c r="H32" s="1"/>
      <c r="I32" s="1"/>
      <c r="J32" s="22"/>
      <c r="K32" s="22"/>
    </row>
    <row r="33" spans="3:11" ht="20.100000000000001" customHeight="1" x14ac:dyDescent="0.25">
      <c r="C33" s="22"/>
      <c r="D33" s="1"/>
      <c r="E33" s="1"/>
      <c r="F33" s="1"/>
      <c r="G33" s="1"/>
      <c r="H33" s="1"/>
      <c r="I33" s="1"/>
      <c r="J33" s="22"/>
      <c r="K33" s="22"/>
    </row>
    <row r="34" spans="3:11" ht="20.100000000000001" customHeight="1" x14ac:dyDescent="0.25">
      <c r="C34" s="22"/>
      <c r="D34" s="1"/>
      <c r="E34" s="1"/>
      <c r="F34" s="1"/>
      <c r="G34" s="1"/>
      <c r="H34" s="1"/>
      <c r="I34" s="22"/>
      <c r="J34" s="22"/>
      <c r="K34" s="22"/>
    </row>
    <row r="35" spans="3:11" ht="20.100000000000001" customHeight="1" x14ac:dyDescent="0.25">
      <c r="C35" s="22"/>
      <c r="D35" s="1"/>
      <c r="E35" s="1"/>
      <c r="F35" s="1"/>
      <c r="G35" s="1"/>
      <c r="H35" s="1"/>
      <c r="I35" s="22"/>
      <c r="J35" s="22"/>
      <c r="K35" s="22"/>
    </row>
    <row r="36" spans="3:11" ht="20.100000000000001" customHeight="1" x14ac:dyDescent="0.25">
      <c r="C36" s="22"/>
      <c r="D36" s="1"/>
      <c r="E36" s="1"/>
      <c r="F36" s="1"/>
      <c r="G36" s="1"/>
      <c r="H36" s="1"/>
      <c r="I36" s="22"/>
      <c r="J36" s="22"/>
      <c r="K36" s="22"/>
    </row>
    <row r="37" spans="3:11" ht="20.100000000000001" customHeight="1" x14ac:dyDescent="0.25">
      <c r="C37" s="22"/>
      <c r="D37" s="1"/>
      <c r="E37" s="1"/>
      <c r="F37" s="1"/>
      <c r="G37" s="1"/>
      <c r="H37" s="1"/>
      <c r="I37" s="22"/>
      <c r="J37" s="22"/>
      <c r="K37" s="22"/>
    </row>
    <row r="38" spans="3:11" ht="20.100000000000001" customHeight="1" x14ac:dyDescent="0.25">
      <c r="C38" s="22"/>
      <c r="D38" s="1"/>
      <c r="E38" s="1"/>
      <c r="F38" s="1"/>
      <c r="G38" s="1"/>
      <c r="H38" s="1"/>
      <c r="I38" s="111"/>
      <c r="J38" s="111"/>
      <c r="K38" s="22"/>
    </row>
    <row r="39" spans="3:11" ht="20.100000000000001" customHeight="1" x14ac:dyDescent="0.25">
      <c r="C39" s="22"/>
      <c r="D39" s="1"/>
      <c r="E39" s="1"/>
      <c r="F39" s="1"/>
      <c r="G39" s="1"/>
      <c r="H39" s="1"/>
      <c r="I39" s="111"/>
      <c r="J39" s="111"/>
      <c r="K39" s="22"/>
    </row>
    <row r="40" spans="3:11" ht="20.100000000000001" customHeight="1" x14ac:dyDescent="0.25">
      <c r="C40" s="22"/>
      <c r="D40" s="1"/>
      <c r="E40" s="1"/>
      <c r="F40" s="1"/>
      <c r="G40" s="1"/>
      <c r="H40" s="1"/>
      <c r="I40" s="111"/>
      <c r="J40" s="111"/>
      <c r="K40" s="22"/>
    </row>
    <row r="41" spans="3:11" ht="20.100000000000001" customHeight="1" x14ac:dyDescent="0.25">
      <c r="C41" s="22"/>
      <c r="D41" s="1"/>
      <c r="E41" s="1"/>
      <c r="F41" s="1"/>
      <c r="G41" s="1"/>
      <c r="H41" s="1"/>
      <c r="I41" s="111"/>
      <c r="J41" s="111"/>
      <c r="K41" s="22"/>
    </row>
    <row r="42" spans="3:11" ht="20.100000000000001" customHeight="1" x14ac:dyDescent="0.25">
      <c r="C42" s="22"/>
      <c r="D42" s="1"/>
      <c r="E42" s="1"/>
      <c r="F42" s="1"/>
      <c r="G42" s="1"/>
      <c r="H42" s="1"/>
      <c r="I42" s="111"/>
      <c r="J42" s="111"/>
      <c r="K42" s="22"/>
    </row>
    <row r="43" spans="3:11" ht="20.100000000000001" customHeight="1" x14ac:dyDescent="0.25">
      <c r="C43" s="22"/>
      <c r="D43" s="1"/>
      <c r="E43" s="1"/>
      <c r="F43" s="1"/>
      <c r="G43" s="1"/>
      <c r="H43" s="1"/>
      <c r="I43" s="111"/>
      <c r="J43" s="111"/>
      <c r="K43" s="22"/>
    </row>
    <row r="44" spans="3:11" ht="20.100000000000001" customHeight="1" x14ac:dyDescent="0.25">
      <c r="C44" s="22"/>
      <c r="D44" s="1"/>
      <c r="E44" s="1"/>
      <c r="F44" s="1"/>
      <c r="G44" s="1"/>
      <c r="H44" s="1"/>
      <c r="I44" s="111"/>
      <c r="J44" s="111"/>
      <c r="K44" s="22"/>
    </row>
    <row r="45" spans="3:11" ht="20.100000000000001" customHeight="1" x14ac:dyDescent="0.25">
      <c r="C45" s="22"/>
      <c r="D45" s="1"/>
      <c r="E45" s="1"/>
      <c r="F45" s="1"/>
      <c r="G45" s="1"/>
      <c r="H45" s="1"/>
      <c r="I45" s="111"/>
      <c r="J45" s="111"/>
      <c r="K45" s="22"/>
    </row>
    <row r="46" spans="3:11" ht="20.100000000000001" customHeight="1" x14ac:dyDescent="0.25">
      <c r="C46" s="22"/>
      <c r="D46" s="1"/>
      <c r="E46" s="1"/>
      <c r="F46" s="1"/>
      <c r="G46" s="1"/>
      <c r="H46" s="1"/>
      <c r="I46" s="111"/>
      <c r="J46" s="111"/>
      <c r="K46" s="22"/>
    </row>
    <row r="47" spans="3:11" ht="20.100000000000001" customHeight="1" x14ac:dyDescent="0.25">
      <c r="C47" s="22"/>
      <c r="D47" s="1"/>
      <c r="E47" s="1"/>
      <c r="F47" s="1"/>
      <c r="G47" s="1"/>
      <c r="H47" s="1"/>
      <c r="I47" s="111"/>
      <c r="J47" s="111"/>
      <c r="K47" s="22"/>
    </row>
    <row r="48" spans="3:11" ht="20.100000000000001" customHeight="1" x14ac:dyDescent="0.25">
      <c r="C48" s="22"/>
      <c r="D48" s="1"/>
      <c r="E48" s="1"/>
      <c r="F48" s="1"/>
      <c r="G48" s="1"/>
      <c r="H48" s="1"/>
      <c r="I48" s="111"/>
      <c r="J48" s="111"/>
      <c r="K48" s="22"/>
    </row>
    <row r="49" spans="3:11" ht="20.100000000000001" customHeight="1" x14ac:dyDescent="0.25">
      <c r="C49" s="22"/>
      <c r="D49" s="1"/>
      <c r="E49" s="1"/>
      <c r="F49" s="1"/>
      <c r="G49" s="1"/>
      <c r="H49" s="111"/>
      <c r="I49" s="111"/>
      <c r="J49" s="111"/>
      <c r="K49" s="22"/>
    </row>
    <row r="50" spans="3:11" ht="20.100000000000001" customHeight="1" x14ac:dyDescent="0.25">
      <c r="C50" s="22"/>
      <c r="D50" s="1"/>
      <c r="E50" s="1"/>
      <c r="F50" s="1"/>
      <c r="G50" s="1"/>
      <c r="H50" s="111"/>
      <c r="I50" s="111"/>
      <c r="J50" s="111"/>
      <c r="K50" s="22"/>
    </row>
    <row r="51" spans="3:11" ht="20.100000000000001" customHeight="1" x14ac:dyDescent="0.25">
      <c r="C51" s="22"/>
      <c r="D51" s="1"/>
      <c r="E51" s="1"/>
      <c r="F51" s="1"/>
      <c r="G51" s="1"/>
      <c r="H51" s="111"/>
      <c r="I51" s="111"/>
      <c r="J51" s="111"/>
      <c r="K51" s="22"/>
    </row>
    <row r="52" spans="3:11" ht="20.100000000000001" customHeight="1" x14ac:dyDescent="0.25">
      <c r="C52" s="22"/>
      <c r="D52" s="1"/>
      <c r="E52" s="1"/>
      <c r="F52" s="1"/>
      <c r="G52" s="1"/>
      <c r="H52" s="111"/>
      <c r="I52" s="111"/>
      <c r="J52" s="111"/>
      <c r="K52" s="22"/>
    </row>
    <row r="53" spans="3:11" ht="20.100000000000001" customHeight="1" x14ac:dyDescent="0.25">
      <c r="C53" s="22"/>
      <c r="D53" s="1"/>
      <c r="E53" s="1"/>
      <c r="F53" s="1"/>
      <c r="G53" s="1"/>
      <c r="H53" s="111"/>
      <c r="I53" s="111"/>
      <c r="J53" s="111"/>
      <c r="K53" s="22"/>
    </row>
    <row r="54" spans="3:11" ht="20.100000000000001" customHeight="1" x14ac:dyDescent="0.25">
      <c r="C54" s="22"/>
      <c r="D54" s="1"/>
      <c r="E54" s="1"/>
      <c r="F54" s="1"/>
      <c r="G54" s="1"/>
      <c r="H54" s="22"/>
      <c r="I54" s="22"/>
      <c r="J54" s="22"/>
      <c r="K54" s="22"/>
    </row>
    <row r="55" spans="3:11" ht="20.100000000000001" customHeight="1" x14ac:dyDescent="0.25">
      <c r="C55" s="22"/>
      <c r="D55" s="1"/>
      <c r="E55" s="1"/>
      <c r="F55" s="1"/>
      <c r="G55" s="1"/>
      <c r="H55" s="22"/>
      <c r="I55" s="22"/>
      <c r="J55" s="22"/>
      <c r="K55" s="22"/>
    </row>
    <row r="56" spans="3:11" ht="20.100000000000001" customHeight="1" x14ac:dyDescent="0.25">
      <c r="C56" s="22"/>
      <c r="D56" s="1"/>
      <c r="E56" s="1"/>
      <c r="F56" s="1"/>
      <c r="G56" s="1"/>
      <c r="H56" s="22"/>
      <c r="I56" s="22"/>
      <c r="J56" s="22"/>
      <c r="K56" s="22"/>
    </row>
    <row r="57" spans="3:11" ht="20.100000000000001" customHeight="1" x14ac:dyDescent="0.25">
      <c r="C57" s="22"/>
      <c r="D57" s="1"/>
      <c r="E57" s="1"/>
      <c r="F57" s="1"/>
      <c r="G57" s="1"/>
      <c r="H57" s="22"/>
      <c r="I57" s="22"/>
      <c r="J57" s="22"/>
      <c r="K57" s="22"/>
    </row>
    <row r="58" spans="3:11" ht="20.100000000000001" customHeight="1" x14ac:dyDescent="0.25">
      <c r="C58" s="22"/>
      <c r="D58" s="1"/>
      <c r="E58" s="30"/>
      <c r="F58" s="28"/>
      <c r="G58" s="22"/>
      <c r="H58" s="22"/>
      <c r="I58" s="22"/>
      <c r="J58" s="22"/>
      <c r="K58" s="22"/>
    </row>
    <row r="59" spans="3:11" ht="20.100000000000001" customHeight="1" x14ac:dyDescent="0.25">
      <c r="C59" s="22"/>
      <c r="D59" s="1"/>
      <c r="E59" s="1"/>
      <c r="F59" s="1"/>
      <c r="G59" s="1"/>
      <c r="H59" s="1"/>
      <c r="I59" s="1"/>
      <c r="J59" s="1"/>
      <c r="K59" s="22"/>
    </row>
    <row r="60" spans="3:11" ht="20.100000000000001" customHeight="1" x14ac:dyDescent="0.25">
      <c r="C60" s="22"/>
      <c r="D60" s="1"/>
      <c r="E60" s="1"/>
      <c r="F60" s="1"/>
      <c r="G60" s="1"/>
      <c r="H60" s="1"/>
      <c r="I60" s="1"/>
      <c r="J60" s="1"/>
      <c r="K60" s="22"/>
    </row>
    <row r="61" spans="3:11" ht="20.100000000000001" customHeight="1" x14ac:dyDescent="0.25">
      <c r="C61" s="22"/>
      <c r="D61" s="1"/>
      <c r="E61" s="1"/>
      <c r="F61" s="1"/>
      <c r="G61" s="1"/>
      <c r="H61" s="1"/>
      <c r="I61" s="1"/>
      <c r="J61" s="1"/>
      <c r="K61" s="22"/>
    </row>
    <row r="62" spans="3:11" ht="20.100000000000001" customHeight="1" x14ac:dyDescent="0.25">
      <c r="C62" s="22"/>
      <c r="D62" s="1"/>
      <c r="E62" s="1"/>
      <c r="F62" s="1"/>
      <c r="G62" s="1"/>
      <c r="H62" s="1"/>
      <c r="I62" s="1"/>
      <c r="J62" s="1"/>
      <c r="K62" s="22"/>
    </row>
    <row r="63" spans="3:11" ht="20.100000000000001" customHeight="1" x14ac:dyDescent="0.25">
      <c r="C63" s="22"/>
      <c r="D63" s="1"/>
      <c r="E63" s="1"/>
      <c r="F63" s="1"/>
      <c r="G63" s="1"/>
      <c r="H63" s="1"/>
      <c r="I63" s="1"/>
      <c r="J63" s="1"/>
      <c r="K63" s="22"/>
    </row>
    <row r="64" spans="3:11" ht="20.100000000000001" customHeight="1" x14ac:dyDescent="0.25">
      <c r="C64" s="22"/>
      <c r="D64" s="1"/>
      <c r="E64" s="1"/>
      <c r="F64" s="1"/>
      <c r="G64" s="1"/>
      <c r="H64" s="1"/>
      <c r="I64" s="1"/>
      <c r="J64" s="1"/>
      <c r="K64" s="22"/>
    </row>
    <row r="65" spans="3:11" ht="20.100000000000001" customHeight="1" x14ac:dyDescent="0.25">
      <c r="C65" s="22"/>
      <c r="D65" s="1"/>
      <c r="E65" s="1"/>
      <c r="F65" s="1"/>
      <c r="G65" s="1"/>
      <c r="H65" s="1"/>
      <c r="I65" s="1"/>
      <c r="J65" s="1"/>
      <c r="K65" s="22"/>
    </row>
    <row r="66" spans="3:11" ht="20.100000000000001" customHeight="1" x14ac:dyDescent="0.25">
      <c r="C66" s="22"/>
      <c r="D66" s="1"/>
      <c r="E66" s="1"/>
      <c r="F66" s="1"/>
      <c r="G66" s="1"/>
      <c r="H66" s="1"/>
      <c r="I66" s="1"/>
      <c r="J66" s="1"/>
      <c r="K66" s="22"/>
    </row>
    <row r="67" spans="3:11" ht="20.100000000000001" customHeight="1" x14ac:dyDescent="0.25">
      <c r="C67" s="22"/>
      <c r="D67" s="1"/>
      <c r="E67" s="1"/>
      <c r="F67" s="1"/>
      <c r="G67" s="1"/>
      <c r="H67" s="1"/>
      <c r="I67" s="1"/>
      <c r="J67" s="1"/>
      <c r="K67" s="22"/>
    </row>
    <row r="68" spans="3:11" ht="20.100000000000001" customHeight="1" x14ac:dyDescent="0.25">
      <c r="C68" s="22"/>
      <c r="D68" s="1"/>
      <c r="E68" s="1"/>
      <c r="F68" s="1"/>
      <c r="G68" s="1"/>
      <c r="H68" s="1"/>
      <c r="I68" s="1"/>
      <c r="J68" s="1"/>
      <c r="K68" s="22"/>
    </row>
    <row r="69" spans="3:11" ht="20.100000000000001" customHeight="1" x14ac:dyDescent="0.25">
      <c r="C69" s="22"/>
      <c r="D69" s="1"/>
      <c r="E69" s="1"/>
      <c r="F69" s="1"/>
      <c r="G69" s="1"/>
      <c r="H69" s="1"/>
      <c r="I69" s="1"/>
      <c r="J69" s="1"/>
      <c r="K69" s="22"/>
    </row>
    <row r="70" spans="3:11" ht="20.100000000000001" customHeight="1" x14ac:dyDescent="0.25">
      <c r="C70" s="22"/>
      <c r="D70" s="1"/>
      <c r="E70" s="1"/>
      <c r="F70" s="1"/>
      <c r="G70" s="1"/>
      <c r="H70" s="1"/>
      <c r="I70" s="1"/>
      <c r="J70" s="1"/>
      <c r="K70" s="22"/>
    </row>
    <row r="71" spans="3:11" ht="20.100000000000001" customHeight="1" x14ac:dyDescent="0.25">
      <c r="C71" s="22"/>
      <c r="D71" s="1"/>
      <c r="E71" s="1"/>
      <c r="F71" s="1"/>
      <c r="G71" s="1"/>
      <c r="H71" s="1"/>
      <c r="I71" s="1"/>
      <c r="J71" s="1"/>
      <c r="K71" s="22"/>
    </row>
    <row r="72" spans="3:11" ht="20.100000000000001" customHeight="1" x14ac:dyDescent="0.25">
      <c r="C72" s="22"/>
      <c r="D72" s="1"/>
      <c r="E72" s="1"/>
      <c r="F72" s="1"/>
      <c r="G72" s="1"/>
      <c r="H72" s="1"/>
      <c r="I72" s="1"/>
      <c r="J72" s="1"/>
      <c r="K72" s="22"/>
    </row>
    <row r="73" spans="3:11" ht="20.100000000000001" customHeight="1" x14ac:dyDescent="0.25">
      <c r="C73" s="22"/>
      <c r="D73" s="1"/>
      <c r="E73" s="1"/>
      <c r="F73" s="1"/>
      <c r="G73" s="1"/>
      <c r="H73" s="1"/>
      <c r="I73" s="1"/>
      <c r="J73" s="1"/>
      <c r="K73" s="22"/>
    </row>
    <row r="74" spans="3:11" ht="20.100000000000001" customHeight="1" x14ac:dyDescent="0.25">
      <c r="C74" s="22"/>
      <c r="D74" s="1"/>
      <c r="E74" s="1"/>
      <c r="F74" s="1"/>
      <c r="G74" s="1"/>
      <c r="H74" s="1"/>
      <c r="I74" s="1"/>
      <c r="J74" s="1"/>
      <c r="K74" s="22"/>
    </row>
    <row r="75" spans="3:11" ht="20.100000000000001" customHeight="1" x14ac:dyDescent="0.25">
      <c r="C75" s="22"/>
      <c r="D75" s="1"/>
      <c r="E75" s="1"/>
      <c r="F75" s="1"/>
      <c r="G75" s="1"/>
      <c r="H75" s="1"/>
      <c r="I75" s="1"/>
      <c r="J75" s="1"/>
      <c r="K75" s="22"/>
    </row>
    <row r="76" spans="3:11" ht="15.75" x14ac:dyDescent="0.25">
      <c r="C76" s="22"/>
      <c r="D76" s="1"/>
      <c r="E76" s="1"/>
      <c r="F76" s="1"/>
      <c r="G76" s="1"/>
      <c r="H76" s="1"/>
      <c r="I76" s="1"/>
      <c r="J76" s="1"/>
      <c r="K76" s="22"/>
    </row>
    <row r="77" spans="3:11" ht="15.75" x14ac:dyDescent="0.25">
      <c r="C77" s="22"/>
      <c r="D77" s="1"/>
      <c r="E77" s="1"/>
      <c r="F77" s="1"/>
      <c r="G77" s="1"/>
      <c r="H77" s="1"/>
      <c r="I77" s="1"/>
      <c r="J77" s="1"/>
      <c r="K77" s="22"/>
    </row>
    <row r="78" spans="3:11" ht="15.75" x14ac:dyDescent="0.25">
      <c r="C78" s="22"/>
      <c r="D78" s="1"/>
      <c r="E78" s="1"/>
      <c r="F78" s="1"/>
      <c r="G78" s="1"/>
      <c r="H78" s="1"/>
      <c r="I78" s="1"/>
      <c r="J78" s="1"/>
      <c r="K78" s="22"/>
    </row>
    <row r="79" spans="3:11" ht="15.75" x14ac:dyDescent="0.25">
      <c r="C79" s="22"/>
      <c r="D79" s="1"/>
      <c r="E79" s="1"/>
      <c r="F79" s="1"/>
      <c r="G79" s="1"/>
      <c r="H79" s="1"/>
      <c r="I79" s="1"/>
      <c r="J79" s="1"/>
      <c r="K79" s="22"/>
    </row>
    <row r="80" spans="3:11" ht="15.75" x14ac:dyDescent="0.25">
      <c r="C80" s="22"/>
      <c r="D80" s="1"/>
      <c r="E80" s="1"/>
      <c r="F80" s="1"/>
      <c r="G80" s="1"/>
      <c r="H80" s="1"/>
      <c r="I80" s="1"/>
      <c r="J80" s="1"/>
      <c r="K80" s="22"/>
    </row>
    <row r="81" spans="3:11" ht="15.75" x14ac:dyDescent="0.25">
      <c r="C81" s="22"/>
      <c r="D81" s="1"/>
      <c r="E81" s="1"/>
      <c r="F81" s="1"/>
      <c r="G81" s="1"/>
      <c r="H81" s="1"/>
      <c r="I81" s="1"/>
      <c r="J81" s="1"/>
      <c r="K81" s="22"/>
    </row>
    <row r="82" spans="3:11" ht="15.75" x14ac:dyDescent="0.25">
      <c r="C82" s="22"/>
      <c r="D82" s="1"/>
      <c r="E82" s="1"/>
      <c r="F82" s="1"/>
      <c r="G82" s="1"/>
      <c r="H82" s="1"/>
      <c r="I82" s="1"/>
      <c r="J82" s="1"/>
      <c r="K82" s="22"/>
    </row>
    <row r="83" spans="3:11" ht="15.75" x14ac:dyDescent="0.25">
      <c r="C83" s="22"/>
      <c r="D83" s="1"/>
      <c r="E83" s="1"/>
      <c r="F83" s="1"/>
      <c r="G83" s="1"/>
      <c r="H83" s="1"/>
      <c r="I83" s="1"/>
      <c r="J83" s="1"/>
      <c r="K83" s="22"/>
    </row>
    <row r="84" spans="3:11" ht="15.75" x14ac:dyDescent="0.25">
      <c r="C84" s="22"/>
      <c r="D84" s="1"/>
      <c r="E84" s="1"/>
      <c r="F84" s="1"/>
      <c r="G84" s="1"/>
      <c r="H84" s="1"/>
      <c r="I84" s="1"/>
      <c r="J84" s="1"/>
      <c r="K84" s="22"/>
    </row>
    <row r="85" spans="3:11" ht="15.75" x14ac:dyDescent="0.25">
      <c r="C85" s="22"/>
      <c r="D85" s="1"/>
      <c r="E85" s="1"/>
      <c r="F85" s="1"/>
      <c r="G85" s="1"/>
      <c r="H85" s="1"/>
      <c r="I85" s="1"/>
      <c r="J85" s="1"/>
      <c r="K85" s="22"/>
    </row>
    <row r="86" spans="3:11" x14ac:dyDescent="0.25">
      <c r="C86" s="22"/>
      <c r="D86" s="22"/>
      <c r="E86" s="22"/>
      <c r="F86" s="22"/>
      <c r="G86" s="22"/>
      <c r="H86" s="22"/>
      <c r="I86" s="22"/>
      <c r="J86" s="22"/>
      <c r="K86" s="22"/>
    </row>
    <row r="87" spans="3:11" x14ac:dyDescent="0.25">
      <c r="C87" s="22"/>
      <c r="D87" s="22"/>
      <c r="E87" s="22"/>
      <c r="F87" s="22"/>
      <c r="G87" s="22"/>
      <c r="H87" s="22"/>
      <c r="I87" s="22"/>
      <c r="J87" s="22"/>
      <c r="K87" s="2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447-7172-48EB-B2CF-AFAC4A9AE8CE}">
  <sheetPr>
    <pageSetUpPr autoPageBreaks="0"/>
  </sheetPr>
  <dimension ref="A1:AA115"/>
  <sheetViews>
    <sheetView showGridLines="0" zoomScaleNormal="100" workbookViewId="0">
      <selection activeCell="A4" sqref="A4"/>
    </sheetView>
  </sheetViews>
  <sheetFormatPr defaultColWidth="9.140625" defaultRowHeight="15.75" x14ac:dyDescent="0.25"/>
  <cols>
    <col min="1" max="1" width="30.7109375" style="16" customWidth="1"/>
    <col min="2" max="2" width="4.7109375" style="7" customWidth="1"/>
    <col min="3" max="3" width="4.7109375" style="3" customWidth="1"/>
    <col min="4" max="4" width="60.7109375" style="3" customWidth="1"/>
    <col min="5" max="5" width="50.7109375" style="3" customWidth="1"/>
    <col min="6" max="11" width="28.7109375" style="3" customWidth="1"/>
    <col min="12" max="25" width="28.7109375" style="7" customWidth="1"/>
    <col min="26" max="27" width="9.140625" style="7"/>
    <col min="28" max="16384" width="9.140625" style="3"/>
  </cols>
  <sheetData>
    <row r="1" spans="1:24" s="7" customFormat="1" ht="30" customHeight="1" x14ac:dyDescent="0.35">
      <c r="A1" s="68" t="e" vm="1">
        <v>#VALUE!</v>
      </c>
      <c r="C1" s="12" t="s">
        <v>91</v>
      </c>
    </row>
    <row r="2" spans="1:24" s="7" customFormat="1" ht="20.100000000000001" customHeight="1" x14ac:dyDescent="0.25">
      <c r="A2" s="9"/>
      <c r="C2" s="9"/>
      <c r="D2" s="9"/>
      <c r="E2" s="9"/>
      <c r="F2" s="9"/>
      <c r="G2" s="9"/>
      <c r="H2" s="9"/>
      <c r="I2" s="9"/>
      <c r="J2" s="9"/>
    </row>
    <row r="3" spans="1:24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20.100000000000001" customHeight="1" x14ac:dyDescent="0.25">
      <c r="A4" s="17" t="str">
        <f>HYPERLINK("#'Results'!A1", "Results")</f>
        <v>Results</v>
      </c>
      <c r="C4" s="69"/>
      <c r="D4" s="69"/>
      <c r="E4" s="69"/>
      <c r="F4" s="69"/>
      <c r="G4" s="69"/>
      <c r="H4" s="69"/>
      <c r="I4" s="69"/>
      <c r="J4" s="69"/>
      <c r="K4" s="69"/>
    </row>
    <row r="5" spans="1:24" ht="20.100000000000001" customHeight="1" x14ac:dyDescent="0.25">
      <c r="D5" s="6" t="s">
        <v>15</v>
      </c>
      <c r="N5" s="40"/>
    </row>
    <row r="6" spans="1:24" ht="20.100000000000001" customHeight="1" x14ac:dyDescent="0.25">
      <c r="A6" s="20" t="s">
        <v>3</v>
      </c>
      <c r="D6" s="14"/>
      <c r="N6" s="41"/>
    </row>
    <row r="7" spans="1:24" ht="20.100000000000001" customHeight="1" x14ac:dyDescent="0.25">
      <c r="A7" s="137" t="str">
        <f>HYPERLINK("#'Input - Site'!A1", "Site")</f>
        <v>Site</v>
      </c>
      <c r="D7" s="1" t="s">
        <v>7</v>
      </c>
      <c r="E7" s="33" t="s">
        <v>6</v>
      </c>
      <c r="F7" s="2"/>
    </row>
    <row r="8" spans="1:24" ht="20.100000000000001" customHeight="1" x14ac:dyDescent="0.25">
      <c r="A8" s="17" t="str">
        <f>HYPERLINK("#'Input - Swine'!A1", "Swine")</f>
        <v>Swine</v>
      </c>
      <c r="D8" s="10" t="s">
        <v>72</v>
      </c>
      <c r="E8" s="33" t="s">
        <v>73</v>
      </c>
    </row>
    <row r="9" spans="1:24" ht="20.100000000000001" customHeight="1" x14ac:dyDescent="0.25">
      <c r="A9" s="17"/>
      <c r="N9" s="42"/>
    </row>
    <row r="10" spans="1:24" ht="20.100000000000001" customHeight="1" x14ac:dyDescent="0.25">
      <c r="A10" s="19" t="s">
        <v>76</v>
      </c>
      <c r="D10" s="94" t="s">
        <v>90</v>
      </c>
      <c r="E10" s="92"/>
      <c r="F10" s="95"/>
      <c r="G10" s="89"/>
      <c r="N10" s="42"/>
    </row>
    <row r="11" spans="1:24" ht="20.100000000000001" customHeight="1" x14ac:dyDescent="0.25">
      <c r="A11" s="17" t="str">
        <f>HYPERLINK("#'4.5.1.1-2 Methane'!A1", "4.5.1.1-2 Methane")</f>
        <v>4.5.1.1-2 Methane</v>
      </c>
      <c r="N11" s="43"/>
    </row>
    <row r="12" spans="1:24" ht="20.100000000000001" customHeight="1" x14ac:dyDescent="0.25">
      <c r="A12" s="17" t="str">
        <f>HYPERLINK("#'4.5.1.3-4 Direct N20'!A1", "4.5.1.3-4 Direct N2O")</f>
        <v>4.5.1.3-4 Direct N2O</v>
      </c>
      <c r="D12" s="10" t="s">
        <v>96</v>
      </c>
      <c r="E12" s="64">
        <v>45292</v>
      </c>
      <c r="F12" s="2" t="s">
        <v>70</v>
      </c>
    </row>
    <row r="13" spans="1:24" ht="20.100000000000001" customHeight="1" x14ac:dyDescent="0.25">
      <c r="A13" s="17" t="str">
        <f>HYPERLINK("#'4.5.1.5-6 Atmos Dep'!A1", "4.5.1.5-6 Soil atm. deposition")</f>
        <v>4.5.1.5-6 Soil atm. deposition</v>
      </c>
      <c r="D13" s="10" t="s">
        <v>97</v>
      </c>
      <c r="E13" s="70">
        <f>DATE(YEAR(E12)+1,MONTH(E12),DAY(E12))-1</f>
        <v>45657</v>
      </c>
      <c r="F13" s="2" t="s">
        <v>17</v>
      </c>
      <c r="N13" s="38"/>
      <c r="O13" s="38"/>
    </row>
    <row r="14" spans="1:24" ht="20.100000000000001" customHeight="1" x14ac:dyDescent="0.25">
      <c r="A14" s="17" t="str">
        <f>HYPERLINK("#'4.5.1.7-8 Leaching and runoff'!A1", "4.5.1.7-8 Leaching &amp; runoff")</f>
        <v>4.5.1.7-8 Leaching &amp; runoff</v>
      </c>
      <c r="N14" s="38"/>
      <c r="O14" s="38"/>
    </row>
    <row r="15" spans="1:24" ht="20.100000000000001" customHeight="1" x14ac:dyDescent="0.25">
      <c r="A15" s="17" t="str">
        <f>HYPERLINK("#'4.5.1.9 Manure applied to soils'!A1", "4.5.1.9 Manure applied to soils")</f>
        <v>4.5.1.9 Manure applied to soils</v>
      </c>
      <c r="N15" s="38"/>
      <c r="O15" s="38"/>
    </row>
    <row r="16" spans="1:24" ht="20.100000000000001" customHeight="1" x14ac:dyDescent="0.25">
      <c r="A16"/>
      <c r="D16" s="6" t="s">
        <v>14</v>
      </c>
      <c r="N16" s="38"/>
      <c r="O16" s="38"/>
    </row>
    <row r="17" spans="1:25" ht="20.100000000000001" customHeight="1" x14ac:dyDescent="0.25">
      <c r="A17" s="18" t="s">
        <v>4</v>
      </c>
    </row>
    <row r="18" spans="1:25" ht="20.100000000000001" customHeight="1" x14ac:dyDescent="0.25">
      <c r="A18" s="17" t="str">
        <f>HYPERLINK("#'Constants - Swine'!A1", "Constants - Swine")</f>
        <v>Constants - Swine</v>
      </c>
      <c r="D18" s="96" t="s">
        <v>16</v>
      </c>
      <c r="E18" s="91"/>
      <c r="F18" s="91"/>
      <c r="G18" s="87"/>
    </row>
    <row r="19" spans="1:25" ht="20.100000000000001" customHeight="1" x14ac:dyDescent="0.25">
      <c r="A19" s="17" t="str">
        <f>HYPERLINK("#'Constants - Livestock'!A1", "Constants - Livestock")</f>
        <v>Constants - Livestock</v>
      </c>
      <c r="D19" s="93" t="s">
        <v>71</v>
      </c>
      <c r="E19" s="90"/>
      <c r="F19" s="90"/>
      <c r="G19" s="88"/>
      <c r="N19" s="40"/>
    </row>
    <row r="20" spans="1:25" ht="20.100000000000001" customHeight="1" x14ac:dyDescent="0.25">
      <c r="A20" s="17" t="str">
        <f>HYPERLINK("#'Constants - Common'!A1", "Constants - Common")</f>
        <v>Constants - Common</v>
      </c>
      <c r="D20" s="1"/>
      <c r="E20" s="31"/>
      <c r="F20" s="2"/>
      <c r="N20" s="41"/>
    </row>
    <row r="21" spans="1:25" ht="20.100000000000001" customHeight="1" x14ac:dyDescent="0.25">
      <c r="A21" s="17" t="str">
        <f>HYPERLINK("#'Acknowledgements'!A1", "Acknowledgements")</f>
        <v>Acknowledgements</v>
      </c>
      <c r="D21" s="1" t="s">
        <v>8</v>
      </c>
      <c r="E21" s="39" t="s">
        <v>127</v>
      </c>
      <c r="F21" s="2" t="s">
        <v>11</v>
      </c>
    </row>
    <row r="22" spans="1:25" ht="20.100000000000001" customHeight="1" x14ac:dyDescent="0.25">
      <c r="A22"/>
      <c r="D22" s="1" t="s">
        <v>25</v>
      </c>
      <c r="E22" s="39" t="s">
        <v>34</v>
      </c>
      <c r="F22" s="2" t="s">
        <v>11</v>
      </c>
      <c r="G22" s="1"/>
    </row>
    <row r="23" spans="1:25" ht="20.100000000000001" customHeight="1" x14ac:dyDescent="0.25">
      <c r="A23" s="17"/>
      <c r="D23" s="1" t="s">
        <v>9</v>
      </c>
      <c r="E23" s="39" t="s">
        <v>95</v>
      </c>
      <c r="F23" s="2" t="s">
        <v>11</v>
      </c>
    </row>
    <row r="24" spans="1:25" ht="20.100000000000001" customHeight="1" x14ac:dyDescent="0.25">
      <c r="A24" s="17"/>
      <c r="D24" s="1" t="s">
        <v>39</v>
      </c>
      <c r="E24" s="33">
        <v>307.7</v>
      </c>
      <c r="F24" s="2" t="s">
        <v>53</v>
      </c>
    </row>
    <row r="25" spans="1:25" ht="20.100000000000001" customHeight="1" x14ac:dyDescent="0.25">
      <c r="A25"/>
      <c r="D25" s="1" t="s">
        <v>61</v>
      </c>
      <c r="E25" s="33">
        <v>18</v>
      </c>
      <c r="F25" s="2" t="s">
        <v>12</v>
      </c>
      <c r="N25" s="41"/>
    </row>
    <row r="26" spans="1:25" ht="20.100000000000001" customHeight="1" x14ac:dyDescent="0.25">
      <c r="A26"/>
      <c r="D26" s="1" t="s">
        <v>62</v>
      </c>
      <c r="E26" s="33">
        <v>601</v>
      </c>
      <c r="F26" s="2" t="s">
        <v>13</v>
      </c>
    </row>
    <row r="27" spans="1:25" ht="20.100000000000001" customHeight="1" x14ac:dyDescent="0.25">
      <c r="A27"/>
      <c r="D27" s="10" t="s">
        <v>63</v>
      </c>
      <c r="E27" s="33">
        <v>1326</v>
      </c>
      <c r="F27" s="2" t="s">
        <v>13</v>
      </c>
    </row>
    <row r="28" spans="1:25" ht="20.100000000000001" customHeight="1" x14ac:dyDescent="0.25">
      <c r="A28"/>
      <c r="D28" s="1" t="s">
        <v>64</v>
      </c>
      <c r="E28" s="33">
        <v>7</v>
      </c>
      <c r="F28" s="2" t="s">
        <v>54</v>
      </c>
    </row>
    <row r="29" spans="1:25" ht="20.100000000000001" customHeight="1" x14ac:dyDescent="0.25">
      <c r="A29"/>
      <c r="D29" s="10" t="s">
        <v>60</v>
      </c>
      <c r="E29" s="52">
        <f>E26/E27</f>
        <v>0.45324283559577677</v>
      </c>
      <c r="F29" s="2"/>
    </row>
    <row r="30" spans="1:25" ht="20.100000000000001" customHeight="1" x14ac:dyDescent="0.25">
      <c r="A30"/>
      <c r="D30" s="10" t="s">
        <v>35</v>
      </c>
      <c r="E30" s="52" t="str">
        <f>Common_InputFunctions.Utility_LookupItemFromMinMax(E26,Table_SourceData_RainfallZones[Min rainfall],Table_SourceData_RainfallZones[Max rainfall],Table_SourceData_RainfallZones[Rainfall Zone])</f>
        <v>High rainfall</v>
      </c>
      <c r="G30" s="32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spans="1:25" ht="20.100000000000001" customHeight="1" x14ac:dyDescent="0.25">
      <c r="A31"/>
      <c r="D31" s="1" t="s">
        <v>10</v>
      </c>
      <c r="E31" s="52" t="str">
        <f>Common_InputFunctions.Utility_GetClimateZone(E25,E26,E28,E24,E29,Table_SourceData_ClimateZones[Min temp],Table_SourceData_ClimateZones[Max temp],Table_SourceData_ClimateZones[Min rainfall],Table_SourceData_ClimateZones[Max rainfall],Table_SourceData_ClimateZones[Min frost days],Table_SourceData_ClimateZones[Max frost days],Table_SourceData_ClimateZones[Min elevation],Table_SourceData_ClimateZones[Max elevation],Table_SourceData_ClimateZones[Min MAP:PET],Table_SourceData_ClimateZones[Max MAP:PET],Table_SourceData_ClimateZones[Climate zone])</f>
        <v>Warm temperate dry</v>
      </c>
      <c r="F31" s="1"/>
      <c r="G31" s="31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</row>
    <row r="32" spans="1:25" ht="20.100000000000001" customHeight="1" x14ac:dyDescent="0.25">
      <c r="A32"/>
      <c r="D32" s="1" t="s">
        <v>92</v>
      </c>
      <c r="E32" s="52" t="str">
        <f>Common_InputFunctions.Utility_LookupValueInTable($E$31,Table_SourceData_WetDryZones[Climate zone],Table_SourceData_WetDryZones[Wet or Dry Zone])</f>
        <v>Dry climate zone</v>
      </c>
      <c r="F32" s="1"/>
      <c r="G32" s="31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</row>
    <row r="33" spans="1:25" ht="20.100000000000001" customHeight="1" x14ac:dyDescent="0.25">
      <c r="A33"/>
      <c r="D33" s="1" t="s">
        <v>52</v>
      </c>
      <c r="E33" s="52" t="str">
        <f>Common_InputFunctions.Utility_LookupItemFromMinMax(E25,Table_SourceData_TemperatureZones[Min MAT],Table_SourceData_TemperatureZones[Max MAT],Table_SourceData_TemperatureZones[Temperature Zone])</f>
        <v>Temperate</v>
      </c>
      <c r="G33" s="71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</row>
    <row r="34" spans="1:25" ht="20.100000000000001" customHeight="1" x14ac:dyDescent="0.25">
      <c r="A34"/>
      <c r="J34" s="61"/>
      <c r="K34" s="74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</row>
    <row r="35" spans="1:25" ht="20.100000000000001" customHeight="1" x14ac:dyDescent="0.25">
      <c r="A35"/>
      <c r="J35" s="61"/>
      <c r="K35" s="74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</row>
    <row r="36" spans="1:25" ht="20.100000000000001" customHeight="1" x14ac:dyDescent="0.25">
      <c r="A36"/>
      <c r="D36" s="72"/>
      <c r="E36" s="72"/>
      <c r="F36" s="73"/>
      <c r="G36" s="61"/>
      <c r="H36" s="61"/>
      <c r="I36" s="62"/>
      <c r="J36" s="61"/>
      <c r="K36" s="74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</row>
    <row r="37" spans="1:25" ht="20.100000000000001" customHeight="1" x14ac:dyDescent="0.25">
      <c r="A37"/>
      <c r="D37" s="72"/>
      <c r="E37" s="72"/>
      <c r="F37" s="73"/>
      <c r="G37" s="61"/>
      <c r="H37" s="61"/>
      <c r="I37" s="62"/>
      <c r="J37" s="61"/>
      <c r="K37" s="74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 spans="1:25" ht="20.100000000000001" customHeight="1" x14ac:dyDescent="0.25">
      <c r="A38"/>
      <c r="D38" s="72"/>
      <c r="E38" s="72"/>
      <c r="F38" s="73"/>
      <c r="G38" s="61"/>
      <c r="H38" s="61"/>
      <c r="I38" s="62"/>
      <c r="J38" s="61"/>
      <c r="K38" s="74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</row>
    <row r="39" spans="1:25" ht="20.100000000000001" customHeight="1" x14ac:dyDescent="0.25">
      <c r="A39"/>
      <c r="D39" s="72"/>
      <c r="E39" s="72"/>
      <c r="F39" s="73"/>
      <c r="G39" s="61"/>
      <c r="H39" s="61"/>
      <c r="I39" s="62"/>
      <c r="J39" s="61"/>
      <c r="K39" s="74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 spans="1:25" ht="20.100000000000001" customHeight="1" x14ac:dyDescent="0.25">
      <c r="A40"/>
      <c r="D40" s="75"/>
      <c r="E40" s="75"/>
      <c r="F40" s="75"/>
      <c r="G40" s="76"/>
      <c r="H40" s="77"/>
      <c r="I40" s="77"/>
      <c r="J40" s="77"/>
      <c r="K40" s="77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</row>
    <row r="41" spans="1:25" ht="20.100000000000001" customHeight="1" x14ac:dyDescent="0.25">
      <c r="A41"/>
    </row>
    <row r="42" spans="1:25" ht="20.100000000000001" customHeight="1" x14ac:dyDescent="0.25">
      <c r="A42"/>
    </row>
    <row r="43" spans="1:25" ht="20.100000000000001" customHeight="1" x14ac:dyDescent="0.25">
      <c r="A43"/>
    </row>
    <row r="44" spans="1:25" ht="20.100000000000001" customHeight="1" x14ac:dyDescent="0.25"/>
    <row r="45" spans="1:25" ht="20.100000000000001" customHeight="1" x14ac:dyDescent="0.25">
      <c r="D45" s="6"/>
    </row>
    <row r="46" spans="1:25" ht="20.100000000000001" customHeight="1" x14ac:dyDescent="0.25">
      <c r="D46" s="6"/>
    </row>
    <row r="47" spans="1:25" ht="20.100000000000001" customHeight="1" x14ac:dyDescent="0.25">
      <c r="D47" s="78"/>
      <c r="E47" s="78"/>
      <c r="F47" s="78"/>
      <c r="G47" s="78"/>
      <c r="H47" s="78"/>
    </row>
    <row r="48" spans="1:25" ht="20.100000000000001" customHeight="1" x14ac:dyDescent="0.25">
      <c r="D48" s="34"/>
      <c r="E48" s="34"/>
      <c r="F48" s="35"/>
      <c r="G48" s="35"/>
      <c r="H48" s="34"/>
    </row>
    <row r="49" spans="4:8" ht="20.100000000000001" customHeight="1" x14ac:dyDescent="0.25">
      <c r="D49" s="34"/>
      <c r="E49" s="34"/>
      <c r="F49" s="35"/>
      <c r="G49" s="35"/>
      <c r="H49" s="34"/>
    </row>
    <row r="50" spans="4:8" ht="20.100000000000001" customHeight="1" x14ac:dyDescent="0.25">
      <c r="D50" s="34"/>
      <c r="E50" s="34"/>
      <c r="F50" s="35"/>
      <c r="G50" s="35"/>
      <c r="H50" s="34"/>
    </row>
    <row r="51" spans="4:8" ht="20.100000000000001" customHeight="1" x14ac:dyDescent="0.25">
      <c r="D51" s="79"/>
      <c r="E51" s="80"/>
      <c r="F51" s="80"/>
      <c r="G51" s="80"/>
      <c r="H51" s="81"/>
    </row>
    <row r="52" spans="4:8" ht="20.100000000000001" customHeight="1" x14ac:dyDescent="0.25"/>
    <row r="53" spans="4:8" ht="20.100000000000001" customHeight="1" x14ac:dyDescent="0.25"/>
    <row r="54" spans="4:8" ht="20.100000000000001" customHeight="1" x14ac:dyDescent="0.25">
      <c r="G54" s="82"/>
    </row>
    <row r="55" spans="4:8" ht="20.100000000000001" customHeight="1" x14ac:dyDescent="0.25">
      <c r="D55" s="6"/>
    </row>
    <row r="56" spans="4:8" ht="20.100000000000001" customHeight="1" x14ac:dyDescent="0.25"/>
    <row r="57" spans="4:8" ht="20.100000000000001" customHeight="1" x14ac:dyDescent="0.25">
      <c r="D57" s="21"/>
      <c r="F57" s="83"/>
    </row>
    <row r="58" spans="4:8" ht="20.100000000000001" customHeight="1" x14ac:dyDescent="0.25">
      <c r="D58" s="1"/>
      <c r="E58" s="84"/>
    </row>
    <row r="59" spans="4:8" ht="20.100000000000001" customHeight="1" x14ac:dyDescent="0.25">
      <c r="D59" s="1"/>
      <c r="E59" s="84"/>
    </row>
    <row r="60" spans="4:8" ht="20.100000000000001" customHeight="1" x14ac:dyDescent="0.25">
      <c r="D60" s="1"/>
      <c r="E60" s="85"/>
    </row>
    <row r="61" spans="4:8" ht="20.100000000000001" customHeight="1" x14ac:dyDescent="0.25">
      <c r="D61" s="1"/>
    </row>
    <row r="62" spans="4:8" ht="20.100000000000001" customHeight="1" x14ac:dyDescent="0.25"/>
    <row r="63" spans="4:8" ht="20.100000000000001" customHeight="1" x14ac:dyDescent="0.25">
      <c r="D63" s="21"/>
    </row>
    <row r="64" spans="4:8" ht="20.100000000000001" customHeight="1" x14ac:dyDescent="0.25">
      <c r="D64" s="1"/>
      <c r="E64" s="84"/>
    </row>
    <row r="65" spans="4:9" ht="20.100000000000001" customHeight="1" x14ac:dyDescent="0.25">
      <c r="D65" s="1"/>
      <c r="E65" s="84"/>
    </row>
    <row r="66" spans="4:9" ht="20.100000000000001" customHeight="1" x14ac:dyDescent="0.25">
      <c r="D66" s="1"/>
      <c r="E66" s="85"/>
    </row>
    <row r="67" spans="4:9" ht="20.100000000000001" customHeight="1" x14ac:dyDescent="0.25"/>
    <row r="68" spans="4:9" ht="20.100000000000001" customHeight="1" x14ac:dyDescent="0.25"/>
    <row r="69" spans="4:9" ht="20.100000000000001" customHeight="1" x14ac:dyDescent="0.25">
      <c r="D69" s="60"/>
      <c r="E69" s="60"/>
      <c r="F69" s="60"/>
      <c r="G69" s="60"/>
      <c r="H69" s="60"/>
      <c r="I69" s="60"/>
    </row>
    <row r="70" spans="4:9" ht="20.100000000000001" customHeight="1" x14ac:dyDescent="0.25">
      <c r="D70" s="60"/>
      <c r="E70" s="60"/>
      <c r="F70" s="60"/>
      <c r="G70" s="60"/>
      <c r="H70" s="60"/>
      <c r="I70" s="60"/>
    </row>
    <row r="71" spans="4:9" ht="20.100000000000001" customHeight="1" x14ac:dyDescent="0.25">
      <c r="D71" s="60"/>
      <c r="E71" s="60"/>
      <c r="F71" s="60"/>
      <c r="G71" s="60"/>
      <c r="H71" s="60"/>
      <c r="I71" s="60"/>
    </row>
    <row r="72" spans="4:9" ht="20.100000000000001" customHeight="1" x14ac:dyDescent="0.25">
      <c r="D72" s="60"/>
      <c r="E72" s="60"/>
      <c r="F72" s="60"/>
      <c r="G72" s="60"/>
      <c r="H72" s="60"/>
      <c r="I72" s="60"/>
    </row>
    <row r="73" spans="4:9" ht="20.100000000000001" customHeight="1" x14ac:dyDescent="0.25"/>
    <row r="74" spans="4:9" ht="20.100000000000001" customHeight="1" x14ac:dyDescent="0.25"/>
    <row r="75" spans="4:9" ht="20.100000000000001" customHeight="1" x14ac:dyDescent="0.25"/>
    <row r="76" spans="4:9" ht="20.100000000000001" customHeight="1" x14ac:dyDescent="0.25"/>
    <row r="77" spans="4:9" ht="20.100000000000001" customHeight="1" x14ac:dyDescent="0.25"/>
    <row r="78" spans="4:9" ht="20.100000000000001" customHeight="1" x14ac:dyDescent="0.25">
      <c r="D78" s="86"/>
    </row>
    <row r="79" spans="4:9" ht="20.100000000000001" customHeight="1" x14ac:dyDescent="0.25">
      <c r="D79" s="86"/>
    </row>
    <row r="80" spans="4:9" ht="20.100000000000001" customHeight="1" x14ac:dyDescent="0.25">
      <c r="D80" s="86"/>
    </row>
    <row r="81" spans="4:4" ht="20.100000000000001" customHeight="1" x14ac:dyDescent="0.25">
      <c r="D81" s="86"/>
    </row>
    <row r="82" spans="4:4" ht="20.100000000000001" customHeight="1" x14ac:dyDescent="0.25">
      <c r="D82" s="86"/>
    </row>
    <row r="83" spans="4:4" ht="20.100000000000001" customHeight="1" x14ac:dyDescent="0.25"/>
    <row r="84" spans="4:4" ht="20.100000000000001" customHeight="1" x14ac:dyDescent="0.25"/>
    <row r="85" spans="4:4" ht="20.100000000000001" customHeight="1" x14ac:dyDescent="0.25"/>
    <row r="86" spans="4:4" ht="20.100000000000001" customHeight="1" x14ac:dyDescent="0.25"/>
    <row r="87" spans="4:4" ht="20.100000000000001" customHeight="1" x14ac:dyDescent="0.25"/>
    <row r="88" spans="4:4" ht="20.100000000000001" customHeight="1" x14ac:dyDescent="0.25"/>
    <row r="89" spans="4:4" ht="20.100000000000001" customHeight="1" x14ac:dyDescent="0.25"/>
    <row r="90" spans="4:4" ht="20.100000000000001" customHeight="1" x14ac:dyDescent="0.25"/>
    <row r="91" spans="4:4" ht="20.100000000000001" customHeight="1" x14ac:dyDescent="0.25"/>
    <row r="92" spans="4:4" ht="20.100000000000001" customHeight="1" x14ac:dyDescent="0.25"/>
    <row r="93" spans="4:4" ht="20.100000000000001" customHeight="1" x14ac:dyDescent="0.25"/>
    <row r="94" spans="4:4" ht="20.100000000000001" customHeight="1" x14ac:dyDescent="0.25"/>
    <row r="95" spans="4:4" ht="20.100000000000001" customHeight="1" x14ac:dyDescent="0.25"/>
    <row r="96" spans="4:4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</sheetData>
  <phoneticPr fontId="23" type="noConversion"/>
  <dataValidations count="4">
    <dataValidation type="list" allowBlank="1" showInputMessage="1" showErrorMessage="1" sqref="E21" xr:uid="{EEB98A76-93AC-411B-869F-680047BF5E1B}">
      <formula1>INDIRECT("Table_AustralianStates[Common Name]")</formula1>
    </dataValidation>
    <dataValidation type="list" allowBlank="1" showInputMessage="1" showErrorMessage="1" sqref="E22" xr:uid="{FEE229DB-9316-4962-B647-60038C54E99D}">
      <formula1>INDIRECT("Table_WASA4Areas[SA 4 Name]")</formula1>
    </dataValidation>
    <dataValidation type="list" allowBlank="1" showInputMessage="1" showErrorMessage="1" sqref="G36:G39" xr:uid="{1FAF98F1-BA66-4A46-872C-02D4419DFE3B}">
      <formula1>$D$41:$D$43</formula1>
    </dataValidation>
    <dataValidation type="list" allowBlank="1" showInputMessage="1" showErrorMessage="1" sqref="E23" xr:uid="{43B32D4A-5C2C-46E9-876B-6F8FA150486E}">
      <formula1>"YES - In leaching zone, NO - Not in leaching zone"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10A2-02A7-4F78-A2BB-B4DFE856D1FB}">
  <dimension ref="A1:V356"/>
  <sheetViews>
    <sheetView showGridLines="0" tabSelected="1" topLeftCell="B1" zoomScale="85" zoomScaleNormal="85" workbookViewId="0">
      <selection activeCell="I25" sqref="I2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4" width="73.28515625" style="1" customWidth="1"/>
    <col min="5" max="8" width="30.7109375" style="1" customWidth="1"/>
    <col min="9" max="9" width="15.28515625" style="1" customWidth="1"/>
    <col min="10" max="11" width="30.7109375" style="1" customWidth="1"/>
    <col min="12" max="12" width="27.140625" style="1" customWidth="1"/>
    <col min="13" max="13" width="4.7109375" style="1" customWidth="1"/>
    <col min="14" max="15" width="4.7109375" style="56" customWidth="1"/>
    <col min="16" max="21" width="30.7109375" style="56" customWidth="1"/>
    <col min="22" max="22" width="4.7109375" style="56" customWidth="1"/>
  </cols>
  <sheetData>
    <row r="1" spans="1:22" s="68" customFormat="1" ht="30" customHeight="1" x14ac:dyDescent="0.35">
      <c r="A1" s="68" t="e" vm="1">
        <v>#VALUE!</v>
      </c>
      <c r="C1" s="68" t="s">
        <v>239</v>
      </c>
      <c r="N1" s="56"/>
      <c r="O1" s="56"/>
      <c r="P1" s="56"/>
      <c r="Q1" s="56"/>
      <c r="R1" s="56"/>
      <c r="S1" s="56"/>
      <c r="T1" s="56"/>
      <c r="U1" s="56"/>
      <c r="V1" s="56"/>
    </row>
    <row r="2" spans="1:22" s="9" customFormat="1" ht="20.100000000000001" customHeight="1" x14ac:dyDescent="0.25">
      <c r="N2" s="56"/>
      <c r="O2" s="56"/>
      <c r="P2" s="56"/>
      <c r="Q2" s="56"/>
      <c r="R2" s="56"/>
      <c r="S2" s="56"/>
      <c r="T2" s="56"/>
      <c r="U2" s="56"/>
      <c r="V2" s="56"/>
    </row>
    <row r="3" spans="1:22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22" ht="20.100000000000001" customHeight="1" x14ac:dyDescent="0.25">
      <c r="A4" s="17" t="str">
        <f>HYPERLINK("#'Results'!A1", "Results")</f>
        <v>Results</v>
      </c>
    </row>
    <row r="5" spans="1:22" ht="20.100000000000001" customHeight="1" x14ac:dyDescent="0.25">
      <c r="A5" s="16"/>
      <c r="D5" s="96" t="s">
        <v>150</v>
      </c>
      <c r="E5" s="91"/>
      <c r="F5" s="91"/>
      <c r="G5" s="91"/>
      <c r="H5" s="87"/>
      <c r="M5" s="3"/>
      <c r="Q5" s="7"/>
    </row>
    <row r="6" spans="1:22" ht="20.100000000000001" customHeight="1" x14ac:dyDescent="0.25">
      <c r="A6" s="20" t="s">
        <v>3</v>
      </c>
      <c r="D6" s="93"/>
      <c r="E6" s="90"/>
      <c r="F6" s="90"/>
      <c r="G6" s="90"/>
      <c r="H6" s="88"/>
      <c r="M6" s="3"/>
      <c r="Q6" s="7"/>
    </row>
    <row r="7" spans="1:22" ht="20.100000000000001" customHeight="1" x14ac:dyDescent="0.25">
      <c r="A7" s="17" t="str">
        <f>HYPERLINK("#'Input - Site'!A1", "Site")</f>
        <v>Site</v>
      </c>
      <c r="M7" s="3"/>
      <c r="Q7" s="7"/>
    </row>
    <row r="8" spans="1:22" ht="20.100000000000001" customHeight="1" x14ac:dyDescent="0.25">
      <c r="A8" s="137" t="str">
        <f>HYPERLINK("#'Input - Swine'!A1", "Swine")</f>
        <v>Swine</v>
      </c>
      <c r="M8" s="3"/>
      <c r="Q8" s="7"/>
    </row>
    <row r="9" spans="1:22" ht="20.100000000000001" customHeight="1" x14ac:dyDescent="0.25">
      <c r="A9" s="17"/>
      <c r="E9" s="117" t="s">
        <v>242</v>
      </c>
      <c r="F9" s="117" t="s">
        <v>243</v>
      </c>
      <c r="G9" s="117" t="s">
        <v>257</v>
      </c>
      <c r="H9" s="117" t="s">
        <v>258</v>
      </c>
      <c r="Q9" s="7"/>
    </row>
    <row r="10" spans="1:22" ht="20.100000000000001" customHeight="1" x14ac:dyDescent="0.25">
      <c r="A10" s="19" t="s">
        <v>76</v>
      </c>
      <c r="D10" s="48" t="str">
        <f>"Average duration of stay between " &amp; TEXT('Input - Site'!$E$12, "dd mmm yy") &amp; " and " &amp; TEXT('Input - Site'!$E$13, "dd mmm yy")</f>
        <v>Average duration of stay between 01 Jan 24 and 31 Dec 24</v>
      </c>
      <c r="E10" s="66">
        <v>365</v>
      </c>
      <c r="F10" s="66">
        <v>365</v>
      </c>
      <c r="G10" s="66">
        <v>365</v>
      </c>
      <c r="H10" s="66">
        <v>365</v>
      </c>
      <c r="I10" s="2" t="s">
        <v>54</v>
      </c>
      <c r="Q10" s="7"/>
    </row>
    <row r="11" spans="1:22" ht="20.100000000000001" customHeight="1" x14ac:dyDescent="0.25">
      <c r="A11" s="17" t="str">
        <f>HYPERLINK("#'4.5.1.1-2 Methane'!A1", "4.5.1.1-2 Methane")</f>
        <v>4.5.1.1-2 Methane</v>
      </c>
      <c r="D11" s="48" t="str">
        <f>"Average number of birds between " &amp; TEXT('Input - Site'!$E$12, "dd mmm yy") &amp; " and " &amp; TEXT('Input - Site'!$E$13, "dd mmm yy")</f>
        <v>Average number of birds between 01 Jan 24 and 31 Dec 24</v>
      </c>
      <c r="E11" s="66">
        <v>100</v>
      </c>
      <c r="F11" s="66">
        <v>100</v>
      </c>
      <c r="G11" s="66">
        <v>100</v>
      </c>
      <c r="H11" s="66">
        <v>100</v>
      </c>
      <c r="I11" s="2" t="s">
        <v>99</v>
      </c>
      <c r="Q11" s="7"/>
    </row>
    <row r="12" spans="1:22" ht="20.100000000000001" customHeight="1" x14ac:dyDescent="0.25">
      <c r="A12" s="17" t="str">
        <f>HYPERLINK("#'4.5.1.3-4 Direct N20'!A1", "4.5.1.3-4 Direct N2O")</f>
        <v>4.5.1.3-4 Direct N2O</v>
      </c>
      <c r="Q12" s="7"/>
    </row>
    <row r="13" spans="1:22" ht="20.100000000000001" customHeight="1" x14ac:dyDescent="0.25">
      <c r="A13" s="17" t="str">
        <f>HYPERLINK("#'4.5.1.5-6 Atmos Dep'!A1", "4.5.1.5-6 Soil atm. deposition")</f>
        <v>4.5.1.5-6 Soil atm. deposition</v>
      </c>
      <c r="D13" s="6" t="s">
        <v>133</v>
      </c>
      <c r="Q13" s="38"/>
    </row>
    <row r="14" spans="1:22" ht="20.100000000000001" customHeight="1" x14ac:dyDescent="0.25">
      <c r="A14" s="17" t="str">
        <f>HYPERLINK("#'4.5.1.7-8 Leaching and runoff'!A1", "4.5.1.7-8 Leaching &amp; runoff")</f>
        <v>4.5.1.7-8 Leaching &amp; runoff</v>
      </c>
      <c r="Q14" s="38"/>
    </row>
    <row r="15" spans="1:22" ht="20.100000000000001" customHeight="1" x14ac:dyDescent="0.25">
      <c r="A15" s="17" t="str">
        <f>HYPERLINK("#'4.5.1.9 Manure applied to soils'!A1", "4.5.1.9 Manure applied to soils")</f>
        <v>4.5.1.9 Manure applied to soils</v>
      </c>
      <c r="D15" s="63" t="s">
        <v>158</v>
      </c>
      <c r="E15" s="117" t="s">
        <v>242</v>
      </c>
      <c r="F15" s="117" t="s">
        <v>243</v>
      </c>
      <c r="G15" s="117" t="s">
        <v>257</v>
      </c>
      <c r="H15" s="117" t="s">
        <v>258</v>
      </c>
      <c r="Q15" s="38"/>
    </row>
    <row r="16" spans="1:22" ht="20.100000000000001" customHeight="1" x14ac:dyDescent="0.25">
      <c r="D16" s="1" t="s">
        <v>260</v>
      </c>
      <c r="E16" s="52">
        <f>'Constants - Poultry'!E9</f>
        <v>8.5999999999999993E-2</v>
      </c>
      <c r="F16" s="52">
        <f>'Constants - Poultry'!F9</f>
        <v>9.2999999999999999E-2</v>
      </c>
      <c r="G16" s="52">
        <f>'Constants - Poultry'!G9</f>
        <v>0.10299999999999999</v>
      </c>
      <c r="H16" s="52">
        <f>'Constants - Poultry'!H9</f>
        <v>9.2999999999999999E-2</v>
      </c>
      <c r="I16" s="2" t="s">
        <v>262</v>
      </c>
      <c r="Q16" s="38"/>
    </row>
    <row r="17" spans="1:17" ht="20.100000000000001" customHeight="1" x14ac:dyDescent="0.25">
      <c r="A17" s="18" t="s">
        <v>4</v>
      </c>
      <c r="D17" s="1" t="s">
        <v>261</v>
      </c>
      <c r="E17" s="52">
        <f>'Constants - Poultry'!E10</f>
        <v>0.8</v>
      </c>
      <c r="F17" s="52">
        <f>'Constants - Poultry'!F10</f>
        <v>0.8</v>
      </c>
      <c r="G17" s="52">
        <f>'Constants - Poultry'!G10</f>
        <v>0.8</v>
      </c>
      <c r="H17" s="52">
        <f>'Constants - Poultry'!H10</f>
        <v>0.8</v>
      </c>
      <c r="I17" s="2" t="s">
        <v>117</v>
      </c>
      <c r="Q17" s="7"/>
    </row>
    <row r="18" spans="1:17" ht="20.100000000000001" customHeight="1" x14ac:dyDescent="0.25">
      <c r="A18" s="17" t="str">
        <f>HYPERLINK("#'Constants - Swine'!A1", "Constants - Swine")</f>
        <v>Constants - Swine</v>
      </c>
      <c r="D18" s="1" t="s">
        <v>293</v>
      </c>
      <c r="E18" s="52">
        <f>'Constants - Poultry'!E11</f>
        <v>0.19</v>
      </c>
      <c r="F18" s="52">
        <f>'Constants - Poultry'!F11</f>
        <v>0.23</v>
      </c>
      <c r="G18" s="52">
        <f>'Constants - Poultry'!G11</f>
        <v>0.19</v>
      </c>
      <c r="H18" s="52">
        <f>'Constants - Poultry'!H11</f>
        <v>0.23</v>
      </c>
      <c r="I18" s="2" t="s">
        <v>117</v>
      </c>
      <c r="J18" s="2"/>
      <c r="Q18" s="7"/>
    </row>
    <row r="19" spans="1:17" ht="20.100000000000001" customHeight="1" x14ac:dyDescent="0.25">
      <c r="A19" s="17" t="str">
        <f>HYPERLINK("#'Constants - Livestock'!A1", "Constants - Livestock")</f>
        <v>Constants - Livestock</v>
      </c>
      <c r="Q19" s="7"/>
    </row>
    <row r="20" spans="1:17" ht="20.100000000000001" customHeight="1" x14ac:dyDescent="0.25">
      <c r="A20" s="17" t="str">
        <f>HYPERLINK("#'Constants - Common'!A1", "Constants - Common")</f>
        <v>Constants - Common</v>
      </c>
      <c r="D20" s="63" t="s">
        <v>159</v>
      </c>
      <c r="E20" s="117" t="s">
        <v>242</v>
      </c>
      <c r="F20" s="117" t="s">
        <v>243</v>
      </c>
      <c r="G20" s="117" t="s">
        <v>257</v>
      </c>
      <c r="H20" s="117" t="s">
        <v>258</v>
      </c>
      <c r="Q20" s="7"/>
    </row>
    <row r="21" spans="1:17" ht="20.100000000000001" customHeight="1" x14ac:dyDescent="0.25">
      <c r="A21" s="17" t="str">
        <f>HYPERLINK("#'Acknowledgements'!A1", "Acknowledgements")</f>
        <v>Acknowledgements</v>
      </c>
      <c r="D21" s="1" t="s">
        <v>260</v>
      </c>
      <c r="E21" s="66">
        <f>'Constants - Poultry'!E9</f>
        <v>8.5999999999999993E-2</v>
      </c>
      <c r="F21" s="66">
        <f>'Constants - Poultry'!F9</f>
        <v>9.2999999999999999E-2</v>
      </c>
      <c r="G21" s="66">
        <f>'Constants - Poultry'!G9</f>
        <v>0.10299999999999999</v>
      </c>
      <c r="H21" s="66">
        <f>'Constants - Poultry'!H9</f>
        <v>9.2999999999999999E-2</v>
      </c>
      <c r="I21" s="2" t="s">
        <v>262</v>
      </c>
      <c r="Q21" s="7"/>
    </row>
    <row r="22" spans="1:17" ht="20.100000000000001" customHeight="1" x14ac:dyDescent="0.25">
      <c r="D22" s="1" t="s">
        <v>261</v>
      </c>
      <c r="E22" s="66">
        <f>'Constants - Poultry'!E10</f>
        <v>0.8</v>
      </c>
      <c r="F22" s="66">
        <f>'Constants - Poultry'!F10</f>
        <v>0.8</v>
      </c>
      <c r="G22" s="66">
        <f>'Constants - Poultry'!G10</f>
        <v>0.8</v>
      </c>
      <c r="H22" s="66">
        <f>'Constants - Poultry'!H10</f>
        <v>0.8</v>
      </c>
      <c r="I22" s="2" t="s">
        <v>117</v>
      </c>
      <c r="Q22" s="7"/>
    </row>
    <row r="23" spans="1:17" ht="20.100000000000001" customHeight="1" x14ac:dyDescent="0.25">
      <c r="A23" s="17"/>
      <c r="D23" s="1" t="s">
        <v>293</v>
      </c>
      <c r="E23" s="66">
        <f>'Constants - Poultry'!E11</f>
        <v>0.19</v>
      </c>
      <c r="F23" s="66">
        <f>'Constants - Poultry'!F11</f>
        <v>0.23</v>
      </c>
      <c r="G23" s="66">
        <f>'Constants - Poultry'!G11</f>
        <v>0.19</v>
      </c>
      <c r="H23" s="66">
        <f>'Constants - Poultry'!H11</f>
        <v>0.23</v>
      </c>
      <c r="I23" s="2" t="s">
        <v>117</v>
      </c>
      <c r="Q23" s="7"/>
    </row>
    <row r="24" spans="1:17" ht="20.100000000000001" customHeight="1" x14ac:dyDescent="0.25">
      <c r="A24" s="17"/>
      <c r="Q24" s="7"/>
    </row>
    <row r="25" spans="1:17" ht="20.100000000000001" customHeight="1" x14ac:dyDescent="0.25">
      <c r="D25" s="6" t="s">
        <v>146</v>
      </c>
      <c r="Q25" s="7"/>
    </row>
    <row r="26" spans="1:17" ht="20.100000000000001" customHeight="1" x14ac:dyDescent="0.25">
      <c r="A26" s="17"/>
      <c r="Q26" s="7"/>
    </row>
    <row r="27" spans="1:17" ht="20.100000000000001" customHeight="1" x14ac:dyDescent="0.25">
      <c r="A27" s="17"/>
      <c r="D27" s="1" t="s">
        <v>111</v>
      </c>
      <c r="E27" s="39" t="s">
        <v>256</v>
      </c>
      <c r="F27" s="2" t="s">
        <v>11</v>
      </c>
      <c r="Q27" s="7"/>
    </row>
    <row r="28" spans="1:17" ht="20.100000000000001" customHeight="1" x14ac:dyDescent="0.25">
      <c r="A28" s="17"/>
      <c r="Q28" s="7"/>
    </row>
    <row r="29" spans="1:17" ht="20.100000000000001" customHeight="1" x14ac:dyDescent="0.25">
      <c r="A29" s="17"/>
      <c r="D29" s="63" t="s">
        <v>147</v>
      </c>
      <c r="E29" s="117" t="s">
        <v>242</v>
      </c>
      <c r="F29" s="117" t="s">
        <v>243</v>
      </c>
      <c r="G29" s="117" t="s">
        <v>257</v>
      </c>
      <c r="H29" s="117" t="s">
        <v>258</v>
      </c>
      <c r="Q29" s="7"/>
    </row>
    <row r="30" spans="1:17" ht="20.100000000000001" customHeight="1" x14ac:dyDescent="0.25">
      <c r="A30" s="17"/>
      <c r="D30" s="123" t="str">
        <f>Table_SourceData_PoultryMMSSTage1[[#This Row],[MMS]]</f>
        <v>Belt manure removal</v>
      </c>
      <c r="E30" s="46">
        <v>0.3</v>
      </c>
      <c r="F30" s="46">
        <v>0.15</v>
      </c>
      <c r="G30" s="46">
        <v>0.15</v>
      </c>
      <c r="H30" s="46">
        <v>0.15</v>
      </c>
      <c r="I30" s="2" t="s">
        <v>18</v>
      </c>
      <c r="Q30" s="7"/>
    </row>
    <row r="31" spans="1:17" ht="20.100000000000001" customHeight="1" x14ac:dyDescent="0.25">
      <c r="A31" s="67"/>
      <c r="D31" s="123" t="str">
        <f>Table_SourceData_PoultryMMSSTage1[[#This Row],[MMS]]</f>
        <v>Manure stored in house</v>
      </c>
      <c r="E31" s="46">
        <v>0.3</v>
      </c>
      <c r="F31" s="46">
        <v>0.15</v>
      </c>
      <c r="G31" s="46">
        <v>0.15</v>
      </c>
      <c r="H31" s="46">
        <v>0.15</v>
      </c>
      <c r="I31" s="2" t="s">
        <v>18</v>
      </c>
      <c r="Q31" s="7"/>
    </row>
    <row r="32" spans="1:17" ht="20.100000000000001" customHeight="1" x14ac:dyDescent="0.25">
      <c r="A32" s="67"/>
      <c r="D32" s="123" t="str">
        <f>Table_SourceData_PoultryMMSSTage1[[#This Row],[MMS]]</f>
        <v>Pasture range and paddock</v>
      </c>
      <c r="E32" s="46">
        <v>0.3</v>
      </c>
      <c r="F32" s="46">
        <v>0.15</v>
      </c>
      <c r="G32" s="46">
        <v>0.15</v>
      </c>
      <c r="H32" s="46">
        <v>0.15</v>
      </c>
      <c r="I32" s="2" t="s">
        <v>18</v>
      </c>
      <c r="Q32" s="7"/>
    </row>
    <row r="33" spans="1:17" ht="20.100000000000001" customHeight="1" x14ac:dyDescent="0.25">
      <c r="A33" s="17"/>
      <c r="D33" s="123" t="str">
        <f>Table_SourceData_PoultryMMSSTage1[[#This Row],[MMS]]</f>
        <v>No MMS</v>
      </c>
      <c r="E33" s="46">
        <v>0.1</v>
      </c>
      <c r="F33" s="46">
        <v>0.1</v>
      </c>
      <c r="G33" s="46">
        <v>0.1</v>
      </c>
      <c r="H33" s="46">
        <v>0.1</v>
      </c>
      <c r="I33" s="2" t="s">
        <v>18</v>
      </c>
      <c r="Q33" s="7"/>
    </row>
    <row r="34" spans="1:17" ht="20.100000000000001" customHeight="1" x14ac:dyDescent="0.25">
      <c r="D34" s="122" t="s">
        <v>148</v>
      </c>
      <c r="E34" s="97">
        <f>SUM(E30,E31,E32,E33)</f>
        <v>0.99999999999999989</v>
      </c>
      <c r="F34" s="97">
        <f>SUM(F30,F31,F32,F33)</f>
        <v>0.54999999999999993</v>
      </c>
      <c r="G34" s="97">
        <f>SUM(G30,G31,G32,G33)</f>
        <v>0.54999999999999993</v>
      </c>
      <c r="H34" s="97">
        <f>SUM(H30,H31,H32,H33)</f>
        <v>0.54999999999999993</v>
      </c>
      <c r="I34" s="2"/>
      <c r="Q34" s="7"/>
    </row>
    <row r="35" spans="1:17" ht="20.100000000000001" customHeight="1" x14ac:dyDescent="0.25">
      <c r="D35" s="129" t="s">
        <v>155</v>
      </c>
      <c r="Q35" s="7"/>
    </row>
    <row r="36" spans="1:17" ht="20.100000000000001" customHeight="1" x14ac:dyDescent="0.25">
      <c r="D36" s="125" t="s">
        <v>149</v>
      </c>
      <c r="E36" s="117" t="s">
        <v>242</v>
      </c>
      <c r="F36" s="117" t="s">
        <v>243</v>
      </c>
      <c r="G36" s="117" t="s">
        <v>257</v>
      </c>
      <c r="H36" s="117" t="s">
        <v>258</v>
      </c>
      <c r="I36" s="130" t="s">
        <v>156</v>
      </c>
      <c r="J36" s="63" t="s">
        <v>151</v>
      </c>
      <c r="K36" s="63"/>
      <c r="L36" s="118"/>
      <c r="Q36" s="7"/>
    </row>
    <row r="37" spans="1:17" ht="20.100000000000001" customHeight="1" x14ac:dyDescent="0.25">
      <c r="D37" s="126" t="str">
        <f>"Stage 2 MMS From " &amp; $D$30</f>
        <v>Stage 2 MMS From Belt manure removal</v>
      </c>
      <c r="E37" s="106" t="str">
        <f>IF(SUM(E30:K30)&gt;0,"Manure was sent to this MMS, please complete this section.","No manure was sent to this MMS. Leave this section blank.")</f>
        <v>Manure was sent to this MMS, please complete this section.</v>
      </c>
      <c r="J37" s="128" t="s">
        <v>152</v>
      </c>
      <c r="K37" s="128" t="s">
        <v>153</v>
      </c>
      <c r="L37" s="128" t="s">
        <v>154</v>
      </c>
      <c r="Q37" s="7"/>
    </row>
    <row r="38" spans="1:17" ht="20.100000000000001" customHeight="1" x14ac:dyDescent="0.25">
      <c r="D38" s="127" t="str">
        <f>'Constants - Poultry'!$J$29</f>
        <v>Solid storage</v>
      </c>
      <c r="E38" s="46">
        <v>0.2</v>
      </c>
      <c r="F38" s="46">
        <v>0.2</v>
      </c>
      <c r="G38" s="46">
        <v>0.2</v>
      </c>
      <c r="H38" s="46">
        <v>0.2</v>
      </c>
      <c r="I38" s="2" t="s">
        <v>18</v>
      </c>
      <c r="J38" s="46">
        <v>0.25</v>
      </c>
      <c r="K38" s="46">
        <v>0.25</v>
      </c>
      <c r="L38" s="97">
        <f t="shared" ref="L38:L41" si="0">1-SUM(J38:K38)</f>
        <v>0.5</v>
      </c>
      <c r="Q38" s="7"/>
    </row>
    <row r="39" spans="1:17" ht="20.100000000000001" customHeight="1" x14ac:dyDescent="0.25">
      <c r="A39" s="17"/>
      <c r="D39" s="127" t="str">
        <f>'Constants - Poultry'!$J$30</f>
        <v>Composting (passive windrow)</v>
      </c>
      <c r="E39" s="46">
        <v>0.2</v>
      </c>
      <c r="F39" s="46">
        <v>0.2</v>
      </c>
      <c r="G39" s="46">
        <v>0.2</v>
      </c>
      <c r="H39" s="46">
        <v>0.2</v>
      </c>
      <c r="I39" s="2" t="s">
        <v>18</v>
      </c>
      <c r="J39" s="46">
        <v>0.25</v>
      </c>
      <c r="K39" s="46">
        <v>0.25</v>
      </c>
      <c r="L39" s="97">
        <f t="shared" si="0"/>
        <v>0.5</v>
      </c>
      <c r="Q39" s="7"/>
    </row>
    <row r="40" spans="1:17" ht="20.100000000000001" customHeight="1" x14ac:dyDescent="0.25">
      <c r="D40" s="127" t="str">
        <f>'Constants - Poultry'!$J$31</f>
        <v>Digester / covered lagoons</v>
      </c>
      <c r="E40" s="46">
        <v>0.2</v>
      </c>
      <c r="F40" s="46">
        <v>0.2</v>
      </c>
      <c r="G40" s="46">
        <v>0.2</v>
      </c>
      <c r="H40" s="46">
        <v>0.2</v>
      </c>
      <c r="I40" s="2" t="s">
        <v>18</v>
      </c>
      <c r="J40" s="46">
        <v>0.25</v>
      </c>
      <c r="K40" s="46">
        <v>0.25</v>
      </c>
      <c r="L40" s="97">
        <f t="shared" si="0"/>
        <v>0.5</v>
      </c>
      <c r="Q40" s="7"/>
    </row>
    <row r="41" spans="1:17" ht="20.100000000000001" customHeight="1" x14ac:dyDescent="0.25">
      <c r="A41" s="44"/>
      <c r="D41" s="127" t="str">
        <f>'Constants - Poultry'!$J$32</f>
        <v>Direct processing</v>
      </c>
      <c r="E41" s="46">
        <v>0.2</v>
      </c>
      <c r="F41" s="46">
        <v>0.2</v>
      </c>
      <c r="G41" s="46">
        <v>0.2</v>
      </c>
      <c r="H41" s="46">
        <v>0.2</v>
      </c>
      <c r="I41" s="2" t="s">
        <v>18</v>
      </c>
      <c r="J41" s="46">
        <v>0.25</v>
      </c>
      <c r="K41" s="46">
        <v>0.25</v>
      </c>
      <c r="L41" s="97">
        <f t="shared" ref="L41" si="1">1-SUM(J41:K41)</f>
        <v>0.5</v>
      </c>
      <c r="Q41" s="7"/>
    </row>
    <row r="42" spans="1:17" ht="20.100000000000001" customHeight="1" x14ac:dyDescent="0.25">
      <c r="D42" s="127" t="s">
        <v>154</v>
      </c>
      <c r="E42" s="97">
        <f>1-SUM(E38:E41)</f>
        <v>0.19999999999999996</v>
      </c>
      <c r="F42" s="97">
        <f t="shared" ref="F42:H42" si="2">1-SUM(F38:F41)</f>
        <v>0.19999999999999996</v>
      </c>
      <c r="G42" s="97">
        <f t="shared" si="2"/>
        <v>0.19999999999999996</v>
      </c>
      <c r="H42" s="97">
        <f t="shared" si="2"/>
        <v>0.19999999999999996</v>
      </c>
      <c r="I42" s="2" t="s">
        <v>18</v>
      </c>
      <c r="Q42" s="7"/>
    </row>
    <row r="43" spans="1:17" ht="20.100000000000001" customHeight="1" x14ac:dyDescent="0.25">
      <c r="D43" s="124"/>
      <c r="F43" s="2"/>
      <c r="Q43" s="7"/>
    </row>
    <row r="44" spans="1:17" ht="20.100000000000001" customHeight="1" x14ac:dyDescent="0.25">
      <c r="D44" s="126" t="str">
        <f>"Stage 2 MMS From " &amp; $D$31</f>
        <v>Stage 2 MMS From Manure stored in house</v>
      </c>
      <c r="E44" s="106" t="str">
        <f>IF(SUM(E31:K31)&gt;0,"Manure was sent to this MMS, please complete this section.","No manure was sent to this MMS. Leave this section blank.")</f>
        <v>Manure was sent to this MMS, please complete this section.</v>
      </c>
      <c r="J44" s="128" t="s">
        <v>152</v>
      </c>
      <c r="K44" s="128" t="s">
        <v>153</v>
      </c>
      <c r="L44" s="128" t="s">
        <v>154</v>
      </c>
      <c r="Q44" s="7"/>
    </row>
    <row r="45" spans="1:17" ht="20.100000000000001" customHeight="1" x14ac:dyDescent="0.25">
      <c r="D45" s="127" t="str">
        <f>'Constants - Poultry'!$J$29</f>
        <v>Solid storage</v>
      </c>
      <c r="E45" s="46">
        <v>0.2</v>
      </c>
      <c r="F45" s="46">
        <v>0.2</v>
      </c>
      <c r="G45" s="46">
        <v>0.2</v>
      </c>
      <c r="H45" s="46">
        <v>0.2</v>
      </c>
      <c r="I45" s="2" t="s">
        <v>18</v>
      </c>
      <c r="J45" s="46">
        <v>0.25</v>
      </c>
      <c r="K45" s="46">
        <v>0.25</v>
      </c>
      <c r="L45" s="97">
        <f>1-SUM(J45:K45)</f>
        <v>0.5</v>
      </c>
      <c r="Q45" s="7"/>
    </row>
    <row r="46" spans="1:17" ht="20.100000000000001" customHeight="1" x14ac:dyDescent="0.25">
      <c r="D46" s="127" t="str">
        <f>'Constants - Poultry'!$J$30</f>
        <v>Composting (passive windrow)</v>
      </c>
      <c r="E46" s="46">
        <v>0.2</v>
      </c>
      <c r="F46" s="46">
        <v>0.2</v>
      </c>
      <c r="G46" s="46">
        <v>0.2</v>
      </c>
      <c r="H46" s="46">
        <v>0.2</v>
      </c>
      <c r="I46" s="2" t="s">
        <v>18</v>
      </c>
      <c r="J46" s="46">
        <v>0.25</v>
      </c>
      <c r="K46" s="46">
        <v>0.25</v>
      </c>
      <c r="L46" s="97">
        <f t="shared" ref="L46:L49" si="3">1-SUM(J46:K46)</f>
        <v>0.5</v>
      </c>
      <c r="Q46" s="7"/>
    </row>
    <row r="47" spans="1:17" ht="20.100000000000001" customHeight="1" x14ac:dyDescent="0.25">
      <c r="D47" s="127" t="str">
        <f>'Constants - Poultry'!$J$31</f>
        <v>Digester / covered lagoons</v>
      </c>
      <c r="E47" s="46">
        <v>0.2</v>
      </c>
      <c r="F47" s="46">
        <v>0.2</v>
      </c>
      <c r="G47" s="46">
        <v>0.2</v>
      </c>
      <c r="H47" s="46">
        <v>0.2</v>
      </c>
      <c r="I47" s="2" t="s">
        <v>18</v>
      </c>
      <c r="J47" s="46">
        <v>0.25</v>
      </c>
      <c r="K47" s="46">
        <v>0.25</v>
      </c>
      <c r="L47" s="97">
        <f t="shared" si="3"/>
        <v>0.5</v>
      </c>
      <c r="Q47" s="7"/>
    </row>
    <row r="48" spans="1:17" ht="20.100000000000001" customHeight="1" x14ac:dyDescent="0.25">
      <c r="D48" s="127" t="str">
        <f>'Constants - Poultry'!$J$32</f>
        <v>Direct processing</v>
      </c>
      <c r="E48" s="46">
        <v>0.2</v>
      </c>
      <c r="F48" s="46">
        <v>0.2</v>
      </c>
      <c r="G48" s="46">
        <v>0.2</v>
      </c>
      <c r="H48" s="46">
        <v>0.2</v>
      </c>
      <c r="I48" s="2" t="s">
        <v>18</v>
      </c>
      <c r="J48" s="46">
        <v>0.25</v>
      </c>
      <c r="K48" s="46">
        <v>0.25</v>
      </c>
      <c r="L48" s="97">
        <f t="shared" si="3"/>
        <v>0.5</v>
      </c>
      <c r="Q48" s="7"/>
    </row>
    <row r="49" spans="4:17" ht="20.100000000000001" customHeight="1" x14ac:dyDescent="0.25">
      <c r="D49" s="127" t="s">
        <v>154</v>
      </c>
      <c r="E49" s="97">
        <f>1-SUM(E45:E48)</f>
        <v>0.19999999999999996</v>
      </c>
      <c r="F49" s="97">
        <f t="shared" ref="F49:H49" si="4">1-SUM(F45:F48)</f>
        <v>0.19999999999999996</v>
      </c>
      <c r="G49" s="97">
        <f t="shared" si="4"/>
        <v>0.19999999999999996</v>
      </c>
      <c r="H49" s="97">
        <f t="shared" si="4"/>
        <v>0.19999999999999996</v>
      </c>
      <c r="Q49" s="7"/>
    </row>
    <row r="50" spans="4:17" ht="20.100000000000001" customHeight="1" x14ac:dyDescent="0.25">
      <c r="Q50" s="7"/>
    </row>
    <row r="51" spans="4:17" ht="20.100000000000001" customHeight="1" x14ac:dyDescent="0.25">
      <c r="D51" s="126" t="str">
        <f>"Stage 2 MMS From " &amp; $D$32</f>
        <v>Stage 2 MMS From Pasture range and paddock</v>
      </c>
      <c r="E51" s="106" t="str">
        <f>IF(SUM(E32:K32)&gt;0,"Manure was sent to this MMS, please complete this section.","No manure was sent to this MMS. Leave this section blank.")</f>
        <v>Manure was sent to this MMS, please complete this section.</v>
      </c>
      <c r="J51" s="128" t="s">
        <v>152</v>
      </c>
      <c r="K51" s="128" t="s">
        <v>153</v>
      </c>
      <c r="L51" s="128" t="s">
        <v>154</v>
      </c>
      <c r="Q51" s="7"/>
    </row>
    <row r="52" spans="4:17" ht="20.100000000000001" customHeight="1" x14ac:dyDescent="0.25">
      <c r="D52" s="127" t="str">
        <f>'Constants - Poultry'!$J$29</f>
        <v>Solid storage</v>
      </c>
      <c r="E52" s="46">
        <v>0.2</v>
      </c>
      <c r="F52" s="46">
        <v>0.2</v>
      </c>
      <c r="G52" s="46">
        <v>0.2</v>
      </c>
      <c r="H52" s="46">
        <v>0.2</v>
      </c>
      <c r="I52" s="2" t="s">
        <v>18</v>
      </c>
      <c r="J52" s="46">
        <v>0.25</v>
      </c>
      <c r="K52" s="46">
        <v>0.25</v>
      </c>
      <c r="L52" s="97">
        <f>1-SUM(J52:K52)</f>
        <v>0.5</v>
      </c>
      <c r="Q52" s="7"/>
    </row>
    <row r="53" spans="4:17" ht="20.100000000000001" customHeight="1" x14ac:dyDescent="0.25">
      <c r="D53" s="127" t="str">
        <f>'Constants - Poultry'!$J$30</f>
        <v>Composting (passive windrow)</v>
      </c>
      <c r="E53" s="46">
        <v>0.2</v>
      </c>
      <c r="F53" s="46">
        <v>0.2</v>
      </c>
      <c r="G53" s="46">
        <v>0.2</v>
      </c>
      <c r="H53" s="46">
        <v>0.2</v>
      </c>
      <c r="I53" s="2" t="s">
        <v>18</v>
      </c>
      <c r="J53" s="46">
        <v>0.25</v>
      </c>
      <c r="K53" s="46">
        <v>0.25</v>
      </c>
      <c r="L53" s="97">
        <f>1-SUM(J53:K53)</f>
        <v>0.5</v>
      </c>
      <c r="Q53" s="7"/>
    </row>
    <row r="54" spans="4:17" ht="20.100000000000001" customHeight="1" x14ac:dyDescent="0.25">
      <c r="D54" s="127" t="str">
        <f>'Constants - Poultry'!$J$31</f>
        <v>Digester / covered lagoons</v>
      </c>
      <c r="E54" s="46">
        <v>0.2</v>
      </c>
      <c r="F54" s="46">
        <v>0.2</v>
      </c>
      <c r="G54" s="46">
        <v>0.2</v>
      </c>
      <c r="H54" s="46">
        <v>0.2</v>
      </c>
      <c r="I54" s="2" t="s">
        <v>18</v>
      </c>
      <c r="J54" s="46">
        <v>0.25</v>
      </c>
      <c r="K54" s="46">
        <v>0.25</v>
      </c>
      <c r="L54" s="97">
        <f>1-SUM(J54:K54)</f>
        <v>0.5</v>
      </c>
      <c r="Q54" s="7"/>
    </row>
    <row r="55" spans="4:17" ht="20.100000000000001" customHeight="1" x14ac:dyDescent="0.25">
      <c r="D55" s="127" t="str">
        <f>'Constants - Poultry'!$J$32</f>
        <v>Direct processing</v>
      </c>
      <c r="E55" s="46">
        <v>0.2</v>
      </c>
      <c r="F55" s="46">
        <v>0.2</v>
      </c>
      <c r="G55" s="46">
        <v>0.2</v>
      </c>
      <c r="H55" s="46">
        <v>0.2</v>
      </c>
      <c r="I55" s="2" t="s">
        <v>18</v>
      </c>
      <c r="J55" s="46">
        <v>0.25</v>
      </c>
      <c r="K55" s="46">
        <v>0.25</v>
      </c>
      <c r="L55" s="97">
        <f t="shared" ref="L55" si="5">1-SUM(J55:K55)</f>
        <v>0.5</v>
      </c>
      <c r="Q55" s="7"/>
    </row>
    <row r="56" spans="4:17" ht="20.100000000000001" customHeight="1" x14ac:dyDescent="0.25">
      <c r="D56" s="127" t="s">
        <v>154</v>
      </c>
      <c r="E56" s="97">
        <f>1-SUM(E52:E55)</f>
        <v>0.19999999999999996</v>
      </c>
      <c r="F56" s="97">
        <f t="shared" ref="F56:H56" si="6">1-SUM(F52:F55)</f>
        <v>0.19999999999999996</v>
      </c>
      <c r="G56" s="97">
        <f t="shared" si="6"/>
        <v>0.19999999999999996</v>
      </c>
      <c r="H56" s="97">
        <f t="shared" si="6"/>
        <v>0.19999999999999996</v>
      </c>
      <c r="I56" s="2" t="s">
        <v>18</v>
      </c>
      <c r="Q56" s="7"/>
    </row>
    <row r="57" spans="4:17" ht="20.100000000000001" customHeight="1" x14ac:dyDescent="0.25">
      <c r="Q57" s="7"/>
    </row>
    <row r="58" spans="4:17" ht="20.100000000000001" customHeight="1" x14ac:dyDescent="0.25">
      <c r="D58" s="122"/>
      <c r="Q58" s="7"/>
    </row>
    <row r="59" spans="4:17" ht="20.100000000000001" customHeight="1" x14ac:dyDescent="0.25">
      <c r="D59" s="1" t="s">
        <v>173</v>
      </c>
      <c r="E59" s="39" t="s">
        <v>131</v>
      </c>
      <c r="F59" s="2" t="s">
        <v>11</v>
      </c>
      <c r="Q59" s="7"/>
    </row>
    <row r="60" spans="4:17" ht="20.100000000000001" customHeight="1" x14ac:dyDescent="0.25">
      <c r="E60" s="39" t="s">
        <v>112</v>
      </c>
      <c r="F60" s="2" t="s">
        <v>11</v>
      </c>
      <c r="Q60" s="7"/>
    </row>
    <row r="61" spans="4:17" ht="20.100000000000001" customHeight="1" x14ac:dyDescent="0.25">
      <c r="Q61" s="7"/>
    </row>
    <row r="62" spans="4:17" ht="20.100000000000001" customHeight="1" x14ac:dyDescent="0.25">
      <c r="Q62" s="7"/>
    </row>
    <row r="63" spans="4:17" ht="20.100000000000001" customHeight="1" x14ac:dyDescent="0.25">
      <c r="Q63" s="7"/>
    </row>
    <row r="64" spans="4:17" ht="20.100000000000001" customHeight="1" x14ac:dyDescent="0.25">
      <c r="Q64" s="7"/>
    </row>
    <row r="65" spans="17:17" ht="20.100000000000001" customHeight="1" x14ac:dyDescent="0.25">
      <c r="Q65" s="7"/>
    </row>
    <row r="66" spans="17:17" ht="20.100000000000001" customHeight="1" x14ac:dyDescent="0.25">
      <c r="Q66" s="7"/>
    </row>
    <row r="67" spans="17:17" ht="20.100000000000001" customHeight="1" x14ac:dyDescent="0.25">
      <c r="Q67" s="7"/>
    </row>
    <row r="68" spans="17:17" ht="20.100000000000001" customHeight="1" x14ac:dyDescent="0.25">
      <c r="Q68" s="7"/>
    </row>
    <row r="69" spans="17:17" ht="20.100000000000001" customHeight="1" x14ac:dyDescent="0.25">
      <c r="Q69" s="7"/>
    </row>
    <row r="70" spans="17:17" ht="20.100000000000001" customHeight="1" x14ac:dyDescent="0.25">
      <c r="Q70" s="7"/>
    </row>
    <row r="71" spans="17:17" ht="20.100000000000001" customHeight="1" x14ac:dyDescent="0.25">
      <c r="Q71" s="7"/>
    </row>
    <row r="72" spans="17:17" ht="20.100000000000001" customHeight="1" x14ac:dyDescent="0.25">
      <c r="Q72" s="7"/>
    </row>
    <row r="73" spans="17:17" ht="20.100000000000001" customHeight="1" x14ac:dyDescent="0.25">
      <c r="Q73" s="7"/>
    </row>
    <row r="74" spans="17:17" ht="20.100000000000001" customHeight="1" x14ac:dyDescent="0.25">
      <c r="Q74" s="7"/>
    </row>
    <row r="75" spans="17:17" ht="20.100000000000001" customHeight="1" x14ac:dyDescent="0.25">
      <c r="Q75" s="7"/>
    </row>
    <row r="76" spans="17:17" ht="20.100000000000001" customHeight="1" x14ac:dyDescent="0.25">
      <c r="Q76" s="7"/>
    </row>
    <row r="77" spans="17:17" ht="20.100000000000001" customHeight="1" x14ac:dyDescent="0.25">
      <c r="Q77" s="7"/>
    </row>
    <row r="78" spans="17:17" ht="20.100000000000001" customHeight="1" x14ac:dyDescent="0.25">
      <c r="Q78" s="7"/>
    </row>
    <row r="79" spans="17:17" ht="20.100000000000001" customHeight="1" x14ac:dyDescent="0.25">
      <c r="Q79" s="7"/>
    </row>
    <row r="80" spans="17:17" ht="20.100000000000001" customHeight="1" x14ac:dyDescent="0.25">
      <c r="Q80" s="7"/>
    </row>
    <row r="81" spans="17:17" ht="20.100000000000001" customHeight="1" x14ac:dyDescent="0.25">
      <c r="Q81" s="7"/>
    </row>
    <row r="82" spans="17:17" ht="20.100000000000001" customHeight="1" x14ac:dyDescent="0.25">
      <c r="Q82" s="7"/>
    </row>
    <row r="83" spans="17:17" ht="20.100000000000001" customHeight="1" x14ac:dyDescent="0.25">
      <c r="Q83" s="7"/>
    </row>
    <row r="84" spans="17:17" ht="20.100000000000001" customHeight="1" x14ac:dyDescent="0.25">
      <c r="Q84" s="7"/>
    </row>
    <row r="85" spans="17:17" ht="20.100000000000001" customHeight="1" x14ac:dyDescent="0.25">
      <c r="Q85" s="7"/>
    </row>
    <row r="86" spans="17:17" ht="20.100000000000001" customHeight="1" x14ac:dyDescent="0.25">
      <c r="Q86" s="7"/>
    </row>
    <row r="87" spans="17:17" ht="20.100000000000001" customHeight="1" x14ac:dyDescent="0.25">
      <c r="Q87" s="7"/>
    </row>
    <row r="88" spans="17:17" ht="20.100000000000001" customHeight="1" x14ac:dyDescent="0.25">
      <c r="Q88" s="7"/>
    </row>
    <row r="89" spans="17:17" ht="20.100000000000001" customHeight="1" x14ac:dyDescent="0.25">
      <c r="Q89" s="7"/>
    </row>
    <row r="90" spans="17:17" ht="20.100000000000001" customHeight="1" x14ac:dyDescent="0.25">
      <c r="Q90" s="7"/>
    </row>
    <row r="91" spans="17:17" ht="20.100000000000001" customHeight="1" x14ac:dyDescent="0.25">
      <c r="Q91" s="7"/>
    </row>
    <row r="92" spans="17:17" ht="20.100000000000001" customHeight="1" x14ac:dyDescent="0.25">
      <c r="Q92" s="7"/>
    </row>
    <row r="93" spans="17:17" ht="20.100000000000001" customHeight="1" x14ac:dyDescent="0.25">
      <c r="Q93" s="7"/>
    </row>
    <row r="94" spans="17:17" ht="20.100000000000001" customHeight="1" x14ac:dyDescent="0.25">
      <c r="Q94" s="7"/>
    </row>
    <row r="95" spans="17:17" ht="20.100000000000001" customHeight="1" x14ac:dyDescent="0.25">
      <c r="Q95" s="7"/>
    </row>
    <row r="96" spans="17:17" ht="20.100000000000001" customHeight="1" x14ac:dyDescent="0.25">
      <c r="Q96" s="7"/>
    </row>
    <row r="97" spans="13:17" ht="20.100000000000001" customHeight="1" x14ac:dyDescent="0.25">
      <c r="Q97" s="7"/>
    </row>
    <row r="98" spans="13:17" ht="20.100000000000001" customHeight="1" x14ac:dyDescent="0.25">
      <c r="Q98" s="7"/>
    </row>
    <row r="99" spans="13:17" ht="20.100000000000001" customHeight="1" x14ac:dyDescent="0.25">
      <c r="Q99" s="7"/>
    </row>
    <row r="100" spans="13:17" ht="20.100000000000001" customHeight="1" x14ac:dyDescent="0.25">
      <c r="Q100" s="7"/>
    </row>
    <row r="101" spans="13:17" ht="20.100000000000001" customHeight="1" x14ac:dyDescent="0.25">
      <c r="Q101" s="7"/>
    </row>
    <row r="102" spans="13:17" ht="20.100000000000001" customHeight="1" x14ac:dyDescent="0.25">
      <c r="Q102" s="7"/>
    </row>
    <row r="103" spans="13:17" ht="20.100000000000001" customHeight="1" x14ac:dyDescent="0.25">
      <c r="Q103" s="7"/>
    </row>
    <row r="104" spans="13:17" ht="20.100000000000001" customHeight="1" x14ac:dyDescent="0.25">
      <c r="Q104" s="7"/>
    </row>
    <row r="105" spans="13:17" ht="20.100000000000001" customHeight="1" x14ac:dyDescent="0.25">
      <c r="Q105" s="7"/>
    </row>
    <row r="106" spans="13:17" ht="20.100000000000001" customHeight="1" x14ac:dyDescent="0.25">
      <c r="Q106" s="7"/>
    </row>
    <row r="107" spans="13:17" ht="20.100000000000001" customHeight="1" x14ac:dyDescent="0.25"/>
    <row r="108" spans="13:17" ht="20.100000000000001" customHeight="1" x14ac:dyDescent="0.25">
      <c r="M108" s="3"/>
    </row>
    <row r="109" spans="13:17" ht="20.100000000000001" customHeight="1" x14ac:dyDescent="0.25">
      <c r="M109" s="3"/>
    </row>
    <row r="110" spans="13:17" ht="20.100000000000001" customHeight="1" x14ac:dyDescent="0.25">
      <c r="M110" s="3"/>
    </row>
    <row r="111" spans="13:17" ht="20.100000000000001" customHeight="1" x14ac:dyDescent="0.25">
      <c r="M111" s="3"/>
    </row>
    <row r="112" spans="13:17" ht="20.100000000000001" customHeight="1" x14ac:dyDescent="0.25">
      <c r="M112" s="3"/>
    </row>
    <row r="113" spans="13:13" ht="20.100000000000001" customHeight="1" x14ac:dyDescent="0.25">
      <c r="M113" s="3"/>
    </row>
    <row r="114" spans="13:13" ht="20.100000000000001" customHeight="1" x14ac:dyDescent="0.25">
      <c r="M114" s="3"/>
    </row>
    <row r="115" spans="13:13" ht="20.100000000000001" customHeight="1" x14ac:dyDescent="0.25">
      <c r="M115" s="3"/>
    </row>
    <row r="116" spans="13:13" ht="20.100000000000001" customHeight="1" x14ac:dyDescent="0.25">
      <c r="M116" s="3"/>
    </row>
    <row r="117" spans="13:13" ht="20.100000000000001" customHeight="1" x14ac:dyDescent="0.25">
      <c r="M117" s="3"/>
    </row>
    <row r="118" spans="13:13" ht="20.100000000000001" customHeight="1" x14ac:dyDescent="0.25">
      <c r="M118" s="3"/>
    </row>
    <row r="119" spans="13:13" ht="20.100000000000001" customHeight="1" x14ac:dyDescent="0.25">
      <c r="M119" s="3"/>
    </row>
    <row r="120" spans="13:13" ht="20.100000000000001" customHeight="1" x14ac:dyDescent="0.25">
      <c r="M120" s="3"/>
    </row>
    <row r="121" spans="13:13" ht="20.100000000000001" customHeight="1" x14ac:dyDescent="0.25">
      <c r="M121" s="3"/>
    </row>
    <row r="122" spans="13:13" ht="20.100000000000001" customHeight="1" x14ac:dyDescent="0.25">
      <c r="M122" s="3"/>
    </row>
    <row r="123" spans="13:13" ht="20.100000000000001" customHeight="1" x14ac:dyDescent="0.25">
      <c r="M123" s="3"/>
    </row>
    <row r="124" spans="13:13" ht="20.100000000000001" customHeight="1" x14ac:dyDescent="0.25">
      <c r="M124" s="3"/>
    </row>
    <row r="125" spans="13:13" ht="20.100000000000001" customHeight="1" x14ac:dyDescent="0.25">
      <c r="M125" s="3"/>
    </row>
    <row r="126" spans="13:13" ht="20.100000000000001" customHeight="1" x14ac:dyDescent="0.25">
      <c r="M126" s="3"/>
    </row>
    <row r="127" spans="13:13" ht="20.100000000000001" customHeight="1" x14ac:dyDescent="0.25">
      <c r="M127" s="3"/>
    </row>
    <row r="128" spans="13:13" ht="20.100000000000001" customHeight="1" x14ac:dyDescent="0.25">
      <c r="M128" s="3"/>
    </row>
    <row r="129" spans="13:13" ht="20.100000000000001" customHeight="1" x14ac:dyDescent="0.25">
      <c r="M129" s="3"/>
    </row>
    <row r="130" spans="13:13" ht="20.100000000000001" customHeight="1" x14ac:dyDescent="0.25"/>
    <row r="131" spans="13:13" ht="20.100000000000001" customHeight="1" x14ac:dyDescent="0.25"/>
    <row r="132" spans="13:13" ht="20.100000000000001" customHeight="1" x14ac:dyDescent="0.25"/>
    <row r="133" spans="13:13" ht="20.100000000000001" customHeight="1" x14ac:dyDescent="0.25"/>
    <row r="134" spans="13:13" ht="20.100000000000001" customHeight="1" x14ac:dyDescent="0.25"/>
    <row r="135" spans="13:13" ht="20.100000000000001" customHeight="1" x14ac:dyDescent="0.25"/>
    <row r="136" spans="13:13" ht="20.100000000000001" customHeight="1" x14ac:dyDescent="0.25"/>
    <row r="137" spans="13:13" ht="20.100000000000001" customHeight="1" x14ac:dyDescent="0.25"/>
    <row r="138" spans="13:13" ht="20.100000000000001" customHeight="1" x14ac:dyDescent="0.25"/>
    <row r="139" spans="13:13" ht="20.100000000000001" customHeight="1" x14ac:dyDescent="0.25"/>
    <row r="140" spans="13:13" ht="20.100000000000001" customHeight="1" x14ac:dyDescent="0.25"/>
    <row r="141" spans="13:13" ht="20.100000000000001" customHeight="1" x14ac:dyDescent="0.25"/>
    <row r="142" spans="13:13" ht="20.100000000000001" customHeight="1" x14ac:dyDescent="0.25"/>
    <row r="143" spans="13:13" ht="20.100000000000001" customHeight="1" x14ac:dyDescent="0.25"/>
    <row r="144" spans="13:13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206" spans="12:12" x14ac:dyDescent="0.25">
      <c r="L206" s="2"/>
    </row>
    <row r="207" spans="12:12" x14ac:dyDescent="0.25">
      <c r="L207" s="2"/>
    </row>
    <row r="208" spans="12:12" x14ac:dyDescent="0.25">
      <c r="L208" s="2"/>
    </row>
    <row r="209" spans="12:12" x14ac:dyDescent="0.25">
      <c r="L209" s="2"/>
    </row>
    <row r="210" spans="12:12" x14ac:dyDescent="0.25">
      <c r="L210" s="2"/>
    </row>
    <row r="212" spans="12:12" x14ac:dyDescent="0.25">
      <c r="L212" s="2"/>
    </row>
    <row r="214" spans="12:12" x14ac:dyDescent="0.25">
      <c r="L214" s="2"/>
    </row>
    <row r="215" spans="12:12" x14ac:dyDescent="0.25">
      <c r="L215" s="2"/>
    </row>
    <row r="216" spans="12:12" x14ac:dyDescent="0.25">
      <c r="L216" s="2"/>
    </row>
    <row r="217" spans="12:12" x14ac:dyDescent="0.25">
      <c r="L217" s="2"/>
    </row>
    <row r="219" spans="12:12" x14ac:dyDescent="0.25">
      <c r="L219" s="2"/>
    </row>
    <row r="227" spans="12:12" x14ac:dyDescent="0.25">
      <c r="L227" s="2"/>
    </row>
    <row r="228" spans="12:12" x14ac:dyDescent="0.25">
      <c r="L228" s="2"/>
    </row>
    <row r="229" spans="12:12" x14ac:dyDescent="0.25">
      <c r="L229" s="2"/>
    </row>
    <row r="232" spans="12:12" x14ac:dyDescent="0.25">
      <c r="L232" s="2"/>
    </row>
    <row r="233" spans="12:12" x14ac:dyDescent="0.25">
      <c r="L233" s="2"/>
    </row>
    <row r="234" spans="12:12" x14ac:dyDescent="0.25">
      <c r="L234" s="2"/>
    </row>
    <row r="237" spans="12:12" x14ac:dyDescent="0.25">
      <c r="L237" s="2"/>
    </row>
    <row r="238" spans="12:12" x14ac:dyDescent="0.25">
      <c r="L238" s="2"/>
    </row>
    <row r="239" spans="12:12" x14ac:dyDescent="0.25">
      <c r="L239" s="2"/>
    </row>
    <row r="242" spans="11:12" x14ac:dyDescent="0.25">
      <c r="L242" s="2"/>
    </row>
    <row r="243" spans="11:12" x14ac:dyDescent="0.25">
      <c r="K243" s="2"/>
      <c r="L243" s="2"/>
    </row>
    <row r="244" spans="11:12" x14ac:dyDescent="0.25">
      <c r="L244" s="2"/>
    </row>
    <row r="248" spans="11:12" x14ac:dyDescent="0.25">
      <c r="K248" s="2"/>
    </row>
    <row r="251" spans="11:12" x14ac:dyDescent="0.25">
      <c r="L251" s="2"/>
    </row>
    <row r="252" spans="11:12" x14ac:dyDescent="0.25">
      <c r="L252" s="2"/>
    </row>
    <row r="253" spans="11:12" x14ac:dyDescent="0.25">
      <c r="K253" s="2"/>
      <c r="L253" s="2"/>
    </row>
    <row r="256" spans="11:12" x14ac:dyDescent="0.25">
      <c r="L256" s="2"/>
    </row>
    <row r="257" spans="11:12" x14ac:dyDescent="0.25">
      <c r="L257" s="2"/>
    </row>
    <row r="258" spans="11:12" x14ac:dyDescent="0.25">
      <c r="K258" s="2"/>
      <c r="L258" s="2"/>
    </row>
    <row r="259" spans="11:12" x14ac:dyDescent="0.25">
      <c r="K259" s="2"/>
    </row>
    <row r="260" spans="11:12" x14ac:dyDescent="0.25">
      <c r="K260" s="2"/>
    </row>
    <row r="261" spans="11:12" x14ac:dyDescent="0.25">
      <c r="K261" s="2"/>
      <c r="L261" s="2"/>
    </row>
    <row r="262" spans="11:12" x14ac:dyDescent="0.25">
      <c r="K262" s="2"/>
      <c r="L262" s="2"/>
    </row>
    <row r="263" spans="11:12" x14ac:dyDescent="0.25">
      <c r="L263" s="2"/>
    </row>
    <row r="264" spans="11:12" x14ac:dyDescent="0.25">
      <c r="K264" s="2"/>
    </row>
    <row r="266" spans="11:12" x14ac:dyDescent="0.25">
      <c r="K266" s="2"/>
      <c r="L266" s="2"/>
    </row>
    <row r="267" spans="11:12" x14ac:dyDescent="0.25">
      <c r="K267" s="2"/>
      <c r="L267" s="2"/>
    </row>
    <row r="268" spans="11:12" x14ac:dyDescent="0.25">
      <c r="K268" s="2"/>
      <c r="L268" s="2"/>
    </row>
    <row r="269" spans="11:12" x14ac:dyDescent="0.25">
      <c r="K269" s="2"/>
    </row>
    <row r="271" spans="11:12" x14ac:dyDescent="0.25">
      <c r="K271" s="2"/>
    </row>
    <row r="277" spans="11:11" x14ac:dyDescent="0.25">
      <c r="K277" s="2"/>
    </row>
    <row r="282" spans="11:11" x14ac:dyDescent="0.25">
      <c r="K282" s="2"/>
    </row>
    <row r="287" spans="11:11" x14ac:dyDescent="0.25">
      <c r="K287" s="2"/>
    </row>
    <row r="292" spans="11:11" x14ac:dyDescent="0.25">
      <c r="K292" s="2"/>
    </row>
    <row r="293" spans="11:11" x14ac:dyDescent="0.25">
      <c r="K293" s="2"/>
    </row>
    <row r="294" spans="11:11" x14ac:dyDescent="0.25">
      <c r="K294" s="2"/>
    </row>
    <row r="295" spans="11:11" x14ac:dyDescent="0.25">
      <c r="K295" s="2"/>
    </row>
    <row r="296" spans="11:11" x14ac:dyDescent="0.25">
      <c r="K296" s="2"/>
    </row>
    <row r="298" spans="11:11" x14ac:dyDescent="0.25">
      <c r="K298" s="2"/>
    </row>
    <row r="300" spans="11:11" x14ac:dyDescent="0.25">
      <c r="K300" s="2"/>
    </row>
    <row r="301" spans="11:11" x14ac:dyDescent="0.25">
      <c r="K301" s="2"/>
    </row>
    <row r="302" spans="11:11" x14ac:dyDescent="0.25">
      <c r="K302" s="2"/>
    </row>
    <row r="303" spans="11:11" x14ac:dyDescent="0.25">
      <c r="K303" s="2"/>
    </row>
    <row r="305" spans="11:11" x14ac:dyDescent="0.25">
      <c r="K305" s="2"/>
    </row>
    <row r="313" spans="11:11" x14ac:dyDescent="0.25">
      <c r="K313" s="2"/>
    </row>
    <row r="314" spans="11:11" x14ac:dyDescent="0.25">
      <c r="K314" s="2"/>
    </row>
    <row r="315" spans="11:11" x14ac:dyDescent="0.25">
      <c r="K315" s="2"/>
    </row>
    <row r="318" spans="11:11" x14ac:dyDescent="0.25">
      <c r="K318" s="2"/>
    </row>
    <row r="319" spans="11:11" x14ac:dyDescent="0.25">
      <c r="K319" s="2"/>
    </row>
    <row r="320" spans="11:11" x14ac:dyDescent="0.25">
      <c r="K320" s="2"/>
    </row>
    <row r="323" spans="11:11" x14ac:dyDescent="0.25">
      <c r="K323" s="2"/>
    </row>
    <row r="324" spans="11:11" x14ac:dyDescent="0.25">
      <c r="K324" s="2"/>
    </row>
    <row r="325" spans="11:11" x14ac:dyDescent="0.25">
      <c r="K325" s="2"/>
    </row>
    <row r="328" spans="11:11" x14ac:dyDescent="0.25">
      <c r="K328" s="2"/>
    </row>
    <row r="329" spans="11:11" x14ac:dyDescent="0.25">
      <c r="K329" s="2"/>
    </row>
    <row r="330" spans="11:11" x14ac:dyDescent="0.25">
      <c r="K330" s="2"/>
    </row>
    <row r="337" spans="11:11" x14ac:dyDescent="0.25">
      <c r="K337" s="2"/>
    </row>
    <row r="338" spans="11:11" x14ac:dyDescent="0.25">
      <c r="K338" s="2"/>
    </row>
    <row r="339" spans="11:11" x14ac:dyDescent="0.25">
      <c r="K339" s="2"/>
    </row>
    <row r="342" spans="11:11" x14ac:dyDescent="0.25">
      <c r="K342" s="2"/>
    </row>
    <row r="343" spans="11:11" x14ac:dyDescent="0.25">
      <c r="K343" s="2"/>
    </row>
    <row r="344" spans="11:11" x14ac:dyDescent="0.25">
      <c r="K344" s="2"/>
    </row>
    <row r="347" spans="11:11" x14ac:dyDescent="0.25">
      <c r="K347" s="2"/>
    </row>
    <row r="348" spans="11:11" x14ac:dyDescent="0.25">
      <c r="K348" s="2"/>
    </row>
    <row r="349" spans="11:11" x14ac:dyDescent="0.25">
      <c r="K349" s="2"/>
    </row>
    <row r="352" spans="11:11" x14ac:dyDescent="0.25">
      <c r="K352" s="2"/>
    </row>
    <row r="353" spans="4:11" x14ac:dyDescent="0.25">
      <c r="K353" s="2"/>
    </row>
    <row r="354" spans="4:11" x14ac:dyDescent="0.25">
      <c r="K354" s="2"/>
    </row>
    <row r="356" spans="4:11" x14ac:dyDescent="0.25">
      <c r="D356" s="106"/>
    </row>
  </sheetData>
  <conditionalFormatting sqref="N43:O43 M101 K184:L185 K180:L180 K194:L195 K188:L189 I205:L205 I199:L199 K198:L198 I119:J119 I84:I87 I77:I79 I38:I42 I52:I55 I71:I72 I60">
    <cfRule type="cellIs" dxfId="35" priority="74" operator="lessThan">
      <formula>0</formula>
    </cfRule>
  </conditionalFormatting>
  <conditionalFormatting sqref="E205:G205">
    <cfRule type="cellIs" dxfId="34" priority="79" operator="lessThan">
      <formula>0</formula>
    </cfRule>
  </conditionalFormatting>
  <conditionalFormatting sqref="L206:L210 L212 L214:L217 L219 J223:J225 J228:J230 J243:K243 J248:K248 J253:K253 J258:K262 J264:K264 J266:K269 J271:K271 J277:K277 J282:K282 J287:K287 J292:K296 J298:K298 J300:K303 J305:K305">
    <cfRule type="cellIs" dxfId="33" priority="102" operator="lessThan">
      <formula>0</formula>
    </cfRule>
  </conditionalFormatting>
  <conditionalFormatting sqref="F245:F246">
    <cfRule type="cellIs" dxfId="32" priority="93" operator="lessThan">
      <formula>0</formula>
    </cfRule>
  </conditionalFormatting>
  <conditionalFormatting sqref="F250:F251">
    <cfRule type="cellIs" dxfId="31" priority="92" operator="lessThan">
      <formula>0</formula>
    </cfRule>
  </conditionalFormatting>
  <conditionalFormatting sqref="F255:F256">
    <cfRule type="cellIs" dxfId="30" priority="91" operator="lessThan">
      <formula>0</formula>
    </cfRule>
  </conditionalFormatting>
  <conditionalFormatting sqref="F279:F280">
    <cfRule type="cellIs" dxfId="29" priority="85" operator="lessThan">
      <formula>0</formula>
    </cfRule>
  </conditionalFormatting>
  <conditionalFormatting sqref="F284:F285">
    <cfRule type="cellIs" dxfId="28" priority="84" operator="lessThan">
      <formula>0</formula>
    </cfRule>
  </conditionalFormatting>
  <conditionalFormatting sqref="F289:F290">
    <cfRule type="cellIs" dxfId="27" priority="83" operator="lessThan">
      <formula>0</formula>
    </cfRule>
  </conditionalFormatting>
  <conditionalFormatting sqref="I30">
    <cfRule type="cellIs" dxfId="26" priority="70" operator="lessThan">
      <formula>0</formula>
    </cfRule>
  </conditionalFormatting>
  <conditionalFormatting sqref="F43">
    <cfRule type="cellIs" dxfId="25" priority="62" operator="lessThan">
      <formula>0</formula>
    </cfRule>
  </conditionalFormatting>
  <conditionalFormatting sqref="I31">
    <cfRule type="cellIs" dxfId="24" priority="59" operator="lessThan">
      <formula>0</formula>
    </cfRule>
  </conditionalFormatting>
  <conditionalFormatting sqref="I32">
    <cfRule type="cellIs" dxfId="23" priority="58" operator="lessThan">
      <formula>0</formula>
    </cfRule>
  </conditionalFormatting>
  <conditionalFormatting sqref="I33">
    <cfRule type="cellIs" dxfId="22" priority="57" operator="lessThan">
      <formula>0</formula>
    </cfRule>
  </conditionalFormatting>
  <conditionalFormatting sqref="I34">
    <cfRule type="cellIs" dxfId="21" priority="55" operator="lessThan">
      <formula>0</formula>
    </cfRule>
  </conditionalFormatting>
  <conditionalFormatting sqref="I45:I48">
    <cfRule type="cellIs" dxfId="20" priority="27" operator="lessThan">
      <formula>0</formula>
    </cfRule>
  </conditionalFormatting>
  <conditionalFormatting sqref="J147">
    <cfRule type="cellIs" dxfId="19" priority="24" operator="lessThan">
      <formula>0</formula>
    </cfRule>
  </conditionalFormatting>
  <conditionalFormatting sqref="F121:F122">
    <cfRule type="cellIs" dxfId="18" priority="21" operator="lessThan">
      <formula>0</formula>
    </cfRule>
  </conditionalFormatting>
  <conditionalFormatting sqref="F133:F134">
    <cfRule type="cellIs" dxfId="17" priority="20" operator="lessThan">
      <formula>0</formula>
    </cfRule>
  </conditionalFormatting>
  <conditionalFormatting sqref="F145:F146">
    <cfRule type="cellIs" dxfId="16" priority="19" operator="lessThan">
      <formula>0</formula>
    </cfRule>
  </conditionalFormatting>
  <conditionalFormatting sqref="F157:F158">
    <cfRule type="cellIs" dxfId="15" priority="18" operator="lessThan">
      <formula>0</formula>
    </cfRule>
  </conditionalFormatting>
  <conditionalFormatting sqref="L119">
    <cfRule type="cellIs" dxfId="14" priority="17" operator="lessThan">
      <formula>0</formula>
    </cfRule>
  </conditionalFormatting>
  <conditionalFormatting sqref="L131">
    <cfRule type="cellIs" dxfId="13" priority="16" operator="lessThan">
      <formula>0</formula>
    </cfRule>
  </conditionalFormatting>
  <conditionalFormatting sqref="L143">
    <cfRule type="cellIs" dxfId="12" priority="15" operator="lessThan">
      <formula>0</formula>
    </cfRule>
  </conditionalFormatting>
  <conditionalFormatting sqref="L155">
    <cfRule type="cellIs" dxfId="11" priority="14" operator="lessThan">
      <formula>0</formula>
    </cfRule>
  </conditionalFormatting>
  <conditionalFormatting sqref="L160">
    <cfRule type="cellIs" dxfId="10" priority="13" operator="lessThan">
      <formula>0</formula>
    </cfRule>
  </conditionalFormatting>
  <conditionalFormatting sqref="L159">
    <cfRule type="cellIs" dxfId="9" priority="12" operator="lessThan">
      <formula>0</formula>
    </cfRule>
  </conditionalFormatting>
  <conditionalFormatting sqref="L113:L116">
    <cfRule type="cellIs" dxfId="8" priority="11" operator="lessThan">
      <formula>0</formula>
    </cfRule>
  </conditionalFormatting>
  <conditionalFormatting sqref="L125:L128">
    <cfRule type="cellIs" dxfId="7" priority="10" operator="lessThan">
      <formula>0</formula>
    </cfRule>
  </conditionalFormatting>
  <conditionalFormatting sqref="L137:L140">
    <cfRule type="cellIs" dxfId="6" priority="9" operator="lessThan">
      <formula>0</formula>
    </cfRule>
  </conditionalFormatting>
  <conditionalFormatting sqref="L149:L152">
    <cfRule type="cellIs" dxfId="5" priority="8" operator="lessThan">
      <formula>0</formula>
    </cfRule>
  </conditionalFormatting>
  <conditionalFormatting sqref="I49">
    <cfRule type="cellIs" dxfId="4" priority="6" operator="lessThan">
      <formula>0</formula>
    </cfRule>
  </conditionalFormatting>
  <conditionalFormatting sqref="I56">
    <cfRule type="cellIs" dxfId="3" priority="5" operator="lessThan">
      <formula>0</formula>
    </cfRule>
  </conditionalFormatting>
  <conditionalFormatting sqref="I73">
    <cfRule type="cellIs" dxfId="2" priority="4" operator="lessThan">
      <formula>0</formula>
    </cfRule>
  </conditionalFormatting>
  <conditionalFormatting sqref="I80">
    <cfRule type="cellIs" dxfId="1" priority="3" operator="lessThan">
      <formula>0</formula>
    </cfRule>
  </conditionalFormatting>
  <conditionalFormatting sqref="I88">
    <cfRule type="cellIs" dxfId="0" priority="1" operator="lessThan">
      <formula>0</formula>
    </cfRule>
  </conditionalFormatting>
  <dataValidations disablePrompts="1" count="6">
    <dataValidation type="list" allowBlank="1" showInputMessage="1" showErrorMessage="1" sqref="D272" xr:uid="{4E913AB3-F90B-4C35-BCE1-5DBB8FC05107}">
      <formula1>INDIRECT("Table_SourceData_PoultryMMSStage1[MMS]")</formula1>
    </dataValidation>
    <dataValidation type="list" allowBlank="1" showInputMessage="1" showErrorMessage="1" sqref="E220" xr:uid="{9FB53635-991F-44AA-A123-E8ABEF9EE0A6}">
      <formula1>INDIRECT("Table_SourceData_Dairy_ProductionSystemTemplates[Area]")</formula1>
    </dataValidation>
    <dataValidation type="list" allowBlank="1" showInputMessage="1" showErrorMessage="1" sqref="E244 E249 E254 E288 E283 E278 E156 E144 E120 E132" xr:uid="{00A4EA4C-90D3-4150-979D-4D71C7F37A31}">
      <formula1>"Yes, No"</formula1>
    </dataValidation>
    <dataValidation type="list" allowBlank="1" showInputMessage="1" showErrorMessage="1" sqref="E27" xr:uid="{7CE3F3B3-74F0-4147-9434-E417CDC75C10}">
      <formula1>INDIRECT("Table_SourceData_Poultry_ProductionSystems[Production system]")</formula1>
    </dataValidation>
    <dataValidation type="list" allowBlank="1" showInputMessage="1" showErrorMessage="1" sqref="E60" xr:uid="{DBA884B0-B52E-420E-8FD2-21B082EB75E2}">
      <formula1>INDIRECT("Table_SourceData_Swine_IrrigationMethods[Irrigation method]")</formula1>
    </dataValidation>
    <dataValidation type="list" allowBlank="1" showInputMessage="1" showErrorMessage="1" sqref="E59" xr:uid="{B95E29DC-96D0-4475-A29E-3F3A3B60CEA1}">
      <formula1>INDIRECT("Table_SourceData_Swine_CropProdSystems[Production system]")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1CB6-2463-438A-90A4-6F54247DF8D8}">
  <dimension ref="A1:U342"/>
  <sheetViews>
    <sheetView showGridLines="0" topLeftCell="A2" zoomScaleNormal="100" workbookViewId="0">
      <selection activeCell="P196" sqref="P196:S207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68" t="e" vm="1">
        <v>#VALUE!</v>
      </c>
      <c r="C1" s="8" t="s">
        <v>259</v>
      </c>
      <c r="L1"/>
    </row>
    <row r="2" spans="1:21" s="9" customFormat="1" ht="20.100000000000001" customHeight="1" x14ac:dyDescent="0.25">
      <c r="L2"/>
    </row>
    <row r="3" spans="1:21" ht="20.100000000000001" customHeight="1" x14ac:dyDescent="0.25">
      <c r="A3" s="17" t="str">
        <f>HYPERLINK("#'Home'!A1", "Home")</f>
        <v>Home</v>
      </c>
      <c r="C3" s="4"/>
      <c r="D3" s="4" t="s">
        <v>101</v>
      </c>
      <c r="E3" s="4"/>
      <c r="F3" s="4"/>
      <c r="G3" s="4"/>
      <c r="H3" s="4"/>
      <c r="I3" s="4"/>
      <c r="J3" s="4"/>
      <c r="K3" s="4"/>
      <c r="M3" s="4"/>
      <c r="N3" s="4" t="s">
        <v>102</v>
      </c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tr" cm="1">
        <f t="array" ref="D5">MMS_poultry_Methane_Equations.VEERG_4_6_1_1__5_VolatileSolidProduction_Title()</f>
        <v>Volatile solid production poultry classes</v>
      </c>
    </row>
    <row r="6" spans="1:21" ht="20.100000000000001" customHeight="1" x14ac:dyDescent="0.25">
      <c r="A6" s="20" t="s">
        <v>3</v>
      </c>
      <c r="D6" s="5" t="str" cm="1">
        <f t="array" ref="D6">MMS_poultry_Methane_Equations.VEERG_4_6_1_1__5_VolatileSolidProduction_Source()</f>
        <v>VEERG 2026: 4.4.1.1, Equation (5)</v>
      </c>
    </row>
    <row r="7" spans="1:21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Common_InputFunctions.Utility_DisplayFunctionName(D35)</f>
        <v>=MMS_poultry_Methane_Equations.VEERG_4_6_1_1__5_VolatileSolidProduction</v>
      </c>
    </row>
    <row r="8" spans="1:21" ht="20.100000000000001" customHeight="1" x14ac:dyDescent="0.25">
      <c r="A8" s="17" t="str">
        <f>HYPERLINK("#'Input - Swine'!A1", "Swine")</f>
        <v>Swine</v>
      </c>
    </row>
    <row r="9" spans="1:21" ht="20.100000000000001" customHeight="1" x14ac:dyDescent="0.25">
      <c r="A9" s="17"/>
    </row>
    <row r="10" spans="1:21" ht="20.100000000000001" customHeight="1" x14ac:dyDescent="0.25">
      <c r="A10" s="19" t="s">
        <v>76</v>
      </c>
      <c r="D10" s="53" t="s">
        <v>29</v>
      </c>
      <c r="E10" s="1" t="str" cm="1">
        <f t="array" ref="E10">MMS_poultry_Methane_Equations.VEERG_4_6_1_1__5_VolatileSolidProduction_Variable()</f>
        <v>VS_jk</v>
      </c>
    </row>
    <row r="11" spans="1:21" ht="20.100000000000001" customHeight="1" x14ac:dyDescent="0.25">
      <c r="A11" s="136" t="str">
        <f>HYPERLINK("#'4.5.1.1-2 Methane'!A1", "4.5.1.1-2 Methane")</f>
        <v>4.5.1.1-2 Methane</v>
      </c>
      <c r="D11" s="53" t="s">
        <v>19</v>
      </c>
      <c r="E11" s="54" t="str" cm="1">
        <f t="array" ref="E11">MMS_poultry_Methane_Equations.VEERG_4_6_1_1__5_VolatileSolidProduction_Unit()</f>
        <v>kg VS/bird/day</v>
      </c>
    </row>
    <row r="12" spans="1:21" ht="20.100000000000001" customHeight="1" x14ac:dyDescent="0.25">
      <c r="A12" s="17" t="str">
        <f>HYPERLINK("#'4.5.1.3-4 Direct N20'!A1", "4.5.1.3-4 Direct N2O")</f>
        <v>4.5.1.3-4 Direct N2O</v>
      </c>
    </row>
    <row r="13" spans="1:21" ht="20.100000000000001" customHeight="1" x14ac:dyDescent="0.25">
      <c r="A13" s="17" t="str">
        <f>HYPERLINK("#'4.5.1.5-6 Atmos Dep'!A1", "4.5.1.5-6 Soil atm. deposition")</f>
        <v>4.5.1.5-6 Soil atm. deposition</v>
      </c>
      <c r="D13" s="57" t="str" cm="1">
        <f t="array" ref="D13:E15">MMS_poultry_Methane_Equations.VEERG_4_6_1_1__5_VolatileSolidProduction_Arguments()</f>
        <v>I_jk</v>
      </c>
      <c r="E13" s="58" t="str">
        <v>dry matter intake for each class and subclass : kg DM/bird/day</v>
      </c>
      <c r="F13" s="59"/>
      <c r="G13" s="57" t="str">
        <f>"See " &amp; D17</f>
        <v>See M1_Table_I_j_k</v>
      </c>
    </row>
    <row r="14" spans="1:21" ht="20.100000000000001" customHeight="1" x14ac:dyDescent="0.25">
      <c r="A14" s="17" t="str">
        <f>HYPERLINK("#'4.5.1.7-8 Leaching and runoff'!A1", "4.5.1.7-8 Leaching &amp; runoff")</f>
        <v>4.5.1.7-8 Leaching &amp; runoff</v>
      </c>
      <c r="D14" s="57" t="str">
        <v>DMD_jk</v>
      </c>
      <c r="E14" s="58" t="str">
        <v>dry matter digestibility for each class and subclass : fraction</v>
      </c>
      <c r="F14" s="59"/>
      <c r="G14" s="57" t="str">
        <f>"See " &amp; D22</f>
        <v>See M1_Table_DMD_j_k</v>
      </c>
    </row>
    <row r="15" spans="1:21" ht="20.100000000000001" customHeight="1" x14ac:dyDescent="0.25">
      <c r="A15" s="17" t="str">
        <f>HYPERLINK("#'4.5.1.9 Manure applied to soils'!A1", "4.5.1.9 Manure applied to soils")</f>
        <v>4.5.1.9 Manure applied to soils</v>
      </c>
      <c r="D15" s="57" t="str">
        <v>A_j</v>
      </c>
      <c r="E15" s="58" t="str">
        <v>ash content of manure for each class and subclass : fraction</v>
      </c>
      <c r="F15" s="59"/>
      <c r="G15" s="57" t="str">
        <f>"See " &amp; D32</f>
        <v>See M1_Table_VS_j_k</v>
      </c>
    </row>
    <row r="16" spans="1:21" ht="20.100000000000001" customHeight="1" x14ac:dyDescent="0.25"/>
    <row r="17" spans="1:18" ht="20.100000000000001" customHeight="1" x14ac:dyDescent="0.25">
      <c r="A17" s="18" t="s">
        <v>4</v>
      </c>
      <c r="D17" s="99" t="s">
        <v>263</v>
      </c>
      <c r="N17" s="99" t="s">
        <v>264</v>
      </c>
    </row>
    <row r="18" spans="1:18" ht="20.100000000000001" customHeight="1" x14ac:dyDescent="0.25">
      <c r="A18" s="17" t="str">
        <f>HYPERLINK("#'Constants - Swine'!A1", "Constants - Swine")</f>
        <v>Constants - Swine</v>
      </c>
      <c r="D18" s="98" t="s">
        <v>266</v>
      </c>
      <c r="N18" s="98" t="s">
        <v>265</v>
      </c>
    </row>
    <row r="19" spans="1:18" ht="20.100000000000001" customHeight="1" x14ac:dyDescent="0.25">
      <c r="A19" s="17" t="str">
        <f>HYPERLINK("#'Constants - Livestock'!A1", "Constants - Livestock")</f>
        <v>Constants - Livestock</v>
      </c>
      <c r="D19" s="51" t="s">
        <v>242</v>
      </c>
      <c r="E19" s="51" t="s">
        <v>243</v>
      </c>
      <c r="F19" s="51" t="s">
        <v>257</v>
      </c>
      <c r="G19" s="51" t="s">
        <v>258</v>
      </c>
      <c r="N19" s="51" t="s">
        <v>242</v>
      </c>
      <c r="O19" s="51" t="s">
        <v>243</v>
      </c>
      <c r="P19" s="51" t="s">
        <v>257</v>
      </c>
      <c r="Q19" s="51" t="s">
        <v>258</v>
      </c>
    </row>
    <row r="20" spans="1:18" ht="20.100000000000001" customHeight="1" x14ac:dyDescent="0.25">
      <c r="A20" s="17" t="str">
        <f>HYPERLINK("#'Constants - Common'!A1", "Constants - Common")</f>
        <v>Constants - Common</v>
      </c>
      <c r="D20" s="52">
        <f>'Input - Poultry'!E16</f>
        <v>8.5999999999999993E-2</v>
      </c>
      <c r="E20" s="52">
        <f>'Input - Poultry'!F16</f>
        <v>9.2999999999999999E-2</v>
      </c>
      <c r="F20" s="52">
        <f>'Input - Poultry'!G16</f>
        <v>0.10299999999999999</v>
      </c>
      <c r="G20" s="52">
        <f>'Input - Poultry'!H16</f>
        <v>9.2999999999999999E-2</v>
      </c>
      <c r="H20" s="2" t="s">
        <v>262</v>
      </c>
      <c r="N20" s="52">
        <f>'Input - Poultry'!E21</f>
        <v>8.5999999999999993E-2</v>
      </c>
      <c r="O20" s="52">
        <f>'Input - Poultry'!F21</f>
        <v>9.2999999999999999E-2</v>
      </c>
      <c r="P20" s="52">
        <f>'Input - Poultry'!G21</f>
        <v>0.10299999999999999</v>
      </c>
      <c r="Q20" s="52">
        <f>'Input - Poultry'!H21</f>
        <v>9.2999999999999999E-2</v>
      </c>
      <c r="R20" s="2" t="s">
        <v>262</v>
      </c>
    </row>
    <row r="21" spans="1:18" ht="20.100000000000001" customHeight="1" x14ac:dyDescent="0.25">
      <c r="A21" s="17" t="str">
        <f>HYPERLINK("#'Acknowledgements'!A1", "Acknowledgements")</f>
        <v>Acknowledgements</v>
      </c>
    </row>
    <row r="22" spans="1:18" ht="20.100000000000001" customHeight="1" x14ac:dyDescent="0.25">
      <c r="D22" s="99" t="s">
        <v>267</v>
      </c>
      <c r="N22" s="99" t="s">
        <v>267</v>
      </c>
    </row>
    <row r="23" spans="1:18" ht="20.100000000000001" customHeight="1" x14ac:dyDescent="0.25">
      <c r="A23" s="17"/>
      <c r="D23" s="98" t="s">
        <v>104</v>
      </c>
      <c r="N23" s="98" t="s">
        <v>104</v>
      </c>
    </row>
    <row r="24" spans="1:18" ht="20.100000000000001" customHeight="1" x14ac:dyDescent="0.25">
      <c r="D24" s="51" t="s">
        <v>242</v>
      </c>
      <c r="E24" s="51" t="s">
        <v>243</v>
      </c>
      <c r="F24" s="51" t="s">
        <v>257</v>
      </c>
      <c r="G24" s="51" t="s">
        <v>258</v>
      </c>
      <c r="N24" s="51" t="s">
        <v>242</v>
      </c>
      <c r="O24" s="51" t="s">
        <v>243</v>
      </c>
      <c r="P24" s="51" t="s">
        <v>257</v>
      </c>
      <c r="Q24" s="51" t="s">
        <v>258</v>
      </c>
    </row>
    <row r="25" spans="1:18" ht="20.100000000000001" customHeight="1" x14ac:dyDescent="0.25">
      <c r="D25" s="52">
        <f>'Input - Poultry'!E17</f>
        <v>0.8</v>
      </c>
      <c r="E25" s="52">
        <f>'Input - Poultry'!F17</f>
        <v>0.8</v>
      </c>
      <c r="F25" s="52">
        <f>'Input - Poultry'!G17</f>
        <v>0.8</v>
      </c>
      <c r="G25" s="52">
        <f>'Input - Poultry'!H17</f>
        <v>0.8</v>
      </c>
      <c r="H25" s="2" t="s">
        <v>117</v>
      </c>
      <c r="N25" s="52">
        <f>'Input - Poultry'!E22</f>
        <v>0.8</v>
      </c>
      <c r="O25" s="52">
        <f>'Input - Poultry'!F22</f>
        <v>0.8</v>
      </c>
      <c r="P25" s="52">
        <f>'Input - Poultry'!G22</f>
        <v>0.8</v>
      </c>
      <c r="Q25" s="52">
        <f>'Input - Poultry'!H22</f>
        <v>0.8</v>
      </c>
      <c r="R25" s="2" t="s">
        <v>117</v>
      </c>
    </row>
    <row r="26" spans="1:18" ht="20.100000000000001" customHeight="1" x14ac:dyDescent="0.25"/>
    <row r="27" spans="1:18" ht="20.100000000000001" customHeight="1" x14ac:dyDescent="0.25">
      <c r="D27" s="99" t="s">
        <v>268</v>
      </c>
    </row>
    <row r="28" spans="1:18" ht="20.100000000000001" customHeight="1" x14ac:dyDescent="0.25">
      <c r="D28" s="98" t="s">
        <v>269</v>
      </c>
    </row>
    <row r="29" spans="1:18" ht="20.100000000000001" customHeight="1" x14ac:dyDescent="0.25">
      <c r="D29" s="51" t="s">
        <v>242</v>
      </c>
      <c r="E29" s="51" t="s">
        <v>243</v>
      </c>
      <c r="F29" s="51" t="s">
        <v>257</v>
      </c>
      <c r="G29" s="51" t="s">
        <v>258</v>
      </c>
    </row>
    <row r="30" spans="1:18" ht="20.100000000000001" customHeight="1" x14ac:dyDescent="0.25">
      <c r="D30" s="52">
        <f>'Constants - Poultry'!E13</f>
        <v>0.18</v>
      </c>
      <c r="E30" s="52">
        <f>'Constants - Poultry'!F13</f>
        <v>0.15</v>
      </c>
      <c r="F30" s="52">
        <f>'Constants - Poultry'!G13</f>
        <v>0.18</v>
      </c>
      <c r="G30" s="52">
        <f>'Constants - Poultry'!H13</f>
        <v>0.15</v>
      </c>
      <c r="H30" s="2" t="s">
        <v>117</v>
      </c>
    </row>
    <row r="31" spans="1:18" ht="20.100000000000001" customHeight="1" x14ac:dyDescent="0.25"/>
    <row r="32" spans="1:18" ht="20.100000000000001" customHeight="1" x14ac:dyDescent="0.25">
      <c r="D32" s="99" t="s">
        <v>270</v>
      </c>
      <c r="N32" s="99" t="s">
        <v>271</v>
      </c>
    </row>
    <row r="33" spans="3:21" ht="20.100000000000001" customHeight="1" x14ac:dyDescent="0.25">
      <c r="D33" s="98" t="s">
        <v>103</v>
      </c>
      <c r="N33" s="98" t="s">
        <v>105</v>
      </c>
    </row>
    <row r="34" spans="3:21" ht="20.100000000000001" customHeight="1" x14ac:dyDescent="0.25">
      <c r="D34" s="51" t="s">
        <v>242</v>
      </c>
      <c r="E34" s="51" t="s">
        <v>243</v>
      </c>
      <c r="F34" s="51" t="s">
        <v>257</v>
      </c>
      <c r="G34" s="51" t="s">
        <v>258</v>
      </c>
      <c r="N34" s="51" t="s">
        <v>242</v>
      </c>
      <c r="O34" s="51" t="s">
        <v>243</v>
      </c>
      <c r="P34" s="51" t="s">
        <v>257</v>
      </c>
      <c r="Q34" s="51" t="s">
        <v>258</v>
      </c>
    </row>
    <row r="35" spans="3:21" ht="20.100000000000001" customHeight="1" x14ac:dyDescent="0.25">
      <c r="D35" s="52" cm="1">
        <f t="array" ref="D35">MMS_poultry_Methane_Equations.VEERG_4_6_1_1__5_VolatileSolidProduction(D20,D25,D30)</f>
        <v>1.4103999999999995E-2</v>
      </c>
      <c r="E35" s="52" cm="1">
        <f t="array" ref="E35">MMS_poultry_Methane_Equations.VEERG_4_6_1_1__5_VolatileSolidProduction(E20,E25,E30)</f>
        <v>1.5809999999999994E-2</v>
      </c>
      <c r="F35" s="52" cm="1">
        <f t="array" ref="F35">MMS_poultry_Methane_Equations.VEERG_4_6_1_1__5_VolatileSolidProduction(F20,F25,F30)</f>
        <v>1.6891999999999997E-2</v>
      </c>
      <c r="G35" s="52" cm="1">
        <f t="array" ref="G35">MMS_poultry_Methane_Equations.VEERG_4_6_1_1__5_VolatileSolidProduction(G20,G25,G30)</f>
        <v>1.5809999999999994E-2</v>
      </c>
      <c r="H35" s="2" t="str">
        <f>$E$11</f>
        <v>kg VS/bird/day</v>
      </c>
      <c r="N35" s="52" cm="1">
        <f t="array" ref="N35">MMS_poultry_Methane_Equations.VEERG_4_6_1_1__5_VolatileSolidProduction(N20,N25,D30)</f>
        <v>1.4103999999999995E-2</v>
      </c>
      <c r="O35" s="52" cm="1">
        <f t="array" ref="O35">MMS_poultry_Methane_Equations.VEERG_4_6_1_1__5_VolatileSolidProduction(O20,O25,E30)</f>
        <v>1.5809999999999994E-2</v>
      </c>
      <c r="P35" s="52" cm="1">
        <f t="array" ref="P35">MMS_poultry_Methane_Equations.VEERG_4_6_1_1__5_VolatileSolidProduction(P20,P25,F30)</f>
        <v>1.6891999999999997E-2</v>
      </c>
      <c r="Q35" s="52" cm="1">
        <f t="array" ref="Q35">MMS_poultry_Methane_Equations.VEERG_4_6_1_1__5_VolatileSolidProduction(Q20,Q25,G30)</f>
        <v>1.5809999999999994E-2</v>
      </c>
      <c r="R35" s="2" t="str">
        <f>$E$11</f>
        <v>kg VS/bird/day</v>
      </c>
    </row>
    <row r="36" spans="3:21" ht="20.100000000000001" customHeight="1" x14ac:dyDescent="0.25"/>
    <row r="37" spans="3:21" ht="20.100000000000001" customHeight="1" x14ac:dyDescent="0.25">
      <c r="C37" s="139"/>
      <c r="D37" s="139"/>
      <c r="E37" s="139"/>
      <c r="F37" s="139"/>
      <c r="G37" s="139"/>
      <c r="H37" s="139"/>
      <c r="I37" s="139"/>
      <c r="J37" s="139"/>
      <c r="K37" s="139"/>
      <c r="M37" s="139"/>
      <c r="N37" s="139"/>
      <c r="O37" s="139"/>
      <c r="P37" s="139"/>
      <c r="Q37" s="139"/>
      <c r="R37" s="139"/>
      <c r="S37" s="139"/>
      <c r="T37" s="139"/>
      <c r="U37" s="139"/>
    </row>
    <row r="38" spans="3:21" ht="20.100000000000001" customHeight="1" x14ac:dyDescent="0.25"/>
    <row r="39" spans="3:21" ht="20.100000000000001" customHeight="1" x14ac:dyDescent="0.25">
      <c r="D39" s="6" t="str" cm="1">
        <f t="array" ref="D39">MMS_poultry_Methane_Equations.VEERG_4_6_1_1__2_Stage1MethaneProduction_Title()</f>
        <v>Production of methane in treatment stage 1 MMS</v>
      </c>
    </row>
    <row r="40" spans="3:21" ht="20.100000000000001" customHeight="1" x14ac:dyDescent="0.25">
      <c r="D40" s="5" t="str" cm="1">
        <f t="array" ref="D40">MMS_poultry_Methane_Equations.VEERG_4_6_1_1__2_Stage1MethaneProduction_Source()</f>
        <v>VEERG 2026: 4.4.1.1, Equation (2)</v>
      </c>
    </row>
    <row r="41" spans="3:21" ht="20.100000000000001" customHeight="1" x14ac:dyDescent="0.25">
      <c r="D41" s="13" t="s">
        <v>26</v>
      </c>
      <c r="E41" s="13" t="str" cm="1">
        <f t="array" aca="1" ref="E41" ca="1">Common_InputFunctions.Utility_DisplayFunctionName(E83)</f>
        <v>=MMS_poultry_Methane_Equations.VEERG_4_6_1_1__2_Stage1MethaneProduction</v>
      </c>
    </row>
    <row r="42" spans="3:21" ht="20.100000000000001" customHeight="1" x14ac:dyDescent="0.25"/>
    <row r="43" spans="3:21" ht="20.100000000000001" customHeight="1" x14ac:dyDescent="0.25"/>
    <row r="44" spans="3:21" ht="20.100000000000001" customHeight="1" x14ac:dyDescent="0.25">
      <c r="D44" s="53" t="s">
        <v>29</v>
      </c>
      <c r="E44" s="1" t="str" cm="1">
        <f t="array" ref="E44">MMS_poultry_Methane_Equations.VEERG_4_6_1_1__2_Stage1MethaneProduction_Variable()</f>
        <v>M_jkmT1</v>
      </c>
    </row>
    <row r="45" spans="3:21" ht="20.100000000000001" customHeight="1" x14ac:dyDescent="0.25">
      <c r="D45" s="53" t="s">
        <v>19</v>
      </c>
      <c r="E45" s="54" t="str" cm="1">
        <f t="array" ref="E45">MMS_poultry_Methane_Equations.VEERG_4_6_1_1__2_Stage1MethaneProduction_Unit()</f>
        <v>kg CH4/bird/day</v>
      </c>
    </row>
    <row r="46" spans="3:21" ht="20.100000000000001" customHeight="1" x14ac:dyDescent="0.25"/>
    <row r="47" spans="3:21" ht="20.100000000000001" customHeight="1" x14ac:dyDescent="0.25">
      <c r="D47" s="57" t="str" cm="1">
        <f t="array" ref="D47:E52">MMS_poultry_Methane_Equations.VEERG_4_6_1_1__2_Stage1MethaneProduction_Arguments()</f>
        <v>VS_jk</v>
      </c>
      <c r="E47" s="58" t="str">
        <v>volatile solid production poultry classes : kg VS/bird/day</v>
      </c>
      <c r="F47" s="59"/>
      <c r="G47" s="57" t="str">
        <f>"See " &amp; D32</f>
        <v>See M1_Table_VS_j_k</v>
      </c>
    </row>
    <row r="48" spans="3:21" ht="20.100000000000001" customHeight="1" x14ac:dyDescent="0.25">
      <c r="D48" s="57" t="str">
        <v>BO_j</v>
      </c>
      <c r="E48" s="58" t="str">
        <v>emissions potential per class : m3 CH4/kg VS</v>
      </c>
      <c r="F48" s="59"/>
      <c r="G48" s="57" t="str">
        <f>"See " &amp; D62</f>
        <v>See Table_B_0_j</v>
      </c>
    </row>
    <row r="49" spans="4:9" ht="20.100000000000001" customHeight="1" x14ac:dyDescent="0.25">
      <c r="D49" s="57" t="str">
        <v>MMS_jmT1</v>
      </c>
      <c r="E49" s="58" t="str">
        <v>fraction of manure in each primary system : fraction</v>
      </c>
      <c r="F49" s="59"/>
      <c r="G49" s="57" t="str">
        <f>"See " &amp; D54</f>
        <v>See Table_MMS_j_m_T-1</v>
      </c>
    </row>
    <row r="50" spans="4:9" ht="20.100000000000001" customHeight="1" x14ac:dyDescent="0.25">
      <c r="D50" s="57" t="str">
        <v>MCF_im</v>
      </c>
      <c r="E50" s="58" t="str">
        <v>methane conversion factor for temperature zone and MMS : fraction</v>
      </c>
      <c r="F50" s="59"/>
      <c r="G50" s="57" t="str">
        <f>"See " &amp; D67</f>
        <v>See Table_MCF_i_m</v>
      </c>
    </row>
    <row r="51" spans="4:9" ht="20.100000000000001" customHeight="1" x14ac:dyDescent="0.25">
      <c r="D51" s="57" t="str">
        <v>rho</v>
      </c>
      <c r="E51" s="58" t="str">
        <v>density of methane : kg/m3</v>
      </c>
      <c r="F51" s="59"/>
      <c r="G51" s="57">
        <f>'Constants - Common'!$D$175</f>
        <v>0.6784</v>
      </c>
    </row>
    <row r="52" spans="4:9" ht="20.100000000000001" customHeight="1" x14ac:dyDescent="0.25">
      <c r="D52" s="57" t="str">
        <v>i</v>
      </c>
      <c r="E52" s="58" t="str">
        <v>state</v>
      </c>
      <c r="F52" s="59"/>
      <c r="G52" s="57" t="str">
        <f>'Input - Site'!$E$21</f>
        <v>Western Australia</v>
      </c>
    </row>
    <row r="53" spans="4:9" ht="20.100000000000001" customHeight="1" x14ac:dyDescent="0.25"/>
    <row r="54" spans="4:9" ht="20.100000000000001" customHeight="1" x14ac:dyDescent="0.25">
      <c r="D54" s="99" t="s">
        <v>163</v>
      </c>
    </row>
    <row r="55" spans="4:9" ht="20.100000000000001" customHeight="1" x14ac:dyDescent="0.25">
      <c r="D55" s="98" t="s">
        <v>277</v>
      </c>
    </row>
    <row r="56" spans="4:9" ht="20.100000000000001" customHeight="1" x14ac:dyDescent="0.25">
      <c r="D56" s="51" t="s">
        <v>147</v>
      </c>
      <c r="E56" s="51" t="s">
        <v>242</v>
      </c>
      <c r="F56" s="51" t="s">
        <v>243</v>
      </c>
      <c r="G56" s="51" t="s">
        <v>257</v>
      </c>
      <c r="H56" s="51" t="s">
        <v>258</v>
      </c>
    </row>
    <row r="57" spans="4:9" ht="20.100000000000001" customHeight="1" x14ac:dyDescent="0.25">
      <c r="D57" s="52" t="str">
        <f>'Input - Poultry'!$D$30</f>
        <v>Belt manure removal</v>
      </c>
      <c r="E57" s="52">
        <f>'Input - Poultry'!E30</f>
        <v>0.3</v>
      </c>
      <c r="F57" s="52">
        <f>'Input - Poultry'!F30</f>
        <v>0.15</v>
      </c>
      <c r="G57" s="52">
        <f>'Input - Poultry'!G30</f>
        <v>0.15</v>
      </c>
      <c r="H57" s="52">
        <f>'Input - Poultry'!H30</f>
        <v>0.15</v>
      </c>
      <c r="I57" s="2" t="s">
        <v>117</v>
      </c>
    </row>
    <row r="58" spans="4:9" ht="20.100000000000001" customHeight="1" x14ac:dyDescent="0.25">
      <c r="D58" s="52" t="str">
        <f>'Input - Poultry'!$D$31</f>
        <v>Manure stored in house</v>
      </c>
      <c r="E58" s="52">
        <f>'Input - Poultry'!E31</f>
        <v>0.3</v>
      </c>
      <c r="F58" s="52">
        <f>'Input - Poultry'!F31</f>
        <v>0.15</v>
      </c>
      <c r="G58" s="52">
        <f>'Input - Poultry'!G31</f>
        <v>0.15</v>
      </c>
      <c r="H58" s="52">
        <f>'Input - Poultry'!H31</f>
        <v>0.15</v>
      </c>
      <c r="I58" s="2" t="s">
        <v>117</v>
      </c>
    </row>
    <row r="59" spans="4:9" ht="20.100000000000001" customHeight="1" x14ac:dyDescent="0.25">
      <c r="D59" s="52" t="str">
        <f>'Input - Poultry'!$D$32</f>
        <v>Pasture range and paddock</v>
      </c>
      <c r="E59" s="52">
        <f>'Input - Poultry'!E32</f>
        <v>0.3</v>
      </c>
      <c r="F59" s="52">
        <f>'Input - Poultry'!F32</f>
        <v>0.15</v>
      </c>
      <c r="G59" s="52">
        <f>'Input - Poultry'!G32</f>
        <v>0.15</v>
      </c>
      <c r="H59" s="52">
        <f>'Input - Poultry'!H32</f>
        <v>0.15</v>
      </c>
      <c r="I59" s="2" t="s">
        <v>117</v>
      </c>
    </row>
    <row r="60" spans="4:9" ht="20.100000000000001" customHeight="1" x14ac:dyDescent="0.25">
      <c r="D60" s="52" t="str">
        <f>'Input - Poultry'!$D$33</f>
        <v>No MMS</v>
      </c>
      <c r="E60" s="52">
        <f>'Input - Poultry'!E33</f>
        <v>0.1</v>
      </c>
      <c r="F60" s="52">
        <f>'Input - Poultry'!F33</f>
        <v>0.1</v>
      </c>
      <c r="G60" s="52">
        <f>'Input - Poultry'!G33</f>
        <v>0.1</v>
      </c>
      <c r="H60" s="52">
        <f>'Input - Poultry'!H33</f>
        <v>0.1</v>
      </c>
      <c r="I60" s="2" t="s">
        <v>117</v>
      </c>
    </row>
    <row r="61" spans="4:9" ht="20.100000000000001" customHeight="1" x14ac:dyDescent="0.25"/>
    <row r="62" spans="4:9" ht="20.100000000000001" customHeight="1" x14ac:dyDescent="0.25">
      <c r="D62" s="99" t="s">
        <v>272</v>
      </c>
      <c r="G62" s="13"/>
    </row>
    <row r="63" spans="4:9" ht="20.100000000000001" customHeight="1" x14ac:dyDescent="0.25">
      <c r="D63" s="98" t="s">
        <v>273</v>
      </c>
    </row>
    <row r="64" spans="4:9" ht="20.100000000000001" customHeight="1" x14ac:dyDescent="0.25">
      <c r="D64" s="51" t="s">
        <v>242</v>
      </c>
      <c r="E64" s="51" t="s">
        <v>243</v>
      </c>
      <c r="F64" s="51" t="s">
        <v>257</v>
      </c>
      <c r="G64" s="51" t="s">
        <v>258</v>
      </c>
    </row>
    <row r="65" spans="4:14" ht="20.100000000000001" customHeight="1" x14ac:dyDescent="0.25">
      <c r="D65" s="52">
        <f>'Constants - Poultry'!$E$20</f>
        <v>0.39</v>
      </c>
      <c r="E65" s="52">
        <f>'Constants - Poultry'!$E$21</f>
        <v>0.36</v>
      </c>
      <c r="F65" s="52">
        <f>'Constants - Poultry'!$E$21</f>
        <v>0.36</v>
      </c>
      <c r="G65" s="52">
        <f>'Constants - Poultry'!$E$21</f>
        <v>0.36</v>
      </c>
      <c r="H65" s="2" t="s">
        <v>274</v>
      </c>
    </row>
    <row r="66" spans="4:14" ht="20.100000000000001" customHeight="1" x14ac:dyDescent="0.25"/>
    <row r="67" spans="4:14" ht="20.100000000000001" customHeight="1" x14ac:dyDescent="0.25">
      <c r="D67" s="120" t="s">
        <v>143</v>
      </c>
    </row>
    <row r="68" spans="4:14" ht="20.100000000000001" customHeight="1" x14ac:dyDescent="0.25">
      <c r="D68" s="121" t="s">
        <v>144</v>
      </c>
    </row>
    <row r="69" spans="4:14" ht="20.100000000000001" customHeight="1" x14ac:dyDescent="0.25">
      <c r="D69" s="51" t="s">
        <v>67</v>
      </c>
      <c r="E69" s="51" t="s">
        <v>98</v>
      </c>
    </row>
    <row r="70" spans="4:14" ht="20.100000000000001" customHeight="1" x14ac:dyDescent="0.25">
      <c r="D70" s="57" t="str">
        <f>'Constants - Poultry'!D29</f>
        <v>Poultry manure with bedding</v>
      </c>
      <c r="E70" s="52" cm="1">
        <f t="array" ref="E70">CommonLivestock_InputFunctions.Livestock_LookupMCFState(D70,Table_SourceData_Poultry_MMSMCF[NIR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1.4999999999999999E-2</v>
      </c>
    </row>
    <row r="71" spans="4:14" ht="20.100000000000001" customHeight="1" x14ac:dyDescent="0.25">
      <c r="D71" s="57" t="str">
        <f>'Constants - Poultry'!D30</f>
        <v>Belt manure removal</v>
      </c>
      <c r="E71" s="52" cm="1">
        <f t="array" ref="E71">CommonLivestock_InputFunctions.Livestock_LookupMCFState(D71,Table_SourceData_Poultry_MMSMCF[NIR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1.4999999999999999E-2</v>
      </c>
    </row>
    <row r="72" spans="4:14" ht="20.100000000000001" customHeight="1" x14ac:dyDescent="0.25">
      <c r="D72" s="57" t="str">
        <f>'Constants - Poultry'!D31</f>
        <v>Manure stored in house</v>
      </c>
      <c r="E72" s="52" cm="1">
        <f t="array" ref="E72">CommonLivestock_InputFunctions.Livestock_LookupMCFState(D72,Table_SourceData_Poultry_MMSMCF[NIR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1.4999999999999999E-2</v>
      </c>
    </row>
    <row r="73" spans="4:14" ht="20.100000000000001" customHeight="1" x14ac:dyDescent="0.25">
      <c r="D73" s="57" t="str">
        <f>'Constants - Poultry'!D32</f>
        <v>Pasture range and paddock</v>
      </c>
      <c r="E73" s="52" cm="1">
        <f t="array" ref="E73">CommonLivestock_InputFunctions.Livestock_LookupMCFState(D73,Table_SourceData_Poultry_MMSMCF[NIR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0.01</v>
      </c>
    </row>
    <row r="74" spans="4:14" ht="20.100000000000001" customHeight="1" x14ac:dyDescent="0.25">
      <c r="D74" s="57" t="str">
        <f>'Constants - Poultry'!D33</f>
        <v>Solid storage</v>
      </c>
      <c r="E74" s="52" cm="1">
        <f t="array" ref="E74">CommonLivestock_InputFunctions.Livestock_LookupMCFState(D74,Table_SourceData_Poultry_MMSMCF[NIR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0.02</v>
      </c>
    </row>
    <row r="75" spans="4:14" ht="20.100000000000001" customHeight="1" x14ac:dyDescent="0.25">
      <c r="D75" s="57" t="str">
        <f>'Constants - Poultry'!D34</f>
        <v>Composting (passive windrow)</v>
      </c>
      <c r="E75" s="52" cm="1">
        <f t="array" ref="E75">CommonLivestock_InputFunctions.Livestock_LookupMCFState(D75,Table_SourceData_Poultry_MMSMCF[NIR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0.01</v>
      </c>
    </row>
    <row r="76" spans="4:14" ht="20.100000000000001" customHeight="1" x14ac:dyDescent="0.25">
      <c r="D76" s="57" t="str">
        <f>'Constants - Poultry'!D35</f>
        <v>Digester / covered lagoons</v>
      </c>
      <c r="E76" s="52" cm="1">
        <f t="array" ref="E76">CommonLivestock_InputFunctions.Livestock_LookupMCFState(D76,Table_SourceData_Poultry_MMSMCF[NIR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0.1</v>
      </c>
    </row>
    <row r="77" spans="4:14" ht="20.100000000000001" customHeight="1" x14ac:dyDescent="0.25">
      <c r="D77" s="57" t="str">
        <f>'Constants - Poultry'!D36</f>
        <v>Direct processing</v>
      </c>
      <c r="E77" s="52" cm="1">
        <f t="array" ref="E77">CommonLivestock_InputFunctions.Livestock_LookupMCFState(D77,Table_SourceData_Poultry_MMSMCF[NIR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0</v>
      </c>
    </row>
    <row r="78" spans="4:14" ht="20.100000000000001" customHeight="1" x14ac:dyDescent="0.25">
      <c r="D78" s="57" t="str">
        <f>'Constants - Poultry'!D37</f>
        <v>Direct application</v>
      </c>
      <c r="E78" s="52" cm="1">
        <f t="array" ref="E78">CommonLivestock_InputFunctions.Livestock_LookupMCFState(D78,Table_SourceData_Poultry_MMSMCF[NIR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0</v>
      </c>
    </row>
    <row r="79" spans="4:14" ht="20.100000000000001" customHeight="1" x14ac:dyDescent="0.25"/>
    <row r="80" spans="4:14" ht="20.100000000000001" customHeight="1" x14ac:dyDescent="0.25">
      <c r="D80" s="99" t="s">
        <v>275</v>
      </c>
      <c r="N80" s="99" t="s">
        <v>275</v>
      </c>
    </row>
    <row r="81" spans="3:21" ht="20.100000000000001" customHeight="1" x14ac:dyDescent="0.25">
      <c r="D81" s="98" t="s">
        <v>276</v>
      </c>
      <c r="N81" s="98" t="s">
        <v>276</v>
      </c>
    </row>
    <row r="82" spans="3:21" ht="20.100000000000001" customHeight="1" x14ac:dyDescent="0.25">
      <c r="D82" s="51" t="s">
        <v>147</v>
      </c>
      <c r="E82" s="51" t="s">
        <v>242</v>
      </c>
      <c r="F82" s="51" t="s">
        <v>243</v>
      </c>
      <c r="G82" s="51" t="s">
        <v>257</v>
      </c>
      <c r="H82" s="51" t="s">
        <v>258</v>
      </c>
      <c r="N82" s="51" t="s">
        <v>147</v>
      </c>
      <c r="O82" s="51" t="s">
        <v>242</v>
      </c>
      <c r="P82" s="51" t="s">
        <v>243</v>
      </c>
      <c r="Q82" s="51" t="s">
        <v>257</v>
      </c>
      <c r="R82" s="51" t="s">
        <v>258</v>
      </c>
    </row>
    <row r="83" spans="3:21" ht="20.100000000000001" customHeight="1" x14ac:dyDescent="0.25">
      <c r="D83" s="52" t="str">
        <f>'Input - Poultry'!$D$30</f>
        <v>Belt manure removal</v>
      </c>
      <c r="E83" s="52" cm="1">
        <f t="array" ref="E83">MMS_poultry_Methane_Equations.VEERG_4_6_1_1__2_Stage1MethaneProduction(D$35,D$65,E57,_xlfn.XLOOKUP($D83,$D$70:$D$78,$E$70:$E$78),$G$51)</f>
        <v>1.6792109567999992E-5</v>
      </c>
      <c r="F83" s="52" cm="1">
        <f t="array" ref="F83">MMS_poultry_Methane_Equations.VEERG_4_6_1_1__2_Stage1MethaneProduction(E$35,E$65,F57,_xlfn.XLOOKUP($D83,$D$70:$D$78,$E$70:$E$78),$G$51)</f>
        <v>8.6876582399999957E-6</v>
      </c>
      <c r="G83" s="52" cm="1">
        <f t="array" ref="G83">MMS_poultry_Methane_Equations.VEERG_4_6_1_1__2_Stage1MethaneProduction(F$35,F$65,G57,_xlfn.XLOOKUP($D83,$D$70:$D$78,$E$70:$E$78),$G$51)</f>
        <v>9.2822215679999976E-6</v>
      </c>
      <c r="H83" s="52" cm="1">
        <f t="array" ref="H83">MMS_poultry_Methane_Equations.VEERG_4_6_1_1__2_Stage1MethaneProduction(G$35,G$65,H57,_xlfn.XLOOKUP($D83,$D$70:$D$78,$E$70:$E$78),$G$51)</f>
        <v>8.6876582399999957E-6</v>
      </c>
      <c r="I83" s="2" t="str">
        <f>$E$45</f>
        <v>kg CH4/bird/day</v>
      </c>
      <c r="N83" s="52" t="str">
        <f>'Input - Poultry'!$D$30</f>
        <v>Belt manure removal</v>
      </c>
      <c r="O83" s="52" cm="1">
        <f t="array" ref="O83">MMS_poultry_Methane_Equations.VEERG_4_6_1_1__2_Stage1MethaneProduction(N$35,D$65,E57,_xlfn.XLOOKUP($N83,$D$70:$D$78,$E$70:$E$78),$G$51)</f>
        <v>1.6792109567999992E-5</v>
      </c>
      <c r="P83" s="52" cm="1">
        <f t="array" ref="P83">MMS_poultry_Methane_Equations.VEERG_4_6_1_1__2_Stage1MethaneProduction(O$35,E$65,F57,_xlfn.XLOOKUP($N83,$D$70:$D$78,$E$70:$E$78),$G$51)</f>
        <v>8.6876582399999957E-6</v>
      </c>
      <c r="Q83" s="52" cm="1">
        <f t="array" ref="Q83">MMS_poultry_Methane_Equations.VEERG_4_6_1_1__2_Stage1MethaneProduction(P$35,F$65,G57,_xlfn.XLOOKUP($N83,$D$70:$D$78,$E$70:$E$78),$G$51)</f>
        <v>9.2822215679999976E-6</v>
      </c>
      <c r="R83" s="52" cm="1">
        <f t="array" ref="R83">MMS_poultry_Methane_Equations.VEERG_4_6_1_1__2_Stage1MethaneProduction(Q$35,G$65,H57,_xlfn.XLOOKUP($N83,$D$70:$D$78,$E$70:$E$78),$G$51)</f>
        <v>8.6876582399999957E-6</v>
      </c>
      <c r="S83" s="2" t="str">
        <f>$E$45</f>
        <v>kg CH4/bird/day</v>
      </c>
    </row>
    <row r="84" spans="3:21" ht="20.100000000000001" customHeight="1" x14ac:dyDescent="0.25">
      <c r="D84" s="52" t="str">
        <f>'Input - Poultry'!$D$31</f>
        <v>Manure stored in house</v>
      </c>
      <c r="E84" s="52" cm="1">
        <f t="array" ref="E84">MMS_poultry_Methane_Equations.VEERG_4_6_1_1__2_Stage1MethaneProduction(D$35,D$65,E58,_xlfn.XLOOKUP($D84,$D$70:$D$78,$E$70:$E$78),$G$51)</f>
        <v>1.6792109567999992E-5</v>
      </c>
      <c r="F84" s="52" cm="1">
        <f t="array" ref="F84">MMS_poultry_Methane_Equations.VEERG_4_6_1_1__2_Stage1MethaneProduction(E$35,E$65,F58,_xlfn.XLOOKUP($D84,$D$70:$D$78,$E$70:$E$78),$G$51)</f>
        <v>8.6876582399999957E-6</v>
      </c>
      <c r="G84" s="52" cm="1">
        <f t="array" ref="G84">MMS_poultry_Methane_Equations.VEERG_4_6_1_1__2_Stage1MethaneProduction(F$35,F$65,G58,_xlfn.XLOOKUP($D84,$D$70:$D$78,$E$70:$E$78),$G$51)</f>
        <v>9.2822215679999976E-6</v>
      </c>
      <c r="H84" s="52" cm="1">
        <f t="array" ref="H84">MMS_poultry_Methane_Equations.VEERG_4_6_1_1__2_Stage1MethaneProduction(G$35,G$65,H58,_xlfn.XLOOKUP($D84,$D$70:$D$78,$E$70:$E$78),$G$51)</f>
        <v>8.6876582399999957E-6</v>
      </c>
      <c r="I84" s="2" t="str">
        <f t="shared" ref="I84:I86" si="0">$E$45</f>
        <v>kg CH4/bird/day</v>
      </c>
      <c r="N84" s="52" t="str">
        <f>'Input - Poultry'!$D$31</f>
        <v>Manure stored in house</v>
      </c>
      <c r="O84" s="52" cm="1">
        <f t="array" ref="O84">MMS_poultry_Methane_Equations.VEERG_4_6_1_1__2_Stage1MethaneProduction(N$35,D$65,E58,_xlfn.XLOOKUP($N84,$D$70:$D$78,$E$70:$E$78),$G$51)</f>
        <v>1.6792109567999992E-5</v>
      </c>
      <c r="P84" s="52" cm="1">
        <f t="array" ref="P84">MMS_poultry_Methane_Equations.VEERG_4_6_1_1__2_Stage1MethaneProduction(O$35,E$65,F58,_xlfn.XLOOKUP($N84,$D$70:$D$78,$E$70:$E$78),$G$51)</f>
        <v>8.6876582399999957E-6</v>
      </c>
      <c r="Q84" s="52" cm="1">
        <f t="array" ref="Q84">MMS_poultry_Methane_Equations.VEERG_4_6_1_1__2_Stage1MethaneProduction(P$35,F$65,G58,_xlfn.XLOOKUP($N84,$D$70:$D$78,$E$70:$E$78),$G$51)</f>
        <v>9.2822215679999976E-6</v>
      </c>
      <c r="R84" s="52" cm="1">
        <f t="array" ref="R84">MMS_poultry_Methane_Equations.VEERG_4_6_1_1__2_Stage1MethaneProduction(Q$35,G$65,H58,_xlfn.XLOOKUP($N84,$D$70:$D$78,$E$70:$E$78),$G$51)</f>
        <v>8.6876582399999957E-6</v>
      </c>
      <c r="S84" s="2" t="str">
        <f t="shared" ref="S84:S86" si="1">$E$45</f>
        <v>kg CH4/bird/day</v>
      </c>
    </row>
    <row r="85" spans="3:21" ht="20.100000000000001" customHeight="1" x14ac:dyDescent="0.25">
      <c r="D85" s="52" t="str">
        <f>'Input - Poultry'!$D$32</f>
        <v>Pasture range and paddock</v>
      </c>
      <c r="E85" s="52" cm="1">
        <f t="array" ref="E85">MMS_poultry_Methane_Equations.VEERG_4_6_1_1__2_Stage1MethaneProduction(D$35,D$65,E59,_xlfn.XLOOKUP($D85,$D$70:$D$78,$E$70:$E$78),$G$51)</f>
        <v>1.1194739711999996E-5</v>
      </c>
      <c r="F85" s="52" cm="1">
        <f t="array" ref="F85">MMS_poultry_Methane_Equations.VEERG_4_6_1_1__2_Stage1MethaneProduction(E$35,E$65,F59,_xlfn.XLOOKUP($D85,$D$70:$D$78,$E$70:$E$78),$G$51)</f>
        <v>5.7917721599999983E-6</v>
      </c>
      <c r="G85" s="52" cm="1">
        <f t="array" ref="G85">MMS_poultry_Methane_Equations.VEERG_4_6_1_1__2_Stage1MethaneProduction(F$35,F$65,G59,_xlfn.XLOOKUP($D85,$D$70:$D$78,$E$70:$E$78),$G$51)</f>
        <v>6.1881477119999987E-6</v>
      </c>
      <c r="H85" s="52" cm="1">
        <f t="array" ref="H85">MMS_poultry_Methane_Equations.VEERG_4_6_1_1__2_Stage1MethaneProduction(G$35,G$65,H59,_xlfn.XLOOKUP($D85,$D$70:$D$78,$E$70:$E$78),$G$51)</f>
        <v>5.7917721599999983E-6</v>
      </c>
      <c r="I85" s="2" t="str">
        <f t="shared" si="0"/>
        <v>kg CH4/bird/day</v>
      </c>
      <c r="N85" s="52" t="str">
        <f>'Input - Poultry'!$D$32</f>
        <v>Pasture range and paddock</v>
      </c>
      <c r="O85" s="52" cm="1">
        <f t="array" ref="O85">MMS_poultry_Methane_Equations.VEERG_4_6_1_1__2_Stage1MethaneProduction(N$35,D$65,E59,_xlfn.XLOOKUP($N85,$D$70:$D$78,$E$70:$E$78),$G$51)</f>
        <v>1.1194739711999996E-5</v>
      </c>
      <c r="P85" s="52" cm="1">
        <f t="array" ref="P85">MMS_poultry_Methane_Equations.VEERG_4_6_1_1__2_Stage1MethaneProduction(O$35,E$65,F59,_xlfn.XLOOKUP($N85,$D$70:$D$78,$E$70:$E$78),$G$51)</f>
        <v>5.7917721599999983E-6</v>
      </c>
      <c r="Q85" s="52" cm="1">
        <f t="array" ref="Q85">MMS_poultry_Methane_Equations.VEERG_4_6_1_1__2_Stage1MethaneProduction(P$35,F$65,G59,_xlfn.XLOOKUP($N85,$D$70:$D$78,$E$70:$E$78),$G$51)</f>
        <v>6.1881477119999987E-6</v>
      </c>
      <c r="R85" s="52" cm="1">
        <f t="array" ref="R85">MMS_poultry_Methane_Equations.VEERG_4_6_1_1__2_Stage1MethaneProduction(Q$35,G$65,H59,_xlfn.XLOOKUP($N85,$D$70:$D$78,$E$70:$E$78),$G$51)</f>
        <v>5.7917721599999983E-6</v>
      </c>
      <c r="S85" s="2" t="str">
        <f t="shared" si="1"/>
        <v>kg CH4/bird/day</v>
      </c>
    </row>
    <row r="86" spans="3:21" ht="20.100000000000001" customHeight="1" x14ac:dyDescent="0.25">
      <c r="D86" s="52" t="str">
        <f>'Input - Poultry'!$D$33</f>
        <v>No MMS</v>
      </c>
      <c r="E86" s="52" t="e" cm="1">
        <f t="array" ref="E86">MMS_poultry_Methane_Equations.VEERG_4_6_1_1__2_Stage1MethaneProduction(D$35,D$65,E60,_xlfn.XLOOKUP($D86,$D$70:$D$78,$E$70:$E$78),$G$51)</f>
        <v>#N/A</v>
      </c>
      <c r="F86" s="52" t="e" cm="1">
        <f t="array" ref="F86">MMS_poultry_Methane_Equations.VEERG_4_6_1_1__2_Stage1MethaneProduction(E$35,E$65,F60,_xlfn.XLOOKUP($D86,$D$70:$D$78,$E$70:$E$78),$G$51)</f>
        <v>#N/A</v>
      </c>
      <c r="G86" s="52" t="e" cm="1">
        <f t="array" ref="G86">MMS_poultry_Methane_Equations.VEERG_4_6_1_1__2_Stage1MethaneProduction(F$35,F$65,G60,_xlfn.XLOOKUP($D86,$D$70:$D$78,$E$70:$E$78),$G$51)</f>
        <v>#N/A</v>
      </c>
      <c r="H86" s="52" t="e" cm="1">
        <f t="array" ref="H86">MMS_poultry_Methane_Equations.VEERG_4_6_1_1__2_Stage1MethaneProduction(G$35,G$65,H60,_xlfn.XLOOKUP($D86,$D$70:$D$78,$E$70:$E$78),$G$51)</f>
        <v>#N/A</v>
      </c>
      <c r="I86" s="2" t="str">
        <f t="shared" si="0"/>
        <v>kg CH4/bird/day</v>
      </c>
      <c r="N86" s="52" t="str">
        <f>'Input - Poultry'!$D$33</f>
        <v>No MMS</v>
      </c>
      <c r="O86" s="52" t="e" cm="1">
        <f t="array" ref="O86">MMS_poultry_Methane_Equations.VEERG_4_6_1_1__2_Stage1MethaneProduction(N$35,D$65,E60,_xlfn.XLOOKUP($N86,$D$70:$D$78,$E$70:$E$78),$G$51)</f>
        <v>#N/A</v>
      </c>
      <c r="P86" s="52" t="e" cm="1">
        <f t="array" ref="P86">MMS_poultry_Methane_Equations.VEERG_4_6_1_1__2_Stage1MethaneProduction(O$35,E$65,F60,_xlfn.XLOOKUP($N86,$D$70:$D$78,$E$70:$E$78),$G$51)</f>
        <v>#N/A</v>
      </c>
      <c r="Q86" s="52" t="e" cm="1">
        <f t="array" ref="Q86">MMS_poultry_Methane_Equations.VEERG_4_6_1_1__2_Stage1MethaneProduction(P$35,F$65,G60,_xlfn.XLOOKUP($N86,$D$70:$D$78,$E$70:$E$78),$G$51)</f>
        <v>#N/A</v>
      </c>
      <c r="R86" s="52" t="e" cm="1">
        <f t="array" ref="R86">MMS_poultry_Methane_Equations.VEERG_4_6_1_1__2_Stage1MethaneProduction(Q$35,G$65,H60,_xlfn.XLOOKUP($N86,$D$70:$D$78,$E$70:$E$78),$G$51)</f>
        <v>#N/A</v>
      </c>
      <c r="S86" s="2" t="str">
        <f t="shared" si="1"/>
        <v>kg CH4/bird/day</v>
      </c>
    </row>
    <row r="87" spans="3:21" ht="20.100000000000001" customHeight="1" x14ac:dyDescent="0.25"/>
    <row r="88" spans="3:21" ht="20.100000000000001" customHeight="1" x14ac:dyDescent="0.25"/>
    <row r="89" spans="3:21" ht="20.100000000000001" customHeight="1" x14ac:dyDescent="0.25">
      <c r="C89" s="45"/>
      <c r="D89" s="45"/>
      <c r="E89" s="45"/>
      <c r="F89" s="45"/>
      <c r="G89" s="45"/>
      <c r="H89" s="45"/>
      <c r="I89" s="45"/>
      <c r="J89" s="45"/>
      <c r="K89" s="45"/>
      <c r="M89" s="45"/>
      <c r="N89" s="45"/>
      <c r="O89" s="45"/>
      <c r="P89" s="45"/>
      <c r="Q89" s="45"/>
      <c r="R89" s="45"/>
      <c r="S89" s="45"/>
      <c r="T89" s="45"/>
      <c r="U89" s="45"/>
    </row>
    <row r="90" spans="3:21" ht="20.100000000000001" customHeight="1" x14ac:dyDescent="0.25">
      <c r="D90" s="6" t="str" cm="1">
        <f t="array" ref="D90">MMS_poultry_Methane_Equations.VEERG_4_6_1_1__4_VolatileSolidsTransferred_Title()</f>
        <v>Volatile solids transferred to treatment stage 2 MMS</v>
      </c>
    </row>
    <row r="91" spans="3:21" ht="20.100000000000001" customHeight="1" x14ac:dyDescent="0.25">
      <c r="D91" s="5" t="str" cm="1">
        <f t="array" ref="D91">MMS_poultry_Methane_Equations.VEERG_4_6_1_1__4_VolatileSolidsTransferred_Source()</f>
        <v>VEERG 2026: 4.4.1.1, Equation (4)</v>
      </c>
    </row>
    <row r="92" spans="3:21" ht="20.100000000000001" customHeight="1" x14ac:dyDescent="0.25">
      <c r="D92" s="13" t="s">
        <v>26</v>
      </c>
      <c r="E92" s="13" t="str" cm="1">
        <f t="array" aca="1" ref="E92" ca="1">Common_InputFunctions.Utility_DisplayFunctionName(E112)</f>
        <v>=MMS_poultry_Methane_Equations.VEERG_4_6_1_1__4_VolatileSolidsTransferred</v>
      </c>
    </row>
    <row r="93" spans="3:21" ht="20.100000000000001" customHeight="1" x14ac:dyDescent="0.25"/>
    <row r="94" spans="3:21" ht="20.100000000000001" customHeight="1" x14ac:dyDescent="0.25"/>
    <row r="95" spans="3:21" ht="20.100000000000001" customHeight="1" x14ac:dyDescent="0.25">
      <c r="D95" s="53" t="s">
        <v>29</v>
      </c>
      <c r="E95" s="1" t="str" cm="1">
        <f t="array" ref="E95">MMS_poultry_Methane_Equations.VEERG_4_6_1_1__4_VolatileSolidsTransferred_Variable()</f>
        <v>VST_jk</v>
      </c>
    </row>
    <row r="96" spans="3:21" ht="20.100000000000001" customHeight="1" x14ac:dyDescent="0.25">
      <c r="D96" s="53" t="s">
        <v>19</v>
      </c>
      <c r="E96" s="54" t="str" cm="1">
        <f t="array" ref="E96">MMS_poultry_Methane_Equations.VEERG_4_6_1_1__4_VolatileSolidsTransferred_Unit()</f>
        <v>kg VS/bird/day</v>
      </c>
    </row>
    <row r="97" spans="4:19" ht="20.100000000000001" customHeight="1" x14ac:dyDescent="0.25"/>
    <row r="98" spans="4:19" ht="20.100000000000001" customHeight="1" x14ac:dyDescent="0.25">
      <c r="D98" s="57" t="str" cm="1">
        <f t="array" ref="D98:E100">MMS_poultry_Methane_Equations.VEERG_4_6_1_1__4_VolatileSolidsTransferred_Arguments()</f>
        <v>VS_jk</v>
      </c>
      <c r="E98" s="58" t="str">
        <v>volatile solid production poultry classes : kg VS/bird/day</v>
      </c>
      <c r="F98" s="59"/>
      <c r="G98" s="57" t="str">
        <f>"See " &amp; D32</f>
        <v>See M1_Table_VS_j_k</v>
      </c>
    </row>
    <row r="99" spans="4:19" ht="20.100000000000001" customHeight="1" x14ac:dyDescent="0.25">
      <c r="D99" s="57" t="str">
        <v>MMS_jmT1</v>
      </c>
      <c r="E99" s="58" t="str">
        <v>fraction of manure in each primary system : fraction</v>
      </c>
      <c r="F99" s="59"/>
      <c r="G99" s="57" t="str">
        <f>"See " &amp; D54</f>
        <v>See Table_MMS_j_m_T-1</v>
      </c>
    </row>
    <row r="100" spans="4:19" ht="20.100000000000001" customHeight="1" x14ac:dyDescent="0.25">
      <c r="D100" s="57" t="str">
        <v>VSL_mT1</v>
      </c>
      <c r="E100" s="58" t="str">
        <v>fraction of volatile solids lost during storage in the primary system : fraction</v>
      </c>
      <c r="F100" s="59"/>
      <c r="G100" s="57" t="str">
        <f>"See " &amp; D102</f>
        <v>See Table_VSL_m_T-1</v>
      </c>
    </row>
    <row r="101" spans="4:19" ht="20.100000000000001" customHeight="1" x14ac:dyDescent="0.25"/>
    <row r="102" spans="4:19" ht="20.100000000000001" customHeight="1" x14ac:dyDescent="0.25">
      <c r="D102" s="140" t="s">
        <v>140</v>
      </c>
    </row>
    <row r="103" spans="4:19" ht="20.100000000000001" customHeight="1" x14ac:dyDescent="0.25">
      <c r="D103" s="141" t="s">
        <v>278</v>
      </c>
    </row>
    <row r="104" spans="4:19" ht="20.100000000000001" customHeight="1" x14ac:dyDescent="0.25">
      <c r="D104" s="51" t="s">
        <v>147</v>
      </c>
      <c r="E104" s="51" t="s">
        <v>279</v>
      </c>
    </row>
    <row r="105" spans="4:19" ht="20.100000000000001" customHeight="1" x14ac:dyDescent="0.25">
      <c r="D105" s="52" t="str">
        <f>'Input - Poultry'!$D$30</f>
        <v>Belt manure removal</v>
      </c>
      <c r="E105" s="52" cm="1">
        <f t="array" ref="E105">Common_InputFunctions.Utility_LookupValueInTableNumber(D105, Table_SourceData_Poultry_MMSVSL[NIR definition],Table_SourceData_Poultry_MMSVSL[VSL])</f>
        <v>0</v>
      </c>
      <c r="F105" s="2" t="s">
        <v>117</v>
      </c>
    </row>
    <row r="106" spans="4:19" ht="20.100000000000001" customHeight="1" x14ac:dyDescent="0.25">
      <c r="D106" s="52" t="str">
        <f>'Input - Poultry'!$D$31</f>
        <v>Manure stored in house</v>
      </c>
      <c r="E106" s="52" cm="1">
        <f t="array" ref="E106">Common_InputFunctions.Utility_LookupValueInTableNumber(D106, Table_SourceData_Poultry_MMSVSL[NIR definition],Table_SourceData_Poultry_MMSVSL[VSL])</f>
        <v>0.2</v>
      </c>
      <c r="F106" s="2" t="s">
        <v>117</v>
      </c>
    </row>
    <row r="107" spans="4:19" ht="20.100000000000001" customHeight="1" x14ac:dyDescent="0.25">
      <c r="D107" s="52" t="str">
        <f>'Input - Poultry'!$D$32</f>
        <v>Pasture range and paddock</v>
      </c>
      <c r="E107" s="52" cm="1">
        <f t="array" ref="E107">Common_InputFunctions.Utility_LookupValueInTableNumber(D107, Table_SourceData_Poultry_MMSVSL[NIR definition],Table_SourceData_Poultry_MMSVSL[VSL])</f>
        <v>0</v>
      </c>
      <c r="F107" s="2" t="s">
        <v>117</v>
      </c>
    </row>
    <row r="108" spans="4:19" ht="20.100000000000001" customHeight="1" x14ac:dyDescent="0.25">
      <c r="F108" s="2"/>
    </row>
    <row r="109" spans="4:19" ht="20.100000000000001" customHeight="1" x14ac:dyDescent="0.25">
      <c r="D109" s="99" t="s">
        <v>280</v>
      </c>
      <c r="N109" s="99" t="s">
        <v>281</v>
      </c>
    </row>
    <row r="110" spans="4:19" ht="20.100000000000001" customHeight="1" x14ac:dyDescent="0.25">
      <c r="D110" s="98" t="s">
        <v>282</v>
      </c>
      <c r="N110" s="98" t="s">
        <v>283</v>
      </c>
    </row>
    <row r="111" spans="4:19" ht="20.100000000000001" customHeight="1" x14ac:dyDescent="0.25">
      <c r="D111" s="51" t="s">
        <v>147</v>
      </c>
      <c r="E111" s="51" t="s">
        <v>242</v>
      </c>
      <c r="F111" s="51" t="s">
        <v>243</v>
      </c>
      <c r="G111" s="51" t="s">
        <v>257</v>
      </c>
      <c r="H111" s="51" t="s">
        <v>258</v>
      </c>
      <c r="N111" s="51" t="s">
        <v>147</v>
      </c>
      <c r="O111" s="51" t="s">
        <v>242</v>
      </c>
      <c r="P111" s="51" t="s">
        <v>243</v>
      </c>
      <c r="Q111" s="51" t="s">
        <v>257</v>
      </c>
      <c r="R111" s="51" t="s">
        <v>258</v>
      </c>
    </row>
    <row r="112" spans="4:19" ht="20.100000000000001" customHeight="1" x14ac:dyDescent="0.25">
      <c r="D112" s="52" t="str">
        <f>'Input - Poultry'!$D$30</f>
        <v>Belt manure removal</v>
      </c>
      <c r="E112" s="52" cm="1">
        <f t="array" ref="E112">MMS_poultry_Methane_Equations.VEERG_4_6_1_1__4_VolatileSolidsTransferred(D$35,E57,_xlfn.XLOOKUP($D112,$D$105:$D$107,$E$105:$E$107))</f>
        <v>4.2311999999999983E-3</v>
      </c>
      <c r="F112" s="52" cm="1">
        <f t="array" ref="F112">MMS_poultry_Methane_Equations.VEERG_4_6_1_1__4_VolatileSolidsTransferred(E$35,F57,_xlfn.XLOOKUP($D112,$D$105:$D$107,$E$105:$E$107))</f>
        <v>2.371499999999999E-3</v>
      </c>
      <c r="G112" s="52" cm="1">
        <f t="array" ref="G112">MMS_poultry_Methane_Equations.VEERG_4_6_1_1__4_VolatileSolidsTransferred(F$35,G57,_xlfn.XLOOKUP($D112,$D$105:$D$107,$E$105:$E$107))</f>
        <v>2.5337999999999997E-3</v>
      </c>
      <c r="H112" s="52" cm="1">
        <f t="array" ref="H112">MMS_poultry_Methane_Equations.VEERG_4_6_1_1__4_VolatileSolidsTransferred(G$35,H57,_xlfn.XLOOKUP($D112,$D$105:$D$107,$E$105:$E$107))</f>
        <v>2.371499999999999E-3</v>
      </c>
      <c r="I112" s="2" t="str">
        <f>$E$96</f>
        <v>kg VS/bird/day</v>
      </c>
      <c r="N112" s="52" t="str">
        <f>'Input - Poultry'!$D$30</f>
        <v>Belt manure removal</v>
      </c>
      <c r="O112" s="52" cm="1">
        <f t="array" ref="O112">MMS_poultry_Methane_Equations.VEERG_4_6_1_1__4_VolatileSolidsTransferred(N$35,E57,_xlfn.XLOOKUP($N112,$D$105:$D$107,$E$105:$E$107))</f>
        <v>4.2311999999999983E-3</v>
      </c>
      <c r="P112" s="52" cm="1">
        <f t="array" ref="P112">MMS_poultry_Methane_Equations.VEERG_4_6_1_1__4_VolatileSolidsTransferred(O$35,F57,_xlfn.XLOOKUP($N112,$D$105:$D$107,$E$105:$E$107))</f>
        <v>2.371499999999999E-3</v>
      </c>
      <c r="Q112" s="52" cm="1">
        <f t="array" ref="Q112">MMS_poultry_Methane_Equations.VEERG_4_6_1_1__4_VolatileSolidsTransferred(P$35,G57,_xlfn.XLOOKUP($N112,$D$105:$D$107,$E$105:$E$107))</f>
        <v>2.5337999999999997E-3</v>
      </c>
      <c r="R112" s="52" cm="1">
        <f t="array" ref="R112">MMS_poultry_Methane_Equations.VEERG_4_6_1_1__4_VolatileSolidsTransferred(Q$35,H57,_xlfn.XLOOKUP($N112,$D$105:$D$107,$E$105:$E$107))</f>
        <v>2.371499999999999E-3</v>
      </c>
      <c r="S112" s="2" t="str">
        <f>$E$96</f>
        <v>kg VS/bird/day</v>
      </c>
    </row>
    <row r="113" spans="3:21" ht="20.100000000000001" customHeight="1" x14ac:dyDescent="0.25">
      <c r="D113" s="52" t="str">
        <f>'Input - Poultry'!$D$31</f>
        <v>Manure stored in house</v>
      </c>
      <c r="E113" s="52" cm="1">
        <f t="array" ref="E113">MMS_poultry_Methane_Equations.VEERG_4_6_1_1__4_VolatileSolidsTransferred(D$35,E58,_xlfn.XLOOKUP($D113,$D$105:$D$107,$E$105:$E$107))</f>
        <v>3.3849599999999989E-3</v>
      </c>
      <c r="F113" s="52" cm="1">
        <f t="array" ref="F113">MMS_poultry_Methane_Equations.VEERG_4_6_1_1__4_VolatileSolidsTransferred(E$35,F58,_xlfn.XLOOKUP($D113,$D$105:$D$107,$E$105:$E$107))</f>
        <v>1.8971999999999993E-3</v>
      </c>
      <c r="G113" s="52" cm="1">
        <f t="array" ref="G113">MMS_poultry_Methane_Equations.VEERG_4_6_1_1__4_VolatileSolidsTransferred(F$35,G58,_xlfn.XLOOKUP($D113,$D$105:$D$107,$E$105:$E$107))</f>
        <v>2.0270399999999999E-3</v>
      </c>
      <c r="H113" s="52" cm="1">
        <f t="array" ref="H113">MMS_poultry_Methane_Equations.VEERG_4_6_1_1__4_VolatileSolidsTransferred(G$35,H58,_xlfn.XLOOKUP($D113,$D$105:$D$107,$E$105:$E$107))</f>
        <v>1.8971999999999993E-3</v>
      </c>
      <c r="I113" s="2" t="str">
        <f t="shared" ref="I113:I116" si="2">$E$96</f>
        <v>kg VS/bird/day</v>
      </c>
      <c r="N113" s="52" t="str">
        <f>'Input - Poultry'!$D$31</f>
        <v>Manure stored in house</v>
      </c>
      <c r="O113" s="52" cm="1">
        <f t="array" ref="O113">MMS_poultry_Methane_Equations.VEERG_4_6_1_1__4_VolatileSolidsTransferred(N$35,E58,_xlfn.XLOOKUP($N113,$D$105:$D$107,$E$105:$E$107))</f>
        <v>3.3849599999999989E-3</v>
      </c>
      <c r="P113" s="52" cm="1">
        <f t="array" ref="P113">MMS_poultry_Methane_Equations.VEERG_4_6_1_1__4_VolatileSolidsTransferred(O$35,F58,_xlfn.XLOOKUP($N113,$D$105:$D$107,$E$105:$E$107))</f>
        <v>1.8971999999999993E-3</v>
      </c>
      <c r="Q113" s="52" cm="1">
        <f t="array" ref="Q113">MMS_poultry_Methane_Equations.VEERG_4_6_1_1__4_VolatileSolidsTransferred(P$35,G58,_xlfn.XLOOKUP($N113,$D$105:$D$107,$E$105:$E$107))</f>
        <v>2.0270399999999999E-3</v>
      </c>
      <c r="R113" s="52" cm="1">
        <f t="array" ref="R113">MMS_poultry_Methane_Equations.VEERG_4_6_1_1__4_VolatileSolidsTransferred(Q$35,H58,_xlfn.XLOOKUP($N113,$D$105:$D$107,$E$105:$E$107))</f>
        <v>1.8971999999999993E-3</v>
      </c>
      <c r="S113" s="2" t="str">
        <f t="shared" ref="S113:S114" si="3">$E$96</f>
        <v>kg VS/bird/day</v>
      </c>
    </row>
    <row r="114" spans="3:21" ht="20.100000000000001" customHeight="1" x14ac:dyDescent="0.25">
      <c r="D114" s="52" t="str">
        <f>'Input - Poultry'!$D$32</f>
        <v>Pasture range and paddock</v>
      </c>
      <c r="E114" s="52" cm="1">
        <f t="array" ref="E114">MMS_poultry_Methane_Equations.VEERG_4_6_1_1__4_VolatileSolidsTransferred(D$35,E59,_xlfn.XLOOKUP($D114,$D$105:$D$107,$E$105:$E$107))</f>
        <v>4.2311999999999983E-3</v>
      </c>
      <c r="F114" s="52" cm="1">
        <f t="array" ref="F114">MMS_poultry_Methane_Equations.VEERG_4_6_1_1__4_VolatileSolidsTransferred(E$35,F59,_xlfn.XLOOKUP($D114,$D$105:$D$107,$E$105:$E$107))</f>
        <v>2.371499999999999E-3</v>
      </c>
      <c r="G114" s="52" cm="1">
        <f t="array" ref="G114">MMS_poultry_Methane_Equations.VEERG_4_6_1_1__4_VolatileSolidsTransferred(F$35,G59,_xlfn.XLOOKUP($D114,$D$105:$D$107,$E$105:$E$107))</f>
        <v>2.5337999999999997E-3</v>
      </c>
      <c r="H114" s="52" cm="1">
        <f t="array" ref="H114">MMS_poultry_Methane_Equations.VEERG_4_6_1_1__4_VolatileSolidsTransferred(G$35,H59,_xlfn.XLOOKUP($D114,$D$105:$D$107,$E$105:$E$107))</f>
        <v>2.371499999999999E-3</v>
      </c>
      <c r="I114" s="2" t="str">
        <f t="shared" si="2"/>
        <v>kg VS/bird/day</v>
      </c>
      <c r="N114" s="52" t="str">
        <f>'Input - Poultry'!$D$32</f>
        <v>Pasture range and paddock</v>
      </c>
      <c r="O114" s="52" cm="1">
        <f t="array" ref="O114">MMS_poultry_Methane_Equations.VEERG_4_6_1_1__4_VolatileSolidsTransferred(N$35,E59,_xlfn.XLOOKUP($N114,$D$105:$D$107,$E$105:$E$107))</f>
        <v>4.2311999999999983E-3</v>
      </c>
      <c r="P114" s="52" cm="1">
        <f t="array" ref="P114">MMS_poultry_Methane_Equations.VEERG_4_6_1_1__4_VolatileSolidsTransferred(O$35,F59,_xlfn.XLOOKUP($N114,$D$105:$D$107,$E$105:$E$107))</f>
        <v>2.371499999999999E-3</v>
      </c>
      <c r="Q114" s="52" cm="1">
        <f t="array" ref="Q114">MMS_poultry_Methane_Equations.VEERG_4_6_1_1__4_VolatileSolidsTransferred(P$35,G59,_xlfn.XLOOKUP($N114,$D$105:$D$107,$E$105:$E$107))</f>
        <v>2.5337999999999997E-3</v>
      </c>
      <c r="R114" s="52" cm="1">
        <f t="array" ref="R114">MMS_poultry_Methane_Equations.VEERG_4_6_1_1__4_VolatileSolidsTransferred(Q$35,H59,_xlfn.XLOOKUP($N114,$D$105:$D$107,$E$105:$E$107))</f>
        <v>2.371499999999999E-3</v>
      </c>
      <c r="S114" s="2" t="str">
        <f t="shared" si="3"/>
        <v>kg VS/bird/day</v>
      </c>
    </row>
    <row r="115" spans="3:21" ht="20.100000000000001" customHeight="1" x14ac:dyDescent="0.25"/>
    <row r="116" spans="3:21" ht="20.100000000000001" customHeight="1" x14ac:dyDescent="0.25"/>
    <row r="117" spans="3:21" ht="20.100000000000001" customHeight="1" x14ac:dyDescent="0.25">
      <c r="C117" s="45"/>
      <c r="D117" s="45"/>
      <c r="E117" s="45"/>
      <c r="F117" s="45"/>
      <c r="G117" s="45"/>
      <c r="H117" s="45"/>
      <c r="I117" s="45"/>
      <c r="J117" s="45"/>
      <c r="K117" s="45"/>
      <c r="M117" s="45"/>
      <c r="N117" s="45"/>
      <c r="O117" s="45"/>
      <c r="P117" s="45"/>
      <c r="Q117" s="45"/>
      <c r="R117" s="45"/>
      <c r="S117" s="45"/>
      <c r="T117" s="45"/>
      <c r="U117" s="45"/>
    </row>
    <row r="118" spans="3:21" ht="20.100000000000001" customHeight="1" x14ac:dyDescent="0.25">
      <c r="D118" s="6" t="str" cm="1">
        <f t="array" ref="D118">MMS_poultry_Methane_Equations.VEERG_4_6_1_1__3_Stage2MethaneProduction_Title()</f>
        <v>Production of methane in treatment stage 2 MMS</v>
      </c>
    </row>
    <row r="119" spans="3:21" ht="20.100000000000001" customHeight="1" x14ac:dyDescent="0.25">
      <c r="D119" s="5" t="str" cm="1">
        <f t="array" ref="D119">MMS_poultry_Methane_Equations.VEERG_4_6_1_1__3_Stage2MethaneProduction_Source()</f>
        <v>VEERG 2026: 4.4.1.1, Equation (3)</v>
      </c>
    </row>
    <row r="120" spans="3:21" ht="20.100000000000001" customHeight="1" x14ac:dyDescent="0.25">
      <c r="D120" s="13" t="s">
        <v>26</v>
      </c>
      <c r="E120" s="13" t="str" cm="1">
        <f t="array" aca="1" ref="E120" ca="1">Common_InputFunctions.Utility_DisplayFunctionName(F152)</f>
        <v>=MMS_poultry_Methane_Equations.VEERG_4_6_1_1__3_Stage2MethaneProduction</v>
      </c>
    </row>
    <row r="121" spans="3:21" ht="20.100000000000001" customHeight="1" x14ac:dyDescent="0.25"/>
    <row r="122" spans="3:21" ht="20.100000000000001" customHeight="1" x14ac:dyDescent="0.25"/>
    <row r="123" spans="3:21" ht="20.100000000000001" customHeight="1" x14ac:dyDescent="0.25">
      <c r="D123" s="53" t="s">
        <v>29</v>
      </c>
      <c r="E123" s="1" t="str" cm="1">
        <f t="array" ref="E123">MMS_poultry_Methane_Equations.VEERG_4_6_1_1__3_Stage2MethaneProduction_Variable()</f>
        <v>M_jkmT2</v>
      </c>
    </row>
    <row r="124" spans="3:21" ht="20.100000000000001" customHeight="1" x14ac:dyDescent="0.25">
      <c r="D124" s="53" t="s">
        <v>19</v>
      </c>
      <c r="E124" s="54" t="str" cm="1">
        <f t="array" ref="E124">MMS_poultry_Methane_Equations.VEERG_4_6_1_1__3_Stage2MethaneProduction_Unit()</f>
        <v>kg CH4/bird/day</v>
      </c>
    </row>
    <row r="125" spans="3:21" ht="20.100000000000001" customHeight="1" x14ac:dyDescent="0.25"/>
    <row r="126" spans="3:21" ht="20.100000000000001" customHeight="1" x14ac:dyDescent="0.25">
      <c r="D126" s="57" t="str" cm="1">
        <f t="array" ref="D126:E131">MMS_poultry_Methane_Equations.VEERG_4_6_1_1__3_Stage2MethaneProduction_Arguments()</f>
        <v>VST_jk</v>
      </c>
      <c r="E126" s="58" t="str">
        <v>volatile solids transferred to treatment stage 2 MMS : kg VS/bird/day</v>
      </c>
      <c r="F126" s="59"/>
      <c r="G126" s="57" t="str">
        <f>"See " &amp; D109</f>
        <v>See M1_Table_VST_j_k</v>
      </c>
    </row>
    <row r="127" spans="3:21" ht="20.100000000000001" customHeight="1" x14ac:dyDescent="0.25">
      <c r="D127" s="57" t="str">
        <v>BO</v>
      </c>
      <c r="E127" s="58" t="str">
        <v>emissions potential : m3 CH4/kg VS</v>
      </c>
      <c r="F127" s="59"/>
      <c r="G127" s="57" t="str">
        <f>"See " &amp; D62</f>
        <v>See Table_B_0_j</v>
      </c>
    </row>
    <row r="128" spans="3:21" ht="20.100000000000001" customHeight="1" x14ac:dyDescent="0.25">
      <c r="D128" s="57" t="str">
        <v>MMS_jmT2</v>
      </c>
      <c r="E128" s="58" t="str">
        <v>fraction of manure in each secondary system : fraction</v>
      </c>
      <c r="F128" s="59"/>
      <c r="G128" s="57" t="str">
        <f>"See " &amp; D133</f>
        <v>See Table_MMS_j_m_T-2</v>
      </c>
    </row>
    <row r="129" spans="4:10" ht="20.100000000000001" customHeight="1" x14ac:dyDescent="0.25">
      <c r="D129" s="57" t="str">
        <v>MCF_im</v>
      </c>
      <c r="E129" s="58" t="str">
        <v>methane conversion factor for temperature zone and MMS : fraction</v>
      </c>
      <c r="F129" s="59"/>
      <c r="G129" s="57" t="str">
        <f>"See " &amp; D67</f>
        <v>See Table_MCF_i_m</v>
      </c>
    </row>
    <row r="130" spans="4:10" ht="20.100000000000001" customHeight="1" x14ac:dyDescent="0.25">
      <c r="D130" s="57" t="str">
        <v>rho</v>
      </c>
      <c r="E130" s="58" t="str">
        <v>density of methane : kg/m3</v>
      </c>
      <c r="F130" s="59"/>
      <c r="G130" s="57">
        <f>'Constants - Common'!$D$175</f>
        <v>0.6784</v>
      </c>
    </row>
    <row r="131" spans="4:10" ht="20.100000000000001" customHeight="1" x14ac:dyDescent="0.25">
      <c r="D131" s="57" t="str">
        <v>i</v>
      </c>
      <c r="E131" s="58" t="str">
        <v>state</v>
      </c>
      <c r="F131" s="59"/>
      <c r="G131" s="57" t="str">
        <f>'Input - Site'!$E$21</f>
        <v>Western Australia</v>
      </c>
    </row>
    <row r="132" spans="4:10" ht="20.100000000000001" customHeight="1" x14ac:dyDescent="0.25"/>
    <row r="133" spans="4:10" ht="20.100000000000001" customHeight="1" x14ac:dyDescent="0.25">
      <c r="D133" s="99" t="s">
        <v>141</v>
      </c>
    </row>
    <row r="134" spans="4:10" ht="20.100000000000001" customHeight="1" x14ac:dyDescent="0.25">
      <c r="D134" s="98" t="s">
        <v>284</v>
      </c>
    </row>
    <row r="135" spans="4:10" ht="20.100000000000001" customHeight="1" x14ac:dyDescent="0.25">
      <c r="D135" s="51" t="s">
        <v>147</v>
      </c>
      <c r="E135" s="51" t="s">
        <v>149</v>
      </c>
      <c r="F135" s="51" t="s">
        <v>242</v>
      </c>
      <c r="G135" s="51" t="s">
        <v>243</v>
      </c>
      <c r="H135" s="51" t="s">
        <v>257</v>
      </c>
      <c r="I135" s="51" t="s">
        <v>258</v>
      </c>
    </row>
    <row r="136" spans="4:10" ht="20.100000000000001" customHeight="1" x14ac:dyDescent="0.25">
      <c r="D136" s="52" t="str">
        <f>'Input - Poultry'!$D$30</f>
        <v>Belt manure removal</v>
      </c>
      <c r="E136" s="52" t="str">
        <f>'Input - Poultry'!$D$38</f>
        <v>Solid storage</v>
      </c>
      <c r="F136" s="52">
        <f>'Input - Poultry'!E38</f>
        <v>0.2</v>
      </c>
      <c r="G136" s="52">
        <f>'Input - Poultry'!F38</f>
        <v>0.2</v>
      </c>
      <c r="H136" s="52">
        <f>'Input - Poultry'!G38</f>
        <v>0.2</v>
      </c>
      <c r="I136" s="52">
        <f>'Input - Poultry'!H38</f>
        <v>0.2</v>
      </c>
      <c r="J136" s="2" t="s">
        <v>117</v>
      </c>
    </row>
    <row r="137" spans="4:10" ht="20.100000000000001" customHeight="1" x14ac:dyDescent="0.25">
      <c r="D137" s="52"/>
      <c r="E137" s="52" t="str">
        <f>'Input - Poultry'!$D$39</f>
        <v>Composting (passive windrow)</v>
      </c>
      <c r="F137" s="52">
        <f>'Input - Poultry'!E39</f>
        <v>0.2</v>
      </c>
      <c r="G137" s="52">
        <f>'Input - Poultry'!F39</f>
        <v>0.2</v>
      </c>
      <c r="H137" s="52">
        <f>'Input - Poultry'!G39</f>
        <v>0.2</v>
      </c>
      <c r="I137" s="52">
        <f>'Input - Poultry'!H39</f>
        <v>0.2</v>
      </c>
      <c r="J137" s="2" t="s">
        <v>117</v>
      </c>
    </row>
    <row r="138" spans="4:10" ht="20.100000000000001" customHeight="1" x14ac:dyDescent="0.25">
      <c r="D138" s="52"/>
      <c r="E138" s="52" t="str">
        <f>'Input - Poultry'!$D$40</f>
        <v>Digester / covered lagoons</v>
      </c>
      <c r="F138" s="52">
        <f>'Input - Poultry'!E40</f>
        <v>0.2</v>
      </c>
      <c r="G138" s="52">
        <f>'Input - Poultry'!F40</f>
        <v>0.2</v>
      </c>
      <c r="H138" s="52">
        <f>'Input - Poultry'!G40</f>
        <v>0.2</v>
      </c>
      <c r="I138" s="52">
        <f>'Input - Poultry'!H40</f>
        <v>0.2</v>
      </c>
      <c r="J138" s="2" t="s">
        <v>117</v>
      </c>
    </row>
    <row r="139" spans="4:10" ht="20.100000000000001" customHeight="1" x14ac:dyDescent="0.25">
      <c r="D139" s="52"/>
      <c r="E139" s="52" t="str">
        <f>'Input - Poultry'!$D$41</f>
        <v>Direct processing</v>
      </c>
      <c r="F139" s="52">
        <f>'Input - Poultry'!E41</f>
        <v>0.2</v>
      </c>
      <c r="G139" s="52">
        <f>'Input - Poultry'!F41</f>
        <v>0.2</v>
      </c>
      <c r="H139" s="52">
        <f>'Input - Poultry'!G41</f>
        <v>0.2</v>
      </c>
      <c r="I139" s="52">
        <f>'Input - Poultry'!H41</f>
        <v>0.2</v>
      </c>
      <c r="J139" s="2" t="s">
        <v>117</v>
      </c>
    </row>
    <row r="140" spans="4:10" ht="20.100000000000001" customHeight="1" x14ac:dyDescent="0.25">
      <c r="D140" s="52" t="str">
        <f>'Input - Poultry'!$D$31</f>
        <v>Manure stored in house</v>
      </c>
      <c r="E140" s="52" t="str">
        <f>'Input - Poultry'!$D$45</f>
        <v>Solid storage</v>
      </c>
      <c r="F140" s="52">
        <f>'Input - Poultry'!E45</f>
        <v>0.2</v>
      </c>
      <c r="G140" s="52">
        <f>'Input - Poultry'!F45</f>
        <v>0.2</v>
      </c>
      <c r="H140" s="52">
        <f>'Input - Poultry'!G45</f>
        <v>0.2</v>
      </c>
      <c r="I140" s="52">
        <f>'Input - Poultry'!H45</f>
        <v>0.2</v>
      </c>
      <c r="J140" s="2" t="s">
        <v>117</v>
      </c>
    </row>
    <row r="141" spans="4:10" ht="20.100000000000001" customHeight="1" x14ac:dyDescent="0.25">
      <c r="D141" s="52"/>
      <c r="E141" s="52" t="str">
        <f>'Input - Poultry'!$D$46</f>
        <v>Composting (passive windrow)</v>
      </c>
      <c r="F141" s="52">
        <f>'Input - Poultry'!E46</f>
        <v>0.2</v>
      </c>
      <c r="G141" s="52">
        <f>'Input - Poultry'!F46</f>
        <v>0.2</v>
      </c>
      <c r="H141" s="52">
        <f>'Input - Poultry'!G46</f>
        <v>0.2</v>
      </c>
      <c r="I141" s="52">
        <f>'Input - Poultry'!H46</f>
        <v>0.2</v>
      </c>
      <c r="J141" s="2" t="s">
        <v>117</v>
      </c>
    </row>
    <row r="142" spans="4:10" ht="20.100000000000001" customHeight="1" x14ac:dyDescent="0.25">
      <c r="D142" s="52"/>
      <c r="E142" s="52" t="str">
        <f>'Input - Poultry'!$D$47</f>
        <v>Digester / covered lagoons</v>
      </c>
      <c r="F142" s="52">
        <f>'Input - Poultry'!E47</f>
        <v>0.2</v>
      </c>
      <c r="G142" s="52">
        <f>'Input - Poultry'!F47</f>
        <v>0.2</v>
      </c>
      <c r="H142" s="52">
        <f>'Input - Poultry'!G47</f>
        <v>0.2</v>
      </c>
      <c r="I142" s="52">
        <f>'Input - Poultry'!H47</f>
        <v>0.2</v>
      </c>
      <c r="J142" s="2" t="s">
        <v>117</v>
      </c>
    </row>
    <row r="143" spans="4:10" ht="20.100000000000001" customHeight="1" x14ac:dyDescent="0.25">
      <c r="D143" s="52"/>
      <c r="E143" s="52" t="str">
        <f>'Input - Poultry'!$D$48</f>
        <v>Direct processing</v>
      </c>
      <c r="F143" s="52">
        <f>'Input - Poultry'!E48</f>
        <v>0.2</v>
      </c>
      <c r="G143" s="52">
        <f>'Input - Poultry'!F48</f>
        <v>0.2</v>
      </c>
      <c r="H143" s="52">
        <f>'Input - Poultry'!G48</f>
        <v>0.2</v>
      </c>
      <c r="I143" s="52">
        <f>'Input - Poultry'!H48</f>
        <v>0.2</v>
      </c>
      <c r="J143" s="2" t="s">
        <v>117</v>
      </c>
    </row>
    <row r="144" spans="4:10" ht="20.100000000000001" customHeight="1" x14ac:dyDescent="0.25">
      <c r="D144" s="52" t="str">
        <f>'Input - Poultry'!$D$32</f>
        <v>Pasture range and paddock</v>
      </c>
      <c r="E144" s="52" t="str">
        <f>'Input - Poultry'!$D$52</f>
        <v>Solid storage</v>
      </c>
      <c r="F144" s="52">
        <f>'Input - Poultry'!E52</f>
        <v>0.2</v>
      </c>
      <c r="G144" s="52">
        <f>'Input - Poultry'!F52</f>
        <v>0.2</v>
      </c>
      <c r="H144" s="52">
        <f>'Input - Poultry'!G52</f>
        <v>0.2</v>
      </c>
      <c r="I144" s="52">
        <f>'Input - Poultry'!H52</f>
        <v>0.2</v>
      </c>
      <c r="J144" s="2" t="s">
        <v>117</v>
      </c>
    </row>
    <row r="145" spans="4:20" ht="20.100000000000001" customHeight="1" x14ac:dyDescent="0.25">
      <c r="D145" s="52"/>
      <c r="E145" s="52" t="str">
        <f>'Input - Poultry'!$D$53</f>
        <v>Composting (passive windrow)</v>
      </c>
      <c r="F145" s="52">
        <f>'Input - Poultry'!E53</f>
        <v>0.2</v>
      </c>
      <c r="G145" s="52">
        <f>'Input - Poultry'!F53</f>
        <v>0.2</v>
      </c>
      <c r="H145" s="52">
        <f>'Input - Poultry'!G53</f>
        <v>0.2</v>
      </c>
      <c r="I145" s="52">
        <f>'Input - Poultry'!H53</f>
        <v>0.2</v>
      </c>
      <c r="J145" s="2" t="s">
        <v>117</v>
      </c>
    </row>
    <row r="146" spans="4:20" ht="20.100000000000001" customHeight="1" x14ac:dyDescent="0.25">
      <c r="D146" s="52"/>
      <c r="E146" s="52" t="str">
        <f>'Input - Poultry'!$D$54</f>
        <v>Digester / covered lagoons</v>
      </c>
      <c r="F146" s="52">
        <f>'Input - Poultry'!E54</f>
        <v>0.2</v>
      </c>
      <c r="G146" s="52">
        <f>'Input - Poultry'!F54</f>
        <v>0.2</v>
      </c>
      <c r="H146" s="52">
        <f>'Input - Poultry'!G54</f>
        <v>0.2</v>
      </c>
      <c r="I146" s="52">
        <f>'Input - Poultry'!H54</f>
        <v>0.2</v>
      </c>
      <c r="J146" s="2" t="s">
        <v>117</v>
      </c>
    </row>
    <row r="147" spans="4:20" ht="20.100000000000001" customHeight="1" x14ac:dyDescent="0.25">
      <c r="D147" s="52"/>
      <c r="E147" s="52" t="str">
        <f>'Input - Poultry'!$D$55</f>
        <v>Direct processing</v>
      </c>
      <c r="F147" s="52">
        <f>'Input - Poultry'!E55</f>
        <v>0.2</v>
      </c>
      <c r="G147" s="52">
        <f>'Input - Poultry'!F55</f>
        <v>0.2</v>
      </c>
      <c r="H147" s="52">
        <f>'Input - Poultry'!G55</f>
        <v>0.2</v>
      </c>
      <c r="I147" s="52">
        <f>'Input - Poultry'!H55</f>
        <v>0.2</v>
      </c>
      <c r="J147" s="2" t="s">
        <v>117</v>
      </c>
    </row>
    <row r="148" spans="4:20" ht="20.100000000000001" customHeight="1" x14ac:dyDescent="0.25"/>
    <row r="149" spans="4:20" ht="20.100000000000001" customHeight="1" x14ac:dyDescent="0.25">
      <c r="D149" s="99" t="s">
        <v>285</v>
      </c>
      <c r="N149" s="99" t="s">
        <v>285</v>
      </c>
    </row>
    <row r="150" spans="4:20" ht="20.100000000000001" customHeight="1" x14ac:dyDescent="0.25">
      <c r="D150" s="98" t="s">
        <v>286</v>
      </c>
      <c r="N150" s="98" t="s">
        <v>286</v>
      </c>
    </row>
    <row r="151" spans="4:20" ht="20.100000000000001" customHeight="1" x14ac:dyDescent="0.25">
      <c r="D151" s="51" t="s">
        <v>147</v>
      </c>
      <c r="E151" s="51" t="s">
        <v>149</v>
      </c>
      <c r="F151" s="51" t="s">
        <v>242</v>
      </c>
      <c r="G151" s="51" t="s">
        <v>243</v>
      </c>
      <c r="H151" s="51" t="s">
        <v>257</v>
      </c>
      <c r="I151" s="51" t="s">
        <v>258</v>
      </c>
      <c r="N151" s="51" t="s">
        <v>147</v>
      </c>
      <c r="O151" s="51" t="s">
        <v>149</v>
      </c>
      <c r="P151" s="51" t="s">
        <v>242</v>
      </c>
      <c r="Q151" s="51" t="s">
        <v>243</v>
      </c>
      <c r="R151" s="51" t="s">
        <v>257</v>
      </c>
      <c r="S151" s="51" t="s">
        <v>258</v>
      </c>
    </row>
    <row r="152" spans="4:20" ht="20.100000000000001" customHeight="1" x14ac:dyDescent="0.25">
      <c r="D152" s="52" t="str">
        <f>'Input - Poultry'!$D$30</f>
        <v>Belt manure removal</v>
      </c>
      <c r="E152" s="52" t="str">
        <f>'Input - Poultry'!$D$38</f>
        <v>Solid storage</v>
      </c>
      <c r="F152" s="52" cm="1">
        <f t="array" ref="F152">MMS_poultry_Methane_Equations.VEERG_4_6_1_1__3_Stage2MethaneProduction(E$112,D$65,F136,_xlfn.XLOOKUP($E152,$D$70:$D$78,$E$70:$E$78),$G$130)</f>
        <v>4.4778958847999987E-6</v>
      </c>
      <c r="G152" s="52" cm="1">
        <f t="array" ref="G152">MMS_poultry_Methane_Equations.VEERG_4_6_1_1__3_Stage2MethaneProduction(F$112,E$65,G136,_xlfn.XLOOKUP($E152,$D$70:$D$78,$E$70:$E$78),$G$130)</f>
        <v>2.3167088639999993E-6</v>
      </c>
      <c r="H152" s="52" cm="1">
        <f t="array" ref="H152">MMS_poultry_Methane_Equations.VEERG_4_6_1_1__3_Stage2MethaneProduction(G$112,F$65,H136,_xlfn.XLOOKUP($E152,$D$70:$D$78,$E$70:$E$78),$G$130)</f>
        <v>2.4752590847999998E-6</v>
      </c>
      <c r="I152" s="52" cm="1">
        <f t="array" ref="I152">MMS_poultry_Methane_Equations.VEERG_4_6_1_1__3_Stage2MethaneProduction(H$112,G$65,I136,_xlfn.XLOOKUP($E152,$D$70:$D$78,$E$70:$E$78),$G$130)</f>
        <v>2.3167088639999993E-6</v>
      </c>
      <c r="J152" s="2" t="str">
        <f>$E$124</f>
        <v>kg CH4/bird/day</v>
      </c>
      <c r="N152" s="52" t="str">
        <f>'Input - Poultry'!$D$30</f>
        <v>Belt manure removal</v>
      </c>
      <c r="O152" s="52" t="str">
        <f>'Input - Poultry'!$D$38</f>
        <v>Solid storage</v>
      </c>
      <c r="P152" s="52" cm="1">
        <f t="array" ref="P152">MMS_poultry_Methane_Equations.VEERG_4_6_1_1__3_Stage2MethaneProduction(E$112,D$65,F136,_xlfn.XLOOKUP($O152,$D$70:$D$78,$E$70:$E$78),$G$130)</f>
        <v>4.4778958847999987E-6</v>
      </c>
      <c r="Q152" s="52" cm="1">
        <f t="array" ref="Q152">MMS_poultry_Methane_Equations.VEERG_4_6_1_1__3_Stage2MethaneProduction(F$112,E$65,G136,_xlfn.XLOOKUP($O152,$D$70:$D$78,$E$70:$E$78),$G$130)</f>
        <v>2.3167088639999993E-6</v>
      </c>
      <c r="R152" s="52" cm="1">
        <f t="array" ref="R152">MMS_poultry_Methane_Equations.VEERG_4_6_1_1__3_Stage2MethaneProduction(G$112,F$65,H136,_xlfn.XLOOKUP($O152,$D$70:$D$78,$E$70:$E$78),$G$130)</f>
        <v>2.4752590847999998E-6</v>
      </c>
      <c r="S152" s="52" cm="1">
        <f t="array" ref="S152">MMS_poultry_Methane_Equations.VEERG_4_6_1_1__3_Stage2MethaneProduction(H$112,G$65,I136,_xlfn.XLOOKUP($O152,$D$70:$D$78,$E$70:$E$78),$G$130)</f>
        <v>2.3167088639999993E-6</v>
      </c>
      <c r="T152" s="2" t="str">
        <f t="shared" ref="T152:T163" si="4">$E$124</f>
        <v>kg CH4/bird/day</v>
      </c>
    </row>
    <row r="153" spans="4:20" ht="20.100000000000001" customHeight="1" x14ac:dyDescent="0.25">
      <c r="D153" s="52"/>
      <c r="E153" s="52" t="str">
        <f>'Input - Poultry'!$D$39</f>
        <v>Composting (passive windrow)</v>
      </c>
      <c r="F153" s="52" cm="1">
        <f t="array" ref="F153">MMS_poultry_Methane_Equations.VEERG_4_6_1_1__3_Stage2MethaneProduction(E$112,D$65,F137,_xlfn.XLOOKUP($E153,$D$70:$D$78,$E$70:$E$78),$G$130)</f>
        <v>2.2389479423999994E-6</v>
      </c>
      <c r="G153" s="52" cm="1">
        <f t="array" ref="G153">MMS_poultry_Methane_Equations.VEERG_4_6_1_1__3_Stage2MethaneProduction(F$112,E$65,G137,_xlfn.XLOOKUP($E153,$D$70:$D$78,$E$70:$E$78),$G$130)</f>
        <v>1.1583544319999997E-6</v>
      </c>
      <c r="H153" s="52" cm="1">
        <f t="array" ref="H153">MMS_poultry_Methane_Equations.VEERG_4_6_1_1__3_Stage2MethaneProduction(G$112,F$65,H137,_xlfn.XLOOKUP($E153,$D$70:$D$78,$E$70:$E$78),$G$130)</f>
        <v>1.2376295423999999E-6</v>
      </c>
      <c r="I153" s="52" cm="1">
        <f t="array" ref="I153">MMS_poultry_Methane_Equations.VEERG_4_6_1_1__3_Stage2MethaneProduction(H$112,G$65,I137,_xlfn.XLOOKUP($E153,$D$70:$D$78,$E$70:$E$78),$G$130)</f>
        <v>1.1583544319999997E-6</v>
      </c>
      <c r="J153" s="2" t="str">
        <f t="shared" ref="J153:J163" si="5">$E$124</f>
        <v>kg CH4/bird/day</v>
      </c>
      <c r="N153" s="52"/>
      <c r="O153" s="52" t="str">
        <f>'Input - Poultry'!$D$39</f>
        <v>Composting (passive windrow)</v>
      </c>
      <c r="P153" s="52" cm="1">
        <f t="array" ref="P153">MMS_poultry_Methane_Equations.VEERG_4_6_1_1__3_Stage2MethaneProduction(E$112,D$65,F137,_xlfn.XLOOKUP($O153,$D$70:$D$78,$E$70:$E$78),$G$130)</f>
        <v>2.2389479423999994E-6</v>
      </c>
      <c r="Q153" s="52" cm="1">
        <f t="array" ref="Q153">MMS_poultry_Methane_Equations.VEERG_4_6_1_1__3_Stage2MethaneProduction(F$112,E$65,G137,_xlfn.XLOOKUP($O153,$D$70:$D$78,$E$70:$E$78),$G$130)</f>
        <v>1.1583544319999997E-6</v>
      </c>
      <c r="R153" s="52" cm="1">
        <f t="array" ref="R153">MMS_poultry_Methane_Equations.VEERG_4_6_1_1__3_Stage2MethaneProduction(G$112,F$65,H137,_xlfn.XLOOKUP($O153,$D$70:$D$78,$E$70:$E$78),$G$130)</f>
        <v>1.2376295423999999E-6</v>
      </c>
      <c r="S153" s="52" cm="1">
        <f t="array" ref="S153">MMS_poultry_Methane_Equations.VEERG_4_6_1_1__3_Stage2MethaneProduction(H$112,G$65,I137,_xlfn.XLOOKUP($O153,$D$70:$D$78,$E$70:$E$78),$G$130)</f>
        <v>1.1583544319999997E-6</v>
      </c>
      <c r="T153" s="2" t="str">
        <f t="shared" si="4"/>
        <v>kg CH4/bird/day</v>
      </c>
    </row>
    <row r="154" spans="4:20" ht="20.100000000000001" customHeight="1" x14ac:dyDescent="0.25">
      <c r="D154" s="52"/>
      <c r="E154" s="52" t="str">
        <f>'Input - Poultry'!$D$40</f>
        <v>Digester / covered lagoons</v>
      </c>
      <c r="F154" s="52" cm="1">
        <f t="array" ref="F154">MMS_poultry_Methane_Equations.VEERG_4_6_1_1__3_Stage2MethaneProduction(E$112,D$65,F138,_xlfn.XLOOKUP($E154,$D$70:$D$78,$E$70:$E$78),$G$130)</f>
        <v>2.2389479423999996E-5</v>
      </c>
      <c r="G154" s="52" cm="1">
        <f t="array" ref="G154">MMS_poultry_Methane_Equations.VEERG_4_6_1_1__3_Stage2MethaneProduction(F$112,E$65,G138,_xlfn.XLOOKUP($E154,$D$70:$D$78,$E$70:$E$78),$G$130)</f>
        <v>1.1583544319999997E-5</v>
      </c>
      <c r="H154" s="52" cm="1">
        <f t="array" ref="H154">MMS_poultry_Methane_Equations.VEERG_4_6_1_1__3_Stage2MethaneProduction(G$112,F$65,H138,_xlfn.XLOOKUP($E154,$D$70:$D$78,$E$70:$E$78),$G$130)</f>
        <v>1.2376295423999999E-5</v>
      </c>
      <c r="I154" s="52" cm="1">
        <f t="array" ref="I154">MMS_poultry_Methane_Equations.VEERG_4_6_1_1__3_Stage2MethaneProduction(H$112,G$65,I138,_xlfn.XLOOKUP($E154,$D$70:$D$78,$E$70:$E$78),$G$130)</f>
        <v>1.1583544319999997E-5</v>
      </c>
      <c r="J154" s="2" t="str">
        <f t="shared" si="5"/>
        <v>kg CH4/bird/day</v>
      </c>
      <c r="N154" s="52"/>
      <c r="O154" s="52" t="str">
        <f>'Input - Poultry'!$D$40</f>
        <v>Digester / covered lagoons</v>
      </c>
      <c r="P154" s="52" cm="1">
        <f t="array" ref="P154">MMS_poultry_Methane_Equations.VEERG_4_6_1_1__3_Stage2MethaneProduction(E$112,D$65,F138,_xlfn.XLOOKUP($O154,$D$70:$D$78,$E$70:$E$78),$G$130)</f>
        <v>2.2389479423999996E-5</v>
      </c>
      <c r="Q154" s="52" cm="1">
        <f t="array" ref="Q154">MMS_poultry_Methane_Equations.VEERG_4_6_1_1__3_Stage2MethaneProduction(F$112,E$65,G138,_xlfn.XLOOKUP($O154,$D$70:$D$78,$E$70:$E$78),$G$130)</f>
        <v>1.1583544319999997E-5</v>
      </c>
      <c r="R154" s="52" cm="1">
        <f t="array" ref="R154">MMS_poultry_Methane_Equations.VEERG_4_6_1_1__3_Stage2MethaneProduction(G$112,F$65,H138,_xlfn.XLOOKUP($O154,$D$70:$D$78,$E$70:$E$78),$G$130)</f>
        <v>1.2376295423999999E-5</v>
      </c>
      <c r="S154" s="52" cm="1">
        <f t="array" ref="S154">MMS_poultry_Methane_Equations.VEERG_4_6_1_1__3_Stage2MethaneProduction(H$112,G$65,I138,_xlfn.XLOOKUP($O154,$D$70:$D$78,$E$70:$E$78),$G$130)</f>
        <v>1.1583544319999997E-5</v>
      </c>
      <c r="T154" s="2" t="str">
        <f t="shared" si="4"/>
        <v>kg CH4/bird/day</v>
      </c>
    </row>
    <row r="155" spans="4:20" ht="20.100000000000001" customHeight="1" x14ac:dyDescent="0.25">
      <c r="D155" s="52"/>
      <c r="E155" s="52" t="str">
        <f>'Input - Poultry'!$D$41</f>
        <v>Direct processing</v>
      </c>
      <c r="F155" s="52" cm="1">
        <f t="array" ref="F155">MMS_poultry_Methane_Equations.VEERG_4_6_1_1__3_Stage2MethaneProduction(E$112,D$65,F139,_xlfn.XLOOKUP($E155,$D$70:$D$78,$E$70:$E$78),$G$130)</f>
        <v>0</v>
      </c>
      <c r="G155" s="52" cm="1">
        <f t="array" ref="G155">MMS_poultry_Methane_Equations.VEERG_4_6_1_1__3_Stage2MethaneProduction(F$112,E$65,G139,_xlfn.XLOOKUP($E155,$D$70:$D$78,$E$70:$E$78),$G$130)</f>
        <v>0</v>
      </c>
      <c r="H155" s="52" cm="1">
        <f t="array" ref="H155">MMS_poultry_Methane_Equations.VEERG_4_6_1_1__3_Stage2MethaneProduction(G$112,F$65,H139,_xlfn.XLOOKUP($E155,$D$70:$D$78,$E$70:$E$78),$G$130)</f>
        <v>0</v>
      </c>
      <c r="I155" s="52" cm="1">
        <f t="array" ref="I155">MMS_poultry_Methane_Equations.VEERG_4_6_1_1__3_Stage2MethaneProduction(H$112,G$65,I139,_xlfn.XLOOKUP($E155,$D$70:$D$78,$E$70:$E$78),$G$130)</f>
        <v>0</v>
      </c>
      <c r="J155" s="2" t="str">
        <f t="shared" si="5"/>
        <v>kg CH4/bird/day</v>
      </c>
      <c r="N155" s="52"/>
      <c r="O155" s="52" t="str">
        <f>'Input - Poultry'!$D$41</f>
        <v>Direct processing</v>
      </c>
      <c r="P155" s="52" cm="1">
        <f t="array" ref="P155">MMS_poultry_Methane_Equations.VEERG_4_6_1_1__3_Stage2MethaneProduction(E$112,D$65,F139,_xlfn.XLOOKUP($O155,$D$70:$D$78,$E$70:$E$78),$G$130)</f>
        <v>0</v>
      </c>
      <c r="Q155" s="52" cm="1">
        <f t="array" ref="Q155">MMS_poultry_Methane_Equations.VEERG_4_6_1_1__3_Stage2MethaneProduction(F$112,E$65,G139,_xlfn.XLOOKUP($O155,$D$70:$D$78,$E$70:$E$78),$G$130)</f>
        <v>0</v>
      </c>
      <c r="R155" s="52" cm="1">
        <f t="array" ref="R155">MMS_poultry_Methane_Equations.VEERG_4_6_1_1__3_Stage2MethaneProduction(G$112,F$65,H139,_xlfn.XLOOKUP($O155,$D$70:$D$78,$E$70:$E$78),$G$130)</f>
        <v>0</v>
      </c>
      <c r="S155" s="52" cm="1">
        <f t="array" ref="S155">MMS_poultry_Methane_Equations.VEERG_4_6_1_1__3_Stage2MethaneProduction(H$112,G$65,I139,_xlfn.XLOOKUP($O155,$D$70:$D$78,$E$70:$E$78),$G$130)</f>
        <v>0</v>
      </c>
      <c r="T155" s="2" t="str">
        <f t="shared" si="4"/>
        <v>kg CH4/bird/day</v>
      </c>
    </row>
    <row r="156" spans="4:20" ht="20.100000000000001" customHeight="1" x14ac:dyDescent="0.25">
      <c r="D156" s="52" t="str">
        <f>'Input - Poultry'!$D$31</f>
        <v>Manure stored in house</v>
      </c>
      <c r="E156" s="52" t="str">
        <f>'Input - Poultry'!$D$45</f>
        <v>Solid storage</v>
      </c>
      <c r="F156" s="52" cm="1">
        <f t="array" ref="F156">MMS_poultry_Methane_Equations.VEERG_4_6_1_1__3_Stage2MethaneProduction(E$113,D$65,F140,_xlfn.XLOOKUP($E156,$D$70:$D$78,$E$70:$E$78),$G$130)</f>
        <v>3.5823167078399993E-6</v>
      </c>
      <c r="G156" s="52" cm="1">
        <f t="array" ref="G156">MMS_poultry_Methane_Equations.VEERG_4_6_1_1__3_Stage2MethaneProduction(F$113,E$65,G140,_xlfn.XLOOKUP($E156,$D$70:$D$78,$E$70:$E$78),$G$130)</f>
        <v>1.8533670911999989E-6</v>
      </c>
      <c r="H156" s="52" cm="1">
        <f t="array" ref="H156">MMS_poultry_Methane_Equations.VEERG_4_6_1_1__3_Stage2MethaneProduction(G$113,F$65,H140,_xlfn.XLOOKUP($E156,$D$70:$D$78,$E$70:$E$78),$G$130)</f>
        <v>1.9802072678399999E-6</v>
      </c>
      <c r="I156" s="52" cm="1">
        <f t="array" ref="I156">MMS_poultry_Methane_Equations.VEERG_4_6_1_1__3_Stage2MethaneProduction(H$113,G$65,I140,_xlfn.XLOOKUP($E156,$D$70:$D$78,$E$70:$E$78),$G$130)</f>
        <v>1.8533670911999989E-6</v>
      </c>
      <c r="J156" s="2" t="str">
        <f t="shared" si="5"/>
        <v>kg CH4/bird/day</v>
      </c>
      <c r="N156" s="52" t="str">
        <f>'Input - Poultry'!$D$31</f>
        <v>Manure stored in house</v>
      </c>
      <c r="O156" s="52" t="str">
        <f>'Input - Poultry'!$D$45</f>
        <v>Solid storage</v>
      </c>
      <c r="P156" s="52" cm="1">
        <f t="array" ref="P156">MMS_poultry_Methane_Equations.VEERG_4_6_1_1__3_Stage2MethaneProduction(E$113,D$65,F140,_xlfn.XLOOKUP($O156,$D$70:$D$78,$E$70:$E$78),$G$130)</f>
        <v>3.5823167078399993E-6</v>
      </c>
      <c r="Q156" s="52" cm="1">
        <f t="array" ref="Q156">MMS_poultry_Methane_Equations.VEERG_4_6_1_1__3_Stage2MethaneProduction(F$113,E$65,G140,_xlfn.XLOOKUP($O156,$D$70:$D$78,$E$70:$E$78),$G$130)</f>
        <v>1.8533670911999989E-6</v>
      </c>
      <c r="R156" s="52" cm="1">
        <f t="array" ref="R156">MMS_poultry_Methane_Equations.VEERG_4_6_1_1__3_Stage2MethaneProduction(G$113,F$65,H140,_xlfn.XLOOKUP($O156,$D$70:$D$78,$E$70:$E$78),$G$130)</f>
        <v>1.9802072678399999E-6</v>
      </c>
      <c r="S156" s="52" cm="1">
        <f t="array" ref="S156">MMS_poultry_Methane_Equations.VEERG_4_6_1_1__3_Stage2MethaneProduction(H$113,G$65,I140,_xlfn.XLOOKUP($O156,$D$70:$D$78,$E$70:$E$78),$G$130)</f>
        <v>1.8533670911999989E-6</v>
      </c>
      <c r="T156" s="2" t="str">
        <f t="shared" si="4"/>
        <v>kg CH4/bird/day</v>
      </c>
    </row>
    <row r="157" spans="4:20" ht="20.100000000000001" customHeight="1" x14ac:dyDescent="0.25">
      <c r="D157" s="52"/>
      <c r="E157" s="52" t="str">
        <f>'Input - Poultry'!$D$46</f>
        <v>Composting (passive windrow)</v>
      </c>
      <c r="F157" s="52" cm="1">
        <f t="array" ref="F157">MMS_poultry_Methane_Equations.VEERG_4_6_1_1__3_Stage2MethaneProduction(E$113,D$65,F141,_xlfn.XLOOKUP($E157,$D$70:$D$78,$E$70:$E$78),$G$130)</f>
        <v>1.7911583539199997E-6</v>
      </c>
      <c r="G157" s="52" cm="1">
        <f t="array" ref="G157">MMS_poultry_Methane_Equations.VEERG_4_6_1_1__3_Stage2MethaneProduction(F$113,E$65,G141,_xlfn.XLOOKUP($E157,$D$70:$D$78,$E$70:$E$78),$G$130)</f>
        <v>9.2668354559999947E-7</v>
      </c>
      <c r="H157" s="52" cm="1">
        <f t="array" ref="H157">MMS_poultry_Methane_Equations.VEERG_4_6_1_1__3_Stage2MethaneProduction(G$113,F$65,H141,_xlfn.XLOOKUP($E157,$D$70:$D$78,$E$70:$E$78),$G$130)</f>
        <v>9.9010363391999997E-7</v>
      </c>
      <c r="I157" s="52" cm="1">
        <f t="array" ref="I157">MMS_poultry_Methane_Equations.VEERG_4_6_1_1__3_Stage2MethaneProduction(H$113,G$65,I141,_xlfn.XLOOKUP($E157,$D$70:$D$78,$E$70:$E$78),$G$130)</f>
        <v>9.2668354559999947E-7</v>
      </c>
      <c r="J157" s="2" t="str">
        <f t="shared" si="5"/>
        <v>kg CH4/bird/day</v>
      </c>
      <c r="N157" s="52"/>
      <c r="O157" s="52" t="str">
        <f>'Input - Poultry'!$D$46</f>
        <v>Composting (passive windrow)</v>
      </c>
      <c r="P157" s="52" cm="1">
        <f t="array" ref="P157">MMS_poultry_Methane_Equations.VEERG_4_6_1_1__3_Stage2MethaneProduction(E$113,D$65,F141,_xlfn.XLOOKUP($O157,$D$70:$D$78,$E$70:$E$78),$G$130)</f>
        <v>1.7911583539199997E-6</v>
      </c>
      <c r="Q157" s="52" cm="1">
        <f t="array" ref="Q157">MMS_poultry_Methane_Equations.VEERG_4_6_1_1__3_Stage2MethaneProduction(F$113,E$65,G141,_xlfn.XLOOKUP($O157,$D$70:$D$78,$E$70:$E$78),$G$130)</f>
        <v>9.2668354559999947E-7</v>
      </c>
      <c r="R157" s="52" cm="1">
        <f t="array" ref="R157">MMS_poultry_Methane_Equations.VEERG_4_6_1_1__3_Stage2MethaneProduction(G$113,F$65,H141,_xlfn.XLOOKUP($O157,$D$70:$D$78,$E$70:$E$78),$G$130)</f>
        <v>9.9010363391999997E-7</v>
      </c>
      <c r="S157" s="52" cm="1">
        <f t="array" ref="S157">MMS_poultry_Methane_Equations.VEERG_4_6_1_1__3_Stage2MethaneProduction(H$113,G$65,I141,_xlfn.XLOOKUP($O157,$D$70:$D$78,$E$70:$E$78),$G$130)</f>
        <v>9.2668354559999947E-7</v>
      </c>
      <c r="T157" s="2" t="str">
        <f t="shared" si="4"/>
        <v>kg CH4/bird/day</v>
      </c>
    </row>
    <row r="158" spans="4:20" ht="20.100000000000001" customHeight="1" x14ac:dyDescent="0.25">
      <c r="D158" s="52"/>
      <c r="E158" s="52" t="str">
        <f>'Input - Poultry'!$D$47</f>
        <v>Digester / covered lagoons</v>
      </c>
      <c r="F158" s="52" cm="1">
        <f t="array" ref="F158">MMS_poultry_Methane_Equations.VEERG_4_6_1_1__3_Stage2MethaneProduction(E$113,D$65,F142,_xlfn.XLOOKUP($E158,$D$70:$D$78,$E$70:$E$78),$G$130)</f>
        <v>1.7911583539199998E-5</v>
      </c>
      <c r="G158" s="52" cm="1">
        <f t="array" ref="G158">MMS_poultry_Methane_Equations.VEERG_4_6_1_1__3_Stage2MethaneProduction(F$113,E$65,G142,_xlfn.XLOOKUP($E158,$D$70:$D$78,$E$70:$E$78),$G$130)</f>
        <v>9.2668354559999956E-6</v>
      </c>
      <c r="H158" s="52" cm="1">
        <f t="array" ref="H158">MMS_poultry_Methane_Equations.VEERG_4_6_1_1__3_Stage2MethaneProduction(G$113,F$65,H142,_xlfn.XLOOKUP($E158,$D$70:$D$78,$E$70:$E$78),$G$130)</f>
        <v>9.9010363391999992E-6</v>
      </c>
      <c r="I158" s="52" cm="1">
        <f t="array" ref="I158">MMS_poultry_Methane_Equations.VEERG_4_6_1_1__3_Stage2MethaneProduction(H$113,G$65,I142,_xlfn.XLOOKUP($E158,$D$70:$D$78,$E$70:$E$78),$G$130)</f>
        <v>9.2668354559999956E-6</v>
      </c>
      <c r="J158" s="2" t="str">
        <f t="shared" si="5"/>
        <v>kg CH4/bird/day</v>
      </c>
      <c r="N158" s="52"/>
      <c r="O158" s="52" t="str">
        <f>'Input - Poultry'!$D$47</f>
        <v>Digester / covered lagoons</v>
      </c>
      <c r="P158" s="52" cm="1">
        <f t="array" ref="P158">MMS_poultry_Methane_Equations.VEERG_4_6_1_1__3_Stage2MethaneProduction(E$113,D$65,F142,_xlfn.XLOOKUP($O158,$D$70:$D$78,$E$70:$E$78),$G$130)</f>
        <v>1.7911583539199998E-5</v>
      </c>
      <c r="Q158" s="52" cm="1">
        <f t="array" ref="Q158">MMS_poultry_Methane_Equations.VEERG_4_6_1_1__3_Stage2MethaneProduction(F$113,E$65,G142,_xlfn.XLOOKUP($O158,$D$70:$D$78,$E$70:$E$78),$G$130)</f>
        <v>9.2668354559999956E-6</v>
      </c>
      <c r="R158" s="52" cm="1">
        <f t="array" ref="R158">MMS_poultry_Methane_Equations.VEERG_4_6_1_1__3_Stage2MethaneProduction(G$113,F$65,H142,_xlfn.XLOOKUP($O158,$D$70:$D$78,$E$70:$E$78),$G$130)</f>
        <v>9.9010363391999992E-6</v>
      </c>
      <c r="S158" s="52" cm="1">
        <f t="array" ref="S158">MMS_poultry_Methane_Equations.VEERG_4_6_1_1__3_Stage2MethaneProduction(H$113,G$65,I142,_xlfn.XLOOKUP($O158,$D$70:$D$78,$E$70:$E$78),$G$130)</f>
        <v>9.2668354559999956E-6</v>
      </c>
      <c r="T158" s="2" t="str">
        <f t="shared" si="4"/>
        <v>kg CH4/bird/day</v>
      </c>
    </row>
    <row r="159" spans="4:20" ht="20.100000000000001" customHeight="1" x14ac:dyDescent="0.25">
      <c r="D159" s="52"/>
      <c r="E159" s="52" t="str">
        <f>'Input - Poultry'!$D$48</f>
        <v>Direct processing</v>
      </c>
      <c r="F159" s="52" cm="1">
        <f t="array" ref="F159">MMS_poultry_Methane_Equations.VEERG_4_6_1_1__3_Stage2MethaneProduction(E$113,D$65,F143,_xlfn.XLOOKUP($E159,$D$70:$D$78,$E$70:$E$78),$G$130)</f>
        <v>0</v>
      </c>
      <c r="G159" s="52" cm="1">
        <f t="array" ref="G159">MMS_poultry_Methane_Equations.VEERG_4_6_1_1__3_Stage2MethaneProduction(F$113,E$65,G143,_xlfn.XLOOKUP($E159,$D$70:$D$78,$E$70:$E$78),$G$130)</f>
        <v>0</v>
      </c>
      <c r="H159" s="52" cm="1">
        <f t="array" ref="H159">MMS_poultry_Methane_Equations.VEERG_4_6_1_1__3_Stage2MethaneProduction(G$113,F$65,H143,_xlfn.XLOOKUP($E159,$D$70:$D$78,$E$70:$E$78),$G$130)</f>
        <v>0</v>
      </c>
      <c r="I159" s="52" cm="1">
        <f t="array" ref="I159">MMS_poultry_Methane_Equations.VEERG_4_6_1_1__3_Stage2MethaneProduction(H$113,G$65,I143,_xlfn.XLOOKUP($E159,$D$70:$D$78,$E$70:$E$78),$G$130)</f>
        <v>0</v>
      </c>
      <c r="J159" s="2" t="str">
        <f t="shared" si="5"/>
        <v>kg CH4/bird/day</v>
      </c>
      <c r="N159" s="52"/>
      <c r="O159" s="52" t="str">
        <f>'Input - Poultry'!$D$48</f>
        <v>Direct processing</v>
      </c>
      <c r="P159" s="52" cm="1">
        <f t="array" ref="P159">MMS_poultry_Methane_Equations.VEERG_4_6_1_1__3_Stage2MethaneProduction(E$113,D$65,F143,_xlfn.XLOOKUP($O159,$D$70:$D$78,$E$70:$E$78),$G$130)</f>
        <v>0</v>
      </c>
      <c r="Q159" s="52" cm="1">
        <f t="array" ref="Q159">MMS_poultry_Methane_Equations.VEERG_4_6_1_1__3_Stage2MethaneProduction(F$113,E$65,G143,_xlfn.XLOOKUP($O159,$D$70:$D$78,$E$70:$E$78),$G$130)</f>
        <v>0</v>
      </c>
      <c r="R159" s="52" cm="1">
        <f t="array" ref="R159">MMS_poultry_Methane_Equations.VEERG_4_6_1_1__3_Stage2MethaneProduction(G$113,F$65,H143,_xlfn.XLOOKUP($O159,$D$70:$D$78,$E$70:$E$78),$G$130)</f>
        <v>0</v>
      </c>
      <c r="S159" s="52" cm="1">
        <f t="array" ref="S159">MMS_poultry_Methane_Equations.VEERG_4_6_1_1__3_Stage2MethaneProduction(H$113,G$65,I143,_xlfn.XLOOKUP($O159,$D$70:$D$78,$E$70:$E$78),$G$130)</f>
        <v>0</v>
      </c>
      <c r="T159" s="2" t="str">
        <f t="shared" si="4"/>
        <v>kg CH4/bird/day</v>
      </c>
    </row>
    <row r="160" spans="4:20" ht="20.100000000000001" customHeight="1" x14ac:dyDescent="0.25">
      <c r="D160" s="52" t="str">
        <f>'Input - Poultry'!$D$32</f>
        <v>Pasture range and paddock</v>
      </c>
      <c r="E160" s="52" t="str">
        <f>'Input - Poultry'!$D$52</f>
        <v>Solid storage</v>
      </c>
      <c r="F160" s="52" cm="1">
        <f t="array" ref="F160">MMS_poultry_Methane_Equations.VEERG_4_6_1_1__3_Stage2MethaneProduction(E$114,D$65,F144,_xlfn.XLOOKUP($E160,$D$70:$D$78,$E$70:$E$78),$G$130)</f>
        <v>4.4778958847999987E-6</v>
      </c>
      <c r="G160" s="52" cm="1">
        <f t="array" ref="G160">MMS_poultry_Methane_Equations.VEERG_4_6_1_1__3_Stage2MethaneProduction(F$114,E$65,G144,_xlfn.XLOOKUP($E160,$D$70:$D$78,$E$70:$E$78),$G$130)</f>
        <v>2.3167088639999993E-6</v>
      </c>
      <c r="H160" s="52" cm="1">
        <f t="array" ref="H160">MMS_poultry_Methane_Equations.VEERG_4_6_1_1__3_Stage2MethaneProduction(G$114,F$65,H144,_xlfn.XLOOKUP($E160,$D$70:$D$78,$E$70:$E$78),$G$130)</f>
        <v>2.4752590847999998E-6</v>
      </c>
      <c r="I160" s="52" cm="1">
        <f t="array" ref="I160">MMS_poultry_Methane_Equations.VEERG_4_6_1_1__3_Stage2MethaneProduction(H$114,G$65,I144,_xlfn.XLOOKUP($E160,$D$70:$D$78,$E$70:$E$78),$G$130)</f>
        <v>2.3167088639999993E-6</v>
      </c>
      <c r="J160" s="2" t="str">
        <f t="shared" si="5"/>
        <v>kg CH4/bird/day</v>
      </c>
      <c r="N160" s="52" t="str">
        <f>'Input - Poultry'!$D$32</f>
        <v>Pasture range and paddock</v>
      </c>
      <c r="O160" s="52" t="str">
        <f>'Input - Poultry'!$D$52</f>
        <v>Solid storage</v>
      </c>
      <c r="P160" s="52" cm="1">
        <f t="array" ref="P160">MMS_poultry_Methane_Equations.VEERG_4_6_1_1__3_Stage2MethaneProduction(E$114,D$65,F144,_xlfn.XLOOKUP($O160,$D$70:$D$78,$E$70:$E$78),$G$130)</f>
        <v>4.4778958847999987E-6</v>
      </c>
      <c r="Q160" s="52" cm="1">
        <f t="array" ref="Q160">MMS_poultry_Methane_Equations.VEERG_4_6_1_1__3_Stage2MethaneProduction(F$114,E$65,G144,_xlfn.XLOOKUP($O160,$D$70:$D$78,$E$70:$E$78),$G$130)</f>
        <v>2.3167088639999993E-6</v>
      </c>
      <c r="R160" s="52" cm="1">
        <f t="array" ref="R160">MMS_poultry_Methane_Equations.VEERG_4_6_1_1__3_Stage2MethaneProduction(G$114,F$65,H144,_xlfn.XLOOKUP($O160,$D$70:$D$78,$E$70:$E$78),$G$130)</f>
        <v>2.4752590847999998E-6</v>
      </c>
      <c r="S160" s="52" cm="1">
        <f t="array" ref="S160">MMS_poultry_Methane_Equations.VEERG_4_6_1_1__3_Stage2MethaneProduction(H$114,G$65,I144,_xlfn.XLOOKUP($O160,$D$70:$D$78,$E$70:$E$78),$G$130)</f>
        <v>2.3167088639999993E-6</v>
      </c>
      <c r="T160" s="2" t="str">
        <f t="shared" si="4"/>
        <v>kg CH4/bird/day</v>
      </c>
    </row>
    <row r="161" spans="3:21" ht="20.100000000000001" customHeight="1" x14ac:dyDescent="0.25">
      <c r="D161" s="52"/>
      <c r="E161" s="52" t="str">
        <f>'Input - Poultry'!$D$53</f>
        <v>Composting (passive windrow)</v>
      </c>
      <c r="F161" s="52" cm="1">
        <f t="array" ref="F161">MMS_poultry_Methane_Equations.VEERG_4_6_1_1__3_Stage2MethaneProduction(E$114,D$65,F145,_xlfn.XLOOKUP($E161,$D$70:$D$78,$E$70:$E$78),$G$130)</f>
        <v>2.2389479423999994E-6</v>
      </c>
      <c r="G161" s="52" cm="1">
        <f t="array" ref="G161">MMS_poultry_Methane_Equations.VEERG_4_6_1_1__3_Stage2MethaneProduction(F$114,E$65,G145,_xlfn.XLOOKUP($E161,$D$70:$D$78,$E$70:$E$78),$G$130)</f>
        <v>1.1583544319999997E-6</v>
      </c>
      <c r="H161" s="52" cm="1">
        <f t="array" ref="H161">MMS_poultry_Methane_Equations.VEERG_4_6_1_1__3_Stage2MethaneProduction(G$114,F$65,H145,_xlfn.XLOOKUP($E161,$D$70:$D$78,$E$70:$E$78),$G$130)</f>
        <v>1.2376295423999999E-6</v>
      </c>
      <c r="I161" s="52" cm="1">
        <f t="array" ref="I161">MMS_poultry_Methane_Equations.VEERG_4_6_1_1__3_Stage2MethaneProduction(H$114,G$65,I145,_xlfn.XLOOKUP($E161,$D$70:$D$78,$E$70:$E$78),$G$130)</f>
        <v>1.1583544319999997E-6</v>
      </c>
      <c r="J161" s="2" t="str">
        <f t="shared" si="5"/>
        <v>kg CH4/bird/day</v>
      </c>
      <c r="N161" s="52"/>
      <c r="O161" s="52" t="str">
        <f>'Input - Poultry'!$D$53</f>
        <v>Composting (passive windrow)</v>
      </c>
      <c r="P161" s="52" cm="1">
        <f t="array" ref="P161">MMS_poultry_Methane_Equations.VEERG_4_6_1_1__3_Stage2MethaneProduction(E$114,D$65,F145,_xlfn.XLOOKUP($O161,$D$70:$D$78,$E$70:$E$78),$G$130)</f>
        <v>2.2389479423999994E-6</v>
      </c>
      <c r="Q161" s="52" cm="1">
        <f t="array" ref="Q161">MMS_poultry_Methane_Equations.VEERG_4_6_1_1__3_Stage2MethaneProduction(F$114,E$65,G145,_xlfn.XLOOKUP($O161,$D$70:$D$78,$E$70:$E$78),$G$130)</f>
        <v>1.1583544319999997E-6</v>
      </c>
      <c r="R161" s="52" cm="1">
        <f t="array" ref="R161">MMS_poultry_Methane_Equations.VEERG_4_6_1_1__3_Stage2MethaneProduction(G$114,F$65,H145,_xlfn.XLOOKUP($O161,$D$70:$D$78,$E$70:$E$78),$G$130)</f>
        <v>1.2376295423999999E-6</v>
      </c>
      <c r="S161" s="52" cm="1">
        <f t="array" ref="S161">MMS_poultry_Methane_Equations.VEERG_4_6_1_1__3_Stage2MethaneProduction(H$114,G$65,I145,_xlfn.XLOOKUP($O161,$D$70:$D$78,$E$70:$E$78),$G$130)</f>
        <v>1.1583544319999997E-6</v>
      </c>
      <c r="T161" s="2" t="str">
        <f t="shared" si="4"/>
        <v>kg CH4/bird/day</v>
      </c>
    </row>
    <row r="162" spans="3:21" ht="20.100000000000001" customHeight="1" x14ac:dyDescent="0.25">
      <c r="D162" s="52"/>
      <c r="E162" s="52" t="str">
        <f>'Input - Poultry'!$D$54</f>
        <v>Digester / covered lagoons</v>
      </c>
      <c r="F162" s="52" cm="1">
        <f t="array" ref="F162">MMS_poultry_Methane_Equations.VEERG_4_6_1_1__3_Stage2MethaneProduction(E$114,D$65,F146,_xlfn.XLOOKUP($E162,$D$70:$D$78,$E$70:$E$78),$G$130)</f>
        <v>2.2389479423999996E-5</v>
      </c>
      <c r="G162" s="52" cm="1">
        <f t="array" ref="G162">MMS_poultry_Methane_Equations.VEERG_4_6_1_1__3_Stage2MethaneProduction(F$114,E$65,G146,_xlfn.XLOOKUP($E162,$D$70:$D$78,$E$70:$E$78),$G$130)</f>
        <v>1.1583544319999997E-5</v>
      </c>
      <c r="H162" s="52" cm="1">
        <f t="array" ref="H162">MMS_poultry_Methane_Equations.VEERG_4_6_1_1__3_Stage2MethaneProduction(G$114,F$65,H146,_xlfn.XLOOKUP($E162,$D$70:$D$78,$E$70:$E$78),$G$130)</f>
        <v>1.2376295423999999E-5</v>
      </c>
      <c r="I162" s="52" cm="1">
        <f t="array" ref="I162">MMS_poultry_Methane_Equations.VEERG_4_6_1_1__3_Stage2MethaneProduction(H$114,G$65,I146,_xlfn.XLOOKUP($E162,$D$70:$D$78,$E$70:$E$78),$G$130)</f>
        <v>1.1583544319999997E-5</v>
      </c>
      <c r="J162" s="2" t="str">
        <f t="shared" si="5"/>
        <v>kg CH4/bird/day</v>
      </c>
      <c r="N162" s="52"/>
      <c r="O162" s="52" t="str">
        <f>'Input - Poultry'!$D$54</f>
        <v>Digester / covered lagoons</v>
      </c>
      <c r="P162" s="52" cm="1">
        <f t="array" ref="P162">MMS_poultry_Methane_Equations.VEERG_4_6_1_1__3_Stage2MethaneProduction(E$114,D$65,F146,_xlfn.XLOOKUP($O162,$D$70:$D$78,$E$70:$E$78),$G$130)</f>
        <v>2.2389479423999996E-5</v>
      </c>
      <c r="Q162" s="52" cm="1">
        <f t="array" ref="Q162">MMS_poultry_Methane_Equations.VEERG_4_6_1_1__3_Stage2MethaneProduction(F$114,E$65,G146,_xlfn.XLOOKUP($O162,$D$70:$D$78,$E$70:$E$78),$G$130)</f>
        <v>1.1583544319999997E-5</v>
      </c>
      <c r="R162" s="52" cm="1">
        <f t="array" ref="R162">MMS_poultry_Methane_Equations.VEERG_4_6_1_1__3_Stage2MethaneProduction(G$114,F$65,H146,_xlfn.XLOOKUP($O162,$D$70:$D$78,$E$70:$E$78),$G$130)</f>
        <v>1.2376295423999999E-5</v>
      </c>
      <c r="S162" s="52" cm="1">
        <f t="array" ref="S162">MMS_poultry_Methane_Equations.VEERG_4_6_1_1__3_Stage2MethaneProduction(H$114,G$65,I146,_xlfn.XLOOKUP($O162,$D$70:$D$78,$E$70:$E$78),$G$130)</f>
        <v>1.1583544319999997E-5</v>
      </c>
      <c r="T162" s="2" t="str">
        <f t="shared" si="4"/>
        <v>kg CH4/bird/day</v>
      </c>
    </row>
    <row r="163" spans="3:21" ht="20.100000000000001" customHeight="1" x14ac:dyDescent="0.25">
      <c r="D163" s="52"/>
      <c r="E163" s="52" t="str">
        <f>'Input - Poultry'!$D$55</f>
        <v>Direct processing</v>
      </c>
      <c r="F163" s="52" cm="1">
        <f t="array" ref="F163">MMS_poultry_Methane_Equations.VEERG_4_6_1_1__3_Stage2MethaneProduction(E$114,D$65,F147,_xlfn.XLOOKUP($E163,$D$70:$D$78,$E$70:$E$78),$G$130)</f>
        <v>0</v>
      </c>
      <c r="G163" s="52" cm="1">
        <f t="array" ref="G163">MMS_poultry_Methane_Equations.VEERG_4_6_1_1__3_Stage2MethaneProduction(F$114,E$65,G147,_xlfn.XLOOKUP($E163,$D$70:$D$78,$E$70:$E$78),$G$130)</f>
        <v>0</v>
      </c>
      <c r="H163" s="52" cm="1">
        <f t="array" ref="H163">MMS_poultry_Methane_Equations.VEERG_4_6_1_1__3_Stage2MethaneProduction(G$114,F$65,H147,_xlfn.XLOOKUP($E163,$D$70:$D$78,$E$70:$E$78),$G$130)</f>
        <v>0</v>
      </c>
      <c r="I163" s="52" cm="1">
        <f t="array" ref="I163">MMS_poultry_Methane_Equations.VEERG_4_6_1_1__3_Stage2MethaneProduction(H$114,G$65,I147,_xlfn.XLOOKUP($E163,$D$70:$D$78,$E$70:$E$78),$G$130)</f>
        <v>0</v>
      </c>
      <c r="J163" s="2" t="str">
        <f t="shared" si="5"/>
        <v>kg CH4/bird/day</v>
      </c>
      <c r="N163" s="52"/>
      <c r="O163" s="52" t="str">
        <f>'Input - Poultry'!$D$55</f>
        <v>Direct processing</v>
      </c>
      <c r="P163" s="52" cm="1">
        <f t="array" ref="P163">MMS_poultry_Methane_Equations.VEERG_4_6_1_1__3_Stage2MethaneProduction(E$114,D$65,F147,_xlfn.XLOOKUP($O163,$D$70:$D$78,$E$70:$E$78),$G$130)</f>
        <v>0</v>
      </c>
      <c r="Q163" s="52" cm="1">
        <f t="array" ref="Q163">MMS_poultry_Methane_Equations.VEERG_4_6_1_1__3_Stage2MethaneProduction(F$114,E$65,G147,_xlfn.XLOOKUP($O163,$D$70:$D$78,$E$70:$E$78),$G$130)</f>
        <v>0</v>
      </c>
      <c r="R163" s="52" cm="1">
        <f t="array" ref="R163">MMS_poultry_Methane_Equations.VEERG_4_6_1_1__3_Stage2MethaneProduction(G$114,F$65,H147,_xlfn.XLOOKUP($O163,$D$70:$D$78,$E$70:$E$78),$G$130)</f>
        <v>0</v>
      </c>
      <c r="S163" s="52" cm="1">
        <f t="array" ref="S163">MMS_poultry_Methane_Equations.VEERG_4_6_1_1__3_Stage2MethaneProduction(H$114,G$65,I147,_xlfn.XLOOKUP($O163,$D$70:$D$78,$E$70:$E$78),$G$130)</f>
        <v>0</v>
      </c>
      <c r="T163" s="2" t="str">
        <f t="shared" si="4"/>
        <v>kg CH4/bird/day</v>
      </c>
    </row>
    <row r="164" spans="3:21" ht="20.100000000000001" customHeight="1" x14ac:dyDescent="0.25"/>
    <row r="165" spans="3:21" ht="20.100000000000001" customHeight="1" x14ac:dyDescent="0.25"/>
    <row r="166" spans="3:21" ht="20.100000000000001" customHeight="1" x14ac:dyDescent="0.25">
      <c r="C166" s="45"/>
      <c r="D166" s="45"/>
      <c r="E166" s="45"/>
      <c r="F166" s="45"/>
      <c r="G166" s="45"/>
      <c r="H166" s="45"/>
      <c r="I166" s="45"/>
      <c r="J166" s="45"/>
      <c r="K166" s="45"/>
      <c r="M166" s="45"/>
      <c r="N166" s="45"/>
      <c r="O166" s="45"/>
      <c r="P166" s="45"/>
      <c r="Q166" s="45"/>
      <c r="R166" s="45"/>
      <c r="S166" s="45"/>
      <c r="T166" s="45"/>
      <c r="U166" s="45"/>
    </row>
    <row r="167" spans="3:21" ht="20.100000000000001" customHeight="1" x14ac:dyDescent="0.25">
      <c r="D167" s="6" t="str" cm="1">
        <f t="array" ref="D167">MMS_poultry_Methane_Equations.VEERG_4_6_1_1__1_TotalAnnualMethaneEmissions_Title()</f>
        <v>Total annual methane emissions from manure management</v>
      </c>
    </row>
    <row r="168" spans="3:21" ht="20.100000000000001" customHeight="1" x14ac:dyDescent="0.25">
      <c r="D168" s="5" t="str" cm="1">
        <f t="array" ref="D168">MMS_poultry_Methane_Equations.VEERG_4_6_1_1__1_TotalAnnualMethaneEmissions_Source()</f>
        <v>VEERG 2026: 4.4.1.1, Equation (1)</v>
      </c>
    </row>
    <row r="169" spans="3:21" ht="20.100000000000001" customHeight="1" x14ac:dyDescent="0.25">
      <c r="D169" s="13" t="s">
        <v>26</v>
      </c>
      <c r="E169" s="13" t="str" cm="1">
        <f t="array" aca="1" ref="E169" ca="1">Common_InputFunctions.Utility_DisplayFunctionName(F201)</f>
        <v>=MMS_poultry_Methane_Equations.VEERG_4_6_1_1__1_TotalAnnualMethaneEmissions</v>
      </c>
    </row>
    <row r="170" spans="3:21" ht="20.100000000000001" customHeight="1" x14ac:dyDescent="0.25"/>
    <row r="171" spans="3:21" ht="20.100000000000001" customHeight="1" x14ac:dyDescent="0.25"/>
    <row r="172" spans="3:21" ht="20.100000000000001" customHeight="1" x14ac:dyDescent="0.25">
      <c r="D172" s="53" t="s">
        <v>29</v>
      </c>
      <c r="E172" s="1" t="str" cm="1">
        <f t="array" ref="E172">MMS_poultry_Methane_Equations.VEERG_4_6_1_1__1_TotalAnnualMethaneEmissions_Variable()</f>
        <v>E_CH4</v>
      </c>
    </row>
    <row r="173" spans="3:21" ht="20.100000000000001" customHeight="1" x14ac:dyDescent="0.25">
      <c r="D173" s="53" t="s">
        <v>19</v>
      </c>
      <c r="E173" s="54" t="str" cm="1">
        <f t="array" ref="E173">MMS_poultry_Methane_Equations.VEERG_4_6_1_1__1_TotalAnnualMethaneEmissions_Unit()</f>
        <v>t CH4</v>
      </c>
    </row>
    <row r="174" spans="3:21" ht="20.100000000000001" customHeight="1" x14ac:dyDescent="0.25"/>
    <row r="175" spans="3:21" ht="20.100000000000001" customHeight="1" x14ac:dyDescent="0.25">
      <c r="D175" s="57" t="str" cm="1">
        <f t="array" ref="D175:E177">MMS_poultry_Methane_Equations.VEERG_4_6_1_1__1_TotalAnnualMethaneEmissions_Arguments()</f>
        <v>D_jk</v>
      </c>
      <c r="E175" s="58" t="str">
        <v>duration of stay of each class and subclass of poultry : days</v>
      </c>
      <c r="F175" s="100"/>
      <c r="G175" s="59"/>
      <c r="H175" s="58" t="str">
        <f>"See " &amp; D179</f>
        <v>See Table_D_j_k</v>
      </c>
      <c r="I175" s="59"/>
    </row>
    <row r="176" spans="3:21" ht="20.100000000000001" customHeight="1" x14ac:dyDescent="0.25">
      <c r="D176" s="57" t="str">
        <v>M_jkmT</v>
      </c>
      <c r="E176" s="58" t="str">
        <v>methane production from manure per class, subclass, MMS, and treatment stage : kg CH4/bird/day</v>
      </c>
      <c r="F176" s="100"/>
      <c r="G176" s="59"/>
      <c r="H176" s="58" t="str">
        <f>"See " &amp; D80 &amp; " and " &amp; D149</f>
        <v>See M1_Table_M_j_k_m_T-1 and M1_Table_M_j_k_m_T-2</v>
      </c>
      <c r="I176" s="59"/>
    </row>
    <row r="177" spans="4:20" ht="20.100000000000001" customHeight="1" x14ac:dyDescent="0.25">
      <c r="D177" s="57" t="str">
        <v>N_jk</v>
      </c>
      <c r="E177" s="58" t="str">
        <v>numbers of poultry in each class and subclass : bird</v>
      </c>
      <c r="F177" s="100"/>
      <c r="G177" s="59"/>
      <c r="H177" s="58" t="str">
        <f>"See " &amp; D184</f>
        <v>See Table_N_j_k</v>
      </c>
      <c r="I177" s="59"/>
    </row>
    <row r="178" spans="4:20" ht="20.100000000000001" customHeight="1" x14ac:dyDescent="0.25"/>
    <row r="179" spans="4:20" ht="20.100000000000001" customHeight="1" x14ac:dyDescent="0.25">
      <c r="D179" s="99" t="s">
        <v>287</v>
      </c>
      <c r="G179" s="13"/>
    </row>
    <row r="180" spans="4:20" ht="20.100000000000001" customHeight="1" x14ac:dyDescent="0.25">
      <c r="D180" s="98" t="s">
        <v>157</v>
      </c>
    </row>
    <row r="181" spans="4:20" ht="20.100000000000001" customHeight="1" x14ac:dyDescent="0.25">
      <c r="D181" s="51" t="s">
        <v>242</v>
      </c>
      <c r="E181" s="51" t="s">
        <v>243</v>
      </c>
      <c r="F181" s="51" t="s">
        <v>257</v>
      </c>
      <c r="G181" s="51" t="s">
        <v>258</v>
      </c>
    </row>
    <row r="182" spans="4:20" ht="20.100000000000001" customHeight="1" x14ac:dyDescent="0.25">
      <c r="D182" s="52">
        <f>'Input - Poultry'!E10</f>
        <v>365</v>
      </c>
      <c r="E182" s="52">
        <f>'Input - Poultry'!F10</f>
        <v>365</v>
      </c>
      <c r="F182" s="52">
        <f>'Input - Poultry'!G10</f>
        <v>365</v>
      </c>
      <c r="G182" s="52">
        <f>'Input - Poultry'!H10</f>
        <v>365</v>
      </c>
      <c r="H182" s="2" t="s">
        <v>128</v>
      </c>
    </row>
    <row r="183" spans="4:20" ht="20.100000000000001" customHeight="1" x14ac:dyDescent="0.25"/>
    <row r="184" spans="4:20" ht="20.100000000000001" customHeight="1" x14ac:dyDescent="0.25">
      <c r="D184" s="99" t="s">
        <v>288</v>
      </c>
      <c r="G184" s="13"/>
    </row>
    <row r="185" spans="4:20" ht="20.100000000000001" customHeight="1" x14ac:dyDescent="0.25">
      <c r="D185" s="98" t="s">
        <v>289</v>
      </c>
    </row>
    <row r="186" spans="4:20" ht="20.100000000000001" customHeight="1" x14ac:dyDescent="0.25">
      <c r="D186" s="51" t="s">
        <v>242</v>
      </c>
      <c r="E186" s="51" t="s">
        <v>243</v>
      </c>
      <c r="F186" s="51" t="s">
        <v>257</v>
      </c>
      <c r="G186" s="51" t="s">
        <v>258</v>
      </c>
    </row>
    <row r="187" spans="4:20" ht="20.100000000000001" customHeight="1" x14ac:dyDescent="0.25">
      <c r="D187" s="52">
        <f>'Input - Poultry'!E11</f>
        <v>100</v>
      </c>
      <c r="E187" s="52">
        <f>'Input - Poultry'!F11</f>
        <v>100</v>
      </c>
      <c r="F187" s="52">
        <f>'Input - Poultry'!G11</f>
        <v>100</v>
      </c>
      <c r="G187" s="52">
        <f>'Input - Poultry'!H11</f>
        <v>100</v>
      </c>
      <c r="H187" s="2" t="s">
        <v>290</v>
      </c>
    </row>
    <row r="188" spans="4:20" ht="20.100000000000001" customHeight="1" x14ac:dyDescent="0.25"/>
    <row r="189" spans="4:20" ht="20.100000000000001" customHeight="1" x14ac:dyDescent="0.25">
      <c r="D189" s="99" t="s">
        <v>291</v>
      </c>
      <c r="N189" s="99" t="s">
        <v>292</v>
      </c>
    </row>
    <row r="190" spans="4:20" ht="20.100000000000001" customHeight="1" x14ac:dyDescent="0.25">
      <c r="D190" s="98" t="s">
        <v>160</v>
      </c>
      <c r="N190" s="98" t="s">
        <v>162</v>
      </c>
    </row>
    <row r="191" spans="4:20" ht="20.100000000000001" customHeight="1" x14ac:dyDescent="0.25">
      <c r="D191" s="51" t="s">
        <v>147</v>
      </c>
      <c r="E191" s="51" t="s">
        <v>149</v>
      </c>
      <c r="F191" s="51" t="s">
        <v>242</v>
      </c>
      <c r="G191" s="51" t="s">
        <v>243</v>
      </c>
      <c r="H191" s="51" t="s">
        <v>257</v>
      </c>
      <c r="I191" s="51" t="s">
        <v>258</v>
      </c>
      <c r="N191" s="51" t="s">
        <v>147</v>
      </c>
      <c r="O191" s="51" t="s">
        <v>149</v>
      </c>
      <c r="P191" s="51" t="s">
        <v>242</v>
      </c>
      <c r="Q191" s="51" t="s">
        <v>243</v>
      </c>
      <c r="R191" s="51" t="s">
        <v>257</v>
      </c>
      <c r="S191" s="51" t="s">
        <v>258</v>
      </c>
    </row>
    <row r="192" spans="4:20" ht="20.100000000000001" customHeight="1" x14ac:dyDescent="0.25">
      <c r="D192" s="52" t="str">
        <f>'Input - Poultry'!$D$30</f>
        <v>Belt manure removal</v>
      </c>
      <c r="E192" s="52" t="s">
        <v>145</v>
      </c>
      <c r="F192" s="52" cm="1">
        <f t="array" ref="F192">MMS_poultry_Methane_Equations.VEERG_4_6_1_1__1_TotalAnnualMethaneEmissions(D$182, E83, D$187)</f>
        <v>6.1291199923199972E-4</v>
      </c>
      <c r="G192" s="52" cm="1">
        <f t="array" ref="G192">MMS_poultry_Methane_Equations.VEERG_4_6_1_1__1_TotalAnnualMethaneEmissions(E$182, F83, E$187)</f>
        <v>3.1709952575999982E-4</v>
      </c>
      <c r="H192" s="52" cm="1">
        <f t="array" ref="H192">MMS_poultry_Methane_Equations.VEERG_4_6_1_1__1_TotalAnnualMethaneEmissions(F$182, G83, F$187)</f>
        <v>3.388010872319999E-4</v>
      </c>
      <c r="I192" s="52" cm="1">
        <f t="array" ref="I192">MMS_poultry_Methane_Equations.VEERG_4_6_1_1__1_TotalAnnualMethaneEmissions(G$182, H83, G$187)</f>
        <v>3.1709952575999982E-4</v>
      </c>
      <c r="J192" s="2" t="str">
        <f>$E$173</f>
        <v>t CH4</v>
      </c>
      <c r="N192" s="52" t="str">
        <f>'Input - Poultry'!$D$30</f>
        <v>Belt manure removal</v>
      </c>
      <c r="O192" s="52" t="s">
        <v>145</v>
      </c>
      <c r="P192" s="52" cm="1">
        <f t="array" ref="P192">MMS_poultry_Methane_Equations.VEERG_4_6_1_1__1_TotalAnnualMethaneEmissions(D$182, O83, D$187)</f>
        <v>6.1291199923199972E-4</v>
      </c>
      <c r="Q192" s="52" cm="1">
        <f t="array" ref="Q192">MMS_poultry_Methane_Equations.VEERG_4_6_1_1__1_TotalAnnualMethaneEmissions(E$182, P83, E$187)</f>
        <v>3.1709952575999982E-4</v>
      </c>
      <c r="R192" s="52" cm="1">
        <f t="array" ref="R192">MMS_poultry_Methane_Equations.VEERG_4_6_1_1__1_TotalAnnualMethaneEmissions(F$182, Q83, F$187)</f>
        <v>3.388010872319999E-4</v>
      </c>
      <c r="S192" s="52" cm="1">
        <f t="array" ref="S192">MMS_poultry_Methane_Equations.VEERG_4_6_1_1__1_TotalAnnualMethaneEmissions(G$182, R83, G$187)</f>
        <v>3.1709952575999982E-4</v>
      </c>
      <c r="T192" s="2" t="str">
        <f>$E$173</f>
        <v>t CH4</v>
      </c>
    </row>
    <row r="193" spans="4:20" ht="20.100000000000001" customHeight="1" x14ac:dyDescent="0.25">
      <c r="D193" s="52" t="str">
        <f>'Input - Poultry'!$D$31</f>
        <v>Manure stored in house</v>
      </c>
      <c r="E193" s="52" t="s">
        <v>145</v>
      </c>
      <c r="F193" s="52" cm="1">
        <f t="array" ref="F193">MMS_poultry_Methane_Equations.VEERG_4_6_1_1__1_TotalAnnualMethaneEmissions(D$182, E84, D$187)</f>
        <v>6.1291199923199972E-4</v>
      </c>
      <c r="G193" s="52" cm="1">
        <f t="array" ref="G193">MMS_poultry_Methane_Equations.VEERG_4_6_1_1__1_TotalAnnualMethaneEmissions(E$182, F84, E$187)</f>
        <v>3.1709952575999982E-4</v>
      </c>
      <c r="H193" s="52" cm="1">
        <f t="array" ref="H193">MMS_poultry_Methane_Equations.VEERG_4_6_1_1__1_TotalAnnualMethaneEmissions(F$182, G84, F$187)</f>
        <v>3.388010872319999E-4</v>
      </c>
      <c r="I193" s="52" cm="1">
        <f t="array" ref="I193">MMS_poultry_Methane_Equations.VEERG_4_6_1_1__1_TotalAnnualMethaneEmissions(G$182, H84, G$187)</f>
        <v>3.1709952575999982E-4</v>
      </c>
      <c r="J193" s="2" t="str">
        <f t="shared" ref="J193:J207" si="6">$E$173</f>
        <v>t CH4</v>
      </c>
      <c r="N193" s="52" t="str">
        <f>'Input - Poultry'!$D$31</f>
        <v>Manure stored in house</v>
      </c>
      <c r="O193" s="52" t="s">
        <v>145</v>
      </c>
      <c r="P193" s="52" cm="1">
        <f t="array" ref="P193">MMS_poultry_Methane_Equations.VEERG_4_6_1_1__1_TotalAnnualMethaneEmissions(D$182, O84, D$187)</f>
        <v>6.1291199923199972E-4</v>
      </c>
      <c r="Q193" s="52" cm="1">
        <f t="array" ref="Q193">MMS_poultry_Methane_Equations.VEERG_4_6_1_1__1_TotalAnnualMethaneEmissions(E$182, P84, E$187)</f>
        <v>3.1709952575999982E-4</v>
      </c>
      <c r="R193" s="52" cm="1">
        <f t="array" ref="R193">MMS_poultry_Methane_Equations.VEERG_4_6_1_1__1_TotalAnnualMethaneEmissions(F$182, Q84, F$187)</f>
        <v>3.388010872319999E-4</v>
      </c>
      <c r="S193" s="52" cm="1">
        <f t="array" ref="S193">MMS_poultry_Methane_Equations.VEERG_4_6_1_1__1_TotalAnnualMethaneEmissions(G$182, R84, G$187)</f>
        <v>3.1709952575999982E-4</v>
      </c>
      <c r="T193" s="2" t="str">
        <f t="shared" ref="T193:T207" si="7">$E$173</f>
        <v>t CH4</v>
      </c>
    </row>
    <row r="194" spans="4:20" ht="20.100000000000001" customHeight="1" x14ac:dyDescent="0.25">
      <c r="D194" s="52" t="str">
        <f>'Input - Poultry'!$D$32</f>
        <v>Pasture range and paddock</v>
      </c>
      <c r="E194" s="52" t="s">
        <v>145</v>
      </c>
      <c r="F194" s="52" cm="1">
        <f t="array" ref="F194">MMS_poultry_Methane_Equations.VEERG_4_6_1_1__1_TotalAnnualMethaneEmissions(D$182, E85, D$187)</f>
        <v>4.0860799948799992E-4</v>
      </c>
      <c r="G194" s="52" cm="1">
        <f t="array" ref="G194">MMS_poultry_Methane_Equations.VEERG_4_6_1_1__1_TotalAnnualMethaneEmissions(E$182, F85, E$187)</f>
        <v>2.1139968383999998E-4</v>
      </c>
      <c r="H194" s="52" cm="1">
        <f t="array" ref="H194">MMS_poultry_Methane_Equations.VEERG_4_6_1_1__1_TotalAnnualMethaneEmissions(F$182, G85, F$187)</f>
        <v>2.2586739148799996E-4</v>
      </c>
      <c r="I194" s="52" cm="1">
        <f t="array" ref="I194">MMS_poultry_Methane_Equations.VEERG_4_6_1_1__1_TotalAnnualMethaneEmissions(G$182, H85, G$187)</f>
        <v>2.1139968383999998E-4</v>
      </c>
      <c r="J194" s="2" t="str">
        <f t="shared" si="6"/>
        <v>t CH4</v>
      </c>
      <c r="N194" s="52" t="str">
        <f>'Input - Poultry'!$D$32</f>
        <v>Pasture range and paddock</v>
      </c>
      <c r="O194" s="52" t="s">
        <v>145</v>
      </c>
      <c r="P194" s="52" cm="1">
        <f t="array" ref="P194">MMS_poultry_Methane_Equations.VEERG_4_6_1_1__1_TotalAnnualMethaneEmissions(D$182, O85, D$187)</f>
        <v>4.0860799948799992E-4</v>
      </c>
      <c r="Q194" s="52" cm="1">
        <f t="array" ref="Q194">MMS_poultry_Methane_Equations.VEERG_4_6_1_1__1_TotalAnnualMethaneEmissions(E$182, P85, E$187)</f>
        <v>2.1139968383999998E-4</v>
      </c>
      <c r="R194" s="52" cm="1">
        <f t="array" ref="R194">MMS_poultry_Methane_Equations.VEERG_4_6_1_1__1_TotalAnnualMethaneEmissions(F$182, Q85, F$187)</f>
        <v>2.2586739148799996E-4</v>
      </c>
      <c r="S194" s="52" cm="1">
        <f t="array" ref="S194">MMS_poultry_Methane_Equations.VEERG_4_6_1_1__1_TotalAnnualMethaneEmissions(G$182, R85, G$187)</f>
        <v>2.1139968383999998E-4</v>
      </c>
      <c r="T194" s="2" t="str">
        <f t="shared" si="7"/>
        <v>t CH4</v>
      </c>
    </row>
    <row r="195" spans="4:20" ht="20.100000000000001" customHeight="1" x14ac:dyDescent="0.25">
      <c r="D195" s="52" t="str">
        <f>'Input - Poultry'!$D$33</f>
        <v>No MMS</v>
      </c>
      <c r="E195" s="52" t="s">
        <v>145</v>
      </c>
      <c r="F195" s="52" t="e" cm="1">
        <f t="array" ref="F195">MMS_poultry_Methane_Equations.VEERG_4_6_1_1__1_TotalAnnualMethaneEmissions(D$182, E86, D$187)</f>
        <v>#N/A</v>
      </c>
      <c r="G195" s="52" t="e" cm="1">
        <f t="array" ref="G195">MMS_poultry_Methane_Equations.VEERG_4_6_1_1__1_TotalAnnualMethaneEmissions(E$182, F86, E$187)</f>
        <v>#N/A</v>
      </c>
      <c r="H195" s="52" t="e" cm="1">
        <f t="array" ref="H195">MMS_poultry_Methane_Equations.VEERG_4_6_1_1__1_TotalAnnualMethaneEmissions(F$182, G86, F$187)</f>
        <v>#N/A</v>
      </c>
      <c r="I195" s="52" t="e" cm="1">
        <f t="array" ref="I195">MMS_poultry_Methane_Equations.VEERG_4_6_1_1__1_TotalAnnualMethaneEmissions(G$182, H86, G$187)</f>
        <v>#N/A</v>
      </c>
      <c r="J195" s="2" t="str">
        <f t="shared" si="6"/>
        <v>t CH4</v>
      </c>
      <c r="N195" s="52" t="str">
        <f>'Input - Poultry'!$D$33</f>
        <v>No MMS</v>
      </c>
      <c r="O195" s="52" t="s">
        <v>145</v>
      </c>
      <c r="P195" s="52" t="e" cm="1">
        <f t="array" ref="P195">MMS_poultry_Methane_Equations.VEERG_4_6_1_1__1_TotalAnnualMethaneEmissions(D$182, O86, D$187)</f>
        <v>#N/A</v>
      </c>
      <c r="Q195" s="52" t="e" cm="1">
        <f t="array" ref="Q195">MMS_poultry_Methane_Equations.VEERG_4_6_1_1__1_TotalAnnualMethaneEmissions(E$182, P86, E$187)</f>
        <v>#N/A</v>
      </c>
      <c r="R195" s="52" t="e" cm="1">
        <f t="array" ref="R195">MMS_poultry_Methane_Equations.VEERG_4_6_1_1__1_TotalAnnualMethaneEmissions(F$182, Q86, F$187)</f>
        <v>#N/A</v>
      </c>
      <c r="S195" s="52" t="e" cm="1">
        <f t="array" ref="S195">MMS_poultry_Methane_Equations.VEERG_4_6_1_1__1_TotalAnnualMethaneEmissions(G$182, R86, G$187)</f>
        <v>#N/A</v>
      </c>
      <c r="T195" s="2" t="str">
        <f t="shared" si="7"/>
        <v>t CH4</v>
      </c>
    </row>
    <row r="196" spans="4:20" ht="20.100000000000001" customHeight="1" x14ac:dyDescent="0.25">
      <c r="D196" s="52" t="str">
        <f>'Input - Poultry'!$D$30</f>
        <v>Belt manure removal</v>
      </c>
      <c r="E196" s="52" t="str">
        <f>'Input - Poultry'!$D$38</f>
        <v>Solid storage</v>
      </c>
      <c r="F196" s="52" cm="1">
        <f t="array" ref="F196">MMS_poultry_Methane_Equations.VEERG_4_6_1_1__1_TotalAnnualMethaneEmissions(D$182, F152, D$187)</f>
        <v>1.6344319979519996E-4</v>
      </c>
      <c r="G196" s="52" cm="1">
        <f t="array" ref="G196">MMS_poultry_Methane_Equations.VEERG_4_6_1_1__1_TotalAnnualMethaneEmissions(E$182, G152, E$187)</f>
        <v>8.4559873535999978E-5</v>
      </c>
      <c r="H196" s="52" cm="1">
        <f t="array" ref="H196">MMS_poultry_Methane_Equations.VEERG_4_6_1_1__1_TotalAnnualMethaneEmissions(F$182, H152, F$187)</f>
        <v>9.034695659519999E-5</v>
      </c>
      <c r="I196" s="52" cm="1">
        <f t="array" ref="I196">MMS_poultry_Methane_Equations.VEERG_4_6_1_1__1_TotalAnnualMethaneEmissions(G$182, I152, G$187)</f>
        <v>8.4559873535999978E-5</v>
      </c>
      <c r="J196" s="2" t="str">
        <f t="shared" si="6"/>
        <v>t CH4</v>
      </c>
      <c r="N196" s="52" t="str">
        <f>'Input - Poultry'!$D$30</f>
        <v>Belt manure removal</v>
      </c>
      <c r="O196" s="52" t="str">
        <f>'Input - Poultry'!$D$38</f>
        <v>Solid storage</v>
      </c>
      <c r="P196" s="52" cm="1">
        <f t="array" ref="P196">MMS_poultry_Methane_Equations.VEERG_4_6_1_1__1_TotalAnnualMethaneEmissions(D$182, P152, D$187)</f>
        <v>1.6344319979519996E-4</v>
      </c>
      <c r="Q196" s="52" cm="1">
        <f t="array" ref="Q196">MMS_poultry_Methane_Equations.VEERG_4_6_1_1__1_TotalAnnualMethaneEmissions(E$182, Q152, E$187)</f>
        <v>8.4559873535999978E-5</v>
      </c>
      <c r="R196" s="52" cm="1">
        <f t="array" ref="R196">MMS_poultry_Methane_Equations.VEERG_4_6_1_1__1_TotalAnnualMethaneEmissions(F$182, R152, F$187)</f>
        <v>9.034695659519999E-5</v>
      </c>
      <c r="S196" s="52" cm="1">
        <f t="array" ref="S196">MMS_poultry_Methane_Equations.VEERG_4_6_1_1__1_TotalAnnualMethaneEmissions(G$182, S152, G$187)</f>
        <v>8.4559873535999978E-5</v>
      </c>
      <c r="T196" s="2" t="str">
        <f t="shared" si="7"/>
        <v>t CH4</v>
      </c>
    </row>
    <row r="197" spans="4:20" ht="20.100000000000001" customHeight="1" x14ac:dyDescent="0.25">
      <c r="D197" s="52"/>
      <c r="E197" s="52" t="str">
        <f>'Input - Poultry'!$D$39</f>
        <v>Composting (passive windrow)</v>
      </c>
      <c r="F197" s="52" cm="1">
        <f t="array" ref="F197">MMS_poultry_Methane_Equations.VEERG_4_6_1_1__1_TotalAnnualMethaneEmissions(D$182, F153, D$187)</f>
        <v>8.1721599897599978E-5</v>
      </c>
      <c r="G197" s="52" cm="1">
        <f t="array" ref="G197">MMS_poultry_Methane_Equations.VEERG_4_6_1_1__1_TotalAnnualMethaneEmissions(E$182, G153, E$187)</f>
        <v>4.2279936767999989E-5</v>
      </c>
      <c r="H197" s="52" cm="1">
        <f t="array" ref="H197">MMS_poultry_Methane_Equations.VEERG_4_6_1_1__1_TotalAnnualMethaneEmissions(F$182, H153, F$187)</f>
        <v>4.5173478297599995E-5</v>
      </c>
      <c r="I197" s="52" cm="1">
        <f t="array" ref="I197">MMS_poultry_Methane_Equations.VEERG_4_6_1_1__1_TotalAnnualMethaneEmissions(G$182, I153, G$187)</f>
        <v>4.2279936767999989E-5</v>
      </c>
      <c r="J197" s="2" t="str">
        <f t="shared" si="6"/>
        <v>t CH4</v>
      </c>
      <c r="N197" s="52"/>
      <c r="O197" s="52" t="str">
        <f>'Input - Poultry'!$D$39</f>
        <v>Composting (passive windrow)</v>
      </c>
      <c r="P197" s="52" cm="1">
        <f t="array" ref="P197">MMS_poultry_Methane_Equations.VEERG_4_6_1_1__1_TotalAnnualMethaneEmissions(D$182, P153, D$187)</f>
        <v>8.1721599897599978E-5</v>
      </c>
      <c r="Q197" s="52" cm="1">
        <f t="array" ref="Q197">MMS_poultry_Methane_Equations.VEERG_4_6_1_1__1_TotalAnnualMethaneEmissions(E$182, Q153, E$187)</f>
        <v>4.2279936767999989E-5</v>
      </c>
      <c r="R197" s="52" cm="1">
        <f t="array" ref="R197">MMS_poultry_Methane_Equations.VEERG_4_6_1_1__1_TotalAnnualMethaneEmissions(F$182, R153, F$187)</f>
        <v>4.5173478297599995E-5</v>
      </c>
      <c r="S197" s="52" cm="1">
        <f t="array" ref="S197">MMS_poultry_Methane_Equations.VEERG_4_6_1_1__1_TotalAnnualMethaneEmissions(G$182, S153, G$187)</f>
        <v>4.2279936767999989E-5</v>
      </c>
      <c r="T197" s="2" t="str">
        <f t="shared" si="7"/>
        <v>t CH4</v>
      </c>
    </row>
    <row r="198" spans="4:20" ht="20.100000000000001" customHeight="1" x14ac:dyDescent="0.25">
      <c r="D198" s="52"/>
      <c r="E198" s="52" t="str">
        <f>'Input - Poultry'!$D$40</f>
        <v>Digester / covered lagoons</v>
      </c>
      <c r="F198" s="52" cm="1">
        <f t="array" ref="F198">MMS_poultry_Methane_Equations.VEERG_4_6_1_1__1_TotalAnnualMethaneEmissions(D$182, F154, D$187)</f>
        <v>8.1721599897599984E-4</v>
      </c>
      <c r="G198" s="52" cm="1">
        <f t="array" ref="G198">MMS_poultry_Methane_Equations.VEERG_4_6_1_1__1_TotalAnnualMethaneEmissions(E$182, G154, E$187)</f>
        <v>4.2279936767999996E-4</v>
      </c>
      <c r="H198" s="52" cm="1">
        <f t="array" ref="H198">MMS_poultry_Methane_Equations.VEERG_4_6_1_1__1_TotalAnnualMethaneEmissions(F$182, H154, F$187)</f>
        <v>4.5173478297600003E-4</v>
      </c>
      <c r="I198" s="52" cm="1">
        <f t="array" ref="I198">MMS_poultry_Methane_Equations.VEERG_4_6_1_1__1_TotalAnnualMethaneEmissions(G$182, I154, G$187)</f>
        <v>4.2279936767999996E-4</v>
      </c>
      <c r="J198" s="2" t="str">
        <f t="shared" si="6"/>
        <v>t CH4</v>
      </c>
      <c r="N198" s="52"/>
      <c r="O198" s="52" t="str">
        <f>'Input - Poultry'!$D$40</f>
        <v>Digester / covered lagoons</v>
      </c>
      <c r="P198" s="52" cm="1">
        <f t="array" ref="P198">MMS_poultry_Methane_Equations.VEERG_4_6_1_1__1_TotalAnnualMethaneEmissions(D$182, P154, D$187)</f>
        <v>8.1721599897599984E-4</v>
      </c>
      <c r="Q198" s="52" cm="1">
        <f t="array" ref="Q198">MMS_poultry_Methane_Equations.VEERG_4_6_1_1__1_TotalAnnualMethaneEmissions(E$182, Q154, E$187)</f>
        <v>4.2279936767999996E-4</v>
      </c>
      <c r="R198" s="52" cm="1">
        <f t="array" ref="R198">MMS_poultry_Methane_Equations.VEERG_4_6_1_1__1_TotalAnnualMethaneEmissions(F$182, R154, F$187)</f>
        <v>4.5173478297600003E-4</v>
      </c>
      <c r="S198" s="52" cm="1">
        <f t="array" ref="S198">MMS_poultry_Methane_Equations.VEERG_4_6_1_1__1_TotalAnnualMethaneEmissions(G$182, S154, G$187)</f>
        <v>4.2279936767999996E-4</v>
      </c>
      <c r="T198" s="2" t="str">
        <f t="shared" si="7"/>
        <v>t CH4</v>
      </c>
    </row>
    <row r="199" spans="4:20" ht="20.100000000000001" customHeight="1" x14ac:dyDescent="0.25">
      <c r="D199" s="52"/>
      <c r="E199" s="52" t="str">
        <f>'Input - Poultry'!$D$41</f>
        <v>Direct processing</v>
      </c>
      <c r="F199" s="52" cm="1">
        <f t="array" ref="F199">MMS_poultry_Methane_Equations.VEERG_4_6_1_1__1_TotalAnnualMethaneEmissions(D$182, F155, D$187)</f>
        <v>0</v>
      </c>
      <c r="G199" s="52" cm="1">
        <f t="array" ref="G199">MMS_poultry_Methane_Equations.VEERG_4_6_1_1__1_TotalAnnualMethaneEmissions(E$182, G155, E$187)</f>
        <v>0</v>
      </c>
      <c r="H199" s="52" cm="1">
        <f t="array" ref="H199">MMS_poultry_Methane_Equations.VEERG_4_6_1_1__1_TotalAnnualMethaneEmissions(F$182, H155, F$187)</f>
        <v>0</v>
      </c>
      <c r="I199" s="52" cm="1">
        <f t="array" ref="I199">MMS_poultry_Methane_Equations.VEERG_4_6_1_1__1_TotalAnnualMethaneEmissions(G$182, I155, G$187)</f>
        <v>0</v>
      </c>
      <c r="J199" s="2" t="str">
        <f t="shared" si="6"/>
        <v>t CH4</v>
      </c>
      <c r="N199" s="52"/>
      <c r="O199" s="52" t="str">
        <f>'Input - Poultry'!$D$41</f>
        <v>Direct processing</v>
      </c>
      <c r="P199" s="52" cm="1">
        <f t="array" ref="P199">MMS_poultry_Methane_Equations.VEERG_4_6_1_1__1_TotalAnnualMethaneEmissions(D$182, P155, D$187)</f>
        <v>0</v>
      </c>
      <c r="Q199" s="52" cm="1">
        <f t="array" ref="Q199">MMS_poultry_Methane_Equations.VEERG_4_6_1_1__1_TotalAnnualMethaneEmissions(E$182, Q155, E$187)</f>
        <v>0</v>
      </c>
      <c r="R199" s="52" cm="1">
        <f t="array" ref="R199">MMS_poultry_Methane_Equations.VEERG_4_6_1_1__1_TotalAnnualMethaneEmissions(F$182, R155, F$187)</f>
        <v>0</v>
      </c>
      <c r="S199" s="52" cm="1">
        <f t="array" ref="S199">MMS_poultry_Methane_Equations.VEERG_4_6_1_1__1_TotalAnnualMethaneEmissions(G$182, S155, G$187)</f>
        <v>0</v>
      </c>
      <c r="T199" s="2" t="str">
        <f t="shared" si="7"/>
        <v>t CH4</v>
      </c>
    </row>
    <row r="200" spans="4:20" ht="20.100000000000001" customHeight="1" x14ac:dyDescent="0.25">
      <c r="D200" s="52" t="str">
        <f>'Input - Poultry'!$D$31</f>
        <v>Manure stored in house</v>
      </c>
      <c r="E200" s="52" t="str">
        <f>'Input - Poultry'!$D$45</f>
        <v>Solid storage</v>
      </c>
      <c r="F200" s="52" cm="1">
        <f t="array" ref="F200">MMS_poultry_Methane_Equations.VEERG_4_6_1_1__1_TotalAnnualMethaneEmissions(D$182, F156, D$187)</f>
        <v>1.3075455983615998E-4</v>
      </c>
      <c r="G200" s="52" cm="1">
        <f t="array" ref="G200">MMS_poultry_Methane_Equations.VEERG_4_6_1_1__1_TotalAnnualMethaneEmissions(E$182, G156, E$187)</f>
        <v>6.7647898828799961E-5</v>
      </c>
      <c r="H200" s="52" cm="1">
        <f t="array" ref="H200">MMS_poultry_Methane_Equations.VEERG_4_6_1_1__1_TotalAnnualMethaneEmissions(F$182, H156, F$187)</f>
        <v>7.227756527616E-5</v>
      </c>
      <c r="I200" s="52" cm="1">
        <f t="array" ref="I200">MMS_poultry_Methane_Equations.VEERG_4_6_1_1__1_TotalAnnualMethaneEmissions(G$182, I156, G$187)</f>
        <v>6.7647898828799961E-5</v>
      </c>
      <c r="J200" s="2" t="str">
        <f t="shared" si="6"/>
        <v>t CH4</v>
      </c>
      <c r="N200" s="52" t="str">
        <f>'Input - Poultry'!$D$31</f>
        <v>Manure stored in house</v>
      </c>
      <c r="O200" s="52" t="str">
        <f>'Input - Poultry'!$D$45</f>
        <v>Solid storage</v>
      </c>
      <c r="P200" s="52" cm="1">
        <f t="array" ref="P200">MMS_poultry_Methane_Equations.VEERG_4_6_1_1__1_TotalAnnualMethaneEmissions(D$182, P156, D$187)</f>
        <v>1.3075455983615998E-4</v>
      </c>
      <c r="Q200" s="52" cm="1">
        <f t="array" ref="Q200">MMS_poultry_Methane_Equations.VEERG_4_6_1_1__1_TotalAnnualMethaneEmissions(E$182, Q156, E$187)</f>
        <v>6.7647898828799961E-5</v>
      </c>
      <c r="R200" s="52" cm="1">
        <f t="array" ref="R200">MMS_poultry_Methane_Equations.VEERG_4_6_1_1__1_TotalAnnualMethaneEmissions(F$182, R156, F$187)</f>
        <v>7.227756527616E-5</v>
      </c>
      <c r="S200" s="52" cm="1">
        <f t="array" ref="S200">MMS_poultry_Methane_Equations.VEERG_4_6_1_1__1_TotalAnnualMethaneEmissions(G$182, S156, G$187)</f>
        <v>6.7647898828799961E-5</v>
      </c>
      <c r="T200" s="2" t="str">
        <f t="shared" si="7"/>
        <v>t CH4</v>
      </c>
    </row>
    <row r="201" spans="4:20" ht="20.100000000000001" customHeight="1" x14ac:dyDescent="0.25">
      <c r="D201" s="52"/>
      <c r="E201" s="52" t="str">
        <f>'Input - Poultry'!$D$46</f>
        <v>Composting (passive windrow)</v>
      </c>
      <c r="F201" s="52" cm="1">
        <f t="array" ref="F201">MMS_poultry_Methane_Equations.VEERG_4_6_1_1__1_TotalAnnualMethaneEmissions(D$182, F157, D$187)</f>
        <v>6.5377279918079988E-5</v>
      </c>
      <c r="G201" s="52" cm="1">
        <f t="array" ref="G201">MMS_poultry_Methane_Equations.VEERG_4_6_1_1__1_TotalAnnualMethaneEmissions(E$182, G157, E$187)</f>
        <v>3.3823949414399981E-5</v>
      </c>
      <c r="H201" s="52" cm="1">
        <f t="array" ref="H201">MMS_poultry_Methane_Equations.VEERG_4_6_1_1__1_TotalAnnualMethaneEmissions(F$182, H157, F$187)</f>
        <v>3.613878263808E-5</v>
      </c>
      <c r="I201" s="52" cm="1">
        <f t="array" ref="I201">MMS_poultry_Methane_Equations.VEERG_4_6_1_1__1_TotalAnnualMethaneEmissions(G$182, I157, G$187)</f>
        <v>3.3823949414399981E-5</v>
      </c>
      <c r="J201" s="2" t="str">
        <f t="shared" si="6"/>
        <v>t CH4</v>
      </c>
      <c r="N201" s="52"/>
      <c r="O201" s="52" t="str">
        <f>'Input - Poultry'!$D$46</f>
        <v>Composting (passive windrow)</v>
      </c>
      <c r="P201" s="52" cm="1">
        <f t="array" ref="P201">MMS_poultry_Methane_Equations.VEERG_4_6_1_1__1_TotalAnnualMethaneEmissions(D$182, P157, D$187)</f>
        <v>6.5377279918079988E-5</v>
      </c>
      <c r="Q201" s="52" cm="1">
        <f t="array" ref="Q201">MMS_poultry_Methane_Equations.VEERG_4_6_1_1__1_TotalAnnualMethaneEmissions(E$182, Q157, E$187)</f>
        <v>3.3823949414399981E-5</v>
      </c>
      <c r="R201" s="52" cm="1">
        <f t="array" ref="R201">MMS_poultry_Methane_Equations.VEERG_4_6_1_1__1_TotalAnnualMethaneEmissions(F$182, R157, F$187)</f>
        <v>3.613878263808E-5</v>
      </c>
      <c r="S201" s="52" cm="1">
        <f t="array" ref="S201">MMS_poultry_Methane_Equations.VEERG_4_6_1_1__1_TotalAnnualMethaneEmissions(G$182, S157, G$187)</f>
        <v>3.3823949414399981E-5</v>
      </c>
      <c r="T201" s="2" t="str">
        <f t="shared" si="7"/>
        <v>t CH4</v>
      </c>
    </row>
    <row r="202" spans="4:20" ht="20.100000000000001" customHeight="1" x14ac:dyDescent="0.25">
      <c r="D202" s="52"/>
      <c r="E202" s="52" t="str">
        <f>'Input - Poultry'!$D$47</f>
        <v>Digester / covered lagoons</v>
      </c>
      <c r="F202" s="52" cm="1">
        <f t="array" ref="F202">MMS_poultry_Methane_Equations.VEERG_4_6_1_1__1_TotalAnnualMethaneEmissions(D$182, F158, D$187)</f>
        <v>6.5377279918080004E-4</v>
      </c>
      <c r="G202" s="52" cm="1">
        <f t="array" ref="G202">MMS_poultry_Methane_Equations.VEERG_4_6_1_1__1_TotalAnnualMethaneEmissions(E$182, G158, E$187)</f>
        <v>3.3823949414399986E-4</v>
      </c>
      <c r="H202" s="52" cm="1">
        <f t="array" ref="H202">MMS_poultry_Methane_Equations.VEERG_4_6_1_1__1_TotalAnnualMethaneEmissions(F$182, H158, F$187)</f>
        <v>3.6138782638079996E-4</v>
      </c>
      <c r="I202" s="52" cm="1">
        <f t="array" ref="I202">MMS_poultry_Methane_Equations.VEERG_4_6_1_1__1_TotalAnnualMethaneEmissions(G$182, I158, G$187)</f>
        <v>3.3823949414399986E-4</v>
      </c>
      <c r="J202" s="2" t="str">
        <f t="shared" si="6"/>
        <v>t CH4</v>
      </c>
      <c r="N202" s="52"/>
      <c r="O202" s="52" t="str">
        <f>'Input - Poultry'!$D$47</f>
        <v>Digester / covered lagoons</v>
      </c>
      <c r="P202" s="52" cm="1">
        <f t="array" ref="P202">MMS_poultry_Methane_Equations.VEERG_4_6_1_1__1_TotalAnnualMethaneEmissions(D$182, P158, D$187)</f>
        <v>6.5377279918080004E-4</v>
      </c>
      <c r="Q202" s="52" cm="1">
        <f t="array" ref="Q202">MMS_poultry_Methane_Equations.VEERG_4_6_1_1__1_TotalAnnualMethaneEmissions(E$182, Q158, E$187)</f>
        <v>3.3823949414399986E-4</v>
      </c>
      <c r="R202" s="52" cm="1">
        <f t="array" ref="R202">MMS_poultry_Methane_Equations.VEERG_4_6_1_1__1_TotalAnnualMethaneEmissions(F$182, R158, F$187)</f>
        <v>3.6138782638079996E-4</v>
      </c>
      <c r="S202" s="52" cm="1">
        <f t="array" ref="S202">MMS_poultry_Methane_Equations.VEERG_4_6_1_1__1_TotalAnnualMethaneEmissions(G$182, S158, G$187)</f>
        <v>3.3823949414399986E-4</v>
      </c>
      <c r="T202" s="2" t="str">
        <f t="shared" si="7"/>
        <v>t CH4</v>
      </c>
    </row>
    <row r="203" spans="4:20" ht="20.100000000000001" customHeight="1" x14ac:dyDescent="0.25">
      <c r="D203" s="52"/>
      <c r="E203" s="52" t="str">
        <f>'Input - Poultry'!$D$48</f>
        <v>Direct processing</v>
      </c>
      <c r="F203" s="52" cm="1">
        <f t="array" ref="F203">MMS_poultry_Methane_Equations.VEERG_4_6_1_1__1_TotalAnnualMethaneEmissions(D$182, F159, D$187)</f>
        <v>0</v>
      </c>
      <c r="G203" s="52" cm="1">
        <f t="array" ref="G203">MMS_poultry_Methane_Equations.VEERG_4_6_1_1__1_TotalAnnualMethaneEmissions(E$182, G159, E$187)</f>
        <v>0</v>
      </c>
      <c r="H203" s="52" cm="1">
        <f t="array" ref="H203">MMS_poultry_Methane_Equations.VEERG_4_6_1_1__1_TotalAnnualMethaneEmissions(F$182, H159, F$187)</f>
        <v>0</v>
      </c>
      <c r="I203" s="52" cm="1">
        <f t="array" ref="I203">MMS_poultry_Methane_Equations.VEERG_4_6_1_1__1_TotalAnnualMethaneEmissions(G$182, I159, G$187)</f>
        <v>0</v>
      </c>
      <c r="J203" s="2" t="str">
        <f t="shared" si="6"/>
        <v>t CH4</v>
      </c>
      <c r="N203" s="52"/>
      <c r="O203" s="52" t="str">
        <f>'Input - Poultry'!$D$48</f>
        <v>Direct processing</v>
      </c>
      <c r="P203" s="52" cm="1">
        <f t="array" ref="P203">MMS_poultry_Methane_Equations.VEERG_4_6_1_1__1_TotalAnnualMethaneEmissions(D$182, P159, D$187)</f>
        <v>0</v>
      </c>
      <c r="Q203" s="52" cm="1">
        <f t="array" ref="Q203">MMS_poultry_Methane_Equations.VEERG_4_6_1_1__1_TotalAnnualMethaneEmissions(E$182, Q159, E$187)</f>
        <v>0</v>
      </c>
      <c r="R203" s="52" cm="1">
        <f t="array" ref="R203">MMS_poultry_Methane_Equations.VEERG_4_6_1_1__1_TotalAnnualMethaneEmissions(F$182, R159, F$187)</f>
        <v>0</v>
      </c>
      <c r="S203" s="52" cm="1">
        <f t="array" ref="S203">MMS_poultry_Methane_Equations.VEERG_4_6_1_1__1_TotalAnnualMethaneEmissions(G$182, S159, G$187)</f>
        <v>0</v>
      </c>
      <c r="T203" s="2" t="str">
        <f t="shared" si="7"/>
        <v>t CH4</v>
      </c>
    </row>
    <row r="204" spans="4:20" ht="20.100000000000001" customHeight="1" x14ac:dyDescent="0.25">
      <c r="D204" s="52" t="str">
        <f>'Input - Poultry'!$D$32</f>
        <v>Pasture range and paddock</v>
      </c>
      <c r="E204" s="52" t="str">
        <f>'Input - Poultry'!$D$52</f>
        <v>Solid storage</v>
      </c>
      <c r="F204" s="52" cm="1">
        <f t="array" ref="F204">MMS_poultry_Methane_Equations.VEERG_4_6_1_1__1_TotalAnnualMethaneEmissions(D$182, F160, D$187)</f>
        <v>1.6344319979519996E-4</v>
      </c>
      <c r="G204" s="52" cm="1">
        <f t="array" ref="G204">MMS_poultry_Methane_Equations.VEERG_4_6_1_1__1_TotalAnnualMethaneEmissions(E$182, G160, E$187)</f>
        <v>8.4559873535999978E-5</v>
      </c>
      <c r="H204" s="52" cm="1">
        <f t="array" ref="H204">MMS_poultry_Methane_Equations.VEERG_4_6_1_1__1_TotalAnnualMethaneEmissions(F$182, H160, F$187)</f>
        <v>9.034695659519999E-5</v>
      </c>
      <c r="I204" s="52" cm="1">
        <f t="array" ref="I204">MMS_poultry_Methane_Equations.VEERG_4_6_1_1__1_TotalAnnualMethaneEmissions(G$182, I160, G$187)</f>
        <v>8.4559873535999978E-5</v>
      </c>
      <c r="J204" s="2" t="str">
        <f t="shared" si="6"/>
        <v>t CH4</v>
      </c>
      <c r="N204" s="52" t="str">
        <f>'Input - Poultry'!$D$32</f>
        <v>Pasture range and paddock</v>
      </c>
      <c r="O204" s="52" t="str">
        <f>'Input - Poultry'!$D$52</f>
        <v>Solid storage</v>
      </c>
      <c r="P204" s="52" cm="1">
        <f t="array" ref="P204">MMS_poultry_Methane_Equations.VEERG_4_6_1_1__1_TotalAnnualMethaneEmissions(D$182, P160, D$187)</f>
        <v>1.6344319979519996E-4</v>
      </c>
      <c r="Q204" s="52" cm="1">
        <f t="array" ref="Q204">MMS_poultry_Methane_Equations.VEERG_4_6_1_1__1_TotalAnnualMethaneEmissions(E$182, Q160, E$187)</f>
        <v>8.4559873535999978E-5</v>
      </c>
      <c r="R204" s="52" cm="1">
        <f t="array" ref="R204">MMS_poultry_Methane_Equations.VEERG_4_6_1_1__1_TotalAnnualMethaneEmissions(F$182, R160, F$187)</f>
        <v>9.034695659519999E-5</v>
      </c>
      <c r="S204" s="52" cm="1">
        <f t="array" ref="S204">MMS_poultry_Methane_Equations.VEERG_4_6_1_1__1_TotalAnnualMethaneEmissions(G$182, S160, G$187)</f>
        <v>8.4559873535999978E-5</v>
      </c>
      <c r="T204" s="2" t="str">
        <f t="shared" si="7"/>
        <v>t CH4</v>
      </c>
    </row>
    <row r="205" spans="4:20" ht="20.100000000000001" customHeight="1" x14ac:dyDescent="0.25">
      <c r="D205" s="52"/>
      <c r="E205" s="52" t="str">
        <f>'Input - Poultry'!$D$53</f>
        <v>Composting (passive windrow)</v>
      </c>
      <c r="F205" s="52" cm="1">
        <f t="array" ref="F205">MMS_poultry_Methane_Equations.VEERG_4_6_1_1__1_TotalAnnualMethaneEmissions(D$182, F161, D$187)</f>
        <v>8.1721599897599978E-5</v>
      </c>
      <c r="G205" s="52" cm="1">
        <f t="array" ref="G205">MMS_poultry_Methane_Equations.VEERG_4_6_1_1__1_TotalAnnualMethaneEmissions(E$182, G161, E$187)</f>
        <v>4.2279936767999989E-5</v>
      </c>
      <c r="H205" s="52" cm="1">
        <f t="array" ref="H205">MMS_poultry_Methane_Equations.VEERG_4_6_1_1__1_TotalAnnualMethaneEmissions(F$182, H161, F$187)</f>
        <v>4.5173478297599995E-5</v>
      </c>
      <c r="I205" s="52" cm="1">
        <f t="array" ref="I205">MMS_poultry_Methane_Equations.VEERG_4_6_1_1__1_TotalAnnualMethaneEmissions(G$182, I161, G$187)</f>
        <v>4.2279936767999989E-5</v>
      </c>
      <c r="J205" s="2" t="str">
        <f t="shared" si="6"/>
        <v>t CH4</v>
      </c>
      <c r="N205" s="52"/>
      <c r="O205" s="52" t="str">
        <f>'Input - Poultry'!$D$53</f>
        <v>Composting (passive windrow)</v>
      </c>
      <c r="P205" s="52" cm="1">
        <f t="array" ref="P205">MMS_poultry_Methane_Equations.VEERG_4_6_1_1__1_TotalAnnualMethaneEmissions(D$182, P161, D$187)</f>
        <v>8.1721599897599978E-5</v>
      </c>
      <c r="Q205" s="52" cm="1">
        <f t="array" ref="Q205">MMS_poultry_Methane_Equations.VEERG_4_6_1_1__1_TotalAnnualMethaneEmissions(E$182, Q161, E$187)</f>
        <v>4.2279936767999989E-5</v>
      </c>
      <c r="R205" s="52" cm="1">
        <f t="array" ref="R205">MMS_poultry_Methane_Equations.VEERG_4_6_1_1__1_TotalAnnualMethaneEmissions(F$182, R161, F$187)</f>
        <v>4.5173478297599995E-5</v>
      </c>
      <c r="S205" s="52" cm="1">
        <f t="array" ref="S205">MMS_poultry_Methane_Equations.VEERG_4_6_1_1__1_TotalAnnualMethaneEmissions(G$182, S161, G$187)</f>
        <v>4.2279936767999989E-5</v>
      </c>
      <c r="T205" s="2" t="str">
        <f t="shared" si="7"/>
        <v>t CH4</v>
      </c>
    </row>
    <row r="206" spans="4:20" ht="20.100000000000001" customHeight="1" x14ac:dyDescent="0.25">
      <c r="D206" s="52"/>
      <c r="E206" s="52" t="str">
        <f>'Input - Poultry'!$D$54</f>
        <v>Digester / covered lagoons</v>
      </c>
      <c r="F206" s="52" cm="1">
        <f t="array" ref="F206">MMS_poultry_Methane_Equations.VEERG_4_6_1_1__1_TotalAnnualMethaneEmissions(D$182, F162, D$187)</f>
        <v>8.1721599897599984E-4</v>
      </c>
      <c r="G206" s="52" cm="1">
        <f t="array" ref="G206">MMS_poultry_Methane_Equations.VEERG_4_6_1_1__1_TotalAnnualMethaneEmissions(E$182, G162, E$187)</f>
        <v>4.2279936767999996E-4</v>
      </c>
      <c r="H206" s="52" cm="1">
        <f t="array" ref="H206">MMS_poultry_Methane_Equations.VEERG_4_6_1_1__1_TotalAnnualMethaneEmissions(F$182, H162, F$187)</f>
        <v>4.5173478297600003E-4</v>
      </c>
      <c r="I206" s="52" cm="1">
        <f t="array" ref="I206">MMS_poultry_Methane_Equations.VEERG_4_6_1_1__1_TotalAnnualMethaneEmissions(G$182, I162, G$187)</f>
        <v>4.2279936767999996E-4</v>
      </c>
      <c r="J206" s="2" t="str">
        <f t="shared" si="6"/>
        <v>t CH4</v>
      </c>
      <c r="N206" s="52"/>
      <c r="O206" s="52" t="str">
        <f>'Input - Poultry'!$D$54</f>
        <v>Digester / covered lagoons</v>
      </c>
      <c r="P206" s="52" cm="1">
        <f t="array" ref="P206">MMS_poultry_Methane_Equations.VEERG_4_6_1_1__1_TotalAnnualMethaneEmissions(D$182, P162, D$187)</f>
        <v>8.1721599897599984E-4</v>
      </c>
      <c r="Q206" s="52" cm="1">
        <f t="array" ref="Q206">MMS_poultry_Methane_Equations.VEERG_4_6_1_1__1_TotalAnnualMethaneEmissions(E$182, Q162, E$187)</f>
        <v>4.2279936767999996E-4</v>
      </c>
      <c r="R206" s="52" cm="1">
        <f t="array" ref="R206">MMS_poultry_Methane_Equations.VEERG_4_6_1_1__1_TotalAnnualMethaneEmissions(F$182, R162, F$187)</f>
        <v>4.5173478297600003E-4</v>
      </c>
      <c r="S206" s="52" cm="1">
        <f t="array" ref="S206">MMS_poultry_Methane_Equations.VEERG_4_6_1_1__1_TotalAnnualMethaneEmissions(G$182, S162, G$187)</f>
        <v>4.2279936767999996E-4</v>
      </c>
      <c r="T206" s="2" t="str">
        <f t="shared" si="7"/>
        <v>t CH4</v>
      </c>
    </row>
    <row r="207" spans="4:20" ht="20.100000000000001" customHeight="1" x14ac:dyDescent="0.25">
      <c r="D207" s="52"/>
      <c r="E207" s="52" t="str">
        <f>'Input - Poultry'!$D$55</f>
        <v>Direct processing</v>
      </c>
      <c r="F207" s="52" cm="1">
        <f t="array" ref="F207">MMS_poultry_Methane_Equations.VEERG_4_6_1_1__1_TotalAnnualMethaneEmissions(D$182, F163, D$187)</f>
        <v>0</v>
      </c>
      <c r="G207" s="52" cm="1">
        <f t="array" ref="G207">MMS_poultry_Methane_Equations.VEERG_4_6_1_1__1_TotalAnnualMethaneEmissions(E$182, G163, E$187)</f>
        <v>0</v>
      </c>
      <c r="H207" s="52" cm="1">
        <f t="array" ref="H207">MMS_poultry_Methane_Equations.VEERG_4_6_1_1__1_TotalAnnualMethaneEmissions(F$182, H163, F$187)</f>
        <v>0</v>
      </c>
      <c r="I207" s="52" cm="1">
        <f t="array" ref="I207">MMS_poultry_Methane_Equations.VEERG_4_6_1_1__1_TotalAnnualMethaneEmissions(G$182, I163, G$187)</f>
        <v>0</v>
      </c>
      <c r="J207" s="2" t="str">
        <f t="shared" si="6"/>
        <v>t CH4</v>
      </c>
      <c r="N207" s="52"/>
      <c r="O207" s="52" t="str">
        <f>'Input - Poultry'!$D$55</f>
        <v>Direct processing</v>
      </c>
      <c r="P207" s="52" cm="1">
        <f t="array" ref="P207">MMS_poultry_Methane_Equations.VEERG_4_6_1_1__1_TotalAnnualMethaneEmissions(D$182, P163, D$187)</f>
        <v>0</v>
      </c>
      <c r="Q207" s="52" cm="1">
        <f t="array" ref="Q207">MMS_poultry_Methane_Equations.VEERG_4_6_1_1__1_TotalAnnualMethaneEmissions(E$182, Q163, E$187)</f>
        <v>0</v>
      </c>
      <c r="R207" s="52" cm="1">
        <f t="array" ref="R207">MMS_poultry_Methane_Equations.VEERG_4_6_1_1__1_TotalAnnualMethaneEmissions(F$182, R163, F$187)</f>
        <v>0</v>
      </c>
      <c r="S207" s="52" cm="1">
        <f t="array" ref="S207">MMS_poultry_Methane_Equations.VEERG_4_6_1_1__1_TotalAnnualMethaneEmissions(G$182, S163, G$187)</f>
        <v>0</v>
      </c>
      <c r="T207" s="2" t="str">
        <f t="shared" si="7"/>
        <v>t CH4</v>
      </c>
    </row>
    <row r="208" spans="4:20" ht="20.100000000000001" customHeight="1" x14ac:dyDescent="0.25"/>
    <row r="209" spans="4:17" ht="20.100000000000001" customHeight="1" x14ac:dyDescent="0.25">
      <c r="D209" s="101" t="s">
        <v>129</v>
      </c>
      <c r="E209" s="102" t="e">
        <f>SUM(F192:I207)</f>
        <v>#N/A</v>
      </c>
      <c r="F209" s="103" t="str">
        <f>$E$173</f>
        <v>t CH4</v>
      </c>
      <c r="N209" s="101" t="s">
        <v>129</v>
      </c>
      <c r="O209" s="102" t="e">
        <f>SUM(P192:S207)</f>
        <v>#N/A</v>
      </c>
      <c r="P209" s="103" t="str">
        <f>$E$173</f>
        <v>t CH4</v>
      </c>
    </row>
    <row r="210" spans="4:17" ht="20.100000000000001" customHeight="1" x14ac:dyDescent="0.25"/>
    <row r="211" spans="4:17" ht="20.100000000000001" customHeight="1" x14ac:dyDescent="0.25">
      <c r="D211" s="57" t="str" cm="1">
        <f t="array" ref="D211:E212">Common_Equations.Common_ConvertCH4ToCO2e_Arguments()</f>
        <v>ECH4</v>
      </c>
      <c r="E211" s="58" t="str">
        <v>Methane emissions (t CH4)</v>
      </c>
      <c r="F211" s="104"/>
      <c r="G211" s="52" t="e">
        <f>E209</f>
        <v>#N/A</v>
      </c>
      <c r="N211" s="57" t="str" cm="1">
        <f t="array" ref="N211:O212">Common_Equations.Common_ConvertCH4ToCO2e_Arguments()</f>
        <v>ECH4</v>
      </c>
      <c r="O211" s="58" t="str">
        <v>Methane emissions (t CH4)</v>
      </c>
      <c r="P211" s="104"/>
      <c r="Q211" s="52" t="e">
        <f>O209</f>
        <v>#N/A</v>
      </c>
    </row>
    <row r="212" spans="4:17" ht="20.100000000000001" customHeight="1" x14ac:dyDescent="0.25">
      <c r="D212" s="57" t="str">
        <v>GWPCH4</v>
      </c>
      <c r="E212" s="58" t="str">
        <v>Global warming potential for methane (t CO2-e / t CH4)</v>
      </c>
      <c r="F212" s="104"/>
      <c r="G212" s="52">
        <f>Common_InputFunctions.Utility_LookupValueInTableNumber("CH4",[2]!Table_GWPData[Gas],[2]!Table_GWPData[CO2-e factor])</f>
        <v>28</v>
      </c>
      <c r="N212" s="57" t="str">
        <v>GWPCH4</v>
      </c>
      <c r="O212" s="58" t="str">
        <v>Global warming potential for methane (t CO2-e / t CH4)</v>
      </c>
      <c r="P212" s="104"/>
      <c r="Q212" s="52">
        <f>Common_InputFunctions.Utility_LookupValueInTableNumber("CH4",[2]!Table_GWPData[Gas],[2]!Table_GWPData[CO2-e factor])</f>
        <v>28</v>
      </c>
    </row>
    <row r="213" spans="4:17" ht="20.100000000000001" customHeight="1" x14ac:dyDescent="0.25"/>
    <row r="214" spans="4:17" ht="20.100000000000001" customHeight="1" x14ac:dyDescent="0.25">
      <c r="D214" s="45" t="s">
        <v>100</v>
      </c>
      <c r="E214" s="45" t="e" cm="1">
        <f t="array" ref="E214">Common_Equations.Common_ConvertN2OToCO2e(G211,G212)</f>
        <v>#N/A</v>
      </c>
      <c r="F214" s="105" t="str" cm="1">
        <f t="array" ref="F214">Common_Equations.Common_ConvertN2OToCO2e_Unit()</f>
        <v>t CO2e</v>
      </c>
      <c r="N214" s="45" t="s">
        <v>100</v>
      </c>
      <c r="O214" s="45" t="e" cm="1">
        <f t="array" ref="O214">Common_Equations.Common_ConvertN2OToCO2e(Q211,Q212)</f>
        <v>#N/A</v>
      </c>
      <c r="P214" s="105" t="str" cm="1">
        <f t="array" ref="P214">Common_Equations.Common_ConvertN2OToCO2e_Unit()</f>
        <v>t CO2e</v>
      </c>
    </row>
    <row r="215" spans="4:17" ht="20.100000000000001" customHeight="1" x14ac:dyDescent="0.25"/>
    <row r="216" spans="4:17" ht="20.100000000000001" customHeight="1" x14ac:dyDescent="0.25"/>
    <row r="217" spans="4:17" ht="20.100000000000001" customHeight="1" x14ac:dyDescent="0.25"/>
    <row r="218" spans="4:17" ht="20.100000000000001" customHeight="1" x14ac:dyDescent="0.25"/>
    <row r="219" spans="4:17" ht="20.100000000000001" customHeight="1" x14ac:dyDescent="0.25"/>
    <row r="220" spans="4:17" ht="20.100000000000001" customHeight="1" x14ac:dyDescent="0.25"/>
    <row r="221" spans="4:17" ht="20.100000000000001" customHeight="1" x14ac:dyDescent="0.25"/>
    <row r="222" spans="4:17" ht="20.100000000000001" customHeight="1" x14ac:dyDescent="0.25"/>
    <row r="223" spans="4:17" ht="20.100000000000001" customHeight="1" x14ac:dyDescent="0.25"/>
    <row r="224" spans="4:17" ht="20.100000000000001" customHeight="1" x14ac:dyDescent="0.25"/>
    <row r="225" ht="20.100000000000001" customHeight="1" x14ac:dyDescent="0.25"/>
    <row r="226" ht="20.100000000000001" customHeight="1" x14ac:dyDescent="0.25"/>
    <row r="227" ht="20.100000000000001" customHeight="1" x14ac:dyDescent="0.25"/>
    <row r="228" ht="20.100000000000001" customHeight="1" x14ac:dyDescent="0.25"/>
    <row r="229" ht="20.100000000000001" customHeight="1" x14ac:dyDescent="0.25"/>
    <row r="230" ht="20.100000000000001" customHeight="1" x14ac:dyDescent="0.25"/>
    <row r="231" ht="20.100000000000001" customHeight="1" x14ac:dyDescent="0.25"/>
    <row r="232" ht="20.100000000000001" customHeight="1" x14ac:dyDescent="0.25"/>
    <row r="233" ht="20.100000000000001" customHeight="1" x14ac:dyDescent="0.25"/>
    <row r="234" ht="20.100000000000001" customHeight="1" x14ac:dyDescent="0.25"/>
    <row r="235" ht="20.100000000000001" customHeight="1" x14ac:dyDescent="0.25"/>
    <row r="236" ht="20.100000000000001" customHeight="1" x14ac:dyDescent="0.25"/>
    <row r="237" ht="20.100000000000001" customHeight="1" x14ac:dyDescent="0.25"/>
    <row r="238" ht="20.100000000000001" customHeight="1" x14ac:dyDescent="0.25"/>
    <row r="239" ht="20.100000000000001" customHeight="1" x14ac:dyDescent="0.25"/>
    <row r="240" ht="20.100000000000001" customHeight="1" x14ac:dyDescent="0.25"/>
    <row r="241" ht="20.100000000000001" customHeight="1" x14ac:dyDescent="0.25"/>
    <row r="242" ht="20.100000000000001" customHeight="1" x14ac:dyDescent="0.25"/>
    <row r="243" ht="20.100000000000001" customHeight="1" x14ac:dyDescent="0.25"/>
    <row r="244" ht="20.100000000000001" customHeight="1" x14ac:dyDescent="0.25"/>
    <row r="245" ht="20.100000000000001" customHeight="1" x14ac:dyDescent="0.25"/>
    <row r="246" ht="20.100000000000001" customHeight="1" x14ac:dyDescent="0.25"/>
    <row r="247" ht="20.100000000000001" customHeight="1" x14ac:dyDescent="0.25"/>
    <row r="248" ht="20.100000000000001" customHeight="1" x14ac:dyDescent="0.25"/>
    <row r="249" ht="20.100000000000001" customHeight="1" x14ac:dyDescent="0.25"/>
    <row r="250" ht="20.100000000000001" customHeight="1" x14ac:dyDescent="0.25"/>
    <row r="251" ht="20.100000000000001" customHeight="1" x14ac:dyDescent="0.25"/>
    <row r="252" ht="20.100000000000001" customHeight="1" x14ac:dyDescent="0.25"/>
    <row r="253" ht="20.100000000000001" customHeight="1" x14ac:dyDescent="0.25"/>
    <row r="254" ht="20.100000000000001" customHeight="1" x14ac:dyDescent="0.25"/>
    <row r="255" ht="20.100000000000001" customHeight="1" x14ac:dyDescent="0.25"/>
    <row r="256" ht="20.100000000000001" customHeight="1" x14ac:dyDescent="0.25"/>
    <row r="257" ht="20.100000000000001" customHeight="1" x14ac:dyDescent="0.25"/>
    <row r="258" ht="20.100000000000001" customHeight="1" x14ac:dyDescent="0.25"/>
    <row r="259" ht="20.100000000000001" customHeight="1" x14ac:dyDescent="0.25"/>
    <row r="260" ht="20.100000000000001" customHeight="1" x14ac:dyDescent="0.25"/>
    <row r="261" ht="20.100000000000001" customHeight="1" x14ac:dyDescent="0.25"/>
    <row r="262" ht="20.100000000000001" customHeight="1" x14ac:dyDescent="0.25"/>
    <row r="263" ht="20.100000000000001" customHeight="1" x14ac:dyDescent="0.25"/>
    <row r="264" ht="20.100000000000001" customHeight="1" x14ac:dyDescent="0.25"/>
    <row r="265" ht="20.100000000000001" customHeight="1" x14ac:dyDescent="0.25"/>
    <row r="266" ht="20.100000000000001" customHeight="1" x14ac:dyDescent="0.25"/>
    <row r="267" ht="20.100000000000001" customHeight="1" x14ac:dyDescent="0.25"/>
    <row r="268" ht="20.100000000000001" customHeight="1" x14ac:dyDescent="0.25"/>
    <row r="269" ht="20.100000000000001" customHeight="1" x14ac:dyDescent="0.25"/>
    <row r="270" ht="20.100000000000001" customHeight="1" x14ac:dyDescent="0.25"/>
    <row r="271" ht="20.100000000000001" customHeight="1" x14ac:dyDescent="0.25"/>
    <row r="341" spans="8:8" x14ac:dyDescent="0.25">
      <c r="H341" s="22"/>
    </row>
    <row r="342" spans="8:8" x14ac:dyDescent="0.25">
      <c r="H342" s="22"/>
    </row>
  </sheetData>
  <dataValidations disablePrompts="1" count="1">
    <dataValidation operator="equal" allowBlank="1" showInputMessage="1" showErrorMessage="1" sqref="O172:T172 P150:S150 E269 O166:T166 P143:T144 E228 P167:T167 G132 J128:J133 I129:I133 F134:I134 F129:F132 H128:H132 G129 F148:I148 I149:J149 F150:I150 S149:T149" xr:uid="{AF7BB680-B75F-4AE8-AA2D-EDF03FCB10D8}"/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52C6-038D-41EC-BA1B-216C9E3A60D3}">
  <dimension ref="A1:U291"/>
  <sheetViews>
    <sheetView showGridLines="0" zoomScale="85" zoomScaleNormal="85" workbookViewId="0">
      <selection activeCell="H26" sqref="H26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68" t="e" vm="1">
        <v>#VALUE!</v>
      </c>
      <c r="C1" s="8" t="s">
        <v>294</v>
      </c>
      <c r="L1"/>
    </row>
    <row r="2" spans="1:21" s="9" customFormat="1" ht="20.100000000000001" customHeight="1" x14ac:dyDescent="0.25">
      <c r="L2"/>
    </row>
    <row r="3" spans="1:21" ht="20.100000000000001" customHeight="1" x14ac:dyDescent="0.25">
      <c r="A3" s="17" t="str">
        <f>HYPERLINK("#'Home'!A1", "Home")</f>
        <v>Home</v>
      </c>
      <c r="C3" s="4"/>
      <c r="D3" s="4" t="s">
        <v>101</v>
      </c>
      <c r="E3" s="4"/>
      <c r="F3" s="4"/>
      <c r="G3" s="4"/>
      <c r="H3" s="4"/>
      <c r="I3" s="4"/>
      <c r="J3" s="4"/>
      <c r="K3" s="4"/>
      <c r="M3" s="4"/>
      <c r="N3" s="4" t="s">
        <v>102</v>
      </c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tr" cm="1">
        <f t="array" ref="D5">MMS_Poultry_N2ODirect_Equations.VEERG_4_6_1_3__5_NitrogenIntake_Title()</f>
        <v>Nitrogen intake of poultry</v>
      </c>
    </row>
    <row r="6" spans="1:21" ht="20.100000000000001" customHeight="1" x14ac:dyDescent="0.25">
      <c r="A6" s="20" t="s">
        <v>3</v>
      </c>
      <c r="D6" s="5" t="str" cm="1">
        <f t="array" ref="D6">MMS_Poultry_N2ODirect_Equations.VEERG_4_6_1_3__5_NitrogenIntake_Source()</f>
        <v>VEERG 2026: 4.6.1.3, Equation (5)</v>
      </c>
    </row>
    <row r="7" spans="1:21" ht="20.100000000000001" customHeight="1" x14ac:dyDescent="0.25">
      <c r="A7" s="17" t="str">
        <f>HYPERLINK("#'Input - Site'!A1", "Site")</f>
        <v>Site</v>
      </c>
      <c r="D7" s="13" t="s">
        <v>26</v>
      </c>
      <c r="E7" s="13" t="e" cm="1" vm="2">
        <f t="array" aca="1" ref="E7" ca="1">Common_InputFunctions.Utility_DisplayFunctionName()</f>
        <v>#VALUE!</v>
      </c>
    </row>
    <row r="8" spans="1:21" ht="20.100000000000001" customHeight="1" x14ac:dyDescent="0.25">
      <c r="A8" s="17" t="str">
        <f>HYPERLINK("#'Input - Swine'!A1", "Swine")</f>
        <v>Swine</v>
      </c>
    </row>
    <row r="9" spans="1:21" ht="20.100000000000001" customHeight="1" x14ac:dyDescent="0.25">
      <c r="A9" s="17"/>
    </row>
    <row r="10" spans="1:21" ht="20.100000000000001" customHeight="1" x14ac:dyDescent="0.25">
      <c r="A10" s="19" t="s">
        <v>76</v>
      </c>
      <c r="D10" s="53" t="s">
        <v>29</v>
      </c>
      <c r="E10" s="1" t="str" cm="1">
        <f t="array" ref="E10">MMS_Poultry_N2ODirect_Equations.VEERG_4_6_1_3__5_NitrogenIntake_Variable()</f>
        <v>NI_jk</v>
      </c>
    </row>
    <row r="11" spans="1:21" ht="20.100000000000001" customHeight="1" x14ac:dyDescent="0.25">
      <c r="A11" s="17" t="str">
        <f>HYPERLINK("#'4.5.1.1-2 Methane'!A1", "4.5.1.1-2 Methane")</f>
        <v>4.5.1.1-2 Methane</v>
      </c>
      <c r="D11" s="53" t="s">
        <v>19</v>
      </c>
      <c r="E11" s="54" t="str" cm="1">
        <f t="array" ref="E11">MMS_Poultry_N2ODirect_Equations.VEERG_4_6_1_3__5_NitrogenIntake_Unit()</f>
        <v>kg N/bird/day</v>
      </c>
    </row>
    <row r="12" spans="1:21" ht="20.100000000000001" customHeight="1" x14ac:dyDescent="0.25">
      <c r="A12" s="136" t="str">
        <f>HYPERLINK("#'4.5.1.3-4 Direct N20'!A1", "4.5.1.3-4 Direct N2O")</f>
        <v>4.5.1.3-4 Direct N2O</v>
      </c>
    </row>
    <row r="13" spans="1:21" ht="20.100000000000001" customHeight="1" x14ac:dyDescent="0.25">
      <c r="A13" s="17" t="str">
        <f>HYPERLINK("#'4.5.1.5-6 Atmos Dep'!A1", "4.5.1.5-6 Soil atm. deposition")</f>
        <v>4.5.1.5-6 Soil atm. deposition</v>
      </c>
      <c r="D13" s="57" t="str" cm="1">
        <f t="array" ref="D13:E15">MMS_Poultry_N2ODirect_Equations.VEERG_4_6_1_3__5_NitrogenIntake_Arguments()</f>
        <v>I_jk</v>
      </c>
      <c r="E13" s="58" t="str">
        <v>dry matter intake for each class and subclass : kg DM/bird/day</v>
      </c>
      <c r="F13" s="59"/>
      <c r="G13" s="57"/>
    </row>
    <row r="14" spans="1:21" ht="20.100000000000001" customHeight="1" x14ac:dyDescent="0.25">
      <c r="A14" s="17" t="str">
        <f>HYPERLINK("#'4.5.1.7-8 Leaching and runoff'!A1", "4.5.1.7-8 Leaching &amp; runoff")</f>
        <v>4.5.1.7-8 Leaching &amp; runoff</v>
      </c>
      <c r="D14" s="57" t="str">
        <v>CP_jk</v>
      </c>
      <c r="E14" s="58" t="str">
        <v>crude protein content of feed : fraction</v>
      </c>
      <c r="F14" s="59"/>
      <c r="G14" s="57"/>
    </row>
    <row r="15" spans="1:21" ht="20.100000000000001" customHeight="1" x14ac:dyDescent="0.25">
      <c r="A15" s="17" t="str">
        <f>HYPERLINK("#'4.5.1.9 Manure applied to soils'!A1", "4.5.1.9 Manure applied to soils")</f>
        <v>4.5.1.9 Manure applied to soils</v>
      </c>
      <c r="D15" s="57" t="str">
        <v>6.25</v>
      </c>
      <c r="E15" s="58" t="str">
        <v>factor for converting crude protein into nitrogen : ratio</v>
      </c>
      <c r="F15" s="59"/>
      <c r="G15" s="57"/>
    </row>
    <row r="16" spans="1:21" ht="20.100000000000001" customHeight="1" x14ac:dyDescent="0.25"/>
    <row r="17" spans="1:8" ht="20.100000000000001" customHeight="1" x14ac:dyDescent="0.25">
      <c r="A17" s="18" t="s">
        <v>4</v>
      </c>
      <c r="D17" s="1" t="s">
        <v>263</v>
      </c>
    </row>
    <row r="18" spans="1:8" ht="20.100000000000001" customHeight="1" x14ac:dyDescent="0.25">
      <c r="A18" s="17" t="str">
        <f>HYPERLINK("#'Constants - Swine'!A1", "Constants - Swine")</f>
        <v>Constants - Swine</v>
      </c>
      <c r="D18" s="1" t="s">
        <v>266</v>
      </c>
    </row>
    <row r="19" spans="1:8" ht="20.100000000000001" customHeight="1" x14ac:dyDescent="0.25">
      <c r="A19" s="17" t="str">
        <f>HYPERLINK("#'Constants - Livestock'!A1", "Constants - Livestock")</f>
        <v>Constants - Livestock</v>
      </c>
      <c r="D19" s="51" t="s">
        <v>242</v>
      </c>
      <c r="E19" s="51" t="s">
        <v>243</v>
      </c>
      <c r="F19" s="51" t="s">
        <v>257</v>
      </c>
      <c r="G19" s="51" t="s">
        <v>258</v>
      </c>
    </row>
    <row r="20" spans="1:8" ht="20.100000000000001" customHeight="1" x14ac:dyDescent="0.25">
      <c r="A20" s="17" t="str">
        <f>HYPERLINK("#'Constants - Common'!A1", "Constants - Common")</f>
        <v>Constants - Common</v>
      </c>
      <c r="D20" s="52">
        <f>'Input - Poultry'!E16</f>
        <v>8.5999999999999993E-2</v>
      </c>
      <c r="E20" s="52">
        <f>'Constants - Poultry'!E13</f>
        <v>0.18</v>
      </c>
      <c r="F20" s="52">
        <f>'Constants - Poultry'!F13</f>
        <v>0.15</v>
      </c>
      <c r="G20" s="52">
        <f>'Constants - Poultry'!G13</f>
        <v>0.18</v>
      </c>
      <c r="H20" s="2" t="s">
        <v>262</v>
      </c>
    </row>
    <row r="21" spans="1:8" ht="20.100000000000001" customHeight="1" x14ac:dyDescent="0.25">
      <c r="A21" s="17" t="str">
        <f>HYPERLINK("#'Acknowledgements'!A1", "Acknowledgements")</f>
        <v>Acknowledgements</v>
      </c>
    </row>
    <row r="22" spans="1:8" ht="20.100000000000001" customHeight="1" x14ac:dyDescent="0.25">
      <c r="D22" s="1" t="s">
        <v>295</v>
      </c>
    </row>
    <row r="23" spans="1:8" ht="20.100000000000001" customHeight="1" x14ac:dyDescent="0.25">
      <c r="A23" s="17"/>
      <c r="D23" s="1" t="s">
        <v>296</v>
      </c>
    </row>
    <row r="24" spans="1:8" ht="20.100000000000001" customHeight="1" x14ac:dyDescent="0.25">
      <c r="A24" s="17"/>
      <c r="D24" s="51" t="s">
        <v>242</v>
      </c>
      <c r="E24" s="51" t="s">
        <v>243</v>
      </c>
      <c r="F24" s="51" t="s">
        <v>257</v>
      </c>
      <c r="G24" s="51" t="s">
        <v>258</v>
      </c>
    </row>
    <row r="25" spans="1:8" ht="20.100000000000001" customHeight="1" x14ac:dyDescent="0.25">
      <c r="D25" s="52">
        <f>'Input - Poultry'!E18</f>
        <v>0.19</v>
      </c>
      <c r="E25" s="52">
        <f>'Input - Poultry'!F18</f>
        <v>0.23</v>
      </c>
      <c r="F25" s="52">
        <f>'Input - Poultry'!G18</f>
        <v>0.19</v>
      </c>
      <c r="G25" s="52">
        <f>'Input - Poultry'!H18</f>
        <v>0.23</v>
      </c>
      <c r="H25" s="2" t="s">
        <v>117</v>
      </c>
    </row>
    <row r="26" spans="1:8" ht="20.100000000000001" customHeight="1" x14ac:dyDescent="0.25"/>
    <row r="27" spans="1:8" ht="20.100000000000001" customHeight="1" x14ac:dyDescent="0.25"/>
    <row r="28" spans="1:8" ht="20.100000000000001" customHeight="1" x14ac:dyDescent="0.25"/>
    <row r="29" spans="1:8" ht="20.100000000000001" customHeight="1" x14ac:dyDescent="0.25"/>
    <row r="30" spans="1:8" ht="20.100000000000001" customHeight="1" x14ac:dyDescent="0.25"/>
    <row r="31" spans="1:8" ht="20.100000000000001" customHeight="1" x14ac:dyDescent="0.25"/>
    <row r="32" spans="1:8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  <row r="219" ht="20.100000000000001" customHeight="1" x14ac:dyDescent="0.25"/>
    <row r="220" ht="20.100000000000001" customHeight="1" x14ac:dyDescent="0.25"/>
    <row r="221" ht="20.100000000000001" customHeight="1" x14ac:dyDescent="0.25"/>
    <row r="222" ht="20.100000000000001" customHeight="1" x14ac:dyDescent="0.25"/>
    <row r="223" ht="20.100000000000001" customHeight="1" x14ac:dyDescent="0.25"/>
    <row r="224" ht="20.100000000000001" customHeight="1" x14ac:dyDescent="0.25"/>
    <row r="225" ht="20.100000000000001" customHeight="1" x14ac:dyDescent="0.25"/>
    <row r="226" ht="20.100000000000001" customHeight="1" x14ac:dyDescent="0.25"/>
    <row r="227" ht="20.100000000000001" customHeight="1" x14ac:dyDescent="0.25"/>
    <row r="228" ht="20.100000000000001" customHeight="1" x14ac:dyDescent="0.25"/>
    <row r="229" ht="20.100000000000001" customHeight="1" x14ac:dyDescent="0.25"/>
    <row r="230" ht="20.100000000000001" customHeight="1" x14ac:dyDescent="0.25"/>
    <row r="231" ht="20.100000000000001" customHeight="1" x14ac:dyDescent="0.25"/>
    <row r="232" ht="20.100000000000001" customHeight="1" x14ac:dyDescent="0.25"/>
    <row r="233" ht="20.100000000000001" customHeight="1" x14ac:dyDescent="0.25"/>
    <row r="234" ht="20.100000000000001" customHeight="1" x14ac:dyDescent="0.25"/>
    <row r="235" ht="20.100000000000001" customHeight="1" x14ac:dyDescent="0.25"/>
    <row r="236" ht="20.100000000000001" customHeight="1" x14ac:dyDescent="0.25"/>
    <row r="237" ht="20.100000000000001" customHeight="1" x14ac:dyDescent="0.25"/>
    <row r="238" ht="20.100000000000001" customHeight="1" x14ac:dyDescent="0.25"/>
    <row r="239" ht="20.100000000000001" customHeight="1" x14ac:dyDescent="0.25"/>
    <row r="240" ht="20.100000000000001" customHeight="1" x14ac:dyDescent="0.25"/>
    <row r="241" ht="20.100000000000001" customHeight="1" x14ac:dyDescent="0.25"/>
    <row r="242" ht="20.100000000000001" customHeight="1" x14ac:dyDescent="0.25"/>
    <row r="243" ht="20.100000000000001" customHeight="1" x14ac:dyDescent="0.25"/>
    <row r="244" ht="20.100000000000001" customHeight="1" x14ac:dyDescent="0.25"/>
    <row r="245" ht="20.100000000000001" customHeight="1" x14ac:dyDescent="0.25"/>
    <row r="246" ht="20.100000000000001" customHeight="1" x14ac:dyDescent="0.25"/>
    <row r="247" ht="20.100000000000001" customHeight="1" x14ac:dyDescent="0.25"/>
    <row r="248" ht="20.100000000000001" customHeight="1" x14ac:dyDescent="0.25"/>
    <row r="249" ht="20.100000000000001" customHeight="1" x14ac:dyDescent="0.25"/>
    <row r="250" ht="20.100000000000001" customHeight="1" x14ac:dyDescent="0.25"/>
    <row r="251" ht="20.100000000000001" customHeight="1" x14ac:dyDescent="0.25"/>
    <row r="252" ht="20.100000000000001" customHeight="1" x14ac:dyDescent="0.25"/>
    <row r="253" ht="20.100000000000001" customHeight="1" x14ac:dyDescent="0.25"/>
    <row r="254" ht="20.100000000000001" customHeight="1" x14ac:dyDescent="0.25"/>
    <row r="255" ht="20.100000000000001" customHeight="1" x14ac:dyDescent="0.25"/>
    <row r="256" ht="20.100000000000001" customHeight="1" x14ac:dyDescent="0.25"/>
    <row r="257" ht="20.100000000000001" customHeight="1" x14ac:dyDescent="0.25"/>
    <row r="258" ht="20.100000000000001" customHeight="1" x14ac:dyDescent="0.25"/>
    <row r="259" ht="20.100000000000001" customHeight="1" x14ac:dyDescent="0.25"/>
    <row r="260" ht="20.100000000000001" customHeight="1" x14ac:dyDescent="0.25"/>
    <row r="261" ht="20.100000000000001" customHeight="1" x14ac:dyDescent="0.25"/>
    <row r="262" ht="20.100000000000001" customHeight="1" x14ac:dyDescent="0.25"/>
    <row r="263" ht="20.100000000000001" customHeight="1" x14ac:dyDescent="0.25"/>
    <row r="264" ht="20.100000000000001" customHeight="1" x14ac:dyDescent="0.25"/>
    <row r="265" ht="20.100000000000001" customHeight="1" x14ac:dyDescent="0.25"/>
    <row r="266" ht="20.100000000000001" customHeight="1" x14ac:dyDescent="0.25"/>
    <row r="267" ht="20.100000000000001" customHeight="1" x14ac:dyDescent="0.25"/>
    <row r="268" ht="20.100000000000001" customHeight="1" x14ac:dyDescent="0.25"/>
    <row r="269" ht="20.100000000000001" customHeight="1" x14ac:dyDescent="0.25"/>
    <row r="270" ht="20.100000000000001" customHeight="1" x14ac:dyDescent="0.25"/>
    <row r="271" ht="20.100000000000001" customHeight="1" x14ac:dyDescent="0.25"/>
    <row r="272" ht="20.100000000000001" customHeight="1" x14ac:dyDescent="0.25"/>
    <row r="273" ht="20.100000000000001" customHeight="1" x14ac:dyDescent="0.25"/>
    <row r="274" ht="20.100000000000001" customHeight="1" x14ac:dyDescent="0.25"/>
    <row r="275" ht="20.100000000000001" customHeight="1" x14ac:dyDescent="0.25"/>
    <row r="276" ht="20.100000000000001" customHeight="1" x14ac:dyDescent="0.25"/>
    <row r="277" ht="20.100000000000001" customHeight="1" x14ac:dyDescent="0.25"/>
    <row r="278" ht="20.100000000000001" customHeight="1" x14ac:dyDescent="0.25"/>
    <row r="279" ht="20.100000000000001" customHeight="1" x14ac:dyDescent="0.25"/>
    <row r="280" ht="20.100000000000001" customHeight="1" x14ac:dyDescent="0.25"/>
    <row r="281" ht="20.100000000000001" customHeight="1" x14ac:dyDescent="0.25"/>
    <row r="282" ht="20.100000000000001" customHeight="1" x14ac:dyDescent="0.25"/>
    <row r="283" ht="20.100000000000001" customHeight="1" x14ac:dyDescent="0.25"/>
    <row r="284" ht="20.100000000000001" customHeight="1" x14ac:dyDescent="0.25"/>
    <row r="285" ht="20.100000000000001" customHeight="1" x14ac:dyDescent="0.25"/>
    <row r="286" ht="20.100000000000001" customHeight="1" x14ac:dyDescent="0.25"/>
    <row r="287" ht="20.100000000000001" customHeight="1" x14ac:dyDescent="0.25"/>
    <row r="288" ht="20.100000000000001" customHeight="1" x14ac:dyDescent="0.25"/>
    <row r="289" ht="20.100000000000001" customHeight="1" x14ac:dyDescent="0.25"/>
    <row r="290" ht="20.100000000000001" customHeight="1" x14ac:dyDescent="0.25"/>
    <row r="291" ht="20.100000000000001" customHeight="1" x14ac:dyDescent="0.25"/>
  </sheetData>
  <dataValidations count="1">
    <dataValidation operator="equal" allowBlank="1" showInputMessage="1" showErrorMessage="1" sqref="E18 E28 E33 J101 J106 F192:I194 U126 O114:T114 U103 O23 O33 E23" xr:uid="{CE18DC45-74F3-46B3-972B-5F44E5579A05}"/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B34D-36DA-422C-84BA-A4E3FCAF2C16}">
  <dimension ref="A1:U165"/>
  <sheetViews>
    <sheetView showGridLines="0" workbookViewId="0">
      <selection activeCell="A11" sqref="A11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191</v>
      </c>
      <c r="L1"/>
    </row>
    <row r="2" spans="1:21" s="9" customFormat="1" ht="20.100000000000001" customHeight="1" x14ac:dyDescent="0.25">
      <c r="L2"/>
    </row>
    <row r="3" spans="1:21" ht="20.100000000000001" customHeight="1" x14ac:dyDescent="0.25">
      <c r="A3" s="17" t="str">
        <f>HYPERLINK("#'Home'!A1", "Home")</f>
        <v>Home</v>
      </c>
      <c r="C3" s="4"/>
      <c r="D3" s="4" t="s">
        <v>101</v>
      </c>
      <c r="E3" s="4"/>
      <c r="F3" s="4"/>
      <c r="G3" s="4"/>
      <c r="H3" s="4"/>
      <c r="I3" s="4"/>
      <c r="J3" s="4"/>
      <c r="K3" s="4"/>
      <c r="M3" s="4"/>
      <c r="N3" s="4" t="s">
        <v>102</v>
      </c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tr" cm="1">
        <f t="array" ref="D5">MMS_Swine_AtmosphericDeposition_Equations.VEERG_4_5_1_5__2_TotalNitrogenVolatilisedFromMMS_Title()</f>
        <v>Total nitrogen volatilised from MMS</v>
      </c>
    </row>
    <row r="6" spans="1:21" ht="20.100000000000001" customHeight="1" x14ac:dyDescent="0.25">
      <c r="A6" s="20" t="s">
        <v>3</v>
      </c>
      <c r="D6" s="5" t="str" cm="1">
        <f t="array" ref="D6">MMS_Swine_AtmosphericDeposition_Equations.VEERG_4_5_1_5__2_TotalNitrogenVolatilisedFromMMS_Source()</f>
        <v>VEERG 2026: 4.5.1.1, Equation (2)</v>
      </c>
    </row>
    <row r="7" spans="1:21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Common_InputFunctions.Utility_DisplayFunctionName(F63)</f>
        <v>=MMS_Swine_AtmosphericDeposition_Equations.VEERG_4_5_1_5__2_TotalNitrogenVolatilisedFromMMS</v>
      </c>
    </row>
    <row r="8" spans="1:21" ht="20.100000000000001" customHeight="1" x14ac:dyDescent="0.25">
      <c r="A8" s="17" t="str">
        <f>HYPERLINK("#'Input - Swine'!A1", "Swine")</f>
        <v>Swine</v>
      </c>
    </row>
    <row r="9" spans="1:21" ht="20.100000000000001" customHeight="1" x14ac:dyDescent="0.25">
      <c r="A9" s="17"/>
    </row>
    <row r="10" spans="1:21" ht="20.100000000000001" customHeight="1" x14ac:dyDescent="0.25">
      <c r="A10" s="19" t="s">
        <v>76</v>
      </c>
      <c r="D10" s="53" t="s">
        <v>29</v>
      </c>
      <c r="E10" s="1" t="str" cm="1">
        <f t="array" ref="E10">MMS_Swine_AtmosphericDeposition_Equations.VEERG_4_5_1_5__2_TotalNitrogenVolatilisedFromMMS_Variable()</f>
        <v>MMS_ATMOS</v>
      </c>
    </row>
    <row r="11" spans="1:21" ht="20.100000000000001" customHeight="1" x14ac:dyDescent="0.25">
      <c r="A11" s="17" t="str">
        <f>HYPERLINK("#'4.5.1.1-2 Methane'!A1", "4.5.1.1-2 Methane")</f>
        <v>4.5.1.1-2 Methane</v>
      </c>
      <c r="D11" s="53" t="s">
        <v>19</v>
      </c>
      <c r="E11" s="54" t="str" cm="1">
        <f t="array" ref="E11">MMS_Swine_AtmosphericDeposition_Equations.VEERG_4_5_1_5__2_TotalNitrogenVolatilisedFromMMS_Unit()</f>
        <v>kg N</v>
      </c>
    </row>
    <row r="12" spans="1:21" ht="20.100000000000001" customHeight="1" x14ac:dyDescent="0.25">
      <c r="A12" s="17" t="str">
        <f>HYPERLINK("#'4.5.1.3-4 Direct N20'!A1", "4.5.1.3-4 Direct N2O")</f>
        <v>4.5.1.3-4 Direct N2O</v>
      </c>
    </row>
    <row r="13" spans="1:21" ht="20.100000000000001" customHeight="1" x14ac:dyDescent="0.25">
      <c r="A13" s="136" t="str">
        <f>HYPERLINK("#'4.5.1.5-6 Atmos Dep'!A1", "4.5.1.5-6 Soil atm. deposition")</f>
        <v>4.5.1.5-6 Soil atm. deposition</v>
      </c>
      <c r="D13" s="57" t="str" cm="1">
        <f t="array" ref="D13:E14">MMS_Swine_AtmosphericDeposition_Equations.VEERG_4_5_1_5__2_TotalNitrogenVolatilisedFromMMS_Arguments()</f>
        <v>MN_jmT</v>
      </c>
      <c r="E13" s="58" t="str">
        <v>nitrogen per swine class, MMS and treatment stage (kg N)</v>
      </c>
      <c r="F13" s="59"/>
      <c r="G13" s="58" t="str">
        <f>"See " &amp; D16 &amp; " and " &amp; D26</f>
        <v>See M1_Table_MN_j_m_T-1 and M1_Table_MN_j_m_T-2</v>
      </c>
      <c r="H13" s="59"/>
    </row>
    <row r="14" spans="1:21" ht="20.100000000000001" customHeight="1" x14ac:dyDescent="0.25">
      <c r="A14" s="17" t="str">
        <f>HYPERLINK("#'4.5.1.7-8 Leaching and runoff'!A1", "4.5.1.7-8 Leaching &amp; runoff")</f>
        <v>4.5.1.7-8 Leaching &amp; runoff</v>
      </c>
      <c r="D14" s="57" t="str">
        <v>FracGASMmT</v>
      </c>
      <c r="E14" s="58" t="str">
        <v>fraction of N volatilised in each MMS ((kg NH3-N + NOx-N)/kg N)</v>
      </c>
      <c r="F14" s="59"/>
      <c r="G14" s="58" t="str">
        <f>"See " &amp; D50</f>
        <v>See Table_FracGASM_m_t</v>
      </c>
      <c r="H14" s="59"/>
    </row>
    <row r="15" spans="1:21" ht="20.100000000000001" customHeight="1" x14ac:dyDescent="0.25">
      <c r="A15" s="17" t="str">
        <f>HYPERLINK("#'4.5.1.9 Manure applied to soils'!A1", "4.5.1.9 Manure applied to soils")</f>
        <v>4.5.1.9 Manure applied to soils</v>
      </c>
    </row>
    <row r="16" spans="1:21" ht="20.100000000000001" customHeight="1" x14ac:dyDescent="0.25">
      <c r="D16" s="120" t="s">
        <v>164</v>
      </c>
      <c r="N16" s="120" t="s">
        <v>164</v>
      </c>
    </row>
    <row r="17" spans="1:20" ht="20.100000000000001" customHeight="1" x14ac:dyDescent="0.25">
      <c r="A17" s="18" t="s">
        <v>4</v>
      </c>
      <c r="D17" s="121" t="s">
        <v>165</v>
      </c>
      <c r="N17" s="121" t="s">
        <v>165</v>
      </c>
    </row>
    <row r="18" spans="1:20" ht="20.100000000000001" customHeight="1" x14ac:dyDescent="0.25">
      <c r="A18" s="17" t="str">
        <f>HYPERLINK("#'Constants - Swine'!A1", "Constants - Swine")</f>
        <v>Constants - Swine</v>
      </c>
      <c r="D18" s="51" t="s">
        <v>139</v>
      </c>
      <c r="E18" s="51" t="s">
        <v>134</v>
      </c>
      <c r="F18" s="51" t="s">
        <v>135</v>
      </c>
      <c r="G18" s="51" t="s">
        <v>136</v>
      </c>
      <c r="H18" s="51" t="s">
        <v>161</v>
      </c>
      <c r="N18" s="51" t="s">
        <v>139</v>
      </c>
      <c r="O18" s="51" t="s">
        <v>134</v>
      </c>
      <c r="P18" s="51" t="s">
        <v>135</v>
      </c>
      <c r="Q18" s="51" t="s">
        <v>136</v>
      </c>
      <c r="R18" s="51" t="s">
        <v>161</v>
      </c>
    </row>
    <row r="19" spans="1:20" ht="20.100000000000001" customHeight="1" x14ac:dyDescent="0.25">
      <c r="A19" s="17" t="str">
        <f>HYPERLINK("#'Constants - Livestock'!A1", "Constants - Livestock")</f>
        <v>Constants - Livestock</v>
      </c>
      <c r="D19" s="57" t="str">
        <f>'Input - Poultry'!$D$30</f>
        <v>Belt manure removal</v>
      </c>
      <c r="E19" s="52">
        <f>'4.6.1.3-4 Direct N20'!E118</f>
        <v>0</v>
      </c>
      <c r="F19" s="52">
        <f>'4.6.1.3-4 Direct N20'!F118</f>
        <v>0</v>
      </c>
      <c r="G19" s="52">
        <f>'4.6.1.3-4 Direct N20'!G118</f>
        <v>0</v>
      </c>
      <c r="H19" s="52">
        <f>'4.6.1.3-4 Direct N20'!H118</f>
        <v>0</v>
      </c>
      <c r="I19" s="2">
        <f>'4.6.1.3-4 Direct N20'!I118</f>
        <v>0</v>
      </c>
      <c r="N19" s="57" t="str">
        <f>'Input - Poultry'!$D$30</f>
        <v>Belt manure removal</v>
      </c>
      <c r="O19" s="52">
        <f>'4.6.1.3-4 Direct N20'!O118</f>
        <v>0</v>
      </c>
      <c r="P19" s="52">
        <f>'4.6.1.3-4 Direct N20'!P118</f>
        <v>0</v>
      </c>
      <c r="Q19" s="52">
        <f>'4.6.1.3-4 Direct N20'!Q118</f>
        <v>0</v>
      </c>
      <c r="R19" s="52">
        <f>'4.6.1.3-4 Direct N20'!R118</f>
        <v>0</v>
      </c>
      <c r="S19" s="2">
        <f>'4.6.1.3-4 Direct N20'!S118</f>
        <v>0</v>
      </c>
    </row>
    <row r="20" spans="1:20" ht="20.100000000000001" customHeight="1" x14ac:dyDescent="0.25">
      <c r="A20" s="17" t="str">
        <f>HYPERLINK("#'Constants - Common'!A1", "Constants - Common")</f>
        <v>Constants - Common</v>
      </c>
      <c r="D20" s="57" t="str">
        <f>'Input - Poultry'!$D$31</f>
        <v>Manure stored in house</v>
      </c>
      <c r="E20" s="52">
        <f>'4.6.1.3-4 Direct N20'!E119</f>
        <v>0</v>
      </c>
      <c r="F20" s="52">
        <f>'4.6.1.3-4 Direct N20'!F119</f>
        <v>0</v>
      </c>
      <c r="G20" s="52">
        <f>'4.6.1.3-4 Direct N20'!G119</f>
        <v>0</v>
      </c>
      <c r="H20" s="52">
        <f>'4.6.1.3-4 Direct N20'!H119</f>
        <v>0</v>
      </c>
      <c r="I20" s="2">
        <f>'4.6.1.3-4 Direct N20'!I119</f>
        <v>0</v>
      </c>
      <c r="N20" s="57" t="str">
        <f>'Input - Poultry'!$D$31</f>
        <v>Manure stored in house</v>
      </c>
      <c r="O20" s="52">
        <f>'4.6.1.3-4 Direct N20'!O119</f>
        <v>0</v>
      </c>
      <c r="P20" s="52">
        <f>'4.6.1.3-4 Direct N20'!P119</f>
        <v>0</v>
      </c>
      <c r="Q20" s="52">
        <f>'4.6.1.3-4 Direct N20'!Q119</f>
        <v>0</v>
      </c>
      <c r="R20" s="52">
        <f>'4.6.1.3-4 Direct N20'!R119</f>
        <v>0</v>
      </c>
      <c r="S20" s="2">
        <f>'4.6.1.3-4 Direct N20'!S119</f>
        <v>0</v>
      </c>
    </row>
    <row r="21" spans="1:20" ht="20.100000000000001" customHeight="1" x14ac:dyDescent="0.25">
      <c r="A21" s="17" t="str">
        <f>HYPERLINK("#'Acknowledgements'!A1", "Acknowledgements")</f>
        <v>Acknowledgements</v>
      </c>
      <c r="D21" s="57" t="str">
        <f>'Input - Poultry'!$D$32</f>
        <v>Pasture range and paddock</v>
      </c>
      <c r="E21" s="52">
        <f>'4.6.1.3-4 Direct N20'!E120</f>
        <v>0</v>
      </c>
      <c r="F21" s="52">
        <f>'4.6.1.3-4 Direct N20'!F120</f>
        <v>0</v>
      </c>
      <c r="G21" s="52">
        <f>'4.6.1.3-4 Direct N20'!G120</f>
        <v>0</v>
      </c>
      <c r="H21" s="52">
        <f>'4.6.1.3-4 Direct N20'!H120</f>
        <v>0</v>
      </c>
      <c r="I21" s="2">
        <f>'4.6.1.3-4 Direct N20'!I120</f>
        <v>0</v>
      </c>
      <c r="N21" s="57" t="str">
        <f>'Input - Poultry'!$D$32</f>
        <v>Pasture range and paddock</v>
      </c>
      <c r="O21" s="52">
        <f>'4.6.1.3-4 Direct N20'!O120</f>
        <v>0</v>
      </c>
      <c r="P21" s="52">
        <f>'4.6.1.3-4 Direct N20'!P120</f>
        <v>0</v>
      </c>
      <c r="Q21" s="52">
        <f>'4.6.1.3-4 Direct N20'!Q120</f>
        <v>0</v>
      </c>
      <c r="R21" s="52">
        <f>'4.6.1.3-4 Direct N20'!R120</f>
        <v>0</v>
      </c>
      <c r="S21" s="2">
        <f>'4.6.1.3-4 Direct N20'!S120</f>
        <v>0</v>
      </c>
    </row>
    <row r="22" spans="1:20" ht="20.100000000000001" customHeight="1" x14ac:dyDescent="0.25">
      <c r="D22" s="57" t="str">
        <f>'Input - Poultry'!$D$33</f>
        <v>No MMS</v>
      </c>
      <c r="E22" s="52">
        <f>'4.6.1.3-4 Direct N20'!E121</f>
        <v>0</v>
      </c>
      <c r="F22" s="52">
        <f>'4.6.1.3-4 Direct N20'!F121</f>
        <v>0</v>
      </c>
      <c r="G22" s="52">
        <f>'4.6.1.3-4 Direct N20'!G121</f>
        <v>0</v>
      </c>
      <c r="H22" s="52">
        <f>'4.6.1.3-4 Direct N20'!H121</f>
        <v>0</v>
      </c>
      <c r="I22" s="2">
        <f>'4.6.1.3-4 Direct N20'!I121</f>
        <v>0</v>
      </c>
      <c r="N22" s="57" t="str">
        <f>'Input - Poultry'!$D$33</f>
        <v>No MMS</v>
      </c>
      <c r="O22" s="52">
        <f>'4.6.1.3-4 Direct N20'!O121</f>
        <v>0</v>
      </c>
      <c r="P22" s="52">
        <f>'4.6.1.3-4 Direct N20'!P121</f>
        <v>0</v>
      </c>
      <c r="Q22" s="52">
        <f>'4.6.1.3-4 Direct N20'!Q121</f>
        <v>0</v>
      </c>
      <c r="R22" s="52">
        <f>'4.6.1.3-4 Direct N20'!R121</f>
        <v>0</v>
      </c>
      <c r="S22" s="2">
        <f>'4.6.1.3-4 Direct N20'!S121</f>
        <v>0</v>
      </c>
    </row>
    <row r="23" spans="1:20" ht="20.100000000000001" customHeight="1" x14ac:dyDescent="0.25">
      <c r="A23" s="17"/>
      <c r="D23" s="57" t="e">
        <f>'Input - Poultry'!#REF!</f>
        <v>#REF!</v>
      </c>
      <c r="E23" s="52">
        <f>'4.6.1.3-4 Direct N20'!E122</f>
        <v>0</v>
      </c>
      <c r="F23" s="52">
        <f>'4.6.1.3-4 Direct N20'!F122</f>
        <v>0</v>
      </c>
      <c r="G23" s="52">
        <f>'4.6.1.3-4 Direct N20'!G122</f>
        <v>0</v>
      </c>
      <c r="H23" s="52">
        <f>'4.6.1.3-4 Direct N20'!H122</f>
        <v>0</v>
      </c>
      <c r="I23" s="2">
        <f>'4.6.1.3-4 Direct N20'!I122</f>
        <v>0</v>
      </c>
      <c r="N23" s="57" t="e">
        <f>'Input - Poultry'!#REF!</f>
        <v>#REF!</v>
      </c>
      <c r="O23" s="52">
        <f>'4.6.1.3-4 Direct N20'!O122</f>
        <v>0</v>
      </c>
      <c r="P23" s="52">
        <f>'4.6.1.3-4 Direct N20'!P122</f>
        <v>0</v>
      </c>
      <c r="Q23" s="52">
        <f>'4.6.1.3-4 Direct N20'!Q122</f>
        <v>0</v>
      </c>
      <c r="R23" s="52">
        <f>'4.6.1.3-4 Direct N20'!R122</f>
        <v>0</v>
      </c>
      <c r="S23" s="2">
        <f>'4.6.1.3-4 Direct N20'!S122</f>
        <v>0</v>
      </c>
    </row>
    <row r="24" spans="1:20" ht="20.100000000000001" customHeight="1" x14ac:dyDescent="0.25">
      <c r="A24" s="17"/>
      <c r="D24" s="57" t="e">
        <f>'Input - Poultry'!#REF!</f>
        <v>#REF!</v>
      </c>
      <c r="E24" s="52">
        <f>'4.6.1.3-4 Direct N20'!E123</f>
        <v>0</v>
      </c>
      <c r="F24" s="52">
        <f>'4.6.1.3-4 Direct N20'!F123</f>
        <v>0</v>
      </c>
      <c r="G24" s="52">
        <f>'4.6.1.3-4 Direct N20'!G123</f>
        <v>0</v>
      </c>
      <c r="H24" s="52">
        <f>'4.6.1.3-4 Direct N20'!H123</f>
        <v>0</v>
      </c>
      <c r="I24" s="2">
        <f>'4.6.1.3-4 Direct N20'!I123</f>
        <v>0</v>
      </c>
      <c r="N24" s="57" t="e">
        <f>'Input - Poultry'!#REF!</f>
        <v>#REF!</v>
      </c>
      <c r="O24" s="52">
        <f>'4.6.1.3-4 Direct N20'!O123</f>
        <v>0</v>
      </c>
      <c r="P24" s="52">
        <f>'4.6.1.3-4 Direct N20'!P123</f>
        <v>0</v>
      </c>
      <c r="Q24" s="52">
        <f>'4.6.1.3-4 Direct N20'!Q123</f>
        <v>0</v>
      </c>
      <c r="R24" s="52">
        <f>'4.6.1.3-4 Direct N20'!R123</f>
        <v>0</v>
      </c>
      <c r="S24" s="2">
        <f>'4.6.1.3-4 Direct N20'!S123</f>
        <v>0</v>
      </c>
    </row>
    <row r="25" spans="1:20" ht="20.100000000000001" customHeight="1" x14ac:dyDescent="0.25"/>
    <row r="26" spans="1:20" ht="20.100000000000001" customHeight="1" x14ac:dyDescent="0.25">
      <c r="D26" s="120" t="s">
        <v>168</v>
      </c>
      <c r="N26" s="120" t="s">
        <v>168</v>
      </c>
    </row>
    <row r="27" spans="1:20" ht="20.100000000000001" customHeight="1" x14ac:dyDescent="0.25">
      <c r="D27" s="121" t="s">
        <v>169</v>
      </c>
      <c r="N27" s="121" t="s">
        <v>169</v>
      </c>
    </row>
    <row r="28" spans="1:20" ht="20.100000000000001" customHeight="1" x14ac:dyDescent="0.25">
      <c r="D28" s="51" t="s">
        <v>139</v>
      </c>
      <c r="E28" s="51" t="s">
        <v>142</v>
      </c>
      <c r="F28" s="51" t="s">
        <v>134</v>
      </c>
      <c r="G28" s="51" t="s">
        <v>135</v>
      </c>
      <c r="H28" s="51" t="s">
        <v>136</v>
      </c>
      <c r="I28" s="51" t="s">
        <v>161</v>
      </c>
      <c r="N28" s="51" t="s">
        <v>139</v>
      </c>
      <c r="O28" s="51" t="s">
        <v>142</v>
      </c>
      <c r="P28" s="51" t="s">
        <v>134</v>
      </c>
      <c r="Q28" s="51" t="s">
        <v>135</v>
      </c>
      <c r="R28" s="51" t="s">
        <v>136</v>
      </c>
      <c r="S28" s="51" t="s">
        <v>161</v>
      </c>
    </row>
    <row r="29" spans="1:20" ht="20.100000000000001" customHeight="1" x14ac:dyDescent="0.25">
      <c r="D29" s="57" t="str">
        <f>'Input - Poultry'!$D$30</f>
        <v>Belt manure removal</v>
      </c>
      <c r="E29" s="57" t="str">
        <f>'Input - Poultry'!$D$38</f>
        <v>Solid storage</v>
      </c>
      <c r="F29" s="52">
        <f>'4.6.1.3-4 Direct N20'!F209</f>
        <v>0</v>
      </c>
      <c r="G29" s="52">
        <f>'4.6.1.3-4 Direct N20'!G209</f>
        <v>0</v>
      </c>
      <c r="H29" s="52">
        <f>'4.6.1.3-4 Direct N20'!H209</f>
        <v>0</v>
      </c>
      <c r="I29" s="52">
        <f>'4.6.1.3-4 Direct N20'!I209</f>
        <v>0</v>
      </c>
      <c r="J29" s="2">
        <f>'4.6.1.3-4 Direct N20'!J209</f>
        <v>0</v>
      </c>
      <c r="N29" s="57" t="str">
        <f>'Input - Poultry'!$D$30</f>
        <v>Belt manure removal</v>
      </c>
      <c r="O29" s="57" t="str">
        <f>'Input - Poultry'!$D$38</f>
        <v>Solid storage</v>
      </c>
      <c r="P29" s="52">
        <f>'4.6.1.3-4 Direct N20'!P209</f>
        <v>0</v>
      </c>
      <c r="Q29" s="52">
        <f>'4.6.1.3-4 Direct N20'!Q209</f>
        <v>0</v>
      </c>
      <c r="R29" s="52">
        <f>'4.6.1.3-4 Direct N20'!R209</f>
        <v>0</v>
      </c>
      <c r="S29" s="52">
        <f>'4.6.1.3-4 Direct N20'!S209</f>
        <v>0</v>
      </c>
      <c r="T29" s="2">
        <f>'4.6.1.3-4 Direct N20'!T209</f>
        <v>0</v>
      </c>
    </row>
    <row r="30" spans="1:20" ht="20.100000000000001" customHeight="1" x14ac:dyDescent="0.25">
      <c r="D30" s="57"/>
      <c r="E30" s="57" t="str">
        <f>'Input - Poultry'!$D$39</f>
        <v>Composting (passive windrow)</v>
      </c>
      <c r="F30" s="52">
        <f>'4.6.1.3-4 Direct N20'!F210</f>
        <v>0</v>
      </c>
      <c r="G30" s="52">
        <f>'4.6.1.3-4 Direct N20'!G210</f>
        <v>0</v>
      </c>
      <c r="H30" s="52">
        <f>'4.6.1.3-4 Direct N20'!H210</f>
        <v>0</v>
      </c>
      <c r="I30" s="52">
        <f>'4.6.1.3-4 Direct N20'!I210</f>
        <v>0</v>
      </c>
      <c r="J30" s="2">
        <f>'4.6.1.3-4 Direct N20'!J210</f>
        <v>0</v>
      </c>
      <c r="N30" s="57"/>
      <c r="O30" s="57" t="str">
        <f>'Input - Poultry'!$D$39</f>
        <v>Composting (passive windrow)</v>
      </c>
      <c r="P30" s="52">
        <f>'4.6.1.3-4 Direct N20'!P210</f>
        <v>0</v>
      </c>
      <c r="Q30" s="52">
        <f>'4.6.1.3-4 Direct N20'!Q210</f>
        <v>0</v>
      </c>
      <c r="R30" s="52">
        <f>'4.6.1.3-4 Direct N20'!R210</f>
        <v>0</v>
      </c>
      <c r="S30" s="52">
        <f>'4.6.1.3-4 Direct N20'!S210</f>
        <v>0</v>
      </c>
      <c r="T30" s="2">
        <f>'4.6.1.3-4 Direct N20'!T210</f>
        <v>0</v>
      </c>
    </row>
    <row r="31" spans="1:20" ht="20.100000000000001" customHeight="1" x14ac:dyDescent="0.25">
      <c r="D31" s="57"/>
      <c r="E31" s="57" t="str">
        <f>'Input - Poultry'!$D$40</f>
        <v>Digester / covered lagoons</v>
      </c>
      <c r="F31" s="52">
        <f>'4.6.1.3-4 Direct N20'!F211</f>
        <v>0</v>
      </c>
      <c r="G31" s="52">
        <f>'4.6.1.3-4 Direct N20'!G211</f>
        <v>0</v>
      </c>
      <c r="H31" s="52">
        <f>'4.6.1.3-4 Direct N20'!H211</f>
        <v>0</v>
      </c>
      <c r="I31" s="52">
        <f>'4.6.1.3-4 Direct N20'!I211</f>
        <v>0</v>
      </c>
      <c r="J31" s="2">
        <f>'4.6.1.3-4 Direct N20'!J211</f>
        <v>0</v>
      </c>
      <c r="N31" s="57"/>
      <c r="O31" s="57" t="str">
        <f>'Input - Poultry'!$D$40</f>
        <v>Digester / covered lagoons</v>
      </c>
      <c r="P31" s="52">
        <f>'4.6.1.3-4 Direct N20'!P211</f>
        <v>0</v>
      </c>
      <c r="Q31" s="52">
        <f>'4.6.1.3-4 Direct N20'!Q211</f>
        <v>0</v>
      </c>
      <c r="R31" s="52">
        <f>'4.6.1.3-4 Direct N20'!R211</f>
        <v>0</v>
      </c>
      <c r="S31" s="52">
        <f>'4.6.1.3-4 Direct N20'!S211</f>
        <v>0</v>
      </c>
      <c r="T31" s="2">
        <f>'4.6.1.3-4 Direct N20'!T211</f>
        <v>0</v>
      </c>
    </row>
    <row r="32" spans="1:20" ht="20.100000000000001" customHeight="1" x14ac:dyDescent="0.25">
      <c r="D32" s="57" t="str">
        <f>'Input - Poultry'!$D$31</f>
        <v>Manure stored in house</v>
      </c>
      <c r="E32" s="57" t="str">
        <f>'Input - Poultry'!$D$45</f>
        <v>Solid storage</v>
      </c>
      <c r="F32" s="52">
        <f>'4.6.1.3-4 Direct N20'!F212</f>
        <v>0</v>
      </c>
      <c r="G32" s="52">
        <f>'4.6.1.3-4 Direct N20'!G212</f>
        <v>0</v>
      </c>
      <c r="H32" s="52">
        <f>'4.6.1.3-4 Direct N20'!H212</f>
        <v>0</v>
      </c>
      <c r="I32" s="52">
        <f>'4.6.1.3-4 Direct N20'!I212</f>
        <v>0</v>
      </c>
      <c r="J32" s="2">
        <f>'4.6.1.3-4 Direct N20'!J212</f>
        <v>0</v>
      </c>
      <c r="N32" s="57" t="str">
        <f>'Input - Poultry'!$D$31</f>
        <v>Manure stored in house</v>
      </c>
      <c r="O32" s="57" t="str">
        <f>'Input - Poultry'!$D$45</f>
        <v>Solid storage</v>
      </c>
      <c r="P32" s="52">
        <f>'4.6.1.3-4 Direct N20'!P212</f>
        <v>0</v>
      </c>
      <c r="Q32" s="52">
        <f>'4.6.1.3-4 Direct N20'!Q212</f>
        <v>0</v>
      </c>
      <c r="R32" s="52">
        <f>'4.6.1.3-4 Direct N20'!R212</f>
        <v>0</v>
      </c>
      <c r="S32" s="52">
        <f>'4.6.1.3-4 Direct N20'!S212</f>
        <v>0</v>
      </c>
      <c r="T32" s="2">
        <f>'4.6.1.3-4 Direct N20'!T212</f>
        <v>0</v>
      </c>
    </row>
    <row r="33" spans="4:20" ht="20.100000000000001" customHeight="1" x14ac:dyDescent="0.25">
      <c r="D33" s="57"/>
      <c r="E33" s="57" t="str">
        <f>'Input - Poultry'!$D$46</f>
        <v>Composting (passive windrow)</v>
      </c>
      <c r="F33" s="52">
        <f>'4.6.1.3-4 Direct N20'!F213</f>
        <v>0</v>
      </c>
      <c r="G33" s="52">
        <f>'4.6.1.3-4 Direct N20'!G213</f>
        <v>0</v>
      </c>
      <c r="H33" s="52">
        <f>'4.6.1.3-4 Direct N20'!H213</f>
        <v>0</v>
      </c>
      <c r="I33" s="52">
        <f>'4.6.1.3-4 Direct N20'!I213</f>
        <v>0</v>
      </c>
      <c r="J33" s="2">
        <f>'4.6.1.3-4 Direct N20'!J213</f>
        <v>0</v>
      </c>
      <c r="N33" s="57"/>
      <c r="O33" s="57" t="str">
        <f>'Input - Poultry'!$D$46</f>
        <v>Composting (passive windrow)</v>
      </c>
      <c r="P33" s="52">
        <f>'4.6.1.3-4 Direct N20'!P213</f>
        <v>0</v>
      </c>
      <c r="Q33" s="52">
        <f>'4.6.1.3-4 Direct N20'!Q213</f>
        <v>0</v>
      </c>
      <c r="R33" s="52">
        <f>'4.6.1.3-4 Direct N20'!R213</f>
        <v>0</v>
      </c>
      <c r="S33" s="52">
        <f>'4.6.1.3-4 Direct N20'!S213</f>
        <v>0</v>
      </c>
      <c r="T33" s="2">
        <f>'4.6.1.3-4 Direct N20'!T213</f>
        <v>0</v>
      </c>
    </row>
    <row r="34" spans="4:20" ht="20.100000000000001" customHeight="1" x14ac:dyDescent="0.25">
      <c r="D34" s="57"/>
      <c r="E34" s="57" t="str">
        <f>'Input - Poultry'!$D$47</f>
        <v>Digester / covered lagoons</v>
      </c>
      <c r="F34" s="52">
        <f>'4.6.1.3-4 Direct N20'!F214</f>
        <v>0</v>
      </c>
      <c r="G34" s="52">
        <f>'4.6.1.3-4 Direct N20'!G214</f>
        <v>0</v>
      </c>
      <c r="H34" s="52">
        <f>'4.6.1.3-4 Direct N20'!H214</f>
        <v>0</v>
      </c>
      <c r="I34" s="52">
        <f>'4.6.1.3-4 Direct N20'!I214</f>
        <v>0</v>
      </c>
      <c r="J34" s="2">
        <f>'4.6.1.3-4 Direct N20'!J214</f>
        <v>0</v>
      </c>
      <c r="N34" s="57"/>
      <c r="O34" s="57" t="str">
        <f>'Input - Poultry'!$D$47</f>
        <v>Digester / covered lagoons</v>
      </c>
      <c r="P34" s="52">
        <f>'4.6.1.3-4 Direct N20'!P214</f>
        <v>0</v>
      </c>
      <c r="Q34" s="52">
        <f>'4.6.1.3-4 Direct N20'!Q214</f>
        <v>0</v>
      </c>
      <c r="R34" s="52">
        <f>'4.6.1.3-4 Direct N20'!R214</f>
        <v>0</v>
      </c>
      <c r="S34" s="52">
        <f>'4.6.1.3-4 Direct N20'!S214</f>
        <v>0</v>
      </c>
      <c r="T34" s="2">
        <f>'4.6.1.3-4 Direct N20'!T214</f>
        <v>0</v>
      </c>
    </row>
    <row r="35" spans="4:20" ht="20.100000000000001" customHeight="1" x14ac:dyDescent="0.25">
      <c r="D35" s="57"/>
      <c r="E35" s="57" t="str">
        <f>'Input - Poultry'!$D$48</f>
        <v>Direct processing</v>
      </c>
      <c r="F35" s="52">
        <f>'4.6.1.3-4 Direct N20'!F215</f>
        <v>0</v>
      </c>
      <c r="G35" s="52">
        <f>'4.6.1.3-4 Direct N20'!G215</f>
        <v>0</v>
      </c>
      <c r="H35" s="52">
        <f>'4.6.1.3-4 Direct N20'!H215</f>
        <v>0</v>
      </c>
      <c r="I35" s="52">
        <f>'4.6.1.3-4 Direct N20'!I215</f>
        <v>0</v>
      </c>
      <c r="J35" s="2">
        <f>'4.6.1.3-4 Direct N20'!J215</f>
        <v>0</v>
      </c>
      <c r="N35" s="57"/>
      <c r="O35" s="57" t="str">
        <f>'Input - Poultry'!$D$48</f>
        <v>Direct processing</v>
      </c>
      <c r="P35" s="52">
        <f>'4.6.1.3-4 Direct N20'!P215</f>
        <v>0</v>
      </c>
      <c r="Q35" s="52">
        <f>'4.6.1.3-4 Direct N20'!Q215</f>
        <v>0</v>
      </c>
      <c r="R35" s="52">
        <f>'4.6.1.3-4 Direct N20'!R215</f>
        <v>0</v>
      </c>
      <c r="S35" s="52">
        <f>'4.6.1.3-4 Direct N20'!S215</f>
        <v>0</v>
      </c>
      <c r="T35" s="2">
        <f>'4.6.1.3-4 Direct N20'!T215</f>
        <v>0</v>
      </c>
    </row>
    <row r="36" spans="4:20" ht="20.100000000000001" customHeight="1" x14ac:dyDescent="0.25">
      <c r="D36" s="57" t="str">
        <f>'Input - Poultry'!$D$32</f>
        <v>Pasture range and paddock</v>
      </c>
      <c r="E36" s="57" t="str">
        <f>'Input - Poultry'!$D$52</f>
        <v>Solid storage</v>
      </c>
      <c r="F36" s="52">
        <f>'4.6.1.3-4 Direct N20'!F216</f>
        <v>0</v>
      </c>
      <c r="G36" s="52">
        <f>'4.6.1.3-4 Direct N20'!G216</f>
        <v>0</v>
      </c>
      <c r="H36" s="52">
        <f>'4.6.1.3-4 Direct N20'!H216</f>
        <v>0</v>
      </c>
      <c r="I36" s="52">
        <f>'4.6.1.3-4 Direct N20'!I216</f>
        <v>0</v>
      </c>
      <c r="J36" s="2">
        <f>'4.6.1.3-4 Direct N20'!J216</f>
        <v>0</v>
      </c>
      <c r="N36" s="57" t="str">
        <f>'Input - Poultry'!$D$32</f>
        <v>Pasture range and paddock</v>
      </c>
      <c r="O36" s="57" t="str">
        <f>'Input - Poultry'!$D$52</f>
        <v>Solid storage</v>
      </c>
      <c r="P36" s="52">
        <f>'4.6.1.3-4 Direct N20'!P216</f>
        <v>0</v>
      </c>
      <c r="Q36" s="52">
        <f>'4.6.1.3-4 Direct N20'!Q216</f>
        <v>0</v>
      </c>
      <c r="R36" s="52">
        <f>'4.6.1.3-4 Direct N20'!R216</f>
        <v>0</v>
      </c>
      <c r="S36" s="52">
        <f>'4.6.1.3-4 Direct N20'!S216</f>
        <v>0</v>
      </c>
      <c r="T36" s="2">
        <f>'4.6.1.3-4 Direct N20'!T216</f>
        <v>0</v>
      </c>
    </row>
    <row r="37" spans="4:20" ht="20.100000000000001" customHeight="1" x14ac:dyDescent="0.25">
      <c r="D37" s="57"/>
      <c r="E37" s="57" t="str">
        <f>'Input - Poultry'!$D$53</f>
        <v>Composting (passive windrow)</v>
      </c>
      <c r="F37" s="52">
        <f>'4.6.1.3-4 Direct N20'!F217</f>
        <v>0</v>
      </c>
      <c r="G37" s="52">
        <f>'4.6.1.3-4 Direct N20'!G217</f>
        <v>0</v>
      </c>
      <c r="H37" s="52">
        <f>'4.6.1.3-4 Direct N20'!H217</f>
        <v>0</v>
      </c>
      <c r="I37" s="52">
        <f>'4.6.1.3-4 Direct N20'!I217</f>
        <v>0</v>
      </c>
      <c r="J37" s="2">
        <f>'4.6.1.3-4 Direct N20'!J217</f>
        <v>0</v>
      </c>
      <c r="N37" s="57"/>
      <c r="O37" s="57" t="str">
        <f>'Input - Poultry'!$D$53</f>
        <v>Composting (passive windrow)</v>
      </c>
      <c r="P37" s="52">
        <f>'4.6.1.3-4 Direct N20'!P217</f>
        <v>0</v>
      </c>
      <c r="Q37" s="52">
        <f>'4.6.1.3-4 Direct N20'!Q217</f>
        <v>0</v>
      </c>
      <c r="R37" s="52">
        <f>'4.6.1.3-4 Direct N20'!R217</f>
        <v>0</v>
      </c>
      <c r="S37" s="52">
        <f>'4.6.1.3-4 Direct N20'!S217</f>
        <v>0</v>
      </c>
      <c r="T37" s="2">
        <f>'4.6.1.3-4 Direct N20'!T217</f>
        <v>0</v>
      </c>
    </row>
    <row r="38" spans="4:20" ht="20.100000000000001" customHeight="1" x14ac:dyDescent="0.25">
      <c r="D38" s="57"/>
      <c r="E38" s="57" t="str">
        <f>'Input - Poultry'!$D$54</f>
        <v>Digester / covered lagoons</v>
      </c>
      <c r="F38" s="52">
        <f>'4.6.1.3-4 Direct N20'!F218</f>
        <v>0</v>
      </c>
      <c r="G38" s="52">
        <f>'4.6.1.3-4 Direct N20'!G218</f>
        <v>0</v>
      </c>
      <c r="H38" s="52">
        <f>'4.6.1.3-4 Direct N20'!H218</f>
        <v>0</v>
      </c>
      <c r="I38" s="52">
        <f>'4.6.1.3-4 Direct N20'!I218</f>
        <v>0</v>
      </c>
      <c r="J38" s="2">
        <f>'4.6.1.3-4 Direct N20'!J218</f>
        <v>0</v>
      </c>
      <c r="N38" s="57"/>
      <c r="O38" s="57" t="str">
        <f>'Input - Poultry'!$D$54</f>
        <v>Digester / covered lagoons</v>
      </c>
      <c r="P38" s="52">
        <f>'4.6.1.3-4 Direct N20'!P218</f>
        <v>0</v>
      </c>
      <c r="Q38" s="52">
        <f>'4.6.1.3-4 Direct N20'!Q218</f>
        <v>0</v>
      </c>
      <c r="R38" s="52">
        <f>'4.6.1.3-4 Direct N20'!R218</f>
        <v>0</v>
      </c>
      <c r="S38" s="52">
        <f>'4.6.1.3-4 Direct N20'!S218</f>
        <v>0</v>
      </c>
      <c r="T38" s="2">
        <f>'4.6.1.3-4 Direct N20'!T218</f>
        <v>0</v>
      </c>
    </row>
    <row r="39" spans="4:20" ht="20.100000000000001" customHeight="1" x14ac:dyDescent="0.25">
      <c r="D39" s="57" t="str">
        <f>'Input - Poultry'!$D$33</f>
        <v>No MMS</v>
      </c>
      <c r="E39" s="57" t="e">
        <f>'Input - Poultry'!#REF!</f>
        <v>#REF!</v>
      </c>
      <c r="F39" s="52">
        <f>'4.6.1.3-4 Direct N20'!F219</f>
        <v>0</v>
      </c>
      <c r="G39" s="52">
        <f>'4.6.1.3-4 Direct N20'!G219</f>
        <v>0</v>
      </c>
      <c r="H39" s="52">
        <f>'4.6.1.3-4 Direct N20'!H219</f>
        <v>0</v>
      </c>
      <c r="I39" s="52">
        <f>'4.6.1.3-4 Direct N20'!I219</f>
        <v>0</v>
      </c>
      <c r="J39" s="2">
        <f>'4.6.1.3-4 Direct N20'!J219</f>
        <v>0</v>
      </c>
      <c r="N39" s="57" t="str">
        <f>'Input - Poultry'!$D$33</f>
        <v>No MMS</v>
      </c>
      <c r="O39" s="57" t="e">
        <f>'Input - Poultry'!#REF!</f>
        <v>#REF!</v>
      </c>
      <c r="P39" s="52">
        <f>'4.6.1.3-4 Direct N20'!P219</f>
        <v>0</v>
      </c>
      <c r="Q39" s="52">
        <f>'4.6.1.3-4 Direct N20'!Q219</f>
        <v>0</v>
      </c>
      <c r="R39" s="52">
        <f>'4.6.1.3-4 Direct N20'!R219</f>
        <v>0</v>
      </c>
      <c r="S39" s="52">
        <f>'4.6.1.3-4 Direct N20'!S219</f>
        <v>0</v>
      </c>
      <c r="T39" s="2">
        <f>'4.6.1.3-4 Direct N20'!T219</f>
        <v>0</v>
      </c>
    </row>
    <row r="40" spans="4:20" ht="20.100000000000001" customHeight="1" x14ac:dyDescent="0.25">
      <c r="D40" s="57"/>
      <c r="E40" s="57">
        <f>'Input - Poultry'!$D$71</f>
        <v>0</v>
      </c>
      <c r="F40" s="52">
        <f>'4.6.1.3-4 Direct N20'!F220</f>
        <v>0</v>
      </c>
      <c r="G40" s="52">
        <f>'4.6.1.3-4 Direct N20'!G220</f>
        <v>0</v>
      </c>
      <c r="H40" s="52">
        <f>'4.6.1.3-4 Direct N20'!H220</f>
        <v>0</v>
      </c>
      <c r="I40" s="52">
        <f>'4.6.1.3-4 Direct N20'!I220</f>
        <v>0</v>
      </c>
      <c r="J40" s="2">
        <f>'4.6.1.3-4 Direct N20'!J220</f>
        <v>0</v>
      </c>
      <c r="N40" s="57"/>
      <c r="O40" s="57">
        <f>'Input - Poultry'!$D$71</f>
        <v>0</v>
      </c>
      <c r="P40" s="52">
        <f>'4.6.1.3-4 Direct N20'!P220</f>
        <v>0</v>
      </c>
      <c r="Q40" s="52">
        <f>'4.6.1.3-4 Direct N20'!Q220</f>
        <v>0</v>
      </c>
      <c r="R40" s="52">
        <f>'4.6.1.3-4 Direct N20'!R220</f>
        <v>0</v>
      </c>
      <c r="S40" s="52">
        <f>'4.6.1.3-4 Direct N20'!S220</f>
        <v>0</v>
      </c>
      <c r="T40" s="2">
        <f>'4.6.1.3-4 Direct N20'!T220</f>
        <v>0</v>
      </c>
    </row>
    <row r="41" spans="4:20" ht="20.100000000000001" customHeight="1" x14ac:dyDescent="0.25">
      <c r="D41" s="57"/>
      <c r="E41" s="57">
        <f>'Input - Poultry'!$D$72</f>
        <v>0</v>
      </c>
      <c r="F41" s="52">
        <f>'4.6.1.3-4 Direct N20'!F221</f>
        <v>0</v>
      </c>
      <c r="G41" s="52">
        <f>'4.6.1.3-4 Direct N20'!G221</f>
        <v>0</v>
      </c>
      <c r="H41" s="52">
        <f>'4.6.1.3-4 Direct N20'!H221</f>
        <v>0</v>
      </c>
      <c r="I41" s="52">
        <f>'4.6.1.3-4 Direct N20'!I221</f>
        <v>0</v>
      </c>
      <c r="J41" s="2">
        <f>'4.6.1.3-4 Direct N20'!J221</f>
        <v>0</v>
      </c>
      <c r="N41" s="57"/>
      <c r="O41" s="57">
        <f>'Input - Poultry'!$D$72</f>
        <v>0</v>
      </c>
      <c r="P41" s="52">
        <f>'4.6.1.3-4 Direct N20'!P221</f>
        <v>0</v>
      </c>
      <c r="Q41" s="52">
        <f>'4.6.1.3-4 Direct N20'!Q221</f>
        <v>0</v>
      </c>
      <c r="R41" s="52">
        <f>'4.6.1.3-4 Direct N20'!R221</f>
        <v>0</v>
      </c>
      <c r="S41" s="52">
        <f>'4.6.1.3-4 Direct N20'!S221</f>
        <v>0</v>
      </c>
      <c r="T41" s="2">
        <f>'4.6.1.3-4 Direct N20'!T221</f>
        <v>0</v>
      </c>
    </row>
    <row r="42" spans="4:20" ht="20.100000000000001" customHeight="1" x14ac:dyDescent="0.25">
      <c r="D42" s="57" t="e">
        <f>'Input - Poultry'!#REF!</f>
        <v>#REF!</v>
      </c>
      <c r="E42" s="57">
        <f>'Input - Poultry'!$D$77</f>
        <v>0</v>
      </c>
      <c r="F42" s="52">
        <f>'4.6.1.3-4 Direct N20'!F222</f>
        <v>0</v>
      </c>
      <c r="G42" s="52">
        <f>'4.6.1.3-4 Direct N20'!G222</f>
        <v>0</v>
      </c>
      <c r="H42" s="52">
        <f>'4.6.1.3-4 Direct N20'!H222</f>
        <v>0</v>
      </c>
      <c r="I42" s="52">
        <f>'4.6.1.3-4 Direct N20'!I222</f>
        <v>0</v>
      </c>
      <c r="J42" s="2">
        <f>'4.6.1.3-4 Direct N20'!J222</f>
        <v>0</v>
      </c>
      <c r="N42" s="57" t="e">
        <f>'Input - Poultry'!#REF!</f>
        <v>#REF!</v>
      </c>
      <c r="O42" s="57">
        <f>'Input - Poultry'!$D$77</f>
        <v>0</v>
      </c>
      <c r="P42" s="52">
        <f>'4.6.1.3-4 Direct N20'!P222</f>
        <v>0</v>
      </c>
      <c r="Q42" s="52">
        <f>'4.6.1.3-4 Direct N20'!Q222</f>
        <v>0</v>
      </c>
      <c r="R42" s="52">
        <f>'4.6.1.3-4 Direct N20'!R222</f>
        <v>0</v>
      </c>
      <c r="S42" s="52">
        <f>'4.6.1.3-4 Direct N20'!S222</f>
        <v>0</v>
      </c>
      <c r="T42" s="2">
        <f>'4.6.1.3-4 Direct N20'!T222</f>
        <v>0</v>
      </c>
    </row>
    <row r="43" spans="4:20" ht="20.100000000000001" customHeight="1" x14ac:dyDescent="0.25">
      <c r="D43" s="57"/>
      <c r="E43" s="57">
        <f>'Input - Poultry'!$D$78</f>
        <v>0</v>
      </c>
      <c r="F43" s="52">
        <f>'4.6.1.3-4 Direct N20'!F223</f>
        <v>0</v>
      </c>
      <c r="G43" s="52">
        <f>'4.6.1.3-4 Direct N20'!G223</f>
        <v>0</v>
      </c>
      <c r="H43" s="52">
        <f>'4.6.1.3-4 Direct N20'!H223</f>
        <v>0</v>
      </c>
      <c r="I43" s="52">
        <f>'4.6.1.3-4 Direct N20'!I223</f>
        <v>0</v>
      </c>
      <c r="J43" s="2">
        <f>'4.6.1.3-4 Direct N20'!J223</f>
        <v>0</v>
      </c>
      <c r="N43" s="57"/>
      <c r="O43" s="57">
        <f>'Input - Poultry'!$D$78</f>
        <v>0</v>
      </c>
      <c r="P43" s="52">
        <f>'4.6.1.3-4 Direct N20'!P223</f>
        <v>0</v>
      </c>
      <c r="Q43" s="52">
        <f>'4.6.1.3-4 Direct N20'!Q223</f>
        <v>0</v>
      </c>
      <c r="R43" s="52">
        <f>'4.6.1.3-4 Direct N20'!R223</f>
        <v>0</v>
      </c>
      <c r="S43" s="52">
        <f>'4.6.1.3-4 Direct N20'!S223</f>
        <v>0</v>
      </c>
      <c r="T43" s="2">
        <f>'4.6.1.3-4 Direct N20'!T223</f>
        <v>0</v>
      </c>
    </row>
    <row r="44" spans="4:20" ht="20.100000000000001" customHeight="1" x14ac:dyDescent="0.25">
      <c r="D44" s="57"/>
      <c r="E44" s="57">
        <f>'Input - Poultry'!$D$79</f>
        <v>0</v>
      </c>
      <c r="F44" s="52">
        <f>'4.6.1.3-4 Direct N20'!F224</f>
        <v>0</v>
      </c>
      <c r="G44" s="52">
        <f>'4.6.1.3-4 Direct N20'!G224</f>
        <v>0</v>
      </c>
      <c r="H44" s="52">
        <f>'4.6.1.3-4 Direct N20'!H224</f>
        <v>0</v>
      </c>
      <c r="I44" s="52">
        <f>'4.6.1.3-4 Direct N20'!I224</f>
        <v>0</v>
      </c>
      <c r="J44" s="2">
        <f>'4.6.1.3-4 Direct N20'!J224</f>
        <v>0</v>
      </c>
      <c r="N44" s="57"/>
      <c r="O44" s="57">
        <f>'Input - Poultry'!$D$79</f>
        <v>0</v>
      </c>
      <c r="P44" s="52">
        <f>'4.6.1.3-4 Direct N20'!P224</f>
        <v>0</v>
      </c>
      <c r="Q44" s="52">
        <f>'4.6.1.3-4 Direct N20'!Q224</f>
        <v>0</v>
      </c>
      <c r="R44" s="52">
        <f>'4.6.1.3-4 Direct N20'!R224</f>
        <v>0</v>
      </c>
      <c r="S44" s="52">
        <f>'4.6.1.3-4 Direct N20'!S224</f>
        <v>0</v>
      </c>
      <c r="T44" s="2">
        <f>'4.6.1.3-4 Direct N20'!T224</f>
        <v>0</v>
      </c>
    </row>
    <row r="45" spans="4:20" ht="20.100000000000001" customHeight="1" x14ac:dyDescent="0.25">
      <c r="D45" s="57" t="e">
        <f>'Input - Poultry'!#REF!</f>
        <v>#REF!</v>
      </c>
      <c r="E45" s="57">
        <f>'Input - Poultry'!$D$84</f>
        <v>0</v>
      </c>
      <c r="F45" s="52">
        <f>'4.6.1.3-4 Direct N20'!F225</f>
        <v>0</v>
      </c>
      <c r="G45" s="52">
        <f>'4.6.1.3-4 Direct N20'!G225</f>
        <v>0</v>
      </c>
      <c r="H45" s="52">
        <f>'4.6.1.3-4 Direct N20'!H225</f>
        <v>0</v>
      </c>
      <c r="I45" s="52">
        <f>'4.6.1.3-4 Direct N20'!I225</f>
        <v>0</v>
      </c>
      <c r="J45" s="2">
        <f>'4.6.1.3-4 Direct N20'!J225</f>
        <v>0</v>
      </c>
      <c r="N45" s="57" t="e">
        <f>'Input - Poultry'!#REF!</f>
        <v>#REF!</v>
      </c>
      <c r="O45" s="57">
        <f>'Input - Poultry'!$D$84</f>
        <v>0</v>
      </c>
      <c r="P45" s="52">
        <f>'4.6.1.3-4 Direct N20'!P225</f>
        <v>0</v>
      </c>
      <c r="Q45" s="52">
        <f>'4.6.1.3-4 Direct N20'!Q225</f>
        <v>0</v>
      </c>
      <c r="R45" s="52">
        <f>'4.6.1.3-4 Direct N20'!R225</f>
        <v>0</v>
      </c>
      <c r="S45" s="52">
        <f>'4.6.1.3-4 Direct N20'!S225</f>
        <v>0</v>
      </c>
      <c r="T45" s="2">
        <f>'4.6.1.3-4 Direct N20'!T225</f>
        <v>0</v>
      </c>
    </row>
    <row r="46" spans="4:20" ht="20.100000000000001" customHeight="1" x14ac:dyDescent="0.25">
      <c r="D46" s="57"/>
      <c r="E46" s="57">
        <f>'Input - Poultry'!$D$85</f>
        <v>0</v>
      </c>
      <c r="F46" s="52">
        <f>'4.6.1.3-4 Direct N20'!F226</f>
        <v>0</v>
      </c>
      <c r="G46" s="52">
        <f>'4.6.1.3-4 Direct N20'!G226</f>
        <v>0</v>
      </c>
      <c r="H46" s="52">
        <f>'4.6.1.3-4 Direct N20'!H226</f>
        <v>0</v>
      </c>
      <c r="I46" s="52">
        <f>'4.6.1.3-4 Direct N20'!I226</f>
        <v>0</v>
      </c>
      <c r="J46" s="2">
        <f>'4.6.1.3-4 Direct N20'!J226</f>
        <v>0</v>
      </c>
      <c r="N46" s="57"/>
      <c r="O46" s="57">
        <f>'Input - Poultry'!$D$85</f>
        <v>0</v>
      </c>
      <c r="P46" s="52">
        <f>'4.6.1.3-4 Direct N20'!P226</f>
        <v>0</v>
      </c>
      <c r="Q46" s="52">
        <f>'4.6.1.3-4 Direct N20'!Q226</f>
        <v>0</v>
      </c>
      <c r="R46" s="52">
        <f>'4.6.1.3-4 Direct N20'!R226</f>
        <v>0</v>
      </c>
      <c r="S46" s="52">
        <f>'4.6.1.3-4 Direct N20'!S226</f>
        <v>0</v>
      </c>
      <c r="T46" s="2">
        <f>'4.6.1.3-4 Direct N20'!T226</f>
        <v>0</v>
      </c>
    </row>
    <row r="47" spans="4:20" ht="20.100000000000001" customHeight="1" x14ac:dyDescent="0.25">
      <c r="D47" s="57"/>
      <c r="E47" s="57">
        <f>'Input - Poultry'!$D$86</f>
        <v>0</v>
      </c>
      <c r="F47" s="52">
        <f>'4.6.1.3-4 Direct N20'!F227</f>
        <v>0</v>
      </c>
      <c r="G47" s="52">
        <f>'4.6.1.3-4 Direct N20'!G227</f>
        <v>0</v>
      </c>
      <c r="H47" s="52">
        <f>'4.6.1.3-4 Direct N20'!H227</f>
        <v>0</v>
      </c>
      <c r="I47" s="52">
        <f>'4.6.1.3-4 Direct N20'!I227</f>
        <v>0</v>
      </c>
      <c r="J47" s="2">
        <f>'4.6.1.3-4 Direct N20'!J227</f>
        <v>0</v>
      </c>
      <c r="N47" s="57"/>
      <c r="O47" s="57">
        <f>'Input - Poultry'!$D$86</f>
        <v>0</v>
      </c>
      <c r="P47" s="52">
        <f>'4.6.1.3-4 Direct N20'!P227</f>
        <v>0</v>
      </c>
      <c r="Q47" s="52">
        <f>'4.6.1.3-4 Direct N20'!Q227</f>
        <v>0</v>
      </c>
      <c r="R47" s="52">
        <f>'4.6.1.3-4 Direct N20'!R227</f>
        <v>0</v>
      </c>
      <c r="S47" s="52">
        <f>'4.6.1.3-4 Direct N20'!S227</f>
        <v>0</v>
      </c>
      <c r="T47" s="2">
        <f>'4.6.1.3-4 Direct N20'!T227</f>
        <v>0</v>
      </c>
    </row>
    <row r="48" spans="4:20" ht="20.100000000000001" customHeight="1" x14ac:dyDescent="0.25">
      <c r="D48" s="57"/>
      <c r="E48" s="57">
        <f>'Input - Poultry'!$D$87</f>
        <v>0</v>
      </c>
      <c r="F48" s="52">
        <f>'4.6.1.3-4 Direct N20'!F228</f>
        <v>0</v>
      </c>
      <c r="G48" s="52">
        <f>'4.6.1.3-4 Direct N20'!G228</f>
        <v>0</v>
      </c>
      <c r="H48" s="52">
        <f>'4.6.1.3-4 Direct N20'!H228</f>
        <v>0</v>
      </c>
      <c r="I48" s="52">
        <f>'4.6.1.3-4 Direct N20'!I228</f>
        <v>0</v>
      </c>
      <c r="J48" s="2">
        <f>'4.6.1.3-4 Direct N20'!J228</f>
        <v>0</v>
      </c>
      <c r="N48" s="57"/>
      <c r="O48" s="57">
        <f>'Input - Poultry'!$D$87</f>
        <v>0</v>
      </c>
      <c r="P48" s="52">
        <f>'4.6.1.3-4 Direct N20'!P228</f>
        <v>0</v>
      </c>
      <c r="Q48" s="52">
        <f>'4.6.1.3-4 Direct N20'!Q228</f>
        <v>0</v>
      </c>
      <c r="R48" s="52">
        <f>'4.6.1.3-4 Direct N20'!R228</f>
        <v>0</v>
      </c>
      <c r="S48" s="52">
        <f>'4.6.1.3-4 Direct N20'!S228</f>
        <v>0</v>
      </c>
      <c r="T48" s="2">
        <f>'4.6.1.3-4 Direct N20'!T228</f>
        <v>0</v>
      </c>
    </row>
    <row r="49" spans="4:20" ht="20.100000000000001" customHeight="1" x14ac:dyDescent="0.25"/>
    <row r="50" spans="4:20" ht="20.100000000000001" customHeight="1" x14ac:dyDescent="0.25">
      <c r="D50" s="120" t="s">
        <v>199</v>
      </c>
    </row>
    <row r="51" spans="4:20" ht="20.100000000000001" customHeight="1" x14ac:dyDescent="0.25">
      <c r="D51" s="121" t="s">
        <v>200</v>
      </c>
    </row>
    <row r="52" spans="4:20" ht="20.100000000000001" customHeight="1" x14ac:dyDescent="0.25">
      <c r="D52" s="51" t="s">
        <v>139</v>
      </c>
      <c r="E52" s="51" t="s">
        <v>166</v>
      </c>
    </row>
    <row r="53" spans="4:20" ht="20.100000000000001" customHeight="1" x14ac:dyDescent="0.25">
      <c r="D53" s="57" t="str">
        <f>'Input - Poultry'!$D$30</f>
        <v>Belt manure removal</v>
      </c>
      <c r="E53" s="52" cm="1">
        <f t="array" ref="E53">Common_InputFunctions.Utility_LookupValueInTableNumber(D53, #REF!,#REF!)</f>
        <v>0</v>
      </c>
    </row>
    <row r="54" spans="4:20" ht="20.100000000000001" customHeight="1" x14ac:dyDescent="0.25">
      <c r="D54" s="57" t="str">
        <f>'Input - Poultry'!$D$31</f>
        <v>Manure stored in house</v>
      </c>
      <c r="E54" s="52" cm="1">
        <f t="array" ref="E54">Common_InputFunctions.Utility_LookupValueInTableNumber(D54, #REF!,#REF!)</f>
        <v>0</v>
      </c>
    </row>
    <row r="55" spans="4:20" ht="20.100000000000001" customHeight="1" x14ac:dyDescent="0.25">
      <c r="D55" s="57" t="str">
        <f>'Input - Poultry'!$D$32</f>
        <v>Pasture range and paddock</v>
      </c>
      <c r="E55" s="52" cm="1">
        <f t="array" ref="E55">Common_InputFunctions.Utility_LookupValueInTableNumber(D55, #REF!,#REF!)</f>
        <v>0</v>
      </c>
    </row>
    <row r="56" spans="4:20" ht="20.100000000000001" customHeight="1" x14ac:dyDescent="0.25">
      <c r="D56" s="57" t="str">
        <f>'Input - Poultry'!$D$33</f>
        <v>No MMS</v>
      </c>
      <c r="E56" s="52" cm="1">
        <f t="array" ref="E56">Common_InputFunctions.Utility_LookupValueInTableNumber(D56, #REF!,#REF!)</f>
        <v>0</v>
      </c>
    </row>
    <row r="57" spans="4:20" ht="20.100000000000001" customHeight="1" x14ac:dyDescent="0.25">
      <c r="D57" s="57" t="e">
        <f>'Input - Poultry'!#REF!</f>
        <v>#REF!</v>
      </c>
      <c r="E57" s="52" cm="1">
        <f t="array" ref="E57">Common_InputFunctions.Utility_LookupValueInTableNumber(D57, #REF!,#REF!)</f>
        <v>0</v>
      </c>
    </row>
    <row r="58" spans="4:20" ht="20.100000000000001" customHeight="1" x14ac:dyDescent="0.25">
      <c r="D58" s="57" t="e">
        <f>'Input - Poultry'!#REF!</f>
        <v>#REF!</v>
      </c>
      <c r="E58" s="52" cm="1">
        <f t="array" ref="E58">Common_InputFunctions.Utility_LookupValueInTableNumber(D58, #REF!,#REF!)</f>
        <v>0</v>
      </c>
    </row>
    <row r="59" spans="4:20" ht="20.100000000000001" customHeight="1" x14ac:dyDescent="0.25"/>
    <row r="60" spans="4:20" ht="20.100000000000001" customHeight="1" x14ac:dyDescent="0.25">
      <c r="D60" s="120" t="s">
        <v>170</v>
      </c>
      <c r="N60" s="120" t="s">
        <v>170</v>
      </c>
    </row>
    <row r="61" spans="4:20" ht="20.100000000000001" customHeight="1" x14ac:dyDescent="0.25">
      <c r="D61" s="121" t="s">
        <v>171</v>
      </c>
      <c r="N61" s="121" t="s">
        <v>171</v>
      </c>
    </row>
    <row r="62" spans="4:20" ht="20.100000000000001" customHeight="1" x14ac:dyDescent="0.25">
      <c r="D62" s="51" t="s">
        <v>139</v>
      </c>
      <c r="E62" s="51" t="s">
        <v>142</v>
      </c>
      <c r="F62" s="51" t="s">
        <v>134</v>
      </c>
      <c r="G62" s="51" t="s">
        <v>135</v>
      </c>
      <c r="H62" s="51" t="s">
        <v>136</v>
      </c>
      <c r="I62" s="51" t="s">
        <v>161</v>
      </c>
      <c r="N62" s="51" t="s">
        <v>139</v>
      </c>
      <c r="O62" s="51" t="s">
        <v>142</v>
      </c>
      <c r="P62" s="51" t="s">
        <v>134</v>
      </c>
      <c r="Q62" s="51" t="s">
        <v>135</v>
      </c>
      <c r="R62" s="51" t="s">
        <v>136</v>
      </c>
      <c r="S62" s="51" t="s">
        <v>161</v>
      </c>
    </row>
    <row r="63" spans="4:20" ht="20.100000000000001" customHeight="1" x14ac:dyDescent="0.25">
      <c r="D63" s="57" t="str">
        <f>'Input - Poultry'!$D$30</f>
        <v>Belt manure removal</v>
      </c>
      <c r="E63" s="57" t="s">
        <v>145</v>
      </c>
      <c r="F63" s="52" cm="1">
        <f t="array" ref="F63">MMS_Swine_AtmosphericDeposition_Equations.VEERG_4_5_1_5__2_TotalNitrogenVolatilisedFromMMS(E19,_xlfn.XLOOKUP($D63,$D$53:$D$58,$E$53:$E$58))</f>
        <v>0</v>
      </c>
      <c r="G63" s="52" cm="1">
        <f t="array" ref="G63">MMS_Swine_AtmosphericDeposition_Equations.VEERG_4_5_1_5__2_TotalNitrogenVolatilisedFromMMS(F19,_xlfn.XLOOKUP($D63,$D$53:$D$58,$E$53:$E$58))</f>
        <v>0</v>
      </c>
      <c r="H63" s="52" cm="1">
        <f t="array" ref="H63">MMS_Swine_AtmosphericDeposition_Equations.VEERG_4_5_1_5__2_TotalNitrogenVolatilisedFromMMS(G19,_xlfn.XLOOKUP($D63,$D$53:$D$58,$E$53:$E$58))</f>
        <v>0</v>
      </c>
      <c r="I63" s="52" cm="1">
        <f t="array" ref="I63">MMS_Swine_AtmosphericDeposition_Equations.VEERG_4_5_1_5__2_TotalNitrogenVolatilisedFromMMS(H19,_xlfn.XLOOKUP($D63,$D$53:$D$58,$E$53:$E$58))</f>
        <v>0</v>
      </c>
      <c r="J63" s="2" t="str">
        <f>$E$11</f>
        <v>kg N</v>
      </c>
      <c r="N63" s="57" t="str">
        <f>'Input - Poultry'!$D$30</f>
        <v>Belt manure removal</v>
      </c>
      <c r="O63" s="57" t="s">
        <v>145</v>
      </c>
      <c r="P63" s="52" cm="1">
        <f t="array" ref="P63">MMS_Swine_AtmosphericDeposition_Equations.VEERG_4_5_1_5__2_TotalNitrogenVolatilisedFromMMS(O19,_xlfn.XLOOKUP($N63,$D$53:$D$58,$E$53:$E$58))</f>
        <v>0</v>
      </c>
      <c r="Q63" s="52" cm="1">
        <f t="array" ref="Q63">MMS_Swine_AtmosphericDeposition_Equations.VEERG_4_5_1_5__2_TotalNitrogenVolatilisedFromMMS(P19,_xlfn.XLOOKUP($N63,$D$53:$D$58,$E$53:$E$58))</f>
        <v>0</v>
      </c>
      <c r="R63" s="52" cm="1">
        <f t="array" ref="R63">MMS_Swine_AtmosphericDeposition_Equations.VEERG_4_5_1_5__2_TotalNitrogenVolatilisedFromMMS(Q19,_xlfn.XLOOKUP($N63,$D$53:$D$58,$E$53:$E$58))</f>
        <v>0</v>
      </c>
      <c r="S63" s="52" cm="1">
        <f t="array" ref="S63">MMS_Swine_AtmosphericDeposition_Equations.VEERG_4_5_1_5__2_TotalNitrogenVolatilisedFromMMS(R19,_xlfn.XLOOKUP($N63,$D$53:$D$58,$E$53:$E$58))</f>
        <v>0</v>
      </c>
      <c r="T63" s="2" t="str">
        <f>$E$11</f>
        <v>kg N</v>
      </c>
    </row>
    <row r="64" spans="4:20" ht="20.100000000000001" customHeight="1" x14ac:dyDescent="0.25">
      <c r="D64" s="57" t="str">
        <f>'Input - Poultry'!$D$31</f>
        <v>Manure stored in house</v>
      </c>
      <c r="E64" s="57" t="s">
        <v>145</v>
      </c>
      <c r="F64" s="52" cm="1">
        <f t="array" ref="F64">MMS_Swine_AtmosphericDeposition_Equations.VEERG_4_5_1_5__2_TotalNitrogenVolatilisedFromMMS(E20,_xlfn.XLOOKUP($D64,$D$53:$D$58,$E$53:$E$58))</f>
        <v>0</v>
      </c>
      <c r="G64" s="52" cm="1">
        <f t="array" ref="G64">MMS_Swine_AtmosphericDeposition_Equations.VEERG_4_5_1_5__2_TotalNitrogenVolatilisedFromMMS(F20,_xlfn.XLOOKUP($D64,$D$53:$D$58,$E$53:$E$58))</f>
        <v>0</v>
      </c>
      <c r="H64" s="52" cm="1">
        <f t="array" ref="H64">MMS_Swine_AtmosphericDeposition_Equations.VEERG_4_5_1_5__2_TotalNitrogenVolatilisedFromMMS(G20,_xlfn.XLOOKUP($D64,$D$53:$D$58,$E$53:$E$58))</f>
        <v>0</v>
      </c>
      <c r="I64" s="52" cm="1">
        <f t="array" ref="I64">MMS_Swine_AtmosphericDeposition_Equations.VEERG_4_5_1_5__2_TotalNitrogenVolatilisedFromMMS(H20,_xlfn.XLOOKUP($D64,$D$53:$D$58,$E$53:$E$58))</f>
        <v>0</v>
      </c>
      <c r="J64" s="2" t="str">
        <f t="shared" ref="J64:J88" si="0">$E$11</f>
        <v>kg N</v>
      </c>
      <c r="N64" s="57" t="str">
        <f>'Input - Poultry'!$D$31</f>
        <v>Manure stored in house</v>
      </c>
      <c r="O64" s="57" t="s">
        <v>145</v>
      </c>
      <c r="P64" s="52" cm="1">
        <f t="array" ref="P64">MMS_Swine_AtmosphericDeposition_Equations.VEERG_4_5_1_5__2_TotalNitrogenVolatilisedFromMMS(O20,_xlfn.XLOOKUP($N64,$D$53:$D$58,$E$53:$E$58))</f>
        <v>0</v>
      </c>
      <c r="Q64" s="52" cm="1">
        <f t="array" ref="Q64">MMS_Swine_AtmosphericDeposition_Equations.VEERG_4_5_1_5__2_TotalNitrogenVolatilisedFromMMS(P20,_xlfn.XLOOKUP($N64,$D$53:$D$58,$E$53:$E$58))</f>
        <v>0</v>
      </c>
      <c r="R64" s="52" cm="1">
        <f t="array" ref="R64">MMS_Swine_AtmosphericDeposition_Equations.VEERG_4_5_1_5__2_TotalNitrogenVolatilisedFromMMS(Q20,_xlfn.XLOOKUP($N64,$D$53:$D$58,$E$53:$E$58))</f>
        <v>0</v>
      </c>
      <c r="S64" s="52" cm="1">
        <f t="array" ref="S64">MMS_Swine_AtmosphericDeposition_Equations.VEERG_4_5_1_5__2_TotalNitrogenVolatilisedFromMMS(R20,_xlfn.XLOOKUP($N64,$D$53:$D$58,$E$53:$E$58))</f>
        <v>0</v>
      </c>
      <c r="T64" s="2" t="str">
        <f t="shared" ref="T64:T88" si="1">$E$11</f>
        <v>kg N</v>
      </c>
    </row>
    <row r="65" spans="4:20" ht="20.100000000000001" customHeight="1" x14ac:dyDescent="0.25">
      <c r="D65" s="57" t="str">
        <f>'Input - Poultry'!$D$32</f>
        <v>Pasture range and paddock</v>
      </c>
      <c r="E65" s="57" t="s">
        <v>145</v>
      </c>
      <c r="F65" s="52" cm="1">
        <f t="array" ref="F65">MMS_Swine_AtmosphericDeposition_Equations.VEERG_4_5_1_5__2_TotalNitrogenVolatilisedFromMMS(E21,_xlfn.XLOOKUP($D65,$D$53:$D$58,$E$53:$E$58))</f>
        <v>0</v>
      </c>
      <c r="G65" s="52" cm="1">
        <f t="array" ref="G65">MMS_Swine_AtmosphericDeposition_Equations.VEERG_4_5_1_5__2_TotalNitrogenVolatilisedFromMMS(F21,_xlfn.XLOOKUP($D65,$D$53:$D$58,$E$53:$E$58))</f>
        <v>0</v>
      </c>
      <c r="H65" s="52" cm="1">
        <f t="array" ref="H65">MMS_Swine_AtmosphericDeposition_Equations.VEERG_4_5_1_5__2_TotalNitrogenVolatilisedFromMMS(G21,_xlfn.XLOOKUP($D65,$D$53:$D$58,$E$53:$E$58))</f>
        <v>0</v>
      </c>
      <c r="I65" s="52" cm="1">
        <f t="array" ref="I65">MMS_Swine_AtmosphericDeposition_Equations.VEERG_4_5_1_5__2_TotalNitrogenVolatilisedFromMMS(H21,_xlfn.XLOOKUP($D65,$D$53:$D$58,$E$53:$E$58))</f>
        <v>0</v>
      </c>
      <c r="J65" s="2" t="str">
        <f t="shared" si="0"/>
        <v>kg N</v>
      </c>
      <c r="N65" s="57" t="str">
        <f>'Input - Poultry'!$D$32</f>
        <v>Pasture range and paddock</v>
      </c>
      <c r="O65" s="57" t="s">
        <v>145</v>
      </c>
      <c r="P65" s="52" cm="1">
        <f t="array" ref="P65">MMS_Swine_AtmosphericDeposition_Equations.VEERG_4_5_1_5__2_TotalNitrogenVolatilisedFromMMS(O21,_xlfn.XLOOKUP($N65,$D$53:$D$58,$E$53:$E$58))</f>
        <v>0</v>
      </c>
      <c r="Q65" s="52" cm="1">
        <f t="array" ref="Q65">MMS_Swine_AtmosphericDeposition_Equations.VEERG_4_5_1_5__2_TotalNitrogenVolatilisedFromMMS(P21,_xlfn.XLOOKUP($N65,$D$53:$D$58,$E$53:$E$58))</f>
        <v>0</v>
      </c>
      <c r="R65" s="52" cm="1">
        <f t="array" ref="R65">MMS_Swine_AtmosphericDeposition_Equations.VEERG_4_5_1_5__2_TotalNitrogenVolatilisedFromMMS(Q21,_xlfn.XLOOKUP($N65,$D$53:$D$58,$E$53:$E$58))</f>
        <v>0</v>
      </c>
      <c r="S65" s="52" cm="1">
        <f t="array" ref="S65">MMS_Swine_AtmosphericDeposition_Equations.VEERG_4_5_1_5__2_TotalNitrogenVolatilisedFromMMS(R21,_xlfn.XLOOKUP($N65,$D$53:$D$58,$E$53:$E$58))</f>
        <v>0</v>
      </c>
      <c r="T65" s="2" t="str">
        <f t="shared" si="1"/>
        <v>kg N</v>
      </c>
    </row>
    <row r="66" spans="4:20" ht="20.100000000000001" customHeight="1" x14ac:dyDescent="0.25">
      <c r="D66" s="57" t="str">
        <f>'Input - Poultry'!$D$33</f>
        <v>No MMS</v>
      </c>
      <c r="E66" s="57" t="s">
        <v>145</v>
      </c>
      <c r="F66" s="52" cm="1">
        <f t="array" ref="F66">MMS_Swine_AtmosphericDeposition_Equations.VEERG_4_5_1_5__2_TotalNitrogenVolatilisedFromMMS(E22,_xlfn.XLOOKUP($D66,$D$53:$D$58,$E$53:$E$58))</f>
        <v>0</v>
      </c>
      <c r="G66" s="52" cm="1">
        <f t="array" ref="G66">MMS_Swine_AtmosphericDeposition_Equations.VEERG_4_5_1_5__2_TotalNitrogenVolatilisedFromMMS(F22,_xlfn.XLOOKUP($D66,$D$53:$D$58,$E$53:$E$58))</f>
        <v>0</v>
      </c>
      <c r="H66" s="52" cm="1">
        <f t="array" ref="H66">MMS_Swine_AtmosphericDeposition_Equations.VEERG_4_5_1_5__2_TotalNitrogenVolatilisedFromMMS(G22,_xlfn.XLOOKUP($D66,$D$53:$D$58,$E$53:$E$58))</f>
        <v>0</v>
      </c>
      <c r="I66" s="52" cm="1">
        <f t="array" ref="I66">MMS_Swine_AtmosphericDeposition_Equations.VEERG_4_5_1_5__2_TotalNitrogenVolatilisedFromMMS(H22,_xlfn.XLOOKUP($D66,$D$53:$D$58,$E$53:$E$58))</f>
        <v>0</v>
      </c>
      <c r="J66" s="2" t="str">
        <f t="shared" si="0"/>
        <v>kg N</v>
      </c>
      <c r="N66" s="57" t="str">
        <f>'Input - Poultry'!$D$33</f>
        <v>No MMS</v>
      </c>
      <c r="O66" s="57" t="s">
        <v>145</v>
      </c>
      <c r="P66" s="52" cm="1">
        <f t="array" ref="P66">MMS_Swine_AtmosphericDeposition_Equations.VEERG_4_5_1_5__2_TotalNitrogenVolatilisedFromMMS(O22,_xlfn.XLOOKUP($N66,$D$53:$D$58,$E$53:$E$58))</f>
        <v>0</v>
      </c>
      <c r="Q66" s="52" cm="1">
        <f t="array" ref="Q66">MMS_Swine_AtmosphericDeposition_Equations.VEERG_4_5_1_5__2_TotalNitrogenVolatilisedFromMMS(P22,_xlfn.XLOOKUP($N66,$D$53:$D$58,$E$53:$E$58))</f>
        <v>0</v>
      </c>
      <c r="R66" s="52" cm="1">
        <f t="array" ref="R66">MMS_Swine_AtmosphericDeposition_Equations.VEERG_4_5_1_5__2_TotalNitrogenVolatilisedFromMMS(Q22,_xlfn.XLOOKUP($N66,$D$53:$D$58,$E$53:$E$58))</f>
        <v>0</v>
      </c>
      <c r="S66" s="52" cm="1">
        <f t="array" ref="S66">MMS_Swine_AtmosphericDeposition_Equations.VEERG_4_5_1_5__2_TotalNitrogenVolatilisedFromMMS(R22,_xlfn.XLOOKUP($N66,$D$53:$D$58,$E$53:$E$58))</f>
        <v>0</v>
      </c>
      <c r="T66" s="2" t="str">
        <f t="shared" si="1"/>
        <v>kg N</v>
      </c>
    </row>
    <row r="67" spans="4:20" ht="20.100000000000001" customHeight="1" x14ac:dyDescent="0.25">
      <c r="D67" s="57" t="e">
        <f>'Input - Poultry'!#REF!</f>
        <v>#REF!</v>
      </c>
      <c r="E67" s="57" t="s">
        <v>145</v>
      </c>
      <c r="F67" s="52" t="e" cm="1">
        <f t="array" ref="F67">MMS_Swine_AtmosphericDeposition_Equations.VEERG_4_5_1_5__2_TotalNitrogenVolatilisedFromMMS(E23,_xlfn.XLOOKUP($D67,$D$53:$D$58,$E$53:$E$58))</f>
        <v>#REF!</v>
      </c>
      <c r="G67" s="52" t="e" cm="1">
        <f t="array" ref="G67">MMS_Swine_AtmosphericDeposition_Equations.VEERG_4_5_1_5__2_TotalNitrogenVolatilisedFromMMS(F23,_xlfn.XLOOKUP($D67,$D$53:$D$58,$E$53:$E$58))</f>
        <v>#REF!</v>
      </c>
      <c r="H67" s="52" t="e" cm="1">
        <f t="array" ref="H67">MMS_Swine_AtmosphericDeposition_Equations.VEERG_4_5_1_5__2_TotalNitrogenVolatilisedFromMMS(G23,_xlfn.XLOOKUP($D67,$D$53:$D$58,$E$53:$E$58))</f>
        <v>#REF!</v>
      </c>
      <c r="I67" s="52" t="e" cm="1">
        <f t="array" ref="I67">MMS_Swine_AtmosphericDeposition_Equations.VEERG_4_5_1_5__2_TotalNitrogenVolatilisedFromMMS(H23,_xlfn.XLOOKUP($D67,$D$53:$D$58,$E$53:$E$58))</f>
        <v>#REF!</v>
      </c>
      <c r="J67" s="2" t="str">
        <f t="shared" si="0"/>
        <v>kg N</v>
      </c>
      <c r="N67" s="57" t="e">
        <f>'Input - Poultry'!#REF!</f>
        <v>#REF!</v>
      </c>
      <c r="O67" s="57" t="s">
        <v>145</v>
      </c>
      <c r="P67" s="52" t="e" cm="1">
        <f t="array" ref="P67">MMS_Swine_AtmosphericDeposition_Equations.VEERG_4_5_1_5__2_TotalNitrogenVolatilisedFromMMS(O23,_xlfn.XLOOKUP($N67,$D$53:$D$58,$E$53:$E$58))</f>
        <v>#REF!</v>
      </c>
      <c r="Q67" s="52" t="e" cm="1">
        <f t="array" ref="Q67">MMS_Swine_AtmosphericDeposition_Equations.VEERG_4_5_1_5__2_TotalNitrogenVolatilisedFromMMS(P23,_xlfn.XLOOKUP($N67,$D$53:$D$58,$E$53:$E$58))</f>
        <v>#REF!</v>
      </c>
      <c r="R67" s="52" t="e" cm="1">
        <f t="array" ref="R67">MMS_Swine_AtmosphericDeposition_Equations.VEERG_4_5_1_5__2_TotalNitrogenVolatilisedFromMMS(Q23,_xlfn.XLOOKUP($N67,$D$53:$D$58,$E$53:$E$58))</f>
        <v>#REF!</v>
      </c>
      <c r="S67" s="52" t="e" cm="1">
        <f t="array" ref="S67">MMS_Swine_AtmosphericDeposition_Equations.VEERG_4_5_1_5__2_TotalNitrogenVolatilisedFromMMS(R23,_xlfn.XLOOKUP($N67,$D$53:$D$58,$E$53:$E$58))</f>
        <v>#REF!</v>
      </c>
      <c r="T67" s="2" t="str">
        <f t="shared" si="1"/>
        <v>kg N</v>
      </c>
    </row>
    <row r="68" spans="4:20" ht="20.100000000000001" customHeight="1" x14ac:dyDescent="0.25">
      <c r="D68" s="57" t="e">
        <f>'Input - Poultry'!#REF!</f>
        <v>#REF!</v>
      </c>
      <c r="E68" s="57" t="s">
        <v>145</v>
      </c>
      <c r="F68" s="52" t="e" cm="1">
        <f t="array" ref="F68">MMS_Swine_AtmosphericDeposition_Equations.VEERG_4_5_1_5__2_TotalNitrogenVolatilisedFromMMS(E24,_xlfn.XLOOKUP($D68,$D$53:$D$58,$E$53:$E$58))</f>
        <v>#REF!</v>
      </c>
      <c r="G68" s="52" t="e" cm="1">
        <f t="array" ref="G68">MMS_Swine_AtmosphericDeposition_Equations.VEERG_4_5_1_5__2_TotalNitrogenVolatilisedFromMMS(F24,_xlfn.XLOOKUP($D68,$D$53:$D$58,$E$53:$E$58))</f>
        <v>#REF!</v>
      </c>
      <c r="H68" s="52" t="e" cm="1">
        <f t="array" ref="H68">MMS_Swine_AtmosphericDeposition_Equations.VEERG_4_5_1_5__2_TotalNitrogenVolatilisedFromMMS(G24,_xlfn.XLOOKUP($D68,$D$53:$D$58,$E$53:$E$58))</f>
        <v>#REF!</v>
      </c>
      <c r="I68" s="52" t="e" cm="1">
        <f t="array" ref="I68">MMS_Swine_AtmosphericDeposition_Equations.VEERG_4_5_1_5__2_TotalNitrogenVolatilisedFromMMS(H24,_xlfn.XLOOKUP($D68,$D$53:$D$58,$E$53:$E$58))</f>
        <v>#REF!</v>
      </c>
      <c r="J68" s="2" t="str">
        <f t="shared" si="0"/>
        <v>kg N</v>
      </c>
      <c r="N68" s="57" t="e">
        <f>'Input - Poultry'!#REF!</f>
        <v>#REF!</v>
      </c>
      <c r="O68" s="57" t="s">
        <v>145</v>
      </c>
      <c r="P68" s="52" t="e" cm="1">
        <f t="array" ref="P68">MMS_Swine_AtmosphericDeposition_Equations.VEERG_4_5_1_5__2_TotalNitrogenVolatilisedFromMMS(O24,_xlfn.XLOOKUP($N68,$D$53:$D$58,$E$53:$E$58))</f>
        <v>#REF!</v>
      </c>
      <c r="Q68" s="52" t="e" cm="1">
        <f t="array" ref="Q68">MMS_Swine_AtmosphericDeposition_Equations.VEERG_4_5_1_5__2_TotalNitrogenVolatilisedFromMMS(P24,_xlfn.XLOOKUP($N68,$D$53:$D$58,$E$53:$E$58))</f>
        <v>#REF!</v>
      </c>
      <c r="R68" s="52" t="e" cm="1">
        <f t="array" ref="R68">MMS_Swine_AtmosphericDeposition_Equations.VEERG_4_5_1_5__2_TotalNitrogenVolatilisedFromMMS(Q24,_xlfn.XLOOKUP($N68,$D$53:$D$58,$E$53:$E$58))</f>
        <v>#REF!</v>
      </c>
      <c r="S68" s="52" t="e" cm="1">
        <f t="array" ref="S68">MMS_Swine_AtmosphericDeposition_Equations.VEERG_4_5_1_5__2_TotalNitrogenVolatilisedFromMMS(R24,_xlfn.XLOOKUP($N68,$D$53:$D$58,$E$53:$E$58))</f>
        <v>#REF!</v>
      </c>
      <c r="T68" s="2" t="str">
        <f t="shared" si="1"/>
        <v>kg N</v>
      </c>
    </row>
    <row r="69" spans="4:20" ht="20.100000000000001" customHeight="1" x14ac:dyDescent="0.25">
      <c r="D69" s="57" t="str">
        <f>'Input - Poultry'!$D$30</f>
        <v>Belt manure removal</v>
      </c>
      <c r="E69" s="57" t="str">
        <f>'Input - Poultry'!$D$38</f>
        <v>Solid storage</v>
      </c>
      <c r="F69" s="52" t="e" cm="1">
        <f t="array" ref="F69">MMS_Swine_AtmosphericDeposition_Equations.VEERG_4_5_1_5__2_TotalNitrogenVolatilisedFromMMS(F29,_xlfn.XLOOKUP($E69,$D$53:$D$58,$E$53:$E$58))</f>
        <v>#N/A</v>
      </c>
      <c r="G69" s="52" t="e" cm="1">
        <f t="array" ref="G69">MMS_Swine_AtmosphericDeposition_Equations.VEERG_4_5_1_5__2_TotalNitrogenVolatilisedFromMMS(G29,_xlfn.XLOOKUP($E69,$D$53:$D$58,$E$53:$E$58))</f>
        <v>#N/A</v>
      </c>
      <c r="H69" s="52" t="e" cm="1">
        <f t="array" ref="H69">MMS_Swine_AtmosphericDeposition_Equations.VEERG_4_5_1_5__2_TotalNitrogenVolatilisedFromMMS(H29,_xlfn.XLOOKUP($E69,$D$53:$D$58,$E$53:$E$58))</f>
        <v>#N/A</v>
      </c>
      <c r="I69" s="52" t="e" cm="1">
        <f t="array" ref="I69">MMS_Swine_AtmosphericDeposition_Equations.VEERG_4_5_1_5__2_TotalNitrogenVolatilisedFromMMS(I29,_xlfn.XLOOKUP($E69,$D$53:$D$58,$E$53:$E$58))</f>
        <v>#N/A</v>
      </c>
      <c r="J69" s="2" t="str">
        <f t="shared" si="0"/>
        <v>kg N</v>
      </c>
      <c r="N69" s="57" t="str">
        <f>'Input - Poultry'!$D$30</f>
        <v>Belt manure removal</v>
      </c>
      <c r="O69" s="57" t="str">
        <f>'Input - Poultry'!$D$38</f>
        <v>Solid storage</v>
      </c>
      <c r="P69" s="52" t="e" cm="1">
        <f t="array" ref="P69">MMS_Swine_AtmosphericDeposition_Equations.VEERG_4_5_1_5__2_TotalNitrogenVolatilisedFromMMS(P29,_xlfn.XLOOKUP($O69,$D$53:$D$58,$E$53:$E$58))</f>
        <v>#N/A</v>
      </c>
      <c r="Q69" s="52" t="e" cm="1">
        <f t="array" ref="Q69">MMS_Swine_AtmosphericDeposition_Equations.VEERG_4_5_1_5__2_TotalNitrogenVolatilisedFromMMS(Q29,_xlfn.XLOOKUP($O69,$D$53:$D$58,$E$53:$E$58))</f>
        <v>#N/A</v>
      </c>
      <c r="R69" s="52" t="e" cm="1">
        <f t="array" ref="R69">MMS_Swine_AtmosphericDeposition_Equations.VEERG_4_5_1_5__2_TotalNitrogenVolatilisedFromMMS(R29,_xlfn.XLOOKUP($O69,$D$53:$D$58,$E$53:$E$58))</f>
        <v>#N/A</v>
      </c>
      <c r="S69" s="52" t="e" cm="1">
        <f t="array" ref="S69">MMS_Swine_AtmosphericDeposition_Equations.VEERG_4_5_1_5__2_TotalNitrogenVolatilisedFromMMS(S29,_xlfn.XLOOKUP($O69,$D$53:$D$58,$E$53:$E$58))</f>
        <v>#N/A</v>
      </c>
      <c r="T69" s="2" t="str">
        <f t="shared" si="1"/>
        <v>kg N</v>
      </c>
    </row>
    <row r="70" spans="4:20" ht="20.100000000000001" customHeight="1" x14ac:dyDescent="0.25">
      <c r="D70" s="57"/>
      <c r="E70" s="57" t="str">
        <f>'Input - Poultry'!$D$39</f>
        <v>Composting (passive windrow)</v>
      </c>
      <c r="F70" s="52" t="e" cm="1">
        <f t="array" ref="F70">MMS_Swine_AtmosphericDeposition_Equations.VEERG_4_5_1_5__2_TotalNitrogenVolatilisedFromMMS(F30,_xlfn.XLOOKUP($E70,$D$53:$D$58,$E$53:$E$58))</f>
        <v>#N/A</v>
      </c>
      <c r="G70" s="52" t="e" cm="1">
        <f t="array" ref="G70">MMS_Swine_AtmosphericDeposition_Equations.VEERG_4_5_1_5__2_TotalNitrogenVolatilisedFromMMS(G30,_xlfn.XLOOKUP($E70,$D$53:$D$58,$E$53:$E$58))</f>
        <v>#N/A</v>
      </c>
      <c r="H70" s="52" t="e" cm="1">
        <f t="array" ref="H70">MMS_Swine_AtmosphericDeposition_Equations.VEERG_4_5_1_5__2_TotalNitrogenVolatilisedFromMMS(H30,_xlfn.XLOOKUP($E70,$D$53:$D$58,$E$53:$E$58))</f>
        <v>#N/A</v>
      </c>
      <c r="I70" s="52" t="e" cm="1">
        <f t="array" ref="I70">MMS_Swine_AtmosphericDeposition_Equations.VEERG_4_5_1_5__2_TotalNitrogenVolatilisedFromMMS(I30,_xlfn.XLOOKUP($E70,$D$53:$D$58,$E$53:$E$58))</f>
        <v>#N/A</v>
      </c>
      <c r="J70" s="2" t="str">
        <f t="shared" si="0"/>
        <v>kg N</v>
      </c>
      <c r="N70" s="57"/>
      <c r="O70" s="57" t="str">
        <f>'Input - Poultry'!$D$39</f>
        <v>Composting (passive windrow)</v>
      </c>
      <c r="P70" s="52" t="e" cm="1">
        <f t="array" ref="P70">MMS_Swine_AtmosphericDeposition_Equations.VEERG_4_5_1_5__2_TotalNitrogenVolatilisedFromMMS(P30,_xlfn.XLOOKUP($O70,$D$53:$D$58,$E$53:$E$58))</f>
        <v>#N/A</v>
      </c>
      <c r="Q70" s="52" t="e" cm="1">
        <f t="array" ref="Q70">MMS_Swine_AtmosphericDeposition_Equations.VEERG_4_5_1_5__2_TotalNitrogenVolatilisedFromMMS(Q30,_xlfn.XLOOKUP($O70,$D$53:$D$58,$E$53:$E$58))</f>
        <v>#N/A</v>
      </c>
      <c r="R70" s="52" t="e" cm="1">
        <f t="array" ref="R70">MMS_Swine_AtmosphericDeposition_Equations.VEERG_4_5_1_5__2_TotalNitrogenVolatilisedFromMMS(R30,_xlfn.XLOOKUP($O70,$D$53:$D$58,$E$53:$E$58))</f>
        <v>#N/A</v>
      </c>
      <c r="S70" s="52" t="e" cm="1">
        <f t="array" ref="S70">MMS_Swine_AtmosphericDeposition_Equations.VEERG_4_5_1_5__2_TotalNitrogenVolatilisedFromMMS(S30,_xlfn.XLOOKUP($O70,$D$53:$D$58,$E$53:$E$58))</f>
        <v>#N/A</v>
      </c>
      <c r="T70" s="2" t="str">
        <f t="shared" si="1"/>
        <v>kg N</v>
      </c>
    </row>
    <row r="71" spans="4:20" ht="20.100000000000001" customHeight="1" x14ac:dyDescent="0.25">
      <c r="D71" s="57"/>
      <c r="E71" s="57" t="str">
        <f>'Input - Poultry'!$D$40</f>
        <v>Digester / covered lagoons</v>
      </c>
      <c r="F71" s="52" t="e" cm="1">
        <f t="array" ref="F71">MMS_Swine_AtmosphericDeposition_Equations.VEERG_4_5_1_5__2_TotalNitrogenVolatilisedFromMMS(F31,_xlfn.XLOOKUP($E71,$D$53:$D$58,$E$53:$E$58))</f>
        <v>#N/A</v>
      </c>
      <c r="G71" s="52" t="e" cm="1">
        <f t="array" ref="G71">MMS_Swine_AtmosphericDeposition_Equations.VEERG_4_5_1_5__2_TotalNitrogenVolatilisedFromMMS(G31,_xlfn.XLOOKUP($E71,$D$53:$D$58,$E$53:$E$58))</f>
        <v>#N/A</v>
      </c>
      <c r="H71" s="52" t="e" cm="1">
        <f t="array" ref="H71">MMS_Swine_AtmosphericDeposition_Equations.VEERG_4_5_1_5__2_TotalNitrogenVolatilisedFromMMS(H31,_xlfn.XLOOKUP($E71,$D$53:$D$58,$E$53:$E$58))</f>
        <v>#N/A</v>
      </c>
      <c r="I71" s="52" t="e" cm="1">
        <f t="array" ref="I71">MMS_Swine_AtmosphericDeposition_Equations.VEERG_4_5_1_5__2_TotalNitrogenVolatilisedFromMMS(I31,_xlfn.XLOOKUP($E71,$D$53:$D$58,$E$53:$E$58))</f>
        <v>#N/A</v>
      </c>
      <c r="J71" s="2" t="str">
        <f t="shared" si="0"/>
        <v>kg N</v>
      </c>
      <c r="N71" s="57"/>
      <c r="O71" s="57" t="str">
        <f>'Input - Poultry'!$D$40</f>
        <v>Digester / covered lagoons</v>
      </c>
      <c r="P71" s="52" t="e" cm="1">
        <f t="array" ref="P71">MMS_Swine_AtmosphericDeposition_Equations.VEERG_4_5_1_5__2_TotalNitrogenVolatilisedFromMMS(P31,_xlfn.XLOOKUP($O71,$D$53:$D$58,$E$53:$E$58))</f>
        <v>#N/A</v>
      </c>
      <c r="Q71" s="52" t="e" cm="1">
        <f t="array" ref="Q71">MMS_Swine_AtmosphericDeposition_Equations.VEERG_4_5_1_5__2_TotalNitrogenVolatilisedFromMMS(Q31,_xlfn.XLOOKUP($O71,$D$53:$D$58,$E$53:$E$58))</f>
        <v>#N/A</v>
      </c>
      <c r="R71" s="52" t="e" cm="1">
        <f t="array" ref="R71">MMS_Swine_AtmosphericDeposition_Equations.VEERG_4_5_1_5__2_TotalNitrogenVolatilisedFromMMS(R31,_xlfn.XLOOKUP($O71,$D$53:$D$58,$E$53:$E$58))</f>
        <v>#N/A</v>
      </c>
      <c r="S71" s="52" t="e" cm="1">
        <f t="array" ref="S71">MMS_Swine_AtmosphericDeposition_Equations.VEERG_4_5_1_5__2_TotalNitrogenVolatilisedFromMMS(S31,_xlfn.XLOOKUP($O71,$D$53:$D$58,$E$53:$E$58))</f>
        <v>#N/A</v>
      </c>
      <c r="T71" s="2" t="str">
        <f t="shared" si="1"/>
        <v>kg N</v>
      </c>
    </row>
    <row r="72" spans="4:20" ht="20.100000000000001" customHeight="1" x14ac:dyDescent="0.25">
      <c r="D72" s="57" t="str">
        <f>'Input - Poultry'!$D$31</f>
        <v>Manure stored in house</v>
      </c>
      <c r="E72" s="57" t="str">
        <f>'Input - Poultry'!$D$45</f>
        <v>Solid storage</v>
      </c>
      <c r="F72" s="52" t="e" cm="1">
        <f t="array" ref="F72">MMS_Swine_AtmosphericDeposition_Equations.VEERG_4_5_1_5__2_TotalNitrogenVolatilisedFromMMS(F32,_xlfn.XLOOKUP($E72,$D$53:$D$58,$E$53:$E$58))</f>
        <v>#N/A</v>
      </c>
      <c r="G72" s="52" t="e" cm="1">
        <f t="array" ref="G72">MMS_Swine_AtmosphericDeposition_Equations.VEERG_4_5_1_5__2_TotalNitrogenVolatilisedFromMMS(G32,_xlfn.XLOOKUP($E72,$D$53:$D$58,$E$53:$E$58))</f>
        <v>#N/A</v>
      </c>
      <c r="H72" s="52" t="e" cm="1">
        <f t="array" ref="H72">MMS_Swine_AtmosphericDeposition_Equations.VEERG_4_5_1_5__2_TotalNitrogenVolatilisedFromMMS(H32,_xlfn.XLOOKUP($E72,$D$53:$D$58,$E$53:$E$58))</f>
        <v>#N/A</v>
      </c>
      <c r="I72" s="52" t="e" cm="1">
        <f t="array" ref="I72">MMS_Swine_AtmosphericDeposition_Equations.VEERG_4_5_1_5__2_TotalNitrogenVolatilisedFromMMS(I32,_xlfn.XLOOKUP($E72,$D$53:$D$58,$E$53:$E$58))</f>
        <v>#N/A</v>
      </c>
      <c r="J72" s="2" t="str">
        <f t="shared" si="0"/>
        <v>kg N</v>
      </c>
      <c r="N72" s="57" t="str">
        <f>'Input - Poultry'!$D$31</f>
        <v>Manure stored in house</v>
      </c>
      <c r="O72" s="57" t="str">
        <f>'Input - Poultry'!$D$45</f>
        <v>Solid storage</v>
      </c>
      <c r="P72" s="52" t="e" cm="1">
        <f t="array" ref="P72">MMS_Swine_AtmosphericDeposition_Equations.VEERG_4_5_1_5__2_TotalNitrogenVolatilisedFromMMS(P32,_xlfn.XLOOKUP($O72,$D$53:$D$58,$E$53:$E$58))</f>
        <v>#N/A</v>
      </c>
      <c r="Q72" s="52" t="e" cm="1">
        <f t="array" ref="Q72">MMS_Swine_AtmosphericDeposition_Equations.VEERG_4_5_1_5__2_TotalNitrogenVolatilisedFromMMS(Q32,_xlfn.XLOOKUP($O72,$D$53:$D$58,$E$53:$E$58))</f>
        <v>#N/A</v>
      </c>
      <c r="R72" s="52" t="e" cm="1">
        <f t="array" ref="R72">MMS_Swine_AtmosphericDeposition_Equations.VEERG_4_5_1_5__2_TotalNitrogenVolatilisedFromMMS(R32,_xlfn.XLOOKUP($O72,$D$53:$D$58,$E$53:$E$58))</f>
        <v>#N/A</v>
      </c>
      <c r="S72" s="52" t="e" cm="1">
        <f t="array" ref="S72">MMS_Swine_AtmosphericDeposition_Equations.VEERG_4_5_1_5__2_TotalNitrogenVolatilisedFromMMS(S32,_xlfn.XLOOKUP($O72,$D$53:$D$58,$E$53:$E$58))</f>
        <v>#N/A</v>
      </c>
      <c r="T72" s="2" t="str">
        <f t="shared" si="1"/>
        <v>kg N</v>
      </c>
    </row>
    <row r="73" spans="4:20" ht="20.100000000000001" customHeight="1" x14ac:dyDescent="0.25">
      <c r="D73" s="57"/>
      <c r="E73" s="57" t="str">
        <f>'Input - Poultry'!$D$46</f>
        <v>Composting (passive windrow)</v>
      </c>
      <c r="F73" s="52" t="e" cm="1">
        <f t="array" ref="F73">MMS_Swine_AtmosphericDeposition_Equations.VEERG_4_5_1_5__2_TotalNitrogenVolatilisedFromMMS(F33,_xlfn.XLOOKUP($E73,$D$53:$D$58,$E$53:$E$58))</f>
        <v>#N/A</v>
      </c>
      <c r="G73" s="52" t="e" cm="1">
        <f t="array" ref="G73">MMS_Swine_AtmosphericDeposition_Equations.VEERG_4_5_1_5__2_TotalNitrogenVolatilisedFromMMS(G33,_xlfn.XLOOKUP($E73,$D$53:$D$58,$E$53:$E$58))</f>
        <v>#N/A</v>
      </c>
      <c r="H73" s="52" t="e" cm="1">
        <f t="array" ref="H73">MMS_Swine_AtmosphericDeposition_Equations.VEERG_4_5_1_5__2_TotalNitrogenVolatilisedFromMMS(H33,_xlfn.XLOOKUP($E73,$D$53:$D$58,$E$53:$E$58))</f>
        <v>#N/A</v>
      </c>
      <c r="I73" s="52" t="e" cm="1">
        <f t="array" ref="I73">MMS_Swine_AtmosphericDeposition_Equations.VEERG_4_5_1_5__2_TotalNitrogenVolatilisedFromMMS(I33,_xlfn.XLOOKUP($E73,$D$53:$D$58,$E$53:$E$58))</f>
        <v>#N/A</v>
      </c>
      <c r="J73" s="2" t="str">
        <f t="shared" si="0"/>
        <v>kg N</v>
      </c>
      <c r="N73" s="57"/>
      <c r="O73" s="57" t="str">
        <f>'Input - Poultry'!$D$46</f>
        <v>Composting (passive windrow)</v>
      </c>
      <c r="P73" s="52" t="e" cm="1">
        <f t="array" ref="P73">MMS_Swine_AtmosphericDeposition_Equations.VEERG_4_5_1_5__2_TotalNitrogenVolatilisedFromMMS(P33,_xlfn.XLOOKUP($O73,$D$53:$D$58,$E$53:$E$58))</f>
        <v>#N/A</v>
      </c>
      <c r="Q73" s="52" t="e" cm="1">
        <f t="array" ref="Q73">MMS_Swine_AtmosphericDeposition_Equations.VEERG_4_5_1_5__2_TotalNitrogenVolatilisedFromMMS(Q33,_xlfn.XLOOKUP($O73,$D$53:$D$58,$E$53:$E$58))</f>
        <v>#N/A</v>
      </c>
      <c r="R73" s="52" t="e" cm="1">
        <f t="array" ref="R73">MMS_Swine_AtmosphericDeposition_Equations.VEERG_4_5_1_5__2_TotalNitrogenVolatilisedFromMMS(R33,_xlfn.XLOOKUP($O73,$D$53:$D$58,$E$53:$E$58))</f>
        <v>#N/A</v>
      </c>
      <c r="S73" s="52" t="e" cm="1">
        <f t="array" ref="S73">MMS_Swine_AtmosphericDeposition_Equations.VEERG_4_5_1_5__2_TotalNitrogenVolatilisedFromMMS(S33,_xlfn.XLOOKUP($O73,$D$53:$D$58,$E$53:$E$58))</f>
        <v>#N/A</v>
      </c>
      <c r="T73" s="2" t="str">
        <f t="shared" si="1"/>
        <v>kg N</v>
      </c>
    </row>
    <row r="74" spans="4:20" ht="20.100000000000001" customHeight="1" x14ac:dyDescent="0.25">
      <c r="D74" s="57"/>
      <c r="E74" s="57" t="str">
        <f>'Input - Poultry'!$D$47</f>
        <v>Digester / covered lagoons</v>
      </c>
      <c r="F74" s="52" t="e" cm="1">
        <f t="array" ref="F74">MMS_Swine_AtmosphericDeposition_Equations.VEERG_4_5_1_5__2_TotalNitrogenVolatilisedFromMMS(F34,_xlfn.XLOOKUP($E74,$D$53:$D$58,$E$53:$E$58))</f>
        <v>#N/A</v>
      </c>
      <c r="G74" s="52" t="e" cm="1">
        <f t="array" ref="G74">MMS_Swine_AtmosphericDeposition_Equations.VEERG_4_5_1_5__2_TotalNitrogenVolatilisedFromMMS(G34,_xlfn.XLOOKUP($E74,$D$53:$D$58,$E$53:$E$58))</f>
        <v>#N/A</v>
      </c>
      <c r="H74" s="52" t="e" cm="1">
        <f t="array" ref="H74">MMS_Swine_AtmosphericDeposition_Equations.VEERG_4_5_1_5__2_TotalNitrogenVolatilisedFromMMS(H34,_xlfn.XLOOKUP($E74,$D$53:$D$58,$E$53:$E$58))</f>
        <v>#N/A</v>
      </c>
      <c r="I74" s="52" t="e" cm="1">
        <f t="array" ref="I74">MMS_Swine_AtmosphericDeposition_Equations.VEERG_4_5_1_5__2_TotalNitrogenVolatilisedFromMMS(I34,_xlfn.XLOOKUP($E74,$D$53:$D$58,$E$53:$E$58))</f>
        <v>#N/A</v>
      </c>
      <c r="J74" s="2" t="str">
        <f t="shared" si="0"/>
        <v>kg N</v>
      </c>
      <c r="N74" s="57"/>
      <c r="O74" s="57" t="str">
        <f>'Input - Poultry'!$D$47</f>
        <v>Digester / covered lagoons</v>
      </c>
      <c r="P74" s="52" t="e" cm="1">
        <f t="array" ref="P74">MMS_Swine_AtmosphericDeposition_Equations.VEERG_4_5_1_5__2_TotalNitrogenVolatilisedFromMMS(P34,_xlfn.XLOOKUP($O74,$D$53:$D$58,$E$53:$E$58))</f>
        <v>#N/A</v>
      </c>
      <c r="Q74" s="52" t="e" cm="1">
        <f t="array" ref="Q74">MMS_Swine_AtmosphericDeposition_Equations.VEERG_4_5_1_5__2_TotalNitrogenVolatilisedFromMMS(Q34,_xlfn.XLOOKUP($O74,$D$53:$D$58,$E$53:$E$58))</f>
        <v>#N/A</v>
      </c>
      <c r="R74" s="52" t="e" cm="1">
        <f t="array" ref="R74">MMS_Swine_AtmosphericDeposition_Equations.VEERG_4_5_1_5__2_TotalNitrogenVolatilisedFromMMS(R34,_xlfn.XLOOKUP($O74,$D$53:$D$58,$E$53:$E$58))</f>
        <v>#N/A</v>
      </c>
      <c r="S74" s="52" t="e" cm="1">
        <f t="array" ref="S74">MMS_Swine_AtmosphericDeposition_Equations.VEERG_4_5_1_5__2_TotalNitrogenVolatilisedFromMMS(S34,_xlfn.XLOOKUP($O74,$D$53:$D$58,$E$53:$E$58))</f>
        <v>#N/A</v>
      </c>
      <c r="T74" s="2" t="str">
        <f t="shared" si="1"/>
        <v>kg N</v>
      </c>
    </row>
    <row r="75" spans="4:20" ht="20.100000000000001" customHeight="1" x14ac:dyDescent="0.25">
      <c r="D75" s="57"/>
      <c r="E75" s="57" t="str">
        <f>'Input - Poultry'!$D$48</f>
        <v>Direct processing</v>
      </c>
      <c r="F75" s="52" t="e" cm="1">
        <f t="array" ref="F75">MMS_Swine_AtmosphericDeposition_Equations.VEERG_4_5_1_5__2_TotalNitrogenVolatilisedFromMMS(F35,_xlfn.XLOOKUP($E75,$D$53:$D$58,$E$53:$E$58))</f>
        <v>#N/A</v>
      </c>
      <c r="G75" s="52" t="e" cm="1">
        <f t="array" ref="G75">MMS_Swine_AtmosphericDeposition_Equations.VEERG_4_5_1_5__2_TotalNitrogenVolatilisedFromMMS(G35,_xlfn.XLOOKUP($E75,$D$53:$D$58,$E$53:$E$58))</f>
        <v>#N/A</v>
      </c>
      <c r="H75" s="52" t="e" cm="1">
        <f t="array" ref="H75">MMS_Swine_AtmosphericDeposition_Equations.VEERG_4_5_1_5__2_TotalNitrogenVolatilisedFromMMS(H35,_xlfn.XLOOKUP($E75,$D$53:$D$58,$E$53:$E$58))</f>
        <v>#N/A</v>
      </c>
      <c r="I75" s="52" t="e" cm="1">
        <f t="array" ref="I75">MMS_Swine_AtmosphericDeposition_Equations.VEERG_4_5_1_5__2_TotalNitrogenVolatilisedFromMMS(I35,_xlfn.XLOOKUP($E75,$D$53:$D$58,$E$53:$E$58))</f>
        <v>#N/A</v>
      </c>
      <c r="J75" s="2" t="str">
        <f t="shared" si="0"/>
        <v>kg N</v>
      </c>
      <c r="N75" s="57"/>
      <c r="O75" s="57" t="str">
        <f>'Input - Poultry'!$D$48</f>
        <v>Direct processing</v>
      </c>
      <c r="P75" s="52" t="e" cm="1">
        <f t="array" ref="P75">MMS_Swine_AtmosphericDeposition_Equations.VEERG_4_5_1_5__2_TotalNitrogenVolatilisedFromMMS(P35,_xlfn.XLOOKUP($O75,$D$53:$D$58,$E$53:$E$58))</f>
        <v>#N/A</v>
      </c>
      <c r="Q75" s="52" t="e" cm="1">
        <f t="array" ref="Q75">MMS_Swine_AtmosphericDeposition_Equations.VEERG_4_5_1_5__2_TotalNitrogenVolatilisedFromMMS(Q35,_xlfn.XLOOKUP($O75,$D$53:$D$58,$E$53:$E$58))</f>
        <v>#N/A</v>
      </c>
      <c r="R75" s="52" t="e" cm="1">
        <f t="array" ref="R75">MMS_Swine_AtmosphericDeposition_Equations.VEERG_4_5_1_5__2_TotalNitrogenVolatilisedFromMMS(R35,_xlfn.XLOOKUP($O75,$D$53:$D$58,$E$53:$E$58))</f>
        <v>#N/A</v>
      </c>
      <c r="S75" s="52" t="e" cm="1">
        <f t="array" ref="S75">MMS_Swine_AtmosphericDeposition_Equations.VEERG_4_5_1_5__2_TotalNitrogenVolatilisedFromMMS(S35,_xlfn.XLOOKUP($O75,$D$53:$D$58,$E$53:$E$58))</f>
        <v>#N/A</v>
      </c>
      <c r="T75" s="2" t="str">
        <f t="shared" si="1"/>
        <v>kg N</v>
      </c>
    </row>
    <row r="76" spans="4:20" ht="20.100000000000001" customHeight="1" x14ac:dyDescent="0.25">
      <c r="D76" s="57" t="str">
        <f>'Input - Poultry'!$D$32</f>
        <v>Pasture range and paddock</v>
      </c>
      <c r="E76" s="57" t="str">
        <f>'Input - Poultry'!$D$52</f>
        <v>Solid storage</v>
      </c>
      <c r="F76" s="52" t="e" cm="1">
        <f t="array" ref="F76">MMS_Swine_AtmosphericDeposition_Equations.VEERG_4_5_1_5__2_TotalNitrogenVolatilisedFromMMS(F36,_xlfn.XLOOKUP($E76,$D$53:$D$58,$E$53:$E$58))</f>
        <v>#N/A</v>
      </c>
      <c r="G76" s="52" t="e" cm="1">
        <f t="array" ref="G76">MMS_Swine_AtmosphericDeposition_Equations.VEERG_4_5_1_5__2_TotalNitrogenVolatilisedFromMMS(G36,_xlfn.XLOOKUP($E76,$D$53:$D$58,$E$53:$E$58))</f>
        <v>#N/A</v>
      </c>
      <c r="H76" s="52" t="e" cm="1">
        <f t="array" ref="H76">MMS_Swine_AtmosphericDeposition_Equations.VEERG_4_5_1_5__2_TotalNitrogenVolatilisedFromMMS(H36,_xlfn.XLOOKUP($E76,$D$53:$D$58,$E$53:$E$58))</f>
        <v>#N/A</v>
      </c>
      <c r="I76" s="52" t="e" cm="1">
        <f t="array" ref="I76">MMS_Swine_AtmosphericDeposition_Equations.VEERG_4_5_1_5__2_TotalNitrogenVolatilisedFromMMS(I36,_xlfn.XLOOKUP($E76,$D$53:$D$58,$E$53:$E$58))</f>
        <v>#N/A</v>
      </c>
      <c r="J76" s="2" t="str">
        <f t="shared" si="0"/>
        <v>kg N</v>
      </c>
      <c r="N76" s="57" t="str">
        <f>'Input - Poultry'!$D$32</f>
        <v>Pasture range and paddock</v>
      </c>
      <c r="O76" s="57" t="str">
        <f>'Input - Poultry'!$D$52</f>
        <v>Solid storage</v>
      </c>
      <c r="P76" s="52" t="e" cm="1">
        <f t="array" ref="P76">MMS_Swine_AtmosphericDeposition_Equations.VEERG_4_5_1_5__2_TotalNitrogenVolatilisedFromMMS(P36,_xlfn.XLOOKUP($O76,$D$53:$D$58,$E$53:$E$58))</f>
        <v>#N/A</v>
      </c>
      <c r="Q76" s="52" t="e" cm="1">
        <f t="array" ref="Q76">MMS_Swine_AtmosphericDeposition_Equations.VEERG_4_5_1_5__2_TotalNitrogenVolatilisedFromMMS(Q36,_xlfn.XLOOKUP($O76,$D$53:$D$58,$E$53:$E$58))</f>
        <v>#N/A</v>
      </c>
      <c r="R76" s="52" t="e" cm="1">
        <f t="array" ref="R76">MMS_Swine_AtmosphericDeposition_Equations.VEERG_4_5_1_5__2_TotalNitrogenVolatilisedFromMMS(R36,_xlfn.XLOOKUP($O76,$D$53:$D$58,$E$53:$E$58))</f>
        <v>#N/A</v>
      </c>
      <c r="S76" s="52" t="e" cm="1">
        <f t="array" ref="S76">MMS_Swine_AtmosphericDeposition_Equations.VEERG_4_5_1_5__2_TotalNitrogenVolatilisedFromMMS(S36,_xlfn.XLOOKUP($O76,$D$53:$D$58,$E$53:$E$58))</f>
        <v>#N/A</v>
      </c>
      <c r="T76" s="2" t="str">
        <f t="shared" si="1"/>
        <v>kg N</v>
      </c>
    </row>
    <row r="77" spans="4:20" ht="20.100000000000001" customHeight="1" x14ac:dyDescent="0.25">
      <c r="D77" s="57"/>
      <c r="E77" s="57" t="str">
        <f>'Input - Poultry'!$D$53</f>
        <v>Composting (passive windrow)</v>
      </c>
      <c r="F77" s="52" t="e" cm="1">
        <f t="array" ref="F77">MMS_Swine_AtmosphericDeposition_Equations.VEERG_4_5_1_5__2_TotalNitrogenVolatilisedFromMMS(F37,_xlfn.XLOOKUP($E77,$D$53:$D$58,$E$53:$E$58))</f>
        <v>#N/A</v>
      </c>
      <c r="G77" s="52" t="e" cm="1">
        <f t="array" ref="G77">MMS_Swine_AtmosphericDeposition_Equations.VEERG_4_5_1_5__2_TotalNitrogenVolatilisedFromMMS(G37,_xlfn.XLOOKUP($E77,$D$53:$D$58,$E$53:$E$58))</f>
        <v>#N/A</v>
      </c>
      <c r="H77" s="52" t="e" cm="1">
        <f t="array" ref="H77">MMS_Swine_AtmosphericDeposition_Equations.VEERG_4_5_1_5__2_TotalNitrogenVolatilisedFromMMS(H37,_xlfn.XLOOKUP($E77,$D$53:$D$58,$E$53:$E$58))</f>
        <v>#N/A</v>
      </c>
      <c r="I77" s="52" t="e" cm="1">
        <f t="array" ref="I77">MMS_Swine_AtmosphericDeposition_Equations.VEERG_4_5_1_5__2_TotalNitrogenVolatilisedFromMMS(I37,_xlfn.XLOOKUP($E77,$D$53:$D$58,$E$53:$E$58))</f>
        <v>#N/A</v>
      </c>
      <c r="J77" s="2" t="str">
        <f t="shared" si="0"/>
        <v>kg N</v>
      </c>
      <c r="N77" s="57"/>
      <c r="O77" s="57" t="str">
        <f>'Input - Poultry'!$D$53</f>
        <v>Composting (passive windrow)</v>
      </c>
      <c r="P77" s="52" t="e" cm="1">
        <f t="array" ref="P77">MMS_Swine_AtmosphericDeposition_Equations.VEERG_4_5_1_5__2_TotalNitrogenVolatilisedFromMMS(P37,_xlfn.XLOOKUP($O77,$D$53:$D$58,$E$53:$E$58))</f>
        <v>#N/A</v>
      </c>
      <c r="Q77" s="52" t="e" cm="1">
        <f t="array" ref="Q77">MMS_Swine_AtmosphericDeposition_Equations.VEERG_4_5_1_5__2_TotalNitrogenVolatilisedFromMMS(Q37,_xlfn.XLOOKUP($O77,$D$53:$D$58,$E$53:$E$58))</f>
        <v>#N/A</v>
      </c>
      <c r="R77" s="52" t="e" cm="1">
        <f t="array" ref="R77">MMS_Swine_AtmosphericDeposition_Equations.VEERG_4_5_1_5__2_TotalNitrogenVolatilisedFromMMS(R37,_xlfn.XLOOKUP($O77,$D$53:$D$58,$E$53:$E$58))</f>
        <v>#N/A</v>
      </c>
      <c r="S77" s="52" t="e" cm="1">
        <f t="array" ref="S77">MMS_Swine_AtmosphericDeposition_Equations.VEERG_4_5_1_5__2_TotalNitrogenVolatilisedFromMMS(S37,_xlfn.XLOOKUP($O77,$D$53:$D$58,$E$53:$E$58))</f>
        <v>#N/A</v>
      </c>
      <c r="T77" s="2" t="str">
        <f t="shared" si="1"/>
        <v>kg N</v>
      </c>
    </row>
    <row r="78" spans="4:20" ht="20.100000000000001" customHeight="1" x14ac:dyDescent="0.25">
      <c r="D78" s="57"/>
      <c r="E78" s="57" t="str">
        <f>'Input - Poultry'!$D$54</f>
        <v>Digester / covered lagoons</v>
      </c>
      <c r="F78" s="52" t="e" cm="1">
        <f t="array" ref="F78">MMS_Swine_AtmosphericDeposition_Equations.VEERG_4_5_1_5__2_TotalNitrogenVolatilisedFromMMS(F38,_xlfn.XLOOKUP($E78,$D$53:$D$58,$E$53:$E$58))</f>
        <v>#N/A</v>
      </c>
      <c r="G78" s="52" t="e" cm="1">
        <f t="array" ref="G78">MMS_Swine_AtmosphericDeposition_Equations.VEERG_4_5_1_5__2_TotalNitrogenVolatilisedFromMMS(G38,_xlfn.XLOOKUP($E78,$D$53:$D$58,$E$53:$E$58))</f>
        <v>#N/A</v>
      </c>
      <c r="H78" s="52" t="e" cm="1">
        <f t="array" ref="H78">MMS_Swine_AtmosphericDeposition_Equations.VEERG_4_5_1_5__2_TotalNitrogenVolatilisedFromMMS(H38,_xlfn.XLOOKUP($E78,$D$53:$D$58,$E$53:$E$58))</f>
        <v>#N/A</v>
      </c>
      <c r="I78" s="52" t="e" cm="1">
        <f t="array" ref="I78">MMS_Swine_AtmosphericDeposition_Equations.VEERG_4_5_1_5__2_TotalNitrogenVolatilisedFromMMS(I38,_xlfn.XLOOKUP($E78,$D$53:$D$58,$E$53:$E$58))</f>
        <v>#N/A</v>
      </c>
      <c r="J78" s="2" t="str">
        <f t="shared" si="0"/>
        <v>kg N</v>
      </c>
      <c r="N78" s="57"/>
      <c r="O78" s="57" t="str">
        <f>'Input - Poultry'!$D$54</f>
        <v>Digester / covered lagoons</v>
      </c>
      <c r="P78" s="52" t="e" cm="1">
        <f t="array" ref="P78">MMS_Swine_AtmosphericDeposition_Equations.VEERG_4_5_1_5__2_TotalNitrogenVolatilisedFromMMS(P38,_xlfn.XLOOKUP($O78,$D$53:$D$58,$E$53:$E$58))</f>
        <v>#N/A</v>
      </c>
      <c r="Q78" s="52" t="e" cm="1">
        <f t="array" ref="Q78">MMS_Swine_AtmosphericDeposition_Equations.VEERG_4_5_1_5__2_TotalNitrogenVolatilisedFromMMS(Q38,_xlfn.XLOOKUP($O78,$D$53:$D$58,$E$53:$E$58))</f>
        <v>#N/A</v>
      </c>
      <c r="R78" s="52" t="e" cm="1">
        <f t="array" ref="R78">MMS_Swine_AtmosphericDeposition_Equations.VEERG_4_5_1_5__2_TotalNitrogenVolatilisedFromMMS(R38,_xlfn.XLOOKUP($O78,$D$53:$D$58,$E$53:$E$58))</f>
        <v>#N/A</v>
      </c>
      <c r="S78" s="52" t="e" cm="1">
        <f t="array" ref="S78">MMS_Swine_AtmosphericDeposition_Equations.VEERG_4_5_1_5__2_TotalNitrogenVolatilisedFromMMS(S38,_xlfn.XLOOKUP($O78,$D$53:$D$58,$E$53:$E$58))</f>
        <v>#N/A</v>
      </c>
      <c r="T78" s="2" t="str">
        <f t="shared" si="1"/>
        <v>kg N</v>
      </c>
    </row>
    <row r="79" spans="4:20" ht="20.100000000000001" customHeight="1" x14ac:dyDescent="0.25">
      <c r="D79" s="57" t="str">
        <f>'Input - Poultry'!$D$33</f>
        <v>No MMS</v>
      </c>
      <c r="E79" s="57" t="e">
        <f>'Input - Poultry'!#REF!</f>
        <v>#REF!</v>
      </c>
      <c r="F79" s="52" t="e" cm="1">
        <f t="array" ref="F79">MMS_Swine_AtmosphericDeposition_Equations.VEERG_4_5_1_5__2_TotalNitrogenVolatilisedFromMMS(F39,_xlfn.XLOOKUP($E79,$D$53:$D$58,$E$53:$E$58))</f>
        <v>#REF!</v>
      </c>
      <c r="G79" s="52" t="e" cm="1">
        <f t="array" ref="G79">MMS_Swine_AtmosphericDeposition_Equations.VEERG_4_5_1_5__2_TotalNitrogenVolatilisedFromMMS(G39,_xlfn.XLOOKUP($E79,$D$53:$D$58,$E$53:$E$58))</f>
        <v>#REF!</v>
      </c>
      <c r="H79" s="52" t="e" cm="1">
        <f t="array" ref="H79">MMS_Swine_AtmosphericDeposition_Equations.VEERG_4_5_1_5__2_TotalNitrogenVolatilisedFromMMS(H39,_xlfn.XLOOKUP($E79,$D$53:$D$58,$E$53:$E$58))</f>
        <v>#REF!</v>
      </c>
      <c r="I79" s="52" t="e" cm="1">
        <f t="array" ref="I79">MMS_Swine_AtmosphericDeposition_Equations.VEERG_4_5_1_5__2_TotalNitrogenVolatilisedFromMMS(I39,_xlfn.XLOOKUP($E79,$D$53:$D$58,$E$53:$E$58))</f>
        <v>#REF!</v>
      </c>
      <c r="J79" s="2" t="str">
        <f t="shared" si="0"/>
        <v>kg N</v>
      </c>
      <c r="N79" s="57" t="str">
        <f>'Input - Poultry'!$D$33</f>
        <v>No MMS</v>
      </c>
      <c r="O79" s="57" t="e">
        <f>'Input - Poultry'!#REF!</f>
        <v>#REF!</v>
      </c>
      <c r="P79" s="52" t="e" cm="1">
        <f t="array" ref="P79">MMS_Swine_AtmosphericDeposition_Equations.VEERG_4_5_1_5__2_TotalNitrogenVolatilisedFromMMS(P39,_xlfn.XLOOKUP($O79,$D$53:$D$58,$E$53:$E$58))</f>
        <v>#REF!</v>
      </c>
      <c r="Q79" s="52" t="e" cm="1">
        <f t="array" ref="Q79">MMS_Swine_AtmosphericDeposition_Equations.VEERG_4_5_1_5__2_TotalNitrogenVolatilisedFromMMS(Q39,_xlfn.XLOOKUP($O79,$D$53:$D$58,$E$53:$E$58))</f>
        <v>#REF!</v>
      </c>
      <c r="R79" s="52" t="e" cm="1">
        <f t="array" ref="R79">MMS_Swine_AtmosphericDeposition_Equations.VEERG_4_5_1_5__2_TotalNitrogenVolatilisedFromMMS(R39,_xlfn.XLOOKUP($O79,$D$53:$D$58,$E$53:$E$58))</f>
        <v>#REF!</v>
      </c>
      <c r="S79" s="52" t="e" cm="1">
        <f t="array" ref="S79">MMS_Swine_AtmosphericDeposition_Equations.VEERG_4_5_1_5__2_TotalNitrogenVolatilisedFromMMS(S39,_xlfn.XLOOKUP($O79,$D$53:$D$58,$E$53:$E$58))</f>
        <v>#REF!</v>
      </c>
      <c r="T79" s="2" t="str">
        <f t="shared" si="1"/>
        <v>kg N</v>
      </c>
    </row>
    <row r="80" spans="4:20" ht="20.100000000000001" customHeight="1" x14ac:dyDescent="0.25">
      <c r="D80" s="57"/>
      <c r="E80" s="57">
        <f>'Input - Poultry'!$D$71</f>
        <v>0</v>
      </c>
      <c r="F80" s="52" t="e" cm="1">
        <f t="array" ref="F80">MMS_Swine_AtmosphericDeposition_Equations.VEERG_4_5_1_5__2_TotalNitrogenVolatilisedFromMMS(F40,_xlfn.XLOOKUP($E80,$D$53:$D$58,$E$53:$E$58))</f>
        <v>#N/A</v>
      </c>
      <c r="G80" s="52" t="e" cm="1">
        <f t="array" ref="G80">MMS_Swine_AtmosphericDeposition_Equations.VEERG_4_5_1_5__2_TotalNitrogenVolatilisedFromMMS(G40,_xlfn.XLOOKUP($E80,$D$53:$D$58,$E$53:$E$58))</f>
        <v>#N/A</v>
      </c>
      <c r="H80" s="52" t="e" cm="1">
        <f t="array" ref="H80">MMS_Swine_AtmosphericDeposition_Equations.VEERG_4_5_1_5__2_TotalNitrogenVolatilisedFromMMS(H40,_xlfn.XLOOKUP($E80,$D$53:$D$58,$E$53:$E$58))</f>
        <v>#N/A</v>
      </c>
      <c r="I80" s="52" t="e" cm="1">
        <f t="array" ref="I80">MMS_Swine_AtmosphericDeposition_Equations.VEERG_4_5_1_5__2_TotalNitrogenVolatilisedFromMMS(I40,_xlfn.XLOOKUP($E80,$D$53:$D$58,$E$53:$E$58))</f>
        <v>#N/A</v>
      </c>
      <c r="J80" s="2" t="str">
        <f t="shared" si="0"/>
        <v>kg N</v>
      </c>
      <c r="N80" s="57"/>
      <c r="O80" s="57">
        <f>'Input - Poultry'!$D$71</f>
        <v>0</v>
      </c>
      <c r="P80" s="52" t="e" cm="1">
        <f t="array" ref="P80">MMS_Swine_AtmosphericDeposition_Equations.VEERG_4_5_1_5__2_TotalNitrogenVolatilisedFromMMS(P40,_xlfn.XLOOKUP($O80,$D$53:$D$58,$E$53:$E$58))</f>
        <v>#N/A</v>
      </c>
      <c r="Q80" s="52" t="e" cm="1">
        <f t="array" ref="Q80">MMS_Swine_AtmosphericDeposition_Equations.VEERG_4_5_1_5__2_TotalNitrogenVolatilisedFromMMS(Q40,_xlfn.XLOOKUP($O80,$D$53:$D$58,$E$53:$E$58))</f>
        <v>#N/A</v>
      </c>
      <c r="R80" s="52" t="e" cm="1">
        <f t="array" ref="R80">MMS_Swine_AtmosphericDeposition_Equations.VEERG_4_5_1_5__2_TotalNitrogenVolatilisedFromMMS(R40,_xlfn.XLOOKUP($O80,$D$53:$D$58,$E$53:$E$58))</f>
        <v>#N/A</v>
      </c>
      <c r="S80" s="52" t="e" cm="1">
        <f t="array" ref="S80">MMS_Swine_AtmosphericDeposition_Equations.VEERG_4_5_1_5__2_TotalNitrogenVolatilisedFromMMS(S40,_xlfn.XLOOKUP($O80,$D$53:$D$58,$E$53:$E$58))</f>
        <v>#N/A</v>
      </c>
      <c r="T80" s="2" t="str">
        <f t="shared" si="1"/>
        <v>kg N</v>
      </c>
    </row>
    <row r="81" spans="3:21" ht="20.100000000000001" customHeight="1" x14ac:dyDescent="0.25">
      <c r="D81" s="57"/>
      <c r="E81" s="57">
        <f>'Input - Poultry'!$D$72</f>
        <v>0</v>
      </c>
      <c r="F81" s="52" t="e" cm="1">
        <f t="array" ref="F81">MMS_Swine_AtmosphericDeposition_Equations.VEERG_4_5_1_5__2_TotalNitrogenVolatilisedFromMMS(F41,_xlfn.XLOOKUP($E81,$D$53:$D$58,$E$53:$E$58))</f>
        <v>#N/A</v>
      </c>
      <c r="G81" s="52" t="e" cm="1">
        <f t="array" ref="G81">MMS_Swine_AtmosphericDeposition_Equations.VEERG_4_5_1_5__2_TotalNitrogenVolatilisedFromMMS(G41,_xlfn.XLOOKUP($E81,$D$53:$D$58,$E$53:$E$58))</f>
        <v>#N/A</v>
      </c>
      <c r="H81" s="52" t="e" cm="1">
        <f t="array" ref="H81">MMS_Swine_AtmosphericDeposition_Equations.VEERG_4_5_1_5__2_TotalNitrogenVolatilisedFromMMS(H41,_xlfn.XLOOKUP($E81,$D$53:$D$58,$E$53:$E$58))</f>
        <v>#N/A</v>
      </c>
      <c r="I81" s="52" t="e" cm="1">
        <f t="array" ref="I81">MMS_Swine_AtmosphericDeposition_Equations.VEERG_4_5_1_5__2_TotalNitrogenVolatilisedFromMMS(I41,_xlfn.XLOOKUP($E81,$D$53:$D$58,$E$53:$E$58))</f>
        <v>#N/A</v>
      </c>
      <c r="J81" s="2" t="str">
        <f t="shared" si="0"/>
        <v>kg N</v>
      </c>
      <c r="N81" s="57"/>
      <c r="O81" s="57">
        <f>'Input - Poultry'!$D$72</f>
        <v>0</v>
      </c>
      <c r="P81" s="52" t="e" cm="1">
        <f t="array" ref="P81">MMS_Swine_AtmosphericDeposition_Equations.VEERG_4_5_1_5__2_TotalNitrogenVolatilisedFromMMS(P41,_xlfn.XLOOKUP($O81,$D$53:$D$58,$E$53:$E$58))</f>
        <v>#N/A</v>
      </c>
      <c r="Q81" s="52" t="e" cm="1">
        <f t="array" ref="Q81">MMS_Swine_AtmosphericDeposition_Equations.VEERG_4_5_1_5__2_TotalNitrogenVolatilisedFromMMS(Q41,_xlfn.XLOOKUP($O81,$D$53:$D$58,$E$53:$E$58))</f>
        <v>#N/A</v>
      </c>
      <c r="R81" s="52" t="e" cm="1">
        <f t="array" ref="R81">MMS_Swine_AtmosphericDeposition_Equations.VEERG_4_5_1_5__2_TotalNitrogenVolatilisedFromMMS(R41,_xlfn.XLOOKUP($O81,$D$53:$D$58,$E$53:$E$58))</f>
        <v>#N/A</v>
      </c>
      <c r="S81" s="52" t="e" cm="1">
        <f t="array" ref="S81">MMS_Swine_AtmosphericDeposition_Equations.VEERG_4_5_1_5__2_TotalNitrogenVolatilisedFromMMS(S41,_xlfn.XLOOKUP($O81,$D$53:$D$58,$E$53:$E$58))</f>
        <v>#N/A</v>
      </c>
      <c r="T81" s="2" t="str">
        <f t="shared" si="1"/>
        <v>kg N</v>
      </c>
    </row>
    <row r="82" spans="3:21" ht="20.100000000000001" customHeight="1" x14ac:dyDescent="0.25">
      <c r="D82" s="57" t="e">
        <f>'Input - Poultry'!#REF!</f>
        <v>#REF!</v>
      </c>
      <c r="E82" s="57">
        <f>'Input - Poultry'!$D$77</f>
        <v>0</v>
      </c>
      <c r="F82" s="52" t="e" cm="1">
        <f t="array" ref="F82">MMS_Swine_AtmosphericDeposition_Equations.VEERG_4_5_1_5__2_TotalNitrogenVolatilisedFromMMS(F42,_xlfn.XLOOKUP($E82,$D$53:$D$58,$E$53:$E$58))</f>
        <v>#N/A</v>
      </c>
      <c r="G82" s="52" t="e" cm="1">
        <f t="array" ref="G82">MMS_Swine_AtmosphericDeposition_Equations.VEERG_4_5_1_5__2_TotalNitrogenVolatilisedFromMMS(G42,_xlfn.XLOOKUP($E82,$D$53:$D$58,$E$53:$E$58))</f>
        <v>#N/A</v>
      </c>
      <c r="H82" s="52" t="e" cm="1">
        <f t="array" ref="H82">MMS_Swine_AtmosphericDeposition_Equations.VEERG_4_5_1_5__2_TotalNitrogenVolatilisedFromMMS(H42,_xlfn.XLOOKUP($E82,$D$53:$D$58,$E$53:$E$58))</f>
        <v>#N/A</v>
      </c>
      <c r="I82" s="52" t="e" cm="1">
        <f t="array" ref="I82">MMS_Swine_AtmosphericDeposition_Equations.VEERG_4_5_1_5__2_TotalNitrogenVolatilisedFromMMS(I42,_xlfn.XLOOKUP($E82,$D$53:$D$58,$E$53:$E$58))</f>
        <v>#N/A</v>
      </c>
      <c r="J82" s="2" t="str">
        <f t="shared" si="0"/>
        <v>kg N</v>
      </c>
      <c r="N82" s="57" t="e">
        <f>'Input - Poultry'!#REF!</f>
        <v>#REF!</v>
      </c>
      <c r="O82" s="57">
        <f>'Input - Poultry'!$D$77</f>
        <v>0</v>
      </c>
      <c r="P82" s="52" t="e" cm="1">
        <f t="array" ref="P82">MMS_Swine_AtmosphericDeposition_Equations.VEERG_4_5_1_5__2_TotalNitrogenVolatilisedFromMMS(P42,_xlfn.XLOOKUP($O82,$D$53:$D$58,$E$53:$E$58))</f>
        <v>#N/A</v>
      </c>
      <c r="Q82" s="52" t="e" cm="1">
        <f t="array" ref="Q82">MMS_Swine_AtmosphericDeposition_Equations.VEERG_4_5_1_5__2_TotalNitrogenVolatilisedFromMMS(Q42,_xlfn.XLOOKUP($O82,$D$53:$D$58,$E$53:$E$58))</f>
        <v>#N/A</v>
      </c>
      <c r="R82" s="52" t="e" cm="1">
        <f t="array" ref="R82">MMS_Swine_AtmosphericDeposition_Equations.VEERG_4_5_1_5__2_TotalNitrogenVolatilisedFromMMS(R42,_xlfn.XLOOKUP($O82,$D$53:$D$58,$E$53:$E$58))</f>
        <v>#N/A</v>
      </c>
      <c r="S82" s="52" t="e" cm="1">
        <f t="array" ref="S82">MMS_Swine_AtmosphericDeposition_Equations.VEERG_4_5_1_5__2_TotalNitrogenVolatilisedFromMMS(S42,_xlfn.XLOOKUP($O82,$D$53:$D$58,$E$53:$E$58))</f>
        <v>#N/A</v>
      </c>
      <c r="T82" s="2" t="str">
        <f t="shared" si="1"/>
        <v>kg N</v>
      </c>
    </row>
    <row r="83" spans="3:21" ht="20.100000000000001" customHeight="1" x14ac:dyDescent="0.25">
      <c r="D83" s="57"/>
      <c r="E83" s="57">
        <f>'Input - Poultry'!$D$78</f>
        <v>0</v>
      </c>
      <c r="F83" s="52" t="e" cm="1">
        <f t="array" ref="F83">MMS_Swine_AtmosphericDeposition_Equations.VEERG_4_5_1_5__2_TotalNitrogenVolatilisedFromMMS(F43,_xlfn.XLOOKUP($E83,$D$53:$D$58,$E$53:$E$58))</f>
        <v>#N/A</v>
      </c>
      <c r="G83" s="52" t="e" cm="1">
        <f t="array" ref="G83">MMS_Swine_AtmosphericDeposition_Equations.VEERG_4_5_1_5__2_TotalNitrogenVolatilisedFromMMS(G43,_xlfn.XLOOKUP($E83,$D$53:$D$58,$E$53:$E$58))</f>
        <v>#N/A</v>
      </c>
      <c r="H83" s="52" t="e" cm="1">
        <f t="array" ref="H83">MMS_Swine_AtmosphericDeposition_Equations.VEERG_4_5_1_5__2_TotalNitrogenVolatilisedFromMMS(H43,_xlfn.XLOOKUP($E83,$D$53:$D$58,$E$53:$E$58))</f>
        <v>#N/A</v>
      </c>
      <c r="I83" s="52" t="e" cm="1">
        <f t="array" ref="I83">MMS_Swine_AtmosphericDeposition_Equations.VEERG_4_5_1_5__2_TotalNitrogenVolatilisedFromMMS(I43,_xlfn.XLOOKUP($E83,$D$53:$D$58,$E$53:$E$58))</f>
        <v>#N/A</v>
      </c>
      <c r="J83" s="2" t="str">
        <f t="shared" si="0"/>
        <v>kg N</v>
      </c>
      <c r="N83" s="57"/>
      <c r="O83" s="57">
        <f>'Input - Poultry'!$D$78</f>
        <v>0</v>
      </c>
      <c r="P83" s="52" t="e" cm="1">
        <f t="array" ref="P83">MMS_Swine_AtmosphericDeposition_Equations.VEERG_4_5_1_5__2_TotalNitrogenVolatilisedFromMMS(P43,_xlfn.XLOOKUP($O83,$D$53:$D$58,$E$53:$E$58))</f>
        <v>#N/A</v>
      </c>
      <c r="Q83" s="52" t="e" cm="1">
        <f t="array" ref="Q83">MMS_Swine_AtmosphericDeposition_Equations.VEERG_4_5_1_5__2_TotalNitrogenVolatilisedFromMMS(Q43,_xlfn.XLOOKUP($O83,$D$53:$D$58,$E$53:$E$58))</f>
        <v>#N/A</v>
      </c>
      <c r="R83" s="52" t="e" cm="1">
        <f t="array" ref="R83">MMS_Swine_AtmosphericDeposition_Equations.VEERG_4_5_1_5__2_TotalNitrogenVolatilisedFromMMS(R43,_xlfn.XLOOKUP($O83,$D$53:$D$58,$E$53:$E$58))</f>
        <v>#N/A</v>
      </c>
      <c r="S83" s="52" t="e" cm="1">
        <f t="array" ref="S83">MMS_Swine_AtmosphericDeposition_Equations.VEERG_4_5_1_5__2_TotalNitrogenVolatilisedFromMMS(S43,_xlfn.XLOOKUP($O83,$D$53:$D$58,$E$53:$E$58))</f>
        <v>#N/A</v>
      </c>
      <c r="T83" s="2" t="str">
        <f t="shared" si="1"/>
        <v>kg N</v>
      </c>
    </row>
    <row r="84" spans="3:21" ht="20.100000000000001" customHeight="1" x14ac:dyDescent="0.25">
      <c r="D84" s="57"/>
      <c r="E84" s="57">
        <f>'Input - Poultry'!$D$79</f>
        <v>0</v>
      </c>
      <c r="F84" s="52" t="e" cm="1">
        <f t="array" ref="F84">MMS_Swine_AtmosphericDeposition_Equations.VEERG_4_5_1_5__2_TotalNitrogenVolatilisedFromMMS(F44,_xlfn.XLOOKUP($E84,$D$53:$D$58,$E$53:$E$58))</f>
        <v>#N/A</v>
      </c>
      <c r="G84" s="52" t="e" cm="1">
        <f t="array" ref="G84">MMS_Swine_AtmosphericDeposition_Equations.VEERG_4_5_1_5__2_TotalNitrogenVolatilisedFromMMS(G44,_xlfn.XLOOKUP($E84,$D$53:$D$58,$E$53:$E$58))</f>
        <v>#N/A</v>
      </c>
      <c r="H84" s="52" t="e" cm="1">
        <f t="array" ref="H84">MMS_Swine_AtmosphericDeposition_Equations.VEERG_4_5_1_5__2_TotalNitrogenVolatilisedFromMMS(H44,_xlfn.XLOOKUP($E84,$D$53:$D$58,$E$53:$E$58))</f>
        <v>#N/A</v>
      </c>
      <c r="I84" s="52" t="e" cm="1">
        <f t="array" ref="I84">MMS_Swine_AtmosphericDeposition_Equations.VEERG_4_5_1_5__2_TotalNitrogenVolatilisedFromMMS(I44,_xlfn.XLOOKUP($E84,$D$53:$D$58,$E$53:$E$58))</f>
        <v>#N/A</v>
      </c>
      <c r="J84" s="2" t="str">
        <f t="shared" si="0"/>
        <v>kg N</v>
      </c>
      <c r="N84" s="57"/>
      <c r="O84" s="57">
        <f>'Input - Poultry'!$D$79</f>
        <v>0</v>
      </c>
      <c r="P84" s="52" t="e" cm="1">
        <f t="array" ref="P84">MMS_Swine_AtmosphericDeposition_Equations.VEERG_4_5_1_5__2_TotalNitrogenVolatilisedFromMMS(P44,_xlfn.XLOOKUP($O84,$D$53:$D$58,$E$53:$E$58))</f>
        <v>#N/A</v>
      </c>
      <c r="Q84" s="52" t="e" cm="1">
        <f t="array" ref="Q84">MMS_Swine_AtmosphericDeposition_Equations.VEERG_4_5_1_5__2_TotalNitrogenVolatilisedFromMMS(Q44,_xlfn.XLOOKUP($O84,$D$53:$D$58,$E$53:$E$58))</f>
        <v>#N/A</v>
      </c>
      <c r="R84" s="52" t="e" cm="1">
        <f t="array" ref="R84">MMS_Swine_AtmosphericDeposition_Equations.VEERG_4_5_1_5__2_TotalNitrogenVolatilisedFromMMS(R44,_xlfn.XLOOKUP($O84,$D$53:$D$58,$E$53:$E$58))</f>
        <v>#N/A</v>
      </c>
      <c r="S84" s="52" t="e" cm="1">
        <f t="array" ref="S84">MMS_Swine_AtmosphericDeposition_Equations.VEERG_4_5_1_5__2_TotalNitrogenVolatilisedFromMMS(S44,_xlfn.XLOOKUP($O84,$D$53:$D$58,$E$53:$E$58))</f>
        <v>#N/A</v>
      </c>
      <c r="T84" s="2" t="str">
        <f t="shared" si="1"/>
        <v>kg N</v>
      </c>
    </row>
    <row r="85" spans="3:21" ht="20.100000000000001" customHeight="1" x14ac:dyDescent="0.25">
      <c r="D85" s="57" t="e">
        <f>'Input - Poultry'!#REF!</f>
        <v>#REF!</v>
      </c>
      <c r="E85" s="57">
        <f>'Input - Poultry'!$D$84</f>
        <v>0</v>
      </c>
      <c r="F85" s="52" t="e" cm="1">
        <f t="array" ref="F85">MMS_Swine_AtmosphericDeposition_Equations.VEERG_4_5_1_5__2_TotalNitrogenVolatilisedFromMMS(F45,_xlfn.XLOOKUP($E85,$D$53:$D$58,$E$53:$E$58))</f>
        <v>#N/A</v>
      </c>
      <c r="G85" s="52" t="e" cm="1">
        <f t="array" ref="G85">MMS_Swine_AtmosphericDeposition_Equations.VEERG_4_5_1_5__2_TotalNitrogenVolatilisedFromMMS(G45,_xlfn.XLOOKUP($E85,$D$53:$D$58,$E$53:$E$58))</f>
        <v>#N/A</v>
      </c>
      <c r="H85" s="52" t="e" cm="1">
        <f t="array" ref="H85">MMS_Swine_AtmosphericDeposition_Equations.VEERG_4_5_1_5__2_TotalNitrogenVolatilisedFromMMS(H45,_xlfn.XLOOKUP($E85,$D$53:$D$58,$E$53:$E$58))</f>
        <v>#N/A</v>
      </c>
      <c r="I85" s="52" t="e" cm="1">
        <f t="array" ref="I85">MMS_Swine_AtmosphericDeposition_Equations.VEERG_4_5_1_5__2_TotalNitrogenVolatilisedFromMMS(I45,_xlfn.XLOOKUP($E85,$D$53:$D$58,$E$53:$E$58))</f>
        <v>#N/A</v>
      </c>
      <c r="J85" s="2" t="str">
        <f t="shared" si="0"/>
        <v>kg N</v>
      </c>
      <c r="N85" s="57" t="e">
        <f>'Input - Poultry'!#REF!</f>
        <v>#REF!</v>
      </c>
      <c r="O85" s="57">
        <f>'Input - Poultry'!$D$84</f>
        <v>0</v>
      </c>
      <c r="P85" s="52" t="e" cm="1">
        <f t="array" ref="P85">MMS_Swine_AtmosphericDeposition_Equations.VEERG_4_5_1_5__2_TotalNitrogenVolatilisedFromMMS(P45,_xlfn.XLOOKUP($O85,$D$53:$D$58,$E$53:$E$58))</f>
        <v>#N/A</v>
      </c>
      <c r="Q85" s="52" t="e" cm="1">
        <f t="array" ref="Q85">MMS_Swine_AtmosphericDeposition_Equations.VEERG_4_5_1_5__2_TotalNitrogenVolatilisedFromMMS(Q45,_xlfn.XLOOKUP($O85,$D$53:$D$58,$E$53:$E$58))</f>
        <v>#N/A</v>
      </c>
      <c r="R85" s="52" t="e" cm="1">
        <f t="array" ref="R85">MMS_Swine_AtmosphericDeposition_Equations.VEERG_4_5_1_5__2_TotalNitrogenVolatilisedFromMMS(R45,_xlfn.XLOOKUP($O85,$D$53:$D$58,$E$53:$E$58))</f>
        <v>#N/A</v>
      </c>
      <c r="S85" s="52" t="e" cm="1">
        <f t="array" ref="S85">MMS_Swine_AtmosphericDeposition_Equations.VEERG_4_5_1_5__2_TotalNitrogenVolatilisedFromMMS(S45,_xlfn.XLOOKUP($O85,$D$53:$D$58,$E$53:$E$58))</f>
        <v>#N/A</v>
      </c>
      <c r="T85" s="2" t="str">
        <f t="shared" si="1"/>
        <v>kg N</v>
      </c>
    </row>
    <row r="86" spans="3:21" ht="20.100000000000001" customHeight="1" x14ac:dyDescent="0.25">
      <c r="D86" s="57"/>
      <c r="E86" s="57">
        <f>'Input - Poultry'!$D$85</f>
        <v>0</v>
      </c>
      <c r="F86" s="52" t="e" cm="1">
        <f t="array" ref="F86">MMS_Swine_AtmosphericDeposition_Equations.VEERG_4_5_1_5__2_TotalNitrogenVolatilisedFromMMS(F46,_xlfn.XLOOKUP($E86,$D$53:$D$58,$E$53:$E$58))</f>
        <v>#N/A</v>
      </c>
      <c r="G86" s="52" t="e" cm="1">
        <f t="array" ref="G86">MMS_Swine_AtmosphericDeposition_Equations.VEERG_4_5_1_5__2_TotalNitrogenVolatilisedFromMMS(G46,_xlfn.XLOOKUP($E86,$D$53:$D$58,$E$53:$E$58))</f>
        <v>#N/A</v>
      </c>
      <c r="H86" s="52" t="e" cm="1">
        <f t="array" ref="H86">MMS_Swine_AtmosphericDeposition_Equations.VEERG_4_5_1_5__2_TotalNitrogenVolatilisedFromMMS(H46,_xlfn.XLOOKUP($E86,$D$53:$D$58,$E$53:$E$58))</f>
        <v>#N/A</v>
      </c>
      <c r="I86" s="52" t="e" cm="1">
        <f t="array" ref="I86">MMS_Swine_AtmosphericDeposition_Equations.VEERG_4_5_1_5__2_TotalNitrogenVolatilisedFromMMS(I46,_xlfn.XLOOKUP($E86,$D$53:$D$58,$E$53:$E$58))</f>
        <v>#N/A</v>
      </c>
      <c r="J86" s="2" t="str">
        <f t="shared" si="0"/>
        <v>kg N</v>
      </c>
      <c r="N86" s="57"/>
      <c r="O86" s="57">
        <f>'Input - Poultry'!$D$85</f>
        <v>0</v>
      </c>
      <c r="P86" s="52" t="e" cm="1">
        <f t="array" ref="P86">MMS_Swine_AtmosphericDeposition_Equations.VEERG_4_5_1_5__2_TotalNitrogenVolatilisedFromMMS(P46,_xlfn.XLOOKUP($O86,$D$53:$D$58,$E$53:$E$58))</f>
        <v>#N/A</v>
      </c>
      <c r="Q86" s="52" t="e" cm="1">
        <f t="array" ref="Q86">MMS_Swine_AtmosphericDeposition_Equations.VEERG_4_5_1_5__2_TotalNitrogenVolatilisedFromMMS(Q46,_xlfn.XLOOKUP($O86,$D$53:$D$58,$E$53:$E$58))</f>
        <v>#N/A</v>
      </c>
      <c r="R86" s="52" t="e" cm="1">
        <f t="array" ref="R86">MMS_Swine_AtmosphericDeposition_Equations.VEERG_4_5_1_5__2_TotalNitrogenVolatilisedFromMMS(R46,_xlfn.XLOOKUP($O86,$D$53:$D$58,$E$53:$E$58))</f>
        <v>#N/A</v>
      </c>
      <c r="S86" s="52" t="e" cm="1">
        <f t="array" ref="S86">MMS_Swine_AtmosphericDeposition_Equations.VEERG_4_5_1_5__2_TotalNitrogenVolatilisedFromMMS(S46,_xlfn.XLOOKUP($O86,$D$53:$D$58,$E$53:$E$58))</f>
        <v>#N/A</v>
      </c>
      <c r="T86" s="2" t="str">
        <f t="shared" si="1"/>
        <v>kg N</v>
      </c>
    </row>
    <row r="87" spans="3:21" ht="20.100000000000001" customHeight="1" x14ac:dyDescent="0.25">
      <c r="D87" s="57"/>
      <c r="E87" s="57">
        <f>'Input - Poultry'!$D$86</f>
        <v>0</v>
      </c>
      <c r="F87" s="52" t="e" cm="1">
        <f t="array" ref="F87">MMS_Swine_AtmosphericDeposition_Equations.VEERG_4_5_1_5__2_TotalNitrogenVolatilisedFromMMS(F47,_xlfn.XLOOKUP($E87,$D$53:$D$58,$E$53:$E$58))</f>
        <v>#N/A</v>
      </c>
      <c r="G87" s="52" t="e" cm="1">
        <f t="array" ref="G87">MMS_Swine_AtmosphericDeposition_Equations.VEERG_4_5_1_5__2_TotalNitrogenVolatilisedFromMMS(G47,_xlfn.XLOOKUP($E87,$D$53:$D$58,$E$53:$E$58))</f>
        <v>#N/A</v>
      </c>
      <c r="H87" s="52" t="e" cm="1">
        <f t="array" ref="H87">MMS_Swine_AtmosphericDeposition_Equations.VEERG_4_5_1_5__2_TotalNitrogenVolatilisedFromMMS(H47,_xlfn.XLOOKUP($E87,$D$53:$D$58,$E$53:$E$58))</f>
        <v>#N/A</v>
      </c>
      <c r="I87" s="52" t="e" cm="1">
        <f t="array" ref="I87">MMS_Swine_AtmosphericDeposition_Equations.VEERG_4_5_1_5__2_TotalNitrogenVolatilisedFromMMS(I47,_xlfn.XLOOKUP($E87,$D$53:$D$58,$E$53:$E$58))</f>
        <v>#N/A</v>
      </c>
      <c r="J87" s="2" t="str">
        <f t="shared" si="0"/>
        <v>kg N</v>
      </c>
      <c r="N87" s="57"/>
      <c r="O87" s="57">
        <f>'Input - Poultry'!$D$86</f>
        <v>0</v>
      </c>
      <c r="P87" s="52" t="e" cm="1">
        <f t="array" ref="P87">MMS_Swine_AtmosphericDeposition_Equations.VEERG_4_5_1_5__2_TotalNitrogenVolatilisedFromMMS(P47,_xlfn.XLOOKUP($O87,$D$53:$D$58,$E$53:$E$58))</f>
        <v>#N/A</v>
      </c>
      <c r="Q87" s="52" t="e" cm="1">
        <f t="array" ref="Q87">MMS_Swine_AtmosphericDeposition_Equations.VEERG_4_5_1_5__2_TotalNitrogenVolatilisedFromMMS(Q47,_xlfn.XLOOKUP($O87,$D$53:$D$58,$E$53:$E$58))</f>
        <v>#N/A</v>
      </c>
      <c r="R87" s="52" t="e" cm="1">
        <f t="array" ref="R87">MMS_Swine_AtmosphericDeposition_Equations.VEERG_4_5_1_5__2_TotalNitrogenVolatilisedFromMMS(R47,_xlfn.XLOOKUP($O87,$D$53:$D$58,$E$53:$E$58))</f>
        <v>#N/A</v>
      </c>
      <c r="S87" s="52" t="e" cm="1">
        <f t="array" ref="S87">MMS_Swine_AtmosphericDeposition_Equations.VEERG_4_5_1_5__2_TotalNitrogenVolatilisedFromMMS(S47,_xlfn.XLOOKUP($O87,$D$53:$D$58,$E$53:$E$58))</f>
        <v>#N/A</v>
      </c>
      <c r="T87" s="2" t="str">
        <f t="shared" si="1"/>
        <v>kg N</v>
      </c>
    </row>
    <row r="88" spans="3:21" ht="20.100000000000001" customHeight="1" x14ac:dyDescent="0.25">
      <c r="D88" s="57"/>
      <c r="E88" s="57">
        <f>'Input - Poultry'!$D$87</f>
        <v>0</v>
      </c>
      <c r="F88" s="52" t="e" cm="1">
        <f t="array" ref="F88">MMS_Swine_AtmosphericDeposition_Equations.VEERG_4_5_1_5__2_TotalNitrogenVolatilisedFromMMS(F48,_xlfn.XLOOKUP($E88,$D$53:$D$58,$E$53:$E$58))</f>
        <v>#N/A</v>
      </c>
      <c r="G88" s="52" t="e" cm="1">
        <f t="array" ref="G88">MMS_Swine_AtmosphericDeposition_Equations.VEERG_4_5_1_5__2_TotalNitrogenVolatilisedFromMMS(G48,_xlfn.XLOOKUP($E88,$D$53:$D$58,$E$53:$E$58))</f>
        <v>#N/A</v>
      </c>
      <c r="H88" s="52" t="e" cm="1">
        <f t="array" ref="H88">MMS_Swine_AtmosphericDeposition_Equations.VEERG_4_5_1_5__2_TotalNitrogenVolatilisedFromMMS(H48,_xlfn.XLOOKUP($E88,$D$53:$D$58,$E$53:$E$58))</f>
        <v>#N/A</v>
      </c>
      <c r="I88" s="52" t="e" cm="1">
        <f t="array" ref="I88">MMS_Swine_AtmosphericDeposition_Equations.VEERG_4_5_1_5__2_TotalNitrogenVolatilisedFromMMS(I48,_xlfn.XLOOKUP($E88,$D$53:$D$58,$E$53:$E$58))</f>
        <v>#N/A</v>
      </c>
      <c r="J88" s="2" t="str">
        <f t="shared" si="0"/>
        <v>kg N</v>
      </c>
      <c r="N88" s="57"/>
      <c r="O88" s="57">
        <f>'Input - Poultry'!$D$87</f>
        <v>0</v>
      </c>
      <c r="P88" s="52" t="e" cm="1">
        <f t="array" ref="P88">MMS_Swine_AtmosphericDeposition_Equations.VEERG_4_5_1_5__2_TotalNitrogenVolatilisedFromMMS(P48,_xlfn.XLOOKUP($O88,$D$53:$D$58,$E$53:$E$58))</f>
        <v>#N/A</v>
      </c>
      <c r="Q88" s="52" t="e" cm="1">
        <f t="array" ref="Q88">MMS_Swine_AtmosphericDeposition_Equations.VEERG_4_5_1_5__2_TotalNitrogenVolatilisedFromMMS(Q48,_xlfn.XLOOKUP($O88,$D$53:$D$58,$E$53:$E$58))</f>
        <v>#N/A</v>
      </c>
      <c r="R88" s="52" t="e" cm="1">
        <f t="array" ref="R88">MMS_Swine_AtmosphericDeposition_Equations.VEERG_4_5_1_5__2_TotalNitrogenVolatilisedFromMMS(R48,_xlfn.XLOOKUP($O88,$D$53:$D$58,$E$53:$E$58))</f>
        <v>#N/A</v>
      </c>
      <c r="S88" s="52" t="e" cm="1">
        <f t="array" ref="S88">MMS_Swine_AtmosphericDeposition_Equations.VEERG_4_5_1_5__2_TotalNitrogenVolatilisedFromMMS(S48,_xlfn.XLOOKUP($O88,$D$53:$D$58,$E$53:$E$58))</f>
        <v>#N/A</v>
      </c>
      <c r="T88" s="2" t="str">
        <f t="shared" si="1"/>
        <v>kg N</v>
      </c>
    </row>
    <row r="89" spans="3:21" ht="20.100000000000001" customHeight="1" x14ac:dyDescent="0.25"/>
    <row r="90" spans="3:21" ht="20.100000000000001" customHeight="1" x14ac:dyDescent="0.25">
      <c r="D90" s="113" t="s">
        <v>174</v>
      </c>
      <c r="E90" s="131" t="e">
        <f>SUM(F63:I88)</f>
        <v>#REF!</v>
      </c>
      <c r="F90" s="132" t="str">
        <f>$E$11</f>
        <v>kg N</v>
      </c>
      <c r="N90" s="113" t="s">
        <v>174</v>
      </c>
      <c r="O90" s="131" t="e">
        <f>SUM(P63:S88)</f>
        <v>#REF!</v>
      </c>
      <c r="P90" s="132" t="str">
        <f>$E$11</f>
        <v>kg N</v>
      </c>
    </row>
    <row r="91" spans="3:21" ht="20.100000000000001" customHeight="1" x14ac:dyDescent="0.25"/>
    <row r="92" spans="3:21" ht="20.100000000000001" customHeight="1" x14ac:dyDescent="0.25"/>
    <row r="93" spans="3:21" ht="20.100000000000001" customHeight="1" x14ac:dyDescent="0.25">
      <c r="C93" s="45"/>
      <c r="D93" s="45"/>
      <c r="E93" s="45"/>
      <c r="F93" s="45"/>
      <c r="G93" s="45"/>
      <c r="H93" s="45"/>
      <c r="I93" s="45"/>
      <c r="J93" s="45"/>
      <c r="K93" s="45"/>
      <c r="N93" s="45"/>
      <c r="O93" s="45"/>
      <c r="P93" s="45"/>
      <c r="Q93" s="45"/>
      <c r="R93" s="45"/>
      <c r="S93" s="45"/>
      <c r="T93" s="45"/>
      <c r="U93" s="45"/>
    </row>
    <row r="94" spans="3:21" ht="20.100000000000001" customHeight="1" x14ac:dyDescent="0.25">
      <c r="D94" s="6" t="str" cm="1">
        <f t="array" ref="D94">MMS_Swine_AtmosphericDeposition_Equations.VEERG_4_5_1_5__1_AnnualAtmosphericDepositionEmissionsFromMMS_Title()</f>
        <v>Annual atmospheric deposition emissions from MMS</v>
      </c>
      <c r="N94" s="6" t="str" cm="1">
        <f t="array" ref="N94">MMS_Swine_AtmosphericDeposition_Equations.VEERG_4_5_1_5__1_AnnualAtmosphericDepositionEmissionsFromMMS_Title()</f>
        <v>Annual atmospheric deposition emissions from MMS</v>
      </c>
    </row>
    <row r="95" spans="3:21" ht="20.100000000000001" customHeight="1" x14ac:dyDescent="0.25">
      <c r="D95" s="5" t="str" cm="1">
        <f t="array" ref="D95">MMS_Swine_AtmosphericDeposition_Equations.VEERG_4_5_1_5__1_AnnualAtmosphericDepositionEmissionsFromMMS_Source()</f>
        <v>VEERG 2026: 4.5.1.1, Equation (1)</v>
      </c>
      <c r="N95" s="5" t="str" cm="1">
        <f t="array" ref="N95">MMS_Swine_AtmosphericDeposition_Equations.VEERG_4_5_1_5__1_AnnualAtmosphericDepositionEmissionsFromMMS_Source()</f>
        <v>VEERG 2026: 4.5.1.1, Equation (1)</v>
      </c>
    </row>
    <row r="96" spans="3:21" ht="20.100000000000001" customHeight="1" x14ac:dyDescent="0.25">
      <c r="D96" s="13" t="s">
        <v>26</v>
      </c>
      <c r="E96" s="13" t="str" cm="1">
        <f t="array" aca="1" ref="E96" ca="1">Common_InputFunctions.Utility_DisplayFunctionName(E109)</f>
        <v>=MMS_Swine_AtmosphericDeposition_Equations.VEERG_4_5_1_5__1_AnnualAtmosphericDepositionEmissionsFromMMS</v>
      </c>
      <c r="N96" s="13" t="s">
        <v>26</v>
      </c>
      <c r="O96" s="13" t="str" cm="1">
        <f t="array" aca="1" ref="O96" ca="1">Common_InputFunctions.Utility_DisplayFunctionName(O109)</f>
        <v>=MMS_Swine_AtmosphericDeposition_Equations.VEERG_4_5_1_5__1_AnnualAtmosphericDepositionEmissionsFromMMS</v>
      </c>
    </row>
    <row r="97" spans="4:17" ht="20.100000000000001" customHeight="1" x14ac:dyDescent="0.25"/>
    <row r="98" spans="4:17" ht="20.100000000000001" customHeight="1" x14ac:dyDescent="0.25"/>
    <row r="99" spans="4:17" ht="20.100000000000001" customHeight="1" x14ac:dyDescent="0.25">
      <c r="D99" s="53" t="s">
        <v>29</v>
      </c>
      <c r="E99" s="1" t="str" cm="1">
        <f t="array" ref="E99">MMS_Swine_AtmosphericDeposition_Equations.VEERG_4_5_1_5__1_AnnualAtmosphericDepositionEmissionsFromMMS_Variable()</f>
        <v>E_N2OMMSad</v>
      </c>
      <c r="N99" s="53" t="s">
        <v>29</v>
      </c>
      <c r="O99" s="1" t="str" cm="1">
        <f t="array" ref="O99">MMS_Swine_AtmosphericDeposition_Equations.VEERG_4_5_1_5__1_AnnualAtmosphericDepositionEmissionsFromMMS_Variable()</f>
        <v>E_N2OMMSad</v>
      </c>
    </row>
    <row r="100" spans="4:17" ht="20.100000000000001" customHeight="1" x14ac:dyDescent="0.25">
      <c r="D100" s="53" t="s">
        <v>19</v>
      </c>
      <c r="E100" s="54" t="str" cm="1">
        <f t="array" ref="E100">MMS_Swine_AtmosphericDeposition_Equations.VEERG_4_5_1_5__1_AnnualAtmosphericDepositionEmissionsFromMMS_Unit()</f>
        <v>t N2O</v>
      </c>
      <c r="N100" s="53" t="s">
        <v>19</v>
      </c>
      <c r="O100" s="54" t="str" cm="1">
        <f t="array" ref="O100">MMS_Swine_AtmosphericDeposition_Equations.VEERG_4_5_1_5__1_AnnualAtmosphericDepositionEmissionsFromMMS_Unit()</f>
        <v>t N2O</v>
      </c>
    </row>
    <row r="101" spans="4:17" ht="20.100000000000001" customHeight="1" x14ac:dyDescent="0.25"/>
    <row r="102" spans="4:17" ht="20.100000000000001" customHeight="1" x14ac:dyDescent="0.25">
      <c r="D102" s="57" t="str" cm="1">
        <f t="array" ref="D102:E107">MMS_Swine_AtmosphericDeposition_Equations.VEERG_4_5_1_5__1_AnnualAtmosphericDepositionEmissionsFromMMS_Arguments()</f>
        <v>MMS_ATMOS</v>
      </c>
      <c r="E102" s="58" t="str">
        <v>mass of N volatilised from MMS (kg N)</v>
      </c>
      <c r="F102" s="59"/>
      <c r="G102" s="57" t="e">
        <f>$E$90</f>
        <v>#REF!</v>
      </c>
      <c r="N102" s="57" t="str" cm="1">
        <f t="array" ref="N102:O107">MMS_Swine_AtmosphericDeposition_Equations.VEERG_4_5_1_5__1_AnnualAtmosphericDepositionEmissionsFromMMS_Arguments()</f>
        <v>MMS_ATMOS</v>
      </c>
      <c r="O102" s="58" t="str">
        <v>mass of N volatilised from MMS (kg N)</v>
      </c>
      <c r="P102" s="59"/>
      <c r="Q102" s="57" t="e">
        <f>$E$90</f>
        <v>#REF!</v>
      </c>
    </row>
    <row r="103" spans="4:17" ht="20.100000000000001" customHeight="1" x14ac:dyDescent="0.25">
      <c r="D103" s="57" t="str">
        <v>EF_N2O</v>
      </c>
      <c r="E103" s="58" t="str">
        <v>nitrous oxide emission factor for atmospheric deposition (kg N2O-N/kg N)</v>
      </c>
      <c r="F103" s="59"/>
      <c r="G103" s="57">
        <f>Common_InputFunctions.Utility_LookupN2OEFFromProdIrrigationRainfall(G105,G106,G107,Table_SourceData_Common_EFN2O[Production system only],Table_SourceData_Common_EFN2O[Irrigation method],Table_SourceData_Common_EFN2O[Rainfall zone],Table_SourceData_Common_EFN2O[EFN2O])</f>
        <v>7.0000000000000001E-3</v>
      </c>
      <c r="N103" s="57" t="str">
        <v>EF_N2O</v>
      </c>
      <c r="O103" s="58" t="str">
        <v>nitrous oxide emission factor for atmospheric deposition (kg N2O-N/kg N)</v>
      </c>
      <c r="P103" s="59"/>
      <c r="Q103" s="57"/>
    </row>
    <row r="104" spans="4:17" ht="20.100000000000001" customHeight="1" x14ac:dyDescent="0.25">
      <c r="D104" s="57" t="str">
        <v>C_N2O</v>
      </c>
      <c r="E104" s="58" t="str">
        <v>factor to convert elemental mass of N2O to molecular mass</v>
      </c>
      <c r="F104" s="59"/>
      <c r="G104" s="57">
        <f>Common_InputFunctions.Utility_LookupValueInTableNumber("N2O",Table_GasToMolecularConversionFactor[Gas],Table_GasToMolecularConversionFactor[Conversion factor combined])</f>
        <v>1.5714285714285714</v>
      </c>
      <c r="N104" s="57" t="str">
        <v>C_N2O</v>
      </c>
      <c r="O104" s="58" t="str">
        <v>factor to convert elemental mass of N2O to molecular mass</v>
      </c>
      <c r="P104" s="59"/>
      <c r="Q104" s="57"/>
    </row>
    <row r="105" spans="4:17" ht="20.100000000000001" customHeight="1" x14ac:dyDescent="0.25">
      <c r="D105" s="57" t="str">
        <v>j</v>
      </c>
      <c r="E105" s="58" t="str">
        <v>production system</v>
      </c>
      <c r="F105" s="59"/>
      <c r="G105" s="57" t="str">
        <f>'Input - Poultry'!$E$59</f>
        <v>Crop</v>
      </c>
      <c r="N105" s="57" t="str">
        <v>j</v>
      </c>
      <c r="O105" s="58" t="str">
        <v>production system</v>
      </c>
      <c r="P105" s="59"/>
      <c r="Q105" s="57"/>
    </row>
    <row r="106" spans="4:17" ht="20.100000000000001" customHeight="1" x14ac:dyDescent="0.25">
      <c r="D106" s="57" t="str">
        <v>ir</v>
      </c>
      <c r="E106" s="58" t="str">
        <v>irrigation method</v>
      </c>
      <c r="F106" s="59"/>
      <c r="G106" s="57" t="str">
        <f>'Input - Poultry'!$E$60</f>
        <v>Sprinkler irrigation</v>
      </c>
      <c r="N106" s="57" t="str">
        <v>ir</v>
      </c>
      <c r="O106" s="58" t="str">
        <v>irrigation method</v>
      </c>
      <c r="P106" s="59"/>
      <c r="Q106" s="57"/>
    </row>
    <row r="107" spans="4:17" ht="20.100000000000001" customHeight="1" x14ac:dyDescent="0.25">
      <c r="D107" s="57" t="str">
        <v>r</v>
      </c>
      <c r="E107" s="58" t="str">
        <v>rainfall region</v>
      </c>
      <c r="F107" s="59"/>
      <c r="G107" s="57" t="str">
        <f>'Input - Site'!$E$30</f>
        <v>High rainfall</v>
      </c>
      <c r="N107" s="57" t="str">
        <v>r</v>
      </c>
      <c r="O107" s="58" t="str">
        <v>rainfall region</v>
      </c>
      <c r="P107" s="59"/>
      <c r="Q107" s="57"/>
    </row>
    <row r="108" spans="4:17" ht="20.100000000000001" customHeight="1" x14ac:dyDescent="0.25"/>
    <row r="109" spans="4:17" ht="20.100000000000001" customHeight="1" x14ac:dyDescent="0.25">
      <c r="D109" s="101" t="s">
        <v>172</v>
      </c>
      <c r="E109" s="102" t="e" cm="1">
        <f t="array" ref="E109">MMS_Swine_AtmosphericDeposition_Equations.VEERG_4_5_1_5__1_AnnualAtmosphericDepositionEmissionsFromMMS(G102,G103,G104)</f>
        <v>#REF!</v>
      </c>
      <c r="F109" s="103" t="str">
        <f>E100</f>
        <v>t N2O</v>
      </c>
      <c r="N109" s="101" t="s">
        <v>172</v>
      </c>
      <c r="O109" s="102" t="e" cm="1">
        <f t="array" ref="O109">MMS_Swine_AtmosphericDeposition_Equations.VEERG_4_5_1_5__1_AnnualAtmosphericDepositionEmissionsFromMMS(Q102,G103,G104)</f>
        <v>#REF!</v>
      </c>
      <c r="P109" s="103" t="str">
        <f>O100</f>
        <v>t N2O</v>
      </c>
    </row>
    <row r="110" spans="4:17" ht="20.100000000000001" customHeight="1" x14ac:dyDescent="0.25"/>
    <row r="111" spans="4:17" ht="20.100000000000001" customHeight="1" x14ac:dyDescent="0.25">
      <c r="D111" s="57" t="str" cm="1">
        <f t="array" ref="D111:E112">Common_Equations.Common_ConvertN2OToCO2e_Arguments()</f>
        <v>EN2O</v>
      </c>
      <c r="E111" s="58" t="str">
        <v>Nitrous oxide emissions (t N2O)</v>
      </c>
      <c r="F111" s="104"/>
      <c r="G111" s="52" t="e">
        <f>E109</f>
        <v>#REF!</v>
      </c>
      <c r="N111" s="57" t="str" cm="1">
        <f t="array" ref="N111:O112">Common_Equations.Common_ConvertN2OToCO2e_Arguments()</f>
        <v>EN2O</v>
      </c>
      <c r="O111" s="58" t="str">
        <v>Nitrous oxide emissions (t N2O)</v>
      </c>
      <c r="P111" s="104"/>
      <c r="Q111" s="52" t="e">
        <f>O109</f>
        <v>#REF!</v>
      </c>
    </row>
    <row r="112" spans="4:17" ht="20.100000000000001" customHeight="1" x14ac:dyDescent="0.25">
      <c r="D112" s="57" t="str">
        <v>GWPN2O</v>
      </c>
      <c r="E112" s="58" t="str">
        <v>Global warming potential for nitrous oxide (t CO2-e / t N2O)</v>
      </c>
      <c r="F112" s="104"/>
      <c r="G112" s="52">
        <f>Common_InputFunctions.Utility_LookupValueInTableNumber("N2O",[2]!Table_GWPData[Gas],[2]!Table_GWPData[CO2-e factor])</f>
        <v>265</v>
      </c>
      <c r="N112" s="57" t="str">
        <v>GWPN2O</v>
      </c>
      <c r="O112" s="58" t="str">
        <v>Global warming potential for nitrous oxide (t CO2-e / t N2O)</v>
      </c>
      <c r="P112" s="104"/>
      <c r="Q112" s="52">
        <f>Common_InputFunctions.Utility_LookupValueInTableNumber("N2O",[2]!Table_GWPData[Gas],[2]!Table_GWPData[CO2-e factor])</f>
        <v>265</v>
      </c>
    </row>
    <row r="113" spans="4:16" ht="20.100000000000001" customHeight="1" x14ac:dyDescent="0.25"/>
    <row r="114" spans="4:16" ht="20.100000000000001" customHeight="1" x14ac:dyDescent="0.25">
      <c r="D114" s="45" t="s">
        <v>100</v>
      </c>
      <c r="E114" s="45" t="e" cm="1">
        <f t="array" ref="E114">Common_Equations.Common_ConvertN2OToCO2e(G111,G112)</f>
        <v>#REF!</v>
      </c>
      <c r="F114" s="105" t="str" cm="1">
        <f t="array" ref="F114">Common_Equations.Common_ConvertN2OToCO2e_Unit()</f>
        <v>t CO2e</v>
      </c>
      <c r="N114" s="45" t="s">
        <v>100</v>
      </c>
      <c r="O114" s="45" t="e" cm="1">
        <f t="array" ref="O114">Common_Equations.Common_ConvertN2OToCO2e(Q111,Q112)</f>
        <v>#REF!</v>
      </c>
      <c r="P114" s="105" t="str" cm="1">
        <f t="array" ref="P114">Common_Equations.Common_ConvertN2OToCO2e_Unit()</f>
        <v>t CO2e</v>
      </c>
    </row>
    <row r="115" spans="4:16" ht="20.100000000000001" customHeight="1" x14ac:dyDescent="0.25"/>
    <row r="116" spans="4:16" ht="20.100000000000001" customHeight="1" x14ac:dyDescent="0.25"/>
    <row r="117" spans="4:16" ht="20.100000000000001" customHeight="1" x14ac:dyDescent="0.25"/>
    <row r="118" spans="4:16" ht="20.100000000000001" customHeight="1" x14ac:dyDescent="0.25"/>
    <row r="119" spans="4:16" ht="20.100000000000001" customHeight="1" x14ac:dyDescent="0.25"/>
    <row r="120" spans="4:16" ht="20.100000000000001" customHeight="1" x14ac:dyDescent="0.25"/>
    <row r="121" spans="4:16" ht="20.100000000000001" customHeight="1" x14ac:dyDescent="0.25"/>
    <row r="122" spans="4:16" ht="20.100000000000001" customHeight="1" x14ac:dyDescent="0.25"/>
    <row r="123" spans="4:16" ht="20.100000000000001" customHeight="1" x14ac:dyDescent="0.25"/>
    <row r="124" spans="4:16" ht="20.100000000000001" customHeight="1" x14ac:dyDescent="0.25"/>
    <row r="125" spans="4:16" ht="20.100000000000001" customHeight="1" x14ac:dyDescent="0.25"/>
    <row r="126" spans="4:16" ht="20.100000000000001" customHeight="1" x14ac:dyDescent="0.25"/>
    <row r="127" spans="4:16" ht="20.100000000000001" customHeight="1" x14ac:dyDescent="0.25"/>
    <row r="128" spans="4:16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8BED-F848-481C-B828-A6A4B3B45E3C}">
  <dimension ref="A1:S165"/>
  <sheetViews>
    <sheetView showGridLines="0" workbookViewId="0">
      <selection activeCell="A13" sqref="A1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9" width="30.7109375" style="1" customWidth="1"/>
    <col min="10" max="10" width="4.7109375" style="1" customWidth="1"/>
    <col min="11" max="11" width="4.7109375" customWidth="1"/>
    <col min="12" max="12" width="4.7109375" style="1" customWidth="1"/>
    <col min="13" max="18" width="30.7109375" style="1" customWidth="1"/>
    <col min="19" max="19" width="4.7109375" style="1" customWidth="1"/>
  </cols>
  <sheetData>
    <row r="1" spans="1:19" s="8" customFormat="1" ht="30" customHeight="1" x14ac:dyDescent="0.35">
      <c r="A1" s="8" t="e" vm="1">
        <v>#VALUE!</v>
      </c>
      <c r="C1" s="8" t="s">
        <v>190</v>
      </c>
      <c r="K1"/>
    </row>
    <row r="2" spans="1:19" s="9" customFormat="1" ht="20.100000000000001" customHeight="1" x14ac:dyDescent="0.25">
      <c r="K2"/>
    </row>
    <row r="3" spans="1:19" ht="20.100000000000001" customHeight="1" x14ac:dyDescent="0.25">
      <c r="A3" s="17" t="str">
        <f>HYPERLINK("#'Home'!A1", "Home")</f>
        <v>Home</v>
      </c>
      <c r="C3" s="4"/>
      <c r="D3" s="4" t="s">
        <v>101</v>
      </c>
      <c r="E3" s="4"/>
      <c r="F3" s="4"/>
      <c r="G3" s="4"/>
      <c r="H3" s="4"/>
      <c r="I3" s="4"/>
      <c r="J3" s="4"/>
      <c r="L3" s="4"/>
      <c r="M3" s="4" t="s">
        <v>102</v>
      </c>
      <c r="N3" s="4"/>
      <c r="O3" s="4"/>
      <c r="P3" s="4"/>
      <c r="Q3" s="4"/>
      <c r="R3" s="4"/>
      <c r="S3" s="4"/>
    </row>
    <row r="4" spans="1:19" ht="20.100000000000001" customHeight="1" x14ac:dyDescent="0.25">
      <c r="A4" s="17" t="str">
        <f>HYPERLINK("#'Results'!A1", "Results")</f>
        <v>Results</v>
      </c>
    </row>
    <row r="5" spans="1:19" ht="20.100000000000001" customHeight="1" x14ac:dyDescent="0.25">
      <c r="A5" s="16"/>
      <c r="D5" s="6" t="str" cm="1">
        <f t="array" ref="D5">MMS_Swine_LeachingAndRunoff_Equations.VEERG_4_5_1_7__2_MassOfNitrogenLostToLeachingAndRunoffFromDrylotMMS_Title()</f>
        <v>Mass of nitrogen lost to leaching and runoff from drylot MMS</v>
      </c>
    </row>
    <row r="6" spans="1:19" ht="20.100000000000001" customHeight="1" x14ac:dyDescent="0.25">
      <c r="A6" s="20" t="s">
        <v>3</v>
      </c>
      <c r="D6" s="5" t="str" cm="1">
        <f t="array" ref="D6">MMS_Swine_LeachingAndRunoff_Equations.VEERG_4_5_1_7__2_MassOfNitrogenLostToLeachingAndRunoffFromDrylotMMS_Source()</f>
        <v>VEERG 2026: 4.5.1.7, Equation (2)</v>
      </c>
    </row>
    <row r="7" spans="1:19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Common_InputFunctions.Utility_DisplayFunctionName($E$28)</f>
        <v>=MMS_Swine_LeachingAndRunoff_Equations.VEERG_4_5_1_7__2_MassOfNitrogenLostToLeachingAndRunoffFromDrylotMMS</v>
      </c>
    </row>
    <row r="8" spans="1:19" ht="20.100000000000001" customHeight="1" x14ac:dyDescent="0.25">
      <c r="A8" s="17" t="str">
        <f>HYPERLINK("#'Input - Swine'!A1", "Swine")</f>
        <v>Swine</v>
      </c>
    </row>
    <row r="9" spans="1:19" ht="20.100000000000001" customHeight="1" x14ac:dyDescent="0.25">
      <c r="A9" s="17"/>
    </row>
    <row r="10" spans="1:19" ht="20.100000000000001" customHeight="1" x14ac:dyDescent="0.25">
      <c r="A10" s="19" t="s">
        <v>76</v>
      </c>
      <c r="D10" s="53" t="s">
        <v>29</v>
      </c>
      <c r="E10" s="1" t="str" cm="1">
        <f t="array" ref="E10">MMS_Swine_LeachingAndRunoff_Equations.VEERG_4_5_1_7__2_MassOfNitrogenLostToLeachingAndRunoffFromDrylotMMS_Variable()</f>
        <v>MNLeach_jm5</v>
      </c>
      <c r="F10" s="107" t="s">
        <v>176</v>
      </c>
    </row>
    <row r="11" spans="1:19" ht="20.100000000000001" customHeight="1" x14ac:dyDescent="0.25">
      <c r="A11" s="17" t="str">
        <f>HYPERLINK("#'4.5.1.1-2 Methane'!A1", "4.5.1.1-2 Methane")</f>
        <v>4.5.1.1-2 Methane</v>
      </c>
      <c r="D11" s="53" t="s">
        <v>19</v>
      </c>
      <c r="E11" s="54" t="str" cm="1">
        <f t="array" ref="E11">MMS_Swine_LeachingAndRunoff_Equations.VEERG_4_5_1_7__2_MassOfNitrogenLostToLeachingAndRunoffFromDrylotMMS_Unit()</f>
        <v>kg N</v>
      </c>
      <c r="F11" s="107" t="s">
        <v>182</v>
      </c>
    </row>
    <row r="12" spans="1:19" ht="20.100000000000001" customHeight="1" x14ac:dyDescent="0.25">
      <c r="A12" s="17" t="str">
        <f>HYPERLINK("#'4.5.1.3-4 Direct N20'!A1", "4.5.1.3-4 Direct N2O")</f>
        <v>4.5.1.3-4 Direct N2O</v>
      </c>
    </row>
    <row r="13" spans="1:19" ht="20.100000000000001" customHeight="1" x14ac:dyDescent="0.25">
      <c r="A13" s="17" t="str">
        <f>HYPERLINK("#'4.5.1.5-6 Atmos Dep'!A1", "4.5.1.5-6 Soil atm. deposition")</f>
        <v>4.5.1.5-6 Soil atm. deposition</v>
      </c>
      <c r="D13" s="108" t="str" cm="1">
        <f t="array" ref="D13:E18">MMS_Swine_LeachingAndRunoff_Equations.VEERG_4_5_1_7__2_MassOfNitrogenLostToLeachingAndRunoffFromDrylotMMS_Arguments()</f>
        <v>MN_jm5T1</v>
      </c>
      <c r="E13" s="110" t="str">
        <v>nitrogen in treatment stage 1 drylot MMS (kg N)</v>
      </c>
      <c r="F13" s="109"/>
      <c r="G13" s="52" t="str">
        <f>"See " &amp; D20</f>
        <v>See M1_Table_MN_j_m-5_T-1</v>
      </c>
    </row>
    <row r="14" spans="1:19" ht="20.100000000000001" customHeight="1" x14ac:dyDescent="0.25">
      <c r="A14" s="136" t="str">
        <f>HYPERLINK("#'4.5.1.7-8 Leaching and runoff'!A1", "4.5.1.7-8 Leaching &amp; runoff")</f>
        <v>4.5.1.7-8 Leaching &amp; runoff</v>
      </c>
      <c r="D14" s="108" t="str">
        <v>FracWET</v>
      </c>
      <c r="E14" s="110" t="str">
        <v>fraction of N available for leaching and runoff</v>
      </c>
      <c r="F14" s="109"/>
      <c r="G14" s="52">
        <f>Common_InputFunctions.CommonCropping_GetFracWET(G16,G18,Table_SourceData_FracWET[Is in leaching zone],Table_SourceData_FracWET[FracWET],Table_SourceData_FracWETIrrigation[Irrigation type i],Table_SourceData_FracWETIrrigation[FracWET])</f>
        <v>1</v>
      </c>
    </row>
    <row r="15" spans="1:19" ht="20.100000000000001" customHeight="1" x14ac:dyDescent="0.25">
      <c r="A15" s="17" t="str">
        <f>HYPERLINK("#'4.5.1.9 Manure applied to soils'!A1", "4.5.1.9 Manure applied to soils")</f>
        <v>4.5.1.9 Manure applied to soils</v>
      </c>
      <c r="D15" s="108" t="str">
        <v>FracLEACH_MS</v>
      </c>
      <c r="E15" s="110" t="str">
        <v>fraction of N lost through leaching and runoff</v>
      </c>
      <c r="F15" s="109"/>
      <c r="G15" s="52">
        <f>'Constants - Poultry'!$E$17</f>
        <v>0</v>
      </c>
    </row>
    <row r="16" spans="1:19" ht="20.100000000000001" customHeight="1" x14ac:dyDescent="0.25">
      <c r="D16" s="108" t="str">
        <v>z</v>
      </c>
      <c r="E16" s="110" t="str">
        <v>location in leaching zone</v>
      </c>
      <c r="F16" s="109"/>
      <c r="G16" s="108" t="str">
        <f>'Input - Site'!$E$23</f>
        <v>NO - Not in leaching zone</v>
      </c>
    </row>
    <row r="17" spans="1:19" ht="20.100000000000001" customHeight="1" x14ac:dyDescent="0.25">
      <c r="A17" s="18" t="s">
        <v>4</v>
      </c>
      <c r="D17" s="108" t="str">
        <v>j</v>
      </c>
      <c r="E17" s="110" t="str">
        <v>production system</v>
      </c>
      <c r="F17" s="109"/>
      <c r="G17" s="108" t="str">
        <f>'Input - Poultry'!$E$59</f>
        <v>Crop</v>
      </c>
    </row>
    <row r="18" spans="1:19" ht="20.100000000000001" customHeight="1" x14ac:dyDescent="0.25">
      <c r="A18" s="17" t="str">
        <f>HYPERLINK("#'Constants - Swine'!A1", "Constants - Swine")</f>
        <v>Constants - Swine</v>
      </c>
      <c r="D18" s="108" t="str">
        <v>ir</v>
      </c>
      <c r="E18" s="110" t="str">
        <v>irrigation method</v>
      </c>
      <c r="F18" s="109"/>
      <c r="G18" s="108" t="str">
        <f>'Input - Poultry'!$E$60</f>
        <v>Sprinkler irrigation</v>
      </c>
    </row>
    <row r="19" spans="1:19" ht="20.100000000000001" customHeight="1" x14ac:dyDescent="0.25">
      <c r="A19" s="17" t="str">
        <f>HYPERLINK("#'Constants - Livestock'!A1", "Constants - Livestock")</f>
        <v>Constants - Livestock</v>
      </c>
    </row>
    <row r="20" spans="1:19" ht="20.100000000000001" customHeight="1" x14ac:dyDescent="0.25">
      <c r="A20" s="17" t="str">
        <f>HYPERLINK("#'Constants - Common'!A1", "Constants - Common")</f>
        <v>Constants - Common</v>
      </c>
      <c r="D20" s="99" t="s">
        <v>177</v>
      </c>
      <c r="M20" s="99" t="s">
        <v>180</v>
      </c>
    </row>
    <row r="21" spans="1:19" ht="20.100000000000001" customHeight="1" x14ac:dyDescent="0.25">
      <c r="A21" s="17" t="str">
        <f>HYPERLINK("#'Acknowledgements'!A1", "Acknowledgements")</f>
        <v>Acknowledgements</v>
      </c>
      <c r="D21" s="98" t="s">
        <v>179</v>
      </c>
      <c r="M21" s="98" t="s">
        <v>181</v>
      </c>
    </row>
    <row r="22" spans="1:19" ht="20.100000000000001" customHeight="1" x14ac:dyDescent="0.25">
      <c r="D22" s="51" t="s">
        <v>139</v>
      </c>
      <c r="E22" s="51" t="s">
        <v>134</v>
      </c>
      <c r="F22" s="51" t="s">
        <v>135</v>
      </c>
      <c r="G22" s="51" t="s">
        <v>136</v>
      </c>
      <c r="H22" s="51" t="s">
        <v>161</v>
      </c>
      <c r="M22" s="51" t="s">
        <v>139</v>
      </c>
      <c r="N22" s="51" t="s">
        <v>134</v>
      </c>
      <c r="O22" s="51" t="s">
        <v>135</v>
      </c>
      <c r="P22" s="51" t="s">
        <v>136</v>
      </c>
      <c r="Q22" s="51" t="s">
        <v>161</v>
      </c>
    </row>
    <row r="23" spans="1:19" ht="20.100000000000001" customHeight="1" x14ac:dyDescent="0.25">
      <c r="A23" s="17"/>
      <c r="D23" s="52" t="str">
        <f>'Input - Poultry'!$D$31</f>
        <v>Manure stored in house</v>
      </c>
      <c r="E23" s="52">
        <f>'4.6.1.3-4 Direct N20'!E119</f>
        <v>0</v>
      </c>
      <c r="F23" s="52">
        <f>'4.6.1.3-4 Direct N20'!F119</f>
        <v>0</v>
      </c>
      <c r="G23" s="52">
        <f>'4.6.1.3-4 Direct N20'!G119</f>
        <v>0</v>
      </c>
      <c r="H23" s="52">
        <f>'4.6.1.3-4 Direct N20'!H119</f>
        <v>0</v>
      </c>
      <c r="I23" s="2" t="s">
        <v>178</v>
      </c>
      <c r="M23" s="52" t="str">
        <f>'Input - Poultry'!$D$31</f>
        <v>Manure stored in house</v>
      </c>
      <c r="N23" s="52">
        <f>'4.6.1.3-4 Direct N20'!O119</f>
        <v>0</v>
      </c>
      <c r="O23" s="52">
        <f>'4.6.1.3-4 Direct N20'!P119</f>
        <v>0</v>
      </c>
      <c r="P23" s="52">
        <f>'4.6.1.3-4 Direct N20'!Q119</f>
        <v>0</v>
      </c>
      <c r="Q23" s="52">
        <f>'4.6.1.3-4 Direct N20'!R119</f>
        <v>0</v>
      </c>
      <c r="R23" s="2" t="s">
        <v>178</v>
      </c>
    </row>
    <row r="24" spans="1:19" ht="20.100000000000001" customHeight="1" x14ac:dyDescent="0.25"/>
    <row r="25" spans="1:19" ht="20.100000000000001" customHeight="1" x14ac:dyDescent="0.25">
      <c r="D25" s="99" t="s">
        <v>183</v>
      </c>
      <c r="M25" s="99" t="s">
        <v>183</v>
      </c>
    </row>
    <row r="26" spans="1:19" ht="20.100000000000001" customHeight="1" x14ac:dyDescent="0.25">
      <c r="D26" s="98" t="s">
        <v>184</v>
      </c>
      <c r="M26" s="98" t="s">
        <v>184</v>
      </c>
    </row>
    <row r="27" spans="1:19" ht="20.100000000000001" customHeight="1" x14ac:dyDescent="0.25">
      <c r="D27" s="51" t="s">
        <v>139</v>
      </c>
      <c r="E27" s="51" t="s">
        <v>134</v>
      </c>
      <c r="F27" s="51" t="s">
        <v>135</v>
      </c>
      <c r="G27" s="51" t="s">
        <v>136</v>
      </c>
      <c r="H27" s="51" t="s">
        <v>161</v>
      </c>
      <c r="M27" s="51" t="s">
        <v>139</v>
      </c>
      <c r="N27" s="51" t="s">
        <v>134</v>
      </c>
      <c r="O27" s="51" t="s">
        <v>135</v>
      </c>
      <c r="P27" s="51" t="s">
        <v>136</v>
      </c>
      <c r="Q27" s="51" t="s">
        <v>161</v>
      </c>
    </row>
    <row r="28" spans="1:19" ht="20.100000000000001" customHeight="1" x14ac:dyDescent="0.25">
      <c r="D28" s="52" t="str">
        <f>'Input - Poultry'!$D$31</f>
        <v>Manure stored in house</v>
      </c>
      <c r="E28" s="52" cm="1">
        <f t="array" ref="E28">MMS_Swine_LeachingAndRunoff_Equations.VEERG_4_5_1_7__2_MassOfNitrogenLostToLeachingAndRunoffFromDrylotMMS(E23,$G$14,$G$15)</f>
        <v>0</v>
      </c>
      <c r="F28" s="52" cm="1">
        <f t="array" ref="F28">MMS_Swine_LeachingAndRunoff_Equations.VEERG_4_5_1_7__2_MassOfNitrogenLostToLeachingAndRunoffFromDrylotMMS(F23,$G$14,$G$15)</f>
        <v>0</v>
      </c>
      <c r="G28" s="52" cm="1">
        <f t="array" ref="G28">MMS_Swine_LeachingAndRunoff_Equations.VEERG_4_5_1_7__2_MassOfNitrogenLostToLeachingAndRunoffFromDrylotMMS(G23,$G$14,$G$15)</f>
        <v>0</v>
      </c>
      <c r="H28" s="52" cm="1">
        <f t="array" ref="H28">MMS_Swine_LeachingAndRunoff_Equations.VEERG_4_5_1_7__2_MassOfNitrogenLostToLeachingAndRunoffFromDrylotMMS(H23,$G$14,$G$15)</f>
        <v>0</v>
      </c>
      <c r="I28" s="2" t="str">
        <f>$E$11</f>
        <v>kg N</v>
      </c>
      <c r="M28" s="52" t="str">
        <f>'Input - Poultry'!$D$31</f>
        <v>Manure stored in house</v>
      </c>
      <c r="N28" s="52" cm="1">
        <f t="array" ref="N28">MMS_Swine_LeachingAndRunoff_Equations.VEERG_4_5_1_7__2_MassOfNitrogenLostToLeachingAndRunoffFromDrylotMMS(N23,$G$14,$G$15)</f>
        <v>0</v>
      </c>
      <c r="O28" s="52" cm="1">
        <f t="array" ref="O28">MMS_Swine_LeachingAndRunoff_Equations.VEERG_4_5_1_7__2_MassOfNitrogenLostToLeachingAndRunoffFromDrylotMMS(O23,$G$14,$G$15)</f>
        <v>0</v>
      </c>
      <c r="P28" s="52" cm="1">
        <f t="array" ref="P28">MMS_Swine_LeachingAndRunoff_Equations.VEERG_4_5_1_7__2_MassOfNitrogenLostToLeachingAndRunoffFromDrylotMMS(P23,$G$14,$G$15)</f>
        <v>0</v>
      </c>
      <c r="Q28" s="52" cm="1">
        <f t="array" ref="Q28">MMS_Swine_LeachingAndRunoff_Equations.VEERG_4_5_1_7__2_MassOfNitrogenLostToLeachingAndRunoffFromDrylotMMS(Q23,$G$14,$G$15)</f>
        <v>0</v>
      </c>
      <c r="R28" s="2" t="str">
        <f>$E$11</f>
        <v>kg N</v>
      </c>
    </row>
    <row r="29" spans="1:19" ht="20.100000000000001" customHeight="1" x14ac:dyDescent="0.25"/>
    <row r="30" spans="1:19" ht="20.100000000000001" customHeight="1" x14ac:dyDescent="0.25"/>
    <row r="31" spans="1:19" ht="20.100000000000001" customHeight="1" x14ac:dyDescent="0.25">
      <c r="C31" s="45"/>
      <c r="D31" s="45"/>
      <c r="E31" s="45"/>
      <c r="F31" s="45"/>
      <c r="G31" s="45"/>
      <c r="H31" s="45"/>
      <c r="I31" s="45"/>
      <c r="J31" s="45"/>
      <c r="L31" s="45"/>
      <c r="M31" s="45"/>
      <c r="N31" s="45"/>
      <c r="O31" s="45"/>
      <c r="P31" s="45"/>
      <c r="Q31" s="45"/>
      <c r="R31" s="45"/>
      <c r="S31" s="45"/>
    </row>
    <row r="32" spans="1:19" ht="20.100000000000001" customHeight="1" x14ac:dyDescent="0.25">
      <c r="D32" s="6" t="str" cm="1">
        <f t="array" ref="D32">MMS_Swine_LeachingAndRunoff_Equations.VEERG_4_5_1_7__1_AnnualEmissionsFromLeachingAndRunoffFromMMS_Title()</f>
        <v>Annual emissions from leaching and runoff from each MMS</v>
      </c>
    </row>
    <row r="33" spans="4:18" ht="20.100000000000001" customHeight="1" x14ac:dyDescent="0.25">
      <c r="D33" s="5" t="str" cm="1">
        <f t="array" ref="D33">MMS_Swine_LeachingAndRunoff_Equations.VEERG_4_5_1_7__1_AnnualEmissionsFromLeachingAndRunoffFromMMS_Source()</f>
        <v>VEERG 2026: 4.5.1.7, Equation (1)</v>
      </c>
    </row>
    <row r="34" spans="4:18" ht="20.100000000000001" customHeight="1" x14ac:dyDescent="0.25">
      <c r="D34" s="13" t="s">
        <v>26</v>
      </c>
      <c r="E34" s="13" t="str" cm="1">
        <f t="array" aca="1" ref="E34" ca="1">Common_InputFunctions.Utility_DisplayFunctionName($E$47)</f>
        <v>=MMS_Swine_LeachingAndRunoff_Equations.VEERG_4_5_1_7__1_AnnualEmissionsFromLeachingAndRunoffFromMMS</v>
      </c>
    </row>
    <row r="35" spans="4:18" ht="20.100000000000001" customHeight="1" x14ac:dyDescent="0.25"/>
    <row r="36" spans="4:18" ht="20.100000000000001" customHeight="1" x14ac:dyDescent="0.25"/>
    <row r="37" spans="4:18" ht="20.100000000000001" customHeight="1" x14ac:dyDescent="0.25">
      <c r="D37" s="53" t="s">
        <v>29</v>
      </c>
      <c r="E37" s="1" t="str" cm="1">
        <f t="array" ref="E37">MMS_Swine_LeachingAndRunoff_Equations.VEERG_4_5_1_7__1_AnnualEmissionsFromLeachingAndRunoffFromMMS_Variable()</f>
        <v>E_N2Oleach</v>
      </c>
    </row>
    <row r="38" spans="4:18" ht="20.100000000000001" customHeight="1" x14ac:dyDescent="0.25">
      <c r="D38" s="53" t="s">
        <v>19</v>
      </c>
      <c r="E38" s="54" t="str" cm="1">
        <f t="array" ref="E38">MMS_Swine_LeachingAndRunoff_Equations.VEERG_4_5_1_7__1_AnnualEmissionsFromLeachingAndRunoffFromMMS_Unit()</f>
        <v>t N2O</v>
      </c>
    </row>
    <row r="39" spans="4:18" ht="20.100000000000001" customHeight="1" x14ac:dyDescent="0.25"/>
    <row r="40" spans="4:18" ht="20.100000000000001" customHeight="1" x14ac:dyDescent="0.25">
      <c r="D40" s="57" t="str" cm="1">
        <f t="array" ref="D40:E42">MMS_Swine_LeachingAndRunoff_Equations.VEERG_4_5_1_7__1_AnnualEmissionsFromLeachingAndRunoffFromMMS_Arguments()</f>
        <v>MNLeach_jm5</v>
      </c>
      <c r="E40" s="58" t="str">
        <v>mass of N lost through leaching and runoff from drylot MMS (kg N)</v>
      </c>
      <c r="F40" s="59"/>
      <c r="G40" s="57" t="str">
        <f>"See " &amp; D25</f>
        <v>See M1_Table_MN_leach_j_m-5</v>
      </c>
    </row>
    <row r="41" spans="4:18" ht="20.100000000000001" customHeight="1" x14ac:dyDescent="0.25">
      <c r="D41" s="57" t="str">
        <v>EF_leach</v>
      </c>
      <c r="E41" s="58" t="str">
        <v>emission factor for leaching and runoff (kg N2O-N/kg N)</v>
      </c>
      <c r="F41" s="59"/>
      <c r="G41" s="57">
        <f>'Constants - Common'!$E$170</f>
        <v>1.0999999999999999E-2</v>
      </c>
    </row>
    <row r="42" spans="4:18" ht="20.100000000000001" customHeight="1" x14ac:dyDescent="0.25">
      <c r="D42" s="57" t="str">
        <v>C_N2O</v>
      </c>
      <c r="E42" s="58" t="str">
        <v>factor to convert elemental mass of N2O to molecular mass</v>
      </c>
      <c r="F42" s="59"/>
      <c r="G42" s="57">
        <f>Common_InputFunctions.Utility_LookupValueInTableNumber("N2O",Table_GasToMolecularConversionFactor[Gas],Table_GasToMolecularConversionFactor[Conversion factor combined])</f>
        <v>1.5714285714285714</v>
      </c>
    </row>
    <row r="43" spans="4:18" ht="20.100000000000001" customHeight="1" x14ac:dyDescent="0.25"/>
    <row r="44" spans="4:18" ht="20.100000000000001" customHeight="1" x14ac:dyDescent="0.25">
      <c r="D44" s="99" t="s">
        <v>185</v>
      </c>
      <c r="M44" s="99" t="s">
        <v>188</v>
      </c>
    </row>
    <row r="45" spans="4:18" ht="20.100000000000001" customHeight="1" x14ac:dyDescent="0.25">
      <c r="D45" s="98" t="s">
        <v>186</v>
      </c>
      <c r="M45" s="98" t="s">
        <v>189</v>
      </c>
    </row>
    <row r="46" spans="4:18" ht="20.100000000000001" customHeight="1" x14ac:dyDescent="0.25">
      <c r="D46" s="51" t="s">
        <v>139</v>
      </c>
      <c r="E46" s="51" t="s">
        <v>134</v>
      </c>
      <c r="F46" s="51" t="s">
        <v>135</v>
      </c>
      <c r="G46" s="51" t="s">
        <v>136</v>
      </c>
      <c r="H46" s="51" t="s">
        <v>161</v>
      </c>
      <c r="M46" s="51" t="s">
        <v>139</v>
      </c>
      <c r="N46" s="51" t="s">
        <v>134</v>
      </c>
      <c r="O46" s="51" t="s">
        <v>135</v>
      </c>
      <c r="P46" s="51" t="s">
        <v>136</v>
      </c>
      <c r="Q46" s="51" t="s">
        <v>161</v>
      </c>
    </row>
    <row r="47" spans="4:18" ht="20.100000000000001" customHeight="1" x14ac:dyDescent="0.25">
      <c r="D47" s="52" t="str">
        <f>'Input - Poultry'!$D$31</f>
        <v>Manure stored in house</v>
      </c>
      <c r="E47" s="52" cm="1">
        <f t="array" ref="E47">MMS_Swine_LeachingAndRunoff_Equations.VEERG_4_5_1_7__1_AnnualEmissionsFromLeachingAndRunoffFromMMS(E28,$G$41,$G$42)</f>
        <v>0</v>
      </c>
      <c r="F47" s="52" cm="1">
        <f t="array" ref="F47">MMS_Swine_LeachingAndRunoff_Equations.VEERG_4_5_1_7__1_AnnualEmissionsFromLeachingAndRunoffFromMMS(F28,$G$41,$G$42)</f>
        <v>0</v>
      </c>
      <c r="G47" s="52" cm="1">
        <f t="array" ref="G47">MMS_Swine_LeachingAndRunoff_Equations.VEERG_4_5_1_7__1_AnnualEmissionsFromLeachingAndRunoffFromMMS(G28,$G$41,$G$42)</f>
        <v>0</v>
      </c>
      <c r="H47" s="52" cm="1">
        <f t="array" ref="H47">MMS_Swine_LeachingAndRunoff_Equations.VEERG_4_5_1_7__1_AnnualEmissionsFromLeachingAndRunoffFromMMS(H28,$G$41,$G$42)</f>
        <v>0</v>
      </c>
      <c r="I47" s="2" t="str">
        <f>$E$38</f>
        <v>t N2O</v>
      </c>
      <c r="M47" s="52" t="str">
        <f>'Input - Poultry'!$D$31</f>
        <v>Manure stored in house</v>
      </c>
      <c r="N47" s="52" cm="1">
        <f t="array" ref="N47">MMS_Swine_LeachingAndRunoff_Equations.VEERG_4_5_1_7__1_AnnualEmissionsFromLeachingAndRunoffFromMMS(N28,$G$41,$G$42)</f>
        <v>0</v>
      </c>
      <c r="O47" s="52" cm="1">
        <f t="array" ref="O47">MMS_Swine_LeachingAndRunoff_Equations.VEERG_4_5_1_7__1_AnnualEmissionsFromLeachingAndRunoffFromMMS(O28,$G$41,$G$42)</f>
        <v>0</v>
      </c>
      <c r="P47" s="52" cm="1">
        <f t="array" ref="P47">MMS_Swine_LeachingAndRunoff_Equations.VEERG_4_5_1_7__1_AnnualEmissionsFromLeachingAndRunoffFromMMS(P28,$G$41,$G$42)</f>
        <v>0</v>
      </c>
      <c r="Q47" s="52" cm="1">
        <f t="array" ref="Q47">MMS_Swine_LeachingAndRunoff_Equations.VEERG_4_5_1_7__1_AnnualEmissionsFromLeachingAndRunoffFromMMS(Q28,$G$41,$G$42)</f>
        <v>0</v>
      </c>
      <c r="R47" s="2" t="str">
        <f>$E$38</f>
        <v>t N2O</v>
      </c>
    </row>
    <row r="48" spans="4:18" ht="20.100000000000001" customHeight="1" x14ac:dyDescent="0.25"/>
    <row r="49" spans="4:16" ht="20.100000000000001" customHeight="1" x14ac:dyDescent="0.25">
      <c r="D49" s="101" t="s">
        <v>187</v>
      </c>
      <c r="E49" s="102">
        <f>SUM(E47:H47)</f>
        <v>0</v>
      </c>
      <c r="F49" s="103" t="str">
        <f>$E$38</f>
        <v>t N2O</v>
      </c>
      <c r="M49" s="101" t="s">
        <v>187</v>
      </c>
      <c r="N49" s="102">
        <f>SUM(N47:Q47)</f>
        <v>0</v>
      </c>
      <c r="O49" s="103" t="str">
        <f>$E$38</f>
        <v>t N2O</v>
      </c>
    </row>
    <row r="50" spans="4:16" ht="20.100000000000001" customHeight="1" x14ac:dyDescent="0.25"/>
    <row r="51" spans="4:16" ht="20.100000000000001" customHeight="1" x14ac:dyDescent="0.25">
      <c r="D51" s="57" t="str" cm="1">
        <f t="array" ref="D51:E52">Common_Equations.Common_ConvertN2OToCO2e_Arguments()</f>
        <v>EN2O</v>
      </c>
      <c r="E51" s="58" t="str">
        <v>Nitrous oxide emissions (t N2O)</v>
      </c>
      <c r="F51" s="104"/>
      <c r="G51" s="52">
        <f>E49</f>
        <v>0</v>
      </c>
      <c r="M51" s="57" t="str" cm="1">
        <f t="array" ref="M51:N52">Common_Equations.Common_ConvertN2OToCO2e_Arguments()</f>
        <v>EN2O</v>
      </c>
      <c r="N51" s="58" t="str">
        <v>Nitrous oxide emissions (t N2O)</v>
      </c>
      <c r="O51" s="104"/>
      <c r="P51" s="52">
        <f>N49</f>
        <v>0</v>
      </c>
    </row>
    <row r="52" spans="4:16" ht="20.100000000000001" customHeight="1" x14ac:dyDescent="0.25">
      <c r="D52" s="57" t="str">
        <v>GWPN2O</v>
      </c>
      <c r="E52" s="58" t="str">
        <v>Global warming potential for nitrous oxide (t CO2-e / t N2O)</v>
      </c>
      <c r="F52" s="104"/>
      <c r="G52" s="52">
        <f>Common_InputFunctions.Utility_LookupValueInTableNumber("N2O",[2]!Table_GWPData[Gas],[2]!Table_GWPData[CO2-e factor])</f>
        <v>265</v>
      </c>
      <c r="M52" s="57" t="str">
        <v>GWPN2O</v>
      </c>
      <c r="N52" s="58" t="str">
        <v>Global warming potential for nitrous oxide (t CO2-e / t N2O)</v>
      </c>
      <c r="O52" s="104"/>
      <c r="P52" s="52">
        <f>Common_InputFunctions.Utility_LookupValueInTableNumber("N2O",[2]!Table_GWPData[Gas],[2]!Table_GWPData[CO2-e factor])</f>
        <v>265</v>
      </c>
    </row>
    <row r="53" spans="4:16" ht="20.100000000000001" customHeight="1" x14ac:dyDescent="0.25"/>
    <row r="54" spans="4:16" ht="20.100000000000001" customHeight="1" x14ac:dyDescent="0.25">
      <c r="D54" s="45" t="s">
        <v>100</v>
      </c>
      <c r="E54" s="45" cm="1">
        <f t="array" ref="E54">Common_Equations.Common_ConvertN2OToCO2e(G51,G52)</f>
        <v>0</v>
      </c>
      <c r="F54" s="105" t="str" cm="1">
        <f t="array" ref="F54">Common_Equations.Common_ConvertN2OToCO2e_Unit()</f>
        <v>t CO2e</v>
      </c>
      <c r="M54" s="45" t="s">
        <v>100</v>
      </c>
      <c r="N54" s="45" cm="1">
        <f t="array" ref="N54">Common_Equations.Common_ConvertN2OToCO2e(P51,P52)</f>
        <v>0</v>
      </c>
      <c r="O54" s="105" t="str" cm="1">
        <f t="array" ref="O54">Common_Equations.Common_ConvertN2OToCO2e_Unit()</f>
        <v>t CO2e</v>
      </c>
    </row>
    <row r="55" spans="4:16" ht="20.100000000000001" customHeight="1" x14ac:dyDescent="0.25"/>
    <row r="56" spans="4:16" ht="20.100000000000001" customHeight="1" x14ac:dyDescent="0.25"/>
    <row r="57" spans="4:16" ht="20.100000000000001" customHeight="1" x14ac:dyDescent="0.25"/>
    <row r="58" spans="4:16" ht="20.100000000000001" customHeight="1" x14ac:dyDescent="0.25"/>
    <row r="59" spans="4:16" ht="20.100000000000001" customHeight="1" x14ac:dyDescent="0.25"/>
    <row r="60" spans="4:16" ht="20.100000000000001" customHeight="1" x14ac:dyDescent="0.25"/>
    <row r="61" spans="4:16" ht="20.100000000000001" customHeight="1" x14ac:dyDescent="0.25"/>
    <row r="62" spans="4:16" ht="20.100000000000001" customHeight="1" x14ac:dyDescent="0.25"/>
    <row r="63" spans="4:16" ht="20.100000000000001" customHeight="1" x14ac:dyDescent="0.25"/>
    <row r="64" spans="4:16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66575-F465-4E80-A051-488250B82152}">
  <dimension ref="A1:U235"/>
  <sheetViews>
    <sheetView showGridLines="0" workbookViewId="0">
      <selection activeCell="A14" sqref="A1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192</v>
      </c>
    </row>
    <row r="2" spans="1:21" s="9" customFormat="1" ht="20.100000000000001" customHeight="1" x14ac:dyDescent="0.25"/>
    <row r="3" spans="1:21" ht="20.100000000000001" customHeight="1" x14ac:dyDescent="0.25">
      <c r="A3" s="17" t="str">
        <f>HYPERLINK("#'Home'!A1", "Home")</f>
        <v>Home</v>
      </c>
      <c r="C3" s="4"/>
      <c r="D3" s="4" t="s">
        <v>101</v>
      </c>
      <c r="E3" s="4"/>
      <c r="F3" s="4"/>
      <c r="G3" s="4"/>
      <c r="H3" s="4"/>
      <c r="I3" s="4"/>
      <c r="J3" s="4"/>
      <c r="K3" s="4"/>
      <c r="M3" s="4"/>
      <c r="N3" s="4" t="s">
        <v>102</v>
      </c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tr" cm="1">
        <f t="array" ref="D5">MMS_Swine_ManureAppliedToSoils_Equations.VEERG_4_5_1_9__1_MassOfNitrogenAppliedToSoilsScope1_Title()</f>
        <v>Mass of nitrogen applied to soils for scope 1 emissions</v>
      </c>
    </row>
    <row r="6" spans="1:21" ht="20.100000000000001" customHeight="1" x14ac:dyDescent="0.25">
      <c r="A6" s="20" t="s">
        <v>3</v>
      </c>
      <c r="D6" s="5" t="str" cm="1">
        <f t="array" ref="D6">MMS_Swine_ManureAppliedToSoils_Equations.VEERG_4_5_1_9__1_MassOfNitrogenAppliedToSoilsScope1_Source()</f>
        <v>VEERG 2026: 4.5.1.9, Equation (1)</v>
      </c>
    </row>
    <row r="7" spans="1:21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Common_InputFunctions.Utility_DisplayFunctionName(F115)</f>
        <v>=MMS_Swine_ManureAppliedToSoils_Equations.VEERG_4_5_1_9__1_MassOfNitrogenAppliedToSoilsScope1</v>
      </c>
    </row>
    <row r="8" spans="1:21" ht="20.100000000000001" customHeight="1" x14ac:dyDescent="0.25">
      <c r="A8" s="17" t="str">
        <f>HYPERLINK("#'Input - Swine'!A1", "Swine")</f>
        <v>Swine</v>
      </c>
    </row>
    <row r="9" spans="1:21" ht="20.100000000000001" customHeight="1" x14ac:dyDescent="0.25">
      <c r="A9" s="17"/>
      <c r="G9" s="107" t="s">
        <v>194</v>
      </c>
    </row>
    <row r="10" spans="1:21" ht="20.100000000000001" customHeight="1" x14ac:dyDescent="0.25">
      <c r="A10" s="19" t="s">
        <v>76</v>
      </c>
      <c r="D10" s="53" t="s">
        <v>29</v>
      </c>
      <c r="E10" s="1" t="str" cm="1">
        <f t="array" ref="E10">MMS_Swine_ManureAppliedToSoils_Equations.VEERG_4_5_1_9__1_MassOfNitrogenAppliedToSoilsScope1_Variable()</f>
        <v>MNSoil_scope1</v>
      </c>
      <c r="G10" s="5" t="s">
        <v>193</v>
      </c>
    </row>
    <row r="11" spans="1:21" ht="20.100000000000001" customHeight="1" x14ac:dyDescent="0.25">
      <c r="A11" s="17" t="str">
        <f>HYPERLINK("#'4.5.1.1-2 Methane'!A1", "4.5.1.1-2 Methane")</f>
        <v>4.5.1.1-2 Methane</v>
      </c>
      <c r="D11" s="53" t="s">
        <v>19</v>
      </c>
      <c r="E11" s="54" t="str" cm="1">
        <f t="array" ref="E11">MMS_Swine_ManureAppliedToSoils_Equations.VEERG_4_5_1_9__1_MassOfNitrogenAppliedToSoilsScope1_Unit()</f>
        <v>kg N</v>
      </c>
    </row>
    <row r="12" spans="1:21" ht="20.100000000000001" customHeight="1" x14ac:dyDescent="0.25">
      <c r="A12" s="17" t="str">
        <f>HYPERLINK("#'4.5.1.3-4 Direct N20'!A1", "4.5.1.3-4 Direct N2O")</f>
        <v>4.5.1.3-4 Direct N2O</v>
      </c>
    </row>
    <row r="13" spans="1:21" ht="20.100000000000001" customHeight="1" x14ac:dyDescent="0.25">
      <c r="A13" s="17" t="str">
        <f>HYPERLINK("#'4.5.1.5-6 Atmos Dep'!A1", "4.5.1.5-6 Soil atm. deposition")</f>
        <v>4.5.1.5-6 Soil atm. deposition</v>
      </c>
      <c r="D13" s="57" t="str" cm="1">
        <f t="array" ref="D13:E17">MMS_Swine_ManureAppliedToSoils_Equations.VEERG_4_5_1_9__1_MassOfNitrogenAppliedToSoilsScope1_Arguments()</f>
        <v>MN_jmT2</v>
      </c>
      <c r="E13" s="58" t="str">
        <v>mass of N in MMS at treatment stage 2 : kg N</v>
      </c>
      <c r="F13" s="100"/>
      <c r="G13" s="59"/>
      <c r="H13" s="57" t="str">
        <f>"See " &amp; D19</f>
        <v>See M1_Table_MN_j_m_T-2</v>
      </c>
    </row>
    <row r="14" spans="1:21" ht="20.100000000000001" customHeight="1" x14ac:dyDescent="0.25">
      <c r="A14" s="17" t="str">
        <f>HYPERLINK("#'4.5.1.7-8 Leaching and runoff'!A1", "4.5.1.7-8 Leaching &amp; runoff")</f>
        <v>4.5.1.7-8 Leaching &amp; runoff</v>
      </c>
      <c r="D14" s="57" t="str">
        <v>EF_mT2</v>
      </c>
      <c r="E14" s="58" t="str">
        <v>nitrous oxide emission factor for each MMS at treatment stage 2 : kg N2O-N/kg N</v>
      </c>
      <c r="F14" s="100"/>
      <c r="G14" s="59"/>
      <c r="H14" s="57" t="str">
        <f>"See " &amp; D102</f>
        <v>See Table_EF_m_T</v>
      </c>
    </row>
    <row r="15" spans="1:21" ht="20.100000000000001" customHeight="1" x14ac:dyDescent="0.25">
      <c r="A15" s="136" t="str">
        <f>HYPERLINK("#'4.5.1.9 Manure applied to soils'!A1", "4.5.1.9 Manure applied to soils")</f>
        <v>4.5.1.9 Manure applied to soils</v>
      </c>
      <c r="D15" s="57" t="str">
        <v>FracGASM_mT2</v>
      </c>
      <c r="E15" s="58" t="str">
        <v>fraction of animal waste N volatilised in each MMS at treatment stage 2 : (kg NH3-N + NOx-N)/kg N</v>
      </c>
      <c r="F15" s="100"/>
      <c r="G15" s="59"/>
      <c r="H15" s="57" t="str">
        <f>"See " &amp; D92</f>
        <v>See Table_FracGASM_m_t</v>
      </c>
    </row>
    <row r="16" spans="1:21" ht="20.100000000000001" customHeight="1" x14ac:dyDescent="0.25">
      <c r="D16" s="57" t="str">
        <v>MNLeach_jm5</v>
      </c>
      <c r="E16" s="58" t="str">
        <v>mass of N lost to leaching and runoff from drylot MMS : kg N</v>
      </c>
      <c r="F16" s="100"/>
      <c r="G16" s="59"/>
      <c r="H16" s="57" t="str">
        <f>"See " &amp; D44</f>
        <v>See M1_Table_MN_leach_j_m-5</v>
      </c>
    </row>
    <row r="17" spans="1:20" ht="20.100000000000001" customHeight="1" x14ac:dyDescent="0.25">
      <c r="A17" s="18" t="s">
        <v>4</v>
      </c>
      <c r="D17" s="57" t="str">
        <v>PF</v>
      </c>
      <c r="E17" s="58" t="str">
        <v>fraction of manure applied to soil within the piggery boundary : fraction</v>
      </c>
      <c r="F17" s="100"/>
      <c r="G17" s="59"/>
      <c r="H17" s="57" t="str">
        <f>"See " &amp; D68</f>
        <v>See M1_Table_PF</v>
      </c>
    </row>
    <row r="18" spans="1:20" ht="20.100000000000001" customHeight="1" x14ac:dyDescent="0.25">
      <c r="A18" s="17" t="str">
        <f>HYPERLINK("#'Constants - Swine'!A1", "Constants - Swine")</f>
        <v>Constants - Swine</v>
      </c>
    </row>
    <row r="19" spans="1:20" ht="20.100000000000001" customHeight="1" x14ac:dyDescent="0.25">
      <c r="A19" s="17" t="str">
        <f>HYPERLINK("#'Constants - Livestock'!A1", "Constants - Livestock")</f>
        <v>Constants - Livestock</v>
      </c>
      <c r="D19" s="120" t="s">
        <v>168</v>
      </c>
      <c r="N19" s="120" t="s">
        <v>206</v>
      </c>
    </row>
    <row r="20" spans="1:20" ht="20.100000000000001" customHeight="1" x14ac:dyDescent="0.25">
      <c r="A20" s="17" t="str">
        <f>HYPERLINK("#'Constants - Common'!A1", "Constants - Common")</f>
        <v>Constants - Common</v>
      </c>
      <c r="D20" s="121" t="s">
        <v>169</v>
      </c>
      <c r="N20" s="121" t="s">
        <v>207</v>
      </c>
    </row>
    <row r="21" spans="1:20" ht="20.100000000000001" customHeight="1" x14ac:dyDescent="0.25">
      <c r="A21" s="17" t="str">
        <f>HYPERLINK("#'Acknowledgements'!A1", "Acknowledgements")</f>
        <v>Acknowledgements</v>
      </c>
      <c r="D21" s="51" t="s">
        <v>139</v>
      </c>
      <c r="E21" s="51" t="s">
        <v>142</v>
      </c>
      <c r="F21" s="51" t="s">
        <v>134</v>
      </c>
      <c r="G21" s="51" t="s">
        <v>135</v>
      </c>
      <c r="H21" s="51" t="s">
        <v>136</v>
      </c>
      <c r="I21" s="51" t="s">
        <v>161</v>
      </c>
      <c r="N21" s="51" t="s">
        <v>139</v>
      </c>
      <c r="O21" s="51" t="s">
        <v>142</v>
      </c>
      <c r="P21" s="51" t="s">
        <v>134</v>
      </c>
      <c r="Q21" s="51" t="s">
        <v>135</v>
      </c>
      <c r="R21" s="51" t="s">
        <v>136</v>
      </c>
      <c r="S21" s="51" t="s">
        <v>161</v>
      </c>
    </row>
    <row r="22" spans="1:20" ht="20.100000000000001" customHeight="1" x14ac:dyDescent="0.25">
      <c r="D22" s="57" t="str">
        <f>'Input - Poultry'!$D$30</f>
        <v>Belt manure removal</v>
      </c>
      <c r="E22" s="57" t="str">
        <f>'Input - Poultry'!$D$38</f>
        <v>Solid storage</v>
      </c>
      <c r="F22" s="52">
        <f>'4.6.1.3-4 Direct N20'!F209</f>
        <v>0</v>
      </c>
      <c r="G22" s="52">
        <f>'4.6.1.3-4 Direct N20'!G209</f>
        <v>0</v>
      </c>
      <c r="H22" s="52">
        <f>'4.6.1.3-4 Direct N20'!H209</f>
        <v>0</v>
      </c>
      <c r="I22" s="52">
        <f>'4.6.1.3-4 Direct N20'!I209</f>
        <v>0</v>
      </c>
      <c r="J22" s="2" t="s">
        <v>117</v>
      </c>
      <c r="N22" s="57" t="str">
        <f>'Input - Poultry'!$D$30</f>
        <v>Belt manure removal</v>
      </c>
      <c r="O22" s="57" t="str">
        <f>'Input - Poultry'!$D$38</f>
        <v>Solid storage</v>
      </c>
      <c r="P22" s="52">
        <f>'4.6.1.3-4 Direct N20'!P209</f>
        <v>0</v>
      </c>
      <c r="Q22" s="52">
        <f>'4.6.1.3-4 Direct N20'!Q209</f>
        <v>0</v>
      </c>
      <c r="R22" s="52">
        <f>'4.6.1.3-4 Direct N20'!R209</f>
        <v>0</v>
      </c>
      <c r="S22" s="52">
        <f>'4.6.1.3-4 Direct N20'!S209</f>
        <v>0</v>
      </c>
      <c r="T22" s="2" t="s">
        <v>117</v>
      </c>
    </row>
    <row r="23" spans="1:20" ht="20.100000000000001" customHeight="1" x14ac:dyDescent="0.25">
      <c r="A23" s="17"/>
      <c r="D23" s="57"/>
      <c r="E23" s="57" t="str">
        <f>'Input - Poultry'!$D$39</f>
        <v>Composting (passive windrow)</v>
      </c>
      <c r="F23" s="52">
        <f>'4.6.1.3-4 Direct N20'!F210</f>
        <v>0</v>
      </c>
      <c r="G23" s="52">
        <f>'4.6.1.3-4 Direct N20'!G210</f>
        <v>0</v>
      </c>
      <c r="H23" s="52">
        <f>'4.6.1.3-4 Direct N20'!H210</f>
        <v>0</v>
      </c>
      <c r="I23" s="52">
        <f>'4.6.1.3-4 Direct N20'!I210</f>
        <v>0</v>
      </c>
      <c r="J23" s="2" t="s">
        <v>117</v>
      </c>
      <c r="N23" s="57"/>
      <c r="O23" s="57" t="str">
        <f>'Input - Poultry'!$D$39</f>
        <v>Composting (passive windrow)</v>
      </c>
      <c r="P23" s="52">
        <f>'4.6.1.3-4 Direct N20'!P210</f>
        <v>0</v>
      </c>
      <c r="Q23" s="52">
        <f>'4.6.1.3-4 Direct N20'!Q210</f>
        <v>0</v>
      </c>
      <c r="R23" s="52">
        <f>'4.6.1.3-4 Direct N20'!R210</f>
        <v>0</v>
      </c>
      <c r="S23" s="52">
        <f>'4.6.1.3-4 Direct N20'!S210</f>
        <v>0</v>
      </c>
      <c r="T23" s="2" t="s">
        <v>117</v>
      </c>
    </row>
    <row r="24" spans="1:20" ht="20.100000000000001" customHeight="1" x14ac:dyDescent="0.25">
      <c r="A24" s="17"/>
      <c r="D24" s="57"/>
      <c r="E24" s="57" t="str">
        <f>'Input - Poultry'!$D$40</f>
        <v>Digester / covered lagoons</v>
      </c>
      <c r="F24" s="52">
        <f>'4.6.1.3-4 Direct N20'!F211</f>
        <v>0</v>
      </c>
      <c r="G24" s="52">
        <f>'4.6.1.3-4 Direct N20'!G211</f>
        <v>0</v>
      </c>
      <c r="H24" s="52">
        <f>'4.6.1.3-4 Direct N20'!H211</f>
        <v>0</v>
      </c>
      <c r="I24" s="52">
        <f>'4.6.1.3-4 Direct N20'!I211</f>
        <v>0</v>
      </c>
      <c r="J24" s="2" t="s">
        <v>117</v>
      </c>
      <c r="N24" s="57"/>
      <c r="O24" s="57" t="str">
        <f>'Input - Poultry'!$D$40</f>
        <v>Digester / covered lagoons</v>
      </c>
      <c r="P24" s="52">
        <f>'4.6.1.3-4 Direct N20'!P211</f>
        <v>0</v>
      </c>
      <c r="Q24" s="52">
        <f>'4.6.1.3-4 Direct N20'!Q211</f>
        <v>0</v>
      </c>
      <c r="R24" s="52">
        <f>'4.6.1.3-4 Direct N20'!R211</f>
        <v>0</v>
      </c>
      <c r="S24" s="52">
        <f>'4.6.1.3-4 Direct N20'!S211</f>
        <v>0</v>
      </c>
      <c r="T24" s="2" t="s">
        <v>117</v>
      </c>
    </row>
    <row r="25" spans="1:20" ht="20.100000000000001" customHeight="1" x14ac:dyDescent="0.25">
      <c r="D25" s="57" t="str">
        <f>'Input - Poultry'!$D$31</f>
        <v>Manure stored in house</v>
      </c>
      <c r="E25" s="57" t="str">
        <f>'Input - Poultry'!$D$45</f>
        <v>Solid storage</v>
      </c>
      <c r="F25" s="52">
        <f>'4.6.1.3-4 Direct N20'!F212</f>
        <v>0</v>
      </c>
      <c r="G25" s="52">
        <f>'4.6.1.3-4 Direct N20'!G212</f>
        <v>0</v>
      </c>
      <c r="H25" s="52">
        <f>'4.6.1.3-4 Direct N20'!H212</f>
        <v>0</v>
      </c>
      <c r="I25" s="52">
        <f>'4.6.1.3-4 Direct N20'!I212</f>
        <v>0</v>
      </c>
      <c r="J25" s="2" t="s">
        <v>117</v>
      </c>
      <c r="N25" s="57" t="str">
        <f>'Input - Poultry'!$D$31</f>
        <v>Manure stored in house</v>
      </c>
      <c r="O25" s="57" t="str">
        <f>'Input - Poultry'!$D$45</f>
        <v>Solid storage</v>
      </c>
      <c r="P25" s="52">
        <f>'4.6.1.3-4 Direct N20'!P212</f>
        <v>0</v>
      </c>
      <c r="Q25" s="52">
        <f>'4.6.1.3-4 Direct N20'!Q212</f>
        <v>0</v>
      </c>
      <c r="R25" s="52">
        <f>'4.6.1.3-4 Direct N20'!R212</f>
        <v>0</v>
      </c>
      <c r="S25" s="52">
        <f>'4.6.1.3-4 Direct N20'!S212</f>
        <v>0</v>
      </c>
      <c r="T25" s="2" t="s">
        <v>117</v>
      </c>
    </row>
    <row r="26" spans="1:20" ht="20.100000000000001" customHeight="1" x14ac:dyDescent="0.25">
      <c r="D26" s="57"/>
      <c r="E26" s="57" t="str">
        <f>'Input - Poultry'!$D$46</f>
        <v>Composting (passive windrow)</v>
      </c>
      <c r="F26" s="52">
        <f>'4.6.1.3-4 Direct N20'!F213</f>
        <v>0</v>
      </c>
      <c r="G26" s="52">
        <f>'4.6.1.3-4 Direct N20'!G213</f>
        <v>0</v>
      </c>
      <c r="H26" s="52">
        <f>'4.6.1.3-4 Direct N20'!H213</f>
        <v>0</v>
      </c>
      <c r="I26" s="52">
        <f>'4.6.1.3-4 Direct N20'!I213</f>
        <v>0</v>
      </c>
      <c r="J26" s="2" t="s">
        <v>117</v>
      </c>
      <c r="N26" s="57"/>
      <c r="O26" s="57" t="str">
        <f>'Input - Poultry'!$D$46</f>
        <v>Composting (passive windrow)</v>
      </c>
      <c r="P26" s="52">
        <f>'4.6.1.3-4 Direct N20'!P213</f>
        <v>0</v>
      </c>
      <c r="Q26" s="52">
        <f>'4.6.1.3-4 Direct N20'!Q213</f>
        <v>0</v>
      </c>
      <c r="R26" s="52">
        <f>'4.6.1.3-4 Direct N20'!R213</f>
        <v>0</v>
      </c>
      <c r="S26" s="52">
        <f>'4.6.1.3-4 Direct N20'!S213</f>
        <v>0</v>
      </c>
      <c r="T26" s="2" t="s">
        <v>117</v>
      </c>
    </row>
    <row r="27" spans="1:20" ht="20.100000000000001" customHeight="1" x14ac:dyDescent="0.25">
      <c r="D27" s="57"/>
      <c r="E27" s="57" t="str">
        <f>'Input - Poultry'!$D$47</f>
        <v>Digester / covered lagoons</v>
      </c>
      <c r="F27" s="52">
        <f>'4.6.1.3-4 Direct N20'!F214</f>
        <v>0</v>
      </c>
      <c r="G27" s="52">
        <f>'4.6.1.3-4 Direct N20'!G214</f>
        <v>0</v>
      </c>
      <c r="H27" s="52">
        <f>'4.6.1.3-4 Direct N20'!H214</f>
        <v>0</v>
      </c>
      <c r="I27" s="52">
        <f>'4.6.1.3-4 Direct N20'!I214</f>
        <v>0</v>
      </c>
      <c r="J27" s="2" t="s">
        <v>117</v>
      </c>
      <c r="N27" s="57"/>
      <c r="O27" s="57" t="str">
        <f>'Input - Poultry'!$D$47</f>
        <v>Digester / covered lagoons</v>
      </c>
      <c r="P27" s="52">
        <f>'4.6.1.3-4 Direct N20'!P214</f>
        <v>0</v>
      </c>
      <c r="Q27" s="52">
        <f>'4.6.1.3-4 Direct N20'!Q214</f>
        <v>0</v>
      </c>
      <c r="R27" s="52">
        <f>'4.6.1.3-4 Direct N20'!R214</f>
        <v>0</v>
      </c>
      <c r="S27" s="52">
        <f>'4.6.1.3-4 Direct N20'!S214</f>
        <v>0</v>
      </c>
      <c r="T27" s="2" t="s">
        <v>117</v>
      </c>
    </row>
    <row r="28" spans="1:20" ht="20.100000000000001" customHeight="1" x14ac:dyDescent="0.25">
      <c r="D28" s="57"/>
      <c r="E28" s="57" t="str">
        <f>'Input - Poultry'!$D$48</f>
        <v>Direct processing</v>
      </c>
      <c r="F28" s="52">
        <f>'4.6.1.3-4 Direct N20'!F215</f>
        <v>0</v>
      </c>
      <c r="G28" s="52">
        <f>'4.6.1.3-4 Direct N20'!G215</f>
        <v>0</v>
      </c>
      <c r="H28" s="52">
        <f>'4.6.1.3-4 Direct N20'!H215</f>
        <v>0</v>
      </c>
      <c r="I28" s="52">
        <f>'4.6.1.3-4 Direct N20'!I215</f>
        <v>0</v>
      </c>
      <c r="J28" s="2" t="s">
        <v>117</v>
      </c>
      <c r="N28" s="57"/>
      <c r="O28" s="57" t="str">
        <f>'Input - Poultry'!$D$48</f>
        <v>Direct processing</v>
      </c>
      <c r="P28" s="52">
        <f>'4.6.1.3-4 Direct N20'!P215</f>
        <v>0</v>
      </c>
      <c r="Q28" s="52">
        <f>'4.6.1.3-4 Direct N20'!Q215</f>
        <v>0</v>
      </c>
      <c r="R28" s="52">
        <f>'4.6.1.3-4 Direct N20'!R215</f>
        <v>0</v>
      </c>
      <c r="S28" s="52">
        <f>'4.6.1.3-4 Direct N20'!S215</f>
        <v>0</v>
      </c>
      <c r="T28" s="2" t="s">
        <v>117</v>
      </c>
    </row>
    <row r="29" spans="1:20" ht="20.100000000000001" customHeight="1" x14ac:dyDescent="0.25">
      <c r="D29" s="57" t="str">
        <f>'Input - Poultry'!$D$32</f>
        <v>Pasture range and paddock</v>
      </c>
      <c r="E29" s="57" t="str">
        <f>'Input - Poultry'!$D$52</f>
        <v>Solid storage</v>
      </c>
      <c r="F29" s="52">
        <f>'4.6.1.3-4 Direct N20'!F216</f>
        <v>0</v>
      </c>
      <c r="G29" s="52">
        <f>'4.6.1.3-4 Direct N20'!G216</f>
        <v>0</v>
      </c>
      <c r="H29" s="52">
        <f>'4.6.1.3-4 Direct N20'!H216</f>
        <v>0</v>
      </c>
      <c r="I29" s="52">
        <f>'4.6.1.3-4 Direct N20'!I216</f>
        <v>0</v>
      </c>
      <c r="J29" s="2" t="s">
        <v>117</v>
      </c>
      <c r="N29" s="57" t="str">
        <f>'Input - Poultry'!$D$32</f>
        <v>Pasture range and paddock</v>
      </c>
      <c r="O29" s="57" t="str">
        <f>'Input - Poultry'!$D$52</f>
        <v>Solid storage</v>
      </c>
      <c r="P29" s="52">
        <f>'4.6.1.3-4 Direct N20'!P216</f>
        <v>0</v>
      </c>
      <c r="Q29" s="52">
        <f>'4.6.1.3-4 Direct N20'!Q216</f>
        <v>0</v>
      </c>
      <c r="R29" s="52">
        <f>'4.6.1.3-4 Direct N20'!R216</f>
        <v>0</v>
      </c>
      <c r="S29" s="52">
        <f>'4.6.1.3-4 Direct N20'!S216</f>
        <v>0</v>
      </c>
      <c r="T29" s="2" t="s">
        <v>117</v>
      </c>
    </row>
    <row r="30" spans="1:20" ht="20.100000000000001" customHeight="1" x14ac:dyDescent="0.25">
      <c r="D30" s="57"/>
      <c r="E30" s="57" t="str">
        <f>'Input - Poultry'!$D$53</f>
        <v>Composting (passive windrow)</v>
      </c>
      <c r="F30" s="52">
        <f>'4.6.1.3-4 Direct N20'!F217</f>
        <v>0</v>
      </c>
      <c r="G30" s="52">
        <f>'4.6.1.3-4 Direct N20'!G217</f>
        <v>0</v>
      </c>
      <c r="H30" s="52">
        <f>'4.6.1.3-4 Direct N20'!H217</f>
        <v>0</v>
      </c>
      <c r="I30" s="52">
        <f>'4.6.1.3-4 Direct N20'!I217</f>
        <v>0</v>
      </c>
      <c r="J30" s="2" t="s">
        <v>117</v>
      </c>
      <c r="N30" s="57"/>
      <c r="O30" s="57" t="str">
        <f>'Input - Poultry'!$D$53</f>
        <v>Composting (passive windrow)</v>
      </c>
      <c r="P30" s="52">
        <f>'4.6.1.3-4 Direct N20'!P217</f>
        <v>0</v>
      </c>
      <c r="Q30" s="52">
        <f>'4.6.1.3-4 Direct N20'!Q217</f>
        <v>0</v>
      </c>
      <c r="R30" s="52">
        <f>'4.6.1.3-4 Direct N20'!R217</f>
        <v>0</v>
      </c>
      <c r="S30" s="52">
        <f>'4.6.1.3-4 Direct N20'!S217</f>
        <v>0</v>
      </c>
      <c r="T30" s="2" t="s">
        <v>117</v>
      </c>
    </row>
    <row r="31" spans="1:20" ht="20.100000000000001" customHeight="1" x14ac:dyDescent="0.25">
      <c r="D31" s="57"/>
      <c r="E31" s="57" t="str">
        <f>'Input - Poultry'!$D$54</f>
        <v>Digester / covered lagoons</v>
      </c>
      <c r="F31" s="52">
        <f>'4.6.1.3-4 Direct N20'!F218</f>
        <v>0</v>
      </c>
      <c r="G31" s="52">
        <f>'4.6.1.3-4 Direct N20'!G218</f>
        <v>0</v>
      </c>
      <c r="H31" s="52">
        <f>'4.6.1.3-4 Direct N20'!H218</f>
        <v>0</v>
      </c>
      <c r="I31" s="52">
        <f>'4.6.1.3-4 Direct N20'!I218</f>
        <v>0</v>
      </c>
      <c r="J31" s="2" t="s">
        <v>117</v>
      </c>
      <c r="N31" s="57"/>
      <c r="O31" s="57" t="str">
        <f>'Input - Poultry'!$D$54</f>
        <v>Digester / covered lagoons</v>
      </c>
      <c r="P31" s="52">
        <f>'4.6.1.3-4 Direct N20'!P218</f>
        <v>0</v>
      </c>
      <c r="Q31" s="52">
        <f>'4.6.1.3-4 Direct N20'!Q218</f>
        <v>0</v>
      </c>
      <c r="R31" s="52">
        <f>'4.6.1.3-4 Direct N20'!R218</f>
        <v>0</v>
      </c>
      <c r="S31" s="52">
        <f>'4.6.1.3-4 Direct N20'!S218</f>
        <v>0</v>
      </c>
      <c r="T31" s="2" t="s">
        <v>117</v>
      </c>
    </row>
    <row r="32" spans="1:20" ht="20.100000000000001" customHeight="1" x14ac:dyDescent="0.25">
      <c r="D32" s="57" t="str">
        <f>'Input - Poultry'!$D$33</f>
        <v>No MMS</v>
      </c>
      <c r="E32" s="57" t="e">
        <f>'Input - Poultry'!#REF!</f>
        <v>#REF!</v>
      </c>
      <c r="F32" s="52">
        <f>'4.6.1.3-4 Direct N20'!F219</f>
        <v>0</v>
      </c>
      <c r="G32" s="52">
        <f>'4.6.1.3-4 Direct N20'!G219</f>
        <v>0</v>
      </c>
      <c r="H32" s="52">
        <f>'4.6.1.3-4 Direct N20'!H219</f>
        <v>0</v>
      </c>
      <c r="I32" s="52">
        <f>'4.6.1.3-4 Direct N20'!I219</f>
        <v>0</v>
      </c>
      <c r="J32" s="2" t="s">
        <v>117</v>
      </c>
      <c r="N32" s="57" t="str">
        <f>'Input - Poultry'!$D$33</f>
        <v>No MMS</v>
      </c>
      <c r="O32" s="57" t="e">
        <f>'Input - Poultry'!#REF!</f>
        <v>#REF!</v>
      </c>
      <c r="P32" s="52">
        <f>'4.6.1.3-4 Direct N20'!P219</f>
        <v>0</v>
      </c>
      <c r="Q32" s="52">
        <f>'4.6.1.3-4 Direct N20'!Q219</f>
        <v>0</v>
      </c>
      <c r="R32" s="52">
        <f>'4.6.1.3-4 Direct N20'!R219</f>
        <v>0</v>
      </c>
      <c r="S32" s="52">
        <f>'4.6.1.3-4 Direct N20'!S219</f>
        <v>0</v>
      </c>
      <c r="T32" s="2" t="s">
        <v>117</v>
      </c>
    </row>
    <row r="33" spans="4:20" ht="20.100000000000001" customHeight="1" x14ac:dyDescent="0.25">
      <c r="D33" s="57"/>
      <c r="E33" s="57">
        <f>'Input - Poultry'!$D$71</f>
        <v>0</v>
      </c>
      <c r="F33" s="52">
        <f>'4.6.1.3-4 Direct N20'!F220</f>
        <v>0</v>
      </c>
      <c r="G33" s="52">
        <f>'4.6.1.3-4 Direct N20'!G220</f>
        <v>0</v>
      </c>
      <c r="H33" s="52">
        <f>'4.6.1.3-4 Direct N20'!H220</f>
        <v>0</v>
      </c>
      <c r="I33" s="52">
        <f>'4.6.1.3-4 Direct N20'!I220</f>
        <v>0</v>
      </c>
      <c r="J33" s="2" t="s">
        <v>117</v>
      </c>
      <c r="N33" s="57"/>
      <c r="O33" s="57">
        <f>'Input - Poultry'!$D$71</f>
        <v>0</v>
      </c>
      <c r="P33" s="52">
        <f>'4.6.1.3-4 Direct N20'!P220</f>
        <v>0</v>
      </c>
      <c r="Q33" s="52">
        <f>'4.6.1.3-4 Direct N20'!Q220</f>
        <v>0</v>
      </c>
      <c r="R33" s="52">
        <f>'4.6.1.3-4 Direct N20'!R220</f>
        <v>0</v>
      </c>
      <c r="S33" s="52">
        <f>'4.6.1.3-4 Direct N20'!S220</f>
        <v>0</v>
      </c>
      <c r="T33" s="2" t="s">
        <v>117</v>
      </c>
    </row>
    <row r="34" spans="4:20" ht="20.100000000000001" customHeight="1" x14ac:dyDescent="0.25">
      <c r="D34" s="57"/>
      <c r="E34" s="57">
        <f>'Input - Poultry'!$D$72</f>
        <v>0</v>
      </c>
      <c r="F34" s="52">
        <f>'4.6.1.3-4 Direct N20'!F221</f>
        <v>0</v>
      </c>
      <c r="G34" s="52">
        <f>'4.6.1.3-4 Direct N20'!G221</f>
        <v>0</v>
      </c>
      <c r="H34" s="52">
        <f>'4.6.1.3-4 Direct N20'!H221</f>
        <v>0</v>
      </c>
      <c r="I34" s="52">
        <f>'4.6.1.3-4 Direct N20'!I221</f>
        <v>0</v>
      </c>
      <c r="J34" s="2" t="s">
        <v>117</v>
      </c>
      <c r="N34" s="57"/>
      <c r="O34" s="57">
        <f>'Input - Poultry'!$D$72</f>
        <v>0</v>
      </c>
      <c r="P34" s="52">
        <f>'4.6.1.3-4 Direct N20'!P221</f>
        <v>0</v>
      </c>
      <c r="Q34" s="52">
        <f>'4.6.1.3-4 Direct N20'!Q221</f>
        <v>0</v>
      </c>
      <c r="R34" s="52">
        <f>'4.6.1.3-4 Direct N20'!R221</f>
        <v>0</v>
      </c>
      <c r="S34" s="52">
        <f>'4.6.1.3-4 Direct N20'!S221</f>
        <v>0</v>
      </c>
      <c r="T34" s="2" t="s">
        <v>117</v>
      </c>
    </row>
    <row r="35" spans="4:20" ht="20.100000000000001" customHeight="1" x14ac:dyDescent="0.25">
      <c r="D35" s="57" t="e">
        <f>'Input - Poultry'!#REF!</f>
        <v>#REF!</v>
      </c>
      <c r="E35" s="57">
        <f>'Input - Poultry'!$D$77</f>
        <v>0</v>
      </c>
      <c r="F35" s="52">
        <f>'4.6.1.3-4 Direct N20'!F222</f>
        <v>0</v>
      </c>
      <c r="G35" s="52">
        <f>'4.6.1.3-4 Direct N20'!G222</f>
        <v>0</v>
      </c>
      <c r="H35" s="52">
        <f>'4.6.1.3-4 Direct N20'!H222</f>
        <v>0</v>
      </c>
      <c r="I35" s="52">
        <f>'4.6.1.3-4 Direct N20'!I222</f>
        <v>0</v>
      </c>
      <c r="J35" s="2" t="s">
        <v>117</v>
      </c>
      <c r="N35" s="57" t="e">
        <f>'Input - Poultry'!#REF!</f>
        <v>#REF!</v>
      </c>
      <c r="O35" s="57">
        <f>'Input - Poultry'!$D$77</f>
        <v>0</v>
      </c>
      <c r="P35" s="52">
        <f>'4.6.1.3-4 Direct N20'!P222</f>
        <v>0</v>
      </c>
      <c r="Q35" s="52">
        <f>'4.6.1.3-4 Direct N20'!Q222</f>
        <v>0</v>
      </c>
      <c r="R35" s="52">
        <f>'4.6.1.3-4 Direct N20'!R222</f>
        <v>0</v>
      </c>
      <c r="S35" s="52">
        <f>'4.6.1.3-4 Direct N20'!S222</f>
        <v>0</v>
      </c>
      <c r="T35" s="2" t="s">
        <v>117</v>
      </c>
    </row>
    <row r="36" spans="4:20" ht="20.100000000000001" customHeight="1" x14ac:dyDescent="0.25">
      <c r="D36" s="57"/>
      <c r="E36" s="57">
        <f>'Input - Poultry'!$D$78</f>
        <v>0</v>
      </c>
      <c r="F36" s="52">
        <f>'4.6.1.3-4 Direct N20'!F223</f>
        <v>0</v>
      </c>
      <c r="G36" s="52">
        <f>'4.6.1.3-4 Direct N20'!G223</f>
        <v>0</v>
      </c>
      <c r="H36" s="52">
        <f>'4.6.1.3-4 Direct N20'!H223</f>
        <v>0</v>
      </c>
      <c r="I36" s="52">
        <f>'4.6.1.3-4 Direct N20'!I223</f>
        <v>0</v>
      </c>
      <c r="J36" s="2" t="s">
        <v>117</v>
      </c>
      <c r="N36" s="57"/>
      <c r="O36" s="57">
        <f>'Input - Poultry'!$D$78</f>
        <v>0</v>
      </c>
      <c r="P36" s="52">
        <f>'4.6.1.3-4 Direct N20'!P223</f>
        <v>0</v>
      </c>
      <c r="Q36" s="52">
        <f>'4.6.1.3-4 Direct N20'!Q223</f>
        <v>0</v>
      </c>
      <c r="R36" s="52">
        <f>'4.6.1.3-4 Direct N20'!R223</f>
        <v>0</v>
      </c>
      <c r="S36" s="52">
        <f>'4.6.1.3-4 Direct N20'!S223</f>
        <v>0</v>
      </c>
      <c r="T36" s="2" t="s">
        <v>117</v>
      </c>
    </row>
    <row r="37" spans="4:20" ht="20.100000000000001" customHeight="1" x14ac:dyDescent="0.25">
      <c r="D37" s="57"/>
      <c r="E37" s="57">
        <f>'Input - Poultry'!$D$79</f>
        <v>0</v>
      </c>
      <c r="F37" s="52">
        <f>'4.6.1.3-4 Direct N20'!F224</f>
        <v>0</v>
      </c>
      <c r="G37" s="52">
        <f>'4.6.1.3-4 Direct N20'!G224</f>
        <v>0</v>
      </c>
      <c r="H37" s="52">
        <f>'4.6.1.3-4 Direct N20'!H224</f>
        <v>0</v>
      </c>
      <c r="I37" s="52">
        <f>'4.6.1.3-4 Direct N20'!I224</f>
        <v>0</v>
      </c>
      <c r="J37" s="2" t="s">
        <v>117</v>
      </c>
      <c r="N37" s="57"/>
      <c r="O37" s="57">
        <f>'Input - Poultry'!$D$79</f>
        <v>0</v>
      </c>
      <c r="P37" s="52">
        <f>'4.6.1.3-4 Direct N20'!P224</f>
        <v>0</v>
      </c>
      <c r="Q37" s="52">
        <f>'4.6.1.3-4 Direct N20'!Q224</f>
        <v>0</v>
      </c>
      <c r="R37" s="52">
        <f>'4.6.1.3-4 Direct N20'!R224</f>
        <v>0</v>
      </c>
      <c r="S37" s="52">
        <f>'4.6.1.3-4 Direct N20'!S224</f>
        <v>0</v>
      </c>
      <c r="T37" s="2" t="s">
        <v>117</v>
      </c>
    </row>
    <row r="38" spans="4:20" ht="20.100000000000001" customHeight="1" x14ac:dyDescent="0.25">
      <c r="D38" s="57" t="e">
        <f>'Input - Poultry'!#REF!</f>
        <v>#REF!</v>
      </c>
      <c r="E38" s="57">
        <f>'Input - Poultry'!$D$84</f>
        <v>0</v>
      </c>
      <c r="F38" s="52">
        <f>'4.6.1.3-4 Direct N20'!F225</f>
        <v>0</v>
      </c>
      <c r="G38" s="52">
        <f>'4.6.1.3-4 Direct N20'!G225</f>
        <v>0</v>
      </c>
      <c r="H38" s="52">
        <f>'4.6.1.3-4 Direct N20'!H225</f>
        <v>0</v>
      </c>
      <c r="I38" s="52">
        <f>'4.6.1.3-4 Direct N20'!I225</f>
        <v>0</v>
      </c>
      <c r="J38" s="2" t="s">
        <v>117</v>
      </c>
      <c r="N38" s="57" t="e">
        <f>'Input - Poultry'!#REF!</f>
        <v>#REF!</v>
      </c>
      <c r="O38" s="57">
        <f>'Input - Poultry'!$D$84</f>
        <v>0</v>
      </c>
      <c r="P38" s="52">
        <f>'4.6.1.3-4 Direct N20'!P225</f>
        <v>0</v>
      </c>
      <c r="Q38" s="52">
        <f>'4.6.1.3-4 Direct N20'!Q225</f>
        <v>0</v>
      </c>
      <c r="R38" s="52">
        <f>'4.6.1.3-4 Direct N20'!R225</f>
        <v>0</v>
      </c>
      <c r="S38" s="52">
        <f>'4.6.1.3-4 Direct N20'!S225</f>
        <v>0</v>
      </c>
      <c r="T38" s="2" t="s">
        <v>117</v>
      </c>
    </row>
    <row r="39" spans="4:20" ht="20.100000000000001" customHeight="1" x14ac:dyDescent="0.25">
      <c r="D39" s="57"/>
      <c r="E39" s="57">
        <f>'Input - Poultry'!$D$85</f>
        <v>0</v>
      </c>
      <c r="F39" s="52">
        <f>'4.6.1.3-4 Direct N20'!F226</f>
        <v>0</v>
      </c>
      <c r="G39" s="52">
        <f>'4.6.1.3-4 Direct N20'!G226</f>
        <v>0</v>
      </c>
      <c r="H39" s="52">
        <f>'4.6.1.3-4 Direct N20'!H226</f>
        <v>0</v>
      </c>
      <c r="I39" s="52">
        <f>'4.6.1.3-4 Direct N20'!I226</f>
        <v>0</v>
      </c>
      <c r="J39" s="2" t="s">
        <v>117</v>
      </c>
      <c r="N39" s="57"/>
      <c r="O39" s="57">
        <f>'Input - Poultry'!$D$85</f>
        <v>0</v>
      </c>
      <c r="P39" s="52">
        <f>'4.6.1.3-4 Direct N20'!P226</f>
        <v>0</v>
      </c>
      <c r="Q39" s="52">
        <f>'4.6.1.3-4 Direct N20'!Q226</f>
        <v>0</v>
      </c>
      <c r="R39" s="52">
        <f>'4.6.1.3-4 Direct N20'!R226</f>
        <v>0</v>
      </c>
      <c r="S39" s="52">
        <f>'4.6.1.3-4 Direct N20'!S226</f>
        <v>0</v>
      </c>
      <c r="T39" s="2" t="s">
        <v>117</v>
      </c>
    </row>
    <row r="40" spans="4:20" ht="20.100000000000001" customHeight="1" x14ac:dyDescent="0.25">
      <c r="D40" s="57"/>
      <c r="E40" s="57">
        <f>'Input - Poultry'!$D$86</f>
        <v>0</v>
      </c>
      <c r="F40" s="52">
        <f>'4.6.1.3-4 Direct N20'!F227</f>
        <v>0</v>
      </c>
      <c r="G40" s="52">
        <f>'4.6.1.3-4 Direct N20'!G227</f>
        <v>0</v>
      </c>
      <c r="H40" s="52">
        <f>'4.6.1.3-4 Direct N20'!H227</f>
        <v>0</v>
      </c>
      <c r="I40" s="52">
        <f>'4.6.1.3-4 Direct N20'!I227</f>
        <v>0</v>
      </c>
      <c r="J40" s="2" t="s">
        <v>117</v>
      </c>
      <c r="N40" s="57"/>
      <c r="O40" s="57">
        <f>'Input - Poultry'!$D$86</f>
        <v>0</v>
      </c>
      <c r="P40" s="52">
        <f>'4.6.1.3-4 Direct N20'!P227</f>
        <v>0</v>
      </c>
      <c r="Q40" s="52">
        <f>'4.6.1.3-4 Direct N20'!Q227</f>
        <v>0</v>
      </c>
      <c r="R40" s="52">
        <f>'4.6.1.3-4 Direct N20'!R227</f>
        <v>0</v>
      </c>
      <c r="S40" s="52">
        <f>'4.6.1.3-4 Direct N20'!S227</f>
        <v>0</v>
      </c>
      <c r="T40" s="2" t="s">
        <v>117</v>
      </c>
    </row>
    <row r="41" spans="4:20" ht="20.100000000000001" customHeight="1" x14ac:dyDescent="0.25">
      <c r="D41" s="57"/>
      <c r="E41" s="57">
        <f>'Input - Poultry'!$D$87</f>
        <v>0</v>
      </c>
      <c r="F41" s="52">
        <f>'4.6.1.3-4 Direct N20'!F228</f>
        <v>0</v>
      </c>
      <c r="G41" s="52">
        <f>'4.6.1.3-4 Direct N20'!G228</f>
        <v>0</v>
      </c>
      <c r="H41" s="52">
        <f>'4.6.1.3-4 Direct N20'!H228</f>
        <v>0</v>
      </c>
      <c r="I41" s="52">
        <f>'4.6.1.3-4 Direct N20'!I228</f>
        <v>0</v>
      </c>
      <c r="J41" s="2" t="s">
        <v>117</v>
      </c>
      <c r="N41" s="57"/>
      <c r="O41" s="57">
        <f>'Input - Poultry'!$D$87</f>
        <v>0</v>
      </c>
      <c r="P41" s="52">
        <f>'4.6.1.3-4 Direct N20'!P228</f>
        <v>0</v>
      </c>
      <c r="Q41" s="52">
        <f>'4.6.1.3-4 Direct N20'!Q228</f>
        <v>0</v>
      </c>
      <c r="R41" s="52">
        <f>'4.6.1.3-4 Direct N20'!R228</f>
        <v>0</v>
      </c>
      <c r="S41" s="52">
        <f>'4.6.1.3-4 Direct N20'!S228</f>
        <v>0</v>
      </c>
      <c r="T41" s="2" t="s">
        <v>117</v>
      </c>
    </row>
    <row r="42" spans="4:20" ht="20.100000000000001" customHeight="1" x14ac:dyDescent="0.25"/>
    <row r="43" spans="4:20" ht="20.100000000000001" customHeight="1" x14ac:dyDescent="0.25"/>
    <row r="44" spans="4:20" ht="20.100000000000001" customHeight="1" x14ac:dyDescent="0.25">
      <c r="D44" s="120" t="s">
        <v>183</v>
      </c>
      <c r="N44" s="120" t="s">
        <v>183</v>
      </c>
    </row>
    <row r="45" spans="4:20" ht="20.100000000000001" customHeight="1" x14ac:dyDescent="0.25">
      <c r="D45" s="121" t="s">
        <v>195</v>
      </c>
      <c r="N45" s="121" t="s">
        <v>195</v>
      </c>
    </row>
    <row r="46" spans="4:20" ht="20.100000000000001" customHeight="1" x14ac:dyDescent="0.25">
      <c r="D46" s="51" t="s">
        <v>139</v>
      </c>
      <c r="E46" s="51" t="s">
        <v>142</v>
      </c>
      <c r="F46" s="51" t="s">
        <v>134</v>
      </c>
      <c r="G46" s="51" t="s">
        <v>135</v>
      </c>
      <c r="H46" s="51" t="s">
        <v>136</v>
      </c>
      <c r="I46" s="51" t="s">
        <v>161</v>
      </c>
      <c r="N46" s="51" t="s">
        <v>139</v>
      </c>
      <c r="O46" s="51" t="s">
        <v>142</v>
      </c>
      <c r="P46" s="51" t="s">
        <v>134</v>
      </c>
      <c r="Q46" s="51" t="s">
        <v>135</v>
      </c>
      <c r="R46" s="51" t="s">
        <v>136</v>
      </c>
      <c r="S46" s="51" t="s">
        <v>161</v>
      </c>
    </row>
    <row r="47" spans="4:20" ht="20.100000000000001" customHeight="1" x14ac:dyDescent="0.25">
      <c r="D47" s="57" t="str">
        <f>'Input - Poultry'!$D$30</f>
        <v>Belt manure removal</v>
      </c>
      <c r="E47" s="57" t="str">
        <f>'Input - Poultry'!$D$38</f>
        <v>Solid storage</v>
      </c>
      <c r="F47" s="52">
        <v>0</v>
      </c>
      <c r="G47" s="52">
        <v>0</v>
      </c>
      <c r="H47" s="52">
        <v>0</v>
      </c>
      <c r="I47" s="52">
        <v>0</v>
      </c>
      <c r="J47" s="2">
        <f>'4.6.1.3-4 Direct N20'!J209</f>
        <v>0</v>
      </c>
      <c r="N47" s="57" t="str">
        <f>'Input - Poultry'!$D$30</f>
        <v>Belt manure removal</v>
      </c>
      <c r="O47" s="57" t="str">
        <f>'Input - Poultry'!$D$38</f>
        <v>Solid storage</v>
      </c>
      <c r="P47" s="52">
        <v>0</v>
      </c>
      <c r="Q47" s="52">
        <v>0</v>
      </c>
      <c r="R47" s="52">
        <v>0</v>
      </c>
      <c r="S47" s="52">
        <v>0</v>
      </c>
      <c r="T47" s="2">
        <f>'4.6.1.3-4 Direct N20'!T209</f>
        <v>0</v>
      </c>
    </row>
    <row r="48" spans="4:20" ht="20.100000000000001" customHeight="1" x14ac:dyDescent="0.25">
      <c r="D48" s="57"/>
      <c r="E48" s="57" t="str">
        <f>'Input - Poultry'!$D$39</f>
        <v>Composting (passive windrow)</v>
      </c>
      <c r="F48" s="52">
        <v>0</v>
      </c>
      <c r="G48" s="52">
        <v>0</v>
      </c>
      <c r="H48" s="52">
        <v>0</v>
      </c>
      <c r="I48" s="52">
        <v>0</v>
      </c>
      <c r="J48" s="2">
        <f>'4.6.1.3-4 Direct N20'!J210</f>
        <v>0</v>
      </c>
      <c r="N48" s="57"/>
      <c r="O48" s="57" t="str">
        <f>'Input - Poultry'!$D$39</f>
        <v>Composting (passive windrow)</v>
      </c>
      <c r="P48" s="52">
        <v>0</v>
      </c>
      <c r="Q48" s="52">
        <v>0</v>
      </c>
      <c r="R48" s="52">
        <v>0</v>
      </c>
      <c r="S48" s="52">
        <v>0</v>
      </c>
      <c r="T48" s="2">
        <f>'4.6.1.3-4 Direct N20'!T210</f>
        <v>0</v>
      </c>
    </row>
    <row r="49" spans="4:20" ht="20.100000000000001" customHeight="1" x14ac:dyDescent="0.25">
      <c r="D49" s="57"/>
      <c r="E49" s="57" t="str">
        <f>'Input - Poultry'!$D$40</f>
        <v>Digester / covered lagoons</v>
      </c>
      <c r="F49" s="52">
        <v>0</v>
      </c>
      <c r="G49" s="52">
        <v>0</v>
      </c>
      <c r="H49" s="52">
        <v>0</v>
      </c>
      <c r="I49" s="52">
        <v>0</v>
      </c>
      <c r="J49" s="2">
        <f>'4.6.1.3-4 Direct N20'!J211</f>
        <v>0</v>
      </c>
      <c r="N49" s="57"/>
      <c r="O49" s="57" t="str">
        <f>'Input - Poultry'!$D$40</f>
        <v>Digester / covered lagoons</v>
      </c>
      <c r="P49" s="52">
        <v>0</v>
      </c>
      <c r="Q49" s="52">
        <v>0</v>
      </c>
      <c r="R49" s="52">
        <v>0</v>
      </c>
      <c r="S49" s="52">
        <v>0</v>
      </c>
      <c r="T49" s="2">
        <f>'4.6.1.3-4 Direct N20'!T211</f>
        <v>0</v>
      </c>
    </row>
    <row r="50" spans="4:20" ht="20.100000000000001" customHeight="1" x14ac:dyDescent="0.25">
      <c r="D50" s="57" t="str">
        <f>'Input - Poultry'!$D$31</f>
        <v>Manure stored in house</v>
      </c>
      <c r="E50" s="57" t="str">
        <f>'Input - Poultry'!$D$45</f>
        <v>Solid storage</v>
      </c>
      <c r="F50" s="52">
        <f>'4.5.1.7-8 Leaching and runoff'!E$28</f>
        <v>0</v>
      </c>
      <c r="G50" s="52">
        <f>'4.5.1.7-8 Leaching and runoff'!F$28</f>
        <v>0</v>
      </c>
      <c r="H50" s="52">
        <f>'4.5.1.7-8 Leaching and runoff'!G$28</f>
        <v>0</v>
      </c>
      <c r="I50" s="52">
        <f>'4.5.1.7-8 Leaching and runoff'!H$28</f>
        <v>0</v>
      </c>
      <c r="J50" s="2">
        <f>'4.6.1.3-4 Direct N20'!J212</f>
        <v>0</v>
      </c>
      <c r="N50" s="57" t="str">
        <f>'Input - Poultry'!$D$31</f>
        <v>Manure stored in house</v>
      </c>
      <c r="O50" s="57" t="str">
        <f>'Input - Poultry'!$D$45</f>
        <v>Solid storage</v>
      </c>
      <c r="P50" s="52">
        <f>'4.5.1.7-8 Leaching and runoff'!N$28</f>
        <v>0</v>
      </c>
      <c r="Q50" s="52">
        <f>'4.5.1.7-8 Leaching and runoff'!O$28</f>
        <v>0</v>
      </c>
      <c r="R50" s="52">
        <f>'4.5.1.7-8 Leaching and runoff'!P$28</f>
        <v>0</v>
      </c>
      <c r="S50" s="52">
        <f>'4.5.1.7-8 Leaching and runoff'!Q$28</f>
        <v>0</v>
      </c>
      <c r="T50" s="2">
        <f>'4.6.1.3-4 Direct N20'!T212</f>
        <v>0</v>
      </c>
    </row>
    <row r="51" spans="4:20" ht="20.100000000000001" customHeight="1" x14ac:dyDescent="0.25">
      <c r="D51" s="57"/>
      <c r="E51" s="57" t="str">
        <f>'Input - Poultry'!$D$46</f>
        <v>Composting (passive windrow)</v>
      </c>
      <c r="F51" s="52">
        <f>'4.5.1.7-8 Leaching and runoff'!E$28</f>
        <v>0</v>
      </c>
      <c r="G51" s="52">
        <f>'4.5.1.7-8 Leaching and runoff'!F$28</f>
        <v>0</v>
      </c>
      <c r="H51" s="52">
        <f>'4.5.1.7-8 Leaching and runoff'!G$28</f>
        <v>0</v>
      </c>
      <c r="I51" s="52">
        <f>'4.5.1.7-8 Leaching and runoff'!H$28</f>
        <v>0</v>
      </c>
      <c r="J51" s="2">
        <f>'4.6.1.3-4 Direct N20'!J213</f>
        <v>0</v>
      </c>
      <c r="N51" s="57"/>
      <c r="O51" s="57" t="str">
        <f>'Input - Poultry'!$D$46</f>
        <v>Composting (passive windrow)</v>
      </c>
      <c r="P51" s="52">
        <f>'4.5.1.7-8 Leaching and runoff'!N$28</f>
        <v>0</v>
      </c>
      <c r="Q51" s="52">
        <f>'4.5.1.7-8 Leaching and runoff'!O$28</f>
        <v>0</v>
      </c>
      <c r="R51" s="52">
        <f>'4.5.1.7-8 Leaching and runoff'!P$28</f>
        <v>0</v>
      </c>
      <c r="S51" s="52">
        <f>'4.5.1.7-8 Leaching and runoff'!Q$28</f>
        <v>0</v>
      </c>
      <c r="T51" s="2">
        <f>'4.6.1.3-4 Direct N20'!T213</f>
        <v>0</v>
      </c>
    </row>
    <row r="52" spans="4:20" ht="20.100000000000001" customHeight="1" x14ac:dyDescent="0.25">
      <c r="D52" s="57"/>
      <c r="E52" s="57" t="str">
        <f>'Input - Poultry'!$D$47</f>
        <v>Digester / covered lagoons</v>
      </c>
      <c r="F52" s="52">
        <f>'4.5.1.7-8 Leaching and runoff'!E$28</f>
        <v>0</v>
      </c>
      <c r="G52" s="52">
        <f>'4.5.1.7-8 Leaching and runoff'!F$28</f>
        <v>0</v>
      </c>
      <c r="H52" s="52">
        <f>'4.5.1.7-8 Leaching and runoff'!G$28</f>
        <v>0</v>
      </c>
      <c r="I52" s="52">
        <f>'4.5.1.7-8 Leaching and runoff'!H$28</f>
        <v>0</v>
      </c>
      <c r="J52" s="2">
        <f>'4.6.1.3-4 Direct N20'!J214</f>
        <v>0</v>
      </c>
      <c r="N52" s="57"/>
      <c r="O52" s="57" t="str">
        <f>'Input - Poultry'!$D$47</f>
        <v>Digester / covered lagoons</v>
      </c>
      <c r="P52" s="52">
        <f>'4.5.1.7-8 Leaching and runoff'!N$28</f>
        <v>0</v>
      </c>
      <c r="Q52" s="52">
        <f>'4.5.1.7-8 Leaching and runoff'!O$28</f>
        <v>0</v>
      </c>
      <c r="R52" s="52">
        <f>'4.5.1.7-8 Leaching and runoff'!P$28</f>
        <v>0</v>
      </c>
      <c r="S52" s="52">
        <f>'4.5.1.7-8 Leaching and runoff'!Q$28</f>
        <v>0</v>
      </c>
      <c r="T52" s="2">
        <f>'4.6.1.3-4 Direct N20'!T214</f>
        <v>0</v>
      </c>
    </row>
    <row r="53" spans="4:20" ht="20.100000000000001" customHeight="1" x14ac:dyDescent="0.25">
      <c r="D53" s="57"/>
      <c r="E53" s="57" t="str">
        <f>'Input - Poultry'!$D$48</f>
        <v>Direct processing</v>
      </c>
      <c r="F53" s="52">
        <f>'4.5.1.7-8 Leaching and runoff'!E$28</f>
        <v>0</v>
      </c>
      <c r="G53" s="52">
        <f>'4.5.1.7-8 Leaching and runoff'!F$28</f>
        <v>0</v>
      </c>
      <c r="H53" s="52">
        <f>'4.5.1.7-8 Leaching and runoff'!G$28</f>
        <v>0</v>
      </c>
      <c r="I53" s="52">
        <f>'4.5.1.7-8 Leaching and runoff'!H$28</f>
        <v>0</v>
      </c>
      <c r="J53" s="2">
        <f>'4.6.1.3-4 Direct N20'!J215</f>
        <v>0</v>
      </c>
      <c r="N53" s="57"/>
      <c r="O53" s="57" t="str">
        <f>'Input - Poultry'!$D$48</f>
        <v>Direct processing</v>
      </c>
      <c r="P53" s="52">
        <f>'4.5.1.7-8 Leaching and runoff'!N$28</f>
        <v>0</v>
      </c>
      <c r="Q53" s="52">
        <f>'4.5.1.7-8 Leaching and runoff'!O$28</f>
        <v>0</v>
      </c>
      <c r="R53" s="52">
        <f>'4.5.1.7-8 Leaching and runoff'!P$28</f>
        <v>0</v>
      </c>
      <c r="S53" s="52">
        <f>'4.5.1.7-8 Leaching and runoff'!Q$28</f>
        <v>0</v>
      </c>
      <c r="T53" s="2">
        <f>'4.6.1.3-4 Direct N20'!T215</f>
        <v>0</v>
      </c>
    </row>
    <row r="54" spans="4:20" ht="20.100000000000001" customHeight="1" x14ac:dyDescent="0.25">
      <c r="D54" s="57" t="str">
        <f>'Input - Poultry'!$D$32</f>
        <v>Pasture range and paddock</v>
      </c>
      <c r="E54" s="57" t="str">
        <f>'Input - Poultry'!$D$52</f>
        <v>Solid storage</v>
      </c>
      <c r="F54" s="52">
        <v>0</v>
      </c>
      <c r="G54" s="52">
        <v>0</v>
      </c>
      <c r="H54" s="52">
        <v>0</v>
      </c>
      <c r="I54" s="52">
        <v>0</v>
      </c>
      <c r="J54" s="2">
        <f>'4.6.1.3-4 Direct N20'!J216</f>
        <v>0</v>
      </c>
      <c r="N54" s="57" t="str">
        <f>'Input - Poultry'!$D$32</f>
        <v>Pasture range and paddock</v>
      </c>
      <c r="O54" s="57" t="str">
        <f>'Input - Poultry'!$D$52</f>
        <v>Solid storage</v>
      </c>
      <c r="P54" s="52">
        <v>0</v>
      </c>
      <c r="Q54" s="52">
        <v>0</v>
      </c>
      <c r="R54" s="52">
        <v>0</v>
      </c>
      <c r="S54" s="52">
        <v>0</v>
      </c>
      <c r="T54" s="2">
        <f>'4.6.1.3-4 Direct N20'!T216</f>
        <v>0</v>
      </c>
    </row>
    <row r="55" spans="4:20" ht="20.100000000000001" customHeight="1" x14ac:dyDescent="0.25">
      <c r="D55" s="57"/>
      <c r="E55" s="57" t="str">
        <f>'Input - Poultry'!$D$53</f>
        <v>Composting (passive windrow)</v>
      </c>
      <c r="F55" s="52">
        <v>0</v>
      </c>
      <c r="G55" s="52">
        <v>0</v>
      </c>
      <c r="H55" s="52">
        <v>0</v>
      </c>
      <c r="I55" s="52">
        <v>0</v>
      </c>
      <c r="J55" s="2">
        <f>'4.6.1.3-4 Direct N20'!J217</f>
        <v>0</v>
      </c>
      <c r="N55" s="57"/>
      <c r="O55" s="57" t="str">
        <f>'Input - Poultry'!$D$53</f>
        <v>Composting (passive windrow)</v>
      </c>
      <c r="P55" s="52">
        <v>0</v>
      </c>
      <c r="Q55" s="52">
        <v>0</v>
      </c>
      <c r="R55" s="52">
        <v>0</v>
      </c>
      <c r="S55" s="52">
        <v>0</v>
      </c>
      <c r="T55" s="2">
        <f>'4.6.1.3-4 Direct N20'!T217</f>
        <v>0</v>
      </c>
    </row>
    <row r="56" spans="4:20" ht="20.100000000000001" customHeight="1" x14ac:dyDescent="0.25">
      <c r="D56" s="57"/>
      <c r="E56" s="57" t="str">
        <f>'Input - Poultry'!$D$54</f>
        <v>Digester / covered lagoons</v>
      </c>
      <c r="F56" s="52">
        <v>0</v>
      </c>
      <c r="G56" s="52">
        <v>0</v>
      </c>
      <c r="H56" s="52">
        <v>0</v>
      </c>
      <c r="I56" s="52">
        <v>0</v>
      </c>
      <c r="J56" s="2">
        <f>'4.6.1.3-4 Direct N20'!J218</f>
        <v>0</v>
      </c>
      <c r="N56" s="57"/>
      <c r="O56" s="57" t="str">
        <f>'Input - Poultry'!$D$54</f>
        <v>Digester / covered lagoons</v>
      </c>
      <c r="P56" s="52">
        <v>0</v>
      </c>
      <c r="Q56" s="52">
        <v>0</v>
      </c>
      <c r="R56" s="52">
        <v>0</v>
      </c>
      <c r="S56" s="52">
        <v>0</v>
      </c>
      <c r="T56" s="2">
        <f>'4.6.1.3-4 Direct N20'!T218</f>
        <v>0</v>
      </c>
    </row>
    <row r="57" spans="4:20" ht="20.100000000000001" customHeight="1" x14ac:dyDescent="0.25">
      <c r="D57" s="57" t="str">
        <f>'Input - Poultry'!$D$33</f>
        <v>No MMS</v>
      </c>
      <c r="E57" s="57" t="e">
        <f>'Input - Poultry'!#REF!</f>
        <v>#REF!</v>
      </c>
      <c r="F57" s="52">
        <v>0</v>
      </c>
      <c r="G57" s="52">
        <v>0</v>
      </c>
      <c r="H57" s="52">
        <v>0</v>
      </c>
      <c r="I57" s="52">
        <v>0</v>
      </c>
      <c r="J57" s="2">
        <f>'4.6.1.3-4 Direct N20'!J219</f>
        <v>0</v>
      </c>
      <c r="N57" s="57" t="str">
        <f>'Input - Poultry'!$D$33</f>
        <v>No MMS</v>
      </c>
      <c r="O57" s="57" t="e">
        <f>'Input - Poultry'!#REF!</f>
        <v>#REF!</v>
      </c>
      <c r="P57" s="52">
        <v>0</v>
      </c>
      <c r="Q57" s="52">
        <v>0</v>
      </c>
      <c r="R57" s="52">
        <v>0</v>
      </c>
      <c r="S57" s="52">
        <v>0</v>
      </c>
      <c r="T57" s="2">
        <f>'4.6.1.3-4 Direct N20'!T219</f>
        <v>0</v>
      </c>
    </row>
    <row r="58" spans="4:20" ht="20.100000000000001" customHeight="1" x14ac:dyDescent="0.25">
      <c r="D58" s="57"/>
      <c r="E58" s="57">
        <f>'Input - Poultry'!$D$71</f>
        <v>0</v>
      </c>
      <c r="F58" s="52">
        <v>0</v>
      </c>
      <c r="G58" s="52">
        <v>0</v>
      </c>
      <c r="H58" s="52">
        <v>0</v>
      </c>
      <c r="I58" s="52">
        <v>0</v>
      </c>
      <c r="J58" s="2">
        <f>'4.6.1.3-4 Direct N20'!J220</f>
        <v>0</v>
      </c>
      <c r="N58" s="57"/>
      <c r="O58" s="57">
        <f>'Input - Poultry'!$D$71</f>
        <v>0</v>
      </c>
      <c r="P58" s="52">
        <v>0</v>
      </c>
      <c r="Q58" s="52">
        <v>0</v>
      </c>
      <c r="R58" s="52">
        <v>0</v>
      </c>
      <c r="S58" s="52">
        <v>0</v>
      </c>
      <c r="T58" s="2">
        <f>'4.6.1.3-4 Direct N20'!T220</f>
        <v>0</v>
      </c>
    </row>
    <row r="59" spans="4:20" ht="20.100000000000001" customHeight="1" x14ac:dyDescent="0.25">
      <c r="D59" s="57"/>
      <c r="E59" s="57">
        <f>'Input - Poultry'!$D$72</f>
        <v>0</v>
      </c>
      <c r="F59" s="52">
        <v>0</v>
      </c>
      <c r="G59" s="52">
        <v>0</v>
      </c>
      <c r="H59" s="52">
        <v>0</v>
      </c>
      <c r="I59" s="52">
        <v>0</v>
      </c>
      <c r="J59" s="2">
        <f>'4.6.1.3-4 Direct N20'!J221</f>
        <v>0</v>
      </c>
      <c r="N59" s="57"/>
      <c r="O59" s="57">
        <f>'Input - Poultry'!$D$72</f>
        <v>0</v>
      </c>
      <c r="P59" s="52">
        <v>0</v>
      </c>
      <c r="Q59" s="52">
        <v>0</v>
      </c>
      <c r="R59" s="52">
        <v>0</v>
      </c>
      <c r="S59" s="52">
        <v>0</v>
      </c>
      <c r="T59" s="2">
        <f>'4.6.1.3-4 Direct N20'!T221</f>
        <v>0</v>
      </c>
    </row>
    <row r="60" spans="4:20" ht="20.100000000000001" customHeight="1" x14ac:dyDescent="0.25">
      <c r="D60" s="57" t="e">
        <f>'Input - Poultry'!#REF!</f>
        <v>#REF!</v>
      </c>
      <c r="E60" s="57">
        <f>'Input - Poultry'!$D$77</f>
        <v>0</v>
      </c>
      <c r="F60" s="52">
        <v>0</v>
      </c>
      <c r="G60" s="52">
        <v>0</v>
      </c>
      <c r="H60" s="52">
        <v>0</v>
      </c>
      <c r="I60" s="52">
        <v>0</v>
      </c>
      <c r="J60" s="2">
        <f>'4.6.1.3-4 Direct N20'!J222</f>
        <v>0</v>
      </c>
      <c r="N60" s="57" t="e">
        <f>'Input - Poultry'!#REF!</f>
        <v>#REF!</v>
      </c>
      <c r="O60" s="57">
        <f>'Input - Poultry'!$D$77</f>
        <v>0</v>
      </c>
      <c r="P60" s="52">
        <v>0</v>
      </c>
      <c r="Q60" s="52">
        <v>0</v>
      </c>
      <c r="R60" s="52">
        <v>0</v>
      </c>
      <c r="S60" s="52">
        <v>0</v>
      </c>
      <c r="T60" s="2">
        <f>'4.6.1.3-4 Direct N20'!T222</f>
        <v>0</v>
      </c>
    </row>
    <row r="61" spans="4:20" ht="20.100000000000001" customHeight="1" x14ac:dyDescent="0.25">
      <c r="D61" s="57"/>
      <c r="E61" s="57">
        <f>'Input - Poultry'!$D$78</f>
        <v>0</v>
      </c>
      <c r="F61" s="52">
        <v>0</v>
      </c>
      <c r="G61" s="52">
        <v>0</v>
      </c>
      <c r="H61" s="52">
        <v>0</v>
      </c>
      <c r="I61" s="52">
        <v>0</v>
      </c>
      <c r="J61" s="2">
        <f>'4.6.1.3-4 Direct N20'!J223</f>
        <v>0</v>
      </c>
      <c r="N61" s="57"/>
      <c r="O61" s="57">
        <f>'Input - Poultry'!$D$78</f>
        <v>0</v>
      </c>
      <c r="P61" s="52">
        <v>0</v>
      </c>
      <c r="Q61" s="52">
        <v>0</v>
      </c>
      <c r="R61" s="52">
        <v>0</v>
      </c>
      <c r="S61" s="52">
        <v>0</v>
      </c>
      <c r="T61" s="2">
        <f>'4.6.1.3-4 Direct N20'!T223</f>
        <v>0</v>
      </c>
    </row>
    <row r="62" spans="4:20" ht="20.100000000000001" customHeight="1" x14ac:dyDescent="0.25">
      <c r="D62" s="57"/>
      <c r="E62" s="57">
        <f>'Input - Poultry'!$D$79</f>
        <v>0</v>
      </c>
      <c r="F62" s="52">
        <v>0</v>
      </c>
      <c r="G62" s="52">
        <v>0</v>
      </c>
      <c r="H62" s="52">
        <v>0</v>
      </c>
      <c r="I62" s="52">
        <v>0</v>
      </c>
      <c r="J62" s="2">
        <f>'4.6.1.3-4 Direct N20'!J224</f>
        <v>0</v>
      </c>
      <c r="N62" s="57"/>
      <c r="O62" s="57">
        <f>'Input - Poultry'!$D$79</f>
        <v>0</v>
      </c>
      <c r="P62" s="52">
        <v>0</v>
      </c>
      <c r="Q62" s="52">
        <v>0</v>
      </c>
      <c r="R62" s="52">
        <v>0</v>
      </c>
      <c r="S62" s="52">
        <v>0</v>
      </c>
      <c r="T62" s="2">
        <f>'4.6.1.3-4 Direct N20'!T224</f>
        <v>0</v>
      </c>
    </row>
    <row r="63" spans="4:20" ht="20.100000000000001" customHeight="1" x14ac:dyDescent="0.25">
      <c r="D63" s="57" t="e">
        <f>'Input - Poultry'!#REF!</f>
        <v>#REF!</v>
      </c>
      <c r="E63" s="57">
        <f>'Input - Poultry'!$D$84</f>
        <v>0</v>
      </c>
      <c r="F63" s="52">
        <v>0</v>
      </c>
      <c r="G63" s="52">
        <v>0</v>
      </c>
      <c r="H63" s="52">
        <v>0</v>
      </c>
      <c r="I63" s="52">
        <v>0</v>
      </c>
      <c r="J63" s="2">
        <f>'4.6.1.3-4 Direct N20'!J225</f>
        <v>0</v>
      </c>
      <c r="N63" s="57" t="e">
        <f>'Input - Poultry'!#REF!</f>
        <v>#REF!</v>
      </c>
      <c r="O63" s="57">
        <f>'Input - Poultry'!$D$84</f>
        <v>0</v>
      </c>
      <c r="P63" s="52">
        <v>0</v>
      </c>
      <c r="Q63" s="52">
        <v>0</v>
      </c>
      <c r="R63" s="52">
        <v>0</v>
      </c>
      <c r="S63" s="52">
        <v>0</v>
      </c>
      <c r="T63" s="2">
        <f>'4.6.1.3-4 Direct N20'!T225</f>
        <v>0</v>
      </c>
    </row>
    <row r="64" spans="4:20" ht="20.100000000000001" customHeight="1" x14ac:dyDescent="0.25">
      <c r="D64" s="57"/>
      <c r="E64" s="57">
        <f>'Input - Poultry'!$D$85</f>
        <v>0</v>
      </c>
      <c r="F64" s="52">
        <v>0</v>
      </c>
      <c r="G64" s="52">
        <v>0</v>
      </c>
      <c r="H64" s="52">
        <v>0</v>
      </c>
      <c r="I64" s="52">
        <v>0</v>
      </c>
      <c r="J64" s="2">
        <f>'4.6.1.3-4 Direct N20'!J226</f>
        <v>0</v>
      </c>
      <c r="N64" s="57"/>
      <c r="O64" s="57">
        <f>'Input - Poultry'!$D$85</f>
        <v>0</v>
      </c>
      <c r="P64" s="52">
        <v>0</v>
      </c>
      <c r="Q64" s="52">
        <v>0</v>
      </c>
      <c r="R64" s="52">
        <v>0</v>
      </c>
      <c r="S64" s="52">
        <v>0</v>
      </c>
      <c r="T64" s="2">
        <f>'4.6.1.3-4 Direct N20'!T226</f>
        <v>0</v>
      </c>
    </row>
    <row r="65" spans="4:20" ht="20.100000000000001" customHeight="1" x14ac:dyDescent="0.25">
      <c r="D65" s="57"/>
      <c r="E65" s="57">
        <f>'Input - Poultry'!$D$86</f>
        <v>0</v>
      </c>
      <c r="F65" s="52">
        <v>0</v>
      </c>
      <c r="G65" s="52">
        <v>0</v>
      </c>
      <c r="H65" s="52">
        <v>0</v>
      </c>
      <c r="I65" s="52">
        <v>0</v>
      </c>
      <c r="J65" s="2">
        <f>'4.6.1.3-4 Direct N20'!J227</f>
        <v>0</v>
      </c>
      <c r="N65" s="57"/>
      <c r="O65" s="57">
        <f>'Input - Poultry'!$D$86</f>
        <v>0</v>
      </c>
      <c r="P65" s="52">
        <v>0</v>
      </c>
      <c r="Q65" s="52">
        <v>0</v>
      </c>
      <c r="R65" s="52">
        <v>0</v>
      </c>
      <c r="S65" s="52">
        <v>0</v>
      </c>
      <c r="T65" s="2">
        <f>'4.6.1.3-4 Direct N20'!T227</f>
        <v>0</v>
      </c>
    </row>
    <row r="66" spans="4:20" ht="20.100000000000001" customHeight="1" x14ac:dyDescent="0.25">
      <c r="D66" s="57"/>
      <c r="E66" s="57">
        <f>'Input - Poultry'!$D$87</f>
        <v>0</v>
      </c>
      <c r="F66" s="52">
        <v>0</v>
      </c>
      <c r="G66" s="52">
        <v>0</v>
      </c>
      <c r="H66" s="52">
        <v>0</v>
      </c>
      <c r="I66" s="52">
        <v>0</v>
      </c>
      <c r="J66" s="2">
        <f>'4.6.1.3-4 Direct N20'!J228</f>
        <v>0</v>
      </c>
      <c r="N66" s="57"/>
      <c r="O66" s="57">
        <f>'Input - Poultry'!$D$87</f>
        <v>0</v>
      </c>
      <c r="P66" s="52">
        <v>0</v>
      </c>
      <c r="Q66" s="52">
        <v>0</v>
      </c>
      <c r="R66" s="52">
        <v>0</v>
      </c>
      <c r="S66" s="52">
        <v>0</v>
      </c>
      <c r="T66" s="2">
        <f>'4.6.1.3-4 Direct N20'!T228</f>
        <v>0</v>
      </c>
    </row>
    <row r="67" spans="4:20" ht="20.100000000000001" customHeight="1" x14ac:dyDescent="0.25"/>
    <row r="68" spans="4:20" ht="20.100000000000001" customHeight="1" x14ac:dyDescent="0.25">
      <c r="D68" s="120" t="s">
        <v>196</v>
      </c>
    </row>
    <row r="69" spans="4:20" ht="20.100000000000001" customHeight="1" x14ac:dyDescent="0.25">
      <c r="D69" s="121" t="s">
        <v>197</v>
      </c>
    </row>
    <row r="70" spans="4:20" ht="20.100000000000001" customHeight="1" x14ac:dyDescent="0.25">
      <c r="D70" s="51" t="s">
        <v>139</v>
      </c>
      <c r="E70" s="51" t="s">
        <v>142</v>
      </c>
      <c r="F70" s="51" t="s">
        <v>198</v>
      </c>
    </row>
    <row r="71" spans="4:20" ht="20.100000000000001" customHeight="1" x14ac:dyDescent="0.25">
      <c r="D71" s="57" t="str">
        <f>'Input - Poultry'!$D$30</f>
        <v>Belt manure removal</v>
      </c>
      <c r="E71" s="57" t="str">
        <f>'Input - Poultry'!$D$38</f>
        <v>Solid storage</v>
      </c>
      <c r="F71" s="52">
        <f>'Input - Poultry'!K38+'Input - Poultry'!L38</f>
        <v>0.75</v>
      </c>
      <c r="G71" s="2" t="s">
        <v>117</v>
      </c>
    </row>
    <row r="72" spans="4:20" ht="20.100000000000001" customHeight="1" x14ac:dyDescent="0.25">
      <c r="D72" s="57"/>
      <c r="E72" s="57" t="str">
        <f>'Input - Poultry'!$D$39</f>
        <v>Composting (passive windrow)</v>
      </c>
      <c r="F72" s="52">
        <f>'Input - Poultry'!K39+'Input - Poultry'!L39</f>
        <v>0.75</v>
      </c>
      <c r="G72" s="2" t="s">
        <v>117</v>
      </c>
    </row>
    <row r="73" spans="4:20" ht="20.100000000000001" customHeight="1" x14ac:dyDescent="0.25">
      <c r="D73" s="57"/>
      <c r="E73" s="57" t="str">
        <f>'Input - Poultry'!$D$40</f>
        <v>Digester / covered lagoons</v>
      </c>
      <c r="F73" s="52">
        <f>'Input - Poultry'!K40+'Input - Poultry'!L40</f>
        <v>0.75</v>
      </c>
      <c r="G73" s="2" t="s">
        <v>117</v>
      </c>
    </row>
    <row r="74" spans="4:20" ht="20.100000000000001" customHeight="1" x14ac:dyDescent="0.25">
      <c r="D74" s="57" t="str">
        <f>'Input - Poultry'!$D$31</f>
        <v>Manure stored in house</v>
      </c>
      <c r="E74" s="57" t="str">
        <f>'Input - Poultry'!$D$45</f>
        <v>Solid storage</v>
      </c>
      <c r="F74" s="52">
        <f>'Input - Poultry'!K45+'Input - Poultry'!L45</f>
        <v>0.75</v>
      </c>
      <c r="G74" s="2" t="s">
        <v>117</v>
      </c>
    </row>
    <row r="75" spans="4:20" ht="20.100000000000001" customHeight="1" x14ac:dyDescent="0.25">
      <c r="D75" s="57"/>
      <c r="E75" s="57" t="str">
        <f>'Input - Poultry'!$D$46</f>
        <v>Composting (passive windrow)</v>
      </c>
      <c r="F75" s="52">
        <f>'Input - Poultry'!K46+'Input - Poultry'!L46</f>
        <v>0.75</v>
      </c>
      <c r="G75" s="2" t="s">
        <v>117</v>
      </c>
    </row>
    <row r="76" spans="4:20" ht="20.100000000000001" customHeight="1" x14ac:dyDescent="0.25">
      <c r="D76" s="57"/>
      <c r="E76" s="57" t="str">
        <f>'Input - Poultry'!$D$47</f>
        <v>Digester / covered lagoons</v>
      </c>
      <c r="F76" s="52">
        <f>'Input - Poultry'!K47+'Input - Poultry'!L47</f>
        <v>0.75</v>
      </c>
      <c r="G76" s="2" t="s">
        <v>117</v>
      </c>
    </row>
    <row r="77" spans="4:20" ht="20.100000000000001" customHeight="1" x14ac:dyDescent="0.25">
      <c r="D77" s="57"/>
      <c r="E77" s="57" t="str">
        <f>'Input - Poultry'!$D$48</f>
        <v>Direct processing</v>
      </c>
      <c r="F77" s="52">
        <f>'Input - Poultry'!K48+'Input - Poultry'!L48</f>
        <v>0.75</v>
      </c>
      <c r="G77" s="2" t="s">
        <v>117</v>
      </c>
    </row>
    <row r="78" spans="4:20" ht="20.100000000000001" customHeight="1" x14ac:dyDescent="0.25">
      <c r="D78" s="57" t="str">
        <f>'Input - Poultry'!$D$32</f>
        <v>Pasture range and paddock</v>
      </c>
      <c r="E78" s="57" t="str">
        <f>'Input - Poultry'!$D$52</f>
        <v>Solid storage</v>
      </c>
      <c r="F78" s="52">
        <f>'Input - Poultry'!K52+'Input - Poultry'!L52</f>
        <v>0.75</v>
      </c>
      <c r="G78" s="2" t="s">
        <v>117</v>
      </c>
    </row>
    <row r="79" spans="4:20" ht="20.100000000000001" customHeight="1" x14ac:dyDescent="0.25">
      <c r="D79" s="57"/>
      <c r="E79" s="57" t="str">
        <f>'Input - Poultry'!$D$53</f>
        <v>Composting (passive windrow)</v>
      </c>
      <c r="F79" s="52">
        <f>'Input - Poultry'!K53+'Input - Poultry'!L53</f>
        <v>0.75</v>
      </c>
      <c r="G79" s="2" t="s">
        <v>117</v>
      </c>
    </row>
    <row r="80" spans="4:20" ht="20.100000000000001" customHeight="1" x14ac:dyDescent="0.25">
      <c r="D80" s="57"/>
      <c r="E80" s="57" t="str">
        <f>'Input - Poultry'!$D$54</f>
        <v>Digester / covered lagoons</v>
      </c>
      <c r="F80" s="52">
        <f>'Input - Poultry'!K54+'Input - Poultry'!L54</f>
        <v>0.75</v>
      </c>
      <c r="G80" s="2" t="s">
        <v>117</v>
      </c>
    </row>
    <row r="81" spans="4:7" ht="20.100000000000001" customHeight="1" x14ac:dyDescent="0.25">
      <c r="D81" s="57" t="str">
        <f>'Input - Poultry'!$D$33</f>
        <v>No MMS</v>
      </c>
      <c r="E81" s="57" t="e">
        <f>'Input - Poultry'!#REF!</f>
        <v>#REF!</v>
      </c>
      <c r="F81" s="52">
        <f>'Input - Poultry'!K60+'Input - Poultry'!L60</f>
        <v>0</v>
      </c>
      <c r="G81" s="2" t="s">
        <v>117</v>
      </c>
    </row>
    <row r="82" spans="4:7" ht="20.100000000000001" customHeight="1" x14ac:dyDescent="0.25">
      <c r="D82" s="57"/>
      <c r="E82" s="57">
        <f>'Input - Poultry'!$D$71</f>
        <v>0</v>
      </c>
      <c r="F82" s="52">
        <f>'Input - Poultry'!K71+'Input - Poultry'!L71</f>
        <v>0</v>
      </c>
      <c r="G82" s="2" t="s">
        <v>117</v>
      </c>
    </row>
    <row r="83" spans="4:7" ht="20.100000000000001" customHeight="1" x14ac:dyDescent="0.25">
      <c r="D83" s="57"/>
      <c r="E83" s="57">
        <f>'Input - Poultry'!$D$72</f>
        <v>0</v>
      </c>
      <c r="F83" s="52">
        <f>'Input - Poultry'!K72+'Input - Poultry'!L72</f>
        <v>0</v>
      </c>
      <c r="G83" s="2" t="s">
        <v>117</v>
      </c>
    </row>
    <row r="84" spans="4:7" ht="20.100000000000001" customHeight="1" x14ac:dyDescent="0.25">
      <c r="D84" s="57" t="e">
        <f>'Input - Poultry'!#REF!</f>
        <v>#REF!</v>
      </c>
      <c r="E84" s="57">
        <f>'Input - Poultry'!$D$77</f>
        <v>0</v>
      </c>
      <c r="F84" s="52">
        <f>'Input - Poultry'!K77+'Input - Poultry'!L77</f>
        <v>0</v>
      </c>
      <c r="G84" s="2" t="s">
        <v>117</v>
      </c>
    </row>
    <row r="85" spans="4:7" ht="20.100000000000001" customHeight="1" x14ac:dyDescent="0.25">
      <c r="D85" s="57"/>
      <c r="E85" s="57">
        <f>'Input - Poultry'!$D$78</f>
        <v>0</v>
      </c>
      <c r="F85" s="52">
        <f>'Input - Poultry'!K78+'Input - Poultry'!L78</f>
        <v>0</v>
      </c>
      <c r="G85" s="2" t="s">
        <v>117</v>
      </c>
    </row>
    <row r="86" spans="4:7" ht="20.100000000000001" customHeight="1" x14ac:dyDescent="0.25">
      <c r="D86" s="57"/>
      <c r="E86" s="57">
        <f>'Input - Poultry'!$D$79</f>
        <v>0</v>
      </c>
      <c r="F86" s="52">
        <f>'Input - Poultry'!K79+'Input - Poultry'!L79</f>
        <v>0</v>
      </c>
      <c r="G86" s="2" t="s">
        <v>117</v>
      </c>
    </row>
    <row r="87" spans="4:7" ht="20.100000000000001" customHeight="1" x14ac:dyDescent="0.25">
      <c r="D87" s="57" t="e">
        <f>'Input - Poultry'!#REF!</f>
        <v>#REF!</v>
      </c>
      <c r="E87" s="57">
        <f>'Input - Poultry'!$D$84</f>
        <v>0</v>
      </c>
      <c r="F87" s="52">
        <f>'Input - Poultry'!K84+'Input - Poultry'!L84</f>
        <v>0</v>
      </c>
      <c r="G87" s="2" t="s">
        <v>117</v>
      </c>
    </row>
    <row r="88" spans="4:7" ht="20.100000000000001" customHeight="1" x14ac:dyDescent="0.25">
      <c r="D88" s="57"/>
      <c r="E88" s="57">
        <f>'Input - Poultry'!$D$85</f>
        <v>0</v>
      </c>
      <c r="F88" s="52">
        <f>'Input - Poultry'!K85+'Input - Poultry'!L85</f>
        <v>0</v>
      </c>
      <c r="G88" s="2" t="s">
        <v>117</v>
      </c>
    </row>
    <row r="89" spans="4:7" ht="20.100000000000001" customHeight="1" x14ac:dyDescent="0.25">
      <c r="D89" s="57"/>
      <c r="E89" s="57">
        <f>'Input - Poultry'!$D$86</f>
        <v>0</v>
      </c>
      <c r="F89" s="52">
        <f>'Input - Poultry'!K86+'Input - Poultry'!L86</f>
        <v>0</v>
      </c>
      <c r="G89" s="2" t="s">
        <v>117</v>
      </c>
    </row>
    <row r="90" spans="4:7" ht="20.100000000000001" customHeight="1" x14ac:dyDescent="0.25">
      <c r="D90" s="57"/>
      <c r="E90" s="57">
        <f>'Input - Poultry'!$D$87</f>
        <v>0</v>
      </c>
      <c r="F90" s="52">
        <f>'Input - Poultry'!K87+'Input - Poultry'!L87</f>
        <v>0</v>
      </c>
      <c r="G90" s="2" t="s">
        <v>117</v>
      </c>
    </row>
    <row r="91" spans="4:7" ht="20.100000000000001" customHeight="1" x14ac:dyDescent="0.25"/>
    <row r="92" spans="4:7" ht="20.100000000000001" customHeight="1" x14ac:dyDescent="0.25">
      <c r="D92" s="120" t="s">
        <v>199</v>
      </c>
    </row>
    <row r="93" spans="4:7" ht="20.100000000000001" customHeight="1" x14ac:dyDescent="0.25">
      <c r="D93" s="121" t="s">
        <v>200</v>
      </c>
    </row>
    <row r="94" spans="4:7" ht="20.100000000000001" customHeight="1" x14ac:dyDescent="0.25">
      <c r="D94" s="51" t="s">
        <v>139</v>
      </c>
      <c r="E94" s="51" t="s">
        <v>166</v>
      </c>
    </row>
    <row r="95" spans="4:7" ht="20.100000000000001" customHeight="1" x14ac:dyDescent="0.25">
      <c r="D95" s="57" t="str">
        <f>'Input - Poultry'!$D$30</f>
        <v>Belt manure removal</v>
      </c>
      <c r="E95" s="52" cm="1">
        <f t="array" ref="E95">Common_InputFunctions.Utility_LookupValueInTableNumber(D95, #REF!,#REF!)</f>
        <v>0</v>
      </c>
    </row>
    <row r="96" spans="4:7" ht="20.100000000000001" customHeight="1" x14ac:dyDescent="0.25">
      <c r="D96" s="57" t="str">
        <f>'Input - Poultry'!$D$31</f>
        <v>Manure stored in house</v>
      </c>
      <c r="E96" s="52" cm="1">
        <f t="array" ref="E96">Common_InputFunctions.Utility_LookupValueInTableNumber(D96, #REF!,#REF!)</f>
        <v>0</v>
      </c>
    </row>
    <row r="97" spans="4:14" ht="20.100000000000001" customHeight="1" x14ac:dyDescent="0.25">
      <c r="D97" s="57" t="str">
        <f>'Input - Poultry'!$D$32</f>
        <v>Pasture range and paddock</v>
      </c>
      <c r="E97" s="52" cm="1">
        <f t="array" ref="E97">Common_InputFunctions.Utility_LookupValueInTableNumber(D97, #REF!,#REF!)</f>
        <v>0</v>
      </c>
    </row>
    <row r="98" spans="4:14" ht="20.100000000000001" customHeight="1" x14ac:dyDescent="0.25">
      <c r="D98" s="57" t="str">
        <f>'Input - Poultry'!$D$33</f>
        <v>No MMS</v>
      </c>
      <c r="E98" s="52" cm="1">
        <f t="array" ref="E98">Common_InputFunctions.Utility_LookupValueInTableNumber(D98, #REF!,#REF!)</f>
        <v>0</v>
      </c>
    </row>
    <row r="99" spans="4:14" ht="20.100000000000001" customHeight="1" x14ac:dyDescent="0.25">
      <c r="D99" s="57" t="e">
        <f>'Input - Poultry'!#REF!</f>
        <v>#REF!</v>
      </c>
      <c r="E99" s="52" cm="1">
        <f t="array" ref="E99">Common_InputFunctions.Utility_LookupValueInTableNumber(D99, #REF!,#REF!)</f>
        <v>0</v>
      </c>
    </row>
    <row r="100" spans="4:14" ht="20.100000000000001" customHeight="1" x14ac:dyDescent="0.25">
      <c r="D100" s="57" t="e">
        <f>'Input - Poultry'!#REF!</f>
        <v>#REF!</v>
      </c>
      <c r="E100" s="52" cm="1">
        <f t="array" ref="E100">Common_InputFunctions.Utility_LookupValueInTableNumber(D100, #REF!,#REF!)</f>
        <v>0</v>
      </c>
    </row>
    <row r="101" spans="4:14" ht="20.100000000000001" customHeight="1" x14ac:dyDescent="0.25"/>
    <row r="102" spans="4:14" ht="20.100000000000001" customHeight="1" x14ac:dyDescent="0.25">
      <c r="D102" s="120" t="s">
        <v>201</v>
      </c>
    </row>
    <row r="103" spans="4:14" ht="20.100000000000001" customHeight="1" x14ac:dyDescent="0.25">
      <c r="D103" s="121" t="s">
        <v>202</v>
      </c>
    </row>
    <row r="104" spans="4:14" ht="20.100000000000001" customHeight="1" x14ac:dyDescent="0.25">
      <c r="D104" s="51" t="s">
        <v>67</v>
      </c>
      <c r="E104" s="51" t="s">
        <v>167</v>
      </c>
    </row>
    <row r="105" spans="4:14" ht="20.100000000000001" customHeight="1" x14ac:dyDescent="0.25">
      <c r="D105" s="57" t="str">
        <f>'Input - Poultry'!$D$30</f>
        <v>Belt manure removal</v>
      </c>
      <c r="E105" s="52" cm="1">
        <f t="array" ref="E105">Common_InputFunctions.Utility_LookupValueInTableNumber(D105, #REF!,#REF!)</f>
        <v>0</v>
      </c>
    </row>
    <row r="106" spans="4:14" ht="20.100000000000001" customHeight="1" x14ac:dyDescent="0.25">
      <c r="D106" s="57" t="str">
        <f>'Input - Poultry'!$D$31</f>
        <v>Manure stored in house</v>
      </c>
      <c r="E106" s="52" cm="1">
        <f t="array" ref="E106">Common_InputFunctions.Utility_LookupValueInTableNumber(D106, #REF!,#REF!)</f>
        <v>0</v>
      </c>
    </row>
    <row r="107" spans="4:14" ht="20.100000000000001" customHeight="1" x14ac:dyDescent="0.25">
      <c r="D107" s="57" t="str">
        <f>'Input - Poultry'!$D$32</f>
        <v>Pasture range and paddock</v>
      </c>
      <c r="E107" s="52" cm="1">
        <f t="array" ref="E107">Common_InputFunctions.Utility_LookupValueInTableNumber(D107, #REF!,#REF!)</f>
        <v>0</v>
      </c>
    </row>
    <row r="108" spans="4:14" ht="20.100000000000001" customHeight="1" x14ac:dyDescent="0.25">
      <c r="D108" s="57" t="str">
        <f>'Input - Poultry'!$D$33</f>
        <v>No MMS</v>
      </c>
      <c r="E108" s="52" cm="1">
        <f t="array" ref="E108">Common_InputFunctions.Utility_LookupValueInTableNumber(D108, #REF!,#REF!)</f>
        <v>0</v>
      </c>
    </row>
    <row r="109" spans="4:14" ht="20.100000000000001" customHeight="1" x14ac:dyDescent="0.25">
      <c r="D109" s="57" t="e">
        <f>'Input - Poultry'!#REF!</f>
        <v>#REF!</v>
      </c>
      <c r="E109" s="52" cm="1">
        <f t="array" ref="E109">Common_InputFunctions.Utility_LookupValueInTableNumber(D109, #REF!,#REF!)</f>
        <v>0</v>
      </c>
    </row>
    <row r="110" spans="4:14" ht="20.100000000000001" customHeight="1" x14ac:dyDescent="0.25">
      <c r="D110" s="57" t="e">
        <f>'Input - Poultry'!#REF!</f>
        <v>#REF!</v>
      </c>
      <c r="E110" s="52" cm="1">
        <f t="array" ref="E110">Common_InputFunctions.Utility_LookupValueInTableNumber(D110, #REF!,#REF!)</f>
        <v>0</v>
      </c>
    </row>
    <row r="111" spans="4:14" ht="20.100000000000001" customHeight="1" x14ac:dyDescent="0.25"/>
    <row r="112" spans="4:14" ht="20.100000000000001" customHeight="1" x14ac:dyDescent="0.25">
      <c r="D112" s="120" t="s">
        <v>203</v>
      </c>
      <c r="N112" s="120" t="s">
        <v>203</v>
      </c>
    </row>
    <row r="113" spans="4:20" ht="20.100000000000001" customHeight="1" x14ac:dyDescent="0.25">
      <c r="D113" s="121" t="s">
        <v>204</v>
      </c>
      <c r="N113" s="121" t="s">
        <v>204</v>
      </c>
    </row>
    <row r="114" spans="4:20" ht="20.100000000000001" customHeight="1" x14ac:dyDescent="0.25">
      <c r="D114" s="51" t="s">
        <v>139</v>
      </c>
      <c r="E114" s="51" t="s">
        <v>142</v>
      </c>
      <c r="F114" s="51" t="s">
        <v>134</v>
      </c>
      <c r="G114" s="51" t="s">
        <v>135</v>
      </c>
      <c r="H114" s="51" t="s">
        <v>136</v>
      </c>
      <c r="I114" s="51" t="s">
        <v>161</v>
      </c>
      <c r="N114" s="51" t="s">
        <v>139</v>
      </c>
      <c r="O114" s="51" t="s">
        <v>142</v>
      </c>
      <c r="P114" s="51" t="s">
        <v>134</v>
      </c>
      <c r="Q114" s="51" t="s">
        <v>135</v>
      </c>
      <c r="R114" s="51" t="s">
        <v>136</v>
      </c>
      <c r="S114" s="51" t="s">
        <v>161</v>
      </c>
    </row>
    <row r="115" spans="4:20" ht="20.100000000000001" customHeight="1" x14ac:dyDescent="0.25">
      <c r="D115" s="57" t="str">
        <f>'Input - Poultry'!$D$30</f>
        <v>Belt manure removal</v>
      </c>
      <c r="E115" s="57" t="str">
        <f>'Input - Poultry'!$D$38</f>
        <v>Solid storage</v>
      </c>
      <c r="F115" s="52" t="e" cm="1">
        <f t="array" ref="F115">MMS_Swine_ManureAppliedToSoils_Equations.VEERG_4_5_1_9__1_MassOfNitrogenAppliedToSoilsScope1(F22,_xlfn.XLOOKUP($E115,$D$105:$D$110,$E$105:$E$110), _xlfn.XLOOKUP($E115,$D$95:$D$100,$E$95:$E$100),F47,$F71)</f>
        <v>#N/A</v>
      </c>
      <c r="G115" s="52" t="e" cm="1">
        <f t="array" ref="G115">MMS_Swine_ManureAppliedToSoils_Equations.VEERG_4_5_1_9__1_MassOfNitrogenAppliedToSoilsScope1(G22,_xlfn.XLOOKUP($E115,$D$105:$D$110,$E$105:$E$110), _xlfn.XLOOKUP($E115,$D$95:$D$100,$E$95:$E$100),G47,$F71)</f>
        <v>#N/A</v>
      </c>
      <c r="H115" s="52" t="e" cm="1">
        <f t="array" ref="H115">MMS_Swine_ManureAppliedToSoils_Equations.VEERG_4_5_1_9__1_MassOfNitrogenAppliedToSoilsScope1(H22,_xlfn.XLOOKUP($E115,$D$105:$D$110,$E$105:$E$110), _xlfn.XLOOKUP($E115,$D$95:$D$100,$E$95:$E$100),H47,$F71)</f>
        <v>#N/A</v>
      </c>
      <c r="I115" s="52" t="e" cm="1">
        <f t="array" ref="I115">MMS_Swine_ManureAppliedToSoils_Equations.VEERG_4_5_1_9__1_MassOfNitrogenAppliedToSoilsScope1(I22,_xlfn.XLOOKUP($E115,$D$105:$D$110,$E$105:$E$110), _xlfn.XLOOKUP($E115,$D$95:$D$100,$E$95:$E$100),I47,$F71)</f>
        <v>#N/A</v>
      </c>
      <c r="J115" s="2" t="str">
        <f>$E$11</f>
        <v>kg N</v>
      </c>
      <c r="N115" s="57" t="str">
        <f>'Input - Poultry'!$D$30</f>
        <v>Belt manure removal</v>
      </c>
      <c r="O115" s="57" t="str">
        <f>'Input - Poultry'!$D$38</f>
        <v>Solid storage</v>
      </c>
      <c r="P115" s="52" t="e" cm="1">
        <f t="array" ref="P115">MMS_Swine_ManureAppliedToSoils_Equations.VEERG_4_5_1_9__1_MassOfNitrogenAppliedToSoilsScope1(P22,_xlfn.XLOOKUP($O115,$D$105:$D$110,$E$105:$E$110), _xlfn.XLOOKUP($O115,$D$95:$D$100,$E$95:$E$100),P47,$F71)</f>
        <v>#N/A</v>
      </c>
      <c r="Q115" s="52" t="e" cm="1">
        <f t="array" ref="Q115">MMS_Swine_ManureAppliedToSoils_Equations.VEERG_4_5_1_9__1_MassOfNitrogenAppliedToSoilsScope1(Q22,_xlfn.XLOOKUP($O115,$D$105:$D$110,$E$105:$E$110), _xlfn.XLOOKUP($O115,$D$95:$D$100,$E$95:$E$100),Q47,$F71)</f>
        <v>#N/A</v>
      </c>
      <c r="R115" s="52" t="e" cm="1">
        <f t="array" ref="R115">MMS_Swine_ManureAppliedToSoils_Equations.VEERG_4_5_1_9__1_MassOfNitrogenAppliedToSoilsScope1(R22,_xlfn.XLOOKUP($O115,$D$105:$D$110,$E$105:$E$110), _xlfn.XLOOKUP($O115,$D$95:$D$100,$E$95:$E$100),R47,$F71)</f>
        <v>#N/A</v>
      </c>
      <c r="S115" s="52" t="e" cm="1">
        <f t="array" ref="S115">MMS_Swine_ManureAppliedToSoils_Equations.VEERG_4_5_1_9__1_MassOfNitrogenAppliedToSoilsScope1(S22,_xlfn.XLOOKUP($O115,$D$105:$D$110,$E$105:$E$110), _xlfn.XLOOKUP($O115,$D$95:$D$100,$E$95:$E$100),S47,$F71)</f>
        <v>#N/A</v>
      </c>
      <c r="T115" s="2" t="str">
        <f>$E$11</f>
        <v>kg N</v>
      </c>
    </row>
    <row r="116" spans="4:20" ht="20.100000000000001" customHeight="1" x14ac:dyDescent="0.25">
      <c r="D116" s="57"/>
      <c r="E116" s="57" t="str">
        <f>'Input - Poultry'!$D$39</f>
        <v>Composting (passive windrow)</v>
      </c>
      <c r="F116" s="52" t="e" cm="1">
        <f t="array" ref="F116">MMS_Swine_ManureAppliedToSoils_Equations.VEERG_4_5_1_9__1_MassOfNitrogenAppliedToSoilsScope1(F23,_xlfn.XLOOKUP($E116,$D$105:$D$110,$E$105:$E$110), _xlfn.XLOOKUP($E116,$D$95:$D$100,$E$95:$E$100),F48,$F72)</f>
        <v>#N/A</v>
      </c>
      <c r="G116" s="52" t="e" cm="1">
        <f t="array" ref="G116">MMS_Swine_ManureAppliedToSoils_Equations.VEERG_4_5_1_9__1_MassOfNitrogenAppliedToSoilsScope1(G23,_xlfn.XLOOKUP($E116,$D$105:$D$110,$E$105:$E$110), _xlfn.XLOOKUP($E116,$D$95:$D$100,$E$95:$E$100),G48,$F72)</f>
        <v>#N/A</v>
      </c>
      <c r="H116" s="52" t="e" cm="1">
        <f t="array" ref="H116">MMS_Swine_ManureAppliedToSoils_Equations.VEERG_4_5_1_9__1_MassOfNitrogenAppliedToSoilsScope1(H23,_xlfn.XLOOKUP($E116,$D$105:$D$110,$E$105:$E$110), _xlfn.XLOOKUP($E116,$D$95:$D$100,$E$95:$E$100),H48,$F72)</f>
        <v>#N/A</v>
      </c>
      <c r="I116" s="52" t="e" cm="1">
        <f t="array" ref="I116">MMS_Swine_ManureAppliedToSoils_Equations.VEERG_4_5_1_9__1_MassOfNitrogenAppliedToSoilsScope1(I23,_xlfn.XLOOKUP($E116,$D$105:$D$110,$E$105:$E$110), _xlfn.XLOOKUP($E116,$D$95:$D$100,$E$95:$E$100),I48,$F72)</f>
        <v>#N/A</v>
      </c>
      <c r="J116" s="2" t="str">
        <f t="shared" ref="J116:J134" si="0">$E$11</f>
        <v>kg N</v>
      </c>
      <c r="N116" s="57"/>
      <c r="O116" s="57" t="str">
        <f>'Input - Poultry'!$D$39</f>
        <v>Composting (passive windrow)</v>
      </c>
      <c r="P116" s="52" t="e" cm="1">
        <f t="array" ref="P116">MMS_Swine_ManureAppliedToSoils_Equations.VEERG_4_5_1_9__1_MassOfNitrogenAppliedToSoilsScope1(P23,_xlfn.XLOOKUP($O116,$D$105:$D$110,$E$105:$E$110), _xlfn.XLOOKUP($O116,$D$95:$D$100,$E$95:$E$100),P48,$F72)</f>
        <v>#N/A</v>
      </c>
      <c r="Q116" s="52" t="e" cm="1">
        <f t="array" ref="Q116">MMS_Swine_ManureAppliedToSoils_Equations.VEERG_4_5_1_9__1_MassOfNitrogenAppliedToSoilsScope1(Q23,_xlfn.XLOOKUP($O116,$D$105:$D$110,$E$105:$E$110), _xlfn.XLOOKUP($O116,$D$95:$D$100,$E$95:$E$100),Q48,$F72)</f>
        <v>#N/A</v>
      </c>
      <c r="R116" s="52" t="e" cm="1">
        <f t="array" ref="R116">MMS_Swine_ManureAppliedToSoils_Equations.VEERG_4_5_1_9__1_MassOfNitrogenAppliedToSoilsScope1(R23,_xlfn.XLOOKUP($O116,$D$105:$D$110,$E$105:$E$110), _xlfn.XLOOKUP($O116,$D$95:$D$100,$E$95:$E$100),R48,$F72)</f>
        <v>#N/A</v>
      </c>
      <c r="S116" s="52" t="e" cm="1">
        <f t="array" ref="S116">MMS_Swine_ManureAppliedToSoils_Equations.VEERG_4_5_1_9__1_MassOfNitrogenAppliedToSoilsScope1(S23,_xlfn.XLOOKUP($O116,$D$105:$D$110,$E$105:$E$110), _xlfn.XLOOKUP($O116,$D$95:$D$100,$E$95:$E$100),S48,$F72)</f>
        <v>#N/A</v>
      </c>
      <c r="T116" s="2" t="str">
        <f t="shared" ref="T116:T134" si="1">$E$11</f>
        <v>kg N</v>
      </c>
    </row>
    <row r="117" spans="4:20" ht="20.100000000000001" customHeight="1" x14ac:dyDescent="0.25">
      <c r="D117" s="57"/>
      <c r="E117" s="57" t="str">
        <f>'Input - Poultry'!$D$40</f>
        <v>Digester / covered lagoons</v>
      </c>
      <c r="F117" s="52" t="e" cm="1">
        <f t="array" ref="F117">MMS_Swine_ManureAppliedToSoils_Equations.VEERG_4_5_1_9__1_MassOfNitrogenAppliedToSoilsScope1(F24,_xlfn.XLOOKUP($E117,$D$105:$D$110,$E$105:$E$110), _xlfn.XLOOKUP($E117,$D$95:$D$100,$E$95:$E$100),F49,$F73)</f>
        <v>#N/A</v>
      </c>
      <c r="G117" s="52" t="e" cm="1">
        <f t="array" ref="G117">MMS_Swine_ManureAppliedToSoils_Equations.VEERG_4_5_1_9__1_MassOfNitrogenAppliedToSoilsScope1(G24,_xlfn.XLOOKUP($E117,$D$105:$D$110,$E$105:$E$110), _xlfn.XLOOKUP($E117,$D$95:$D$100,$E$95:$E$100),G49,$F73)</f>
        <v>#N/A</v>
      </c>
      <c r="H117" s="52" t="e" cm="1">
        <f t="array" ref="H117">MMS_Swine_ManureAppliedToSoils_Equations.VEERG_4_5_1_9__1_MassOfNitrogenAppliedToSoilsScope1(H24,_xlfn.XLOOKUP($E117,$D$105:$D$110,$E$105:$E$110), _xlfn.XLOOKUP($E117,$D$95:$D$100,$E$95:$E$100),H49,$F73)</f>
        <v>#N/A</v>
      </c>
      <c r="I117" s="52" t="e" cm="1">
        <f t="array" ref="I117">MMS_Swine_ManureAppliedToSoils_Equations.VEERG_4_5_1_9__1_MassOfNitrogenAppliedToSoilsScope1(I24,_xlfn.XLOOKUP($E117,$D$105:$D$110,$E$105:$E$110), _xlfn.XLOOKUP($E117,$D$95:$D$100,$E$95:$E$100),I49,$F73)</f>
        <v>#N/A</v>
      </c>
      <c r="J117" s="2" t="str">
        <f t="shared" si="0"/>
        <v>kg N</v>
      </c>
      <c r="N117" s="57"/>
      <c r="O117" s="57" t="str">
        <f>'Input - Poultry'!$D$40</f>
        <v>Digester / covered lagoons</v>
      </c>
      <c r="P117" s="52" t="e" cm="1">
        <f t="array" ref="P117">MMS_Swine_ManureAppliedToSoils_Equations.VEERG_4_5_1_9__1_MassOfNitrogenAppliedToSoilsScope1(P24,_xlfn.XLOOKUP($O117,$D$105:$D$110,$E$105:$E$110), _xlfn.XLOOKUP($O117,$D$95:$D$100,$E$95:$E$100),P49,$F73)</f>
        <v>#N/A</v>
      </c>
      <c r="Q117" s="52" t="e" cm="1">
        <f t="array" ref="Q117">MMS_Swine_ManureAppliedToSoils_Equations.VEERG_4_5_1_9__1_MassOfNitrogenAppliedToSoilsScope1(Q24,_xlfn.XLOOKUP($O117,$D$105:$D$110,$E$105:$E$110), _xlfn.XLOOKUP($O117,$D$95:$D$100,$E$95:$E$100),Q49,$F73)</f>
        <v>#N/A</v>
      </c>
      <c r="R117" s="52" t="e" cm="1">
        <f t="array" ref="R117">MMS_Swine_ManureAppliedToSoils_Equations.VEERG_4_5_1_9__1_MassOfNitrogenAppliedToSoilsScope1(R24,_xlfn.XLOOKUP($O117,$D$105:$D$110,$E$105:$E$110), _xlfn.XLOOKUP($O117,$D$95:$D$100,$E$95:$E$100),R49,$F73)</f>
        <v>#N/A</v>
      </c>
      <c r="S117" s="52" t="e" cm="1">
        <f t="array" ref="S117">MMS_Swine_ManureAppliedToSoils_Equations.VEERG_4_5_1_9__1_MassOfNitrogenAppliedToSoilsScope1(S24,_xlfn.XLOOKUP($O117,$D$105:$D$110,$E$105:$E$110), _xlfn.XLOOKUP($O117,$D$95:$D$100,$E$95:$E$100),S49,$F73)</f>
        <v>#N/A</v>
      </c>
      <c r="T117" s="2" t="str">
        <f t="shared" si="1"/>
        <v>kg N</v>
      </c>
    </row>
    <row r="118" spans="4:20" ht="20.100000000000001" customHeight="1" x14ac:dyDescent="0.25">
      <c r="D118" s="57" t="str">
        <f>'Input - Poultry'!$D$31</f>
        <v>Manure stored in house</v>
      </c>
      <c r="E118" s="57" t="str">
        <f>'Input - Poultry'!$D$45</f>
        <v>Solid storage</v>
      </c>
      <c r="F118" s="52" t="e" cm="1">
        <f t="array" ref="F118">MMS_Swine_ManureAppliedToSoils_Equations.VEERG_4_5_1_9__1_MassOfNitrogenAppliedToSoilsScope1(F25,_xlfn.XLOOKUP($E118,$D$105:$D$110,$E$105:$E$110), _xlfn.XLOOKUP($E118,$D$95:$D$100,$E$95:$E$100),F50,$F74)</f>
        <v>#N/A</v>
      </c>
      <c r="G118" s="52" t="e" cm="1">
        <f t="array" ref="G118">MMS_Swine_ManureAppliedToSoils_Equations.VEERG_4_5_1_9__1_MassOfNitrogenAppliedToSoilsScope1(G25,_xlfn.XLOOKUP($E118,$D$105:$D$110,$E$105:$E$110), _xlfn.XLOOKUP($E118,$D$95:$D$100,$E$95:$E$100),G50,$F74)</f>
        <v>#N/A</v>
      </c>
      <c r="H118" s="52" t="e" cm="1">
        <f t="array" ref="H118">MMS_Swine_ManureAppliedToSoils_Equations.VEERG_4_5_1_9__1_MassOfNitrogenAppliedToSoilsScope1(H25,_xlfn.XLOOKUP($E118,$D$105:$D$110,$E$105:$E$110), _xlfn.XLOOKUP($E118,$D$95:$D$100,$E$95:$E$100),H50,$F74)</f>
        <v>#N/A</v>
      </c>
      <c r="I118" s="52" t="e" cm="1">
        <f t="array" ref="I118">MMS_Swine_ManureAppliedToSoils_Equations.VEERG_4_5_1_9__1_MassOfNitrogenAppliedToSoilsScope1(I25,_xlfn.XLOOKUP($E118,$D$105:$D$110,$E$105:$E$110), _xlfn.XLOOKUP($E118,$D$95:$D$100,$E$95:$E$100),I50,$F74)</f>
        <v>#N/A</v>
      </c>
      <c r="J118" s="2" t="str">
        <f t="shared" si="0"/>
        <v>kg N</v>
      </c>
      <c r="N118" s="57" t="str">
        <f>'Input - Poultry'!$D$31</f>
        <v>Manure stored in house</v>
      </c>
      <c r="O118" s="57" t="str">
        <f>'Input - Poultry'!$D$45</f>
        <v>Solid storage</v>
      </c>
      <c r="P118" s="52" t="e" cm="1">
        <f t="array" ref="P118">MMS_Swine_ManureAppliedToSoils_Equations.VEERG_4_5_1_9__1_MassOfNitrogenAppliedToSoilsScope1(P25,_xlfn.XLOOKUP($O118,$D$105:$D$110,$E$105:$E$110), _xlfn.XLOOKUP($O118,$D$95:$D$100,$E$95:$E$100),P50,$F74)</f>
        <v>#N/A</v>
      </c>
      <c r="Q118" s="52" t="e" cm="1">
        <f t="array" ref="Q118">MMS_Swine_ManureAppliedToSoils_Equations.VEERG_4_5_1_9__1_MassOfNitrogenAppliedToSoilsScope1(Q25,_xlfn.XLOOKUP($O118,$D$105:$D$110,$E$105:$E$110), _xlfn.XLOOKUP($O118,$D$95:$D$100,$E$95:$E$100),Q50,$F74)</f>
        <v>#N/A</v>
      </c>
      <c r="R118" s="52" t="e" cm="1">
        <f t="array" ref="R118">MMS_Swine_ManureAppliedToSoils_Equations.VEERG_4_5_1_9__1_MassOfNitrogenAppliedToSoilsScope1(R25,_xlfn.XLOOKUP($O118,$D$105:$D$110,$E$105:$E$110), _xlfn.XLOOKUP($O118,$D$95:$D$100,$E$95:$E$100),R50,$F74)</f>
        <v>#N/A</v>
      </c>
      <c r="S118" s="52" t="e" cm="1">
        <f t="array" ref="S118">MMS_Swine_ManureAppliedToSoils_Equations.VEERG_4_5_1_9__1_MassOfNitrogenAppliedToSoilsScope1(S25,_xlfn.XLOOKUP($O118,$D$105:$D$110,$E$105:$E$110), _xlfn.XLOOKUP($O118,$D$95:$D$100,$E$95:$E$100),S50,$F74)</f>
        <v>#N/A</v>
      </c>
      <c r="T118" s="2" t="str">
        <f t="shared" si="1"/>
        <v>kg N</v>
      </c>
    </row>
    <row r="119" spans="4:20" ht="20.100000000000001" customHeight="1" x14ac:dyDescent="0.25">
      <c r="D119" s="57"/>
      <c r="E119" s="57" t="str">
        <f>'Input - Poultry'!$D$46</f>
        <v>Composting (passive windrow)</v>
      </c>
      <c r="F119" s="52" t="e" cm="1">
        <f t="array" ref="F119">MMS_Swine_ManureAppliedToSoils_Equations.VEERG_4_5_1_9__1_MassOfNitrogenAppliedToSoilsScope1(F26,_xlfn.XLOOKUP($E119,$D$105:$D$110,$E$105:$E$110), _xlfn.XLOOKUP($E119,$D$95:$D$100,$E$95:$E$100),F51,$F75)</f>
        <v>#N/A</v>
      </c>
      <c r="G119" s="52" t="e" cm="1">
        <f t="array" ref="G119">MMS_Swine_ManureAppliedToSoils_Equations.VEERG_4_5_1_9__1_MassOfNitrogenAppliedToSoilsScope1(G26,_xlfn.XLOOKUP($E119,$D$105:$D$110,$E$105:$E$110), _xlfn.XLOOKUP($E119,$D$95:$D$100,$E$95:$E$100),G51,$F75)</f>
        <v>#N/A</v>
      </c>
      <c r="H119" s="52" t="e" cm="1">
        <f t="array" ref="H119">MMS_Swine_ManureAppliedToSoils_Equations.VEERG_4_5_1_9__1_MassOfNitrogenAppliedToSoilsScope1(H26,_xlfn.XLOOKUP($E119,$D$105:$D$110,$E$105:$E$110), _xlfn.XLOOKUP($E119,$D$95:$D$100,$E$95:$E$100),H51,$F75)</f>
        <v>#N/A</v>
      </c>
      <c r="I119" s="52" t="e" cm="1">
        <f t="array" ref="I119">MMS_Swine_ManureAppliedToSoils_Equations.VEERG_4_5_1_9__1_MassOfNitrogenAppliedToSoilsScope1(I26,_xlfn.XLOOKUP($E119,$D$105:$D$110,$E$105:$E$110), _xlfn.XLOOKUP($E119,$D$95:$D$100,$E$95:$E$100),I51,$F75)</f>
        <v>#N/A</v>
      </c>
      <c r="J119" s="2" t="str">
        <f t="shared" si="0"/>
        <v>kg N</v>
      </c>
      <c r="N119" s="57"/>
      <c r="O119" s="57" t="str">
        <f>'Input - Poultry'!$D$46</f>
        <v>Composting (passive windrow)</v>
      </c>
      <c r="P119" s="52" t="e" cm="1">
        <f t="array" ref="P119">MMS_Swine_ManureAppliedToSoils_Equations.VEERG_4_5_1_9__1_MassOfNitrogenAppliedToSoilsScope1(P26,_xlfn.XLOOKUP($O119,$D$105:$D$110,$E$105:$E$110), _xlfn.XLOOKUP($O119,$D$95:$D$100,$E$95:$E$100),P51,$F75)</f>
        <v>#N/A</v>
      </c>
      <c r="Q119" s="52" t="e" cm="1">
        <f t="array" ref="Q119">MMS_Swine_ManureAppliedToSoils_Equations.VEERG_4_5_1_9__1_MassOfNitrogenAppliedToSoilsScope1(Q26,_xlfn.XLOOKUP($O119,$D$105:$D$110,$E$105:$E$110), _xlfn.XLOOKUP($O119,$D$95:$D$100,$E$95:$E$100),Q51,$F75)</f>
        <v>#N/A</v>
      </c>
      <c r="R119" s="52" t="e" cm="1">
        <f t="array" ref="R119">MMS_Swine_ManureAppliedToSoils_Equations.VEERG_4_5_1_9__1_MassOfNitrogenAppliedToSoilsScope1(R26,_xlfn.XLOOKUP($O119,$D$105:$D$110,$E$105:$E$110), _xlfn.XLOOKUP($O119,$D$95:$D$100,$E$95:$E$100),R51,$F75)</f>
        <v>#N/A</v>
      </c>
      <c r="S119" s="52" t="e" cm="1">
        <f t="array" ref="S119">MMS_Swine_ManureAppliedToSoils_Equations.VEERG_4_5_1_9__1_MassOfNitrogenAppliedToSoilsScope1(S26,_xlfn.XLOOKUP($O119,$D$105:$D$110,$E$105:$E$110), _xlfn.XLOOKUP($O119,$D$95:$D$100,$E$95:$E$100),S51,$F75)</f>
        <v>#N/A</v>
      </c>
      <c r="T119" s="2" t="str">
        <f t="shared" si="1"/>
        <v>kg N</v>
      </c>
    </row>
    <row r="120" spans="4:20" ht="20.100000000000001" customHeight="1" x14ac:dyDescent="0.25">
      <c r="D120" s="57"/>
      <c r="E120" s="57" t="str">
        <f>'Input - Poultry'!$D$47</f>
        <v>Digester / covered lagoons</v>
      </c>
      <c r="F120" s="52" t="e" cm="1">
        <f t="array" ref="F120">MMS_Swine_ManureAppliedToSoils_Equations.VEERG_4_5_1_9__1_MassOfNitrogenAppliedToSoilsScope1(F27,_xlfn.XLOOKUP($E120,$D$105:$D$110,$E$105:$E$110), _xlfn.XLOOKUP($E120,$D$95:$D$100,$E$95:$E$100),F52,$F76)</f>
        <v>#N/A</v>
      </c>
      <c r="G120" s="52" t="e" cm="1">
        <f t="array" ref="G120">MMS_Swine_ManureAppliedToSoils_Equations.VEERG_4_5_1_9__1_MassOfNitrogenAppliedToSoilsScope1(G27,_xlfn.XLOOKUP($E120,$D$105:$D$110,$E$105:$E$110), _xlfn.XLOOKUP($E120,$D$95:$D$100,$E$95:$E$100),G52,$F76)</f>
        <v>#N/A</v>
      </c>
      <c r="H120" s="52" t="e" cm="1">
        <f t="array" ref="H120">MMS_Swine_ManureAppliedToSoils_Equations.VEERG_4_5_1_9__1_MassOfNitrogenAppliedToSoilsScope1(H27,_xlfn.XLOOKUP($E120,$D$105:$D$110,$E$105:$E$110), _xlfn.XLOOKUP($E120,$D$95:$D$100,$E$95:$E$100),H52,$F76)</f>
        <v>#N/A</v>
      </c>
      <c r="I120" s="52" t="e" cm="1">
        <f t="array" ref="I120">MMS_Swine_ManureAppliedToSoils_Equations.VEERG_4_5_1_9__1_MassOfNitrogenAppliedToSoilsScope1(I27,_xlfn.XLOOKUP($E120,$D$105:$D$110,$E$105:$E$110), _xlfn.XLOOKUP($E120,$D$95:$D$100,$E$95:$E$100),I52,$F76)</f>
        <v>#N/A</v>
      </c>
      <c r="J120" s="2" t="str">
        <f t="shared" si="0"/>
        <v>kg N</v>
      </c>
      <c r="N120" s="57"/>
      <c r="O120" s="57" t="str">
        <f>'Input - Poultry'!$D$47</f>
        <v>Digester / covered lagoons</v>
      </c>
      <c r="P120" s="52" t="e" cm="1">
        <f t="array" ref="P120">MMS_Swine_ManureAppliedToSoils_Equations.VEERG_4_5_1_9__1_MassOfNitrogenAppliedToSoilsScope1(P27,_xlfn.XLOOKUP($O120,$D$105:$D$110,$E$105:$E$110), _xlfn.XLOOKUP($O120,$D$95:$D$100,$E$95:$E$100),P52,$F76)</f>
        <v>#N/A</v>
      </c>
      <c r="Q120" s="52" t="e" cm="1">
        <f t="array" ref="Q120">MMS_Swine_ManureAppliedToSoils_Equations.VEERG_4_5_1_9__1_MassOfNitrogenAppliedToSoilsScope1(Q27,_xlfn.XLOOKUP($O120,$D$105:$D$110,$E$105:$E$110), _xlfn.XLOOKUP($O120,$D$95:$D$100,$E$95:$E$100),Q52,$F76)</f>
        <v>#N/A</v>
      </c>
      <c r="R120" s="52" t="e" cm="1">
        <f t="array" ref="R120">MMS_Swine_ManureAppliedToSoils_Equations.VEERG_4_5_1_9__1_MassOfNitrogenAppliedToSoilsScope1(R27,_xlfn.XLOOKUP($O120,$D$105:$D$110,$E$105:$E$110), _xlfn.XLOOKUP($O120,$D$95:$D$100,$E$95:$E$100),R52,$F76)</f>
        <v>#N/A</v>
      </c>
      <c r="S120" s="52" t="e" cm="1">
        <f t="array" ref="S120">MMS_Swine_ManureAppliedToSoils_Equations.VEERG_4_5_1_9__1_MassOfNitrogenAppliedToSoilsScope1(S27,_xlfn.XLOOKUP($O120,$D$105:$D$110,$E$105:$E$110), _xlfn.XLOOKUP($O120,$D$95:$D$100,$E$95:$E$100),S52,$F76)</f>
        <v>#N/A</v>
      </c>
      <c r="T120" s="2" t="str">
        <f t="shared" si="1"/>
        <v>kg N</v>
      </c>
    </row>
    <row r="121" spans="4:20" ht="20.100000000000001" customHeight="1" x14ac:dyDescent="0.25">
      <c r="D121" s="57"/>
      <c r="E121" s="57" t="str">
        <f>'Input - Poultry'!$D$48</f>
        <v>Direct processing</v>
      </c>
      <c r="F121" s="52" t="e" cm="1">
        <f t="array" ref="F121">MMS_Swine_ManureAppliedToSoils_Equations.VEERG_4_5_1_9__1_MassOfNitrogenAppliedToSoilsScope1(F28,_xlfn.XLOOKUP($E121,$D$105:$D$110,$E$105:$E$110), _xlfn.XLOOKUP($E121,$D$95:$D$100,$E$95:$E$100),F53,$F77)</f>
        <v>#N/A</v>
      </c>
      <c r="G121" s="52" t="e" cm="1">
        <f t="array" ref="G121">MMS_Swine_ManureAppliedToSoils_Equations.VEERG_4_5_1_9__1_MassOfNitrogenAppliedToSoilsScope1(G28,_xlfn.XLOOKUP($E121,$D$105:$D$110,$E$105:$E$110), _xlfn.XLOOKUP($E121,$D$95:$D$100,$E$95:$E$100),G53,$F77)</f>
        <v>#N/A</v>
      </c>
      <c r="H121" s="52" t="e" cm="1">
        <f t="array" ref="H121">MMS_Swine_ManureAppliedToSoils_Equations.VEERG_4_5_1_9__1_MassOfNitrogenAppliedToSoilsScope1(H28,_xlfn.XLOOKUP($E121,$D$105:$D$110,$E$105:$E$110), _xlfn.XLOOKUP($E121,$D$95:$D$100,$E$95:$E$100),H53,$F77)</f>
        <v>#N/A</v>
      </c>
      <c r="I121" s="52" t="e" cm="1">
        <f t="array" ref="I121">MMS_Swine_ManureAppliedToSoils_Equations.VEERG_4_5_1_9__1_MassOfNitrogenAppliedToSoilsScope1(I28,_xlfn.XLOOKUP($E121,$D$105:$D$110,$E$105:$E$110), _xlfn.XLOOKUP($E121,$D$95:$D$100,$E$95:$E$100),I53,$F77)</f>
        <v>#N/A</v>
      </c>
      <c r="J121" s="2" t="str">
        <f t="shared" si="0"/>
        <v>kg N</v>
      </c>
      <c r="N121" s="57"/>
      <c r="O121" s="57" t="str">
        <f>'Input - Poultry'!$D$48</f>
        <v>Direct processing</v>
      </c>
      <c r="P121" s="52" t="e" cm="1">
        <f t="array" ref="P121">MMS_Swine_ManureAppliedToSoils_Equations.VEERG_4_5_1_9__1_MassOfNitrogenAppliedToSoilsScope1(P28,_xlfn.XLOOKUP($O121,$D$105:$D$110,$E$105:$E$110), _xlfn.XLOOKUP($O121,$D$95:$D$100,$E$95:$E$100),P53,$F77)</f>
        <v>#N/A</v>
      </c>
      <c r="Q121" s="52" t="e" cm="1">
        <f t="array" ref="Q121">MMS_Swine_ManureAppliedToSoils_Equations.VEERG_4_5_1_9__1_MassOfNitrogenAppliedToSoilsScope1(Q28,_xlfn.XLOOKUP($O121,$D$105:$D$110,$E$105:$E$110), _xlfn.XLOOKUP($O121,$D$95:$D$100,$E$95:$E$100),Q53,$F77)</f>
        <v>#N/A</v>
      </c>
      <c r="R121" s="52" t="e" cm="1">
        <f t="array" ref="R121">MMS_Swine_ManureAppliedToSoils_Equations.VEERG_4_5_1_9__1_MassOfNitrogenAppliedToSoilsScope1(R28,_xlfn.XLOOKUP($O121,$D$105:$D$110,$E$105:$E$110), _xlfn.XLOOKUP($O121,$D$95:$D$100,$E$95:$E$100),R53,$F77)</f>
        <v>#N/A</v>
      </c>
      <c r="S121" s="52" t="e" cm="1">
        <f t="array" ref="S121">MMS_Swine_ManureAppliedToSoils_Equations.VEERG_4_5_1_9__1_MassOfNitrogenAppliedToSoilsScope1(S28,_xlfn.XLOOKUP($O121,$D$105:$D$110,$E$105:$E$110), _xlfn.XLOOKUP($O121,$D$95:$D$100,$E$95:$E$100),S53,$F77)</f>
        <v>#N/A</v>
      </c>
      <c r="T121" s="2" t="str">
        <f t="shared" si="1"/>
        <v>kg N</v>
      </c>
    </row>
    <row r="122" spans="4:20" ht="20.100000000000001" customHeight="1" x14ac:dyDescent="0.25">
      <c r="D122" s="57" t="str">
        <f>'Input - Poultry'!$D$32</f>
        <v>Pasture range and paddock</v>
      </c>
      <c r="E122" s="57" t="str">
        <f>'Input - Poultry'!$D$52</f>
        <v>Solid storage</v>
      </c>
      <c r="F122" s="52" t="e" cm="1">
        <f t="array" ref="F122">MMS_Swine_ManureAppliedToSoils_Equations.VEERG_4_5_1_9__1_MassOfNitrogenAppliedToSoilsScope1(F29,_xlfn.XLOOKUP($E122,$D$105:$D$110,$E$105:$E$110), _xlfn.XLOOKUP($E122,$D$95:$D$100,$E$95:$E$100),F54,$F78)</f>
        <v>#N/A</v>
      </c>
      <c r="G122" s="52" t="e" cm="1">
        <f t="array" ref="G122">MMS_Swine_ManureAppliedToSoils_Equations.VEERG_4_5_1_9__1_MassOfNitrogenAppliedToSoilsScope1(G29,_xlfn.XLOOKUP($E122,$D$105:$D$110,$E$105:$E$110), _xlfn.XLOOKUP($E122,$D$95:$D$100,$E$95:$E$100),G54,$F78)</f>
        <v>#N/A</v>
      </c>
      <c r="H122" s="52" t="e" cm="1">
        <f t="array" ref="H122">MMS_Swine_ManureAppliedToSoils_Equations.VEERG_4_5_1_9__1_MassOfNitrogenAppliedToSoilsScope1(H29,_xlfn.XLOOKUP($E122,$D$105:$D$110,$E$105:$E$110), _xlfn.XLOOKUP($E122,$D$95:$D$100,$E$95:$E$100),H54,$F78)</f>
        <v>#N/A</v>
      </c>
      <c r="I122" s="52" t="e" cm="1">
        <f t="array" ref="I122">MMS_Swine_ManureAppliedToSoils_Equations.VEERG_4_5_1_9__1_MassOfNitrogenAppliedToSoilsScope1(I29,_xlfn.XLOOKUP($E122,$D$105:$D$110,$E$105:$E$110), _xlfn.XLOOKUP($E122,$D$95:$D$100,$E$95:$E$100),I54,$F78)</f>
        <v>#N/A</v>
      </c>
      <c r="J122" s="2" t="str">
        <f t="shared" si="0"/>
        <v>kg N</v>
      </c>
      <c r="N122" s="57" t="str">
        <f>'Input - Poultry'!$D$32</f>
        <v>Pasture range and paddock</v>
      </c>
      <c r="O122" s="57" t="str">
        <f>'Input - Poultry'!$D$52</f>
        <v>Solid storage</v>
      </c>
      <c r="P122" s="52" t="e" cm="1">
        <f t="array" ref="P122">MMS_Swine_ManureAppliedToSoils_Equations.VEERG_4_5_1_9__1_MassOfNitrogenAppliedToSoilsScope1(P29,_xlfn.XLOOKUP($O122,$D$105:$D$110,$E$105:$E$110), _xlfn.XLOOKUP($O122,$D$95:$D$100,$E$95:$E$100),P54,$F78)</f>
        <v>#N/A</v>
      </c>
      <c r="Q122" s="52" t="e" cm="1">
        <f t="array" ref="Q122">MMS_Swine_ManureAppliedToSoils_Equations.VEERG_4_5_1_9__1_MassOfNitrogenAppliedToSoilsScope1(Q29,_xlfn.XLOOKUP($O122,$D$105:$D$110,$E$105:$E$110), _xlfn.XLOOKUP($O122,$D$95:$D$100,$E$95:$E$100),Q54,$F78)</f>
        <v>#N/A</v>
      </c>
      <c r="R122" s="52" t="e" cm="1">
        <f t="array" ref="R122">MMS_Swine_ManureAppliedToSoils_Equations.VEERG_4_5_1_9__1_MassOfNitrogenAppliedToSoilsScope1(R29,_xlfn.XLOOKUP($O122,$D$105:$D$110,$E$105:$E$110), _xlfn.XLOOKUP($O122,$D$95:$D$100,$E$95:$E$100),R54,$F78)</f>
        <v>#N/A</v>
      </c>
      <c r="S122" s="52" t="e" cm="1">
        <f t="array" ref="S122">MMS_Swine_ManureAppliedToSoils_Equations.VEERG_4_5_1_9__1_MassOfNitrogenAppliedToSoilsScope1(S29,_xlfn.XLOOKUP($O122,$D$105:$D$110,$E$105:$E$110), _xlfn.XLOOKUP($O122,$D$95:$D$100,$E$95:$E$100),S54,$F78)</f>
        <v>#N/A</v>
      </c>
      <c r="T122" s="2" t="str">
        <f t="shared" si="1"/>
        <v>kg N</v>
      </c>
    </row>
    <row r="123" spans="4:20" ht="20.100000000000001" customHeight="1" x14ac:dyDescent="0.25">
      <c r="D123" s="57"/>
      <c r="E123" s="57" t="str">
        <f>'Input - Poultry'!$D$53</f>
        <v>Composting (passive windrow)</v>
      </c>
      <c r="F123" s="52" t="e" cm="1">
        <f t="array" ref="F123">MMS_Swine_ManureAppliedToSoils_Equations.VEERG_4_5_1_9__1_MassOfNitrogenAppliedToSoilsScope1(F30,_xlfn.XLOOKUP($E123,$D$105:$D$110,$E$105:$E$110), _xlfn.XLOOKUP($E123,$D$95:$D$100,$E$95:$E$100),F55,$F79)</f>
        <v>#N/A</v>
      </c>
      <c r="G123" s="52" t="e" cm="1">
        <f t="array" ref="G123">MMS_Swine_ManureAppliedToSoils_Equations.VEERG_4_5_1_9__1_MassOfNitrogenAppliedToSoilsScope1(G30,_xlfn.XLOOKUP($E123,$D$105:$D$110,$E$105:$E$110), _xlfn.XLOOKUP($E123,$D$95:$D$100,$E$95:$E$100),G55,$F79)</f>
        <v>#N/A</v>
      </c>
      <c r="H123" s="52" t="e" cm="1">
        <f t="array" ref="H123">MMS_Swine_ManureAppliedToSoils_Equations.VEERG_4_5_1_9__1_MassOfNitrogenAppliedToSoilsScope1(H30,_xlfn.XLOOKUP($E123,$D$105:$D$110,$E$105:$E$110), _xlfn.XLOOKUP($E123,$D$95:$D$100,$E$95:$E$100),H55,$F79)</f>
        <v>#N/A</v>
      </c>
      <c r="I123" s="52" t="e" cm="1">
        <f t="array" ref="I123">MMS_Swine_ManureAppliedToSoils_Equations.VEERG_4_5_1_9__1_MassOfNitrogenAppliedToSoilsScope1(I30,_xlfn.XLOOKUP($E123,$D$105:$D$110,$E$105:$E$110), _xlfn.XLOOKUP($E123,$D$95:$D$100,$E$95:$E$100),I55,$F79)</f>
        <v>#N/A</v>
      </c>
      <c r="J123" s="2" t="str">
        <f t="shared" si="0"/>
        <v>kg N</v>
      </c>
      <c r="N123" s="57"/>
      <c r="O123" s="57" t="str">
        <f>'Input - Poultry'!$D$53</f>
        <v>Composting (passive windrow)</v>
      </c>
      <c r="P123" s="52" t="e" cm="1">
        <f t="array" ref="P123">MMS_Swine_ManureAppliedToSoils_Equations.VEERG_4_5_1_9__1_MassOfNitrogenAppliedToSoilsScope1(P30,_xlfn.XLOOKUP($O123,$D$105:$D$110,$E$105:$E$110), _xlfn.XLOOKUP($O123,$D$95:$D$100,$E$95:$E$100),P55,$F79)</f>
        <v>#N/A</v>
      </c>
      <c r="Q123" s="52" t="e" cm="1">
        <f t="array" ref="Q123">MMS_Swine_ManureAppliedToSoils_Equations.VEERG_4_5_1_9__1_MassOfNitrogenAppliedToSoilsScope1(Q30,_xlfn.XLOOKUP($O123,$D$105:$D$110,$E$105:$E$110), _xlfn.XLOOKUP($O123,$D$95:$D$100,$E$95:$E$100),Q55,$F79)</f>
        <v>#N/A</v>
      </c>
      <c r="R123" s="52" t="e" cm="1">
        <f t="array" ref="R123">MMS_Swine_ManureAppliedToSoils_Equations.VEERG_4_5_1_9__1_MassOfNitrogenAppliedToSoilsScope1(R30,_xlfn.XLOOKUP($O123,$D$105:$D$110,$E$105:$E$110), _xlfn.XLOOKUP($O123,$D$95:$D$100,$E$95:$E$100),R55,$F79)</f>
        <v>#N/A</v>
      </c>
      <c r="S123" s="52" t="e" cm="1">
        <f t="array" ref="S123">MMS_Swine_ManureAppliedToSoils_Equations.VEERG_4_5_1_9__1_MassOfNitrogenAppliedToSoilsScope1(S30,_xlfn.XLOOKUP($O123,$D$105:$D$110,$E$105:$E$110), _xlfn.XLOOKUP($O123,$D$95:$D$100,$E$95:$E$100),S55,$F79)</f>
        <v>#N/A</v>
      </c>
      <c r="T123" s="2" t="str">
        <f t="shared" si="1"/>
        <v>kg N</v>
      </c>
    </row>
    <row r="124" spans="4:20" ht="20.100000000000001" customHeight="1" x14ac:dyDescent="0.25">
      <c r="D124" s="57"/>
      <c r="E124" s="57" t="str">
        <f>'Input - Poultry'!$D$54</f>
        <v>Digester / covered lagoons</v>
      </c>
      <c r="F124" s="52" t="e" cm="1">
        <f t="array" ref="F124">MMS_Swine_ManureAppliedToSoils_Equations.VEERG_4_5_1_9__1_MassOfNitrogenAppliedToSoilsScope1(F31,_xlfn.XLOOKUP($E124,$D$105:$D$110,$E$105:$E$110), _xlfn.XLOOKUP($E124,$D$95:$D$100,$E$95:$E$100),F56,$F80)</f>
        <v>#N/A</v>
      </c>
      <c r="G124" s="52" t="e" cm="1">
        <f t="array" ref="G124">MMS_Swine_ManureAppliedToSoils_Equations.VEERG_4_5_1_9__1_MassOfNitrogenAppliedToSoilsScope1(G31,_xlfn.XLOOKUP($E124,$D$105:$D$110,$E$105:$E$110), _xlfn.XLOOKUP($E124,$D$95:$D$100,$E$95:$E$100),G56,$F80)</f>
        <v>#N/A</v>
      </c>
      <c r="H124" s="52" t="e" cm="1">
        <f t="array" ref="H124">MMS_Swine_ManureAppliedToSoils_Equations.VEERG_4_5_1_9__1_MassOfNitrogenAppliedToSoilsScope1(H31,_xlfn.XLOOKUP($E124,$D$105:$D$110,$E$105:$E$110), _xlfn.XLOOKUP($E124,$D$95:$D$100,$E$95:$E$100),H56,$F80)</f>
        <v>#N/A</v>
      </c>
      <c r="I124" s="52" t="e" cm="1">
        <f t="array" ref="I124">MMS_Swine_ManureAppliedToSoils_Equations.VEERG_4_5_1_9__1_MassOfNitrogenAppliedToSoilsScope1(I31,_xlfn.XLOOKUP($E124,$D$105:$D$110,$E$105:$E$110), _xlfn.XLOOKUP($E124,$D$95:$D$100,$E$95:$E$100),I56,$F80)</f>
        <v>#N/A</v>
      </c>
      <c r="J124" s="2" t="str">
        <f t="shared" si="0"/>
        <v>kg N</v>
      </c>
      <c r="N124" s="57"/>
      <c r="O124" s="57" t="str">
        <f>'Input - Poultry'!$D$54</f>
        <v>Digester / covered lagoons</v>
      </c>
      <c r="P124" s="52" t="e" cm="1">
        <f t="array" ref="P124">MMS_Swine_ManureAppliedToSoils_Equations.VEERG_4_5_1_9__1_MassOfNitrogenAppliedToSoilsScope1(P31,_xlfn.XLOOKUP($O124,$D$105:$D$110,$E$105:$E$110), _xlfn.XLOOKUP($O124,$D$95:$D$100,$E$95:$E$100),P56,$F80)</f>
        <v>#N/A</v>
      </c>
      <c r="Q124" s="52" t="e" cm="1">
        <f t="array" ref="Q124">MMS_Swine_ManureAppliedToSoils_Equations.VEERG_4_5_1_9__1_MassOfNitrogenAppliedToSoilsScope1(Q31,_xlfn.XLOOKUP($O124,$D$105:$D$110,$E$105:$E$110), _xlfn.XLOOKUP($O124,$D$95:$D$100,$E$95:$E$100),Q56,$F80)</f>
        <v>#N/A</v>
      </c>
      <c r="R124" s="52" t="e" cm="1">
        <f t="array" ref="R124">MMS_Swine_ManureAppliedToSoils_Equations.VEERG_4_5_1_9__1_MassOfNitrogenAppliedToSoilsScope1(R31,_xlfn.XLOOKUP($O124,$D$105:$D$110,$E$105:$E$110), _xlfn.XLOOKUP($O124,$D$95:$D$100,$E$95:$E$100),R56,$F80)</f>
        <v>#N/A</v>
      </c>
      <c r="S124" s="52" t="e" cm="1">
        <f t="array" ref="S124">MMS_Swine_ManureAppliedToSoils_Equations.VEERG_4_5_1_9__1_MassOfNitrogenAppliedToSoilsScope1(S31,_xlfn.XLOOKUP($O124,$D$105:$D$110,$E$105:$E$110), _xlfn.XLOOKUP($O124,$D$95:$D$100,$E$95:$E$100),S56,$F80)</f>
        <v>#N/A</v>
      </c>
      <c r="T124" s="2" t="str">
        <f t="shared" si="1"/>
        <v>kg N</v>
      </c>
    </row>
    <row r="125" spans="4:20" ht="20.100000000000001" customHeight="1" x14ac:dyDescent="0.25">
      <c r="D125" s="57" t="str">
        <f>'Input - Poultry'!$D$33</f>
        <v>No MMS</v>
      </c>
      <c r="E125" s="57" t="e">
        <f>'Input - Poultry'!#REF!</f>
        <v>#REF!</v>
      </c>
      <c r="F125" s="52" t="e" cm="1">
        <f t="array" ref="F125">MMS_Swine_ManureAppliedToSoils_Equations.VEERG_4_5_1_9__1_MassOfNitrogenAppliedToSoilsScope1(F32,_xlfn.XLOOKUP($E125,$D$105:$D$110,$E$105:$E$110), _xlfn.XLOOKUP($E125,$D$95:$D$100,$E$95:$E$100),F57,$F81)</f>
        <v>#REF!</v>
      </c>
      <c r="G125" s="52" t="e" cm="1">
        <f t="array" ref="G125">MMS_Swine_ManureAppliedToSoils_Equations.VEERG_4_5_1_9__1_MassOfNitrogenAppliedToSoilsScope1(G32,_xlfn.XLOOKUP($E125,$D$105:$D$110,$E$105:$E$110), _xlfn.XLOOKUP($E125,$D$95:$D$100,$E$95:$E$100),G57,$F81)</f>
        <v>#REF!</v>
      </c>
      <c r="H125" s="52" t="e" cm="1">
        <f t="array" ref="H125">MMS_Swine_ManureAppliedToSoils_Equations.VEERG_4_5_1_9__1_MassOfNitrogenAppliedToSoilsScope1(H32,_xlfn.XLOOKUP($E125,$D$105:$D$110,$E$105:$E$110), _xlfn.XLOOKUP($E125,$D$95:$D$100,$E$95:$E$100),H57,$F81)</f>
        <v>#REF!</v>
      </c>
      <c r="I125" s="52" t="e" cm="1">
        <f t="array" ref="I125">MMS_Swine_ManureAppliedToSoils_Equations.VEERG_4_5_1_9__1_MassOfNitrogenAppliedToSoilsScope1(I32,_xlfn.XLOOKUP($E125,$D$105:$D$110,$E$105:$E$110), _xlfn.XLOOKUP($E125,$D$95:$D$100,$E$95:$E$100),I57,$F81)</f>
        <v>#REF!</v>
      </c>
      <c r="J125" s="2" t="str">
        <f t="shared" si="0"/>
        <v>kg N</v>
      </c>
      <c r="N125" s="57" t="str">
        <f>'Input - Poultry'!$D$33</f>
        <v>No MMS</v>
      </c>
      <c r="O125" s="57" t="e">
        <f>'Input - Poultry'!#REF!</f>
        <v>#REF!</v>
      </c>
      <c r="P125" s="52" t="e" cm="1">
        <f t="array" ref="P125">MMS_Swine_ManureAppliedToSoils_Equations.VEERG_4_5_1_9__1_MassOfNitrogenAppliedToSoilsScope1(P32,_xlfn.XLOOKUP($O125,$D$105:$D$110,$E$105:$E$110), _xlfn.XLOOKUP($O125,$D$95:$D$100,$E$95:$E$100),P57,$F81)</f>
        <v>#REF!</v>
      </c>
      <c r="Q125" s="52" t="e" cm="1">
        <f t="array" ref="Q125">MMS_Swine_ManureAppliedToSoils_Equations.VEERG_4_5_1_9__1_MassOfNitrogenAppliedToSoilsScope1(Q32,_xlfn.XLOOKUP($O125,$D$105:$D$110,$E$105:$E$110), _xlfn.XLOOKUP($O125,$D$95:$D$100,$E$95:$E$100),Q57,$F81)</f>
        <v>#REF!</v>
      </c>
      <c r="R125" s="52" t="e" cm="1">
        <f t="array" ref="R125">MMS_Swine_ManureAppliedToSoils_Equations.VEERG_4_5_1_9__1_MassOfNitrogenAppliedToSoilsScope1(R32,_xlfn.XLOOKUP($O125,$D$105:$D$110,$E$105:$E$110), _xlfn.XLOOKUP($O125,$D$95:$D$100,$E$95:$E$100),R57,$F81)</f>
        <v>#REF!</v>
      </c>
      <c r="S125" s="52" t="e" cm="1">
        <f t="array" ref="S125">MMS_Swine_ManureAppliedToSoils_Equations.VEERG_4_5_1_9__1_MassOfNitrogenAppliedToSoilsScope1(S32,_xlfn.XLOOKUP($O125,$D$105:$D$110,$E$105:$E$110), _xlfn.XLOOKUP($O125,$D$95:$D$100,$E$95:$E$100),S57,$F81)</f>
        <v>#REF!</v>
      </c>
      <c r="T125" s="2" t="str">
        <f t="shared" si="1"/>
        <v>kg N</v>
      </c>
    </row>
    <row r="126" spans="4:20" ht="20.100000000000001" customHeight="1" x14ac:dyDescent="0.25">
      <c r="D126" s="57"/>
      <c r="E126" s="57">
        <f>'Input - Poultry'!$D$71</f>
        <v>0</v>
      </c>
      <c r="F126" s="52" t="e" cm="1">
        <f t="array" ref="F126">MMS_Swine_ManureAppliedToSoils_Equations.VEERG_4_5_1_9__1_MassOfNitrogenAppliedToSoilsScope1(F33,_xlfn.XLOOKUP($E126,$D$105:$D$110,$E$105:$E$110), _xlfn.XLOOKUP($E126,$D$95:$D$100,$E$95:$E$100),F58,$F82)</f>
        <v>#N/A</v>
      </c>
      <c r="G126" s="52" t="e" cm="1">
        <f t="array" ref="G126">MMS_Swine_ManureAppliedToSoils_Equations.VEERG_4_5_1_9__1_MassOfNitrogenAppliedToSoilsScope1(G33,_xlfn.XLOOKUP($E126,$D$105:$D$110,$E$105:$E$110), _xlfn.XLOOKUP($E126,$D$95:$D$100,$E$95:$E$100),G58,$F82)</f>
        <v>#N/A</v>
      </c>
      <c r="H126" s="52" t="e" cm="1">
        <f t="array" ref="H126">MMS_Swine_ManureAppliedToSoils_Equations.VEERG_4_5_1_9__1_MassOfNitrogenAppliedToSoilsScope1(H33,_xlfn.XLOOKUP($E126,$D$105:$D$110,$E$105:$E$110), _xlfn.XLOOKUP($E126,$D$95:$D$100,$E$95:$E$100),H58,$F82)</f>
        <v>#N/A</v>
      </c>
      <c r="I126" s="52" t="e" cm="1">
        <f t="array" ref="I126">MMS_Swine_ManureAppliedToSoils_Equations.VEERG_4_5_1_9__1_MassOfNitrogenAppliedToSoilsScope1(I33,_xlfn.XLOOKUP($E126,$D$105:$D$110,$E$105:$E$110), _xlfn.XLOOKUP($E126,$D$95:$D$100,$E$95:$E$100),I58,$F82)</f>
        <v>#N/A</v>
      </c>
      <c r="J126" s="2" t="str">
        <f t="shared" si="0"/>
        <v>kg N</v>
      </c>
      <c r="N126" s="57"/>
      <c r="O126" s="57">
        <f>'Input - Poultry'!$D$71</f>
        <v>0</v>
      </c>
      <c r="P126" s="52" t="e" cm="1">
        <f t="array" ref="P126">MMS_Swine_ManureAppliedToSoils_Equations.VEERG_4_5_1_9__1_MassOfNitrogenAppliedToSoilsScope1(P33,_xlfn.XLOOKUP($O126,$D$105:$D$110,$E$105:$E$110), _xlfn.XLOOKUP($O126,$D$95:$D$100,$E$95:$E$100),P58,$F82)</f>
        <v>#N/A</v>
      </c>
      <c r="Q126" s="52" t="e" cm="1">
        <f t="array" ref="Q126">MMS_Swine_ManureAppliedToSoils_Equations.VEERG_4_5_1_9__1_MassOfNitrogenAppliedToSoilsScope1(Q33,_xlfn.XLOOKUP($O126,$D$105:$D$110,$E$105:$E$110), _xlfn.XLOOKUP($O126,$D$95:$D$100,$E$95:$E$100),Q58,$F82)</f>
        <v>#N/A</v>
      </c>
      <c r="R126" s="52" t="e" cm="1">
        <f t="array" ref="R126">MMS_Swine_ManureAppliedToSoils_Equations.VEERG_4_5_1_9__1_MassOfNitrogenAppliedToSoilsScope1(R33,_xlfn.XLOOKUP($O126,$D$105:$D$110,$E$105:$E$110), _xlfn.XLOOKUP($O126,$D$95:$D$100,$E$95:$E$100),R58,$F82)</f>
        <v>#N/A</v>
      </c>
      <c r="S126" s="52" t="e" cm="1">
        <f t="array" ref="S126">MMS_Swine_ManureAppliedToSoils_Equations.VEERG_4_5_1_9__1_MassOfNitrogenAppliedToSoilsScope1(S33,_xlfn.XLOOKUP($O126,$D$105:$D$110,$E$105:$E$110), _xlfn.XLOOKUP($O126,$D$95:$D$100,$E$95:$E$100),S58,$F82)</f>
        <v>#N/A</v>
      </c>
      <c r="T126" s="2" t="str">
        <f t="shared" si="1"/>
        <v>kg N</v>
      </c>
    </row>
    <row r="127" spans="4:20" ht="20.100000000000001" customHeight="1" x14ac:dyDescent="0.25">
      <c r="D127" s="57"/>
      <c r="E127" s="57">
        <f>'Input - Poultry'!$D$72</f>
        <v>0</v>
      </c>
      <c r="F127" s="52" t="e" cm="1">
        <f t="array" ref="F127">MMS_Swine_ManureAppliedToSoils_Equations.VEERG_4_5_1_9__1_MassOfNitrogenAppliedToSoilsScope1(F34,_xlfn.XLOOKUP($E127,$D$105:$D$110,$E$105:$E$110), _xlfn.XLOOKUP($E127,$D$95:$D$100,$E$95:$E$100),F59,$F83)</f>
        <v>#N/A</v>
      </c>
      <c r="G127" s="52" t="e" cm="1">
        <f t="array" ref="G127">MMS_Swine_ManureAppliedToSoils_Equations.VEERG_4_5_1_9__1_MassOfNitrogenAppliedToSoilsScope1(G34,_xlfn.XLOOKUP($E127,$D$105:$D$110,$E$105:$E$110), _xlfn.XLOOKUP($E127,$D$95:$D$100,$E$95:$E$100),G59,$F83)</f>
        <v>#N/A</v>
      </c>
      <c r="H127" s="52" t="e" cm="1">
        <f t="array" ref="H127">MMS_Swine_ManureAppliedToSoils_Equations.VEERG_4_5_1_9__1_MassOfNitrogenAppliedToSoilsScope1(H34,_xlfn.XLOOKUP($E127,$D$105:$D$110,$E$105:$E$110), _xlfn.XLOOKUP($E127,$D$95:$D$100,$E$95:$E$100),H59,$F83)</f>
        <v>#N/A</v>
      </c>
      <c r="I127" s="52" t="e" cm="1">
        <f t="array" ref="I127">MMS_Swine_ManureAppliedToSoils_Equations.VEERG_4_5_1_9__1_MassOfNitrogenAppliedToSoilsScope1(I34,_xlfn.XLOOKUP($E127,$D$105:$D$110,$E$105:$E$110), _xlfn.XLOOKUP($E127,$D$95:$D$100,$E$95:$E$100),I59,$F83)</f>
        <v>#N/A</v>
      </c>
      <c r="J127" s="2" t="str">
        <f t="shared" si="0"/>
        <v>kg N</v>
      </c>
      <c r="N127" s="57"/>
      <c r="O127" s="57">
        <f>'Input - Poultry'!$D$72</f>
        <v>0</v>
      </c>
      <c r="P127" s="52" t="e" cm="1">
        <f t="array" ref="P127">MMS_Swine_ManureAppliedToSoils_Equations.VEERG_4_5_1_9__1_MassOfNitrogenAppliedToSoilsScope1(P34,_xlfn.XLOOKUP($O127,$D$105:$D$110,$E$105:$E$110), _xlfn.XLOOKUP($O127,$D$95:$D$100,$E$95:$E$100),P59,$F83)</f>
        <v>#N/A</v>
      </c>
      <c r="Q127" s="52" t="e" cm="1">
        <f t="array" ref="Q127">MMS_Swine_ManureAppliedToSoils_Equations.VEERG_4_5_1_9__1_MassOfNitrogenAppliedToSoilsScope1(Q34,_xlfn.XLOOKUP($O127,$D$105:$D$110,$E$105:$E$110), _xlfn.XLOOKUP($O127,$D$95:$D$100,$E$95:$E$100),Q59,$F83)</f>
        <v>#N/A</v>
      </c>
      <c r="R127" s="52" t="e" cm="1">
        <f t="array" ref="R127">MMS_Swine_ManureAppliedToSoils_Equations.VEERG_4_5_1_9__1_MassOfNitrogenAppliedToSoilsScope1(R34,_xlfn.XLOOKUP($O127,$D$105:$D$110,$E$105:$E$110), _xlfn.XLOOKUP($O127,$D$95:$D$100,$E$95:$E$100),R59,$F83)</f>
        <v>#N/A</v>
      </c>
      <c r="S127" s="52" t="e" cm="1">
        <f t="array" ref="S127">MMS_Swine_ManureAppliedToSoils_Equations.VEERG_4_5_1_9__1_MassOfNitrogenAppliedToSoilsScope1(S34,_xlfn.XLOOKUP($O127,$D$105:$D$110,$E$105:$E$110), _xlfn.XLOOKUP($O127,$D$95:$D$100,$E$95:$E$100),S59,$F83)</f>
        <v>#N/A</v>
      </c>
      <c r="T127" s="2" t="str">
        <f t="shared" si="1"/>
        <v>kg N</v>
      </c>
    </row>
    <row r="128" spans="4:20" ht="20.100000000000001" customHeight="1" x14ac:dyDescent="0.25">
      <c r="D128" s="57" t="e">
        <f>'Input - Poultry'!#REF!</f>
        <v>#REF!</v>
      </c>
      <c r="E128" s="57">
        <f>'Input - Poultry'!$D$77</f>
        <v>0</v>
      </c>
      <c r="F128" s="52" t="e" cm="1">
        <f t="array" ref="F128">MMS_Swine_ManureAppliedToSoils_Equations.VEERG_4_5_1_9__1_MassOfNitrogenAppliedToSoilsScope1(F35,_xlfn.XLOOKUP($E128,$D$105:$D$110,$E$105:$E$110), _xlfn.XLOOKUP($E128,$D$95:$D$100,$E$95:$E$100),F60,$F84)</f>
        <v>#N/A</v>
      </c>
      <c r="G128" s="52" t="e" cm="1">
        <f t="array" ref="G128">MMS_Swine_ManureAppliedToSoils_Equations.VEERG_4_5_1_9__1_MassOfNitrogenAppliedToSoilsScope1(G35,_xlfn.XLOOKUP($E128,$D$105:$D$110,$E$105:$E$110), _xlfn.XLOOKUP($E128,$D$95:$D$100,$E$95:$E$100),G60,$F84)</f>
        <v>#N/A</v>
      </c>
      <c r="H128" s="52" t="e" cm="1">
        <f t="array" ref="H128">MMS_Swine_ManureAppliedToSoils_Equations.VEERG_4_5_1_9__1_MassOfNitrogenAppliedToSoilsScope1(H35,_xlfn.XLOOKUP($E128,$D$105:$D$110,$E$105:$E$110), _xlfn.XLOOKUP($E128,$D$95:$D$100,$E$95:$E$100),H60,$F84)</f>
        <v>#N/A</v>
      </c>
      <c r="I128" s="52" t="e" cm="1">
        <f t="array" ref="I128">MMS_Swine_ManureAppliedToSoils_Equations.VEERG_4_5_1_9__1_MassOfNitrogenAppliedToSoilsScope1(I35,_xlfn.XLOOKUP($E128,$D$105:$D$110,$E$105:$E$110), _xlfn.XLOOKUP($E128,$D$95:$D$100,$E$95:$E$100),I60,$F84)</f>
        <v>#N/A</v>
      </c>
      <c r="J128" s="2" t="str">
        <f t="shared" si="0"/>
        <v>kg N</v>
      </c>
      <c r="N128" s="57" t="e">
        <f>'Input - Poultry'!#REF!</f>
        <v>#REF!</v>
      </c>
      <c r="O128" s="57">
        <f>'Input - Poultry'!$D$77</f>
        <v>0</v>
      </c>
      <c r="P128" s="52" t="e" cm="1">
        <f t="array" ref="P128">MMS_Swine_ManureAppliedToSoils_Equations.VEERG_4_5_1_9__1_MassOfNitrogenAppliedToSoilsScope1(P35,_xlfn.XLOOKUP($O128,$D$105:$D$110,$E$105:$E$110), _xlfn.XLOOKUP($O128,$D$95:$D$100,$E$95:$E$100),P60,$F84)</f>
        <v>#N/A</v>
      </c>
      <c r="Q128" s="52" t="e" cm="1">
        <f t="array" ref="Q128">MMS_Swine_ManureAppliedToSoils_Equations.VEERG_4_5_1_9__1_MassOfNitrogenAppliedToSoilsScope1(Q35,_xlfn.XLOOKUP($O128,$D$105:$D$110,$E$105:$E$110), _xlfn.XLOOKUP($O128,$D$95:$D$100,$E$95:$E$100),Q60,$F84)</f>
        <v>#N/A</v>
      </c>
      <c r="R128" s="52" t="e" cm="1">
        <f t="array" ref="R128">MMS_Swine_ManureAppliedToSoils_Equations.VEERG_4_5_1_9__1_MassOfNitrogenAppliedToSoilsScope1(R35,_xlfn.XLOOKUP($O128,$D$105:$D$110,$E$105:$E$110), _xlfn.XLOOKUP($O128,$D$95:$D$100,$E$95:$E$100),R60,$F84)</f>
        <v>#N/A</v>
      </c>
      <c r="S128" s="52" t="e" cm="1">
        <f t="array" ref="S128">MMS_Swine_ManureAppliedToSoils_Equations.VEERG_4_5_1_9__1_MassOfNitrogenAppliedToSoilsScope1(S35,_xlfn.XLOOKUP($O128,$D$105:$D$110,$E$105:$E$110), _xlfn.XLOOKUP($O128,$D$95:$D$100,$E$95:$E$100),S60,$F84)</f>
        <v>#N/A</v>
      </c>
      <c r="T128" s="2" t="str">
        <f t="shared" si="1"/>
        <v>kg N</v>
      </c>
    </row>
    <row r="129" spans="3:21" ht="20.100000000000001" customHeight="1" x14ac:dyDescent="0.25">
      <c r="D129" s="57"/>
      <c r="E129" s="57">
        <f>'Input - Poultry'!$D$78</f>
        <v>0</v>
      </c>
      <c r="F129" s="52" t="e" cm="1">
        <f t="array" ref="F129">MMS_Swine_ManureAppliedToSoils_Equations.VEERG_4_5_1_9__1_MassOfNitrogenAppliedToSoilsScope1(F36,_xlfn.XLOOKUP($E129,$D$105:$D$110,$E$105:$E$110), _xlfn.XLOOKUP($E129,$D$95:$D$100,$E$95:$E$100),F61,$F85)</f>
        <v>#N/A</v>
      </c>
      <c r="G129" s="52" t="e" cm="1">
        <f t="array" ref="G129">MMS_Swine_ManureAppliedToSoils_Equations.VEERG_4_5_1_9__1_MassOfNitrogenAppliedToSoilsScope1(G36,_xlfn.XLOOKUP($E129,$D$105:$D$110,$E$105:$E$110), _xlfn.XLOOKUP($E129,$D$95:$D$100,$E$95:$E$100),G61,$F85)</f>
        <v>#N/A</v>
      </c>
      <c r="H129" s="52" t="e" cm="1">
        <f t="array" ref="H129">MMS_Swine_ManureAppliedToSoils_Equations.VEERG_4_5_1_9__1_MassOfNitrogenAppliedToSoilsScope1(H36,_xlfn.XLOOKUP($E129,$D$105:$D$110,$E$105:$E$110), _xlfn.XLOOKUP($E129,$D$95:$D$100,$E$95:$E$100),H61,$F85)</f>
        <v>#N/A</v>
      </c>
      <c r="I129" s="52" t="e" cm="1">
        <f t="array" ref="I129">MMS_Swine_ManureAppliedToSoils_Equations.VEERG_4_5_1_9__1_MassOfNitrogenAppliedToSoilsScope1(I36,_xlfn.XLOOKUP($E129,$D$105:$D$110,$E$105:$E$110), _xlfn.XLOOKUP($E129,$D$95:$D$100,$E$95:$E$100),I61,$F85)</f>
        <v>#N/A</v>
      </c>
      <c r="J129" s="2" t="str">
        <f t="shared" si="0"/>
        <v>kg N</v>
      </c>
      <c r="N129" s="57"/>
      <c r="O129" s="57">
        <f>'Input - Poultry'!$D$78</f>
        <v>0</v>
      </c>
      <c r="P129" s="52" t="e" cm="1">
        <f t="array" ref="P129">MMS_Swine_ManureAppliedToSoils_Equations.VEERG_4_5_1_9__1_MassOfNitrogenAppliedToSoilsScope1(P36,_xlfn.XLOOKUP($O129,$D$105:$D$110,$E$105:$E$110), _xlfn.XLOOKUP($O129,$D$95:$D$100,$E$95:$E$100),P61,$F85)</f>
        <v>#N/A</v>
      </c>
      <c r="Q129" s="52" t="e" cm="1">
        <f t="array" ref="Q129">MMS_Swine_ManureAppliedToSoils_Equations.VEERG_4_5_1_9__1_MassOfNitrogenAppliedToSoilsScope1(Q36,_xlfn.XLOOKUP($O129,$D$105:$D$110,$E$105:$E$110), _xlfn.XLOOKUP($O129,$D$95:$D$100,$E$95:$E$100),Q61,$F85)</f>
        <v>#N/A</v>
      </c>
      <c r="R129" s="52" t="e" cm="1">
        <f t="array" ref="R129">MMS_Swine_ManureAppliedToSoils_Equations.VEERG_4_5_1_9__1_MassOfNitrogenAppliedToSoilsScope1(R36,_xlfn.XLOOKUP($O129,$D$105:$D$110,$E$105:$E$110), _xlfn.XLOOKUP($O129,$D$95:$D$100,$E$95:$E$100),R61,$F85)</f>
        <v>#N/A</v>
      </c>
      <c r="S129" s="52" t="e" cm="1">
        <f t="array" ref="S129">MMS_Swine_ManureAppliedToSoils_Equations.VEERG_4_5_1_9__1_MassOfNitrogenAppliedToSoilsScope1(S36,_xlfn.XLOOKUP($O129,$D$105:$D$110,$E$105:$E$110), _xlfn.XLOOKUP($O129,$D$95:$D$100,$E$95:$E$100),S61,$F85)</f>
        <v>#N/A</v>
      </c>
      <c r="T129" s="2" t="str">
        <f t="shared" si="1"/>
        <v>kg N</v>
      </c>
    </row>
    <row r="130" spans="3:21" ht="20.100000000000001" customHeight="1" x14ac:dyDescent="0.25">
      <c r="D130" s="57"/>
      <c r="E130" s="57">
        <f>'Input - Poultry'!$D$79</f>
        <v>0</v>
      </c>
      <c r="F130" s="52" t="e" cm="1">
        <f t="array" ref="F130">MMS_Swine_ManureAppliedToSoils_Equations.VEERG_4_5_1_9__1_MassOfNitrogenAppliedToSoilsScope1(F37,_xlfn.XLOOKUP($E130,$D$105:$D$110,$E$105:$E$110), _xlfn.XLOOKUP($E130,$D$95:$D$100,$E$95:$E$100),F62,$F86)</f>
        <v>#N/A</v>
      </c>
      <c r="G130" s="52" t="e" cm="1">
        <f t="array" ref="G130">MMS_Swine_ManureAppliedToSoils_Equations.VEERG_4_5_1_9__1_MassOfNitrogenAppliedToSoilsScope1(G37,_xlfn.XLOOKUP($E130,$D$105:$D$110,$E$105:$E$110), _xlfn.XLOOKUP($E130,$D$95:$D$100,$E$95:$E$100),G62,$F86)</f>
        <v>#N/A</v>
      </c>
      <c r="H130" s="52" t="e" cm="1">
        <f t="array" ref="H130">MMS_Swine_ManureAppliedToSoils_Equations.VEERG_4_5_1_9__1_MassOfNitrogenAppliedToSoilsScope1(H37,_xlfn.XLOOKUP($E130,$D$105:$D$110,$E$105:$E$110), _xlfn.XLOOKUP($E130,$D$95:$D$100,$E$95:$E$100),H62,$F86)</f>
        <v>#N/A</v>
      </c>
      <c r="I130" s="52" t="e" cm="1">
        <f t="array" ref="I130">MMS_Swine_ManureAppliedToSoils_Equations.VEERG_4_5_1_9__1_MassOfNitrogenAppliedToSoilsScope1(I37,_xlfn.XLOOKUP($E130,$D$105:$D$110,$E$105:$E$110), _xlfn.XLOOKUP($E130,$D$95:$D$100,$E$95:$E$100),I62,$F86)</f>
        <v>#N/A</v>
      </c>
      <c r="J130" s="2" t="str">
        <f t="shared" si="0"/>
        <v>kg N</v>
      </c>
      <c r="N130" s="57"/>
      <c r="O130" s="57">
        <f>'Input - Poultry'!$D$79</f>
        <v>0</v>
      </c>
      <c r="P130" s="52" t="e" cm="1">
        <f t="array" ref="P130">MMS_Swine_ManureAppliedToSoils_Equations.VEERG_4_5_1_9__1_MassOfNitrogenAppliedToSoilsScope1(P37,_xlfn.XLOOKUP($O130,$D$105:$D$110,$E$105:$E$110), _xlfn.XLOOKUP($O130,$D$95:$D$100,$E$95:$E$100),P62,$F86)</f>
        <v>#N/A</v>
      </c>
      <c r="Q130" s="52" t="e" cm="1">
        <f t="array" ref="Q130">MMS_Swine_ManureAppliedToSoils_Equations.VEERG_4_5_1_9__1_MassOfNitrogenAppliedToSoilsScope1(Q37,_xlfn.XLOOKUP($O130,$D$105:$D$110,$E$105:$E$110), _xlfn.XLOOKUP($O130,$D$95:$D$100,$E$95:$E$100),Q62,$F86)</f>
        <v>#N/A</v>
      </c>
      <c r="R130" s="52" t="e" cm="1">
        <f t="array" ref="R130">MMS_Swine_ManureAppliedToSoils_Equations.VEERG_4_5_1_9__1_MassOfNitrogenAppliedToSoilsScope1(R37,_xlfn.XLOOKUP($O130,$D$105:$D$110,$E$105:$E$110), _xlfn.XLOOKUP($O130,$D$95:$D$100,$E$95:$E$100),R62,$F86)</f>
        <v>#N/A</v>
      </c>
      <c r="S130" s="52" t="e" cm="1">
        <f t="array" ref="S130">MMS_Swine_ManureAppliedToSoils_Equations.VEERG_4_5_1_9__1_MassOfNitrogenAppliedToSoilsScope1(S37,_xlfn.XLOOKUP($O130,$D$105:$D$110,$E$105:$E$110), _xlfn.XLOOKUP($O130,$D$95:$D$100,$E$95:$E$100),S62,$F86)</f>
        <v>#N/A</v>
      </c>
      <c r="T130" s="2" t="str">
        <f t="shared" si="1"/>
        <v>kg N</v>
      </c>
    </row>
    <row r="131" spans="3:21" ht="20.100000000000001" customHeight="1" x14ac:dyDescent="0.25">
      <c r="D131" s="57" t="e">
        <f>'Input - Poultry'!#REF!</f>
        <v>#REF!</v>
      </c>
      <c r="E131" s="57">
        <f>'Input - Poultry'!$D$84</f>
        <v>0</v>
      </c>
      <c r="F131" s="52" t="e" cm="1">
        <f t="array" ref="F131">MMS_Swine_ManureAppliedToSoils_Equations.VEERG_4_5_1_9__1_MassOfNitrogenAppliedToSoilsScope1(F38,_xlfn.XLOOKUP($E131,$D$105:$D$110,$E$105:$E$110), _xlfn.XLOOKUP($E131,$D$95:$D$100,$E$95:$E$100),F63,$F87)</f>
        <v>#N/A</v>
      </c>
      <c r="G131" s="52" t="e" cm="1">
        <f t="array" ref="G131">MMS_Swine_ManureAppliedToSoils_Equations.VEERG_4_5_1_9__1_MassOfNitrogenAppliedToSoilsScope1(G38,_xlfn.XLOOKUP($E131,$D$105:$D$110,$E$105:$E$110), _xlfn.XLOOKUP($E131,$D$95:$D$100,$E$95:$E$100),G63,$F87)</f>
        <v>#N/A</v>
      </c>
      <c r="H131" s="52" t="e" cm="1">
        <f t="array" ref="H131">MMS_Swine_ManureAppliedToSoils_Equations.VEERG_4_5_1_9__1_MassOfNitrogenAppliedToSoilsScope1(H38,_xlfn.XLOOKUP($E131,$D$105:$D$110,$E$105:$E$110), _xlfn.XLOOKUP($E131,$D$95:$D$100,$E$95:$E$100),H63,$F87)</f>
        <v>#N/A</v>
      </c>
      <c r="I131" s="52" t="e" cm="1">
        <f t="array" ref="I131">MMS_Swine_ManureAppliedToSoils_Equations.VEERG_4_5_1_9__1_MassOfNitrogenAppliedToSoilsScope1(I38,_xlfn.XLOOKUP($E131,$D$105:$D$110,$E$105:$E$110), _xlfn.XLOOKUP($E131,$D$95:$D$100,$E$95:$E$100),I63,$F87)</f>
        <v>#N/A</v>
      </c>
      <c r="J131" s="2" t="str">
        <f t="shared" si="0"/>
        <v>kg N</v>
      </c>
      <c r="N131" s="57" t="e">
        <f>'Input - Poultry'!#REF!</f>
        <v>#REF!</v>
      </c>
      <c r="O131" s="57">
        <f>'Input - Poultry'!$D$84</f>
        <v>0</v>
      </c>
      <c r="P131" s="52" t="e" cm="1">
        <f t="array" ref="P131">MMS_Swine_ManureAppliedToSoils_Equations.VEERG_4_5_1_9__1_MassOfNitrogenAppliedToSoilsScope1(P38,_xlfn.XLOOKUP($O131,$D$105:$D$110,$E$105:$E$110), _xlfn.XLOOKUP($O131,$D$95:$D$100,$E$95:$E$100),P63,$F87)</f>
        <v>#N/A</v>
      </c>
      <c r="Q131" s="52" t="e" cm="1">
        <f t="array" ref="Q131">MMS_Swine_ManureAppliedToSoils_Equations.VEERG_4_5_1_9__1_MassOfNitrogenAppliedToSoilsScope1(Q38,_xlfn.XLOOKUP($O131,$D$105:$D$110,$E$105:$E$110), _xlfn.XLOOKUP($O131,$D$95:$D$100,$E$95:$E$100),Q63,$F87)</f>
        <v>#N/A</v>
      </c>
      <c r="R131" s="52" t="e" cm="1">
        <f t="array" ref="R131">MMS_Swine_ManureAppliedToSoils_Equations.VEERG_4_5_1_9__1_MassOfNitrogenAppliedToSoilsScope1(R38,_xlfn.XLOOKUP($O131,$D$105:$D$110,$E$105:$E$110), _xlfn.XLOOKUP($O131,$D$95:$D$100,$E$95:$E$100),R63,$F87)</f>
        <v>#N/A</v>
      </c>
      <c r="S131" s="52" t="e" cm="1">
        <f t="array" ref="S131">MMS_Swine_ManureAppliedToSoils_Equations.VEERG_4_5_1_9__1_MassOfNitrogenAppliedToSoilsScope1(S38,_xlfn.XLOOKUP($O131,$D$105:$D$110,$E$105:$E$110), _xlfn.XLOOKUP($O131,$D$95:$D$100,$E$95:$E$100),S63,$F87)</f>
        <v>#N/A</v>
      </c>
      <c r="T131" s="2" t="str">
        <f t="shared" si="1"/>
        <v>kg N</v>
      </c>
    </row>
    <row r="132" spans="3:21" ht="20.100000000000001" customHeight="1" x14ac:dyDescent="0.25">
      <c r="D132" s="57"/>
      <c r="E132" s="57">
        <f>'Input - Poultry'!$D$85</f>
        <v>0</v>
      </c>
      <c r="F132" s="52" t="e" cm="1">
        <f t="array" ref="F132">MMS_Swine_ManureAppliedToSoils_Equations.VEERG_4_5_1_9__1_MassOfNitrogenAppliedToSoilsScope1(F39,_xlfn.XLOOKUP($E132,$D$105:$D$110,$E$105:$E$110), _xlfn.XLOOKUP($E132,$D$95:$D$100,$E$95:$E$100),F64,$F88)</f>
        <v>#N/A</v>
      </c>
      <c r="G132" s="52" t="e" cm="1">
        <f t="array" ref="G132">MMS_Swine_ManureAppliedToSoils_Equations.VEERG_4_5_1_9__1_MassOfNitrogenAppliedToSoilsScope1(G39,_xlfn.XLOOKUP($E132,$D$105:$D$110,$E$105:$E$110), _xlfn.XLOOKUP($E132,$D$95:$D$100,$E$95:$E$100),G64,$F88)</f>
        <v>#N/A</v>
      </c>
      <c r="H132" s="52" t="e" cm="1">
        <f t="array" ref="H132">MMS_Swine_ManureAppliedToSoils_Equations.VEERG_4_5_1_9__1_MassOfNitrogenAppliedToSoilsScope1(H39,_xlfn.XLOOKUP($E132,$D$105:$D$110,$E$105:$E$110), _xlfn.XLOOKUP($E132,$D$95:$D$100,$E$95:$E$100),H64,$F88)</f>
        <v>#N/A</v>
      </c>
      <c r="I132" s="52" t="e" cm="1">
        <f t="array" ref="I132">MMS_Swine_ManureAppliedToSoils_Equations.VEERG_4_5_1_9__1_MassOfNitrogenAppliedToSoilsScope1(I39,_xlfn.XLOOKUP($E132,$D$105:$D$110,$E$105:$E$110), _xlfn.XLOOKUP($E132,$D$95:$D$100,$E$95:$E$100),I64,$F88)</f>
        <v>#N/A</v>
      </c>
      <c r="J132" s="2" t="str">
        <f t="shared" si="0"/>
        <v>kg N</v>
      </c>
      <c r="N132" s="57"/>
      <c r="O132" s="57">
        <f>'Input - Poultry'!$D$85</f>
        <v>0</v>
      </c>
      <c r="P132" s="52" t="e" cm="1">
        <f t="array" ref="P132">MMS_Swine_ManureAppliedToSoils_Equations.VEERG_4_5_1_9__1_MassOfNitrogenAppliedToSoilsScope1(P39,_xlfn.XLOOKUP($O132,$D$105:$D$110,$E$105:$E$110), _xlfn.XLOOKUP($O132,$D$95:$D$100,$E$95:$E$100),P64,$F88)</f>
        <v>#N/A</v>
      </c>
      <c r="Q132" s="52" t="e" cm="1">
        <f t="array" ref="Q132">MMS_Swine_ManureAppliedToSoils_Equations.VEERG_4_5_1_9__1_MassOfNitrogenAppliedToSoilsScope1(Q39,_xlfn.XLOOKUP($O132,$D$105:$D$110,$E$105:$E$110), _xlfn.XLOOKUP($O132,$D$95:$D$100,$E$95:$E$100),Q64,$F88)</f>
        <v>#N/A</v>
      </c>
      <c r="R132" s="52" t="e" cm="1">
        <f t="array" ref="R132">MMS_Swine_ManureAppliedToSoils_Equations.VEERG_4_5_1_9__1_MassOfNitrogenAppliedToSoilsScope1(R39,_xlfn.XLOOKUP($O132,$D$105:$D$110,$E$105:$E$110), _xlfn.XLOOKUP($O132,$D$95:$D$100,$E$95:$E$100),R64,$F88)</f>
        <v>#N/A</v>
      </c>
      <c r="S132" s="52" t="e" cm="1">
        <f t="array" ref="S132">MMS_Swine_ManureAppliedToSoils_Equations.VEERG_4_5_1_9__1_MassOfNitrogenAppliedToSoilsScope1(S39,_xlfn.XLOOKUP($O132,$D$105:$D$110,$E$105:$E$110), _xlfn.XLOOKUP($O132,$D$95:$D$100,$E$95:$E$100),S64,$F88)</f>
        <v>#N/A</v>
      </c>
      <c r="T132" s="2" t="str">
        <f t="shared" si="1"/>
        <v>kg N</v>
      </c>
    </row>
    <row r="133" spans="3:21" ht="20.100000000000001" customHeight="1" x14ac:dyDescent="0.25">
      <c r="D133" s="57"/>
      <c r="E133" s="57">
        <f>'Input - Poultry'!$D$86</f>
        <v>0</v>
      </c>
      <c r="F133" s="52" t="e" cm="1">
        <f t="array" ref="F133">MMS_Swine_ManureAppliedToSoils_Equations.VEERG_4_5_1_9__1_MassOfNitrogenAppliedToSoilsScope1(F40,_xlfn.XLOOKUP($E133,$D$105:$D$110,$E$105:$E$110), _xlfn.XLOOKUP($E133,$D$95:$D$100,$E$95:$E$100),F65,$F89)</f>
        <v>#N/A</v>
      </c>
      <c r="G133" s="52" t="e" cm="1">
        <f t="array" ref="G133">MMS_Swine_ManureAppliedToSoils_Equations.VEERG_4_5_1_9__1_MassOfNitrogenAppliedToSoilsScope1(G40,_xlfn.XLOOKUP($E133,$D$105:$D$110,$E$105:$E$110), _xlfn.XLOOKUP($E133,$D$95:$D$100,$E$95:$E$100),G65,$F89)</f>
        <v>#N/A</v>
      </c>
      <c r="H133" s="52" t="e" cm="1">
        <f t="array" ref="H133">MMS_Swine_ManureAppliedToSoils_Equations.VEERG_4_5_1_9__1_MassOfNitrogenAppliedToSoilsScope1(H40,_xlfn.XLOOKUP($E133,$D$105:$D$110,$E$105:$E$110), _xlfn.XLOOKUP($E133,$D$95:$D$100,$E$95:$E$100),H65,$F89)</f>
        <v>#N/A</v>
      </c>
      <c r="I133" s="52" t="e" cm="1">
        <f t="array" ref="I133">MMS_Swine_ManureAppliedToSoils_Equations.VEERG_4_5_1_9__1_MassOfNitrogenAppliedToSoilsScope1(I40,_xlfn.XLOOKUP($E133,$D$105:$D$110,$E$105:$E$110), _xlfn.XLOOKUP($E133,$D$95:$D$100,$E$95:$E$100),I65,$F89)</f>
        <v>#N/A</v>
      </c>
      <c r="J133" s="2" t="str">
        <f t="shared" si="0"/>
        <v>kg N</v>
      </c>
      <c r="N133" s="57"/>
      <c r="O133" s="57">
        <f>'Input - Poultry'!$D$86</f>
        <v>0</v>
      </c>
      <c r="P133" s="52" t="e" cm="1">
        <f t="array" ref="P133">MMS_Swine_ManureAppliedToSoils_Equations.VEERG_4_5_1_9__1_MassOfNitrogenAppliedToSoilsScope1(P40,_xlfn.XLOOKUP($O133,$D$105:$D$110,$E$105:$E$110), _xlfn.XLOOKUP($O133,$D$95:$D$100,$E$95:$E$100),P65,$F89)</f>
        <v>#N/A</v>
      </c>
      <c r="Q133" s="52" t="e" cm="1">
        <f t="array" ref="Q133">MMS_Swine_ManureAppliedToSoils_Equations.VEERG_4_5_1_9__1_MassOfNitrogenAppliedToSoilsScope1(Q40,_xlfn.XLOOKUP($O133,$D$105:$D$110,$E$105:$E$110), _xlfn.XLOOKUP($O133,$D$95:$D$100,$E$95:$E$100),Q65,$F89)</f>
        <v>#N/A</v>
      </c>
      <c r="R133" s="52" t="e" cm="1">
        <f t="array" ref="R133">MMS_Swine_ManureAppliedToSoils_Equations.VEERG_4_5_1_9__1_MassOfNitrogenAppliedToSoilsScope1(R40,_xlfn.XLOOKUP($O133,$D$105:$D$110,$E$105:$E$110), _xlfn.XLOOKUP($O133,$D$95:$D$100,$E$95:$E$100),R65,$F89)</f>
        <v>#N/A</v>
      </c>
      <c r="S133" s="52" t="e" cm="1">
        <f t="array" ref="S133">MMS_Swine_ManureAppliedToSoils_Equations.VEERG_4_5_1_9__1_MassOfNitrogenAppliedToSoilsScope1(S40,_xlfn.XLOOKUP($O133,$D$105:$D$110,$E$105:$E$110), _xlfn.XLOOKUP($O133,$D$95:$D$100,$E$95:$E$100),S65,$F89)</f>
        <v>#N/A</v>
      </c>
      <c r="T133" s="2" t="str">
        <f t="shared" si="1"/>
        <v>kg N</v>
      </c>
    </row>
    <row r="134" spans="3:21" ht="20.100000000000001" customHeight="1" x14ac:dyDescent="0.25">
      <c r="D134" s="57"/>
      <c r="E134" s="57">
        <f>'Input - Poultry'!$D$87</f>
        <v>0</v>
      </c>
      <c r="F134" s="52" t="e" cm="1">
        <f t="array" ref="F134">MMS_Swine_ManureAppliedToSoils_Equations.VEERG_4_5_1_9__1_MassOfNitrogenAppliedToSoilsScope1(F41,_xlfn.XLOOKUP($E134,$D$105:$D$110,$E$105:$E$110), _xlfn.XLOOKUP($E134,$D$95:$D$100,$E$95:$E$100),F66,$F90)</f>
        <v>#N/A</v>
      </c>
      <c r="G134" s="52" t="e" cm="1">
        <f t="array" ref="G134">MMS_Swine_ManureAppliedToSoils_Equations.VEERG_4_5_1_9__1_MassOfNitrogenAppliedToSoilsScope1(G41,_xlfn.XLOOKUP($E134,$D$105:$D$110,$E$105:$E$110), _xlfn.XLOOKUP($E134,$D$95:$D$100,$E$95:$E$100),G66,$F90)</f>
        <v>#N/A</v>
      </c>
      <c r="H134" s="52" t="e" cm="1">
        <f t="array" ref="H134">MMS_Swine_ManureAppliedToSoils_Equations.VEERG_4_5_1_9__1_MassOfNitrogenAppliedToSoilsScope1(H41,_xlfn.XLOOKUP($E134,$D$105:$D$110,$E$105:$E$110), _xlfn.XLOOKUP($E134,$D$95:$D$100,$E$95:$E$100),H66,$F90)</f>
        <v>#N/A</v>
      </c>
      <c r="I134" s="52" t="e" cm="1">
        <f t="array" ref="I134">MMS_Swine_ManureAppliedToSoils_Equations.VEERG_4_5_1_9__1_MassOfNitrogenAppliedToSoilsScope1(I41,_xlfn.XLOOKUP($E134,$D$105:$D$110,$E$105:$E$110), _xlfn.XLOOKUP($E134,$D$95:$D$100,$E$95:$E$100),I66,$F90)</f>
        <v>#N/A</v>
      </c>
      <c r="J134" s="2" t="str">
        <f t="shared" si="0"/>
        <v>kg N</v>
      </c>
      <c r="N134" s="57"/>
      <c r="O134" s="57">
        <f>'Input - Poultry'!$D$87</f>
        <v>0</v>
      </c>
      <c r="P134" s="52" t="e" cm="1">
        <f t="array" ref="P134">MMS_Swine_ManureAppliedToSoils_Equations.VEERG_4_5_1_9__1_MassOfNitrogenAppliedToSoilsScope1(P41,_xlfn.XLOOKUP($O134,$D$105:$D$110,$E$105:$E$110), _xlfn.XLOOKUP($O134,$D$95:$D$100,$E$95:$E$100),P66,$F90)</f>
        <v>#N/A</v>
      </c>
      <c r="Q134" s="52" t="e" cm="1">
        <f t="array" ref="Q134">MMS_Swine_ManureAppliedToSoils_Equations.VEERG_4_5_1_9__1_MassOfNitrogenAppliedToSoilsScope1(Q41,_xlfn.XLOOKUP($O134,$D$105:$D$110,$E$105:$E$110), _xlfn.XLOOKUP($O134,$D$95:$D$100,$E$95:$E$100),Q66,$F90)</f>
        <v>#N/A</v>
      </c>
      <c r="R134" s="52" t="e" cm="1">
        <f t="array" ref="R134">MMS_Swine_ManureAppliedToSoils_Equations.VEERG_4_5_1_9__1_MassOfNitrogenAppliedToSoilsScope1(R41,_xlfn.XLOOKUP($O134,$D$105:$D$110,$E$105:$E$110), _xlfn.XLOOKUP($O134,$D$95:$D$100,$E$95:$E$100),R66,$F90)</f>
        <v>#N/A</v>
      </c>
      <c r="S134" s="52" t="e" cm="1">
        <f t="array" ref="S134">MMS_Swine_ManureAppliedToSoils_Equations.VEERG_4_5_1_9__1_MassOfNitrogenAppliedToSoilsScope1(S41,_xlfn.XLOOKUP($O134,$D$105:$D$110,$E$105:$E$110), _xlfn.XLOOKUP($O134,$D$95:$D$100,$E$95:$E$100),S66,$F90)</f>
        <v>#N/A</v>
      </c>
      <c r="T134" s="2" t="str">
        <f t="shared" si="1"/>
        <v>kg N</v>
      </c>
    </row>
    <row r="135" spans="3:21" ht="20.100000000000001" customHeight="1" x14ac:dyDescent="0.25"/>
    <row r="136" spans="3:21" ht="20.100000000000001" customHeight="1" x14ac:dyDescent="0.25">
      <c r="D136" s="101" t="s">
        <v>205</v>
      </c>
      <c r="E136" s="102" t="e">
        <f>SUM(F115:I134)</f>
        <v>#N/A</v>
      </c>
      <c r="F136" s="103" t="str">
        <f>$E$11</f>
        <v>kg N</v>
      </c>
      <c r="N136" s="101" t="s">
        <v>205</v>
      </c>
      <c r="O136" s="102" t="e">
        <f>SUM(P115:S134)</f>
        <v>#N/A</v>
      </c>
      <c r="P136" s="103" t="str">
        <f>$E$11</f>
        <v>kg N</v>
      </c>
    </row>
    <row r="137" spans="3:21" ht="20.100000000000001" customHeight="1" x14ac:dyDescent="0.25"/>
    <row r="138" spans="3:21" ht="20.100000000000001" customHeight="1" x14ac:dyDescent="0.25"/>
    <row r="139" spans="3:21" ht="20.100000000000001" customHeight="1" x14ac:dyDescent="0.25">
      <c r="C139" s="45"/>
      <c r="D139" s="45"/>
      <c r="E139" s="45"/>
      <c r="F139" s="45"/>
      <c r="G139" s="45"/>
      <c r="H139" s="45"/>
      <c r="I139" s="45"/>
      <c r="J139" s="45"/>
      <c r="K139" s="45"/>
      <c r="M139" s="45"/>
      <c r="N139" s="45"/>
      <c r="O139" s="45"/>
      <c r="P139" s="45"/>
      <c r="Q139" s="45"/>
      <c r="R139" s="45"/>
      <c r="S139" s="45"/>
      <c r="T139" s="45"/>
      <c r="U139" s="45"/>
    </row>
    <row r="140" spans="3:21" ht="20.100000000000001" customHeight="1" x14ac:dyDescent="0.25">
      <c r="D140" s="6" t="str" cm="1">
        <f t="array" ref="D140">MMS_Swine_ManureAppliedToSoils_Equations.VEERG_4_5_1_9__2_MassOfNitrogenAppliedToSoilsScope3_Title()</f>
        <v>Mass of nitrogen applied to soils for scope 3 emissions</v>
      </c>
    </row>
    <row r="141" spans="3:21" ht="20.100000000000001" customHeight="1" x14ac:dyDescent="0.25">
      <c r="D141" s="5" t="str" cm="1">
        <f t="array" ref="D141">MMS_Swine_ManureAppliedToSoils_Equations.VEERG_4_5_1_9__2_MassOfNitrogenAppliedToSoilsScope3_Source()</f>
        <v>VEERG 2026: 4.5.1.9, Equation (2)</v>
      </c>
    </row>
    <row r="142" spans="3:21" ht="20.100000000000001" customHeight="1" x14ac:dyDescent="0.25">
      <c r="D142" s="13" t="s">
        <v>26</v>
      </c>
      <c r="E142" s="13" t="str" cm="1">
        <f t="array" aca="1" ref="E142" ca="1">Common_InputFunctions.Utility_DisplayFunctionName(F157)</f>
        <v>=MMS_Swine_ManureAppliedToSoils_Equations.VEERG_4_5_1_9__2_MassOfNitrogenAppliedToSoilsScope3</v>
      </c>
    </row>
    <row r="143" spans="3:21" ht="20.100000000000001" customHeight="1" x14ac:dyDescent="0.25"/>
    <row r="144" spans="3:21" ht="20.100000000000001" customHeight="1" x14ac:dyDescent="0.25"/>
    <row r="145" spans="4:20" ht="20.100000000000001" customHeight="1" x14ac:dyDescent="0.25">
      <c r="D145" s="53" t="s">
        <v>29</v>
      </c>
      <c r="E145" s="1" t="str" cm="1">
        <f t="array" ref="E145">MMS_Swine_ManureAppliedToSoils_Equations.VEERG_4_5_1_9__2_MassOfNitrogenAppliedToSoilsScope3_Variable()</f>
        <v>MNSoil_scope3</v>
      </c>
    </row>
    <row r="146" spans="4:20" ht="20.100000000000001" customHeight="1" x14ac:dyDescent="0.25">
      <c r="D146" s="53" t="s">
        <v>19</v>
      </c>
      <c r="E146" s="54" t="str" cm="1">
        <f t="array" ref="E146">MMS_Swine_ManureAppliedToSoils_Equations.VEERG_4_5_1_9__2_MassOfNitrogenAppliedToSoilsScope3_Unit()</f>
        <v>kg N</v>
      </c>
    </row>
    <row r="147" spans="4:20" ht="20.100000000000001" customHeight="1" x14ac:dyDescent="0.25"/>
    <row r="148" spans="4:20" ht="20.100000000000001" customHeight="1" x14ac:dyDescent="0.25">
      <c r="D148" s="57" t="str" cm="1">
        <f t="array" ref="D148:E152">MMS_Swine_ManureAppliedToSoils_Equations.VEERG_4_5_1_9__2_MassOfNitrogenAppliedToSoilsScope3_Arguments()</f>
        <v>MN_jmT2</v>
      </c>
      <c r="E148" s="58" t="str">
        <v>mass of N in MMS at treatment stage 2 : kg N</v>
      </c>
      <c r="F148" s="100"/>
      <c r="G148" s="59"/>
      <c r="H148" s="57" t="str">
        <f>"See " &amp; D19</f>
        <v>See M1_Table_MN_j_m_T-2</v>
      </c>
    </row>
    <row r="149" spans="4:20" ht="20.100000000000001" customHeight="1" x14ac:dyDescent="0.25">
      <c r="D149" s="57" t="str">
        <v>EF_mT2</v>
      </c>
      <c r="E149" s="58" t="str">
        <v>nitrous oxide emission factor for each MMS at treatment stage 2 : kg N2O-N/kg N</v>
      </c>
      <c r="F149" s="100"/>
      <c r="G149" s="59"/>
      <c r="H149" s="57" t="str">
        <f>"See " &amp; D102</f>
        <v>See Table_EF_m_T</v>
      </c>
    </row>
    <row r="150" spans="4:20" ht="20.100000000000001" customHeight="1" x14ac:dyDescent="0.25">
      <c r="D150" s="57" t="str">
        <v>FracGASM_mT2</v>
      </c>
      <c r="E150" s="58" t="str">
        <v>fraction of animal waste N volatilised in each MMS at treatment stage 2 : (kg NH3-N + NOx-N)/kg N</v>
      </c>
      <c r="F150" s="100"/>
      <c r="G150" s="59"/>
      <c r="H150" s="57" t="str">
        <f>"See " &amp; D92</f>
        <v>See Table_FracGASM_m_t</v>
      </c>
    </row>
    <row r="151" spans="4:20" ht="20.100000000000001" customHeight="1" x14ac:dyDescent="0.25">
      <c r="D151" s="57" t="str">
        <v>MNLeach_jm5</v>
      </c>
      <c r="E151" s="58" t="str">
        <v>mass of N lost to leaching and runoff from drylot MMS : kg N</v>
      </c>
      <c r="F151" s="100"/>
      <c r="G151" s="59"/>
      <c r="H151" s="57" t="str">
        <f>"See " &amp; D44</f>
        <v>See M1_Table_MN_leach_j_m-5</v>
      </c>
    </row>
    <row r="152" spans="4:20" ht="20.100000000000001" customHeight="1" x14ac:dyDescent="0.25">
      <c r="D152" s="57" t="str">
        <v>PF</v>
      </c>
      <c r="E152" s="58" t="str">
        <v>fraction of manure applied to soil within the piggery boundary : fraction</v>
      </c>
      <c r="F152" s="100"/>
      <c r="G152" s="59"/>
      <c r="H152" s="57" t="str">
        <f>"See " &amp; D68</f>
        <v>See M1_Table_PF</v>
      </c>
    </row>
    <row r="153" spans="4:20" ht="20.100000000000001" customHeight="1" x14ac:dyDescent="0.25"/>
    <row r="154" spans="4:20" ht="20.100000000000001" customHeight="1" x14ac:dyDescent="0.25">
      <c r="D154" s="120" t="s">
        <v>208</v>
      </c>
      <c r="N154" s="120" t="s">
        <v>208</v>
      </c>
    </row>
    <row r="155" spans="4:20" ht="20.100000000000001" customHeight="1" x14ac:dyDescent="0.25">
      <c r="D155" s="121" t="s">
        <v>209</v>
      </c>
      <c r="N155" s="121" t="s">
        <v>209</v>
      </c>
    </row>
    <row r="156" spans="4:20" ht="20.100000000000001" customHeight="1" x14ac:dyDescent="0.25">
      <c r="D156" s="51" t="s">
        <v>139</v>
      </c>
      <c r="E156" s="51" t="s">
        <v>142</v>
      </c>
      <c r="F156" s="51" t="s">
        <v>134</v>
      </c>
      <c r="G156" s="51" t="s">
        <v>135</v>
      </c>
      <c r="H156" s="51" t="s">
        <v>136</v>
      </c>
      <c r="I156" s="51" t="s">
        <v>161</v>
      </c>
      <c r="N156" s="51" t="s">
        <v>139</v>
      </c>
      <c r="O156" s="51" t="s">
        <v>142</v>
      </c>
      <c r="P156" s="51" t="s">
        <v>134</v>
      </c>
      <c r="Q156" s="51" t="s">
        <v>135</v>
      </c>
      <c r="R156" s="51" t="s">
        <v>136</v>
      </c>
      <c r="S156" s="51" t="s">
        <v>161</v>
      </c>
    </row>
    <row r="157" spans="4:20" ht="20.100000000000001" customHeight="1" x14ac:dyDescent="0.25">
      <c r="D157" s="57" t="str">
        <f>'Input - Poultry'!$D$30</f>
        <v>Belt manure removal</v>
      </c>
      <c r="E157" s="57" t="str">
        <f>'Input - Poultry'!$D$38</f>
        <v>Solid storage</v>
      </c>
      <c r="F157" s="52" t="e" cm="1">
        <f t="array" ref="F157">MMS_Swine_ManureAppliedToSoils_Equations.VEERG_4_5_1_9__2_MassOfNitrogenAppliedToSoilsScope3(F22,_xlfn.XLOOKUP($E157,$D$105:$D$110,$E$105:$E$110), _xlfn.XLOOKUP($E157,$D$95:$D$100,$E$95:$E$100),F47,$F71)</f>
        <v>#N/A</v>
      </c>
      <c r="G157" s="52" t="e" cm="1">
        <f t="array" ref="G157">MMS_Swine_ManureAppliedToSoils_Equations.VEERG_4_5_1_9__2_MassOfNitrogenAppliedToSoilsScope3(G22,_xlfn.XLOOKUP($E157,$D$105:$D$110,$E$105:$E$110), _xlfn.XLOOKUP($E157,$D$95:$D$100,$E$95:$E$100),G47,$F71)</f>
        <v>#N/A</v>
      </c>
      <c r="H157" s="52" t="e" cm="1">
        <f t="array" ref="H157">MMS_Swine_ManureAppliedToSoils_Equations.VEERG_4_5_1_9__2_MassOfNitrogenAppliedToSoilsScope3(H22,_xlfn.XLOOKUP($E157,$D$105:$D$110,$E$105:$E$110), _xlfn.XLOOKUP($E157,$D$95:$D$100,$E$95:$E$100),H47,$F71)</f>
        <v>#N/A</v>
      </c>
      <c r="I157" s="52" t="e" cm="1">
        <f t="array" ref="I157">MMS_Swine_ManureAppliedToSoils_Equations.VEERG_4_5_1_9__2_MassOfNitrogenAppliedToSoilsScope3(I22,_xlfn.XLOOKUP($E157,$D$105:$D$110,$E$105:$E$110), _xlfn.XLOOKUP($E157,$D$95:$D$100,$E$95:$E$100),I47,$F71)</f>
        <v>#N/A</v>
      </c>
      <c r="J157" s="2" t="str">
        <f>$E$11</f>
        <v>kg N</v>
      </c>
      <c r="N157" s="57" t="str">
        <f>'Input - Poultry'!$D$30</f>
        <v>Belt manure removal</v>
      </c>
      <c r="O157" s="57" t="str">
        <f>'Input - Poultry'!$D$38</f>
        <v>Solid storage</v>
      </c>
      <c r="P157" s="52" t="e" cm="1">
        <f t="array" ref="P157">MMS_Swine_ManureAppliedToSoils_Equations.VEERG_4_5_1_9__2_MassOfNitrogenAppliedToSoilsScope3(P22,_xlfn.XLOOKUP($O157,$D$105:$D$110,$E$105:$E$110), _xlfn.XLOOKUP($O157,$D$95:$D$100,$E$95:$E$100),P47,$F71)</f>
        <v>#N/A</v>
      </c>
      <c r="Q157" s="52" t="e" cm="1">
        <f t="array" ref="Q157">MMS_Swine_ManureAppliedToSoils_Equations.VEERG_4_5_1_9__2_MassOfNitrogenAppliedToSoilsScope3(Q22,_xlfn.XLOOKUP($O157,$D$105:$D$110,$E$105:$E$110), _xlfn.XLOOKUP($O157,$D$95:$D$100,$E$95:$E$100),Q47,$F71)</f>
        <v>#N/A</v>
      </c>
      <c r="R157" s="52" t="e" cm="1">
        <f t="array" ref="R157">MMS_Swine_ManureAppliedToSoils_Equations.VEERG_4_5_1_9__2_MassOfNitrogenAppliedToSoilsScope3(R22,_xlfn.XLOOKUP($O157,$D$105:$D$110,$E$105:$E$110), _xlfn.XLOOKUP($O157,$D$95:$D$100,$E$95:$E$100),R47,$F71)</f>
        <v>#N/A</v>
      </c>
      <c r="S157" s="52" t="e" cm="1">
        <f t="array" ref="S157">MMS_Swine_ManureAppliedToSoils_Equations.VEERG_4_5_1_9__2_MassOfNitrogenAppliedToSoilsScope3(S22,_xlfn.XLOOKUP($O157,$D$105:$D$110,$E$105:$E$110), _xlfn.XLOOKUP($O157,$D$95:$D$100,$E$95:$E$100),S47,$F71)</f>
        <v>#N/A</v>
      </c>
      <c r="T157" s="2" t="str">
        <f>$E$11</f>
        <v>kg N</v>
      </c>
    </row>
    <row r="158" spans="4:20" ht="20.100000000000001" customHeight="1" x14ac:dyDescent="0.25">
      <c r="D158" s="57"/>
      <c r="E158" s="57" t="str">
        <f>'Input - Poultry'!$D$39</f>
        <v>Composting (passive windrow)</v>
      </c>
      <c r="F158" s="52" t="e" cm="1">
        <f t="array" ref="F158">MMS_Swine_ManureAppliedToSoils_Equations.VEERG_4_5_1_9__2_MassOfNitrogenAppliedToSoilsScope3(F23,_xlfn.XLOOKUP($E158,$D$105:$D$110,$E$105:$E$110), _xlfn.XLOOKUP($E158,$D$95:$D$100,$E$95:$E$100),F48,$F72)</f>
        <v>#N/A</v>
      </c>
      <c r="G158" s="52" t="e" cm="1">
        <f t="array" ref="G158">MMS_Swine_ManureAppliedToSoils_Equations.VEERG_4_5_1_9__2_MassOfNitrogenAppliedToSoilsScope3(G23,_xlfn.XLOOKUP($E158,$D$105:$D$110,$E$105:$E$110), _xlfn.XLOOKUP($E158,$D$95:$D$100,$E$95:$E$100),G48,$F72)</f>
        <v>#N/A</v>
      </c>
      <c r="H158" s="52" t="e" cm="1">
        <f t="array" ref="H158">MMS_Swine_ManureAppliedToSoils_Equations.VEERG_4_5_1_9__2_MassOfNitrogenAppliedToSoilsScope3(H23,_xlfn.XLOOKUP($E158,$D$105:$D$110,$E$105:$E$110), _xlfn.XLOOKUP($E158,$D$95:$D$100,$E$95:$E$100),H48,$F72)</f>
        <v>#N/A</v>
      </c>
      <c r="I158" s="52" t="e" cm="1">
        <f t="array" ref="I158">MMS_Swine_ManureAppliedToSoils_Equations.VEERG_4_5_1_9__2_MassOfNitrogenAppliedToSoilsScope3(I23,_xlfn.XLOOKUP($E158,$D$105:$D$110,$E$105:$E$110), _xlfn.XLOOKUP($E158,$D$95:$D$100,$E$95:$E$100),I48,$F72)</f>
        <v>#N/A</v>
      </c>
      <c r="J158" s="2" t="str">
        <f t="shared" ref="J158:J176" si="2">$E$11</f>
        <v>kg N</v>
      </c>
      <c r="N158" s="57"/>
      <c r="O158" s="57" t="str">
        <f>'Input - Poultry'!$D$39</f>
        <v>Composting (passive windrow)</v>
      </c>
      <c r="P158" s="52" t="e" cm="1">
        <f t="array" ref="P158">MMS_Swine_ManureAppliedToSoils_Equations.VEERG_4_5_1_9__2_MassOfNitrogenAppliedToSoilsScope3(P23,_xlfn.XLOOKUP($O158,$D$105:$D$110,$E$105:$E$110), _xlfn.XLOOKUP($O158,$D$95:$D$100,$E$95:$E$100),P48,$F72)</f>
        <v>#N/A</v>
      </c>
      <c r="Q158" s="52" t="e" cm="1">
        <f t="array" ref="Q158">MMS_Swine_ManureAppliedToSoils_Equations.VEERG_4_5_1_9__2_MassOfNitrogenAppliedToSoilsScope3(Q23,_xlfn.XLOOKUP($O158,$D$105:$D$110,$E$105:$E$110), _xlfn.XLOOKUP($O158,$D$95:$D$100,$E$95:$E$100),Q48,$F72)</f>
        <v>#N/A</v>
      </c>
      <c r="R158" s="52" t="e" cm="1">
        <f t="array" ref="R158">MMS_Swine_ManureAppliedToSoils_Equations.VEERG_4_5_1_9__2_MassOfNitrogenAppliedToSoilsScope3(R23,_xlfn.XLOOKUP($O158,$D$105:$D$110,$E$105:$E$110), _xlfn.XLOOKUP($O158,$D$95:$D$100,$E$95:$E$100),R48,$F72)</f>
        <v>#N/A</v>
      </c>
      <c r="S158" s="52" t="e" cm="1">
        <f t="array" ref="S158">MMS_Swine_ManureAppliedToSoils_Equations.VEERG_4_5_1_9__2_MassOfNitrogenAppliedToSoilsScope3(S23,_xlfn.XLOOKUP($O158,$D$105:$D$110,$E$105:$E$110), _xlfn.XLOOKUP($O158,$D$95:$D$100,$E$95:$E$100),S48,$F72)</f>
        <v>#N/A</v>
      </c>
      <c r="T158" s="2" t="str">
        <f t="shared" ref="T158:T176" si="3">$E$11</f>
        <v>kg N</v>
      </c>
    </row>
    <row r="159" spans="4:20" ht="20.100000000000001" customHeight="1" x14ac:dyDescent="0.25">
      <c r="D159" s="57"/>
      <c r="E159" s="57" t="str">
        <f>'Input - Poultry'!$D$40</f>
        <v>Digester / covered lagoons</v>
      </c>
      <c r="F159" s="52" t="e" cm="1">
        <f t="array" ref="F159">MMS_Swine_ManureAppliedToSoils_Equations.VEERG_4_5_1_9__2_MassOfNitrogenAppliedToSoilsScope3(F24,_xlfn.XLOOKUP($E159,$D$105:$D$110,$E$105:$E$110), _xlfn.XLOOKUP($E159,$D$95:$D$100,$E$95:$E$100),F49,$F73)</f>
        <v>#N/A</v>
      </c>
      <c r="G159" s="52" t="e" cm="1">
        <f t="array" ref="G159">MMS_Swine_ManureAppliedToSoils_Equations.VEERG_4_5_1_9__2_MassOfNitrogenAppliedToSoilsScope3(G24,_xlfn.XLOOKUP($E159,$D$105:$D$110,$E$105:$E$110), _xlfn.XLOOKUP($E159,$D$95:$D$100,$E$95:$E$100),G49,$F73)</f>
        <v>#N/A</v>
      </c>
      <c r="H159" s="52" t="e" cm="1">
        <f t="array" ref="H159">MMS_Swine_ManureAppliedToSoils_Equations.VEERG_4_5_1_9__2_MassOfNitrogenAppliedToSoilsScope3(H24,_xlfn.XLOOKUP($E159,$D$105:$D$110,$E$105:$E$110), _xlfn.XLOOKUP($E159,$D$95:$D$100,$E$95:$E$100),H49,$F73)</f>
        <v>#N/A</v>
      </c>
      <c r="I159" s="52" t="e" cm="1">
        <f t="array" ref="I159">MMS_Swine_ManureAppliedToSoils_Equations.VEERG_4_5_1_9__2_MassOfNitrogenAppliedToSoilsScope3(I24,_xlfn.XLOOKUP($E159,$D$105:$D$110,$E$105:$E$110), _xlfn.XLOOKUP($E159,$D$95:$D$100,$E$95:$E$100),I49,$F73)</f>
        <v>#N/A</v>
      </c>
      <c r="J159" s="2" t="str">
        <f t="shared" si="2"/>
        <v>kg N</v>
      </c>
      <c r="N159" s="57"/>
      <c r="O159" s="57" t="str">
        <f>'Input - Poultry'!$D$40</f>
        <v>Digester / covered lagoons</v>
      </c>
      <c r="P159" s="52" t="e" cm="1">
        <f t="array" ref="P159">MMS_Swine_ManureAppliedToSoils_Equations.VEERG_4_5_1_9__2_MassOfNitrogenAppliedToSoilsScope3(P24,_xlfn.XLOOKUP($O159,$D$105:$D$110,$E$105:$E$110), _xlfn.XLOOKUP($O159,$D$95:$D$100,$E$95:$E$100),P49,$F73)</f>
        <v>#N/A</v>
      </c>
      <c r="Q159" s="52" t="e" cm="1">
        <f t="array" ref="Q159">MMS_Swine_ManureAppliedToSoils_Equations.VEERG_4_5_1_9__2_MassOfNitrogenAppliedToSoilsScope3(Q24,_xlfn.XLOOKUP($O159,$D$105:$D$110,$E$105:$E$110), _xlfn.XLOOKUP($O159,$D$95:$D$100,$E$95:$E$100),Q49,$F73)</f>
        <v>#N/A</v>
      </c>
      <c r="R159" s="52" t="e" cm="1">
        <f t="array" ref="R159">MMS_Swine_ManureAppliedToSoils_Equations.VEERG_4_5_1_9__2_MassOfNitrogenAppliedToSoilsScope3(R24,_xlfn.XLOOKUP($O159,$D$105:$D$110,$E$105:$E$110), _xlfn.XLOOKUP($O159,$D$95:$D$100,$E$95:$E$100),R49,$F73)</f>
        <v>#N/A</v>
      </c>
      <c r="S159" s="52" t="e" cm="1">
        <f t="array" ref="S159">MMS_Swine_ManureAppliedToSoils_Equations.VEERG_4_5_1_9__2_MassOfNitrogenAppliedToSoilsScope3(S24,_xlfn.XLOOKUP($O159,$D$105:$D$110,$E$105:$E$110), _xlfn.XLOOKUP($O159,$D$95:$D$100,$E$95:$E$100),S49,$F73)</f>
        <v>#N/A</v>
      </c>
      <c r="T159" s="2" t="str">
        <f t="shared" si="3"/>
        <v>kg N</v>
      </c>
    </row>
    <row r="160" spans="4:20" ht="20.100000000000001" customHeight="1" x14ac:dyDescent="0.25">
      <c r="D160" s="57" t="str">
        <f>'Input - Poultry'!$D$31</f>
        <v>Manure stored in house</v>
      </c>
      <c r="E160" s="57" t="str">
        <f>'Input - Poultry'!$D$45</f>
        <v>Solid storage</v>
      </c>
      <c r="F160" s="52" t="e" cm="1">
        <f t="array" ref="F160">MMS_Swine_ManureAppliedToSoils_Equations.VEERG_4_5_1_9__2_MassOfNitrogenAppliedToSoilsScope3(F25,_xlfn.XLOOKUP($E160,$D$105:$D$110,$E$105:$E$110), _xlfn.XLOOKUP($E160,$D$95:$D$100,$E$95:$E$100),F50,$F74)</f>
        <v>#N/A</v>
      </c>
      <c r="G160" s="52" t="e" cm="1">
        <f t="array" ref="G160">MMS_Swine_ManureAppliedToSoils_Equations.VEERG_4_5_1_9__2_MassOfNitrogenAppliedToSoilsScope3(G25,_xlfn.XLOOKUP($E160,$D$105:$D$110,$E$105:$E$110), _xlfn.XLOOKUP($E160,$D$95:$D$100,$E$95:$E$100),G50,$F74)</f>
        <v>#N/A</v>
      </c>
      <c r="H160" s="52" t="e" cm="1">
        <f t="array" ref="H160">MMS_Swine_ManureAppliedToSoils_Equations.VEERG_4_5_1_9__2_MassOfNitrogenAppliedToSoilsScope3(H25,_xlfn.XLOOKUP($E160,$D$105:$D$110,$E$105:$E$110), _xlfn.XLOOKUP($E160,$D$95:$D$100,$E$95:$E$100),H50,$F74)</f>
        <v>#N/A</v>
      </c>
      <c r="I160" s="52" t="e" cm="1">
        <f t="array" ref="I160">MMS_Swine_ManureAppliedToSoils_Equations.VEERG_4_5_1_9__2_MassOfNitrogenAppliedToSoilsScope3(I25,_xlfn.XLOOKUP($E160,$D$105:$D$110,$E$105:$E$110), _xlfn.XLOOKUP($E160,$D$95:$D$100,$E$95:$E$100),I50,$F74)</f>
        <v>#N/A</v>
      </c>
      <c r="J160" s="2" t="str">
        <f t="shared" si="2"/>
        <v>kg N</v>
      </c>
      <c r="N160" s="57" t="str">
        <f>'Input - Poultry'!$D$31</f>
        <v>Manure stored in house</v>
      </c>
      <c r="O160" s="57" t="str">
        <f>'Input - Poultry'!$D$45</f>
        <v>Solid storage</v>
      </c>
      <c r="P160" s="52" t="e" cm="1">
        <f t="array" ref="P160">MMS_Swine_ManureAppliedToSoils_Equations.VEERG_4_5_1_9__2_MassOfNitrogenAppliedToSoilsScope3(P25,_xlfn.XLOOKUP($O160,$D$105:$D$110,$E$105:$E$110), _xlfn.XLOOKUP($O160,$D$95:$D$100,$E$95:$E$100),P50,$F74)</f>
        <v>#N/A</v>
      </c>
      <c r="Q160" s="52" t="e" cm="1">
        <f t="array" ref="Q160">MMS_Swine_ManureAppliedToSoils_Equations.VEERG_4_5_1_9__2_MassOfNitrogenAppliedToSoilsScope3(Q25,_xlfn.XLOOKUP($O160,$D$105:$D$110,$E$105:$E$110), _xlfn.XLOOKUP($O160,$D$95:$D$100,$E$95:$E$100),Q50,$F74)</f>
        <v>#N/A</v>
      </c>
      <c r="R160" s="52" t="e" cm="1">
        <f t="array" ref="R160">MMS_Swine_ManureAppliedToSoils_Equations.VEERG_4_5_1_9__2_MassOfNitrogenAppliedToSoilsScope3(R25,_xlfn.XLOOKUP($O160,$D$105:$D$110,$E$105:$E$110), _xlfn.XLOOKUP($O160,$D$95:$D$100,$E$95:$E$100),R50,$F74)</f>
        <v>#N/A</v>
      </c>
      <c r="S160" s="52" t="e" cm="1">
        <f t="array" ref="S160">MMS_Swine_ManureAppliedToSoils_Equations.VEERG_4_5_1_9__2_MassOfNitrogenAppliedToSoilsScope3(S25,_xlfn.XLOOKUP($O160,$D$105:$D$110,$E$105:$E$110), _xlfn.XLOOKUP($O160,$D$95:$D$100,$E$95:$E$100),S50,$F74)</f>
        <v>#N/A</v>
      </c>
      <c r="T160" s="2" t="str">
        <f t="shared" si="3"/>
        <v>kg N</v>
      </c>
    </row>
    <row r="161" spans="4:20" ht="20.100000000000001" customHeight="1" x14ac:dyDescent="0.25">
      <c r="D161" s="57"/>
      <c r="E161" s="57" t="str">
        <f>'Input - Poultry'!$D$46</f>
        <v>Composting (passive windrow)</v>
      </c>
      <c r="F161" s="52" t="e" cm="1">
        <f t="array" ref="F161">MMS_Swine_ManureAppliedToSoils_Equations.VEERG_4_5_1_9__2_MassOfNitrogenAppliedToSoilsScope3(F26,_xlfn.XLOOKUP($E161,$D$105:$D$110,$E$105:$E$110), _xlfn.XLOOKUP($E161,$D$95:$D$100,$E$95:$E$100),F51,$F75)</f>
        <v>#N/A</v>
      </c>
      <c r="G161" s="52" t="e" cm="1">
        <f t="array" ref="G161">MMS_Swine_ManureAppliedToSoils_Equations.VEERG_4_5_1_9__2_MassOfNitrogenAppliedToSoilsScope3(G26,_xlfn.XLOOKUP($E161,$D$105:$D$110,$E$105:$E$110), _xlfn.XLOOKUP($E161,$D$95:$D$100,$E$95:$E$100),G51,$F75)</f>
        <v>#N/A</v>
      </c>
      <c r="H161" s="52" t="e" cm="1">
        <f t="array" ref="H161">MMS_Swine_ManureAppliedToSoils_Equations.VEERG_4_5_1_9__2_MassOfNitrogenAppliedToSoilsScope3(H26,_xlfn.XLOOKUP($E161,$D$105:$D$110,$E$105:$E$110), _xlfn.XLOOKUP($E161,$D$95:$D$100,$E$95:$E$100),H51,$F75)</f>
        <v>#N/A</v>
      </c>
      <c r="I161" s="52" t="e" cm="1">
        <f t="array" ref="I161">MMS_Swine_ManureAppliedToSoils_Equations.VEERG_4_5_1_9__2_MassOfNitrogenAppliedToSoilsScope3(I26,_xlfn.XLOOKUP($E161,$D$105:$D$110,$E$105:$E$110), _xlfn.XLOOKUP($E161,$D$95:$D$100,$E$95:$E$100),I51,$F75)</f>
        <v>#N/A</v>
      </c>
      <c r="J161" s="2" t="str">
        <f t="shared" si="2"/>
        <v>kg N</v>
      </c>
      <c r="N161" s="57"/>
      <c r="O161" s="57" t="str">
        <f>'Input - Poultry'!$D$46</f>
        <v>Composting (passive windrow)</v>
      </c>
      <c r="P161" s="52" t="e" cm="1">
        <f t="array" ref="P161">MMS_Swine_ManureAppliedToSoils_Equations.VEERG_4_5_1_9__2_MassOfNitrogenAppliedToSoilsScope3(P26,_xlfn.XLOOKUP($O161,$D$105:$D$110,$E$105:$E$110), _xlfn.XLOOKUP($O161,$D$95:$D$100,$E$95:$E$100),P51,$F75)</f>
        <v>#N/A</v>
      </c>
      <c r="Q161" s="52" t="e" cm="1">
        <f t="array" ref="Q161">MMS_Swine_ManureAppliedToSoils_Equations.VEERG_4_5_1_9__2_MassOfNitrogenAppliedToSoilsScope3(Q26,_xlfn.XLOOKUP($O161,$D$105:$D$110,$E$105:$E$110), _xlfn.XLOOKUP($O161,$D$95:$D$100,$E$95:$E$100),Q51,$F75)</f>
        <v>#N/A</v>
      </c>
      <c r="R161" s="52" t="e" cm="1">
        <f t="array" ref="R161">MMS_Swine_ManureAppliedToSoils_Equations.VEERG_4_5_1_9__2_MassOfNitrogenAppliedToSoilsScope3(R26,_xlfn.XLOOKUP($O161,$D$105:$D$110,$E$105:$E$110), _xlfn.XLOOKUP($O161,$D$95:$D$100,$E$95:$E$100),R51,$F75)</f>
        <v>#N/A</v>
      </c>
      <c r="S161" s="52" t="e" cm="1">
        <f t="array" ref="S161">MMS_Swine_ManureAppliedToSoils_Equations.VEERG_4_5_1_9__2_MassOfNitrogenAppliedToSoilsScope3(S26,_xlfn.XLOOKUP($O161,$D$105:$D$110,$E$105:$E$110), _xlfn.XLOOKUP($O161,$D$95:$D$100,$E$95:$E$100),S51,$F75)</f>
        <v>#N/A</v>
      </c>
      <c r="T161" s="2" t="str">
        <f t="shared" si="3"/>
        <v>kg N</v>
      </c>
    </row>
    <row r="162" spans="4:20" ht="20.100000000000001" customHeight="1" x14ac:dyDescent="0.25">
      <c r="D162" s="57"/>
      <c r="E162" s="57" t="str">
        <f>'Input - Poultry'!$D$47</f>
        <v>Digester / covered lagoons</v>
      </c>
      <c r="F162" s="52" t="e" cm="1">
        <f t="array" ref="F162">MMS_Swine_ManureAppliedToSoils_Equations.VEERG_4_5_1_9__2_MassOfNitrogenAppliedToSoilsScope3(F27,_xlfn.XLOOKUP($E162,$D$105:$D$110,$E$105:$E$110), _xlfn.XLOOKUP($E162,$D$95:$D$100,$E$95:$E$100),F52,$F76)</f>
        <v>#N/A</v>
      </c>
      <c r="G162" s="52" t="e" cm="1">
        <f t="array" ref="G162">MMS_Swine_ManureAppliedToSoils_Equations.VEERG_4_5_1_9__2_MassOfNitrogenAppliedToSoilsScope3(G27,_xlfn.XLOOKUP($E162,$D$105:$D$110,$E$105:$E$110), _xlfn.XLOOKUP($E162,$D$95:$D$100,$E$95:$E$100),G52,$F76)</f>
        <v>#N/A</v>
      </c>
      <c r="H162" s="52" t="e" cm="1">
        <f t="array" ref="H162">MMS_Swine_ManureAppliedToSoils_Equations.VEERG_4_5_1_9__2_MassOfNitrogenAppliedToSoilsScope3(H27,_xlfn.XLOOKUP($E162,$D$105:$D$110,$E$105:$E$110), _xlfn.XLOOKUP($E162,$D$95:$D$100,$E$95:$E$100),H52,$F76)</f>
        <v>#N/A</v>
      </c>
      <c r="I162" s="52" t="e" cm="1">
        <f t="array" ref="I162">MMS_Swine_ManureAppliedToSoils_Equations.VEERG_4_5_1_9__2_MassOfNitrogenAppliedToSoilsScope3(I27,_xlfn.XLOOKUP($E162,$D$105:$D$110,$E$105:$E$110), _xlfn.XLOOKUP($E162,$D$95:$D$100,$E$95:$E$100),I52,$F76)</f>
        <v>#N/A</v>
      </c>
      <c r="J162" s="2" t="str">
        <f t="shared" si="2"/>
        <v>kg N</v>
      </c>
      <c r="N162" s="57"/>
      <c r="O162" s="57" t="str">
        <f>'Input - Poultry'!$D$47</f>
        <v>Digester / covered lagoons</v>
      </c>
      <c r="P162" s="52" t="e" cm="1">
        <f t="array" ref="P162">MMS_Swine_ManureAppliedToSoils_Equations.VEERG_4_5_1_9__2_MassOfNitrogenAppliedToSoilsScope3(P27,_xlfn.XLOOKUP($O162,$D$105:$D$110,$E$105:$E$110), _xlfn.XLOOKUP($O162,$D$95:$D$100,$E$95:$E$100),P52,$F76)</f>
        <v>#N/A</v>
      </c>
      <c r="Q162" s="52" t="e" cm="1">
        <f t="array" ref="Q162">MMS_Swine_ManureAppliedToSoils_Equations.VEERG_4_5_1_9__2_MassOfNitrogenAppliedToSoilsScope3(Q27,_xlfn.XLOOKUP($O162,$D$105:$D$110,$E$105:$E$110), _xlfn.XLOOKUP($O162,$D$95:$D$100,$E$95:$E$100),Q52,$F76)</f>
        <v>#N/A</v>
      </c>
      <c r="R162" s="52" t="e" cm="1">
        <f t="array" ref="R162">MMS_Swine_ManureAppliedToSoils_Equations.VEERG_4_5_1_9__2_MassOfNitrogenAppliedToSoilsScope3(R27,_xlfn.XLOOKUP($O162,$D$105:$D$110,$E$105:$E$110), _xlfn.XLOOKUP($O162,$D$95:$D$100,$E$95:$E$100),R52,$F76)</f>
        <v>#N/A</v>
      </c>
      <c r="S162" s="52" t="e" cm="1">
        <f t="array" ref="S162">MMS_Swine_ManureAppliedToSoils_Equations.VEERG_4_5_1_9__2_MassOfNitrogenAppliedToSoilsScope3(S27,_xlfn.XLOOKUP($O162,$D$105:$D$110,$E$105:$E$110), _xlfn.XLOOKUP($O162,$D$95:$D$100,$E$95:$E$100),S52,$F76)</f>
        <v>#N/A</v>
      </c>
      <c r="T162" s="2" t="str">
        <f t="shared" si="3"/>
        <v>kg N</v>
      </c>
    </row>
    <row r="163" spans="4:20" ht="20.100000000000001" customHeight="1" x14ac:dyDescent="0.25">
      <c r="D163" s="57"/>
      <c r="E163" s="57" t="str">
        <f>'Input - Poultry'!$D$48</f>
        <v>Direct processing</v>
      </c>
      <c r="F163" s="52" t="e" cm="1">
        <f t="array" ref="F163">MMS_Swine_ManureAppliedToSoils_Equations.VEERG_4_5_1_9__2_MassOfNitrogenAppliedToSoilsScope3(F28,_xlfn.XLOOKUP($E163,$D$105:$D$110,$E$105:$E$110), _xlfn.XLOOKUP($E163,$D$95:$D$100,$E$95:$E$100),F53,$F77)</f>
        <v>#N/A</v>
      </c>
      <c r="G163" s="52" t="e" cm="1">
        <f t="array" ref="G163">MMS_Swine_ManureAppliedToSoils_Equations.VEERG_4_5_1_9__2_MassOfNitrogenAppliedToSoilsScope3(G28,_xlfn.XLOOKUP($E163,$D$105:$D$110,$E$105:$E$110), _xlfn.XLOOKUP($E163,$D$95:$D$100,$E$95:$E$100),G53,$F77)</f>
        <v>#N/A</v>
      </c>
      <c r="H163" s="52" t="e" cm="1">
        <f t="array" ref="H163">MMS_Swine_ManureAppliedToSoils_Equations.VEERG_4_5_1_9__2_MassOfNitrogenAppliedToSoilsScope3(H28,_xlfn.XLOOKUP($E163,$D$105:$D$110,$E$105:$E$110), _xlfn.XLOOKUP($E163,$D$95:$D$100,$E$95:$E$100),H53,$F77)</f>
        <v>#N/A</v>
      </c>
      <c r="I163" s="52" t="e" cm="1">
        <f t="array" ref="I163">MMS_Swine_ManureAppliedToSoils_Equations.VEERG_4_5_1_9__2_MassOfNitrogenAppliedToSoilsScope3(I28,_xlfn.XLOOKUP($E163,$D$105:$D$110,$E$105:$E$110), _xlfn.XLOOKUP($E163,$D$95:$D$100,$E$95:$E$100),I53,$F77)</f>
        <v>#N/A</v>
      </c>
      <c r="J163" s="2" t="str">
        <f t="shared" si="2"/>
        <v>kg N</v>
      </c>
      <c r="N163" s="57"/>
      <c r="O163" s="57" t="str">
        <f>'Input - Poultry'!$D$48</f>
        <v>Direct processing</v>
      </c>
      <c r="P163" s="52" t="e" cm="1">
        <f t="array" ref="P163">MMS_Swine_ManureAppliedToSoils_Equations.VEERG_4_5_1_9__2_MassOfNitrogenAppliedToSoilsScope3(P28,_xlfn.XLOOKUP($O163,$D$105:$D$110,$E$105:$E$110), _xlfn.XLOOKUP($O163,$D$95:$D$100,$E$95:$E$100),P53,$F77)</f>
        <v>#N/A</v>
      </c>
      <c r="Q163" s="52" t="e" cm="1">
        <f t="array" ref="Q163">MMS_Swine_ManureAppliedToSoils_Equations.VEERG_4_5_1_9__2_MassOfNitrogenAppliedToSoilsScope3(Q28,_xlfn.XLOOKUP($O163,$D$105:$D$110,$E$105:$E$110), _xlfn.XLOOKUP($O163,$D$95:$D$100,$E$95:$E$100),Q53,$F77)</f>
        <v>#N/A</v>
      </c>
      <c r="R163" s="52" t="e" cm="1">
        <f t="array" ref="R163">MMS_Swine_ManureAppliedToSoils_Equations.VEERG_4_5_1_9__2_MassOfNitrogenAppliedToSoilsScope3(R28,_xlfn.XLOOKUP($O163,$D$105:$D$110,$E$105:$E$110), _xlfn.XLOOKUP($O163,$D$95:$D$100,$E$95:$E$100),R53,$F77)</f>
        <v>#N/A</v>
      </c>
      <c r="S163" s="52" t="e" cm="1">
        <f t="array" ref="S163">MMS_Swine_ManureAppliedToSoils_Equations.VEERG_4_5_1_9__2_MassOfNitrogenAppliedToSoilsScope3(S28,_xlfn.XLOOKUP($O163,$D$105:$D$110,$E$105:$E$110), _xlfn.XLOOKUP($O163,$D$95:$D$100,$E$95:$E$100),S53,$F77)</f>
        <v>#N/A</v>
      </c>
      <c r="T163" s="2" t="str">
        <f t="shared" si="3"/>
        <v>kg N</v>
      </c>
    </row>
    <row r="164" spans="4:20" ht="20.100000000000001" customHeight="1" x14ac:dyDescent="0.25">
      <c r="D164" s="57" t="str">
        <f>'Input - Poultry'!$D$32</f>
        <v>Pasture range and paddock</v>
      </c>
      <c r="E164" s="57" t="str">
        <f>'Input - Poultry'!$D$52</f>
        <v>Solid storage</v>
      </c>
      <c r="F164" s="52" t="e" cm="1">
        <f t="array" ref="F164">MMS_Swine_ManureAppliedToSoils_Equations.VEERG_4_5_1_9__2_MassOfNitrogenAppliedToSoilsScope3(F29,_xlfn.XLOOKUP($E164,$D$105:$D$110,$E$105:$E$110), _xlfn.XLOOKUP($E164,$D$95:$D$100,$E$95:$E$100),F54,$F78)</f>
        <v>#N/A</v>
      </c>
      <c r="G164" s="52" t="e" cm="1">
        <f t="array" ref="G164">MMS_Swine_ManureAppliedToSoils_Equations.VEERG_4_5_1_9__2_MassOfNitrogenAppliedToSoilsScope3(G29,_xlfn.XLOOKUP($E164,$D$105:$D$110,$E$105:$E$110), _xlfn.XLOOKUP($E164,$D$95:$D$100,$E$95:$E$100),G54,$F78)</f>
        <v>#N/A</v>
      </c>
      <c r="H164" s="52" t="e" cm="1">
        <f t="array" ref="H164">MMS_Swine_ManureAppliedToSoils_Equations.VEERG_4_5_1_9__2_MassOfNitrogenAppliedToSoilsScope3(H29,_xlfn.XLOOKUP($E164,$D$105:$D$110,$E$105:$E$110), _xlfn.XLOOKUP($E164,$D$95:$D$100,$E$95:$E$100),H54,$F78)</f>
        <v>#N/A</v>
      </c>
      <c r="I164" s="52" t="e" cm="1">
        <f t="array" ref="I164">MMS_Swine_ManureAppliedToSoils_Equations.VEERG_4_5_1_9__2_MassOfNitrogenAppliedToSoilsScope3(I29,_xlfn.XLOOKUP($E164,$D$105:$D$110,$E$105:$E$110), _xlfn.XLOOKUP($E164,$D$95:$D$100,$E$95:$E$100),I54,$F78)</f>
        <v>#N/A</v>
      </c>
      <c r="J164" s="2" t="str">
        <f t="shared" si="2"/>
        <v>kg N</v>
      </c>
      <c r="N164" s="57" t="str">
        <f>'Input - Poultry'!$D$32</f>
        <v>Pasture range and paddock</v>
      </c>
      <c r="O164" s="57" t="str">
        <f>'Input - Poultry'!$D$52</f>
        <v>Solid storage</v>
      </c>
      <c r="P164" s="52" t="e" cm="1">
        <f t="array" ref="P164">MMS_Swine_ManureAppliedToSoils_Equations.VEERG_4_5_1_9__2_MassOfNitrogenAppliedToSoilsScope3(P29,_xlfn.XLOOKUP($O164,$D$105:$D$110,$E$105:$E$110), _xlfn.XLOOKUP($O164,$D$95:$D$100,$E$95:$E$100),P54,$F78)</f>
        <v>#N/A</v>
      </c>
      <c r="Q164" s="52" t="e" cm="1">
        <f t="array" ref="Q164">MMS_Swine_ManureAppliedToSoils_Equations.VEERG_4_5_1_9__2_MassOfNitrogenAppliedToSoilsScope3(Q29,_xlfn.XLOOKUP($O164,$D$105:$D$110,$E$105:$E$110), _xlfn.XLOOKUP($O164,$D$95:$D$100,$E$95:$E$100),Q54,$F78)</f>
        <v>#N/A</v>
      </c>
      <c r="R164" s="52" t="e" cm="1">
        <f t="array" ref="R164">MMS_Swine_ManureAppliedToSoils_Equations.VEERG_4_5_1_9__2_MassOfNitrogenAppliedToSoilsScope3(R29,_xlfn.XLOOKUP($O164,$D$105:$D$110,$E$105:$E$110), _xlfn.XLOOKUP($O164,$D$95:$D$100,$E$95:$E$100),R54,$F78)</f>
        <v>#N/A</v>
      </c>
      <c r="S164" s="52" t="e" cm="1">
        <f t="array" ref="S164">MMS_Swine_ManureAppliedToSoils_Equations.VEERG_4_5_1_9__2_MassOfNitrogenAppliedToSoilsScope3(S29,_xlfn.XLOOKUP($O164,$D$105:$D$110,$E$105:$E$110), _xlfn.XLOOKUP($O164,$D$95:$D$100,$E$95:$E$100),S54,$F78)</f>
        <v>#N/A</v>
      </c>
      <c r="T164" s="2" t="str">
        <f t="shared" si="3"/>
        <v>kg N</v>
      </c>
    </row>
    <row r="165" spans="4:20" ht="20.100000000000001" customHeight="1" x14ac:dyDescent="0.25">
      <c r="D165" s="57"/>
      <c r="E165" s="57" t="str">
        <f>'Input - Poultry'!$D$53</f>
        <v>Composting (passive windrow)</v>
      </c>
      <c r="F165" s="52" t="e" cm="1">
        <f t="array" ref="F165">MMS_Swine_ManureAppliedToSoils_Equations.VEERG_4_5_1_9__2_MassOfNitrogenAppliedToSoilsScope3(F30,_xlfn.XLOOKUP($E165,$D$105:$D$110,$E$105:$E$110), _xlfn.XLOOKUP($E165,$D$95:$D$100,$E$95:$E$100),F55,$F79)</f>
        <v>#N/A</v>
      </c>
      <c r="G165" s="52" t="e" cm="1">
        <f t="array" ref="G165">MMS_Swine_ManureAppliedToSoils_Equations.VEERG_4_5_1_9__2_MassOfNitrogenAppliedToSoilsScope3(G30,_xlfn.XLOOKUP($E165,$D$105:$D$110,$E$105:$E$110), _xlfn.XLOOKUP($E165,$D$95:$D$100,$E$95:$E$100),G55,$F79)</f>
        <v>#N/A</v>
      </c>
      <c r="H165" s="52" t="e" cm="1">
        <f t="array" ref="H165">MMS_Swine_ManureAppliedToSoils_Equations.VEERG_4_5_1_9__2_MassOfNitrogenAppliedToSoilsScope3(H30,_xlfn.XLOOKUP($E165,$D$105:$D$110,$E$105:$E$110), _xlfn.XLOOKUP($E165,$D$95:$D$100,$E$95:$E$100),H55,$F79)</f>
        <v>#N/A</v>
      </c>
      <c r="I165" s="52" t="e" cm="1">
        <f t="array" ref="I165">MMS_Swine_ManureAppliedToSoils_Equations.VEERG_4_5_1_9__2_MassOfNitrogenAppliedToSoilsScope3(I30,_xlfn.XLOOKUP($E165,$D$105:$D$110,$E$105:$E$110), _xlfn.XLOOKUP($E165,$D$95:$D$100,$E$95:$E$100),I55,$F79)</f>
        <v>#N/A</v>
      </c>
      <c r="J165" s="2" t="str">
        <f t="shared" si="2"/>
        <v>kg N</v>
      </c>
      <c r="N165" s="57"/>
      <c r="O165" s="57" t="str">
        <f>'Input - Poultry'!$D$53</f>
        <v>Composting (passive windrow)</v>
      </c>
      <c r="P165" s="52" t="e" cm="1">
        <f t="array" ref="P165">MMS_Swine_ManureAppliedToSoils_Equations.VEERG_4_5_1_9__2_MassOfNitrogenAppliedToSoilsScope3(P30,_xlfn.XLOOKUP($O165,$D$105:$D$110,$E$105:$E$110), _xlfn.XLOOKUP($O165,$D$95:$D$100,$E$95:$E$100),P55,$F79)</f>
        <v>#N/A</v>
      </c>
      <c r="Q165" s="52" t="e" cm="1">
        <f t="array" ref="Q165">MMS_Swine_ManureAppliedToSoils_Equations.VEERG_4_5_1_9__2_MassOfNitrogenAppliedToSoilsScope3(Q30,_xlfn.XLOOKUP($O165,$D$105:$D$110,$E$105:$E$110), _xlfn.XLOOKUP($O165,$D$95:$D$100,$E$95:$E$100),Q55,$F79)</f>
        <v>#N/A</v>
      </c>
      <c r="R165" s="52" t="e" cm="1">
        <f t="array" ref="R165">MMS_Swine_ManureAppliedToSoils_Equations.VEERG_4_5_1_9__2_MassOfNitrogenAppliedToSoilsScope3(R30,_xlfn.XLOOKUP($O165,$D$105:$D$110,$E$105:$E$110), _xlfn.XLOOKUP($O165,$D$95:$D$100,$E$95:$E$100),R55,$F79)</f>
        <v>#N/A</v>
      </c>
      <c r="S165" s="52" t="e" cm="1">
        <f t="array" ref="S165">MMS_Swine_ManureAppliedToSoils_Equations.VEERG_4_5_1_9__2_MassOfNitrogenAppliedToSoilsScope3(S30,_xlfn.XLOOKUP($O165,$D$105:$D$110,$E$105:$E$110), _xlfn.XLOOKUP($O165,$D$95:$D$100,$E$95:$E$100),S55,$F79)</f>
        <v>#N/A</v>
      </c>
      <c r="T165" s="2" t="str">
        <f t="shared" si="3"/>
        <v>kg N</v>
      </c>
    </row>
    <row r="166" spans="4:20" x14ac:dyDescent="0.25">
      <c r="D166" s="57"/>
      <c r="E166" s="57" t="str">
        <f>'Input - Poultry'!$D$54</f>
        <v>Digester / covered lagoons</v>
      </c>
      <c r="F166" s="52" t="e" cm="1">
        <f t="array" ref="F166">MMS_Swine_ManureAppliedToSoils_Equations.VEERG_4_5_1_9__2_MassOfNitrogenAppliedToSoilsScope3(F31,_xlfn.XLOOKUP($E166,$D$105:$D$110,$E$105:$E$110), _xlfn.XLOOKUP($E166,$D$95:$D$100,$E$95:$E$100),F56,$F80)</f>
        <v>#N/A</v>
      </c>
      <c r="G166" s="52" t="e" cm="1">
        <f t="array" ref="G166">MMS_Swine_ManureAppliedToSoils_Equations.VEERG_4_5_1_9__2_MassOfNitrogenAppliedToSoilsScope3(G31,_xlfn.XLOOKUP($E166,$D$105:$D$110,$E$105:$E$110), _xlfn.XLOOKUP($E166,$D$95:$D$100,$E$95:$E$100),G56,$F80)</f>
        <v>#N/A</v>
      </c>
      <c r="H166" s="52" t="e" cm="1">
        <f t="array" ref="H166">MMS_Swine_ManureAppliedToSoils_Equations.VEERG_4_5_1_9__2_MassOfNitrogenAppliedToSoilsScope3(H31,_xlfn.XLOOKUP($E166,$D$105:$D$110,$E$105:$E$110), _xlfn.XLOOKUP($E166,$D$95:$D$100,$E$95:$E$100),H56,$F80)</f>
        <v>#N/A</v>
      </c>
      <c r="I166" s="52" t="e" cm="1">
        <f t="array" ref="I166">MMS_Swine_ManureAppliedToSoils_Equations.VEERG_4_5_1_9__2_MassOfNitrogenAppliedToSoilsScope3(I31,_xlfn.XLOOKUP($E166,$D$105:$D$110,$E$105:$E$110), _xlfn.XLOOKUP($E166,$D$95:$D$100,$E$95:$E$100),I56,$F80)</f>
        <v>#N/A</v>
      </c>
      <c r="J166" s="2" t="str">
        <f t="shared" si="2"/>
        <v>kg N</v>
      </c>
      <c r="N166" s="57"/>
      <c r="O166" s="57" t="str">
        <f>'Input - Poultry'!$D$54</f>
        <v>Digester / covered lagoons</v>
      </c>
      <c r="P166" s="52" t="e" cm="1">
        <f t="array" ref="P166">MMS_Swine_ManureAppliedToSoils_Equations.VEERG_4_5_1_9__2_MassOfNitrogenAppliedToSoilsScope3(P31,_xlfn.XLOOKUP($O166,$D$105:$D$110,$E$105:$E$110), _xlfn.XLOOKUP($O166,$D$95:$D$100,$E$95:$E$100),P56,$F80)</f>
        <v>#N/A</v>
      </c>
      <c r="Q166" s="52" t="e" cm="1">
        <f t="array" ref="Q166">MMS_Swine_ManureAppliedToSoils_Equations.VEERG_4_5_1_9__2_MassOfNitrogenAppliedToSoilsScope3(Q31,_xlfn.XLOOKUP($O166,$D$105:$D$110,$E$105:$E$110), _xlfn.XLOOKUP($O166,$D$95:$D$100,$E$95:$E$100),Q56,$F80)</f>
        <v>#N/A</v>
      </c>
      <c r="R166" s="52" t="e" cm="1">
        <f t="array" ref="R166">MMS_Swine_ManureAppliedToSoils_Equations.VEERG_4_5_1_9__2_MassOfNitrogenAppliedToSoilsScope3(R31,_xlfn.XLOOKUP($O166,$D$105:$D$110,$E$105:$E$110), _xlfn.XLOOKUP($O166,$D$95:$D$100,$E$95:$E$100),R56,$F80)</f>
        <v>#N/A</v>
      </c>
      <c r="S166" s="52" t="e" cm="1">
        <f t="array" ref="S166">MMS_Swine_ManureAppliedToSoils_Equations.VEERG_4_5_1_9__2_MassOfNitrogenAppliedToSoilsScope3(S31,_xlfn.XLOOKUP($O166,$D$105:$D$110,$E$105:$E$110), _xlfn.XLOOKUP($O166,$D$95:$D$100,$E$95:$E$100),S56,$F80)</f>
        <v>#N/A</v>
      </c>
      <c r="T166" s="2" t="str">
        <f t="shared" si="3"/>
        <v>kg N</v>
      </c>
    </row>
    <row r="167" spans="4:20" x14ac:dyDescent="0.25">
      <c r="D167" s="57" t="str">
        <f>'Input - Poultry'!$D$33</f>
        <v>No MMS</v>
      </c>
      <c r="E167" s="57" t="e">
        <f>'Input - Poultry'!#REF!</f>
        <v>#REF!</v>
      </c>
      <c r="F167" s="52" t="e" cm="1">
        <f t="array" ref="F167">MMS_Swine_ManureAppliedToSoils_Equations.VEERG_4_5_1_9__2_MassOfNitrogenAppliedToSoilsScope3(F32,_xlfn.XLOOKUP($E167,$D$105:$D$110,$E$105:$E$110), _xlfn.XLOOKUP($E167,$D$95:$D$100,$E$95:$E$100),F57,$F81)</f>
        <v>#REF!</v>
      </c>
      <c r="G167" s="52" t="e" cm="1">
        <f t="array" ref="G167">MMS_Swine_ManureAppliedToSoils_Equations.VEERG_4_5_1_9__2_MassOfNitrogenAppliedToSoilsScope3(G32,_xlfn.XLOOKUP($E167,$D$105:$D$110,$E$105:$E$110), _xlfn.XLOOKUP($E167,$D$95:$D$100,$E$95:$E$100),G57,$F81)</f>
        <v>#REF!</v>
      </c>
      <c r="H167" s="52" t="e" cm="1">
        <f t="array" ref="H167">MMS_Swine_ManureAppliedToSoils_Equations.VEERG_4_5_1_9__2_MassOfNitrogenAppliedToSoilsScope3(H32,_xlfn.XLOOKUP($E167,$D$105:$D$110,$E$105:$E$110), _xlfn.XLOOKUP($E167,$D$95:$D$100,$E$95:$E$100),H57,$F81)</f>
        <v>#REF!</v>
      </c>
      <c r="I167" s="52" t="e" cm="1">
        <f t="array" ref="I167">MMS_Swine_ManureAppliedToSoils_Equations.VEERG_4_5_1_9__2_MassOfNitrogenAppliedToSoilsScope3(I32,_xlfn.XLOOKUP($E167,$D$105:$D$110,$E$105:$E$110), _xlfn.XLOOKUP($E167,$D$95:$D$100,$E$95:$E$100),I57,$F81)</f>
        <v>#REF!</v>
      </c>
      <c r="J167" s="2" t="str">
        <f t="shared" si="2"/>
        <v>kg N</v>
      </c>
      <c r="N167" s="57" t="str">
        <f>'Input - Poultry'!$D$33</f>
        <v>No MMS</v>
      </c>
      <c r="O167" s="57" t="e">
        <f>'Input - Poultry'!#REF!</f>
        <v>#REF!</v>
      </c>
      <c r="P167" s="52" t="e" cm="1">
        <f t="array" ref="P167">MMS_Swine_ManureAppliedToSoils_Equations.VEERG_4_5_1_9__2_MassOfNitrogenAppliedToSoilsScope3(P32,_xlfn.XLOOKUP($O167,$D$105:$D$110,$E$105:$E$110), _xlfn.XLOOKUP($O167,$D$95:$D$100,$E$95:$E$100),P57,$F81)</f>
        <v>#REF!</v>
      </c>
      <c r="Q167" s="52" t="e" cm="1">
        <f t="array" ref="Q167">MMS_Swine_ManureAppliedToSoils_Equations.VEERG_4_5_1_9__2_MassOfNitrogenAppliedToSoilsScope3(Q32,_xlfn.XLOOKUP($O167,$D$105:$D$110,$E$105:$E$110), _xlfn.XLOOKUP($O167,$D$95:$D$100,$E$95:$E$100),Q57,$F81)</f>
        <v>#REF!</v>
      </c>
      <c r="R167" s="52" t="e" cm="1">
        <f t="array" ref="R167">MMS_Swine_ManureAppliedToSoils_Equations.VEERG_4_5_1_9__2_MassOfNitrogenAppliedToSoilsScope3(R32,_xlfn.XLOOKUP($O167,$D$105:$D$110,$E$105:$E$110), _xlfn.XLOOKUP($O167,$D$95:$D$100,$E$95:$E$100),R57,$F81)</f>
        <v>#REF!</v>
      </c>
      <c r="S167" s="52" t="e" cm="1">
        <f t="array" ref="S167">MMS_Swine_ManureAppliedToSoils_Equations.VEERG_4_5_1_9__2_MassOfNitrogenAppliedToSoilsScope3(S32,_xlfn.XLOOKUP($O167,$D$105:$D$110,$E$105:$E$110), _xlfn.XLOOKUP($O167,$D$95:$D$100,$E$95:$E$100),S57,$F81)</f>
        <v>#REF!</v>
      </c>
      <c r="T167" s="2" t="str">
        <f t="shared" si="3"/>
        <v>kg N</v>
      </c>
    </row>
    <row r="168" spans="4:20" x14ac:dyDescent="0.25">
      <c r="D168" s="57"/>
      <c r="E168" s="57">
        <f>'Input - Poultry'!$D$71</f>
        <v>0</v>
      </c>
      <c r="F168" s="52" t="e" cm="1">
        <f t="array" ref="F168">MMS_Swine_ManureAppliedToSoils_Equations.VEERG_4_5_1_9__2_MassOfNitrogenAppliedToSoilsScope3(F33,_xlfn.XLOOKUP($E168,$D$105:$D$110,$E$105:$E$110), _xlfn.XLOOKUP($E168,$D$95:$D$100,$E$95:$E$100),F58,$F82)</f>
        <v>#N/A</v>
      </c>
      <c r="G168" s="52" t="e" cm="1">
        <f t="array" ref="G168">MMS_Swine_ManureAppliedToSoils_Equations.VEERG_4_5_1_9__2_MassOfNitrogenAppliedToSoilsScope3(G33,_xlfn.XLOOKUP($E168,$D$105:$D$110,$E$105:$E$110), _xlfn.XLOOKUP($E168,$D$95:$D$100,$E$95:$E$100),G58,$F82)</f>
        <v>#N/A</v>
      </c>
      <c r="H168" s="52" t="e" cm="1">
        <f t="array" ref="H168">MMS_Swine_ManureAppliedToSoils_Equations.VEERG_4_5_1_9__2_MassOfNitrogenAppliedToSoilsScope3(H33,_xlfn.XLOOKUP($E168,$D$105:$D$110,$E$105:$E$110), _xlfn.XLOOKUP($E168,$D$95:$D$100,$E$95:$E$100),H58,$F82)</f>
        <v>#N/A</v>
      </c>
      <c r="I168" s="52" t="e" cm="1">
        <f t="array" ref="I168">MMS_Swine_ManureAppliedToSoils_Equations.VEERG_4_5_1_9__2_MassOfNitrogenAppliedToSoilsScope3(I33,_xlfn.XLOOKUP($E168,$D$105:$D$110,$E$105:$E$110), _xlfn.XLOOKUP($E168,$D$95:$D$100,$E$95:$E$100),I58,$F82)</f>
        <v>#N/A</v>
      </c>
      <c r="J168" s="2" t="str">
        <f t="shared" si="2"/>
        <v>kg N</v>
      </c>
      <c r="N168" s="57"/>
      <c r="O168" s="57">
        <f>'Input - Poultry'!$D$71</f>
        <v>0</v>
      </c>
      <c r="P168" s="52" t="e" cm="1">
        <f t="array" ref="P168">MMS_Swine_ManureAppliedToSoils_Equations.VEERG_4_5_1_9__2_MassOfNitrogenAppliedToSoilsScope3(P33,_xlfn.XLOOKUP($O168,$D$105:$D$110,$E$105:$E$110), _xlfn.XLOOKUP($O168,$D$95:$D$100,$E$95:$E$100),P58,$F82)</f>
        <v>#N/A</v>
      </c>
      <c r="Q168" s="52" t="e" cm="1">
        <f t="array" ref="Q168">MMS_Swine_ManureAppliedToSoils_Equations.VEERG_4_5_1_9__2_MassOfNitrogenAppliedToSoilsScope3(Q33,_xlfn.XLOOKUP($O168,$D$105:$D$110,$E$105:$E$110), _xlfn.XLOOKUP($O168,$D$95:$D$100,$E$95:$E$100),Q58,$F82)</f>
        <v>#N/A</v>
      </c>
      <c r="R168" s="52" t="e" cm="1">
        <f t="array" ref="R168">MMS_Swine_ManureAppliedToSoils_Equations.VEERG_4_5_1_9__2_MassOfNitrogenAppliedToSoilsScope3(R33,_xlfn.XLOOKUP($O168,$D$105:$D$110,$E$105:$E$110), _xlfn.XLOOKUP($O168,$D$95:$D$100,$E$95:$E$100),R58,$F82)</f>
        <v>#N/A</v>
      </c>
      <c r="S168" s="52" t="e" cm="1">
        <f t="array" ref="S168">MMS_Swine_ManureAppliedToSoils_Equations.VEERG_4_5_1_9__2_MassOfNitrogenAppliedToSoilsScope3(S33,_xlfn.XLOOKUP($O168,$D$105:$D$110,$E$105:$E$110), _xlfn.XLOOKUP($O168,$D$95:$D$100,$E$95:$E$100),S58,$F82)</f>
        <v>#N/A</v>
      </c>
      <c r="T168" s="2" t="str">
        <f t="shared" si="3"/>
        <v>kg N</v>
      </c>
    </row>
    <row r="169" spans="4:20" x14ac:dyDescent="0.25">
      <c r="D169" s="57"/>
      <c r="E169" s="57">
        <f>'Input - Poultry'!$D$72</f>
        <v>0</v>
      </c>
      <c r="F169" s="52" t="e" cm="1">
        <f t="array" ref="F169">MMS_Swine_ManureAppliedToSoils_Equations.VEERG_4_5_1_9__2_MassOfNitrogenAppliedToSoilsScope3(F34,_xlfn.XLOOKUP($E169,$D$105:$D$110,$E$105:$E$110), _xlfn.XLOOKUP($E169,$D$95:$D$100,$E$95:$E$100),F59,$F83)</f>
        <v>#N/A</v>
      </c>
      <c r="G169" s="52" t="e" cm="1">
        <f t="array" ref="G169">MMS_Swine_ManureAppliedToSoils_Equations.VEERG_4_5_1_9__2_MassOfNitrogenAppliedToSoilsScope3(G34,_xlfn.XLOOKUP($E169,$D$105:$D$110,$E$105:$E$110), _xlfn.XLOOKUP($E169,$D$95:$D$100,$E$95:$E$100),G59,$F83)</f>
        <v>#N/A</v>
      </c>
      <c r="H169" s="52" t="e" cm="1">
        <f t="array" ref="H169">MMS_Swine_ManureAppliedToSoils_Equations.VEERG_4_5_1_9__2_MassOfNitrogenAppliedToSoilsScope3(H34,_xlfn.XLOOKUP($E169,$D$105:$D$110,$E$105:$E$110), _xlfn.XLOOKUP($E169,$D$95:$D$100,$E$95:$E$100),H59,$F83)</f>
        <v>#N/A</v>
      </c>
      <c r="I169" s="52" t="e" cm="1">
        <f t="array" ref="I169">MMS_Swine_ManureAppliedToSoils_Equations.VEERG_4_5_1_9__2_MassOfNitrogenAppliedToSoilsScope3(I34,_xlfn.XLOOKUP($E169,$D$105:$D$110,$E$105:$E$110), _xlfn.XLOOKUP($E169,$D$95:$D$100,$E$95:$E$100),I59,$F83)</f>
        <v>#N/A</v>
      </c>
      <c r="J169" s="2" t="str">
        <f t="shared" si="2"/>
        <v>kg N</v>
      </c>
      <c r="N169" s="57"/>
      <c r="O169" s="57">
        <f>'Input - Poultry'!$D$72</f>
        <v>0</v>
      </c>
      <c r="P169" s="52" t="e" cm="1">
        <f t="array" ref="P169">MMS_Swine_ManureAppliedToSoils_Equations.VEERG_4_5_1_9__2_MassOfNitrogenAppliedToSoilsScope3(P34,_xlfn.XLOOKUP($O169,$D$105:$D$110,$E$105:$E$110), _xlfn.XLOOKUP($O169,$D$95:$D$100,$E$95:$E$100),P59,$F83)</f>
        <v>#N/A</v>
      </c>
      <c r="Q169" s="52" t="e" cm="1">
        <f t="array" ref="Q169">MMS_Swine_ManureAppliedToSoils_Equations.VEERG_4_5_1_9__2_MassOfNitrogenAppliedToSoilsScope3(Q34,_xlfn.XLOOKUP($O169,$D$105:$D$110,$E$105:$E$110), _xlfn.XLOOKUP($O169,$D$95:$D$100,$E$95:$E$100),Q59,$F83)</f>
        <v>#N/A</v>
      </c>
      <c r="R169" s="52" t="e" cm="1">
        <f t="array" ref="R169">MMS_Swine_ManureAppliedToSoils_Equations.VEERG_4_5_1_9__2_MassOfNitrogenAppliedToSoilsScope3(R34,_xlfn.XLOOKUP($O169,$D$105:$D$110,$E$105:$E$110), _xlfn.XLOOKUP($O169,$D$95:$D$100,$E$95:$E$100),R59,$F83)</f>
        <v>#N/A</v>
      </c>
      <c r="S169" s="52" t="e" cm="1">
        <f t="array" ref="S169">MMS_Swine_ManureAppliedToSoils_Equations.VEERG_4_5_1_9__2_MassOfNitrogenAppliedToSoilsScope3(S34,_xlfn.XLOOKUP($O169,$D$105:$D$110,$E$105:$E$110), _xlfn.XLOOKUP($O169,$D$95:$D$100,$E$95:$E$100),S59,$F83)</f>
        <v>#N/A</v>
      </c>
      <c r="T169" s="2" t="str">
        <f t="shared" si="3"/>
        <v>kg N</v>
      </c>
    </row>
    <row r="170" spans="4:20" x14ac:dyDescent="0.25">
      <c r="D170" s="57" t="e">
        <f>'Input - Poultry'!#REF!</f>
        <v>#REF!</v>
      </c>
      <c r="E170" s="57">
        <f>'Input - Poultry'!$D$77</f>
        <v>0</v>
      </c>
      <c r="F170" s="52" t="e" cm="1">
        <f t="array" ref="F170">MMS_Swine_ManureAppliedToSoils_Equations.VEERG_4_5_1_9__2_MassOfNitrogenAppliedToSoilsScope3(F35,_xlfn.XLOOKUP($E170,$D$105:$D$110,$E$105:$E$110), _xlfn.XLOOKUP($E170,$D$95:$D$100,$E$95:$E$100),F60,$F84)</f>
        <v>#N/A</v>
      </c>
      <c r="G170" s="52" t="e" cm="1">
        <f t="array" ref="G170">MMS_Swine_ManureAppliedToSoils_Equations.VEERG_4_5_1_9__2_MassOfNitrogenAppliedToSoilsScope3(G35,_xlfn.XLOOKUP($E170,$D$105:$D$110,$E$105:$E$110), _xlfn.XLOOKUP($E170,$D$95:$D$100,$E$95:$E$100),G60,$F84)</f>
        <v>#N/A</v>
      </c>
      <c r="H170" s="52" t="e" cm="1">
        <f t="array" ref="H170">MMS_Swine_ManureAppliedToSoils_Equations.VEERG_4_5_1_9__2_MassOfNitrogenAppliedToSoilsScope3(H35,_xlfn.XLOOKUP($E170,$D$105:$D$110,$E$105:$E$110), _xlfn.XLOOKUP($E170,$D$95:$D$100,$E$95:$E$100),H60,$F84)</f>
        <v>#N/A</v>
      </c>
      <c r="I170" s="52" t="e" cm="1">
        <f t="array" ref="I170">MMS_Swine_ManureAppliedToSoils_Equations.VEERG_4_5_1_9__2_MassOfNitrogenAppliedToSoilsScope3(I35,_xlfn.XLOOKUP($E170,$D$105:$D$110,$E$105:$E$110), _xlfn.XLOOKUP($E170,$D$95:$D$100,$E$95:$E$100),I60,$F84)</f>
        <v>#N/A</v>
      </c>
      <c r="J170" s="2" t="str">
        <f t="shared" si="2"/>
        <v>kg N</v>
      </c>
      <c r="N170" s="57" t="e">
        <f>'Input - Poultry'!#REF!</f>
        <v>#REF!</v>
      </c>
      <c r="O170" s="57">
        <f>'Input - Poultry'!$D$77</f>
        <v>0</v>
      </c>
      <c r="P170" s="52" t="e" cm="1">
        <f t="array" ref="P170">MMS_Swine_ManureAppliedToSoils_Equations.VEERG_4_5_1_9__2_MassOfNitrogenAppliedToSoilsScope3(P35,_xlfn.XLOOKUP($O170,$D$105:$D$110,$E$105:$E$110), _xlfn.XLOOKUP($O170,$D$95:$D$100,$E$95:$E$100),P60,$F84)</f>
        <v>#N/A</v>
      </c>
      <c r="Q170" s="52" t="e" cm="1">
        <f t="array" ref="Q170">MMS_Swine_ManureAppliedToSoils_Equations.VEERG_4_5_1_9__2_MassOfNitrogenAppliedToSoilsScope3(Q35,_xlfn.XLOOKUP($O170,$D$105:$D$110,$E$105:$E$110), _xlfn.XLOOKUP($O170,$D$95:$D$100,$E$95:$E$100),Q60,$F84)</f>
        <v>#N/A</v>
      </c>
      <c r="R170" s="52" t="e" cm="1">
        <f t="array" ref="R170">MMS_Swine_ManureAppliedToSoils_Equations.VEERG_4_5_1_9__2_MassOfNitrogenAppliedToSoilsScope3(R35,_xlfn.XLOOKUP($O170,$D$105:$D$110,$E$105:$E$110), _xlfn.XLOOKUP($O170,$D$95:$D$100,$E$95:$E$100),R60,$F84)</f>
        <v>#N/A</v>
      </c>
      <c r="S170" s="52" t="e" cm="1">
        <f t="array" ref="S170">MMS_Swine_ManureAppliedToSoils_Equations.VEERG_4_5_1_9__2_MassOfNitrogenAppliedToSoilsScope3(S35,_xlfn.XLOOKUP($O170,$D$105:$D$110,$E$105:$E$110), _xlfn.XLOOKUP($O170,$D$95:$D$100,$E$95:$E$100),S60,$F84)</f>
        <v>#N/A</v>
      </c>
      <c r="T170" s="2" t="str">
        <f t="shared" si="3"/>
        <v>kg N</v>
      </c>
    </row>
    <row r="171" spans="4:20" x14ac:dyDescent="0.25">
      <c r="D171" s="57"/>
      <c r="E171" s="57">
        <f>'Input - Poultry'!$D$78</f>
        <v>0</v>
      </c>
      <c r="F171" s="52" t="e" cm="1">
        <f t="array" ref="F171">MMS_Swine_ManureAppliedToSoils_Equations.VEERG_4_5_1_9__2_MassOfNitrogenAppliedToSoilsScope3(F36,_xlfn.XLOOKUP($E171,$D$105:$D$110,$E$105:$E$110), _xlfn.XLOOKUP($E171,$D$95:$D$100,$E$95:$E$100),F61,$F85)</f>
        <v>#N/A</v>
      </c>
      <c r="G171" s="52" t="e" cm="1">
        <f t="array" ref="G171">MMS_Swine_ManureAppliedToSoils_Equations.VEERG_4_5_1_9__2_MassOfNitrogenAppliedToSoilsScope3(G36,_xlfn.XLOOKUP($E171,$D$105:$D$110,$E$105:$E$110), _xlfn.XLOOKUP($E171,$D$95:$D$100,$E$95:$E$100),G61,$F85)</f>
        <v>#N/A</v>
      </c>
      <c r="H171" s="52" t="e" cm="1">
        <f t="array" ref="H171">MMS_Swine_ManureAppliedToSoils_Equations.VEERG_4_5_1_9__2_MassOfNitrogenAppliedToSoilsScope3(H36,_xlfn.XLOOKUP($E171,$D$105:$D$110,$E$105:$E$110), _xlfn.XLOOKUP($E171,$D$95:$D$100,$E$95:$E$100),H61,$F85)</f>
        <v>#N/A</v>
      </c>
      <c r="I171" s="52" t="e" cm="1">
        <f t="array" ref="I171">MMS_Swine_ManureAppliedToSoils_Equations.VEERG_4_5_1_9__2_MassOfNitrogenAppliedToSoilsScope3(I36,_xlfn.XLOOKUP($E171,$D$105:$D$110,$E$105:$E$110), _xlfn.XLOOKUP($E171,$D$95:$D$100,$E$95:$E$100),I61,$F85)</f>
        <v>#N/A</v>
      </c>
      <c r="J171" s="2" t="str">
        <f t="shared" si="2"/>
        <v>kg N</v>
      </c>
      <c r="N171" s="57"/>
      <c r="O171" s="57">
        <f>'Input - Poultry'!$D$78</f>
        <v>0</v>
      </c>
      <c r="P171" s="52" t="e" cm="1">
        <f t="array" ref="P171">MMS_Swine_ManureAppliedToSoils_Equations.VEERG_4_5_1_9__2_MassOfNitrogenAppliedToSoilsScope3(P36,_xlfn.XLOOKUP($O171,$D$105:$D$110,$E$105:$E$110), _xlfn.XLOOKUP($O171,$D$95:$D$100,$E$95:$E$100),P61,$F85)</f>
        <v>#N/A</v>
      </c>
      <c r="Q171" s="52" t="e" cm="1">
        <f t="array" ref="Q171">MMS_Swine_ManureAppliedToSoils_Equations.VEERG_4_5_1_9__2_MassOfNitrogenAppliedToSoilsScope3(Q36,_xlfn.XLOOKUP($O171,$D$105:$D$110,$E$105:$E$110), _xlfn.XLOOKUP($O171,$D$95:$D$100,$E$95:$E$100),Q61,$F85)</f>
        <v>#N/A</v>
      </c>
      <c r="R171" s="52" t="e" cm="1">
        <f t="array" ref="R171">MMS_Swine_ManureAppliedToSoils_Equations.VEERG_4_5_1_9__2_MassOfNitrogenAppliedToSoilsScope3(R36,_xlfn.XLOOKUP($O171,$D$105:$D$110,$E$105:$E$110), _xlfn.XLOOKUP($O171,$D$95:$D$100,$E$95:$E$100),R61,$F85)</f>
        <v>#N/A</v>
      </c>
      <c r="S171" s="52" t="e" cm="1">
        <f t="array" ref="S171">MMS_Swine_ManureAppliedToSoils_Equations.VEERG_4_5_1_9__2_MassOfNitrogenAppliedToSoilsScope3(S36,_xlfn.XLOOKUP($O171,$D$105:$D$110,$E$105:$E$110), _xlfn.XLOOKUP($O171,$D$95:$D$100,$E$95:$E$100),S61,$F85)</f>
        <v>#N/A</v>
      </c>
      <c r="T171" s="2" t="str">
        <f t="shared" si="3"/>
        <v>kg N</v>
      </c>
    </row>
    <row r="172" spans="4:20" x14ac:dyDescent="0.25">
      <c r="D172" s="57"/>
      <c r="E172" s="57">
        <f>'Input - Poultry'!$D$79</f>
        <v>0</v>
      </c>
      <c r="F172" s="52" t="e" cm="1">
        <f t="array" ref="F172">MMS_Swine_ManureAppliedToSoils_Equations.VEERG_4_5_1_9__2_MassOfNitrogenAppliedToSoilsScope3(F37,_xlfn.XLOOKUP($E172,$D$105:$D$110,$E$105:$E$110), _xlfn.XLOOKUP($E172,$D$95:$D$100,$E$95:$E$100),F62,$F86)</f>
        <v>#N/A</v>
      </c>
      <c r="G172" s="52" t="e" cm="1">
        <f t="array" ref="G172">MMS_Swine_ManureAppliedToSoils_Equations.VEERG_4_5_1_9__2_MassOfNitrogenAppliedToSoilsScope3(G37,_xlfn.XLOOKUP($E172,$D$105:$D$110,$E$105:$E$110), _xlfn.XLOOKUP($E172,$D$95:$D$100,$E$95:$E$100),G62,$F86)</f>
        <v>#N/A</v>
      </c>
      <c r="H172" s="52" t="e" cm="1">
        <f t="array" ref="H172">MMS_Swine_ManureAppliedToSoils_Equations.VEERG_4_5_1_9__2_MassOfNitrogenAppliedToSoilsScope3(H37,_xlfn.XLOOKUP($E172,$D$105:$D$110,$E$105:$E$110), _xlfn.XLOOKUP($E172,$D$95:$D$100,$E$95:$E$100),H62,$F86)</f>
        <v>#N/A</v>
      </c>
      <c r="I172" s="52" t="e" cm="1">
        <f t="array" ref="I172">MMS_Swine_ManureAppliedToSoils_Equations.VEERG_4_5_1_9__2_MassOfNitrogenAppliedToSoilsScope3(I37,_xlfn.XLOOKUP($E172,$D$105:$D$110,$E$105:$E$110), _xlfn.XLOOKUP($E172,$D$95:$D$100,$E$95:$E$100),I62,$F86)</f>
        <v>#N/A</v>
      </c>
      <c r="J172" s="2" t="str">
        <f t="shared" si="2"/>
        <v>kg N</v>
      </c>
      <c r="N172" s="57"/>
      <c r="O172" s="57">
        <f>'Input - Poultry'!$D$79</f>
        <v>0</v>
      </c>
      <c r="P172" s="52" t="e" cm="1">
        <f t="array" ref="P172">MMS_Swine_ManureAppliedToSoils_Equations.VEERG_4_5_1_9__2_MassOfNitrogenAppliedToSoilsScope3(P37,_xlfn.XLOOKUP($O172,$D$105:$D$110,$E$105:$E$110), _xlfn.XLOOKUP($O172,$D$95:$D$100,$E$95:$E$100),P62,$F86)</f>
        <v>#N/A</v>
      </c>
      <c r="Q172" s="52" t="e" cm="1">
        <f t="array" ref="Q172">MMS_Swine_ManureAppliedToSoils_Equations.VEERG_4_5_1_9__2_MassOfNitrogenAppliedToSoilsScope3(Q37,_xlfn.XLOOKUP($O172,$D$105:$D$110,$E$105:$E$110), _xlfn.XLOOKUP($O172,$D$95:$D$100,$E$95:$E$100),Q62,$F86)</f>
        <v>#N/A</v>
      </c>
      <c r="R172" s="52" t="e" cm="1">
        <f t="array" ref="R172">MMS_Swine_ManureAppliedToSoils_Equations.VEERG_4_5_1_9__2_MassOfNitrogenAppliedToSoilsScope3(R37,_xlfn.XLOOKUP($O172,$D$105:$D$110,$E$105:$E$110), _xlfn.XLOOKUP($O172,$D$95:$D$100,$E$95:$E$100),R62,$F86)</f>
        <v>#N/A</v>
      </c>
      <c r="S172" s="52" t="e" cm="1">
        <f t="array" ref="S172">MMS_Swine_ManureAppliedToSoils_Equations.VEERG_4_5_1_9__2_MassOfNitrogenAppliedToSoilsScope3(S37,_xlfn.XLOOKUP($O172,$D$105:$D$110,$E$105:$E$110), _xlfn.XLOOKUP($O172,$D$95:$D$100,$E$95:$E$100),S62,$F86)</f>
        <v>#N/A</v>
      </c>
      <c r="T172" s="2" t="str">
        <f t="shared" si="3"/>
        <v>kg N</v>
      </c>
    </row>
    <row r="173" spans="4:20" x14ac:dyDescent="0.25">
      <c r="D173" s="57" t="e">
        <f>'Input - Poultry'!#REF!</f>
        <v>#REF!</v>
      </c>
      <c r="E173" s="57">
        <f>'Input - Poultry'!$D$84</f>
        <v>0</v>
      </c>
      <c r="F173" s="52" t="e" cm="1">
        <f t="array" ref="F173">MMS_Swine_ManureAppliedToSoils_Equations.VEERG_4_5_1_9__2_MassOfNitrogenAppliedToSoilsScope3(F38,_xlfn.XLOOKUP($E173,$D$105:$D$110,$E$105:$E$110), _xlfn.XLOOKUP($E173,$D$95:$D$100,$E$95:$E$100),F63,$F87)</f>
        <v>#N/A</v>
      </c>
      <c r="G173" s="52" t="e" cm="1">
        <f t="array" ref="G173">MMS_Swine_ManureAppliedToSoils_Equations.VEERG_4_5_1_9__2_MassOfNitrogenAppliedToSoilsScope3(G38,_xlfn.XLOOKUP($E173,$D$105:$D$110,$E$105:$E$110), _xlfn.XLOOKUP($E173,$D$95:$D$100,$E$95:$E$100),G63,$F87)</f>
        <v>#N/A</v>
      </c>
      <c r="H173" s="52" t="e" cm="1">
        <f t="array" ref="H173">MMS_Swine_ManureAppliedToSoils_Equations.VEERG_4_5_1_9__2_MassOfNitrogenAppliedToSoilsScope3(H38,_xlfn.XLOOKUP($E173,$D$105:$D$110,$E$105:$E$110), _xlfn.XLOOKUP($E173,$D$95:$D$100,$E$95:$E$100),H63,$F87)</f>
        <v>#N/A</v>
      </c>
      <c r="I173" s="52" t="e" cm="1">
        <f t="array" ref="I173">MMS_Swine_ManureAppliedToSoils_Equations.VEERG_4_5_1_9__2_MassOfNitrogenAppliedToSoilsScope3(I38,_xlfn.XLOOKUP($E173,$D$105:$D$110,$E$105:$E$110), _xlfn.XLOOKUP($E173,$D$95:$D$100,$E$95:$E$100),I63,$F87)</f>
        <v>#N/A</v>
      </c>
      <c r="J173" s="2" t="str">
        <f t="shared" si="2"/>
        <v>kg N</v>
      </c>
      <c r="N173" s="57" t="e">
        <f>'Input - Poultry'!#REF!</f>
        <v>#REF!</v>
      </c>
      <c r="O173" s="57">
        <f>'Input - Poultry'!$D$84</f>
        <v>0</v>
      </c>
      <c r="P173" s="52" t="e" cm="1">
        <f t="array" ref="P173">MMS_Swine_ManureAppliedToSoils_Equations.VEERG_4_5_1_9__2_MassOfNitrogenAppliedToSoilsScope3(P38,_xlfn.XLOOKUP($O173,$D$105:$D$110,$E$105:$E$110), _xlfn.XLOOKUP($O173,$D$95:$D$100,$E$95:$E$100),P63,$F87)</f>
        <v>#N/A</v>
      </c>
      <c r="Q173" s="52" t="e" cm="1">
        <f t="array" ref="Q173">MMS_Swine_ManureAppliedToSoils_Equations.VEERG_4_5_1_9__2_MassOfNitrogenAppliedToSoilsScope3(Q38,_xlfn.XLOOKUP($O173,$D$105:$D$110,$E$105:$E$110), _xlfn.XLOOKUP($O173,$D$95:$D$100,$E$95:$E$100),Q63,$F87)</f>
        <v>#N/A</v>
      </c>
      <c r="R173" s="52" t="e" cm="1">
        <f t="array" ref="R173">MMS_Swine_ManureAppliedToSoils_Equations.VEERG_4_5_1_9__2_MassOfNitrogenAppliedToSoilsScope3(R38,_xlfn.XLOOKUP($O173,$D$105:$D$110,$E$105:$E$110), _xlfn.XLOOKUP($O173,$D$95:$D$100,$E$95:$E$100),R63,$F87)</f>
        <v>#N/A</v>
      </c>
      <c r="S173" s="52" t="e" cm="1">
        <f t="array" ref="S173">MMS_Swine_ManureAppliedToSoils_Equations.VEERG_4_5_1_9__2_MassOfNitrogenAppliedToSoilsScope3(S38,_xlfn.XLOOKUP($O173,$D$105:$D$110,$E$105:$E$110), _xlfn.XLOOKUP($O173,$D$95:$D$100,$E$95:$E$100),S63,$F87)</f>
        <v>#N/A</v>
      </c>
      <c r="T173" s="2" t="str">
        <f t="shared" si="3"/>
        <v>kg N</v>
      </c>
    </row>
    <row r="174" spans="4:20" x14ac:dyDescent="0.25">
      <c r="D174" s="57"/>
      <c r="E174" s="57">
        <f>'Input - Poultry'!$D$85</f>
        <v>0</v>
      </c>
      <c r="F174" s="52" t="e" cm="1">
        <f t="array" ref="F174">MMS_Swine_ManureAppliedToSoils_Equations.VEERG_4_5_1_9__2_MassOfNitrogenAppliedToSoilsScope3(F39,_xlfn.XLOOKUP($E174,$D$105:$D$110,$E$105:$E$110), _xlfn.XLOOKUP($E174,$D$95:$D$100,$E$95:$E$100),F64,$F88)</f>
        <v>#N/A</v>
      </c>
      <c r="G174" s="52" t="e" cm="1">
        <f t="array" ref="G174">MMS_Swine_ManureAppliedToSoils_Equations.VEERG_4_5_1_9__2_MassOfNitrogenAppliedToSoilsScope3(G39,_xlfn.XLOOKUP($E174,$D$105:$D$110,$E$105:$E$110), _xlfn.XLOOKUP($E174,$D$95:$D$100,$E$95:$E$100),G64,$F88)</f>
        <v>#N/A</v>
      </c>
      <c r="H174" s="52" t="e" cm="1">
        <f t="array" ref="H174">MMS_Swine_ManureAppliedToSoils_Equations.VEERG_4_5_1_9__2_MassOfNitrogenAppliedToSoilsScope3(H39,_xlfn.XLOOKUP($E174,$D$105:$D$110,$E$105:$E$110), _xlfn.XLOOKUP($E174,$D$95:$D$100,$E$95:$E$100),H64,$F88)</f>
        <v>#N/A</v>
      </c>
      <c r="I174" s="52" t="e" cm="1">
        <f t="array" ref="I174">MMS_Swine_ManureAppliedToSoils_Equations.VEERG_4_5_1_9__2_MassOfNitrogenAppliedToSoilsScope3(I39,_xlfn.XLOOKUP($E174,$D$105:$D$110,$E$105:$E$110), _xlfn.XLOOKUP($E174,$D$95:$D$100,$E$95:$E$100),I64,$F88)</f>
        <v>#N/A</v>
      </c>
      <c r="J174" s="2" t="str">
        <f t="shared" si="2"/>
        <v>kg N</v>
      </c>
      <c r="N174" s="57"/>
      <c r="O174" s="57">
        <f>'Input - Poultry'!$D$85</f>
        <v>0</v>
      </c>
      <c r="P174" s="52" t="e" cm="1">
        <f t="array" ref="P174">MMS_Swine_ManureAppliedToSoils_Equations.VEERG_4_5_1_9__2_MassOfNitrogenAppliedToSoilsScope3(P39,_xlfn.XLOOKUP($O174,$D$105:$D$110,$E$105:$E$110), _xlfn.XLOOKUP($O174,$D$95:$D$100,$E$95:$E$100),P64,$F88)</f>
        <v>#N/A</v>
      </c>
      <c r="Q174" s="52" t="e" cm="1">
        <f t="array" ref="Q174">MMS_Swine_ManureAppliedToSoils_Equations.VEERG_4_5_1_9__2_MassOfNitrogenAppliedToSoilsScope3(Q39,_xlfn.XLOOKUP($O174,$D$105:$D$110,$E$105:$E$110), _xlfn.XLOOKUP($O174,$D$95:$D$100,$E$95:$E$100),Q64,$F88)</f>
        <v>#N/A</v>
      </c>
      <c r="R174" s="52" t="e" cm="1">
        <f t="array" ref="R174">MMS_Swine_ManureAppliedToSoils_Equations.VEERG_4_5_1_9__2_MassOfNitrogenAppliedToSoilsScope3(R39,_xlfn.XLOOKUP($O174,$D$105:$D$110,$E$105:$E$110), _xlfn.XLOOKUP($O174,$D$95:$D$100,$E$95:$E$100),R64,$F88)</f>
        <v>#N/A</v>
      </c>
      <c r="S174" s="52" t="e" cm="1">
        <f t="array" ref="S174">MMS_Swine_ManureAppliedToSoils_Equations.VEERG_4_5_1_9__2_MassOfNitrogenAppliedToSoilsScope3(S39,_xlfn.XLOOKUP($O174,$D$105:$D$110,$E$105:$E$110), _xlfn.XLOOKUP($O174,$D$95:$D$100,$E$95:$E$100),S64,$F88)</f>
        <v>#N/A</v>
      </c>
      <c r="T174" s="2" t="str">
        <f t="shared" si="3"/>
        <v>kg N</v>
      </c>
    </row>
    <row r="175" spans="4:20" x14ac:dyDescent="0.25">
      <c r="D175" s="57"/>
      <c r="E175" s="57">
        <f>'Input - Poultry'!$D$86</f>
        <v>0</v>
      </c>
      <c r="F175" s="52" t="e" cm="1">
        <f t="array" ref="F175">MMS_Swine_ManureAppliedToSoils_Equations.VEERG_4_5_1_9__2_MassOfNitrogenAppliedToSoilsScope3(F40,_xlfn.XLOOKUP($E175,$D$105:$D$110,$E$105:$E$110), _xlfn.XLOOKUP($E175,$D$95:$D$100,$E$95:$E$100),F65,$F89)</f>
        <v>#N/A</v>
      </c>
      <c r="G175" s="52" t="e" cm="1">
        <f t="array" ref="G175">MMS_Swine_ManureAppliedToSoils_Equations.VEERG_4_5_1_9__2_MassOfNitrogenAppliedToSoilsScope3(G40,_xlfn.XLOOKUP($E175,$D$105:$D$110,$E$105:$E$110), _xlfn.XLOOKUP($E175,$D$95:$D$100,$E$95:$E$100),G65,$F89)</f>
        <v>#N/A</v>
      </c>
      <c r="H175" s="52" t="e" cm="1">
        <f t="array" ref="H175">MMS_Swine_ManureAppliedToSoils_Equations.VEERG_4_5_1_9__2_MassOfNitrogenAppliedToSoilsScope3(H40,_xlfn.XLOOKUP($E175,$D$105:$D$110,$E$105:$E$110), _xlfn.XLOOKUP($E175,$D$95:$D$100,$E$95:$E$100),H65,$F89)</f>
        <v>#N/A</v>
      </c>
      <c r="I175" s="52" t="e" cm="1">
        <f t="array" ref="I175">MMS_Swine_ManureAppliedToSoils_Equations.VEERG_4_5_1_9__2_MassOfNitrogenAppliedToSoilsScope3(I40,_xlfn.XLOOKUP($E175,$D$105:$D$110,$E$105:$E$110), _xlfn.XLOOKUP($E175,$D$95:$D$100,$E$95:$E$100),I65,$F89)</f>
        <v>#N/A</v>
      </c>
      <c r="J175" s="2" t="str">
        <f t="shared" si="2"/>
        <v>kg N</v>
      </c>
      <c r="N175" s="57"/>
      <c r="O175" s="57">
        <f>'Input - Poultry'!$D$86</f>
        <v>0</v>
      </c>
      <c r="P175" s="52" t="e" cm="1">
        <f t="array" ref="P175">MMS_Swine_ManureAppliedToSoils_Equations.VEERG_4_5_1_9__2_MassOfNitrogenAppliedToSoilsScope3(P40,_xlfn.XLOOKUP($O175,$D$105:$D$110,$E$105:$E$110), _xlfn.XLOOKUP($O175,$D$95:$D$100,$E$95:$E$100),P65,$F89)</f>
        <v>#N/A</v>
      </c>
      <c r="Q175" s="52" t="e" cm="1">
        <f t="array" ref="Q175">MMS_Swine_ManureAppliedToSoils_Equations.VEERG_4_5_1_9__2_MassOfNitrogenAppliedToSoilsScope3(Q40,_xlfn.XLOOKUP($O175,$D$105:$D$110,$E$105:$E$110), _xlfn.XLOOKUP($O175,$D$95:$D$100,$E$95:$E$100),Q65,$F89)</f>
        <v>#N/A</v>
      </c>
      <c r="R175" s="52" t="e" cm="1">
        <f t="array" ref="R175">MMS_Swine_ManureAppliedToSoils_Equations.VEERG_4_5_1_9__2_MassOfNitrogenAppliedToSoilsScope3(R40,_xlfn.XLOOKUP($O175,$D$105:$D$110,$E$105:$E$110), _xlfn.XLOOKUP($O175,$D$95:$D$100,$E$95:$E$100),R65,$F89)</f>
        <v>#N/A</v>
      </c>
      <c r="S175" s="52" t="e" cm="1">
        <f t="array" ref="S175">MMS_Swine_ManureAppliedToSoils_Equations.VEERG_4_5_1_9__2_MassOfNitrogenAppliedToSoilsScope3(S40,_xlfn.XLOOKUP($O175,$D$105:$D$110,$E$105:$E$110), _xlfn.XLOOKUP($O175,$D$95:$D$100,$E$95:$E$100),S65,$F89)</f>
        <v>#N/A</v>
      </c>
      <c r="T175" s="2" t="str">
        <f t="shared" si="3"/>
        <v>kg N</v>
      </c>
    </row>
    <row r="176" spans="4:20" x14ac:dyDescent="0.25">
      <c r="D176" s="57"/>
      <c r="E176" s="57">
        <f>'Input - Poultry'!$D$87</f>
        <v>0</v>
      </c>
      <c r="F176" s="52" t="e" cm="1">
        <f t="array" ref="F176">MMS_Swine_ManureAppliedToSoils_Equations.VEERG_4_5_1_9__2_MassOfNitrogenAppliedToSoilsScope3(F41,_xlfn.XLOOKUP($E176,$D$105:$D$110,$E$105:$E$110), _xlfn.XLOOKUP($E176,$D$95:$D$100,$E$95:$E$100),F66,$F90)</f>
        <v>#N/A</v>
      </c>
      <c r="G176" s="52" t="e" cm="1">
        <f t="array" ref="G176">MMS_Swine_ManureAppliedToSoils_Equations.VEERG_4_5_1_9__2_MassOfNitrogenAppliedToSoilsScope3(G41,_xlfn.XLOOKUP($E176,$D$105:$D$110,$E$105:$E$110), _xlfn.XLOOKUP($E176,$D$95:$D$100,$E$95:$E$100),G66,$F90)</f>
        <v>#N/A</v>
      </c>
      <c r="H176" s="52" t="e" cm="1">
        <f t="array" ref="H176">MMS_Swine_ManureAppliedToSoils_Equations.VEERG_4_5_1_9__2_MassOfNitrogenAppliedToSoilsScope3(H41,_xlfn.XLOOKUP($E176,$D$105:$D$110,$E$105:$E$110), _xlfn.XLOOKUP($E176,$D$95:$D$100,$E$95:$E$100),H66,$F90)</f>
        <v>#N/A</v>
      </c>
      <c r="I176" s="52" t="e" cm="1">
        <f t="array" ref="I176">MMS_Swine_ManureAppliedToSoils_Equations.VEERG_4_5_1_9__2_MassOfNitrogenAppliedToSoilsScope3(I41,_xlfn.XLOOKUP($E176,$D$105:$D$110,$E$105:$E$110), _xlfn.XLOOKUP($E176,$D$95:$D$100,$E$95:$E$100),I66,$F90)</f>
        <v>#N/A</v>
      </c>
      <c r="J176" s="2" t="str">
        <f t="shared" si="2"/>
        <v>kg N</v>
      </c>
      <c r="N176" s="57"/>
      <c r="O176" s="57">
        <f>'Input - Poultry'!$D$87</f>
        <v>0</v>
      </c>
      <c r="P176" s="52" t="e" cm="1">
        <f t="array" ref="P176">MMS_Swine_ManureAppliedToSoils_Equations.VEERG_4_5_1_9__2_MassOfNitrogenAppliedToSoilsScope3(P41,_xlfn.XLOOKUP($O176,$D$105:$D$110,$E$105:$E$110), _xlfn.XLOOKUP($O176,$D$95:$D$100,$E$95:$E$100),P66,$F90)</f>
        <v>#N/A</v>
      </c>
      <c r="Q176" s="52" t="e" cm="1">
        <f t="array" ref="Q176">MMS_Swine_ManureAppliedToSoils_Equations.VEERG_4_5_1_9__2_MassOfNitrogenAppliedToSoilsScope3(Q41,_xlfn.XLOOKUP($O176,$D$105:$D$110,$E$105:$E$110), _xlfn.XLOOKUP($O176,$D$95:$D$100,$E$95:$E$100),Q66,$F90)</f>
        <v>#N/A</v>
      </c>
      <c r="R176" s="52" t="e" cm="1">
        <f t="array" ref="R176">MMS_Swine_ManureAppliedToSoils_Equations.VEERG_4_5_1_9__2_MassOfNitrogenAppliedToSoilsScope3(R41,_xlfn.XLOOKUP($O176,$D$105:$D$110,$E$105:$E$110), _xlfn.XLOOKUP($O176,$D$95:$D$100,$E$95:$E$100),R66,$F90)</f>
        <v>#N/A</v>
      </c>
      <c r="S176" s="52" t="e" cm="1">
        <f t="array" ref="S176">MMS_Swine_ManureAppliedToSoils_Equations.VEERG_4_5_1_9__2_MassOfNitrogenAppliedToSoilsScope3(S41,_xlfn.XLOOKUP($O176,$D$105:$D$110,$E$105:$E$110), _xlfn.XLOOKUP($O176,$D$95:$D$100,$E$95:$E$100),S66,$F90)</f>
        <v>#N/A</v>
      </c>
      <c r="T176" s="2" t="str">
        <f t="shared" si="3"/>
        <v>kg N</v>
      </c>
    </row>
    <row r="178" spans="3:21" ht="23.25" x14ac:dyDescent="0.25">
      <c r="D178" s="101" t="s">
        <v>210</v>
      </c>
      <c r="E178" s="102" t="e">
        <f>SUM(F157:I176)</f>
        <v>#N/A</v>
      </c>
      <c r="F178" s="103" t="str">
        <f>$E$11</f>
        <v>kg N</v>
      </c>
      <c r="N178" s="101" t="s">
        <v>210</v>
      </c>
      <c r="O178" s="102" t="e">
        <f>SUM(P157:S176)</f>
        <v>#N/A</v>
      </c>
      <c r="P178" s="103" t="str">
        <f>$E$11</f>
        <v>kg N</v>
      </c>
    </row>
    <row r="181" spans="3:21" x14ac:dyDescent="0.25">
      <c r="C181" s="45"/>
      <c r="D181" s="45"/>
      <c r="E181" s="45"/>
      <c r="F181" s="45"/>
      <c r="G181" s="45"/>
      <c r="H181" s="45"/>
      <c r="I181" s="45"/>
      <c r="J181" s="45"/>
      <c r="K181" s="45"/>
      <c r="M181" s="45"/>
      <c r="N181" s="45"/>
      <c r="O181" s="45"/>
      <c r="P181" s="45"/>
      <c r="Q181" s="45"/>
      <c r="R181" s="45"/>
      <c r="S181" s="45"/>
      <c r="T181" s="45"/>
      <c r="U181" s="45"/>
    </row>
    <row r="182" spans="3:21" x14ac:dyDescent="0.25">
      <c r="D182" s="133" t="str">
        <f>"Below are applications of " &amp; D93 &amp; " that are applied to the following contexts:"</f>
        <v>Below are applications of Fraction of N volatilised from MMS that are applied to the following contexts:</v>
      </c>
      <c r="E182" s="91"/>
      <c r="F182" s="91"/>
      <c r="G182" s="91"/>
      <c r="H182" s="87"/>
    </row>
    <row r="183" spans="3:21" x14ac:dyDescent="0.25">
      <c r="D183" s="93" t="s">
        <v>211</v>
      </c>
      <c r="E183" s="90"/>
      <c r="F183" s="90"/>
      <c r="G183" s="90"/>
      <c r="H183" s="88"/>
    </row>
    <row r="185" spans="3:21" ht="23.25" x14ac:dyDescent="0.25">
      <c r="D185" s="6" t="s">
        <v>212</v>
      </c>
    </row>
    <row r="187" spans="3:21" x14ac:dyDescent="0.25">
      <c r="D187" s="120" t="s">
        <v>213</v>
      </c>
    </row>
    <row r="188" spans="3:21" x14ac:dyDescent="0.25">
      <c r="D188" s="121" t="s">
        <v>214</v>
      </c>
    </row>
    <row r="189" spans="3:21" ht="17.25" x14ac:dyDescent="0.25">
      <c r="D189" s="51" t="s">
        <v>139</v>
      </c>
      <c r="E189" s="51" t="s">
        <v>142</v>
      </c>
      <c r="F189" s="51" t="s">
        <v>215</v>
      </c>
    </row>
    <row r="190" spans="3:21" x14ac:dyDescent="0.25">
      <c r="D190" s="57" t="str">
        <f>'Input - Poultry'!$D$30</f>
        <v>Belt manure removal</v>
      </c>
      <c r="E190" s="57" t="str">
        <f>'Input - Poultry'!$D$38</f>
        <v>Solid storage</v>
      </c>
      <c r="F190" s="52">
        <f>'Input - Poultry'!K38</f>
        <v>0.25</v>
      </c>
      <c r="G190" s="2" t="s">
        <v>117</v>
      </c>
    </row>
    <row r="191" spans="3:21" x14ac:dyDescent="0.25">
      <c r="D191" s="57"/>
      <c r="E191" s="57" t="str">
        <f>'Input - Poultry'!$D$39</f>
        <v>Composting (passive windrow)</v>
      </c>
      <c r="F191" s="52">
        <f>'Input - Poultry'!K39</f>
        <v>0.25</v>
      </c>
      <c r="G191" s="2" t="s">
        <v>117</v>
      </c>
    </row>
    <row r="192" spans="3:21" x14ac:dyDescent="0.25">
      <c r="D192" s="57"/>
      <c r="E192" s="57" t="str">
        <f>'Input - Poultry'!$D$40</f>
        <v>Digester / covered lagoons</v>
      </c>
      <c r="F192" s="52">
        <f>'Input - Poultry'!K40</f>
        <v>0.25</v>
      </c>
      <c r="G192" s="2" t="s">
        <v>117</v>
      </c>
    </row>
    <row r="193" spans="4:7" x14ac:dyDescent="0.25">
      <c r="D193" s="57" t="str">
        <f>'Input - Poultry'!$D$31</f>
        <v>Manure stored in house</v>
      </c>
      <c r="E193" s="57" t="str">
        <f>'Input - Poultry'!$D$45</f>
        <v>Solid storage</v>
      </c>
      <c r="F193" s="52">
        <f>'Input - Poultry'!K45</f>
        <v>0.25</v>
      </c>
      <c r="G193" s="2" t="s">
        <v>117</v>
      </c>
    </row>
    <row r="194" spans="4:7" x14ac:dyDescent="0.25">
      <c r="D194" s="57"/>
      <c r="E194" s="57" t="str">
        <f>'Input - Poultry'!$D$46</f>
        <v>Composting (passive windrow)</v>
      </c>
      <c r="F194" s="52">
        <f>'Input - Poultry'!K46</f>
        <v>0.25</v>
      </c>
      <c r="G194" s="2" t="s">
        <v>117</v>
      </c>
    </row>
    <row r="195" spans="4:7" x14ac:dyDescent="0.25">
      <c r="D195" s="57"/>
      <c r="E195" s="57" t="str">
        <f>'Input - Poultry'!$D$47</f>
        <v>Digester / covered lagoons</v>
      </c>
      <c r="F195" s="52">
        <f>'Input - Poultry'!K47</f>
        <v>0.25</v>
      </c>
      <c r="G195" s="2" t="s">
        <v>117</v>
      </c>
    </row>
    <row r="196" spans="4:7" x14ac:dyDescent="0.25">
      <c r="D196" s="57"/>
      <c r="E196" s="57" t="str">
        <f>'Input - Poultry'!$D$48</f>
        <v>Direct processing</v>
      </c>
      <c r="F196" s="52">
        <f>'Input - Poultry'!K48</f>
        <v>0.25</v>
      </c>
      <c r="G196" s="2" t="s">
        <v>117</v>
      </c>
    </row>
    <row r="197" spans="4:7" x14ac:dyDescent="0.25">
      <c r="D197" s="57" t="str">
        <f>'Input - Poultry'!$D$32</f>
        <v>Pasture range and paddock</v>
      </c>
      <c r="E197" s="57" t="str">
        <f>'Input - Poultry'!$D$52</f>
        <v>Solid storage</v>
      </c>
      <c r="F197" s="52">
        <f>'Input - Poultry'!K52</f>
        <v>0.25</v>
      </c>
      <c r="G197" s="2" t="s">
        <v>117</v>
      </c>
    </row>
    <row r="198" spans="4:7" x14ac:dyDescent="0.25">
      <c r="D198" s="57"/>
      <c r="E198" s="57" t="str">
        <f>'Input - Poultry'!$D$53</f>
        <v>Composting (passive windrow)</v>
      </c>
      <c r="F198" s="52">
        <f>'Input - Poultry'!K53</f>
        <v>0.25</v>
      </c>
      <c r="G198" s="2" t="s">
        <v>117</v>
      </c>
    </row>
    <row r="199" spans="4:7" x14ac:dyDescent="0.25">
      <c r="D199" s="57"/>
      <c r="E199" s="57" t="str">
        <f>'Input - Poultry'!$D$54</f>
        <v>Digester / covered lagoons</v>
      </c>
      <c r="F199" s="52">
        <f>'Input - Poultry'!K54</f>
        <v>0.25</v>
      </c>
      <c r="G199" s="2" t="s">
        <v>117</v>
      </c>
    </row>
    <row r="200" spans="4:7" x14ac:dyDescent="0.25">
      <c r="D200" s="57" t="str">
        <f>'Input - Poultry'!$D$33</f>
        <v>No MMS</v>
      </c>
      <c r="E200" s="57" t="e">
        <f>'Input - Poultry'!#REF!</f>
        <v>#REF!</v>
      </c>
      <c r="F200" s="52">
        <f>'Input - Poultry'!K60</f>
        <v>0</v>
      </c>
      <c r="G200" s="2" t="s">
        <v>117</v>
      </c>
    </row>
    <row r="201" spans="4:7" x14ac:dyDescent="0.25">
      <c r="D201" s="57"/>
      <c r="E201" s="57">
        <f>'Input - Poultry'!$D$71</f>
        <v>0</v>
      </c>
      <c r="F201" s="52">
        <f>'Input - Poultry'!K71</f>
        <v>0</v>
      </c>
      <c r="G201" s="2" t="s">
        <v>117</v>
      </c>
    </row>
    <row r="202" spans="4:7" x14ac:dyDescent="0.25">
      <c r="D202" s="57"/>
      <c r="E202" s="57">
        <f>'Input - Poultry'!$D$72</f>
        <v>0</v>
      </c>
      <c r="F202" s="52">
        <f>'Input - Poultry'!K72</f>
        <v>0</v>
      </c>
      <c r="G202" s="2" t="s">
        <v>117</v>
      </c>
    </row>
    <row r="203" spans="4:7" x14ac:dyDescent="0.25">
      <c r="D203" s="57" t="e">
        <f>'Input - Poultry'!#REF!</f>
        <v>#REF!</v>
      </c>
      <c r="E203" s="57">
        <f>'Input - Poultry'!$D$77</f>
        <v>0</v>
      </c>
      <c r="F203" s="52">
        <f>'Input - Poultry'!K77</f>
        <v>0</v>
      </c>
      <c r="G203" s="2" t="s">
        <v>117</v>
      </c>
    </row>
    <row r="204" spans="4:7" x14ac:dyDescent="0.25">
      <c r="D204" s="57"/>
      <c r="E204" s="57">
        <f>'Input - Poultry'!$D$78</f>
        <v>0</v>
      </c>
      <c r="F204" s="52">
        <f>'Input - Poultry'!K78</f>
        <v>0</v>
      </c>
      <c r="G204" s="2" t="s">
        <v>117</v>
      </c>
    </row>
    <row r="205" spans="4:7" x14ac:dyDescent="0.25">
      <c r="D205" s="57"/>
      <c r="E205" s="57">
        <f>'Input - Poultry'!$D$79</f>
        <v>0</v>
      </c>
      <c r="F205" s="52">
        <f>'Input - Poultry'!K79</f>
        <v>0</v>
      </c>
      <c r="G205" s="2" t="s">
        <v>117</v>
      </c>
    </row>
    <row r="206" spans="4:7" x14ac:dyDescent="0.25">
      <c r="D206" s="57" t="e">
        <f>'Input - Poultry'!#REF!</f>
        <v>#REF!</v>
      </c>
      <c r="E206" s="57">
        <f>'Input - Poultry'!$D$84</f>
        <v>0</v>
      </c>
      <c r="F206" s="52">
        <f>'Input - Poultry'!K84</f>
        <v>0</v>
      </c>
      <c r="G206" s="2" t="s">
        <v>117</v>
      </c>
    </row>
    <row r="207" spans="4:7" x14ac:dyDescent="0.25">
      <c r="D207" s="57"/>
      <c r="E207" s="57">
        <f>'Input - Poultry'!$D$85</f>
        <v>0</v>
      </c>
      <c r="F207" s="52">
        <f>'Input - Poultry'!K85</f>
        <v>0</v>
      </c>
      <c r="G207" s="2" t="s">
        <v>117</v>
      </c>
    </row>
    <row r="208" spans="4:7" x14ac:dyDescent="0.25">
      <c r="D208" s="57"/>
      <c r="E208" s="57">
        <f>'Input - Poultry'!$D$86</f>
        <v>0</v>
      </c>
      <c r="F208" s="52">
        <f>'Input - Poultry'!K86</f>
        <v>0</v>
      </c>
      <c r="G208" s="2" t="s">
        <v>117</v>
      </c>
    </row>
    <row r="209" spans="4:20" x14ac:dyDescent="0.25">
      <c r="D209" s="57"/>
      <c r="E209" s="57">
        <f>'Input - Poultry'!$D$87</f>
        <v>0</v>
      </c>
      <c r="F209" s="52">
        <f>'Input - Poultry'!K87</f>
        <v>0</v>
      </c>
      <c r="G209" s="2" t="s">
        <v>117</v>
      </c>
    </row>
    <row r="211" spans="4:20" x14ac:dyDescent="0.25">
      <c r="D211" s="120" t="s">
        <v>216</v>
      </c>
      <c r="N211" s="120" t="s">
        <v>218</v>
      </c>
    </row>
    <row r="212" spans="4:20" x14ac:dyDescent="0.25">
      <c r="D212" s="121" t="s">
        <v>219</v>
      </c>
      <c r="N212" s="121" t="s">
        <v>220</v>
      </c>
    </row>
    <row r="213" spans="4:20" x14ac:dyDescent="0.25">
      <c r="D213" s="51" t="s">
        <v>139</v>
      </c>
      <c r="E213" s="51" t="s">
        <v>142</v>
      </c>
      <c r="F213" s="51" t="s">
        <v>134</v>
      </c>
      <c r="G213" s="51" t="s">
        <v>135</v>
      </c>
      <c r="H213" s="51" t="s">
        <v>136</v>
      </c>
      <c r="I213" s="51" t="s">
        <v>161</v>
      </c>
      <c r="N213" s="51" t="s">
        <v>139</v>
      </c>
      <c r="O213" s="51" t="s">
        <v>142</v>
      </c>
      <c r="P213" s="51" t="s">
        <v>134</v>
      </c>
      <c r="Q213" s="51" t="s">
        <v>135</v>
      </c>
      <c r="R213" s="51" t="s">
        <v>136</v>
      </c>
      <c r="S213" s="51" t="s">
        <v>161</v>
      </c>
    </row>
    <row r="214" spans="4:20" x14ac:dyDescent="0.25">
      <c r="D214" s="57" t="str">
        <f>'Input - Poultry'!$D$30</f>
        <v>Belt manure removal</v>
      </c>
      <c r="E214" s="57" t="str">
        <f>'Input - Poultry'!$D$38</f>
        <v>Solid storage</v>
      </c>
      <c r="F214" s="52" t="e" cm="1">
        <f t="array" ref="F214">MMS_Swine_ManureAppliedToSoils_Equations.VEERG_4_5_1_9__1_MassOfNitrogenAppliedToSoilsScope1(F22,_xlfn.XLOOKUP($E214,$D$105:$D$110,$E$105:$E$110), _xlfn.XLOOKUP($E214,$D$95:$D$100,$E$95:$E$100),F47,$F190)</f>
        <v>#N/A</v>
      </c>
      <c r="G214" s="52" t="e" cm="1">
        <f t="array" ref="G214">MMS_Swine_ManureAppliedToSoils_Equations.VEERG_4_5_1_9__1_MassOfNitrogenAppliedToSoilsScope1(G22,_xlfn.XLOOKUP($E214,$D$105:$D$110,$E$105:$E$110), _xlfn.XLOOKUP($E214,$D$95:$D$100,$E$95:$E$100),G47,$F190)</f>
        <v>#N/A</v>
      </c>
      <c r="H214" s="52" t="e" cm="1">
        <f t="array" ref="H214">MMS_Swine_ManureAppliedToSoils_Equations.VEERG_4_5_1_9__1_MassOfNitrogenAppliedToSoilsScope1(H22,_xlfn.XLOOKUP($E214,$D$105:$D$110,$E$105:$E$110), _xlfn.XLOOKUP($E214,$D$95:$D$100,$E$95:$E$100),H47,$F190)</f>
        <v>#N/A</v>
      </c>
      <c r="I214" s="52" t="e" cm="1">
        <f t="array" ref="I214">MMS_Swine_ManureAppliedToSoils_Equations.VEERG_4_5_1_9__1_MassOfNitrogenAppliedToSoilsScope1(I22,_xlfn.XLOOKUP($E214,$D$105:$D$110,$E$105:$E$110), _xlfn.XLOOKUP($E214,$D$95:$D$100,$E$95:$E$100),I47,$F190)</f>
        <v>#N/A</v>
      </c>
      <c r="J214" s="2" t="str">
        <f>$E$11</f>
        <v>kg N</v>
      </c>
      <c r="N214" s="57" t="str">
        <f>'Input - Poultry'!$D$30</f>
        <v>Belt manure removal</v>
      </c>
      <c r="O214" s="57" t="str">
        <f>'Input - Poultry'!$D$38</f>
        <v>Solid storage</v>
      </c>
      <c r="P214" s="52" t="e" cm="1">
        <f t="array" ref="P214">MMS_Swine_ManureAppliedToSoils_Equations.VEERG_4_5_1_9__1_MassOfNitrogenAppliedToSoilsScope1(P22,_xlfn.XLOOKUP($E214,$D$105:$D$110,$E$105:$E$110), _xlfn.XLOOKUP($E214,$D$95:$D$100,$E$95:$E$100),P47,$F190)</f>
        <v>#N/A</v>
      </c>
      <c r="Q214" s="52" t="e" cm="1">
        <f t="array" ref="Q214">MMS_Swine_ManureAppliedToSoils_Equations.VEERG_4_5_1_9__1_MassOfNitrogenAppliedToSoilsScope1(Q22,_xlfn.XLOOKUP($E214,$D$105:$D$110,$E$105:$E$110), _xlfn.XLOOKUP($E214,$D$95:$D$100,$E$95:$E$100),Q47,$F190)</f>
        <v>#N/A</v>
      </c>
      <c r="R214" s="52" t="e" cm="1">
        <f t="array" ref="R214">MMS_Swine_ManureAppliedToSoils_Equations.VEERG_4_5_1_9__1_MassOfNitrogenAppliedToSoilsScope1(R22,_xlfn.XLOOKUP($E214,$D$105:$D$110,$E$105:$E$110), _xlfn.XLOOKUP($E214,$D$95:$D$100,$E$95:$E$100),R47,$F190)</f>
        <v>#N/A</v>
      </c>
      <c r="S214" s="52" t="e" cm="1">
        <f t="array" ref="S214">MMS_Swine_ManureAppliedToSoils_Equations.VEERG_4_5_1_9__1_MassOfNitrogenAppliedToSoilsScope1(S22,_xlfn.XLOOKUP($E214,$D$105:$D$110,$E$105:$E$110), _xlfn.XLOOKUP($E214,$D$95:$D$100,$E$95:$E$100),S47,$F190)</f>
        <v>#N/A</v>
      </c>
      <c r="T214" s="2" t="str">
        <f>$E$11</f>
        <v>kg N</v>
      </c>
    </row>
    <row r="215" spans="4:20" x14ac:dyDescent="0.25">
      <c r="D215" s="57"/>
      <c r="E215" s="57" t="str">
        <f>'Input - Poultry'!$D$39</f>
        <v>Composting (passive windrow)</v>
      </c>
      <c r="F215" s="52" t="e" cm="1">
        <f t="array" ref="F215">MMS_Swine_ManureAppliedToSoils_Equations.VEERG_4_5_1_9__1_MassOfNitrogenAppliedToSoilsScope1(F23,_xlfn.XLOOKUP($E215,$D$105:$D$110,$E$105:$E$110), _xlfn.XLOOKUP($E215,$D$95:$D$100,$E$95:$E$100),F48,$F191)</f>
        <v>#N/A</v>
      </c>
      <c r="G215" s="52" t="e" cm="1">
        <f t="array" ref="G215">MMS_Swine_ManureAppliedToSoils_Equations.VEERG_4_5_1_9__1_MassOfNitrogenAppliedToSoilsScope1(G23,_xlfn.XLOOKUP($E215,$D$105:$D$110,$E$105:$E$110), _xlfn.XLOOKUP($E215,$D$95:$D$100,$E$95:$E$100),G48,$F191)</f>
        <v>#N/A</v>
      </c>
      <c r="H215" s="52" t="e" cm="1">
        <f t="array" ref="H215">MMS_Swine_ManureAppliedToSoils_Equations.VEERG_4_5_1_9__1_MassOfNitrogenAppliedToSoilsScope1(H23,_xlfn.XLOOKUP($E215,$D$105:$D$110,$E$105:$E$110), _xlfn.XLOOKUP($E215,$D$95:$D$100,$E$95:$E$100),H48,$F191)</f>
        <v>#N/A</v>
      </c>
      <c r="I215" s="52" t="e" cm="1">
        <f t="array" ref="I215">MMS_Swine_ManureAppliedToSoils_Equations.VEERG_4_5_1_9__1_MassOfNitrogenAppliedToSoilsScope1(I23,_xlfn.XLOOKUP($E215,$D$105:$D$110,$E$105:$E$110), _xlfn.XLOOKUP($E215,$D$95:$D$100,$E$95:$E$100),I48,$F191)</f>
        <v>#N/A</v>
      </c>
      <c r="J215" s="2" t="str">
        <f t="shared" ref="J215:J233" si="4">$E$11</f>
        <v>kg N</v>
      </c>
      <c r="N215" s="57"/>
      <c r="O215" s="57" t="str">
        <f>'Input - Poultry'!$D$39</f>
        <v>Composting (passive windrow)</v>
      </c>
      <c r="P215" s="52" t="e" cm="1">
        <f t="array" ref="P215">MMS_Swine_ManureAppliedToSoils_Equations.VEERG_4_5_1_9__1_MassOfNitrogenAppliedToSoilsScope1(P23,_xlfn.XLOOKUP($E215,$D$105:$D$110,$E$105:$E$110), _xlfn.XLOOKUP($E215,$D$95:$D$100,$E$95:$E$100),P48,$F191)</f>
        <v>#N/A</v>
      </c>
      <c r="Q215" s="52" t="e" cm="1">
        <f t="array" ref="Q215">MMS_Swine_ManureAppliedToSoils_Equations.VEERG_4_5_1_9__1_MassOfNitrogenAppliedToSoilsScope1(Q23,_xlfn.XLOOKUP($E215,$D$105:$D$110,$E$105:$E$110), _xlfn.XLOOKUP($E215,$D$95:$D$100,$E$95:$E$100),Q48,$F191)</f>
        <v>#N/A</v>
      </c>
      <c r="R215" s="52" t="e" cm="1">
        <f t="array" ref="R215">MMS_Swine_ManureAppliedToSoils_Equations.VEERG_4_5_1_9__1_MassOfNitrogenAppliedToSoilsScope1(R23,_xlfn.XLOOKUP($E215,$D$105:$D$110,$E$105:$E$110), _xlfn.XLOOKUP($E215,$D$95:$D$100,$E$95:$E$100),R48,$F191)</f>
        <v>#N/A</v>
      </c>
      <c r="S215" s="52" t="e" cm="1">
        <f t="array" ref="S215">MMS_Swine_ManureAppliedToSoils_Equations.VEERG_4_5_1_9__1_MassOfNitrogenAppliedToSoilsScope1(S23,_xlfn.XLOOKUP($E215,$D$105:$D$110,$E$105:$E$110), _xlfn.XLOOKUP($E215,$D$95:$D$100,$E$95:$E$100),S48,$F191)</f>
        <v>#N/A</v>
      </c>
      <c r="T215" s="2" t="str">
        <f t="shared" ref="T215:T233" si="5">$E$11</f>
        <v>kg N</v>
      </c>
    </row>
    <row r="216" spans="4:20" x14ac:dyDescent="0.25">
      <c r="D216" s="57"/>
      <c r="E216" s="57" t="str">
        <f>'Input - Poultry'!$D$40</f>
        <v>Digester / covered lagoons</v>
      </c>
      <c r="F216" s="52" t="e" cm="1">
        <f t="array" ref="F216">MMS_Swine_ManureAppliedToSoils_Equations.VEERG_4_5_1_9__1_MassOfNitrogenAppliedToSoilsScope1(F24,_xlfn.XLOOKUP($E216,$D$105:$D$110,$E$105:$E$110), _xlfn.XLOOKUP($E216,$D$95:$D$100,$E$95:$E$100),F49,$F192)</f>
        <v>#N/A</v>
      </c>
      <c r="G216" s="52" t="e" cm="1">
        <f t="array" ref="G216">MMS_Swine_ManureAppliedToSoils_Equations.VEERG_4_5_1_9__1_MassOfNitrogenAppliedToSoilsScope1(G24,_xlfn.XLOOKUP($E216,$D$105:$D$110,$E$105:$E$110), _xlfn.XLOOKUP($E216,$D$95:$D$100,$E$95:$E$100),G49,$F192)</f>
        <v>#N/A</v>
      </c>
      <c r="H216" s="52" t="e" cm="1">
        <f t="array" ref="H216">MMS_Swine_ManureAppliedToSoils_Equations.VEERG_4_5_1_9__1_MassOfNitrogenAppliedToSoilsScope1(H24,_xlfn.XLOOKUP($E216,$D$105:$D$110,$E$105:$E$110), _xlfn.XLOOKUP($E216,$D$95:$D$100,$E$95:$E$100),H49,$F192)</f>
        <v>#N/A</v>
      </c>
      <c r="I216" s="52" t="e" cm="1">
        <f t="array" ref="I216">MMS_Swine_ManureAppliedToSoils_Equations.VEERG_4_5_1_9__1_MassOfNitrogenAppliedToSoilsScope1(I24,_xlfn.XLOOKUP($E216,$D$105:$D$110,$E$105:$E$110), _xlfn.XLOOKUP($E216,$D$95:$D$100,$E$95:$E$100),I49,$F192)</f>
        <v>#N/A</v>
      </c>
      <c r="J216" s="2" t="str">
        <f t="shared" si="4"/>
        <v>kg N</v>
      </c>
      <c r="N216" s="57"/>
      <c r="O216" s="57" t="str">
        <f>'Input - Poultry'!$D$40</f>
        <v>Digester / covered lagoons</v>
      </c>
      <c r="P216" s="52" t="e" cm="1">
        <f t="array" ref="P216">MMS_Swine_ManureAppliedToSoils_Equations.VEERG_4_5_1_9__1_MassOfNitrogenAppliedToSoilsScope1(P24,_xlfn.XLOOKUP($E216,$D$105:$D$110,$E$105:$E$110), _xlfn.XLOOKUP($E216,$D$95:$D$100,$E$95:$E$100),P49,$F192)</f>
        <v>#N/A</v>
      </c>
      <c r="Q216" s="52" t="e" cm="1">
        <f t="array" ref="Q216">MMS_Swine_ManureAppliedToSoils_Equations.VEERG_4_5_1_9__1_MassOfNitrogenAppliedToSoilsScope1(Q24,_xlfn.XLOOKUP($E216,$D$105:$D$110,$E$105:$E$110), _xlfn.XLOOKUP($E216,$D$95:$D$100,$E$95:$E$100),Q49,$F192)</f>
        <v>#N/A</v>
      </c>
      <c r="R216" s="52" t="e" cm="1">
        <f t="array" ref="R216">MMS_Swine_ManureAppliedToSoils_Equations.VEERG_4_5_1_9__1_MassOfNitrogenAppliedToSoilsScope1(R24,_xlfn.XLOOKUP($E216,$D$105:$D$110,$E$105:$E$110), _xlfn.XLOOKUP($E216,$D$95:$D$100,$E$95:$E$100),R49,$F192)</f>
        <v>#N/A</v>
      </c>
      <c r="S216" s="52" t="e" cm="1">
        <f t="array" ref="S216">MMS_Swine_ManureAppliedToSoils_Equations.VEERG_4_5_1_9__1_MassOfNitrogenAppliedToSoilsScope1(S24,_xlfn.XLOOKUP($E216,$D$105:$D$110,$E$105:$E$110), _xlfn.XLOOKUP($E216,$D$95:$D$100,$E$95:$E$100),S49,$F192)</f>
        <v>#N/A</v>
      </c>
      <c r="T216" s="2" t="str">
        <f t="shared" si="5"/>
        <v>kg N</v>
      </c>
    </row>
    <row r="217" spans="4:20" x14ac:dyDescent="0.25">
      <c r="D217" s="57" t="str">
        <f>'Input - Poultry'!$D$31</f>
        <v>Manure stored in house</v>
      </c>
      <c r="E217" s="57" t="str">
        <f>'Input - Poultry'!$D$45</f>
        <v>Solid storage</v>
      </c>
      <c r="F217" s="52" t="e" cm="1">
        <f t="array" ref="F217">MMS_Swine_ManureAppliedToSoils_Equations.VEERG_4_5_1_9__1_MassOfNitrogenAppliedToSoilsScope1(F25,_xlfn.XLOOKUP($E217,$D$105:$D$110,$E$105:$E$110), _xlfn.XLOOKUP($E217,$D$95:$D$100,$E$95:$E$100),F50,$F193)</f>
        <v>#N/A</v>
      </c>
      <c r="G217" s="52" t="e" cm="1">
        <f t="array" ref="G217">MMS_Swine_ManureAppliedToSoils_Equations.VEERG_4_5_1_9__1_MassOfNitrogenAppliedToSoilsScope1(G25,_xlfn.XLOOKUP($E217,$D$105:$D$110,$E$105:$E$110), _xlfn.XLOOKUP($E217,$D$95:$D$100,$E$95:$E$100),G50,$F193)</f>
        <v>#N/A</v>
      </c>
      <c r="H217" s="52" t="e" cm="1">
        <f t="array" ref="H217">MMS_Swine_ManureAppliedToSoils_Equations.VEERG_4_5_1_9__1_MassOfNitrogenAppliedToSoilsScope1(H25,_xlfn.XLOOKUP($E217,$D$105:$D$110,$E$105:$E$110), _xlfn.XLOOKUP($E217,$D$95:$D$100,$E$95:$E$100),H50,$F193)</f>
        <v>#N/A</v>
      </c>
      <c r="I217" s="52" t="e" cm="1">
        <f t="array" ref="I217">MMS_Swine_ManureAppliedToSoils_Equations.VEERG_4_5_1_9__1_MassOfNitrogenAppliedToSoilsScope1(I25,_xlfn.XLOOKUP($E217,$D$105:$D$110,$E$105:$E$110), _xlfn.XLOOKUP($E217,$D$95:$D$100,$E$95:$E$100),I50,$F193)</f>
        <v>#N/A</v>
      </c>
      <c r="J217" s="2" t="str">
        <f t="shared" si="4"/>
        <v>kg N</v>
      </c>
      <c r="N217" s="57" t="str">
        <f>'Input - Poultry'!$D$31</f>
        <v>Manure stored in house</v>
      </c>
      <c r="O217" s="57" t="str">
        <f>'Input - Poultry'!$D$45</f>
        <v>Solid storage</v>
      </c>
      <c r="P217" s="52" t="e" cm="1">
        <f t="array" ref="P217">MMS_Swine_ManureAppliedToSoils_Equations.VEERG_4_5_1_9__1_MassOfNitrogenAppliedToSoilsScope1(P25,_xlfn.XLOOKUP($E217,$D$105:$D$110,$E$105:$E$110), _xlfn.XLOOKUP($E217,$D$95:$D$100,$E$95:$E$100),P50,$F193)</f>
        <v>#N/A</v>
      </c>
      <c r="Q217" s="52" t="e" cm="1">
        <f t="array" ref="Q217">MMS_Swine_ManureAppliedToSoils_Equations.VEERG_4_5_1_9__1_MassOfNitrogenAppliedToSoilsScope1(Q25,_xlfn.XLOOKUP($E217,$D$105:$D$110,$E$105:$E$110), _xlfn.XLOOKUP($E217,$D$95:$D$100,$E$95:$E$100),Q50,$F193)</f>
        <v>#N/A</v>
      </c>
      <c r="R217" s="52" t="e" cm="1">
        <f t="array" ref="R217">MMS_Swine_ManureAppliedToSoils_Equations.VEERG_4_5_1_9__1_MassOfNitrogenAppliedToSoilsScope1(R25,_xlfn.XLOOKUP($E217,$D$105:$D$110,$E$105:$E$110), _xlfn.XLOOKUP($E217,$D$95:$D$100,$E$95:$E$100),R50,$F193)</f>
        <v>#N/A</v>
      </c>
      <c r="S217" s="52" t="e" cm="1">
        <f t="array" ref="S217">MMS_Swine_ManureAppliedToSoils_Equations.VEERG_4_5_1_9__1_MassOfNitrogenAppliedToSoilsScope1(S25,_xlfn.XLOOKUP($E217,$D$105:$D$110,$E$105:$E$110), _xlfn.XLOOKUP($E217,$D$95:$D$100,$E$95:$E$100),S50,$F193)</f>
        <v>#N/A</v>
      </c>
      <c r="T217" s="2" t="str">
        <f t="shared" si="5"/>
        <v>kg N</v>
      </c>
    </row>
    <row r="218" spans="4:20" x14ac:dyDescent="0.25">
      <c r="D218" s="57"/>
      <c r="E218" s="57" t="str">
        <f>'Input - Poultry'!$D$46</f>
        <v>Composting (passive windrow)</v>
      </c>
      <c r="F218" s="52" t="e" cm="1">
        <f t="array" ref="F218">MMS_Swine_ManureAppliedToSoils_Equations.VEERG_4_5_1_9__1_MassOfNitrogenAppliedToSoilsScope1(F26,_xlfn.XLOOKUP($E218,$D$105:$D$110,$E$105:$E$110), _xlfn.XLOOKUP($E218,$D$95:$D$100,$E$95:$E$100),F51,$F194)</f>
        <v>#N/A</v>
      </c>
      <c r="G218" s="52" t="e" cm="1">
        <f t="array" ref="G218">MMS_Swine_ManureAppliedToSoils_Equations.VEERG_4_5_1_9__1_MassOfNitrogenAppliedToSoilsScope1(G26,_xlfn.XLOOKUP($E218,$D$105:$D$110,$E$105:$E$110), _xlfn.XLOOKUP($E218,$D$95:$D$100,$E$95:$E$100),G51,$F194)</f>
        <v>#N/A</v>
      </c>
      <c r="H218" s="52" t="e" cm="1">
        <f t="array" ref="H218">MMS_Swine_ManureAppliedToSoils_Equations.VEERG_4_5_1_9__1_MassOfNitrogenAppliedToSoilsScope1(H26,_xlfn.XLOOKUP($E218,$D$105:$D$110,$E$105:$E$110), _xlfn.XLOOKUP($E218,$D$95:$D$100,$E$95:$E$100),H51,$F194)</f>
        <v>#N/A</v>
      </c>
      <c r="I218" s="52" t="e" cm="1">
        <f t="array" ref="I218">MMS_Swine_ManureAppliedToSoils_Equations.VEERG_4_5_1_9__1_MassOfNitrogenAppliedToSoilsScope1(I26,_xlfn.XLOOKUP($E218,$D$105:$D$110,$E$105:$E$110), _xlfn.XLOOKUP($E218,$D$95:$D$100,$E$95:$E$100),I51,$F194)</f>
        <v>#N/A</v>
      </c>
      <c r="J218" s="2" t="str">
        <f t="shared" si="4"/>
        <v>kg N</v>
      </c>
      <c r="N218" s="57"/>
      <c r="O218" s="57" t="str">
        <f>'Input - Poultry'!$D$46</f>
        <v>Composting (passive windrow)</v>
      </c>
      <c r="P218" s="52" t="e" cm="1">
        <f t="array" ref="P218">MMS_Swine_ManureAppliedToSoils_Equations.VEERG_4_5_1_9__1_MassOfNitrogenAppliedToSoilsScope1(P26,_xlfn.XLOOKUP($E218,$D$105:$D$110,$E$105:$E$110), _xlfn.XLOOKUP($E218,$D$95:$D$100,$E$95:$E$100),P51,$F194)</f>
        <v>#N/A</v>
      </c>
      <c r="Q218" s="52" t="e" cm="1">
        <f t="array" ref="Q218">MMS_Swine_ManureAppliedToSoils_Equations.VEERG_4_5_1_9__1_MassOfNitrogenAppliedToSoilsScope1(Q26,_xlfn.XLOOKUP($E218,$D$105:$D$110,$E$105:$E$110), _xlfn.XLOOKUP($E218,$D$95:$D$100,$E$95:$E$100),Q51,$F194)</f>
        <v>#N/A</v>
      </c>
      <c r="R218" s="52" t="e" cm="1">
        <f t="array" ref="R218">MMS_Swine_ManureAppliedToSoils_Equations.VEERG_4_5_1_9__1_MassOfNitrogenAppliedToSoilsScope1(R26,_xlfn.XLOOKUP($E218,$D$105:$D$110,$E$105:$E$110), _xlfn.XLOOKUP($E218,$D$95:$D$100,$E$95:$E$100),R51,$F194)</f>
        <v>#N/A</v>
      </c>
      <c r="S218" s="52" t="e" cm="1">
        <f t="array" ref="S218">MMS_Swine_ManureAppliedToSoils_Equations.VEERG_4_5_1_9__1_MassOfNitrogenAppliedToSoilsScope1(S26,_xlfn.XLOOKUP($E218,$D$105:$D$110,$E$105:$E$110), _xlfn.XLOOKUP($E218,$D$95:$D$100,$E$95:$E$100),S51,$F194)</f>
        <v>#N/A</v>
      </c>
      <c r="T218" s="2" t="str">
        <f t="shared" si="5"/>
        <v>kg N</v>
      </c>
    </row>
    <row r="219" spans="4:20" x14ac:dyDescent="0.25">
      <c r="D219" s="57"/>
      <c r="E219" s="57" t="str">
        <f>'Input - Poultry'!$D$47</f>
        <v>Digester / covered lagoons</v>
      </c>
      <c r="F219" s="52" t="e" cm="1">
        <f t="array" ref="F219">MMS_Swine_ManureAppliedToSoils_Equations.VEERG_4_5_1_9__1_MassOfNitrogenAppliedToSoilsScope1(F27,_xlfn.XLOOKUP($E219,$D$105:$D$110,$E$105:$E$110), _xlfn.XLOOKUP($E219,$D$95:$D$100,$E$95:$E$100),F52,$F195)</f>
        <v>#N/A</v>
      </c>
      <c r="G219" s="52" t="e" cm="1">
        <f t="array" ref="G219">MMS_Swine_ManureAppliedToSoils_Equations.VEERG_4_5_1_9__1_MassOfNitrogenAppliedToSoilsScope1(G27,_xlfn.XLOOKUP($E219,$D$105:$D$110,$E$105:$E$110), _xlfn.XLOOKUP($E219,$D$95:$D$100,$E$95:$E$100),G52,$F195)</f>
        <v>#N/A</v>
      </c>
      <c r="H219" s="52" t="e" cm="1">
        <f t="array" ref="H219">MMS_Swine_ManureAppliedToSoils_Equations.VEERG_4_5_1_9__1_MassOfNitrogenAppliedToSoilsScope1(H27,_xlfn.XLOOKUP($E219,$D$105:$D$110,$E$105:$E$110), _xlfn.XLOOKUP($E219,$D$95:$D$100,$E$95:$E$100),H52,$F195)</f>
        <v>#N/A</v>
      </c>
      <c r="I219" s="52" t="e" cm="1">
        <f t="array" ref="I219">MMS_Swine_ManureAppliedToSoils_Equations.VEERG_4_5_1_9__1_MassOfNitrogenAppliedToSoilsScope1(I27,_xlfn.XLOOKUP($E219,$D$105:$D$110,$E$105:$E$110), _xlfn.XLOOKUP($E219,$D$95:$D$100,$E$95:$E$100),I52,$F195)</f>
        <v>#N/A</v>
      </c>
      <c r="J219" s="2" t="str">
        <f t="shared" si="4"/>
        <v>kg N</v>
      </c>
      <c r="N219" s="57"/>
      <c r="O219" s="57" t="str">
        <f>'Input - Poultry'!$D$47</f>
        <v>Digester / covered lagoons</v>
      </c>
      <c r="P219" s="52" t="e" cm="1">
        <f t="array" ref="P219">MMS_Swine_ManureAppliedToSoils_Equations.VEERG_4_5_1_9__1_MassOfNitrogenAppliedToSoilsScope1(P27,_xlfn.XLOOKUP($E219,$D$105:$D$110,$E$105:$E$110), _xlfn.XLOOKUP($E219,$D$95:$D$100,$E$95:$E$100),P52,$F195)</f>
        <v>#N/A</v>
      </c>
      <c r="Q219" s="52" t="e" cm="1">
        <f t="array" ref="Q219">MMS_Swine_ManureAppliedToSoils_Equations.VEERG_4_5_1_9__1_MassOfNitrogenAppliedToSoilsScope1(Q27,_xlfn.XLOOKUP($E219,$D$105:$D$110,$E$105:$E$110), _xlfn.XLOOKUP($E219,$D$95:$D$100,$E$95:$E$100),Q52,$F195)</f>
        <v>#N/A</v>
      </c>
      <c r="R219" s="52" t="e" cm="1">
        <f t="array" ref="R219">MMS_Swine_ManureAppliedToSoils_Equations.VEERG_4_5_1_9__1_MassOfNitrogenAppliedToSoilsScope1(R27,_xlfn.XLOOKUP($E219,$D$105:$D$110,$E$105:$E$110), _xlfn.XLOOKUP($E219,$D$95:$D$100,$E$95:$E$100),R52,$F195)</f>
        <v>#N/A</v>
      </c>
      <c r="S219" s="52" t="e" cm="1">
        <f t="array" ref="S219">MMS_Swine_ManureAppliedToSoils_Equations.VEERG_4_5_1_9__1_MassOfNitrogenAppliedToSoilsScope1(S27,_xlfn.XLOOKUP($E219,$D$105:$D$110,$E$105:$E$110), _xlfn.XLOOKUP($E219,$D$95:$D$100,$E$95:$E$100),S52,$F195)</f>
        <v>#N/A</v>
      </c>
      <c r="T219" s="2" t="str">
        <f t="shared" si="5"/>
        <v>kg N</v>
      </c>
    </row>
    <row r="220" spans="4:20" x14ac:dyDescent="0.25">
      <c r="D220" s="57"/>
      <c r="E220" s="57" t="str">
        <f>'Input - Poultry'!$D$48</f>
        <v>Direct processing</v>
      </c>
      <c r="F220" s="52" t="e" cm="1">
        <f t="array" ref="F220">MMS_Swine_ManureAppliedToSoils_Equations.VEERG_4_5_1_9__1_MassOfNitrogenAppliedToSoilsScope1(F28,_xlfn.XLOOKUP($E220,$D$105:$D$110,$E$105:$E$110), _xlfn.XLOOKUP($E220,$D$95:$D$100,$E$95:$E$100),F53,$F196)</f>
        <v>#N/A</v>
      </c>
      <c r="G220" s="52" t="e" cm="1">
        <f t="array" ref="G220">MMS_Swine_ManureAppliedToSoils_Equations.VEERG_4_5_1_9__1_MassOfNitrogenAppliedToSoilsScope1(G28,_xlfn.XLOOKUP($E220,$D$105:$D$110,$E$105:$E$110), _xlfn.XLOOKUP($E220,$D$95:$D$100,$E$95:$E$100),G53,$F196)</f>
        <v>#N/A</v>
      </c>
      <c r="H220" s="52" t="e" cm="1">
        <f t="array" ref="H220">MMS_Swine_ManureAppliedToSoils_Equations.VEERG_4_5_1_9__1_MassOfNitrogenAppliedToSoilsScope1(H28,_xlfn.XLOOKUP($E220,$D$105:$D$110,$E$105:$E$110), _xlfn.XLOOKUP($E220,$D$95:$D$100,$E$95:$E$100),H53,$F196)</f>
        <v>#N/A</v>
      </c>
      <c r="I220" s="52" t="e" cm="1">
        <f t="array" ref="I220">MMS_Swine_ManureAppliedToSoils_Equations.VEERG_4_5_1_9__1_MassOfNitrogenAppliedToSoilsScope1(I28,_xlfn.XLOOKUP($E220,$D$105:$D$110,$E$105:$E$110), _xlfn.XLOOKUP($E220,$D$95:$D$100,$E$95:$E$100),I53,$F196)</f>
        <v>#N/A</v>
      </c>
      <c r="J220" s="2" t="str">
        <f t="shared" si="4"/>
        <v>kg N</v>
      </c>
      <c r="N220" s="57"/>
      <c r="O220" s="57" t="str">
        <f>'Input - Poultry'!$D$48</f>
        <v>Direct processing</v>
      </c>
      <c r="P220" s="52" t="e" cm="1">
        <f t="array" ref="P220">MMS_Swine_ManureAppliedToSoils_Equations.VEERG_4_5_1_9__1_MassOfNitrogenAppliedToSoilsScope1(P28,_xlfn.XLOOKUP($E220,$D$105:$D$110,$E$105:$E$110), _xlfn.XLOOKUP($E220,$D$95:$D$100,$E$95:$E$100),P53,$F196)</f>
        <v>#N/A</v>
      </c>
      <c r="Q220" s="52" t="e" cm="1">
        <f t="array" ref="Q220">MMS_Swine_ManureAppliedToSoils_Equations.VEERG_4_5_1_9__1_MassOfNitrogenAppliedToSoilsScope1(Q28,_xlfn.XLOOKUP($E220,$D$105:$D$110,$E$105:$E$110), _xlfn.XLOOKUP($E220,$D$95:$D$100,$E$95:$E$100),Q53,$F196)</f>
        <v>#N/A</v>
      </c>
      <c r="R220" s="52" t="e" cm="1">
        <f t="array" ref="R220">MMS_Swine_ManureAppliedToSoils_Equations.VEERG_4_5_1_9__1_MassOfNitrogenAppliedToSoilsScope1(R28,_xlfn.XLOOKUP($E220,$D$105:$D$110,$E$105:$E$110), _xlfn.XLOOKUP($E220,$D$95:$D$100,$E$95:$E$100),R53,$F196)</f>
        <v>#N/A</v>
      </c>
      <c r="S220" s="52" t="e" cm="1">
        <f t="array" ref="S220">MMS_Swine_ManureAppliedToSoils_Equations.VEERG_4_5_1_9__1_MassOfNitrogenAppliedToSoilsScope1(S28,_xlfn.XLOOKUP($E220,$D$105:$D$110,$E$105:$E$110), _xlfn.XLOOKUP($E220,$D$95:$D$100,$E$95:$E$100),S53,$F196)</f>
        <v>#N/A</v>
      </c>
      <c r="T220" s="2" t="str">
        <f t="shared" si="5"/>
        <v>kg N</v>
      </c>
    </row>
    <row r="221" spans="4:20" x14ac:dyDescent="0.25">
      <c r="D221" s="57" t="str">
        <f>'Input - Poultry'!$D$32</f>
        <v>Pasture range and paddock</v>
      </c>
      <c r="E221" s="57" t="str">
        <f>'Input - Poultry'!$D$52</f>
        <v>Solid storage</v>
      </c>
      <c r="F221" s="52" t="e" cm="1">
        <f t="array" ref="F221">MMS_Swine_ManureAppliedToSoils_Equations.VEERG_4_5_1_9__1_MassOfNitrogenAppliedToSoilsScope1(F29,_xlfn.XLOOKUP($E221,$D$105:$D$110,$E$105:$E$110), _xlfn.XLOOKUP($E221,$D$95:$D$100,$E$95:$E$100),F54,$F197)</f>
        <v>#N/A</v>
      </c>
      <c r="G221" s="52" t="e" cm="1">
        <f t="array" ref="G221">MMS_Swine_ManureAppliedToSoils_Equations.VEERG_4_5_1_9__1_MassOfNitrogenAppliedToSoilsScope1(G29,_xlfn.XLOOKUP($E221,$D$105:$D$110,$E$105:$E$110), _xlfn.XLOOKUP($E221,$D$95:$D$100,$E$95:$E$100),G54,$F197)</f>
        <v>#N/A</v>
      </c>
      <c r="H221" s="52" t="e" cm="1">
        <f t="array" ref="H221">MMS_Swine_ManureAppliedToSoils_Equations.VEERG_4_5_1_9__1_MassOfNitrogenAppliedToSoilsScope1(H29,_xlfn.XLOOKUP($E221,$D$105:$D$110,$E$105:$E$110), _xlfn.XLOOKUP($E221,$D$95:$D$100,$E$95:$E$100),H54,$F197)</f>
        <v>#N/A</v>
      </c>
      <c r="I221" s="52" t="e" cm="1">
        <f t="array" ref="I221">MMS_Swine_ManureAppliedToSoils_Equations.VEERG_4_5_1_9__1_MassOfNitrogenAppliedToSoilsScope1(I29,_xlfn.XLOOKUP($E221,$D$105:$D$110,$E$105:$E$110), _xlfn.XLOOKUP($E221,$D$95:$D$100,$E$95:$E$100),I54,$F197)</f>
        <v>#N/A</v>
      </c>
      <c r="J221" s="2" t="str">
        <f t="shared" si="4"/>
        <v>kg N</v>
      </c>
      <c r="N221" s="57" t="str">
        <f>'Input - Poultry'!$D$32</f>
        <v>Pasture range and paddock</v>
      </c>
      <c r="O221" s="57" t="str">
        <f>'Input - Poultry'!$D$52</f>
        <v>Solid storage</v>
      </c>
      <c r="P221" s="52" t="e" cm="1">
        <f t="array" ref="P221">MMS_Swine_ManureAppliedToSoils_Equations.VEERG_4_5_1_9__1_MassOfNitrogenAppliedToSoilsScope1(P29,_xlfn.XLOOKUP($E221,$D$105:$D$110,$E$105:$E$110), _xlfn.XLOOKUP($E221,$D$95:$D$100,$E$95:$E$100),P54,$F197)</f>
        <v>#N/A</v>
      </c>
      <c r="Q221" s="52" t="e" cm="1">
        <f t="array" ref="Q221">MMS_Swine_ManureAppliedToSoils_Equations.VEERG_4_5_1_9__1_MassOfNitrogenAppliedToSoilsScope1(Q29,_xlfn.XLOOKUP($E221,$D$105:$D$110,$E$105:$E$110), _xlfn.XLOOKUP($E221,$D$95:$D$100,$E$95:$E$100),Q54,$F197)</f>
        <v>#N/A</v>
      </c>
      <c r="R221" s="52" t="e" cm="1">
        <f t="array" ref="R221">MMS_Swine_ManureAppliedToSoils_Equations.VEERG_4_5_1_9__1_MassOfNitrogenAppliedToSoilsScope1(R29,_xlfn.XLOOKUP($E221,$D$105:$D$110,$E$105:$E$110), _xlfn.XLOOKUP($E221,$D$95:$D$100,$E$95:$E$100),R54,$F197)</f>
        <v>#N/A</v>
      </c>
      <c r="S221" s="52" t="e" cm="1">
        <f t="array" ref="S221">MMS_Swine_ManureAppliedToSoils_Equations.VEERG_4_5_1_9__1_MassOfNitrogenAppliedToSoilsScope1(S29,_xlfn.XLOOKUP($E221,$D$105:$D$110,$E$105:$E$110), _xlfn.XLOOKUP($E221,$D$95:$D$100,$E$95:$E$100),S54,$F197)</f>
        <v>#N/A</v>
      </c>
      <c r="T221" s="2" t="str">
        <f t="shared" si="5"/>
        <v>kg N</v>
      </c>
    </row>
    <row r="222" spans="4:20" x14ac:dyDescent="0.25">
      <c r="D222" s="57"/>
      <c r="E222" s="57" t="str">
        <f>'Input - Poultry'!$D$53</f>
        <v>Composting (passive windrow)</v>
      </c>
      <c r="F222" s="52" t="e" cm="1">
        <f t="array" ref="F222">MMS_Swine_ManureAppliedToSoils_Equations.VEERG_4_5_1_9__1_MassOfNitrogenAppliedToSoilsScope1(F30,_xlfn.XLOOKUP($E222,$D$105:$D$110,$E$105:$E$110), _xlfn.XLOOKUP($E222,$D$95:$D$100,$E$95:$E$100),F55,$F198)</f>
        <v>#N/A</v>
      </c>
      <c r="G222" s="52" t="e" cm="1">
        <f t="array" ref="G222">MMS_Swine_ManureAppliedToSoils_Equations.VEERG_4_5_1_9__1_MassOfNitrogenAppliedToSoilsScope1(G30,_xlfn.XLOOKUP($E222,$D$105:$D$110,$E$105:$E$110), _xlfn.XLOOKUP($E222,$D$95:$D$100,$E$95:$E$100),G55,$F198)</f>
        <v>#N/A</v>
      </c>
      <c r="H222" s="52" t="e" cm="1">
        <f t="array" ref="H222">MMS_Swine_ManureAppliedToSoils_Equations.VEERG_4_5_1_9__1_MassOfNitrogenAppliedToSoilsScope1(H30,_xlfn.XLOOKUP($E222,$D$105:$D$110,$E$105:$E$110), _xlfn.XLOOKUP($E222,$D$95:$D$100,$E$95:$E$100),H55,$F198)</f>
        <v>#N/A</v>
      </c>
      <c r="I222" s="52" t="e" cm="1">
        <f t="array" ref="I222">MMS_Swine_ManureAppliedToSoils_Equations.VEERG_4_5_1_9__1_MassOfNitrogenAppliedToSoilsScope1(I30,_xlfn.XLOOKUP($E222,$D$105:$D$110,$E$105:$E$110), _xlfn.XLOOKUP($E222,$D$95:$D$100,$E$95:$E$100),I55,$F198)</f>
        <v>#N/A</v>
      </c>
      <c r="J222" s="2" t="str">
        <f t="shared" si="4"/>
        <v>kg N</v>
      </c>
      <c r="N222" s="57"/>
      <c r="O222" s="57" t="str">
        <f>'Input - Poultry'!$D$53</f>
        <v>Composting (passive windrow)</v>
      </c>
      <c r="P222" s="52" t="e" cm="1">
        <f t="array" ref="P222">MMS_Swine_ManureAppliedToSoils_Equations.VEERG_4_5_1_9__1_MassOfNitrogenAppliedToSoilsScope1(P30,_xlfn.XLOOKUP($E222,$D$105:$D$110,$E$105:$E$110), _xlfn.XLOOKUP($E222,$D$95:$D$100,$E$95:$E$100),P55,$F198)</f>
        <v>#N/A</v>
      </c>
      <c r="Q222" s="52" t="e" cm="1">
        <f t="array" ref="Q222">MMS_Swine_ManureAppliedToSoils_Equations.VEERG_4_5_1_9__1_MassOfNitrogenAppliedToSoilsScope1(Q30,_xlfn.XLOOKUP($E222,$D$105:$D$110,$E$105:$E$110), _xlfn.XLOOKUP($E222,$D$95:$D$100,$E$95:$E$100),Q55,$F198)</f>
        <v>#N/A</v>
      </c>
      <c r="R222" s="52" t="e" cm="1">
        <f t="array" ref="R222">MMS_Swine_ManureAppliedToSoils_Equations.VEERG_4_5_1_9__1_MassOfNitrogenAppliedToSoilsScope1(R30,_xlfn.XLOOKUP($E222,$D$105:$D$110,$E$105:$E$110), _xlfn.XLOOKUP($E222,$D$95:$D$100,$E$95:$E$100),R55,$F198)</f>
        <v>#N/A</v>
      </c>
      <c r="S222" s="52" t="e" cm="1">
        <f t="array" ref="S222">MMS_Swine_ManureAppliedToSoils_Equations.VEERG_4_5_1_9__1_MassOfNitrogenAppliedToSoilsScope1(S30,_xlfn.XLOOKUP($E222,$D$105:$D$110,$E$105:$E$110), _xlfn.XLOOKUP($E222,$D$95:$D$100,$E$95:$E$100),S55,$F198)</f>
        <v>#N/A</v>
      </c>
      <c r="T222" s="2" t="str">
        <f t="shared" si="5"/>
        <v>kg N</v>
      </c>
    </row>
    <row r="223" spans="4:20" x14ac:dyDescent="0.25">
      <c r="D223" s="57"/>
      <c r="E223" s="57" t="str">
        <f>'Input - Poultry'!$D$54</f>
        <v>Digester / covered lagoons</v>
      </c>
      <c r="F223" s="52" t="e" cm="1">
        <f t="array" ref="F223">MMS_Swine_ManureAppliedToSoils_Equations.VEERG_4_5_1_9__1_MassOfNitrogenAppliedToSoilsScope1(F31,_xlfn.XLOOKUP($E223,$D$105:$D$110,$E$105:$E$110), _xlfn.XLOOKUP($E223,$D$95:$D$100,$E$95:$E$100),F56,$F199)</f>
        <v>#N/A</v>
      </c>
      <c r="G223" s="52" t="e" cm="1">
        <f t="array" ref="G223">MMS_Swine_ManureAppliedToSoils_Equations.VEERG_4_5_1_9__1_MassOfNitrogenAppliedToSoilsScope1(G31,_xlfn.XLOOKUP($E223,$D$105:$D$110,$E$105:$E$110), _xlfn.XLOOKUP($E223,$D$95:$D$100,$E$95:$E$100),G56,$F199)</f>
        <v>#N/A</v>
      </c>
      <c r="H223" s="52" t="e" cm="1">
        <f t="array" ref="H223">MMS_Swine_ManureAppliedToSoils_Equations.VEERG_4_5_1_9__1_MassOfNitrogenAppliedToSoilsScope1(H31,_xlfn.XLOOKUP($E223,$D$105:$D$110,$E$105:$E$110), _xlfn.XLOOKUP($E223,$D$95:$D$100,$E$95:$E$100),H56,$F199)</f>
        <v>#N/A</v>
      </c>
      <c r="I223" s="52" t="e" cm="1">
        <f t="array" ref="I223">MMS_Swine_ManureAppliedToSoils_Equations.VEERG_4_5_1_9__1_MassOfNitrogenAppliedToSoilsScope1(I31,_xlfn.XLOOKUP($E223,$D$105:$D$110,$E$105:$E$110), _xlfn.XLOOKUP($E223,$D$95:$D$100,$E$95:$E$100),I56,$F199)</f>
        <v>#N/A</v>
      </c>
      <c r="J223" s="2" t="str">
        <f t="shared" si="4"/>
        <v>kg N</v>
      </c>
      <c r="N223" s="57"/>
      <c r="O223" s="57" t="str">
        <f>'Input - Poultry'!$D$54</f>
        <v>Digester / covered lagoons</v>
      </c>
      <c r="P223" s="52" t="e" cm="1">
        <f t="array" ref="P223">MMS_Swine_ManureAppliedToSoils_Equations.VEERG_4_5_1_9__1_MassOfNitrogenAppliedToSoilsScope1(P31,_xlfn.XLOOKUP($E223,$D$105:$D$110,$E$105:$E$110), _xlfn.XLOOKUP($E223,$D$95:$D$100,$E$95:$E$100),P56,$F199)</f>
        <v>#N/A</v>
      </c>
      <c r="Q223" s="52" t="e" cm="1">
        <f t="array" ref="Q223">MMS_Swine_ManureAppliedToSoils_Equations.VEERG_4_5_1_9__1_MassOfNitrogenAppliedToSoilsScope1(Q31,_xlfn.XLOOKUP($E223,$D$105:$D$110,$E$105:$E$110), _xlfn.XLOOKUP($E223,$D$95:$D$100,$E$95:$E$100),Q56,$F199)</f>
        <v>#N/A</v>
      </c>
      <c r="R223" s="52" t="e" cm="1">
        <f t="array" ref="R223">MMS_Swine_ManureAppliedToSoils_Equations.VEERG_4_5_1_9__1_MassOfNitrogenAppliedToSoilsScope1(R31,_xlfn.XLOOKUP($E223,$D$105:$D$110,$E$105:$E$110), _xlfn.XLOOKUP($E223,$D$95:$D$100,$E$95:$E$100),R56,$F199)</f>
        <v>#N/A</v>
      </c>
      <c r="S223" s="52" t="e" cm="1">
        <f t="array" ref="S223">MMS_Swine_ManureAppliedToSoils_Equations.VEERG_4_5_1_9__1_MassOfNitrogenAppliedToSoilsScope1(S31,_xlfn.XLOOKUP($E223,$D$105:$D$110,$E$105:$E$110), _xlfn.XLOOKUP($E223,$D$95:$D$100,$E$95:$E$100),S56,$F199)</f>
        <v>#N/A</v>
      </c>
      <c r="T223" s="2" t="str">
        <f t="shared" si="5"/>
        <v>kg N</v>
      </c>
    </row>
    <row r="224" spans="4:20" x14ac:dyDescent="0.25">
      <c r="D224" s="57" t="str">
        <f>'Input - Poultry'!$D$33</f>
        <v>No MMS</v>
      </c>
      <c r="E224" s="57" t="e">
        <f>'Input - Poultry'!#REF!</f>
        <v>#REF!</v>
      </c>
      <c r="F224" s="52" t="e" cm="1">
        <f t="array" ref="F224">MMS_Swine_ManureAppliedToSoils_Equations.VEERG_4_5_1_9__1_MassOfNitrogenAppliedToSoilsScope1(F32,_xlfn.XLOOKUP($E224,$D$105:$D$110,$E$105:$E$110), _xlfn.XLOOKUP($E224,$D$95:$D$100,$E$95:$E$100),F57,$F200)</f>
        <v>#REF!</v>
      </c>
      <c r="G224" s="52" t="e" cm="1">
        <f t="array" ref="G224">MMS_Swine_ManureAppliedToSoils_Equations.VEERG_4_5_1_9__1_MassOfNitrogenAppliedToSoilsScope1(G32,_xlfn.XLOOKUP($E224,$D$105:$D$110,$E$105:$E$110), _xlfn.XLOOKUP($E224,$D$95:$D$100,$E$95:$E$100),G57,$F200)</f>
        <v>#REF!</v>
      </c>
      <c r="H224" s="52" t="e" cm="1">
        <f t="array" ref="H224">MMS_Swine_ManureAppliedToSoils_Equations.VEERG_4_5_1_9__1_MassOfNitrogenAppliedToSoilsScope1(H32,_xlfn.XLOOKUP($E224,$D$105:$D$110,$E$105:$E$110), _xlfn.XLOOKUP($E224,$D$95:$D$100,$E$95:$E$100),H57,$F200)</f>
        <v>#REF!</v>
      </c>
      <c r="I224" s="52" t="e" cm="1">
        <f t="array" ref="I224">MMS_Swine_ManureAppliedToSoils_Equations.VEERG_4_5_1_9__1_MassOfNitrogenAppliedToSoilsScope1(I32,_xlfn.XLOOKUP($E224,$D$105:$D$110,$E$105:$E$110), _xlfn.XLOOKUP($E224,$D$95:$D$100,$E$95:$E$100),I57,$F200)</f>
        <v>#REF!</v>
      </c>
      <c r="J224" s="2" t="str">
        <f t="shared" si="4"/>
        <v>kg N</v>
      </c>
      <c r="N224" s="57" t="str">
        <f>'Input - Poultry'!$D$33</f>
        <v>No MMS</v>
      </c>
      <c r="O224" s="57" t="e">
        <f>'Input - Poultry'!#REF!</f>
        <v>#REF!</v>
      </c>
      <c r="P224" s="52" t="e" cm="1">
        <f t="array" ref="P224">MMS_Swine_ManureAppliedToSoils_Equations.VEERG_4_5_1_9__1_MassOfNitrogenAppliedToSoilsScope1(P32,_xlfn.XLOOKUP($E224,$D$105:$D$110,$E$105:$E$110), _xlfn.XLOOKUP($E224,$D$95:$D$100,$E$95:$E$100),P57,$F200)</f>
        <v>#REF!</v>
      </c>
      <c r="Q224" s="52" t="e" cm="1">
        <f t="array" ref="Q224">MMS_Swine_ManureAppliedToSoils_Equations.VEERG_4_5_1_9__1_MassOfNitrogenAppliedToSoilsScope1(Q32,_xlfn.XLOOKUP($E224,$D$105:$D$110,$E$105:$E$110), _xlfn.XLOOKUP($E224,$D$95:$D$100,$E$95:$E$100),Q57,$F200)</f>
        <v>#REF!</v>
      </c>
      <c r="R224" s="52" t="e" cm="1">
        <f t="array" ref="R224">MMS_Swine_ManureAppliedToSoils_Equations.VEERG_4_5_1_9__1_MassOfNitrogenAppliedToSoilsScope1(R32,_xlfn.XLOOKUP($E224,$D$105:$D$110,$E$105:$E$110), _xlfn.XLOOKUP($E224,$D$95:$D$100,$E$95:$E$100),R57,$F200)</f>
        <v>#REF!</v>
      </c>
      <c r="S224" s="52" t="e" cm="1">
        <f t="array" ref="S224">MMS_Swine_ManureAppliedToSoils_Equations.VEERG_4_5_1_9__1_MassOfNitrogenAppliedToSoilsScope1(S32,_xlfn.XLOOKUP($E224,$D$105:$D$110,$E$105:$E$110), _xlfn.XLOOKUP($E224,$D$95:$D$100,$E$95:$E$100),S57,$F200)</f>
        <v>#REF!</v>
      </c>
      <c r="T224" s="2" t="str">
        <f t="shared" si="5"/>
        <v>kg N</v>
      </c>
    </row>
    <row r="225" spans="4:20" x14ac:dyDescent="0.25">
      <c r="D225" s="57"/>
      <c r="E225" s="57">
        <f>'Input - Poultry'!$D$71</f>
        <v>0</v>
      </c>
      <c r="F225" s="52" t="e" cm="1">
        <f t="array" ref="F225">MMS_Swine_ManureAppliedToSoils_Equations.VEERG_4_5_1_9__1_MassOfNitrogenAppliedToSoilsScope1(F33,_xlfn.XLOOKUP($E225,$D$105:$D$110,$E$105:$E$110), _xlfn.XLOOKUP($E225,$D$95:$D$100,$E$95:$E$100),F58,$F201)</f>
        <v>#N/A</v>
      </c>
      <c r="G225" s="52" t="e" cm="1">
        <f t="array" ref="G225">MMS_Swine_ManureAppliedToSoils_Equations.VEERG_4_5_1_9__1_MassOfNitrogenAppliedToSoilsScope1(G33,_xlfn.XLOOKUP($E225,$D$105:$D$110,$E$105:$E$110), _xlfn.XLOOKUP($E225,$D$95:$D$100,$E$95:$E$100),G58,$F201)</f>
        <v>#N/A</v>
      </c>
      <c r="H225" s="52" t="e" cm="1">
        <f t="array" ref="H225">MMS_Swine_ManureAppliedToSoils_Equations.VEERG_4_5_1_9__1_MassOfNitrogenAppliedToSoilsScope1(H33,_xlfn.XLOOKUP($E225,$D$105:$D$110,$E$105:$E$110), _xlfn.XLOOKUP($E225,$D$95:$D$100,$E$95:$E$100),H58,$F201)</f>
        <v>#N/A</v>
      </c>
      <c r="I225" s="52" t="e" cm="1">
        <f t="array" ref="I225">MMS_Swine_ManureAppliedToSoils_Equations.VEERG_4_5_1_9__1_MassOfNitrogenAppliedToSoilsScope1(I33,_xlfn.XLOOKUP($E225,$D$105:$D$110,$E$105:$E$110), _xlfn.XLOOKUP($E225,$D$95:$D$100,$E$95:$E$100),I58,$F201)</f>
        <v>#N/A</v>
      </c>
      <c r="J225" s="2" t="str">
        <f t="shared" si="4"/>
        <v>kg N</v>
      </c>
      <c r="N225" s="57"/>
      <c r="O225" s="57">
        <f>'Input - Poultry'!$D$71</f>
        <v>0</v>
      </c>
      <c r="P225" s="52" t="e" cm="1">
        <f t="array" ref="P225">MMS_Swine_ManureAppliedToSoils_Equations.VEERG_4_5_1_9__1_MassOfNitrogenAppliedToSoilsScope1(P33,_xlfn.XLOOKUP($E225,$D$105:$D$110,$E$105:$E$110), _xlfn.XLOOKUP($E225,$D$95:$D$100,$E$95:$E$100),P58,$F201)</f>
        <v>#N/A</v>
      </c>
      <c r="Q225" s="52" t="e" cm="1">
        <f t="array" ref="Q225">MMS_Swine_ManureAppliedToSoils_Equations.VEERG_4_5_1_9__1_MassOfNitrogenAppliedToSoilsScope1(Q33,_xlfn.XLOOKUP($E225,$D$105:$D$110,$E$105:$E$110), _xlfn.XLOOKUP($E225,$D$95:$D$100,$E$95:$E$100),Q58,$F201)</f>
        <v>#N/A</v>
      </c>
      <c r="R225" s="52" t="e" cm="1">
        <f t="array" ref="R225">MMS_Swine_ManureAppliedToSoils_Equations.VEERG_4_5_1_9__1_MassOfNitrogenAppliedToSoilsScope1(R33,_xlfn.XLOOKUP($E225,$D$105:$D$110,$E$105:$E$110), _xlfn.XLOOKUP($E225,$D$95:$D$100,$E$95:$E$100),R58,$F201)</f>
        <v>#N/A</v>
      </c>
      <c r="S225" s="52" t="e" cm="1">
        <f t="array" ref="S225">MMS_Swine_ManureAppliedToSoils_Equations.VEERG_4_5_1_9__1_MassOfNitrogenAppliedToSoilsScope1(S33,_xlfn.XLOOKUP($E225,$D$105:$D$110,$E$105:$E$110), _xlfn.XLOOKUP($E225,$D$95:$D$100,$E$95:$E$100),S58,$F201)</f>
        <v>#N/A</v>
      </c>
      <c r="T225" s="2" t="str">
        <f t="shared" si="5"/>
        <v>kg N</v>
      </c>
    </row>
    <row r="226" spans="4:20" x14ac:dyDescent="0.25">
      <c r="D226" s="57"/>
      <c r="E226" s="57">
        <f>'Input - Poultry'!$D$72</f>
        <v>0</v>
      </c>
      <c r="F226" s="52" t="e" cm="1">
        <f t="array" ref="F226">MMS_Swine_ManureAppliedToSoils_Equations.VEERG_4_5_1_9__1_MassOfNitrogenAppliedToSoilsScope1(F34,_xlfn.XLOOKUP($E226,$D$105:$D$110,$E$105:$E$110), _xlfn.XLOOKUP($E226,$D$95:$D$100,$E$95:$E$100),F59,$F202)</f>
        <v>#N/A</v>
      </c>
      <c r="G226" s="52" t="e" cm="1">
        <f t="array" ref="G226">MMS_Swine_ManureAppliedToSoils_Equations.VEERG_4_5_1_9__1_MassOfNitrogenAppliedToSoilsScope1(G34,_xlfn.XLOOKUP($E226,$D$105:$D$110,$E$105:$E$110), _xlfn.XLOOKUP($E226,$D$95:$D$100,$E$95:$E$100),G59,$F202)</f>
        <v>#N/A</v>
      </c>
      <c r="H226" s="52" t="e" cm="1">
        <f t="array" ref="H226">MMS_Swine_ManureAppliedToSoils_Equations.VEERG_4_5_1_9__1_MassOfNitrogenAppliedToSoilsScope1(H34,_xlfn.XLOOKUP($E226,$D$105:$D$110,$E$105:$E$110), _xlfn.XLOOKUP($E226,$D$95:$D$100,$E$95:$E$100),H59,$F202)</f>
        <v>#N/A</v>
      </c>
      <c r="I226" s="52" t="e" cm="1">
        <f t="array" ref="I226">MMS_Swine_ManureAppliedToSoils_Equations.VEERG_4_5_1_9__1_MassOfNitrogenAppliedToSoilsScope1(I34,_xlfn.XLOOKUP($E226,$D$105:$D$110,$E$105:$E$110), _xlfn.XLOOKUP($E226,$D$95:$D$100,$E$95:$E$100),I59,$F202)</f>
        <v>#N/A</v>
      </c>
      <c r="J226" s="2" t="str">
        <f t="shared" si="4"/>
        <v>kg N</v>
      </c>
      <c r="N226" s="57"/>
      <c r="O226" s="57">
        <f>'Input - Poultry'!$D$72</f>
        <v>0</v>
      </c>
      <c r="P226" s="52" t="e" cm="1">
        <f t="array" ref="P226">MMS_Swine_ManureAppliedToSoils_Equations.VEERG_4_5_1_9__1_MassOfNitrogenAppliedToSoilsScope1(P34,_xlfn.XLOOKUP($E226,$D$105:$D$110,$E$105:$E$110), _xlfn.XLOOKUP($E226,$D$95:$D$100,$E$95:$E$100),P59,$F202)</f>
        <v>#N/A</v>
      </c>
      <c r="Q226" s="52" t="e" cm="1">
        <f t="array" ref="Q226">MMS_Swine_ManureAppliedToSoils_Equations.VEERG_4_5_1_9__1_MassOfNitrogenAppliedToSoilsScope1(Q34,_xlfn.XLOOKUP($E226,$D$105:$D$110,$E$105:$E$110), _xlfn.XLOOKUP($E226,$D$95:$D$100,$E$95:$E$100),Q59,$F202)</f>
        <v>#N/A</v>
      </c>
      <c r="R226" s="52" t="e" cm="1">
        <f t="array" ref="R226">MMS_Swine_ManureAppliedToSoils_Equations.VEERG_4_5_1_9__1_MassOfNitrogenAppliedToSoilsScope1(R34,_xlfn.XLOOKUP($E226,$D$105:$D$110,$E$105:$E$110), _xlfn.XLOOKUP($E226,$D$95:$D$100,$E$95:$E$100),R59,$F202)</f>
        <v>#N/A</v>
      </c>
      <c r="S226" s="52" t="e" cm="1">
        <f t="array" ref="S226">MMS_Swine_ManureAppliedToSoils_Equations.VEERG_4_5_1_9__1_MassOfNitrogenAppliedToSoilsScope1(S34,_xlfn.XLOOKUP($E226,$D$105:$D$110,$E$105:$E$110), _xlfn.XLOOKUP($E226,$D$95:$D$100,$E$95:$E$100),S59,$F202)</f>
        <v>#N/A</v>
      </c>
      <c r="T226" s="2" t="str">
        <f t="shared" si="5"/>
        <v>kg N</v>
      </c>
    </row>
    <row r="227" spans="4:20" x14ac:dyDescent="0.25">
      <c r="D227" s="57" t="e">
        <f>'Input - Poultry'!#REF!</f>
        <v>#REF!</v>
      </c>
      <c r="E227" s="57">
        <f>'Input - Poultry'!$D$77</f>
        <v>0</v>
      </c>
      <c r="F227" s="52" t="e" cm="1">
        <f t="array" ref="F227">MMS_Swine_ManureAppliedToSoils_Equations.VEERG_4_5_1_9__1_MassOfNitrogenAppliedToSoilsScope1(F35,_xlfn.XLOOKUP($E227,$D$105:$D$110,$E$105:$E$110), _xlfn.XLOOKUP($E227,$D$95:$D$100,$E$95:$E$100),F60,$F203)</f>
        <v>#N/A</v>
      </c>
      <c r="G227" s="52" t="e" cm="1">
        <f t="array" ref="G227">MMS_Swine_ManureAppliedToSoils_Equations.VEERG_4_5_1_9__1_MassOfNitrogenAppliedToSoilsScope1(G35,_xlfn.XLOOKUP($E227,$D$105:$D$110,$E$105:$E$110), _xlfn.XLOOKUP($E227,$D$95:$D$100,$E$95:$E$100),G60,$F203)</f>
        <v>#N/A</v>
      </c>
      <c r="H227" s="52" t="e" cm="1">
        <f t="array" ref="H227">MMS_Swine_ManureAppliedToSoils_Equations.VEERG_4_5_1_9__1_MassOfNitrogenAppliedToSoilsScope1(H35,_xlfn.XLOOKUP($E227,$D$105:$D$110,$E$105:$E$110), _xlfn.XLOOKUP($E227,$D$95:$D$100,$E$95:$E$100),H60,$F203)</f>
        <v>#N/A</v>
      </c>
      <c r="I227" s="52" t="e" cm="1">
        <f t="array" ref="I227">MMS_Swine_ManureAppliedToSoils_Equations.VEERG_4_5_1_9__1_MassOfNitrogenAppliedToSoilsScope1(I35,_xlfn.XLOOKUP($E227,$D$105:$D$110,$E$105:$E$110), _xlfn.XLOOKUP($E227,$D$95:$D$100,$E$95:$E$100),I60,$F203)</f>
        <v>#N/A</v>
      </c>
      <c r="J227" s="2" t="str">
        <f t="shared" si="4"/>
        <v>kg N</v>
      </c>
      <c r="N227" s="57" t="e">
        <f>'Input - Poultry'!#REF!</f>
        <v>#REF!</v>
      </c>
      <c r="O227" s="57">
        <f>'Input - Poultry'!$D$77</f>
        <v>0</v>
      </c>
      <c r="P227" s="52" t="e" cm="1">
        <f t="array" ref="P227">MMS_Swine_ManureAppliedToSoils_Equations.VEERG_4_5_1_9__1_MassOfNitrogenAppliedToSoilsScope1(P35,_xlfn.XLOOKUP($E227,$D$105:$D$110,$E$105:$E$110), _xlfn.XLOOKUP($E227,$D$95:$D$100,$E$95:$E$100),P60,$F203)</f>
        <v>#N/A</v>
      </c>
      <c r="Q227" s="52" t="e" cm="1">
        <f t="array" ref="Q227">MMS_Swine_ManureAppliedToSoils_Equations.VEERG_4_5_1_9__1_MassOfNitrogenAppliedToSoilsScope1(Q35,_xlfn.XLOOKUP($E227,$D$105:$D$110,$E$105:$E$110), _xlfn.XLOOKUP($E227,$D$95:$D$100,$E$95:$E$100),Q60,$F203)</f>
        <v>#N/A</v>
      </c>
      <c r="R227" s="52" t="e" cm="1">
        <f t="array" ref="R227">MMS_Swine_ManureAppliedToSoils_Equations.VEERG_4_5_1_9__1_MassOfNitrogenAppliedToSoilsScope1(R35,_xlfn.XLOOKUP($E227,$D$105:$D$110,$E$105:$E$110), _xlfn.XLOOKUP($E227,$D$95:$D$100,$E$95:$E$100),R60,$F203)</f>
        <v>#N/A</v>
      </c>
      <c r="S227" s="52" t="e" cm="1">
        <f t="array" ref="S227">MMS_Swine_ManureAppliedToSoils_Equations.VEERG_4_5_1_9__1_MassOfNitrogenAppliedToSoilsScope1(S35,_xlfn.XLOOKUP($E227,$D$105:$D$110,$E$105:$E$110), _xlfn.XLOOKUP($E227,$D$95:$D$100,$E$95:$E$100),S60,$F203)</f>
        <v>#N/A</v>
      </c>
      <c r="T227" s="2" t="str">
        <f t="shared" si="5"/>
        <v>kg N</v>
      </c>
    </row>
    <row r="228" spans="4:20" x14ac:dyDescent="0.25">
      <c r="D228" s="57"/>
      <c r="E228" s="57">
        <f>'Input - Poultry'!$D$78</f>
        <v>0</v>
      </c>
      <c r="F228" s="52" t="e" cm="1">
        <f t="array" ref="F228">MMS_Swine_ManureAppliedToSoils_Equations.VEERG_4_5_1_9__1_MassOfNitrogenAppliedToSoilsScope1(F36,_xlfn.XLOOKUP($E228,$D$105:$D$110,$E$105:$E$110), _xlfn.XLOOKUP($E228,$D$95:$D$100,$E$95:$E$100),F61,$F204)</f>
        <v>#N/A</v>
      </c>
      <c r="G228" s="52" t="e" cm="1">
        <f t="array" ref="G228">MMS_Swine_ManureAppliedToSoils_Equations.VEERG_4_5_1_9__1_MassOfNitrogenAppliedToSoilsScope1(G36,_xlfn.XLOOKUP($E228,$D$105:$D$110,$E$105:$E$110), _xlfn.XLOOKUP($E228,$D$95:$D$100,$E$95:$E$100),G61,$F204)</f>
        <v>#N/A</v>
      </c>
      <c r="H228" s="52" t="e" cm="1">
        <f t="array" ref="H228">MMS_Swine_ManureAppliedToSoils_Equations.VEERG_4_5_1_9__1_MassOfNitrogenAppliedToSoilsScope1(H36,_xlfn.XLOOKUP($E228,$D$105:$D$110,$E$105:$E$110), _xlfn.XLOOKUP($E228,$D$95:$D$100,$E$95:$E$100),H61,$F204)</f>
        <v>#N/A</v>
      </c>
      <c r="I228" s="52" t="e" cm="1">
        <f t="array" ref="I228">MMS_Swine_ManureAppliedToSoils_Equations.VEERG_4_5_1_9__1_MassOfNitrogenAppliedToSoilsScope1(I36,_xlfn.XLOOKUP($E228,$D$105:$D$110,$E$105:$E$110), _xlfn.XLOOKUP($E228,$D$95:$D$100,$E$95:$E$100),I61,$F204)</f>
        <v>#N/A</v>
      </c>
      <c r="J228" s="2" t="str">
        <f t="shared" si="4"/>
        <v>kg N</v>
      </c>
      <c r="N228" s="57"/>
      <c r="O228" s="57">
        <f>'Input - Poultry'!$D$78</f>
        <v>0</v>
      </c>
      <c r="P228" s="52" t="e" cm="1">
        <f t="array" ref="P228">MMS_Swine_ManureAppliedToSoils_Equations.VEERG_4_5_1_9__1_MassOfNitrogenAppliedToSoilsScope1(P36,_xlfn.XLOOKUP($E228,$D$105:$D$110,$E$105:$E$110), _xlfn.XLOOKUP($E228,$D$95:$D$100,$E$95:$E$100),P61,$F204)</f>
        <v>#N/A</v>
      </c>
      <c r="Q228" s="52" t="e" cm="1">
        <f t="array" ref="Q228">MMS_Swine_ManureAppliedToSoils_Equations.VEERG_4_5_1_9__1_MassOfNitrogenAppliedToSoilsScope1(Q36,_xlfn.XLOOKUP($E228,$D$105:$D$110,$E$105:$E$110), _xlfn.XLOOKUP($E228,$D$95:$D$100,$E$95:$E$100),Q61,$F204)</f>
        <v>#N/A</v>
      </c>
      <c r="R228" s="52" t="e" cm="1">
        <f t="array" ref="R228">MMS_Swine_ManureAppliedToSoils_Equations.VEERG_4_5_1_9__1_MassOfNitrogenAppliedToSoilsScope1(R36,_xlfn.XLOOKUP($E228,$D$105:$D$110,$E$105:$E$110), _xlfn.XLOOKUP($E228,$D$95:$D$100,$E$95:$E$100),R61,$F204)</f>
        <v>#N/A</v>
      </c>
      <c r="S228" s="52" t="e" cm="1">
        <f t="array" ref="S228">MMS_Swine_ManureAppliedToSoils_Equations.VEERG_4_5_1_9__1_MassOfNitrogenAppliedToSoilsScope1(S36,_xlfn.XLOOKUP($E228,$D$105:$D$110,$E$105:$E$110), _xlfn.XLOOKUP($E228,$D$95:$D$100,$E$95:$E$100),S61,$F204)</f>
        <v>#N/A</v>
      </c>
      <c r="T228" s="2" t="str">
        <f t="shared" si="5"/>
        <v>kg N</v>
      </c>
    </row>
    <row r="229" spans="4:20" x14ac:dyDescent="0.25">
      <c r="D229" s="57"/>
      <c r="E229" s="57">
        <f>'Input - Poultry'!$D$79</f>
        <v>0</v>
      </c>
      <c r="F229" s="52" t="e" cm="1">
        <f t="array" ref="F229">MMS_Swine_ManureAppliedToSoils_Equations.VEERG_4_5_1_9__1_MassOfNitrogenAppliedToSoilsScope1(F37,_xlfn.XLOOKUP($E229,$D$105:$D$110,$E$105:$E$110), _xlfn.XLOOKUP($E229,$D$95:$D$100,$E$95:$E$100),F62,$F205)</f>
        <v>#N/A</v>
      </c>
      <c r="G229" s="52" t="e" cm="1">
        <f t="array" ref="G229">MMS_Swine_ManureAppliedToSoils_Equations.VEERG_4_5_1_9__1_MassOfNitrogenAppliedToSoilsScope1(G37,_xlfn.XLOOKUP($E229,$D$105:$D$110,$E$105:$E$110), _xlfn.XLOOKUP($E229,$D$95:$D$100,$E$95:$E$100),G62,$F205)</f>
        <v>#N/A</v>
      </c>
      <c r="H229" s="52" t="e" cm="1">
        <f t="array" ref="H229">MMS_Swine_ManureAppliedToSoils_Equations.VEERG_4_5_1_9__1_MassOfNitrogenAppliedToSoilsScope1(H37,_xlfn.XLOOKUP($E229,$D$105:$D$110,$E$105:$E$110), _xlfn.XLOOKUP($E229,$D$95:$D$100,$E$95:$E$100),H62,$F205)</f>
        <v>#N/A</v>
      </c>
      <c r="I229" s="52" t="e" cm="1">
        <f t="array" ref="I229">MMS_Swine_ManureAppliedToSoils_Equations.VEERG_4_5_1_9__1_MassOfNitrogenAppliedToSoilsScope1(I37,_xlfn.XLOOKUP($E229,$D$105:$D$110,$E$105:$E$110), _xlfn.XLOOKUP($E229,$D$95:$D$100,$E$95:$E$100),I62,$F205)</f>
        <v>#N/A</v>
      </c>
      <c r="J229" s="2" t="str">
        <f t="shared" si="4"/>
        <v>kg N</v>
      </c>
      <c r="N229" s="57"/>
      <c r="O229" s="57">
        <f>'Input - Poultry'!$D$79</f>
        <v>0</v>
      </c>
      <c r="P229" s="52" t="e" cm="1">
        <f t="array" ref="P229">MMS_Swine_ManureAppliedToSoils_Equations.VEERG_4_5_1_9__1_MassOfNitrogenAppliedToSoilsScope1(P37,_xlfn.XLOOKUP($E229,$D$105:$D$110,$E$105:$E$110), _xlfn.XLOOKUP($E229,$D$95:$D$100,$E$95:$E$100),P62,$F205)</f>
        <v>#N/A</v>
      </c>
      <c r="Q229" s="52" t="e" cm="1">
        <f t="array" ref="Q229">MMS_Swine_ManureAppliedToSoils_Equations.VEERG_4_5_1_9__1_MassOfNitrogenAppliedToSoilsScope1(Q37,_xlfn.XLOOKUP($E229,$D$105:$D$110,$E$105:$E$110), _xlfn.XLOOKUP($E229,$D$95:$D$100,$E$95:$E$100),Q62,$F205)</f>
        <v>#N/A</v>
      </c>
      <c r="R229" s="52" t="e" cm="1">
        <f t="array" ref="R229">MMS_Swine_ManureAppliedToSoils_Equations.VEERG_4_5_1_9__1_MassOfNitrogenAppliedToSoilsScope1(R37,_xlfn.XLOOKUP($E229,$D$105:$D$110,$E$105:$E$110), _xlfn.XLOOKUP($E229,$D$95:$D$100,$E$95:$E$100),R62,$F205)</f>
        <v>#N/A</v>
      </c>
      <c r="S229" s="52" t="e" cm="1">
        <f t="array" ref="S229">MMS_Swine_ManureAppliedToSoils_Equations.VEERG_4_5_1_9__1_MassOfNitrogenAppliedToSoilsScope1(S37,_xlfn.XLOOKUP($E229,$D$105:$D$110,$E$105:$E$110), _xlfn.XLOOKUP($E229,$D$95:$D$100,$E$95:$E$100),S62,$F205)</f>
        <v>#N/A</v>
      </c>
      <c r="T229" s="2" t="str">
        <f t="shared" si="5"/>
        <v>kg N</v>
      </c>
    </row>
    <row r="230" spans="4:20" x14ac:dyDescent="0.25">
      <c r="D230" s="57" t="e">
        <f>'Input - Poultry'!#REF!</f>
        <v>#REF!</v>
      </c>
      <c r="E230" s="57">
        <f>'Input - Poultry'!$D$84</f>
        <v>0</v>
      </c>
      <c r="F230" s="52" t="e" cm="1">
        <f t="array" ref="F230">MMS_Swine_ManureAppliedToSoils_Equations.VEERG_4_5_1_9__1_MassOfNitrogenAppliedToSoilsScope1(F38,_xlfn.XLOOKUP($E230,$D$105:$D$110,$E$105:$E$110), _xlfn.XLOOKUP($E230,$D$95:$D$100,$E$95:$E$100),F63,$F206)</f>
        <v>#N/A</v>
      </c>
      <c r="G230" s="52" t="e" cm="1">
        <f t="array" ref="G230">MMS_Swine_ManureAppliedToSoils_Equations.VEERG_4_5_1_9__1_MassOfNitrogenAppliedToSoilsScope1(G38,_xlfn.XLOOKUP($E230,$D$105:$D$110,$E$105:$E$110), _xlfn.XLOOKUP($E230,$D$95:$D$100,$E$95:$E$100),G63,$F206)</f>
        <v>#N/A</v>
      </c>
      <c r="H230" s="52" t="e" cm="1">
        <f t="array" ref="H230">MMS_Swine_ManureAppliedToSoils_Equations.VEERG_4_5_1_9__1_MassOfNitrogenAppliedToSoilsScope1(H38,_xlfn.XLOOKUP($E230,$D$105:$D$110,$E$105:$E$110), _xlfn.XLOOKUP($E230,$D$95:$D$100,$E$95:$E$100),H63,$F206)</f>
        <v>#N/A</v>
      </c>
      <c r="I230" s="52" t="e" cm="1">
        <f t="array" ref="I230">MMS_Swine_ManureAppliedToSoils_Equations.VEERG_4_5_1_9__1_MassOfNitrogenAppliedToSoilsScope1(I38,_xlfn.XLOOKUP($E230,$D$105:$D$110,$E$105:$E$110), _xlfn.XLOOKUP($E230,$D$95:$D$100,$E$95:$E$100),I63,$F206)</f>
        <v>#N/A</v>
      </c>
      <c r="J230" s="2" t="str">
        <f t="shared" si="4"/>
        <v>kg N</v>
      </c>
      <c r="N230" s="57" t="e">
        <f>'Input - Poultry'!#REF!</f>
        <v>#REF!</v>
      </c>
      <c r="O230" s="57">
        <f>'Input - Poultry'!$D$84</f>
        <v>0</v>
      </c>
      <c r="P230" s="52" t="e" cm="1">
        <f t="array" ref="P230">MMS_Swine_ManureAppliedToSoils_Equations.VEERG_4_5_1_9__1_MassOfNitrogenAppliedToSoilsScope1(P38,_xlfn.XLOOKUP($E230,$D$105:$D$110,$E$105:$E$110), _xlfn.XLOOKUP($E230,$D$95:$D$100,$E$95:$E$100),P63,$F206)</f>
        <v>#N/A</v>
      </c>
      <c r="Q230" s="52" t="e" cm="1">
        <f t="array" ref="Q230">MMS_Swine_ManureAppliedToSoils_Equations.VEERG_4_5_1_9__1_MassOfNitrogenAppliedToSoilsScope1(Q38,_xlfn.XLOOKUP($E230,$D$105:$D$110,$E$105:$E$110), _xlfn.XLOOKUP($E230,$D$95:$D$100,$E$95:$E$100),Q63,$F206)</f>
        <v>#N/A</v>
      </c>
      <c r="R230" s="52" t="e" cm="1">
        <f t="array" ref="R230">MMS_Swine_ManureAppliedToSoils_Equations.VEERG_4_5_1_9__1_MassOfNitrogenAppliedToSoilsScope1(R38,_xlfn.XLOOKUP($E230,$D$105:$D$110,$E$105:$E$110), _xlfn.XLOOKUP($E230,$D$95:$D$100,$E$95:$E$100),R63,$F206)</f>
        <v>#N/A</v>
      </c>
      <c r="S230" s="52" t="e" cm="1">
        <f t="array" ref="S230">MMS_Swine_ManureAppliedToSoils_Equations.VEERG_4_5_1_9__1_MassOfNitrogenAppliedToSoilsScope1(S38,_xlfn.XLOOKUP($E230,$D$105:$D$110,$E$105:$E$110), _xlfn.XLOOKUP($E230,$D$95:$D$100,$E$95:$E$100),S63,$F206)</f>
        <v>#N/A</v>
      </c>
      <c r="T230" s="2" t="str">
        <f t="shared" si="5"/>
        <v>kg N</v>
      </c>
    </row>
    <row r="231" spans="4:20" x14ac:dyDescent="0.25">
      <c r="D231" s="57"/>
      <c r="E231" s="57">
        <f>'Input - Poultry'!$D$85</f>
        <v>0</v>
      </c>
      <c r="F231" s="52" t="e" cm="1">
        <f t="array" ref="F231">MMS_Swine_ManureAppliedToSoils_Equations.VEERG_4_5_1_9__1_MassOfNitrogenAppliedToSoilsScope1(F39,_xlfn.XLOOKUP($E231,$D$105:$D$110,$E$105:$E$110), _xlfn.XLOOKUP($E231,$D$95:$D$100,$E$95:$E$100),F64,$F207)</f>
        <v>#N/A</v>
      </c>
      <c r="G231" s="52" t="e" cm="1">
        <f t="array" ref="G231">MMS_Swine_ManureAppliedToSoils_Equations.VEERG_4_5_1_9__1_MassOfNitrogenAppliedToSoilsScope1(G39,_xlfn.XLOOKUP($E231,$D$105:$D$110,$E$105:$E$110), _xlfn.XLOOKUP($E231,$D$95:$D$100,$E$95:$E$100),G64,$F207)</f>
        <v>#N/A</v>
      </c>
      <c r="H231" s="52" t="e" cm="1">
        <f t="array" ref="H231">MMS_Swine_ManureAppliedToSoils_Equations.VEERG_4_5_1_9__1_MassOfNitrogenAppliedToSoilsScope1(H39,_xlfn.XLOOKUP($E231,$D$105:$D$110,$E$105:$E$110), _xlfn.XLOOKUP($E231,$D$95:$D$100,$E$95:$E$100),H64,$F207)</f>
        <v>#N/A</v>
      </c>
      <c r="I231" s="52" t="e" cm="1">
        <f t="array" ref="I231">MMS_Swine_ManureAppliedToSoils_Equations.VEERG_4_5_1_9__1_MassOfNitrogenAppliedToSoilsScope1(I39,_xlfn.XLOOKUP($E231,$D$105:$D$110,$E$105:$E$110), _xlfn.XLOOKUP($E231,$D$95:$D$100,$E$95:$E$100),I64,$F207)</f>
        <v>#N/A</v>
      </c>
      <c r="J231" s="2" t="str">
        <f t="shared" si="4"/>
        <v>kg N</v>
      </c>
      <c r="N231" s="57"/>
      <c r="O231" s="57">
        <f>'Input - Poultry'!$D$85</f>
        <v>0</v>
      </c>
      <c r="P231" s="52" t="e" cm="1">
        <f t="array" ref="P231">MMS_Swine_ManureAppliedToSoils_Equations.VEERG_4_5_1_9__1_MassOfNitrogenAppliedToSoilsScope1(P39,_xlfn.XLOOKUP($E231,$D$105:$D$110,$E$105:$E$110), _xlfn.XLOOKUP($E231,$D$95:$D$100,$E$95:$E$100),P64,$F207)</f>
        <v>#N/A</v>
      </c>
      <c r="Q231" s="52" t="e" cm="1">
        <f t="array" ref="Q231">MMS_Swine_ManureAppliedToSoils_Equations.VEERG_4_5_1_9__1_MassOfNitrogenAppliedToSoilsScope1(Q39,_xlfn.XLOOKUP($E231,$D$105:$D$110,$E$105:$E$110), _xlfn.XLOOKUP($E231,$D$95:$D$100,$E$95:$E$100),Q64,$F207)</f>
        <v>#N/A</v>
      </c>
      <c r="R231" s="52" t="e" cm="1">
        <f t="array" ref="R231">MMS_Swine_ManureAppliedToSoils_Equations.VEERG_4_5_1_9__1_MassOfNitrogenAppliedToSoilsScope1(R39,_xlfn.XLOOKUP($E231,$D$105:$D$110,$E$105:$E$110), _xlfn.XLOOKUP($E231,$D$95:$D$100,$E$95:$E$100),R64,$F207)</f>
        <v>#N/A</v>
      </c>
      <c r="S231" s="52" t="e" cm="1">
        <f t="array" ref="S231">MMS_Swine_ManureAppliedToSoils_Equations.VEERG_4_5_1_9__1_MassOfNitrogenAppliedToSoilsScope1(S39,_xlfn.XLOOKUP($E231,$D$105:$D$110,$E$105:$E$110), _xlfn.XLOOKUP($E231,$D$95:$D$100,$E$95:$E$100),S64,$F207)</f>
        <v>#N/A</v>
      </c>
      <c r="T231" s="2" t="str">
        <f t="shared" si="5"/>
        <v>kg N</v>
      </c>
    </row>
    <row r="232" spans="4:20" x14ac:dyDescent="0.25">
      <c r="D232" s="57"/>
      <c r="E232" s="57">
        <f>'Input - Poultry'!$D$86</f>
        <v>0</v>
      </c>
      <c r="F232" s="52" t="e" cm="1">
        <f t="array" ref="F232">MMS_Swine_ManureAppliedToSoils_Equations.VEERG_4_5_1_9__1_MassOfNitrogenAppliedToSoilsScope1(F40,_xlfn.XLOOKUP($E232,$D$105:$D$110,$E$105:$E$110), _xlfn.XLOOKUP($E232,$D$95:$D$100,$E$95:$E$100),F65,$F208)</f>
        <v>#N/A</v>
      </c>
      <c r="G232" s="52" t="e" cm="1">
        <f t="array" ref="G232">MMS_Swine_ManureAppliedToSoils_Equations.VEERG_4_5_1_9__1_MassOfNitrogenAppliedToSoilsScope1(G40,_xlfn.XLOOKUP($E232,$D$105:$D$110,$E$105:$E$110), _xlfn.XLOOKUP($E232,$D$95:$D$100,$E$95:$E$100),G65,$F208)</f>
        <v>#N/A</v>
      </c>
      <c r="H232" s="52" t="e" cm="1">
        <f t="array" ref="H232">MMS_Swine_ManureAppliedToSoils_Equations.VEERG_4_5_1_9__1_MassOfNitrogenAppliedToSoilsScope1(H40,_xlfn.XLOOKUP($E232,$D$105:$D$110,$E$105:$E$110), _xlfn.XLOOKUP($E232,$D$95:$D$100,$E$95:$E$100),H65,$F208)</f>
        <v>#N/A</v>
      </c>
      <c r="I232" s="52" t="e" cm="1">
        <f t="array" ref="I232">MMS_Swine_ManureAppliedToSoils_Equations.VEERG_4_5_1_9__1_MassOfNitrogenAppliedToSoilsScope1(I40,_xlfn.XLOOKUP($E232,$D$105:$D$110,$E$105:$E$110), _xlfn.XLOOKUP($E232,$D$95:$D$100,$E$95:$E$100),I65,$F208)</f>
        <v>#N/A</v>
      </c>
      <c r="J232" s="2" t="str">
        <f t="shared" si="4"/>
        <v>kg N</v>
      </c>
      <c r="N232" s="57"/>
      <c r="O232" s="57">
        <f>'Input - Poultry'!$D$86</f>
        <v>0</v>
      </c>
      <c r="P232" s="52" t="e" cm="1">
        <f t="array" ref="P232">MMS_Swine_ManureAppliedToSoils_Equations.VEERG_4_5_1_9__1_MassOfNitrogenAppliedToSoilsScope1(P40,_xlfn.XLOOKUP($E232,$D$105:$D$110,$E$105:$E$110), _xlfn.XLOOKUP($E232,$D$95:$D$100,$E$95:$E$100),P65,$F208)</f>
        <v>#N/A</v>
      </c>
      <c r="Q232" s="52" t="e" cm="1">
        <f t="array" ref="Q232">MMS_Swine_ManureAppliedToSoils_Equations.VEERG_4_5_1_9__1_MassOfNitrogenAppliedToSoilsScope1(Q40,_xlfn.XLOOKUP($E232,$D$105:$D$110,$E$105:$E$110), _xlfn.XLOOKUP($E232,$D$95:$D$100,$E$95:$E$100),Q65,$F208)</f>
        <v>#N/A</v>
      </c>
      <c r="R232" s="52" t="e" cm="1">
        <f t="array" ref="R232">MMS_Swine_ManureAppliedToSoils_Equations.VEERG_4_5_1_9__1_MassOfNitrogenAppliedToSoilsScope1(R40,_xlfn.XLOOKUP($E232,$D$105:$D$110,$E$105:$E$110), _xlfn.XLOOKUP($E232,$D$95:$D$100,$E$95:$E$100),R65,$F208)</f>
        <v>#N/A</v>
      </c>
      <c r="S232" s="52" t="e" cm="1">
        <f t="array" ref="S232">MMS_Swine_ManureAppliedToSoils_Equations.VEERG_4_5_1_9__1_MassOfNitrogenAppliedToSoilsScope1(S40,_xlfn.XLOOKUP($E232,$D$105:$D$110,$E$105:$E$110), _xlfn.XLOOKUP($E232,$D$95:$D$100,$E$95:$E$100),S65,$F208)</f>
        <v>#N/A</v>
      </c>
      <c r="T232" s="2" t="str">
        <f t="shared" si="5"/>
        <v>kg N</v>
      </c>
    </row>
    <row r="233" spans="4:20" x14ac:dyDescent="0.25">
      <c r="D233" s="57"/>
      <c r="E233" s="57">
        <f>'Input - Poultry'!$D$87</f>
        <v>0</v>
      </c>
      <c r="F233" s="52" t="e" cm="1">
        <f t="array" ref="F233">MMS_Swine_ManureAppliedToSoils_Equations.VEERG_4_5_1_9__1_MassOfNitrogenAppliedToSoilsScope1(F41,_xlfn.XLOOKUP($E233,$D$105:$D$110,$E$105:$E$110), _xlfn.XLOOKUP($E233,$D$95:$D$100,$E$95:$E$100),F66,$F209)</f>
        <v>#N/A</v>
      </c>
      <c r="G233" s="52" t="e" cm="1">
        <f t="array" ref="G233">MMS_Swine_ManureAppliedToSoils_Equations.VEERG_4_5_1_9__1_MassOfNitrogenAppliedToSoilsScope1(G41,_xlfn.XLOOKUP($E233,$D$105:$D$110,$E$105:$E$110), _xlfn.XLOOKUP($E233,$D$95:$D$100,$E$95:$E$100),G66,$F209)</f>
        <v>#N/A</v>
      </c>
      <c r="H233" s="52" t="e" cm="1">
        <f t="array" ref="H233">MMS_Swine_ManureAppliedToSoils_Equations.VEERG_4_5_1_9__1_MassOfNitrogenAppliedToSoilsScope1(H41,_xlfn.XLOOKUP($E233,$D$105:$D$110,$E$105:$E$110), _xlfn.XLOOKUP($E233,$D$95:$D$100,$E$95:$E$100),H66,$F209)</f>
        <v>#N/A</v>
      </c>
      <c r="I233" s="52" t="e" cm="1">
        <f t="array" ref="I233">MMS_Swine_ManureAppliedToSoils_Equations.VEERG_4_5_1_9__1_MassOfNitrogenAppliedToSoilsScope1(I41,_xlfn.XLOOKUP($E233,$D$105:$D$110,$E$105:$E$110), _xlfn.XLOOKUP($E233,$D$95:$D$100,$E$95:$E$100),I66,$F209)</f>
        <v>#N/A</v>
      </c>
      <c r="J233" s="2" t="str">
        <f t="shared" si="4"/>
        <v>kg N</v>
      </c>
      <c r="N233" s="57"/>
      <c r="O233" s="57">
        <f>'Input - Poultry'!$D$87</f>
        <v>0</v>
      </c>
      <c r="P233" s="52" t="e" cm="1">
        <f t="array" ref="P233">MMS_Swine_ManureAppliedToSoils_Equations.VEERG_4_5_1_9__1_MassOfNitrogenAppliedToSoilsScope1(P41,_xlfn.XLOOKUP($E233,$D$105:$D$110,$E$105:$E$110), _xlfn.XLOOKUP($E233,$D$95:$D$100,$E$95:$E$100),P66,$F209)</f>
        <v>#N/A</v>
      </c>
      <c r="Q233" s="52" t="e" cm="1">
        <f t="array" ref="Q233">MMS_Swine_ManureAppliedToSoils_Equations.VEERG_4_5_1_9__1_MassOfNitrogenAppliedToSoilsScope1(Q41,_xlfn.XLOOKUP($E233,$D$105:$D$110,$E$105:$E$110), _xlfn.XLOOKUP($E233,$D$95:$D$100,$E$95:$E$100),Q66,$F209)</f>
        <v>#N/A</v>
      </c>
      <c r="R233" s="52" t="e" cm="1">
        <f t="array" ref="R233">MMS_Swine_ManureAppliedToSoils_Equations.VEERG_4_5_1_9__1_MassOfNitrogenAppliedToSoilsScope1(R41,_xlfn.XLOOKUP($E233,$D$105:$D$110,$E$105:$E$110), _xlfn.XLOOKUP($E233,$D$95:$D$100,$E$95:$E$100),R66,$F209)</f>
        <v>#N/A</v>
      </c>
      <c r="S233" s="52" t="e" cm="1">
        <f t="array" ref="S233">MMS_Swine_ManureAppliedToSoils_Equations.VEERG_4_5_1_9__1_MassOfNitrogenAppliedToSoilsScope1(S41,_xlfn.XLOOKUP($E233,$D$105:$D$110,$E$105:$E$110), _xlfn.XLOOKUP($E233,$D$95:$D$100,$E$95:$E$100),S66,$F209)</f>
        <v>#N/A</v>
      </c>
      <c r="T233" s="2" t="str">
        <f t="shared" si="5"/>
        <v>kg N</v>
      </c>
    </row>
    <row r="235" spans="4:20" ht="23.25" x14ac:dyDescent="0.25">
      <c r="D235" s="101" t="s">
        <v>217</v>
      </c>
      <c r="E235" s="102" t="e">
        <f>SUM(F214:I233)</f>
        <v>#N/A</v>
      </c>
      <c r="F235" s="103" t="str">
        <f>$E$11</f>
        <v>kg N</v>
      </c>
      <c r="N235" s="101" t="s">
        <v>217</v>
      </c>
      <c r="O235" s="102" t="e">
        <f>SUM(P214:S233)</f>
        <v>#N/A</v>
      </c>
      <c r="P235" s="103" t="str">
        <f>$E$11</f>
        <v>kg N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35FD-AE8E-4433-ACD5-994E77C39A89}">
  <dimension ref="A1:W452"/>
  <sheetViews>
    <sheetView showGridLines="0" zoomScale="85" zoomScaleNormal="85" workbookViewId="0">
      <selection activeCell="J32" sqref="J32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5" width="30.7109375" style="1" customWidth="1"/>
    <col min="6" max="6" width="31.140625" style="1" customWidth="1"/>
    <col min="7" max="7" width="32.5703125" style="1" customWidth="1"/>
    <col min="8" max="12" width="30.7109375" style="1" customWidth="1"/>
    <col min="13" max="13" width="30.7109375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240</v>
      </c>
    </row>
    <row r="2" spans="1:21" s="9" customFormat="1" ht="20.100000000000001" customHeight="1" x14ac:dyDescent="0.25">
      <c r="A2"/>
    </row>
    <row r="3" spans="1:21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  <c r="M4" s="22"/>
    </row>
    <row r="5" spans="1:21" ht="20.100000000000001" customHeight="1" x14ac:dyDescent="0.25">
      <c r="A5" s="16"/>
      <c r="D5" s="6" t="str" cm="1">
        <f t="array" ref="D5">SourceData_Poultry.SourceData_Poultry_DietProperties_Title()</f>
        <v>Poultry - Diet properties</v>
      </c>
      <c r="M5" s="1"/>
    </row>
    <row r="6" spans="1:21" ht="20.100000000000001" customHeight="1" x14ac:dyDescent="0.25">
      <c r="A6" s="20" t="s">
        <v>3</v>
      </c>
      <c r="D6" s="5" t="str" cm="1">
        <f t="array" ref="D6">SourceData_Poultry.SourceData_Poultry_DietProperties_Source()</f>
        <v>VEERG 2026: Table A.1.7.1: Poultry - Diet properties</v>
      </c>
      <c r="M6" s="1"/>
    </row>
    <row r="7" spans="1:21" ht="20.100000000000001" customHeight="1" x14ac:dyDescent="0.25">
      <c r="A7" s="17" t="str">
        <f>HYPERLINK("#'Input - Site'!A1", "Site")</f>
        <v>Site</v>
      </c>
      <c r="M7" s="1"/>
    </row>
    <row r="8" spans="1:21" ht="20.100000000000001" customHeight="1" x14ac:dyDescent="0.25">
      <c r="A8" s="17" t="str">
        <f>HYPERLINK("#'Input - Swine'!A1", "Swine")</f>
        <v>Swine</v>
      </c>
      <c r="D8" s="37" t="s">
        <v>241</v>
      </c>
      <c r="E8" s="37" t="s">
        <v>242</v>
      </c>
      <c r="F8" s="37" t="s">
        <v>243</v>
      </c>
      <c r="G8" s="37" t="s">
        <v>244</v>
      </c>
      <c r="H8" s="37" t="s">
        <v>245</v>
      </c>
      <c r="M8" s="1"/>
    </row>
    <row r="9" spans="1:21" ht="20.100000000000001" customHeight="1" x14ac:dyDescent="0.25">
      <c r="A9" s="17"/>
      <c r="D9" s="37" t="str" cm="1">
        <f t="array" ref="D9">Common_InputFunctions.Utility_DisplayArrayInTable(SourceData_Poultry.SourceData_Poultry_DietProperties_Data(), Table_SourceData_Poultry_DietProperties[[#Headers],[Nutrient analysis]], 0)</f>
        <v>Dry matter intake (kg/head/day)</v>
      </c>
      <c r="E9" s="37" cm="1">
        <f t="array" ref="E9">Common_InputFunctions.Utility_DisplayArrayInTable(SourceData_Poultry.SourceData_Poultry_DietProperties_Data(), Table_SourceData_Poultry_DietProperties[[#Headers],[Nutrient analysis]], 0)</f>
        <v>8.5999999999999993E-2</v>
      </c>
      <c r="F9" s="37" cm="1">
        <f t="array" ref="F9">Common_InputFunctions.Utility_DisplayArrayInTable(SourceData_Poultry.SourceData_Poultry_DietProperties_Data(), Table_SourceData_Poultry_DietProperties[[#Headers],[Nutrient analysis]], 0)</f>
        <v>9.2999999999999999E-2</v>
      </c>
      <c r="G9" s="37" cm="1">
        <f t="array" ref="G9">Common_InputFunctions.Utility_DisplayArrayInTable(SourceData_Poultry.SourceData_Poultry_DietProperties_Data(), Table_SourceData_Poultry_DietProperties[[#Headers],[Nutrient analysis]], 0)</f>
        <v>0.10299999999999999</v>
      </c>
      <c r="H9" s="37" cm="1">
        <f t="array" ref="H9">Common_InputFunctions.Utility_DisplayArrayInTable(SourceData_Poultry.SourceData_Poultry_DietProperties_Data(), Table_SourceData_Poultry_DietProperties[[#Headers],[Nutrient analysis]], 0)</f>
        <v>9.2999999999999999E-2</v>
      </c>
      <c r="M9" s="1"/>
    </row>
    <row r="10" spans="1:21" ht="20.100000000000001" customHeight="1" x14ac:dyDescent="0.25">
      <c r="A10" s="19" t="s">
        <v>76</v>
      </c>
      <c r="D10" s="1" t="str" cm="1">
        <f t="array" ref="D10">Common_InputFunctions.Utility_DisplayArrayInTable(SourceData_Poultry.SourceData_Poultry_DietProperties_Data(), Table_SourceData_Poultry_DietProperties[[#Headers],[Nutrient analysis]], 0)</f>
        <v>Dry matter digestibility</v>
      </c>
      <c r="E10" s="37" cm="1">
        <f t="array" ref="E10">Common_InputFunctions.Utility_DisplayArrayInTable(SourceData_Poultry.SourceData_Poultry_DietProperties_Data(), Table_SourceData_Poultry_DietProperties[[#Headers],[Nutrient analysis]], 0)</f>
        <v>0.8</v>
      </c>
      <c r="F10" s="37" cm="1">
        <f t="array" ref="F10">Common_InputFunctions.Utility_DisplayArrayInTable(SourceData_Poultry.SourceData_Poultry_DietProperties_Data(), Table_SourceData_Poultry_DietProperties[[#Headers],[Nutrient analysis]], 0)</f>
        <v>0.8</v>
      </c>
      <c r="G10" s="37" cm="1">
        <f t="array" ref="G10">Common_InputFunctions.Utility_DisplayArrayInTable(SourceData_Poultry.SourceData_Poultry_DietProperties_Data(), Table_SourceData_Poultry_DietProperties[[#Headers],[Nutrient analysis]], 0)</f>
        <v>0.8</v>
      </c>
      <c r="H10" s="37" cm="1">
        <f t="array" ref="H10">Common_InputFunctions.Utility_DisplayArrayInTable(SourceData_Poultry.SourceData_Poultry_DietProperties_Data(), Table_SourceData_Poultry_DietProperties[[#Headers],[Nutrient analysis]], 0)</f>
        <v>0.8</v>
      </c>
      <c r="M10" s="1"/>
    </row>
    <row r="11" spans="1:21" ht="20.100000000000001" customHeight="1" x14ac:dyDescent="0.25">
      <c r="A11" s="17" t="str">
        <f>HYPERLINK("#'4.5.1.1-2 Methane'!A1", "4.5.1.1-2 Methane")</f>
        <v>4.5.1.1-2 Methane</v>
      </c>
      <c r="D11" s="1" t="str" cm="1">
        <f t="array" ref="D11">Common_InputFunctions.Utility_DisplayArrayInTable(SourceData_Poultry.SourceData_Poultry_DietProperties_Data(), Table_SourceData_Poultry_DietProperties[[#Headers],[Nutrient analysis]], 0)</f>
        <v>Crude protein</v>
      </c>
      <c r="E11" s="37" cm="1">
        <f t="array" ref="E11">Common_InputFunctions.Utility_DisplayArrayInTable(SourceData_Poultry.SourceData_Poultry_DietProperties_Data(), Table_SourceData_Poultry_DietProperties[[#Headers],[Nutrient analysis]], 0)</f>
        <v>0.19</v>
      </c>
      <c r="F11" s="37" cm="1">
        <f t="array" ref="F11">Common_InputFunctions.Utility_DisplayArrayInTable(SourceData_Poultry.SourceData_Poultry_DietProperties_Data(), Table_SourceData_Poultry_DietProperties[[#Headers],[Nutrient analysis]], 0)</f>
        <v>0.23</v>
      </c>
      <c r="G11" s="37" cm="1">
        <f t="array" ref="G11">Common_InputFunctions.Utility_DisplayArrayInTable(SourceData_Poultry.SourceData_Poultry_DietProperties_Data(), Table_SourceData_Poultry_DietProperties[[#Headers],[Nutrient analysis]], 0)</f>
        <v>0.19</v>
      </c>
      <c r="H11" s="37" cm="1">
        <f t="array" ref="H11">Common_InputFunctions.Utility_DisplayArrayInTable(SourceData_Poultry.SourceData_Poultry_DietProperties_Data(), Table_SourceData_Poultry_DietProperties[[#Headers],[Nutrient analysis]], 0)</f>
        <v>0.23</v>
      </c>
      <c r="M11" s="1"/>
    </row>
    <row r="12" spans="1:21" ht="20.100000000000001" customHeight="1" x14ac:dyDescent="0.25">
      <c r="A12" s="17" t="str">
        <f>HYPERLINK("#'4.5.1.3-4 Direct N20'!A1", "4.5.1.3-4 Direct N2O")</f>
        <v>4.5.1.3-4 Direct N2O</v>
      </c>
      <c r="D12" s="1" t="str" cm="1">
        <f t="array" ref="D12">Common_InputFunctions.Utility_DisplayArrayInTable(SourceData_Poultry.SourceData_Poultry_DietProperties_Data(), Table_SourceData_Poultry_DietProperties[[#Headers],[Nutrient analysis]], 0)</f>
        <v>Nitrogen retention rate</v>
      </c>
      <c r="E12" s="37" cm="1">
        <f t="array" ref="E12">Common_InputFunctions.Utility_DisplayArrayInTable(SourceData_Poultry.SourceData_Poultry_DietProperties_Data(), Table_SourceData_Poultry_DietProperties[[#Headers],[Nutrient analysis]], 0)</f>
        <v>0.35</v>
      </c>
      <c r="F12" s="37" cm="1">
        <f t="array" ref="F12">Common_InputFunctions.Utility_DisplayArrayInTable(SourceData_Poultry.SourceData_Poultry_DietProperties_Data(), Table_SourceData_Poultry_DietProperties[[#Headers],[Nutrient analysis]], 0)</f>
        <v>0.47</v>
      </c>
      <c r="G12" s="37" cm="1">
        <f t="array" ref="G12">Common_InputFunctions.Utility_DisplayArrayInTable(SourceData_Poultry.SourceData_Poultry_DietProperties_Data(), Table_SourceData_Poultry_DietProperties[[#Headers],[Nutrient analysis]], 0)</f>
        <v>0.32</v>
      </c>
      <c r="H12" s="37" cm="1">
        <f t="array" ref="H12">Common_InputFunctions.Utility_DisplayArrayInTable(SourceData_Poultry.SourceData_Poultry_DietProperties_Data(), Table_SourceData_Poultry_DietProperties[[#Headers],[Nutrient analysis]], 0)</f>
        <v>0.47</v>
      </c>
      <c r="M12" s="1"/>
    </row>
    <row r="13" spans="1:21" ht="20.100000000000001" customHeight="1" x14ac:dyDescent="0.25">
      <c r="A13" s="17" t="str">
        <f>HYPERLINK("#'4.5.1.5-6 Atmos Dep'!A1", "4.5.1.5-6 Soil atm. deposition")</f>
        <v>4.5.1.5-6 Soil atm. deposition</v>
      </c>
      <c r="D13" s="1" t="str" cm="1">
        <f t="array" ref="D13">Common_InputFunctions.Utility_DisplayArrayInTable(SourceData_Poultry.SourceData_Poultry_DietProperties_Data(), Table_SourceData_Poultry_DietProperties[[#Headers],[Nutrient analysis]], 0)</f>
        <v>Manure ash</v>
      </c>
      <c r="E13" s="37" cm="1">
        <f t="array" ref="E13">Common_InputFunctions.Utility_DisplayArrayInTable(SourceData_Poultry.SourceData_Poultry_DietProperties_Data(), Table_SourceData_Poultry_DietProperties[[#Headers],[Nutrient analysis]], 0)</f>
        <v>0.18</v>
      </c>
      <c r="F13" s="37" cm="1">
        <f t="array" ref="F13">Common_InputFunctions.Utility_DisplayArrayInTable(SourceData_Poultry.SourceData_Poultry_DietProperties_Data(), Table_SourceData_Poultry_DietProperties[[#Headers],[Nutrient analysis]], 0)</f>
        <v>0.15</v>
      </c>
      <c r="G13" s="37" cm="1">
        <f t="array" ref="G13">Common_InputFunctions.Utility_DisplayArrayInTable(SourceData_Poultry.SourceData_Poultry_DietProperties_Data(), Table_SourceData_Poultry_DietProperties[[#Headers],[Nutrient analysis]], 0)</f>
        <v>0.18</v>
      </c>
      <c r="H13" s="37" cm="1">
        <f t="array" ref="H13">Common_InputFunctions.Utility_DisplayArrayInTable(SourceData_Poultry.SourceData_Poultry_DietProperties_Data(), Table_SourceData_Poultry_DietProperties[[#Headers],[Nutrient analysis]], 0)</f>
        <v>0.15</v>
      </c>
      <c r="M13" s="1"/>
    </row>
    <row r="14" spans="1:21" ht="20.100000000000001" customHeight="1" x14ac:dyDescent="0.25">
      <c r="A14" s="17" t="str">
        <f>HYPERLINK("#'4.5.1.7-8 Leaching and runoff'!A1", "4.5.1.7-8 Leaching &amp; runoff")</f>
        <v>4.5.1.7-8 Leaching &amp; runoff</v>
      </c>
      <c r="M14" s="1"/>
    </row>
    <row r="15" spans="1:21" ht="20.100000000000001" customHeight="1" x14ac:dyDescent="0.25">
      <c r="A15" s="17" t="str">
        <f>HYPERLINK("#'4.5.1.9 Manure applied to soils'!A1", "4.5.1.9 Manure applied to soils")</f>
        <v>4.5.1.9 Manure applied to soils</v>
      </c>
      <c r="M15" s="1"/>
    </row>
    <row r="16" spans="1:21" ht="20.100000000000001" customHeight="1" x14ac:dyDescent="0.25">
      <c r="M16" s="1"/>
    </row>
    <row r="17" spans="1:13" ht="20.100000000000001" customHeight="1" x14ac:dyDescent="0.25">
      <c r="A17" s="18" t="s">
        <v>4</v>
      </c>
      <c r="D17" s="6" t="str" cm="1">
        <f t="array" ref="D17">SourceData_Poultry.SourceData_Poultry_MethaneEmissionsPotential_Title()</f>
        <v>Poultry - Methane emissions potential per class</v>
      </c>
      <c r="M17" s="1"/>
    </row>
    <row r="18" spans="1:13" ht="20.100000000000001" customHeight="1" x14ac:dyDescent="0.25">
      <c r="A18" s="135" t="str">
        <f>HYPERLINK("#'Constants - Swine'!A1", "Constants - Swine")</f>
        <v>Constants - Swine</v>
      </c>
      <c r="D18" s="5" t="str" cm="1">
        <f t="array" ref="D18">SourceData_Poultry.SourceData_Poultry_MethaneEmissionsPotential_Source()</f>
        <v>VEERG 2026: 4.6.2.3 CONSTANT: Poultry - Methane emissions potential per class</v>
      </c>
      <c r="M18" s="1"/>
    </row>
    <row r="19" spans="1:13" ht="20.100000000000001" customHeight="1" x14ac:dyDescent="0.25">
      <c r="A19" s="17" t="str">
        <f>HYPERLINK("#'Constants - Livestock'!A1", "Constants - Livestock")</f>
        <v>Constants - Livestock</v>
      </c>
      <c r="D19" s="37" t="s">
        <v>246</v>
      </c>
      <c r="E19" s="37" t="s">
        <v>247</v>
      </c>
      <c r="M19" s="1"/>
    </row>
    <row r="20" spans="1:13" ht="20.100000000000001" customHeight="1" x14ac:dyDescent="0.25">
      <c r="A20" s="17" t="str">
        <f>HYPERLINK("#'Constants - Common'!A1", "Constants - Common")</f>
        <v>Constants - Common</v>
      </c>
      <c r="D20" s="37" t="str" cm="1">
        <f t="array" ref="D20">Common_InputFunctions.Utility_DisplayArrayInTable(SourceData_Poultry.SourceData_Poultry_MethaneEmissionsPotential_Data(), Table_SourceData_Poultry_MethaneEmissionsPotential[[#Headers],[Poultry class]], 0)</f>
        <v>Layers</v>
      </c>
      <c r="E20" s="37" cm="1">
        <f t="array" ref="E20">Common_InputFunctions.Utility_DisplayArrayInTable(SourceData_Poultry.SourceData_Poultry_MethaneEmissionsPotential_Data(), Table_SourceData_Poultry_MethaneEmissionsPotential[[#Headers],[Poultry class]], 0)</f>
        <v>0.39</v>
      </c>
      <c r="M20" s="1"/>
    </row>
    <row r="21" spans="1:13" ht="20.100000000000001" customHeight="1" x14ac:dyDescent="0.25">
      <c r="A21" s="17" t="str">
        <f>HYPERLINK("#'Acknowledgements'!A1", "Acknowledgements")</f>
        <v>Acknowledgements</v>
      </c>
      <c r="D21" s="1" t="str" cm="1">
        <f t="array" ref="D21">Common_InputFunctions.Utility_DisplayArrayInTable(SourceData_Poultry.SourceData_Poultry_MethaneEmissionsPotential_Data(), Table_SourceData_Poultry_MethaneEmissionsPotential[[#Headers],[Poultry class]], 0)</f>
        <v>Meat chickens</v>
      </c>
      <c r="E21" s="37" cm="1">
        <f t="array" ref="E21">Common_InputFunctions.Utility_DisplayArrayInTable(SourceData_Poultry.SourceData_Poultry_MethaneEmissionsPotential_Data(), Table_SourceData_Poultry_MethaneEmissionsPotential[[#Headers],[Poultry class]], 0)</f>
        <v>0.36</v>
      </c>
      <c r="M21" s="1"/>
    </row>
    <row r="22" spans="1:13" ht="20.100000000000001" customHeight="1" x14ac:dyDescent="0.25">
      <c r="M22" s="1"/>
    </row>
    <row r="23" spans="1:13" ht="20.100000000000001" customHeight="1" x14ac:dyDescent="0.25">
      <c r="A23" s="17"/>
      <c r="M23" s="1"/>
    </row>
    <row r="24" spans="1:13" ht="20.100000000000001" customHeight="1" x14ac:dyDescent="0.25">
      <c r="A24" s="17"/>
      <c r="M24" s="1"/>
    </row>
    <row r="25" spans="1:13" ht="20.100000000000001" customHeight="1" x14ac:dyDescent="0.25">
      <c r="M25" s="1"/>
    </row>
    <row r="26" spans="1:13" ht="20.100000000000001" customHeight="1" x14ac:dyDescent="0.25">
      <c r="D26" s="6" t="s">
        <v>248</v>
      </c>
      <c r="G26" s="6" t="s">
        <v>249</v>
      </c>
      <c r="J26" s="6" t="s">
        <v>250</v>
      </c>
      <c r="M26" s="1"/>
    </row>
    <row r="27" spans="1:13" ht="20.100000000000001" customHeight="1" x14ac:dyDescent="0.25">
      <c r="M27" s="1"/>
    </row>
    <row r="28" spans="1:13" ht="20.100000000000001" customHeight="1" x14ac:dyDescent="0.25">
      <c r="D28" s="119" t="s">
        <v>67</v>
      </c>
      <c r="E28" s="37" t="s">
        <v>81</v>
      </c>
      <c r="G28" s="119" t="s">
        <v>67</v>
      </c>
      <c r="H28" s="37" t="s">
        <v>81</v>
      </c>
      <c r="J28" s="119" t="s">
        <v>67</v>
      </c>
      <c r="K28" s="37" t="s">
        <v>81</v>
      </c>
      <c r="M28" s="1"/>
    </row>
    <row r="29" spans="1:13" ht="20.100000000000001" customHeight="1" x14ac:dyDescent="0.25">
      <c r="D29" s="37" t="str">
        <f>'[1]Constants - Livestock'!$E$21</f>
        <v>Poultry manure with bedding</v>
      </c>
      <c r="E29" s="37" t="str">
        <f>'[1]Constants - Livestock'!$F$21</f>
        <v>Poultry manure with bedding (m=10)</v>
      </c>
      <c r="G29" s="37" t="str">
        <f>'[1]Constants - Livestock'!$E$21</f>
        <v>Poultry manure with bedding</v>
      </c>
      <c r="H29" s="37" t="str">
        <f>'[1]Constants - Livestock'!$F$21</f>
        <v>Poultry manure with bedding (m=10)</v>
      </c>
      <c r="J29" s="37" t="str">
        <f>'[1]Constants - Livestock'!$E$15</f>
        <v>Solid storage</v>
      </c>
      <c r="K29" s="37" t="str">
        <f>'[1]Constants - Livestock'!$F$15</f>
        <v>Solid storage (m=4)</v>
      </c>
      <c r="M29" s="1"/>
    </row>
    <row r="30" spans="1:13" ht="20.100000000000001" customHeight="1" x14ac:dyDescent="0.25">
      <c r="D30" s="37" t="str">
        <f>'[1]Constants - Livestock'!$E$23</f>
        <v>Belt manure removal</v>
      </c>
      <c r="E30" s="37" t="str">
        <f>'[1]Constants - Livestock'!$F$23</f>
        <v>Belt manure removal (m=11a)</v>
      </c>
      <c r="G30" s="37" t="str">
        <f>'[1]Constants - Livestock'!$E$23</f>
        <v>Belt manure removal</v>
      </c>
      <c r="H30" s="37" t="str">
        <f>'[1]Constants - Livestock'!$F$23</f>
        <v>Belt manure removal (m=11a)</v>
      </c>
      <c r="J30" s="37" t="str">
        <f>'[1]Constants - Livestock'!$E$17</f>
        <v>Composting (passive windrow)</v>
      </c>
      <c r="K30" s="37" t="str">
        <f>'[1]Constants - Livestock'!$F$17</f>
        <v>Composting (passive windrow) (m=6)</v>
      </c>
      <c r="M30" s="1"/>
    </row>
    <row r="31" spans="1:13" ht="20.100000000000001" customHeight="1" x14ac:dyDescent="0.25">
      <c r="D31" s="37" t="str">
        <f>'[1]Constants - Livestock'!$E$24</f>
        <v>Manure stored in house</v>
      </c>
      <c r="E31" s="37" t="str">
        <f>'[1]Constants - Livestock'!$F$24</f>
        <v>Manure stored in house (m=11b)</v>
      </c>
      <c r="G31" s="37" t="str">
        <f>'[1]Constants - Livestock'!$E$24</f>
        <v>Manure stored in house</v>
      </c>
      <c r="H31" s="37" t="str">
        <f>'[1]Constants - Livestock'!$F$24</f>
        <v>Manure stored in house (m=11b)</v>
      </c>
      <c r="J31" s="1" t="str">
        <f>'[1]Constants - Livestock'!$E$18</f>
        <v>Digester / covered lagoons</v>
      </c>
      <c r="K31" s="1" t="str">
        <f>'[1]Constants - Livestock'!$F$18</f>
        <v>Digester / covered lagoons (m=7)</v>
      </c>
      <c r="M31" s="1"/>
    </row>
    <row r="32" spans="1:13" ht="20.100000000000001" customHeight="1" x14ac:dyDescent="0.25">
      <c r="D32" s="37" t="str">
        <f>'[1]Constants - Livestock'!$E$27</f>
        <v>Pasture range and paddock</v>
      </c>
      <c r="E32" s="37" t="str">
        <f>'[1]Constants - Livestock'!$F$27</f>
        <v>Pasture range and paddock (m=14)</v>
      </c>
      <c r="G32" s="37" t="str">
        <f>'[1]Constants - Livestock'!$E$27</f>
        <v>Pasture range and paddock</v>
      </c>
      <c r="H32" s="37" t="str">
        <f>'[1]Constants - Livestock'!$F$27</f>
        <v>Pasture range and paddock (m=14)</v>
      </c>
      <c r="J32" s="37" t="str">
        <f>'[1]Constants - Livestock'!$E$25</f>
        <v>Direct processing</v>
      </c>
      <c r="K32" s="37" t="str">
        <f>'[1]Constants - Livestock'!$F$25</f>
        <v>Direct processing (m=12)</v>
      </c>
      <c r="M32" s="1"/>
    </row>
    <row r="33" spans="4:13" ht="20.100000000000001" customHeight="1" x14ac:dyDescent="0.25">
      <c r="D33" s="37" t="str">
        <f>'[1]Constants - Livestock'!$E$15</f>
        <v>Solid storage</v>
      </c>
      <c r="E33" s="37" t="str">
        <f>'[1]Constants - Livestock'!$F$15</f>
        <v>Solid storage (m=4)</v>
      </c>
      <c r="G33" s="1" t="s">
        <v>251</v>
      </c>
      <c r="H33" s="37" t="s">
        <v>251</v>
      </c>
      <c r="J33" s="37" t="str">
        <f>'[1]Constants - Livestock'!$E$26</f>
        <v>Direct application</v>
      </c>
      <c r="K33" s="37" t="str">
        <f>'[1]Constants - Livestock'!$F$26</f>
        <v>Direct application (m=13)</v>
      </c>
      <c r="M33" s="1"/>
    </row>
    <row r="34" spans="4:13" ht="20.100000000000001" customHeight="1" x14ac:dyDescent="0.25">
      <c r="D34" s="37" t="str">
        <f>'[1]Constants - Livestock'!$E$17</f>
        <v>Composting (passive windrow)</v>
      </c>
      <c r="E34" s="37" t="str">
        <f>'[1]Constants - Livestock'!$F$17</f>
        <v>Composting (passive windrow) (m=6)</v>
      </c>
      <c r="J34" s="1" t="s">
        <v>251</v>
      </c>
      <c r="K34" s="37" t="s">
        <v>251</v>
      </c>
      <c r="M34" s="1"/>
    </row>
    <row r="35" spans="4:13" ht="20.100000000000001" customHeight="1" x14ac:dyDescent="0.25">
      <c r="D35" s="1" t="str">
        <f>'[1]Constants - Livestock'!$E$18</f>
        <v>Digester / covered lagoons</v>
      </c>
      <c r="E35" s="1" t="str">
        <f>'[1]Constants - Livestock'!$F$18</f>
        <v>Digester / covered lagoons (m=7)</v>
      </c>
      <c r="M35" s="1"/>
    </row>
    <row r="36" spans="4:13" ht="20.100000000000001" customHeight="1" x14ac:dyDescent="0.25">
      <c r="D36" s="37" t="str">
        <f>'[1]Constants - Livestock'!$E$25</f>
        <v>Direct processing</v>
      </c>
      <c r="E36" s="37" t="str">
        <f>'[1]Constants - Livestock'!$F$25</f>
        <v>Direct processing (m=12)</v>
      </c>
      <c r="M36" s="1"/>
    </row>
    <row r="37" spans="4:13" ht="20.100000000000001" customHeight="1" x14ac:dyDescent="0.25">
      <c r="D37" s="37" t="str">
        <f>'[1]Constants - Livestock'!$E$26</f>
        <v>Direct application</v>
      </c>
      <c r="E37" s="37" t="str">
        <f>'[1]Constants - Livestock'!$F$26</f>
        <v>Direct application (m=13)</v>
      </c>
      <c r="M37" s="1"/>
    </row>
    <row r="38" spans="4:13" ht="20.100000000000001" customHeight="1" x14ac:dyDescent="0.25">
      <c r="D38" s="1" t="s">
        <v>251</v>
      </c>
      <c r="E38" s="37" t="s">
        <v>251</v>
      </c>
      <c r="M38" s="1"/>
    </row>
    <row r="39" spans="4:13" ht="20.100000000000001" customHeight="1" x14ac:dyDescent="0.25">
      <c r="M39" s="1"/>
    </row>
    <row r="40" spans="4:13" ht="20.100000000000001" customHeight="1" x14ac:dyDescent="0.25">
      <c r="M40" s="1"/>
    </row>
    <row r="41" spans="4:13" ht="20.100000000000001" customHeight="1" x14ac:dyDescent="0.25">
      <c r="M41" s="1"/>
    </row>
    <row r="42" spans="4:13" ht="20.100000000000001" customHeight="1" x14ac:dyDescent="0.25">
      <c r="D42" s="6" t="s">
        <v>252</v>
      </c>
      <c r="M42" s="1"/>
    </row>
    <row r="43" spans="4:13" ht="20.100000000000001" customHeight="1" x14ac:dyDescent="0.25">
      <c r="M43" s="1"/>
    </row>
    <row r="44" spans="4:13" ht="20.100000000000001" customHeight="1" x14ac:dyDescent="0.25">
      <c r="D44" s="37" t="s">
        <v>111</v>
      </c>
      <c r="M44" s="1"/>
    </row>
    <row r="45" spans="4:13" ht="20.100000000000001" customHeight="1" x14ac:dyDescent="0.25">
      <c r="D45" s="37" t="str" cm="1">
        <f t="array" ref="D45">Common_InputFunctions.Utility_DisplayArrayInTable(SourceData_Poultry.SourceData_Poultry_ProductionSystems_Data(), Table_SourceData_Poultry_ProductionSystems[[#Headers],[Production system]], 0)</f>
        <v>Free range</v>
      </c>
      <c r="M45" s="1"/>
    </row>
    <row r="46" spans="4:13" ht="20.100000000000001" customHeight="1" x14ac:dyDescent="0.25">
      <c r="D46" s="1" t="str" cm="1">
        <f t="array" ref="D46">Common_InputFunctions.Utility_DisplayArrayInTable(SourceData_Poultry.SourceData_Poultry_ProductionSystems_Data(), Table_SourceData_Poultry_ProductionSystems[[#Headers],[Production system]], 0)</f>
        <v>Barn</v>
      </c>
      <c r="M46" s="1"/>
    </row>
    <row r="47" spans="4:13" ht="20.100000000000001" customHeight="1" x14ac:dyDescent="0.25">
      <c r="D47" s="1" t="str" cm="1">
        <f t="array" ref="D47">Common_InputFunctions.Utility_DisplayArrayInTable(SourceData_Poultry.SourceData_Poultry_ProductionSystems_Data(), Table_SourceData_Poultry_ProductionSystems[[#Headers],[Production system]], 0)</f>
        <v>Cage</v>
      </c>
      <c r="M47" s="1"/>
    </row>
    <row r="48" spans="4:13" ht="20.100000000000001" customHeight="1" x14ac:dyDescent="0.25">
      <c r="M48" s="1"/>
    </row>
    <row r="49" spans="4:14" ht="20.100000000000001" customHeight="1" x14ac:dyDescent="0.25">
      <c r="M49" s="1"/>
    </row>
    <row r="50" spans="4:14" ht="20.100000000000001" customHeight="1" x14ac:dyDescent="0.25">
      <c r="M50" s="1"/>
    </row>
    <row r="51" spans="4:14" ht="20.100000000000001" customHeight="1" x14ac:dyDescent="0.25">
      <c r="D51" s="6" t="str" cm="1">
        <f t="array" ref="D51">SourceData_Poultry.SourceData_Poultry_MCF_Title()</f>
        <v>Poultry - MCFs</v>
      </c>
      <c r="M51" s="1"/>
    </row>
    <row r="52" spans="4:14" ht="20.100000000000001" customHeight="1" x14ac:dyDescent="0.25">
      <c r="D52" s="5" t="str" cm="1">
        <f t="array" ref="D52">SourceData_Poultry.SourceData_Poultry_MCF_Source()</f>
        <v>VEERG 2026: Table A.1.7.4: Poultry - MCFs</v>
      </c>
      <c r="M52" s="1"/>
    </row>
    <row r="53" spans="4:14" ht="20.100000000000001" customHeight="1" x14ac:dyDescent="0.25">
      <c r="D53" s="55" t="str" cm="1">
        <f t="array" ref="D53:D57">SourceData_Poultry.SourceData_Poultry_MCF_Variation()</f>
        <v>VARIATION ON SOURCE:</v>
      </c>
      <c r="M53" s="1"/>
    </row>
    <row r="54" spans="4:14" ht="20.100000000000001" customHeight="1" x14ac:dyDescent="0.25">
      <c r="D54" s="55" t="str">
        <v>Split NSW and ACT into separate states. Split QLD and NT into separate states.</v>
      </c>
      <c r="M54" s="1"/>
    </row>
    <row r="55" spans="4:14" ht="20.100000000000001" customHeight="1" x14ac:dyDescent="0.25">
      <c r="D55" s="55" t="str">
        <v>Included values for each state when 'All states' value is given.</v>
      </c>
      <c r="M55" s="1"/>
    </row>
    <row r="56" spans="4:14" ht="20.100000000000001" customHeight="1" x14ac:dyDescent="0.25">
      <c r="D56" s="55" t="str">
        <v>Added 'NIR definition' column with MMS names that match NIR definitions.</v>
      </c>
      <c r="M56" s="1"/>
    </row>
    <row r="57" spans="4:14" ht="20.100000000000001" customHeight="1" x14ac:dyDescent="0.25">
      <c r="D57" s="55" t="str">
        <v>Duplicated 'Poultry manure without litter' row for NIR MMS 'Belt manure removal' and 'Manure stored in house'</v>
      </c>
      <c r="M57" s="1"/>
    </row>
    <row r="58" spans="4:14" ht="20.100000000000001" customHeight="1" x14ac:dyDescent="0.25">
      <c r="M58" s="1"/>
    </row>
    <row r="59" spans="4:14" ht="20.100000000000001" customHeight="1" x14ac:dyDescent="0.25">
      <c r="D59" s="37" t="s">
        <v>253</v>
      </c>
      <c r="E59" s="37" t="s">
        <v>254</v>
      </c>
      <c r="F59" s="37" t="s">
        <v>83</v>
      </c>
      <c r="G59" s="37" t="s">
        <v>82</v>
      </c>
      <c r="H59" s="37" t="s">
        <v>85</v>
      </c>
      <c r="I59" s="37" t="s">
        <v>84</v>
      </c>
      <c r="J59" s="37" t="s">
        <v>88</v>
      </c>
      <c r="K59" s="37" t="s">
        <v>86</v>
      </c>
      <c r="L59" s="37" t="s">
        <v>89</v>
      </c>
      <c r="M59" s="37" t="s">
        <v>87</v>
      </c>
      <c r="N59" s="37" t="s">
        <v>137</v>
      </c>
    </row>
    <row r="60" spans="4:14" ht="20.100000000000001" customHeight="1" x14ac:dyDescent="0.25">
      <c r="D60" s="37" t="str" cm="1">
        <f t="array" ref="D60">Common_InputFunctions.Utility_DisplayArrayInTable(SourceData_Poultry.SourceData_Poultry_MCF_Data(), Table_SourceData_Poultry_MMSMCF[[#Headers],[MMS m]], 0)</f>
        <v>Poultry manure with litter</v>
      </c>
      <c r="E60" s="37" cm="1">
        <f t="array" ref="E60">Common_InputFunctions.Utility_DisplayArrayInTable(SourceData_Poultry.SourceData_Poultry_MCF_Data(), Table_SourceData_Poultry_MMSMCF[[#Headers],[MMS m]], 0)</f>
        <v>1.4999999999999999E-2</v>
      </c>
      <c r="F60" s="37" cm="1">
        <f t="array" ref="F60">Common_InputFunctions.Utility_DisplayArrayInTable(SourceData_Poultry.SourceData_Poultry_MCF_Data(), Table_SourceData_Poultry_MMSMCF[[#Headers],[MMS m]], 0)</f>
        <v>1.4999999999999999E-2</v>
      </c>
      <c r="G60" s="37" cm="1">
        <f t="array" ref="G60">Common_InputFunctions.Utility_DisplayArrayInTable(SourceData_Poultry.SourceData_Poultry_MCF_Data(), Table_SourceData_Poultry_MMSMCF[[#Headers],[MMS m]], 0)</f>
        <v>1.4999999999999999E-2</v>
      </c>
      <c r="H60" s="37" cm="1">
        <f t="array" ref="H60">Common_InputFunctions.Utility_DisplayArrayInTable(SourceData_Poultry.SourceData_Poultry_MCF_Data(), Table_SourceData_Poultry_MMSMCF[[#Headers],[MMS m]], 0)</f>
        <v>1.4999999999999999E-2</v>
      </c>
      <c r="I60" s="37" cm="1">
        <f t="array" ref="I60">Common_InputFunctions.Utility_DisplayArrayInTable(SourceData_Poultry.SourceData_Poultry_MCF_Data(), Table_SourceData_Poultry_MMSMCF[[#Headers],[MMS m]], 0)</f>
        <v>1.4999999999999999E-2</v>
      </c>
      <c r="J60" s="37" cm="1">
        <f t="array" ref="J60">Common_InputFunctions.Utility_DisplayArrayInTable(SourceData_Poultry.SourceData_Poultry_MCF_Data(), Table_SourceData_Poultry_MMSMCF[[#Headers],[MMS m]], 0)</f>
        <v>1.4999999999999999E-2</v>
      </c>
      <c r="K60" s="37" cm="1">
        <f t="array" ref="K60">Common_InputFunctions.Utility_DisplayArrayInTable(SourceData_Poultry.SourceData_Poultry_MCF_Data(), Table_SourceData_Poultry_MMSMCF[[#Headers],[MMS m]], 0)</f>
        <v>1.4999999999999999E-2</v>
      </c>
      <c r="L60" s="37" cm="1">
        <f t="array" ref="L60">Common_InputFunctions.Utility_DisplayArrayInTable(SourceData_Poultry.SourceData_Poultry_MCF_Data(), Table_SourceData_Poultry_MMSMCF[[#Headers],[MMS m]], 0)</f>
        <v>1.4999999999999999E-2</v>
      </c>
      <c r="M60" s="37" cm="1">
        <f t="array" ref="M60">Common_InputFunctions.Utility_DisplayArrayInTable(SourceData_Poultry.SourceData_Poultry_MCF_Data(), Table_SourceData_Poultry_MMSMCF[[#Headers],[MMS m]], 0)</f>
        <v>1.4999999999999999E-2</v>
      </c>
      <c r="N60" s="37" t="str" cm="1">
        <f t="array" ref="N60">Common_InputFunctions.Utility_DisplayArrayInTable(SourceData_Poultry.SourceData_Poultry_MCF_Data(), Table_SourceData_Poultry_MMSMCF[[#Headers],[MMS m]], 0)</f>
        <v>Poultry manure with bedding</v>
      </c>
    </row>
    <row r="61" spans="4:14" ht="20.100000000000001" customHeight="1" x14ac:dyDescent="0.25">
      <c r="D61" s="1" t="str" cm="1">
        <f t="array" ref="D61">Common_InputFunctions.Utility_DisplayArrayInTable(SourceData_Poultry.SourceData_Poultry_MCF_Data(), Table_SourceData_Poultry_MMSMCF[[#Headers],[MMS m]], 0)</f>
        <v>Poultry manure without litter</v>
      </c>
      <c r="E61" s="37" cm="1">
        <f t="array" ref="E61">Common_InputFunctions.Utility_DisplayArrayInTable(SourceData_Poultry.SourceData_Poultry_MCF_Data(), Table_SourceData_Poultry_MMSMCF[[#Headers],[MMS m]], 0)</f>
        <v>1.4999999999999999E-2</v>
      </c>
      <c r="F61" s="37" cm="1">
        <f t="array" ref="F61">Common_InputFunctions.Utility_DisplayArrayInTable(SourceData_Poultry.SourceData_Poultry_MCF_Data(), Table_SourceData_Poultry_MMSMCF[[#Headers],[MMS m]], 0)</f>
        <v>1.4999999999999999E-2</v>
      </c>
      <c r="G61" s="37" cm="1">
        <f t="array" ref="G61">Common_InputFunctions.Utility_DisplayArrayInTable(SourceData_Poultry.SourceData_Poultry_MCF_Data(), Table_SourceData_Poultry_MMSMCF[[#Headers],[MMS m]], 0)</f>
        <v>1.4999999999999999E-2</v>
      </c>
      <c r="H61" s="37" cm="1">
        <f t="array" ref="H61">Common_InputFunctions.Utility_DisplayArrayInTable(SourceData_Poultry.SourceData_Poultry_MCF_Data(), Table_SourceData_Poultry_MMSMCF[[#Headers],[MMS m]], 0)</f>
        <v>1.4999999999999999E-2</v>
      </c>
      <c r="I61" s="37" cm="1">
        <f t="array" ref="I61">Common_InputFunctions.Utility_DisplayArrayInTable(SourceData_Poultry.SourceData_Poultry_MCF_Data(), Table_SourceData_Poultry_MMSMCF[[#Headers],[MMS m]], 0)</f>
        <v>1.4999999999999999E-2</v>
      </c>
      <c r="J61" s="37" cm="1">
        <f t="array" ref="J61">Common_InputFunctions.Utility_DisplayArrayInTable(SourceData_Poultry.SourceData_Poultry_MCF_Data(), Table_SourceData_Poultry_MMSMCF[[#Headers],[MMS m]], 0)</f>
        <v>1.4999999999999999E-2</v>
      </c>
      <c r="K61" s="37" cm="1">
        <f t="array" ref="K61">Common_InputFunctions.Utility_DisplayArrayInTable(SourceData_Poultry.SourceData_Poultry_MCF_Data(), Table_SourceData_Poultry_MMSMCF[[#Headers],[MMS m]], 0)</f>
        <v>1.4999999999999999E-2</v>
      </c>
      <c r="L61" s="37" cm="1">
        <f t="array" ref="L61">Common_InputFunctions.Utility_DisplayArrayInTable(SourceData_Poultry.SourceData_Poultry_MCF_Data(), Table_SourceData_Poultry_MMSMCF[[#Headers],[MMS m]], 0)</f>
        <v>1.4999999999999999E-2</v>
      </c>
      <c r="M61" s="37" cm="1">
        <f t="array" ref="M61">Common_InputFunctions.Utility_DisplayArrayInTable(SourceData_Poultry.SourceData_Poultry_MCF_Data(), Table_SourceData_Poultry_MMSMCF[[#Headers],[MMS m]], 0)</f>
        <v>1.4999999999999999E-2</v>
      </c>
      <c r="N61" s="37" t="str" cm="1">
        <f t="array" ref="N61">Common_InputFunctions.Utility_DisplayArrayInTable(SourceData_Poultry.SourceData_Poultry_MCF_Data(), Table_SourceData_Poultry_MMSMCF[[#Headers],[MMS m]], 0)</f>
        <v>Belt manure removal</v>
      </c>
    </row>
    <row r="62" spans="4:14" ht="20.100000000000001" customHeight="1" x14ac:dyDescent="0.25">
      <c r="D62" s="1" t="str" cm="1">
        <f t="array" ref="D62">Common_InputFunctions.Utility_DisplayArrayInTable(SourceData_Poultry.SourceData_Poultry_MCF_Data(), Table_SourceData_Poultry_MMSMCF[[#Headers],[MMS m]], 0)</f>
        <v>Poultry manure without litter</v>
      </c>
      <c r="E62" s="37" cm="1">
        <f t="array" ref="E62">Common_InputFunctions.Utility_DisplayArrayInTable(SourceData_Poultry.SourceData_Poultry_MCF_Data(), Table_SourceData_Poultry_MMSMCF[[#Headers],[MMS m]], 0)</f>
        <v>1.4999999999999999E-2</v>
      </c>
      <c r="F62" s="37" cm="1">
        <f t="array" ref="F62">Common_InputFunctions.Utility_DisplayArrayInTable(SourceData_Poultry.SourceData_Poultry_MCF_Data(), Table_SourceData_Poultry_MMSMCF[[#Headers],[MMS m]], 0)</f>
        <v>1.4999999999999999E-2</v>
      </c>
      <c r="G62" s="37" cm="1">
        <f t="array" ref="G62">Common_InputFunctions.Utility_DisplayArrayInTable(SourceData_Poultry.SourceData_Poultry_MCF_Data(), Table_SourceData_Poultry_MMSMCF[[#Headers],[MMS m]], 0)</f>
        <v>1.4999999999999999E-2</v>
      </c>
      <c r="H62" s="37" cm="1">
        <f t="array" ref="H62">Common_InputFunctions.Utility_DisplayArrayInTable(SourceData_Poultry.SourceData_Poultry_MCF_Data(), Table_SourceData_Poultry_MMSMCF[[#Headers],[MMS m]], 0)</f>
        <v>1.4999999999999999E-2</v>
      </c>
      <c r="I62" s="37" cm="1">
        <f t="array" ref="I62">Common_InputFunctions.Utility_DisplayArrayInTable(SourceData_Poultry.SourceData_Poultry_MCF_Data(), Table_SourceData_Poultry_MMSMCF[[#Headers],[MMS m]], 0)</f>
        <v>1.4999999999999999E-2</v>
      </c>
      <c r="J62" s="37" cm="1">
        <f t="array" ref="J62">Common_InputFunctions.Utility_DisplayArrayInTable(SourceData_Poultry.SourceData_Poultry_MCF_Data(), Table_SourceData_Poultry_MMSMCF[[#Headers],[MMS m]], 0)</f>
        <v>1.4999999999999999E-2</v>
      </c>
      <c r="K62" s="37" cm="1">
        <f t="array" ref="K62">Common_InputFunctions.Utility_DisplayArrayInTable(SourceData_Poultry.SourceData_Poultry_MCF_Data(), Table_SourceData_Poultry_MMSMCF[[#Headers],[MMS m]], 0)</f>
        <v>1.4999999999999999E-2</v>
      </c>
      <c r="L62" s="37" cm="1">
        <f t="array" ref="L62">Common_InputFunctions.Utility_DisplayArrayInTable(SourceData_Poultry.SourceData_Poultry_MCF_Data(), Table_SourceData_Poultry_MMSMCF[[#Headers],[MMS m]], 0)</f>
        <v>1.4999999999999999E-2</v>
      </c>
      <c r="M62" s="37" cm="1">
        <f t="array" ref="M62">Common_InputFunctions.Utility_DisplayArrayInTable(SourceData_Poultry.SourceData_Poultry_MCF_Data(), Table_SourceData_Poultry_MMSMCF[[#Headers],[MMS m]], 0)</f>
        <v>1.4999999999999999E-2</v>
      </c>
      <c r="N62" s="37" t="str" cm="1">
        <f t="array" ref="N62">Common_InputFunctions.Utility_DisplayArrayInTable(SourceData_Poultry.SourceData_Poultry_MCF_Data(), Table_SourceData_Poultry_MMSMCF[[#Headers],[MMS m]], 0)</f>
        <v>Manure stored in house</v>
      </c>
    </row>
    <row r="63" spans="4:14" ht="20.100000000000001" customHeight="1" x14ac:dyDescent="0.25">
      <c r="D63" s="1" t="str" cm="1">
        <f t="array" ref="D63">Common_InputFunctions.Utility_DisplayArrayInTable(SourceData_Poultry.SourceData_Poultry_MCF_Data(), Table_SourceData_Poultry_MMSMCF[[#Headers],[MMS m]], 0)</f>
        <v>Pasture range and paddock</v>
      </c>
      <c r="E63" s="37" t="str" cm="1">
        <f t="array" ref="E63">Common_InputFunctions.Utility_DisplayArrayInTable(SourceData_Poultry.SourceData_Poultry_MCF_Data(), Table_SourceData_Poultry_MMSMCF[[#Headers],[MMS m]], 0)</f>
        <v>n/a</v>
      </c>
      <c r="F63" s="37" cm="1">
        <f t="array" ref="F63">Common_InputFunctions.Utility_DisplayArrayInTable(SourceData_Poultry.SourceData_Poultry_MCF_Data(), Table_SourceData_Poultry_MMSMCF[[#Headers],[MMS m]], 0)</f>
        <v>0.01</v>
      </c>
      <c r="G63" s="37" cm="1">
        <f t="array" ref="G63">Common_InputFunctions.Utility_DisplayArrayInTable(SourceData_Poultry.SourceData_Poultry_MCF_Data(), Table_SourceData_Poultry_MMSMCF[[#Headers],[MMS m]], 0)</f>
        <v>0.01</v>
      </c>
      <c r="H63" s="37" cm="1">
        <f t="array" ref="H63">Common_InputFunctions.Utility_DisplayArrayInTable(SourceData_Poultry.SourceData_Poultry_MCF_Data(), Table_SourceData_Poultry_MMSMCF[[#Headers],[MMS m]], 0)</f>
        <v>0.03</v>
      </c>
      <c r="I63" s="37" cm="1">
        <f t="array" ref="I63">Common_InputFunctions.Utility_DisplayArrayInTable(SourceData_Poultry.SourceData_Poultry_MCF_Data(), Table_SourceData_Poultry_MMSMCF[[#Headers],[MMS m]], 0)</f>
        <v>0.03</v>
      </c>
      <c r="J63" s="37" cm="1">
        <f t="array" ref="J63">Common_InputFunctions.Utility_DisplayArrayInTable(SourceData_Poultry.SourceData_Poultry_MCF_Data(), Table_SourceData_Poultry_MMSMCF[[#Headers],[MMS m]], 0)</f>
        <v>0.01</v>
      </c>
      <c r="K63" s="37" cm="1">
        <f t="array" ref="K63">Common_InputFunctions.Utility_DisplayArrayInTable(SourceData_Poultry.SourceData_Poultry_MCF_Data(), Table_SourceData_Poultry_MMSMCF[[#Headers],[MMS m]], 0)</f>
        <v>0.01</v>
      </c>
      <c r="L63" s="37" cm="1">
        <f t="array" ref="L63">Common_InputFunctions.Utility_DisplayArrayInTable(SourceData_Poultry.SourceData_Poultry_MCF_Data(), Table_SourceData_Poultry_MMSMCF[[#Headers],[MMS m]], 0)</f>
        <v>0.01</v>
      </c>
      <c r="M63" s="37" cm="1">
        <f t="array" ref="M63">Common_InputFunctions.Utility_DisplayArrayInTable(SourceData_Poultry.SourceData_Poultry_MCF_Data(), Table_SourceData_Poultry_MMSMCF[[#Headers],[MMS m]], 0)</f>
        <v>0.01</v>
      </c>
      <c r="N63" s="37" t="str" cm="1">
        <f t="array" ref="N63">Common_InputFunctions.Utility_DisplayArrayInTable(SourceData_Poultry.SourceData_Poultry_MCF_Data(), Table_SourceData_Poultry_MMSMCF[[#Headers],[MMS m]], 0)</f>
        <v>Pasture range and paddock</v>
      </c>
    </row>
    <row r="64" spans="4:14" ht="20.100000000000001" customHeight="1" x14ac:dyDescent="0.25">
      <c r="D64" s="1" t="str" cm="1">
        <f t="array" ref="D64">Common_InputFunctions.Utility_DisplayArrayInTable(SourceData_Poultry.SourceData_Poultry_MCF_Data(), Table_SourceData_Poultry_MMSMCF[[#Headers],[MMS m]], 0)</f>
        <v>Solid storage</v>
      </c>
      <c r="E64" s="37" cm="1">
        <f t="array" ref="E64">Common_InputFunctions.Utility_DisplayArrayInTable(SourceData_Poultry.SourceData_Poultry_MCF_Data(), Table_SourceData_Poultry_MMSMCF[[#Headers],[MMS m]], 0)</f>
        <v>0.02</v>
      </c>
      <c r="F64" s="37" cm="1">
        <f t="array" ref="F64">Common_InputFunctions.Utility_DisplayArrayInTable(SourceData_Poultry.SourceData_Poultry_MCF_Data(), Table_SourceData_Poultry_MMSMCF[[#Headers],[MMS m]], 0)</f>
        <v>0.02</v>
      </c>
      <c r="G64" s="37" cm="1">
        <f t="array" ref="G64">Common_InputFunctions.Utility_DisplayArrayInTable(SourceData_Poultry.SourceData_Poultry_MCF_Data(), Table_SourceData_Poultry_MMSMCF[[#Headers],[MMS m]], 0)</f>
        <v>0.02</v>
      </c>
      <c r="H64" s="37" cm="1">
        <f t="array" ref="H64">Common_InputFunctions.Utility_DisplayArrayInTable(SourceData_Poultry.SourceData_Poultry_MCF_Data(), Table_SourceData_Poultry_MMSMCF[[#Headers],[MMS m]], 0)</f>
        <v>0.02</v>
      </c>
      <c r="I64" s="37" cm="1">
        <f t="array" ref="I64">Common_InputFunctions.Utility_DisplayArrayInTable(SourceData_Poultry.SourceData_Poultry_MCF_Data(), Table_SourceData_Poultry_MMSMCF[[#Headers],[MMS m]], 0)</f>
        <v>0.02</v>
      </c>
      <c r="J64" s="37" cm="1">
        <f t="array" ref="J64">Common_InputFunctions.Utility_DisplayArrayInTable(SourceData_Poultry.SourceData_Poultry_MCF_Data(), Table_SourceData_Poultry_MMSMCF[[#Headers],[MMS m]], 0)</f>
        <v>0.02</v>
      </c>
      <c r="K64" s="37" cm="1">
        <f t="array" ref="K64">Common_InputFunctions.Utility_DisplayArrayInTable(SourceData_Poultry.SourceData_Poultry_MCF_Data(), Table_SourceData_Poultry_MMSMCF[[#Headers],[MMS m]], 0)</f>
        <v>0.02</v>
      </c>
      <c r="L64" s="37" cm="1">
        <f t="array" ref="L64">Common_InputFunctions.Utility_DisplayArrayInTable(SourceData_Poultry.SourceData_Poultry_MCF_Data(), Table_SourceData_Poultry_MMSMCF[[#Headers],[MMS m]], 0)</f>
        <v>0.02</v>
      </c>
      <c r="M64" s="37" cm="1">
        <f t="array" ref="M64">Common_InputFunctions.Utility_DisplayArrayInTable(SourceData_Poultry.SourceData_Poultry_MCF_Data(), Table_SourceData_Poultry_MMSMCF[[#Headers],[MMS m]], 0)</f>
        <v>0.02</v>
      </c>
      <c r="N64" s="37" t="str" cm="1">
        <f t="array" ref="N64">Common_InputFunctions.Utility_DisplayArrayInTable(SourceData_Poultry.SourceData_Poultry_MCF_Data(), Table_SourceData_Poultry_MMSMCF[[#Headers],[MMS m]], 0)</f>
        <v>Solid storage</v>
      </c>
    </row>
    <row r="65" spans="4:22" ht="20.100000000000001" customHeight="1" x14ac:dyDescent="0.25">
      <c r="D65" s="1" t="str" cm="1">
        <f t="array" ref="D65">Common_InputFunctions.Utility_DisplayArrayInTable(SourceData_Poultry.SourceData_Poultry_MCF_Data(), Table_SourceData_Poultry_MMSMCF[[#Headers],[MMS m]], 0)</f>
        <v>Composting (passive windrow)</v>
      </c>
      <c r="E65" s="37" t="str" cm="1">
        <f t="array" ref="E65">Common_InputFunctions.Utility_DisplayArrayInTable(SourceData_Poultry.SourceData_Poultry_MCF_Data(), Table_SourceData_Poultry_MMSMCF[[#Headers],[MMS m]], 0)</f>
        <v>n/a</v>
      </c>
      <c r="F65" s="37" cm="1">
        <f t="array" ref="F65">Common_InputFunctions.Utility_DisplayArrayInTable(SourceData_Poultry.SourceData_Poultry_MCF_Data(), Table_SourceData_Poultry_MMSMCF[[#Headers],[MMS m]], 0)</f>
        <v>0.01</v>
      </c>
      <c r="G65" s="37" cm="1">
        <f t="array" ref="G65">Common_InputFunctions.Utility_DisplayArrayInTable(SourceData_Poultry.SourceData_Poultry_MCF_Data(), Table_SourceData_Poultry_MMSMCF[[#Headers],[MMS m]], 0)</f>
        <v>0.01</v>
      </c>
      <c r="H65" s="37" cm="1">
        <f t="array" ref="H65">Common_InputFunctions.Utility_DisplayArrayInTable(SourceData_Poultry.SourceData_Poultry_MCF_Data(), Table_SourceData_Poultry_MMSMCF[[#Headers],[MMS m]], 0)</f>
        <v>0.01</v>
      </c>
      <c r="I65" s="37" cm="1">
        <f t="array" ref="I65">Common_InputFunctions.Utility_DisplayArrayInTable(SourceData_Poultry.SourceData_Poultry_MCF_Data(), Table_SourceData_Poultry_MMSMCF[[#Headers],[MMS m]], 0)</f>
        <v>0.01</v>
      </c>
      <c r="J65" s="37" cm="1">
        <f t="array" ref="J65">Common_InputFunctions.Utility_DisplayArrayInTable(SourceData_Poultry.SourceData_Poultry_MCF_Data(), Table_SourceData_Poultry_MMSMCF[[#Headers],[MMS m]], 0)</f>
        <v>0.01</v>
      </c>
      <c r="K65" s="37" cm="1">
        <f t="array" ref="K65">Common_InputFunctions.Utility_DisplayArrayInTable(SourceData_Poultry.SourceData_Poultry_MCF_Data(), Table_SourceData_Poultry_MMSMCF[[#Headers],[MMS m]], 0)</f>
        <v>0.01</v>
      </c>
      <c r="L65" s="37" cm="1">
        <f t="array" ref="L65">Common_InputFunctions.Utility_DisplayArrayInTable(SourceData_Poultry.SourceData_Poultry_MCF_Data(), Table_SourceData_Poultry_MMSMCF[[#Headers],[MMS m]], 0)</f>
        <v>0.01</v>
      </c>
      <c r="M65" s="37" cm="1">
        <f t="array" ref="M65">Common_InputFunctions.Utility_DisplayArrayInTable(SourceData_Poultry.SourceData_Poultry_MCF_Data(), Table_SourceData_Poultry_MMSMCF[[#Headers],[MMS m]], 0)</f>
        <v>5.0000000000000001E-3</v>
      </c>
      <c r="N65" s="37" t="str" cm="1">
        <f t="array" ref="N65">Common_InputFunctions.Utility_DisplayArrayInTable(SourceData_Poultry.SourceData_Poultry_MCF_Data(), Table_SourceData_Poultry_MMSMCF[[#Headers],[MMS m]], 0)</f>
        <v>Composting (passive windrow)</v>
      </c>
    </row>
    <row r="66" spans="4:22" ht="20.100000000000001" customHeight="1" x14ac:dyDescent="0.25">
      <c r="D66" s="1" t="str" cm="1">
        <f t="array" ref="D66">Common_InputFunctions.Utility_DisplayArrayInTable(SourceData_Poultry.SourceData_Poultry_MCF_Data(), Table_SourceData_Poultry_MMSMCF[[#Headers],[MMS m]], 0)</f>
        <v>Anaerobic digester / Covered pond</v>
      </c>
      <c r="E66" s="37" cm="1">
        <f t="array" ref="E66">Common_InputFunctions.Utility_DisplayArrayInTable(SourceData_Poultry.SourceData_Poultry_MCF_Data(), Table_SourceData_Poultry_MMSMCF[[#Headers],[MMS m]], 0)</f>
        <v>0.1</v>
      </c>
      <c r="F66" s="37" cm="1">
        <f t="array" ref="F66">Common_InputFunctions.Utility_DisplayArrayInTable(SourceData_Poultry.SourceData_Poultry_MCF_Data(), Table_SourceData_Poultry_MMSMCF[[#Headers],[MMS m]], 0)</f>
        <v>0.1</v>
      </c>
      <c r="G66" s="37" cm="1">
        <f t="array" ref="G66">Common_InputFunctions.Utility_DisplayArrayInTable(SourceData_Poultry.SourceData_Poultry_MCF_Data(), Table_SourceData_Poultry_MMSMCF[[#Headers],[MMS m]], 0)</f>
        <v>0.1</v>
      </c>
      <c r="H66" s="37" cm="1">
        <f t="array" ref="H66">Common_InputFunctions.Utility_DisplayArrayInTable(SourceData_Poultry.SourceData_Poultry_MCF_Data(), Table_SourceData_Poultry_MMSMCF[[#Headers],[MMS m]], 0)</f>
        <v>0.1</v>
      </c>
      <c r="I66" s="37" cm="1">
        <f t="array" ref="I66">Common_InputFunctions.Utility_DisplayArrayInTable(SourceData_Poultry.SourceData_Poultry_MCF_Data(), Table_SourceData_Poultry_MMSMCF[[#Headers],[MMS m]], 0)</f>
        <v>0.1</v>
      </c>
      <c r="J66" s="37" cm="1">
        <f t="array" ref="J66">Common_InputFunctions.Utility_DisplayArrayInTable(SourceData_Poultry.SourceData_Poultry_MCF_Data(), Table_SourceData_Poultry_MMSMCF[[#Headers],[MMS m]], 0)</f>
        <v>0.1</v>
      </c>
      <c r="K66" s="37" cm="1">
        <f t="array" ref="K66">Common_InputFunctions.Utility_DisplayArrayInTable(SourceData_Poultry.SourceData_Poultry_MCF_Data(), Table_SourceData_Poultry_MMSMCF[[#Headers],[MMS m]], 0)</f>
        <v>0.1</v>
      </c>
      <c r="L66" s="37" cm="1">
        <f t="array" ref="L66">Common_InputFunctions.Utility_DisplayArrayInTable(SourceData_Poultry.SourceData_Poultry_MCF_Data(), Table_SourceData_Poultry_MMSMCF[[#Headers],[MMS m]], 0)</f>
        <v>0.1</v>
      </c>
      <c r="M66" s="37" cm="1">
        <f t="array" ref="M66">Common_InputFunctions.Utility_DisplayArrayInTable(SourceData_Poultry.SourceData_Poultry_MCF_Data(), Table_SourceData_Poultry_MMSMCF[[#Headers],[MMS m]], 0)</f>
        <v>0.1</v>
      </c>
      <c r="N66" s="37" t="str" cm="1">
        <f t="array" ref="N66">Common_InputFunctions.Utility_DisplayArrayInTable(SourceData_Poultry.SourceData_Poultry_MCF_Data(), Table_SourceData_Poultry_MMSMCF[[#Headers],[MMS m]], 0)</f>
        <v>Digester / covered lagoons</v>
      </c>
    </row>
    <row r="67" spans="4:22" ht="20.100000000000001" customHeight="1" x14ac:dyDescent="0.25">
      <c r="D67" s="1" t="str" cm="1">
        <f t="array" ref="D67">Common_InputFunctions.Utility_DisplayArrayInTable(SourceData_Poultry.SourceData_Poultry_MCF_Data(), Table_SourceData_Poultry_MMSMCF[[#Headers],[MMS m]], 0)</f>
        <v>Direct processing</v>
      </c>
      <c r="E67" s="37" cm="1">
        <f t="array" ref="E67">Common_InputFunctions.Utility_DisplayArrayInTable(SourceData_Poultry.SourceData_Poultry_MCF_Data(), Table_SourceData_Poultry_MMSMCF[[#Headers],[MMS m]], 0)</f>
        <v>0</v>
      </c>
      <c r="F67" s="37" cm="1">
        <f t="array" ref="F67">Common_InputFunctions.Utility_DisplayArrayInTable(SourceData_Poultry.SourceData_Poultry_MCF_Data(), Table_SourceData_Poultry_MMSMCF[[#Headers],[MMS m]], 0)</f>
        <v>0</v>
      </c>
      <c r="G67" s="37" cm="1">
        <f t="array" ref="G67">Common_InputFunctions.Utility_DisplayArrayInTable(SourceData_Poultry.SourceData_Poultry_MCF_Data(), Table_SourceData_Poultry_MMSMCF[[#Headers],[MMS m]], 0)</f>
        <v>0</v>
      </c>
      <c r="H67" s="37" cm="1">
        <f t="array" ref="H67">Common_InputFunctions.Utility_DisplayArrayInTable(SourceData_Poultry.SourceData_Poultry_MCF_Data(), Table_SourceData_Poultry_MMSMCF[[#Headers],[MMS m]], 0)</f>
        <v>0</v>
      </c>
      <c r="I67" s="37" cm="1">
        <f t="array" ref="I67">Common_InputFunctions.Utility_DisplayArrayInTable(SourceData_Poultry.SourceData_Poultry_MCF_Data(), Table_SourceData_Poultry_MMSMCF[[#Headers],[MMS m]], 0)</f>
        <v>0</v>
      </c>
      <c r="J67" s="37" cm="1">
        <f t="array" ref="J67">Common_InputFunctions.Utility_DisplayArrayInTable(SourceData_Poultry.SourceData_Poultry_MCF_Data(), Table_SourceData_Poultry_MMSMCF[[#Headers],[MMS m]], 0)</f>
        <v>0</v>
      </c>
      <c r="K67" s="37" cm="1">
        <f t="array" ref="K67">Common_InputFunctions.Utility_DisplayArrayInTable(SourceData_Poultry.SourceData_Poultry_MCF_Data(), Table_SourceData_Poultry_MMSMCF[[#Headers],[MMS m]], 0)</f>
        <v>0</v>
      </c>
      <c r="L67" s="37" cm="1">
        <f t="array" ref="L67">Common_InputFunctions.Utility_DisplayArrayInTable(SourceData_Poultry.SourceData_Poultry_MCF_Data(), Table_SourceData_Poultry_MMSMCF[[#Headers],[MMS m]], 0)</f>
        <v>0</v>
      </c>
      <c r="M67" s="37" cm="1">
        <f t="array" ref="M67">Common_InputFunctions.Utility_DisplayArrayInTable(SourceData_Poultry.SourceData_Poultry_MCF_Data(), Table_SourceData_Poultry_MMSMCF[[#Headers],[MMS m]], 0)</f>
        <v>0</v>
      </c>
      <c r="N67" s="37" t="str" cm="1">
        <f t="array" ref="N67">Common_InputFunctions.Utility_DisplayArrayInTable(SourceData_Poultry.SourceData_Poultry_MCF_Data(), Table_SourceData_Poultry_MMSMCF[[#Headers],[MMS m]], 0)</f>
        <v>Direct processing</v>
      </c>
    </row>
    <row r="68" spans="4:22" ht="20.100000000000001" customHeight="1" x14ac:dyDescent="0.25">
      <c r="D68" s="1" t="str" cm="1">
        <f t="array" ref="D68">Common_InputFunctions.Utility_DisplayArrayInTable(SourceData_Poultry.SourceData_Poultry_MCF_Data(), Table_SourceData_Poultry_MMSMCF[[#Headers],[MMS m]], 0)</f>
        <v>Direct application to soil</v>
      </c>
      <c r="E68" s="37" cm="1">
        <f t="array" ref="E68">Common_InputFunctions.Utility_DisplayArrayInTable(SourceData_Poultry.SourceData_Poultry_MCF_Data(), Table_SourceData_Poultry_MMSMCF[[#Headers],[MMS m]], 0)</f>
        <v>0</v>
      </c>
      <c r="F68" s="37" cm="1">
        <f t="array" ref="F68">Common_InputFunctions.Utility_DisplayArrayInTable(SourceData_Poultry.SourceData_Poultry_MCF_Data(), Table_SourceData_Poultry_MMSMCF[[#Headers],[MMS m]], 0)</f>
        <v>0</v>
      </c>
      <c r="G68" s="37" cm="1">
        <f t="array" ref="G68">Common_InputFunctions.Utility_DisplayArrayInTable(SourceData_Poultry.SourceData_Poultry_MCF_Data(), Table_SourceData_Poultry_MMSMCF[[#Headers],[MMS m]], 0)</f>
        <v>0</v>
      </c>
      <c r="H68" s="37" cm="1">
        <f t="array" ref="H68">Common_InputFunctions.Utility_DisplayArrayInTable(SourceData_Poultry.SourceData_Poultry_MCF_Data(), Table_SourceData_Poultry_MMSMCF[[#Headers],[MMS m]], 0)</f>
        <v>0</v>
      </c>
      <c r="I68" s="37" cm="1">
        <f t="array" ref="I68">Common_InputFunctions.Utility_DisplayArrayInTable(SourceData_Poultry.SourceData_Poultry_MCF_Data(), Table_SourceData_Poultry_MMSMCF[[#Headers],[MMS m]], 0)</f>
        <v>0</v>
      </c>
      <c r="J68" s="37" cm="1">
        <f t="array" ref="J68">Common_InputFunctions.Utility_DisplayArrayInTable(SourceData_Poultry.SourceData_Poultry_MCF_Data(), Table_SourceData_Poultry_MMSMCF[[#Headers],[MMS m]], 0)</f>
        <v>0</v>
      </c>
      <c r="K68" s="37" cm="1">
        <f t="array" ref="K68">Common_InputFunctions.Utility_DisplayArrayInTable(SourceData_Poultry.SourceData_Poultry_MCF_Data(), Table_SourceData_Poultry_MMSMCF[[#Headers],[MMS m]], 0)</f>
        <v>0</v>
      </c>
      <c r="L68" s="37" cm="1">
        <f t="array" ref="L68">Common_InputFunctions.Utility_DisplayArrayInTable(SourceData_Poultry.SourceData_Poultry_MCF_Data(), Table_SourceData_Poultry_MMSMCF[[#Headers],[MMS m]], 0)</f>
        <v>0</v>
      </c>
      <c r="M68" s="37" cm="1">
        <f t="array" ref="M68">Common_InputFunctions.Utility_DisplayArrayInTable(SourceData_Poultry.SourceData_Poultry_MCF_Data(), Table_SourceData_Poultry_MMSMCF[[#Headers],[MMS m]], 0)</f>
        <v>0</v>
      </c>
      <c r="N68" s="37" t="str" cm="1">
        <f t="array" ref="N68">Common_InputFunctions.Utility_DisplayArrayInTable(SourceData_Poultry.SourceData_Poultry_MCF_Data(), Table_SourceData_Poultry_MMSMCF[[#Headers],[MMS m]], 0)</f>
        <v>Direct application</v>
      </c>
    </row>
    <row r="69" spans="4:22" ht="20.100000000000001" customHeight="1" x14ac:dyDescent="0.25">
      <c r="M69" s="1"/>
    </row>
    <row r="70" spans="4:22" ht="20.100000000000001" customHeight="1" x14ac:dyDescent="0.25">
      <c r="M70" s="1"/>
    </row>
    <row r="71" spans="4:22" ht="20.100000000000001" customHeight="1" x14ac:dyDescent="0.25">
      <c r="M71" s="1"/>
      <c r="V71" s="1"/>
    </row>
    <row r="72" spans="4:22" ht="20.100000000000001" customHeight="1" x14ac:dyDescent="0.25">
      <c r="D72" s="6" t="str" cm="1">
        <f t="array" ref="D72">SourceData_Poultry.SourceData_Poultry_VSL_Title()</f>
        <v>Poultry - Fraction of volatile solids lost in the primary MMS</v>
      </c>
      <c r="M72" s="1"/>
      <c r="V72" s="1"/>
    </row>
    <row r="73" spans="4:22" ht="20.100000000000001" customHeight="1" x14ac:dyDescent="0.25">
      <c r="D73" s="5" t="str" cm="1">
        <f t="array" ref="D73">SourceData_Poultry.SourceData_Poultry_VSL_Source()</f>
        <v>VEERG 2026: 4.6.2.3 CONSTANT</v>
      </c>
      <c r="M73" s="1"/>
      <c r="V73" s="1"/>
    </row>
    <row r="74" spans="4:22" ht="20.100000000000001" customHeight="1" x14ac:dyDescent="0.25">
      <c r="D74" s="55" t="str" cm="1">
        <f t="array" ref="D74">SourceData_Poultry.SourceData_Poultry_VSL_Variation()</f>
        <v>VARIATION ON SOURCE: Table generated from line items. Added 'NIR definition column'.</v>
      </c>
      <c r="M74" s="1"/>
      <c r="V74" s="1"/>
    </row>
    <row r="75" spans="4:22" ht="20.100000000000001" customHeight="1" x14ac:dyDescent="0.25">
      <c r="D75" s="107" t="s">
        <v>255</v>
      </c>
      <c r="M75" s="1"/>
      <c r="V75" s="1"/>
    </row>
    <row r="76" spans="4:22" ht="20.100000000000001" customHeight="1" x14ac:dyDescent="0.25">
      <c r="D76" s="37" t="s">
        <v>67</v>
      </c>
      <c r="E76" s="37" t="s">
        <v>138</v>
      </c>
      <c r="F76" s="37" t="s">
        <v>137</v>
      </c>
      <c r="M76" s="1"/>
      <c r="V76" s="1"/>
    </row>
    <row r="77" spans="4:22" ht="20.100000000000001" customHeight="1" x14ac:dyDescent="0.25">
      <c r="D77" s="37" t="str" cm="1">
        <f t="array" ref="D77">Common_InputFunctions.Utility_DisplayArrayInTable(SourceData_Poultry.SourceData_Poultry_VSL_Data(), Table_SourceData_Poultry_MMSVSL[[#Headers],[MMS]], 0)</f>
        <v>Poultry manure with litter</v>
      </c>
      <c r="E77" s="37" cm="1">
        <f t="array" ref="E77">Common_InputFunctions.Utility_DisplayArrayInTable(SourceData_Poultry.SourceData_Poultry_VSL_Data(), Table_SourceData_Poultry_MMSVSL[[#Headers],[MMS]], 0)</f>
        <v>0.15</v>
      </c>
      <c r="F77" s="37" t="str" cm="1">
        <f t="array" ref="F77">Common_InputFunctions.Utility_DisplayArrayInTable(SourceData_Poultry.SourceData_Poultry_VSL_Data(), Table_SourceData_Poultry_MMSVSL[[#Headers],[MMS]], 0)</f>
        <v>Poultry manure with bedding</v>
      </c>
      <c r="M77" s="1"/>
      <c r="V77" s="1"/>
    </row>
    <row r="78" spans="4:22" ht="20.100000000000001" customHeight="1" x14ac:dyDescent="0.25">
      <c r="D78" s="1" t="str" cm="1">
        <f t="array" ref="D78">Common_InputFunctions.Utility_DisplayArrayInTable(SourceData_Poultry.SourceData_Poultry_VSL_Data(), Table_SourceData_Poultry_MMSVSL[[#Headers],[MMS]], 0)</f>
        <v>Poultry manure without litter - stored in house</v>
      </c>
      <c r="E78" s="37" cm="1">
        <f t="array" ref="E78">Common_InputFunctions.Utility_DisplayArrayInTable(SourceData_Poultry.SourceData_Poultry_VSL_Data(), Table_SourceData_Poultry_MMSVSL[[#Headers],[MMS]], 0)</f>
        <v>0.2</v>
      </c>
      <c r="F78" s="37" t="str" cm="1">
        <f t="array" ref="F78">Common_InputFunctions.Utility_DisplayArrayInTable(SourceData_Poultry.SourceData_Poultry_VSL_Data(), Table_SourceData_Poultry_MMSVSL[[#Headers],[MMS]], 0)</f>
        <v>Manure stored in house</v>
      </c>
      <c r="M78" s="1"/>
      <c r="V78" s="1"/>
    </row>
    <row r="79" spans="4:22" ht="20.100000000000001" customHeight="1" x14ac:dyDescent="0.25">
      <c r="D79" s="1" t="str" cm="1">
        <f t="array" ref="D79">Common_InputFunctions.Utility_DisplayArrayInTable(SourceData_Poultry.SourceData_Poultry_VSL_Data(), Table_SourceData_Poultry_MMSVSL[[#Headers],[MMS]], 0)</f>
        <v>Poultry manure without litter - belt removal</v>
      </c>
      <c r="E79" s="37" cm="1">
        <f t="array" ref="E79">Common_InputFunctions.Utility_DisplayArrayInTable(SourceData_Poultry.SourceData_Poultry_VSL_Data(), Table_SourceData_Poultry_MMSVSL[[#Headers],[MMS]], 0)</f>
        <v>0</v>
      </c>
      <c r="F79" s="37" t="str" cm="1">
        <f t="array" ref="F79">Common_InputFunctions.Utility_DisplayArrayInTable(SourceData_Poultry.SourceData_Poultry_VSL_Data(), Table_SourceData_Poultry_MMSVSL[[#Headers],[MMS]], 0)</f>
        <v>Belt manure removal</v>
      </c>
      <c r="M79" s="1"/>
      <c r="V79" s="1"/>
    </row>
    <row r="80" spans="4:22" ht="20.100000000000001" customHeight="1" x14ac:dyDescent="0.25">
      <c r="M80" s="1"/>
      <c r="V80" s="1"/>
    </row>
    <row r="81" spans="13:23" ht="20.100000000000001" customHeight="1" x14ac:dyDescent="0.25">
      <c r="M81" s="1"/>
      <c r="V81" s="1"/>
    </row>
    <row r="82" spans="13:23" ht="20.100000000000001" customHeight="1" x14ac:dyDescent="0.25">
      <c r="M82" s="1"/>
      <c r="V82" s="1"/>
    </row>
    <row r="83" spans="13:23" ht="20.100000000000001" customHeight="1" x14ac:dyDescent="0.25">
      <c r="M83" s="1"/>
    </row>
    <row r="84" spans="13:23" ht="20.100000000000001" customHeight="1" x14ac:dyDescent="0.25">
      <c r="M84" s="1"/>
    </row>
    <row r="85" spans="13:23" ht="20.100000000000001" customHeight="1" x14ac:dyDescent="0.25">
      <c r="M85" s="1"/>
      <c r="V85" s="1"/>
    </row>
    <row r="86" spans="13:23" ht="20.100000000000001" customHeight="1" x14ac:dyDescent="0.25">
      <c r="M86" s="1"/>
      <c r="V86" s="1"/>
    </row>
    <row r="87" spans="13:23" ht="20.100000000000001" customHeight="1" x14ac:dyDescent="0.25">
      <c r="M87" s="1"/>
      <c r="V87" s="1"/>
    </row>
    <row r="88" spans="13:23" ht="20.100000000000001" customHeight="1" x14ac:dyDescent="0.25">
      <c r="M88" s="1"/>
      <c r="V88" s="1"/>
    </row>
    <row r="89" spans="13:23" ht="20.100000000000001" customHeight="1" x14ac:dyDescent="0.25">
      <c r="M89" s="1"/>
      <c r="V89" s="1"/>
      <c r="W89" s="1"/>
    </row>
    <row r="90" spans="13:23" ht="20.100000000000001" customHeight="1" x14ac:dyDescent="0.25">
      <c r="M90" s="1"/>
      <c r="V90" s="1"/>
      <c r="W90" s="1"/>
    </row>
    <row r="91" spans="13:23" ht="20.100000000000001" customHeight="1" x14ac:dyDescent="0.25">
      <c r="M91" s="1"/>
      <c r="V91" s="1"/>
    </row>
    <row r="92" spans="13:23" ht="20.100000000000001" customHeight="1" x14ac:dyDescent="0.25">
      <c r="M92" s="1"/>
      <c r="V92" s="1"/>
    </row>
    <row r="93" spans="13:23" ht="20.100000000000001" customHeight="1" x14ac:dyDescent="0.25">
      <c r="M93" s="1"/>
      <c r="V93" s="1"/>
    </row>
    <row r="94" spans="13:23" ht="20.100000000000001" customHeight="1" x14ac:dyDescent="0.25">
      <c r="M94" s="1"/>
    </row>
    <row r="95" spans="13:23" ht="20.100000000000001" customHeight="1" x14ac:dyDescent="0.25">
      <c r="M95" s="1"/>
    </row>
    <row r="96" spans="13:23" ht="20.100000000000001" customHeight="1" x14ac:dyDescent="0.25">
      <c r="M96" s="1"/>
    </row>
    <row r="97" spans="13:13" ht="20.100000000000001" customHeight="1" x14ac:dyDescent="0.25">
      <c r="M97" s="1"/>
    </row>
    <row r="98" spans="13:13" ht="20.100000000000001" customHeight="1" x14ac:dyDescent="0.25">
      <c r="M98" s="1"/>
    </row>
    <row r="99" spans="13:13" ht="20.100000000000001" customHeight="1" x14ac:dyDescent="0.25">
      <c r="M99" s="1"/>
    </row>
    <row r="100" spans="13:13" ht="20.100000000000001" customHeight="1" x14ac:dyDescent="0.25">
      <c r="M100" s="1"/>
    </row>
    <row r="101" spans="13:13" ht="20.100000000000001" customHeight="1" x14ac:dyDescent="0.25">
      <c r="M101" s="1"/>
    </row>
    <row r="102" spans="13:13" ht="20.100000000000001" customHeight="1" x14ac:dyDescent="0.25">
      <c r="M102" s="1"/>
    </row>
    <row r="103" spans="13:13" ht="20.100000000000001" customHeight="1" x14ac:dyDescent="0.25">
      <c r="M103" s="1"/>
    </row>
    <row r="104" spans="13:13" ht="20.100000000000001" customHeight="1" x14ac:dyDescent="0.25">
      <c r="M104" s="1"/>
    </row>
    <row r="105" spans="13:13" ht="20.100000000000001" customHeight="1" x14ac:dyDescent="0.25">
      <c r="M105" s="1"/>
    </row>
    <row r="106" spans="13:13" ht="20.100000000000001" customHeight="1" x14ac:dyDescent="0.25">
      <c r="M106" s="1"/>
    </row>
    <row r="107" spans="13:13" ht="20.100000000000001" customHeight="1" x14ac:dyDescent="0.25">
      <c r="M107" s="1"/>
    </row>
    <row r="108" spans="13:13" ht="20.100000000000001" customHeight="1" x14ac:dyDescent="0.25">
      <c r="M108" s="1"/>
    </row>
    <row r="109" spans="13:13" ht="20.100000000000001" customHeight="1" x14ac:dyDescent="0.25">
      <c r="M109" s="1"/>
    </row>
    <row r="110" spans="13:13" ht="20.100000000000001" customHeight="1" x14ac:dyDescent="0.25">
      <c r="M110" s="1"/>
    </row>
    <row r="111" spans="13:13" ht="20.100000000000001" customHeight="1" x14ac:dyDescent="0.25">
      <c r="M111" s="1"/>
    </row>
    <row r="112" spans="13:13" ht="20.100000000000001" customHeight="1" x14ac:dyDescent="0.25">
      <c r="M112" s="1"/>
    </row>
    <row r="113" spans="13:22" ht="20.100000000000001" customHeight="1" x14ac:dyDescent="0.25">
      <c r="M113" s="1"/>
    </row>
    <row r="114" spans="13:22" ht="20.100000000000001" customHeight="1" x14ac:dyDescent="0.25">
      <c r="M114" s="1"/>
    </row>
    <row r="115" spans="13:22" ht="20.100000000000001" customHeight="1" x14ac:dyDescent="0.25">
      <c r="M115" s="1"/>
      <c r="V115" s="1"/>
    </row>
    <row r="116" spans="13:22" ht="20.100000000000001" customHeight="1" x14ac:dyDescent="0.25">
      <c r="M116" s="1"/>
      <c r="V116" s="1"/>
    </row>
    <row r="117" spans="13:22" ht="20.100000000000001" customHeight="1" x14ac:dyDescent="0.25">
      <c r="M117" s="1"/>
      <c r="V117" s="1"/>
    </row>
    <row r="118" spans="13:22" ht="20.100000000000001" customHeight="1" x14ac:dyDescent="0.25">
      <c r="M118" s="1"/>
    </row>
    <row r="119" spans="13:22" ht="20.100000000000001" customHeight="1" x14ac:dyDescent="0.25">
      <c r="M119" s="1"/>
    </row>
    <row r="120" spans="13:22" ht="20.100000000000001" customHeight="1" x14ac:dyDescent="0.25">
      <c r="M120" s="1"/>
    </row>
    <row r="121" spans="13:22" ht="20.100000000000001" customHeight="1" x14ac:dyDescent="0.25">
      <c r="M121" s="1"/>
    </row>
    <row r="122" spans="13:22" ht="20.100000000000001" customHeight="1" x14ac:dyDescent="0.25">
      <c r="M122" s="1"/>
    </row>
    <row r="123" spans="13:22" ht="20.100000000000001" customHeight="1" x14ac:dyDescent="0.25">
      <c r="M123" s="1"/>
    </row>
    <row r="124" spans="13:22" ht="20.100000000000001" customHeight="1" x14ac:dyDescent="0.25">
      <c r="M124" s="1"/>
    </row>
    <row r="125" spans="13:22" ht="20.100000000000001" customHeight="1" x14ac:dyDescent="0.25">
      <c r="M125" s="1"/>
      <c r="V125" s="1"/>
    </row>
    <row r="126" spans="13:22" ht="20.100000000000001" customHeight="1" x14ac:dyDescent="0.25">
      <c r="M126" s="1"/>
      <c r="V126" s="1"/>
    </row>
    <row r="127" spans="13:22" ht="20.100000000000001" customHeight="1" x14ac:dyDescent="0.25">
      <c r="M127" s="1"/>
      <c r="V127" s="1"/>
    </row>
    <row r="128" spans="13:22" ht="20.100000000000001" customHeight="1" x14ac:dyDescent="0.25">
      <c r="M128" s="1"/>
      <c r="V128" s="1"/>
    </row>
    <row r="129" spans="13:22" ht="20.100000000000001" customHeight="1" x14ac:dyDescent="0.25">
      <c r="M129" s="1"/>
      <c r="V129" s="1"/>
    </row>
    <row r="130" spans="13:22" ht="20.100000000000001" customHeight="1" x14ac:dyDescent="0.25">
      <c r="M130" s="1"/>
      <c r="V130" s="1"/>
    </row>
    <row r="131" spans="13:22" ht="20.100000000000001" customHeight="1" x14ac:dyDescent="0.25">
      <c r="M131" s="1"/>
    </row>
    <row r="132" spans="13:22" ht="20.100000000000001" customHeight="1" x14ac:dyDescent="0.25">
      <c r="M132" s="1"/>
    </row>
    <row r="133" spans="13:22" ht="20.100000000000001" customHeight="1" x14ac:dyDescent="0.25">
      <c r="M133" s="1"/>
    </row>
    <row r="134" spans="13:22" ht="20.100000000000001" customHeight="1" x14ac:dyDescent="0.25">
      <c r="M134" s="1"/>
    </row>
    <row r="135" spans="13:22" ht="20.100000000000001" customHeight="1" x14ac:dyDescent="0.25">
      <c r="M135" s="1"/>
    </row>
    <row r="136" spans="13:22" ht="20.100000000000001" customHeight="1" x14ac:dyDescent="0.25">
      <c r="M136" s="1"/>
    </row>
    <row r="137" spans="13:22" ht="20.100000000000001" customHeight="1" x14ac:dyDescent="0.25">
      <c r="M137" s="1"/>
    </row>
    <row r="138" spans="13:22" ht="20.100000000000001" customHeight="1" x14ac:dyDescent="0.25">
      <c r="M138" s="1"/>
    </row>
    <row r="139" spans="13:22" ht="20.100000000000001" customHeight="1" x14ac:dyDescent="0.25">
      <c r="M139" s="1"/>
    </row>
    <row r="140" spans="13:22" ht="20.100000000000001" customHeight="1" x14ac:dyDescent="0.25">
      <c r="M140" s="1"/>
    </row>
    <row r="141" spans="13:22" ht="20.100000000000001" customHeight="1" x14ac:dyDescent="0.25">
      <c r="M141" s="1"/>
    </row>
    <row r="142" spans="13:22" ht="20.100000000000001" customHeight="1" x14ac:dyDescent="0.25">
      <c r="M142" s="1"/>
    </row>
    <row r="143" spans="13:22" ht="20.100000000000001" customHeight="1" x14ac:dyDescent="0.25">
      <c r="M143" s="1"/>
    </row>
    <row r="144" spans="13:22" ht="20.100000000000001" customHeight="1" x14ac:dyDescent="0.25">
      <c r="M144" s="1"/>
    </row>
    <row r="145" spans="13:13" ht="20.100000000000001" customHeight="1" x14ac:dyDescent="0.25">
      <c r="M145" s="1"/>
    </row>
    <row r="146" spans="13:13" ht="20.100000000000001" customHeight="1" x14ac:dyDescent="0.25">
      <c r="M146" s="1"/>
    </row>
    <row r="147" spans="13:13" ht="20.100000000000001" customHeight="1" x14ac:dyDescent="0.25">
      <c r="M147" s="1"/>
    </row>
    <row r="148" spans="13:13" ht="20.100000000000001" customHeight="1" x14ac:dyDescent="0.25">
      <c r="M148" s="1"/>
    </row>
    <row r="149" spans="13:13" ht="20.100000000000001" customHeight="1" x14ac:dyDescent="0.25">
      <c r="M149" s="1"/>
    </row>
    <row r="150" spans="13:13" ht="20.100000000000001" customHeight="1" x14ac:dyDescent="0.25">
      <c r="M150" s="1"/>
    </row>
    <row r="151" spans="13:13" ht="20.100000000000001" customHeight="1" x14ac:dyDescent="0.25">
      <c r="M151" s="1"/>
    </row>
    <row r="152" spans="13:13" ht="20.100000000000001" customHeight="1" x14ac:dyDescent="0.25">
      <c r="M152" s="1"/>
    </row>
    <row r="153" spans="13:13" ht="20.100000000000001" customHeight="1" x14ac:dyDescent="0.25">
      <c r="M153" s="1"/>
    </row>
    <row r="154" spans="13:13" ht="20.100000000000001" customHeight="1" x14ac:dyDescent="0.25">
      <c r="M154" s="1"/>
    </row>
    <row r="155" spans="13:13" ht="20.100000000000001" customHeight="1" x14ac:dyDescent="0.25">
      <c r="M155" s="1"/>
    </row>
    <row r="156" spans="13:13" ht="20.100000000000001" customHeight="1" x14ac:dyDescent="0.25">
      <c r="M156" s="1"/>
    </row>
    <row r="157" spans="13:13" ht="20.100000000000001" customHeight="1" x14ac:dyDescent="0.25">
      <c r="M157" s="1"/>
    </row>
    <row r="158" spans="13:13" ht="20.100000000000001" customHeight="1" x14ac:dyDescent="0.25">
      <c r="M158" s="1"/>
    </row>
    <row r="159" spans="13:13" ht="20.100000000000001" customHeight="1" x14ac:dyDescent="0.25">
      <c r="M159" s="1"/>
    </row>
    <row r="160" spans="13:13" ht="20.100000000000001" customHeight="1" x14ac:dyDescent="0.25">
      <c r="M160" s="1"/>
    </row>
    <row r="161" spans="13:13" ht="20.100000000000001" customHeight="1" x14ac:dyDescent="0.25">
      <c r="M161" s="1"/>
    </row>
    <row r="162" spans="13:13" ht="20.100000000000001" customHeight="1" x14ac:dyDescent="0.25">
      <c r="M162" s="1"/>
    </row>
    <row r="163" spans="13:13" ht="20.100000000000001" customHeight="1" x14ac:dyDescent="0.25">
      <c r="M163" s="1"/>
    </row>
    <row r="164" spans="13:13" ht="20.100000000000001" customHeight="1" x14ac:dyDescent="0.25">
      <c r="M164" s="1"/>
    </row>
    <row r="165" spans="13:13" ht="20.100000000000001" customHeight="1" x14ac:dyDescent="0.25">
      <c r="M165" s="1"/>
    </row>
    <row r="166" spans="13:13" x14ac:dyDescent="0.25">
      <c r="M166" s="1"/>
    </row>
    <row r="167" spans="13:13" x14ac:dyDescent="0.25">
      <c r="M167" s="1"/>
    </row>
    <row r="168" spans="13:13" x14ac:dyDescent="0.25">
      <c r="M168" s="1"/>
    </row>
    <row r="169" spans="13:13" x14ac:dyDescent="0.25">
      <c r="M169" s="1"/>
    </row>
    <row r="170" spans="13:13" x14ac:dyDescent="0.25">
      <c r="M170" s="1"/>
    </row>
    <row r="171" spans="13:13" x14ac:dyDescent="0.25">
      <c r="M171" s="1"/>
    </row>
    <row r="172" spans="13:13" x14ac:dyDescent="0.25">
      <c r="M172" s="1"/>
    </row>
    <row r="173" spans="13:13" x14ac:dyDescent="0.25">
      <c r="M173" s="1"/>
    </row>
    <row r="174" spans="13:13" x14ac:dyDescent="0.25">
      <c r="M174" s="1"/>
    </row>
    <row r="175" spans="13:13" x14ac:dyDescent="0.25">
      <c r="M175" s="1"/>
    </row>
    <row r="176" spans="13:13" x14ac:dyDescent="0.25">
      <c r="M176" s="1"/>
    </row>
    <row r="177" spans="13:13" x14ac:dyDescent="0.25">
      <c r="M177" s="1"/>
    </row>
    <row r="178" spans="13:13" x14ac:dyDescent="0.25">
      <c r="M178" s="1"/>
    </row>
    <row r="179" spans="13:13" x14ac:dyDescent="0.25">
      <c r="M179" s="1"/>
    </row>
    <row r="180" spans="13:13" x14ac:dyDescent="0.25">
      <c r="M180" s="1"/>
    </row>
    <row r="181" spans="13:13" x14ac:dyDescent="0.25">
      <c r="M181" s="1"/>
    </row>
    <row r="182" spans="13:13" x14ac:dyDescent="0.25">
      <c r="M182" s="1"/>
    </row>
    <row r="183" spans="13:13" x14ac:dyDescent="0.25">
      <c r="M183" s="1"/>
    </row>
    <row r="184" spans="13:13" x14ac:dyDescent="0.25">
      <c r="M184" s="1"/>
    </row>
    <row r="185" spans="13:13" x14ac:dyDescent="0.25">
      <c r="M185" s="1"/>
    </row>
    <row r="186" spans="13:13" x14ac:dyDescent="0.25">
      <c r="M186" s="1"/>
    </row>
    <row r="187" spans="13:13" x14ac:dyDescent="0.25">
      <c r="M187" s="1"/>
    </row>
    <row r="188" spans="13:13" x14ac:dyDescent="0.25">
      <c r="M188" s="1"/>
    </row>
    <row r="189" spans="13:13" x14ac:dyDescent="0.25">
      <c r="M189" s="1"/>
    </row>
    <row r="190" spans="13:13" x14ac:dyDescent="0.25">
      <c r="M190" s="1"/>
    </row>
    <row r="191" spans="13:13" x14ac:dyDescent="0.25">
      <c r="M191" s="1"/>
    </row>
    <row r="192" spans="13:13" x14ac:dyDescent="0.25">
      <c r="M192" s="1"/>
    </row>
    <row r="193" spans="13:13" x14ac:dyDescent="0.25">
      <c r="M193" s="1"/>
    </row>
    <row r="194" spans="13:13" x14ac:dyDescent="0.25">
      <c r="M194" s="1"/>
    </row>
    <row r="195" spans="13:13" x14ac:dyDescent="0.25">
      <c r="M195" s="1"/>
    </row>
    <row r="196" spans="13:13" x14ac:dyDescent="0.25">
      <c r="M196" s="1"/>
    </row>
    <row r="197" spans="13:13" x14ac:dyDescent="0.25">
      <c r="M197" s="1"/>
    </row>
    <row r="198" spans="13:13" x14ac:dyDescent="0.25">
      <c r="M198" s="1"/>
    </row>
    <row r="199" spans="13:13" x14ac:dyDescent="0.25">
      <c r="M199" s="1"/>
    </row>
    <row r="200" spans="13:13" x14ac:dyDescent="0.25">
      <c r="M200" s="1"/>
    </row>
    <row r="201" spans="13:13" x14ac:dyDescent="0.25">
      <c r="M201" s="1"/>
    </row>
    <row r="202" spans="13:13" x14ac:dyDescent="0.25">
      <c r="M202" s="1"/>
    </row>
    <row r="203" spans="13:13" x14ac:dyDescent="0.25">
      <c r="M203" s="1"/>
    </row>
    <row r="204" spans="13:13" x14ac:dyDescent="0.25">
      <c r="M204" s="1"/>
    </row>
    <row r="205" spans="13:13" x14ac:dyDescent="0.25">
      <c r="M205" s="1"/>
    </row>
    <row r="206" spans="13:13" x14ac:dyDescent="0.25">
      <c r="M206" s="1"/>
    </row>
    <row r="207" spans="13:13" x14ac:dyDescent="0.25">
      <c r="M207" s="1"/>
    </row>
    <row r="208" spans="13:13" x14ac:dyDescent="0.25">
      <c r="M208" s="1"/>
    </row>
    <row r="209" spans="13:13" x14ac:dyDescent="0.25">
      <c r="M209" s="1"/>
    </row>
    <row r="210" spans="13:13" x14ac:dyDescent="0.25">
      <c r="M210" s="1"/>
    </row>
    <row r="211" spans="13:13" x14ac:dyDescent="0.25">
      <c r="M211" s="1"/>
    </row>
    <row r="212" spans="13:13" x14ac:dyDescent="0.25">
      <c r="M212" s="1"/>
    </row>
    <row r="213" spans="13:13" x14ac:dyDescent="0.25">
      <c r="M213" s="1"/>
    </row>
    <row r="214" spans="13:13" x14ac:dyDescent="0.25">
      <c r="M214" s="1"/>
    </row>
    <row r="215" spans="13:13" x14ac:dyDescent="0.25">
      <c r="M215" s="1"/>
    </row>
    <row r="216" spans="13:13" x14ac:dyDescent="0.25">
      <c r="M216" s="1"/>
    </row>
    <row r="217" spans="13:13" x14ac:dyDescent="0.25">
      <c r="M217" s="1"/>
    </row>
    <row r="218" spans="13:13" x14ac:dyDescent="0.25">
      <c r="M218" s="1"/>
    </row>
    <row r="219" spans="13:13" x14ac:dyDescent="0.25">
      <c r="M219" s="1"/>
    </row>
    <row r="220" spans="13:13" x14ac:dyDescent="0.25">
      <c r="M220" s="1"/>
    </row>
    <row r="221" spans="13:13" x14ac:dyDescent="0.25">
      <c r="M221" s="1"/>
    </row>
    <row r="222" spans="13:13" x14ac:dyDescent="0.25">
      <c r="M222" s="1"/>
    </row>
    <row r="223" spans="13:13" x14ac:dyDescent="0.25">
      <c r="M223" s="1"/>
    </row>
    <row r="224" spans="13:13" x14ac:dyDescent="0.25">
      <c r="M224" s="1"/>
    </row>
    <row r="225" spans="13:13" x14ac:dyDescent="0.25">
      <c r="M225" s="1"/>
    </row>
    <row r="226" spans="13:13" x14ac:dyDescent="0.25">
      <c r="M226" s="1"/>
    </row>
    <row r="227" spans="13:13" x14ac:dyDescent="0.25">
      <c r="M227" s="1"/>
    </row>
    <row r="228" spans="13:13" x14ac:dyDescent="0.25">
      <c r="M228" s="1"/>
    </row>
    <row r="229" spans="13:13" x14ac:dyDescent="0.25">
      <c r="M229" s="1"/>
    </row>
    <row r="230" spans="13:13" x14ac:dyDescent="0.25">
      <c r="M230" s="1"/>
    </row>
    <row r="231" spans="13:13" x14ac:dyDescent="0.25">
      <c r="M231" s="1"/>
    </row>
    <row r="232" spans="13:13" x14ac:dyDescent="0.25">
      <c r="M232" s="1"/>
    </row>
    <row r="233" spans="13:13" x14ac:dyDescent="0.25">
      <c r="M233" s="1"/>
    </row>
    <row r="234" spans="13:13" x14ac:dyDescent="0.25">
      <c r="M234" s="1"/>
    </row>
    <row r="235" spans="13:13" x14ac:dyDescent="0.25">
      <c r="M235" s="1"/>
    </row>
    <row r="236" spans="13:13" x14ac:dyDescent="0.25">
      <c r="M236" s="1"/>
    </row>
    <row r="237" spans="13:13" x14ac:dyDescent="0.25">
      <c r="M237" s="1"/>
    </row>
    <row r="238" spans="13:13" x14ac:dyDescent="0.25">
      <c r="M238" s="1"/>
    </row>
    <row r="239" spans="13:13" x14ac:dyDescent="0.25">
      <c r="M239" s="1"/>
    </row>
    <row r="240" spans="13:13" x14ac:dyDescent="0.25">
      <c r="M240" s="1"/>
    </row>
    <row r="241" spans="13:13" x14ac:dyDescent="0.25">
      <c r="M241" s="1"/>
    </row>
    <row r="242" spans="13:13" x14ac:dyDescent="0.25">
      <c r="M242" s="1"/>
    </row>
    <row r="243" spans="13:13" x14ac:dyDescent="0.25">
      <c r="M243" s="1"/>
    </row>
    <row r="244" spans="13:13" x14ac:dyDescent="0.25">
      <c r="M244" s="1"/>
    </row>
    <row r="245" spans="13:13" x14ac:dyDescent="0.25">
      <c r="M245" s="1"/>
    </row>
    <row r="246" spans="13:13" x14ac:dyDescent="0.25">
      <c r="M246" s="1"/>
    </row>
    <row r="247" spans="13:13" x14ac:dyDescent="0.25">
      <c r="M247" s="1"/>
    </row>
    <row r="248" spans="13:13" x14ac:dyDescent="0.25">
      <c r="M248" s="1"/>
    </row>
    <row r="249" spans="13:13" x14ac:dyDescent="0.25">
      <c r="M249" s="1"/>
    </row>
    <row r="250" spans="13:13" x14ac:dyDescent="0.25">
      <c r="M250" s="1"/>
    </row>
    <row r="251" spans="13:13" x14ac:dyDescent="0.25">
      <c r="M251" s="1"/>
    </row>
    <row r="252" spans="13:13" x14ac:dyDescent="0.25">
      <c r="M252" s="1"/>
    </row>
    <row r="253" spans="13:13" x14ac:dyDescent="0.25">
      <c r="M253" s="1"/>
    </row>
    <row r="254" spans="13:13" x14ac:dyDescent="0.25">
      <c r="M254" s="1"/>
    </row>
    <row r="255" spans="13:13" x14ac:dyDescent="0.25">
      <c r="M255" s="1"/>
    </row>
    <row r="256" spans="13:13" x14ac:dyDescent="0.25">
      <c r="M256" s="1"/>
    </row>
    <row r="257" spans="13:13" x14ac:dyDescent="0.25">
      <c r="M257" s="1"/>
    </row>
    <row r="258" spans="13:13" x14ac:dyDescent="0.25">
      <c r="M258" s="1"/>
    </row>
    <row r="259" spans="13:13" x14ac:dyDescent="0.25">
      <c r="M259" s="1"/>
    </row>
    <row r="260" spans="13:13" x14ac:dyDescent="0.25">
      <c r="M260" s="1"/>
    </row>
    <row r="261" spans="13:13" x14ac:dyDescent="0.25">
      <c r="M261" s="1"/>
    </row>
    <row r="262" spans="13:13" x14ac:dyDescent="0.25">
      <c r="M262" s="1"/>
    </row>
    <row r="263" spans="13:13" x14ac:dyDescent="0.25">
      <c r="M263" s="1"/>
    </row>
    <row r="264" spans="13:13" x14ac:dyDescent="0.25">
      <c r="M264" s="1"/>
    </row>
    <row r="265" spans="13:13" x14ac:dyDescent="0.25">
      <c r="M265" s="1"/>
    </row>
    <row r="266" spans="13:13" x14ac:dyDescent="0.25">
      <c r="M266" s="1"/>
    </row>
    <row r="267" spans="13:13" x14ac:dyDescent="0.25">
      <c r="M267" s="1"/>
    </row>
    <row r="268" spans="13:13" x14ac:dyDescent="0.25">
      <c r="M268" s="1"/>
    </row>
    <row r="269" spans="13:13" x14ac:dyDescent="0.25">
      <c r="M269" s="1"/>
    </row>
    <row r="270" spans="13:13" x14ac:dyDescent="0.25">
      <c r="M270" s="1"/>
    </row>
    <row r="271" spans="13:13" x14ac:dyDescent="0.25">
      <c r="M271" s="1"/>
    </row>
    <row r="272" spans="13:13" x14ac:dyDescent="0.25">
      <c r="M272" s="1"/>
    </row>
    <row r="273" spans="13:13" x14ac:dyDescent="0.25">
      <c r="M273" s="1"/>
    </row>
    <row r="274" spans="13:13" x14ac:dyDescent="0.25">
      <c r="M274" s="1"/>
    </row>
    <row r="275" spans="13:13" x14ac:dyDescent="0.25">
      <c r="M275" s="1"/>
    </row>
    <row r="276" spans="13:13" x14ac:dyDescent="0.25">
      <c r="M276" s="1"/>
    </row>
    <row r="277" spans="13:13" x14ac:dyDescent="0.25">
      <c r="M277" s="1"/>
    </row>
    <row r="278" spans="13:13" x14ac:dyDescent="0.25">
      <c r="M278" s="1"/>
    </row>
    <row r="279" spans="13:13" x14ac:dyDescent="0.25">
      <c r="M279" s="1"/>
    </row>
    <row r="280" spans="13:13" x14ac:dyDescent="0.25">
      <c r="M280" s="1"/>
    </row>
    <row r="281" spans="13:13" x14ac:dyDescent="0.25">
      <c r="M281" s="1"/>
    </row>
    <row r="282" spans="13:13" x14ac:dyDescent="0.25">
      <c r="M282" s="1"/>
    </row>
    <row r="283" spans="13:13" x14ac:dyDescent="0.25">
      <c r="M283" s="1"/>
    </row>
    <row r="284" spans="13:13" x14ac:dyDescent="0.25">
      <c r="M284" s="1"/>
    </row>
    <row r="285" spans="13:13" x14ac:dyDescent="0.25">
      <c r="M285" s="1"/>
    </row>
    <row r="286" spans="13:13" x14ac:dyDescent="0.25">
      <c r="M286" s="1"/>
    </row>
    <row r="287" spans="13:13" x14ac:dyDescent="0.25">
      <c r="M287" s="1"/>
    </row>
    <row r="288" spans="13:13" x14ac:dyDescent="0.25">
      <c r="M288" s="1"/>
    </row>
    <row r="289" spans="13:13" x14ac:dyDescent="0.25">
      <c r="M289" s="1"/>
    </row>
    <row r="290" spans="13:13" x14ac:dyDescent="0.25">
      <c r="M290" s="1"/>
    </row>
    <row r="291" spans="13:13" x14ac:dyDescent="0.25">
      <c r="M291" s="1"/>
    </row>
    <row r="292" spans="13:13" x14ac:dyDescent="0.25">
      <c r="M292" s="1"/>
    </row>
    <row r="293" spans="13:13" x14ac:dyDescent="0.25">
      <c r="M293" s="1"/>
    </row>
    <row r="294" spans="13:13" x14ac:dyDescent="0.25">
      <c r="M294" s="1"/>
    </row>
    <row r="295" spans="13:13" x14ac:dyDescent="0.25">
      <c r="M295" s="1"/>
    </row>
    <row r="296" spans="13:13" x14ac:dyDescent="0.25">
      <c r="M296" s="1"/>
    </row>
    <row r="297" spans="13:13" x14ac:dyDescent="0.25">
      <c r="M297" s="1"/>
    </row>
    <row r="298" spans="13:13" x14ac:dyDescent="0.25">
      <c r="M298" s="1"/>
    </row>
    <row r="299" spans="13:13" x14ac:dyDescent="0.25">
      <c r="M299" s="1"/>
    </row>
    <row r="300" spans="13:13" x14ac:dyDescent="0.25">
      <c r="M300" s="1"/>
    </row>
    <row r="301" spans="13:13" x14ac:dyDescent="0.25">
      <c r="M301" s="1"/>
    </row>
    <row r="302" spans="13:13" x14ac:dyDescent="0.25">
      <c r="M302" s="1"/>
    </row>
    <row r="303" spans="13:13" x14ac:dyDescent="0.25">
      <c r="M303" s="1"/>
    </row>
    <row r="304" spans="13:13" x14ac:dyDescent="0.25">
      <c r="M304" s="1"/>
    </row>
    <row r="305" spans="13:13" x14ac:dyDescent="0.25">
      <c r="M305" s="1"/>
    </row>
    <row r="306" spans="13:13" x14ac:dyDescent="0.25">
      <c r="M306" s="1"/>
    </row>
    <row r="307" spans="13:13" x14ac:dyDescent="0.25">
      <c r="M307" s="1"/>
    </row>
    <row r="308" spans="13:13" x14ac:dyDescent="0.25">
      <c r="M308" s="1"/>
    </row>
    <row r="309" spans="13:13" x14ac:dyDescent="0.25">
      <c r="M309" s="1"/>
    </row>
    <row r="310" spans="13:13" x14ac:dyDescent="0.25">
      <c r="M310" s="1"/>
    </row>
    <row r="311" spans="13:13" x14ac:dyDescent="0.25">
      <c r="M311" s="1"/>
    </row>
    <row r="312" spans="13:13" x14ac:dyDescent="0.25">
      <c r="M312" s="1"/>
    </row>
    <row r="313" spans="13:13" x14ac:dyDescent="0.25">
      <c r="M313" s="1"/>
    </row>
    <row r="314" spans="13:13" x14ac:dyDescent="0.25">
      <c r="M314" s="1"/>
    </row>
    <row r="315" spans="13:13" x14ac:dyDescent="0.25">
      <c r="M315" s="1"/>
    </row>
    <row r="316" spans="13:13" x14ac:dyDescent="0.25">
      <c r="M316" s="1"/>
    </row>
    <row r="317" spans="13:13" x14ac:dyDescent="0.25">
      <c r="M317" s="1"/>
    </row>
    <row r="318" spans="13:13" x14ac:dyDescent="0.25">
      <c r="M318" s="1"/>
    </row>
    <row r="319" spans="13:13" x14ac:dyDescent="0.25">
      <c r="M319" s="1"/>
    </row>
    <row r="320" spans="13:13" x14ac:dyDescent="0.25">
      <c r="M320" s="1"/>
    </row>
    <row r="321" spans="13:13" x14ac:dyDescent="0.25">
      <c r="M321" s="1"/>
    </row>
    <row r="322" spans="13:13" x14ac:dyDescent="0.25">
      <c r="M322" s="1"/>
    </row>
    <row r="323" spans="13:13" x14ac:dyDescent="0.25">
      <c r="M323" s="1"/>
    </row>
    <row r="324" spans="13:13" x14ac:dyDescent="0.25">
      <c r="M324" s="1"/>
    </row>
    <row r="325" spans="13:13" x14ac:dyDescent="0.25">
      <c r="M325" s="1"/>
    </row>
    <row r="326" spans="13:13" x14ac:dyDescent="0.25">
      <c r="M326" s="1"/>
    </row>
    <row r="327" spans="13:13" x14ac:dyDescent="0.25">
      <c r="M327" s="1"/>
    </row>
    <row r="328" spans="13:13" x14ac:dyDescent="0.25">
      <c r="M328" s="1"/>
    </row>
    <row r="329" spans="13:13" x14ac:dyDescent="0.25">
      <c r="M329" s="1"/>
    </row>
    <row r="330" spans="13:13" x14ac:dyDescent="0.25">
      <c r="M330" s="1"/>
    </row>
    <row r="331" spans="13:13" x14ac:dyDescent="0.25">
      <c r="M331" s="1"/>
    </row>
    <row r="332" spans="13:13" x14ac:dyDescent="0.25">
      <c r="M332" s="1"/>
    </row>
    <row r="333" spans="13:13" x14ac:dyDescent="0.25">
      <c r="M333" s="1"/>
    </row>
    <row r="334" spans="13:13" x14ac:dyDescent="0.25">
      <c r="M334" s="1"/>
    </row>
    <row r="335" spans="13:13" x14ac:dyDescent="0.25">
      <c r="M335" s="1"/>
    </row>
    <row r="336" spans="13:13" x14ac:dyDescent="0.25">
      <c r="M336" s="1"/>
    </row>
    <row r="337" spans="13:13" x14ac:dyDescent="0.25">
      <c r="M337" s="1"/>
    </row>
    <row r="338" spans="13:13" x14ac:dyDescent="0.25">
      <c r="M338" s="1"/>
    </row>
    <row r="339" spans="13:13" x14ac:dyDescent="0.25">
      <c r="M339" s="1"/>
    </row>
    <row r="340" spans="13:13" x14ac:dyDescent="0.25">
      <c r="M340" s="1"/>
    </row>
    <row r="341" spans="13:13" x14ac:dyDescent="0.25">
      <c r="M341" s="1"/>
    </row>
    <row r="342" spans="13:13" x14ac:dyDescent="0.25">
      <c r="M342" s="1"/>
    </row>
    <row r="343" spans="13:13" x14ac:dyDescent="0.25">
      <c r="M343" s="1"/>
    </row>
    <row r="344" spans="13:13" x14ac:dyDescent="0.25">
      <c r="M344" s="1"/>
    </row>
    <row r="345" spans="13:13" x14ac:dyDescent="0.25">
      <c r="M345" s="1"/>
    </row>
    <row r="346" spans="13:13" x14ac:dyDescent="0.25">
      <c r="M346" s="1"/>
    </row>
    <row r="347" spans="13:13" x14ac:dyDescent="0.25">
      <c r="M347" s="1"/>
    </row>
    <row r="348" spans="13:13" x14ac:dyDescent="0.25">
      <c r="M348" s="1"/>
    </row>
    <row r="349" spans="13:13" x14ac:dyDescent="0.25">
      <c r="M349" s="1"/>
    </row>
    <row r="350" spans="13:13" x14ac:dyDescent="0.25">
      <c r="M350" s="1"/>
    </row>
    <row r="351" spans="13:13" x14ac:dyDescent="0.25">
      <c r="M351" s="1"/>
    </row>
    <row r="352" spans="13:13" x14ac:dyDescent="0.25">
      <c r="M352" s="1"/>
    </row>
    <row r="353" spans="13:13" x14ac:dyDescent="0.25">
      <c r="M353" s="1"/>
    </row>
    <row r="354" spans="13:13" x14ac:dyDescent="0.25">
      <c r="M354" s="1"/>
    </row>
    <row r="355" spans="13:13" x14ac:dyDescent="0.25">
      <c r="M355" s="1"/>
    </row>
    <row r="356" spans="13:13" x14ac:dyDescent="0.25">
      <c r="M356" s="1"/>
    </row>
    <row r="357" spans="13:13" x14ac:dyDescent="0.25">
      <c r="M357" s="1"/>
    </row>
    <row r="358" spans="13:13" x14ac:dyDescent="0.25">
      <c r="M358" s="1"/>
    </row>
    <row r="359" spans="13:13" x14ac:dyDescent="0.25">
      <c r="M359" s="1"/>
    </row>
    <row r="360" spans="13:13" x14ac:dyDescent="0.25">
      <c r="M360" s="1"/>
    </row>
    <row r="361" spans="13:13" x14ac:dyDescent="0.25">
      <c r="M361" s="1"/>
    </row>
    <row r="362" spans="13:13" x14ac:dyDescent="0.25">
      <c r="M362" s="1"/>
    </row>
    <row r="363" spans="13:13" x14ac:dyDescent="0.25">
      <c r="M363" s="1"/>
    </row>
    <row r="364" spans="13:13" x14ac:dyDescent="0.25">
      <c r="M364" s="1"/>
    </row>
    <row r="365" spans="13:13" x14ac:dyDescent="0.25">
      <c r="M365" s="1"/>
    </row>
    <row r="366" spans="13:13" x14ac:dyDescent="0.25">
      <c r="M366" s="1"/>
    </row>
    <row r="367" spans="13:13" x14ac:dyDescent="0.25">
      <c r="M367" s="1"/>
    </row>
    <row r="368" spans="13:13" x14ac:dyDescent="0.25">
      <c r="M368" s="1"/>
    </row>
    <row r="369" spans="13:13" x14ac:dyDescent="0.25">
      <c r="M369" s="1"/>
    </row>
    <row r="370" spans="13:13" x14ac:dyDescent="0.25">
      <c r="M370" s="1"/>
    </row>
    <row r="371" spans="13:13" x14ac:dyDescent="0.25">
      <c r="M371" s="1"/>
    </row>
    <row r="372" spans="13:13" x14ac:dyDescent="0.25">
      <c r="M372" s="1"/>
    </row>
    <row r="373" spans="13:13" x14ac:dyDescent="0.25">
      <c r="M373" s="1"/>
    </row>
    <row r="374" spans="13:13" x14ac:dyDescent="0.25">
      <c r="M374" s="1"/>
    </row>
    <row r="375" spans="13:13" x14ac:dyDescent="0.25">
      <c r="M375" s="1"/>
    </row>
    <row r="376" spans="13:13" x14ac:dyDescent="0.25">
      <c r="M376" s="1"/>
    </row>
    <row r="377" spans="13:13" x14ac:dyDescent="0.25">
      <c r="M377" s="1"/>
    </row>
    <row r="378" spans="13:13" x14ac:dyDescent="0.25">
      <c r="M378" s="1"/>
    </row>
    <row r="379" spans="13:13" x14ac:dyDescent="0.25">
      <c r="M379" s="1"/>
    </row>
    <row r="380" spans="13:13" x14ac:dyDescent="0.25">
      <c r="M380" s="1"/>
    </row>
    <row r="381" spans="13:13" x14ac:dyDescent="0.25">
      <c r="M381" s="1"/>
    </row>
    <row r="382" spans="13:13" x14ac:dyDescent="0.25">
      <c r="M382" s="1"/>
    </row>
    <row r="383" spans="13:13" x14ac:dyDescent="0.25">
      <c r="M383" s="1"/>
    </row>
    <row r="384" spans="13:13" x14ac:dyDescent="0.25">
      <c r="M384" s="1"/>
    </row>
    <row r="385" spans="13:13" x14ac:dyDescent="0.25">
      <c r="M385" s="1"/>
    </row>
    <row r="386" spans="13:13" x14ac:dyDescent="0.25">
      <c r="M386" s="1"/>
    </row>
    <row r="387" spans="13:13" x14ac:dyDescent="0.25">
      <c r="M387" s="1"/>
    </row>
    <row r="388" spans="13:13" x14ac:dyDescent="0.25">
      <c r="M388" s="1"/>
    </row>
    <row r="389" spans="13:13" x14ac:dyDescent="0.25">
      <c r="M389" s="1"/>
    </row>
    <row r="390" spans="13:13" x14ac:dyDescent="0.25">
      <c r="M390" s="1"/>
    </row>
    <row r="391" spans="13:13" x14ac:dyDescent="0.25">
      <c r="M391" s="1"/>
    </row>
    <row r="392" spans="13:13" x14ac:dyDescent="0.25">
      <c r="M392" s="1"/>
    </row>
    <row r="393" spans="13:13" x14ac:dyDescent="0.25">
      <c r="M393" s="1"/>
    </row>
    <row r="394" spans="13:13" x14ac:dyDescent="0.25">
      <c r="M394" s="1"/>
    </row>
    <row r="395" spans="13:13" x14ac:dyDescent="0.25">
      <c r="M395" s="1"/>
    </row>
    <row r="396" spans="13:13" x14ac:dyDescent="0.25">
      <c r="M396" s="1"/>
    </row>
    <row r="397" spans="13:13" x14ac:dyDescent="0.25">
      <c r="M397" s="1"/>
    </row>
    <row r="398" spans="13:13" x14ac:dyDescent="0.25">
      <c r="M398" s="1"/>
    </row>
    <row r="399" spans="13:13" x14ac:dyDescent="0.25">
      <c r="M399" s="1"/>
    </row>
    <row r="400" spans="13:13" x14ac:dyDescent="0.25">
      <c r="M400" s="1"/>
    </row>
    <row r="401" spans="13:13" x14ac:dyDescent="0.25">
      <c r="M401" s="1"/>
    </row>
    <row r="402" spans="13:13" x14ac:dyDescent="0.25">
      <c r="M402" s="1"/>
    </row>
    <row r="403" spans="13:13" x14ac:dyDescent="0.25">
      <c r="M403" s="1"/>
    </row>
    <row r="404" spans="13:13" x14ac:dyDescent="0.25">
      <c r="M404" s="1"/>
    </row>
    <row r="405" spans="13:13" x14ac:dyDescent="0.25">
      <c r="M405" s="1"/>
    </row>
    <row r="406" spans="13:13" x14ac:dyDescent="0.25">
      <c r="M406" s="1"/>
    </row>
    <row r="407" spans="13:13" x14ac:dyDescent="0.25">
      <c r="M407" s="1"/>
    </row>
    <row r="408" spans="13:13" x14ac:dyDescent="0.25">
      <c r="M408" s="1"/>
    </row>
    <row r="409" spans="13:13" x14ac:dyDescent="0.25">
      <c r="M409" s="1"/>
    </row>
    <row r="410" spans="13:13" x14ac:dyDescent="0.25">
      <c r="M410" s="1"/>
    </row>
    <row r="411" spans="13:13" x14ac:dyDescent="0.25">
      <c r="M411" s="1"/>
    </row>
    <row r="412" spans="13:13" x14ac:dyDescent="0.25">
      <c r="M412" s="1"/>
    </row>
    <row r="413" spans="13:13" x14ac:dyDescent="0.25">
      <c r="M413" s="1"/>
    </row>
    <row r="414" spans="13:13" x14ac:dyDescent="0.25">
      <c r="M414" s="1"/>
    </row>
    <row r="415" spans="13:13" x14ac:dyDescent="0.25">
      <c r="M415" s="1"/>
    </row>
    <row r="416" spans="13:13" x14ac:dyDescent="0.25">
      <c r="M416" s="1"/>
    </row>
    <row r="417" spans="13:13" x14ac:dyDescent="0.25">
      <c r="M417" s="1"/>
    </row>
    <row r="418" spans="13:13" x14ac:dyDescent="0.25">
      <c r="M418" s="1"/>
    </row>
    <row r="419" spans="13:13" x14ac:dyDescent="0.25">
      <c r="M419" s="1"/>
    </row>
    <row r="420" spans="13:13" x14ac:dyDescent="0.25">
      <c r="M420" s="1"/>
    </row>
    <row r="421" spans="13:13" x14ac:dyDescent="0.25">
      <c r="M421" s="1"/>
    </row>
    <row r="422" spans="13:13" x14ac:dyDescent="0.25">
      <c r="M422" s="1"/>
    </row>
    <row r="423" spans="13:13" x14ac:dyDescent="0.25">
      <c r="M423" s="1"/>
    </row>
    <row r="424" spans="13:13" x14ac:dyDescent="0.25">
      <c r="M424" s="1"/>
    </row>
    <row r="425" spans="13:13" x14ac:dyDescent="0.25">
      <c r="M425" s="1"/>
    </row>
    <row r="426" spans="13:13" x14ac:dyDescent="0.25">
      <c r="M426" s="1"/>
    </row>
    <row r="427" spans="13:13" x14ac:dyDescent="0.25">
      <c r="M427" s="1"/>
    </row>
    <row r="428" spans="13:13" x14ac:dyDescent="0.25">
      <c r="M428" s="1"/>
    </row>
    <row r="429" spans="13:13" x14ac:dyDescent="0.25">
      <c r="M429" s="1"/>
    </row>
    <row r="430" spans="13:13" x14ac:dyDescent="0.25">
      <c r="M430" s="1"/>
    </row>
    <row r="431" spans="13:13" x14ac:dyDescent="0.25">
      <c r="M431" s="1"/>
    </row>
    <row r="432" spans="13:13" x14ac:dyDescent="0.25">
      <c r="M432" s="1"/>
    </row>
    <row r="433" spans="13:13" x14ac:dyDescent="0.25">
      <c r="M433" s="1"/>
    </row>
    <row r="434" spans="13:13" x14ac:dyDescent="0.25">
      <c r="M434" s="1"/>
    </row>
    <row r="435" spans="13:13" x14ac:dyDescent="0.25">
      <c r="M435" s="1"/>
    </row>
    <row r="436" spans="13:13" x14ac:dyDescent="0.25">
      <c r="M436" s="1"/>
    </row>
    <row r="437" spans="13:13" x14ac:dyDescent="0.25">
      <c r="M437" s="1"/>
    </row>
    <row r="438" spans="13:13" x14ac:dyDescent="0.25">
      <c r="M438" s="1"/>
    </row>
    <row r="439" spans="13:13" x14ac:dyDescent="0.25">
      <c r="M439" s="1"/>
    </row>
    <row r="440" spans="13:13" x14ac:dyDescent="0.25">
      <c r="M440" s="1"/>
    </row>
    <row r="441" spans="13:13" x14ac:dyDescent="0.25">
      <c r="M441" s="1"/>
    </row>
    <row r="442" spans="13:13" x14ac:dyDescent="0.25">
      <c r="M442" s="1"/>
    </row>
    <row r="443" spans="13:13" x14ac:dyDescent="0.25">
      <c r="M443" s="1"/>
    </row>
    <row r="444" spans="13:13" x14ac:dyDescent="0.25">
      <c r="M444" s="1"/>
    </row>
    <row r="445" spans="13:13" x14ac:dyDescent="0.25">
      <c r="M445" s="1"/>
    </row>
    <row r="446" spans="13:13" x14ac:dyDescent="0.25">
      <c r="M446" s="1"/>
    </row>
    <row r="447" spans="13:13" x14ac:dyDescent="0.25">
      <c r="M447" s="1"/>
    </row>
    <row r="448" spans="13:13" x14ac:dyDescent="0.25">
      <c r="M448" s="1"/>
    </row>
    <row r="449" spans="13:13" x14ac:dyDescent="0.25">
      <c r="M449" s="1"/>
    </row>
    <row r="450" spans="13:13" x14ac:dyDescent="0.25">
      <c r="M450" s="1"/>
    </row>
    <row r="451" spans="13:13" x14ac:dyDescent="0.25">
      <c r="M451" s="1"/>
    </row>
    <row r="452" spans="13:13" x14ac:dyDescent="0.25">
      <c r="M452" s="1"/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3E56-6FEA-4987-83A1-83553A1CECB6}">
  <dimension ref="A1:BX224"/>
  <sheetViews>
    <sheetView showGridLines="0" zoomScale="85" zoomScaleNormal="85" workbookViewId="0"/>
  </sheetViews>
  <sheetFormatPr defaultColWidth="9.140625" defaultRowHeight="15.75" x14ac:dyDescent="0.25"/>
  <cols>
    <col min="1" max="1" width="30.7109375" style="7" customWidth="1"/>
    <col min="2" max="2" width="2.7109375" style="7" customWidth="1"/>
    <col min="3" max="3" width="4.7109375" style="1" customWidth="1"/>
    <col min="4" max="4" width="48" style="1" customWidth="1"/>
    <col min="5" max="16" width="20.7109375" style="1" customWidth="1"/>
    <col min="17" max="17" width="17.28515625" style="1" customWidth="1"/>
    <col min="18" max="19" width="20.7109375" style="1" customWidth="1"/>
    <col min="20" max="20" width="4.7109375" style="1" customWidth="1"/>
    <col min="21" max="32" width="20.7109375" style="7" customWidth="1"/>
    <col min="33" max="38" width="21.85546875" style="7" customWidth="1"/>
    <col min="39" max="43" width="20.7109375" style="7" customWidth="1"/>
    <col min="44" max="64" width="9.140625" style="7"/>
    <col min="65" max="16384" width="9.140625" style="3"/>
  </cols>
  <sheetData>
    <row r="1" spans="1:64" s="8" customFormat="1" ht="30" customHeight="1" x14ac:dyDescent="0.35">
      <c r="A1" s="8" t="e" vm="1">
        <v>#VALUE!</v>
      </c>
      <c r="C1" s="8" t="s">
        <v>77</v>
      </c>
    </row>
    <row r="2" spans="1:64" s="9" customFormat="1" ht="20.100000000000001" customHeight="1" x14ac:dyDescent="0.25"/>
    <row r="3" spans="1:64" ht="20.100000000000001" customHeight="1" x14ac:dyDescent="0.25">
      <c r="A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</row>
    <row r="4" spans="1:64" ht="20.100000000000001" customHeight="1" x14ac:dyDescent="0.25">
      <c r="A4"/>
      <c r="BL4" s="3"/>
    </row>
    <row r="5" spans="1:64" ht="20.100000000000001" customHeight="1" x14ac:dyDescent="0.25">
      <c r="A5"/>
      <c r="D5" s="6" t="str" cm="1">
        <f t="array" ref="D5">Common_SourceData.Common_SourceData_AustralianStatesTerritories_Title()</f>
        <v>Australian states and territories</v>
      </c>
      <c r="BL5" s="3"/>
    </row>
    <row r="6" spans="1:64" ht="20.100000000000001" customHeight="1" x14ac:dyDescent="0.25">
      <c r="A6"/>
      <c r="D6" s="37" t="s">
        <v>21</v>
      </c>
      <c r="E6" s="37" t="s">
        <v>22</v>
      </c>
      <c r="F6" s="37" t="s">
        <v>23</v>
      </c>
    </row>
    <row r="7" spans="1:64" ht="20.100000000000001" customHeight="1" x14ac:dyDescent="0.25">
      <c r="A7"/>
      <c r="D7" s="37" t="str" cm="1">
        <f t="array" ref="D7">Common_InputFunctions.Utility_DisplayArrayInTable(Common_SourceData.Common_SourceData_AustralianStatesTerritories_Data(),Table_AustralianStates[[#Headers],[State/Territory]],0)</f>
        <v>New South Wales</v>
      </c>
      <c r="E7" s="37" t="str" cm="1">
        <f t="array" ref="E7">Common_InputFunctions.Utility_DisplayArrayInTable(Common_SourceData.Common_SourceData_AustralianStatesTerritories_Data(),Table_AustralianStates[[#Headers],[State/Territory]],0)</f>
        <v>New South Wales</v>
      </c>
      <c r="F7" s="37" t="str" cm="1">
        <f t="array" ref="F7">Common_InputFunctions.Utility_DisplayArrayInTable(Common_SourceData.Common_SourceData_AustralianStatesTerritories_Data(),Table_AustralianStates[[#Headers],[State/Territory]],0)</f>
        <v>NSW</v>
      </c>
    </row>
    <row r="8" spans="1:64" ht="20.100000000000001" customHeight="1" x14ac:dyDescent="0.25">
      <c r="A8"/>
      <c r="D8" s="37" t="str" cm="1">
        <f t="array" ref="D8">Common_InputFunctions.Utility_DisplayArrayInTable(Common_SourceData.Common_SourceData_AustralianStatesTerritories_Data(),Table_AustralianStates[[#Headers],[State/Territory]],0)</f>
        <v>Australian Capital Territory</v>
      </c>
      <c r="E8" s="37" t="str" cm="1">
        <f t="array" ref="E8">Common_InputFunctions.Utility_DisplayArrayInTable(Common_SourceData.Common_SourceData_AustralianStatesTerritories_Data(),Table_AustralianStates[[#Headers],[State/Territory]],0)</f>
        <v>ACT</v>
      </c>
      <c r="F8" s="37" t="str" cm="1">
        <f t="array" ref="F8">Common_InputFunctions.Utility_DisplayArrayInTable(Common_SourceData.Common_SourceData_AustralianStatesTerritories_Data(),Table_AustralianStates[[#Headers],[State/Territory]],0)</f>
        <v>ACT</v>
      </c>
    </row>
    <row r="9" spans="1:64" ht="20.100000000000001" customHeight="1" x14ac:dyDescent="0.25">
      <c r="A9"/>
      <c r="D9" s="37" t="str" cm="1">
        <f t="array" ref="D9">Common_InputFunctions.Utility_DisplayArrayInTable(Common_SourceData.Common_SourceData_AustralianStatesTerritories_Data(),Table_AustralianStates[[#Headers],[State/Territory]],0)</f>
        <v>Victoria</v>
      </c>
      <c r="E9" s="37" t="str" cm="1">
        <f t="array" ref="E9">Common_InputFunctions.Utility_DisplayArrayInTable(Common_SourceData.Common_SourceData_AustralianStatesTerritories_Data(),Table_AustralianStates[[#Headers],[State/Territory]],0)</f>
        <v>Victoria</v>
      </c>
      <c r="F9" s="37" t="str" cm="1">
        <f t="array" ref="F9">Common_InputFunctions.Utility_DisplayArrayInTable(Common_SourceData.Common_SourceData_AustralianStatesTerritories_Data(),Table_AustralianStates[[#Headers],[State/Territory]],0)</f>
        <v>VIC</v>
      </c>
    </row>
    <row r="10" spans="1:64" ht="20.100000000000001" customHeight="1" x14ac:dyDescent="0.25">
      <c r="A10"/>
      <c r="D10" s="37" t="str" cm="1">
        <f t="array" ref="D10">Common_InputFunctions.Utility_DisplayArrayInTable(Common_SourceData.Common_SourceData_AustralianStatesTerritories_Data(),Table_AustralianStates[[#Headers],[State/Territory]],0)</f>
        <v>Queensland</v>
      </c>
      <c r="E10" s="37" t="str" cm="1">
        <f t="array" ref="E10">Common_InputFunctions.Utility_DisplayArrayInTable(Common_SourceData.Common_SourceData_AustralianStatesTerritories_Data(),Table_AustralianStates[[#Headers],[State/Territory]],0)</f>
        <v>Queensland</v>
      </c>
      <c r="F10" s="37" t="str" cm="1">
        <f t="array" ref="F10">Common_InputFunctions.Utility_DisplayArrayInTable(Common_SourceData.Common_SourceData_AustralianStatesTerritories_Data(),Table_AustralianStates[[#Headers],[State/Territory]],0)</f>
        <v>QLD</v>
      </c>
    </row>
    <row r="11" spans="1:64" ht="20.100000000000001" customHeight="1" x14ac:dyDescent="0.25">
      <c r="A11"/>
      <c r="D11" s="37" t="str" cm="1">
        <f t="array" ref="D11">Common_InputFunctions.Utility_DisplayArrayInTable(Common_SourceData.Common_SourceData_AustralianStatesTerritories_Data(),Table_AustralianStates[[#Headers],[State/Territory]],0)</f>
        <v>South Australia</v>
      </c>
      <c r="E11" s="37" t="str" cm="1">
        <f t="array" ref="E11">Common_InputFunctions.Utility_DisplayArrayInTable(Common_SourceData.Common_SourceData_AustralianStatesTerritories_Data(),Table_AustralianStates[[#Headers],[State/Territory]],0)</f>
        <v>South Australia</v>
      </c>
      <c r="F11" s="37" t="str" cm="1">
        <f t="array" ref="F11">Common_InputFunctions.Utility_DisplayArrayInTable(Common_SourceData.Common_SourceData_AustralianStatesTerritories_Data(),Table_AustralianStates[[#Headers],[State/Territory]],0)</f>
        <v>SA</v>
      </c>
      <c r="BL11" s="3"/>
    </row>
    <row r="12" spans="1:64" ht="20.100000000000001" customHeight="1" x14ac:dyDescent="0.25">
      <c r="A12"/>
      <c r="D12" s="37" t="str" cm="1">
        <f t="array" ref="D12">Common_InputFunctions.Utility_DisplayArrayInTable(Common_SourceData.Common_SourceData_AustralianStatesTerritories_Data(),Table_AustralianStates[[#Headers],[State/Territory]],0)</f>
        <v>Western Australia</v>
      </c>
      <c r="E12" s="37" t="str" cm="1">
        <f t="array" ref="E12">Common_InputFunctions.Utility_DisplayArrayInTable(Common_SourceData.Common_SourceData_AustralianStatesTerritories_Data(),Table_AustralianStates[[#Headers],[State/Territory]],0)</f>
        <v>Western Australia</v>
      </c>
      <c r="F12" s="37" t="str" cm="1">
        <f t="array" ref="F12">Common_InputFunctions.Utility_DisplayArrayInTable(Common_SourceData.Common_SourceData_AustralianStatesTerritories_Data(),Table_AustralianStates[[#Headers],[State/Territory]],0)</f>
        <v>WA</v>
      </c>
      <c r="BL12" s="3"/>
    </row>
    <row r="13" spans="1:64" ht="20.100000000000001" customHeight="1" x14ac:dyDescent="0.25">
      <c r="A13"/>
      <c r="D13" s="37" t="str" cm="1">
        <f t="array" ref="D13">Common_InputFunctions.Utility_DisplayArrayInTable(Common_SourceData.Common_SourceData_AustralianStatesTerritories_Data(),Table_AustralianStates[[#Headers],[State/Territory]],0)</f>
        <v>Tasmania</v>
      </c>
      <c r="E13" s="37" t="str" cm="1">
        <f t="array" ref="E13">Common_InputFunctions.Utility_DisplayArrayInTable(Common_SourceData.Common_SourceData_AustralianStatesTerritories_Data(),Table_AustralianStates[[#Headers],[State/Territory]],0)</f>
        <v>Tasmania</v>
      </c>
      <c r="F13" s="37" t="str" cm="1">
        <f t="array" ref="F13">Common_InputFunctions.Utility_DisplayArrayInTable(Common_SourceData.Common_SourceData_AustralianStatesTerritories_Data(),Table_AustralianStates[[#Headers],[State/Territory]],0)</f>
        <v>TAS</v>
      </c>
    </row>
    <row r="14" spans="1:64" ht="20.100000000000001" customHeight="1" x14ac:dyDescent="0.25">
      <c r="A14"/>
      <c r="D14" s="37" t="str" cm="1">
        <f t="array" ref="D14">Common_InputFunctions.Utility_DisplayArrayInTable(Common_SourceData.Common_SourceData_AustralianStatesTerritories_Data(),Table_AustralianStates[[#Headers],[State/Territory]],0)</f>
        <v>Northern Territory</v>
      </c>
      <c r="E14" s="37" t="str" cm="1">
        <f t="array" ref="E14">Common_InputFunctions.Utility_DisplayArrayInTable(Common_SourceData.Common_SourceData_AustralianStatesTerritories_Data(),Table_AustralianStates[[#Headers],[State/Territory]],0)</f>
        <v>Northern Territory</v>
      </c>
      <c r="F14" s="37" t="str" cm="1">
        <f t="array" ref="F14">Common_InputFunctions.Utility_DisplayArrayInTable(Common_SourceData.Common_SourceData_AustralianStatesTerritories_Data(),Table_AustralianStates[[#Headers],[State/Territory]],0)</f>
        <v>NT</v>
      </c>
    </row>
    <row r="15" spans="1:64" ht="20.100000000000001" customHeight="1" x14ac:dyDescent="0.25">
      <c r="A15"/>
    </row>
    <row r="16" spans="1:64" ht="20.100000000000001" customHeight="1" x14ac:dyDescent="0.25">
      <c r="A16"/>
    </row>
    <row r="17" spans="1:4" ht="20.100000000000001" customHeight="1" x14ac:dyDescent="0.25">
      <c r="A17"/>
    </row>
    <row r="18" spans="1:4" ht="20.100000000000001" customHeight="1" x14ac:dyDescent="0.25">
      <c r="A18"/>
      <c r="D18" s="6" t="str" cm="1">
        <f t="array" ref="D18">Common_SourceData.Common_SourceData_WASA4Areas_Title()</f>
        <v>ABS Statistcal Areas Level 4 - Western Australia</v>
      </c>
    </row>
    <row r="19" spans="1:4" ht="20.100000000000001" customHeight="1" x14ac:dyDescent="0.25">
      <c r="A19"/>
      <c r="D19" s="5" t="str" cm="1">
        <f t="array" ref="D19">Common_SourceData.Common_SourceData_WASA4Areas_Source()</f>
        <v>Australian Bureau of Statistics (ABS) - Statistical Areas Level 2 - 2021 - Shapefile</v>
      </c>
    </row>
    <row r="20" spans="1:4" ht="20.100000000000001" customHeight="1" x14ac:dyDescent="0.25">
      <c r="A20"/>
      <c r="D20" s="37" t="s">
        <v>24</v>
      </c>
    </row>
    <row r="21" spans="1:4" ht="20.100000000000001" customHeight="1" x14ac:dyDescent="0.25">
      <c r="A21"/>
      <c r="D21" s="37" t="str" cm="1">
        <f t="array" ref="D21">Common_InputFunctions.Utility_DisplayArrayInTable(Common_SourceData.Common_SourceData_WASA4Areas_Data(), Table_WASA4Areas[[#Headers],[SA 4 Name]], 0)</f>
        <v>Bunbury</v>
      </c>
    </row>
    <row r="22" spans="1:4" ht="20.100000000000001" customHeight="1" x14ac:dyDescent="0.25">
      <c r="A22"/>
      <c r="D22" s="37" t="str" cm="1">
        <f t="array" ref="D22">Common_InputFunctions.Utility_DisplayArrayInTable(Common_SourceData.Common_SourceData_WASA4Areas_Data(), Table_WASA4Areas[[#Headers],[SA 4 Name]], 0)</f>
        <v>Mandurah</v>
      </c>
    </row>
    <row r="23" spans="1:4" ht="20.100000000000001" customHeight="1" x14ac:dyDescent="0.25">
      <c r="A23"/>
      <c r="D23" s="37" t="str" cm="1">
        <f t="array" ref="D23">Common_InputFunctions.Utility_DisplayArrayInTable(Common_SourceData.Common_SourceData_WASA4Areas_Data(), Table_WASA4Areas[[#Headers],[SA 4 Name]], 0)</f>
        <v>Perth - Inner</v>
      </c>
    </row>
    <row r="24" spans="1:4" ht="20.100000000000001" customHeight="1" x14ac:dyDescent="0.25">
      <c r="A24"/>
      <c r="D24" s="37" t="str" cm="1">
        <f t="array" ref="D24">Common_InputFunctions.Utility_DisplayArrayInTable(Common_SourceData.Common_SourceData_WASA4Areas_Data(), Table_WASA4Areas[[#Headers],[SA 4 Name]], 0)</f>
        <v>Perth - North East</v>
      </c>
    </row>
    <row r="25" spans="1:4" ht="20.100000000000001" customHeight="1" x14ac:dyDescent="0.25">
      <c r="A25"/>
      <c r="D25" s="37" t="str" cm="1">
        <f t="array" ref="D25">Common_InputFunctions.Utility_DisplayArrayInTable(Common_SourceData.Common_SourceData_WASA4Areas_Data(), Table_WASA4Areas[[#Headers],[SA 4 Name]], 0)</f>
        <v>Perth - North West</v>
      </c>
    </row>
    <row r="26" spans="1:4" ht="20.100000000000001" customHeight="1" x14ac:dyDescent="0.25">
      <c r="A26"/>
      <c r="D26" s="37" t="str" cm="1">
        <f t="array" ref="D26">Common_InputFunctions.Utility_DisplayArrayInTable(Common_SourceData.Common_SourceData_WASA4Areas_Data(), Table_WASA4Areas[[#Headers],[SA 4 Name]], 0)</f>
        <v>Perth - South East</v>
      </c>
    </row>
    <row r="27" spans="1:4" ht="20.100000000000001" customHeight="1" x14ac:dyDescent="0.25">
      <c r="A27"/>
      <c r="D27" s="37" t="str" cm="1">
        <f t="array" ref="D27">Common_InputFunctions.Utility_DisplayArrayInTable(Common_SourceData.Common_SourceData_WASA4Areas_Data(), Table_WASA4Areas[[#Headers],[SA 4 Name]], 0)</f>
        <v>Perth - South West</v>
      </c>
    </row>
    <row r="28" spans="1:4" ht="20.100000000000001" customHeight="1" x14ac:dyDescent="0.25">
      <c r="A28"/>
      <c r="D28" s="37" t="str" cm="1">
        <f t="array" ref="D28">Common_InputFunctions.Utility_DisplayArrayInTable(Common_SourceData.Common_SourceData_WASA4Areas_Data(), Table_WASA4Areas[[#Headers],[SA 4 Name]], 0)</f>
        <v>Western Australia - Wheat Belt</v>
      </c>
    </row>
    <row r="29" spans="1:4" ht="20.100000000000001" customHeight="1" x14ac:dyDescent="0.25">
      <c r="A29"/>
      <c r="D29" s="37" t="str" cm="1">
        <f t="array" ref="D29">Common_InputFunctions.Utility_DisplayArrayInTable(Common_SourceData.Common_SourceData_WASA4Areas_Data(), Table_WASA4Areas[[#Headers],[SA 4 Name]], 0)</f>
        <v>Western Australia - Outback (North)</v>
      </c>
    </row>
    <row r="30" spans="1:4" ht="20.100000000000001" customHeight="1" x14ac:dyDescent="0.25">
      <c r="A30"/>
      <c r="D30" s="37" t="str" cm="1">
        <f t="array" ref="D30">Common_InputFunctions.Utility_DisplayArrayInTable(Common_SourceData.Common_SourceData_WASA4Areas_Data(), Table_WASA4Areas[[#Headers],[SA 4 Name]], 0)</f>
        <v>Western Australia - Outback (South)</v>
      </c>
    </row>
    <row r="31" spans="1:4" ht="20.100000000000001" customHeight="1" x14ac:dyDescent="0.25">
      <c r="A31"/>
    </row>
    <row r="32" spans="1:4" ht="20.100000000000001" customHeight="1" x14ac:dyDescent="0.25">
      <c r="A32"/>
    </row>
    <row r="33" spans="1:8" ht="20.100000000000001" customHeight="1" x14ac:dyDescent="0.25">
      <c r="A33"/>
    </row>
    <row r="34" spans="1:8" ht="20.100000000000001" customHeight="1" x14ac:dyDescent="0.25">
      <c r="A34"/>
      <c r="D34" s="6" t="str" cm="1">
        <f t="array" ref="D34">Common_SourceData.Common_SourceData_GWP_Title()</f>
        <v>Global warming potential for greenhouse gases</v>
      </c>
    </row>
    <row r="35" spans="1:8" ht="20.100000000000001" customHeight="1" x14ac:dyDescent="0.25">
      <c r="A35"/>
      <c r="D35" s="5" t="str" cm="1">
        <f t="array" ref="D35">Common_SourceData.Common_SourceData_GWP_Source()</f>
        <v>XXXXXXX</v>
      </c>
    </row>
    <row r="36" spans="1:8" ht="20.100000000000001" customHeight="1" x14ac:dyDescent="0.25">
      <c r="A36"/>
      <c r="D36" s="37" t="s">
        <v>27</v>
      </c>
      <c r="E36" s="37" t="s">
        <v>28</v>
      </c>
    </row>
    <row r="37" spans="1:8" ht="20.100000000000001" customHeight="1" x14ac:dyDescent="0.25">
      <c r="A37"/>
      <c r="D37" s="37" t="str" cm="1">
        <f t="array" ref="D37">Common_InputFunctions.Utility_DisplayArrayInTable(Common_SourceData.Common_SourceData_GWP_Data(), Table_GWPData[[#Headers],[Gas]], 0)</f>
        <v>CO2</v>
      </c>
      <c r="E37" s="37" cm="1">
        <f t="array" ref="E37">Common_InputFunctions.Utility_DisplayArrayInTable(Common_SourceData.Common_SourceData_GWP_Data(), Table_GWPData[[#Headers],[Gas]], 0)</f>
        <v>1</v>
      </c>
    </row>
    <row r="38" spans="1:8" ht="20.100000000000001" customHeight="1" x14ac:dyDescent="0.25">
      <c r="A38"/>
      <c r="D38" s="37" t="str" cm="1">
        <f t="array" ref="D38">Common_InputFunctions.Utility_DisplayArrayInTable(Common_SourceData.Common_SourceData_GWP_Data(), Table_GWPData[[#Headers],[Gas]], 0)</f>
        <v>CH4</v>
      </c>
      <c r="E38" s="37" cm="1">
        <f t="array" ref="E38">Common_InputFunctions.Utility_DisplayArrayInTable(Common_SourceData.Common_SourceData_GWP_Data(), Table_GWPData[[#Headers],[Gas]], 0)</f>
        <v>28</v>
      </c>
    </row>
    <row r="39" spans="1:8" ht="20.100000000000001" customHeight="1" x14ac:dyDescent="0.25">
      <c r="A39"/>
      <c r="D39" s="37" t="str" cm="1">
        <f t="array" ref="D39">Common_InputFunctions.Utility_DisplayArrayInTable(Common_SourceData.Common_SourceData_GWP_Data(), Table_GWPData[[#Headers],[Gas]], 0)</f>
        <v>N2O</v>
      </c>
      <c r="E39" s="37" cm="1">
        <f t="array" ref="E39">Common_InputFunctions.Utility_DisplayArrayInTable(Common_SourceData.Common_SourceData_GWP_Data(), Table_GWPData[[#Headers],[Gas]], 0)</f>
        <v>265</v>
      </c>
    </row>
    <row r="40" spans="1:8" ht="20.100000000000001" customHeight="1" x14ac:dyDescent="0.25">
      <c r="A40"/>
      <c r="D40" s="37" t="str" cm="1">
        <f t="array" ref="D40">Common_InputFunctions.Utility_DisplayArrayInTable(Common_SourceData.Common_SourceData_GWP_Data(), Table_GWPData[[#Headers],[Gas]], 0)</f>
        <v>CF4</v>
      </c>
      <c r="E40" s="37" cm="1">
        <f t="array" ref="E40">Common_InputFunctions.Utility_DisplayArrayInTable(Common_SourceData.Common_SourceData_GWP_Data(), Table_GWPData[[#Headers],[Gas]], 0)</f>
        <v>6630</v>
      </c>
    </row>
    <row r="41" spans="1:8" ht="20.100000000000001" customHeight="1" x14ac:dyDescent="0.25">
      <c r="A41"/>
      <c r="D41" s="37" t="str" cm="1">
        <f t="array" ref="D41">Common_InputFunctions.Utility_DisplayArrayInTable(Common_SourceData.Common_SourceData_GWP_Data(), Table_GWPData[[#Headers],[Gas]], 0)</f>
        <v>C2F6</v>
      </c>
      <c r="E41" s="37" cm="1">
        <f t="array" ref="E41">Common_InputFunctions.Utility_DisplayArrayInTable(Common_SourceData.Common_SourceData_GWP_Data(), Table_GWPData[[#Headers],[Gas]], 0)</f>
        <v>12200</v>
      </c>
    </row>
    <row r="42" spans="1:8" ht="20.100000000000001" customHeight="1" x14ac:dyDescent="0.25">
      <c r="D42" s="37" t="str" cm="1">
        <f t="array" ref="D42">Common_InputFunctions.Utility_DisplayArrayInTable(Common_SourceData.Common_SourceData_GWP_Data(), Table_GWPData[[#Headers],[Gas]], 0)</f>
        <v>SF6</v>
      </c>
      <c r="E42" s="37" cm="1">
        <f t="array" ref="E42">Common_InputFunctions.Utility_DisplayArrayInTable(Common_SourceData.Common_SourceData_GWP_Data(), Table_GWPData[[#Headers],[Gas]], 0)</f>
        <v>22800</v>
      </c>
    </row>
    <row r="43" spans="1:8" ht="20.100000000000001" customHeight="1" x14ac:dyDescent="0.25">
      <c r="D43" s="37" t="str" cm="1">
        <f t="array" ref="D43">Common_InputFunctions.Utility_DisplayArrayInTable(Common_SourceData.Common_SourceData_GWP_Data(), Table_GWPData[[#Headers],[Gas]], 0)</f>
        <v>NF3</v>
      </c>
      <c r="E43" s="37" cm="1">
        <f t="array" ref="E43">Common_InputFunctions.Utility_DisplayArrayInTable(Common_SourceData.Common_SourceData_GWP_Data(), Table_GWPData[[#Headers],[Gas]], 0)</f>
        <v>17200</v>
      </c>
    </row>
    <row r="44" spans="1:8" ht="20.100000000000001" customHeight="1" x14ac:dyDescent="0.25"/>
    <row r="45" spans="1:8" ht="20.100000000000001" customHeight="1" x14ac:dyDescent="0.25">
      <c r="D45" s="6" t="str" cm="1">
        <f t="array" ref="D45">Common_SourceData.Common_SourceData_ConvertGasElementalToMolecular_Title()</f>
        <v>Factor to convert elemental mass of gas to molecular mass</v>
      </c>
    </row>
    <row r="46" spans="1:8" ht="20.100000000000001" customHeight="1" x14ac:dyDescent="0.25">
      <c r="D46" s="5" t="str" cm="1">
        <f t="array" ref="D46">Common_SourceData.Common_SourceData_ConvertGasElementalToMolecular_Source()</f>
        <v>XXXXXXX</v>
      </c>
    </row>
    <row r="47" spans="1:8" ht="20.100000000000001" customHeight="1" x14ac:dyDescent="0.25">
      <c r="D47" s="37" t="s">
        <v>27</v>
      </c>
      <c r="E47" s="37" t="s">
        <v>30</v>
      </c>
      <c r="F47" s="37" t="s">
        <v>31</v>
      </c>
      <c r="G47" s="37" t="s">
        <v>32</v>
      </c>
      <c r="H47" s="37" t="s">
        <v>33</v>
      </c>
    </row>
    <row r="48" spans="1:8" ht="20.100000000000001" customHeight="1" x14ac:dyDescent="0.25">
      <c r="D48" s="37" t="str" cm="1">
        <f t="array" ref="D48">Common_InputFunctions.Utility_DisplayArrayInTable(Common_SourceData.Common_SourceData_ConvertGasElementalToMolecular_Data(),Table_GasToMolecularConversionFactor[[#Headers],[Gas]], 0)</f>
        <v>CO2</v>
      </c>
      <c r="E48" s="37" t="str" cm="1">
        <f t="array" ref="E48">Common_InputFunctions.Utility_DisplayArrayInTable(Common_SourceData.Common_SourceData_ConvertGasElementalToMolecular_Data(),Table_GasToMolecularConversionFactor[[#Headers],[Gas]], 0)</f>
        <v>44/12</v>
      </c>
      <c r="F48" s="37" cm="1">
        <f t="array" ref="F48">Common_InputFunctions.Utility_DisplayArrayInTable(Common_SourceData.Common_SourceData_ConvertGasElementalToMolecular_Data(),Table_GasToMolecularConversionFactor[[#Headers],[Gas]], 0)</f>
        <v>44</v>
      </c>
      <c r="G48" s="37" cm="1">
        <f t="array" ref="G48">Common_InputFunctions.Utility_DisplayArrayInTable(Common_SourceData.Common_SourceData_ConvertGasElementalToMolecular_Data(),Table_GasToMolecularConversionFactor[[#Headers],[Gas]], 0)</f>
        <v>12</v>
      </c>
      <c r="H48" s="37">
        <f>Table_GasToMolecularConversionFactor[[#This Row],[Conversion factor 1]]/Table_GasToMolecularConversionFactor[[#This Row],[Conversion factor 2]]</f>
        <v>3.6666666666666665</v>
      </c>
    </row>
    <row r="49" spans="4:8" ht="20.100000000000001" customHeight="1" x14ac:dyDescent="0.25">
      <c r="D49" s="37" t="str" cm="1">
        <f t="array" ref="D49">Common_InputFunctions.Utility_DisplayArrayInTable(Common_SourceData.Common_SourceData_ConvertGasElementalToMolecular_Data(),Table_GasToMolecularConversionFactor[[#Headers],[Gas]], 0)</f>
        <v>CH4</v>
      </c>
      <c r="E49" s="37" t="str" cm="1">
        <f t="array" ref="E49">Common_InputFunctions.Utility_DisplayArrayInTable(Common_SourceData.Common_SourceData_ConvertGasElementalToMolecular_Data(),Table_GasToMolecularConversionFactor[[#Headers],[Gas]], 0)</f>
        <v>16/12</v>
      </c>
      <c r="F49" s="37" cm="1">
        <f t="array" ref="F49">Common_InputFunctions.Utility_DisplayArrayInTable(Common_SourceData.Common_SourceData_ConvertGasElementalToMolecular_Data(),Table_GasToMolecularConversionFactor[[#Headers],[Gas]], 0)</f>
        <v>16</v>
      </c>
      <c r="G49" s="37" cm="1">
        <f t="array" ref="G49">Common_InputFunctions.Utility_DisplayArrayInTable(Common_SourceData.Common_SourceData_ConvertGasElementalToMolecular_Data(),Table_GasToMolecularConversionFactor[[#Headers],[Gas]], 0)</f>
        <v>12</v>
      </c>
      <c r="H49" s="37">
        <f>Table_GasToMolecularConversionFactor[[#This Row],[Conversion factor 1]]/Table_GasToMolecularConversionFactor[[#This Row],[Conversion factor 2]]</f>
        <v>1.3333333333333333</v>
      </c>
    </row>
    <row r="50" spans="4:8" ht="20.100000000000001" customHeight="1" x14ac:dyDescent="0.25">
      <c r="D50" s="37" t="str" cm="1">
        <f t="array" ref="D50">Common_InputFunctions.Utility_DisplayArrayInTable(Common_SourceData.Common_SourceData_ConvertGasElementalToMolecular_Data(),Table_GasToMolecularConversionFactor[[#Headers],[Gas]], 0)</f>
        <v>N2O</v>
      </c>
      <c r="E50" s="37" t="str" cm="1">
        <f t="array" ref="E50">Common_InputFunctions.Utility_DisplayArrayInTable(Common_SourceData.Common_SourceData_ConvertGasElementalToMolecular_Data(),Table_GasToMolecularConversionFactor[[#Headers],[Gas]], 0)</f>
        <v>44/28</v>
      </c>
      <c r="F50" s="37" cm="1">
        <f t="array" ref="F50">Common_InputFunctions.Utility_DisplayArrayInTable(Common_SourceData.Common_SourceData_ConvertGasElementalToMolecular_Data(),Table_GasToMolecularConversionFactor[[#Headers],[Gas]], 0)</f>
        <v>44</v>
      </c>
      <c r="G50" s="37" cm="1">
        <f t="array" ref="G50">Common_InputFunctions.Utility_DisplayArrayInTable(Common_SourceData.Common_SourceData_ConvertGasElementalToMolecular_Data(),Table_GasToMolecularConversionFactor[[#Headers],[Gas]], 0)</f>
        <v>28</v>
      </c>
      <c r="H50" s="37">
        <f>Table_GasToMolecularConversionFactor[[#This Row],[Conversion factor 1]]/Table_GasToMolecularConversionFactor[[#This Row],[Conversion factor 2]]</f>
        <v>1.5714285714285714</v>
      </c>
    </row>
    <row r="51" spans="4:8" ht="20.100000000000001" customHeight="1" x14ac:dyDescent="0.25">
      <c r="D51" s="37" t="str" cm="1">
        <f t="array" ref="D51">Common_InputFunctions.Utility_DisplayArrayInTable(Common_SourceData.Common_SourceData_ConvertGasElementalToMolecular_Data(),Table_GasToMolecularConversionFactor[[#Headers],[Gas]], 0)</f>
        <v>Nox</v>
      </c>
      <c r="E51" s="37" t="str" cm="1">
        <f t="array" ref="E51">Common_InputFunctions.Utility_DisplayArrayInTable(Common_SourceData.Common_SourceData_ConvertGasElementalToMolecular_Data(),Table_GasToMolecularConversionFactor[[#Headers],[Gas]], 0)</f>
        <v>46/14</v>
      </c>
      <c r="F51" s="37" cm="1">
        <f t="array" ref="F51">Common_InputFunctions.Utility_DisplayArrayInTable(Common_SourceData.Common_SourceData_ConvertGasElementalToMolecular_Data(),Table_GasToMolecularConversionFactor[[#Headers],[Gas]], 0)</f>
        <v>46</v>
      </c>
      <c r="G51" s="37" cm="1">
        <f t="array" ref="G51">Common_InputFunctions.Utility_DisplayArrayInTable(Common_SourceData.Common_SourceData_ConvertGasElementalToMolecular_Data(),Table_GasToMolecularConversionFactor[[#Headers],[Gas]], 0)</f>
        <v>14</v>
      </c>
      <c r="H51" s="37">
        <f>Table_GasToMolecularConversionFactor[[#This Row],[Conversion factor 1]]/Table_GasToMolecularConversionFactor[[#This Row],[Conversion factor 2]]</f>
        <v>3.2857142857142856</v>
      </c>
    </row>
    <row r="52" spans="4:8" ht="20.100000000000001" customHeight="1" x14ac:dyDescent="0.25">
      <c r="D52" s="37" t="str" cm="1">
        <f t="array" ref="D52">Common_InputFunctions.Utility_DisplayArrayInTable(Common_SourceData.Common_SourceData_ConvertGasElementalToMolecular_Data(),Table_GasToMolecularConversionFactor[[#Headers],[Gas]], 0)</f>
        <v>CO</v>
      </c>
      <c r="E52" s="37" t="str" cm="1">
        <f t="array" ref="E52">Common_InputFunctions.Utility_DisplayArrayInTable(Common_SourceData.Common_SourceData_ConvertGasElementalToMolecular_Data(),Table_GasToMolecularConversionFactor[[#Headers],[Gas]], 0)</f>
        <v>28/12</v>
      </c>
      <c r="F52" s="37" cm="1">
        <f t="array" ref="F52">Common_InputFunctions.Utility_DisplayArrayInTable(Common_SourceData.Common_SourceData_ConvertGasElementalToMolecular_Data(),Table_GasToMolecularConversionFactor[[#Headers],[Gas]], 0)</f>
        <v>28</v>
      </c>
      <c r="G52" s="37" cm="1">
        <f t="array" ref="G52">Common_InputFunctions.Utility_DisplayArrayInTable(Common_SourceData.Common_SourceData_ConvertGasElementalToMolecular_Data(),Table_GasToMolecularConversionFactor[[#Headers],[Gas]], 0)</f>
        <v>12</v>
      </c>
      <c r="H52" s="37">
        <f>Table_GasToMolecularConversionFactor[[#This Row],[Conversion factor 1]]/Table_GasToMolecularConversionFactor[[#This Row],[Conversion factor 2]]</f>
        <v>2.3333333333333335</v>
      </c>
    </row>
    <row r="53" spans="4:8" ht="20.100000000000001" customHeight="1" x14ac:dyDescent="0.25">
      <c r="D53" s="37" t="str" cm="1">
        <f t="array" ref="D53">Common_InputFunctions.Utility_DisplayArrayInTable(Common_SourceData.Common_SourceData_ConvertGasElementalToMolecular_Data(),Table_GasToMolecularConversionFactor[[#Headers],[Gas]], 0)</f>
        <v>CO2 Lime</v>
      </c>
      <c r="E53" s="37" t="str" cm="1">
        <f t="array" ref="E53">Common_InputFunctions.Utility_DisplayArrayInTable(Common_SourceData.Common_SourceData_ConvertGasElementalToMolecular_Data(),Table_GasToMolecularConversionFactor[[#Headers],[Gas]], 0)</f>
        <v>44/12</v>
      </c>
      <c r="F53" s="37" cm="1">
        <f t="array" ref="F53">Common_InputFunctions.Utility_DisplayArrayInTable(Common_SourceData.Common_SourceData_ConvertGasElementalToMolecular_Data(),Table_GasToMolecularConversionFactor[[#Headers],[Gas]], 0)</f>
        <v>44</v>
      </c>
      <c r="G53" s="37" cm="1">
        <f t="array" ref="G53">Common_InputFunctions.Utility_DisplayArrayInTable(Common_SourceData.Common_SourceData_ConvertGasElementalToMolecular_Data(),Table_GasToMolecularConversionFactor[[#Headers],[Gas]], 0)</f>
        <v>12</v>
      </c>
      <c r="H53" s="37">
        <f>Table_GasToMolecularConversionFactor[[#This Row],[Conversion factor 1]]/Table_GasToMolecularConversionFactor[[#This Row],[Conversion factor 2]]</f>
        <v>3.6666666666666665</v>
      </c>
    </row>
    <row r="54" spans="4:8" ht="20.100000000000001" customHeight="1" x14ac:dyDescent="0.25">
      <c r="D54" s="37" t="str" cm="1">
        <f t="array" ref="D54">Common_InputFunctions.Utility_DisplayArrayInTable(Common_SourceData.Common_SourceData_ConvertGasElementalToMolecular_Data(),Table_GasToMolecularConversionFactor[[#Headers],[Gas]], 0)</f>
        <v>NMVOC</v>
      </c>
      <c r="E54" s="37" t="str" cm="1">
        <f t="array" ref="E54">Common_InputFunctions.Utility_DisplayArrayInTable(Common_SourceData.Common_SourceData_ConvertGasElementalToMolecular_Data(),Table_GasToMolecularConversionFactor[[#Headers],[Gas]], 0)</f>
        <v>14/12</v>
      </c>
      <c r="F54" s="37" cm="1">
        <f t="array" ref="F54">Common_InputFunctions.Utility_DisplayArrayInTable(Common_SourceData.Common_SourceData_ConvertGasElementalToMolecular_Data(),Table_GasToMolecularConversionFactor[[#Headers],[Gas]], 0)</f>
        <v>14</v>
      </c>
      <c r="G54" s="37" cm="1">
        <f t="array" ref="G54">Common_InputFunctions.Utility_DisplayArrayInTable(Common_SourceData.Common_SourceData_ConvertGasElementalToMolecular_Data(),Table_GasToMolecularConversionFactor[[#Headers],[Gas]], 0)</f>
        <v>12</v>
      </c>
      <c r="H54" s="37">
        <f>Table_GasToMolecularConversionFactor[[#This Row],[Conversion factor 1]]/Table_GasToMolecularConversionFactor[[#This Row],[Conversion factor 2]]</f>
        <v>1.1666666666666667</v>
      </c>
    </row>
    <row r="55" spans="4:8" ht="20.100000000000001" customHeight="1" x14ac:dyDescent="0.25"/>
    <row r="56" spans="4:8" ht="20.100000000000001" customHeight="1" x14ac:dyDescent="0.25"/>
    <row r="57" spans="4:8" ht="20.100000000000001" customHeight="1" x14ac:dyDescent="0.25">
      <c r="D57" s="6" t="str" cm="1">
        <f t="array" ref="D57">Common_SourceData.Common_SourceData_WetAndDryZones_Title()</f>
        <v>VEERG Australian wet and dry zones</v>
      </c>
    </row>
    <row r="58" spans="4:8" ht="20.100000000000001" customHeight="1" x14ac:dyDescent="0.25">
      <c r="D58" s="5" t="str" cm="1">
        <f t="array" ref="D58">Common_SourceData.Common_SourceData_WetAndDryZones_Source()</f>
        <v>VEERG 2026: Table 1.2: Translating climate zones to wet and dry zones</v>
      </c>
    </row>
    <row r="59" spans="4:8" ht="20.100000000000001" customHeight="1" x14ac:dyDescent="0.25">
      <c r="D59" s="55" t="str" cm="1">
        <f t="array" ref="D59:D61">"⚠️" &amp; Common_SourceData.Common_SourceData_WetAndDryZones_Variation()</f>
        <v>⚠️VARIATION OF SOURCE DATA:</v>
      </c>
    </row>
    <row r="60" spans="4:8" ht="20.100000000000001" customHeight="1" x14ac:dyDescent="0.25">
      <c r="D60" s="55" t="str">
        <v>⚠️Added warm / cool temperate moist / dry - low frost and high temp classes to accommodate climate scenarios excluded by VEERG criteria.</v>
      </c>
    </row>
    <row r="61" spans="4:8" ht="20.100000000000001" customHeight="1" x14ac:dyDescent="0.25">
      <c r="D61" s="55" t="str">
        <v>⚠️Fixed typo - Changed 'Fry' to 'Dry'.</v>
      </c>
    </row>
    <row r="62" spans="4:8" ht="20.100000000000001" customHeight="1" x14ac:dyDescent="0.25"/>
    <row r="63" spans="4:8" ht="20.100000000000001" customHeight="1" x14ac:dyDescent="0.25">
      <c r="D63" s="37" t="s">
        <v>10</v>
      </c>
      <c r="E63" s="37" t="s">
        <v>48</v>
      </c>
    </row>
    <row r="64" spans="4:8" ht="20.100000000000001" customHeight="1" x14ac:dyDescent="0.25">
      <c r="D64" s="37" t="str" cm="1">
        <f t="array" ref="D64">Common_InputFunctions.Utility_DisplayArrayInTable(Common_SourceData.Common_SourceData_WetAndDryZones_Data(), Table_SourceData_WetDryZones[[#Headers],[Climate zone]], 0)</f>
        <v>Tropical montane</v>
      </c>
      <c r="E64" s="37" t="str" cm="1">
        <f t="array" ref="E64">Common_InputFunctions.Utility_DisplayArrayInTable(Common_SourceData.Common_SourceData_WetAndDryZones_Data(), Table_SourceData_WetDryZones[[#Headers],[Climate zone]], 0)</f>
        <v>Wet climate zone</v>
      </c>
    </row>
    <row r="65" spans="4:5" ht="20.100000000000001" customHeight="1" x14ac:dyDescent="0.25">
      <c r="D65" s="37" t="str" cm="1">
        <f t="array" ref="D65">Common_InputFunctions.Utility_DisplayArrayInTable(Common_SourceData.Common_SourceData_WetAndDryZones_Data(), Table_SourceData_WetDryZones[[#Headers],[Climate zone]], 0)</f>
        <v>Tropical wet</v>
      </c>
      <c r="E65" s="37" t="str" cm="1">
        <f t="array" ref="E65">Common_InputFunctions.Utility_DisplayArrayInTable(Common_SourceData.Common_SourceData_WetAndDryZones_Data(), Table_SourceData_WetDryZones[[#Headers],[Climate zone]], 0)</f>
        <v>Wet climate zone</v>
      </c>
    </row>
    <row r="66" spans="4:5" ht="20.100000000000001" customHeight="1" x14ac:dyDescent="0.25">
      <c r="D66" s="37" t="str" cm="1">
        <f t="array" ref="D66">Common_InputFunctions.Utility_DisplayArrayInTable(Common_SourceData.Common_SourceData_WetAndDryZones_Data(), Table_SourceData_WetDryZones[[#Headers],[Climate zone]], 0)</f>
        <v>Tropical moist</v>
      </c>
      <c r="E66" s="37" t="str" cm="1">
        <f t="array" ref="E66">Common_InputFunctions.Utility_DisplayArrayInTable(Common_SourceData.Common_SourceData_WetAndDryZones_Data(), Table_SourceData_WetDryZones[[#Headers],[Climate zone]], 0)</f>
        <v>Wet climate zone</v>
      </c>
    </row>
    <row r="67" spans="4:5" ht="20.100000000000001" customHeight="1" x14ac:dyDescent="0.25">
      <c r="D67" s="37" t="str" cm="1">
        <f t="array" ref="D67">Common_InputFunctions.Utility_DisplayArrayInTable(Common_SourceData.Common_SourceData_WetAndDryZones_Data(), Table_SourceData_WetDryZones[[#Headers],[Climate zone]], 0)</f>
        <v>Tropical dry</v>
      </c>
      <c r="E67" s="37" t="str" cm="1">
        <f t="array" ref="E67">Common_InputFunctions.Utility_DisplayArrayInTable(Common_SourceData.Common_SourceData_WetAndDryZones_Data(), Table_SourceData_WetDryZones[[#Headers],[Climate zone]], 0)</f>
        <v>Dry climate zone</v>
      </c>
    </row>
    <row r="68" spans="4:5" ht="20.100000000000001" customHeight="1" x14ac:dyDescent="0.25">
      <c r="D68" s="37" t="str" cm="1">
        <f t="array" ref="D68">Common_InputFunctions.Utility_DisplayArrayInTable(Common_SourceData.Common_SourceData_WetAndDryZones_Data(), Table_SourceData_WetDryZones[[#Headers],[Climate zone]], 0)</f>
        <v>Warm temperate moist</v>
      </c>
      <c r="E68" s="37" t="str" cm="1">
        <f t="array" ref="E68">Common_InputFunctions.Utility_DisplayArrayInTable(Common_SourceData.Common_SourceData_WetAndDryZones_Data(), Table_SourceData_WetDryZones[[#Headers],[Climate zone]], 0)</f>
        <v>Wet climate zone</v>
      </c>
    </row>
    <row r="69" spans="4:5" ht="20.100000000000001" customHeight="1" x14ac:dyDescent="0.25">
      <c r="D69" s="37" t="str" cm="1">
        <f t="array" ref="D69">Common_InputFunctions.Utility_DisplayArrayInTable(Common_SourceData.Common_SourceData_WetAndDryZones_Data(), Table_SourceData_WetDryZones[[#Headers],[Climate zone]], 0)</f>
        <v>Warm temperate dry</v>
      </c>
      <c r="E69" s="37" t="str" cm="1">
        <f t="array" ref="E69">Common_InputFunctions.Utility_DisplayArrayInTable(Common_SourceData.Common_SourceData_WetAndDryZones_Data(), Table_SourceData_WetDryZones[[#Headers],[Climate zone]], 0)</f>
        <v>Dry climate zone</v>
      </c>
    </row>
    <row r="70" spans="4:5" ht="20.100000000000001" customHeight="1" x14ac:dyDescent="0.25">
      <c r="D70" s="37" t="str" cm="1">
        <f t="array" ref="D70">Common_InputFunctions.Utility_DisplayArrayInTable(Common_SourceData.Common_SourceData_WetAndDryZones_Data(), Table_SourceData_WetDryZones[[#Headers],[Climate zone]], 0)</f>
        <v>Cool temperate moist</v>
      </c>
      <c r="E70" s="37" t="str" cm="1">
        <f t="array" ref="E70">Common_InputFunctions.Utility_DisplayArrayInTable(Common_SourceData.Common_SourceData_WetAndDryZones_Data(), Table_SourceData_WetDryZones[[#Headers],[Climate zone]], 0)</f>
        <v>Wet climate zone</v>
      </c>
    </row>
    <row r="71" spans="4:5" ht="20.100000000000001" customHeight="1" x14ac:dyDescent="0.25">
      <c r="D71" s="37" t="str" cm="1">
        <f t="array" ref="D71">Common_InputFunctions.Utility_DisplayArrayInTable(Common_SourceData.Common_SourceData_WetAndDryZones_Data(), Table_SourceData_WetDryZones[[#Headers],[Climate zone]], 0)</f>
        <v>Cool temperate dry</v>
      </c>
      <c r="E71" s="37" t="str" cm="1">
        <f t="array" ref="E71">Common_InputFunctions.Utility_DisplayArrayInTable(Common_SourceData.Common_SourceData_WetAndDryZones_Data(), Table_SourceData_WetDryZones[[#Headers],[Climate zone]], 0)</f>
        <v>Dry climate zone</v>
      </c>
    </row>
    <row r="72" spans="4:5" ht="20.100000000000001" customHeight="1" x14ac:dyDescent="0.25">
      <c r="D72" s="37" t="str" cm="1">
        <f t="array" ref="D72">Common_InputFunctions.Utility_DisplayArrayInTable(Common_SourceData.Common_SourceData_WetAndDryZones_Data(), Table_SourceData_WetDryZones[[#Headers],[Climate zone]], 0)</f>
        <v>Warm temperate moist - low frost</v>
      </c>
      <c r="E72" s="37" t="str" cm="1">
        <f t="array" ref="E72">Common_InputFunctions.Utility_DisplayArrayInTable(Common_SourceData.Common_SourceData_WetAndDryZones_Data(), Table_SourceData_WetDryZones[[#Headers],[Climate zone]], 0)</f>
        <v>Wet climate zone</v>
      </c>
    </row>
    <row r="73" spans="4:5" ht="20.100000000000001" customHeight="1" x14ac:dyDescent="0.25">
      <c r="D73" s="37" t="str" cm="1">
        <f t="array" ref="D73">Common_InputFunctions.Utility_DisplayArrayInTable(Common_SourceData.Common_SourceData_WetAndDryZones_Data(), Table_SourceData_WetDryZones[[#Headers],[Climate zone]], 0)</f>
        <v>Warm temperate dry - low frost</v>
      </c>
      <c r="E73" s="37" t="str" cm="1">
        <f t="array" ref="E73">Common_InputFunctions.Utility_DisplayArrayInTable(Common_SourceData.Common_SourceData_WetAndDryZones_Data(), Table_SourceData_WetDryZones[[#Headers],[Climate zone]], 0)</f>
        <v>Dry climate zone</v>
      </c>
    </row>
    <row r="74" spans="4:5" ht="20.100000000000001" customHeight="1" x14ac:dyDescent="0.25">
      <c r="D74" s="37" t="str" cm="1">
        <f t="array" ref="D74">Common_InputFunctions.Utility_DisplayArrayInTable(Common_SourceData.Common_SourceData_WetAndDryZones_Data(), Table_SourceData_WetDryZones[[#Headers],[Climate zone]], 0)</f>
        <v>Warm temperate moist - high temp</v>
      </c>
      <c r="E74" s="37" t="str" cm="1">
        <f t="array" ref="E74">Common_InputFunctions.Utility_DisplayArrayInTable(Common_SourceData.Common_SourceData_WetAndDryZones_Data(), Table_SourceData_WetDryZones[[#Headers],[Climate zone]], 0)</f>
        <v>Wet climate zone</v>
      </c>
    </row>
    <row r="75" spans="4:5" ht="20.100000000000001" customHeight="1" x14ac:dyDescent="0.25">
      <c r="D75" s="37" t="str" cm="1">
        <f t="array" ref="D75">Common_InputFunctions.Utility_DisplayArrayInTable(Common_SourceData.Common_SourceData_WetAndDryZones_Data(), Table_SourceData_WetDryZones[[#Headers],[Climate zone]], 0)</f>
        <v>Warm temperate dry - high temp</v>
      </c>
      <c r="E75" s="37" t="str" cm="1">
        <f t="array" ref="E75">Common_InputFunctions.Utility_DisplayArrayInTable(Common_SourceData.Common_SourceData_WetAndDryZones_Data(), Table_SourceData_WetDryZones[[#Headers],[Climate zone]], 0)</f>
        <v>Dry climate zone</v>
      </c>
    </row>
    <row r="76" spans="4:5" ht="20.100000000000001" customHeight="1" x14ac:dyDescent="0.25">
      <c r="D76" s="37" t="str" cm="1">
        <f t="array" ref="D76">Common_InputFunctions.Utility_DisplayArrayInTable(Common_SourceData.Common_SourceData_WetAndDryZones_Data(), Table_SourceData_WetDryZones[[#Headers],[Climate zone]], 0)</f>
        <v>Cool temperate moist - low frost</v>
      </c>
      <c r="E76" s="37" t="str" cm="1">
        <f t="array" ref="E76">Common_InputFunctions.Utility_DisplayArrayInTable(Common_SourceData.Common_SourceData_WetAndDryZones_Data(), Table_SourceData_WetDryZones[[#Headers],[Climate zone]], 0)</f>
        <v>Wet climate zone</v>
      </c>
    </row>
    <row r="77" spans="4:5" ht="20.100000000000001" customHeight="1" x14ac:dyDescent="0.25">
      <c r="D77" s="37" t="str" cm="1">
        <f t="array" ref="D77">Common_InputFunctions.Utility_DisplayArrayInTable(Common_SourceData.Common_SourceData_WetAndDryZones_Data(), Table_SourceData_WetDryZones[[#Headers],[Climate zone]], 0)</f>
        <v>Cool temperate dry - low frost</v>
      </c>
      <c r="E77" s="37" t="str" cm="1">
        <f t="array" ref="E77">Common_InputFunctions.Utility_DisplayArrayInTable(Common_SourceData.Common_SourceData_WetAndDryZones_Data(), Table_SourceData_WetDryZones[[#Headers],[Climate zone]], 0)</f>
        <v>Dry climate zone</v>
      </c>
    </row>
    <row r="78" spans="4:5" ht="20.100000000000001" customHeight="1" x14ac:dyDescent="0.25"/>
    <row r="79" spans="4:5" ht="20.100000000000001" customHeight="1" x14ac:dyDescent="0.25"/>
    <row r="80" spans="4:5" ht="20.100000000000001" customHeight="1" x14ac:dyDescent="0.25"/>
    <row r="81" spans="4:19" ht="20.100000000000001" customHeight="1" x14ac:dyDescent="0.25">
      <c r="D81" s="6" t="str" cm="1">
        <f t="array" ref="D81">Common_SourceData.Common_SourceData_ClimateZones_Title()</f>
        <v>VEERG Australian climate zones</v>
      </c>
    </row>
    <row r="82" spans="4:19" ht="20.100000000000001" customHeight="1" x14ac:dyDescent="0.25">
      <c r="D82" s="5" t="str" cm="1">
        <f t="array" ref="D82">Common_SourceData.Common_SourceData_ClimateZones_Source()</f>
        <v>VEERG 2026: Table 1.3: Climate and Rainfall zone classifications and definitions</v>
      </c>
    </row>
    <row r="83" spans="4:19" ht="20.100000000000001" customHeight="1" x14ac:dyDescent="0.25">
      <c r="D83" s="55" t="str" cm="1">
        <f t="array" ref="D83:D87">"⚠️" &amp; Common_SourceData.Common_SourceData_ClimateZones_Variation()</f>
        <v>⚠️VARIATION OF SOURCE DATA:</v>
      </c>
    </row>
    <row r="84" spans="4:19" ht="20.100000000000001" customHeight="1" x14ac:dyDescent="0.25">
      <c r="D84" s="55" t="str">
        <v>⚠️Added warm / cool temperate moist / dry - low frost and high temp classes to accommodate climate scenarios excluded by VEERG criteria.</v>
      </c>
    </row>
    <row r="85" spans="4:19" ht="20.100000000000001" customHeight="1" x14ac:dyDescent="0.25">
      <c r="D85" s="55" t="str">
        <v>⚠️Fixed typo in MAT value for warm temperate dry - changed 10 to 11.</v>
      </c>
    </row>
    <row r="86" spans="4:19" ht="20.100000000000001" customHeight="1" x14ac:dyDescent="0.25">
      <c r="D86" s="55" t="str">
        <v>⚠️Added min and max columns for MAT, MAP, frost days per year, elevation, MAP:PET to calculate zones from real climate data.</v>
      </c>
    </row>
    <row r="87" spans="4:19" ht="20.100000000000001" customHeight="1" x14ac:dyDescent="0.25">
      <c r="D87" s="55" t="str">
        <v>⚠️GAF accepts rainfall as a proxy for precipitation.</v>
      </c>
    </row>
    <row r="88" spans="4:19" ht="20.100000000000001" customHeight="1" x14ac:dyDescent="0.25"/>
    <row r="89" spans="4:19" ht="20.100000000000001" customHeight="1" x14ac:dyDescent="0.25">
      <c r="D89" s="37" t="s">
        <v>10</v>
      </c>
      <c r="E89" s="37" t="s">
        <v>36</v>
      </c>
      <c r="F89" s="37" t="s">
        <v>37</v>
      </c>
      <c r="G89" s="37" t="s">
        <v>38</v>
      </c>
      <c r="H89" s="37" t="s">
        <v>39</v>
      </c>
      <c r="I89" s="37" t="s">
        <v>40</v>
      </c>
      <c r="J89" s="37" t="s">
        <v>41</v>
      </c>
      <c r="K89" s="37" t="s">
        <v>42</v>
      </c>
      <c r="L89" s="37" t="s">
        <v>43</v>
      </c>
      <c r="M89" s="37" t="s">
        <v>44</v>
      </c>
      <c r="N89" s="37" t="s">
        <v>45</v>
      </c>
      <c r="O89" s="37" t="s">
        <v>49</v>
      </c>
      <c r="P89" s="37" t="s">
        <v>46</v>
      </c>
      <c r="Q89" s="37" t="s">
        <v>50</v>
      </c>
      <c r="R89" s="37" t="s">
        <v>47</v>
      </c>
      <c r="S89" s="37" t="s">
        <v>51</v>
      </c>
    </row>
    <row r="90" spans="4:19" ht="20.100000000000001" customHeight="1" x14ac:dyDescent="0.25">
      <c r="D90" s="37" t="str" cm="1">
        <f t="array" ref="D90">Common_InputFunctions.Utility_DisplayArrayInTable(Common_SourceData.Common_SourceData_ClimateZones_Data(), Table_SourceData_ClimateZones[[#Headers],[Climate zone]], 0)</f>
        <v>Tropical montane</v>
      </c>
      <c r="E90" s="37" t="str" cm="1">
        <f t="array" ref="E90">Common_InputFunctions.Utility_DisplayArrayInTable(Common_SourceData.Common_SourceData_ClimateZones_Data(), Table_SourceData_ClimateZones[[#Headers],[Climate zone]], 0)</f>
        <v>&gt; 18 C</v>
      </c>
      <c r="F90" s="37" t="str" cm="1">
        <f t="array" ref="F90">Common_InputFunctions.Utility_DisplayArrayInTable(Common_SourceData.Common_SourceData_ClimateZones_Data(), Table_SourceData_ClimateZones[[#Headers],[Climate zone]], 0)</f>
        <v>Any</v>
      </c>
      <c r="G90" s="37" t="str" cm="1">
        <f t="array" ref="G90">Common_InputFunctions.Utility_DisplayArrayInTable(Common_SourceData.Common_SourceData_ClimateZones_Data(), Table_SourceData_ClimateZones[[#Headers],[Climate zone]], 0)</f>
        <v>≤ 7</v>
      </c>
      <c r="H90" s="37" t="str" cm="1">
        <f t="array" ref="H90">Common_InputFunctions.Utility_DisplayArrayInTable(Common_SourceData.Common_SourceData_ClimateZones_Data(), Table_SourceData_ClimateZones[[#Headers],[Climate zone]], 0)</f>
        <v>&gt; 1000 m</v>
      </c>
      <c r="I90" s="37" t="str" cm="1">
        <f t="array" ref="I90">Common_InputFunctions.Utility_DisplayArrayInTable(Common_SourceData.Common_SourceData_ClimateZones_Data(), Table_SourceData_ClimateZones[[#Headers],[Climate zone]], 0)</f>
        <v>Any</v>
      </c>
      <c r="J90" s="37" cm="1">
        <f t="array" ref="J90">Common_InputFunctions.Utility_DisplayArrayInTable(Common_SourceData.Common_SourceData_ClimateZones_Data(), Table_SourceData_ClimateZones[[#Headers],[Climate zone]], 0)</f>
        <v>18.001000000000001</v>
      </c>
      <c r="K90" s="37" cm="1">
        <f t="array" ref="K90">Common_InputFunctions.Utility_DisplayArrayInTable(Common_SourceData.Common_SourceData_ClimateZones_Data(), Table_SourceData_ClimateZones[[#Headers],[Climate zone]], 0)</f>
        <v>999999</v>
      </c>
      <c r="L90" s="37" cm="1">
        <f t="array" ref="L90">Common_InputFunctions.Utility_DisplayArrayInTable(Common_SourceData.Common_SourceData_ClimateZones_Data(), Table_SourceData_ClimateZones[[#Headers],[Climate zone]], 0)</f>
        <v>-999999</v>
      </c>
      <c r="M90" s="37" cm="1">
        <f t="array" ref="M90">Common_InputFunctions.Utility_DisplayArrayInTable(Common_SourceData.Common_SourceData_ClimateZones_Data(), Table_SourceData_ClimateZones[[#Headers],[Climate zone]], 0)</f>
        <v>999999</v>
      </c>
      <c r="N90" s="37" cm="1">
        <f t="array" ref="N90">Common_InputFunctions.Utility_DisplayArrayInTable(Common_SourceData.Common_SourceData_ClimateZones_Data(), Table_SourceData_ClimateZones[[#Headers],[Climate zone]], 0)</f>
        <v>-999999</v>
      </c>
      <c r="O90" s="37" cm="1">
        <f t="array" ref="O90">Common_InputFunctions.Utility_DisplayArrayInTable(Common_SourceData.Common_SourceData_ClimateZones_Data(), Table_SourceData_ClimateZones[[#Headers],[Climate zone]], 0)</f>
        <v>7</v>
      </c>
      <c r="P90" s="37" cm="1">
        <f t="array" ref="P90">Common_InputFunctions.Utility_DisplayArrayInTable(Common_SourceData.Common_SourceData_ClimateZones_Data(), Table_SourceData_ClimateZones[[#Headers],[Climate zone]], 0)</f>
        <v>1000</v>
      </c>
      <c r="Q90" s="37" cm="1">
        <f t="array" ref="Q90">Common_InputFunctions.Utility_DisplayArrayInTable(Common_SourceData.Common_SourceData_ClimateZones_Data(), Table_SourceData_ClimateZones[[#Headers],[Climate zone]], 0)</f>
        <v>999999</v>
      </c>
      <c r="R90" s="37" cm="1">
        <f t="array" ref="R90">Common_InputFunctions.Utility_DisplayArrayInTable(Common_SourceData.Common_SourceData_ClimateZones_Data(), Table_SourceData_ClimateZones[[#Headers],[Climate zone]], 0)</f>
        <v>-999999</v>
      </c>
      <c r="S90" s="37" cm="1">
        <f t="array" ref="S90">Common_InputFunctions.Utility_DisplayArrayInTable(Common_SourceData.Common_SourceData_ClimateZones_Data(), Table_SourceData_ClimateZones[[#Headers],[Climate zone]], 0)</f>
        <v>999999</v>
      </c>
    </row>
    <row r="91" spans="4:19" ht="20.100000000000001" customHeight="1" x14ac:dyDescent="0.25">
      <c r="D91" s="37" t="str" cm="1">
        <f t="array" ref="D91">Common_InputFunctions.Utility_DisplayArrayInTable(Common_SourceData.Common_SourceData_ClimateZones_Data(), Table_SourceData_ClimateZones[[#Headers],[Climate zone]], 0)</f>
        <v>Tropical wet</v>
      </c>
      <c r="E91" s="37" t="str" cm="1">
        <f t="array" ref="E91">Common_InputFunctions.Utility_DisplayArrayInTable(Common_SourceData.Common_SourceData_ClimateZones_Data(), Table_SourceData_ClimateZones[[#Headers],[Climate zone]], 0)</f>
        <v>&gt; 18 C</v>
      </c>
      <c r="F91" s="37" t="str" cm="1">
        <f t="array" ref="F91">Common_InputFunctions.Utility_DisplayArrayInTable(Common_SourceData.Common_SourceData_ClimateZones_Data(), Table_SourceData_ClimateZones[[#Headers],[Climate zone]], 0)</f>
        <v>&gt; 2000 mm</v>
      </c>
      <c r="G91" s="37" t="str" cm="1">
        <f t="array" ref="G91">Common_InputFunctions.Utility_DisplayArrayInTable(Common_SourceData.Common_SourceData_ClimateZones_Data(), Table_SourceData_ClimateZones[[#Headers],[Climate zone]], 0)</f>
        <v>≤ 7</v>
      </c>
      <c r="H91" s="37" t="str" cm="1">
        <f t="array" ref="H91">Common_InputFunctions.Utility_DisplayArrayInTable(Common_SourceData.Common_SourceData_ClimateZones_Data(), Table_SourceData_ClimateZones[[#Headers],[Climate zone]], 0)</f>
        <v>≤ 1000 m</v>
      </c>
      <c r="I91" s="37" t="str" cm="1">
        <f t="array" ref="I91">Common_InputFunctions.Utility_DisplayArrayInTable(Common_SourceData.Common_SourceData_ClimateZones_Data(), Table_SourceData_ClimateZones[[#Headers],[Climate zone]], 0)</f>
        <v>Any</v>
      </c>
      <c r="J91" s="37" cm="1">
        <f t="array" ref="J91">Common_InputFunctions.Utility_DisplayArrayInTable(Common_SourceData.Common_SourceData_ClimateZones_Data(), Table_SourceData_ClimateZones[[#Headers],[Climate zone]], 0)</f>
        <v>18.001000000000001</v>
      </c>
      <c r="K91" s="37" cm="1">
        <f t="array" ref="K91">Common_InputFunctions.Utility_DisplayArrayInTable(Common_SourceData.Common_SourceData_ClimateZones_Data(), Table_SourceData_ClimateZones[[#Headers],[Climate zone]], 0)</f>
        <v>999999</v>
      </c>
      <c r="L91" s="37" cm="1">
        <f t="array" ref="L91">Common_InputFunctions.Utility_DisplayArrayInTable(Common_SourceData.Common_SourceData_ClimateZones_Data(), Table_SourceData_ClimateZones[[#Headers],[Climate zone]], 0)</f>
        <v>2000.001</v>
      </c>
      <c r="M91" s="37" cm="1">
        <f t="array" ref="M91">Common_InputFunctions.Utility_DisplayArrayInTable(Common_SourceData.Common_SourceData_ClimateZones_Data(), Table_SourceData_ClimateZones[[#Headers],[Climate zone]], 0)</f>
        <v>999999</v>
      </c>
      <c r="N91" s="37" cm="1">
        <f t="array" ref="N91">Common_InputFunctions.Utility_DisplayArrayInTable(Common_SourceData.Common_SourceData_ClimateZones_Data(), Table_SourceData_ClimateZones[[#Headers],[Climate zone]], 0)</f>
        <v>-999999</v>
      </c>
      <c r="O91" s="37" cm="1">
        <f t="array" ref="O91">Common_InputFunctions.Utility_DisplayArrayInTable(Common_SourceData.Common_SourceData_ClimateZones_Data(), Table_SourceData_ClimateZones[[#Headers],[Climate zone]], 0)</f>
        <v>7</v>
      </c>
      <c r="P91" s="37" cm="1">
        <f t="array" ref="P91">Common_InputFunctions.Utility_DisplayArrayInTable(Common_SourceData.Common_SourceData_ClimateZones_Data(), Table_SourceData_ClimateZones[[#Headers],[Climate zone]], 0)</f>
        <v>-999999</v>
      </c>
      <c r="Q91" s="37" cm="1">
        <f t="array" ref="Q91">Common_InputFunctions.Utility_DisplayArrayInTable(Common_SourceData.Common_SourceData_ClimateZones_Data(), Table_SourceData_ClimateZones[[#Headers],[Climate zone]], 0)</f>
        <v>999.99900000000002</v>
      </c>
      <c r="R91" s="37" cm="1">
        <f t="array" ref="R91">Common_InputFunctions.Utility_DisplayArrayInTable(Common_SourceData.Common_SourceData_ClimateZones_Data(), Table_SourceData_ClimateZones[[#Headers],[Climate zone]], 0)</f>
        <v>-999999</v>
      </c>
      <c r="S91" s="37" cm="1">
        <f t="array" ref="S91">Common_InputFunctions.Utility_DisplayArrayInTable(Common_SourceData.Common_SourceData_ClimateZones_Data(), Table_SourceData_ClimateZones[[#Headers],[Climate zone]], 0)</f>
        <v>999999</v>
      </c>
    </row>
    <row r="92" spans="4:19" ht="20.100000000000001" customHeight="1" x14ac:dyDescent="0.25">
      <c r="D92" s="37" t="str" cm="1">
        <f t="array" ref="D92">Common_InputFunctions.Utility_DisplayArrayInTable(Common_SourceData.Common_SourceData_ClimateZones_Data(), Table_SourceData_ClimateZones[[#Headers],[Climate zone]], 0)</f>
        <v>Tropical moist</v>
      </c>
      <c r="E92" s="37" t="str" cm="1">
        <f t="array" ref="E92">Common_InputFunctions.Utility_DisplayArrayInTable(Common_SourceData.Common_SourceData_ClimateZones_Data(), Table_SourceData_ClimateZones[[#Headers],[Climate zone]], 0)</f>
        <v>&gt; 18 C</v>
      </c>
      <c r="F92" s="37" t="str" cm="1">
        <f t="array" ref="F92">Common_InputFunctions.Utility_DisplayArrayInTable(Common_SourceData.Common_SourceData_ClimateZones_Data(), Table_SourceData_ClimateZones[[#Headers],[Climate zone]], 0)</f>
        <v>&gt; 1000 mm - ≤ 2000 mm</v>
      </c>
      <c r="G92" s="37" t="str" cm="1">
        <f t="array" ref="G92">Common_InputFunctions.Utility_DisplayArrayInTable(Common_SourceData.Common_SourceData_ClimateZones_Data(), Table_SourceData_ClimateZones[[#Headers],[Climate zone]], 0)</f>
        <v>≤ 7</v>
      </c>
      <c r="H92" s="37" t="str" cm="1">
        <f t="array" ref="H92">Common_InputFunctions.Utility_DisplayArrayInTable(Common_SourceData.Common_SourceData_ClimateZones_Data(), Table_SourceData_ClimateZones[[#Headers],[Climate zone]], 0)</f>
        <v>≤ 1000 m</v>
      </c>
      <c r="I92" s="37" t="str" cm="1">
        <f t="array" ref="I92">Common_InputFunctions.Utility_DisplayArrayInTable(Common_SourceData.Common_SourceData_ClimateZones_Data(), Table_SourceData_ClimateZones[[#Headers],[Climate zone]], 0)</f>
        <v>Any</v>
      </c>
      <c r="J92" s="37" cm="1">
        <f t="array" ref="J92">Common_InputFunctions.Utility_DisplayArrayInTable(Common_SourceData.Common_SourceData_ClimateZones_Data(), Table_SourceData_ClimateZones[[#Headers],[Climate zone]], 0)</f>
        <v>18.001000000000001</v>
      </c>
      <c r="K92" s="37" cm="1">
        <f t="array" ref="K92">Common_InputFunctions.Utility_DisplayArrayInTable(Common_SourceData.Common_SourceData_ClimateZones_Data(), Table_SourceData_ClimateZones[[#Headers],[Climate zone]], 0)</f>
        <v>999999</v>
      </c>
      <c r="L92" s="37" cm="1">
        <f t="array" ref="L92">Common_InputFunctions.Utility_DisplayArrayInTable(Common_SourceData.Common_SourceData_ClimateZones_Data(), Table_SourceData_ClimateZones[[#Headers],[Climate zone]], 0)</f>
        <v>1000.001</v>
      </c>
      <c r="M92" s="37" cm="1">
        <f t="array" ref="M92">Common_InputFunctions.Utility_DisplayArrayInTable(Common_SourceData.Common_SourceData_ClimateZones_Data(), Table_SourceData_ClimateZones[[#Headers],[Climate zone]], 0)</f>
        <v>2000</v>
      </c>
      <c r="N92" s="37" cm="1">
        <f t="array" ref="N92">Common_InputFunctions.Utility_DisplayArrayInTable(Common_SourceData.Common_SourceData_ClimateZones_Data(), Table_SourceData_ClimateZones[[#Headers],[Climate zone]], 0)</f>
        <v>-999999</v>
      </c>
      <c r="O92" s="37" cm="1">
        <f t="array" ref="O92">Common_InputFunctions.Utility_DisplayArrayInTable(Common_SourceData.Common_SourceData_ClimateZones_Data(), Table_SourceData_ClimateZones[[#Headers],[Climate zone]], 0)</f>
        <v>7</v>
      </c>
      <c r="P92" s="37" cm="1">
        <f t="array" ref="P92">Common_InputFunctions.Utility_DisplayArrayInTable(Common_SourceData.Common_SourceData_ClimateZones_Data(), Table_SourceData_ClimateZones[[#Headers],[Climate zone]], 0)</f>
        <v>-999999</v>
      </c>
      <c r="Q92" s="37" cm="1">
        <f t="array" ref="Q92">Common_InputFunctions.Utility_DisplayArrayInTable(Common_SourceData.Common_SourceData_ClimateZones_Data(), Table_SourceData_ClimateZones[[#Headers],[Climate zone]], 0)</f>
        <v>999.99900000000002</v>
      </c>
      <c r="R92" s="37" cm="1">
        <f t="array" ref="R92">Common_InputFunctions.Utility_DisplayArrayInTable(Common_SourceData.Common_SourceData_ClimateZones_Data(), Table_SourceData_ClimateZones[[#Headers],[Climate zone]], 0)</f>
        <v>-999999</v>
      </c>
      <c r="S92" s="37" cm="1">
        <f t="array" ref="S92">Common_InputFunctions.Utility_DisplayArrayInTable(Common_SourceData.Common_SourceData_ClimateZones_Data(), Table_SourceData_ClimateZones[[#Headers],[Climate zone]], 0)</f>
        <v>999999</v>
      </c>
    </row>
    <row r="93" spans="4:19" ht="20.100000000000001" customHeight="1" x14ac:dyDescent="0.25">
      <c r="D93" s="37" t="str" cm="1">
        <f t="array" ref="D93">Common_InputFunctions.Utility_DisplayArrayInTable(Common_SourceData.Common_SourceData_ClimateZones_Data(), Table_SourceData_ClimateZones[[#Headers],[Climate zone]], 0)</f>
        <v>Tropical dry</v>
      </c>
      <c r="E93" s="37" t="str" cm="1">
        <f t="array" ref="E93">Common_InputFunctions.Utility_DisplayArrayInTable(Common_SourceData.Common_SourceData_ClimateZones_Data(), Table_SourceData_ClimateZones[[#Headers],[Climate zone]], 0)</f>
        <v>&gt; 18 C</v>
      </c>
      <c r="F93" s="37" t="str" cm="1">
        <f t="array" ref="F93">Common_InputFunctions.Utility_DisplayArrayInTable(Common_SourceData.Common_SourceData_ClimateZones_Data(), Table_SourceData_ClimateZones[[#Headers],[Climate zone]], 0)</f>
        <v>≤ 1000 mm</v>
      </c>
      <c r="G93" s="37" t="str" cm="1">
        <f t="array" ref="G93">Common_InputFunctions.Utility_DisplayArrayInTable(Common_SourceData.Common_SourceData_ClimateZones_Data(), Table_SourceData_ClimateZones[[#Headers],[Climate zone]], 0)</f>
        <v>≤ 7</v>
      </c>
      <c r="H93" s="37" t="str" cm="1">
        <f t="array" ref="H93">Common_InputFunctions.Utility_DisplayArrayInTable(Common_SourceData.Common_SourceData_ClimateZones_Data(), Table_SourceData_ClimateZones[[#Headers],[Climate zone]], 0)</f>
        <v>≤ 1000 m</v>
      </c>
      <c r="I93" s="37" t="str" cm="1">
        <f t="array" ref="I93">Common_InputFunctions.Utility_DisplayArrayInTable(Common_SourceData.Common_SourceData_ClimateZones_Data(), Table_SourceData_ClimateZones[[#Headers],[Climate zone]], 0)</f>
        <v>Any</v>
      </c>
      <c r="J93" s="37" cm="1">
        <f t="array" ref="J93">Common_InputFunctions.Utility_DisplayArrayInTable(Common_SourceData.Common_SourceData_ClimateZones_Data(), Table_SourceData_ClimateZones[[#Headers],[Climate zone]], 0)</f>
        <v>18.001000000000001</v>
      </c>
      <c r="K93" s="37" cm="1">
        <f t="array" ref="K93">Common_InputFunctions.Utility_DisplayArrayInTable(Common_SourceData.Common_SourceData_ClimateZones_Data(), Table_SourceData_ClimateZones[[#Headers],[Climate zone]], 0)</f>
        <v>999999</v>
      </c>
      <c r="L93" s="37" cm="1">
        <f t="array" ref="L93">Common_InputFunctions.Utility_DisplayArrayInTable(Common_SourceData.Common_SourceData_ClimateZones_Data(), Table_SourceData_ClimateZones[[#Headers],[Climate zone]], 0)</f>
        <v>-999999</v>
      </c>
      <c r="M93" s="37" cm="1">
        <f t="array" ref="M93">Common_InputFunctions.Utility_DisplayArrayInTable(Common_SourceData.Common_SourceData_ClimateZones_Data(), Table_SourceData_ClimateZones[[#Headers],[Climate zone]], 0)</f>
        <v>1000</v>
      </c>
      <c r="N93" s="37" cm="1">
        <f t="array" ref="N93">Common_InputFunctions.Utility_DisplayArrayInTable(Common_SourceData.Common_SourceData_ClimateZones_Data(), Table_SourceData_ClimateZones[[#Headers],[Climate zone]], 0)</f>
        <v>-999999</v>
      </c>
      <c r="O93" s="37" cm="1">
        <f t="array" ref="O93">Common_InputFunctions.Utility_DisplayArrayInTable(Common_SourceData.Common_SourceData_ClimateZones_Data(), Table_SourceData_ClimateZones[[#Headers],[Climate zone]], 0)</f>
        <v>7</v>
      </c>
      <c r="P93" s="37" cm="1">
        <f t="array" ref="P93">Common_InputFunctions.Utility_DisplayArrayInTable(Common_SourceData.Common_SourceData_ClimateZones_Data(), Table_SourceData_ClimateZones[[#Headers],[Climate zone]], 0)</f>
        <v>-999999</v>
      </c>
      <c r="Q93" s="37" cm="1">
        <f t="array" ref="Q93">Common_InputFunctions.Utility_DisplayArrayInTable(Common_SourceData.Common_SourceData_ClimateZones_Data(), Table_SourceData_ClimateZones[[#Headers],[Climate zone]], 0)</f>
        <v>999.99900000000002</v>
      </c>
      <c r="R93" s="37" cm="1">
        <f t="array" ref="R93">Common_InputFunctions.Utility_DisplayArrayInTable(Common_SourceData.Common_SourceData_ClimateZones_Data(), Table_SourceData_ClimateZones[[#Headers],[Climate zone]], 0)</f>
        <v>-999999</v>
      </c>
      <c r="S93" s="37" cm="1">
        <f t="array" ref="S93">Common_InputFunctions.Utility_DisplayArrayInTable(Common_SourceData.Common_SourceData_ClimateZones_Data(), Table_SourceData_ClimateZones[[#Headers],[Climate zone]], 0)</f>
        <v>999999</v>
      </c>
    </row>
    <row r="94" spans="4:19" ht="20.100000000000001" customHeight="1" x14ac:dyDescent="0.25">
      <c r="D94" s="37" t="str" cm="1">
        <f t="array" ref="D94">Common_InputFunctions.Utility_DisplayArrayInTable(Common_SourceData.Common_SourceData_ClimateZones_Data(), Table_SourceData_ClimateZones[[#Headers],[Climate zone]], 0)</f>
        <v>Warm temperate moist</v>
      </c>
      <c r="E94" s="37" t="str" cm="1">
        <f t="array" ref="E94">Common_InputFunctions.Utility_DisplayArrayInTable(Common_SourceData.Common_SourceData_ClimateZones_Data(), Table_SourceData_ClimateZones[[#Headers],[Climate zone]], 0)</f>
        <v>&gt; 10 C</v>
      </c>
      <c r="F94" s="37" t="str" cm="1">
        <f t="array" ref="F94">Common_InputFunctions.Utility_DisplayArrayInTable(Common_SourceData.Common_SourceData_ClimateZones_Data(), Table_SourceData_ClimateZones[[#Headers],[Climate zone]], 0)</f>
        <v>Any</v>
      </c>
      <c r="G94" s="37" t="str" cm="1">
        <f t="array" ref="G94">Common_InputFunctions.Utility_DisplayArrayInTable(Common_SourceData.Common_SourceData_ClimateZones_Data(), Table_SourceData_ClimateZones[[#Headers],[Climate zone]], 0)</f>
        <v>Any</v>
      </c>
      <c r="H94" s="37" t="str" cm="1">
        <f t="array" ref="H94">Common_InputFunctions.Utility_DisplayArrayInTable(Common_SourceData.Common_SourceData_ClimateZones_Data(), Table_SourceData_ClimateZones[[#Headers],[Climate zone]], 0)</f>
        <v>Any</v>
      </c>
      <c r="I94" s="37" t="str" cm="1">
        <f t="array" ref="I94">Common_InputFunctions.Utility_DisplayArrayInTable(Common_SourceData.Common_SourceData_ClimateZones_Data(), Table_SourceData_ClimateZones[[#Headers],[Climate zone]], 0)</f>
        <v>&gt; 1</v>
      </c>
      <c r="J94" s="37" cm="1">
        <f t="array" ref="J94">Common_InputFunctions.Utility_DisplayArrayInTable(Common_SourceData.Common_SourceData_ClimateZones_Data(), Table_SourceData_ClimateZones[[#Headers],[Climate zone]], 0)</f>
        <v>10.000999999999999</v>
      </c>
      <c r="K94" s="37" cm="1">
        <f t="array" ref="K94">Common_InputFunctions.Utility_DisplayArrayInTable(Common_SourceData.Common_SourceData_ClimateZones_Data(), Table_SourceData_ClimateZones[[#Headers],[Climate zone]], 0)</f>
        <v>999999</v>
      </c>
      <c r="L94" s="37" cm="1">
        <f t="array" ref="L94">Common_InputFunctions.Utility_DisplayArrayInTable(Common_SourceData.Common_SourceData_ClimateZones_Data(), Table_SourceData_ClimateZones[[#Headers],[Climate zone]], 0)</f>
        <v>-999999</v>
      </c>
      <c r="M94" s="37" cm="1">
        <f t="array" ref="M94">Common_InputFunctions.Utility_DisplayArrayInTable(Common_SourceData.Common_SourceData_ClimateZones_Data(), Table_SourceData_ClimateZones[[#Headers],[Climate zone]], 0)</f>
        <v>999999</v>
      </c>
      <c r="N94" s="37" cm="1">
        <f t="array" ref="N94">Common_InputFunctions.Utility_DisplayArrayInTable(Common_SourceData.Common_SourceData_ClimateZones_Data(), Table_SourceData_ClimateZones[[#Headers],[Climate zone]], 0)</f>
        <v>-999999</v>
      </c>
      <c r="O94" s="37" cm="1">
        <f t="array" ref="O94">Common_InputFunctions.Utility_DisplayArrayInTable(Common_SourceData.Common_SourceData_ClimateZones_Data(), Table_SourceData_ClimateZones[[#Headers],[Climate zone]], 0)</f>
        <v>999999</v>
      </c>
      <c r="P94" s="37" cm="1">
        <f t="array" ref="P94">Common_InputFunctions.Utility_DisplayArrayInTable(Common_SourceData.Common_SourceData_ClimateZones_Data(), Table_SourceData_ClimateZones[[#Headers],[Climate zone]], 0)</f>
        <v>-999999</v>
      </c>
      <c r="Q94" s="37" cm="1">
        <f t="array" ref="Q94">Common_InputFunctions.Utility_DisplayArrayInTable(Common_SourceData.Common_SourceData_ClimateZones_Data(), Table_SourceData_ClimateZones[[#Headers],[Climate zone]], 0)</f>
        <v>999999</v>
      </c>
      <c r="R94" s="37" cm="1">
        <f t="array" ref="R94">Common_InputFunctions.Utility_DisplayArrayInTable(Common_SourceData.Common_SourceData_ClimateZones_Data(), Table_SourceData_ClimateZones[[#Headers],[Climate zone]], 0)</f>
        <v>1.0009999999999999</v>
      </c>
      <c r="S94" s="37" cm="1">
        <f t="array" ref="S94">Common_InputFunctions.Utility_DisplayArrayInTable(Common_SourceData.Common_SourceData_ClimateZones_Data(), Table_SourceData_ClimateZones[[#Headers],[Climate zone]], 0)</f>
        <v>999999</v>
      </c>
    </row>
    <row r="95" spans="4:19" ht="20.100000000000001" customHeight="1" x14ac:dyDescent="0.25">
      <c r="D95" s="37" t="str" cm="1">
        <f t="array" ref="D95">Common_InputFunctions.Utility_DisplayArrayInTable(Common_SourceData.Common_SourceData_ClimateZones_Data(), Table_SourceData_ClimateZones[[#Headers],[Climate zone]], 0)</f>
        <v>Warm temperate dry</v>
      </c>
      <c r="E95" s="37" t="str" cm="1">
        <f t="array" ref="E95">Common_InputFunctions.Utility_DisplayArrayInTable(Common_SourceData.Common_SourceData_ClimateZones_Data(), Table_SourceData_ClimateZones[[#Headers],[Climate zone]], 0)</f>
        <v>&gt; 10 C</v>
      </c>
      <c r="F95" s="37" t="str" cm="1">
        <f t="array" ref="F95">Common_InputFunctions.Utility_DisplayArrayInTable(Common_SourceData.Common_SourceData_ClimateZones_Data(), Table_SourceData_ClimateZones[[#Headers],[Climate zone]], 0)</f>
        <v>Any</v>
      </c>
      <c r="G95" s="37" t="str" cm="1">
        <f t="array" ref="G95">Common_InputFunctions.Utility_DisplayArrayInTable(Common_SourceData.Common_SourceData_ClimateZones_Data(), Table_SourceData_ClimateZones[[#Headers],[Climate zone]], 0)</f>
        <v>Any</v>
      </c>
      <c r="H95" s="37" t="str" cm="1">
        <f t="array" ref="H95">Common_InputFunctions.Utility_DisplayArrayInTable(Common_SourceData.Common_SourceData_ClimateZones_Data(), Table_SourceData_ClimateZones[[#Headers],[Climate zone]], 0)</f>
        <v>Any</v>
      </c>
      <c r="I95" s="37" t="str" cm="1">
        <f t="array" ref="I95">Common_InputFunctions.Utility_DisplayArrayInTable(Common_SourceData.Common_SourceData_ClimateZones_Data(), Table_SourceData_ClimateZones[[#Headers],[Climate zone]], 0)</f>
        <v>≤ 1</v>
      </c>
      <c r="J95" s="37" cm="1">
        <f t="array" ref="J95">Common_InputFunctions.Utility_DisplayArrayInTable(Common_SourceData.Common_SourceData_ClimateZones_Data(), Table_SourceData_ClimateZones[[#Headers],[Climate zone]], 0)</f>
        <v>10.000999999999999</v>
      </c>
      <c r="K95" s="37" cm="1">
        <f t="array" ref="K95">Common_InputFunctions.Utility_DisplayArrayInTable(Common_SourceData.Common_SourceData_ClimateZones_Data(), Table_SourceData_ClimateZones[[#Headers],[Climate zone]], 0)</f>
        <v>999999</v>
      </c>
      <c r="L95" s="37" cm="1">
        <f t="array" ref="L95">Common_InputFunctions.Utility_DisplayArrayInTable(Common_SourceData.Common_SourceData_ClimateZones_Data(), Table_SourceData_ClimateZones[[#Headers],[Climate zone]], 0)</f>
        <v>-999999</v>
      </c>
      <c r="M95" s="37" cm="1">
        <f t="array" ref="M95">Common_InputFunctions.Utility_DisplayArrayInTable(Common_SourceData.Common_SourceData_ClimateZones_Data(), Table_SourceData_ClimateZones[[#Headers],[Climate zone]], 0)</f>
        <v>999999</v>
      </c>
      <c r="N95" s="37" cm="1">
        <f t="array" ref="N95">Common_InputFunctions.Utility_DisplayArrayInTable(Common_SourceData.Common_SourceData_ClimateZones_Data(), Table_SourceData_ClimateZones[[#Headers],[Climate zone]], 0)</f>
        <v>-999999</v>
      </c>
      <c r="O95" s="37" cm="1">
        <f t="array" ref="O95">Common_InputFunctions.Utility_DisplayArrayInTable(Common_SourceData.Common_SourceData_ClimateZones_Data(), Table_SourceData_ClimateZones[[#Headers],[Climate zone]], 0)</f>
        <v>999999</v>
      </c>
      <c r="P95" s="37" cm="1">
        <f t="array" ref="P95">Common_InputFunctions.Utility_DisplayArrayInTable(Common_SourceData.Common_SourceData_ClimateZones_Data(), Table_SourceData_ClimateZones[[#Headers],[Climate zone]], 0)</f>
        <v>-999999</v>
      </c>
      <c r="Q95" s="37" cm="1">
        <f t="array" ref="Q95">Common_InputFunctions.Utility_DisplayArrayInTable(Common_SourceData.Common_SourceData_ClimateZones_Data(), Table_SourceData_ClimateZones[[#Headers],[Climate zone]], 0)</f>
        <v>999999</v>
      </c>
      <c r="R95" s="37" cm="1">
        <f t="array" ref="R95">Common_InputFunctions.Utility_DisplayArrayInTable(Common_SourceData.Common_SourceData_ClimateZones_Data(), Table_SourceData_ClimateZones[[#Headers],[Climate zone]], 0)</f>
        <v>-999999</v>
      </c>
      <c r="S95" s="37" cm="1">
        <f t="array" ref="S95">Common_InputFunctions.Utility_DisplayArrayInTable(Common_SourceData.Common_SourceData_ClimateZones_Data(), Table_SourceData_ClimateZones[[#Headers],[Climate zone]], 0)</f>
        <v>1</v>
      </c>
    </row>
    <row r="96" spans="4:19" ht="20.100000000000001" customHeight="1" x14ac:dyDescent="0.25">
      <c r="D96" s="37" t="str" cm="1">
        <f t="array" ref="D96">Common_InputFunctions.Utility_DisplayArrayInTable(Common_SourceData.Common_SourceData_ClimateZones_Data(), Table_SourceData_ClimateZones[[#Headers],[Climate zone]], 0)</f>
        <v>Cool temperate moist</v>
      </c>
      <c r="E96" s="37" t="str" cm="1">
        <f t="array" ref="E96">Common_InputFunctions.Utility_DisplayArrayInTable(Common_SourceData.Common_SourceData_ClimateZones_Data(), Table_SourceData_ClimateZones[[#Headers],[Climate zone]], 0)</f>
        <v>&gt; 0 C - ≤ 10 C</v>
      </c>
      <c r="F96" s="37" t="str" cm="1">
        <f t="array" ref="F96">Common_InputFunctions.Utility_DisplayArrayInTable(Common_SourceData.Common_SourceData_ClimateZones_Data(), Table_SourceData_ClimateZones[[#Headers],[Climate zone]], 0)</f>
        <v>Any</v>
      </c>
      <c r="G96" s="37" t="str" cm="1">
        <f t="array" ref="G96">Common_InputFunctions.Utility_DisplayArrayInTable(Common_SourceData.Common_SourceData_ClimateZones_Data(), Table_SourceData_ClimateZones[[#Headers],[Climate zone]], 0)</f>
        <v>Any</v>
      </c>
      <c r="H96" s="37" t="str" cm="1">
        <f t="array" ref="H96">Common_InputFunctions.Utility_DisplayArrayInTable(Common_SourceData.Common_SourceData_ClimateZones_Data(), Table_SourceData_ClimateZones[[#Headers],[Climate zone]], 0)</f>
        <v>Any</v>
      </c>
      <c r="I96" s="37" t="str" cm="1">
        <f t="array" ref="I96">Common_InputFunctions.Utility_DisplayArrayInTable(Common_SourceData.Common_SourceData_ClimateZones_Data(), Table_SourceData_ClimateZones[[#Headers],[Climate zone]], 0)</f>
        <v>&gt; 1</v>
      </c>
      <c r="J96" s="37" cm="1">
        <f t="array" ref="J96">Common_InputFunctions.Utility_DisplayArrayInTable(Common_SourceData.Common_SourceData_ClimateZones_Data(), Table_SourceData_ClimateZones[[#Headers],[Climate zone]], 0)</f>
        <v>-999999</v>
      </c>
      <c r="K96" s="37" cm="1">
        <f t="array" ref="K96">Common_InputFunctions.Utility_DisplayArrayInTable(Common_SourceData.Common_SourceData_ClimateZones_Data(), Table_SourceData_ClimateZones[[#Headers],[Climate zone]], 0)</f>
        <v>10</v>
      </c>
      <c r="L96" s="37" cm="1">
        <f t="array" ref="L96">Common_InputFunctions.Utility_DisplayArrayInTable(Common_SourceData.Common_SourceData_ClimateZones_Data(), Table_SourceData_ClimateZones[[#Headers],[Climate zone]], 0)</f>
        <v>-999999</v>
      </c>
      <c r="M96" s="37" cm="1">
        <f t="array" ref="M96">Common_InputFunctions.Utility_DisplayArrayInTable(Common_SourceData.Common_SourceData_ClimateZones_Data(), Table_SourceData_ClimateZones[[#Headers],[Climate zone]], 0)</f>
        <v>999999</v>
      </c>
      <c r="N96" s="37" cm="1">
        <f t="array" ref="N96">Common_InputFunctions.Utility_DisplayArrayInTable(Common_SourceData.Common_SourceData_ClimateZones_Data(), Table_SourceData_ClimateZones[[#Headers],[Climate zone]], 0)</f>
        <v>-999999</v>
      </c>
      <c r="O96" s="37" cm="1">
        <f t="array" ref="O96">Common_InputFunctions.Utility_DisplayArrayInTable(Common_SourceData.Common_SourceData_ClimateZones_Data(), Table_SourceData_ClimateZones[[#Headers],[Climate zone]], 0)</f>
        <v>999999</v>
      </c>
      <c r="P96" s="37" cm="1">
        <f t="array" ref="P96">Common_InputFunctions.Utility_DisplayArrayInTable(Common_SourceData.Common_SourceData_ClimateZones_Data(), Table_SourceData_ClimateZones[[#Headers],[Climate zone]], 0)</f>
        <v>-999999</v>
      </c>
      <c r="Q96" s="37" cm="1">
        <f t="array" ref="Q96">Common_InputFunctions.Utility_DisplayArrayInTable(Common_SourceData.Common_SourceData_ClimateZones_Data(), Table_SourceData_ClimateZones[[#Headers],[Climate zone]], 0)</f>
        <v>999999</v>
      </c>
      <c r="R96" s="37" cm="1">
        <f t="array" ref="R96">Common_InputFunctions.Utility_DisplayArrayInTable(Common_SourceData.Common_SourceData_ClimateZones_Data(), Table_SourceData_ClimateZones[[#Headers],[Climate zone]], 0)</f>
        <v>1.0009999999999999</v>
      </c>
      <c r="S96" s="37" cm="1">
        <f t="array" ref="S96">Common_InputFunctions.Utility_DisplayArrayInTable(Common_SourceData.Common_SourceData_ClimateZones_Data(), Table_SourceData_ClimateZones[[#Headers],[Climate zone]], 0)</f>
        <v>999999</v>
      </c>
    </row>
    <row r="97" spans="4:19" ht="20.100000000000001" customHeight="1" x14ac:dyDescent="0.25">
      <c r="D97" s="37" t="str" cm="1">
        <f t="array" ref="D97">Common_InputFunctions.Utility_DisplayArrayInTable(Common_SourceData.Common_SourceData_ClimateZones_Data(), Table_SourceData_ClimateZones[[#Headers],[Climate zone]], 0)</f>
        <v>Cool temperate dry</v>
      </c>
      <c r="E97" s="37" t="str" cm="1">
        <f t="array" ref="E97">Common_InputFunctions.Utility_DisplayArrayInTable(Common_SourceData.Common_SourceData_ClimateZones_Data(), Table_SourceData_ClimateZones[[#Headers],[Climate zone]], 0)</f>
        <v>&gt; 0 C - ≤ 10 C</v>
      </c>
      <c r="F97" s="37" t="str" cm="1">
        <f t="array" ref="F97">Common_InputFunctions.Utility_DisplayArrayInTable(Common_SourceData.Common_SourceData_ClimateZones_Data(), Table_SourceData_ClimateZones[[#Headers],[Climate zone]], 0)</f>
        <v>Any</v>
      </c>
      <c r="G97" s="37" t="str" cm="1">
        <f t="array" ref="G97">Common_InputFunctions.Utility_DisplayArrayInTable(Common_SourceData.Common_SourceData_ClimateZones_Data(), Table_SourceData_ClimateZones[[#Headers],[Climate zone]], 0)</f>
        <v>Any</v>
      </c>
      <c r="H97" s="37" t="str" cm="1">
        <f t="array" ref="H97">Common_InputFunctions.Utility_DisplayArrayInTable(Common_SourceData.Common_SourceData_ClimateZones_Data(), Table_SourceData_ClimateZones[[#Headers],[Climate zone]], 0)</f>
        <v>Any</v>
      </c>
      <c r="I97" s="37" t="str" cm="1">
        <f t="array" ref="I97">Common_InputFunctions.Utility_DisplayArrayInTable(Common_SourceData.Common_SourceData_ClimateZones_Data(), Table_SourceData_ClimateZones[[#Headers],[Climate zone]], 0)</f>
        <v>≤ 1</v>
      </c>
      <c r="J97" s="37" cm="1">
        <f t="array" ref="J97">Common_InputFunctions.Utility_DisplayArrayInTable(Common_SourceData.Common_SourceData_ClimateZones_Data(), Table_SourceData_ClimateZones[[#Headers],[Climate zone]], 0)</f>
        <v>-999999</v>
      </c>
      <c r="K97" s="37" cm="1">
        <f t="array" ref="K97">Common_InputFunctions.Utility_DisplayArrayInTable(Common_SourceData.Common_SourceData_ClimateZones_Data(), Table_SourceData_ClimateZones[[#Headers],[Climate zone]], 0)</f>
        <v>10</v>
      </c>
      <c r="L97" s="37" cm="1">
        <f t="array" ref="L97">Common_InputFunctions.Utility_DisplayArrayInTable(Common_SourceData.Common_SourceData_ClimateZones_Data(), Table_SourceData_ClimateZones[[#Headers],[Climate zone]], 0)</f>
        <v>-999999</v>
      </c>
      <c r="M97" s="37" cm="1">
        <f t="array" ref="M97">Common_InputFunctions.Utility_DisplayArrayInTable(Common_SourceData.Common_SourceData_ClimateZones_Data(), Table_SourceData_ClimateZones[[#Headers],[Climate zone]], 0)</f>
        <v>999999</v>
      </c>
      <c r="N97" s="37" cm="1">
        <f t="array" ref="N97">Common_InputFunctions.Utility_DisplayArrayInTable(Common_SourceData.Common_SourceData_ClimateZones_Data(), Table_SourceData_ClimateZones[[#Headers],[Climate zone]], 0)</f>
        <v>-999999</v>
      </c>
      <c r="O97" s="37" cm="1">
        <f t="array" ref="O97">Common_InputFunctions.Utility_DisplayArrayInTable(Common_SourceData.Common_SourceData_ClimateZones_Data(), Table_SourceData_ClimateZones[[#Headers],[Climate zone]], 0)</f>
        <v>999999</v>
      </c>
      <c r="P97" s="37" cm="1">
        <f t="array" ref="P97">Common_InputFunctions.Utility_DisplayArrayInTable(Common_SourceData.Common_SourceData_ClimateZones_Data(), Table_SourceData_ClimateZones[[#Headers],[Climate zone]], 0)</f>
        <v>-999999</v>
      </c>
      <c r="Q97" s="37" cm="1">
        <f t="array" ref="Q97">Common_InputFunctions.Utility_DisplayArrayInTable(Common_SourceData.Common_SourceData_ClimateZones_Data(), Table_SourceData_ClimateZones[[#Headers],[Climate zone]], 0)</f>
        <v>999999</v>
      </c>
      <c r="R97" s="37" cm="1">
        <f t="array" ref="R97">Common_InputFunctions.Utility_DisplayArrayInTable(Common_SourceData.Common_SourceData_ClimateZones_Data(), Table_SourceData_ClimateZones[[#Headers],[Climate zone]], 0)</f>
        <v>-999999</v>
      </c>
      <c r="S97" s="37" cm="1">
        <f t="array" ref="S97">Common_InputFunctions.Utility_DisplayArrayInTable(Common_SourceData.Common_SourceData_ClimateZones_Data(), Table_SourceData_ClimateZones[[#Headers],[Climate zone]], 0)</f>
        <v>1</v>
      </c>
    </row>
    <row r="98" spans="4:19" ht="20.100000000000001" customHeight="1" x14ac:dyDescent="0.25">
      <c r="D98" s="54" t="str" cm="1">
        <f t="array" ref="D98:D101">Common_SourceData.Common_SourceData_ClimateZones_Appendices()</f>
        <v>Note:</v>
      </c>
    </row>
    <row r="99" spans="4:19" ht="20.100000000000001" customHeight="1" x14ac:dyDescent="0.25">
      <c r="D99" s="54" t="str">
        <v>MAT = mean annual temperature</v>
      </c>
    </row>
    <row r="100" spans="4:19" ht="20.100000000000001" customHeight="1" x14ac:dyDescent="0.25">
      <c r="D100" s="54" t="str">
        <v>MAP = mean annual precipitation</v>
      </c>
    </row>
    <row r="101" spans="4:19" ht="20.100000000000001" customHeight="1" x14ac:dyDescent="0.25">
      <c r="D101" s="54" t="str">
        <v>PET = potential evapotranspiration</v>
      </c>
    </row>
    <row r="102" spans="4:19" ht="20.100000000000001" customHeight="1" x14ac:dyDescent="0.25">
      <c r="D102" s="54"/>
    </row>
    <row r="103" spans="4:19" ht="20.100000000000001" customHeight="1" x14ac:dyDescent="0.25"/>
    <row r="104" spans="4:19" ht="20.100000000000001" customHeight="1" x14ac:dyDescent="0.25"/>
    <row r="105" spans="4:19" ht="20.100000000000001" customHeight="1" x14ac:dyDescent="0.25">
      <c r="D105" s="6" t="str" cm="1">
        <f t="array" ref="D105">Common_SourceData.Common_SourceData_TemperatureZones_Title()</f>
        <v>VEERG Australian temperature zones</v>
      </c>
    </row>
    <row r="106" spans="4:19" ht="20.100000000000001" customHeight="1" x14ac:dyDescent="0.25">
      <c r="D106" s="5" t="str" cm="1">
        <f t="array" ref="D106">Common_SourceData.Common_SourceData_TemperatureZones_Source()</f>
        <v>VEERG 2026: Table 1.3: Climate and Rainfall zone classifications and definitions</v>
      </c>
    </row>
    <row r="107" spans="4:19" ht="20.100000000000001" customHeight="1" x14ac:dyDescent="0.25">
      <c r="D107" s="55" t="str" cm="1">
        <f t="array" ref="D107">"⚠️" &amp; Common_SourceData.Common_SourceData_TemperatureZones_Variation()</f>
        <v>⚠️VARIATION OF SOURCE DATA: Added extra MAT min and MAT max columns to calculate zone from real temperature data.</v>
      </c>
    </row>
    <row r="108" spans="4:19" ht="20.100000000000001" customHeight="1" x14ac:dyDescent="0.25"/>
    <row r="109" spans="4:19" ht="20.100000000000001" customHeight="1" x14ac:dyDescent="0.25">
      <c r="D109" s="37" t="s">
        <v>55</v>
      </c>
      <c r="E109" s="37" t="s">
        <v>36</v>
      </c>
      <c r="F109" s="37" t="s">
        <v>56</v>
      </c>
      <c r="G109" s="37" t="s">
        <v>57</v>
      </c>
    </row>
    <row r="110" spans="4:19" ht="20.100000000000001" customHeight="1" x14ac:dyDescent="0.25">
      <c r="D110" s="37" t="str" cm="1">
        <f t="array" ref="D110">Common_InputFunctions.Utility_DisplayArrayInTable(Common_SourceData.Common_SourceData_TemperatureZones_Data(),Table_SourceData_TemperatureZones[[#Headers],[Temperature Zone]],0)</f>
        <v>Warm</v>
      </c>
      <c r="E110" s="37" t="str" cm="1">
        <f t="array" ref="E110">Common_InputFunctions.Utility_DisplayArrayInTable(Common_SourceData.Common_SourceData_TemperatureZones_Data(),Table_SourceData_TemperatureZones[[#Headers],[Temperature Zone]],0)</f>
        <v>≥ 26 C</v>
      </c>
      <c r="F110" s="37" cm="1">
        <f t="array" ref="F110">Common_InputFunctions.Utility_DisplayArrayInTable(Common_SourceData.Common_SourceData_TemperatureZones_Data(),Table_SourceData_TemperatureZones[[#Headers],[Temperature Zone]],0)</f>
        <v>26</v>
      </c>
      <c r="G110" s="37" cm="1">
        <f t="array" ref="G110">Common_InputFunctions.Utility_DisplayArrayInTable(Common_SourceData.Common_SourceData_TemperatureZones_Data(),Table_SourceData_TemperatureZones[[#Headers],[Temperature Zone]],0)</f>
        <v>999999</v>
      </c>
    </row>
    <row r="111" spans="4:19" ht="20.100000000000001" customHeight="1" x14ac:dyDescent="0.25">
      <c r="D111" s="37" t="str" cm="1">
        <f t="array" ref="D111">Common_InputFunctions.Utility_DisplayArrayInTable(Common_SourceData.Common_SourceData_TemperatureZones_Data(),Table_SourceData_TemperatureZones[[#Headers],[Temperature Zone]],0)</f>
        <v>Temperate</v>
      </c>
      <c r="E111" s="37" t="str" cm="1">
        <f t="array" ref="E111">Common_InputFunctions.Utility_DisplayArrayInTable(Common_SourceData.Common_SourceData_TemperatureZones_Data(),Table_SourceData_TemperatureZones[[#Headers],[Temperature Zone]],0)</f>
        <v>15 - 25 C</v>
      </c>
      <c r="F111" s="37" cm="1">
        <f t="array" ref="F111">Common_InputFunctions.Utility_DisplayArrayInTable(Common_SourceData.Common_SourceData_TemperatureZones_Data(),Table_SourceData_TemperatureZones[[#Headers],[Temperature Zone]],0)</f>
        <v>15</v>
      </c>
      <c r="G111" s="37" cm="1">
        <f t="array" ref="G111">Common_InputFunctions.Utility_DisplayArrayInTable(Common_SourceData.Common_SourceData_TemperatureZones_Data(),Table_SourceData_TemperatureZones[[#Headers],[Temperature Zone]],0)</f>
        <v>25.998999999999999</v>
      </c>
    </row>
    <row r="112" spans="4:19" ht="20.100000000000001" customHeight="1" x14ac:dyDescent="0.25">
      <c r="D112" s="37" t="str" cm="1">
        <f t="array" ref="D112">Common_InputFunctions.Utility_DisplayArrayInTable(Common_SourceData.Common_SourceData_TemperatureZones_Data(),Table_SourceData_TemperatureZones[[#Headers],[Temperature Zone]],0)</f>
        <v>Cool</v>
      </c>
      <c r="E112" s="37" t="str" cm="1">
        <f t="array" ref="E112">Common_InputFunctions.Utility_DisplayArrayInTable(Common_SourceData.Common_SourceData_TemperatureZones_Data(),Table_SourceData_TemperatureZones[[#Headers],[Temperature Zone]],0)</f>
        <v>≤ 14 C</v>
      </c>
      <c r="F112" s="37" cm="1">
        <f t="array" ref="F112">Common_InputFunctions.Utility_DisplayArrayInTable(Common_SourceData.Common_SourceData_TemperatureZones_Data(),Table_SourceData_TemperatureZones[[#Headers],[Temperature Zone]],0)</f>
        <v>-999999</v>
      </c>
      <c r="G112" s="37" cm="1">
        <f t="array" ref="G112">Common_InputFunctions.Utility_DisplayArrayInTable(Common_SourceData.Common_SourceData_TemperatureZones_Data(),Table_SourceData_TemperatureZones[[#Headers],[Temperature Zone]],0)</f>
        <v>14.999000000000001</v>
      </c>
    </row>
    <row r="113" spans="4:65" ht="20.100000000000001" customHeight="1" x14ac:dyDescent="0.25"/>
    <row r="114" spans="4:65" ht="20.100000000000001" customHeight="1" x14ac:dyDescent="0.25"/>
    <row r="115" spans="4:65" ht="20.100000000000001" customHeight="1" x14ac:dyDescent="0.25">
      <c r="D115" s="6" t="str" cm="1">
        <f t="array" ref="D115">Common_SourceData.Common_SourceData_RainfallZones_Title()</f>
        <v>VEERG Australian rainfall zones</v>
      </c>
      <c r="BM115" s="7"/>
    </row>
    <row r="116" spans="4:65" ht="20.100000000000001" customHeight="1" x14ac:dyDescent="0.25">
      <c r="D116" s="5" t="str" cm="1">
        <f t="array" ref="D116">Common_SourceData.Common_SourceData_RainfallZones_Source()</f>
        <v>VEERG 2026: Table 1.3: Climate and Rainfall zone classifications and definitions</v>
      </c>
      <c r="BM116" s="7"/>
    </row>
    <row r="117" spans="4:65" ht="20.100000000000001" customHeight="1" x14ac:dyDescent="0.25">
      <c r="D117" s="55" t="str" cm="1">
        <f t="array" ref="D117">"⚠️" &amp; Common_SourceData.Common_SourceData_RainfallZones_Variation()</f>
        <v>⚠️VARIATION OF SOURCE DATA: Added extra Rainfall min and Rainfall max columns to calculate zone from real rainfall data.</v>
      </c>
      <c r="BM117" s="7"/>
    </row>
    <row r="118" spans="4:65" ht="20.100000000000001" customHeight="1" x14ac:dyDescent="0.25">
      <c r="BM118" s="7"/>
    </row>
    <row r="119" spans="4:65" ht="20.100000000000001" customHeight="1" x14ac:dyDescent="0.25">
      <c r="D119" s="37" t="s">
        <v>58</v>
      </c>
      <c r="E119" s="37" t="s">
        <v>59</v>
      </c>
      <c r="F119" s="37" t="s">
        <v>43</v>
      </c>
      <c r="G119" s="37" t="s">
        <v>44</v>
      </c>
      <c r="BM119" s="7"/>
    </row>
    <row r="120" spans="4:65" ht="20.100000000000001" customHeight="1" x14ac:dyDescent="0.25">
      <c r="D120" s="37" t="str" cm="1">
        <f t="array" ref="D120">Common_InputFunctions.Utility_DisplayArrayInTable(Common_SourceData.Common_SourceData_RainfallZones_Data(),Table_SourceData_RainfallZones[[#Headers],[Rainfall Zone]],0)</f>
        <v>High rainfall</v>
      </c>
      <c r="E120" s="37" t="str" cm="1">
        <f t="array" ref="E120">Common_InputFunctions.Utility_DisplayArrayInTable(Common_SourceData.Common_SourceData_RainfallZones_Data(),Table_SourceData_RainfallZones[[#Headers],[Rainfall Zone]],0)</f>
        <v>Annual rainfall &gt; 600mm</v>
      </c>
      <c r="F120" s="37" cm="1">
        <f t="array" ref="F120">Common_InputFunctions.Utility_DisplayArrayInTable(Common_SourceData.Common_SourceData_RainfallZones_Data(),Table_SourceData_RainfallZones[[#Headers],[Rainfall Zone]],0)</f>
        <v>600.00099999999998</v>
      </c>
      <c r="G120" s="37" cm="1">
        <f t="array" ref="G120">Common_InputFunctions.Utility_DisplayArrayInTable(Common_SourceData.Common_SourceData_RainfallZones_Data(),Table_SourceData_RainfallZones[[#Headers],[Rainfall Zone]],0)</f>
        <v>999999</v>
      </c>
      <c r="BM120" s="7"/>
    </row>
    <row r="121" spans="4:65" ht="20.100000000000001" customHeight="1" x14ac:dyDescent="0.25">
      <c r="D121" s="37" t="str" cm="1">
        <f t="array" ref="D121">Common_InputFunctions.Utility_DisplayArrayInTable(Common_SourceData.Common_SourceData_RainfallZones_Data(),Table_SourceData_RainfallZones[[#Headers],[Rainfall Zone]],0)</f>
        <v>Low rainfall</v>
      </c>
      <c r="E121" s="37" t="str" cm="1">
        <f t="array" ref="E121">Common_InputFunctions.Utility_DisplayArrayInTable(Common_SourceData.Common_SourceData_RainfallZones_Data(),Table_SourceData_RainfallZones[[#Headers],[Rainfall Zone]],0)</f>
        <v>Annual rainfall ≤ 600mm</v>
      </c>
      <c r="F121" s="37" cm="1">
        <f t="array" ref="F121">Common_InputFunctions.Utility_DisplayArrayInTable(Common_SourceData.Common_SourceData_RainfallZones_Data(),Table_SourceData_RainfallZones[[#Headers],[Rainfall Zone]],0)</f>
        <v>-999999</v>
      </c>
      <c r="G121" s="37" cm="1">
        <f t="array" ref="G121">Common_InputFunctions.Utility_DisplayArrayInTable(Common_SourceData.Common_SourceData_RainfallZones_Data(),Table_SourceData_RainfallZones[[#Headers],[Rainfall Zone]],0)</f>
        <v>600</v>
      </c>
      <c r="BM121" s="7"/>
    </row>
    <row r="122" spans="4:65" ht="20.100000000000001" customHeight="1" x14ac:dyDescent="0.25">
      <c r="BM122" s="7"/>
    </row>
    <row r="123" spans="4:65" ht="20.100000000000001" customHeight="1" x14ac:dyDescent="0.25"/>
    <row r="124" spans="4:65" ht="20.100000000000001" customHeight="1" x14ac:dyDescent="0.25">
      <c r="D124" s="6" t="str" cm="1">
        <f t="array" ref="D124">Common_SourceData.Common_SourceData_LeachingZones_Title()</f>
        <v>VEERG Australian leaching zones</v>
      </c>
    </row>
    <row r="125" spans="4:65" ht="20.100000000000001" customHeight="1" x14ac:dyDescent="0.25">
      <c r="D125" s="5" t="str" cm="1">
        <f t="array" ref="D125">Common_SourceData.Common_SourceData_LeachingZones_Source()</f>
        <v>VEERG 2026: Table 1.3: Climate and Rainfall zone classifications and definitions</v>
      </c>
    </row>
    <row r="126" spans="4:65" ht="20.100000000000001" customHeight="1" x14ac:dyDescent="0.25"/>
    <row r="127" spans="4:65" ht="20.100000000000001" customHeight="1" x14ac:dyDescent="0.25">
      <c r="D127" s="37" t="s">
        <v>65</v>
      </c>
      <c r="E127" s="37" t="s">
        <v>66</v>
      </c>
    </row>
    <row r="128" spans="4:65" ht="20.100000000000001" customHeight="1" x14ac:dyDescent="0.25">
      <c r="D128" s="37" t="str" cm="1">
        <f t="array" ref="D128">Common_InputFunctions.Utility_DisplayArrayInTable(Common_SourceData.Common_SourceData_LeachingZones_Data(), Table_SourceData_LeachingZones[[#Headers],[Leaching Zone]], 0)</f>
        <v>Leaching occurs</v>
      </c>
      <c r="E128" s="37" t="str" cm="1">
        <f t="array" ref="E128">Common_InputFunctions.Utility_DisplayArrayInTable(Common_SourceData.Common_SourceData_LeachingZones_Data(), Table_SourceData_LeachingZones[[#Headers],[Leaching Zone]], 0)</f>
        <v>Σ(𝑟𝑎𝑖𝑛)&gt;Σ(𝐸𝑇0)+𝑠𝑜𝑖𝑙 𝑤𝑎𝑡𝑒𝑟 ℎ𝑜𝑙𝑑𝑖𝑛𝑔 𝑐𝑎𝑝𝑎𝑐𝑖𝑡𝑦</v>
      </c>
    </row>
    <row r="129" spans="4:76" ht="20.100000000000001" customHeight="1" x14ac:dyDescent="0.25">
      <c r="D129" s="37" t="str" cm="1">
        <f t="array" ref="D129">Common_InputFunctions.Utility_DisplayArrayInTable(Common_SourceData.Common_SourceData_LeachingZones_Data(), Table_SourceData_LeachingZones[[#Headers],[Leaching Zone]], 0)</f>
        <v>Leaching does not occur</v>
      </c>
      <c r="E129" s="37" t="str" cm="1">
        <f t="array" ref="E129">Common_InputFunctions.Utility_DisplayArrayInTable(Common_SourceData.Common_SourceData_LeachingZones_Data(), Table_SourceData_LeachingZones[[#Headers],[Leaching Zone]], 0)</f>
        <v>Σ(𝑟𝑎𝑖𝑛)≤Σ(𝐸𝑇0)+𝑠𝑜𝑖𝑙 𝑤𝑎𝑡𝑒𝑟 ℎ𝑜𝑙𝑑𝑖𝑛𝑔 𝑐𝑎𝑝𝑎𝑐𝑖𝑡𝑦</v>
      </c>
    </row>
    <row r="130" spans="4:76" ht="20.100000000000001" customHeight="1" x14ac:dyDescent="0.25"/>
    <row r="131" spans="4:76" ht="20.100000000000001" customHeight="1" x14ac:dyDescent="0.25"/>
    <row r="132" spans="4:76" ht="20.100000000000001" customHeight="1" x14ac:dyDescent="0.25">
      <c r="D132" s="6" t="str" cm="1">
        <f t="array" ref="D132">Common_SourceData.Common_SourceData_FracWET_Title()</f>
        <v>Fraction of N that is available for leaching and runoff</v>
      </c>
      <c r="E132" s="22"/>
    </row>
    <row r="133" spans="4:76" ht="20.100000000000001" customHeight="1" x14ac:dyDescent="0.25">
      <c r="D133" s="5" t="str" cm="1">
        <f t="array" ref="D133">Common_SourceData.Common_SourceData_FracWET_Source()</f>
        <v>VEERG 2026:5.5.2.3 Constant Parameters</v>
      </c>
      <c r="E133" s="22"/>
    </row>
    <row r="134" spans="4:76" ht="20.100000000000001" customHeight="1" x14ac:dyDescent="0.25">
      <c r="D134" t="s">
        <v>93</v>
      </c>
      <c r="E134" t="s">
        <v>94</v>
      </c>
    </row>
    <row r="135" spans="4:76" ht="20.100000000000001" customHeight="1" x14ac:dyDescent="0.25">
      <c r="D135" t="str" cm="1">
        <f t="array" ref="D135">Common_InputFunctions.Utility_DisplayArrayInTable(Common_SourceData.Common_SourceData_FracWET_Data(),Table_SourceData_FracWET[[#Headers],[Is in leaching zone]],0)</f>
        <v>Yes - in leaching zone</v>
      </c>
      <c r="E135" cm="1">
        <f t="array" ref="E135">Common_InputFunctions.Utility_DisplayArrayInTable(Common_SourceData.Common_SourceData_FracWET_Data(),Table_SourceData_FracWET[[#Headers],[Is in leaching zone]],0)</f>
        <v>1</v>
      </c>
    </row>
    <row r="136" spans="4:76" ht="20.100000000000001" customHeight="1" x14ac:dyDescent="0.25">
      <c r="D136" s="1" t="str" cm="1">
        <f t="array" ref="D136">Common_InputFunctions.Utility_DisplayArrayInTable(Common_SourceData.Common_SourceData_FracWET_Data(),Table_SourceData_FracWET[[#Headers],[Is in leaching zone]],0)</f>
        <v>No - not in leaching zone</v>
      </c>
      <c r="E136" s="37" cm="1">
        <f t="array" ref="E136">Common_InputFunctions.Utility_DisplayArrayInTable(Common_SourceData.Common_SourceData_FracWET_Data(),Table_SourceData_FracWET[[#Headers],[Is in leaching zone]],0)</f>
        <v>0</v>
      </c>
    </row>
    <row r="137" spans="4:76" ht="20.100000000000001" customHeight="1" x14ac:dyDescent="0.25"/>
    <row r="138" spans="4:76" ht="20.100000000000001" customHeight="1" x14ac:dyDescent="0.25"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4:76" ht="20.100000000000001" customHeight="1" x14ac:dyDescent="0.25">
      <c r="D139" s="6" t="str" cm="1">
        <f t="array" ref="D139">Common_SourceData.Common_SourceData_FracWETIrrigation_Title()</f>
        <v>FracWET for irrigation types</v>
      </c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4:76" ht="20.100000000000001" customHeight="1" x14ac:dyDescent="0.25">
      <c r="D140" s="5" t="str" cm="1">
        <f t="array" ref="D140">Common_SourceData.Common_SourceData_FracWETIrrigation_Source()</f>
        <v>VEERG 2026: Chapter 1, section 1.8.2 Leaching, climate and rainfall zones</v>
      </c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4:76" ht="20.100000000000001" customHeight="1" x14ac:dyDescent="0.25">
      <c r="D141" s="55" t="str" cm="1">
        <f t="array" ref="D141">Common_SourceData.Common_SourceData_FracWETIrrigation_Variation()</f>
        <v>VARIATION FROM SOURCE DATA: Table created based on VEERG text 'Areas are subject to leaching (i.e., in the leaching zone) when... the land is irrigated (except drip irrigation).'</v>
      </c>
      <c r="BM141" s="7"/>
    </row>
    <row r="142" spans="4:76" ht="20.100000000000001" customHeight="1" x14ac:dyDescent="0.25">
      <c r="D142" s="37" t="s">
        <v>119</v>
      </c>
      <c r="E142" s="37" t="s">
        <v>94</v>
      </c>
      <c r="BM142" s="7"/>
    </row>
    <row r="143" spans="4:76" ht="20.100000000000001" customHeight="1" x14ac:dyDescent="0.25">
      <c r="D143" s="37" t="str" cm="1">
        <f t="array" ref="D143">Common_InputFunctions.Utility_DisplayArrayInTable(Common_SourceData.Common_SourceData_FracWETIrrigation_Data(), Table_SourceData_FracWETIrrigation[[#Headers],[Irrigation type i]], 0)</f>
        <v>Not irrigated</v>
      </c>
      <c r="E143" s="37" cm="1">
        <f t="array" ref="E143">Common_InputFunctions.Utility_DisplayArrayInTable(Common_SourceData.Common_SourceData_FracWETIrrigation_Data(), Table_SourceData_FracWETIrrigation[[#Headers],[Irrigation type i]], 0)</f>
        <v>0</v>
      </c>
      <c r="BM143" s="7"/>
    </row>
    <row r="144" spans="4:76" ht="20.100000000000001" customHeight="1" x14ac:dyDescent="0.25">
      <c r="D144" s="1" t="str" cm="1">
        <f t="array" ref="D144">Common_InputFunctions.Utility_DisplayArrayInTable(Common_SourceData.Common_SourceData_FracWETIrrigation_Data(), Table_SourceData_FracWETIrrigation[[#Headers],[Irrigation type i]], 0)</f>
        <v>Drip irrigation</v>
      </c>
      <c r="E144" s="37" cm="1">
        <f t="array" ref="E144">Common_InputFunctions.Utility_DisplayArrayInTable(Common_SourceData.Common_SourceData_FracWETIrrigation_Data(), Table_SourceData_FracWETIrrigation[[#Headers],[Irrigation type i]], 0)</f>
        <v>0</v>
      </c>
      <c r="BM144" s="7"/>
    </row>
    <row r="145" spans="4:65" ht="20.100000000000001" customHeight="1" x14ac:dyDescent="0.25">
      <c r="D145" s="1" t="str" cm="1">
        <f t="array" ref="D145">Common_InputFunctions.Utility_DisplayArrayInTable(Common_SourceData.Common_SourceData_FracWETIrrigation_Data(), Table_SourceData_FracWETIrrigation[[#Headers],[Irrigation type i]], 0)</f>
        <v>Sprinkler irrigation</v>
      </c>
      <c r="E145" s="37" cm="1">
        <f t="array" ref="E145">Common_InputFunctions.Utility_DisplayArrayInTable(Common_SourceData.Common_SourceData_FracWETIrrigation_Data(), Table_SourceData_FracWETIrrigation[[#Headers],[Irrigation type i]], 0)</f>
        <v>1</v>
      </c>
      <c r="BM145" s="7"/>
    </row>
    <row r="146" spans="4:65" ht="20.100000000000001" customHeight="1" x14ac:dyDescent="0.25">
      <c r="D146" s="1" t="str" cm="1">
        <f t="array" ref="D146">Common_InputFunctions.Utility_DisplayArrayInTable(Common_SourceData.Common_SourceData_FracWETIrrigation_Data(), Table_SourceData_FracWETIrrigation[[#Headers],[Irrigation type i]], 0)</f>
        <v>Surface irrigation</v>
      </c>
      <c r="E146" s="37" cm="1">
        <f t="array" ref="E146">Common_InputFunctions.Utility_DisplayArrayInTable(Common_SourceData.Common_SourceData_FracWETIrrigation_Data(), Table_SourceData_FracWETIrrigation[[#Headers],[Irrigation type i]], 0)</f>
        <v>1</v>
      </c>
      <c r="BM146" s="7"/>
    </row>
    <row r="147" spans="4:65" ht="20.100000000000001" customHeight="1" x14ac:dyDescent="0.25">
      <c r="D147" s="1" t="str" cm="1">
        <f t="array" ref="D147">Common_InputFunctions.Utility_DisplayArrayInTable(Common_SourceData.Common_SourceData_FracWETIrrigation_Data(), Table_SourceData_FracWETIrrigation[[#Headers],[Irrigation type i]], 0)</f>
        <v>Other irrigation</v>
      </c>
      <c r="E147" s="37" cm="1">
        <f t="array" ref="E147">Common_InputFunctions.Utility_DisplayArrayInTable(Common_SourceData.Common_SourceData_FracWETIrrigation_Data(), Table_SourceData_FracWETIrrigation[[#Headers],[Irrigation type i]], 0)</f>
        <v>1</v>
      </c>
      <c r="BM147" s="7"/>
    </row>
    <row r="148" spans="4:65" ht="20.100000000000001" customHeight="1" x14ac:dyDescent="0.25">
      <c r="BM148" s="7"/>
    </row>
    <row r="149" spans="4:65" ht="20.100000000000001" customHeight="1" x14ac:dyDescent="0.25">
      <c r="BM149" s="7"/>
    </row>
    <row r="150" spans="4:65" ht="20.100000000000001" customHeight="1" x14ac:dyDescent="0.25">
      <c r="D150" s="6" t="str" cm="1">
        <f t="array" ref="D150">Common_SourceData.Common_SourceData_DataScores_Scope3_Title()</f>
        <v>Australian data scores for scope 3</v>
      </c>
      <c r="BM150" s="7"/>
    </row>
    <row r="151" spans="4:65" ht="20.100000000000001" customHeight="1" x14ac:dyDescent="0.25">
      <c r="D151" s="5" t="str" cm="1">
        <f t="array" ref="D151">Common_SourceData.Common_SourceData_DataScores_Scope3_Source()</f>
        <v>VEERG 2026: XXXXXXXX</v>
      </c>
      <c r="BM151" s="7"/>
    </row>
    <row r="152" spans="4:65" ht="20.100000000000001" customHeight="1" x14ac:dyDescent="0.25">
      <c r="BM152" s="7"/>
    </row>
    <row r="153" spans="4:65" ht="20.100000000000001" customHeight="1" x14ac:dyDescent="0.25">
      <c r="D153" s="37" t="s">
        <v>68</v>
      </c>
      <c r="E153" s="37" t="s">
        <v>69</v>
      </c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 spans="4:65" ht="20.100000000000001" customHeight="1" x14ac:dyDescent="0.25">
      <c r="D154" s="37" t="str" cm="1">
        <f t="array" ref="D154">Common_InputFunctions.Utility_DisplayArrayInTable(Common_SourceData.Common_SourceData_DataScores_Scope3_Data(), Table_SourceData_DataScores_Scope3[[#Headers],[Data source]], 0)</f>
        <v>International scope 3 database</v>
      </c>
      <c r="E154" s="37" cm="1">
        <f t="array" ref="E154">Common_InputFunctions.Utility_DisplayArrayInTable(Common_SourceData.Common_SourceData_DataScores_Scope3_Data(), Table_SourceData_DataScores_Scope3[[#Headers],[Data source]], 0)</f>
        <v>1</v>
      </c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 spans="4:65" ht="20.100000000000001" customHeight="1" x14ac:dyDescent="0.25">
      <c r="D155" s="37" t="str" cm="1">
        <f t="array" ref="D155">Common_InputFunctions.Utility_DisplayArrayInTable(Common_SourceData.Common_SourceData_DataScores_Scope3_Data(), Table_SourceData_DataScores_Scope3[[#Headers],[Data source]], 0)</f>
        <v>Australian scope 3 database</v>
      </c>
      <c r="E155" s="37" cm="1">
        <f t="array" ref="E155">Common_InputFunctions.Utility_DisplayArrayInTable(Common_SourceData.Common_SourceData_DataScores_Scope3_Data(), Table_SourceData_DataScores_Scope3[[#Headers],[Data source]], 0)</f>
        <v>2</v>
      </c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 spans="4:65" ht="20.100000000000001" customHeight="1" x14ac:dyDescent="0.25">
      <c r="D156" s="37" t="str" cm="1">
        <f t="array" ref="D156">Common_InputFunctions.Utility_DisplayArrayInTable(Common_SourceData.Common_SourceData_DataScores_Scope3_Data(), Table_SourceData_DataScores_Scope3[[#Headers],[Data source]], 0)</f>
        <v>State or regional scope 3 database</v>
      </c>
      <c r="E156" s="37" cm="1">
        <f t="array" ref="E156">Common_InputFunctions.Utility_DisplayArrayInTable(Common_SourceData.Common_SourceData_DataScores_Scope3_Data(), Table_SourceData_DataScores_Scope3[[#Headers],[Data source]], 0)</f>
        <v>3</v>
      </c>
    </row>
    <row r="157" spans="4:65" ht="20.100000000000001" customHeight="1" x14ac:dyDescent="0.25">
      <c r="D157" s="37" t="str" cm="1">
        <f t="array" ref="D157">Common_InputFunctions.Utility_DisplayArrayInTable(Common_SourceData.Common_SourceData_DataScores_Scope3_Data(), Table_SourceData_DataScores_Scope3[[#Headers],[Data source]], 0)</f>
        <v>Emissions intensity calculated from approved method</v>
      </c>
      <c r="E157" s="37" cm="1">
        <f t="array" ref="E157">Common_InputFunctions.Utility_DisplayArrayInTable(Common_SourceData.Common_SourceData_DataScores_Scope3_Data(), Table_SourceData_DataScores_Scope3[[#Headers],[Data source]], 0)</f>
        <v>4</v>
      </c>
    </row>
    <row r="158" spans="4:65" ht="20.100000000000001" customHeight="1" x14ac:dyDescent="0.25">
      <c r="D158" s="37" t="str" cm="1">
        <f t="array" ref="D158">Common_InputFunctions.Utility_DisplayArrayInTable(Common_SourceData.Common_SourceData_DataScores_Scope3_Data(), Table_SourceData_DataScores_Scope3[[#Headers],[Data source]], 0)</f>
        <v>Verified credential matching ISO14067</v>
      </c>
      <c r="E158" s="37" cm="1">
        <f t="array" ref="E158">Common_InputFunctions.Utility_DisplayArrayInTable(Common_SourceData.Common_SourceData_DataScores_Scope3_Data(), Table_SourceData_DataScores_Scope3[[#Headers],[Data source]], 0)</f>
        <v>5</v>
      </c>
    </row>
    <row r="159" spans="4:65" ht="20.100000000000001" customHeight="1" x14ac:dyDescent="0.25"/>
    <row r="160" spans="4:65" ht="20.100000000000001" customHeight="1" x14ac:dyDescent="0.25"/>
    <row r="161" spans="4:67" ht="20.100000000000001" customHeight="1" x14ac:dyDescent="0.25">
      <c r="D161" s="6" t="str" cm="1">
        <f t="array" ref="D161">Common_SourceData.Common_SourceData_FracLEACH_Title()</f>
        <v>Fraction of N that is available for leaching and runoff</v>
      </c>
      <c r="E161" s="22"/>
    </row>
    <row r="162" spans="4:67" ht="20.100000000000001" customHeight="1" x14ac:dyDescent="0.25">
      <c r="D162" s="5" t="str" cm="1">
        <f t="array" ref="D162">Common_SourceData.Common_SourceData_FracLEACH_Source()</f>
        <v>VEERG 2026:5.5.2.3 Constant Parameters</v>
      </c>
      <c r="E162" s="22"/>
    </row>
    <row r="163" spans="4:67" ht="20.100000000000001" customHeight="1" x14ac:dyDescent="0.25">
      <c r="D163" s="5" t="str" cm="1">
        <f t="array" ref="D163">Common_SourceData.Common_SourceData_FracLEACH_NIRReference()</f>
        <v>National Inventory Report Volume 1: Leaching and runoff (3.D.b.2)</v>
      </c>
      <c r="E163" s="22"/>
    </row>
    <row r="164" spans="4:67" ht="20.100000000000001" customHeight="1" x14ac:dyDescent="0.25">
      <c r="D164" s="22" t="str" cm="1">
        <f t="array" ref="D164:E164">Common_SourceData.Common_SourceData_FracLEACH_Data()</f>
        <v>FracLEACH</v>
      </c>
      <c r="E164" s="22">
        <v>0.24</v>
      </c>
    </row>
    <row r="165" spans="4:67" ht="20.100000000000001" customHeight="1" x14ac:dyDescent="0.25">
      <c r="BM165" s="7"/>
      <c r="BN165" s="7"/>
      <c r="BO165" s="7"/>
    </row>
    <row r="166" spans="4:67" ht="20.100000000000001" customHeight="1" x14ac:dyDescent="0.25">
      <c r="BM166" s="7"/>
      <c r="BN166" s="7"/>
      <c r="BO166" s="7"/>
    </row>
    <row r="167" spans="4:67" ht="20.100000000000001" customHeight="1" x14ac:dyDescent="0.25">
      <c r="D167" s="6" t="str" cm="1">
        <f t="array" ref="D167">Common_SourceData.Common_SourceData_EFleach_Title()</f>
        <v>Emission factor for nitrogen leaching and runoff</v>
      </c>
      <c r="BM167" s="7"/>
      <c r="BN167" s="7"/>
      <c r="BO167" s="7"/>
    </row>
    <row r="168" spans="4:67" ht="20.100000000000001" customHeight="1" x14ac:dyDescent="0.25">
      <c r="D168" s="5" t="str" cm="1">
        <f t="array" ref="D168">Common_SourceData.Common_SourceData_EFleach_Source()</f>
        <v>VEERG 2026:5.5.2.3 Constant Parameters</v>
      </c>
      <c r="BM168" s="7"/>
      <c r="BN168" s="7"/>
      <c r="BO168" s="7"/>
    </row>
    <row r="169" spans="4:67" ht="20.100000000000001" customHeight="1" x14ac:dyDescent="0.25">
      <c r="D169" s="5" t="str" cm="1">
        <f t="array" ref="D169">Common_SourceData.Common_SourceData_EFleach_NIRReference()</f>
        <v>National Inventory Report Volume 1: Equation 3.D.B_10</v>
      </c>
      <c r="BM169" s="7"/>
      <c r="BN169" s="7"/>
      <c r="BO169" s="7"/>
    </row>
    <row r="170" spans="4:67" ht="20.100000000000001" customHeight="1" x14ac:dyDescent="0.25">
      <c r="D170" s="1" t="str" cm="1">
        <f t="array" ref="D170:E170">Common_SourceData.Common_SourceData_EFleach_Data()</f>
        <v>EFleach</v>
      </c>
      <c r="E170" s="1">
        <v>1.0999999999999999E-2</v>
      </c>
      <c r="BM170" s="7"/>
      <c r="BN170" s="7"/>
      <c r="BO170" s="7"/>
    </row>
    <row r="171" spans="4:67" ht="20.100000000000001" customHeight="1" x14ac:dyDescent="0.25">
      <c r="BM171" s="7"/>
      <c r="BN171" s="7"/>
      <c r="BO171" s="7"/>
    </row>
    <row r="172" spans="4:67" ht="20.100000000000001" customHeight="1" x14ac:dyDescent="0.25">
      <c r="BM172" s="7"/>
      <c r="BN172" s="7"/>
      <c r="BO172" s="7"/>
    </row>
    <row r="173" spans="4:67" ht="20.100000000000001" customHeight="1" x14ac:dyDescent="0.25">
      <c r="D173" s="6" t="str" cm="1">
        <f t="array" ref="D173">Common_SourceData.Common_SourceData_DensityOfMethane_Title()</f>
        <v>p = density of methane</v>
      </c>
      <c r="BM173" s="7"/>
      <c r="BN173" s="7"/>
      <c r="BO173" s="7"/>
    </row>
    <row r="174" spans="4:67" ht="20.100000000000001" customHeight="1" x14ac:dyDescent="0.25">
      <c r="D174" s="5" t="str" cm="1">
        <f t="array" ref="D174">Common_SourceData.Common_SourceData_DensityOfMethane_Source()</f>
        <v>National Inventory Report 2023 Volume 1: Equations 3.B.1a_2, 3.B.1c_2, 3.B.3_1, 3.B.4g_2</v>
      </c>
      <c r="BM174" s="7"/>
      <c r="BN174" s="7"/>
      <c r="BO174" s="7"/>
    </row>
    <row r="175" spans="4:67" ht="20.100000000000001" customHeight="1" x14ac:dyDescent="0.25">
      <c r="D175" s="1" cm="1">
        <f t="array" ref="D175">Common_SourceData.Common_SourceData_DensityOfMethane_Data()</f>
        <v>0.6784</v>
      </c>
      <c r="E175" s="54" t="str" cm="1">
        <f t="array" ref="E175">Common_SourceData.Common_SourceData_DensityOfMethane_Unit()</f>
        <v>kg/m3</v>
      </c>
      <c r="BM175" s="7"/>
      <c r="BN175" s="7"/>
      <c r="BO175" s="7"/>
    </row>
    <row r="176" spans="4:67" ht="20.100000000000001" customHeight="1" x14ac:dyDescent="0.25">
      <c r="BM176" s="7"/>
      <c r="BN176" s="7"/>
      <c r="BO176" s="7"/>
    </row>
    <row r="177" spans="4:67" ht="20.100000000000001" customHeight="1" x14ac:dyDescent="0.25">
      <c r="BM177" s="7"/>
      <c r="BN177" s="7"/>
      <c r="BO177" s="7"/>
    </row>
    <row r="178" spans="4:67" ht="20.100000000000001" customHeight="1" x14ac:dyDescent="0.25">
      <c r="D178" s="6" t="str" cm="1">
        <f t="array" ref="D178">Common_SourceData.Common_SourceData_EFN2O_Title()</f>
        <v>Nitrous oxide emission factors for inorganic fertiliser application</v>
      </c>
      <c r="BM178" s="7"/>
      <c r="BN178" s="7"/>
      <c r="BO178" s="7"/>
    </row>
    <row r="179" spans="4:67" ht="20.100000000000001" customHeight="1" x14ac:dyDescent="0.25">
      <c r="D179" s="5" t="str" cm="1">
        <f t="array" ref="D179">Common_SourceData.Common_SourceData_EFN2O_Source()</f>
        <v>VEERG 2026: Table A.2.2.1</v>
      </c>
      <c r="BM179" s="7"/>
      <c r="BN179" s="7"/>
      <c r="BO179" s="7"/>
    </row>
    <row r="180" spans="4:67" ht="20.100000000000001" customHeight="1" x14ac:dyDescent="0.25">
      <c r="D180" s="54" t="str" cm="1">
        <f t="array" ref="D180">Common_SourceData.Common_SourceData_EFN2O_Unit()</f>
        <v>(kg N2O-N / kg N</v>
      </c>
    </row>
    <row r="181" spans="4:67" ht="20.100000000000001" customHeight="1" x14ac:dyDescent="0.25">
      <c r="D181" s="55" t="str" cm="1">
        <f t="array" ref="D181:D185">Common_SourceData.Common_SourceData_EFN2O_Variation()</f>
        <v>VARIATION OF SOURCE DATA:</v>
      </c>
    </row>
    <row r="182" spans="4:67" ht="20.100000000000001" customHeight="1" x14ac:dyDescent="0.25">
      <c r="D182" s="55" t="str">
        <v>Removed duplicate 'Aquaculture' row.</v>
      </c>
    </row>
    <row r="183" spans="4:67" ht="20.100000000000001" customHeight="1" x14ac:dyDescent="0.25">
      <c r="D183" s="55" t="str">
        <v>Removed asterisks to aid lookup.</v>
      </c>
    </row>
    <row r="184" spans="4:67" ht="20.100000000000001" customHeight="1" x14ac:dyDescent="0.25">
      <c r="D184" s="55" t="str">
        <v>Added 'production system only', 'rainfall zone' and 'irrigation method' columns to aid lookup.</v>
      </c>
    </row>
    <row r="185" spans="4:67" ht="20.100000000000001" customHeight="1" x14ac:dyDescent="0.25">
      <c r="D185" s="55" t="str">
        <v>Duplicated 'non-irrigated pasture' row with same EF for low and high rainfall zones to aid lookup.</v>
      </c>
    </row>
    <row r="186" spans="4:67" ht="20.100000000000001" customHeight="1" x14ac:dyDescent="0.25">
      <c r="D186" s="37" t="s">
        <v>107</v>
      </c>
      <c r="E186" s="37" t="s">
        <v>108</v>
      </c>
      <c r="F186" s="37" t="s">
        <v>109</v>
      </c>
      <c r="G186" s="37" t="s">
        <v>110</v>
      </c>
      <c r="H186" s="37" t="s">
        <v>35</v>
      </c>
    </row>
    <row r="187" spans="4:67" ht="20.100000000000001" customHeight="1" x14ac:dyDescent="0.25">
      <c r="D187" s="37" t="str" cm="1">
        <f t="array" ref="D187">Common_InputFunctions.Utility_DisplayArrayInTable(Common_SourceData.Common_SourceData_EFN2O_Data(), Table_SourceData_Common_EFN2O[[#Headers],[Production system j]], 0)</f>
        <v>Irrigated pasture</v>
      </c>
      <c r="E187" s="37" cm="1">
        <f t="array" ref="E187">Common_InputFunctions.Utility_DisplayArrayInTable(Common_SourceData.Common_SourceData_EFN2O_Data(), Table_SourceData_Common_EFN2O[[#Headers],[Production system j]], 0)</f>
        <v>5.8999999999999999E-3</v>
      </c>
      <c r="F187" s="37" t="str" cm="1">
        <f t="array" ref="F187">Common_InputFunctions.Utility_DisplayArrayInTable(Common_SourceData.Common_SourceData_EFN2O_Data(), Table_SourceData_Common_EFN2O[[#Headers],[Production system j]], 0)</f>
        <v>Pasture</v>
      </c>
      <c r="G187" s="37" t="str" cm="1">
        <f t="array" ref="G187">Common_InputFunctions.Utility_DisplayArrayInTable(Common_SourceData.Common_SourceData_EFN2O_Data(), Table_SourceData_Common_EFN2O[[#Headers],[Production system j]], 0)</f>
        <v>Any</v>
      </c>
      <c r="H187" s="37" t="str" cm="1">
        <f t="array" ref="H187">Common_InputFunctions.Utility_DisplayArrayInTable(Common_SourceData.Common_SourceData_EFN2O_Data(), Table_SourceData_Common_EFN2O[[#Headers],[Production system j]], 0)</f>
        <v>Any</v>
      </c>
    </row>
    <row r="188" spans="4:67" ht="20.100000000000001" customHeight="1" x14ac:dyDescent="0.25">
      <c r="D188" s="37" t="str" cm="1">
        <f t="array" ref="D188">Common_InputFunctions.Utility_DisplayArrayInTable(Common_SourceData.Common_SourceData_EFN2O_Data(), Table_SourceData_Common_EFN2O[[#Headers],[Production system j]], 0)</f>
        <v>Irrigated crop</v>
      </c>
      <c r="E188" s="37" cm="1">
        <f t="array" ref="E188">Common_InputFunctions.Utility_DisplayArrayInTable(Common_SourceData.Common_SourceData_EFN2O_Data(), Table_SourceData_Common_EFN2O[[#Headers],[Production system j]], 0)</f>
        <v>7.0000000000000001E-3</v>
      </c>
      <c r="F188" s="37" t="str" cm="1">
        <f t="array" ref="F188">Common_InputFunctions.Utility_DisplayArrayInTable(Common_SourceData.Common_SourceData_EFN2O_Data(), Table_SourceData_Common_EFN2O[[#Headers],[Production system j]], 0)</f>
        <v>Crop</v>
      </c>
      <c r="G188" s="37" t="str" cm="1">
        <f t="array" ref="G188">Common_InputFunctions.Utility_DisplayArrayInTable(Common_SourceData.Common_SourceData_EFN2O_Data(), Table_SourceData_Common_EFN2O[[#Headers],[Production system j]], 0)</f>
        <v>Any</v>
      </c>
      <c r="H188" s="37" t="str" cm="1">
        <f t="array" ref="H188">Common_InputFunctions.Utility_DisplayArrayInTable(Common_SourceData.Common_SourceData_EFN2O_Data(), Table_SourceData_Common_EFN2O[[#Headers],[Production system j]], 0)</f>
        <v>Any</v>
      </c>
    </row>
    <row r="189" spans="4:67" ht="20.100000000000001" customHeight="1" x14ac:dyDescent="0.25">
      <c r="D189" s="37" t="str" cm="1">
        <f t="array" ref="D189">Common_InputFunctions.Utility_DisplayArrayInTable(Common_SourceData.Common_SourceData_EFN2O_Data(), Table_SourceData_Common_EFN2O[[#Headers],[Production system j]], 0)</f>
        <v>Non-irrigated pasture</v>
      </c>
      <c r="E189" s="37" cm="1">
        <f t="array" ref="E189">Common_InputFunctions.Utility_DisplayArrayInTable(Common_SourceData.Common_SourceData_EFN2O_Data(), Table_SourceData_Common_EFN2O[[#Headers],[Production system j]], 0)</f>
        <v>1.8E-3</v>
      </c>
      <c r="F189" s="37" t="str" cm="1">
        <f t="array" ref="F189">Common_InputFunctions.Utility_DisplayArrayInTable(Common_SourceData.Common_SourceData_EFN2O_Data(), Table_SourceData_Common_EFN2O[[#Headers],[Production system j]], 0)</f>
        <v>Pasture</v>
      </c>
      <c r="G189" s="37" t="str" cm="1">
        <f t="array" ref="G189">Common_InputFunctions.Utility_DisplayArrayInTable(Common_SourceData.Common_SourceData_EFN2O_Data(), Table_SourceData_Common_EFN2O[[#Headers],[Production system j]], 0)</f>
        <v>Not irrigated</v>
      </c>
      <c r="H189" s="37" t="str" cm="1">
        <f t="array" ref="H189">Common_InputFunctions.Utility_DisplayArrayInTable(Common_SourceData.Common_SourceData_EFN2O_Data(), Table_SourceData_Common_EFN2O[[#Headers],[Production system j]], 0)</f>
        <v>Low rainfall</v>
      </c>
    </row>
    <row r="190" spans="4:67" ht="20.100000000000001" customHeight="1" x14ac:dyDescent="0.25">
      <c r="D190" s="37" t="str" cm="1">
        <f t="array" ref="D190">Common_InputFunctions.Utility_DisplayArrayInTable(Common_SourceData.Common_SourceData_EFN2O_Data(), Table_SourceData_Common_EFN2O[[#Headers],[Production system j]], 0)</f>
        <v>Non-irrigated pasture</v>
      </c>
      <c r="E190" s="37" cm="1">
        <f t="array" ref="E190">Common_InputFunctions.Utility_DisplayArrayInTable(Common_SourceData.Common_SourceData_EFN2O_Data(), Table_SourceData_Common_EFN2O[[#Headers],[Production system j]], 0)</f>
        <v>1.8E-3</v>
      </c>
      <c r="F190" s="37" t="str" cm="1">
        <f t="array" ref="F190">Common_InputFunctions.Utility_DisplayArrayInTable(Common_SourceData.Common_SourceData_EFN2O_Data(), Table_SourceData_Common_EFN2O[[#Headers],[Production system j]], 0)</f>
        <v>Pasture</v>
      </c>
      <c r="G190" s="37" t="str" cm="1">
        <f t="array" ref="G190">Common_InputFunctions.Utility_DisplayArrayInTable(Common_SourceData.Common_SourceData_EFN2O_Data(), Table_SourceData_Common_EFN2O[[#Headers],[Production system j]], 0)</f>
        <v>Not irrigated</v>
      </c>
      <c r="H190" s="37" t="str" cm="1">
        <f t="array" ref="H190">Common_InputFunctions.Utility_DisplayArrayInTable(Common_SourceData.Common_SourceData_EFN2O_Data(), Table_SourceData_Common_EFN2O[[#Headers],[Production system j]], 0)</f>
        <v>High rainfall</v>
      </c>
    </row>
    <row r="191" spans="4:67" ht="20.100000000000001" customHeight="1" x14ac:dyDescent="0.25">
      <c r="D191" s="37" t="str" cm="1">
        <f t="array" ref="D191">Common_InputFunctions.Utility_DisplayArrayInTable(Common_SourceData.Common_SourceData_EFN2O_Data(), Table_SourceData_Common_EFN2O[[#Headers],[Production system j]], 0)</f>
        <v>Non-irrigated crop (low rainfall)</v>
      </c>
      <c r="E191" s="37" cm="1">
        <f t="array" ref="E191">Common_InputFunctions.Utility_DisplayArrayInTable(Common_SourceData.Common_SourceData_EFN2O_Data(), Table_SourceData_Common_EFN2O[[#Headers],[Production system j]], 0)</f>
        <v>2.8999999999999998E-3</v>
      </c>
      <c r="F191" s="37" t="str" cm="1">
        <f t="array" ref="F191">Common_InputFunctions.Utility_DisplayArrayInTable(Common_SourceData.Common_SourceData_EFN2O_Data(), Table_SourceData_Common_EFN2O[[#Headers],[Production system j]], 0)</f>
        <v>Crop</v>
      </c>
      <c r="G191" s="37" t="str" cm="1">
        <f t="array" ref="G191">Common_InputFunctions.Utility_DisplayArrayInTable(Common_SourceData.Common_SourceData_EFN2O_Data(), Table_SourceData_Common_EFN2O[[#Headers],[Production system j]], 0)</f>
        <v>Not irrigated</v>
      </c>
      <c r="H191" s="37" t="str" cm="1">
        <f t="array" ref="H191">Common_InputFunctions.Utility_DisplayArrayInTable(Common_SourceData.Common_SourceData_EFN2O_Data(), Table_SourceData_Common_EFN2O[[#Headers],[Production system j]], 0)</f>
        <v>Low rainfall</v>
      </c>
    </row>
    <row r="192" spans="4:67" ht="20.100000000000001" customHeight="1" x14ac:dyDescent="0.25">
      <c r="D192" s="37" t="str" cm="1">
        <f t="array" ref="D192">Common_InputFunctions.Utility_DisplayArrayInTable(Common_SourceData.Common_SourceData_EFN2O_Data(), Table_SourceData_Common_EFN2O[[#Headers],[Production system j]], 0)</f>
        <v>Non-irrigated crop (high rainfall)</v>
      </c>
      <c r="E192" s="37" cm="1">
        <f t="array" ref="E192">Common_InputFunctions.Utility_DisplayArrayInTable(Common_SourceData.Common_SourceData_EFN2O_Data(), Table_SourceData_Common_EFN2O[[#Headers],[Production system j]], 0)</f>
        <v>8.0000000000000002E-3</v>
      </c>
      <c r="F192" s="37" t="str" cm="1">
        <f t="array" ref="F192">Common_InputFunctions.Utility_DisplayArrayInTable(Common_SourceData.Common_SourceData_EFN2O_Data(), Table_SourceData_Common_EFN2O[[#Headers],[Production system j]], 0)</f>
        <v>Crop</v>
      </c>
      <c r="G192" s="37" t="str" cm="1">
        <f t="array" ref="G192">Common_InputFunctions.Utility_DisplayArrayInTable(Common_SourceData.Common_SourceData_EFN2O_Data(), Table_SourceData_Common_EFN2O[[#Headers],[Production system j]], 0)</f>
        <v>Not irrigated</v>
      </c>
      <c r="H192" s="37" t="str" cm="1">
        <f t="array" ref="H192">Common_InputFunctions.Utility_DisplayArrayInTable(Common_SourceData.Common_SourceData_EFN2O_Data(), Table_SourceData_Common_EFN2O[[#Headers],[Production system j]], 0)</f>
        <v>High rainfall</v>
      </c>
    </row>
    <row r="193" spans="4:8" ht="20.100000000000001" customHeight="1" x14ac:dyDescent="0.25">
      <c r="D193" s="37" t="str" cm="1">
        <f t="array" ref="D193">Common_InputFunctions.Utility_DisplayArrayInTable(Common_SourceData.Common_SourceData_EFN2O_Data(), Table_SourceData_Common_EFN2O[[#Headers],[Production system j]], 0)</f>
        <v>Sugar</v>
      </c>
      <c r="E193" s="37" cm="1">
        <f t="array" ref="E193">Common_InputFunctions.Utility_DisplayArrayInTable(Common_SourceData.Common_SourceData_EFN2O_Data(), Table_SourceData_Common_EFN2O[[#Headers],[Production system j]], 0)</f>
        <v>1.9900000000000001E-2</v>
      </c>
      <c r="F193" s="37" t="str" cm="1">
        <f t="array" ref="F193">Common_InputFunctions.Utility_DisplayArrayInTable(Common_SourceData.Common_SourceData_EFN2O_Data(), Table_SourceData_Common_EFN2O[[#Headers],[Production system j]], 0)</f>
        <v>Sugar</v>
      </c>
      <c r="G193" s="37" t="str" cm="1">
        <f t="array" ref="G193">Common_InputFunctions.Utility_DisplayArrayInTable(Common_SourceData.Common_SourceData_EFN2O_Data(), Table_SourceData_Common_EFN2O[[#Headers],[Production system j]], 0)</f>
        <v>Any</v>
      </c>
      <c r="H193" s="37" t="str" cm="1">
        <f t="array" ref="H193">Common_InputFunctions.Utility_DisplayArrayInTable(Common_SourceData.Common_SourceData_EFN2O_Data(), Table_SourceData_Common_EFN2O[[#Headers],[Production system j]], 0)</f>
        <v>Any</v>
      </c>
    </row>
    <row r="194" spans="4:8" ht="20.100000000000001" customHeight="1" x14ac:dyDescent="0.25">
      <c r="D194" s="37" t="str" cm="1">
        <f t="array" ref="D194">Common_InputFunctions.Utility_DisplayArrayInTable(Common_SourceData.Common_SourceData_EFN2O_Data(), Table_SourceData_Common_EFN2O[[#Headers],[Production system j]], 0)</f>
        <v>Cotton</v>
      </c>
      <c r="E194" s="37" cm="1">
        <f t="array" ref="E194">Common_InputFunctions.Utility_DisplayArrayInTable(Common_SourceData.Common_SourceData_EFN2O_Data(), Table_SourceData_Common_EFN2O[[#Headers],[Production system j]], 0)</f>
        <v>5.3E-3</v>
      </c>
      <c r="F194" s="37" t="str" cm="1">
        <f t="array" ref="F194">Common_InputFunctions.Utility_DisplayArrayInTable(Common_SourceData.Common_SourceData_EFN2O_Data(), Table_SourceData_Common_EFN2O[[#Headers],[Production system j]], 0)</f>
        <v>Cotton</v>
      </c>
      <c r="G194" s="37" t="str" cm="1">
        <f t="array" ref="G194">Common_InputFunctions.Utility_DisplayArrayInTable(Common_SourceData.Common_SourceData_EFN2O_Data(), Table_SourceData_Common_EFN2O[[#Headers],[Production system j]], 0)</f>
        <v>Any</v>
      </c>
      <c r="H194" s="37" t="str" cm="1">
        <f t="array" ref="H194">Common_InputFunctions.Utility_DisplayArrayInTable(Common_SourceData.Common_SourceData_EFN2O_Data(), Table_SourceData_Common_EFN2O[[#Headers],[Production system j]], 0)</f>
        <v>Any</v>
      </c>
    </row>
    <row r="195" spans="4:8" ht="20.100000000000001" customHeight="1" x14ac:dyDescent="0.25">
      <c r="D195" s="37" t="str" cm="1">
        <f t="array" ref="D195">Common_InputFunctions.Utility_DisplayArrayInTable(Common_SourceData.Common_SourceData_EFN2O_Data(), Table_SourceData_Common_EFN2O[[#Headers],[Production system j]], 0)</f>
        <v>Horticultural crops</v>
      </c>
      <c r="E195" s="37" cm="1">
        <f t="array" ref="E195">Common_InputFunctions.Utility_DisplayArrayInTable(Common_SourceData.Common_SourceData_EFN2O_Data(), Table_SourceData_Common_EFN2O[[#Headers],[Production system j]], 0)</f>
        <v>6.4000000000000003E-3</v>
      </c>
      <c r="F195" s="37" t="str" cm="1">
        <f t="array" ref="F195">Common_InputFunctions.Utility_DisplayArrayInTable(Common_SourceData.Common_SourceData_EFN2O_Data(), Table_SourceData_Common_EFN2O[[#Headers],[Production system j]], 0)</f>
        <v>Horticultural crops</v>
      </c>
      <c r="G195" s="37" t="str" cm="1">
        <f t="array" ref="G195">Common_InputFunctions.Utility_DisplayArrayInTable(Common_SourceData.Common_SourceData_EFN2O_Data(), Table_SourceData_Common_EFN2O[[#Headers],[Production system j]], 0)</f>
        <v>Any</v>
      </c>
      <c r="H195" s="37" t="str" cm="1">
        <f t="array" ref="H195">Common_InputFunctions.Utility_DisplayArrayInTable(Common_SourceData.Common_SourceData_EFN2O_Data(), Table_SourceData_Common_EFN2O[[#Headers],[Production system j]], 0)</f>
        <v>Any</v>
      </c>
    </row>
    <row r="196" spans="4:8" ht="20.100000000000001" customHeight="1" x14ac:dyDescent="0.25">
      <c r="D196" s="37" t="str" cm="1">
        <f t="array" ref="D196">Common_InputFunctions.Utility_DisplayArrayInTable(Common_SourceData.Common_SourceData_EFN2O_Data(), Table_SourceData_Common_EFN2O[[#Headers],[Production system j]], 0)</f>
        <v>Rice (continuous flooding)</v>
      </c>
      <c r="E196" s="37" cm="1">
        <f t="array" ref="E196">Common_InputFunctions.Utility_DisplayArrayInTable(Common_SourceData.Common_SourceData_EFN2O_Data(), Table_SourceData_Common_EFN2O[[#Headers],[Production system j]], 0)</f>
        <v>3.0000000000000001E-3</v>
      </c>
      <c r="F196" s="37" t="str" cm="1">
        <f t="array" ref="F196">Common_InputFunctions.Utility_DisplayArrayInTable(Common_SourceData.Common_SourceData_EFN2O_Data(), Table_SourceData_Common_EFN2O[[#Headers],[Production system j]], 0)</f>
        <v>Rice</v>
      </c>
      <c r="G196" s="37" t="str" cm="1">
        <f t="array" ref="G196">Common_InputFunctions.Utility_DisplayArrayInTable(Common_SourceData.Common_SourceData_EFN2O_Data(), Table_SourceData_Common_EFN2O[[#Headers],[Production system j]], 0)</f>
        <v>Continuous flooding</v>
      </c>
      <c r="H196" s="37" t="str" cm="1">
        <f t="array" ref="H196">Common_InputFunctions.Utility_DisplayArrayInTable(Common_SourceData.Common_SourceData_EFN2O_Data(), Table_SourceData_Common_EFN2O[[#Headers],[Production system j]], 0)</f>
        <v>Any</v>
      </c>
    </row>
    <row r="197" spans="4:8" x14ac:dyDescent="0.25">
      <c r="D197" s="37" t="str" cm="1">
        <f t="array" ref="D197">Common_InputFunctions.Utility_DisplayArrayInTable(Common_SourceData.Common_SourceData_EFN2O_Data(), Table_SourceData_Common_EFN2O[[#Headers],[Production system j]], 0)</f>
        <v>Rice (single and multiple drainage, or alternate wetting and drying)</v>
      </c>
      <c r="E197" s="37" cm="1">
        <f t="array" ref="E197">Common_InputFunctions.Utility_DisplayArrayInTable(Common_SourceData.Common_SourceData_EFN2O_Data(), Table_SourceData_Common_EFN2O[[#Headers],[Production system j]], 0)</f>
        <v>5.0000000000000001E-3</v>
      </c>
      <c r="F197" s="37" t="str" cm="1">
        <f t="array" ref="F197">Common_InputFunctions.Utility_DisplayArrayInTable(Common_SourceData.Common_SourceData_EFN2O_Data(), Table_SourceData_Common_EFN2O[[#Headers],[Production system j]], 0)</f>
        <v>Rice</v>
      </c>
      <c r="G197" s="37" t="str" cm="1">
        <f t="array" ref="G197">Common_InputFunctions.Utility_DisplayArrayInTable(Common_SourceData.Common_SourceData_EFN2O_Data(), Table_SourceData_Common_EFN2O[[#Headers],[Production system j]], 0)</f>
        <v>Single and multiple drainage, or alternate wetting and drying</v>
      </c>
      <c r="H197" s="37" t="str" cm="1">
        <f t="array" ref="H197">Common_InputFunctions.Utility_DisplayArrayInTable(Common_SourceData.Common_SourceData_EFN2O_Data(), Table_SourceData_Common_EFN2O[[#Headers],[Production system j]], 0)</f>
        <v>Any</v>
      </c>
    </row>
    <row r="198" spans="4:8" x14ac:dyDescent="0.25">
      <c r="D198" s="37" t="str" cm="1">
        <f t="array" ref="D198">Common_InputFunctions.Utility_DisplayArrayInTable(Common_SourceData.Common_SourceData_EFN2O_Data(), Table_SourceData_Common_EFN2O[[#Headers],[Production system j]], 0)</f>
        <v>Aquaculture</v>
      </c>
      <c r="E198" s="37" cm="1">
        <f t="array" ref="E198">Common_InputFunctions.Utility_DisplayArrayInTable(Common_SourceData.Common_SourceData_EFN2O_Data(), Table_SourceData_Common_EFN2O[[#Headers],[Production system j]], 0)</f>
        <v>2.5999999999999999E-3</v>
      </c>
      <c r="F198" s="37" t="str" cm="1">
        <f t="array" ref="F198">Common_InputFunctions.Utility_DisplayArrayInTable(Common_SourceData.Common_SourceData_EFN2O_Data(), Table_SourceData_Common_EFN2O[[#Headers],[Production system j]], 0)</f>
        <v>Aquaculture</v>
      </c>
      <c r="G198" s="37" t="str" cm="1">
        <f t="array" ref="G198">Common_InputFunctions.Utility_DisplayArrayInTable(Common_SourceData.Common_SourceData_EFN2O_Data(), Table_SourceData_Common_EFN2O[[#Headers],[Production system j]], 0)</f>
        <v>Any</v>
      </c>
      <c r="H198" s="37" t="str" cm="1">
        <f t="array" ref="H198">Common_InputFunctions.Utility_DisplayArrayInTable(Common_SourceData.Common_SourceData_EFN2O_Data(), Table_SourceData_Common_EFN2O[[#Headers],[Production system j]], 0)</f>
        <v>Any</v>
      </c>
    </row>
    <row r="199" spans="4:8" x14ac:dyDescent="0.25">
      <c r="D199" s="37" t="str" cm="1">
        <f t="array" ref="D199">Common_InputFunctions.Utility_DisplayArrayInTable(Common_SourceData.Common_SourceData_EFN2O_Data(), Table_SourceData_Common_EFN2O[[#Headers],[Production system j]], 0)</f>
        <v>Forestry</v>
      </c>
      <c r="E199" s="37" cm="1">
        <f t="array" ref="E199">Common_InputFunctions.Utility_DisplayArrayInTable(Common_SourceData.Common_SourceData_EFN2O_Data(), Table_SourceData_Common_EFN2O[[#Headers],[Production system j]], 0)</f>
        <v>1.8E-3</v>
      </c>
      <c r="F199" s="37" t="str" cm="1">
        <f t="array" ref="F199">Common_InputFunctions.Utility_DisplayArrayInTable(Common_SourceData.Common_SourceData_EFN2O_Data(), Table_SourceData_Common_EFN2O[[#Headers],[Production system j]], 0)</f>
        <v>Forestry</v>
      </c>
      <c r="G199" s="37" t="str" cm="1">
        <f t="array" ref="G199">Common_InputFunctions.Utility_DisplayArrayInTable(Common_SourceData.Common_SourceData_EFN2O_Data(), Table_SourceData_Common_EFN2O[[#Headers],[Production system j]], 0)</f>
        <v>Any</v>
      </c>
      <c r="H199" s="37" t="str" cm="1">
        <f t="array" ref="H199">Common_InputFunctions.Utility_DisplayArrayInTable(Common_SourceData.Common_SourceData_EFN2O_Data(), Table_SourceData_Common_EFN2O[[#Headers],[Production system j]], 0)</f>
        <v>Any</v>
      </c>
    </row>
    <row r="202" spans="4:8" ht="23.25" x14ac:dyDescent="0.25">
      <c r="D202" s="6" t="str" cm="1">
        <f t="array" ref="D202">Common_SourceData.Common_SourceData_EFPastureRangeAndPaddock_Title()</f>
        <v>Emission factor for urine and dung deposited on pasture, range or paddock</v>
      </c>
    </row>
    <row r="203" spans="4:8" x14ac:dyDescent="0.25">
      <c r="D203" s="5" t="str" cm="1">
        <f t="array" ref="D203">Common_SourceData.Common_SourceData_EFPastureRangeAndPaddock_Source()</f>
        <v>VEERG 2026: Table A.2.2.2</v>
      </c>
    </row>
    <row r="204" spans="4:8" x14ac:dyDescent="0.25">
      <c r="D204" s="55" t="str" cm="1">
        <f t="array" ref="D204">Common_SourceData.Common_SourceData_EFPastureRangeAndPaddock_Variation()</f>
        <v>VARIATION FROM SOURCE DATA: Changed 'Dry climate zones' to singular 'Dry climate zone' to aid lookup.</v>
      </c>
    </row>
    <row r="205" spans="4:8" x14ac:dyDescent="0.25">
      <c r="D205" s="54" t="str" cm="1">
        <f t="array" ref="D205">Common_SourceData.Common_SourceData_EFPastureRangeAndPaddock_Unit()</f>
        <v>kg N2O - N / kg N</v>
      </c>
    </row>
    <row r="206" spans="4:8" x14ac:dyDescent="0.25">
      <c r="D206" s="37" t="s">
        <v>10</v>
      </c>
      <c r="E206" s="37" t="s">
        <v>121</v>
      </c>
    </row>
    <row r="207" spans="4:8" x14ac:dyDescent="0.25">
      <c r="D207" s="37" t="str" cm="1">
        <f t="array" ref="D207">Common_InputFunctions.Utility_DisplayArrayInTable(Common_SourceData.Common_SourceData_EFPastureRangeAndPaddock_Data(), Table_SourceData_EFPastureRangeAndPaddock[[#Headers],[Climate zone]], 0)</f>
        <v>Wet climate zone</v>
      </c>
      <c r="E207" s="37" cm="1">
        <f t="array" ref="E207">Common_InputFunctions.Utility_DisplayArrayInTable(Common_SourceData.Common_SourceData_EFPastureRangeAndPaddock_Data(), Table_SourceData_EFPastureRangeAndPaddock[[#Headers],[Climate zone]], 0)</f>
        <v>6.0000000000000001E-3</v>
      </c>
    </row>
    <row r="208" spans="4:8" x14ac:dyDescent="0.25">
      <c r="D208" s="1" t="str" cm="1">
        <f t="array" ref="D208">Common_InputFunctions.Utility_DisplayArrayInTable(Common_SourceData.Common_SourceData_EFPastureRangeAndPaddock_Data(), Table_SourceData_EFPastureRangeAndPaddock[[#Headers],[Climate zone]], 0)</f>
        <v>Dry climate zone</v>
      </c>
      <c r="E208" s="37" cm="1">
        <f t="array" ref="E208">Common_InputFunctions.Utility_DisplayArrayInTable(Common_SourceData.Common_SourceData_EFPastureRangeAndPaddock_Data(), Table_SourceData_EFPastureRangeAndPaddock[[#Headers],[Climate zone]], 0)</f>
        <v>2E-3</v>
      </c>
    </row>
    <row r="211" spans="4:5" x14ac:dyDescent="0.25">
      <c r="D211" s="1" t="str" cm="1">
        <f t="array" ref="D211">Common_SourceData.Common_SourceData_MonthsToSeasons_Title()</f>
        <v>Months to Seasons Mapping</v>
      </c>
    </row>
    <row r="212" spans="4:5" x14ac:dyDescent="0.25">
      <c r="D212" s="37" t="s">
        <v>116</v>
      </c>
      <c r="E212" s="37" t="s">
        <v>126</v>
      </c>
    </row>
    <row r="213" spans="4:5" x14ac:dyDescent="0.25">
      <c r="D213" s="37" t="str" cm="1">
        <f t="array" ref="D213">Common_InputFunctions.Utility_DisplayArrayInTable(Common_SourceData.Common_SourceData_MonthsToSeasons_Data(), Table_SourceData_Common_MonthToSeason[[#Headers],[Month]], 0)</f>
        <v>January</v>
      </c>
      <c r="E213" s="37" t="str" cm="1">
        <f t="array" ref="E213">Common_InputFunctions.Utility_DisplayArrayInTable(Common_SourceData.Common_SourceData_MonthsToSeasons_Data(), Table_SourceData_Common_MonthToSeason[[#Headers],[Month]], 0)</f>
        <v>Summer</v>
      </c>
    </row>
    <row r="214" spans="4:5" x14ac:dyDescent="0.25">
      <c r="D214" s="1" t="str" cm="1">
        <f t="array" ref="D214">Common_InputFunctions.Utility_DisplayArrayInTable(Common_SourceData.Common_SourceData_MonthsToSeasons_Data(), Table_SourceData_Common_MonthToSeason[[#Headers],[Month]], 0)</f>
        <v>February</v>
      </c>
      <c r="E214" s="37" t="str" cm="1">
        <f t="array" ref="E214">Common_InputFunctions.Utility_DisplayArrayInTable(Common_SourceData.Common_SourceData_MonthsToSeasons_Data(), Table_SourceData_Common_MonthToSeason[[#Headers],[Month]], 0)</f>
        <v>Summer</v>
      </c>
    </row>
    <row r="215" spans="4:5" x14ac:dyDescent="0.25">
      <c r="D215" s="1" t="str" cm="1">
        <f t="array" ref="D215">Common_InputFunctions.Utility_DisplayArrayInTable(Common_SourceData.Common_SourceData_MonthsToSeasons_Data(), Table_SourceData_Common_MonthToSeason[[#Headers],[Month]], 0)</f>
        <v>March</v>
      </c>
      <c r="E215" s="37" t="str" cm="1">
        <f t="array" ref="E215">Common_InputFunctions.Utility_DisplayArrayInTable(Common_SourceData.Common_SourceData_MonthsToSeasons_Data(), Table_SourceData_Common_MonthToSeason[[#Headers],[Month]], 0)</f>
        <v>Autumn</v>
      </c>
    </row>
    <row r="216" spans="4:5" x14ac:dyDescent="0.25">
      <c r="D216" s="1" t="str" cm="1">
        <f t="array" ref="D216">Common_InputFunctions.Utility_DisplayArrayInTable(Common_SourceData.Common_SourceData_MonthsToSeasons_Data(), Table_SourceData_Common_MonthToSeason[[#Headers],[Month]], 0)</f>
        <v>April</v>
      </c>
      <c r="E216" s="37" t="str" cm="1">
        <f t="array" ref="E216">Common_InputFunctions.Utility_DisplayArrayInTable(Common_SourceData.Common_SourceData_MonthsToSeasons_Data(), Table_SourceData_Common_MonthToSeason[[#Headers],[Month]], 0)</f>
        <v>Autumn</v>
      </c>
    </row>
    <row r="217" spans="4:5" x14ac:dyDescent="0.25">
      <c r="D217" s="1" t="str" cm="1">
        <f t="array" ref="D217">Common_InputFunctions.Utility_DisplayArrayInTable(Common_SourceData.Common_SourceData_MonthsToSeasons_Data(), Table_SourceData_Common_MonthToSeason[[#Headers],[Month]], 0)</f>
        <v>May</v>
      </c>
      <c r="E217" s="37" t="str" cm="1">
        <f t="array" ref="E217">Common_InputFunctions.Utility_DisplayArrayInTable(Common_SourceData.Common_SourceData_MonthsToSeasons_Data(), Table_SourceData_Common_MonthToSeason[[#Headers],[Month]], 0)</f>
        <v>Autumn</v>
      </c>
    </row>
    <row r="218" spans="4:5" x14ac:dyDescent="0.25">
      <c r="D218" s="1" t="str" cm="1">
        <f t="array" ref="D218">Common_InputFunctions.Utility_DisplayArrayInTable(Common_SourceData.Common_SourceData_MonthsToSeasons_Data(), Table_SourceData_Common_MonthToSeason[[#Headers],[Month]], 0)</f>
        <v>June</v>
      </c>
      <c r="E218" s="37" t="str" cm="1">
        <f t="array" ref="E218">Common_InputFunctions.Utility_DisplayArrayInTable(Common_SourceData.Common_SourceData_MonthsToSeasons_Data(), Table_SourceData_Common_MonthToSeason[[#Headers],[Month]], 0)</f>
        <v>Winter</v>
      </c>
    </row>
    <row r="219" spans="4:5" x14ac:dyDescent="0.25">
      <c r="D219" s="1" t="str" cm="1">
        <f t="array" ref="D219">Common_InputFunctions.Utility_DisplayArrayInTable(Common_SourceData.Common_SourceData_MonthsToSeasons_Data(), Table_SourceData_Common_MonthToSeason[[#Headers],[Month]], 0)</f>
        <v>July</v>
      </c>
      <c r="E219" s="37" t="str" cm="1">
        <f t="array" ref="E219">Common_InputFunctions.Utility_DisplayArrayInTable(Common_SourceData.Common_SourceData_MonthsToSeasons_Data(), Table_SourceData_Common_MonthToSeason[[#Headers],[Month]], 0)</f>
        <v>Winter</v>
      </c>
    </row>
    <row r="220" spans="4:5" x14ac:dyDescent="0.25">
      <c r="D220" s="1" t="str" cm="1">
        <f t="array" ref="D220">Common_InputFunctions.Utility_DisplayArrayInTable(Common_SourceData.Common_SourceData_MonthsToSeasons_Data(), Table_SourceData_Common_MonthToSeason[[#Headers],[Month]], 0)</f>
        <v>August</v>
      </c>
      <c r="E220" s="37" t="str" cm="1">
        <f t="array" ref="E220">Common_InputFunctions.Utility_DisplayArrayInTable(Common_SourceData.Common_SourceData_MonthsToSeasons_Data(), Table_SourceData_Common_MonthToSeason[[#Headers],[Month]], 0)</f>
        <v>Winter</v>
      </c>
    </row>
    <row r="221" spans="4:5" x14ac:dyDescent="0.25">
      <c r="D221" s="1" t="str" cm="1">
        <f t="array" ref="D221">Common_InputFunctions.Utility_DisplayArrayInTable(Common_SourceData.Common_SourceData_MonthsToSeasons_Data(), Table_SourceData_Common_MonthToSeason[[#Headers],[Month]], 0)</f>
        <v>September</v>
      </c>
      <c r="E221" s="37" t="str" cm="1">
        <f t="array" ref="E221">Common_InputFunctions.Utility_DisplayArrayInTable(Common_SourceData.Common_SourceData_MonthsToSeasons_Data(), Table_SourceData_Common_MonthToSeason[[#Headers],[Month]], 0)</f>
        <v>Spring</v>
      </c>
    </row>
    <row r="222" spans="4:5" x14ac:dyDescent="0.25">
      <c r="D222" s="1" t="str" cm="1">
        <f t="array" ref="D222">Common_InputFunctions.Utility_DisplayArrayInTable(Common_SourceData.Common_SourceData_MonthsToSeasons_Data(), Table_SourceData_Common_MonthToSeason[[#Headers],[Month]], 0)</f>
        <v>October</v>
      </c>
      <c r="E222" s="37" t="str" cm="1">
        <f t="array" ref="E222">Common_InputFunctions.Utility_DisplayArrayInTable(Common_SourceData.Common_SourceData_MonthsToSeasons_Data(), Table_SourceData_Common_MonthToSeason[[#Headers],[Month]], 0)</f>
        <v>Spring</v>
      </c>
    </row>
    <row r="223" spans="4:5" x14ac:dyDescent="0.25">
      <c r="D223" s="1" t="str" cm="1">
        <f t="array" ref="D223">Common_InputFunctions.Utility_DisplayArrayInTable(Common_SourceData.Common_SourceData_MonthsToSeasons_Data(), Table_SourceData_Common_MonthToSeason[[#Headers],[Month]], 0)</f>
        <v>November</v>
      </c>
      <c r="E223" s="37" t="str" cm="1">
        <f t="array" ref="E223">Common_InputFunctions.Utility_DisplayArrayInTable(Common_SourceData.Common_SourceData_MonthsToSeasons_Data(), Table_SourceData_Common_MonthToSeason[[#Headers],[Month]], 0)</f>
        <v>Spring</v>
      </c>
    </row>
    <row r="224" spans="4:5" x14ac:dyDescent="0.25">
      <c r="D224" s="1" t="str" cm="1">
        <f t="array" ref="D224">Common_InputFunctions.Utility_DisplayArrayInTable(Common_SourceData.Common_SourceData_MonthsToSeasons_Data(), Table_SourceData_Common_MonthToSeason[[#Headers],[Month]], 0)</f>
        <v>December</v>
      </c>
      <c r="E224" s="37" t="str" cm="1">
        <f t="array" ref="E224">Common_InputFunctions.Utility_DisplayArrayInTable(Common_SourceData.Common_SourceData_MonthsToSeasons_Data(), Table_SourceData_Common_MonthToSeason[[#Headers],[Month]], 0)</f>
        <v>Summer</v>
      </c>
    </row>
  </sheetData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D89-F657-45A6-A770-73699ABB25CC}">
  <dimension ref="A1:M63"/>
  <sheetViews>
    <sheetView showGridLines="0" workbookViewId="0">
      <selection activeCell="A4" sqref="A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30.85546875" style="1" customWidth="1"/>
    <col min="10" max="13" width="30.7109375" style="1" customWidth="1"/>
    <col min="14" max="16" width="30.7109375" customWidth="1"/>
  </cols>
  <sheetData>
    <row r="1" spans="1:13" ht="30" customHeight="1" x14ac:dyDescent="0.35">
      <c r="A1" s="65" t="e" vm="1">
        <v>#VALUE!</v>
      </c>
      <c r="C1" s="8" t="s">
        <v>79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0.100000000000001" customHeight="1" x14ac:dyDescent="0.25">
      <c r="A2" s="7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0.100000000000001" customHeight="1" x14ac:dyDescent="0.25">
      <c r="A4" s="17" t="str">
        <f>HYPERLINK("#'Results'!A1", "Results")</f>
        <v>Results</v>
      </c>
    </row>
    <row r="5" spans="1:13" ht="20.100000000000001" customHeight="1" x14ac:dyDescent="0.25">
      <c r="A5" s="16"/>
    </row>
    <row r="6" spans="1:13" ht="20.100000000000001" customHeight="1" x14ac:dyDescent="0.25">
      <c r="A6" s="20" t="s">
        <v>3</v>
      </c>
      <c r="D6" s="6" t="str" cm="1">
        <f t="array" ref="D6">CommonLivestock_SourceData.SourceData_Livestock_Common_SymbolsMMS_Title()</f>
        <v>Table 5.12 Additional symbols used in algorithms for manure related emissions</v>
      </c>
      <c r="E6" s="3"/>
      <c r="F6" s="3"/>
      <c r="G6" s="3"/>
      <c r="H6" s="3"/>
    </row>
    <row r="7" spans="1:13" ht="20.100000000000001" customHeight="1" x14ac:dyDescent="0.25">
      <c r="A7" s="17" t="str">
        <f>HYPERLINK("#'Input - Site'!A1", "Site")</f>
        <v>Site</v>
      </c>
      <c r="D7" s="3" t="str" cm="1">
        <f t="array" ref="D7">CommonLivestock_SourceData.SourceData_Livestock_Common_SymbolsMMS_Vairable()</f>
        <v>MMS</v>
      </c>
      <c r="E7" s="3"/>
      <c r="F7" s="3"/>
      <c r="G7" s="3"/>
      <c r="H7" s="3"/>
    </row>
    <row r="8" spans="1:13" ht="20.100000000000001" customHeight="1" x14ac:dyDescent="0.25">
      <c r="A8" s="17" t="str">
        <f>HYPERLINK("#'Input - Swine'!A1", "Swine")</f>
        <v>Swine</v>
      </c>
      <c r="D8" s="5" t="str" cm="1">
        <f t="array" ref="D8">CommonLivestock_SourceData.SourceData_Livestock_Common_SymbolsMMS_Source()</f>
        <v>National Inventory Report 2023 Volume 1: Table 5.12</v>
      </c>
      <c r="E8" s="3"/>
      <c r="F8" s="3"/>
      <c r="G8" s="3"/>
      <c r="H8" s="3"/>
    </row>
    <row r="9" spans="1:13" ht="20.100000000000001" customHeight="1" x14ac:dyDescent="0.25">
      <c r="A9" s="17"/>
      <c r="D9" s="36" t="s">
        <v>80</v>
      </c>
      <c r="E9" s="37" t="s">
        <v>20</v>
      </c>
      <c r="F9" s="37" t="s">
        <v>81</v>
      </c>
      <c r="G9" s="3"/>
    </row>
    <row r="10" spans="1:13" ht="20.100000000000001" customHeight="1" x14ac:dyDescent="0.25">
      <c r="A10" s="19" t="s">
        <v>76</v>
      </c>
      <c r="D10" s="36" t="str" cm="1">
        <f t="array" ref="D10">Common_InputFunctions.Utility_DisplayArrayInTable(CommonLivestock_SourceData.SourceData_Livestock_Common_SymbolsMMS_Data(), Table_Data_MMSSymbols[[#Headers],[Symbol]], 0)</f>
        <v>1</v>
      </c>
      <c r="E10" s="36" t="str" cm="1">
        <f t="array" ref="E10">Common_InputFunctions.Utility_DisplayArrayInTable(CommonLivestock_SourceData.SourceData_Livestock_Common_SymbolsMMS_Data(), Table_Data_MMSSymbols[[#Headers],[Symbol]], 0)</f>
        <v>Anaerobic lagoon</v>
      </c>
      <c r="F10" s="36" t="str" cm="1">
        <f t="array" ref="F10">Common_InputFunctions.Utility_DisplayArrayInTable(CommonLivestock_SourceData.SourceData_Livestock_Common_SymbolsMMS_Data(), Table_Data_MMSSymbols[[#Headers],[Symbol]], 0)</f>
        <v>Anaerobic lagoon (m=1)</v>
      </c>
      <c r="G10" s="3"/>
    </row>
    <row r="11" spans="1:13" ht="20.100000000000001" customHeight="1" x14ac:dyDescent="0.25">
      <c r="A11" s="17" t="str">
        <f>HYPERLINK("#'4.5.1.1-2 Methane'!A1", "4.5.1.1-2 Methane")</f>
        <v>4.5.1.1-2 Methane</v>
      </c>
      <c r="D11" s="36" t="str" cm="1">
        <f t="array" ref="D11">Common_InputFunctions.Utility_DisplayArrayInTable(CommonLivestock_SourceData.SourceData_Livestock_Common_SymbolsMMS_Data(), Table_Data_MMSSymbols[[#Headers],[Symbol]], 0)</f>
        <v>2</v>
      </c>
      <c r="E11" s="36" t="str" cm="1">
        <f t="array" ref="E11">Common_InputFunctions.Utility_DisplayArrayInTable(CommonLivestock_SourceData.SourceData_Livestock_Common_SymbolsMMS_Data(), Table_Data_MMSSymbols[[#Headers],[Symbol]], 0)</f>
        <v>Liquid systems</v>
      </c>
      <c r="F11" s="36" t="str" cm="1">
        <f t="array" ref="F11">Common_InputFunctions.Utility_DisplayArrayInTable(CommonLivestock_SourceData.SourceData_Livestock_Common_SymbolsMMS_Data(), Table_Data_MMSSymbols[[#Headers],[Symbol]], 0)</f>
        <v>Liquid systems (m=2)</v>
      </c>
      <c r="G11" s="3"/>
    </row>
    <row r="12" spans="1:13" ht="20.100000000000001" customHeight="1" x14ac:dyDescent="0.25">
      <c r="A12" s="17" t="str">
        <f>HYPERLINK("#'4.5.1.3-4 Direct N20'!A1", "4.5.1.3-4 Direct N2O")</f>
        <v>4.5.1.3-4 Direct N2O</v>
      </c>
      <c r="D12" s="37" t="str" cm="1">
        <f t="array" ref="D12">Common_InputFunctions.Utility_DisplayArrayInTable(CommonLivestock_SourceData.SourceData_Livestock_Common_SymbolsMMS_Data(), Table_Data_MMSSymbols[[#Headers],[Symbol]], 0)</f>
        <v>3</v>
      </c>
      <c r="E12" s="37" t="str" cm="1">
        <f t="array" ref="E12">Common_InputFunctions.Utility_DisplayArrayInTable(CommonLivestock_SourceData.SourceData_Livestock_Common_SymbolsMMS_Data(), Table_Data_MMSSymbols[[#Headers],[Symbol]], 0)</f>
        <v>Daily spread</v>
      </c>
      <c r="F12" s="37" t="str" cm="1">
        <f t="array" ref="F12">Common_InputFunctions.Utility_DisplayArrayInTable(CommonLivestock_SourceData.SourceData_Livestock_Common_SymbolsMMS_Data(), Table_Data_MMSSymbols[[#Headers],[Symbol]], 0)</f>
        <v>Daily spread (m=3)</v>
      </c>
      <c r="G12" s="3"/>
    </row>
    <row r="13" spans="1:13" ht="20.100000000000001" customHeight="1" x14ac:dyDescent="0.25">
      <c r="A13" s="17" t="str">
        <f>HYPERLINK("#'4.5.1.5-6 Atmos Dep'!A1", "4.5.1.5-6 Soil atm. deposition")</f>
        <v>4.5.1.5-6 Soil atm. deposition</v>
      </c>
      <c r="D13" s="37" t="str" cm="1">
        <f t="array" ref="D13">Common_InputFunctions.Utility_DisplayArrayInTable(CommonLivestock_SourceData.SourceData_Livestock_Common_SymbolsMMS_Data(), Table_Data_MMSSymbols[[#Headers],[Symbol]], 0)</f>
        <v>3a</v>
      </c>
      <c r="E13" s="37" t="str" cm="1">
        <f t="array" ref="E13">Common_InputFunctions.Utility_DisplayArrayInTable(CommonLivestock_SourceData.SourceData_Livestock_Common_SymbolsMMS_Data(), Table_Data_MMSSymbols[[#Headers],[Symbol]], 0)</f>
        <v>Sump and dispersal system</v>
      </c>
      <c r="F13" s="37" t="str" cm="1">
        <f t="array" ref="F13">Common_InputFunctions.Utility_DisplayArrayInTable(CommonLivestock_SourceData.SourceData_Livestock_Common_SymbolsMMS_Data(), Table_Data_MMSSymbols[[#Headers],[Symbol]], 0)</f>
        <v>Sump and dispersal system (m=3a)</v>
      </c>
      <c r="G13" s="3"/>
    </row>
    <row r="14" spans="1:13" ht="20.100000000000001" customHeight="1" x14ac:dyDescent="0.25">
      <c r="A14" s="17" t="str">
        <f>HYPERLINK("#'4.5.1.7-8 Leaching and runoff'!A1", "4.5.1.7-8 Leaching &amp; runoff")</f>
        <v>4.5.1.7-8 Leaching &amp; runoff</v>
      </c>
      <c r="D14" s="37" t="str" cm="1">
        <f t="array" ref="D14">Common_InputFunctions.Utility_DisplayArrayInTable(CommonLivestock_SourceData.SourceData_Livestock_Common_SymbolsMMS_Data(), Table_Data_MMSSymbols[[#Headers],[Symbol]], 0)</f>
        <v>3b</v>
      </c>
      <c r="E14" s="37" t="str" cm="1">
        <f t="array" ref="E14">Common_InputFunctions.Utility_DisplayArrayInTable(CommonLivestock_SourceData.SourceData_Livestock_Common_SymbolsMMS_Data(), Table_Data_MMSSymbols[[#Headers],[Symbol]], 0)</f>
        <v>Drains to paddock</v>
      </c>
      <c r="F14" s="37" t="str" cm="1">
        <f t="array" ref="F14">Common_InputFunctions.Utility_DisplayArrayInTable(CommonLivestock_SourceData.SourceData_Livestock_Common_SymbolsMMS_Data(), Table_Data_MMSSymbols[[#Headers],[Symbol]], 0)</f>
        <v>Drains to paddock (m=3b)</v>
      </c>
      <c r="G14" s="3"/>
    </row>
    <row r="15" spans="1:13" ht="20.100000000000001" customHeight="1" x14ac:dyDescent="0.25">
      <c r="A15" s="17" t="str">
        <f>HYPERLINK("#'4.5.1.9 Manure applied to soils'!A1", "4.5.1.9 Manure applied to soils")</f>
        <v>4.5.1.9 Manure applied to soils</v>
      </c>
      <c r="D15" s="37" t="str" cm="1">
        <f t="array" ref="D15">Common_InputFunctions.Utility_DisplayArrayInTable(CommonLivestock_SourceData.SourceData_Livestock_Common_SymbolsMMS_Data(), Table_Data_MMSSymbols[[#Headers],[Symbol]], 0)</f>
        <v>4</v>
      </c>
      <c r="E15" s="37" t="str" cm="1">
        <f t="array" ref="E15">Common_InputFunctions.Utility_DisplayArrayInTable(CommonLivestock_SourceData.SourceData_Livestock_Common_SymbolsMMS_Data(), Table_Data_MMSSymbols[[#Headers],[Symbol]], 0)</f>
        <v>Solid storage</v>
      </c>
      <c r="F15" s="37" t="str" cm="1">
        <f t="array" ref="F15">Common_InputFunctions.Utility_DisplayArrayInTable(CommonLivestock_SourceData.SourceData_Livestock_Common_SymbolsMMS_Data(), Table_Data_MMSSymbols[[#Headers],[Symbol]], 0)</f>
        <v>Solid storage (m=4)</v>
      </c>
      <c r="G15" s="3"/>
    </row>
    <row r="16" spans="1:13" ht="20.100000000000001" customHeight="1" x14ac:dyDescent="0.25">
      <c r="D16" s="37" t="str" cm="1">
        <f t="array" ref="D16">Common_InputFunctions.Utility_DisplayArrayInTable(CommonLivestock_SourceData.SourceData_Livestock_Common_SymbolsMMS_Data(), Table_Data_MMSSymbols[[#Headers],[Symbol]], 0)</f>
        <v>5</v>
      </c>
      <c r="E16" s="37" t="str" cm="1">
        <f t="array" ref="E16">Common_InputFunctions.Utility_DisplayArrayInTable(CommonLivestock_SourceData.SourceData_Livestock_Common_SymbolsMMS_Data(), Table_Data_MMSSymbols[[#Headers],[Symbol]], 0)</f>
        <v>Drylot (feed pad)</v>
      </c>
      <c r="F16" s="37" t="str" cm="1">
        <f t="array" ref="F16">Common_InputFunctions.Utility_DisplayArrayInTable(CommonLivestock_SourceData.SourceData_Livestock_Common_SymbolsMMS_Data(), Table_Data_MMSSymbols[[#Headers],[Symbol]], 0)</f>
        <v>Drylot (feed pad) (m=5)</v>
      </c>
      <c r="G16" s="3"/>
    </row>
    <row r="17" spans="1:8" ht="20.100000000000001" customHeight="1" x14ac:dyDescent="0.25">
      <c r="A17" s="18" t="s">
        <v>4</v>
      </c>
      <c r="D17" s="37" t="str" cm="1">
        <f t="array" ref="D17">Common_InputFunctions.Utility_DisplayArrayInTable(CommonLivestock_SourceData.SourceData_Livestock_Common_SymbolsMMS_Data(), Table_Data_MMSSymbols[[#Headers],[Symbol]], 0)</f>
        <v>6</v>
      </c>
      <c r="E17" s="37" t="str" cm="1">
        <f t="array" ref="E17">Common_InputFunctions.Utility_DisplayArrayInTable(CommonLivestock_SourceData.SourceData_Livestock_Common_SymbolsMMS_Data(), Table_Data_MMSSymbols[[#Headers],[Symbol]], 0)</f>
        <v>Composting (passive windrow)</v>
      </c>
      <c r="F17" s="37" t="str" cm="1">
        <f t="array" ref="F17">Common_InputFunctions.Utility_DisplayArrayInTable(CommonLivestock_SourceData.SourceData_Livestock_Common_SymbolsMMS_Data(), Table_Data_MMSSymbols[[#Headers],[Symbol]], 0)</f>
        <v>Composting (passive windrow) (m=6)</v>
      </c>
      <c r="G17" s="3"/>
    </row>
    <row r="18" spans="1:8" ht="20.100000000000001" customHeight="1" x14ac:dyDescent="0.25">
      <c r="A18" s="17" t="str">
        <f>HYPERLINK("#'Constants - Swine'!A1", "Constants - Swine")</f>
        <v>Constants - Swine</v>
      </c>
      <c r="D18" s="37" t="str" cm="1">
        <f t="array" ref="D18">Common_InputFunctions.Utility_DisplayArrayInTable(CommonLivestock_SourceData.SourceData_Livestock_Common_SymbolsMMS_Data(), Table_Data_MMSSymbols[[#Headers],[Symbol]], 0)</f>
        <v>7</v>
      </c>
      <c r="E18" s="37" t="str" cm="1">
        <f t="array" ref="E18">Common_InputFunctions.Utility_DisplayArrayInTable(CommonLivestock_SourceData.SourceData_Livestock_Common_SymbolsMMS_Data(), Table_Data_MMSSymbols[[#Headers],[Symbol]], 0)</f>
        <v>Digester / covered lagoons</v>
      </c>
      <c r="F18" s="37" t="str" cm="1">
        <f t="array" ref="F18">Common_InputFunctions.Utility_DisplayArrayInTable(CommonLivestock_SourceData.SourceData_Livestock_Common_SymbolsMMS_Data(), Table_Data_MMSSymbols[[#Headers],[Symbol]], 0)</f>
        <v>Digester / covered lagoons (m=7)</v>
      </c>
      <c r="G18" s="3"/>
    </row>
    <row r="19" spans="1:8" ht="20.100000000000001" customHeight="1" x14ac:dyDescent="0.25">
      <c r="A19" s="135" t="str">
        <f>HYPERLINK("#'Constants - Livestock'!A1", "Constants - Livestock")</f>
        <v>Constants - Livestock</v>
      </c>
      <c r="D19" s="37" t="str" cm="1">
        <f t="array" ref="D19">Common_InputFunctions.Utility_DisplayArrayInTable(CommonLivestock_SourceData.SourceData_Livestock_Common_SymbolsMMS_Data(), Table_Data_MMSSymbols[[#Headers],[Symbol]], 0)</f>
        <v>8</v>
      </c>
      <c r="E19" s="37" t="str" cm="1">
        <f t="array" ref="E19">Common_InputFunctions.Utility_DisplayArrayInTable(CommonLivestock_SourceData.SourceData_Livestock_Common_SymbolsMMS_Data(), Table_Data_MMSSymbols[[#Headers],[Symbol]], 0)</f>
        <v>Deep litter</v>
      </c>
      <c r="F19" s="37" t="str" cm="1">
        <f t="array" ref="F19">Common_InputFunctions.Utility_DisplayArrayInTable(CommonLivestock_SourceData.SourceData_Livestock_Common_SymbolsMMS_Data(), Table_Data_MMSSymbols[[#Headers],[Symbol]], 0)</f>
        <v>Deep litter (m=8)</v>
      </c>
      <c r="G19" s="3"/>
    </row>
    <row r="20" spans="1:8" ht="20.100000000000001" customHeight="1" x14ac:dyDescent="0.25">
      <c r="A20" s="17" t="str">
        <f>HYPERLINK("#'Constants - Common'!A1", "Constants - Common")</f>
        <v>Constants - Common</v>
      </c>
      <c r="D20" s="37" t="str" cm="1">
        <f t="array" ref="D20">Common_InputFunctions.Utility_DisplayArrayInTable(CommonLivestock_SourceData.SourceData_Livestock_Common_SymbolsMMS_Data(), Table_Data_MMSSymbols[[#Headers],[Symbol]], 0)</f>
        <v>9</v>
      </c>
      <c r="E20" s="37" t="str" cm="1">
        <f t="array" ref="E20">Common_InputFunctions.Utility_DisplayArrayInTable(CommonLivestock_SourceData.SourceData_Livestock_Common_SymbolsMMS_Data(), Table_Data_MMSSymbols[[#Headers],[Symbol]], 0)</f>
        <v>Pit storage</v>
      </c>
      <c r="F20" s="37" t="str" cm="1">
        <f t="array" ref="F20">Common_InputFunctions.Utility_DisplayArrayInTable(CommonLivestock_SourceData.SourceData_Livestock_Common_SymbolsMMS_Data(), Table_Data_MMSSymbols[[#Headers],[Symbol]], 0)</f>
        <v>Pit storage (m=9)</v>
      </c>
      <c r="G20" s="3"/>
    </row>
    <row r="21" spans="1:8" ht="20.100000000000001" customHeight="1" x14ac:dyDescent="0.25">
      <c r="A21" s="17" t="str">
        <f>HYPERLINK("#'Acknowledgements'!A1", "Acknowledgements")</f>
        <v>Acknowledgements</v>
      </c>
      <c r="D21" s="37" t="str" cm="1">
        <f t="array" ref="D21">Common_InputFunctions.Utility_DisplayArrayInTable(CommonLivestock_SourceData.SourceData_Livestock_Common_SymbolsMMS_Data(), Table_Data_MMSSymbols[[#Headers],[Symbol]], 0)</f>
        <v>10</v>
      </c>
      <c r="E21" s="37" t="str" cm="1">
        <f t="array" ref="E21">Common_InputFunctions.Utility_DisplayArrayInTable(CommonLivestock_SourceData.SourceData_Livestock_Common_SymbolsMMS_Data(), Table_Data_MMSSymbols[[#Headers],[Symbol]], 0)</f>
        <v>Poultry manure with bedding</v>
      </c>
      <c r="F21" s="37" t="str" cm="1">
        <f t="array" ref="F21">Common_InputFunctions.Utility_DisplayArrayInTable(CommonLivestock_SourceData.SourceData_Livestock_Common_SymbolsMMS_Data(), Table_Data_MMSSymbols[[#Headers],[Symbol]], 0)</f>
        <v>Poultry manure with bedding (m=10)</v>
      </c>
      <c r="G21" s="3"/>
    </row>
    <row r="22" spans="1:8" ht="20.100000000000001" customHeight="1" x14ac:dyDescent="0.25">
      <c r="D22" s="37" t="str" cm="1">
        <f t="array" ref="D22">Common_InputFunctions.Utility_DisplayArrayInTable(CommonLivestock_SourceData.SourceData_Livestock_Common_SymbolsMMS_Data(), Table_Data_MMSSymbols[[#Headers],[Symbol]], 0)</f>
        <v>11</v>
      </c>
      <c r="E22" s="37" t="str" cm="1">
        <f t="array" ref="E22">Common_InputFunctions.Utility_DisplayArrayInTable(CommonLivestock_SourceData.SourceData_Livestock_Common_SymbolsMMS_Data(), Table_Data_MMSSymbols[[#Headers],[Symbol]], 0)</f>
        <v>Poultry manure without bedding</v>
      </c>
      <c r="F22" s="37" t="str" cm="1">
        <f t="array" ref="F22">Common_InputFunctions.Utility_DisplayArrayInTable(CommonLivestock_SourceData.SourceData_Livestock_Common_SymbolsMMS_Data(), Table_Data_MMSSymbols[[#Headers],[Symbol]], 0)</f>
        <v>Poultry manure without bedding (m=11)</v>
      </c>
      <c r="G22" s="3"/>
    </row>
    <row r="23" spans="1:8" ht="20.100000000000001" customHeight="1" x14ac:dyDescent="0.25">
      <c r="A23" s="17"/>
      <c r="D23" s="37" t="str" cm="1">
        <f t="array" ref="D23">Common_InputFunctions.Utility_DisplayArrayInTable(CommonLivestock_SourceData.SourceData_Livestock_Common_SymbolsMMS_Data(), Table_Data_MMSSymbols[[#Headers],[Symbol]], 0)</f>
        <v>11a</v>
      </c>
      <c r="E23" s="37" t="str" cm="1">
        <f t="array" ref="E23">Common_InputFunctions.Utility_DisplayArrayInTable(CommonLivestock_SourceData.SourceData_Livestock_Common_SymbolsMMS_Data(), Table_Data_MMSSymbols[[#Headers],[Symbol]], 0)</f>
        <v>Belt manure removal</v>
      </c>
      <c r="F23" s="37" t="str" cm="1">
        <f t="array" ref="F23">Common_InputFunctions.Utility_DisplayArrayInTable(CommonLivestock_SourceData.SourceData_Livestock_Common_SymbolsMMS_Data(), Table_Data_MMSSymbols[[#Headers],[Symbol]], 0)</f>
        <v>Belt manure removal (m=11a)</v>
      </c>
      <c r="G23" s="3"/>
    </row>
    <row r="24" spans="1:8" ht="20.100000000000001" customHeight="1" x14ac:dyDescent="0.25">
      <c r="A24" s="17"/>
      <c r="D24" s="37" t="str" cm="1">
        <f t="array" ref="D24">Common_InputFunctions.Utility_DisplayArrayInTable(CommonLivestock_SourceData.SourceData_Livestock_Common_SymbolsMMS_Data(), Table_Data_MMSSymbols[[#Headers],[Symbol]], 0)</f>
        <v>11b</v>
      </c>
      <c r="E24" s="37" t="str" cm="1">
        <f t="array" ref="E24">Common_InputFunctions.Utility_DisplayArrayInTable(CommonLivestock_SourceData.SourceData_Livestock_Common_SymbolsMMS_Data(), Table_Data_MMSSymbols[[#Headers],[Symbol]], 0)</f>
        <v>Manure stored in house</v>
      </c>
      <c r="F24" s="37" t="str" cm="1">
        <f t="array" ref="F24">Common_InputFunctions.Utility_DisplayArrayInTable(CommonLivestock_SourceData.SourceData_Livestock_Common_SymbolsMMS_Data(), Table_Data_MMSSymbols[[#Headers],[Symbol]], 0)</f>
        <v>Manure stored in house (m=11b)</v>
      </c>
      <c r="G24" s="3"/>
    </row>
    <row r="25" spans="1:8" ht="20.100000000000001" customHeight="1" x14ac:dyDescent="0.25">
      <c r="D25" s="37" t="str" cm="1">
        <f t="array" ref="D25">Common_InputFunctions.Utility_DisplayArrayInTable(CommonLivestock_SourceData.SourceData_Livestock_Common_SymbolsMMS_Data(), Table_Data_MMSSymbols[[#Headers],[Symbol]], 0)</f>
        <v>12</v>
      </c>
      <c r="E25" s="37" t="str" cm="1">
        <f t="array" ref="E25">Common_InputFunctions.Utility_DisplayArrayInTable(CommonLivestock_SourceData.SourceData_Livestock_Common_SymbolsMMS_Data(), Table_Data_MMSSymbols[[#Headers],[Symbol]], 0)</f>
        <v>Direct processing</v>
      </c>
      <c r="F25" s="37" t="str" cm="1">
        <f t="array" ref="F25">Common_InputFunctions.Utility_DisplayArrayInTable(CommonLivestock_SourceData.SourceData_Livestock_Common_SymbolsMMS_Data(), Table_Data_MMSSymbols[[#Headers],[Symbol]], 0)</f>
        <v>Direct processing (m=12)</v>
      </c>
      <c r="G25" s="3"/>
    </row>
    <row r="26" spans="1:8" ht="20.100000000000001" customHeight="1" x14ac:dyDescent="0.25">
      <c r="D26" s="37" t="str" cm="1">
        <f t="array" ref="D26">Common_InputFunctions.Utility_DisplayArrayInTable(CommonLivestock_SourceData.SourceData_Livestock_Common_SymbolsMMS_Data(), Table_Data_MMSSymbols[[#Headers],[Symbol]], 0)</f>
        <v>13</v>
      </c>
      <c r="E26" s="37" t="str" cm="1">
        <f t="array" ref="E26">Common_InputFunctions.Utility_DisplayArrayInTable(CommonLivestock_SourceData.SourceData_Livestock_Common_SymbolsMMS_Data(), Table_Data_MMSSymbols[[#Headers],[Symbol]], 0)</f>
        <v>Direct application</v>
      </c>
      <c r="F26" s="37" t="str" cm="1">
        <f t="array" ref="F26">Common_InputFunctions.Utility_DisplayArrayInTable(CommonLivestock_SourceData.SourceData_Livestock_Common_SymbolsMMS_Data(), Table_Data_MMSSymbols[[#Headers],[Symbol]], 0)</f>
        <v>Direct application (m=13)</v>
      </c>
      <c r="G26" s="3"/>
    </row>
    <row r="27" spans="1:8" ht="20.100000000000001" customHeight="1" x14ac:dyDescent="0.25">
      <c r="D27" s="37" t="str" cm="1">
        <f t="array" ref="D27">Common_InputFunctions.Utility_DisplayArrayInTable(CommonLivestock_SourceData.SourceData_Livestock_Common_SymbolsMMS_Data(), Table_Data_MMSSymbols[[#Headers],[Symbol]], 0)</f>
        <v>14</v>
      </c>
      <c r="E27" s="37" t="str" cm="1">
        <f t="array" ref="E27">Common_InputFunctions.Utility_DisplayArrayInTable(CommonLivestock_SourceData.SourceData_Livestock_Common_SymbolsMMS_Data(), Table_Data_MMSSymbols[[#Headers],[Symbol]], 0)</f>
        <v>Pasture range and paddock</v>
      </c>
      <c r="F27" s="37" t="str" cm="1">
        <f t="array" ref="F27">Common_InputFunctions.Utility_DisplayArrayInTable(CommonLivestock_SourceData.SourceData_Livestock_Common_SymbolsMMS_Data(), Table_Data_MMSSymbols[[#Headers],[Symbol]], 0)</f>
        <v>Pasture range and paddock (m=14)</v>
      </c>
      <c r="G27" s="3"/>
    </row>
    <row r="28" spans="1:8" ht="20.100000000000001" customHeight="1" x14ac:dyDescent="0.25">
      <c r="G28" s="3"/>
      <c r="H28" s="3"/>
    </row>
    <row r="29" spans="1:8" ht="20.100000000000001" customHeight="1" x14ac:dyDescent="0.25"/>
    <row r="30" spans="1:8" ht="20.100000000000001" customHeight="1" x14ac:dyDescent="0.25"/>
    <row r="31" spans="1:8" ht="20.100000000000001" customHeight="1" x14ac:dyDescent="0.25"/>
    <row r="32" spans="1:8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A9DA-7B49-4536-9AC1-4BDE2DD493BF}">
  <dimension ref="A1"/>
  <sheetViews>
    <sheetView workbookViewId="0"/>
  </sheetViews>
  <sheetFormatPr defaultRowHeight="15" x14ac:dyDescent="0.25"/>
  <sheetData>
    <row r="1" spans="1:1" x14ac:dyDescent="0.25">
      <c r="A1" t="s">
        <v>132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3A6B-B8DF-40B8-B36B-2098F8DD980B}">
  <dimension ref="A1:U165"/>
  <sheetViews>
    <sheetView showGridLines="0" topLeftCell="A2" workbookViewId="0">
      <selection activeCell="F35" sqref="F3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1" width="30.7109375" style="1" customWidth="1"/>
    <col min="12" max="12" width="4.7109375" style="1" customWidth="1"/>
    <col min="13" max="13" width="4.7109375" customWidth="1"/>
    <col min="14" max="14" width="4.7109375" style="1" customWidth="1"/>
    <col min="15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</row>
    <row r="2" spans="1:21" s="9" customFormat="1" ht="20.100000000000001" customHeight="1" x14ac:dyDescent="0.25"/>
    <row r="3" spans="1:21" ht="20.100000000000001" customHeight="1" x14ac:dyDescent="0.25">
      <c r="A3" s="17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</row>
    <row r="6" spans="1:21" ht="20.100000000000001" customHeight="1" x14ac:dyDescent="0.25">
      <c r="A6" s="20" t="s">
        <v>3</v>
      </c>
    </row>
    <row r="7" spans="1:21" ht="20.100000000000001" customHeight="1" x14ac:dyDescent="0.25">
      <c r="A7" s="17" t="str">
        <f>HYPERLINK("#'Input - Site'!A1", "Site")</f>
        <v>Site</v>
      </c>
    </row>
    <row r="8" spans="1:21" ht="20.100000000000001" customHeight="1" x14ac:dyDescent="0.25">
      <c r="A8" s="17" t="str">
        <f>HYPERLINK("#'Input - Production'!A1", "Production and outputs")</f>
        <v>Production and outputs</v>
      </c>
    </row>
    <row r="9" spans="1:21" ht="20.100000000000001" customHeight="1" x14ac:dyDescent="0.25">
      <c r="A9" s="17" t="str">
        <f>HYPERLINK("#'Input - Herd - Dairy'!A1", "Herd - Dairy")</f>
        <v>Herd - Dairy</v>
      </c>
    </row>
    <row r="10" spans="1:21" ht="20.100000000000001" customHeight="1" x14ac:dyDescent="0.25">
      <c r="A10" s="17" t="str">
        <f>HYPERLINK("#'Input - Feed - Dairy'!A1", "Purchased feed - Livestock")</f>
        <v>Purchased feed - Livestock</v>
      </c>
    </row>
    <row r="11" spans="1:21" ht="20.100000000000001" customHeight="1" x14ac:dyDescent="0.25">
      <c r="A11" s="17" t="str">
        <f>HYPERLINK("#'Input - Herd - Feedlot'!A1", "Herd - Feedlot")</f>
        <v>Herd - Feedlot</v>
      </c>
    </row>
    <row r="12" spans="1:21" ht="20.100000000000001" customHeight="1" x14ac:dyDescent="0.25">
      <c r="A12" s="17" t="str">
        <f>HYPERLINK("#'Input - Pasture'!A1", "Pasture")</f>
        <v>Pasture</v>
      </c>
    </row>
    <row r="13" spans="1:21" ht="20.100000000000001" customHeight="1" x14ac:dyDescent="0.25">
      <c r="A13" s="17" t="str">
        <f>HYPERLINK("#'Input - Grains'!A1", "Crop - Grains")</f>
        <v>Crop - Grains</v>
      </c>
    </row>
    <row r="14" spans="1:21" ht="20.100000000000001" customHeight="1" x14ac:dyDescent="0.25">
      <c r="A14" s="17" t="str">
        <f>HYPERLINK("#'Input - Fert Lime Chem'!A1", "Fertiliser, Lime &amp; Chemicals")</f>
        <v>Fertiliser, Lime &amp; Chemicals</v>
      </c>
    </row>
    <row r="15" spans="1:21" ht="20.100000000000001" customHeight="1" x14ac:dyDescent="0.25">
      <c r="A15" s="17" t="str">
        <f>HYPERLINK("#'Input - Fuel &amp; Energy'!A1", "Electricity and fuel")</f>
        <v>Electricity and fuel</v>
      </c>
    </row>
    <row r="16" spans="1:21" ht="20.100000000000001" customHeight="1" x14ac:dyDescent="0.25">
      <c r="A16" s="67" t="s">
        <v>78</v>
      </c>
    </row>
    <row r="17" spans="1:1" ht="20.100000000000001" customHeight="1" x14ac:dyDescent="0.25">
      <c r="A17" s="67" t="s">
        <v>74</v>
      </c>
    </row>
    <row r="18" spans="1:1" ht="20.100000000000001" customHeight="1" x14ac:dyDescent="0.25">
      <c r="A18" s="17" t="str">
        <f>HYPERLINK("#'Input - Other Farm Inputs'!A1", "Other farm inputs")</f>
        <v>Other farm inputs</v>
      </c>
    </row>
    <row r="19" spans="1:1" ht="20.100000000000001" customHeight="1" x14ac:dyDescent="0.25">
      <c r="A19" s="17" t="str">
        <f>HYPERLINK("#'Input - Data quality'!A1", "Data quality")</f>
        <v>Data quality</v>
      </c>
    </row>
    <row r="20" spans="1:1" ht="20.100000000000001" customHeight="1" x14ac:dyDescent="0.25"/>
    <row r="21" spans="1:1" ht="20.100000000000001" customHeight="1" x14ac:dyDescent="0.25">
      <c r="A21" s="19" t="s">
        <v>76</v>
      </c>
    </row>
    <row r="22" spans="1:1" ht="20.100000000000001" customHeight="1" x14ac:dyDescent="0.25">
      <c r="A22" s="67" t="s">
        <v>1</v>
      </c>
    </row>
    <row r="23" spans="1:1" ht="20.100000000000001" customHeight="1" x14ac:dyDescent="0.25">
      <c r="A23" s="67" t="s">
        <v>75</v>
      </c>
    </row>
    <row r="24" spans="1:1" ht="20.100000000000001" customHeight="1" x14ac:dyDescent="0.25">
      <c r="A24" s="17" t="str">
        <f>HYPERLINK("#'Calcs - Fert Lime'!A1", "Fertiliser &amp; soil amendments")</f>
        <v>Fertiliser &amp; soil amendments</v>
      </c>
    </row>
    <row r="25" spans="1:1" ht="20.100000000000001" customHeight="1" x14ac:dyDescent="0.25">
      <c r="A25" s="17" t="str">
        <f>HYPERLINK("#'Calcs - Residue mgmt - Crop'!A1", "Residue management - Crop")</f>
        <v>Residue management - Crop</v>
      </c>
    </row>
    <row r="26" spans="1:1" ht="20.100000000000001" customHeight="1" x14ac:dyDescent="0.25">
      <c r="A26" s="17" t="str">
        <f>HYPERLINK("#'Calcs - Residue mgmt - Pasture'!A1", "Residue management - Pasture")</f>
        <v>Residue management - Pasture</v>
      </c>
    </row>
    <row r="27" spans="1:1" ht="20.100000000000001" customHeight="1" x14ac:dyDescent="0.25">
      <c r="A27" s="17" t="str">
        <f>HYPERLINK("#'Calcs - Field burning'!A1", "Field burning - Crop")</f>
        <v>Field burning - Crop</v>
      </c>
    </row>
    <row r="28" spans="1:1" ht="20.100000000000001" customHeight="1" x14ac:dyDescent="0.25">
      <c r="A28" s="17" t="str">
        <f>HYPERLINK("#'Calcs - Fuel'!A1", "Fuel")</f>
        <v>Fuel</v>
      </c>
    </row>
    <row r="29" spans="1:1" ht="20.100000000000001" customHeight="1" x14ac:dyDescent="0.25">
      <c r="A29" s="17" t="str">
        <f>HYPERLINK("#'Calcs - Electricity'!A1", "Electricity")</f>
        <v>Electricity</v>
      </c>
    </row>
    <row r="30" spans="1:1" ht="20.100000000000001" customHeight="1" x14ac:dyDescent="0.25">
      <c r="A30" s="17" t="str">
        <f>HYPERLINK("#'Calcs - Refrigerants'!A1", "Refrigerants")</f>
        <v>Refrigerants</v>
      </c>
    </row>
    <row r="31" spans="1:1" ht="20.100000000000001" customHeight="1" x14ac:dyDescent="0.25">
      <c r="A31" s="67" t="s">
        <v>78</v>
      </c>
    </row>
    <row r="32" spans="1:1" ht="20.100000000000001" customHeight="1" x14ac:dyDescent="0.25">
      <c r="A32" s="67" t="s">
        <v>74</v>
      </c>
    </row>
    <row r="33" spans="1:1" ht="20.100000000000001" customHeight="1" x14ac:dyDescent="0.25">
      <c r="A33" s="17" t="str">
        <f>HYPERLINK("#'Calcs - Scope 3'!A1", "Purchased goods scope 3")</f>
        <v>Purchased goods scope 3</v>
      </c>
    </row>
    <row r="34" spans="1:1" ht="20.100000000000001" customHeight="1" x14ac:dyDescent="0.25"/>
    <row r="35" spans="1:1" ht="20.100000000000001" customHeight="1" x14ac:dyDescent="0.25">
      <c r="A35" s="18" t="s">
        <v>4</v>
      </c>
    </row>
    <row r="36" spans="1:1" ht="20.100000000000001" customHeight="1" x14ac:dyDescent="0.25">
      <c r="A36" s="17" t="str">
        <f>HYPERLINK("#'Constants - Common'!A1", "Constants - Common")</f>
        <v>Constants - Common</v>
      </c>
    </row>
    <row r="37" spans="1:1" ht="20.100000000000001" customHeight="1" x14ac:dyDescent="0.25">
      <c r="A37" s="17" t="str">
        <f>HYPERLINK("#'Constants - Cropping'!A1", "Constants - Cropping")</f>
        <v>Constants - Cropping</v>
      </c>
    </row>
    <row r="38" spans="1:1" ht="20.100000000000001" customHeight="1" x14ac:dyDescent="0.25">
      <c r="A38" s="17" t="str">
        <f>HYPERLINK("#'Constants - Livestock'!A1", "Constants - Livestock")</f>
        <v>Constants - Livestock</v>
      </c>
    </row>
    <row r="39" spans="1:1" ht="20.100000000000001" customHeight="1" x14ac:dyDescent="0.25">
      <c r="A39" s="17" t="str">
        <f>HYPERLINK("#'Constants - Dairy'!A1", "Constants - Dairy")</f>
        <v>Constants - Dairy</v>
      </c>
    </row>
    <row r="40" spans="1:1" ht="20.100000000000001" customHeight="1" x14ac:dyDescent="0.25">
      <c r="A40" s="67" t="s">
        <v>2</v>
      </c>
    </row>
    <row r="41" spans="1:1" ht="20.100000000000001" customHeight="1" x14ac:dyDescent="0.25">
      <c r="A41" s="44"/>
    </row>
    <row r="42" spans="1:1" ht="20.100000000000001" customHeight="1" x14ac:dyDescent="0.25"/>
    <row r="43" spans="1:1" ht="20.100000000000001" customHeight="1" x14ac:dyDescent="0.25"/>
    <row r="44" spans="1:1" ht="20.100000000000001" customHeight="1" x14ac:dyDescent="0.25"/>
    <row r="45" spans="1:1" ht="20.100000000000001" customHeight="1" x14ac:dyDescent="0.25"/>
    <row r="46" spans="1:1" ht="20.100000000000001" customHeight="1" x14ac:dyDescent="0.25"/>
    <row r="47" spans="1:1" ht="20.100000000000001" customHeight="1" x14ac:dyDescent="0.25"/>
    <row r="48" spans="1: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4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+ACAAMQA4ACAAQwBcACIALAAgAFwAIgBBAG4AeQBcACIALAAgAFwAIgBkIiAANwBcACIALAAgAFwAIgA+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+ACAAMQA4ACAAQwBcACIALAAgAFwAIgA+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+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+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+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FwAbgAgACAAIAAgAFgATABPAE8ASwBVAFAAKAAxACwAIAAoAEwAbwBvAGsAdQBwAEEAcgByAGEAeQAxAD0ATABvAG8AawB1AHAAVgBhAGwAdQBlADEAKQAqACgATABvAG8AawB1AHAAQQByAHIAYQB5ADIAPQBMAG8AbwBrAHUAcABWAGEAbAB1AGUAMgApACwAIABSAGUAdAB1AHIAbgBBAHIAcgBhAHkALAAgAFwAIgBcACI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FwAbgAgACAAIAAgAFgATABPAE8ASwBVAFAAKABMAG8AbwBrAHUAcABWAGEAbAB1AGUAMQAsACAATABvAG8AawB1AHAAQQByAHIAYQB5ADEALABcAG4AIAAgACAAIAAgACAAIAAgAFgATABPAE8ASwBVAFAAKABMAG8AbwBrAHUAcABWAGEAbAB1AGUAMgAsACAATABvAG8AawB1AHAAQQByAHIAYQB5ADIALAAgAFIAZQB0AHUAcgBuAEEAcgByAGEAe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+ADwAcwA+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+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+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QBuAHQAZQByAGkAYwBNAGUAdABoAGEAbgBlAF8AUwB3AGkAbgBlAF8ARQBxAHUAYQB0AGkAbwBuAHMAIgAsACIAdABlAHgAdAAiADoAIgAiAH0ALAB7ACIAcABhAHQAaAAiADoAIgAvAHAAcgBvAGoAZQBjAHQAcwAvAE0ATQBTAF8AUwB3AGkAbgBl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NQAgAE0AZQB0AGgAbwBkACAAMQAgAC0AIABNAGEAbgB1AHIAZQAgAEEAdABtAG8AcwBwAGgAZQByAGkAYwAgAEQAZQBwAG8AcwBpAHQAaQBvAG4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hAGQAfQA9AE0ATQBTAF8AewBBAFQATQBPAFMAfQBcAFwAdABpAG0AZQBzACAARQBGAF8AewBOADIATwB9AFwAXAB0AGkAbQBlAHMAIABDAF8AewBOADIATwB9AFwAXAB0AGkAbQBlAHMAIAAxADAAXgB7AC0AMwB9AFwAbgBNAE0AUwBfAEEAVABNAE8AUwAgAD0AIABtAGEAcwBzACAAbwBmACAATgAgAHYAbwBsAGEAdABpAGwAaQBzAGUAZAAgAGYAcgBvAG0AIABNAE0AUw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1AF8AMQBfADUAXwBfADEAXwBBAG4AbgB1AGEAbABBAHQAbQBvAHMAcABoAGUAcgBpAGMARABlAHAAbwBzAGkAdABpAG8AbgBFAG0AaQBzAHMAaQBvAG4AcwBGAHIAbwBtAE0ATQBTAFwAbgAgACAAPQBMAEEATQBCAEQAQQAoAFwAbgAgACAAIAAgAE0ATQBTAF8AQQBUAE0ATwBTACwAIABFAEYAXwBOADIATwAsACAAQwBfAE4AMgBPACwAXABuACAAIAAgACAATQBNAFMAXwBBAFQATQBPAFMAIAAqACAARQBGAF8ATgAyAE8AIAAqACAAQwBfAE4AMgBPACAAKgAgADEAMAAgAF4AIAAtADMAXABuACAAIAApADsAXABuAFwAbgBWAEUARQBSAEcAXwA0AF8ANQ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1AF8AMQBfADUAXwBfADEAXwBBAG4AbgB1AGEAbABBAHQAbQBvAHMAcABoAGUAcgBpAGMARABlAHAAbwBzAGkAdABpAG8AbgBFAG0AaQBzAHMAaQBvAG4AcwBGAHIAbwBtAE0ATQBTAF8AVgBhAHIAaQBhAGIAbABlAFwAbgAgACAAPQBMAEEATQBCAEQAQQAoAFwAIgBFAF8ATgAyAE8ATQBNAFMAYQBkAFwAIgApADsAXABuAFwAbgBWAEUARQBSAEcAXwA0AF8ANQBfADEAXwA1AF8AXwAxAF8AQQBuAG4AdQBhAGwAQQB0AG0AbwBzAHAAaABlAHIAaQBjAEQAZQBwAG8AcwBpAHQAaQBvAG4ARQBtAGkAcwBzAGkAbwBuAHMARgByAG8AbQBNAE0AUwBfAFUAbgBpAHQAXABuACAAIAA9AEwAQQBNAEIARABBACgAXAAiAHQAIABOADIATwBcACIAKQA7AFwAbgBcAG4AVgBFAEUAUgBHAF8ANABfADUAXwAxAF8ANQBfAF8AMQBfAEEAbgBuAHUAYQBsAEEAdABtAG8AcwBwAGgAZQByAGkAYwBEAGUAcABvAHMAaQB0AGkAbwBuAEUAbQBpAHMAcwBpAG8AbgBzAEYAcgBvAG0ATQBNAFMAXwBTAG8AdQByAGMAZQBcAG4AIAAgAD0ATABBAE0AQgBEAEEAKABcACIAVgBFAEUAUgBHACAAMgAwADIANgA6ACAANAAuADUALgAxAC4AMQAsACAARQBxAHUAYQB0AGkAbwBuACAAKAAxACkAXAAiACkAOwBcAG4AXABuAFYARQBFAFIARwBfADQAXwA1AF8AMQBfADUAXwBfADEAXwBBAG4AbgB1AGEAbABBAHQAbQBvAHMAcABoAGUAcgBpAGMARABlAHAAbwBzAGkAdABpAG8AbgBFAG0AaQBzAHMAaQBvAG4AcwBGAHIAbwBtAE0ATQBTAF8ATgBJAFIAUgBlAGYAZQByAGUAbgBjAGUAXABuACAAIAA9AEwAQQBNAEIARABBACgAXAAiAFwAIgApADsAXABuAFwAbgBWAEUARQBSAEcAXwA0AF8ANQBfADEAXwA1AF8AXwAxAF8AQQBuAG4AdQBhAGwAQQB0AG0AbwBzAHAAaABlAHIAaQBjAEQAZQBwAG8AcwBpAHQAaQBvAG4ARQBtAGkAcwBzAGkAbwBuAHMARgByAG8AbQBNAE0AUwBfAEwAYQB0AGUAeABFAHEAdQBhAHQAaQBvAG4AXABuACAAIAA9AEwAQQBNAEIARABBACgAXAAiAEUAXwB7AE4AMgBPACwAYQBkAH0APQBNAE0AUwBfAHsAQQBUAE0ATwBTAH0AXABcAHQAaQBtAGUAcwAgAEUARgBfAHsATgAyAE8AfQBcAFwAdABpAG0AZQBzACAAQwBfAHsATgAyAE8AfQBcAFwAdABpAG0AZQBzACAAMQAwAF4AewAtADMAfQBcACIAKQA7AFwAbgBcAG4AVgBFAEUAUgBHAF8ANABfADUAXwAxAF8ANQBfAF8AMQBfAEEAbgBuAHUAYQBsAEEAdABtAG8AcwBwAGgAZQByAGkAYwBEAGUAcABvAHMAaQB0AGkAbwBuAEUAbQBpAHMAcwBpAG8AbgBzAEYAcgBvAG0ATQBNAFMAXwBBAHIAZwB1AG0AZQBuAHQAcwBcAG4AIAAgAD0ATABBAE0AQgBEAEEAKABcAG4AIAAgACAAIABNAEEASwBFAEEAUgBSAEEAWQAoADYALAAgADIALABcAG4AIAAgACAAIAAgACAATABBAE0AQgBEAEEAKAByACwAYwAsAFwAbgAgACAAIAAgACAAIAAgACAASQBOAEQARQBYACgAewBcAG4AIAAgACAAIAAgACAAIAAgACAAIABcACIATQBNAFMAXwBBAFQATQBPAFMAXAAiACwAIABcACIAbQBhAHMAcwAgAG8AZgAgAE4AIAB2AG8AbABhAHQAaQBsAGkAcwBlAGQAIABmAHIAbwBtACAATQBNAFMAIAAoAGsAZwAgAE4AKQBcACIAOwBcAG4AIAAgACAAIAAgACAAIAAgACAAIABcACIARQBGAF8ATgAyAE8AXAAiACwAIABcACIAbgBpAHQAcgBvAHUAcwAgAG8AeABpAGQAZQAgAGUAbQBpAHMAcwBpAG8AbgAgAGYAYQBjAHQAbwByACAAZgBvAHIAIABhAHQAbQBvAHMAcABoAGUAcgBpAGMAIABkAGUAcABvAHMAaQB0AGkAbwBuACAAKABrAGcAIABOADIATwAtAE4ALwBrAGcAIABOACkAXAAiADsAXABuACAAIAAgACAAIAAgACAAIAAgACAAXAAiAEMAXwBOADIATwBcACIALAAgAFwAIgBmAGEAYwB0AG8AcgAgAHQAbwAgAGMAbwBuAHYAZQByAHQAIABlAGwAZQBtAGUAbgB0AGEAbAAgAG0AYQBzAHMAIABvAGYAIABOADIATwAgAHQAbwAgAG0AbwBsAGUAYwB1AGwAYQByACAAbQBhAHMAcwBcACIAOwBcAG4AIAAgACAAIAAgACAAIAAgACAAIABcACIAagBcACIALAAgAFwAIgBwAHIAbwBkAHUAYwB0AGkAbwBuACAAcwB5AHMAdABlAG0AXAAiADsAXABuACAAIAAgACAAIAAgACAAIAAgACAAXAAiAGkAcgBcACIALAAgAFwAIgBpAHIAcgBpAGcAYQB0AGkAbwBuACAAbQBlAHQAaABvAGQAXAAiADsAXABuACAAIAAgACAAIAAgACAAIAAgACAAXAAiAHIAXAAiACwAIABcACIAcgBhAGkAbgBmAGEAbABsACAAcgBlAGcAaQBvAG4AXAAiAFwAbgAgACAAIAAgACAAIAAgACAAfQAsACAAcgAsACAAYwApAFwAbgAgACAAIAAgACAAIAApAFwAbgAgACAAIAAgACkAXABuACAAIAApADsAXABuAFwAbgAvACoAXABuAC0ALQAtAC0ALQAtAC0ALQAtAC0ALQAtAC0ALQAtAC0ALQAtAC0ALQAtAC0ALQAtAC0ALQAtAC0ALQAtAC0ALQAtAC0ALQAtAC0ALQBcAG4AVgBFAEUAUgBHAF8ANABfADUAXwAxAF8ANQBfAF8AMgBfAFQAbwB0AGEAbABOAGkAdAByAG8AZwBlAG4AVgBvAGwAYQB0AGkAbABpAHMAZQBkAEYAcgBvAG0ATQBNAFMAXABuAFQAbwB0AGEAbAAgAG4AaQB0AHIAbwBnAGUAbgAgAHYAbwBsAGEAdABpAGwAaQBzAGUAZAAgAGYAcgBvAG0AIABNAE0AUwBcAG4ATQBNAFMAXwBBAFQATQBPAFMAXABuAGsAZwAgAE4AXABuAE0ATQBTAF8AewBBAFQATQBPAFMAfQA9AFwAXABzAHUAbQBfAHsAagB9AFwAXABzAHUAbQBfAHsAbQB9AFwAXABzAHUAbQBfAHsAVAB9ACgATQBOAF8AewBqAG0AVAB9AFwAXAB0AGkAbQBlAHMAIABGAHIAYQBjAEcAQQBTAE0AXwB7AG0AVAB9ACkAXABuAE0ATgBfAGoAbQBUACAAPQAgAG4AaQB0AHIAbwBnAGUAbgAgAHAAZQByACAAcwB3AGkAbgBlACAAYwBsAGEAcwBzACwAIABNAE0AUwAgAGEAbgBkACAAdAByAGUAYQB0AG0AZQBuAHQAIABzAHQAYQBnAGUAIAAoAGsAZwAgAE4AKQBcAG4ARgByAGEAYwBHAEEAUwBNAG0AVAAgAD0AIABmAHIAYQBjAHQAaQBvAG4AIABvAGYAIABOACAAdgBvAGwAYQB0AGkAbABpAHMAZQBkACAAaQBuACAAZQBhAGMAaAAgAE0ATQBTACAAKAAoAGsAZwAgAE4ASAAzAC0ATgAgACsAIABOAE8AeAAtAE4AKQAvAGsAZwAgAE4AKQBcAG4ALQAtAC0ALQAtAC0ALQAtAC0ALQAtAC0ALQAtAC0ALQAtAC0ALQAtAC0ALQAtAC0ALQAtAC0ALQAtAC0ALQAtAC0ALQAtAC0ALQAtAFwAbgAqAC8AXABuAFwAbgBWAEUARQBSAEcAXwA0AF8ANQBfADEAXwA1AF8AXwAyAF8AVABvAHQAYQBsAE4AaQB0AHIAbwBnAGUAbgBWAG8AbABhAHQAaQBsAGkAcwBlAGQARgByAG8AbQBNAE0AUwBcAG4AIAAgAD0ATABBAE0AQgBEAEEAKABcAG4AIAAgACAAIABNAE4AXwBqAG0AVAAsACAARgByAGEAYwBHAEEAUwBNAG0AVAAsAFwAbgAgACAAIAAgAE0ATgBfAGoAbQBUACAAKgAgAEYAcgBhAGMARwBBAFMATQBtAFQAXABuACAAIAApADsAXABuAFwAbgBWAEUARQBSAEcAXwA0AF8ANQ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NQBfADEAXwA1AF8AXwAyAF8AVABvAHQAYQBsAE4AaQB0AHIAbwBnAGUAbgBWAG8AbABhAHQAaQBsAGkAcwBlAGQARgByAG8AbQBNAE0AUwBfAFYAYQByAGkAYQBiAGwAZQBcAG4AIAAgAD0ATABBAE0AQgBEAEEAKABcACIATQBNAFMAXwBBAFQATQBPAFMAXAAiACkAOwBcAG4AXABuAFYARQBFAFIARwBfADQAXwA1AF8AMQBfADUAXwBfADIAXwBUAG8AdABhAGwATgBpAHQAcgBvAGcAZQBuAFYAbwBsAGEAdABpAGwAaQBzAGUAZABGAHIAbwBtAE0ATQBTAF8AVQBuAGkAdABcAG4AIAAgAD0ATABBAE0AQgBEAEEAKABcACIAawBnACAATgBcACIAKQA7AFwAbgBcAG4AVgBFAEUAUgBHAF8ANABfADUAXwAxAF8ANQBfAF8AMgBfAFQAbwB0AGEAbABOAGkAdAByAG8AZwBlAG4AVgBvAGwAYQB0AGkAbABpAHMAZQBkAEYAcgBvAG0ATQBNAFMAXwBTAG8AdQByAGMAZQBcAG4AIAAgAD0ATABBAE0AQgBEAEEAKABcACIAVgBFAEUAUgBHACAAMgAwADIANgA6ACAANAAuADUALgAxAC4AMQAsACAARQBxAHUAYQB0AGkAbwBuACAAKAAyACkAXAAiACkAOwBcAG4AXABuAFYARQBFAFIARwBfADQAXwA1AF8AMQBfADUAXwBfADIAXwBUAG8AdABhAGwATgBpAHQAcgBvAGcAZQBuAFYAbwBsAGEAdABpAGwAaQBzAGUAZABGAHIAbwBtAE0ATQBTAF8ATgBJAFIAUgBlAGYAZQByAGUAbgBjAGUAXABuACAAIAA9AEwAQQBNAEIARABBACgAXAAiAFwAIgApADsAXABuAFwAbgBWAEUARQBSAEcAXwA0AF8ANQBfADEAXwA1AF8AXwAyAF8AVABvAHQAYQBsAE4AaQB0AHIAbwBnAGUAbgBWAG8AbABhAHQAaQBsAGkAcwBlAGQARgByAG8AbQBNAE0AUwBfAEwAYQB0AGUAeABFAHEAdQBhAHQAaQBvAG4AXABuACAAIAA9AEwAQQBNAEIARABBACgAXAAiAE0ATQBTAF8AewBBAFQATQBPAFMAfQA9AFwAXABzAHUAbQBfAHsAagB9AFwAXABzAHUAbQBfAHsAbQB9AFwAXABzAHUAbQBfAHsAVAB9ACgATQBOAF8AewBqAG0AVAB9AFwAXAB0AGkAbQBlAHMAIABGAHIAYQBjAEcAQQBTAE0AXwB7AG0AVAB9ACkAXAAiACkAOwBcAG4AXABuAFYARQBFAFIARwBfADQAXwA1AF8AMQBfADUAXwBfADIAXwBUAG8AdABhAGwATgBpAHQAcgBvAGcAZQBuAFYAbwBsAGEAdABpAGwAaQBzAGUAZABGAHIAbwBtAE0ATQBTAF8AQQByAGcAdQBtAGUAbgB0AHMAXABuACAAIAA9AEwAQQBNAEIARABBACgAXABuACAAIAAgACAATQBBAEsARQBBAFIAUgBBAFkAKAAyACwAIAAyACwAXABuACAAIAAgACAAIAAgAEwAQQBNAEIARABBACgAcgAsAGMALABcAG4AIAAgACAAIAAgACAAIAAgAEkATgBEAEUAWAAoAHsAXABuACAAIAAgACAAIAAgACAAIAAgACAAXAAiAE0ATgBfAGoAbQBUAFwAIgAsACAAXAAiAG4AaQB0AHIAbwBnAGUAbgAgAHAAZQByACAAcwB3AGkAbgBlACAAYwBsAGEAcwBzACwAIABNAE0AUwAgAGEAbgBkACAAdAByAGUAYQB0AG0AZQBuAHQAIABzAHQAYQBnAGUAIAAoAGsAZwAgAE4AKQBcACIAOwBcAG4AIAAgACAAIAAgACAAIAAgACAAIABcACIARgByAGEAYwBHAEEAUwBNAG0AVABcACIALAAgAFwAIgBmAHIAYQBjAHQAaQBvAG4AIABvAGYAIABOACAAdgBvAGwAYQB0AGkAbABpAHMAZQBkACAAaQBuACAAZQBhAGMAaAAgAE0ATQBTACAAKAAoAGsAZwAgAE4ASAAzAC0ATgAgACsAIABOAE8AeAAtAE4AKQAvAGsAZwAgAE4AKQBcACIAXABuACAAIAAgACAAIAAgACAAIAB9ACwAIAByACwAIABjACkAXABuACAAIAAgACAAIAAgACkAXABuACAAIAAgACAAKQBcAG4AIAAgACkAOwBcAG4AIgB9ACwAewAiAHAAYQB0AGgAIgA6ACIALwBwAHIAbwBqAGUAYwB0AHMALwBNAE0AUwBfAFMAdwBpAG4AZ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3ACAATQBlAHQAaABvAGQAIAAxACAALQAgAE0AYQBuAHUAcgBlACAATABlAGEAYwBoAGkAbgBnACAAQQBuAGQAIABSAHUAbgBvAGYAZg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Nw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bQA9ADUAfQBcAFwAdABpAG0AZQBzACAARQBGAF8AewBsAGUAYQBjAGgAfQBcAFwAdABpAG0AZQBzACAAQwBfAHsATgAyAE8AfQBcAFwAdABpAG0AZQBzACAAMQAwAF4AewAtADMAfQBcAG4ATQBOAEwAZQBhAGMAaABfAGoAbQA1ACAAPQAgAG0AYQBzAHMAIABvAGYAIABOACAAbABvAHMAdAAgAHQAaAByAG8AdQBnAGgAIABsAGUAYQBjAGgAaQBuAGcAIABhAG4AZAAgAHIAdQBuAG8AZgBmACAAZgByAG8AbQAgAGQAcgB5AGwAbwB0ACAATQBNAFM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VgBBAFIASQBBAFQASQBPAE4AIABPAEYAIABTAE8AVQBSAEMARQA6ACAARAB1AGUAIAB0AG8AIABzAHQAcgBpAGMAdAAgAGUAbgB2AGkAcgBvAG4AbQBlAG4AdABhAGwAIABjAG8AbgB0AHIAbwBsAHMALAAgAGUAbQBpAHMAcwBpAG8AbgBzACAAYQByAGUAIABlAHMAdABpAG0AYQB0AGUAZAAgAG8AbgBsAHkAIABmAG8AcgAgAGQAcgB5AGwAbwB0ACAATQBNAFMAIAAoAG0APQA1ACkALgBcAG4ALQAtAC0ALQAtAC0ALQAtAC0ALQAtAC0ALQAtAC0ALQAtAC0ALQAtAC0ALQAtAC0ALQAtAC0ALQAtAC0ALQAtAC0ALQAtAC0ALQAtAFwAbgAqAC8AXABuAFwAbgBWAEUARQBSAEcAXwA0AF8ANQBfADEAXwA3AF8AXwAxAF8AQQBuAG4AdQBhAGwARQBtAGkAcwBzAGkAbwBuAHMARgByAG8AbQBMAGUAYQBjAGgAaQBuAGcAQQBuAGQAUgB1AG4AbwBmAGYARgByAG8AbQBNAE0AUwBcAG4AIAAgAD0ATABBAE0AQgBEAEEAKABcAG4AIAAgACAAIABNAE4ATABlAGEAYwBoAF8AagBtADUALAAgAEUARgBfAGwAZQBhAGMAaAAsACAAQwBfAE4AMgBPACwAXABuACAAIAAgACAATQBOAEwAZQBhAGMAaABfAGoAbQA1ACAAKgAgAEUARgBfAGwAZQBhAGMAaAAgACoAIABDAF8ATgAyAE8AIAAqACAAMQAwACAAXgAgAC0AMwBcAG4AIAAgACkAOwBcAG4AXABuAFYARQBFAFIARwBfADQAXwA1AF8AMQBfADc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NQBfADEAXwA3AF8AXwAxAF8AQQBuAG4AdQBhAGwARQBtAGkAcwBzAGkAbwBuAHMARgByAG8AbQBMAGUAYQBjAGgAaQBuAGcAQQBuAGQAUgB1AG4AbwBmAGYARgByAG8AbQBNAE0AUwBfAFYAYQByAGkAYQBiAGwAZQBcAG4AIAAgAD0ATABBAE0AQgBEAEEAKABcACIARQBfAE4AMgBPAGwAZQBhAGMAaABcACIAKQA7AFwAbgBcAG4AVgBFAEUAUgBHAF8ANABfADUAXwAxAF8ANwBfAF8AMQBfAEEAbgBuAHUAYQBsAEUAbQBpAHMAcwBpAG8AbgBzAEYAcgBvAG0ATABlAGEAYwBoAGkAbgBnAEEAbgBkAFIAdQBuAG8AZgBmAEYAcgBvAG0ATQBNAFMAXwBVAG4AaQB0AFwAbgAgACAAPQBMAEEATQBCAEQAQQAoAFwAIgB0ACAATgAyAE8AXAAiACkAOwBcAG4AXABuAFYARQBFAFIARwBfADQAXwA1AF8AMQBfADcAXwBfADEAXwBBAG4AbgB1AGEAbABFAG0AaQBzAHMAaQBvAG4AcwBGAHIAbwBtAEwAZQBhAGMAaABpAG4AZwBBAG4AZABSAHUAbgBvAGYAZgBGAHIAbwBtAE0ATQBTAF8AUwBvAHUAcgBjAGUAXABuACAAIAA9AEwAQQBNAEIARABBACgAXAAiAFYARQBFAFIARwAgADIAMAAyADYAOgAgADQALgA1AC4AMQAuADcALAAgAEUAcQB1AGEAdABpAG8AbgAgACgAMQApAFwAIgApADsAXABuAFwAbgBWAEUARQBSAEcAXwA0AF8ANQBfADEAXwA3AF8AXwAxAF8AQQBuAG4AdQBhAGwARQBtAGkAcwBzAGkAbwBuAHMARgByAG8AbQBMAGUAYQBjAGgAaQBuAGcAQQBuAGQAUgB1AG4AbwBmAGYARgByAG8AbQBNAE0AUwBfAE4ASQBSAFIAZQBmAGUAcgBlAG4AYwBlAFwAbgAgACAAPQBMAEEATQBCAEQAQQAoAFwAIgBcACIAKQA7AFwAbgBcAG4AVgBFAEUAUgBHAF8ANABfADUAXwAxAF8ANwBfAF8AMQBfAEEAbgBuAHUAYQBsAEUAbQBpAHMAcwBpAG8AbgBzAEYAcgBvAG0ATABlAGEAYwBoAGkAbgBnAEEAbgBkAFIAdQBuAG8AZgBmAEYAcgBvAG0ATQBNAFMAXwBMAGEAdABlAHgARQBxAHUAYQB0AGkAbwBuAFwAbgAgACAAPQBMAEEATQBCAEQAQQAoAFwAIgBFAF8AewBOADIATwAsAGwAZQBhAGMAaAB9AD0ATQBOAEwAZQBhAGMAaABfAHsAagBtAD0ANQB9AFwAXAB0AGkAbQBlAHMAIABFAEYAXwB7AGwAZQBhAGMAaAB9AFwAXAB0AGkAbQBlAHMAIABDAF8AewBOADIATwB9AFwAXAB0AGkAbQBlAHMAIAAxADAAXgB7AC0AMwB9AFwAIgApADsAXABuAFwAbgBWAEUARQBSAEcAXwA0AF8ANQBfADEAXwA3AF8AXwAxAF8AQQBuAG4AdQBhAGwARQBtAGkAcwBzAGkAbwBuAHMARgByAG8AbQBMAGUAYQBjAGgAaQBuAGcAQQBuAGQAUgB1AG4AbwBmAGYARgByAG8AbQBNAE0AUwBfAEEAcgBnAHUAbQBlAG4AdABzAFwAbgAgACAAPQBMAEEATQBCAEQAQQAoAFwAbgAgACAAIAAgAE0AQQBLAEUAQQBSAFIAQQBZACgAMwAsACAAMgAsAFwAbgAgACAAIAAgACAAIABMAEEATQBCAEQAQQAoAHIALABjACwAXABuACAAIAAgACAAIAAgACAAIABJAE4ARABFAFgAKAB7AFwAbgAgACAAIAAgACAAIAAgACAAIAAgAFwAIgBNAE4ATABlAGEAYwBoAF8AagBtADUAXAAiACwAIABcACIAbQBhAHMAcwAgAG8AZgAgAE4AIABsAG8AcwB0ACAAdABoAHIAbwB1AGcAaAAgAGwAZQBhAGMAaABpAG4AZwAgAGEAbgBkACAAcgB1AG4AbwBmAGYAIABmAHIAbwBtACAAZAByAHkAbABvAHQAIABNAE0AUwAgACgAawBnACAATgApAFwAIgA7AFwAbgAgACAAIAAgACAAIAAgACAAIAAgAFwAIgBFAEYAXwBsAGUAYQBjAGgAXAAiACwAIABcACIAZQBtAGkAcwBzAGkAbwBuACAAZgBhAGMAdABvAHIAIABmAG8AcgAgAGwAZQBhAGMAaABpAG4AZwAgAGEAbgBkACAAcgB1AG4AbwBmAGYAIAAoAGsAZwAgAE4AMgBPAC0ATgAvAGsAZwAgAE4AKQBcACIAOwBcAG4AIAAgACAAIAAgACAAIAAgACAAIABcACIAQwBfAE4AMgBPAFwAIgAsACAAXAAiAGYAYQBjAHQAbwByACAAdABvACAAYwBvAG4AdgBlAHIAdAAgAGUAbABlAG0AZQBuAHQAYQBsACAAbQBhAHMAcwAgAG8AZgAgAE4AMgBPACAAdABvACAAbQBvAGwAZQBjAHUAbABhAHIAIABtAGEAcwBzAFwAIgBcAG4AIAAgACAAIAAgACAAIAAgAH0ALAAgAHIALAAgAGMAKQBcAG4AIAAgACAAIAAgACAAKQBcAG4AIAAgACAAIAApAFwAbgAgACAAKQA7AFwAbgBcAG4ALwAqAFwAbgAtAC0ALQAtAC0ALQAtAC0ALQAtAC0ALQAtAC0ALQAtAC0ALQAtAC0ALQAtAC0ALQAtAC0ALQAtAC0ALQAtAC0ALQAtAC0ALQAtAC0AXABuAFYARQBFAFIARwBfADQAXwA1AF8AMQBfADcAXwBfADIAXwBNAGEAcwBzAE8AZgBOAGkAdAByAG8AZwBlAG4ATABvAHMAdABUAG8ATABlAGEAYwBoAGkAbgBnAEEAbgBkAFIAdQBuAG8AZgBmAEYAcgBvAG0ARAByAHkAbABvAHQATQBNAFMAXABuAE0AYQBzAHMAIABvAGYAIABuAGkAdAByAG8AZwBlAG4AIABsAG8AcwB0ACAAdABvACAAbABlAGEAYwBoAGkAbgBnACAAYQBuAGQAIAByAHUAbgBvAGYAZgAgAGYAcgBvAG0AIABkAHIAeQBsAG8AdAAgAE0ATQBTAFwAbgBNAE4ATABlAGEAYwBoAF8AagBtADUAXABuAGsAZwAgAE4AXABuAE0ATgBMAGUAYQBjAGgAXwB7AGoAbQA9ADUAfQA9AE0ATgBfAHsAagBtAD0ANQAsAFQAPQAxAH0AXABcAHQAaQBtAGUAcwAgAEYAcgBhAGMAVwBFAFQAXABcAHQAaQBtAGUAcwAgAEYAcgBhAGMATABFAEEAQwBIAF8AewBNAFMAfQBcAG4ATQBOAF8AagBtADUAVAAxACAAPQAgAG4AaQB0AHIAbwBnAGUAbgAgAGkAbgAgAHQAcgBlAGEAdABtAGUAbgB0ACAAcwB0AGEAZwBlACAAMQAgAGQAcgB5AGwAbwB0ACAATQBNAFMAIAAoAGsAZwAgAE4AKQBcAG4ARgByAGEAYwBXAEUAVA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UAXwAxAF8ANwBfAF8AMgBfAE0AYQBzAHMATwBmAE4AaQB0AHIAbwBnAGUAbgBMAG8AcwB0AFQAbwBMAGUAYQBjAGgAaQBuAGcAQQBuAGQAUgB1AG4AbwBmAGYARgByAG8AbQBEAHIAeQBsAG8AdABNAE0AUwBcAG4AIAAgAD0ATABBAE0AQgBEAEEAKABcAG4AIAAgACAAIABNAE4AXwBqAG0ANQBUADEALAAgAEYAcgBhAGMAVwBFAFQALAAgAEYAcgBhAGMATABFAEEAQwBIAF8ATQBTACwAXABuACAAIAAgACAATQBOAF8AagBtADUAVAAxACAAKgAgAEYAcgBhAGMAVwBFAFQAIAAqACAARgByAGEAYwBMAEUAQQBDAEgAXwBNAFMAXABuACAAIAApADsAXABuAFwAbgBWAEUARQBSAEcAXwA0AF8ANQBfADEAXwA3AF8AXwAyAF8ATQBhAHMAcwBPAGYATgBpAHQAcgBvAGcAZQBuAEwAbwBzAHQAVABvAEwAZQBhAGMAaABpAG4AZwBBAG4AZABSAHUAbgBvAGYAZgBGAHIAbwBtAEQAcgB5AGwAbwB0AE0ATQBTAF8AVABpAHQAbABlAFwAbgAgACAAPQBMAEEATQBCAEQAQQAoAFwAIgBNAGEAcwBzACAAbwBmACAAbgBpAHQAcgBvAGcAZQBuACAAbABvAHMAdAAgAHQAbwAgAGwAZQBhAGMAaABpAG4AZwAgAGEAbgBkACAAcgB1AG4AbwBmAGYAIABmAHIAbwBtACAAZAByAHkAbABvAHQAIABNAE0AUwBcACIAKQA7AFwAbgBcAG4AVgBFAEUAUgBHAF8ANABfADUAXwAxAF8ANwBfAF8AMgBfAE0AYQBzAHMATwBmAE4AaQB0AHIAbwBnAGUAbgBMAG8AcwB0AFQAbwBMAGUAYQBjAGgAaQBuAGcAQQBuAGQAUgB1AG4AbwBmAGYARgByAG8AbQBEAHIAeQBsAG8AdABNAE0AUwBfAFYAYQByAGkAYQBiAGwAZQBcAG4AIAAgAD0ATABBAE0AQgBEAEEAKABcACIATQBOAEwAZQBhAGMAaABfAGoAbQA1AFwAIgApADsAXABuAFwAbgBWAEUARQBSAEcAXwA0AF8ANQBfADEAXwA3AF8AXwAyAF8ATQBhAHMAcwBPAGYATgBpAHQAcgBvAGcAZQBuAEwAbwBzAHQAVABvAEwAZQBhAGMAaABpAG4AZwBBAG4AZABSAHUAbgBvAGYAZgBGAHIAbwBtAEQAcgB5AGwAbwB0AE0ATQBTAF8AVQBuAGkAdABcAG4AIAAgAD0ATABBAE0AQgBEAEEAKABcACIAawBnACAATgBcACIAKQA7AFwAbgBcAG4AVgBFAEUAUgBHAF8ANABfADUAXwAxAF8ANwBfAF8AMgBfAE0AYQBzAHMATwBmAE4AaQB0AHIAbwBnAGUAbgBMAG8AcwB0AFQAbwBMAGUAYQBjAGgAaQBuAGcAQQBuAGQAUgB1AG4AbwBmAGYARgByAG8AbQBEAHIAeQBsAG8AdABNAE0AUwBfAFMAbwB1AHIAYwBlAFwAbgAgACAAPQBMAEEATQBCAEQAQQAoAFwAIgBWAEUARQBSAEcAIAAyADAAMgA2ADoAIAA0AC4ANQAuADEALgA3ACwAIABFAHEAdQBhAHQAaQBvAG4AIAAoADIAKQBcACIAKQA7AFwAbgBcAG4AVgBFAEUAUgBHAF8ANABfADUAXwAxAF8ANwBfAF8AMgBfAE0AYQBzAHMATwBmAE4AaQB0AHIAbwBnAGUAbgBMAG8AcwB0AFQAbwBMAGUAYQBjAGgAaQBuAGcAQQBuAGQAUgB1AG4AbwBmAGYARgByAG8AbQBEAHIAeQBsAG8AdABNAE0AUwBfAE4ASQBSAFIAZQBmAGUAcgBlAG4AYwBlAFwAbgAgACAAPQBMAEEATQBCAEQAQQAoAFwAIgBcACIAKQA7AFwAbgBcAG4AVgBFAEUAUgBHAF8ANABfADUAXwAxAF8ANwBfAF8AMgBfAE0AYQBzAHMATwBmAE4AaQB0AHIAbwBnAGUAbgBMAG8AcwB0AFQAbwBMAGUAYQBjAGgAaQBuAGcAQQBuAGQAUgB1AG4AbwBmAGYARgByAG8AbQBEAHIAeQBsAG8AdABNAE0AUwBfAEwAYQB0AGUAeABFAHEAdQBhAHQAaQBvAG4AXABuACAAIAA9AEwAQQBNAEIARABBACgAXAAiAE0ATgBMAGUAYQBjAGgAXwB7AGoAbQA9ADUAfQA9AE0ATgBfAHsAagBtAD0ANQAsAFQAPQAxAH0AXABcAHQAaQBtAGUAcwAgAEYAcgBhAGMAVwBFAFQAXABcAHQAaQBtAGUAcwAgAEYAcgBhAGMATABFAEEAQwBIAF8AewBNAFMAfQBcACIAKQA7AFwAbgBcAG4AVgBFAEUAUgBHAF8ANABfADUAXwAxAF8ANwBfAF8AMgBfAE0AYQBzAHMATwBmAE4AaQB0AHIAbwBnAGUAbgBMAG8AcwB0AFQAbwBMAGUAYQBjAGgAaQBuAGcAQQBuAGQAUgB1AG4AbwBmAGYARgByAG8AbQBEAHIAeQBsAG8AdABNAE0AUwBfAEEAcgBnAHUAbQBlAG4AdABzAFwAbgAgACAAPQBMAEEATQBCAEQAQQAoAFwAbgAgACAAIAAgAE0AQQBLAEUAQQBSAFIAQQBZACgANgAsACAAMgAsAFwAbgAgACAAIAAgACAAIABMAEEATQBCAEQAQQAoAHIALABjACwAXABuACAAIAAgACAAIAAgACAAIABJAE4ARABFAFgAKAB7AFwAbgAgACAAIAAgACAAIAAgACAAIAAgAFwAIgBNAE4AXwBqAG0ANQBUADEAXAAiACwAIABcACIAbgBpAHQAcgBvAGcAZQBuACAAaQBuACAAdAByAGUAYQB0AG0AZQBuAHQAIABzAHQAYQBnAGUAIAAxACAAZAByAHkAbABvAHQAIABNAE0AUwAgACgAawBnACAATgApAFwAIgA7AFwAbgAgACAAIAAgACAAIAAgACAAIAAgAFwAIgBGAHIAYQBjAFcARQBUAFwAIgAsACAAXAAiAGYAcgBhAGMAdABpAG8AbgAgAG8AZgAgAE4AIABhAHYAYQBpAGwAYQBiAGwAZQAgAGYAbwByACAAbABlAGEAYwBoAGkAbgBnACAAYQBuAGQAIAByAHUAbgBvAGYAZgBcACIAOwBcAG4AIAAgACAAIAAgACAAIAAgACAAIABcACIARgByAGEAYwBMAEUAQQBDAEgAXwBNAFMAXAAiACwAIABcACIAZgByAGEAYwB0AGkAbwBuACAAbwBmACAATgAgAGwAbwBzAHQAIAB0AGgAcgBvAHUAZwBoACAAbABlAGEAYwBoAGkAbgBnACAAYQBuAGQAIAByAHUAbgBvAGYAZgBcACIAOwBcAG4AIAAgACAAIAAgACAAIAAgACAAIABcACIAegBcACIALAAgAFwAIgBsAG8AYwBhAHQAaQBvAG4AIABpAG4AIABsAGUAYQBjAGgAaQBuAGcAIAB6AG8AbgBlAFwAIgA7AFwAbgAgACAAIAAgACAAIAAgACAAIAAgAFwAIgBqAFwAIgAsACAAXAAiAHAAcgBvAGQAdQBjAHQAaQBvAG4AIABzAHkAcwB0AGUAbQBcACIAOwBcAG4AIAAgACAAIAAgACAAIAAgACAAIABcACIAaQByAFwAIgAsACAAXAAiAGkAcgByAGkAZwBhAHQAaQBvAG4AIABtAGUAdABoAG8AZABcACIAXABuACAAIAAgACAAIAAgACAAIAB9ACwAIAByACwAIABjACkAXABuACAAIAAgACAAIAAgACkAXABuACAAIAAgACAAKQBcAG4AIAAgACkAOwBcAG4AXABuAFwAbgBcAG4AIgB9ACwAewAiAHAAYQB0AGgAIgA6ACIALwBwAHIAbwBqAGUAYwB0AHMALwBNAE0AUwBfAFMAdwBpAG4AZ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G4ATQBOAF8AagBtAFQAMgAgAD0AIABtAGEAcwBzACAAbwBmACAATgAgAGkAbgAgAE0ATQBTACAAYQB0ACAAdAByAGUAYQB0AG0AZQBuAHQAIABzAHQAYQBnAGUAIAAyACAAOgAgAGsAZwAgAE4AXABuAEUARgBfAG0AVAAyACAAPQAgAG4AaQB0AHIAbwB1AHMAIABvAHgAaQBkAGUAIABlAG0AaQBzAHMAaQBvAG4AIABmAGEAYwB0AG8AcgAgAGYAbwByACAAZQBhAGMAaAAgAE0ATQBTACAAYQB0ACAAdAByAGUAYQB0AG0AZQBuAHQAIABzAHQAYQBnAGUAIAAyACAAOgAgAGsAZwAgAE4AMgBPAC0ATgAvAGsAZwAgAE4AXABuAEYAcgBhAGMARwBBAFMATQBfAG0AVAAyACAAPQAgAGYAcgBhAGMAdABpAG8AbgAgAG8AZgAgAGEAbgBpAG0AYQBsACAAdwBhAHMAdABlACAATgAgAHYAbwBsAGEAdABpAGwAaQBzAGUAZAAgAGkAbgAgAGUAYQBjAGgAIABNAE0AUwAgAGEAdAAgAHQAcgBlAGEAdABtAGUAbgB0ACAAcwB0AGEAZwBlACAAMgAgADoAIAAoAGsAZwAgAE4ASAAzAC0ATgAgACsAIABOAE8AeAAtAE4AKQAvAGsAZwAgAE4AXABuAE0ATgBMAGUAYQBjAGgAXwBqAG0ANQAgAD0AIABtAGEAcwBzACAAbwBmACAATgAgAGwAbwBzAHQAIAB0AG8AIABsAGUAYQBjAGgAaQBuAGcAIABhAG4AZAAgAHIAdQBuAG8AZgBmACAAZgByAG8AbQAgAGQAcgB5AGwAbwB0ACAATQBNAFMAIAA6ACAAawBnACAATgBcAG4AUABGACAAPQAgAGYAcgBhAGMAdABpAG8AbgAgAG8AZgAgAG0AYQBuAHUAcgBlACAAYQBwAHAAbABpAGUAZAAgAHQAbwAgAHMAbwBpAGwAIAB3AGkAdABoAGkAbgAgAHQAaABlACAAcABpAGcAZwBlAHIAeQAgAGIAbwB1AG4AZABhAHIAeQAgADoAIABmAHIAYQBjAHQAaQBvAG4AXABuAC0ALQAtAC0ALQAtAC0ALQAtAC0ALQAtAC0ALQAtAC0ALQAtAC0ALQAtAC0ALQAtAC0ALQAtAC0ALQAtAC0ALQAtAC0ALQAtAC0ALQBcAG4AKgAvAFwAbgBcAG4AVgBFAEUAUgBHAF8ANABfADUAXwAxAF8AOQBfAF8AMQBfAE0AYQBzAHMATwBmAE4AaQB0AHIAbwBnAGUAbgBBAHAAcABsAGkAZQBkAFQAbwBTAG8AaQBsAHMAUwBjAG8AcABlADEAXABuACAAIAA9AEwAQQBNAEIARABBACgAXABuACAAIAAgACAATQBOAF8AagBtAFQAMgAsACAARQBGAF8AbQBUADIALAAgAEYAcgBhAGMARwBBAFMATQBfAG0AVAAyACwAIABNAE4ATABlAGEAYwBoAF8AagBtADUALAAgAFAARgAsAFwAbgAgACAAIAAgACgATQBOAF8AagBtAFQAMgAgACoAIAAoADEAIAAtACAARQBGAF8AbQBUADIAIAAtACAARgByAGEAYwBHAEEAUwBNAF8AbQBUADIAKQAgAC0AIABNAE4ATABlAGEAYwBoAF8AagBtADUAKQAgACoAIABQAEYAXABuACAAIAApADsAXABuAFwAbgBWAEUARQBSAEcAXwA0AF8ANQ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UAXwAxAF8AOQBfAF8AMQBfAE0AYQBzAHMATwBmAE4AaQB0AHIAbwBnAGUAbgBBAHAAcABsAGkAZQBkAFQAbwBTAG8AaQBsAHMAUwBjAG8AcABlADEAXwBWAGEAcgBpAGEAYgBsAGUAXABuACAAIAA9AEwAQQBNAEIARABBACgAXAAiAE0ATgBTAG8AaQBsAF8AcwBjAG8AcABlADEAXAAiACkAOwBcAG4AXABuAFYARQBFAFIARwBfADQAXwA1AF8AMQBfADkAXwBfADEAXwBNAGEAcwBzAE8AZgBOAGkAdAByAG8AZwBlAG4AQQBwAHAAbABpAGUAZABUAG8AUwBvAGkAbABzAFMAYwBvAHAAZQAxAF8AVQBuAGkAdABcAG4AIAAgAD0ATABBAE0AQgBEAEEAKABcACIAawBnACAATgBcACIAKQA7AFwAbgBcAG4AVgBFAEUAUgBHAF8ANABfADUAXwAxAF8AOQBfAF8AMQBfAE0AYQBzAHMATwBmAE4AaQB0AHIAbwBnAGUAbgBBAHAAcABsAGkAZQBkAFQAbwBTAG8AaQBsAHMAUwBjAG8AcABlADEAXwBTAG8AdQByAGMAZQBcAG4AIAAgAD0ATABBAE0AQgBEAEEAKABcACIAVgBFAEUAUgBHACAAMgAwADIANgA6ACAANAAuADUALgAxAC4AOQAsACAARQBxAHUAYQB0AGkAbwBuACAAKAAxACkAXAAiACkAOwBcAG4AXABuAFYARQBFAFIARwBfADQAXwA1AF8AMQBfADkAXwBfADEAXwBNAGEAcwBzAE8AZgBOAGkAdAByAG8AZwBlAG4AQQBwAHAAbABpAGUAZABUAG8AUwBvAGkAbABzAFMAYwBvAHAAZQAxAF8ATgBJAFIAUgBlAGYAZQByAGUAbgBjAGUAXABuACAAIAA9AEwAQQBNAEIARABBACgAXAAiAFwAIgApADsAXABuAFwAbgBWAEUARQBSAEcAXwA0AF8ANQBfADEAXwA5AF8AXwAxAF8ATQBhAHMAcwBPAGYATgBpAHQAcgBvAGcAZQBuAEEAcABwAGwAaQBlAGQAVABvAFMAbwBpAGwAcwBTAGMAbwBwAGUAMQBfAEwAYQB0AGUAeABFAHEAdQBhAHQAaQBvAG4AXABuACAAIAA9AEwAQQBNAEIARABBACgAXAAi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CIAKQA7AFwAbgBcAG4AVgBFAEUAUgBHAF8ANABfADUAXwAxAF8AOQBfAF8AMQBfAE0AYQBzAHMATwBmAE4AaQB0AHIAbwBnAGUAbgBBAHAAcABsAGkAZQBkAFQAbwBTAG8AaQBsAHMAUwBjAG8AcABlADEAXwBBAHIAZwB1AG0AZQBuAHQAcwBcAG4AIAAgAD0ATABBAE0AQgBEAEEAKABcAG4AIAAgACAAIABNAEEASwBFAEEAUgBSAEEAWQAoADUALAAgADIALABcAG4AIAAgACAAIAAgACAATABBAE0AQgBEAEEAKAByACwAYwAsAFwAbgAgACAAIAAgACAAIAAgACAASQBOAEQARQBYACgAewBcAG4AIAAgACAAIAAgACAAIAAgACAAIABcACIATQBOAF8AagBtAFQAMgBcACIALABcACIAbQBhAHMAcwAgAG8AZgAgAE4AIABpAG4AIABNAE0AUwAgAGEAdAAgAHQAcgBlAGEAdABtAGUAbgB0ACAAcwB0AGEAZwBlACAAMgAgADoAIABrAGcAIABOAFwAIgA7AFwAbgAgACAAIAAgACAAIAAgACAAIAAgAFwAIgBFAEYAXwBtAFQAMgBcACIALABcACIAbgBpAHQAcgBvAHUAcwAgAG8AeABpAGQAZQAgAGUAbQBpAHMAcwBpAG8AbgAgAGYAYQBjAHQAbwByACAAZgBvAHIAIABlAGEAYwBoACAATQBNAFMAIABhAHQAIAB0AHIAZQBhAHQAbQBlAG4AdAAgAHMAdABhAGcAZQAgADIAIAA6ACAAawBnACAATgAyAE8ALQBOAC8AawBnACAATg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AgADoAIAAoAGsAZwAgAE4ASAAzAC0ATgAgACsAIABOAE8AeAAtAE4AKQAvAGsAZwAgAE4AXAAiADsAXABuACAAIAAgACAAIAAgACAAIAAgACAAXAAiAE0ATgBMAGUAYQBjAGgAXwBqAG0ANQBcACIALABcACIAbQBhAHMAcwAgAG8AZgAgAE4AIABsAG8AcwB0ACAAdABvACAAbABlAGEAYwBoAGkAbgBnACAAYQBuAGQAIAByAHUAbgBvAGYAZgAgAGYAcgBvAG0AIABkAHIAeQBsAG8AdAAgAE0ATQBTACAAOgAgAGsAZwAgAE4AXAAiADsAXABuACAAIAAgACAAIAAgACAAIAAgACAAXAAiAFAARgBcACIALABcACIAZgByAGEAYwB0AGkAbwBuACAAbwBmACAAbQBhAG4AdQByAGUAIABhAHAAcABsAGkAZQBkACAAdABvACAAcwBvAGkAbAAgAHcAaQB0AGgAaQBuACAAdABoAGUAIABwAGkAZwBnAGUAcgB5ACAAYgBvAHUAbgBkAGEAcgB5ACAAOgAgAGYAcgBhAGMAdABpAG8AbgBcACIAXABuACAAIAAgACAAIAAgACAAIAB9ACwAIAByACwAIABjACkAXABuACAAIAAgACAAIAAgACkAXABuACAAIAAgACAAKQBcAG4AIAAgACkAOwBcAG4AXABuAC8AKgBcAG4ALQAtAC0ALQAtAC0ALQAtAC0ALQAtAC0ALQAtAC0ALQAtAC0ALQAtAC0ALQAtAC0ALQAtAC0ALQAtAC0ALQAtAC0ALQAtAC0ALQAtAFwAbgBWAEUARQBSAEcAXwA0AF8AN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yAF8ATQBhAHMAcwBPAGYATgBpAHQAcgBvAGcAZQBuAEEAcABwAGwAaQBlAGQAVABvAFMAbwBpAGwAcwBTAGMAbwBwAGUAMw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CgAMQAgAC0AIABQAEYAKQBcAG4AIAAgACkAOwBcAG4AXABuAFYARQBFAFIARwBfADQAXwA1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QBfADEAXwA5AF8AXwAyAF8ATQBhAHMAcwBPAGYATgBpAHQAcgBvAGcAZQBuAEEAcABwAGwAaQBlAGQAVABvAFMAbwBpAGwAcwBTAGMAbwBwAGUAMwBfAFYAYQByAGkAYQBiAGwAZQBcAG4AIAAgAD0ATABBAE0AQgBEAEEAKABcACIATQBOAFMAbwBpAGwAXwBzAGMAbwBwAGUAMwBcACIAKQA7AFwAbgBcAG4AVgBFAEUAUgBHAF8ANABfADUAXwAxAF8AOQBfAF8AMgBfAE0AYQBzAHMATwBmAE4AaQB0AHIAbwBnAGUAbgBBAHAAcABsAGkAZQBkAFQAbwBTAG8AaQBsAHMAUwBjAG8AcABlADMAXwBVAG4AaQB0AFwAbgAgACAAPQBMAEEATQBCAEQAQQAoAFwAIgBrAGcAIABOAFwAIgApADsAXABuAFwAbgBWAEUARQBSAEcAXwA0AF8ANQBfADEAXwA5AF8AXwAyAF8ATQBhAHMAcwBPAGYATgBpAHQAcgBvAGcAZQBuAEEAcABwAGwAaQBlAGQAVABvAFMAbwBpAGwAcwBTAGMAbwBwAGUAMwBfAFMAbwB1AHIAYwBlAFwAbgAgACAAPQBMAEEATQBCAEQAQQAoAFwAIgBWAEUARQBSAEcAIAAyADAAMgA2ADoAIAA0AC4ANQAuADEALgA5ACwAIABFAHEAdQBhAHQAaQBvAG4AIAAoADIAKQBcACIAKQA7AFwAbgBcAG4AVgBFAEUAUgBHAF8ANABfADUAXwAxAF8AOQBfAF8AMgBfAE0AYQBzAHMATwBmAE4AaQB0AHIAbwBnAGUAbgBBAHAAcABsAGkAZQBkAFQAbwBTAG8AaQBsAHMAUwBjAG8AcABlADMAXwBOAEkAUgBSAGUAZgBlAHIAZQBuAGMAZQBcAG4AIAAgAD0ATABBAE0AQgBEAEEAKABcACIAXAAiACkAOwBcAG4AXABuAFYARQBFAFIARwBfADQAXwA1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IgApADsAXABuAFwAbgBWAEUARQBSAEcAXwA0AF8ANQBfADEAXwA5AF8AXwAyAF8ATQBhAHMAcwBPAGYATgBpAHQAcgBvAGcAZQBuAEEAcABwAGwAaQBlAGQAVABvAFMAbwBpAGwAcwBTAGMAbwBwAGUAMwBfAEEAcgBnAHUAbQBlAG4AdABzAFwAbgAgACAAPQBMAEEATQBCAEQAQQAoAFwAbgAgACAAIAAgAE0AQQBLAEUAQQBSAFIAQQBZACgANQAsACAAMgAsAFwAbgAgACAAIAAgACAAIABMAEEATQBCAEQAQQAoAHIALABjACwAXABuACAAIAAgACAAIAAgACAAIABJAE4ARABFAFgAKAB7AFwAbgAgACAAIAAgACAAIAAgACAAIAAgAFwAIgBNAE4AXwBqAG0AVAAyAFwAIgAsAFwAIgBtAGEAcwBzACAAbwBmACAATgAgAGkAbgAgAE0ATQBTACAAYQB0ACAAdAByAGUAYQB0AG0AZQBuAHQAIABzAHQAYQBnAGUAIAAyACAAOgAgAGsAZwAgAE4AXAAiADsAXABuACAAIAAgACAAIAAgACAAIAAgACAAXAAiAEUARgBfAG0AVAAyAFwAIgAsAFwAIgBuAGkAdAByAG8AdQBzACAAbwB4AGkAZABlACAAZQBtAGkAcwBzAGkAbwBuACAAZgBhAGMAdABvAHIAIABmAG8AcgAgAGUAYQBjAGgAIABNAE0AUwAgAGEAdAAgAHQAcgBlAGEAdABtAGUAbgB0ACAAcwB0AGEAZwBlACAAMgAgADoAIABrAGcAIABOADIATwAtAE4ALwBrAGcAIABOAFwAIgA7AFwAbgAgACAAIAAgACAAIAAgACAAIAAgAFwAIgBGAHIAYQBjAEcAQQBTAE0AXwBtAFQAMgBcACIALABcACIAZgByAGEAYwB0AGkAbwBuACAAbwBmACAAYQBuAGkAbQBhAGwAIAB3AGEAcwB0AGUAIABOACAAdgBvAGwAYQB0AGkAbABpAHMAZQBkACAAaQBuACAAZQBhAGMAaAAgAE0ATQBTACAAYQB0ACAAdAByAGUAYQB0AG0AZQBuAHQAIABzAHQAYQBnAGUAIAAyACAAOgAgACgAawBnACAATgBIADMALQBOACAAKwAgAE4ATwB4AC0ATgApAC8AawBnACAATgBcACIAOwBcAG4AIAAgACAAIAAgACAAIAAgACAAIABcACIATQBOAEwAZQBhAGMAaABfAGoAbQA1AFwAIgAsAFwAIgBtAGEAcwBzACAAbwBmACAATgAgAGwAbwBzAHQAIAB0AG8AIABsAGUAYQBjAGgAaQBuAGcAIABhAG4AZAAgAHIAdQBuAG8AZgBmACAAZgByAG8AbQAgAGQAcgB5AGwAbwB0ACAATQBNAFMAIAA6ACAAawBnACAATgBcACIAOwBcAG4AIAAgACAAIAAgACAAIAAgACAAIABcACIAUABGAFwAIgAsAFwAIgBmAHIAYQBjAHQAaQBvAG4AIABvAGYAIABtAGEAbgB1AHIAZQAgAGEAcABwAGwAaQBlAGQAIAB0AG8AIABzAG8AaQBsACAAdwBpAHQAaABpAG4AIAB0AGgAZQAgAHAAaQBnAGcAZQByAHkAIABiAG8AdQBuAGQAYQByAHkAIAA6ACAAZgByAGEAYwB0AGkAbwBuAFwAIgBcAG4AIAAgACAAIAAgACAAIAAgAH0ALAAgAHIALAAgAGMAKQBcAG4AIAAgACAAIAAgACAAKQBcAG4AIAAgACAAIAApAFwAbgAgACAAKQA7AFwAbgAiAH0ALAB7ACIAcABhAHQAaAAiADoAIgAvAHAAcgBvAGoAZQBjAHQAcwAvAFMAbwB1AHIAYwBlAEQAYQB0AGEAXwBQAG8AdQBsAHQAcgB5ACIALAAiAHQAZQB4AHQAIgA6ACIALwAqACAAXABuAC0ALQAtAC0ALQAtAC0ALQAtAC0ALQAtAC0ALQAtAC0ALQAtAC0ALQAtAC0ALQAtAC0ALQAtAC0ALQAtAC0ALQAtAC0ALQAtAC0ALQBcAG4AUwBvAHUAcgBjAGUARABhAHQAYQBfAFAAbwB1AGwAdAByAHkAXwBEAGkAZQB0AFAAcgBvAHAAZQByAHQAaQBlAHMAXABuAFQAYQBiAGwAZQAgAEEALgAxAC4ANwAuADEAOgAgAFAAbwB1AGwAdAByAHkAIAAtACAARABpAGUAdAAgAHAAcgBvAHAAZQByAHQAaQBlAHMAXABuAC0ALQAtAC0ALQAtAC0ALQAtAC0ALQAtAC0ALQAtAC0ALQAtAC0ALQAtAC0ALQAtAC0ALQAtAC0ALQAtAC0ALQAtAC0ALQAtAC0ALQBcAG4AKgAvAFwAbgBcAG4AUwBvAHUAcgBjAGUARABhAHQAYQBfAFAAbwB1AGwAdAByAHkAXwBEAGkAZQB0AFAAcgBvAHAAZQByAHQAaQBlAHMAXwBUAGkAdABsAGUAXABuACAAIAA9AEwAQQBNAEIARABBACgAXAAiAFAAbwB1AGwAdAByAHkAIAAtACAARABpAGUAdAAgAHAAcgBvAHAAZQByAHQAaQBlAHMAXAAiACkAOwBcAG4AXABuAFMAbwB1AHIAYwBlAEQAYQB0AGEAXwBQAG8AdQBsAHQAcgB5AF8ARABpAGUAdABQAHIAbwBwAGUAcgB0AGkAZQBzAF8AVQBuAGkAdABcAG4AIAAgAD0ATABBAE0AQgBEAEEAKABcACIAXAAiACkAOwBcAG4AXABuAFMAbwB1AHIAYwBlAEQAYQB0AGEAXwBQAG8AdQBsAHQAcgB5AF8ARABpAGUAdABQAHIAbwBwAGUAcgB0AGkAZQBzAF8AUwBvAHUAcgBjAGUAXABuACAAIAA9AEwAQQBNAEIARABBACgAXAAiAFYARQBFAFIARwAgADIAMAAyADYAOgAgAFQAYQBiAGwAZQAgAEEALgAxAC4ANwAuADEAOgAgAFAAbwB1AGwAdAByAHkAIAAtACAARABpAGUAdAAgAHAAcgBvAHAAZQByAHQAaQBlAHMAXAAiACkAOwBcAG4AXABuAFMAbwB1AHIAYwBlAEQAYQB0AGEAXwBQAG8AdQBsAHQAcgB5AF8ARABpAGUAdABQAHIAbwBwAGUAcgB0AGkAZQBzAF8AVgBhAHIAaQBhAHQAaQBvAG4AXABuACAAIAA9AEwAQQBNAEIARABBACgAXAAiAFwAIgApADsAXABuAFwAbgBTAG8AdQByAGMAZQBEAGEAdABhAF8AUABvAHUAbAB0AHIAeQBfAEQAaQBlAHQAUAByAG8AcABlAHIAdABpAGUAcwBfAEQAYQB0AGEAXABuACAAIAA9AEwAQQBNAEIARABBACgAXABuACAAIAAgACAATQBBAEsARQBBAFIAUgBBAFkAKAA2ACwAIAA1ACwAIABcAG4AIAAgACAAIAAgACAATABBAE0AQgBEAEEAKAByACwAYwAsACAAXABuACAAIAAgACAAIAAgACAAIABJAE4ARABFAFgAKAB7AFwAbgAgACAAIAAgACAAIAAgACAAIAAgAFwAIgBOAHUAdAByAGkAZQBuAHQAIABhAG4AYQBsAHkAcwBpAHMAXAAiACwAIABcACIATABhAHkAZQByAHMAXAAiACwAIABcACIATQBlAGEAdAAgAGMAaABpAGMAawBlAG4AIABnAHIAbwB3AGUAcgBzAFwAIgAsACAAXAAiAE0AZQBhAHQAIABjAGgAaQBjAGsAZQBuACAAYgByAGUAZQBkAGUAcgBcACIALAAgAFwAIgBNAGUAYQB0ACAAbwB0AGgAZQByAFwAIgA7AFwAbgAgACAAIAAgACAAIAAgACAAIAAgAFwAIgBEAHIAeQAgAG0AYQB0AHQAZQByACAAaQBuAHQAYQBrAGUAIAAoAGsAZwAvAGgAZQBhAGQALwBkAGEAeQApAFwAIgAsACAAMAAuADAAOAA2ACwAIAAwAC4AMAA5ADMALAAgADAALgAxADAAMwAsACAAMAAuADAAOQAzADsAIABcAG4AIAAgACAAIAAgACAAIAAgACAAIABcACIARAByAHkAIABtAGEAdAB0AGUAcgAgAGQAaQBnAGUAcwB0AGkAYgBpAGwAaQB0AHkAXAAiACwAIAAwAC4AOAAwACwAIAAwAC4AOAAwACwAIAAwAC4AOAAwACwAIAAwAC4AOAAwADsAXABuACAAIAAgACAAIAAgACAAIAAgACAAXAAiAEMAcgB1AGQAZQAgAHAAcgBvAHQAZQBpAG4AXAAiACwAIAAwAC4AMQA5ACwAIAAwAC4AMgAzACwAIAAwAC4AMQA5ACwAIAAwAC4AMgAzADsAXABuACAAIAAgACAAIAAgACAAIAAgACAAXAAiAE4AaQB0AHIAbwBnAGUAbgAgAHIAZQB0AGUAbgB0AGkAbwBuACAAcgBhAHQAZQBcACIALAAgADAALgAzADUALAAgADAALgA0ADcALAAgADAALgAzADIALAAgADAALgA0ADcAOwBcAG4AIAAgACAAIAAgACAAIAAgACAAIABcACIATQBhAG4AdQByAGUAIABhAHMAaABcACIALAAgADAALgAxADgALAAgADAALgAxADUALAAgADAALgAxADgALAAgADAALgAxADU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TQBDAEYAXABuAFQAYQBiAGwAZQAgAEEALgAxAC4ANwAuADQAOgAgAFAAbwB1AGwAdAByAHkAIAAtACAATQBDAEYAcwBcAG4ALQAtAC0ALQAtAC0ALQAtAC0ALQAtAC0ALQAtAC0ALQAtAC0ALQAtAC0ALQAtAC0ALQAtAC0ALQAtAC0ALQAtAC0ALQAtAC0ALQAtAFwAbgAqAC8AXABuAFwAbgBTAG8AdQByAGMAZQBEAGEAdABhAF8AUABvAHUAbAB0AHIAeQBfAE0AQwBGAF8AVABpAHQAbABlAFwAbgAgACAAPQBMAEEATQBCAEQAQQAoAFwAIgBQAG8AdQBsAHQAcgB5ACAALQAgAE0AQwBGAHMAXAAiACkAOwBcAG4AXABuAFMAbwB1AHIAYwBlAEQAYQB0AGEAXwBQAG8AdQBsAHQAcgB5AF8ATQBDAEYAXwBVAG4AaQB0AFwAbgAgACAAPQBMAEEATQBCAEQAQQAoAFwAIgBcACIAKQA7AFwAbgBcAG4AUwBvAHUAcgBjAGUARABhAHQAYQBfAFAAbwB1AGwAdAByAHkAXwBNAEMARgBfAFMAbwB1AHIAYwBlAFwAbgAgACAAPQBMAEEATQBCAEQAQQAoAFwAIgBWAEUARQBSAEcAIAAyADAAMgA2ADoAIABUAGEAYgBsAGUAIABBAC4AMQAuADcALgA0ADoAIABQAG8AdQBsAHQAcgB5ACAALQAgAE0AQwBGAHMAXAAiACkAOwBcAG4AXABuAFMAbwB1AHIAYwBlAEQAYQB0AGEAXwBQAG8AdQBsAHQAcgB5AF8ATQBDAEY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OACAAUwBPAFUAUgBDAEUAOgBcACIAOwBcAG4AIAAgACAAIAAgACAAIAAgACAAIABcACIAUwBwAGwAaQB0ACAATgBTAFcAIABhAG4AZAAgAEEAQwBUACAAaQBuAHQAbwAgAHMAZQBwAGEAcgBhAHQAZQAgAHMAdABhAHQAZQBzAC4AIABTAHAAbABpAHQAIABRAEwARAAgAGEAbgBkACAATgBUACAAaQBuAHQAbwAgAHMAZQBwAGEAcgBhAHQAZQAgAHMAdABhAHQAZQBzAC4AXAAiADsAXABuACAAIAAgACAAIAAgACAAIAAgACAAXAAiAEkAbgBjAGwAdQBkAGUAZAAgAHYAYQBsAHUAZQBzACAAZgBvAHIAIABlAGEAYwBoACAAcwB0AGEAdABlACAAdwBoAGUAbgAgACcAQQBsAGwAIABzAHQAYQB0AGUAcwAnACAAdgBhAGwAdQBlACAAaQBzACAAZwBpAHYAZQBuAC4AXAAiADsAXABuACAAIAAgACAAIAAgACAAIAAgACAAXAAiAEEAZABkAGUAZAAgACcATgBJAFIAIABkAGUAZgBpAG4AaQB0AGkAbwBuACcAIABjAG8AbAB1AG0AbgAgAHcAaQB0AGgAIABNAE0AUwAgAG4AYQBtAGUAcwAgAHQAaABhAHQAIABtAGEAdABjAGgAIABOAEkAUgAgAGQAZQBmAGkAbgBpAHQAaQBvAG4AcwAuAFwAIgA7AFwAbgAgACAAIAAgACAAIAAgACAAIAAgAFwAIgBEAHUAcABsAGkAYwBhAHQAZQBkACAAJwBQAG8AdQBsAHQAcgB5ACAAbQBhAG4AdQByAGUAIAB3AGkAdABoAG8AdQB0ACAAbABpAHQAdABlAHIAJwAgAHIAbwB3ACAAZgBvAHIAIABOAEkAUgAgAE0ATQBTACAAJwBCAGUAbAB0ACAAbQBhAG4AdQByAGUAIAByAGUAbQBvAHYAYQBsACcAIABhAG4AZAAgACcATQBhAG4AdQByAGUAIABzAHQAbwByAGUAZAAgAGkAbgAgAGgAbwB1AHMAZQAnAFwAIgBcAG4AIAAgACAAIAAgACAAIAAgAH0ALAAgAHIALAAgAGMAKQBcAG4AIAAgACAAIAAgACAAKQBcAG4AIAAgACAAIAApAFwAbgAgACAAKQA7AFwAbgBcAG4AUwBvAHUAcgBjAGUARABhAHQAYQBfAFAAbwB1AGwAdAByAHkAXwBNAEMARgBfAEQAYQB0AGEAXABuACAAIAA9AEwAQQBNAEIARABBACgAXABuACAAIAAgACAATQBBAEsARQBBAFIAUgBBAFkAKAAxADAALAAgADEAMQAsACAAXABuACAAIAAgACAAIAAgAEwAQQBNAEIARABBACgAcgAsAGMALAAgAFwAbgAgACAAIAAgACAAIAAgACAASQBOAEQARQBYACgAewBcAG4AIAAgACAAIAAgACAAIAAgACAAIABcACIATQBNAFMAIABtAFwAIgAsACAAXAAiAEEAbABsACAAcwB0AGEAdABlAHMAXAAiACwAIABcACIATgBTAFcAXAAiACwAIABcACIAQQBDAFQAXAAiACwAIABcACIAUQBMAEQAXAAiACwAIABcACIATgBUAFwAIgAsACAAXAAiAFYASQBDAFwAIgAsACAAXAAiAFMAQQBcACIALAAgAFwAIgBXAEEAXAAiACwAIABcACIAVABBAFMAXAAiACwAIABcACIATgBJAFIAIABkAGUAZgBpAG4AaQB0AGkAbwBuAFwAIgA7AFwAbgAgACAAIAAgACAAIAAgACAAIAAgAFwAIgBQAG8AdQBsAHQAcgB5ACAAbQBhAG4AdQByAGUAIAB3AGkAdABoACAAbABpAHQAdABlAHIAXAAiACwAIAAwAC4AMAAxADUALAAgADAALgAwADEANQAsACAAMAAuADAAMQA1ACwAIAAwAC4AMAAxADUALAAgADAALgAwADEANQAsACAAMAAuADAAMQA1ACwAIAAwAC4AMAAxADUALAAgADAALgAwADEANQAsACAAMAAuADAAMQA1ACwAIABcACIAUABvAHUAbAB0AHIAeQAgAG0AYQBuAHUAcgBlACAAdwBpAHQAaAAgAGIAZQBkAGQAaQBuAGcAXAAiADsAIA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IAZQBsAHQAIABtAGEAbgB1AHIAZQAgAHIAZQBtAG8AdgBhAGwAXAAiADsAXABuACAAIAAgACAAIAAgACAAIAAgACAAXAAiAFAAbwB1AGwAdAByAHkAIABtAGEAbgB1AHIAZQAgAHcAaQB0AGgAbwB1AHQAIABsAGkAdAB0AGUAcgBcACIALAAgADAALgAwADEANQAsACAAMAAuADAAMQA1ACwAIAAwAC4AMAAxADUALAAgADAALgAwADEANQAsACAAMAAuADAAMQA1ACwAIAAwAC4AMAAxADUALAAgADAALgAwADEANQAsACAAMAAuADAAMQA1ACwAIAAwAC4AMAAxADUALAAgAFwAIgBNAGEAbgB1AHIAZQAgAHMAdABvAHIAZQBkACAAaQBuACAAaABvAHUAcwBlAFwAIgA7AFwAbgAgACAAIAAgACAAIAAgACAAIAAgAFwAIgBQAGEAcwB0AHUAcgBlACAAcgBhAG4AZwBlACAAYQBuAGQAIABwAGEAZABkAG8AYwBrAFwAIgAsACAAXAAiAG4ALwBhAFwAIgAsACAAMAAuADAAMQAsACAAMAAuADAAMQAsACAAMAAuADAAMwAsACAAMAAuADAAMwAsACAAMAAuADAAMQAsACAAMAAuADAAMQAsACAAMAAuADAAMQAsACAAMAAuADAAMQAsACAAXAAiAFAAYQBzAHQAdQByAGUAIAByAGEAbgBnAGUAIABhAG4AZAAgAHAAYQBkAGQAbwBjAGsAXAAiADsAXABuACAAIAAgACAAIAAgACAAIAAgACAAXAAiAFMAbwBsAGkAZAAgAHMAdABvAHIAYQBnAGUAXAAiACwAIAAwAC4AMAAyACwAIAAwAC4AMAAyACwAIAAwAC4AMAAyACwAIAAwAC4AMAAyACwAIAAwAC4AMAAyACwAIAAwAC4AMAAyACwAIAAwAC4AMAAyACwAIAAwAC4AMAAyACwAIAAwAC4AMAAyACwAIABcACIAUwBvAGwAaQBkACAAcwB0AG8AcgBhAGcAZQBcACIAOwBcAG4AIAAgACAAIAAgACAAIAAgACAAIABcACIAQwBvAG0AcABvAHMAdABpAG4AZwAgACgAcABhAHMAcwBpAHYAZQAgAHcAaQBuAGQAcgBvAHcAKQBcACIALAAgAFwAIgBuAC8AYQBcACIALAAgADAALgAwADEALAAgADAALgAwADEALAAgADAALgAwADEALAAgADAALgAwADEALAAgADAALgAwADEALAAgADAALgAwADEALAAgADAALgAwADEALAAgADAALgAwADAANQAsACAAXAAiAEMAbwBtAHAAbwBzAHQAaQBuAGcAIAAoAHAAYQBzAHMAaQB2AGUAIAB3AGkAbgBkAHIAbwB3ACkAXAAiADsAXABuACAAIAAgACAAIAAgACAAIAAgACAAXAAiAEEAbgBhAGUAcgBvAGIAaQBjACAAZABpAGcAZQBzAHQAZQByACAALwAgAEMAbwB2AGUAcgBlAGQAIABwAG8AbgBkAFwAIgAsACAAMAAuADEALAAgADAALgAxACwAIAAwAC4AMQAsACAAMAAuADEALAAgADAALgAxACwAIAAwAC4AMQAsACAAMAAuADEALAAgADAALgAxACwAIAAwAC4AMQAsACAAXAAiAEQAaQBnAGUAcwB0AGUAcgAgAC8AIABjAG8AdgBlAHIAZQBkACAAbABhAGcAbwBvAG4AcwBcACIAOwBcAG4AIAAgACAAIAAgACAAIAAgACAAIABcACIARABpAHIAZQBjAHQAIABwAHIAbwBjAGUAcwBzAGkAbgBnAFwAIgAsACAAMAAsACAAMAAsACAAMAAsACAAMAAsACAAMAAsACAAMAAsACAAMAAsACAAMAAsACAAMAAsACAAXAAiAEQAaQByAGUAYwB0ACAAcAByAG8AYwBlAHMAcwBpAG4AZwBcACIAOwBcAG4AIAAgACAAIAAgACAAIAAgACAAIABcACIARABpAHIAZQBjAHQAIABhAHAAcABsAGkAYwBhAHQAaQBvAG4AIAB0AG8AIABzAG8AaQBsAFwAIgAsACAAMAAsACAAMAAsACAAMAAsACAAMAAsACAAMAAsACAAMAAsACAAMAAsACAAMAAsACAAMAAsACAAXAAiAEQAaQByAGUAYwB0ACAAYQBwAHAAbABpAGMAYQB0AGkAbwBuAFwAIgBcAG4AIAAgACAAIAAgACAAIAAgAH0ALAAgAHIALAAgAGMAKQBcAG4AIAAgACAAIAAgACAAKQBcAG4AIAAgACAAIAApAFwAbgAgACAAKQA7AFwAbgBcAG4AUwBvAHUAcgBjAGUARABhAHQAYQBfAFAAbwB1AGwAdAByAHkAXwBNAEMARgBfAE4AbwB0AGUAcwBcAG4AIAAgAD0ATABBAE0AQgBEAEEAKABcACIAJwBQAGEAcwB0AHUAcgBlACAAcgBhAG4AZwBlACAAYQBuAGQAIABwAGEAZABkAG8AYwBrACcAIABhAHAAcABsAGkAZQBzACAATQBDAEYAIABmAG8AcgAgAGQAcgB5AGwAbwB0AC4AXAAiACkAOwBcAG4AXABuAFwAbgAvACoAIABcAG4ALQAtAC0ALQAtAC0ALQAtAC0ALQAtAC0ALQAtAC0ALQAtAC0ALQAtAC0ALQAtAC0ALQAtAC0ALQAtAC0ALQAtAC0ALQAtAC0ALQAtAFwAbgBTAG8AdQByAGMAZQBEAGEAdABhAF8AUABvAHUAbAB0AHIAeQBfAE0AZQB0AGgAYQBuAGUARQBtAGkAcwBzAGkAbwBuAHMAUABvAHQAZQBuAHQAaQBhAGwAXABuAE0AZQB0AGgAYQBuAGUAIABlAG0AaQBzAHMAaQBvAG4AcwAgAHAAbwB0AGUAbgB0AGkAYQBsACAAcABlAHIAIABwAG8AdQBsAHQAcgB5ACAAYwBsAGEAcwBzAFwAbgAtAC0ALQAtAC0ALQAtAC0ALQAtAC0ALQAtAC0ALQAtAC0ALQAtAC0ALQAtAC0ALQAtAC0ALQAtAC0ALQAtAC0ALQAtAC0ALQAtAC0AXABuACoALwBcAG4AXABuAFMAbwB1AHIAYwBlAEQAYQB0AGEAXwBQAG8AdQBsAHQAcgB5AF8ATQBlAHQAaABhAG4AZQBFAG0AaQBzAHMAaQBvAG4AcwBQAG8AdABlAG4AdABpAGEAbABfAFQAaQB0AGwAZQBcAG4AIAAgAD0ATABBAE0AQgBEAEEAKABcACIAUABvAHUAbAB0AHIAeQAgAC0AIABNAGUAdABoAGEAbgBlACAAZQBtAGkAcwBzAGkAbwBuAHMAIABwAG8AdABlAG4AdABpAGEAbAAgAHAAZQByACAAYwBsAGEAcwBzAFwAIgApADsAXABuAFwAbgBTAG8AdQByAGMAZQBEAGEAdABhAF8AUABvAHUAbAB0AHIAeQBfAE0AZQB0AGgAYQBuAGUARQBtAGkAcwBzAGkAbwBuAHMAUABvAHQAZQBuAHQAaQBhAGwAXwBVAG4AaQB0AFwAbgAgACAAPQBMAEEATQBCAEQAQQAoAFwAIgBtADMAIABDAEgANAAvAGsAZwAgAFYAUwBcACIAKQA7AFwAbgBcAG4AUwBvAHUAcgBjAGUARABhAHQAYQBfAFAAbwB1AGwAdAByAHkAXwBNAGUAdABoAGEAbgBlAEUAbQBpAHMAcwBpAG8AbgBzAFAAbwB0AGUAbgB0AGkAYQBsAF8AUwBvAHUAcgBjAGUAXABuACAAIAA9AEwAQQBNAEIARABBACgAXAAiAFYARQBFAFIARwAgADIAMAAyADYAOgAgADQALgA2AC4AMgAuADMAIABDAE8ATgBTAFQAQQBOAFQAOgAgAFAAbwB1AGwAdAByAHkAIAAtACAATQBlAHQAaABhAG4AZQAgAGUAbQBpAHMAcwBpAG8AbgBzACAAcABvAHQAZQBuAHQAaQBhAGwAIABwAGUAcgAgAGMAbABhAHMAcwBcACIAKQA7AFwAbgBcAG4AUwBvAHUAcgBjAGUARABhAHQAYQBfAFAAbwB1AGwAdAByAHkAXwBNAGUAdABoAGEAbgBlAEUAbQBpAHMAcwBpAG8AbgBzAFAAbwB0AGUAbgB0AGkAYQBsAF8AVgBhAHIAaQBhAHQAaQBvAG4AXABuACAAIAA9AEwAQQBNAEIARABBACgAXAAiAFwAIgApADsAXABuAFwAbgBTAG8AdQByAGMAZQBEAGEAdABhAF8AUABvAHUAbAB0AHIAeQBfAE0AZQB0AGgAYQBuAGUARQBtAGkAcwBzAGkAbwBuAHMAUABvAHQAZQBuAHQAaQBhAGwAXwBEAGEAdABhAFwAbgAgACAAPQBMAEEATQBCAEQAQQAoAFwAbgAgACAAIAAgAE0AQQBLAEUAQQBSAFIAQQBZACgAMwAsACAAMgAsACAAXABuACAAIAAgACAAIAAgAEwAQQBNAEIARABBACgAcgAsAGMALAAgAFwAbgAgACAAIAAgACAAIAAgACAASQBOAEQARQBYACgAewBcAG4AIAAgACAAIAAgACAAIAAgACAAIABcACIAUABvAHUAbAB0AHIAeQAgAGMAbABhAHMAcwBcACIALAAgAFwAIgBCADAAXAAiADsAXABuACAAIAAgACAAIAAgACAAIAAgACAAXAAiAEwAYQB5AGUAcgBzAFwAIgAsACAAMAAuADMAOQA7ACAAXABuACAAIAAgACAAIAAgACAAIAAgACAAXAAiAE0AZQBhAHQAIABjAGgAaQBjAGsAZQBuAHMAXAAiACwAIAAwAC4AMwA2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FAAcgBvAGQAdQBjAHQAaQBvAG4AUwB5AHMAdABlAG0AcwBcAG4AUABvAHUAbAB0AHIAeQAgAHAAcgBvAGQAdQBjAHQAaQBvAG4AIABzAHkAcwB0AGUAbQBzAFwAbgAtAC0ALQAtAC0ALQAtAC0ALQAtAC0ALQAtAC0ALQAtAC0ALQAtAC0ALQAtAC0ALQAtAC0ALQAtAC0ALQAtAC0ALQAtAC0ALQAtAC0AXABuACoALwBcAG4AXABuAFMAbwB1AHIAYwBlAEQAYQB0AGEAXwBQAG8AdQBsAHQAcgB5AF8AUAByAG8AZAB1AGMAdABpAG8AbgBTAHkAcwB0AGUAbQBzAF8AVABpAHQAbABlAFwAbgAgACAAPQBMAEEATQBCAEQAQQAoAFwAIgBQAG8AdQBsAHQAcgB5ACAALQAgAFAAcgBvAGQAdQBjAHQAaQBvAG4AIABzAHkAcwB0AGUAbQBzAFwAIgApADsAXABuAFwAbgBTAG8AdQByAGMAZQBEAGEAdABhAF8AUABvAHUAbAB0AHIAeQBfAFAAcgBvAGQAdQBjAHQAaQBvAG4AUwB5AHMAdABlAG0AcwBfAFUAbgBpAHQAXABuACAAIAA9AEwAQQBNAEIARABBACgAXAAiAFwAIgApADsAXABuAFwAbgBTAG8AdQByAGMAZQBEAGEAdABhAF8AUABvAHUAbAB0AHIAeQBfAFAAcgBvAGQAdQBjAHQAaQBvAG4AUwB5AHMAdABlAG0AcwBfAFMAbwB1AHIAYwBlAFwAbgAgACAAPQBMAEEATQBCAEQAQQAoAFwAIgBWAEUARQBSAEcAIAAyADAAMgA2ADoAIAA0AC4ANgAgAFAAbwB1AGwAdAByAHkAXAAiACkAOwBcAG4AXABuAFMAbwB1AHIAYwBlAEQAYQB0AGEAXwBQAG8AdQBsAHQAcgB5AF8AUAByAG8AZAB1AGMAdABpAG8AbgBTAHkAcwB0AGUAbQBzAF8AVgBhAHIAaQBhAHQAaQBvAG4AXABuACAAIAA9AEwAQQBNAEIARABBACgAXAAiAFwAIgApADsAXABuAFwAbgBTAG8AdQByAGMAZQBEAGEAdABhAF8AUABvAHUAbAB0AHIAe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YAcgBlAGUAIAByAGEAbgBnAGUAXAAiADsAIABcAG4AIAAgACAAIAAgACAAIAAgACAAIABcACIAQgBhAHIAbgBcACIAOwBcAG4AIAAgACAAIAAgACAAIAAgACAAIABcACIAQw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UABvAHUAbAB0AHIAeQBfAFYAUwBMAF8AVABpAHQAbABlAFwAbgAgACAAPQBMAEEATQBCAEQAQQAoAFwAIgBQAG8AdQBsAHQAcgB5ACAALQAgAEYAcgBhAGMAdABpAG8AbgAgAG8AZgAgAHYAbwBsAGEAdABpAGwAZQAgAHMAbwBsAGkAZABzACAAbABvAHMAdAAgAGkAbgAgAHQAaABlACAAcAByAGkAbQBhAHIAeQAgAE0ATQBTAFwAIgApADsAXABuAFwAbgBTAG8AdQByAGMAZQBEAGEAdABhAF8AUABvAHUAbAB0AHIAeQBfAFYAUwBMAF8AVQBuAGkAdABcAG4AIAAgAD0ATABBAE0AQgBEAEEAKABcACIAXAAiACkAOwBcAG4AXABuAFMAbwB1AHIAYwBlAEQAYQB0AGEAXwBQAG8AdQBsAHQAcgB5AF8AVgBTAEwAXwBTAG8AdQByAGMAZQBcAG4AIAAgAD0ATABBAE0AQgBEAEEAKABcACIAVgBFAEUAUgBHACAAMgAwADIANgA6ACAANAAuADYALgAyAC4AMwAgAEMATwBOAFMAVABBAE4AVABcACIAKQA7AFwAbgBcAG4AUwBvAHUAcgBjAGUARABhAHQAYQBfAFAAbwB1AGwAdAByAHkAXwBWAFMATABfAFYAYQByAGkAYQB0AGkAbwBuAFwAbgAgACAAPQBMAEEATQBCAEQAQQAoAFwAIgBWAEEAUgBJAEEAVABJAE8ATgAgAE8ATgAgAFMATwBVAFIAQwBFADoAIABUAGEAYgBsAGUAIABnAGUAbgBlAHIAYQB0AGUAZAAgAGYAcgBvAG0AIABsAGkAbgBlACAAaQB0AGUAbQBzAC4AIABBAGQAZABlAGQAIAAnAE4ASQBSACAAZABlAGYAaQBuAGkAdABpAG8AbgAgAGMAbwBsAHUAbQBuACcALgBcACIAKQA7AFwAbgBcAG4AUwBvAHUAcgBjAGUARABhAHQAYQBfAFAAbwB1AGwAdAByAHkAXwBWAFMATABfAEQAYQB0AGEAXABuACAAIAA9AEwAQQBNAEIARABBACgAXABuACAAIAAgACAATQBBAEsARQBBAFIAUgBBAFkAKAA0ACwAIAAzACwAIABcAG4AIAAgACAAIAAgACAATABBAE0AQgBEAEEAKAByACwAYwAsACAAXABuACAAIAAgACAAIAAgACAAIABJAE4ARABFAFgAKAB7AFwAbgAgACAAIAAgACAAIAAgACAAIAAgAFwAIgBNAE0AUwBcACIALAAgAFwAIgBWAFMATABcACIALAAgAFwAIgBOAEkAUgAgAGQAZQBmAGkAbgBpAHQAaQBvAG4AXAAiADsAXABuACAAIAAgACAAIAAgACAAIAAgACAAXAAiAFAAbwB1AGwAdAByAHkAIABtAGEAbgB1AHIAZQAgAHcAaQB0AGgAIABsAGkAdAB0AGUAcgBcACIALAAgADAALgAxADUALAAgAFwAIgBQAG8AdQBsAHQAcgB5ACAAbQBhAG4AdQByAGUAIAB3AGkAdABoACAAYgBlAGQAZABpAG4AZwBcACIAOwBcAG4AIAAgACAAIAAgACAAIAAgACAAIABcACIAUABvAHUAbAB0AHIAeQAgAG0AYQBuAHUAcgBlACAAdwBpAHQAaABvAHUAdAAgAGwAaQB0AHQAZQByACAALQAgAHMAdABvAHIAZQBkACAAaQBuACAAaABvAHUAcwBlAFwAIgAsACAAMAAuADIALAAgAFwAIgBNAGEAbgB1AHIAZQAgAHMAdABvAHIAZQBkACAAaQBuACAAaABvAHUAcwBlAFwAIgA7AFwAbgAgACAAIAAgACAAIAAgACAAIAAgAFwAIgBQAG8AdQBsAHQAcgB5ACAAbQBhAG4AdQByAGUAIAB3AGkAdABoAG8AdQB0ACAAbABpAHQAdABlAHIAIAAtACAAYgBlAGwAdAAgAHIAZQBtAG8AdgBhAGwAXAAiACwAIAAwACwAIABcACIAQgBlAGwAdAAgAG0AYQBuAHUAcgBlACAAcgBlAG0AbwB2AGEAbABcACIAXABuACAAIAAgACAAIAAgACAAIAB9ACwAIAByACwAIABjACkAXABuACAAIAAgACAAIAAgACkAXABuACAAIAAgACAAKQBcAG4AIAAgACkAOwBcAG4AIgB9ACwAewAiAHAAYQB0AGgAIgA6ACIALwBwAHIAbwBqAGUAYwB0AHMALwBNAE0AUwBfAHAAbwB1AGwAdAByAHk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CAATQBlAHQAaABvAGQAIAAxACAALQAgAE0AYQBuAHUAcgBlACAATQBlAHQAaABhAG4AZQ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F8AXwAxAF8AVABvAHQAYQBsAEEAbgBuAHUAYQBsAE0AZQB0AGgAYQBuAGUARQBtAGkAcwBzAGkAbwBuAHMAXABuAFQAbwB0AGEAbAAgAGEAbgBuAHUAYQBsACAAbQBlAHQAaABhAG4AZQAgAGUAbQBpAHMAcwBpAG8AbgBzACAAZgByAG8AbQAgAG0AYQBuAHUAcgBlACAAbQBhAG4AYQBnAGUAbQBlAG4AdABcAG4ARQBfAEMASAA0AFwAbgB0ACAAQwBIADQAXABuAEUAXwB7AEMASAA0AH0APQBcAFwAcwB1AG0AXwB7AGoAfQBcAFwAcwB1AG0AXwB7AGsAfQBcAFwAcwB1AG0AXwB7AG0AfQBcAFwAcwB1AG0AXwB7AFQAfQAoAEQAXwB7AGoAawB9AFwAXAB0AGkAbQBlAHMAIABNAF8AewBqAGsAbQBUAH0AXABcAHQAaQBtAGUAcwAgAE4AXwB7AGoAawB9ACkAXABcAHQAaQBtAGUAcwAxADAAXgB7AC0AMwB9AFwAbgBEAF8AagBrACAAPQAgAGQAdQByAGEAdABpAG8AbgAgAG8AZgAgAHMAdABhAHkAIABvAGYAIABlAGEAYwBoACAAYwBsAGEAcwBzACAAYQBuAGQAIABzAHUAYgBjAGwAYQBzAHMAIABvAGYAIABwAG8AdQBsAHQAcgB5ACAAOgAgAGQAYQB5AHMAXABuAE0AXwBqAGsAbQBUACAAPQAgAG0AZQB0AGgAYQBuAGUAIABwAHIAbwBkAHUAYwB0AGkAbwBuACAAZgByAG8AbQAgAG0AYQBuAHUAcgBlACAAcABlAHIAIABjAGwAYQBzAHMALAAgAHMAdQBiAGMAbABhAHMAcwAsACAATQBNAFMALAAgAGEAbgBkACAAdAByAGUAYQB0AG0AZQBuAHQAIABzAHQAYQBnAGUAIAA6ACAAawBnACAAQwBIADQALwBiAGkAcgBkAC8AZABhAHkAXABuAE4AXwBqAGsAIAA9ACAAbgB1AG0AYgBlAHIAcwAgAG8AZgAgAHAAbwB1AGwAdAByAHkAIABpAG4AIABlAGEAYwBoACAAYwBsAGEAcwBzACAAYQBuAGQAIABzAHUAYgBjAGwAYQBzAHMAIAA6ACAAYgBpAHIAZABcAG4ALQAtAC0ALQAtAC0ALQAtAC0ALQAtAC0ALQAtAC0ALQAtAC0ALQAtAC0ALQAtAC0ALQAtAC0ALQAtAC0ALQAtAC0ALQAtAC0ALQAtAFwAbgAqAC8AXABuAFwAbgBWAEUARQBSAEcAXwA0AF8ANgBfADEAXwAxAF8AXwAxAF8AVABvAHQAYQBsAEEAbgBuAHUAYQBsAE0AZQB0AGgAYQBuAGUARQBtAGkAcwBzAGkAbwBuAHMAXABuACAAIAA9AEwAQQBNAEIARABBACgAXABuACAAIAAgACAARABfAGoAawAsACAATQBfAGoAawBtAFQALAAgAE4AXwBqAGsALABcAG4AIAAgACAAIAAoAEQAXwBqAGsAIAAqACAATQBfAGoAawBtAFQAIAAqACAATgBfAGoAawApACAAKgAgADEAMAAgAF4AIAAtADMAXABuACAAIAApADsAXABuAFwAbgBWAEUARQBSAEcAXwA0AF8ANg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YAXwAxAF8AMQBfAF8AMQBfAFQAbwB0AGEAbABBAG4AbgB1AGEAbABNAGUAdABoAGEAbgBlAEUAbQBpAHMAcwBpAG8AbgBzAF8AVgBhAHIAaQBhAGIAbABlAFwAbgAgACAAPQBMAEEATQBCAEQAQQAoAFwAIgBFAF8AQwBIADQAXAAiACkAOwBcAG4AXABuAFYARQBFAFIARwBfADQAXwA2AF8AMQBfADEAXwBfADEAXwBUAG8AdABhAGwAQQBuAG4AdQBhAGwATQBlAHQAaABhAG4AZQBFAG0AaQBzAHMAaQBvAG4AcwBfAFUAbgBpAHQAXABuACAAIAA9AEwAQQBNAEIARABBACgAXAAiAHQAIABDAEgANABcACIAKQA7AFwAbgBcAG4AVgBFAEUAUgBHAF8ANABfADYAXwAxAF8AMQBfAF8AMQBfAFQAbwB0AGEAbABBAG4AbgB1AGEAbABNAGUAdABoAGEAbgBlAEUAbQBpAHMAcwBpAG8AbgBzAF8AUwBvAHUAcgBjAGUAXABuACAAIAA9AEwAQQBNAEIARABBACgAXAAiAFYARQBFAFIARwAgADIAMAAyADYAOgAgADQALgA0AC4AMQAuADEALAAgAEUAcQB1AGEAdABpAG8AbgAgACgAMQApAFwAIgApADsAXABuAFwAbgBWAEUARQBSAEcAXwA0AF8ANgBfADEAXwAxAF8AXwAxAF8AVABvAHQAYQBsAEEAbgBuAHUAYQBsAE0AZQB0AGgAYQBuAGUARQBtAGkAcwBzAGkAbwBuAHMAXwBOAEkAUgBSAGUAZgBlAHIAZQBuAGMAZQBcAG4AIAAgAD0ATABBAE0AQgBEAEEAKABcACIAXAAiACkAOwBcAG4AXABuAFYARQBFAFIARwBfADQAXwA2AF8AMQBfADEAXwBfADEAXwBUAG8AdABhAGwAQQBuAG4AdQBhAGwATQBlAHQAaABhAG4AZQBFAG0AaQBzAHMAaQBvAG4AcwBfAEwAYQB0AGUAeABFAHEAdQBhAHQAaQBvAG4AXABuACAAIAA9AEwAQQBNAEIARABBACgAXAAiAEUAXwB7AEMASAA0AH0APQBcAFwAcwB1AG0AXwB7AGoAfQBcAFwAcwB1AG0AXwB7AGsAfQBcAFwAcwB1AG0AXwB7AG0AfQBcAFwAcwB1AG0AXwB7AFQAfQAoAEQAXwB7AGoAawB9AFwAXAB0AGkAbQBlAHMAIABNAF8AewBqAGsAbQBUAH0AXABcAHQAaQBtAGUAcwAgAE4AXwB7AGoAawB9ACkAXABcAHQAaQBtAGUAcwAxADAAXgB7AC0AMwB9AFwAIgApADsAXABuAFwAbgBWAEUARQBSAEcAXwA0AF8ANgBfADEAXwAxAF8AXwAxAF8AVABvAHQAYQBsAEEAbgBuAHUAYQBsAE0AZQB0AGgAYQBuAGUARQBtAGkAcwBzAGkAbwBuAHMAXwBBAHIAZwB1AG0AZQBuAHQAcwBcAG4AIAAgAD0ATABBAE0AQgBEAEEAKABcAG4AIAAgACAAIABNAEEASwBFAEEAUgBSAEEAWQAoADMALAAgADIALABcAG4AIAAgACAAIAAgACAATABBAE0AQgBEAEEAKAByACwAYwAsAFwAbgAgACAAIAAgACAAIAAgACAASQBOAEQARQBYACgAewBcAG4AIAAgACAAIAAgACAAIAAgACAAIABcACIARABfAGoAawBcACIALABcACIAZAB1AHIAYQB0AGkAbwBuACAAbwBmACAAcwB0AGEAeQAgAG8AZgAgAGUAYQBjAGgAIABjAGwAYQBzAHMAIABhAG4AZAAgAHMAdQBiAGMAbABhAHMAcwAgAG8AZgAgAHAAbwB1AGwAdAByAHkAIAA6ACAAZABhAHkAcwBcACIAOwBcAG4AIAAgACAAIAAgACAAIAAgACAAIABcACIATQBfAGoAawBtAFQAXAAiACwAXAAiAG0AZQB0AGgAYQBuAGUAIABwAHIAbwBkAHUAYwB0AGkAbwBuACAAZgByAG8AbQAgAG0AYQBuAHUAcgBlACAAcABlAHIAIABjAGwAYQBzAHMALAAgAHMAdQBiAGMAbABhAHMAcwAsACAATQBNAFMALAAgAGEAbgBkACAAdAByAGUAYQB0AG0AZQBuAHQAIABzAHQAYQBnAGUAIAA6ACAAawBnACAAQwBIADQALwBiAGkAcgBkAC8AZABhAHkAXAAiADsAXABuACAAIAAgACAAIAAgACAAIAAgACAAXAAiAE4AXwBqAGsAXAAiACwAXAAiAG4AdQBtAGIAZQByAHMAIABvAGYAIABwAG8AdQBsAHQAcgB5ACAAaQBuACAAZQBhAGMAaAAgAGMAbABhAHMAcwAgAGEAbgBkACAAcwB1AGIAYwBsAGEAcwBzACAAOgAgAGIAaQByAGQ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MgBfAFMAdABhAGcAZQAxAE0AZQB0AGgAYQBuAGUAUAByAG8AZAB1AGMAdABpAG8AbgBcAG4AUAByAG8AZAB1AGMAdABpAG8AbgAgAG8AZgAgAG0AZQB0AGgAYQBuAGUAIABpAG4AIAB0AHIAZQBhAHQAbQBlAG4AdAAgAHMAdABhAGcAZQAgADEAIABNAE0AUwBcAG4ATQBfAGoAawBtAFQAMQBcAG4AawBnACAAQwBIADQALwBiAGkAcgBkAC8AZABhAHkAXABuAE0AXwB7AGoAawBtAFQAPQAxAH0APQBWAFMAXwB7AGoAawB9AFwAXAB0AGkAbQBlAHMAIABCAE8AXwB7AGoAfQBcAFwAdABpAG0AZQBzACAATQBNAFMAXwB7AGoAbQBUAD0AMQB9AFwAXAB0AGkAbQBlAHMAIABNAEMARgBfAHsAaQBtAH0AXABcAHQAaQBtAGUAcwAgAFwAXAByAGgAbwBcAG4AVgBTAF8AagBrACAAPQAgAHYAbwBsAGEAdABpAGwAZQAgAHMAbwBsAGkAZAAgAHAAcgBvAGQAdQBjAHQAaQBvAG4AIABwAG8AdQBsAHQAcgB5ACAAYwBsAGEAcwBzAGUAcwAgADoAIABrAGcAIABWAFMALwBiAGkAcgBkAC8AZABhAHkAXABuAEIATwBfAGoAIAA9ACAAZQBtAGkAcwBzAGkAbwBuAHMAIABwAG8AdABlAG4AdABpAGEAbAAgAHAAZQByACAAYwBsAGEAcwBzACAAOgAgAG0AMwAgAEMASAA0AC8AawBnACAAVgBTAFwAbgBNAE0AUwBfAGoAbQBUADEAIAA9ACAAZgByAGEAYwB0AGkAbwBuACAAbwBmACAAbQBhAG4AdQByAGUAIABpAG4AIABlAGEAYwBoACAAcAByAGkAbQ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gBfAFMAdABhAGcAZQAxAE0AZQB0AGgAYQBuAGUAUAByAG8AZAB1AGMAdABpAG8AbgBcAG4AIAAgAD0ATABBAE0AQgBEAEEAKABcAG4AIAAgACAAIABWAFMAXwBqAGsALAAgAEIATwBfAGoALAAgAE0ATQBTAF8AagBtAFQAMQAsACAATQBDAEYAXwBpAG0ALAAgAHIAaABvACwAXABuACAAIAAgACAAVgBTAF8AagBrACAAKgAgAEIATwBfAGoAIAAqACAATQBNAFMAXwBqAG0AVAAxACAAKgAgAE0AQwBGAF8AaQBtACAAKgAgAHIAaABvAFwAbgAgACAAKQA7AFwAbgBcAG4AVgBFAEUAUgBHAF8ANABfADYAXwAxAF8AMQBfAF8AMg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YAXwAxAF8AMQBfAF8AMgBfAFMAdABhAGcAZQAxAE0AZQB0AGgAYQBuAGUAUAByAG8AZAB1AGMAdABpAG8AbgBfAFYAYQByAGkAYQBiAGwAZQBcAG4AIAAgAD0ATABBAE0AQgBEAEEAKABcACIATQBfAGoAawBtAFQAMQBcACIAKQA7AFwAbgBcAG4AVgBFAEUAUgBHAF8ANABfADYAXwAxAF8AMQBfAF8AMgBfAFMAdABhAGcAZQAxAE0AZQB0AGgAYQBuAGUAUAByAG8AZAB1AGMAdABpAG8AbgBfAFUAbgBpAHQAXABuACAAIAA9AEwAQQBNAEIARABBACgAXAAiAGsAZwAgAEMASAA0AC8AYgBpAHIAZAAvAGQAYQB5AFwAIgApADsAXABuAFwAbgBWAEUARQBSAEcAXwA0AF8ANgBfADEAXwAxAF8AXwAyAF8AUwB0AGEAZwBlADEATQBlAHQAaABhAG4AZQBQAHIAbwBkAHUAYwB0AGkAbwBuAF8AUwBvAHUAcgBjAGUAXABuACAAIAA9AEwAQQBNAEIARABBACgAXAAiAFYARQBFAFIARwAgADIAMAAyADYAOgAgADQALgA0AC4AMQAuADEALAAgAEUAcQB1AGEAdABpAG8AbgAgACgAMgApAFwAIgApADsAXABuAFwAbgBWAEUARQBSAEcAXwA0AF8ANgBfADEAXwAxAF8AXwAyAF8AUwB0AGEAZwBlADEATQBlAHQAaABhAG4AZQBQAHIAbwBkAHUAYwB0AGkAbwBuAF8ATgBJAFIAUgBlAGYAZQByAGUAbgBjAGUAXABuACAAIAA9AEwAQQBNAEIARABBACgAXAAiAFwAIgApADsAXABuAFwAbgBWAEUARQBSAEcAXwA0AF8ANgBfADEAXwAxAF8AXwAyAF8AUwB0AGEAZwBlADEATQBlAHQAaABhAG4AZQBQAHIAbwBkAHUAYwB0AGkAbwBuAF8ATABhAHQAZQB4AEUAcQB1AGEAdABpAG8AbgBcAG4AIAAgAD0ATABBAE0AQgBEAEEAKABcACIATQBfAHsAagBrAG0AVAA9ADEAfQA9AFYAUwBfAHsAagBrAH0AXABcAHQAaQBtAGUAcwAgAEIATwBfAHsAagB9AFwAXAB0AGkAbQBlAHMAIABNAE0AUwBfAHsAagBtAFQAPQAxAH0AXABcAHQAaQBtAGUAcwAgAE0AQwBGAF8AewBpAG0AfQBcAFwAdABpAG0AZQBzACAAXABcAHIAaABvAFwAIgApADsAXABuAFwAbgBWAEUARQBSAEcAXwA0AF8ANgBfADEAXwAxAF8AXwAyAF8AUwB0AGEAZwBlADEATQBlAHQAaABhAG4AZQBQAHIAbwBkAHUAYwB0AGkAbwBuAF8AQQByAGcAdQBtAGUAbgB0AHMAXABuACAAIAA9AEwAQQBNAEIARABBACgAXABuACAAIAAgACAATQBBAEsARQBBAFIAUgBBAFkAKAA2ACwAIAAyACwAXABuACAAIAAgACAAIAAgAEwAQQBNAEIARABBACgAcgAsAGMALABcAG4AIAAgACAAIAAgACAAIAAgAEkATgBEAEUAWAAoAHsAXABuACAAIAAgACAAIAAgACAAIAAgACAAXAAiAFYAUwBfAGoAawBcACIALABcACIAdgBvAGwAYQB0AGkAbABlACAAcwBvAGwAaQBkACAAcAByAG8AZAB1AGMAdABpAG8AbgAgAHAAbwB1AGwAdAByAHkAIABjAGwAYQBzAHMAZQBzACAAOgAgAGsAZwAgAFYAUwAvAGIAaQByAGQALwBkAGEAeQBcACIAOwBcAG4AIAAgACAAIAAgACAAIAAgACAAIABcACIAQgBPAF8AagBcACIALABcACIAZQBtAGkAcwBzAGkAbwBuAHMAIABwAG8AdABlAG4AdABpAGEAbAAgAHAAZQByACAAYwBsAGEAcwBzACAAOgAgAG0AMwAgAEMASAA0AC8AawBnACAAVgBTAFwAIgA7AFwAbgAgACAAIAAgACAAIAAgACAAIAAgAFwAIgBNAE0AUwBfAGoAbQBUADEAXAAiACwAXAAiAGYAcgBhAGMAdABpAG8AbgAgAG8AZgAgAG0AYQBuAHUAcgBlACAAaQBuACAAZQBhAGMAaAAgAHAAcgBpAG0AYQByAHkAIABzAHkAcwB0AGUAbQAgADoAIABmAHIAYQBjAHQAaQBvAG4AXAAiADsAXABuACAAIAAgACAAIAAgACAAIAAgACAAXAAiAE0AQwBGAF8AaQBtAFwAIgAsAFwAIgBtAGUAdABoAGEAbgBlACAAYwBvAG4AdgBlAHIAcwBpAG8AbgAgAGYAYQBjAHQAbwByACAAZgBvAHIAIAB0AGUAbQBwAGUAcgBhAHQAdQByAGUAIAB6AG8AbgBlACAAYQBuAGQAIABNAE0AUwAgADoAIABmAHIAYQBjAHQAaQBvAG4AXAAiADsAXABuACAAIAAgACAAIAAgACAAIAAgACAAXAAiAHIAaABvAFwAIgAsAFwAIgBkAGUAbgBzAGkAdAB5ACAAbwBmACAAbQBlAHQAaABhAG4AZQAgADoAIABrAGcALwBtADMAXAAiADsAXABuACAAIAAgACAAIAAgACAAIAAgACAAXAAiAGkAXAAiACwAIABcACIAcwB0AGEAdABl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MAXwBTAHQAYQBnAGUAMgBNAGUAdABoAGEAbgBlAFAAcgBvAGQAdQBjAHQAaQBvAG4AXABuAFAAcgBvAGQAdQBjAHQAaQBvAG4AIABvAGYAIABtAGUAdABoAGEAbgBlACAAaQBuACAAdAByAGUAYQB0AG0AZQBuAHQAIABzAHQAYQBnAGUAIAAyACAATQBNAFMAXABuAE0AXwBqAGsAbQBUADIAXABuAGsAZwAgAEMASAA0AC8AYgBpAHIAZAAvAGQAYQB5AFwAbgBNAF8AewBqAGsAbQBUAD0AMgB9AD0AVgBTAFQAXwB7AGoAawB9AFwAXAB0AGkAbQBlAHMAIABCAE8AXABcAHQAaQBtAGUAcwAgAE0ATQBTAF8AewBqAG0AVAA9ADIAfQBcAFwAdABpAG0AZQBzACAATQBDAEYAXwB7AGkAbQB9AFwAXAB0AGkAbQBlAHMAIABcAFwAcgBoAG8AXABuAFYAUwBUAF8AagBrACAAPQAgAHYAbwBsAGEAdABpAGwAZQAgAHMAbwBsAGkAZABzACAAdAByAGEAbgBzAGYAZQByAHIAZQBkACAAdABvACAAdAByAGUAYQB0AG0AZQBuAHQAIABzAHQAYQBnAGUAIAAyACAATQBNAFMAIAA6ACAAawBnACAAVgBTAC8AYgBpAHIAZAAvAGQAYQB5AFwAbgBCAE8AIAA9ACAAZQBtAGkAcwBzAGkAbwBuAHMAIABwAG8AdABlAG4AdABpAGEAbAAgADoAIABtADMAIABDAEgANAAvAGsAZwAgAFYAUwBcAG4ATQBNAFMAXwBqAG0AVAAyACAAPQAgAGYAcgBhAGMAdABpAG8AbgAgAG8AZgAgAG0AYQBuAHUAcgBlACAAaQBuACAAZQBhAGMAaAAgAHMAZQBjAG8AbgBkAGEAcgB5ACAAcwB5AHMAdABlAG0AIAA6ACAAZgByAGEAYwB0AGkAbwBuAFwAbgBNAEMARgBfAGkAbQAgAD0AIABtAGUAdABoAGEAbgBlACAAYwBvAG4AdgBlAHIAcwBpAG8AbgAgAGYAYQBjAHQAbwByACAAZgBvAHIAIAB0AGUAbQBwAGUAcgBhAHQAdQByAGUAIAB6AG8Ab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NgBfADEAXwAxAF8AXwAzAF8AUwB0AGEAZwBlADIATQBlAHQAaABhAG4AZQBQAHIAbwBkAHUAYwB0AGkAbwBuAFwAbgAgACAAPQBMAEEATQBCAEQAQQAoAFwAbgAgACAAIAAgAFYAUwBUAF8AagBrACwAIABCAE8ALAAgAE0ATQBTAF8AagBtAFQAMgAsACAATQBDAEYAXwBpAG0ALAAgAHIAaABvACwAXABuACAAIAAgACAAVgBTAFQAXwBqAGsAIAAqACAAQgBPACAAKgAgAE0ATQBTAF8AagBtAFQAMgAgACoAIABNAEMARgBfAGkAbQAgACoAIAByAGgAbwBcAG4AIAAgACkAOwBcAG4AXABuAFYARQBFAFIARwBfADQAXwA2AF8AMQBfADEAXwBfADMAXwBTAHQAYQBnAGUAMgBNAGUAdABoAGEAbgBlAFAAcgBvAGQAdQBjAHQAaQBvAG4AXwBUAGkAdABsAGUAXABuACAAIAA9AEwAQQBNAEIARABBACgAXAAiAFAAcgBvAGQAdQBjAHQAaQBvAG4AIABvAGYAIABtAGUAdABoAGEAbgBlACAAaQBuACAAdAByAGUAYQB0AG0AZQBuAHQAIABzAHQAYQBnAGUAIAAyACAATQBNAFMAXAAiACkAOwBcAG4AXABuAFYARQBFAFIARwBfADQAXwA2AF8AMQBfADEAXwBfADMAXwBTAHQAYQBnAGUAMgBNAGUAdABoAGEAbgBlAFAAcgBvAGQAdQBjAHQAaQBvAG4AXwBWAGEAcgBpAGEAYgBsAGUAXABuACAAIAA9AEwAQQBNAEIARABBACgAXAAiAE0AXwBqAGsAbQBUADIAXAAiACkAOwBcAG4AXABuAFYARQBFAFIARwBfADQAXwA2AF8AMQBfADEAXwBfADMAXwBTAHQAYQBnAGUAMgBNAGUAdABoAGEAbgBlAFAAcgBvAGQAdQBjAHQAaQBvAG4AXwBVAG4AaQB0AFwAbgAgACAAPQBMAEEATQBCAEQAQQAoAFwAIgBrAGcAIABDAEgANAAvAGIAaQByAGQALwBkAGEAeQBcACIAKQA7AFwAbgBcAG4AVgBFAEUAUgBHAF8ANABfADYAXwAxAF8AMQBfAF8AMwBfAFMAdABhAGcAZQAyAE0AZQB0AGgAYQBuAGUAUAByAG8AZAB1AGMAdABpAG8AbgBfAFMAbwB1AHIAYwBlAFwAbgAgACAAPQBMAEEATQBCAEQAQQAoAFwAIgBWAEUARQBSAEcAIAAyADAAMgA2ADoAIAA0AC4ANAAuADEALgAxACwAIABFAHEAdQBhAHQAaQBvAG4AIAAoADMAKQBcACIAKQA7AFwAbgBcAG4AVgBFAEUAUgBHAF8ANABfADYAXwAxAF8AMQBfAF8AMwBfAFMAdABhAGcAZQAyAE0AZQB0AGgAYQBuAGUAUAByAG8AZAB1AGMAdABpAG8AbgBfAE4ASQBSAFIAZQBmAGUAcgBlAG4AYwBlAFwAbgAgACAAPQBMAEEATQBCAEQAQQAoAFwAIgBcACIAKQA7AFwAbgBcAG4AVgBFAEUAUgBHAF8ANABfADYAXwAxAF8AMQBfAF8AMwBfAFMAdABhAGcAZQAyAE0AZQB0AGgAYQBuAGUAUAByAG8AZAB1AGMAdABpAG8AbgBfAEwAYQB0AGUAeABFAHEAdQBhAHQAaQBvAG4AXABuACAAIAA9AEwAQQBNAEIARABBACgAXAAiAE0AXwB7AGoAawBtAFQAPQAyAH0APQBWAFMAVABfAHsAagBrAH0AXABcAHQAaQBtAGUAcwAgAEIATwBcAFwAdABpAG0AZQBzACAATQBNAFMAXwB7AGoAbQBUAD0AMgB9AFwAXAB0AGkAbQBlAHMAIABNAEMARgBfAHsAaQBtAH0AXABcAHQAaQBtAGUAcwAgAFwAXAByAGgAbwBcACIAKQA7AFwAbgBcAG4AVgBFAEUAUgBHAF8ANABfADYAXwAxAF8AMQBfAF8AMwBfAFMAdABhAGcAZQAyAE0AZQB0AGgAYQBuAGUAUAByAG8AZAB1AGMAdABpAG8AbgBfAEEAcgBnAHUAbQBlAG4AdABzAFwAbgAgACAAPQBMAEEATQBCAEQAQQAoAFwAbgAgACAAIAAgAE0AQQBLAEUAQQBSAFIAQQBZACgANgAsACAAMgAsAFwAbgAgACAAIAAgACAAIABMAEEATQBCAEQAQQAoAHIALABjACwAXABuACAAIAAgACAAIAAgACAAIABJAE4ARABFAFgAKAB7AFwAbgAgACAAIAAgACAAIAAgACAAIAAgAFwAIgBWAFMAVABfAGoAawBcACIALABcACIAdgBvAGwAYQB0AGkAbABlACAAcwBvAGwAaQBkAHMAIAB0AHIAYQBuAHMAZgBlAHIAcgBlAGQAIAB0AG8AIAB0AHIAZQBhAHQAbQBlAG4AdAAgAHMAdABhAGcAZQAgADIAIABNAE0AUwAgADoAIABrAGcAIABWAFMALwBiAGkAcgBkAC8AZABhAHkAXAAiADsAXABuACAAIAAgACAAIAAgACAAIAAgACAAXAAiAEIATwBcACIALABcACIAZQBtAGkAcwBzAGkAbwBuAHMAIABwAG8AdABlAG4AdABpAGEAbAAgADoAIABtADMAIABDAEgANAAvAGsAZwAgAFYAUwBcACIAOwBcAG4AIAAgACAAIAAgACAAIAAgACAAIABcACIATQBNAFMAXwBqAG0AVAAyAFwAIgAsAFwAIgBmAHIAYQBjAHQAaQBvAG4AIABvAGYAIABtAGEAbgB1AHIAZQAgAGkAbgAgAGUAYQBjAGgAIABzAGUAYwBvAG4AZABhAHIAeQAgAHMAeQBzAHQAZQBtACAAOgAgAGYAcgBhAGMAdABpAG8AbgBcACIAOwBcAG4AIAAgACAAIAAgACAAIAAgACAAIABcACIATQBDAEYAXwBpAG0AXAAiACwAXAAiAG0AZQB0AGgAYQBuAGUAIABjAG8AbgB2AGUAcgBzAGkAbwBuACAAZgBhAGMAdABvAHIAIABmAG8AcgAgAHQAZQBtAHAAZQByAGEAdAB1AHIAZQAgAHoAbwBuAGUAIABhAG4AZAAgAE0ATQBTACAAOgAgAGYAcgBhAGMAdABpAG8AbgBcACIAOwBcAG4AIAAgACAAIAAgACAAIAAgACAAIABcACIAcgBoAG8AXAAiACwAXAAiAGQAZQBuAHMAaQB0AHkAIABvAGYAIABtAGUAdABoAGEAbgBlACAAOgAgAGsAZwAvAG0AMwBcACIAOwBcAG4AIAAgACAAIAAgACAAIAAgACAAIABcACIAaQBcACIALAAgAFwAIgBzAHQAYQB0AGU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NABfAFYAbwBsAGEAdABpAGwAZQBTAG8AbABpAGQAcwBUAHIAYQBuAHMAZgBlAHIAcgBlAGQAXABuAFYAbwBsAGEAdABpAGwAZQAgAHMAbwBsAGkAZABzACAAdAByAGEAbgBzAGYAZQByAHIAZQBkACAAdABvACAAdAByAGUAYQB0AG0AZQBuAHQAIABzAHQAYQBnAGUAIAAyACAATQBNAFMAXABuAFYAUwBUAF8AagBrAFwAbgBrAGcAIABWAFMALwBiAGkAcgBkAC8AZABhAHkAXABuAFYAUwBUAF8AewBqAGsAfQA9AFYAUwBfAHsAagBrAH0AXABcAHQAaQBtAGUAcwAgAE0ATQBTAF8AewBqAG0AVAA9ADEAfQBcAFwAdABpAG0AZQBzACAAKAAxAC0AVgBTAEwAXwB7AG0AVAA9ADEAfQApAFwAbgBWAFMAXwBqAGsAIAA9ACAAdgBvAGwAYQB0AGkAbABlACAAcwBvAGwAaQBkACAAcAByAG8AZAB1AGMAdABpAG8AbgAgAHAAbwB1AGwAdAByAHkAIABjAGwAYQBzAHMAZQBzACAAOgAgAGsAZwAgAFYAUwAvAGIAaQByAGQALwBkAGEAeQBcAG4ATQBNAFMAXwBqAG0AVAAxACAAPQAgAGYAcgBhAGMAdABpAG8AbgAgAG8AZgAgAG0AYQBuAHUAcgBlACAAaQBuACAAZQBhAGMAaAAgAHAAcgBpAG0AYQByAHkAIABzAHkAcwB0AGUAbQAgADoAIABmAHIAYQBjAHQAaQBvAG4AXABuAFYAUwBMAF8AbQBUADEAIAA9ACAAZgByAGEAYwB0AGkAbwBuACAAbwBmACAAdgBvAGwAYQB0AGkAbABlACAAcwBvAGwAaQBkAHMAIABsAG8AcwB0ACAAZAB1AHIAaQBuAGcAIABzAHQAbwByAGEAZwBlACAAaQBuACAAdABoAGUAIABwAHIAaQBtAGEAcgB5ACAAcwB5AHMAdABlAG0AIAA6ACAAZgByAGEAYwB0AGkAbwBuAFwAbgAtAC0ALQAtAC0ALQAtAC0ALQAtAC0ALQAtAC0ALQAtAC0ALQAtAC0ALQAtAC0ALQAtAC0ALQAtAC0ALQAtAC0ALQAtAC0ALQAtAC0AXABuACoALwBcAG4AXABuAFYARQBFAFIARwBfADQAXwA2AF8AMQBfADEAXwBfADQAXwBWAG8AbABhAHQAaQBsAGUAUwBvAGwAaQBkAHMAVAByAGEAbgBzAGYAZQByAHIAZQBkAFwAbgAgACAAPQBMAEEATQBCAEQAQQAoAFwAbgAgACAAIAAgAFYAUwBfAGoAawAsACAATQBNAFMAXwBqAG0AVAAxACwAIABWAFMATABfAG0AVAAxACwAXABuACAAIAAgACAAVgBTAF8AagBrACAAKgAgAE0ATQBTAF8AagBtAFQAMQAgACoAIAAoADEAIAAtACAAVgBTAEwAXwBtAFQAMQApAFwAbgAgACAAKQA7AFwAbgBcAG4AVgBFAEUAUgBHAF8ANABfADYAXwAxAF8AMQBfAF8ANABfAFYAbwBsAGEAdABpAGwAZQBTAG8AbABpAGQAcwBUAHIAYQBuAHMAZgBlAHIAcgBlAGQAXwBUAGkAdABsAGUAXABuACAAIAA9AEwAQQBNAEIARABBACgAXAAiAFYAbwBsAGEAdABpAGwAZQAgAHMAbwBsAGkAZABzACAAdAByAGEAbgBzAGYAZQByAHIAZQBkACAAdABvACAAdAByAGUAYQB0AG0AZQBuAHQAIABzAHQAYQBnAGUAIAAyACAATQBNAFMAXAAiACkAOwBcAG4AXABuAFYARQBFAFIARwBfADQAXwA2AF8AMQBfADEAXwBfADQAXwBWAG8AbABhAHQAaQBsAGUAUwBvAGwAaQBkAHMAVAByAGEAbgBzAGYAZQByAHIAZQBkAF8AVgBhAHIAaQBhAGIAbABlAFwAbgAgACAAPQBMAEEATQBCAEQAQQAoAFwAIgBWAFMAVABfAGoAawBcACIAKQA7AFwAbgBcAG4AVgBFAEUAUgBHAF8ANABfADYAXwAxAF8AMQBfAF8ANABfAFYAbwBsAGEAdABpAGwAZQBTAG8AbABpAGQAcwBUAHIAYQBuAHMAZgBlAHIAcgBlAGQAXwBVAG4AaQB0AFwAbgAgACAAPQBMAEEATQBCAEQAQQAoAFwAIgBrAGcAIABWAFMALwBiAGkAcgBkAC8AZABhAHkAXAAiACkAOwBcAG4AXABuAFYARQBFAFIARwBfADQAXwA2AF8AMQBfADEAXwBfADQAXwBWAG8AbABhAHQAaQBsAGUAUwBvAGwAaQBkAHMAVAByAGEAbgBzAGYAZQByAHIAZQBkAF8AUwBvAHUAcgBjAGUAXABuACAAIAA9AEwAQQBNAEIARABBACgAXAAiAFYARQBFAFIARwAgADIAMAAyADYAOgAgADQALgA0AC4AMQAuADEALAAgAEUAcQB1AGEAdABpAG8AbgAgACgANAApAFwAIgApADsAXABuAFwAbgBWAEUARQBSAEcAXwA0AF8ANgBfADEAXwAxAF8AXwA0AF8AVgBvAGwAYQB0AGkAbABlAFMAbwBsAGkAZABzAFQAcgBhAG4AcwBmAGUAcgByAGUAZABfAE4ASQBSAFIAZQBmAGUAcgBlAG4AYwBlAFwAbgAgACAAPQBMAEEATQBCAEQAQQAoAFwAIgBcACIAKQA7AFwAbgBcAG4AVgBFAEUAUgBHAF8ANABfADYAXwAxAF8AMQBfAF8ANABfAFYAbwBsAGEAdABpAGwAZQBTAG8AbABpAGQAcwBUAHIAYQBuAHMAZgBlAHIAcgBlAGQAXwBMAGEAdABlAHgARQBxAHUAYQB0AGkAbwBuAFwAbgAgACAAPQBMAEEATQBCAEQAQQAoAFwAIgBWAFMAVABfAHsAagBrAH0APQBWAFMAXwB7AGoAawB9AFwAXAB0AGkAbQBlAHMAIABNAE0AUwBfAHsAagBtAFQAPQAxAH0AXABcAHQAaQBtAGUAcwAgACgAMQAtAFYAUwBMAF8AewBtAFQAPQAxAH0AKQBcACIAKQA7AFwAbgBcAG4AVgBFAEUAUgBHAF8ANABfADYAXwAxAF8AMQBfAF8ANABfAFYAbwBsAGEAdABpAGwAZQBTAG8AbABpAGQAcwBUAHIAYQBuAHMAZgBlAHIAcgBlAGQAXwBBAHIAZwB1AG0AZQBuAHQAcwBcAG4AIAAgAD0ATABBAE0AQgBEAEEAKABcAG4AIAAgACAAIABNAEEASwBFAEEAUgBSAEEAWQAoADMALAAgADIALABcAG4AIAAgACAAIAAgACAATABBAE0AQgBEAEEAKAByACwAYwAsAFwAbgAgACAAIAAgACAAIAAgACAASQBOAEQARQBYACgAewBcAG4AIAAgACAAIAAgACAAIAAgACAAIABcACIAVgBTAF8AagBrAFwAIgAsAFwAIgB2AG8AbABhAHQAaQBsAGUAIABzAG8AbABpAGQAIABwAHIAbwBkAHUAYwB0AGkAbwBuACAAcABvAHUAbAB0AHIAeQAgAGMAbABhAHMAcwBlAHMAIAA6ACAAawBnACAAVgBTAC8AYgBpAHIAZAAvAGQAYQB5AFwAIgA7AFwAbgAgACAAIAAgACAAIAAgACAAIAAgAFwAIgBNAE0AUwBfAGoAbQBUADEAXAAiACwAXAAiAGYAcgBhAGMAdABpAG8AbgAgAG8AZgAgAG0AYQBuAHUAcgBlACAAaQBuACAAZQBhAGMAaAAgAHAAcgBpAG0AYQByAHkAIABzAHkAcwB0AGUAbQAgADoAIABmAHIAYQBjAHQAaQBvAG4AXAAiADsAXABuACAAIAAgACAAIAAgACAAIAAgACAAXAAiAFYAUwBMAF8AbQBUADEAXAAiACwAXAAiAGYAcgBhAGMAdABpAG8AbgAgAG8AZgAgAHYAbwBsAGEAdABpAGwAZQAgAHMAbwBsAGkAZABzACAAbABvAHMAdAAgAGQAdQByAGkAbgBnACAAcwB0AG8AcgBhAGcAZQAgAGkAbgAgAHQAaABlACAAcAByAGkAbQBhAHIAeQAgAHMAeQBzAHQAZQBtACAAOgAgAGYAcgBhAGMAdABpAG8Abg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1AF8AVgBvAGwAYQB0AGkAbABlAFMAbwBsAGkAZABQAHIAbwBkAHUAYwB0AGkAbwBuAFwAbgBWAG8AbABhAHQAaQBsAGUAIABzAG8AbABpAGQAIABwAHIAbwBkAHUAYwB0AGkAbwBuACAAcABvAHUAbAB0AHIAeQAgAGMAbABhAHMAcwBlAHMAXABuAFYAUwBfAGoAawBcAG4AawBnACAAVgBTAC8AYgBpAHIAZAAvAGQAYQB5AFwAbgBWAFMAXwB7AGoAawB9AD0ASQBfAHsAagBrAH0AXABcAHQAaQBtAGUAcwAgACgAMQAtAEQATQBEAF8AewBqAGsAfQApAFwAXAB0AGkAbQBlAHMAIAAoADEALQBBAF8AewBqAH0AKQBcAG4ASQBfAGoAawAgAD0AIABkAHIAeQAgAG0AYQB0AHQAZQByACAAaQBuAHQAYQBrAGUAIABmAG8AcgAgAGUAYQBjAGgAIABjAGwAYQBzAHMAIABhAG4AZAAgAHMAdQBiAGMAbABhAHMAcwAgADoAIABrAGcAIABEAE0ALwBiAGkAcgBkAC8AZABhAHkAXABuAEQATQBEAF8AagBrACAAPQAgAGQAcgB5ACAAbQBhAHQAdABlAHIAIABkAGkAZwBlAHMAdABpAGIAaQBsAGkAdAB5ACAAZgBvAHIAIABlAGEAYwBoACAAYwBsAGEAcwBzACAAYQBuAGQAIABzAHUAYgBjAGwAYQBzAHMAIAA6ACAAZgByAGEAYwB0AGkAbwBuAFwAbgBBAF8AagAgAD0AIABhAHMAaAAgAGMAbwBuAHQAZQBuAHQAIABvAGYAIABtAGEAbgB1AHIAZQAgAGYAbwByACAAZQBhAGMAaAAgAGMAbABhAHMAcwAgAGEAbgBkACAAcwB1AGIAYwBsAGEAcwBzACAAOgAgAGYAcgBhAGMAdABpAG8AbgBcAG4ALQAtAC0ALQAtAC0ALQAtAC0ALQAtAC0ALQAtAC0ALQAtAC0ALQAtAC0ALQAtAC0ALQAtAC0ALQAtAC0ALQAtAC0ALQAtAC0ALQAtAFwAbgAqAC8AXABuAFwAbgBWAEUARQBSAEcAXwA0AF8ANgBfADEAXwAxAF8AXwA1AF8AVgBvAGwAYQB0AGkAbABlAFMAbwBsAGkAZABQAHIAbwBkAHUAYwB0AGkAbwBuAFwAbgAgACAAPQBMAEEATQBCAEQAQQAoAFwAbgAgACAAIAAgAEkAXwBqAGsALAAgAEQATQBEAF8AagBrACwAIABBAF8AagAsAFwAbgAgACAAIAAgAEkAXwBqAGsAIAAqACAAKAAxACAALQAgAEQATQBEAF8AagBrACkAIAAqACAAKAAxACAALQAgAEEAXwBqACkAXABuACAAIAApADsAXABuAFwAbgBWAEUARQBSAEcAXwA0AF8ANgBfADEAXwAxAF8AXwA1AF8AVgBvAGwAYQB0AGkAbABlAFMAbwBsAGkAZABQAHIAbwBkAHUAYwB0AGkAbwBuAF8AVABpAHQAbABlAFwAbgAgACAAPQBMAEEATQBCAEQAQQAoAFwAIgBWAG8AbABhAHQAaQBsAGUAIABzAG8AbABpAGQAIABwAHIAbwBkAHUAYwB0AGkAbwBuACAAcABvAHUAbAB0AHIAeQAgAGMAbABhAHMAcwBlAHMAXAAiACkAOwBcAG4AXABuAFYARQBFAFIARwBfADQAXwA2AF8AMQBfADEAXwBfADUAXwBWAG8AbABhAHQAaQBsAGUAUwBvAGwAaQBkAFAAcgBvAGQAdQBjAHQAaQBvAG4AXwBWAGEAcgBpAGEAYgBsAGUAXABuACAAIAA9AEwAQQBNAEIARABBACgAXAAiAFYAUwBfAGoAawBcACIAKQA7AFwAbgBcAG4AVgBFAEUAUgBHAF8ANABfADYAXwAxAF8AMQBfAF8ANQBfAFYAbwBsAGEAdABpAGwAZQBTAG8AbABpAGQAUAByAG8AZAB1AGMAdABpAG8AbgBfAFUAbgBpAHQAXABuACAAIAA9AEwAQQBNAEIARABBACgAXAAiAGsAZwAgAFYAUwAvAGIAaQByAGQALwBkAGEAeQBcACIAKQA7AFwAbgBcAG4AVgBFAEUAUgBHAF8ANABfADYAXwAxAF8AMQBfAF8ANQBfAFYAbwBsAGEAdABpAGwAZQBTAG8AbABpAGQAUAByAG8AZAB1AGMAdABpAG8AbgBfAFMAbwB1AHIAYwBlAFwAbgAgACAAPQBMAEEATQBCAEQAQQAoAFwAIgBWAEUARQBSAEcAIAAyADAAMgA2ADoAIAA0AC4ANAAuADEALgAxACwAIABFAHEAdQBhAHQAaQBvAG4AIAAoADUAKQBcACIAKQA7AFwAbgBcAG4AVgBFAEUAUgBHAF8ANABfADYAXwAxAF8AMQBfAF8ANQBfAFYAbwBsAGEAdABpAGwAZQBTAG8AbABpAGQAUAByAG8AZAB1AGMAdABpAG8AbgBfAE4ASQBSAFIAZQBmAGUAcgBlAG4AYwBlAFwAbgAgACAAPQBMAEEATQBCAEQAQQAoAFwAIgBcACIAKQA7AFwAbgBcAG4AVgBFAEUAUgBHAF8ANABfADYAXwAxAF8AMQBfAF8ANQBfAFYAbwBsAGEAdABpAGwAZQBTAG8AbABpAGQAUAByAG8AZAB1AGMAdABpAG8AbgBfAEwAYQB0AGUAeABFAHEAdQBhAHQAaQBvAG4AXABuACAAIAA9AEwAQQBNAEIARABBACgAXAAiAFYAUwBfAHsAagBrAH0APQBJAF8AewBqAGsAfQBcAFwAdABpAG0AZQBzACAAKAAxAC0ARABNAEQAXwB7AGoAawB9ACkAXABcAHQAaQBtAGUAcwAgACgAMQAtAEEAXwB7AGoAfQApAFwAIgApADsAXABuAFwAbgBWAEUARQBSAEcAXwA0AF8ANgBfADEAXwAxAF8AXwA1AF8AVgBvAGwAYQB0AGkAbABlAFMAbwBsAGkAZABQAHIAbwBkAHUAYwB0AGkAbwBuAF8AQQByAGcAdQBtAGUAbgB0AHMAXABuACAAIAA9AEwAQQBNAEIARABBACgAXABuACAAIAAgACAATQBBAEsARQBBAFIAUgBBAFkAKAAzACwAIAAyACwAXABuACAAIAAgACAAIAAgAEwAQQBNAEIARABBACgAcgAsAGMALABcAG4AIAAgACAAIAAgACAAIAAgAEkATgBEAEUAWAAoAHsAXABuACAAIAAgACAAIAAgACAAIAAgACAAXAAiAEkAXwBqAGsAXAAiACwAXAAiAGQAcgB5ACAAbQBhAHQAdABlAHIAIABpAG4AdABhAGsAZQAgAGYAbwByACAAZQBhAGMAaAAgAGMAbABhAHMAcwAgAGEAbgBkACAAcwB1AGIAYwBsAGEAcwBzACAAOgAgAGsAZwAgAEQATQAvAGIAaQByAGQALwBkAGEAeQBcACIAOwBcAG4AIAAgACAAIAAgACAAIAAgACAAIABcACIARABNAEQAXwBqAGsAXAAiACwAXAAiAGQAcgB5ACAAbQBhAHQAdABlAHIAIABkAGkAZwBlAHMAdABpAGIAaQBsAGkAdAB5ACAAZgBvAHIAIABlAGEAYwBoACAAYwBsAGEAcwBzACAAYQBuAGQAIABzAHUAYgBjAGwAYQBzAHMAIAA6ACAAZgByAGEAYwB0AGkAbwBuAFwAIgA7AFwAbgAgACAAIAAgACAAIAAgACAAIAAgAFwAIgBBAF8AagBcACIALABcACIAYQBzAGgAIABjAG8AbgB0AGUAbgB0ACAAbwBmACAAbQBhAG4AdQByAGUAIABmAG8AcgAgAGUAYQBjAGgAIABjAGwAYQBzAHMAIABhAG4AZAAgAHMAdQBiAGMAbABhAHMAcwAgADoAIABmAHIAYQBjAHQAaQBvAG4AXAAiAFwAbgAgACAAIAAgACAAIAAgACAAfQAsACAAcgAsACAAYwApAFwAbgAgACAAIAAgACAAIAApAFwAbgAgACAAIAAgACkAXABuACAAIAApADsAXABuACIAfQAsAHsAIgBwAGEAdABoACIAOgAiAC8AcAByAG8AagBlAGMAdABzAC8ATQBNAFMAXwBQAG8AdQBsAHQ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MAIABNAGUAdABoAG8AZAAgADEAIAAtACAATQBhAG4AdQByAGUAIABEAGkAcgBlAGMAdA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XABcAHMAdQBtAF8AewBqAH0AXABcAHMAdQBtAF8AewBrAH0AXABcAHMAdQBtAF8AewBtAH0AXABcAHMAdQBtAF8AewBUAH0AKABNAE4AXwB7AGoAawBtAFQAfQBcAFwAdABpAG0AZQBzACAARQBGAF8AewBqAG0AfQBcAFwAdABpAG0AZQBzACAAQwBfAHsATgAyAE8AfQApAFwAXAB0AGkAbQBlAHMAMQAwAF4AewAtADMAfQBcAG4ATQBOAF8AagBrAG0AVAAgAD0AIABuAGkAdAByAG8AZwBlAG4AIABwAGUAcgAgAHAAbwB1AGwAdAByAHkAIABjAGwAYQBzAHMALAAgAHMAdQBiAGMAbABhAHMAcwAsACAATQBNAFMAIABhAG4AZAAgAHQAcgBlAGEAdABtAGUAbgB0ACAAcwB0AGEAZwBlACAAOgAgAGsAZwAgAE4AXABuAEUARgBfAGoAbQAgAD0AIABuAGkAdAByAG8AdQBzACAAbwB4AGkAZABlACAAZQBtAGkAcwBzAGkAbwBuACAAZgBhAGMAdABvAHIAIABmAG8AcgAgAE0ATQBT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NgBfADEAXwAzAF8AXwAxAF8AVABvAHQAYQBsAEEAbgBuAHUAYQBsAEQAaQByAGUAYwB0AE4AaQB0AHIAbwB1AHMATwB4AGkAZABlAEUAbQBpAHMAcwBpAG8AbgBzAEYAcgBvAG0ATQBNAFMAXABuACAAIAA9AEwAQQBNAEIARABBACgAXABuACAAIAAgACAATQBOAF8AagBrAG0AVAAsACAARQBGAF8AagBtACwAIABDAF8ATgAyAE8ALABcAG4AIAAgACAAIABNAE4AXwBqAGsAbQBUACAAKgAgAEUARgBfAGoAbQAgACoAIABDAF8ATgAyAE8AIAAqACAAMQAwACAAXgAgAC0AMwBcAG4AIAAgACkAOwBcAG4AXABuAFYARQBFAFIARwBfADQAXwA2AF8AMQBfADMAXwBfADEAXwBUAG8AdABhAGwAQQBuAG4AdQBhAGwARABpAHIAZQBjAHQATgBpAHQAcgBvAHUAcwBPAHgAaQBkAGUARQBtAGkAcwBzAGkAbwBuAHMARgByAG8AbQBNAE0AU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NgBfADEAXwAzAF8AXwAxAF8AVABvAHQAYQBsAEEAbgBuAHUAYQBsAEQAaQByAGUAYwB0AE4AaQB0AHIAbwB1AHMATwB4AGkAZABlAEUAbQBpAHMAcwBpAG8AbgBzAEYAcgBvAG0ATQBNAFMAXwBWAGEAcgBpAGEAYgBsAGUAXABuACAAIAA9AEwAQQBNAEIARABBACgAXAAiAEUAXwBOADIATwBkAGkAcgBcACIAKQA7AFwAbgBcAG4AVgBFAEUAUgBHAF8ANABfADYAXwAxAF8AMwBfAF8AMQBfAFQAbwB0AGEAbABBAG4AbgB1AGEAbABEAGkAcgBlAGMAdABOAGkAdAByAG8AdQBzAE8AeABpAGQAZQBFAG0AaQBzAHMAaQBvAG4AcwBGAHIAbwBtAE0ATQBTAF8AVQBuAGkAdABcAG4AIAAgAD0ATABBAE0AQgBEAEEAKABcACIAdAAgAE4AMgBPAFwAIgApADsAXABuAFwAbgBWAEUARQBSAEcAXwA0AF8ANgBfADEAXwAzAF8AXwAxAF8AVABvAHQAYQBsAEEAbgBuAHUAYQBsAEQAaQByAGUAYwB0AE4AaQB0AHIAbwB1AHMATwB4AGkAZABlAEUAbQBpAHMAcwBpAG8AbgBzAEYAcgBvAG0ATQBNAFMAXwBTAG8AdQByAGMAZQBcAG4AIAAgAD0ATABBAE0AQgBEAEEAKABcACIAVgBFAEUAUgBHACAAMgAwADIANgA6ACAANAAuADYALgAxAC4AMwAsACAARQBxAHUAYQB0AGkAbwBuACAAKAAxACkAXAAiACkAOwBcAG4AXABuAFYARQBFAFIARwBfADQAXwA2AF8AMQBfADMAXwBfADEAXwBUAG8AdABhAGwAQQBuAG4AdQBhAGwARABpAHIAZQBjAHQATgBpAHQAcgBvAHUAcwBPAHgAaQBkAGUARQBtAGkAcwBzAGkAbwBuAHMARgByAG8AbQBNAE0AUwBfAE4ASQBSAFIAZQBmAGUAcgBlAG4AYwBlAFwAbgAgACAAPQBMAEEATQBCAEQAQQAoAFwAIgBcACIAKQA7AFwAbgBcAG4AVgBFAEUAUgBHAF8ANABfADYAXwAxAF8AMwBfAF8AMQBfAFQAbwB0AGEAbABBAG4AbgB1AGEAbABEAGkAcgBlAGMAdABOAGkAdAByAG8AdQBzAE8AeABpAGQAZQBFAG0AaQBzAHMAaQBvAG4AcwBGAHIAbwBtAE0ATQBTAF8ATABhAHQAZQB4AEUAcQB1AGEAdABpAG8AbgBcAG4AIAAgAD0ATABBAE0AQgBEAEEAKABcACIARQBfAHsATgAyAE8ALABkAGkAcgB9AD0AXABcAHMAdQBtAF8AewBqAH0AXABcAHMAdQBtAF8AewBrAH0AXABcAHMAdQBtAF8AewBtAH0AXABcAHMAdQBtAF8AewBUAH0AKABNAE4AXwB7AGoAawBtAFQAfQBcAFwAdABpAG0AZQBzACAARQBGAF8AewBqAG0AfQBcAFwAdABpAG0AZQBzACAAQwBfAHsATgAyAE8AfQApAFwAXAB0AGkAbQBlAHMAMQAwAF4AewAtADMAfQBcACIAKQA7AFwAbgBcAG4AVgBFAEUAUgBHAF8ANABfADYAXwAxAF8AMwBfAF8AMQBfAFQAbwB0AGEAbABBAG4AbgB1AGEAbABEAGkAcgBlAGMAdABOAGkAdAByAG8AdQBzAE8AeABpAGQAZQBFAG0AaQBzAHMAaQBvAG4AcwBGAHIAbwBtAE0ATQBTAF8AQQByAGcAdQBtAGUAbgB0AHMAXABuACAAIAA9AEwAQQBNAEIARABBACgAXABuACAAIAAgACAATQBBAEsARQBBAFIAUgBBAFkAKAAzACwAIAAyACwAXABuACAAIAAgACAAIAAgAEwAQQBNAEIARABBACgAcgAsAGMALABcAG4AIAAgACAAIAAgACAAIAAgAEkATgBEAEUAWAAoAHsAXABuACAAIAAgACAAIAAgACAAIAAgACAAXAAiAE0ATgBfAGoAawBtAFQAXAAiACwAXAAiAG4AaQB0AHIAbwBnAGUAbgAgAHAAZQByACAAcABvAHUAbAB0AHIAeQAgAGMAbABhAHMAcwAsACAAcwB1AGIAYwBsAGEAcwBzACwAIABNAE0AUwAgAGEAbgBkACAAdAByAGUAYQB0AG0AZQBuAHQAIABzAHQAYQBnAGUAIAA6ACAAawBnACAATgBcACIAOwBcAG4AIAAgACAAIAAgACAAIAAgACAAIABcACIARQBGAF8AagBtAFwAIgAsAFwAIgBuAGkAdAByAG8AdQBzACAAbwB4AGkAZABlACAAZQBtAGkAcwBzAGkAbwBuACAAZgBhAGMAdABvAHIAIABmAG8AcgAgAE0ATQBTACAAOgAgAGsAZwAgAE4AMgBPAC0ATgAvAGsAZwAgAE4AXAAiADsAXABuACAAIAAgACAAIAAgACAAIAAgACAAXAAiAEMAXwBOADIATwBcACIALABcACIAZgBhAGMAdABvAHIAIAB0AG8AIABjAG8AbgB2AGUAcgB0ACAAZQBsAGUAbQBlAG4AdABhAGwAIABtAGEAcwBzACAAbwBmACAAbgBpAHQAcgBvAHUAcwAgAG8AeABpAGQAZQAgAHQAbwAgAG0AbwBsAGUAYwB1AGwAYQByACAAbQBhAHMAcwAgADoAIAByAGEAdABpAG8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MgBfAFMAdABhAGcAZQAxAE4AaQB0AHIAbwBnAGUAbgBJAG4ATQBNAFMAXABuAE4AaQB0AHIAbwBnAGUAbgAgAGkAbgAgAHQAcgBlAGEAdABtAGUAbgB0ACAAcwB0AGEAZwBlACAAMQAgAE0ATQBTAFwAbgBNAE4AXwBqAGsAbQBUADEAXABuAGsAZwAgAE4AXABuAE0ATgBfAHsAagBrAG0ALABUAD0AMQB9AD0AQQBFAF8AewBqAGsAfQBcAFwAdABpAG0AZQBzACAATQBNAFMAXwB7AGoAbQAsAFQAPQAxAH0AXABuAEEARQBfAGoAawAgAD0AIAB0AG8AdABhAGwAIABuAGkAdAByAG8AZwBlAG4AIABlAHgAYwByAGUAdABlAGQAIABiAHkAIABlAGEAYwBoACAAcABvAHUAbAB0AHIAeQAgAGMAbABhAHMAcwAgAGEAbgBkACAAcwB1AGIAYwBsAGEAcwBzACAAOgAgAGsAZwAgAE4AXABuAE0ATQBTAF8AagBtAFQAMQAgAD0AIABmAHIAYQBjAHQAaQBvAG4AIABvAGYAIABtAGEAbgB1AHIAZQAgAGkAbgAgAGUAYQBjAGgAIABwAHIAaQBtAGEAcgB5ACAAcwB5AHMAdABlAG0AIAA6ACAAZgByAGEAYwB0AGkAbwBuAFwAbgAtAC0ALQAtAC0ALQAtAC0ALQAtAC0ALQAtAC0ALQAtAC0ALQAtAC0ALQAtAC0ALQAtAC0ALQAtAC0ALQAtAC0ALQAtAC0ALQAtAC0AXABuACoALwBcAG4AXABuAFYARQBFAFIARwBfADQAXwA2AF8AMQBfADMAXwBfADIAXwBTAHQAYQBnAGUAMQBOAGkAdAByAG8AZwBlAG4ASQBuAE0ATQBTAFwAbgAgACAAPQBMAEEATQBCAEQAQQAoAFwAbgAgACAAIAAgAEEARQBfAGoAawAsACAATQBNAFMAXwBqAG0AVAAxACwAXABuACAAIAAgACAAQQBFAF8AagBrACAAKgAgAE0ATQBTAF8AagBtAFQAMQBcAG4AIAAgACkAOwBcAG4AXABuAFYARQBFAFIARwBfADQAXwA2AF8AMQBfADMAXwBfADIAXwBTAHQAYQBnAGUAMQBOAGkAdAByAG8AZwBlAG4ASQBuAE0ATQBTAF8AVABpAHQAbABlAFwAbgAgACAAPQBMAEEATQBCAEQAQQAoAFwAIgBOAGkAdAByAG8AZwBlAG4AIABpAG4AIAB0AHIAZQBhAHQAbQBlAG4AdAAgAHMAdABhAGcAZQAgADEAIABNAE0AUwBcACIAKQA7AFwAbgBcAG4AVgBFAEUAUgBHAF8ANABfADYAXwAxAF8AMwBfAF8AMgBfAFMAdABhAGcAZQAxAE4AaQB0AHIAbwBnAGUAbgBJAG4ATQBNAFMAXwBWAGEAcgBpAGEAYgBsAGUAXABuACAAIAA9AEwAQQBNAEIARABBACgAXAAiAE0ATgBfAGoAawBtAFQAMQBcACIAKQA7AFwAbgBcAG4AVgBFAEUAUgBHAF8ANABfADYAXwAxAF8AMwBfAF8AMgBfAFMAdABhAGcAZQAxAE4AaQB0AHIAbwBnAGUAbgBJAG4ATQBNAFMAXwBVAG4AaQB0AFwAbgAgACAAPQBMAEEATQBCAEQAQQAoAFwAIgBrAGcAIABOAFwAIgApADsAXABuAFwAbgBWAEUARQBSAEcAXwA0AF8ANgBfADEAXwAzAF8AXwAyAF8AUwB0AGEAZwBlADEATgBpAHQAcgBvAGcAZQBuAEkAbgBNAE0AUwBfAFMAbwB1AHIAYwBlAFwAbgAgACAAPQBMAEEATQBCAEQAQQAoAFwAIgBWAEUARQBSAEcAIAAyADAAMgA2ADoAIAA0AC4ANgAuADEALgAzACwAIABFAHEAdQBhAHQAaQBvAG4AIAAoADIAKQBcACIAKQA7AFwAbgBcAG4AVgBFAEUAUgBHAF8ANABfADYAXwAxAF8AMwBfAF8AMgBfAFMAdABhAGcAZQAxAE4AaQB0AHIAbwBnAGUAbgBJAG4ATQBNAFMAXwBOAEkAUgBSAGUAZgBlAHIAZQBuAGMAZQBcAG4AIAAgAD0ATABBAE0AQgBEAEEAKABcACIAXAAiACkAOwBcAG4AXABuAFYARQBFAFIARwBfADQAXwA2AF8AMQBfADMAXwBfADIAXwBTAHQAYQBnAGUAMQBOAGkAdAByAG8AZwBlAG4ASQBuAE0ATQBTAF8ATABhAHQAZQB4AEUAcQB1AGEAdABpAG8AbgBcAG4AIAAgAD0ATABBAE0AQgBEAEEAKABcACIATQBOAF8AewBqAGsAbQAsAFQAPQAxAH0APQBBAEUAXwB7AGoAawB9AFwAXAB0AGkAbQBlAHMAIABNAE0AUwBfAHsAagBtACwAVAA9ADEAfQBcACIAKQA7AFwAbgBcAG4AVgBFAEUAUgBHAF8ANABfADYAXwAxAF8AMwBfAF8AMgBfAFMAdABhAGcAZQAxAE4AaQB0AHIAbwBnAGUAbgBJAG4ATQBNAFMAXwBBAHIAZwB1AG0AZQBuAHQAcwBcAG4AIAAgAD0ATABBAE0AQgBEAEEAKABcAG4AIAAgACAAIABNAEEASwBFAEEAUgBSAEEAWQAoADIALAAgADIALABcAG4AIAAgACAAIAAgACAATABBAE0AQgBEAEEAKAByACwAYwAsAFwAbgAgACAAIAAgACAAIAAgACAASQBOAEQARQBYACgAewBcAG4AIAAgACAAIAAgACAAIAAgACAAIABcACIAQQBFAF8AagBrAFwAIgAsAFwAIgB0AG8AdABhAGwAIABuAGkAdAByAG8AZwBlAG4AIABlAHgAYwByAGUAdABlAGQAIABiAHkAIABlAGEAYwBoACAAcABvAHUAbAB0AHIAeQAgAGMAbABhAHMAcwAgAGEAbgBkACAAcwB1AGIAYwBsAGEAcwBzACAAOgAgAGsAZwAgAE4AXAAiADsAXABuACAAIAAgACAAIAAgACAAIAAgACAAXAAiAE0ATQBTAF8AagBtAFQAMQBcACIALABcACIAZgByAGEAYwB0AGkAbwBuACAAbwBmACAAbQBhAG4AdQByAGUAIABpAG4AIABlAGEAYwBoACAAcAByAGkAbQBhAHIAeQAgAHMAeQBzAHQAZQBtACAAOgAgAGYAcgBhAGMAdABpAG8Abg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zAF8AQQBuAG4AdQBhAGwATgBpAHQAcgBvAGcAZQBuAEUAeABjAHIAZQB0AGkAbwBuAFwAbgBBAG4AbgB1AGEAbAAgAG4AaQB0AHIAbwBnAGUAbgAgAGUAeABjAHIAZQB0AGkAbwBuACAAZgBvAHIAIABlAGEAYwBoACAAcABvAHUAbAB0AHIAeQAgAGMAbABhAHMAcwAgAGEAbgBkACAAcwB1AGIAYwBsAGEAcwBzAFwAbgBBAEUAXwBqAGsAXABuAGsAZwAgAE4AXABuAEEARQBfAHsAagBrAH0APQBOAF8AewBqAGsAfQBcAFwAdABpAG0AZQBzACAATgBFAF8AewBqAGsAfQBcAFwAdABpAG0AZQBzACAARABfAHsAagBrAH0AXABuAE4AXwBqAGsAIAA9ACAAbgB1AG0AYgBlAHIAIABvAGYAIABwAG8AdQBsAHQAcgB5ACAAaQBuACAAZQBhAGMAaAAgAGMAbABhAHMAcwAgAGEAbgBkACAAcwB1AGIAYwBsAGEAcwBzACAAOgAgAGIAaQByAGQAXABuAE4ARQBfAGoAawAgAD0AIABuAGkAdAByAG8AZwBlAG4AIABlAHgAYwByAGUAdABpAG8AbgAgADoAIABrAGcAIABOAC8AYgBpAHIAZAAvAGQAYQB5AFwAbgBEAF8AagBrACAAPQAgAGQAdQByAGEAdABpAG8AbgAgAG8AZgAgAHMAdABhAHkAIABvAGYAIABlAGEAYwBoACAAYwBsAGEAcwBzACAAYQBuAGQAIABzAHUAYgBjAGwAYQBzAHMAIAA6ACAAZABhAHkAcwBcAG4ALQAtAC0ALQAtAC0ALQAtAC0ALQAtAC0ALQAtAC0ALQAtAC0ALQAtAC0ALQAtAC0ALQAtAC0ALQAtAC0ALQAtAC0ALQAtAC0ALQAtAFwAbgAqAC8AXABuAFwAbgBWAEUARQBSAEcAXwA0AF8ANgBfADEAXwAzAF8AXwAzAF8AQQBuAG4AdQBhAGwATgBpAHQAcgBvAGcAZQBuAEUAeABjAHIAZQB0AGkAbwBuAFwAbgAgACAAPQBMAEEATQBCAEQAQQAoAFwAbgAgACAAIAAgAE4AXwBqAGsALAAgAE4ARQBfAGoAawAsACAARABfAGoAawAsAFwAbgAgACAAIAAgAE4AXwBqAGsAIAAqACAATgBFAF8AagBrACAAKgAgAEQAXwBqAGsAXABuACAAIAApADsAXABuAFwAbgBWAEUARQBSAEcAXwA0AF8ANgBfADEAXwAzAF8AXwAzAF8AQQBuAG4AdQBhAGwATgBpAHQAcgBvAGcAZQBuAEUAeABjAHIAZQB0AGkAbwBuAF8AVABpAHQAbABlAFwAbgAgACAAPQBMAEEATQBCAEQAQQAoAFwAIgBBAG4AbgB1AGEAbAAgAG4AaQB0AHIAbwBnAGUAbgAgAGUAeABjAHIAZQB0AGkAbwBuACAAZgBvAHIAIABlAGEAYwBoACAAcABvAHUAbAB0AHIAeQAgAGMAbABhAHMAcwAgAGEAbgBkACAAcwB1AGIAYwBsAGEAcwBzAFwAIgApADsAXABuAFwAbgBWAEUARQBSAEcAXwA0AF8ANgBfADEAXwAzAF8AXwAzAF8AQQBuAG4AdQBhAGwATgBpAHQAcgBvAGcAZQBuAEUAeABjAHIAZQB0AGkAbwBuAF8AVgBhAHIAaQBhAGIAbABlAFwAbgAgACAAPQBMAEEATQBCAEQAQQAoAFwAIgBBAEUAXwBqAGsAXAAiACkAOwBcAG4AXABuAFYARQBFAFIARwBfADQAXwA2AF8AMQBfADMAXwBfADMAXwBBAG4AbgB1AGEAbABOAGkAdAByAG8AZwBlAG4ARQB4AGMAcgBlAHQAaQBvAG4AXwBVAG4AaQB0AFwAbgAgACAAPQBMAEEATQBCAEQAQQAoAFwAIgBrAGcAIABOAFwAIgApADsAXABuAFwAbgBWAEUARQBSAEcAXwA0AF8ANgBfADEAXwAzAF8AXwAzAF8AQQBuAG4AdQBhAGwATgBpAHQAcgBvAGcAZQBuAEUAeABjAHIAZQB0AGkAbwBuAF8AUwBvAHUAcgBjAGUAXABuACAAIAA9AEwAQQBNAEIARABBACgAXAAiAFYARQBFAFIARwAgADIAMAAyADYAOgAgADQALgA2AC4AMQAuADMALAAgAEUAcQB1AGEAdABpAG8AbgAgACgAMwApAFwAIgApADsAXABuAFwAbgBWAEUARQBSAEcAXwA0AF8ANgBfADEAXwAzAF8AXwAzAF8AQQBuAG4AdQBhAGwATgBpAHQAcgBvAGcAZQBuAEUAeABjAHIAZQB0AGkAbwBuAF8ATgBJAFIAUgBlAGYAZQByAGUAbgBjAGUAXABuACAAIAA9AEwAQQBNAEIARABBACgAXAAiAFwAIgApADsAXABuAFwAbgBWAEUARQBSAEcAXwA0AF8ANgBfADEAXwAzAF8AXwAzAF8AQQBuAG4AdQBhAGwATgBpAHQAcgBvAGcAZQBuAEUAeABjAHIAZQB0AGkAbwBuAF8ATABhAHQAZQB4AEUAcQB1AGEAdABpAG8AbgBcAG4AIAAgAD0ATABBAE0AQgBEAEEAKABcACIAQQBFAF8AewBqAGsAfQA9AE4AXwB7AGoAawB9AFwAXAB0AGkAbQBlAHMAIABOAEUAXwB7AGoAawB9AFwAXAB0AGkAbQBlAHMAIABEAF8AewBqAGsAfQBcACIAKQA7AFwAbgBcAG4AVgBFAEUAUgBHAF8ANABfADYAXwAxAF8AMwBfAF8AMwBfAEEAbgBuAHUAYQBsAE4AaQB0AHIAbwBnAGUAbgBFAHgAYwByAGUAdABpAG8AbgBfAEEAcgBnAHUAbQBlAG4AdABzAFwAbgAgACAAPQBMAEEATQBCAEQAQQAoAFwAbgAgACAAIAAgAE0AQQBLAEUAQQBSAFIAQQBZACgAMwAsACAAMgAsAFwAbgAgACAAIAAgACAAIABMAEEATQBCAEQAQQAoAHIALABjACwAXABuACAAIAAgACAAIAAgACAAIABJAE4ARABFAFgAKAB7AFwAbgAgACAAIAAgACAAIAAgACAAIAAgAFwAIgBOAF8AagBrAFwAIgAsAFwAIgBuAHUAbQBiAGUAcgAgAG8AZgAgAHAAbwB1AGwAdAByAHkAIABpAG4AIABlAGEAYwBoACAAYwBsAGEAcwBzACAAYQBuAGQAIABzAHUAYgBjAGwAYQBzAHMAIAA6ACAAYgBpAHIAZABcACIAOwBcAG4AIAAgACAAIAAgACAAIAAgACAAIABcACIATgBFAF8AagBrAFwAIgAsAFwAIgBuAGkAdAByAG8AZwBlAG4AIABlAHgAYwByAGUAdABpAG8AbgAgADoAIABrAGcAIABOAC8AYgBpAHIAZAAvAGQAYQB5AFwAIgA7AFwAbgAgACAAIAAgACAAIAAgACAAIAAgAFwAIgBEAF8AagBrAFwAIgAsAFwAIgBkAHUAcgBhAHQAaQBvAG4AIABvAGYAIABzAHQAYQB5ACAAbwBmACAAZQBhAGMAaAAgAGMAbABhAHMAcwAgAGEAbgBkACAAcwB1AGIAYwBsAGEAcwBzACAAOgAgAGQAYQB5AHM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ABfAE4AaQB0AHIAbwBnAGUAbgBFAHgAYwByAGUAdABpAG8AbgBQAGUAcgBCAGkAcgBkAFwAbgBOAGkAdAByAG8AZwBlAG4AIABlAHgAYwByAGUAdABpAG8AbgAgAHAAZQByACAAYgBpAHIAZAAgAHAAZQByACAAZABhAHkAXABuAE4ARQBfAGoAawBcAG4AawBnACAATgAvAGIAaQByAGQALwBkAGEAeQBcAG4ATgBFAF8AewBqAGsAfQA9AE4ASQBfAHsAagBrAH0AXABcAHQAaQBtAGUAcwAoADEALQBOAFIAXwB7AGoAawB9ACkAXABuAE4ASQBfAGoAawAgAD0AIABuAGkAdAByAG8AZwBlAG4AIABpAG4AdABhAGsAZQAgADoAIABrAGcAIABOAC8AYgBpAHIAZAAvAGQAYQB5AFwAbgBOAFIAXwBqAGs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YAXwAxAF8AMwBfAF8ANABfAE4AaQB0AHIAbwBnAGUAbgBFAHgAYwByAGUAdABpAG8AbgBQAGUAcgBCAGkAcgBkAFwAbgAgACAAPQBMAEEATQBCAEQAQQAoAFwAbgAgACAAIAAgAE4ASQBfAGoAawAsACAATgBSAF8AagBrACwAXABuACAAIAAgACAATgBJAF8AagBrACAAKgAgACgAMQAgAC0AIABOAFIAXwBqAGsAKQBcAG4AIAAgACkAOwBcAG4AXABuAFYARQBFAFIARwBfADQAXwA2AF8AMQBfADMAXwBfADQAXwBOAGkAdAByAG8AZwBlAG4ARQB4AGMAcgBlAHQAaQBvAG4AUABlAHIAQgBpAHIAZABfAFQAaQB0AGwAZQBcAG4AIAAgAD0ATABBAE0AQgBEAEEAKABcACIATgBpAHQAcgBvAGcAZQBuACAAZQB4AGMAcgBlAHQAaQBvAG4AIABwAGUAcgAgAGIAaQByAGQAIABwAGUAcgAgAGQAYQB5AFwAIgApADsAXABuAFwAbgBWAEUARQBSAEcAXwA0AF8ANgBfADEAXwAzAF8AXwA0AF8ATgBpAHQAcgBvAGcAZQBuAEUAeABjAHIAZQB0AGkAbwBuAFAAZQByAEIAaQByAGQAXwBWAGEAcgBpAGEAYgBsAGUAXABuACAAIAA9AEwAQQBNAEIARABBACgAXAAiAE4ARQBfAGoAawBcACIAKQA7AFwAbgBcAG4AVgBFAEUAUgBHAF8ANABfADYAXwAxAF8AMwBfAF8ANABfAE4AaQB0AHIAbwBnAGUAbgBFAHgAYwByAGUAdABpAG8AbgBQAGUAcgBCAGkAcgBkAF8AVQBuAGkAdABcAG4AIAAgAD0ATABBAE0AQgBEAEEAKABcACIAawBnACAATgAvAGIAaQByAGQALwBkAGEAeQBcACIAKQA7AFwAbgBcAG4AVgBFAEUAUgBHAF8ANABfADYAXwAxAF8AMwBfAF8ANABfAE4AaQB0AHIAbwBnAGUAbgBFAHgAYwByAGUAdABpAG8AbgBQAGUAcgBCAGkAcgBkAF8AUwBvAHUAcgBjAGUAXABuACAAIAA9AEwAQQBNAEIARABBACgAXAAiAFYARQBFAFIARwAgADIAMAAyADYAOgAgADQALgA2AC4AMQAuADMALAAgAEUAcQB1AGEAdABpAG8AbgAgACgANAApAFwAIgApADsAXABuAFwAbgBWAEUARQBSAEcAXwA0AF8ANgBfADEAXwAzAF8AXwA0AF8ATgBpAHQAcgBvAGcAZQBuAEUAeABjAHIAZQB0AGkAbwBuAFAAZQByAEIAaQByAGQAXwBOAEkAUgBSAGUAZgBlAHIAZQBuAGMAZQBcAG4AIAAgAD0ATABBAE0AQgBEAEEAKABcACIAXAAiACkAOwBcAG4AXABuAFYARQBFAFIARwBfADQAXwA2AF8AMQBfADMAXwBfADQAXwBOAGkAdAByAG8AZwBlAG4ARQB4AGMAcgBlAHQAaQBvAG4AUABlAHIAQgBpAHIAZABfAEwAYQB0AGUAeABFAHEAdQBhAHQAaQBvAG4AXABuACAAIAA9AEwAQQBNAEIARABBACgAXAAiAE4ARQBfAHsAagBrAH0APQBOAEkAXwB7AGoAawB9AFwAXAB0AGkAbQBlAHMAKAAxAC0ATgBSAF8AewBqAGsAfQApAFwAIgApADsAXABuAFwAbgBWAEUARQBSAEcAXwA0AF8ANgBfADEAXwAzAF8AXwA0AF8ATgBpAHQAcgBvAGcAZQBuAEUAeABjAHIAZQB0AGkAbwBuAFAAZQByAEIAaQByAGQAXwBBAHIAZwB1AG0AZQBuAHQAcwBcAG4AIAAgAD0ATABBAE0AQgBEAEEAKABcAG4AIAAgACAAIABNAEEASwBFAEEAUgBSAEEAWQAoADIALAAgADIALABcAG4AIAAgACAAIAAgACAATABBAE0AQgBEAEEAKAByACwAYwAsAFwAbgAgACAAIAAgACAAIAAgACAASQBOAEQARQBYACgAewBcAG4AIAAgACAAIAAgACAAIAAgACAAIABcACIATgBJAF8AagBrAFwAIgAsAFwAIgBuAGkAdAByAG8AZwBlAG4AIABpAG4AdABhAGsAZQAgADoAIABrAGcAIABOAC8AYgBpAHIAZAAvAGQAYQB5AFwAIgA7AFwAbgAgACAAIAAgACAAIAAgACAAIAAgAFwAIgBOAFIAXwBqAGsAXAAiACwAXAAiAG4AaQB0AHIAbwBnAGUAbgAgAHIAZQB0AGUAbgB0AGkAbwBuACAAZQB4AHAAcgBlAHMAcwBlAGQAIABhAHMAIABhACAAZgByAGEAYwB0AGkAbwBuACAAbwBmACAAaQBuAHQAYQBrAGUAIAA6ACAAZgByAGEAYwB0AGkAbwBu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UAXwBOAGkAdAByAG8AZwBlAG4ASQBuAHQAYQBrAGUAXABuAE4AaQB0AHIAbwBnAGUAbgAgAGkAbgB0AGEAawBlACAAbwBmACAAcABvAHUAbAB0AHIAeQBcAG4ATgBJAF8AagBrAFwAbgBrAGcAIABOAC8AYgBpAHIAZAAvAGQAYQB5AFwAbgBOAEkAXwB7AGoAawB9AD0ASQBfAHsAagBrAH0AXABcAHQAaQBtAGUAcwAgAEMAUABfAHsAagBrAH0AXABcAGQAaQB2ACAANgAuADIANQBcAG4ASQBfAGoAawAgAD0AIABkAHIAeQAgAG0AYQB0AHQAZQByACAAaQBuAHQAYQBrAGUAIABmAG8AcgAgAGUAYQBjAGgAIABjAGwAYQBzAHMAIABhAG4AZAAgAHMAdQBiAGMAbABhAHMAcwAgADoAIABrAGcAIABEAE0ALwBiAGkAcgBkAC8AZABhAHkAXABuAEMAUABfAGoAawAgAD0AIABjAHIAdQBkAGUAIABwAHIAbwB0AGUAaQBuACAAYwBvAG4AdABlAG4AdAAgAG8AZgAgAGYAZQBlAGQAIAA6ACAAZgByAGEAYwB0AGkAbwBuAFwAbgA2AC4AMgA1ACAAPQAgAGYAYQBjAHQAbwByACAAZgBvAHIAIABjAG8AbgB2AGUAcgB0AGkAbgBnACAAYwByAHUAZABlACAAcAByAG8AdABlAGkAbgAgAGkAbgB0AG8AIABuAGkAdAByAG8AZwBlAG4AIAA6ACAAcgBhAHQAaQBvAFwAbgAtAC0ALQAtAC0ALQAtAC0ALQAtAC0ALQAtAC0ALQAtAC0ALQAtAC0ALQAtAC0ALQAtAC0ALQAtAC0ALQAtAC0ALQAtAC0ALQAtAC0AXABuACoALwBcAG4AXABuAFYARQBFAFIARwBfADQAXwA2AF8AMQBfADMAXwBfADUAXwBOAGkAdAByAG8AZwBlAG4ASQBuAHQAYQBrAGUAXABuACAAIAA9AEwAQQBNAEIARABBACgAXABuACAAIAAgACAASQBfAGoAawAsACAAQwBQAF8AagBrACwAXABuACAAIAAgACAASQBfAGoAawAgACoAIABDAFAAXwBqAGsAIAAvACAANgAuADIANQBcAG4AIAAgACkAOwBcAG4AXABuAFYARQBFAFIARwBfADQAXwA2AF8AMQBfADMAXwBfADUAXwBOAGkAdAByAG8AZwBlAG4ASQBuAHQAYQBrAGUAXwBUAGkAdABsAGUAXABuACAAIAA9AEwAQQBNAEIARABBACgAXAAiAE4AaQB0AHIAbwBnAGUAbgAgAGkAbgB0AGEAawBlACAAbwBmACAAcABvAHUAbAB0AHIAeQBcACIAKQA7AFwAbgBcAG4AVgBFAEUAUgBHAF8ANABfADYAXwAxAF8AMwBfAF8ANQBfAE4AaQB0AHIAbwBnAGUAbgBJAG4AdABhAGsAZQBfAFYAYQByAGkAYQBiAGwAZQBcAG4AIAAgAD0ATABBAE0AQgBEAEEAKABcACIATgBJAF8AagBrAFwAIgApADsAXABuAFwAbgBWAEUARQBSAEcAXwA0AF8ANgBfADEAXwAzAF8AXwA1AF8ATgBpAHQAcgBvAGcAZQBuAEkAbgB0AGEAawBlAF8AVQBuAGkAdABcAG4AIAAgAD0ATABBAE0AQgBEAEEAKABcACIAawBnACAATgAvAGIAaQByAGQALwBkAGEAeQBcACIAKQA7AFwAbgBcAG4AVgBFAEUAUgBHAF8ANABfADYAXwAxAF8AMwBfAF8ANQBfAE4AaQB0AHIAbwBnAGUAbgBJAG4AdABhAGsAZQBfAFMAbwB1AHIAYwBlAFwAbgAgACAAPQBMAEEATQBCAEQAQQAoAFwAIgBWAEUARQBSAEcAIAAyADAAMgA2ADoAIAA0AC4ANgAuADEALgAzACwAIABFAHEAdQBhAHQAaQBvAG4AIAAoADUAKQBcACIAKQA7AFwAbgBcAG4AVgBFAEUAUgBHAF8ANABfADYAXwAxAF8AMwBfAF8ANQBfAE4AaQB0AHIAbwBnAGUAbgBJAG4AdABhAGsAZQBfAE4ASQBSAFIAZQBmAGUAcgBlAG4AYwBlAFwAbgAgACAAPQBMAEEATQBCAEQAQQAoAFwAIgBcACIAKQA7AFwAbgBcAG4AVgBFAEUAUgBHAF8ANABfADYAXwAxAF8AMwBfAF8ANQBfAE4AaQB0AHIAbwBnAGUAbgBJAG4AdABhAGsAZQBfAEwAYQB0AGUAeABFAHEAdQBhAHQAaQBvAG4AXABuACAAIAA9AEwAQQBNAEIARABBACgAXAAiAE4ASQBfAHsAagBrAH0APQBJAF8AewBqAGsAfQBcAFwAdABpAG0AZQBzACAAQwBQAF8AewBqAGsAfQBcAFwAZABpAHYAIAA2AC4AMgA1AFwAIgApADsAXABuAFwAbgBWAEUARQBSAEcAXwA0AF8ANgBfADEAXwAzAF8AXwA1AF8ATgBpAHQAcgBvAGcAZQBuAEkAbgB0AGEAawBlAF8AQQByAGcAdQBtAGUAbgB0AHMAXABuACAAIAA9AEwAQQBNAEIARABBACgAXABuACAAIAAgACAATQBBAEsARQBBAFIAUgBBAFkAKAAzACwAIAAyACwAXABuACAAIAAgACAAIAAgAEwAQQBNAEIARABBACgAcgAsAGMALABcAG4AIAAgACAAIAAgACAAIAAgAEkATgBEAEUAWAAoAHsAXABuACAAIAAgACAAIAAgACAAIAAgACAAXAAiAEkAXwBqAGsAXAAiACwAXAAiAGQAcgB5ACAAbQBhAHQAdABlAHIAIABpAG4AdABhAGsAZQAgAGYAbwByACAAZQBhAGMAaAAgAGMAbABhAHMAcwAgAGEAbgBkACAAcwB1AGIAYwBsAGEAcwBzACAAOgAgAGsAZwAgAEQATQAvAGIAaQByAGQALwBkAGEAeQBcACIAOwBcAG4AIAAgACAAIAAgACAAIAAgACAAIABcACIAQwBQAF8AagBrAFwAIgAsAFwAIgBjAHIAdQBkAGUAIABwAHIAbwB0AGUAaQBuACAAYwBvAG4AdABlAG4AdAAgAG8AZgAgAGYAZQBlAGQAIAA6ACAAZgByAGEAYwB0AGkAbwBuAFwAIgA7AFwAbgAgACAAIAAgACAAIAAgACAAIAAgAFwAIgA2AC4AMgA1AFwAIgAsAFwAIgBmAGEAYwB0AG8AcgAgAGYAbwByACAAYwBvAG4AdgBlAHIAdABpAG4AZwAgAGMAcgB1AGQAZQAgAHAAcgBvAHQAZQBpAG4AIABpAG4AdABvACAAbgBpAHQAcgBvAGcAZQBuACAAOgAgAHIAYQB0AGkAbw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2AF8AUwB0AGEAZwBlADIATgBpAHQAcgBvAGcAZQBuAEkAbgBNAE0AUwBcAG4ATgBpAHQAcgBvAGcAZQBuACAAaQBuACAAdAByAGUAYQB0AG0AZQBuAHQAIABzAHQAYQBnAGUAIAAyACAATQBNAFMAXABuAE0ATgBfAGoAawBtAFQAMgBcAG4AawBnACAATgBcAG4ATQBOAF8AewBqAGsAbQAsAFQAPQAyAH0APQBOAFQAXwB7AGoAawBtACwAVAA9ADIAfQBcAFwAdABpAG0AZQBzACAATQBNAFMAXwB7AG0ALABUAD0AMgB9AFwAbgBOAFQAXwBqAGsAbQBUADIAIAA9ACAAbgBpAHQAcgBvAGcAZQBuACAAdAByAGEAbgBzAGYAZQByAHIAZQBkACAAdABvACAAcwBlAGMAbwBuAGQAYQByAHkAIAB0AHIAZQBhAHQAbQBlAG4AdAAgAE0ATQBTACAAOgAgAGsAZwAgAE4AXABuAE0ATQBTAF8AbQBUADIAIAA9ACAAZgByAGEAYwB0AGkAbwBuACAAbwBmACAAbQBhAG4AdQByAGUAIABpAG4AIABlAGEAYwBoACAAcwBlAGMAbwBuAGQAYQByAHkAIABzAHkAcwB0AGUAbQAgADoAIABmAHIAYQBjAHQAaQBvAG4AXABuAE4AbwB0AGUAIAA9ACAAZABpAHIAZQBjAHQAIABhAHAAcABsAGkAYwBhAHQAaQBvAG4AIABhAHQAIABtAD0AMQAzACwAdAA9ADIAIABpAHMAIABtAG8AdgBlAGQAIAB0AG8AIABtAGEAbgB1AHIAZQAgAGEAcABwAGwAaQBlAGQAIAB0AG8AIABzAG8AaQBsAHMAIABhAG4AZAAgAGUAeABjAGwAdQBkAGUAZAAgAGYAcgBvAG0AIAB0AGgAaQBzACAAZQBxAHUAYQB0AGkAbwBuAFwAbgAtAC0ALQAtAC0ALQAtAC0ALQAtAC0ALQAtAC0ALQAtAC0ALQAtAC0ALQAtAC0ALQAtAC0ALQAtAC0ALQAtAC0ALQAtAC0ALQAtAC0AXABuACoALwBcAG4AXABuAFYARQBFAFIARwBfADQAXwA2AF8AMQBfADMAXwBfADYAXwBTAHQAYQBnAGUAMgBOAGkAdAByAG8AZwBlAG4ASQBuAE0ATQBTAFwAbgAgACAAPQBMAEEATQBCAEQAQQAoAFwAbgAgACAAIAAgAE4AVABfAGoAawBtAFQAMgAsACAATQBNAFMAXwBtAFQAMgAsAFwAbgAgACAAIAAgAE4AVABfAGoAawBtAFQAMgAgACoAIABNAE0AUwBfAG0AVAAyAFwAbgAgACAAKQA7AFwAbgBcAG4AVgBFAEUAUgBHAF8ANABfADYAXwAxAF8AMwBfAF8ANgBfAFMAdABhAGcAZQAyAE4AaQB0AHIAbwBnAGUAbgBJAG4ATQBNAFMAXwBUAGkAdABsAGUAXABuACAAIAA9AEwAQQBNAEIARABBACgAXAAiAE4AaQB0AHIAbwBnAGUAbgAgAGkAbgAgAHQAcgBlAGEAdABtAGUAbgB0ACAAcwB0AGEAZwBlACAAMgAgAE0ATQBTAFwAIgApADsAXABuAFwAbgBWAEUARQBSAEcAXwA0AF8ANgBfADEAXwAzAF8AXwA2AF8AUwB0AGEAZwBlADIATgBpAHQAcgBvAGcAZQBuAEkAbgBNAE0AUwBfAFYAYQByAGkAYQBiAGwAZQBcAG4AIAAgAD0ATABBAE0AQgBEAEEAKABcACIATQBOAF8AagBrAG0AVAAyAFwAIgApADsAXABuAFwAbgBWAEUARQBSAEcAXwA0AF8ANgBfADEAXwAzAF8AXwA2AF8AUwB0AGEAZwBlADIATgBpAHQAcgBvAGcAZQBuAEkAbgBNAE0AUwBfAFUAbgBpAHQAXABuACAAIAA9AEwAQQBNAEIARABBACgAXAAiAGsAZwAgAE4AXAAiACkAOwBcAG4AXABuAFYARQBFAFIARwBfADQAXwA2AF8AMQBfADMAXwBfADYAXwBTAHQAYQBnAGUAMgBOAGkAdAByAG8AZwBlAG4ASQBuAE0ATQBTAF8AUwBvAHUAcgBjAGUAXABuACAAIAA9AEwAQQBNAEIARABBACgAXAAiAFYARQBFAFIARwAgADIAMAAyADYAOgAgADQALgA2AC4AMQAuADMALAAgAEUAcQB1AGEAdABpAG8AbgAgACgANgApAFwAIgApADsAXABuAFwAbgBWAEUARQBSAEcAXwA0AF8ANgBfADEAXwAzAF8AXwA2AF8AUwB0AGEAZwBlADIATgBpAHQAcgBvAGcAZQBuAEkAbgBNAE0AUwBfAE4ASQBSAFIAZQBmAGUAcgBlAG4AYwBlAFwAbgAgACAAPQBMAEEATQBCAEQAQQAoAFwAIgBcACIAKQA7AFwAbgBcAG4AVgBFAEUAUgBHAF8ANABfADYAXwAxAF8AMwBfAF8ANgBfAFMAdABhAGcAZQAyAE4AaQB0AHIAbwBnAGUAbgBJAG4ATQBNAFMAXwBMAGEAdABlAHgARQBxAHUAYQB0AGkAbwBuAFwAbgAgACAAPQBMAEEATQBCAEQAQQAoAFwAIgBNAE4AXwB7AGoAawBtACwAVAA9ADIAfQA9AE4AVABfAHsAagBrAG0ALABUAD0AMgB9AFwAXAB0AGkAbQBlAHMAIABNAE0AUwBfAHsAbQAsAFQAPQAyAH0AXAAiACkAOwBcAG4AXABuAFYARQBFAFIARwBfADQAXwA2AF8AMQBfADMAXwBfADYAXwBTAHQAYQBnAGUAMgBOAGkAdAByAG8AZwBlAG4ASQBuAE0ATQBTAF8AQQByAGcAdQBtAGUAbgB0AHMAXABuACAAIAA9AEwAQQBNAEIARABBACgAXABuACAAIAAgACAATQBBAEsARQBBAFIAUgBBAFkAKAAyACwAIAAyACwAXABuACAAIAAgACAAIAAgAEwAQQBNAEIARABBACgAcgAsAGMALABcAG4AIAAgACAAIAAgACAAIAAgAEkATgBEAEUAWAAoAHsAXABuACAAIAAgACAAIAAgACAAIAAgACAAXAAiAE4AVABfAGoAawBtAFQAMgBcACIALABcACIAbgBpAHQAcgBvAGcAZQBuACAAdAByAGEAbgBzAGYAZQByAHIAZQBkACAAdABvACAAcwBlAGMAbwBuAGQAYQByAHkAIAB0AHIAZQBhAHQAbQBlAG4AdAAgAE0ATQBTACAAOgAgAGsAZwAgAE4AXAAiADsAXABuACAAIAAgACAAIAAgACAAIAAgACAAXAAiAE0ATQBTAF8AbQBUADIAXAAiACwAXAAiAGYAcgBhAGMAdABpAG8AbgAgAG8AZgAgAG0AYQBuAHUAcgBlACAAaQBuACAAZQBhAGMAaAAgAHMAZQBjAG8AbgBkAGEAcgB5ACAAcwB5AHMAdABlAG0AIAA6ACAAZgByAGEAYwB0AGkAbwBu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cAXwBOAGkAdAByAG8AZwBlAG4AVAByAGEAbgBzAGYAZQByAHIAZQBkAFQAbwBTAHQAYQBnAGUAMgBNAE0AUwBcAG4ATgBpAHQAcgBvAGcAZQBuACAAdAByAGEAbgBzAGYAZQByAHIAZQBkACAAdABvACAAdAByAGUAYQB0AG0AZQBuAHQAIABzAHQAYQBnAGUAIAAyACAATQBNAFMAXABuAE4AVABfAGoAawBtAFQAMgBcAG4AawBnACAATgBcAG4ATgBUAF8AewBqAGsAbQAsAFQAPQAyAH0APQBNAE4AXwB7AGoAawBtACwAVAA9ADEAfQBcAFwAdABpAG0AZQBzACgAMQAtAEYAcgBhAGMARwBBAFMATQBfAHsAbQAsAFQAPQAxAH0ALQBFAEYAXwB7AG0ALABUAD0AMQB9ACkAXABuAE0ATgBfAGoAawBtAFQAMQAgAD0AIABuAGkAdAByAG8AZwBlAG4AIABpAG4AIABNAE0AUwAgAHQAcgBlAGEAdABtAGUAbgB0ACAAcwB0AGEAZwBlACAAMQAgADoAIABrAGcAIABOAFwAbgBGAHIAYQBjAEcAQQBTAE0AXwBtAFQAMQAgAD0AIABmAHIAYQBjAHQAaQBvAG4AIABvAGYAIABOACAAdgBvAGwAYQB0AGkAbABpAHMAZQBkACAAZgByAG8AbQAgAE0ATQBTACAAdAByAGUAYQB0AG0AZQBuAHQAIABhAHQAIABzAHQAYQBnAGUAIAAxACAAOgAgAGYAcgBhAGMAdABpAG8AbgBcAG4ARQBGAF8AbQBUADEAIAA9ACAAbgBpAHQAcgBvAHUAcwAgAG8AeABpAGQAZQAgAGUAbQBpAHMAcwBpAG8AbgAgAGYAYQBjAHQAbwByACAAZgBvAHIAIABNAE0AUwAgAHQAcgBlAGEAdABtAGUAbgB0ACAAYQB0ACAAcwB0AGEAZwBlACAAMQAgADoAIABrAGcAIABOADIATwAtAE4ALwBrAGcAIABOAFwAbgAtAC0ALQAtAC0ALQAtAC0ALQAtAC0ALQAtAC0ALQAtAC0ALQAtAC0ALQAtAC0ALQAtAC0ALQAtAC0ALQAtAC0ALQAtAC0ALQAtAC0AXABuACoALwBcAG4AXABuAFYARQBFAFIARwBfADQAXwA2AF8AMQBfADMAXwBfADcAXwBOAGkAdAByAG8AZwBlAG4AVAByAGEAbgBzAGYAZQByAHIAZQBkAFQAbwBTAHQAYQBnAGUAMgBNAE0AUwBcAG4AIAAgAD0ATABBAE0AQgBEAEEAKABcAG4AIAAgACAAIABNAE4AXwBqAGsAbQBUADEALAAgAEYAcgBhAGMARwBBAFMATQBfAG0AVAAxACwAIABFAEYAXwBtAFQAMQAsAFwAbgAgACAAIAAgAE0ATgBfAGoAawBtAFQAMQAgACoAIAAoADEAIAAtACAARgByAGEAYwBHAEEAUwBNAF8AbQBUADEAIAAtACAARQBGAF8AbQBUADEAKQBcAG4AIAAgACkAOwBcAG4AXABuAFYARQBFAFIARwBfADQAXwA2AF8AMQBfADMAXwBfADcAXwBOAGkAdAByAG8AZwBlAG4AVAByAGEAbgBzAGYAZQByAHIAZQBkAFQAbwBTAHQAYQBnAGUAMgBNAE0AUwBfAFQAaQB0AGwAZQBcAG4AIAAgAD0ATABBAE0AQgBEAEEAKABcACIATgBpAHQAcgBvAGcAZQBuACAAdAByAGEAbgBzAGYAZQByAHIAZQBkACAAdABvACAAdAByAGUAYQB0AG0AZQBuAHQAIABzAHQAYQBnAGUAIAAyACAATQBNAFMAXAAiACkAOwBcAG4AXABuAFYARQBFAFIARwBfADQAXwA2AF8AMQBfADMAXwBfADcAXwBOAGkAdAByAG8AZwBlAG4AVAByAGEAbgBzAGYAZQByAHIAZQBkAFQAbwBTAHQAYQBnAGUAMgBNAE0AUwBfAFYAYQByAGkAYQBiAGwAZQBcAG4AIAAgAD0ATABBAE0AQgBEAEEAKABcACIATgBUAF8AagBrAG0AVAAyAFwAIgApADsAXABuAFwAbgBWAEUARQBSAEcAXwA0AF8ANgBfADEAXwAzAF8AXwA3AF8ATgBpAHQAcgBvAGcAZQBuAFQAcgBhAG4AcwBmAGUAcgByAGUAZABUAG8AUwB0AGEAZwBlADIATQBNAFMAXwBVAG4AaQB0AFwAbgAgACAAPQBMAEEATQBCAEQAQQAoAFwAIgBrAGcAIABOAFwAIgApADsAXABuAFwAbgBWAEUARQBSAEcAXwA0AF8ANgBfADEAXwAzAF8AXwA3AF8ATgBpAHQAcgBvAGcAZQBuAFQAcgBhAG4AcwBmAGUAcgByAGUAZABUAG8AUwB0AGEAZwBlADIATQBNAFMAXwBTAG8AdQByAGMAZQBcAG4AIAAgAD0ATABBAE0AQgBEAEEAKABcACIAVgBFAEUAUgBHACAAMgAwADIANgA6ACAANAAuADYALgAxAC4AMwAsACAARQBxAHUAYQB0AGkAbwBuACAAKAA3ACkAXAAiACkAOwBcAG4AXABuAFYARQBFAFIARwBfADQAXwA2AF8AMQBfADMAXwBfADcAXwBOAGkAdAByAG8AZwBlAG4AVAByAGEAbgBzAGYAZQByAHIAZQBkAFQAbwBTAHQAYQBnAGUAMgBNAE0AUwBfAE4ASQBSAFIAZQBmAGUAcgBlAG4AYwBlAFwAbgAgACAAPQBMAEEATQBCAEQAQQAoAFwAIgBcACIAKQA7AFwAbgBcAG4AVgBFAEUAUgBHAF8ANABfADYAXwAxAF8AMwBfAF8ANwBfAE4AaQB0AHIAbwBnAGUAbgBUAHIAYQBuAHMAZgBlAHIAcgBlAGQAVABvAFMAdABhAGcAZQAyAE0ATQBTAF8ATABhAHQAZQB4AEUAcQB1AGEAdABpAG8AbgBcAG4AIAAgAD0ATABBAE0AQgBEAEEAKABcACIATgBUAF8AewBqAGsAbQAsAFQAPQAyAH0APQBNAE4AXwB7AGoAawBtACwAVAA9ADEAfQBcAFwAdABpAG0AZQBzACgAMQAtAEYAcgBhAGMARwBBAFMATQBfAHsAbQAsAFQAPQAxAH0ALQBFAEYAXwB7AG0ALABUAD0AMQB9ACkAXAAiACkAOwBcAG4AXABuAFYARQBFAFIARwBfADQAXwA2AF8AMQBfADMAXwBfADcAXwBOAGkAdAByAG8AZwBlAG4AVAByAGEAbgBzAGYAZQByAHIAZQBkAFQAbwBTAHQAYQBnAGUAMgBNAE0AUwBfAEEAcgBnAHUAbQBlAG4AdABzAFwAbgAgACAAPQBMAEEATQBCAEQAQQAoAFwAbgAgACAAIAAgAE0AQQBLAEUAQQBSAFIAQQBZACgAMwAsACAAMgAsAFwAbgAgACAAIAAgACAAIABMAEEATQBCAEQAQQAoAHIALABjACwAXABuACAAIAAgACAAIAAgACAAIABJAE4ARABFAFgAKAB7AFwAbgAgACAAIAAgACAAIAAgACAAIAAgAFwAIgBNAE4AXwBqAGsAbQBUADEAXAAiACwAXAAiAG4AaQB0AHIAbwBnAGUAbgAgAGkAbgAgAE0ATQBTACAAdAByAGUAYQB0AG0AZQBuAHQAIABzAHQAYQBnAGUAIAAxACAAOgAgAGsAZwAgAE4AXAAiADsAXABuACAAIAAgACAAIAAgACAAIAAgACAAXAAiAEYAcgBhAGMARwBBAFMATQBfAG0AVAAxAFwAIgAsAFwAIgBmAHIAYQBjAHQAaQBvAG4AIABvAGYAIABOACAAdgBvAGwAYQB0AGkAbABpAHMAZQBkACAAZgByAG8AbQAgAE0ATQBTACAAdAByAGUAYQB0AG0AZQBuAHQAIABhAHQAIABzAHQAYQBnAGUAIAAxACAAOgAgAGYAcgBhAGMAdABpAG8AbgBcACIAOwBcAG4AIAAgACAAIAAgACAAIAAgACAAIABcACIARQBGAF8AbQBUADEAXAAiACwAXAAiAG4AaQB0AHIAbwB1AHMAIABvAHgAaQBkAGUAIABlAG0AaQBzAHMAaQBvAG4AIABmAGEAYwB0AG8AcgAgAGYAbwByACAATQBNAFMAIAB0AHIAZQBhAHQAbQBlAG4AdAAgAGEAdAAgAHMAdABhAGcAZQAgADEAIAA6ACAAawBnACAATgAyAE8ALQBOAC8AawBnACAATgBcACIAXABuACAAIAAgACAAIAAgACAAIAB9ACwAIAByACwAIABjACkAXABuACAAIAAgACAAIAAgACkAXABuACAAIAAgACAAKQBcAG4AIAAgACkAOwBcAG4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UAGkAdABsAGU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WAGEAcgBpAGEAYgBsAGU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VAG4AaQB0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UwBvAHUAcgBjAGU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OAEkAUgBSAGUAZgBlAHIAZQBuAGM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EwAYQB0AGUAeABFAHEAdQBhAHQAaQBvAG4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BAHIAZwB1AG0AZQBuAHQAcwAiACwAIgBNAE0AUwBfAFMAdwBpAG4AZQBfAEEAdABtAG8AcwBwAGgAZQByAGkAYwBEAGUAcABvAHMAaQB0AGkAbwBuAF8ARQBxAHUAYQB0AGkAbwBuAHMALgBWAEUARQBSAEcAXwA0AF8ANQBfADEAXwA1AF8AXwAyAF8AVABvAHQAYQBsAE4AaQB0AHIAbwBnAGUAbgBWAG8AbABhAHQAaQBsAGkAcwBlAGQARgByAG8AbQBNAE0AUwAiACwAIgBNAE0AUwBfAFMAdwBpAG4AZQBfAEEAdABtAG8AcwBwAGgAZQByAGkAYwBEAGUAcABvAHMAaQB0AGkAbwBuAF8ARQBxAHUAYQB0AGkAbwBuAHMALgBWAEUARQBSAEcAXwA0AF8ANQBfADEAXwA1AF8AXwAyAF8AVABvAHQAYQBsAE4AaQB0AHIAbwBnAGUAbgBWAG8AbABhAHQAaQBsAGkAcwBlAGQARgByAG8AbQBNAE0AUwBfAFQAaQB0AGwAZQAiACwAIgBNAE0AUwBfAFMAdwBpAG4AZQBfAEEAdABtAG8AcwBwAGgAZQByAGkAYwBEAGUAcABvAHMAaQB0AGkAbwBuAF8ARQBxAHUAYQB0AGkAbwBuAHMALgBWAEUARQBSAEcAXwA0AF8ANQBfADEAXwA1AF8AXwAyAF8AVABvAHQAYQBsAE4AaQB0AHIAbwBnAGUAbgBWAG8AbABhAHQAaQBsAGkAcwBlAGQARgByAG8AbQBNAE0AUwBfAFYAYQByAGkAYQBiAGwAZQAiACwAIgBNAE0AUwBfAFMAdwBpAG4AZQBfAEEAdABtAG8AcwBwAGgAZQByAGkAYwBEAGUAcABvAHMAaQB0AGkAbwBuAF8ARQBxAHUAYQB0AGkAbwBuAHMALgBWAEUARQBSAEcAXwA0AF8ANQBfADEAXwA1AF8AXwAyAF8AVABvAHQAYQBsAE4AaQB0AHIAbwBnAGUAbgBWAG8AbABhAHQAaQBsAGkAcwBlAGQARgByAG8AbQBNAE0AUwBfAFUAbgBpAHQAIgAsACIATQBNAFMAXwBTAHcAaQBuAGUAXwBBAHQAbQBvAHMAcABoAGUAcgBpAGMARABlAHAAbwBzAGkAdABpAG8AbgBfAEUAcQB1AGEAdABpAG8AbgBzAC4AVgBFAEUAUgBHAF8ANABfADUAXwAxAF8ANQBfAF8AMgBfAFQAbwB0AGEAbABOAGkAdAByAG8AZwBlAG4AVgBvAGwAYQB0AGkAbABpAHMAZQBkAEYAcgBvAG0ATQBNAFMAXwBTAG8AdQByAGMAZQAiACwAIgBNAE0AUwBfAFMAdwBpAG4AZQBfAEEAdABtAG8AcwBwAGgAZQByAGkAYwBEAGUAcABvAHMAaQB0AGkAbwBuAF8ARQBxAHUAYQB0AGkAbwBuAHMALgBWAEUARQBSAEcAXwA0AF8ANQBfADEAXwA1AF8AXwAyAF8AVABvAHQAYQBsAE4AaQB0AHIAbwBnAGUAbgBWAG8AbABhAHQAaQBsAGkAcwBlAGQARgByAG8AbQBNAE0AUwBfAE4ASQBSAFIAZQBmAGUAcgBlAG4AYwBlACIALAAiAE0ATQBTAF8AUwB3AGkAbgBlAF8AQQB0AG0AbwBzAHAAaABlAHIAaQBjAEQAZQBwAG8AcwBpAHQAaQBvAG4AXwBFAHEAdQBhAHQAaQBvAG4AcwAuAFYARQBFAFIARwBfADQAXwA1AF8AMQBfADUAXwBfADIAXwBUAG8AdABhAGwATgBpAHQAcgBvAGcAZQBuAFYAbwBsAGEAdABpAGwAaQBzAGUAZABGAHIAbwBtAE0ATQBTAF8ATABhAHQAZQB4AEUAcQB1AGEAdABpAG8AbgAiACwAIgBNAE0AUwBfAFMAdwBpAG4AZQBfAEEAdABtAG8AcwBwAGgAZQByAGkAYwBEAGUAcABvAHMAaQB0AGkAbwBuAF8ARQBxAHUAYQB0AGkAbwBuAHMALgBWAEUARQBSAEcAXwA0AF8ANQBfADEAXwA1AF8AXwAyAF8AVABvAHQAYQBsAE4AaQB0AHIAbwBnAGUAbgBWAG8AbABhAHQAaQBsAGkAcwBlAGQARgByAG8AbQBNAE0AUwBfAEEAcgBnAHUAbQBlAG4AdABzACIALAAiAE0ATQBTAF8AUwB3AGkAbgBlAF8ATABlAGEAYwBoAGkAbgBnAEEAbgBkAFIAdQBuAG8AZgBmAF8ARQBxAHUAYQB0AGkAbwBuAHMALgBWAEUARQBSAEcAXwA0AF8ANQBfADEAXwA3AF8AXwAxAF8AQQBuAG4AdQBhAGwARQBtAGkAcwBzAGkAbwBuAHMARgByAG8AbQBMAGUAYQBjAGgAaQBuAGcAQQBuAGQAUgB1AG4AbwBmAGYARgByAG8AbQBNAE0AUwAiACwAIgBNAE0AUwBfAFMAdwBpAG4AZQBfAEwAZQBhAGMAaABpAG4AZwBBAG4AZABSAHUAbgBvAGYAZgBfAEUAcQB1AGEAdABpAG8AbgBzAC4AVgBFAEUAUgBHAF8ANABfADUAXwAxAF8ANwBfAF8AMQBfAEEAbgBuAHUAYQBsAEUAbQBpAHMAcwBpAG8AbgBzAEYAcgBvAG0ATABlAGEAYwBoAGkAbgBnAEEAbgBkAFIAdQBuAG8AZgBmAEYAcgBvAG0ATQBNAFMAXwBUAGkAdABsAGUAIgAsACIATQBNAFMAXwBTAHcAaQBuAGUAXwBMAGUAYQBjAGgAaQBuAGcAQQBuAGQAUgB1AG4AbwBmAGYAXwBFAHEAdQBhAHQAaQBvAG4AcwAuAFYARQBFAFIARwBfADQAXwA1AF8AMQBfADcAXwBfADEAXwBBAG4AbgB1AGEAbABFAG0AaQBzAHMAaQBvAG4AcwBGAHIAbwBtAEwAZQBhAGMAaABpAG4AZwBBAG4AZABSAHUAbgBvAGYAZgBGAHIAbwBtAE0ATQBTAF8AVgBhAHIAaQBhAGIAbABlACIALAAiAE0ATQBTAF8AUwB3AGkAbgBlAF8ATABlAGEAYwBoAGkAbgBnAEEAbgBkAFIAdQBuAG8AZgBmAF8ARQBxAHUAYQB0AGkAbwBuAHMALgBWAEUARQBSAEcAXwA0AF8ANQBfADEAXwA3AF8AXwAxAF8AQQBuAG4AdQBhAGwARQBtAGkAcwBzAGkAbwBuAHMARgByAG8AbQBMAGUAYQBjAGgAaQBuAGcAQQBuAGQAUgB1AG4AbwBmAGYARgByAG8AbQBNAE0AUwBfAFUAbgBpAHQAIgAsACIATQBNAFMAXwBTAHcAaQBuAGUAXwBMAGUAYQBjAGgAaQBuAGcAQQBuAGQAUgB1AG4AbwBmAGYAXwBFAHEAdQBhAHQAaQBvAG4AcwAuAFYARQBFAFIARwBfADQAXwA1AF8AMQBfADcAXwBfADEAXwBBAG4AbgB1AGEAbABFAG0AaQBzAHMAaQBvAG4AcwBGAHIAbwBtAEwAZQBhAGMAaABpAG4AZwBBAG4AZABSAHUAbgBvAGYAZgBGAHIAbwBtAE0ATQBTAF8AUwBvAHUAcgBjAGUAIgAsACIATQBNAFMAXwBTAHcAaQBuAGUAXwBMAGUAYQBjAGgAaQBuAGcAQQBuAGQAUgB1AG4AbwBmAGYAXwBFAHEAdQBhAHQAaQBvAG4AcwAuAFYARQBFAFIARwBfADQAXwA1AF8AMQBfADcAXwBfADEAXwBBAG4AbgB1AGEAbABFAG0AaQBzAHMAaQBvAG4AcwBGAHIAbwBtAEwAZQBhAGMAaABpAG4AZwBBAG4AZABSAHUAbgBvAGYAZgBGAHIAbwBtAE0ATQBTAF8ATgBJAFIAUgBlAGYAZQByAGUAbgBjAGUAIgAsACIATQBNAFMAXwBTAHcAaQBuAGUAXwBMAGUAYQBjAGgAaQBuAGcAQQBuAGQAUgB1AG4AbwBmAGYAXwBFAHEAdQBhAHQAaQBvAG4AcwAuAFYARQBFAFIARwBfADQAXwA1AF8AMQBfADcAXwBfADEAXwBBAG4AbgB1AGEAbABFAG0AaQBzAHMAaQBvAG4AcwBGAHIAbwBtAEwAZQBhAGMAaABpAG4AZwBBAG4AZABSAHUAbgBvAGYAZgBGAHIAbwBtAE0ATQBTAF8ATABhAHQAZQB4AEUAcQB1AGEAdABpAG8AbgAiACwAIgBNAE0AUwBfAFMAdwBpAG4AZQBfAEwAZQBhAGMAaABpAG4AZwBBAG4AZABSAHUAbgBvAGYAZgBfAEUAcQB1AGEAdABpAG8AbgBzAC4AVgBFAEUAUgBHAF8ANABfADUAXwAxAF8ANwBfAF8AMQBfAEEAbgBuAHUAYQBsAEUAbQBpAHMAcwBpAG8AbgBzAEYAcgBvAG0ATABlAGEAYwBoAGkAbgBnAEEAbgBkAFIAdQBuAG8AZgBmAEYAcgBvAG0ATQBNAFMAXwBBAHIAZwB1AG0AZQBuAHQAcw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FQAaQB0AGwAZQ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FYAYQByAGkAYQBiAGwAZQ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FUAbgBpAHQ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TAG8AdQByAGMAZQ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E4ASQBSAFIAZQBmAGUAcgBlAG4AYw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TABhAHQAZQB4AEUAcQB1AGEAdABpAG8Abg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EEAcgBnAHUAbQBlAG4AdABzACIALAAiAE0ATQBTAF8AUwB3AGkAbgBlAF8ATQBhAG4AdQByAGUAQQBwAHAAbABpAGUAZABUAG8AUwBvAGkAbABzAF8ARQBxAHUAYQB0AGkAbwBuAHMALgBWAEUARQBSAEcAXwA0AF8ANQBfADEAXwA5AF8AXwAxAF8ATQBhAHMAcwBPAGYATgBpAHQAcgBvAGcAZQBuAEEAcABwAGwAaQBlAGQAVABvAFMAbwBpAGwAcwBTAGMAbwBwAGUAMQAiACwAIgBNAE0AUwBfAFMAdwBpAG4AZQBfAE0AYQBuAHUAcgBlAEEAcABwAGwAaQBlAGQAVABvAFMAbwBpAGwAcwBfAEUAcQB1AGEAdABpAG8AbgBzAC4AVgBFAEUAUgBHAF8ANABfADUAXwAxAF8AOQBfAF8AMQBfAE0AYQBzAHMATwBmAE4AaQB0AHIAbwBnAGUAbgBBAHAAcABsAGkAZQBkAFQAbwBTAG8AaQBsAHMAUwBjAG8AcABlADEAXwBUAGkAdABsAGUAIgAsACIATQBNAFMAXwBTAHcAaQBuAGUAXwBNAGEAbgB1AHIAZQBBAHAAcABsAGkAZQBkAFQAbwBTAG8AaQBsAHMAXwBFAHEAdQBhAHQAaQBvAG4AcwAuAFYARQBFAFIARwBfADQAXwA1AF8AMQBfADkAXwBfADEAXwBNAGEAcwBzAE8AZgBOAGkAdAByAG8AZwBlAG4AQQBwAHAAbABpAGUAZABUAG8AUwBvAGkAbABzAFMAYwBvAHAAZQAxAF8AVgBhAHIAaQBhAGIAbABlACIALAAiAE0ATQBTAF8AUwB3AGkAbgBlAF8ATQBhAG4AdQByAGUAQQBwAHAAbABpAGUAZABUAG8AUwBvAGkAbABzAF8ARQBxAHUAYQB0AGkAbwBuAHMALgBWAEUARQBSAEcAXwA0AF8ANQBfADEAXwA5AF8AXwAxAF8ATQBhAHMAcwBPAGYATgBpAHQAcgBvAGcAZQBuAEEAcABwAGwAaQBlAGQAVABvAFMAbwBpAGwAcwBTAGMAbwBwAGUAMQBfAFUAbgBpAHQAIgAsACIATQBNAFMAXwBTAHcAaQBuAGUAXwBNAGEAbgB1AHIAZQBBAHAAcABsAGkAZQBkAFQAbwBTAG8AaQBsAHMAXwBFAHEAdQBhAHQAaQBvAG4AcwAuAFYARQBFAFIARwBfADQAXwA1AF8AMQBfADkAXwBfADEAXwBNAGEAcwBzAE8AZgBOAGkAdAByAG8AZwBlAG4AQQBwAHAAbABpAGUAZABUAG8AUwBvAGkAbABzAFMAYwBvAHAAZQAxAF8AUwBvAHUAcgBjAGUAIgAsACIATQBNAFMAXwBTAHcAaQBuAGUAXwBNAGEAbgB1AHIAZQBBAHAAcABsAGkAZQBkAFQAbwBTAG8AaQBsAHMAXwBFAHEAdQBhAHQAaQBvAG4AcwAuAFYARQBFAFIARwBfADQAXwA1AF8AMQBfADkAXwBfADEAXwBNAGEAcwBzAE8AZgBOAGkAdAByAG8AZwBlAG4AQQBwAHAAbABpAGUAZABUAG8AUwBvAGkAbABzAFMAYwBvAHAAZQAxAF8ATgBJAFIAUgBlAGYAZQByAGUAbgBjAGUAIgAsACIATQBNAFMAXwBTAHcAaQBuAGUAXwBNAGEAbgB1AHIAZQBBAHAAcABsAGkAZQBkAFQAbwBTAG8AaQBsAHMAXwBFAHEAdQBhAHQAaQBvAG4AcwAuAFYARQBFAFIARwBfADQAXwA1AF8AMQBfADkAXwBfADEAXwBNAGEAcwBzAE8AZgBOAGkAdAByAG8AZwBlAG4AQQBwAHAAbABpAGUAZABUAG8AUwBvAGkAbABzAFMAYwBvAHAAZQAxAF8ATABhAHQAZQB4AEUAcQB1AGEAdABpAG8AbgAiACwAIgBNAE0AUwBfAFMAdwBpAG4AZQBfAE0AYQBuAHUAcgBlAEEAcABwAGwAaQBlAGQAVABvAFMAbwBpAGwAcwBfAEUAcQB1AGEAdABpAG8AbgBzAC4AVgBFAEUAUgBHAF8ANABfADUAXwAxAF8AOQBfAF8AMQBfAE0AYQBzAHMATwBmAE4AaQB0AHIAbwBnAGUAbgBBAHAAcABsAGkAZQBkAFQAbwBTAG8AaQBsAHMAUwBjAG8AcABlADEAXwBBAHIAZwB1AG0AZQBuAHQAcwAiACwAIgBNAE0AUwBfAFMAdwBpAG4AZQBfAE0AYQBuAHUAcgBlAEEAcABwAGwAaQBlAGQAVABvAFMAbwBpAGwAcwBfAEUAcQB1AGEAdABpAG8AbgBzAC4AVgBFAEUAUgBHAF8ANABfADUAXwAxAF8AOQBfAF8AMgBfAE0AYQBzAHMATwBmAE4AaQB0AHIAbwBnAGUAbgBBAHAAcABsAGkAZQBkAFQAbwBTAG8AaQBsAHMAUwBjAG8AcABlADMAIgAsACIATQBNAFMAXwBTAHcAaQBuAGUAXwBNAGEAbgB1AHIAZQBBAHAAcABsAGkAZQBkAFQAbwBTAG8AaQBsAHMAXwBFAHEAdQBhAHQAaQBvAG4AcwAuAFYARQBFAFIARwBfADQAXwA1AF8AMQBfADkAXwBfADIAXwBNAGEAcwBzAE8AZgBOAGkAdAByAG8AZwBlAG4AQQBwAHAAbABpAGUAZABUAG8AUwBvAGkAbABzAFMAYwBvAHAAZQAzAF8AVABpAHQAbABlACIALAAiAE0ATQBTAF8AUwB3AGkAbgBlAF8ATQBhAG4AdQByAGUAQQBwAHAAbABpAGUAZABUAG8AUwBvAGkAbABzAF8ARQBxAHUAYQB0AGkAbwBuAHMALgBWAEUARQBSAEcAXwA0AF8ANQBfADEAXwA5AF8AXwAyAF8ATQBhAHMAcwBPAGYATgBpAHQAcgBvAGcAZQBuAEEAcABwAGwAaQBlAGQAVABvAFMAbwBpAGwAcwBTAGMAbwBwAGUAMwBfAFYAYQByAGkAYQBiAGwAZQAiACwAIgBNAE0AUwBfAFMAdwBpAG4AZQBfAE0AYQBuAHUAcgBlAEEAcABwAGwAaQBlAGQAVABvAFMAbwBpAGwAcwBfAEUAcQB1AGEAdABpAG8AbgBzAC4AVgBFAEUAUgBHAF8ANABfADUAXwAxAF8AOQBfAF8AMgBfAE0AYQBzAHMATwBmAE4AaQB0AHIAbwBnAGUAbgBBAHAAcABsAGkAZQBkAFQAbwBTAG8AaQBsAHMAUwBjAG8AcABlADMAXwBVAG4AaQB0ACIALAAiAE0ATQBTAF8AUwB3AGkAbgBlAF8ATQBhAG4AdQByAGUAQQBwAHAAbABpAGUAZABUAG8AUwBvAGkAbABzAF8ARQBxAHUAYQB0AGkAbwBuAHMALgBWAEUARQBSAEcAXwA0AF8ANQBfADEAXwA5AF8AXwAyAF8ATQBhAHMAcwBPAGYATgBpAHQAcgBvAGcAZQBuAEEAcABwAGwAaQBlAGQAVABvAFMAbwBpAGwAcwBTAGMAbwBwAGUAMwBfAFMAbwB1AHIAYwBlACIALAAiAE0ATQBTAF8AUwB3AGkAbgBlAF8ATQBhAG4AdQByAGUAQQBwAHAAbABpAGUAZABUAG8AUwBvAGkAbABzAF8ARQBxAHUAYQB0AGkAbwBuAHMALgBWAEUARQBSAEcAXwA0AF8ANQBfADEAXwA5AF8AXwAyAF8ATQBhAHMAcwBPAGYATgBpAHQAcgBvAGcAZQBuAEEAcABwAGwAaQBlAGQAVABvAFMAbwBpAGwAcwBTAGMAbwBwAGUAMwBfAE4ASQBSAFIAZQBmAGUAcgBlAG4AYwBlACIALAAiAE0ATQBTAF8AUwB3AGkAbgBlAF8ATQBhAG4AdQByAGUAQQBwAHAAbABpAGUAZABUAG8AUwBvAGkAbABzAF8ARQBxAHUAYQB0AGkAbwBuAHMALgBWAEUARQBSAEcAXwA0AF8ANQBfADEAXwA5AF8AXwAyAF8ATQBhAHMAcwBPAGYATgBpAHQAcgBvAGcAZQBuAEEAcABwAGwAaQBlAGQAVABvAFMAbwBpAGwAcwBTAGMAbwBwAGUAMwBfAEwAYQB0AGUAeABFAHEAdQBhAHQAaQBvAG4AIgAsACIATQBNAFMAXwBTAHcAaQBuAGUAXwBNAGEAbgB1AHIAZQBBAHAAcABsAGkAZQBkAFQAbwBTAG8AaQBsAHMAXwBFAHEAdQBhAHQAaQBvAG4AcwAuAFYARQBFAFIARwBfADQAXwA1AF8AMQBfADkAXwBfADIAXwBNAGEAcwBzAE8AZgBOAGkAdAByAG8AZwBlAG4AQQBwAHAAbABpAGUAZABUAG8AUwBvAGkAbABzAFMAYwBvAHAAZQAzAF8AQQByAGcAdQBtAGUAbgB0AHMAIgAsACIAUwBvAHUAcgBjAGUARABhAHQAYQBfAFAAbwB1AGwAdAByAHkALgBTAG8AdQByAGMAZQBEAGEAdABhAF8AUABvAHUAbAB0AHIAeQBfAEQAaQBlAHQAUAByAG8AcABlAHIAdABpAGUAcwBfAFQAaQB0AGwAZQAiACwAIgBTAG8AdQByAGMAZQBEAGEAdABhAF8AUABvAHUAbAB0AHIAeQAuAFMAbwB1AHIAYwBlAEQAYQB0AGEAXwBQAG8AdQBsAHQAcgB5AF8ARABpAGUAdABQAHIAbwBwAGUAcgB0AGkAZQBzAF8AVQBuAGkAdAAiACwAIgBTAG8AdQByAGMAZQBEAGEAdABhAF8AUABvAHUAbAB0AHIAeQAuAFMAbwB1AHIAYwBlAEQAYQB0AGEAXwBQAG8AdQBsAHQAcgB5AF8ARABpAGUAdABQAHIAbwBwAGUAcgB0AGkAZQBzAF8AUwBvAHUAcgBjAGUAIgAsACIAUwBvAHUAcgBjAGUARABhAHQAYQBfAFAAbwB1AGwAdAByAHkALgBTAG8AdQByAGMAZQBEAGEAdABhAF8AUABvAHUAbAB0AHIAeQBfAEQAaQBlAHQAUAByAG8AcABlAHIAdABpAGUAcwBfAFYAYQByAGkAYQB0AGkAbwBuACIALAAiAFMAbwB1AHIAYwBlAEQAYQB0AGEAXwBQAG8AdQBsAHQAcgB5AC4AUwBvAHUAcgBjAGUARABhAHQAYQBfAFAAbwB1AGwAdAByAHkAXwBEAGkAZQB0AFAAcgBvAHAAZQByAHQAaQBlAHMAXwBEAGEAdABhACIALAAiAFMAbwB1AHIAYwBlAEQAYQB0AGEAXwBQAG8AdQBsAHQAcgB5AC4AUwBvAHUAcgBjAGUARABhAHQAYQBfAFAAbwB1AGwAdAByAHkAXwBNAEMARgBfAFQAaQB0AGwAZQAiACwAIgBTAG8AdQByAGMAZQBEAGEAdABhAF8AUABvAHUAbAB0AHIAeQAuAFMAbwB1AHIAYwBlAEQAYQB0AGEAXwBQAG8AdQBsAHQAcgB5AF8ATQBDAEYAXwBVAG4AaQB0ACIALAAiAFMAbwB1AHIAYwBlAEQAYQB0AGEAXwBQAG8AdQBsAHQAcgB5AC4AUwBvAHUAcgBjAGUARABhAHQAYQBfAFAAbwB1AGwAdAByAHkAXwBNAEMARgBfAFMAbwB1AHIAYwBlACIALAAiAFMAbwB1AHIAYwBlAEQAYQB0AGEAXwBQAG8AdQBsAHQAcgB5AC4AUwBvAHUAcgBjAGUARABhAHQAYQBfAFAAbwB1AGwAdAByAHkAXwBNAEMARgBfAFYAYQByAGkAYQB0AGkAbwBuACIALAAiAFMAbwB1AHIAYwBlAEQAYQB0AGEAXwBQAG8AdQBsAHQAcgB5AC4AUwBvAHUAcgBjAGUARABhAHQAYQBfAFAAbwB1AGwAdAByAHkAXwBNAEMARgBfAEQAYQB0AGEAIgAsACIAUwBvAHUAcgBjAGUARABhAHQAYQBfAFAAbwB1AGwAdAByAHkALgBTAG8AdQByAGMAZQBEAGEAdABhAF8AUABvAHUAbAB0AHIAeQBfAE0AQwBGAF8ATgBvAHQAZQBzACIALAAiAFMAbwB1AHIAYwBlAEQAYQB0AGEAXwBQAG8AdQBsAHQAcgB5AC4AUwBvAHUAcgBjAGUARABhAHQAYQBfAFAAbwB1AGwAdAByAHkAXwBNAGUAdABoAGEAbgBlAEUAbQBpAHMAcwBpAG8AbgBzAFAAbwB0AGUAbgB0AGkAYQBsAF8AVABpAHQAbABlACIALAAiAFMAbwB1AHIAYwBlAEQAYQB0AGEAXwBQAG8AdQBsAHQAcgB5AC4AUwBvAHUAcgBjAGUARABhAHQAYQBfAFAAbwB1AGwAdAByAHkAXwBNAGUAdABoAGEAbgBlAEUAbQBpAHMAcwBpAG8AbgBzAFAAbwB0AGUAbgB0AGkAYQBsAF8AVQBuAGkAdAAiACwAIgBTAG8AdQByAGMAZQBEAGEAdABhAF8AUABvAHUAbAB0AHIAeQAuAFMAbwB1AHIAYwBlAEQAYQB0AGEAXwBQAG8AdQBsAHQAcgB5AF8ATQBlAHQAaABhAG4AZQBFAG0AaQBzAHMAaQBvAG4AcwBQAG8AdABlAG4AdABpAGEAbABfAFMAbwB1AHIAYwBlACIALAAiAFMAbwB1AHIAYwBlAEQAYQB0AGEAXwBQAG8AdQBsAHQAcgB5AC4AUwBvAHUAcgBjAGUARABhAHQAYQBfAFAAbwB1AGwAdAByAHkAXwBNAGUAdABoAGEAbgBlAEUAbQBpAHMAcwBpAG8AbgBzAFAAbwB0AGUAbgB0AGkAYQBsAF8AVgBhAHIAaQBhAHQAaQBvAG4AIgAsACIAUwBvAHUAcgBjAGUARABhAHQAYQBfAFAAbwB1AGwAdAByAHkALgBTAG8AdQByAGMAZQBEAGEAdABhAF8AUABvAHUAbAB0AHIAeQBfAE0AZQB0AGgAYQBuAGUARQBtAGkAcwBzAGkAbwBuAHMAUABvAHQAZQBuAHQAaQBhAGwAXwBEAGEAdABhACIALAAiAFMAbwB1AHIAYwBlAEQAYQB0AGEAXwBQAG8AdQBsAHQAcgB5AC4AUwBvAHUAcgBjAGUARABhAHQAYQBfAFAAbwB1AGwAdAByAHkAXwBQAHIAbwBkAHUAYwB0AGkAbwBuAFMAeQBzAHQAZQBtAHMAXwBUAGkAdABsAGUAIgAsACIAUwBvAHUAcgBjAGUARABhAHQAYQBfAFAAbwB1AGwAdAByAHkALgBTAG8AdQByAGMAZQBEAGEAdABhAF8AUABvAHUAbAB0AHIAeQBfAFAAcgBvAGQAdQBjAHQAaQBvAG4AUwB5AHMAdABlAG0AcwBfAFUAbgBpAHQAIgAsACIAUwBvAHUAcgBjAGUARABhAHQAYQBfAFAAbwB1AGwAdAByAHkALgBTAG8AdQByAGMAZQBEAGEAdABhAF8AUABvAHUAbAB0AHIAeQBfAFAAcgBvAGQAdQBjAHQAaQBvAG4AUwB5AHMAdABlAG0AcwBfAFMAbwB1AHIAYwBlACIALAAiAFMAbwB1AHIAYwBlAEQAYQB0AGEAXwBQAG8AdQBsAHQAcgB5AC4AUwBvAHUAcgBjAGUARABhAHQAYQBfAFAAbwB1AGwAdAByAHkAXwBQAHIAbwBkAHUAYwB0AGkAbwBuAFMAeQBzAHQAZQBtAHMAXwBWAGEAcgBpAGEAdABpAG8AbgAiACwAIgBTAG8AdQByAGMAZQBEAGEAdABhAF8AUABvAHUAbAB0AHIAeQAuAFMAbwB1AHIAYwBlAEQAYQB0AGEAXwBQAG8AdQBsAHQAcgB5AF8AUAByAG8AZAB1AGMAdABpAG8AbgBTAHkAcwB0AGUAbQBzAF8ARABhAHQAYQAiACwAIgBTAG8AdQByAGMAZQBEAGEAdABhAF8AUABvAHUAbAB0AHIAeQAuAFMAbwB1AHIAYwBlAEQAYQB0AGEAXwBQAG8AdQBsAHQAcgB5AF8AVgBTAEwAXwBUAGkAdABsAGUAIgAsACIAUwBvAHUAcgBjAGUARABhAHQAYQBfAFAAbwB1AGwAdAByAHkALgBTAG8AdQByAGMAZQBEAGEAdABhAF8AUABvAHUAbAB0AHIAeQBfAFYAUwBMAF8AVQBuAGkAdAAiACwAIgBTAG8AdQByAGMAZQBEAGEAdABhAF8AUABvAHUAbAB0AHIAeQAuAFMAbwB1AHIAYwBlAEQAYQB0AGEAXwBQAG8AdQBsAHQAcgB5AF8AVgBTAEwAXwBTAG8AdQByAGMAZQAiACwAIgBTAG8AdQByAGMAZQBEAGEAdABhAF8AUABvAHUAbAB0AHIAeQAuAFMAbwB1AHIAYwBlAEQAYQB0AGEAXwBQAG8AdQBsAHQAcgB5AF8AVgBTAEwAXwBWAGEAcgBpAGEAdABpAG8AbgAiACwAIgBTAG8AdQByAGMAZQBEAGEAdABhAF8AUABvAHUAbAB0AHIAeQAuAFMAbwB1AHIAYwBlAEQAYQB0AGEAXwBQAG8AdQBsAHQAcgB5AF8AVgBTAEwAXwBEAGEAdABhACIALAAiAE0ATQBTAF8AcABvAHUAbAB0AHIAeQBfAE0AZQB0AGgAYQBuAGUAXwBFAHEAdQBhAHQAaQBvAG4AcwAuAFYARQBFAFIARwBfADQAXwA2AF8AMQBfADEAXwBfADEAXwBUAG8AdABhAGwAQQBuAG4AdQBhAGwATQBlAHQAaABhAG4AZQBFAG0AaQBzAHMAaQBvAG4AcwAiACwAIgBNAE0AUwBfAHAAbwB1AGwAdAByAHkAXwBNAGUAdABoAGEAbgBlAF8ARQBxAHUAYQB0AGkAbwBuAHMALgBWAEUARQBSAEcAXwA0AF8ANgBfADEAXwAxAF8AXwAxAF8AVABvAHQAYQBsAEEAbgBuAHUAYQBsAE0AZQB0AGgAYQBuAGUARQBtAGkAcwBzAGkAbwBuAHMAXwBUAGkAdABsAGUAIgAsACIATQBNAFMAXwBwAG8AdQBsAHQAcgB5AF8ATQBlAHQAaABhAG4AZQBfAEUAcQB1AGEAdABpAG8AbgBzAC4AVgBFAEUAUgBHAF8ANABfADYAXwAxAF8AMQBfAF8AMQBfAFQAbwB0AGEAbABBAG4AbgB1AGEAbABNAGUAdABoAGEAbgBlAEUAbQBpAHMAcwBpAG8AbgBzAF8AVgBhAHIAaQBhAGIAbABlACIALAAiAE0ATQBTAF8AcABvAHUAbAB0AHIAeQBfAE0AZQB0AGgAYQBuAGUAXwBFAHEAdQBhAHQAaQBvAG4AcwAuAFYARQBFAFIARwBfADQAXwA2AF8AMQBfADEAXwBfADEAXwBUAG8AdABhAGwAQQBuAG4AdQBhAGwATQBlAHQAaABhAG4AZQBFAG0AaQBzAHMAaQBvAG4AcwBfAFUAbgBpAHQAIgAsACIATQBNAFMAXwBwAG8AdQBsAHQAcgB5AF8ATQBlAHQAaABhAG4AZQBfAEUAcQB1AGEAdABpAG8AbgBzAC4AVgBFAEUAUgBHAF8ANABfADYAXwAxAF8AMQBfAF8AMQBfAFQAbwB0AGEAbABBAG4AbgB1AGEAbABNAGUAdABoAGEAbgBlAEUAbQBpAHMAcwBpAG8AbgBzAF8AUwBvAHUAcgBjAGUAIgAsACIATQBNAFMAXwBwAG8AdQBsAHQAcgB5AF8ATQBlAHQAaABhAG4AZQBfAEUAcQB1AGEAdABpAG8AbgBzAC4AVgBFAEUAUgBHAF8ANABfADYAXwAxAF8AMQBfAF8AMQBfAFQAbwB0AGEAbABBAG4AbgB1AGEAbABNAGUAdABoAGEAbgBlAEUAbQBpAHMAcwBpAG8AbgBzAF8ATgBJAFIAUgBlAGYAZQByAGUAbgBjAGUAIgAsACIATQBNAFMAXwBwAG8AdQBsAHQAcgB5AF8ATQBlAHQAaABhAG4AZQBfAEUAcQB1AGEAdABpAG8AbgBzAC4AVgBFAEUAUgBHAF8ANABfADYAXwAxAF8AMQBfAF8AMQBfAFQAbwB0AGEAbABBAG4AbgB1AGEAbABNAGUAdABoAGEAbgBlAEUAbQBpAHMAcwBpAG8AbgBzAF8ATABhAHQAZQB4AEUAcQB1AGEAdABpAG8AbgAiACwAIgBNAE0AUwBfAHAAbwB1AGwAdAByAHkAXwBNAGUAdABoAGEAbgBlAF8ARQBxAHUAYQB0AGkAbwBuAHMALgBWAEUARQBSAEcAXwA0AF8ANgBfADEAXwAxAF8AXwAxAF8AVABvAHQAYQBsAEEAbgBuAHUAYQBsAE0AZQB0AGgAYQBuAGUARQBtAGkAcwBzAGkAbwBuAHMAXwBBAHIAZwB1AG0AZQBuAHQAcwAiACwAIgBNAE0AUwBfAHAAbwB1AGwAdAByAHkAXwBNAGUAdABoAGEAbgBlAF8ARQBxAHUAYQB0AGkAbwBuAHMALgBWAEUARQBSAEcAXwA0AF8ANgBfADEAXwAxAF8AXwAyAF8AUwB0AGEAZwBlADEATQBlAHQAaABhAG4AZQBQAHIAbwBkAHUAYwB0AGkAbwBuACIALAAiAE0ATQBTAF8AcABvAHUAbAB0AHIAeQBfAE0AZQB0AGgAYQBuAGUAXwBFAHEAdQBhAHQAaQBvAG4AcwAuAFYARQBFAFIARwBfADQAXwA2AF8AMQBfADEAXwBfADIAXwBTAHQAYQBnAGUAMQBNAGUAdABoAGEAbgBlAFAAcgBvAGQAdQBjAHQAaQBvAG4AXwBUAGkAdABsAGUAIgAsACIATQBNAFMAXwBwAG8AdQBsAHQAcgB5AF8ATQBlAHQAaABhAG4AZQBfAEUAcQB1AGEAdABpAG8AbgBzAC4AVgBFAEUAUgBHAF8ANABfADYAXwAxAF8AMQBfAF8AMgBfAFMAdABhAGcAZQAxAE0AZQB0AGgAYQBuAGUAUAByAG8AZAB1AGMAdABpAG8AbgBfAFYAYQByAGkAYQBiAGwAZQAiACwAIgBNAE0AUwBfAHAAbwB1AGwAdAByAHkAXwBNAGUAdABoAGEAbgBlAF8ARQBxAHUAYQB0AGkAbwBuAHMALgBWAEUARQBSAEcAXwA0AF8ANgBfADEAXwAxAF8AXwAyAF8AUwB0AGEAZwBlADEATQBlAHQAaABhAG4AZQBQAHIAbwBkAHUAYwB0AGkAbwBuAF8AVQBuAGkAdAAiACwAIgBNAE0AUwBfAHAAbwB1AGwAdAByAHkAXwBNAGUAdABoAGEAbgBlAF8ARQBxAHUAYQB0AGkAbwBuAHMALgBWAEUARQBSAEcAXwA0AF8ANgBfADEAXwAxAF8AXwAyAF8AUwB0AGEAZwBlADEATQBlAHQAaABhAG4AZQBQAHIAbwBkAHUAYwB0AGkAbwBuAF8AUwBvAHUAcgBjAGUAIgAsACIATQBNAFMAXwBwAG8AdQBsAHQAcgB5AF8ATQBlAHQAaABhAG4AZQBfAEUAcQB1AGEAdABpAG8AbgBzAC4AVgBFAEUAUgBHAF8ANABfADYAXwAxAF8AMQBfAF8AMgBfAFMAdABhAGcAZQAxAE0AZQB0AGgAYQBuAGUAUAByAG8AZAB1AGMAdABpAG8AbgBfAE4ASQBSAFIAZQBmAGUAcgBlAG4AYwBlACIALAAiAE0ATQBTAF8AcABvAHUAbAB0AHIAeQBfAE0AZQB0AGgAYQBuAGUAXwBFAHEAdQBhAHQAaQBvAG4AcwAuAFYARQBFAFIARwBfADQAXwA2AF8AMQBfADEAXwBfADIAXwBTAHQAYQBnAGUAMQBNAGUAdABoAGEAbgBlAFAAcgBvAGQAdQBjAHQAaQBvAG4AXwBMAGEAdABlAHgARQBxAHUAYQB0AGkAbwBuACIALAAiAE0ATQBTAF8AcABvAHUAbAB0AHIAeQBfAE0AZQB0AGgAYQBuAGUAXwBFAHEAdQBhAHQAaQBvAG4AcwAuAFYARQBFAFIARwBfADQAXwA2AF8AMQBfADEAXwBfADIAXwBTAHQAYQBnAGUAMQBNAGUAdABoAGEAbgBlAFAAcgBvAGQAdQBjAHQAaQBvAG4AXwBBAHIAZwB1AG0AZQBuAHQAcwAiACwAIgBNAE0AUwBfAHAAbwB1AGwAdAByAHkAXwBNAGUAdABoAGEAbgBlAF8ARQBxAHUAYQB0AGkAbwBuAHMALgBWAEUARQBSAEcAXwA0AF8ANgBfADEAXwAxAF8AXwAzAF8AUwB0AGEAZwBlADIATQBlAHQAaABhAG4AZQBQAHIAbwBkAHUAYwB0AGkAbwBuACIALAAiAE0ATQBTAF8AcABvAHUAbAB0AHIAeQBfAE0AZQB0AGgAYQBuAGUAXwBFAHEAdQBhAHQAaQBvAG4AcwAuAFYARQBFAFIARwBfADQAXwA2AF8AMQBfADEAXwBfADMAXwBTAHQAYQBnAGUAMgBNAGUAdABoAGEAbgBlAFAAcgBvAGQAdQBjAHQAaQBvAG4AXwBUAGkAdABsAGUAIgAsACIATQBNAFMAXwBwAG8AdQBsAHQAcgB5AF8ATQBlAHQAaABhAG4AZQBfAEUAcQB1AGEAdABpAG8AbgBzAC4AVgBFAEUAUgBHAF8ANABfADYAXwAxAF8AMQBfAF8AMwBfAFMAdABhAGcAZQAyAE0AZQB0AGgAYQBuAGUAUAByAG8AZAB1AGMAdABpAG8AbgBfAFYAYQByAGkAYQBiAGwAZQAiACwAIgBNAE0AUwBfAHAAbwB1AGwAdAByAHkAXwBNAGUAdABoAGEAbgBlAF8ARQBxAHUAYQB0AGkAbwBuAHMALgBWAEUARQBSAEcAXwA0AF8ANgBfADEAXwAxAF8AXwAzAF8AUwB0AGEAZwBlADIATQBlAHQAaABhAG4AZQBQAHIAbwBkAHUAYwB0AGkAbwBuAF8AVQBuAGkAdAAiACwAIgBNAE0AUwBfAHAAbwB1AGwAdAByAHkAXwBNAGUAdABoAGEAbgBlAF8ARQBxAHUAYQB0AGkAbwBuAHMALgBWAEUARQBSAEcAXwA0AF8ANgBfADEAXwAxAF8AXwAzAF8AUwB0AGEAZwBlADIATQBlAHQAaABhAG4AZQBQAHIAbwBkAHUAYwB0AGkAbwBuAF8AUwBvAHUAcgBjAGUAIgAsACIATQBNAFMAXwBwAG8AdQBsAHQAcgB5AF8ATQBlAHQAaABhAG4AZQBfAEUAcQB1AGEAdABpAG8AbgBzAC4AVgBFAEUAUgBHAF8ANABfADYAXwAxAF8AMQBfAF8AMwBfAFMAdABhAGcAZQAyAE0AZQB0AGgAYQBuAGUAUAByAG8AZAB1AGMAdABpAG8AbgBfAE4ASQBSAFIAZQBmAGUAcgBlAG4AYwBlACIALAAiAE0ATQBTAF8AcABvAHUAbAB0AHIAeQBfAE0AZQB0AGgAYQBuAGUAXwBFAHEAdQBhAHQAaQBvAG4AcwAuAFYARQBFAFIARwBfADQAXwA2AF8AMQBfADEAXwBfADMAXwBTAHQAYQBnAGUAMgBNAGUAdABoAGEAbgBlAFAAcgBvAGQAdQBjAHQAaQBvAG4AXwBMAGEAdABlAHgARQBxAHUAYQB0AGkAbwBuACIALAAiAE0ATQBTAF8AcABvAHUAbAB0AHIAeQBfAE0AZQB0AGgAYQBuAGUAXwBFAHEAdQBhAHQAaQBvAG4AcwAuAFYARQBFAFIARwBfADQAXwA2AF8AMQBfADEAXwBfADMAXwBTAHQAYQBnAGUAMgBNAGUAdABoAGEAbgBlAFAAcgBvAGQAdQBjAHQAaQBvAG4AXwBBAHIAZwB1AG0AZQBuAHQAcwAiACwAIgBNAE0AUwBfAHAAbwB1AGwAdAByAHkAXwBNAGUAdABoAGEAbgBlAF8ARQBxAHUAYQB0AGkAbwBuAHMALgBWAEUARQBSAEcAXwA0AF8ANgBfADEAXwAxAF8AXwA0AF8AVgBvAGwAYQB0AGkAbABlAFMAbwBsAGkAZABzAFQAcgBhAG4AcwBmAGUAcgByAGUAZAAiACwAIgBNAE0AUwBfAHAAbwB1AGwAdAByAHkAXwBNAGUAdABoAGEAbgBlAF8ARQBxAHUAYQB0AGkAbwBuAHMALgBWAEUARQBSAEcAXwA0AF8ANgBfADEAXwAxAF8AXwA0AF8AVgBvAGwAYQB0AGkAbABlAFMAbwBsAGkAZABzAFQAcgBhAG4AcwBmAGUAcgByAGUAZABfAFQAaQB0AGwAZQAiACwAIgBNAE0AUwBfAHAAbwB1AGwAdAByAHkAXwBNAGUAdABoAGEAbgBlAF8ARQBxAHUAYQB0AGkAbwBuAHMALgBWAEUARQBSAEcAXwA0AF8ANgBfADEAXwAxAF8AXwA0AF8AVgBvAGwAYQB0AGkAbABlAFMAbwBsAGkAZABzAFQAcgBhAG4AcwBmAGUAcgByAGUAZABfAFYAYQByAGkAYQBiAGwAZQAiACwAIgBNAE0AUwBfAHAAbwB1AGwAdAByAHkAXwBNAGUAdABoAGEAbgBlAF8ARQBxAHUAYQB0AGkAbwBuAHMALgBWAEUARQBSAEcAXwA0AF8ANgBfADEAXwAxAF8AXwA0AF8AVgBvAGwAYQB0AGkAbABlAFMAbwBsAGkAZABzAFQAcgBhAG4AcwBmAGUAcgByAGUAZABfAFUAbgBpAHQAIgAsACIATQBNAFMAXwBwAG8AdQBsAHQAcgB5AF8ATQBlAHQAaABhAG4AZQBfAEUAcQB1AGEAdABpAG8AbgBzAC4AVgBFAEUAUgBHAF8ANABfADYAXwAxAF8AMQBfAF8ANABfAFYAbwBsAGEAdABpAGwAZQBTAG8AbABpAGQAcwBUAHIAYQBuAHMAZgBlAHIAcgBlAGQAXwBTAG8AdQByAGMAZQAiACwAIgBNAE0AUwBfAHAAbwB1AGwAdAByAHkAXwBNAGUAdABoAGEAbgBlAF8ARQBxAHUAYQB0AGkAbwBuAHMALgBWAEUARQBSAEcAXwA0AF8ANgBfADEAXwAxAF8AXwA0AF8AVgBvAGwAYQB0AGkAbABlAFMAbwBsAGkAZABzAFQAcgBhAG4AcwBmAGUAcgByAGUAZABfAE4ASQBSAFIAZQBmAGUAcgBlAG4AYwBlACIALAAiAE0ATQBTAF8AcABvAHUAbAB0AHIAeQBfAE0AZQB0AGgAYQBuAGUAXwBFAHEAdQBhAHQAaQBvAG4AcwAuAFYARQBFAFIARwBfADQAXwA2AF8AMQBfADEAXwBfADQAXwBWAG8AbABhAHQAaQBsAGUAUwBvAGwAaQBkAHMAVAByAGEAbgBzAGYAZQByAHIAZQBkAF8ATABhAHQAZQB4AEUAcQB1AGEAdABpAG8AbgAiACwAIgBNAE0AUwBfAHAAbwB1AGwAdAByAHkAXwBNAGUAdABoAGEAbgBlAF8ARQBxAHUAYQB0AGkAbwBuAHMALgBWAEUARQBSAEcAXwA0AF8ANgBfADEAXwAxAF8AXwA0AF8AVgBvAGwAYQB0AGkAbABlAFMAbwBsAGkAZABzAFQAcgBhAG4AcwBmAGUAcgByAGUAZABfAEEAcgBnAHUAbQBlAG4AdABzACIALAAiAE0ATQBTAF8AcABvAHUAbAB0AHIAeQBfAE0AZQB0AGgAYQBuAGUAXwBFAHEAdQBhAHQAaQBvAG4AcwAuAFYARQBFAFIARwBfADQAXwA2AF8AMQBfADEAXwBfADUAXwBWAG8AbABhAHQAaQBsAGUAUwBvAGwAaQBkAFAAcgBvAGQAdQBjAHQAaQBvAG4AIgAsACIATQBNAFMAXwBwAG8AdQBsAHQAcgB5AF8ATQBlAHQAaABhAG4AZQBfAEUAcQB1AGEAdABpAG8AbgBzAC4AVgBFAEUAUgBHAF8ANABfADYAXwAxAF8AMQBfAF8ANQBfAFYAbwBsAGEAdABpAGwAZQBTAG8AbABpAGQAUAByAG8AZAB1AGMAdABpAG8AbgBfAFQAaQB0AGwAZQAiACwAIgBNAE0AUwBfAHAAbwB1AGwAdAByAHkAXwBNAGUAdABoAGEAbgBlAF8ARQBxAHUAYQB0AGkAbwBuAHMALgBWAEUARQBSAEcAXwA0AF8ANgBfADEAXwAxAF8AXwA1AF8AVgBvAGwAYQB0AGkAbABlAFMAbwBsAGkAZABQAHIAbwBkAHUAYwB0AGkAbwBuAF8AVgBhAHIAaQBhAGIAbABlACIALAAiAE0ATQBTAF8AcABvAHUAbAB0AHIAeQBfAE0AZQB0AGgAYQBuAGUAXwBFAHEAdQBhAHQAaQBvAG4AcwAuAFYARQBFAFIARwBfADQAXwA2AF8AMQBfADEAXwBfADUAXwBWAG8AbABhAHQAaQBsAGUAUwBvAGwAaQBkAFAAcgBvAGQAdQBjAHQAaQBvAG4AXwBVAG4AaQB0ACIALAAiAE0ATQBTAF8AcABvAHUAbAB0AHIAeQBfAE0AZQB0AGgAYQBuAGUAXwBFAHEAdQBhAHQAaQBvAG4AcwAuAFYARQBFAFIARwBfADQAXwA2AF8AMQBfADEAXwBfADUAXwBWAG8AbABhAHQAaQBsAGUAUwBvAGwAaQBkAFAAcgBvAGQAdQBjAHQAaQBvAG4AXwBTAG8AdQByAGMAZQAiACwAIgBNAE0AUwBfAHAAbwB1AGwAdAByAHkAXwBNAGUAdABoAGEAbgBlAF8ARQBxAHUAYQB0AGkAbwBuAHMALgBWAEUARQBSAEcAXwA0AF8ANgBfADEAXwAxAF8AXwA1AF8AVgBvAGwAYQB0AGkAbABlAFMAbwBsAGkAZABQAHIAbwBkAHUAYwB0AGkAbwBuAF8ATgBJAFIAUgBlAGYAZQByAGUAbgBjAGUAIgAsACIATQBNAFMAXwBwAG8AdQBsAHQAcgB5AF8ATQBlAHQAaABhAG4AZQBfAEUAcQB1AGEAdABpAG8AbgBzAC4AVgBFAEUAUgBHAF8ANABfADYAXwAxAF8AMQBfAF8ANQBfAFYAbwBsAGEAdABpAGwAZQBTAG8AbABpAGQAUAByAG8AZAB1AGMAdABpAG8AbgBfAEwAYQB0AGUAeABFAHEAdQBhAHQAaQBvAG4AIgAsACIATQBNAFMAXwBwAG8AdQBsAHQAcgB5AF8ATQBlAHQAaABhAG4AZQBfAEUAcQB1AGEAdABpAG8AbgBzAC4AVgBFAEUAUgBHAF8ANABfADYAXwAxAF8AMQBfAF8ANQBfAFYAbwBsAGEAdABpAGwAZQBTAG8AbABpAGQAUAByAG8AZAB1AGMAdABpAG8AbgBfAEEAcgBnAHUAbQBlAG4AdABzACIALAAiAE0ATQBTAF8AUABvAHUAbAB0AHIAeQBfAE4AMgBPAEQAaQByAGUAYwB0AF8ARQBxAHUAYQB0AGkAbwBuAHMALgBWAEUARQBSAEcAXwA0AF8ANgBfADEAXwAzAF8AXwAxAF8AVABvAHQAYQBsAEEAbgBuAHUAYQBsAEQAaQByAGUAYwB0AE4AaQB0AHIAbwB1AHMATwB4AGkAZABlAEUAbQBpAHMAcwBpAG8AbgBzAEYAcgBvAG0ATQBNAFMAIgAsACIATQBNAFMAXwBQAG8AdQBsAHQAcgB5AF8ATgAyAE8ARABpAHIAZQBjAHQAXwBFAHEAdQBhAHQAaQBvAG4AcwAuAFYARQBFAFIARwBfADQAXwA2AF8AMQBfADMAXwBfADEAXwBUAG8AdABhAGwAQQBuAG4AdQBhAGwARABpAHIAZQBjAHQATgBpAHQAcgBvAHUAcwBPAHgAaQBkAGUARQBtAGkAcwBzAGkAbwBuAHMARgByAG8AbQBNAE0AUwBfAFQAaQB0AGwAZQAiACwAIgBNAE0AUwBfAFAAbwB1AGwAdAByAHkAXwBOADIATwBEAGkAcgBlAGMAdABfAEUAcQB1AGEAdABpAG8AbgBzAC4AVgBFAEUAUgBHAF8ANABfADYAXwAxAF8AMwBfAF8AMQBfAFQAbwB0AGEAbABBAG4AbgB1AGEAbABEAGkAcgBlAGMAdABOAGkAdAByAG8AdQBzAE8AeABpAGQAZQBFAG0AaQBzAHMAaQBvAG4AcwBGAHIAbwBtAE0ATQBTAF8AVgBhAHIAaQBhAGIAbABlACIALAAiAE0ATQBTAF8AUABvAHUAbAB0AHIAeQBfAE4AMgBPAEQAaQByAGUAYwB0AF8ARQBxAHUAYQB0AGkAbwBuAHMALgBWAEUARQBSAEcAXwA0AF8ANgBfADEAXwAzAF8AXwAxAF8AVABvAHQAYQBsAEEAbgBuAHUAYQBsAEQAaQByAGUAYwB0AE4AaQB0AHIAbwB1AHMATwB4AGkAZABlAEUAbQBpAHMAcwBpAG8AbgBzAEYAcgBvAG0ATQBNAFMAXwBVAG4AaQB0ACIALAAiAE0ATQBTAF8AUABvAHUAbAB0AHIAeQBfAE4AMgBPAEQAaQByAGUAYwB0AF8ARQBxAHUAYQB0AGkAbwBuAHMALgBWAEUARQBSAEcAXwA0AF8ANgBfADEAXwAzAF8AXwAxAF8AVABvAHQAYQBsAEEAbgBuAHUAYQBsAEQAaQByAGUAYwB0AE4AaQB0AHIAbwB1AHMATwB4AGkAZABlAEUAbQBpAHMAcwBpAG8AbgBzAEYAcgBvAG0ATQBNAFMAXwBTAG8AdQByAGMAZQAiACwAIgBNAE0AUwBfAFAAbwB1AGwAdAByAHkAXwBOADIATwBEAGkAcgBlAGMAdABfAEUAcQB1AGEAdABpAG8AbgBzAC4AVgBFAEUAUgBHAF8ANABfADYAXwAxAF8AMwBfAF8AMQBfAFQAbwB0AGEAbABBAG4AbgB1AGEAbABEAGkAcgBlAGMAdABOAGkAdAByAG8AdQBzAE8AeABpAGQAZQBFAG0AaQBzAHMAaQBvAG4AcwBGAHIAbwBtAE0ATQBTAF8ATgBJAFIAUgBlAGYAZQByAGUAbgBjAGUAIgAsACIATQBNAFMAXwBQAG8AdQBsAHQAcgB5AF8ATgAyAE8ARABpAHIAZQBjAHQAXwBFAHEAdQBhAHQAaQBvAG4AcwAuAFYARQBFAFIARwBfADQAXwA2AF8AMQBfADMAXwBfADEAXwBUAG8AdABhAGwAQQBuAG4AdQBhAGwARABpAHIAZQBjAHQATgBpAHQAcgBvAHUAcwBPAHgAaQBkAGUARQBtAGkAcwBzAGkAbwBuAHMARgByAG8AbQBNAE0AUwBfAEwAYQB0AGUAeABFAHEAdQBhAHQAaQBvAG4AIgAsACIATQBNAFMAXwBQAG8AdQBsAHQAcgB5AF8ATgAyAE8ARABpAHIAZQBjAHQAXwBFAHEAdQBhAHQAaQBvAG4AcwAuAFYARQBFAFIARwBfADQAXwA2AF8AMQBfADMAXwBfADEAXwBUAG8AdABhAGwAQQBuAG4AdQBhAGwARABpAHIAZQBjAHQATgBpAHQAcgBvAHUAcwBPAHgAaQBkAGUARQBtAGkAcwBzAGkAbwBuAHMARgByAG8AbQBNAE0AUwBfAEEAcgBnAHUAbQBlAG4AdABzACIALAAiAE0ATQBTAF8AUABvAHUAbAB0AHIAeQBfAE4AMgBPAEQAaQByAGUAYwB0AF8ARQBxAHUAYQB0AGkAbwBuAHMALgBWAEUARQBSAEcAXwA0AF8ANgBfADEAXwAzAF8AXwAyAF8AUwB0AGEAZwBlADEATgBpAHQAcgBvAGcAZQBuAEkAbgBNAE0AUwAiACwAIgBNAE0AUwBfAFAAbwB1AGwAdAByAHkAXwBOADIATwBEAGkAcgBlAGMAdABfAEUAcQB1AGEAdABpAG8AbgBzAC4AVgBFAEUAUgBHAF8ANABfADYAXwAxAF8AMwBfAF8AMgBfAFMAdABhAGcAZQAxAE4AaQB0AHIAbwBnAGUAbgBJAG4ATQBNAFMAXwBUAGkAdABsAGUAIgAsACIATQBNAFMAXwBQAG8AdQBsAHQAcgB5AF8ATgAyAE8ARABpAHIAZQBjAHQAXwBFAHEAdQBhAHQAaQBvAG4AcwAuAFYARQBFAFIARwBfADQAXwA2AF8AMQBfADMAXwBfADIAXwBTAHQAYQBnAGUAMQBOAGkAdAByAG8AZwBlAG4ASQBuAE0ATQBTAF8AVgBhAHIAaQBhAGIAbABlACIALAAiAE0ATQBTAF8AUABvAHUAbAB0AHIAeQBfAE4AMgBPAEQAaQByAGUAYwB0AF8ARQBxAHUAYQB0AGkAbwBuAHMALgBWAEUARQBSAEcAXwA0AF8ANgBfADEAXwAzAF8AXwAyAF8AUwB0AGEAZwBlADEATgBpAHQAcgBvAGcAZQBuAEkAbgBNAE0AUwBfAFUAbgBpAHQAIgAsACIATQBNAFMAXwBQAG8AdQBsAHQAcgB5AF8ATgAyAE8ARABpAHIAZQBjAHQAXwBFAHEAdQBhAHQAaQBvAG4AcwAuAFYARQBFAFIARwBfADQAXwA2AF8AMQBfADMAXwBfADIAXwBTAHQAYQBnAGUAMQBOAGkAdAByAG8AZwBlAG4ASQBuAE0ATQBTAF8AUwBvAHUAcgBjAGUAIgAsACIATQBNAFMAXwBQAG8AdQBsAHQAcgB5AF8ATgAyAE8ARABpAHIAZQBjAHQAXwBFAHEAdQBhAHQAaQBvAG4AcwAuAFYARQBFAFIARwBfADQAXwA2AF8AMQBfADMAXwBfADIAXwBTAHQAYQBnAGUAMQBOAGkAdAByAG8AZwBlAG4ASQBuAE0ATQBTAF8ATgBJAFIAUgBlAGYAZQByAGUAbgBjAGUAIgAsACIATQBNAFMAXwBQAG8AdQBsAHQAcgB5AF8ATgAyAE8ARABpAHIAZQBjAHQAXwBFAHEAdQBhAHQAaQBvAG4AcwAuAFYARQBFAFIARwBfADQAXwA2AF8AMQBfADMAXwBfADIAXwBTAHQAYQBnAGUAMQBOAGkAdAByAG8AZwBlAG4ASQBuAE0ATQBTAF8ATABhAHQAZQB4AEUAcQB1AGEAdABpAG8AbgAiACwAIgBNAE0AUwBfAFAAbwB1AGwAdAByAHkAXwBOADIATwBEAGkAcgBlAGMAdABfAEUAcQB1AGEAdABpAG8AbgBzAC4AVgBFAEUAUgBHAF8ANABfADYAXwAxAF8AMwBfAF8AMgBfAFMAdABhAGcAZQAxAE4AaQB0AHIAbwBnAGUAbgBJAG4ATQBNAFMAXwBBAHIAZwB1AG0AZQBuAHQAcwAiACwAIgBNAE0AUwBfAFAAbwB1AGwAdAByAHkAXwBOADIATwBEAGkAcgBlAGMAdABfAEUAcQB1AGEAdABpAG8AbgBzAC4AVgBFAEUAUgBHAF8ANABfADYAXwAxAF8AMwBfAF8AMwBfAEEAbgBuAHUAYQBsAE4AaQB0AHIAbwBnAGUAbgBFAHgAYwByAGUAdABpAG8AbgAiACwAIgBNAE0AUwBfAFAAbwB1AGwAdAByAHkAXwBOADIATwBEAGkAcgBlAGMAdABfAEUAcQB1AGEAdABpAG8AbgBzAC4AVgBFAEUAUgBHAF8ANABfADYAXwAxAF8AMwBfAF8AMwBfAEEAbgBuAHUAYQBsAE4AaQB0AHIAbwBnAGUAbgBFAHgAYwByAGUAdABpAG8AbgBfAFQAaQB0AGwAZQAiACwAIgBNAE0AUwBfAFAAbwB1AGwAdAByAHkAXwBOADIATwBEAGkAcgBlAGMAdABfAEUAcQB1AGEAdABpAG8AbgBzAC4AVgBFAEUAUgBHAF8ANABfADYAXwAxAF8AMwBfAF8AMwBfAEEAbgBuAHUAYQBsAE4AaQB0AHIAbwBnAGUAbgBFAHgAYwByAGUAdABpAG8AbgBfAFYAYQByAGkAYQBiAGwAZQAiACwAIgBNAE0AUwBfAFAAbwB1AGwAdAByAHkAXwBOADIATwBEAGkAcgBlAGMAdABfAEUAcQB1AGEAdABpAG8AbgBzAC4AVgBFAEUAUgBHAF8ANABfADYAXwAxAF8AMwBfAF8AMwBfAEEAbgBuAHUAYQBsAE4AaQB0AHIAbwBnAGUAbgBFAHgAYwByAGUAdABpAG8AbgBfAFUAbgBpAHQAIgAsACIATQBNAFMAXwBQAG8AdQBsAHQAcgB5AF8ATgAyAE8ARABpAHIAZQBjAHQAXwBFAHEAdQBhAHQAaQBvAG4AcwAuAFYARQBFAFIARwBfADQAXwA2AF8AMQBfADMAXwBfADMAXwBBAG4AbgB1AGEAbABOAGkAdAByAG8AZwBlAG4ARQB4AGMAcgBlAHQAaQBvAG4AXwBTAG8AdQByAGMAZQAiACwAIgBNAE0AUwBfAFAAbwB1AGwAdAByAHkAXwBOADIATwBEAGkAcgBlAGMAdABfAEUAcQB1AGEAdABpAG8AbgBzAC4AVgBFAEUAUgBHAF8ANABfADYAXwAxAF8AMwBfAF8AMwBfAEEAbgBuAHUAYQBsAE4AaQB0AHIAbwBnAGUAbgBFAHgAYwByAGUAdABpAG8AbgBfAE4ASQBSAFIAZQBmAGUAcgBlAG4AYwBlACIALAAiAE0ATQBTAF8AUABvAHUAbAB0AHIAeQBfAE4AMgBPAEQAaQByAGUAYwB0AF8ARQBxAHUAYQB0AGkAbwBuAHMALgBWAEUARQBSAEcAXwA0AF8ANgBfADEAXwAzAF8AXwAzAF8AQQBuAG4AdQBhAGwATgBpAHQAcgBvAGcAZQBuAEUAeABjAHIAZQB0AGkAbwBuAF8ATABhAHQAZQB4AEUAcQB1AGEAdABpAG8AbgAiACwAIgBNAE0AUwBfAFAAbwB1AGwAdAByAHkAXwBOADIATwBEAGkAcgBlAGMAdABfAEUAcQB1AGEAdABpAG8AbgBzAC4AVgBFAEUAUgBHAF8ANABfADYAXwAxAF8AMwBfAF8AMwBfAEEAbgBuAHUAYQBsAE4AaQB0AHIAbwBnAGUAbgBFAHgAYwByAGUAdABpAG8AbgBfAEEAcgBnAHUAbQBlAG4AdABzACIALAAiAE0ATQBTAF8AUABvAHUAbAB0AHIAeQBfAE4AMgBPAEQAaQByAGUAYwB0AF8ARQBxAHUAYQB0AGkAbwBuAHMALgBWAEUARQBSAEcAXwA0AF8ANgBfADEAXwAzAF8AXwA0AF8ATgBpAHQAcgBvAGcAZQBuAEUAeABjAHIAZQB0AGkAbwBuAFAAZQByAEIAaQByAGQAIgAsACIATQBNAFMAXwBQAG8AdQBsAHQAcgB5AF8ATgAyAE8ARABpAHIAZQBjAHQAXwBFAHEAdQBhAHQAaQBvAG4AcwAuAFYARQBFAFIARwBfADQAXwA2AF8AMQBfADMAXwBfADQAXwBOAGkAdAByAG8AZwBlAG4ARQB4AGMAcgBlAHQAaQBvAG4AUABlAHIAQgBpAHIAZABfAFQAaQB0AGwAZQAiACwAIgBNAE0AUwBfAFAAbwB1AGwAdAByAHkAXwBOADIATwBEAGkAcgBlAGMAdABfAEUAcQB1AGEAdABpAG8AbgBzAC4AVgBFAEUAUgBHAF8ANABfADYAXwAxAF8AMwBfAF8ANABfAE4AaQB0AHIAbwBnAGUAbgBFAHgAYwByAGUAdABpAG8AbgBQAGUAcgBCAGkAcgBkAF8AVgBhAHIAaQBhAGIAbABlACIALAAiAE0ATQBTAF8AUABvAHUAbAB0AHIAeQBfAE4AMgBPAEQAaQByAGUAYwB0AF8ARQBxAHUAYQB0AGkAbwBuAHMALgBWAEUARQBSAEcAXwA0AF8ANgBfADEAXwAzAF8AXwA0AF8ATgBpAHQAcgBvAGcAZQBuAEUAeABjAHIAZQB0AGkAbwBuAFAAZQByAEIAaQByAGQAXwBVAG4AaQB0ACIALAAiAE0ATQBTAF8AUABvAHUAbAB0AHIAeQBfAE4AMgBPAEQAaQByAGUAYwB0AF8ARQBxAHUAYQB0AGkAbwBuAHMALgBWAEUARQBSAEcAXwA0AF8ANgBfADEAXwAzAF8AXwA0AF8ATgBpAHQAcgBvAGcAZQBuAEUAeABjAHIAZQB0AGkAbwBuAFAAZQByAEIAaQByAGQAXwBTAG8AdQByAGMAZQAiACwAIgBNAE0AUwBfAFAAbwB1AGwAdAByAHkAXwBOADIATwBEAGkAcgBlAGMAdABfAEUAcQB1AGEAdABpAG8AbgBzAC4AVgBFAEUAUgBHAF8ANABfADYAXwAxAF8AMwBfAF8ANABfAE4AaQB0AHIAbwBnAGUAbgBFAHgAYwByAGUAdABpAG8AbgBQAGUAcgBCAGkAcgBkAF8ATgBJAFIAUgBlAGYAZQByAGUAbgBjAGUAIgAsACIATQBNAFMAXwBQAG8AdQBsAHQAcgB5AF8ATgAyAE8ARABpAHIAZQBjAHQAXwBFAHEAdQBhAHQAaQBvAG4AcwAuAFYARQBFAFIARwBfADQAXwA2AF8AMQBfADMAXwBfADQAXwBOAGkAdAByAG8AZwBlAG4ARQB4AGMAcgBlAHQAaQBvAG4AUABlAHIAQgBpAHIAZABfAEwAYQB0AGUAeABFAHEAdQBhAHQAaQBvAG4AIgAsACIATQBNAFMAXwBQAG8AdQBsAHQAcgB5AF8ATgAyAE8ARABpAHIAZQBjAHQAXwBFAHEAdQBhAHQAaQBvAG4AcwAuAFYARQBFAFIARwBfADQAXwA2AF8AMQBfADMAXwBfADQAXwBOAGkAdAByAG8AZwBlAG4ARQB4AGMAcgBlAHQAaQBvAG4AUABlAHIAQgBpAHIAZABfAEEAcgBnAHUAbQBlAG4AdABzACIALAAiAE0ATQBTAF8AUABvAHUAbAB0AHIAeQBfAE4AMgBPAEQAaQByAGUAYwB0AF8ARQBxAHUAYQB0AGkAbwBuAHMALgBWAEUARQBSAEcAXwA0AF8ANgBfADEAXwAzAF8AXwA1AF8ATgBpAHQAcgBvAGcAZQBuAEkAbgB0AGEAawBlACIALAAiAE0ATQBTAF8AUABvAHUAbAB0AHIAeQBfAE4AMgBPAEQAaQByAGUAYwB0AF8ARQBxAHUAYQB0AGkAbwBuAHMALgBWAEUARQBSAEcAXwA0AF8ANgBfADEAXwAzAF8AXwA1AF8ATgBpAHQAcgBvAGcAZQBuAEkAbgB0AGEAawBlAF8AVABpAHQAbABlACIALAAiAE0ATQBTAF8AUABvAHUAbAB0AHIAeQBfAE4AMgBPAEQAaQByAGUAYwB0AF8ARQBxAHUAYQB0AGkAbwBuAHMALgBWAEUARQBSAEcAXwA0AF8ANgBfADEAXwAzAF8AXwA1AF8ATgBpAHQAcgBvAGcAZQBuAEkAbgB0AGEAawBlAF8AVgBhAHIAaQBhAGIAbABlACIALAAiAE0ATQBTAF8AUABvAHUAbAB0AHIAeQBfAE4AMgBPAEQAaQByAGUAYwB0AF8ARQBxAHUAYQB0AGkAbwBuAHMALgBWAEUARQBSAEcAXwA0AF8ANgBfADEAXwAzAF8AXwA1AF8ATgBpAHQAcgBvAGcAZQBuAEkAbgB0AGEAawBlAF8AVQBuAGkAdAAiACwAIgBNAE0AUwBfAFAAbwB1AGwAdAByAHkAXwBOADIATwBEAGkAcgBlAGMAdABfAEUAcQB1AGEAdABpAG8AbgBzAC4AVgBFAEUAUgBHAF8ANABfADYAXwAxAF8AMwBfAF8ANQBfAE4AaQB0AHIAbwBnAGUAbgBJAG4AdABhAGsAZQBfAFMAbwB1AHIAYwBlACIALAAiAE0ATQBTAF8AUABvAHUAbAB0AHIAeQBfAE4AMgBPAEQAaQByAGUAYwB0AF8ARQBxAHUAYQB0AGkAbwBuAHMALgBWAEUARQBSAEcAXwA0AF8ANgBfADEAXwAzAF8AXwA1AF8ATgBpAHQAcgBvAGcAZQBuAEkAbgB0AGEAawBlAF8ATgBJAFIAUgBlAGYAZQByAGUAbgBjAGUAIgAsACIATQBNAFMAXwBQAG8AdQBsAHQAcgB5AF8ATgAyAE8ARABpAHIAZQBjAHQAXwBFAHEAdQBhAHQAaQBvAG4AcwAuAFYARQBFAFIARwBfADQAXwA2AF8AMQBfADMAXwBfADUAXwBOAGkAdAByAG8AZwBlAG4ASQBuAHQAYQBrAGUAXwBMAGEAdABlAHgARQBxAHUAYQB0AGkAbwBuACIALAAiAE0ATQBTAF8AUABvAHUAbAB0AHIAeQBfAE4AMgBPAEQAaQByAGUAYwB0AF8ARQBxAHUAYQB0AGkAbwBuAHMALgBWAEUARQBSAEcAXwA0AF8ANgBfADEAXwAzAF8AXwA1AF8ATgBpAHQAcgBvAGcAZQBuAEkAbgB0AGEAawBlAF8AQQByAGcAdQBtAGUAbgB0AHMAIgAsACIATQBNAFMAXwBQAG8AdQBsAHQAcgB5AF8ATgAyAE8ARABpAHIAZQBjAHQAXwBFAHEAdQBhAHQAaQBvAG4AcwAuAFYARQBFAFIARwBfADQAXwA2AF8AMQBfADMAXwBfADYAXwBTAHQAYQBnAGUAMgBOAGkAdAByAG8AZwBlAG4ASQBuAE0ATQBTACIALAAiAE0ATQBTAF8AUABvAHUAbAB0AHIAeQBfAE4AMgBPAEQAaQByAGUAYwB0AF8ARQBxAHUAYQB0AGkAbwBuAHMALgBWAEUARQBSAEcAXwA0AF8ANgBfADEAXwAzAF8AXwA2AF8AUwB0AGEAZwBlADIATgBpAHQAcgBvAGcAZQBuAEkAbgBNAE0AUwBfAFQAaQB0AGwAZQAiACwAIgBNAE0AUwBfAFAAbwB1AGwAdAByAHkAXwBOADIATwBEAGkAcgBlAGMAdABfAEUAcQB1AGEAdABpAG8AbgBzAC4AVgBFAEUAUgBHAF8ANABfADYAXwAxAF8AMwBfAF8ANgBfAFMAdABhAGcAZQAyAE4AaQB0AHIAbwBnAGUAbgBJAG4ATQBNAFMAXwBWAGEAcgBpAGEAYgBsAGUAIgAsACIATQBNAFMAXwBQAG8AdQBsAHQAcgB5AF8ATgAyAE8ARABpAHIAZQBjAHQAXwBFAHEAdQBhAHQAaQBvAG4AcwAuAFYARQBFAFIARwBfADQAXwA2AF8AMQBfADMAXwBfADYAXwBTAHQAYQBnAGUAMgBOAGkAdAByAG8AZwBlAG4ASQBuAE0ATQBTAF8AVQBuAGkAdAAiACwAIgBNAE0AUwBfAFAAbwB1AGwAdAByAHkAXwBOADIATwBEAGkAcgBlAGMAdABfAEUAcQB1AGEAdABpAG8AbgBzAC4AVgBFAEUAUgBHAF8ANABfADYAXwAxAF8AMwBfAF8ANgBfAFMAdABhAGcAZQAyAE4AaQB0AHIAbwBnAGUAbgBJAG4ATQBNAFMAXwBTAG8AdQByAGMAZQAiACwAIgBNAE0AUwBfAFAAbwB1AGwAdAByAHkAXwBOADIATwBEAGkAcgBlAGMAdABfAEUAcQB1AGEAdABpAG8AbgBzAC4AVgBFAEUAUgBHAF8ANABfADYAXwAxAF8AMwBfAF8ANgBfAFMAdABhAGcAZQAyAE4AaQB0AHIAbwBnAGUAbgBJAG4ATQBNAFMAXwBOAEkAUgBSAGUAZgBlAHIAZQBuAGMAZQAiACwAIgBNAE0AUwBfAFAAbwB1AGwAdAByAHkAXwBOADIATwBEAGkAcgBlAGMAdABfAEUAcQB1AGEAdABpAG8AbgBzAC4AVgBFAEUAUgBHAF8ANABfADYAXwAxAF8AMwBfAF8ANgBfAFMAdABhAGcAZQAyAE4AaQB0AHIAbwBnAGUAbgBJAG4ATQBNAFMAXwBMAGEAdABlAHgARQBxAHUAYQB0AGkAbwBuACIALAAiAE0ATQBTAF8AUABvAHUAbAB0AHIAeQBfAE4AMgBPAEQAaQByAGUAYwB0AF8ARQBxAHUAYQB0AGkAbwBuAHMALgBWAEUARQBSAEcAXwA0AF8ANgBfADEAXwAzAF8AXwA2AF8AUwB0AGEAZwBlADIATgBpAHQAcgBvAGcAZQBuAEkAbgBNAE0AUwBfAEEAcgBnAHUAbQBlAG4AdABzACIALAAiAE0ATQBTAF8AUABvAHUAbAB0AHIAeQBfAE4AMgBPAEQAaQByAGUAYwB0AF8ARQBxAHUAYQB0AGkAbwBuAHMALgBWAEUARQBSAEcAXwA0AF8ANgBfADEAXwAzAF8AXwA3AF8ATgBpAHQAcgBvAGcAZQBuAFQAcgBhAG4AcwBmAGUAcgByAGUAZABUAG8AUwB0AGEAZwBlADIATQBNAFMAIgAsACIATQBNAFMAXwBQAG8AdQBsAHQAcgB5AF8ATgAyAE8ARABpAHIAZQBjAHQAXwBFAHEAdQBhAHQAaQBvAG4AcwAuAFYARQBFAFIARwBfADQAXwA2AF8AMQBfADMAXwBfADcAXwBOAGkAdAByAG8AZwBlAG4AVAByAGEAbgBzAGYAZQByAHIAZQBkAFQAbwBTAHQAYQBnAGUAMgBNAE0AUwBfAFQAaQB0AGwAZQAiACwAIgBNAE0AUwBfAFAAbwB1AGwAdAByAHkAXwBOADIATwBEAGkAcgBlAGMAdABfAEUAcQB1AGEAdABpAG8AbgBzAC4AVgBFAEUAUgBHAF8ANABfADYAXwAxAF8AMwBfAF8ANwBfAE4AaQB0AHIAbwBnAGUAbgBUAHIAYQBuAHMAZgBlAHIAcgBlAGQAVABvAFMAdABhAGcAZQAyAE0ATQBTAF8AVgBhAHIAaQBhAGIAbABlACIALAAiAE0ATQBTAF8AUABvAHUAbAB0AHIAeQBfAE4AMgBPAEQAaQByAGUAYwB0AF8ARQBxAHUAYQB0AGkAbwBuAHMALgBWAEUARQBSAEcAXwA0AF8ANgBfADEAXwAzAF8AXwA3AF8ATgBpAHQAcgBvAGcAZQBuAFQAcgBhAG4AcwBmAGUAcgByAGUAZABUAG8AUwB0AGEAZwBlADIATQBNAFMAXwBVAG4AaQB0ACIALAAiAE0ATQBTAF8AUABvAHUAbAB0AHIAeQBfAE4AMgBPAEQAaQByAGUAYwB0AF8ARQBxAHUAYQB0AGkAbwBuAHMALgBWAEUARQBSAEcAXwA0AF8ANgBfADEAXwAzAF8AXwA3AF8ATgBpAHQAcgBvAGcAZQBuAFQAcgBhAG4AcwBmAGUAcgByAGUAZABUAG8AUwB0AGEAZwBlADIATQBNAFMAXwBTAG8AdQByAGMAZQAiACwAIgBNAE0AUwBfAFAAbwB1AGwAdAByAHkAXwBOADIATwBEAGkAcgBlAGMAdABfAEUAcQB1AGEAdABpAG8AbgBzAC4AVgBFAEUAUgBHAF8ANABfADYAXwAxAF8AMwBfAF8ANwBfAE4AaQB0AHIAbwBnAGUAbgBUAHIAYQBuAHMAZgBlAHIAcgBlAGQAVABvAFMAdABhAGcAZQAyAE0ATQBTAF8ATgBJAFIAUgBlAGYAZQByAGUAbgBjAGUAIgAsACIATQBNAFMAXwBQAG8AdQBsAHQAcgB5AF8ATgAyAE8ARABpAHIAZQBjAHQAXwBFAHEAdQBhAHQAaQBvAG4AcwAuAFYARQBFAFIARwBfADQAXwA2AF8AMQBfADMAXwBfADcAXwBOAGkAdAByAG8AZwBlAG4AVAByAGEAbgBzAGYAZQByAHIAZQBkAFQAbwBTAHQAYQBnAGUAMgBNAE0AUwBfAEwAYQB0AGUAeABFAHEAdQBhAHQAaQBvAG4AIgAsACIATQBNAFMAXwBQAG8AdQBsAHQAcgB5AF8ATgAyAE8ARABpAHIAZQBjAHQAXwBFAHEAdQBhAHQAaQBvAG4AcwAuAFYARQBFAFIARwBfADQAXwA2AF8AMQBfADMAXwBfADcAXwBOAGkAdAByAG8AZwBlAG4AVAByAGEAbgBzAGYAZQByAHIAZQBkAFQAbwBTAHQAYQBnAGUAMgBNAE0AUw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==</AFEJSONBlob>
</file>

<file path=customXml/itemProps1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customXml/itemProps4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Home</vt:lpstr>
      <vt:lpstr>Results</vt:lpstr>
      <vt:lpstr>Input - Site</vt:lpstr>
      <vt:lpstr>Input - Poultry</vt:lpstr>
      <vt:lpstr>4.6.1.1-2 Methane</vt:lpstr>
      <vt:lpstr>4.6.1.3-4 Direct N20</vt:lpstr>
      <vt:lpstr>4.5.1.5-6 Atmos Dep</vt:lpstr>
      <vt:lpstr>4.5.1.7-8 Leaching and runoff</vt:lpstr>
      <vt:lpstr>4.5.1.9 Manure applied to soils</vt:lpstr>
      <vt:lpstr>Constants - Poultry</vt:lpstr>
      <vt:lpstr>Constants - Common</vt:lpstr>
      <vt:lpstr>Constants - Livestock</vt:lpstr>
      <vt:lpstr>Acknowledgements</vt:lpstr>
      <vt:lpstr>Tab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2026-04-14T08:45:09Z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