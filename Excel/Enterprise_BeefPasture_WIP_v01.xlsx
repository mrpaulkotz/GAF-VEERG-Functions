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F7DECE2C-0C72-451E-95D9-13C2377D964E}" xr6:coauthVersionLast="47" xr6:coauthVersionMax="47" xr10:uidLastSave="{00000000-0000-0000-0000-000000000000}"/>
  <bookViews>
    <workbookView xWindow="165" yWindow="90" windowWidth="29010" windowHeight="17280" activeTab="1" xr2:uid="{992023F3-CAB7-4E5B-A348-08D563A0EF40}"/>
  </bookViews>
  <sheets>
    <sheet name="Home" sheetId="71" r:id="rId1"/>
    <sheet name="Results" sheetId="13" r:id="rId2"/>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4_2_1_1__1_TotalAnnualMethaneProductionFromManureManagement_Result_Method1">#REF!</definedName>
    <definedName name="VEERG_4_2_1_1__1_TotalAnnualMethaneProductionFromManureManagement_Result_Method2">#REF!</definedName>
    <definedName name="VEERG_4_2_1_3__1_DirectNitrousOxideEmissionsOnPasture_Result_Method1">#REF!</definedName>
    <definedName name="VEERG_4_2_1_3__1_DirectNitrousOxideEmissionsOnPasture_Result_Method2">#REF!</definedName>
    <definedName name="VEERG_4_2_1_5__1_AtmosphericDepositionEmissionsFromUrineAndDungOnPasture_Result_Method1">#REF!</definedName>
    <definedName name="VEERG_4_2_1_5__1_AtmosphericDepositionEmissionsFromUrineAndDungOnPasture_Result_Method2">#REF!</definedName>
    <definedName name="VEERG_4_2_1_7__1_LeachingAndRunoffEmissionsFromUrineAndDungOnPasture_Result_Method1">#REF!</definedName>
    <definedName name="VEERG_4_2_1_7__1_LeachingAndRunoffEmissionsFromUrineAndDungOnPasture_Result_Method2">#REF!</definedName>
    <definedName name="X_Cell_PastureBeef_Breed">#REF!</definedName>
    <definedName name="X_Cell_PastureBeef_FencedWater">#REF!</definedName>
    <definedName name="X_Cell_PastureBeef_GrazingIrrigationMethod">#REF!</definedName>
    <definedName name="X_Cell_PastureBeef_GrazingProductionSystem">#REF!</definedName>
    <definedName name="X_Cell_PastureBeef_ProductionRegion">#REF!</definedName>
    <definedName name="X_Cell_Site_AverageTemperature">#REF!</definedName>
    <definedName name="X_Cell_Site_ClimateZone">#REF!</definedName>
    <definedName name="X_Cell_Site_Elevation">#REF!</definedName>
    <definedName name="X_Cell_Site_FarmName">#REF!</definedName>
    <definedName name="X_Cell_Site_FrostDays">#REF!</definedName>
    <definedName name="X_Cell_Site_LeachingZone">#REF!</definedName>
    <definedName name="X_Cell_Site_MapPetRatio">#REF!</definedName>
    <definedName name="X_Cell_Site_PotentialEvapotranspiration">#REF!</definedName>
    <definedName name="X_Cell_Site_RainfallZone">#REF!</definedName>
    <definedName name="X_Cell_Site_Region">#REF!</definedName>
    <definedName name="X_Cell_Site_ReportingEntityName">#REF!</definedName>
    <definedName name="X_Cell_Site_StartDate">#REF!</definedName>
    <definedName name="X_Cell_Site_State">#REF!</definedName>
    <definedName name="X_Cell_Site_TemperatureZone">#REF!</definedName>
    <definedName name="X_Cell_Site_TotalRainfall">#REF!</definedName>
    <definedName name="X_Cell_Site_WetOrDryClimateZone">#REF!</definedName>
    <definedName name="X_Table_PastureBeef_CrudeProtein_Method1">#REF!</definedName>
    <definedName name="X_Table_PastureBeef_CrudeProtein_Method2">#REF!</definedName>
    <definedName name="X_Table_PastureBeef_DryMatterDigestibility_Method1">#REF!</definedName>
    <definedName name="X_Table_PastureBeef_DryMatterDigestibility_Method2">#REF!</definedName>
    <definedName name="X_Table_PastureBeef_Duration_Method1">#REF!</definedName>
    <definedName name="X_Table_PastureBeef_Duration_Method2">#REF!</definedName>
    <definedName name="X_Table_PastureBeef_Head_Method1">#REF!</definedName>
    <definedName name="X_Table_PastureBeef_Head_Method2">#REF!</definedName>
    <definedName name="X_Table_PastureBeef_Liveweight_Method1">#REF!</definedName>
    <definedName name="X_Table_PastureBeef_Liveweight_Method2">#REF!</definedName>
    <definedName name="X_Table_PastureBeef_LiveweightGain_Method1">#REF!</definedName>
    <definedName name="X_Table_PastureBeef_LiveweightGain_Method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13" l="1"/>
  <c r="G10" i="13" l="1"/>
  <c r="A20" i="13" l="1"/>
  <c r="A19" i="13"/>
  <c r="A18" i="13"/>
  <c r="A17" i="13"/>
  <c r="A14" i="13"/>
  <c r="A13" i="13"/>
  <c r="A12" i="13"/>
  <c r="A11" i="13"/>
  <c r="A8" i="13"/>
  <c r="A7" i="13"/>
  <c r="A4" i="13"/>
  <c r="A3" i="13"/>
  <c r="H7" i="13" l="1"/>
  <c r="I7" i="13" l="1"/>
  <c r="E7" i="13"/>
  <c r="E10" i="13"/>
  <c r="H10" i="13"/>
  <c r="H9" i="13"/>
  <c r="E9" i="13"/>
  <c r="H8" i="13"/>
  <c r="E8" i="13"/>
  <c r="F7" i="13" l="1"/>
  <c r="H11" i="13"/>
  <c r="I10" i="13" l="1"/>
  <c r="F10" i="13"/>
  <c r="I9" i="13"/>
  <c r="F9" i="13"/>
  <c r="I8" i="13"/>
  <c r="F8" i="13"/>
  <c r="I11"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<sst xmlns="http://schemas.openxmlformats.org/spreadsheetml/2006/main" count="25" uniqueCount="21">
  <si>
    <t>Home</t>
  </si>
  <si>
    <t>INPUTS</t>
  </si>
  <si>
    <t>APPENDICES</t>
  </si>
  <si>
    <t>Emissions breakdown</t>
  </si>
  <si>
    <t>CALCULATIONS</t>
  </si>
  <si>
    <t>Scope 1 source</t>
  </si>
  <si>
    <t>Total</t>
  </si>
  <si>
    <t>GHG Unit</t>
  </si>
  <si>
    <t>CO2-e unit</t>
  </si>
  <si>
    <t>t CH4</t>
  </si>
  <si>
    <t>t CO2e</t>
  </si>
  <si>
    <t>GHG emissions method 1</t>
  </si>
  <si>
    <t>GHG emissions method 2</t>
  </si>
  <si>
    <t>CO2-e emissions method 1</t>
  </si>
  <si>
    <t>CO2-e emissions method 2</t>
  </si>
  <si>
    <t>4.2 Manure management: Pasture Beef: Results</t>
  </si>
  <si>
    <t>4.2.1.1-2 Manure methane</t>
  </si>
  <si>
    <t>t N2O</t>
  </si>
  <si>
    <t>4.2.1.3-4 Soil direct N2O</t>
  </si>
  <si>
    <t>4.2.1.5-6 Soil atmospheric deposition</t>
  </si>
  <si>
    <t>4.2.1.7-8 Soil leaching and runoff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</si>
</sst>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0"/>
    <numFmt numFmtId="165" formatCode="#,##0.000"/>
    <numFmt numFmtId="166" formatCode="d/mm/yyyy;@"/>
    <numFmt numFmtId="168" formatCode="[$-C09]dd\-mmmm\-yyyy;@"/>
    <numFmt numFmtId="169" formatCode="#,##0.000000"/>
  </numFmts>
  <fonts count="4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s>
  <borders count="6">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s>
  <cellStyleXfs count="66">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7" fillId="4" borderId="0">
      <alignment horizontal="left" vertical="center"/>
    </xf>
    <xf numFmtId="0" fontId="31" fillId="4" borderId="0">
      <alignment vertical="center"/>
    </xf>
    <xf numFmtId="0" fontId="3" fillId="4" borderId="0">
      <alignment horizontal="left" vertical="center"/>
    </xf>
    <xf numFmtId="0" fontId="2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1" fillId="0" borderId="0">
      <alignment horizontal="left" vertical="center" indent="2"/>
    </xf>
    <xf numFmtId="0" fontId="32" fillId="13" borderId="5">
      <alignment horizontal="left" vertical="center"/>
    </xf>
    <xf numFmtId="3" fontId="25" fillId="4" borderId="2">
      <alignment horizontal="center" vertical="center"/>
    </xf>
    <xf numFmtId="168" fontId="2" fillId="0" borderId="2">
      <alignment horizontal="center" vertical="center"/>
    </xf>
    <xf numFmtId="0" fontId="26" fillId="0" borderId="0"/>
    <xf numFmtId="0" fontId="9" fillId="0" borderId="0"/>
    <xf numFmtId="0" fontId="26" fillId="0" borderId="0"/>
    <xf numFmtId="166" fontId="25" fillId="4" borderId="2">
      <alignment horizontal="center" vertical="center"/>
    </xf>
    <xf numFmtId="4" fontId="25" fillId="4" borderId="2">
      <alignment horizontal="center" vertical="center"/>
    </xf>
    <xf numFmtId="0" fontId="36" fillId="4" borderId="0">
      <alignment horizontal="left" vertical="center"/>
    </xf>
    <xf numFmtId="0" fontId="28" fillId="4" borderId="0" applyNumberFormat="0">
      <alignment horizontal="center" vertical="center"/>
    </xf>
    <xf numFmtId="165" fontId="25" fillId="4" borderId="2">
      <alignment horizontal="center" vertical="center"/>
    </xf>
    <xf numFmtId="0" fontId="24" fillId="4" borderId="0">
      <alignment horizontal="left" vertical="center"/>
    </xf>
    <xf numFmtId="169" fontId="25" fillId="4" borderId="2">
      <alignment horizontal="center" vertical="center"/>
    </xf>
    <xf numFmtId="0" fontId="25" fillId="4" borderId="2">
      <alignment horizontal="center" vertical="center"/>
    </xf>
    <xf numFmtId="0" fontId="6" fillId="4" borderId="0">
      <alignment horizontal="left" vertical="center"/>
    </xf>
    <xf numFmtId="0" fontId="30" fillId="4" borderId="0">
      <alignment horizontal="left" vertical="center"/>
    </xf>
    <xf numFmtId="0" fontId="9" fillId="0" borderId="0"/>
    <xf numFmtId="0" fontId="2" fillId="0" borderId="2">
      <alignment horizontal="center" vertical="center"/>
    </xf>
    <xf numFmtId="0" fontId="34" fillId="4" borderId="0">
      <alignment horizontal="left" vertical="center"/>
    </xf>
    <xf numFmtId="0" fontId="35" fillId="4" borderId="0">
      <alignment horizontal="left" vertical="center"/>
    </xf>
    <xf numFmtId="0" fontId="37" fillId="4" borderId="0">
      <alignment horizontal="left" vertical="center"/>
    </xf>
    <xf numFmtId="0" fontId="33" fillId="11" borderId="0">
      <alignment horizontal="center" vertical="center"/>
    </xf>
    <xf numFmtId="0" fontId="20" fillId="11" borderId="0">
      <alignment horizontal="left" vertical="center" indent="1"/>
    </xf>
    <xf numFmtId="0" fontId="39" fillId="4" borderId="2">
      <alignment horizontal="left" vertical="center"/>
    </xf>
    <xf numFmtId="0" fontId="25" fillId="4" borderId="2">
      <alignment horizontal="left" vertical="center"/>
    </xf>
    <xf numFmtId="0" fontId="40" fillId="14" borderId="2">
      <alignment horizontal="center" vertical="center"/>
    </xf>
    <xf numFmtId="0" fontId="41" fillId="15" borderId="2">
      <alignment horizontal="center" vertical="center"/>
    </xf>
  </cellStyleXfs>
  <cellXfs count="26">
    <xf numFmtId="0" fontId="0" fillId="0" borderId="0" xfId="0"/>
    <xf numFmtId="0" fontId="29" fillId="4" borderId="0" xfId="8">
      <alignment horizontal="left" vertical="center"/>
    </xf>
    <xf numFmtId="0" fontId="27" fillId="4" borderId="0" xfId="5">
      <alignment horizontal="left" vertical="center"/>
    </xf>
    <xf numFmtId="0" fontId="1" fillId="0" borderId="0" xfId="3">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2" fontId="23" fillId="4" borderId="1" xfId="0" applyNumberFormat="1" applyFont="1" applyFill="1" applyBorder="1"/>
    <xf numFmtId="2" fontId="0" fillId="4" borderId="0" xfId="0" applyNumberFormat="1" applyFill="1" applyAlignment="1">
      <alignment vertical="center"/>
    </xf>
    <xf numFmtId="0" fontId="16" fillId="4" borderId="0" xfId="4" applyFill="1">
      <alignment vertical="center"/>
    </xf>
    <xf numFmtId="0" fontId="22" fillId="4" borderId="0" xfId="0" applyFont="1" applyFill="1"/>
    <xf numFmtId="2" fontId="23" fillId="4" borderId="0" xfId="0" applyNumberFormat="1" applyFont="1" applyFill="1"/>
    <xf numFmtId="0" fontId="6" fillId="4" borderId="0" xfId="12" applyAlignment="1">
      <alignment horizontal="left" indent="1"/>
    </xf>
    <xf numFmtId="0" fontId="23" fillId="4" borderId="1" xfId="0" applyFont="1" applyFill="1" applyBorder="1"/>
    <xf numFmtId="0" fontId="29" fillId="4" borderId="0" xfId="8" applyAlignment="1">
      <alignment horizontal="right" vertical="center"/>
    </xf>
    <xf numFmtId="0" fontId="6" fillId="4" borderId="0" xfId="53">
      <alignment horizontal="left" vertical="center"/>
    </xf>
    <xf numFmtId="0" fontId="10" fillId="0" borderId="0" xfId="32"/>
    <xf numFmtId="0" fontId="6" fillId="4" borderId="1" xfId="53" applyBorder="1">
      <alignment horizontal="left" vertical="center"/>
    </xf>
    <xf numFmtId="9" fontId="8" fillId="4" borderId="0" xfId="11">
      <alignment horizontal="center" vertical="center"/>
    </xf>
    <xf numFmtId="164" fontId="8" fillId="4" borderId="0" xfId="10">
      <alignment horizontal="center" vertical="center"/>
    </xf>
    <xf numFmtId="2" fontId="23" fillId="4" borderId="1" xfId="0" applyNumberFormat="1" applyFont="1" applyFill="1" applyBorder="1" applyAlignment="1">
      <alignment horizontal="center"/>
    </xf>
    <xf numFmtId="0" fontId="33" fillId="11" borderId="0" xfId="60">
      <alignment horizontal="center" vertical="center"/>
    </xf>
    <xf numFmtId="0" fontId="38" fillId="0" borderId="0" xfId="2" applyFont="1"/>
  </cellXfs>
  <cellStyles count="66">
    <cellStyle name="Alert" xfId="59" xr:uid="{34EFE908-8095-4010-8F93-8CFE88055637}"/>
    <cellStyle name="Arguments" xfId="63" xr:uid="{D74147AB-B374-43DE-928A-C20FDAA7023A}"/>
    <cellStyle name="Arguments hyperlink" xfId="62" xr:uid="{E9A63CA8-EB4E-4FD6-930A-AD1711340AFB}"/>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other" xfId="64" xr:uid="{105BD9DE-B567-4DA0-87E6-C60A0ECC1C65}"/>
  </cellStyles>
  <dxfs count="12">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1"/>
      <tableStyleElement type="headerRow" dxfId="10"/>
      <tableStyleElement type="totalRow" dxfId="9"/>
      <tableStyleElement type="firstColumn" dxfId="8"/>
      <tableStyleElement type="firstRowStripe" dxfId="7"/>
      <tableStyleElement type="secondRowStripe" dxfId="6"/>
    </tableStyle>
    <tableStyle name="Equation table" pivot="0" count="6" xr9:uid="{B247698E-E41D-4CCD-AA0A-C14817E9DE65}">
      <tableStyleElement type="wholeTable" dxfId="5"/>
      <tableStyleElement type="headerRow" dxfId="4"/>
      <tableStyleElement type="totalRow" dxfId="3"/>
      <tableStyleElement type="firstColumn" dxfId="2"/>
      <tableStyleElement type="firstRowStripe" dxfId="1"/>
      <tableStyleElement type="secondRowStripe" dxfId="0"/>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2.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alcChain" Target="calcChain.xml"/><Relationship Id="rId5" Type="http://schemas.openxmlformats.org/officeDocument/2006/relationships/sharedStrings" Target="sharedStrings.xml"/><Relationship Id="rId15" Type="http://schemas.openxmlformats.org/officeDocument/2006/relationships/customXml" Target="../customXml/item4.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2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tabSelected="1" zoomScaleNormal="100" workbookViewId="0">
      <selection activeCell="D20" sqref="D20"/>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19" t="e" vm="1">
        <v>#VALUE!</v>
      </c>
      <c r="C1" s="25" t="s">
        <v>15</v>
      </c>
    </row>
    <row r="2" spans="1:11" ht="20.100000000000001" customHeight="1" x14ac:dyDescent="0.25">
      <c r="A2" s="3"/>
      <c r="C2" s="3"/>
    </row>
    <row r="3" spans="1:11" ht="20.100000000000001" customHeight="1" x14ac:dyDescent="0.25">
      <c r="A3" s="5" t="str">
        <f>HYPERLINK("#'Home'!A1", "Home")</f>
        <v>Home</v>
      </c>
      <c r="C3" s="9"/>
      <c r="D3" s="9"/>
      <c r="E3" s="9"/>
      <c r="F3" s="9"/>
      <c r="G3" s="9"/>
      <c r="H3" s="9"/>
      <c r="I3" s="9"/>
      <c r="J3" s="9"/>
      <c r="K3" s="9"/>
    </row>
    <row r="4" spans="1:11" ht="20.100000000000001" customHeight="1" x14ac:dyDescent="0.25">
      <c r="A4" s="5" t="str">
        <f>HYPERLINK("#'Results'!A1", "Results")</f>
        <v>Results</v>
      </c>
      <c r="C4" s="9"/>
      <c r="D4" s="2" t="s">
        <v>3</v>
      </c>
      <c r="E4" s="11"/>
      <c r="F4" s="11"/>
      <c r="G4" s="11"/>
      <c r="H4" s="2"/>
      <c r="I4" s="2"/>
      <c r="J4" s="2"/>
      <c r="K4" s="12"/>
    </row>
    <row r="5" spans="1:11" ht="20.100000000000001" customHeight="1" x14ac:dyDescent="0.3">
      <c r="A5" s="4"/>
      <c r="C5" s="9"/>
      <c r="D5" s="13"/>
      <c r="E5" s="14"/>
      <c r="F5" s="14"/>
      <c r="G5" s="14"/>
      <c r="H5" s="11"/>
      <c r="I5" s="9"/>
      <c r="J5" s="9"/>
      <c r="K5" s="9"/>
    </row>
    <row r="6" spans="1:11" ht="20.100000000000001" customHeight="1" x14ac:dyDescent="0.25">
      <c r="A6" s="8" t="s">
        <v>1</v>
      </c>
      <c r="C6" s="9"/>
      <c r="D6" s="24" t="s">
        <v>5</v>
      </c>
      <c r="E6" s="24" t="s">
        <v>11</v>
      </c>
      <c r="F6" s="24" t="s">
        <v>12</v>
      </c>
      <c r="G6" s="24" t="s">
        <v>7</v>
      </c>
      <c r="H6" s="24" t="s">
        <v>13</v>
      </c>
      <c r="I6" s="24" t="s">
        <v>14</v>
      </c>
      <c r="J6" s="24" t="s">
        <v>8</v>
      </c>
      <c r="K6" s="9"/>
    </row>
    <row r="7" spans="1:11" ht="20.100000000000001" customHeight="1" x14ac:dyDescent="0.25">
      <c r="A7" s="5" t="str">
        <f>HYPERLINK("#'Input - Site'!A1", "Site")</f>
        <v>Site</v>
      </c>
      <c r="C7" s="9"/>
      <c r="D7" s="1" t="s">
        <v>16</v>
      </c>
      <c r="E7" s="22" t="e">
        <f>#REF!</f>
        <v>#REF!</v>
      </c>
      <c r="F7" s="22" t="e">
        <f>#REF!</f>
        <v>#REF!</v>
      </c>
      <c r="G7" s="18" t="s">
        <v>9</v>
      </c>
      <c r="H7" s="22" t="e">
        <f>#REF!</f>
        <v>#REF!</v>
      </c>
      <c r="I7" s="22" t="e">
        <f>#REF!</f>
        <v>#REF!</v>
      </c>
      <c r="J7" s="18" t="s">
        <v>10</v>
      </c>
      <c r="K7" s="9"/>
    </row>
    <row r="8" spans="1:11" ht="20.100000000000001" customHeight="1" x14ac:dyDescent="0.25">
      <c r="A8" s="5" t="str">
        <f>HYPERLINK("#'Input - Pasture Beef'!A1", "Pasture Beef")</f>
        <v>Pasture Beef</v>
      </c>
      <c r="C8" s="9"/>
      <c r="D8" s="1" t="s">
        <v>18</v>
      </c>
      <c r="E8" s="22" t="e">
        <f>#REF!</f>
        <v>#REF!</v>
      </c>
      <c r="F8" s="22" t="e">
        <f>#REF!</f>
        <v>#REF!</v>
      </c>
      <c r="G8" s="18" t="s">
        <v>17</v>
      </c>
      <c r="H8" s="22" t="e">
        <f>#REF!</f>
        <v>#REF!</v>
      </c>
      <c r="I8" s="22" t="e">
        <f>#REF!</f>
        <v>#REF!</v>
      </c>
      <c r="J8" s="18" t="s">
        <v>10</v>
      </c>
      <c r="K8" s="9"/>
    </row>
    <row r="9" spans="1:11" ht="20.100000000000001" customHeight="1" x14ac:dyDescent="0.25">
      <c r="A9" s="5"/>
      <c r="C9" s="9"/>
      <c r="D9" s="1" t="s">
        <v>19</v>
      </c>
      <c r="E9" s="22" t="e">
        <f>#REF!</f>
        <v>#REF!</v>
      </c>
      <c r="F9" s="22" t="e">
        <f>#REF!</f>
        <v>#REF!</v>
      </c>
      <c r="G9" s="18" t="e">
        <f>#REF!</f>
        <v>#REF!</v>
      </c>
      <c r="H9" s="22" t="e">
        <f>#REF!</f>
        <v>#REF!</v>
      </c>
      <c r="I9" s="22" t="e">
        <f>#REF!</f>
        <v>#REF!</v>
      </c>
      <c r="J9" s="18" t="s">
        <v>10</v>
      </c>
      <c r="K9" s="9"/>
    </row>
    <row r="10" spans="1:11" ht="20.100000000000001" customHeight="1" x14ac:dyDescent="0.25">
      <c r="A10" s="7" t="s">
        <v>4</v>
      </c>
      <c r="C10" s="9"/>
      <c r="D10" s="1" t="s">
        <v>20</v>
      </c>
      <c r="E10" s="22" t="e">
        <f>#REF!</f>
        <v>#REF!</v>
      </c>
      <c r="F10" s="22" t="e">
        <f>#REF!</f>
        <v>#REF!</v>
      </c>
      <c r="G10" s="18" t="e">
        <f>#REF!</f>
        <v>#REF!</v>
      </c>
      <c r="H10" s="22" t="e">
        <f>#REF!</f>
        <v>#REF!</v>
      </c>
      <c r="I10" s="22" t="e">
        <f>#REF!</f>
        <v>#REF!</v>
      </c>
      <c r="J10" s="18" t="s">
        <v>10</v>
      </c>
      <c r="K10" s="9"/>
    </row>
    <row r="11" spans="1:11" ht="20.100000000000001" customHeight="1" x14ac:dyDescent="0.3">
      <c r="A11" s="5" t="str">
        <f>HYPERLINK("#'4.2.1.1-2 Methane'!A1", "4.2.1.1-2 Methane")</f>
        <v>4.2.1.1-2 Methane</v>
      </c>
      <c r="C11" s="9"/>
      <c r="D11" s="16" t="s">
        <v>6</v>
      </c>
      <c r="E11" s="10"/>
      <c r="F11" s="10"/>
      <c r="G11" s="16"/>
      <c r="H11" s="23" t="e">
        <f>SUM(H7:H10)</f>
        <v>#REF!</v>
      </c>
      <c r="I11" s="23" t="e">
        <f>SUM(I7:I10)</f>
        <v>#REF!</v>
      </c>
      <c r="J11" s="20" t="s">
        <v>10</v>
      </c>
      <c r="K11" s="9"/>
    </row>
    <row r="12" spans="1:11" ht="20.100000000000001" customHeight="1" x14ac:dyDescent="0.25">
      <c r="A12" s="5" t="str">
        <f>HYPERLINK("#'4.2.1.3-4 Soil direct N2O'!A1", "4.2.1.3-4 Soil direct N2O")</f>
        <v>4.2.1.3-4 Soil direct N2O</v>
      </c>
      <c r="C12" s="9"/>
      <c r="D12" s="1"/>
      <c r="E12" s="1"/>
      <c r="F12" s="1"/>
      <c r="G12" s="11"/>
      <c r="H12" s="9"/>
      <c r="I12" s="1"/>
      <c r="J12" s="1"/>
      <c r="K12" s="9"/>
    </row>
    <row r="13" spans="1:11" ht="20.100000000000001" customHeight="1" x14ac:dyDescent="0.25">
      <c r="A13" s="5" t="str">
        <f>HYPERLINK("#'4.2.1.5-6 Soil Atmos Dep'!A1", "4.2.1.5-6 Soil atm. deposition")</f>
        <v>4.2.1.5-6 Soil atm. deposition</v>
      </c>
      <c r="C13" s="9"/>
      <c r="D13" s="1"/>
      <c r="E13" s="1"/>
      <c r="F13" s="1"/>
      <c r="G13" s="1"/>
      <c r="H13" s="11"/>
      <c r="I13" s="9"/>
      <c r="J13" s="9"/>
      <c r="K13" s="9"/>
    </row>
    <row r="14" spans="1:11" ht="20.100000000000001" customHeight="1" x14ac:dyDescent="0.3">
      <c r="A14" s="5" t="str">
        <f>HYPERLINK("#'4.2.1.7-8 Soil leach runoff'!A1", "4.2.1.7-8 Soil leach &amp; runoff")</f>
        <v>4.2.1.7-8 Soil leach &amp; runoff</v>
      </c>
      <c r="C14" s="9"/>
      <c r="D14" s="1"/>
      <c r="E14" s="1"/>
      <c r="F14" s="1"/>
      <c r="G14" s="1"/>
      <c r="H14" s="14"/>
      <c r="I14" s="9"/>
      <c r="J14" s="9"/>
      <c r="K14" s="9"/>
    </row>
    <row r="15" spans="1:11" ht="20.100000000000001" customHeight="1" x14ac:dyDescent="0.3">
      <c r="A15" s="5"/>
      <c r="C15" s="9"/>
      <c r="D15" s="1"/>
      <c r="E15" s="1"/>
      <c r="F15" s="1"/>
      <c r="G15" s="1"/>
      <c r="H15" s="14"/>
      <c r="I15" s="9"/>
      <c r="J15" s="9"/>
      <c r="K15" s="9"/>
    </row>
    <row r="16" spans="1:11" ht="20.100000000000001" customHeight="1" x14ac:dyDescent="0.3">
      <c r="A16" s="6" t="s">
        <v>2</v>
      </c>
      <c r="C16" s="9"/>
      <c r="D16" s="1"/>
      <c r="E16" s="1"/>
      <c r="F16" s="1"/>
      <c r="G16" s="1"/>
      <c r="H16" s="14"/>
      <c r="I16" s="9"/>
      <c r="J16" s="9"/>
      <c r="K16" s="9"/>
    </row>
    <row r="17" spans="1:11" ht="20.100000000000001" customHeight="1" x14ac:dyDescent="0.3">
      <c r="A17" s="5" t="str">
        <f>HYPERLINK("#'Constants - Pasture Beef'!A1", "Constants - Pasture Beef")</f>
        <v>Constants - Pasture Beef</v>
      </c>
      <c r="C17" s="9"/>
      <c r="D17" s="1"/>
      <c r="E17" s="1"/>
      <c r="F17" s="1"/>
      <c r="G17" s="1"/>
      <c r="H17" s="14"/>
      <c r="I17" s="9"/>
      <c r="J17" s="9"/>
      <c r="K17" s="9"/>
    </row>
    <row r="18" spans="1:11" ht="20.100000000000001" customHeight="1" x14ac:dyDescent="0.3">
      <c r="A18" s="5" t="str">
        <f>HYPERLINK("#'Constants - Livestock'!A1", "Constants - Livestock")</f>
        <v>Constants - Livestock</v>
      </c>
      <c r="C18" s="9"/>
      <c r="D18" s="1"/>
      <c r="E18" s="1"/>
      <c r="F18" s="1"/>
      <c r="G18" s="1"/>
      <c r="H18" s="14"/>
      <c r="I18" s="9"/>
      <c r="J18" s="9"/>
      <c r="K18" s="9"/>
    </row>
    <row r="19" spans="1:11" ht="20.100000000000001" customHeight="1" x14ac:dyDescent="0.3">
      <c r="A19" s="5" t="str">
        <f>HYPERLINK("#'Constants - Common'!A1", "Constants - Common")</f>
        <v>Constants - Common</v>
      </c>
      <c r="C19" s="9"/>
      <c r="D19" s="1"/>
      <c r="E19" s="1"/>
      <c r="F19" s="1"/>
      <c r="G19" s="1"/>
      <c r="H19" s="14"/>
      <c r="I19" s="9"/>
      <c r="J19" s="9"/>
      <c r="K19" s="9"/>
    </row>
    <row r="20" spans="1:11" ht="20.100000000000001" customHeight="1" x14ac:dyDescent="0.3">
      <c r="A20" s="5" t="str">
        <f>HYPERLINK("#'Acknowledgements'!A1", "Acknowledgements")</f>
        <v>Acknowledgements</v>
      </c>
      <c r="C20" s="9"/>
      <c r="D20" s="1"/>
      <c r="E20" s="1"/>
      <c r="F20" s="1"/>
      <c r="G20" s="1"/>
      <c r="H20" s="14"/>
      <c r="I20" s="9"/>
      <c r="J20" s="9"/>
      <c r="K20" s="9"/>
    </row>
    <row r="21" spans="1:11" ht="20.100000000000001" customHeight="1" x14ac:dyDescent="0.3">
      <c r="C21" s="9"/>
      <c r="D21" s="1"/>
      <c r="E21" s="1"/>
      <c r="F21" s="1"/>
      <c r="G21" s="1"/>
      <c r="H21" s="14"/>
      <c r="I21" s="9"/>
      <c r="J21" s="9"/>
      <c r="K21" s="9"/>
    </row>
    <row r="22" spans="1:11" ht="20.100000000000001" customHeight="1" x14ac:dyDescent="0.3">
      <c r="A22" s="5"/>
      <c r="C22" s="9"/>
      <c r="D22" s="1"/>
      <c r="E22" s="1"/>
      <c r="F22" s="1"/>
      <c r="G22" s="1"/>
      <c r="H22" s="14"/>
      <c r="I22" s="9"/>
      <c r="J22" s="9"/>
      <c r="K22" s="9"/>
    </row>
    <row r="23" spans="1:11" ht="20.100000000000001" customHeight="1" x14ac:dyDescent="0.3">
      <c r="A23" s="5"/>
      <c r="C23" s="9"/>
      <c r="D23" s="1"/>
      <c r="E23" s="1"/>
      <c r="F23" s="1"/>
      <c r="G23" s="1"/>
      <c r="H23" s="14"/>
      <c r="I23" s="9"/>
      <c r="J23" s="9"/>
      <c r="K23" s="9"/>
    </row>
    <row r="24" spans="1:11" ht="20.100000000000001" customHeight="1" x14ac:dyDescent="0.3">
      <c r="A24" s="5"/>
      <c r="C24" s="9"/>
      <c r="D24" s="1"/>
      <c r="E24" s="1"/>
      <c r="F24" s="1"/>
      <c r="G24" s="1"/>
      <c r="H24" s="14"/>
      <c r="I24" s="9"/>
      <c r="J24" s="9"/>
      <c r="K24" s="9"/>
    </row>
    <row r="25" spans="1:11" ht="20.100000000000001" customHeight="1" x14ac:dyDescent="0.3">
      <c r="C25" s="9"/>
      <c r="D25" s="1"/>
      <c r="E25" s="1"/>
      <c r="F25" s="1"/>
      <c r="G25" s="1"/>
      <c r="H25" s="14"/>
      <c r="I25" s="9"/>
      <c r="J25" s="9"/>
      <c r="K25" s="9"/>
    </row>
    <row r="26" spans="1:11" ht="20.100000000000001" customHeight="1" x14ac:dyDescent="0.3">
      <c r="C26" s="9"/>
      <c r="D26" s="1"/>
      <c r="E26" s="1"/>
      <c r="F26" s="1"/>
      <c r="G26" s="1"/>
      <c r="H26" s="14"/>
      <c r="I26" s="9"/>
      <c r="J26" s="9"/>
      <c r="K26" s="9"/>
    </row>
    <row r="27" spans="1:11" ht="20.100000000000001" customHeight="1" x14ac:dyDescent="0.25">
      <c r="C27" s="9"/>
      <c r="D27" s="1"/>
      <c r="E27" s="1"/>
      <c r="F27" s="1"/>
      <c r="G27" s="1"/>
      <c r="H27" s="1"/>
      <c r="I27" s="1"/>
      <c r="J27" s="9"/>
      <c r="K27" s="9"/>
    </row>
    <row r="28" spans="1:11" ht="20.100000000000001" customHeight="1" x14ac:dyDescent="0.25">
      <c r="C28" s="9"/>
      <c r="D28" s="1"/>
      <c r="E28" s="1"/>
      <c r="F28" s="1"/>
      <c r="G28" s="1"/>
      <c r="H28" s="1"/>
      <c r="I28" s="1"/>
      <c r="J28" s="9"/>
      <c r="K28" s="9"/>
    </row>
    <row r="29" spans="1:11" ht="20.100000000000001" customHeight="1" x14ac:dyDescent="0.25">
      <c r="C29" s="9"/>
      <c r="D29" s="1"/>
      <c r="E29" s="1"/>
      <c r="F29" s="1"/>
      <c r="G29" s="1"/>
      <c r="H29" s="1"/>
      <c r="I29" s="1"/>
      <c r="J29" s="9"/>
      <c r="K29" s="9"/>
    </row>
    <row r="30" spans="1:11" ht="20.100000000000001" customHeight="1" x14ac:dyDescent="0.25">
      <c r="C30" s="9"/>
      <c r="D30" s="1"/>
      <c r="E30" s="1"/>
      <c r="F30" s="1"/>
      <c r="G30" s="1"/>
      <c r="H30" s="1"/>
      <c r="I30" s="1"/>
      <c r="J30" s="9"/>
      <c r="K30" s="9"/>
    </row>
    <row r="31" spans="1:11" ht="20.100000000000001" customHeight="1" x14ac:dyDescent="0.25">
      <c r="C31" s="9"/>
      <c r="D31" s="1"/>
      <c r="E31" s="1"/>
      <c r="F31" s="1"/>
      <c r="G31" s="1"/>
      <c r="H31" s="1"/>
      <c r="I31" s="1"/>
      <c r="J31" s="9"/>
      <c r="K31" s="9"/>
    </row>
    <row r="32" spans="1:11" ht="20.100000000000001" customHeight="1" x14ac:dyDescent="0.25">
      <c r="C32" s="9"/>
      <c r="D32" s="1"/>
      <c r="E32" s="1"/>
      <c r="F32" s="1"/>
      <c r="G32" s="1"/>
      <c r="H32" s="1"/>
      <c r="I32" s="1"/>
      <c r="J32" s="9"/>
      <c r="K32" s="9"/>
    </row>
    <row r="33" spans="3:11" ht="20.100000000000001" customHeight="1" x14ac:dyDescent="0.25">
      <c r="C33" s="9"/>
      <c r="D33" s="1"/>
      <c r="E33" s="1"/>
      <c r="F33" s="1"/>
      <c r="G33" s="1"/>
      <c r="H33" s="1"/>
      <c r="I33" s="1"/>
      <c r="J33" s="9"/>
      <c r="K33" s="9"/>
    </row>
    <row r="34" spans="3:11" ht="20.100000000000001" customHeight="1" x14ac:dyDescent="0.25">
      <c r="C34" s="9"/>
      <c r="D34" s="1"/>
      <c r="E34" s="1"/>
      <c r="F34" s="1"/>
      <c r="G34" s="1"/>
      <c r="H34" s="1"/>
      <c r="I34" s="9"/>
      <c r="J34" s="9"/>
      <c r="K34" s="9"/>
    </row>
    <row r="35" spans="3:11" ht="20.100000000000001" customHeight="1" x14ac:dyDescent="0.25">
      <c r="C35" s="9"/>
      <c r="D35" s="1"/>
      <c r="E35" s="1"/>
      <c r="F35" s="1"/>
      <c r="G35" s="1"/>
      <c r="H35" s="1"/>
      <c r="I35" s="9"/>
      <c r="J35" s="9"/>
      <c r="K35" s="9"/>
    </row>
    <row r="36" spans="3:11" ht="20.100000000000001" customHeight="1" x14ac:dyDescent="0.25">
      <c r="C36" s="9"/>
      <c r="D36" s="1"/>
      <c r="E36" s="1"/>
      <c r="F36" s="1"/>
      <c r="G36" s="1"/>
      <c r="H36" s="1"/>
      <c r="I36" s="9"/>
      <c r="J36" s="9"/>
      <c r="K36" s="9"/>
    </row>
    <row r="37" spans="3:11" ht="20.100000000000001" customHeight="1" x14ac:dyDescent="0.25">
      <c r="C37" s="9"/>
      <c r="D37" s="1"/>
      <c r="E37" s="1"/>
      <c r="F37" s="1"/>
      <c r="G37" s="1"/>
      <c r="H37" s="1"/>
      <c r="I37" s="9"/>
      <c r="J37" s="9"/>
      <c r="K37" s="9"/>
    </row>
    <row r="38" spans="3:11" ht="20.100000000000001" customHeight="1" x14ac:dyDescent="0.25">
      <c r="C38" s="9"/>
      <c r="D38" s="1"/>
      <c r="E38" s="1"/>
      <c r="F38" s="1"/>
      <c r="G38" s="1"/>
      <c r="H38" s="1"/>
      <c r="I38" s="21"/>
      <c r="J38" s="21"/>
      <c r="K38" s="9"/>
    </row>
    <row r="39" spans="3:11" ht="20.100000000000001" customHeight="1" x14ac:dyDescent="0.25">
      <c r="C39" s="9"/>
      <c r="D39" s="1"/>
      <c r="E39" s="1"/>
      <c r="F39" s="1"/>
      <c r="G39" s="1"/>
      <c r="H39" s="1"/>
      <c r="I39" s="21"/>
      <c r="J39" s="21"/>
      <c r="K39" s="9"/>
    </row>
    <row r="40" spans="3:11" ht="20.100000000000001" customHeight="1" x14ac:dyDescent="0.25">
      <c r="C40" s="9"/>
      <c r="D40" s="1"/>
      <c r="E40" s="1"/>
      <c r="F40" s="1"/>
      <c r="G40" s="1"/>
      <c r="H40" s="1"/>
      <c r="I40" s="21"/>
      <c r="J40" s="21"/>
      <c r="K40" s="9"/>
    </row>
    <row r="41" spans="3:11" ht="20.100000000000001" customHeight="1" x14ac:dyDescent="0.25">
      <c r="C41" s="9"/>
      <c r="D41" s="1"/>
      <c r="E41" s="1"/>
      <c r="F41" s="1"/>
      <c r="G41" s="1"/>
      <c r="H41" s="1"/>
      <c r="I41" s="21"/>
      <c r="J41" s="21"/>
      <c r="K41" s="9"/>
    </row>
    <row r="42" spans="3:11" ht="20.100000000000001" customHeight="1" x14ac:dyDescent="0.25">
      <c r="C42" s="9"/>
      <c r="D42" s="1"/>
      <c r="E42" s="1"/>
      <c r="F42" s="1"/>
      <c r="G42" s="1"/>
      <c r="H42" s="1"/>
      <c r="I42" s="21"/>
      <c r="J42" s="21"/>
      <c r="K42" s="9"/>
    </row>
    <row r="43" spans="3:11" ht="20.100000000000001" customHeight="1" x14ac:dyDescent="0.25">
      <c r="C43" s="9"/>
      <c r="D43" s="1"/>
      <c r="E43" s="1"/>
      <c r="F43" s="1"/>
      <c r="G43" s="1"/>
      <c r="H43" s="1"/>
      <c r="I43" s="21"/>
      <c r="J43" s="21"/>
      <c r="K43" s="9"/>
    </row>
    <row r="44" spans="3:11" ht="20.100000000000001" customHeight="1" x14ac:dyDescent="0.25">
      <c r="C44" s="9"/>
      <c r="D44" s="1"/>
      <c r="E44" s="1"/>
      <c r="F44" s="1"/>
      <c r="G44" s="1"/>
      <c r="H44" s="1"/>
      <c r="I44" s="21"/>
      <c r="J44" s="21"/>
      <c r="K44" s="9"/>
    </row>
    <row r="45" spans="3:11" ht="20.100000000000001" customHeight="1" x14ac:dyDescent="0.25">
      <c r="C45" s="9"/>
      <c r="D45" s="1"/>
      <c r="E45" s="1"/>
      <c r="F45" s="1"/>
      <c r="G45" s="1"/>
      <c r="H45" s="1"/>
      <c r="I45" s="21"/>
      <c r="J45" s="21"/>
      <c r="K45" s="9"/>
    </row>
    <row r="46" spans="3:11" ht="20.100000000000001" customHeight="1" x14ac:dyDescent="0.25">
      <c r="C46" s="9"/>
      <c r="D46" s="1"/>
      <c r="E46" s="1"/>
      <c r="F46" s="1"/>
      <c r="G46" s="1"/>
      <c r="H46" s="1"/>
      <c r="I46" s="21"/>
      <c r="J46" s="21"/>
      <c r="K46" s="9"/>
    </row>
    <row r="47" spans="3:11" ht="20.100000000000001" customHeight="1" x14ac:dyDescent="0.25">
      <c r="C47" s="9"/>
      <c r="D47" s="1"/>
      <c r="E47" s="1"/>
      <c r="F47" s="1"/>
      <c r="G47" s="1"/>
      <c r="H47" s="1"/>
      <c r="I47" s="21"/>
      <c r="J47" s="21"/>
      <c r="K47" s="9"/>
    </row>
    <row r="48" spans="3:11" ht="20.100000000000001" customHeight="1" x14ac:dyDescent="0.25">
      <c r="C48" s="9"/>
      <c r="D48" s="1"/>
      <c r="E48" s="1"/>
      <c r="F48" s="1"/>
      <c r="G48" s="1"/>
      <c r="H48" s="1"/>
      <c r="I48" s="21"/>
      <c r="J48" s="21"/>
      <c r="K48" s="9"/>
    </row>
    <row r="49" spans="3:11" ht="20.100000000000001" customHeight="1" x14ac:dyDescent="0.25">
      <c r="C49" s="9"/>
      <c r="D49" s="1"/>
      <c r="E49" s="1"/>
      <c r="F49" s="1"/>
      <c r="G49" s="1"/>
      <c r="H49" s="21"/>
      <c r="I49" s="21"/>
      <c r="J49" s="21"/>
      <c r="K49" s="9"/>
    </row>
    <row r="50" spans="3:11" ht="20.100000000000001" customHeight="1" x14ac:dyDescent="0.25">
      <c r="C50" s="9"/>
      <c r="D50" s="1"/>
      <c r="E50" s="1"/>
      <c r="F50" s="1"/>
      <c r="G50" s="1"/>
      <c r="H50" s="21"/>
      <c r="I50" s="21"/>
      <c r="J50" s="21"/>
      <c r="K50" s="9"/>
    </row>
    <row r="51" spans="3:11" ht="20.100000000000001" customHeight="1" x14ac:dyDescent="0.25">
      <c r="C51" s="9"/>
      <c r="D51" s="1"/>
      <c r="E51" s="1"/>
      <c r="F51" s="1"/>
      <c r="G51" s="1"/>
      <c r="H51" s="21"/>
      <c r="I51" s="21"/>
      <c r="J51" s="21"/>
      <c r="K51" s="9"/>
    </row>
    <row r="52" spans="3:11" ht="20.100000000000001" customHeight="1" x14ac:dyDescent="0.25">
      <c r="C52" s="9"/>
      <c r="D52" s="1"/>
      <c r="E52" s="1"/>
      <c r="F52" s="1"/>
      <c r="G52" s="1"/>
      <c r="H52" s="21"/>
      <c r="I52" s="21"/>
      <c r="J52" s="21"/>
      <c r="K52" s="9"/>
    </row>
    <row r="53" spans="3:11" ht="20.100000000000001" customHeight="1" x14ac:dyDescent="0.25">
      <c r="C53" s="9"/>
      <c r="D53" s="1"/>
      <c r="E53" s="1"/>
      <c r="F53" s="1"/>
      <c r="G53" s="1"/>
      <c r="H53" s="21"/>
      <c r="I53" s="21"/>
      <c r="J53" s="21"/>
      <c r="K53" s="9"/>
    </row>
    <row r="54" spans="3:11" ht="20.100000000000001" customHeight="1" x14ac:dyDescent="0.25">
      <c r="C54" s="9"/>
      <c r="D54" s="1"/>
      <c r="E54" s="1"/>
      <c r="F54" s="1"/>
      <c r="G54" s="1"/>
      <c r="H54" s="9"/>
      <c r="I54" s="9"/>
      <c r="J54" s="9"/>
      <c r="K54" s="9"/>
    </row>
    <row r="55" spans="3:11" ht="20.100000000000001" customHeight="1" x14ac:dyDescent="0.25">
      <c r="C55" s="9"/>
      <c r="D55" s="1"/>
      <c r="E55" s="1"/>
      <c r="F55" s="1"/>
      <c r="G55" s="1"/>
      <c r="H55" s="9"/>
      <c r="I55" s="9"/>
      <c r="J55" s="9"/>
      <c r="K55" s="9"/>
    </row>
    <row r="56" spans="3:11" ht="20.100000000000001" customHeight="1" x14ac:dyDescent="0.25">
      <c r="C56" s="9"/>
      <c r="D56" s="1"/>
      <c r="E56" s="1"/>
      <c r="F56" s="1"/>
      <c r="G56" s="1"/>
      <c r="H56" s="9"/>
      <c r="I56" s="9"/>
      <c r="J56" s="9"/>
      <c r="K56" s="9"/>
    </row>
    <row r="57" spans="3:11" ht="20.100000000000001" customHeight="1" x14ac:dyDescent="0.25">
      <c r="C57" s="9"/>
      <c r="D57" s="1"/>
      <c r="E57" s="1"/>
      <c r="F57" s="1"/>
      <c r="G57" s="1"/>
      <c r="H57" s="9"/>
      <c r="I57" s="9"/>
      <c r="J57" s="9"/>
      <c r="K57" s="9"/>
    </row>
    <row r="58" spans="3:11" ht="20.100000000000001" customHeight="1" x14ac:dyDescent="0.25">
      <c r="C58" s="9"/>
      <c r="D58" s="1"/>
      <c r="E58" s="17"/>
      <c r="F58" s="15"/>
      <c r="G58" s="9"/>
      <c r="H58" s="9"/>
      <c r="I58" s="9"/>
      <c r="J58" s="9"/>
      <c r="K58" s="9"/>
    </row>
    <row r="59" spans="3:11" ht="20.100000000000001" customHeight="1" x14ac:dyDescent="0.25">
      <c r="C59" s="9"/>
      <c r="D59" s="1"/>
      <c r="E59" s="1"/>
      <c r="F59" s="1"/>
      <c r="G59" s="1"/>
      <c r="H59" s="1"/>
      <c r="I59" s="1"/>
      <c r="J59" s="1"/>
      <c r="K59" s="9"/>
    </row>
    <row r="60" spans="3:11" ht="20.100000000000001" customHeight="1" x14ac:dyDescent="0.25">
      <c r="C60" s="9"/>
      <c r="D60" s="1"/>
      <c r="E60" s="1"/>
      <c r="F60" s="1"/>
      <c r="G60" s="1"/>
      <c r="H60" s="1"/>
      <c r="I60" s="1"/>
      <c r="J60" s="1"/>
      <c r="K60" s="9"/>
    </row>
    <row r="61" spans="3:11" ht="20.100000000000001" customHeight="1" x14ac:dyDescent="0.25">
      <c r="C61" s="9"/>
      <c r="D61" s="1"/>
      <c r="E61" s="1"/>
      <c r="F61" s="1"/>
      <c r="G61" s="1"/>
      <c r="H61" s="1"/>
      <c r="I61" s="1"/>
      <c r="J61" s="1"/>
      <c r="K61" s="9"/>
    </row>
    <row r="62" spans="3:11" ht="20.100000000000001" customHeight="1" x14ac:dyDescent="0.25">
      <c r="C62" s="9"/>
      <c r="D62" s="1"/>
      <c r="E62" s="1"/>
      <c r="F62" s="1"/>
      <c r="G62" s="1"/>
      <c r="H62" s="1"/>
      <c r="I62" s="1"/>
      <c r="J62" s="1"/>
      <c r="K62" s="9"/>
    </row>
    <row r="63" spans="3:11" ht="20.100000000000001" customHeight="1" x14ac:dyDescent="0.25">
      <c r="C63" s="9"/>
      <c r="D63" s="1"/>
      <c r="E63" s="1"/>
      <c r="F63" s="1"/>
      <c r="G63" s="1"/>
      <c r="H63" s="1"/>
      <c r="I63" s="1"/>
      <c r="J63" s="1"/>
      <c r="K63" s="9"/>
    </row>
    <row r="64" spans="3:11" ht="20.100000000000001" customHeight="1" x14ac:dyDescent="0.25">
      <c r="C64" s="9"/>
      <c r="D64" s="1"/>
      <c r="E64" s="1"/>
      <c r="F64" s="1"/>
      <c r="G64" s="1"/>
      <c r="H64" s="1"/>
      <c r="I64" s="1"/>
      <c r="J64" s="1"/>
      <c r="K64" s="9"/>
    </row>
    <row r="65" spans="3:11" ht="20.100000000000001" customHeight="1" x14ac:dyDescent="0.25">
      <c r="C65" s="9"/>
      <c r="D65" s="1"/>
      <c r="E65" s="1"/>
      <c r="F65" s="1"/>
      <c r="G65" s="1"/>
      <c r="H65" s="1"/>
      <c r="I65" s="1"/>
      <c r="J65" s="1"/>
      <c r="K65" s="9"/>
    </row>
    <row r="66" spans="3:11" ht="20.100000000000001" customHeight="1" x14ac:dyDescent="0.25">
      <c r="C66" s="9"/>
      <c r="D66" s="1"/>
      <c r="E66" s="1"/>
      <c r="F66" s="1"/>
      <c r="G66" s="1"/>
      <c r="H66" s="1"/>
      <c r="I66" s="1"/>
      <c r="J66" s="1"/>
      <c r="K66" s="9"/>
    </row>
    <row r="67" spans="3:11" ht="20.100000000000001" customHeight="1" x14ac:dyDescent="0.25">
      <c r="C67" s="9"/>
      <c r="D67" s="1"/>
      <c r="E67" s="1"/>
      <c r="F67" s="1"/>
      <c r="G67" s="1"/>
      <c r="H67" s="1"/>
      <c r="I67" s="1"/>
      <c r="J67" s="1"/>
      <c r="K67" s="9"/>
    </row>
    <row r="68" spans="3:11" ht="20.100000000000001" customHeight="1" x14ac:dyDescent="0.25">
      <c r="C68" s="9"/>
      <c r="D68" s="1"/>
      <c r="E68" s="1"/>
      <c r="F68" s="1"/>
      <c r="G68" s="1"/>
      <c r="H68" s="1"/>
      <c r="I68" s="1"/>
      <c r="J68" s="1"/>
      <c r="K68" s="9"/>
    </row>
    <row r="69" spans="3:11" ht="20.100000000000001" customHeight="1" x14ac:dyDescent="0.25">
      <c r="C69" s="9"/>
      <c r="D69" s="1"/>
      <c r="E69" s="1"/>
      <c r="F69" s="1"/>
      <c r="G69" s="1"/>
      <c r="H69" s="1"/>
      <c r="I69" s="1"/>
      <c r="J69" s="1"/>
      <c r="K69" s="9"/>
    </row>
    <row r="70" spans="3:11" ht="20.100000000000001" customHeight="1" x14ac:dyDescent="0.25">
      <c r="C70" s="9"/>
      <c r="D70" s="1"/>
      <c r="E70" s="1"/>
      <c r="F70" s="1"/>
      <c r="G70" s="1"/>
      <c r="H70" s="1"/>
      <c r="I70" s="1"/>
      <c r="J70" s="1"/>
      <c r="K70" s="9"/>
    </row>
    <row r="71" spans="3:11" ht="20.100000000000001" customHeight="1" x14ac:dyDescent="0.25">
      <c r="C71" s="9"/>
      <c r="D71" s="1"/>
      <c r="E71" s="1"/>
      <c r="F71" s="1"/>
      <c r="G71" s="1"/>
      <c r="H71" s="1"/>
      <c r="I71" s="1"/>
      <c r="J71" s="1"/>
      <c r="K71" s="9"/>
    </row>
    <row r="72" spans="3:11" ht="20.100000000000001" customHeight="1" x14ac:dyDescent="0.25">
      <c r="C72" s="9"/>
      <c r="D72" s="1"/>
      <c r="E72" s="1"/>
      <c r="F72" s="1"/>
      <c r="G72" s="1"/>
      <c r="H72" s="1"/>
      <c r="I72" s="1"/>
      <c r="J72" s="1"/>
      <c r="K72" s="9"/>
    </row>
    <row r="73" spans="3:11" ht="20.100000000000001" customHeight="1" x14ac:dyDescent="0.25">
      <c r="C73" s="9"/>
      <c r="D73" s="1"/>
      <c r="E73" s="1"/>
      <c r="F73" s="1"/>
      <c r="G73" s="1"/>
      <c r="H73" s="1"/>
      <c r="I73" s="1"/>
      <c r="J73" s="1"/>
      <c r="K73" s="9"/>
    </row>
    <row r="74" spans="3:11" ht="20.100000000000001" customHeight="1" x14ac:dyDescent="0.25">
      <c r="C74" s="9"/>
      <c r="D74" s="1"/>
      <c r="E74" s="1"/>
      <c r="F74" s="1"/>
      <c r="G74" s="1"/>
      <c r="H74" s="1"/>
      <c r="I74" s="1"/>
      <c r="J74" s="1"/>
      <c r="K74" s="9"/>
    </row>
    <row r="75" spans="3:11" ht="20.100000000000001" customHeight="1" x14ac:dyDescent="0.25">
      <c r="C75" s="9"/>
      <c r="D75" s="1"/>
      <c r="E75" s="1"/>
      <c r="F75" s="1"/>
      <c r="G75" s="1"/>
      <c r="H75" s="1"/>
      <c r="I75" s="1"/>
      <c r="J75" s="1"/>
      <c r="K75" s="9"/>
    </row>
    <row r="76" spans="3:11" ht="15.75" x14ac:dyDescent="0.25">
      <c r="C76" s="9"/>
      <c r="D76" s="1"/>
      <c r="E76" s="1"/>
      <c r="F76" s="1"/>
      <c r="G76" s="1"/>
      <c r="H76" s="1"/>
      <c r="I76" s="1"/>
      <c r="J76" s="1"/>
      <c r="K76" s="9"/>
    </row>
    <row r="77" spans="3:11" ht="15.75" x14ac:dyDescent="0.25">
      <c r="C77" s="9"/>
      <c r="D77" s="1"/>
      <c r="E77" s="1"/>
      <c r="F77" s="1"/>
      <c r="G77" s="1"/>
      <c r="H77" s="1"/>
      <c r="I77" s="1"/>
      <c r="J77" s="1"/>
      <c r="K77" s="9"/>
    </row>
    <row r="78" spans="3:11" ht="15.75" x14ac:dyDescent="0.25">
      <c r="C78" s="9"/>
      <c r="D78" s="1"/>
      <c r="E78" s="1"/>
      <c r="F78" s="1"/>
      <c r="G78" s="1"/>
      <c r="H78" s="1"/>
      <c r="I78" s="1"/>
      <c r="J78" s="1"/>
      <c r="K78" s="9"/>
    </row>
    <row r="79" spans="3:11" ht="15.75" x14ac:dyDescent="0.25">
      <c r="C79" s="9"/>
      <c r="D79" s="1"/>
      <c r="E79" s="1"/>
      <c r="F79" s="1"/>
      <c r="G79" s="1"/>
      <c r="H79" s="1"/>
      <c r="I79" s="1"/>
      <c r="J79" s="1"/>
      <c r="K79" s="9"/>
    </row>
    <row r="80" spans="3:11" ht="15.75" x14ac:dyDescent="0.25">
      <c r="C80" s="9"/>
      <c r="D80" s="1"/>
      <c r="E80" s="1"/>
      <c r="F80" s="1"/>
      <c r="G80" s="1"/>
      <c r="H80" s="1"/>
      <c r="I80" s="1"/>
      <c r="J80" s="1"/>
      <c r="K80" s="9"/>
    </row>
    <row r="81" spans="3:11" ht="15.75" x14ac:dyDescent="0.25">
      <c r="C81" s="9"/>
      <c r="D81" s="1"/>
      <c r="E81" s="1"/>
      <c r="F81" s="1"/>
      <c r="G81" s="1"/>
      <c r="H81" s="1"/>
      <c r="I81" s="1"/>
      <c r="J81" s="1"/>
      <c r="K81" s="9"/>
    </row>
    <row r="82" spans="3:11" ht="15.75" x14ac:dyDescent="0.25">
      <c r="C82" s="9"/>
      <c r="D82" s="1"/>
      <c r="E82" s="1"/>
      <c r="F82" s="1"/>
      <c r="G82" s="1"/>
      <c r="H82" s="1"/>
      <c r="I82" s="1"/>
      <c r="J82" s="1"/>
      <c r="K82" s="9"/>
    </row>
    <row r="83" spans="3:11" ht="15.75" x14ac:dyDescent="0.25">
      <c r="C83" s="9"/>
      <c r="D83" s="1"/>
      <c r="E83" s="1"/>
      <c r="F83" s="1"/>
      <c r="G83" s="1"/>
      <c r="H83" s="1"/>
      <c r="I83" s="1"/>
      <c r="J83" s="1"/>
      <c r="K83" s="9"/>
    </row>
    <row r="84" spans="3:11" ht="15.75" x14ac:dyDescent="0.25">
      <c r="C84" s="9"/>
      <c r="D84" s="1"/>
      <c r="E84" s="1"/>
      <c r="F84" s="1"/>
      <c r="G84" s="1"/>
      <c r="H84" s="1"/>
      <c r="I84" s="1"/>
      <c r="J84" s="1"/>
      <c r="K84" s="9"/>
    </row>
    <row r="85" spans="3:11" ht="15.75" x14ac:dyDescent="0.25">
      <c r="C85" s="9"/>
      <c r="D85" s="1"/>
      <c r="E85" s="1"/>
      <c r="F85" s="1"/>
      <c r="G85" s="1"/>
      <c r="H85" s="1"/>
      <c r="I85" s="1"/>
      <c r="J85" s="1"/>
      <c r="K85" s="9"/>
    </row>
    <row r="86" spans="3:11" x14ac:dyDescent="0.25">
      <c r="C86" s="9"/>
      <c r="D86" s="9"/>
      <c r="E86" s="9"/>
      <c r="F86" s="9"/>
      <c r="G86" s="9"/>
      <c r="H86" s="9"/>
      <c r="I86" s="9"/>
      <c r="J86" s="9"/>
      <c r="K86" s="9"/>
    </row>
    <row r="87" spans="3:11" x14ac:dyDescent="0.25">
      <c r="C87" s="9"/>
      <c r="D87" s="9"/>
      <c r="E87" s="9"/>
      <c r="F87" s="9"/>
      <c r="G87" s="9"/>
      <c r="H87" s="9"/>
      <c r="I87" s="9"/>
      <c r="J87" s="9"/>
      <c r="K87" s="9"/>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JgAgAFwAIgAgAFwAIgAgACYAIABUAGkAdABsAGUAQwBlAGwAbABcAG4AKQA7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A8ACAAMQBcACIALAAgAFwAIgBCAHUAbABsACAAPgAgADEAXAAiACwAIABcACIAQwBvAHcAIAA8ACAAMQBcACIALAAgAFwAIgBDAG8AdwAgADEALQAyAFwAIgAsACAAXAAiAEMAbwB3ACAAPgAgADIAXAAiACwAIABcACIAUwB0AGUAZQByACAAPAAgADEAXAAiACwAIABcACIAUwB0AGUAZQByACAAPg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A8ADEAXAAiACwAIABcACIAQgB1AGwAbAAgAD4AMQBcACIALAAgAFwAIgBDAG8AdwBzACAAPAAxAFwAIgAsACAAXAAiAEMAbwB3AHMAIAAxAC0AMgBcACIALAAgAFwAIgBDAG8AdwBzACAAMgAtADMAXAAiACwAIABcACIAQwBvAHcAcwAgAD4AMwBcACIALAAgAFwAIgBTAHQAZQBlAHIAIAA8ADEAXAAiACwAIABcACIAUwB0AGUAZQByACAAMQAtADIAXAAiACwAIABcACIAUwB0AGUAZQByACAAMgAtADMAXAAiACwAIABcACIAUwB0AGUAZQByACAAPg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JwBuAC8AYQAnACAAdwBpAHQAaAAgACcAUwBvAHUAdABoACAAVwBlAHMAdAAn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DwAMQBcACIALAAgAFwAIgBCAHUAbABsACAAPgAxAFwAIgAsACAAXAAiAEMAbwB3ACAAPAAxAFwAIgAsACAAXAAiAEMAbwB3ACAAMQAtADIAXAAiACwAIABcACIAQwBvAHcAIAA+ADIAXAAiACwAIABcACIAUwB0AGUAZQByACAAPAAxAFwAIgAsACAAXAAiAFMAdABlAGUAcgAgAD4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DwAMQBcACIALAAgAFwAIgBCAHUAbABsACAAPgAxAFwAIgAsACAAXAAiAEMAbwB3ACAAPAAxAFwAIgAsACAAXAAiAEMAbwB3ACAAMQAtADIAXAAiACwAIABcACIAQwBvAHcAIAAyAC0AMwBcACIALAAgAFwAIgBDAG8AdwAgAD4AMwBcACIALAAgAFwAIgBTAHQAZQBlAHIAIAA8ADEAXAAiACwAIABcACIAUwB0AGUAZQByACAAMQAtADIAXAAiACwAIABcACIAUwB0AGUAZQByACAAMgAtADMAXAAiACwAIABcACIAUwB0AGUAZQByACAAPg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CcAUwB0AGEAdABlACAAYQBiAGIAcgBlAHYAaQBhAHQAaQBvAG4AJ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PAAxAFwAIgAsACAAXAAiAEIAdQBsAGwAcwAgAD4AMQBcACIALAAgAFwAIgBDAG8AdwBzACAAPAAxAFwAIgAsACAAXAAiAEMAbwB3AHMAIAAxAC0AMgBcACIALAAgAFwAIgBDAG8AdwBzACAAPgAyAFwAIgAsACAAXAAiAFMAdABlAGUAcgAgADwAMQBcACIALAAgAFwAIgBTAHQAZQBlAHIAIAA+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CcAUABhAHMAdAB1AHIAZQAgAHIAYQBuAGcAZQAgAGEAbgBkACAAcABhAGQAZABvAGMAawAnACAAdABvACAAYQBpAGQAIABsAG8AbwBrAHUAcABcACIAKQA7AFwAbgBcAG4AUwBvAHUAcgBjAGUARABhAHQAYQBfAFAAYQBzAHQAdQByAGUAQgBlAGUAZgBfAEYAcgBhAGMAdABpAG8AbgBPAGYATQBhAG4AdQByAGUAVABvAE0ATQBT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OQA5AC4AMQA5ADIALAAgADAALgA4ADAAOAA7AFwAbgAgACAAIAAgACAAIAAgACAAIAAgAFwAIgBOAFMAVwBcACIALAAgAFwAIgBuAC8AYQBcACIALAAgADkAOQAuADQANQAyACwAIAAwAC4ANQA0ADgAOwBcAG4AIAAgACAAIAAgACAAIAAgACAAIABcACIAUwBBAFwAIgAsACAAXAAiAG4ALwBhAFwAIgAsACAAOQA5AC4ANwA1ADkALAAgADAALgAyADQAMQA7AFwAbgAgACAAIAAgACAAIAAgACAAIAAgAFwAIgBUAEEAUwBcACIALAAgAFwAIgBuAC8AYQBcACIALAAgADkAOQAuADEAMgAyACwAIAAwAC4AOAA3ADgAOwBcAG4AIAAgACAAIAAgACAAIAAgACAAIABcACIAVgBJAEMAXAAiACwAIABcACIAbgAvAGEAXAAiACwAIAA5ADgALgA4ADkANAAsACAAMQAuADEAMAA2ADsAXABuACAAIAAgACAAIAAgACAAIAAgACAAXAAiAFcAQQBcACIALAAgAFwAIgBTAG8AdQB0AGgAIABXAGUAcwB0AFwAIgAsACAAOQA5AC4ANgAyADIALAAgADAALgAzADcAOAA7AFwAbgAgACAAIAAgACAAIAAgACAAIAAgAFwAIgBXAEEAXAAiACwAIABcACIAUABpAGwAYgBhAHIAYQBcACIALAAgADkAOQAuADkAOQA5ACwAIAAwAC4AMAAwADEAOwBcAG4AIAAgACAAIAAgACAAIAAgACAAIABcACIAVwBBAFwAIgAsACAAXAAiAEsAaQBtAGIAZQByAGwAZQB5AFwAIgAsACAAOQA5AC4AOQA5ADkALAAgADAALgAwADAAMQA7AFwAbgAgACAAIAAgACAAIAAgACAAIAAgAFwAIgBOAFQAXAAiACwAIABcACIAQQBsAGkAYwBlACAAUwBwAHIAaQBuAGcAcwBcACIALAAgADkAOQAuADkAOQA5ACwAIAAwAC4AMAAwADEAOwBcAG4AIAAgACAAIAAgACAAIAAgACAAIABcACIATgBUAFwAIgAsACAAXAAiAEIAYQByAGsAbAB5AFwAIgAsACAAOQA5AC4AOQA5ADQALAAgADAALgAwADAANgA7AFwAbgAgACAAIAAgACAAIAAgACAAIAAgAFwAIgBOAFQAXAAiACwAIABcACIATgBvAHIAdABoAGUAcgBuAFwAIgAsACAAOQA5AC4AOQA5ADkALAAgADAALgAwADAAMQA7AFwAbgAgACAAIAAgACAAIAAgACAAIAAgAFwAIgBRAEwARABcACIALAAgAFwAIgBIAGkAZwBoAFwAIgAsACAAOQA5AC4ANwA3ADMALAAgADAALgAyADIANwA7AFwAbgAgACAAIAAgACAAIAAgACAAIAAgAFwAIgBRAEwARABcACIALAAgAFwAIgBNAG8AZABlAHIAYQB0AGUALwBIAGkAZwBoAFwAIgAsACAAOQA5AC4AOAA5ADgALAAgADAALgAxADAAMgA7AFwAbgAgACAAIAAgACAAIAAgACAAIAAgAFwAIgBRAEwARABcACIALAAgAFwAIgBNAG8AZABlAHIAYQB0AGUALwBMAG8AdwBcACIALAAgADkAOQAuADkANwA5ACwAIAAwAC4AMAAyADEAOwBcAG4AIAAgACAAIAAgACAAIAAgACAAIABcACIAUQBMAEQAXAAiACwAIABcACIATABvAHcAXAAiACwAIAA5ADkALgA5ADcANwAsACAAMAAuADAAMgAz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QBlAHQAaABhAG4AZQBDAG8AbgB2AGUAcgBzAGkAbwBuAEYAYQBjAHQAbwByAFAAZQByAFIAZQBnAGkAbwBuAFwAbgBUAGEAYgBsAGUAIABBAC4AMQAuADIALgAxADAAOgAgAEIAZQBlAGYAIABwAGEAcwB0AHUAcgBlACAAYwBhAHQAdABsAGUAIAAtACAATQBlAHQAaABhAG4AZQAgAGMAbwBuAHYAZQByAHMAaQBvAG4AIABmAGEAYwB0AG8AcgAgAHAAZQByACAAcgBlAGcAaQBvAG4AIAAoAGYAcgBhAGMAdABpAG8AbgApACAAKABNAEMARgBpAG0AKQBcAG4ALQAtAC0ALQAtAC0ALQAtAC0ALQAtAC0ALQAtAC0ALQAtAC0ALQAtAC0ALQAtAC0ALQAtAC0ALQAtAC0ALQAtAC0ALQAtAC0ALQAtAFwAbgAqAC8AXABuAFwAbgBTAG8AdQByAGMAZQBEAGEAdABhAF8AUABhAHMAdAB1AHIAZQBCAGUAZQBmAF8ATQBlAHQAaABhAG4AZQBDAG8AbgB2AGUAcgBzAGkAbwBuAEYAYQBjAHQAbwByAFAAZQByAFIAZQBnAGkAbwBuAF8AVABpAHQAbABlAFwAbgAgACAAPQBMAEEATQBCAEQAQQAoAFwAIgBCAGUAZQBmACAAcABhAHMAdAB1AHIAZQAgAGMAYQB0AHQAbABlACAALQAgAE0AZQB0AGgAYQBuAGUAIABjAG8AbgB2AGUAcgBzAGkAbwBuACAAZgBhAGMAdABvAHIAIABwAGUAcgAgAHIAZQBnAGkAbwBuACAAKABmAHIAYQBjAHQAaQBvAG4AKQAgACgATQBDAEYAaQBtACkAXAAiACkAOwBcAG4AXABuAFMAbwB1AHIAYwBlAEQAYQB0AGEAXwBQAGEAcwB0AHUAcgBlAEIAZQBlAGYAXwBNAGUAdABoAGEAbgBlAEMAbwBuAHYAZQByAHMAaQBvAG4ARgBhAGMAdABvAHIAUABlAHIAUgBlAGcAaQBvAG4AXwBWAGEAcgBpAGEAYgBsAGUAXABuACAAIAA9AEwAQQBNAEIARABBACgAXAAiAE0AQwBGAGkAbQBcACIAKQA7AFwAbgBcAG4AUwBvAHUAcgBjAGUARABhAHQAYQBfAFAAYQBzAHQAdQByAGUAQgBlAGUAZgBfAE0AZQB0AGgAYQBuAGUAQwBvAG4AdgBlAHIAcwBpAG8AbgBGAGEAYwB0AG8AcgBQAGUAcgBSAGUAZwBpAG8AbgBfAFUAbgBpAHQAXABuACAAIAA9AEwAQQBNAEIARABBACgAXAAiAGYAcgBhAGMAdABpAG8AbgBcACIAKQA7AFwAbgBcAG4AUwBvAHUAcgBjAGUARABhAHQAYQBfAFAAYQBzAHQAdQByAGUAQgBlAGUAZgBfAE0AZQB0AGgAYQBuAGUAQwBvAG4AdgBlAHIAcwBpAG8AbgBGAGEAYwB0AG8AcgBQAGUAcgBSAGUAZwBpAG8AbgBfAFMAbwB1AHIAYwBlAFwAbgAgACAAPQBMAEEATQBCAEQAQQAoAFwAIgBWAEUARQBSAEcAIAAyADAAMgA2ADoAIABUAGEAYgBsAGUAIABBAC4AMQAuADIALgAxADAAXAAiACkAOwBcAG4AXABuAFMAbwB1AHIAYwBlAEQAYQB0AGEAXwBQAGEAcwB0AHUAcgBlAEIAZQBlAGYAXwBNAGUAdABoAGEAbgBlAEMAbwBuAHYAZQByAHMAaQBvAG4ARgBhAGMAdABvAHIAUABlAHIAUgBlAGcAaQBvAG4AXwBWAGEAcgBpAGEAdABpAG8AbgBcAG4AIAAgAD0ATABBAE0AQgBEAEEAKABcACIAVgBBAFIASQBBAFQASQBPAE4AIABPAE4AIABTAE8AVQBSAEMARQA6ACAAUgBlAG0AbwB2AGUAZAAgAGMAbwBtAG0AYQAgAGYAcgBvAG0AIAAnAFAAYQBzAHQAdQByAGUAIAByAGEAbgBnAGUAIABhAG4AZAAgAHAAYQBkAGQAbwBjAGsAJ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SQBuAHAAdQB0AEYAdQBuAGMAdABpAG8AbgBzAF8AUABhAHMAdAB1AHIAZQBCAGUAZQBmACIALAAiAHQAZQB4AHQAIgA6ACIATABvAG8AawB1AHAATABpAHYAZQB3AGUAaQBnAGgAdABGAHIAbwBtAFMAZQBhAHMAbwBuAFwAbgA9AEwAQQBNAEIARABBACgAXABuACAAIAAgACAAUwB0AGEAdABlACwAIABSAGUAZwBpAG8AbgAsACAAUwBlAGEAcwBvAG4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ABlAH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wAbwBvAGsAdQBwAEwAaQB2AGUAdwBlAGkAZwBoAHQARgByAG8AbQBNAG8AbgB0AGgAXABuAD0ATABBAE0AQgBEAEEAKABcAG4AIAAgACAAIABTAHQAYQB0AGUALAAgAFIAZQBnAGkAbwBuACwAIABNAG8AbgB0AGg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QBvAG4AdABoAEEAcgByAGEAeQAsACAATQBvAG4AdABoAFQAbwBTAGUAYQBzAG8AbgBBAHIAcgBhAHkALABcAG4AIAAgACAAIABMAGUAdAAoAFwAbgAgACAAIAAgACAAIAAgACAATQBvAG4AdABoACwAIABUAEUAWABUACgATQBvAG4AdABoACwAIABcACIAbQBtAG0AbQBcACIAKQAsAFwAbgAgACAAIAAgACAAIAAgACAAUwB0AGEAdABlACwAIABYAEwATwBPAEsAVQBQACgAUwB0AGEAdABlACwAIABTAHQAYQB0AGUAQwBvAG0AbQBvAG4ATgBhAG0AZQBBAHIAcgBhAHkALAAgAFMAdABhAHQAZQBBAGIAYgByAGUAdgBpAGEAdABpAG8AbgBBAHIAcgBhAHkAKQAsAFwAbgAgACAAIAAgACAAIAAgACAAUwBlAGEAcwBvAG4ALAAgAFgATABPAE8ASwBVAFAAKABNAG8AbgB0AGgALAAgAE0AbwBuAHQAaABBAHIAcgBhAHkALAAgAE0AbwBuAHQAaABUAG8AUwBlAGEAcw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MAbwBuAHYAZQByAHQATQBvAG4AdABoAGwAeQBDAGEAbAB2AGkAbgBnAFQAbwBTAGUAYQBzAG8AbgBcAG4AXABuAD0AIABMAEEATQBCAEQAQQAoAFwAbgAgACAAIAAgAFMAZQBhAHMAbwBuACwAIABTAHUAbQBBAHIAcgBhAHkALAAgAEMAYQBsAHYAaQBuAGcATQBvAG4AdABoAEEAcgByAGEAeQAsACAATQBvAG4AdABoAEEAcgByAGEAeQAsACAATQBvAG4AdABoAFQAbwBTAGUAYQBzAG8AbgBBAHIAcgBhAHkALABcAG4AIAAgACAAIABMAEUAVAAoAFwAbgAgACAAIAAgACAAIAAgACAATQBvAG4AdABoAFQAZQB4AHQALAAgAFQARQBYAFQAKABDAGEAbAB2AGkAbgBnAE0AbwBuAHQAaABBAHIAcgBhAHkALAAgAFwAIgBtAG0AbQBtAFwAIgApACwAXABuACAAIAAgACAAIAAgACAAIABTAGUAYQBzAG8AbgBQAGUAcgBSAG8AdwAsACAAWABMAE8ATwBLAFUAUAAoAE0AbwBuAHQAaABUAGUAeAB0ACwAIABNAG8AbgB0AGgAQQByAHIAYQB5ACwAIABNAG8AbgB0AGgAVABvAFMAZQBhAHMAbwBuAEEAcgByAGEAeQAsACAAXAAiAFwAIgAsACAAMAApACwAXABuACAAIAAgACAAIAAgACAAIABTAFUATQAoAFMAdQBtAEEAcgByAGEAeQAgACoAIAAoAFMAZQBhAHMAbwBuAFAAZQByAFIAbwB3AD0AUwBlAGEAcwBvAG4AKQApAFwAbgAgACAAIAAgACkAXABuACkAOwBcAG4AXABuAEwAbwBvAGsAdQBwAFYAYQBsAHUAZQBGAHIAbwBtAFMAdABhAHQAZQBSAGUAZwBpAG8AbgBTAGUAYQBzAG8AbgBcAG4APQBMAEEATQBCAEQAQQAoAFwAbgAgACAAIAAgAFMAdABhAHQAZQAsACAAUgBlAGcAaQBvAG4ALAAgAFMAZQBhAHMAbwBu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FwAbgBcAG4ATABvAG8AawB1AHAAVgBhAGwAdQBlAEYAcgBvAG0AUwB0AGEAdABlAFIAZQBnAGkAbwBuAE0AbwBuAHQAaABcAG4APQBMAEEATQBCAEQAQQAoAFwAbgAgACAAIAAgAFMAdABhAHQAZQAsACAAUgBlAGcAaQBvAG4ALAAgAE0AbwBuAHQAaA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IABNAG8AbgB0AGgAQQByAHIAYQB5ACwAIABNAG8AbgB0AGgAVABvAFMAZQBhAHM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TAGUAYQBzAG8AbgAsACAAWABMAE8ATwBLAFUAUAAoAFQARQBYAFQAKABNAG8AbgB0AGgALAAgAFwAIgBtAG0AbQBtAFwAIgApACwAIABNAG8AbgB0AGgAQQByAHIAYQB5ACwAIABNAG8AbgB0AGgAVABvAFMAZQBhAHM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IgB9ACwAewAiAHAAYQB0AGgAIgA6ACIALwBwAHIAbwBqAGUAYwB0AHMALwBNAE0AUwBfAFAAYQBzAHQAdQByAGUAQgBlAGUAZg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MAIABNAGUAdABoAG8AZAAgADEAIAAtACAAUwBvAGkAbAAgAEQAaQByAGUAYwB0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MAXwBfADEAXwBEAGkAcgBlAGMAdABOAGkAdAByAG8AdQBzAE8AeABpAGQAZQBFAG0AaQBzAHMAaQBvAG4AcwBPAG4AUABhAHMAdAB1AHIAZQBcAG4AVABvAHQAYQBsACAAYQBuAG4AdQBhAGwAIABkAGkAcgBlAGMAdAAgAG4AaQB0AHIAbwB1AHMAIABvAHgAaQBkAGUAIABlAG0AaQBzAHMAaQBvAG4AcwAgAGYAcgBvAG0AIABhAGcAcgBpAGMAdQBsAHQAdQByAGEAbAAgAHMAbwBpAGwAcwAgAGYAcgBvAG0AIABkAGUAcABvAHMAaQB0AGkAbwBuACAAbwBmACAAdQByAGkAbgBlACAAYQBuAGQAIABkAHUAbgBnAFwAbgBFAF8ATgAyAE8AZABpAHIAXABuAHQAIABOADIATwBcAG4ARQBfAHsATgAyAE8ALABkAGkAcgB9AD0AQQBFAFwAXAB0AGkAbQBlAHMAIABFAEYAXwB7AFAAUgBQAH0AXABcAHQAaQBtAGUAcwAgAEMAXwB7AE4AMgBPAH0AXABcAHQAaQBtAGUAcwAgADEAMABeAHsALQAzAH0AXABuAEEARQAgAD0AIAB0AG8AdABhAGwAIABtAGEAcwBzACAAbwBmACAAbgBpAHQAcgBvAGcAZQBuACAAZQB4AGMAcgBlAHQAZQBkACAAbwBuACAAUABSAFAAIABmAG8AcgAgAGIAZQBlAGYAIABjAGEAdAB0AGwAZQAgACgAawBnACAATgApAFwAbgBFAEYAXwBQAFIAUAAgAD0AIABlAG0AaQBzAHMAaQBvAG4AIABmAGEAYwB0AG8AcgAgAGYAbwByACAAbgBpAHQAcgBvAHUAcwAgAG8AeABpAGQAZQAgAGYAcgBvAG0AIAB1AHIAaQBuAGUAIABhAG4AZAAgAGQAdQBuAGcAIABkAGUAcABvAHMAaQB0AGUAZAAgAHQAbwAgAHMAbwBpAGwAIAAoAGsAZwAgAE4AMgBPAC0ATgAvAGsAZwAgAE4AIABkAGUAcABvAHMAaQB0AGUAZA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MgBfADEAXwAzAF8AXwAxAF8ARABpAHIAZQBjAHQATgBpAHQAcgBvAHUAcwBPAHgAaQBkAGUARQBtAGkAcwBzAGkAbwBuAHMATwBuAFAAYQBzAHQAdQByAGUAXABuACAAIAA9AEwAQQBNAEIARABBACgAXABuACAAIAAgACAAQQBFACwAIABFAEYAXwBQAFIAUAAsACAAQwBfAE4AMgBPACwAXABuACAAIAAgACAAQQBFACAAKgAgAEUARgBfAFAAUgBQACAAKgAgAEMAXwBOADIATwAgACoAIAAxADAAIABeACAALQAzAFwAbgAgACAAKQA7AFwAbgBcAG4AVgBFAEUAUgBHAF8ANABfADIAXwAxAF8AMwBfAF8AMQBfAEQAaQByAGUAYwB0AE4AaQB0AHIAbwB1AHMATwB4AGkAZABlAEUAbQBpAHMAcwBpAG8AbgBzAE8AbgBQAGEAcwB0AHUAcgBlAF8AVABpAHQAbABlAFwAbgAgACAAPQBMAEEATQBCAEQAQQAoAFwAIgBUAG8AdABhAGwAIABhAG4AbgB1AGEAbAAgAGQAaQByAGUAYwB0ACAAbgBpAHQAcgBvAHUAcwAgAG8AeABpAGQAZQAgAGUAbQBpAHMAcwBpAG8AbgBzACAAZgByAG8AbQAgAGEAZwByAGkAYwB1AGwAdAB1AHIAYQBsACAAcwBvAGkAbABzACAAZgByAG8AbQAgAGQAZQBwAG8AcwBpAHQAaQBvAG4AIABvAGYAIAB1AHIAaQBuAGUAIABhAG4AZAAgAGQAdQBuAGcAXAAiACkAOwBcAG4AXABuAFYARQBFAFIARwBfADQAXwAyAF8AMQBfADMAXwBfADEAXwBEAGkAcgBlAGMAdABOAGkAdAByAG8AdQBzAE8AeABpAGQAZQBFAG0AaQBzAHMAaQBvAG4AcwBPAG4AUABhAHMAdAB1AHIAZQBfAFYAYQByAGkAYQBiAGwAZQBcAG4AIAAgAD0ATABBAE0AQgBEAEEAKABcACIARQBfAE4AMgBPAGQAaQByAFwAIgApADsAXABuAFwAbgBWAEUARQBSAEcAXwA0AF8AMgBfADEAXwAzAF8AXwAxAF8ARABpAHIAZQBjAHQATgBpAHQAcgBvAHUAcwBPAHgAaQBkAGUARQBtAGkAcwBzAGkAbwBuAHMATwBuAFAAYQBzAHQAdQByAGUAXwBVAG4AaQB0AFwAbgAgACAAPQBMAEEATQBCAEQAQQAoAFwAIgB0ACAATgAyAE8AXAAiACkAOwBcAG4AXABuAFYARQBFAFIARwBfADQAXwAyAF8AMQBfADMAXwBfADEAXwBEAGkAcgBlAGMAdABOAGkAdAByAG8AdQBzAE8AeABpAGQAZQBFAG0AaQBzAHMAaQBvAG4AcwBPAG4AUABhAHMAdAB1AHIAZQBfAFMAbwB1AHIAYwBlAFwAbgAgACAAPQBMAEEATQBCAEQAQQAoAFwAIgBWAEUARQBSAEcAIAAyADAAMgA2ADoAIAA0AC4AMgAuADEALgAzACwAIABFAHEAdQBhAHQAaQBvAG4AIAAoADEAKQBcACIAKQA7AFwAbgBcAG4AVgBFAEUAUgBHAF8ANABfADIAXwAxAF8AMwBfAF8AMQBfAEQAaQByAGUAYwB0AE4AaQB0AHIAbwB1AHMATwB4AGkAZABlAEUAbQBpAHMAcwBpAG8AbgBzAE8AbgBQAGEAcwB0AHUAcgBlAF8ATgBJAFIAUgBlAGYAZQByAGUAbgBjAGUAXABuACAAIAA9AEwAQQBNAEIARABBACgAXAAiAFwAIgApADsAXABuAFwAbgBWAEUARQBSAEcAXwA0AF8AMgBfADEAXwAzAF8AXwAxAF8ARABpAHIAZQBjAHQATgBpAHQAcgBvAHUAcwBPAHgAaQBkAGUARQBtAGkAcwBzAGkAbwBuAHMATwBuAFAAYQBzAHQAdQByAGUAXwBMAGEAdABlAHgARQBxAHUAYQB0AGkAbwBuAFwAbgAgACAAPQBMAEEATQBCAEQAQQAoAFwAIgBFAF8AewBOADIATwAsAGQAaQByAH0APQBBAEUAXABcAHQAaQBtAGUAcwAgAEUARgBfAHsAUABSAFAAfQBcAFwAdABpAG0AZQBzACAAQwBfAHsATgAyAE8AfQBcAFwAdABpAG0AZQBzACAAMQAwAF4AewAtADMAfQBcACIAKQA7AFwAbgBcAG4AVgBFAEUAUgBHAF8ANABfADIAXwAxAF8AMw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FAEYAXwBQAFIAUABcACIALAAgAFwAIgBlAG0AaQBzAHMAaQBvAG4AIABmAGEAYwB0AG8AcgAgAGYAbwByACAAbgBpAHQAcgBvAHUAcwAgAG8AeABpAGQAZQAgAGYAcgBvAG0AIAB1AHIAaQBuAGUAIABhAG4AZAAgAGQAdQBuAGcAIABkAGUAcABvAHMAaQB0AGUAZAAgAHQAbwAgAHMAbwBpAGw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6AFwAIgAsACAAXAAiAHcAZQB0ACAAbwByACAAZAByAHkAIABjAGwAaQBtAGEAdABl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gBfAFQAbwB0AGEAbABOAGkAdAByAG8AZwBlAG4ARQB4AGMAcgBlAHQAZQBkAFQAbwBQAGEAcwB0AHUAcgBlAFIAYQBuAGcAZQBBAG4AZABQAGEAZABkAG8AYwBrAFwAbgBUAG8AdABhAGwAIABuAGkAdAByAG8AZwBlAG4AIABlAHgAYwByAGUAdABlAGQAIAB0AG8AIABwAGEAcwB0AHUAcgBlACwAIAByAGEAbgBnAGUAIABhAG4AZAAgAHAAYQBkAGQAbwBjAGsAXABuAEEARQBcAG4AawBnACAATgBcAG4AQQBFAD0AXABcAHMAdQBtAF8AewBqAH0AXABcAHMAdQBtAF8AewBrAH0AXABcAHMAdQBtAF8AewBsAH0AKABOAF8AewBqAGsAbAB9AFwAXAB0AGkAbQBlAHMAIABOAEUAXwB7AGoAawBsAH0AXABcAHQAaQBtAGUAcwAgAEQAXwBqACkAXABuAE4AXwBqAGsAbAAgAD0AIABuAHUAbQBiAGUAcgAgAG8AZgAgAGIAZQBlAGYAIABjAGEAdAB0AGwAZQAgAGIAeQAgAHQAaQBtAGUALQBwAGUAcgBpAG8AZAAsACAAYwBsAGEAcwBzACAAYQBuAGQAIABzAHUAYgBjAGwAYQBzAHMAIAAoAGgAZQBhAGQAKQBcAG4ATgBFAF8AagBrAGwAIAA9ACAAbgBpAHQAcgBvAGcAZQBuACAAZQB4AGMAcgBlAHQAZQBkACAAaQBuACAAZQBhAGMAaAAgAHQAaQBtAGUALQBwAGUAcgBpAG8AZAAsACAAYgB5ACAAZQBhAGMAaAAgAGMAbABhAHMAcwAgAGEAbgBkACAAcwB1AGIAYwBsAGEAcwBzACAAKABrAGcAIABOAC8AaABlAGEAZAAvAGQAYQB5ACkAXABuAEQAXwBqACAAPQAgAG4AdQBtAGIAZQByACAAbwBmACAAZABhAHkAcwAgAGkAbgAgAGUAYQBjAGgAIAB0AGkAbQBlAC0AcABlAHIAaQBvAGQAIAAoAGQAYQB5AHMAKQBcAG4ALQAtAC0ALQAtAC0ALQAtAC0ALQAtAC0ALQAtAC0ALQAtAC0ALQAtAC0ALQAtAC0ALQAtAC0ALQAtAC0ALQAtAC0ALQAtAC0ALQAtAFwAbgAqAC8AXABuAFwAbgBWAEUARQBSAEcAXwA0AF8AMgBfADEAXwAzAF8AXwAyAF8AVABvAHQAYQBsAE4AaQB0AHIAbwBnAGUAbgBFAHgAYwByAGUAdABlAGQAVABvAFAAYQBzAHQAdQByAGUAUgBhAG4AZwBlAEEAbgBkAFAAYQBkAGQAbwBjAGsAXABuACAAIAA9AEwAQQBNAEIARABBACgAXABuACAAIAAgACAATgBfAGoAawBsACwAIABOAEUAXwBqAGsAbAAsACAARABfAGoALABcAG4AIAAgACAAIABTAFUATQAoACgATgBfAGoAawBsACAAKgAgAE4ARQBfAGoAawBsACkAIAAqACAARABfAGoAKQBcAG4AIAAgACkAOwBcAG4AXABuAFYARQBFAFIARwBfADQAXwAyAF8AMQBfADMAXwBfADIAXwBUAG8AdABhAGwATgBpAHQAcgBvAGcAZQBuAEUAeABjAHIAZQB0AGUAZABUAG8AUABhAHMAdAB1AHIAZQBSAGEAbgBnAGUAQQBuAGQAUABhAGQAZABvAGMAawBfAFQAaQB0AGwAZQBcAG4AIAAgAD0ATABBAE0AQgBEAEEAKABcACIAVABvAHQAYQBsACAAbgBpAHQAcgBvAGcAZQBuACAAZQB4AGMAcgBlAHQAZQBkACAAdABvACAAcABhAHMAdAB1AHIAZQAsACAAcgBhAG4AZwBlACAAYQBuAGQAIABwAGEAZABkAG8AYwBrAFwAIgApADsAXABuAFwAbgBWAEUARQBSAEcAXwA0AF8AMgBfADEAXwAzAF8AXwAyAF8AVABvAHQAYQBsAE4AaQB0AHIAbwBnAGUAbgBFAHgAYwByAGUAdABlAGQAVABvAFAAYQBzAHQAdQByAGUAUgBhAG4AZwBlAEEAbgBkAFAAYQBkAGQAbwBjAGsAXwBWAGEAcgBpAGEAYgBsAGUAXABuACAAIAA9AEwAQQBNAEIARABBACgAXAAiAEEARQBcACIAKQA7AFwAbgBcAG4AVgBFAEUAUgBHAF8ANABfADIAXwAxAF8AMwBfAF8AMgBfAFQAbwB0AGEAbABOAGkAdAByAG8AZwBlAG4ARQB4AGMAcgBlAHQAZQBkAFQAbwBQAGEAcwB0AHUAcgBlAFIAYQBuAGcAZQBBAG4AZABQAGEAZABkAG8AYwBrAF8AVQBuAGkAdABcAG4AIAAgAD0ATABBAE0AQgBEAEEAKABcACIAawBnACAATgBcACIAKQA7AFwAbgBcAG4AVgBFAEUAUgBHAF8ANABfADIAXwAxAF8AMwBfAF8AMgBfAFQAbwB0AGEAbABOAGkAdAByAG8AZwBlAG4ARQB4AGMAcgBlAHQAZQBkAFQAbwBQAGEAcwB0AHUAcgBlAFIAYQBuAGcAZQBBAG4AZABQAGEAZABkAG8AYwBrAF8AUwBvAHUAcgBjAGUAXABuACAAIAA9AEwAQQBNAEIARABBACgAXAAiAFYARQBFAFIARwAgADIAMAAyADYAOgAgADQALgAyAC4AMQAuADMALAAgAEUAcQB1AGEAdABpAG8AbgAgACgAMgApAFwAIgApADsAXABuAFwAbgBWAEUARQBSAEcAXwA0AF8AMgBfADEAXwAzAF8AXwAyAF8AVABvAHQAYQBsAE4AaQB0AHIAbwBnAGUAbgBFAHgAYwByAGUAdABlAGQAVABvAFAAYQBzAHQAdQByAGUAUgBhAG4AZwBlAEEAbgBkAFAAYQBkAGQAbwBjAGsAXwBOAEkAUgBSAGUAZgBlAHIAZQBuAGMAZQBcAG4AIAAgAD0ATABBAE0AQgBEAEEAKABcACIAXAAiACkAOwBcAG4AXABuAFYARQBFAFIARwBfADQAXwAyAF8AMQBfADMAXwBfADIAXwBUAG8AdABhAGwATgBpAHQAcgBvAGcAZQBuAEUAeABjAHIAZQB0AGUAZABUAG8AUABhAHMAdAB1AHIAZQBSAGEAbgBnAGUAQQBuAGQAUABhAGQAZABvAGMAawBfAEwAYQB0AGUAeABFAHEAdQBhAHQAaQBvAG4AXABuACAAIAA9AEwAQQBNAEIARABBACgAXAAiAEEARQA9AFwAXABzAHUAbQBfAHsAagB9AFwAXABzAHUAbQBfAHsAawB9AFwAXABzAHUAbQBfAHsAbAB9ACgATgBfAHsAagBrAGwAfQBcAFwAdABpAG0AZQBzACAATgBFAF8AewBqAGsAbAB9AFwAXAB0AGkAbQBlAHMAIABEAF8AagApAFwAIgApADsAXABuAFwAbgBWAEUARQBSAEcAXwA0AF8AMgBfADEAXwAzAF8AXwAyAF8AVABvAHQAYQBsAE4AaQB0AHIAbwBnAGUAbgBFAHgAYwByAGUAdABlAGQAVABvAFAAYQBzAHQAdQByAGUAUgBhAG4AZwBlAEEAbgBkAFAAYQBkAGQAbwBjAGs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YgB5ACAAdABpAG0AZQAtAHAAZQByAGkAbwBkACwAIABjAGwAYQBzAHMAIABhAG4AZAAgAHMAdQBiAGMAbABhAHMAcwBcACIALAAgAFwAIgBoAGUAYQBkAFwAIgAsACAAXAAiAEkAbgBwAHUAdABcACIAOwBcAG4AIAAgACAAIAAgACAAIAAgACAAIABcACIATgBFAF8AagBrAGwAXAAiACwAIABcACIAbgBpAHQAcgBvAGcAZQBuACAAZQB4AGMAcgBlAHQAZQBkACAAaQBuACAAZQBhAGMAaAAgAHQAaQBtAGUALQBwAGUAcgBpAG8AZAAsACAAYgB5ACAAZQBhAGMAaAAgAGMAbABhAHMAcwAgAGEAbgBkACAAcwB1AGIAYwBsAGEAcwBzAFwAIgAsACAAXAAiAGsAZwAgAE4ALwBoAGUAYQBkAC8AZABhAHkAXAAiACwAIABcACIAQwBhAGwAYwB1AGwAYQB0AGUAZAAgAGYAcgBvAG0AIAA0AC4AMgAuADEALgAzACAAKAAzACkAXAAiADsAXABuACAAIAAgACAAIAAgACAAIAAgACAAXAAiAEQAXwBqAFwAIgAsACAAXAAiAG4AdQBtAGIAZQByACAAbwBmACAAZABhAHkAcwAgAGkAbgAgAGUAYQBjAGgAIAB0AGkAbQBlAC0AcABlAHIAaQBvAGQAIAAoAGQAYQB5AHMAKQ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EMAUABfAGoAXAAiACwAIABcACIAYwByAHUAZABlACAAcAByAG8AdABlAGkAbgAgAGMAbwBuAHQAZQBuAHQAIABvAGYAIABkAHIAeQAgAG0AYQB0AHQAZQByACAAaQBuAHQAYQBrAGUAXAAiACwAIABcACIAZgByAGEAYwB0AGkAbwBuAFwAIgAsACAAXAAiAEkAbgBwAHUAdABcACIAOwBcAG4AIAAgACAAIAAgACAAIAAgACAAIABcACIATQBDAF8AagBrADEAMwA2AFwAIgAsACAAXAAiAG0AaQBsAGsAIABpAG4AdABhAGsAZQAgACgAawBnAC8AaABlAGEAZAAvAGQAYQB5ACkAXAAiACwAIABcACIAawBnAC8AaABlAGEAZAAvAGQAYQB5AFwAIgAsACAAXAAiAEMAbwBuAHMAdABhAG4AdABcACIAOwBcAG4AIAAgACAAIAAgACAAIAAgACAAIABcACIATgBSAF8AagBrAGwAXAAiACwAIABcACIAdABoAGUAIABhAG0AbwB1AG4AdAAgAG8AZgAgAG4AaQB0AHIAbwBnAGUAbgAgAHIAZQB0AGEAaQBuAGUAZAAgAGIAeQAgAHQAaABlACAAYgBvAGQAeQAgACgAawBnACAATgAvAGgAZQBhAGQALwBkAGEAeQApAFwAIgAsACAAXAAiAGsAZwAgAE4ALwBoAGUAYQBkAC8AZABhAHkAXAAiACwAIABcACIAQwBhAGwAYwB1AGwAYQB0AGUAZAAgAGYAcgBvAG0AIAA0AC4AMgAuADEALgAzACAAKAA0ACkAXAAiADsAXABuACAAIAAgACAAIAAgACAAIAAgACAAXAAiAFcAXwBqAGsAbABcACIALAAgAFwAIgBsAGkAdgBlAHcAZQBpAGcAaAB0ACAAKABrAGcALwBoAGUAYQBkACkAXAAiACwAIABcACIAawBnAC8AaABlAGEAZABcACIALAAgAFwAIgBJAG4AcAB1AHQAXAAiADsAXABuACAAIAAgACAAIAAgACAAIAAgACAAXAAiAGIAXAAiACwAIABcACIAYgByAGUAZQBkACAAbwBmACAAYwBhAHQAdABsAGUAXAAiACwAIABcACIAXAAiACwAIABcACIASQBuAHAAdQB0AFwAIgA7AFwAbgAgACAAIAAgACAAIAAgACAAIAAgAFwAIgBzAFwAIgAsACAAXAAiAEMAYQBsAHYAaQBuAGcAIABzAGUAYQBz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NAAsAFwAbgAgACAAIAAgACAAIABMAEEATQBCAEQAQQAoAHIALABjACwAXABuACAAIAAgACAAIAAgACAAIABJAE4ARABFAFgAKAB7AFwAbgAgACAAIAAgACAAIAAgACAAIAAgAFwAIgBNAFAAXwBqAGsANQBcACIALAAgAFwAIgBtAGkAbABrACAAcAByAG8AZAB1AGMAdABpAG8AbgAgACgAawBnAC8AaABlAGEAZAAvAGQAYQB5ACkAXAAiACwAIABcACIAawBnAC8AaABlAGEAZAAvAGQAYQB5AFwAIgAsACAAXAAiAEMAYQBsAGMAdQBsAGEAdABlAGQAIABmAHIAbwBtACAANAAuADIALgAxAC4AMwAgACgANQApAFwAIgA7AFwAbgAgACAAIAAgACAAIAAgACAAIAAgAFwAIgBMAF8AagBrAGwAXAAiACwAIABcACIAaQBuAHQAYQBrAGUAIAByAGUAbABhAHQAaQB2AGUAIAB0AG8AIAB0AGgAYQB0ACAAbgBlAGUAZABlAGQAIABmAG8AcgAgAG0AYQBpAG4AdABlAG4AYQBuAGMAZQBcACIALAAgAFwAIgBcACIALAAgAFwAIgBDAGEAbABjAHUAbABhAHQAZQBkACAAZgByAG8AbQAgADQALgAyAC4AMQAuADMAIAAoADYAKQBcACIAOwBcAG4AIAAgACAAIAAgACAAIAAgACAAIABcACIAWgBfAGoAawBsAFwAIgAsACAAXAAiAHIAZQBsAGEAdABpAHYAZQAgAHMAaQB6AGUAXAAiACwAIABcACIAXAAiACwAIABcACIAQwBhAGwAYwB1AGwAYQB0AGUAZAAgAGYAcgBvAG0AIAA0AC4AMgAuADEALgAzACAAKAA3ACkAXAAiADsAXABuACAAIAAgACAAIAAgACAAIAAgACAAXAAiAEwAVwBHAF8AagBrAGwAXAAiACwAIABcACIAbABpAHYAZQB3AGUAaQBnAGgAdAAgAGcAYQBpAG4AIAAoAGsAZwAvAGgAZQBhAGQALwBkAGEAeQApAFwAIgAsACAAXAAiAGsAZwAvAGgAZQBhAGQALwBkAGEAeQ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NA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sACAAXAAiAGYAcgBhAGMAdABpAG8AbgBcACIALAAgAFwAIgBJAG4AcAB1AHQAXAAiADsAXABuACAAIAAgACAAIAAgACAAIAAgACAAXAAiAEQATQBQAF8AagBrADUAXAAiACwAIABcACIAZABhAGkAbAB5ACAAbQBpAGwAawAgAHAAcgBvAGQAdQBjAHQAaQBvAG4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QQByAGcAdQBtAGUAbgB0AHMAVgBhAHIAaQBhAHQAaQBvAG4AXABuACAAIAA9AEwAQQBNAEIARABBACgAXABuACAAIAAgACAATQBBAEsARQBBAFIAUgBBAFkAKAA1ACwAIAA0ACwAXABuACAAIAAgACAAIAAgAEwAQQBNAEIARABBACgAcgAsAGMALABcAG4AIAAgACAAIAAgACAAIAAgAEkATgBEAEUAWAAoAHsAXABuACAAIAAgACAAIAAgACAAIAAgACAAXAAiAEwAQwBfAGoAawA1AGMAdQByAHIAXAAiACwAIABcACIAcAByAG8AcABvAHIAdABpAG8AbgAgAG8AZgAgAGMAbwB3AHMAIABnAHIAZQBhAHQAZQByACAAdABoAGEAbgAgADIAIAB5AGUAYQByAHMAIABsAGEAYwB0AGEAdABpAG4AZwAgAGYAbwByACAAdABoAGUAIABzAGUAYQBzAG8AbgAgAG8AZgAgAGMAYQBsAHYAaQBuAGcAXAAiACwAIABcACIAZgByAGEAYwB0AGkAbwBuAFwAIgAsACAAXAAiAEkAbgBwAHUAdABcACIAOwBcAG4AIAAgACAAIAAgACAAIAAgACAAIABcACIATABDAF8AagBrADUAcAByAGUAdgBcACIALAAgAFwAIgBwAHIAbwBwAG8AcgB0AGkAbwBuACAAbwBmACAAYwBvAHcAcwAgAGcAcgBlAGEAdABlAHIAIAB0AGgAYQBuACAAMgAgAHkAZQBhAHIAcwAgAGwAYQBjAHQAYQB0AGkAbgBnACAAZgBvAHIAIAB0AGgAZQAgAHMAZQBhAHMAbwBuACAAYQBmAHQAZQByACAAYwBhAGwAdgBpAG4AZwBcACIALAAgAFwAIgBmAHIAYQBjAHQAaQBvAG4AXAAiACwAIABcACIASQBuAHAAdQB0AFwAIgA7AFwAbgAgACAAIAAgACAAIAAgACAAIAAgAFwAIgBEAE0AUABfAGoAawA1AGMAYQBsAHYAXAAiACwAIABcACIAZABhAGkAbAB5ACAAbQBpAGwAawAgAHAAcgBvAGQAdQBjAHQAaQBvAG4AIABmAG8AcgAgAHQAaABlACAAcwBlAGEAcwBvAG4AIABvAGYAIABjAGEAbAB2AGkAbgBnACAAKABrAGcALwBoAGUAYQBkAC8AZABhAHkAKQBcACIALAAgAFwAIgBrAGcALwBoAGUAYQBkAC8AZABhAHkAXAAiACwAIABcACIAQwBvAG4AcwB0AGEAbgB0AFwAIgA7AFwAbgAgACAAIAAgACAAIAAgACAAIAAgAFwAIgBEAE0AUABfAGoAawA1AGEAZgB0AGUAcgBcACIALAAgAFwAIgBkAGEAaQBsAHkAIABtAGkAbABrACAAcAByAG8AZAB1AGMAdABpAG8AbgAgAGYAbwByACAAdABoAGUAIABzAGUAYQBzAG8AbgAgAGEAZgB0AGUAcgAgAGMAYQBsAHYAaQBuAGc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VgBhAHIAaQBhAHQAaQBvAG4AXABuAD0ATABBAE0AQgBEAEEAKABcACIAVgBBAFIASQBBAFQASQBPAE4AIABPAE4AIABTAE8AVQBSAEMARQA6ACAAUwBwAGwAaQB0ACAATABDACAAYQBuAGQAIABEAE0AUAAgAGkAbgB0AG8AIABjAGEAbAB2AGkAbgBnACAAcwBlAGEAcwBvAG4AIABhAG4AZAAgAGEAZgB0AGUAcgAgAGMAYQBsAHYAaQBuAGcAIABzAGUAYQBzAG8AbgAgAHYAYQBsAHUAZQBzAC4AXAAiACkAOwBcAG4AXABuAC8AKgBcAG4ALQAtAC0ALQAtAC0ALQAtAC0ALQAtAC0ALQAtAC0ALQAtAC0ALQAtAC0ALQAtAC0ALQAtAC0ALQAtAC0ALQAtAC0ALQAtAC0ALQAtAFwAbgBWAEUARQBSAEcAXwA0AF8AMgBfADEAXwAzAF8AXwA2AF8ASQBuAHQAYQBrAGUAUgBlAGwAYQB0AGkAdgBlAFQAbwBNAGEAaQBuAHQAZQBuAGEAbgBjAGUAXABuAEkAbgB0AGEAawBlACAAcgBlAGwAYQB0AGkAdgBlACAAdABvACAAdABoAGEAdAAgAG4AZQBlAGQAZQBkACAAZgBvAHIAIABtAGEAaQBuAHQAZQBuAGEAbgBjAGUAXABuAEwAXwBqAGsAbABcAG4AcgBhAHQAaQBvAFwAbgBMAF8AewBqAGsAbAB9AD0AXABcAGYAcgBhAGMAewBJAF8AewBqAGsAbAB9AH0AewAoADEALgAxADgANQArADAALgAwADAANAA1ADQAXABcAHQAaQBtAGUAcwAgAFcAXwB7AGoAawBsAH0ALQAwAC4AMAAwADAAMAAwADIANgBcAFwAdABpAG0AZQBzACAAVwBfAHsAagBrAGwAfQBeAHsAMgB9ACkAXgB7ADIAfQB9AFwAbgBJAF8AagBrAGwAIAA9ACAAZAByAHkAIABtAGEAdAB0AGUAcgAgAGkAbgB0AGEAawBlACAAYQBzACAAYwBhAGwAYwB1AGwAYQB0AGUAZAAgAGkAbgAgAEMAaABhAHAAdABlAHIAIAAzACAAUwBlAGMAdABpAG8AbgAgADMALgAyAC4AMQAgACgAawBnACAARABNAC8AaABlAGEAZAAvAGQAYQB5ACkAXABuAFcAXwBqAGsAbAAgAD0AIABsAGkAdgBlAHcAZQBpAGcAaAB0ACAAKABrAGcALwBoAGUAYQBkACkAXABuAC0ALQAtAC0ALQAtAC0ALQAtAC0ALQAtAC0ALQAtAC0ALQAtAC0ALQAtAC0ALQAtAC0ALQAtAC0ALQAtAC0ALQAtAC0ALQAtAC0ALQBcAG4AKgAvAFwAbgBcAG4AVgBFAEUAUgBHAF8ANABfADIAXwAxAF8AMwBfAF8ANgBfAEkAbgB0AGEAawBlAFIAZQBsAGEAdABpAHYAZQBUAG8ATQBhAGkAbgB0AGUAbgBhAG4AYwBlAFwAbgAgACAAPQBMAEEATQBCAEQAQQAoAFwAbgAgACAAIAAgAEkAXwBqAGsAbAAsACAAVwBfAGoAawBsACwAXABuACAAIAAgACAASQBfAGoAawBsACAALwAgACgAKAAxAC4AMQA4ADUAIAArACAAMAAuADAAMAA0ADUANAAgACoAIABXAF8AagBrAGwAIAAtACAAMAAuADAAMAAwADAAMAAyADYAIAAqACAAVwBfAGoAawBsACAAXgAgADIAKQAgAF4AIAAyACkAXABuACAAIAApADsAXABuAFwAbgBWAEUARQBSAEcAXwA0AF8AMgBfADEAXwAzAF8AXwA2AF8ASQBuAHQAYQBrAGUAUgBlAGwAYQB0AGkAdgBlAFQAbwBNAGEAaQBuAHQAZQBuAGEAbgBjAGUAXwBUAGkAdABsAGUAXABuACAAIAA9AEwAQQBNAEIARABBACgAXAAiAEkAbgB0AGEAawBlACAAcgBlAGwAYQB0AGkAdgBlACAAdABvACAAdABoAGEAdAAgAG4AZQBlAGQAZQBkACAAZgBvAHIAIABtAGEAaQBuAHQAZQBuAGEAbgBjAGUAXAAiACkAOwBcAG4AXABuAFYARQBFAFIARwBfADQAXwAyAF8AMQBfADMAXwBfADYAXwBJAG4AdABhAGsAZQBSAGUAbABhAHQAaQB2AGUAVABvAE0AYQBpAG4AdABlAG4AYQBuAGMAZQBfAFYAYQByAGkAYQBiAGwAZQBcAG4AIAAgAD0ATABBAE0AQgBEAEEAKABcACIATABfAGoAawBsAFwAIgApADsAXABuAFwAbgBWAEUARQBSAEcAXwA0AF8AMgBfADEAXwAzAF8AXwA2AF8ASQBuAHQAYQBrAGUAUgBlAGwAYQB0AGkAdgBlAFQAbwBNAGEAaQBuAHQAZQBuAGEAbgBjAGUAXwBVAG4AaQB0AFwAbgAgACAAPQBMAEEATQBCAEQAQQAoAFwAIgByAGEAdABpAG8AXAAiACkAOwBcAG4AXABuAFYARQBFAFIARwBfADQAXwAyAF8AMQBfADMAXwBfADYAXwBJAG4AdABhAGsAZQBSAGUAbABhAHQAaQB2AGUAVABvAE0AYQBpAG4AdABlAG4AYQBuAGMAZQBfAFMAbwB1AHIAYwBlAFwAbgAgACAAPQBMAEEATQBCAEQAQQAoAFwAIgBWAEUARQBSAEcAIAAyADAAMgA2ADoAIAA0AC4AMgAuADEALgAzACwAIABFAHEAdQBhAHQAaQBvAG4AIAAoADYAKQBcACIAKQA7AFwAbgBcAG4AVgBFAEUAUgBHAF8ANABfADIAXwAxAF8AMwBfAF8ANgBfAEkAbgB0AGEAawBlAFIAZQBsAGEAdABpAHYAZQBUAG8ATQBhAGkAbgB0AGUAbgBhAG4AYwBlAF8ATgBJAFIAUgBlAGYAZQByAGUAbgBjAGUAXABuACAAIAA9AEwAQQBNAEIARABBACgAXAAiAFwAIgApADsAXABuAFwAbgBWAEUARQBSAEcAXwA0AF8AMgBfADEAXwAzAF8AXwA2AF8ASQBuAHQAYQBrAGUAUgBlAGwAYQB0AGkAdgBlAFQAbwBNAGEAaQBuAHQAZQBuAGEAbgBjAGUAXwBMAGEAdABlAHgARQBxAHUAYQB0AGkAbwBuAFwAbgAgACAAPQBMAEEATQBCAEQAQQAoAFwAIgBMAF8AewBqAGsAbAB9AD0AXABcAGYAcgBhAGMAewBJAF8AewBqAGsAbAB9AH0AewAoADEALgAxADgANQArADAALgAwADAANAA1ADQAXABcAHQAaQBtAGUAcwAgAFcAXwB7AGoAawBsAH0ALQAwAC4AMAAwADAAMAAwADIANgBcAFwAdABpAG0AZQBzACAAVwBfAHsAagBrAGwAfQBeAHsAMgB9ACkAXgB7ADIAfQB9AFwAIgApADsAXABuAFwAbgBWAEUARQBSAEcAXwA0AF8AMgBfADEAXwAzAF8AXwA2AF8ASQBuAHQAYQBrAGUAUgBlAGwAYQB0AGkAdgBlAFQAbwBNAGEAaQBuAHQAZQBuAGEAbgBjAGUAXwBBAHIAZwB1AG0AZQBuAHQAcwBcAG4AIAAgAD0ATABBAE0AQgBEAEEAKABcAG4AIAAgACAAIABNAEEASwBFAEEAUgBSAEEAWQAoADI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IAAoAGsAZwAgAEQATQAvAGgAZQBhAGQALwBkAGEAeQApAFwAIgAsACAAXAAiAGsAZwAgAEQATQAvAGgAZQBhAGQALwBkAGEAeQBcACIALAAgAFwAIgBDAGEAbABjAHUAbABhAHQAZQBkACAAZgByAG8AbQAgADMALgAyAC4AMQAuADEAIAAoADMAKQBcACIAOwBcAG4AIAAgACAAIAAgACAAIAAgACAAIABcACIAVwBfAGoAawBsAFwAIgAsACAAXAAiAGwAaQB2AGUAdwBlAGkAZwBoAHQAIAAoAGsAZwAvAGgAZQBhAGQAKQBcACIALAAgAFwAIgBrAGcALw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UwBSAFcAXwBrAFwAIgAsACAAXAAiAHMAdABhAG4AZABhAHIAZAAgAHIAZQBmAGUAcgBlAG4AYwBlACAAdwBlAGkAZwBoAHQAIAAoAGsAZwApAFwAIgAsACAAXAAiAGsAZwBcACIALAAgAFwAIgBDAG8AbgBzAHQAYQBuAHQAXAAiADsAXABuACAAIAAgACAAIAAgACAAIAAgACAAXAAiAGkAXAAiACwAIABcACIAcwB0AGEAdABlAFwAIgAsACAAXAAiAFwAIgAsACAAXAAiAEkAbgBwAHUAdABcACIAXABuACAAIAAgACAAIAAgACAAIAB9ACwAIAByACwAIABjACkAXABuACAAIAAgACAAIAAgACkAXABuACAAIAAgACAAKQBcAG4AIAAgACkAOwBcAG4AIgB9ACwAewAiAHAAYQB0AGgAIgA6ACIALwBwAHIAbwBqAGUAYwB0AHMALwBNAE0AUwBfAFAAYQBzAHQAdQByAGUAQgBlAGUAZg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UAIABNAGUAdABoAG8AZAAgADEAIAAtACAAUwBvAGkAbAAgAEEAdABtAG8AcwBwAGgAZQByAGkAYwAgAEQAZQBwAG8AcwBpAHQAaQBvAG4AIABOADIAT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NQBfAF8AMQBfAEEAdABtAG8AcwBwAGgAZQByAGkAYwBEAGUAcABvAHMAaQB0AGkAbwBuAEUAbQBpAHMAcwBpAG8AbgBzAEYAcgBvAG0AVQByAGkAbgBlAEEAbgBkAEQAdQBuAGcATwBuAFAAYQBzAHQAdQByAGUAXABuAEEAdABtAG8AcwBwAGgAZQByAGkAYwAgAGQAZQBwAG8AcwBpAHQAaQBvAG4AIABlAG0AaQBzAHMAaQBvAG4AcwAgAGYAcgBvAG0AIAB1AHIAaQBuAGUAIABhAG4AZAAgAGQAdQBuAGcAIABkAGUAcABvAHMAaQB0AGUAZAAgAG8AbgAgAHAAYQBzAHQAdQByAGUAXABuAEUAXwBOADIATwBhAGQAXABuAHQAIABOADIATwBcAG4ARQBfAHsATgAyAE8ALABhAGQAfQA9AE0AXwB7AHYAbwBsAH0AXABcAHQAaQBtAGUAcwAgAEUARgBfAHsATgAyAE8AfQBcAFwAdABpAG0AZQBzACAAQwBfAHsATgAyAE8AfQBcAFwAdABpAG0AZQBzACAAMQAwAF4AewAtADMAfQBcAG4ATQBfAHYAbwBsACAAPQAgAG0AYQBzAHMAIABvAGYAIABuAGkAdAByAG8AZwBlAG4AIAB2AG8AbABhAHQAaQBsAGkAcwBlAGQAIABmAHIAbwBtACAAdQByAGkAbgBlACAAYQBuAGQAIABmAGEAZQBjAGUAcwAgAGQAZQBwAG8AcwBpAHQAZQBkACAAbwBuACAAcABhAHMAdAB1AHIAZQ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UAXwBfADEAXwBBAHQAbQBvAHMAcABoAGUAcgBpAGMARABlAHAAbwBzAGkAdABpAG8AbgBFAG0AaQBzAHMAaQBvAG4AcwBGAHIAbwBtAFUAcgBpAG4AZQBBAG4AZABEAHUAbgBnAE8AbgBQAGEAcwB0AHUAcgBlAFwAbgAgACAAPQBMAEEATQBCAEQAQQAoAFwAbgAgACAAIAAgAE0AXwB2AG8AbAAsACAARQBGAF8ATgAyAE8ALAAgAEMAXwBOADIATwAsAFwAbgAgACAAIAAgAE0AXwB2AG8AbAAgACoAIABFAEYAXwBOADIATwAgACoAIABDAF8ATgAyAE8AIAAqACAAMQAwACAAXgAgAC0AMwBcAG4AIAAgACkAOwBcAG4AXABuAFYARQBFAFIARwBfADQAXwAyAF8AMQBfADU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gBfADEAXwA1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IAXwAxAF8ANQBfAF8AMQBfAEEAdABtAG8AcwBwAGgAZQByAGkAYwBEAGUAcABvAHMAaQB0AGkAbwBuAEUAbQBpAHMAcwBpAG8AbgBzAEYAcgBvAG0AVQByAGkAbgBlAEEAbgBkAEQAdQBuAGcATwBuAFAAYQBzAHQAdQByAGUAXwBVAG4AaQB0AFwAbgAgACAAPQBMAEEATQBCAEQAQQAoAFwAIgB0ACAATgAyAE8AXAAiACkAOwBcAG4AXABuAFYARQBFAFIARwBfADQAXwAyAF8AMQBfADUAXwBfADEAXwBBAHQAbQBvAHMAcABoAGUAcgBpAGMARABlAHAAbwBzAGkAdABpAG8AbgBFAG0AaQBzAHMAaQBvAG4AcwBGAHIAbwBtAFUAcgBpAG4AZQBBAG4AZABEAHUAbgBnAE8AbgBQAGEAcwB0AHUAcgBlAF8AUwBvAHUAcgBjAGUAXABuACAAIAA9AEwAQQBNAEIARABBACgAXAAiAFYARQBFAFIARwAgADIAMAAyADYAOgAgADQALgAyAC4AMQAuADUALAAgAEUAcQB1AGEAdABpAG8AbgAgACgAMQApAFwAIgApADsAXABuAFwAbgBWAEUARQBSAEcAXwA0AF8AMgBfADEAXwA1AF8AXwAxAF8AQQB0AG0AbwBzAHAAaABlAHIAaQBjAEQAZQBwAG8AcwBpAHQAaQBvAG4ARQBtAGkAcwBzAGkAbwBuAHMARgByAG8AbQBVAHIAaQBuAGUAQQBuAGQARAB1AG4AZwBPAG4AUABhAHMAdAB1AHIAZQBfAE4ASQBSAFIAZQBmAGUAcgBlAG4AYwBlAFwAbgAgACAAPQBMAEEATQBCAEQAQQAoAFwAIgBcACIAKQA7AFwAbgBcAG4AVgBFAEUAUgBHAF8ANABfADIAXwAxAF8ANQBfAF8AMQBfAEEAdABtAG8AcwBwAGgAZQByAGkAYwBEAGUAcABvAHMAaQB0AGkAbwBuAEUAbQBpAHMAcwBpAG8AbgBzAEYAcgBvAG0AVQByAGkAbgBlAEEAbgBkAEQAdQBuAGcATwBuAFAAYQBzAHQAdQByAGUAXwBMAGEAdABlAHgARQBxAHUAYQB0AGkAbwBuAFwAbgAgACAAPQBMAEEATQBCAEQAQQAoAFwAIgBFAF8AewBOADIATwAsAGEAZAB9AD0ATQBfAHsAdgBvAGwAfQBcAFwAdABpAG0AZQBzACAARQBGAF8AewBOADIATwB9AFwAXAB0AGkAbQBlAHMAIABDAF8AewBOADIATwB9AFwAXAB0AGkAbQBlAHMAIAAxADAAXgB7AC0AMwB9AFwAIgApADsAXABuAFwAbgBWAEUARQBSAEcAXwA0AF8AMgBfADEAXwA1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g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NQBfAF8AMgBfAE0AYQBzAHMATwBmAE4AaQB0AHIAbwBnAGUAbgBWAG8AbABhAHQAaQBsAGkAcwBlAGQATwBuAFAAYQBzAHQAdQByAGUAXABuAE0AYQBzAHMAIABvAGYAIABuAGkAdAByAG8AZwBlAG4AIAB2AG8AbABhAHQAaQBsAGkAcwBlAGQAXABuAE0AXwB2AG8AbABcAG4AawBnACAATgBcAG4ATQBfAHsAdgBvAGwAfQA9AEEARQBcAFwAdABpAG0AZQBzACAARgByAGEAYwBHAEEAUwBNAHMAbwBpAGwAXABuAEEARQAgAD0AIAB0AG8AdABhAGwAIABtAGEAcwBzACAAbwBmACAAbgBpAHQAcgBvAGcAZQBuACAAZQB4AGMAcgBlAHQAZQBkACAAbwBuACAAUABSAFAAIABmAG8AcgAgAGIAZQBlAGYAIABjAGEAdAB0AGwAZQ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IAXwAxAF8ANQBfAF8AMgBfAE0AYQBzAHMATwBmAE4AaQB0AHIAbwBnAGUAbgBWAG8AbABhAHQAaQBsAGkAcwBlAGQATwBuAFAAYQBzAHQAdQByAGUAXABuACAAIAA9AEwAQQBNAEIARABBACgAXABuACAAIAAgACAAQQBFACwAIABGAHIAYQBjAEcAQQBTAE0AcwBvAGkAbAAsAFwAbgAgACAAIAAgAEEARQAgACoAIABGAHIAYQBjAEcAQQBTAE0AcwBvAGkAbABcAG4AIAAgACkAOwBcAG4AXABuAFYARQBFAFIARwBfADQAXwAyAF8AMQBfADUAXwBfADIAXwBNAGEAcwBzAE8AZgBOAGkAdAByAG8AZwBlAG4AVgBvAGwAYQB0AGkAbABpAHMAZQBkAE8AbgBQAGEAcwB0AHUAcgBlAF8AVABpAHQAbABlAFwAbgAgACAAPQBMAEEATQBCAEQAQQAoAFwAIgBNAGEAcwBzACAAbwBmACAAbgBpAHQAcgBvAGcAZQBuACAAdgBvAGwAYQB0AGkAbABpAHMAZQBkAFwAIgApADsAXABuAFwAbgBWAEUARQBSAEcAXwA0AF8AMgBfADEAXwA1AF8AXwAyAF8ATQBhAHMAcwBPAGYATgBpAHQAcgBvAGcAZQBuAFYAbwBsAGEAdABpAGwAaQBzAGUAZABPAG4AUABhAHMAdAB1AHIAZQBfAFYAYQByAGkAYQBiAGwAZQBcAG4AIAAgAD0ATABBAE0AQgBEAEEAKABcACIATQBfAHYAbwBsAFwAIgApADsAXABuAFwAbgBWAEUARQBSAEcAXwA0AF8AMgBfADEAXwA1AF8AXwAyAF8ATQBhAHMAcwBPAGYATgBpAHQAcgBvAGcAZQBuAFYAbwBsAGEAdABpAGwAaQBzAGUAZABPAG4AUABhAHMAdAB1AHIAZQBfAFUAbgBpAHQAXABuACAAIAA9AEwAQQBNAEIARABBACgAXAAiAGsAZwAgAE4AXAAiACkAOwBcAG4AXABuAFYARQBFAFIARwBfADQAXwAyAF8AMQBfADUAXwBfADIAXwBNAGEAcwBzAE8AZgBOAGkAdAByAG8AZwBlAG4AVgBvAGwAYQB0AGkAbABpAHMAZQBkAE8AbgBQAGEAcwB0AHUAcgBlAF8AUwBvAHUAcgBjAGUAXABuACAAIAA9AEwAQQBNAEIARABBACgAXAAiAFYARQBFAFIARwAgADIAMAAyADYAOgAgADQALgAyAC4AMQAuADUALAAgAEUAcQB1AGEAdABpAG8AbgAgACgAMgApAFwAIgApADsAXABuAFwAbgBWAEUARQBSAEcAXwA0AF8AMgBfADEAXwA1AF8AXwAyAF8ATQBhAHMAcwBPAGYATgBpAHQAcgBvAGcAZQBuAFYAbwBsAGEAdABpAGwAaQBzAGUAZABPAG4AUABhAHMAdAB1AHIAZQBfAE4ASQBSAFIAZQBmAGUAcgBlAG4AYwBlAFwAbgAgACAAPQBMAEEATQBCAEQAQQAoAFwAIgBcACIAKQA7AFwAbgBcAG4AVgBFAEUAUgBHAF8ANABfADIAXwAxAF8ANQBfAF8AMgBfAE0AYQBzAHMATwBmAE4AaQB0AHIAbwBnAGUAbgBWAG8AbABhAHQAaQBsAGkAcwBlAGQATwBuAFAAYQBzAHQAdQByAGUAXwBMAGEAdABlAHgARQBxAHUAYQB0AGkAbwBuAFwAbgAgACAAPQBMAEEATQBCAEQAQQAoAFwAIgBNAF8AewB2AG8AbAB9AD0AQQBFAFwAXAB0AGkAbQBlAHMAIABGAHIAYQBjAEcAQQBTAE0AcwBvAGkAbABcACIAKQA7AFwAbgBcAG4AVgBFAEUAUgBHAF8ANABfADIAXwAxAF8ANQ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FwAIgAsACAAXAAiAGsAZwAgAE4AXAAiACwAIABcACIAQwBhAGwAYwB1AGwAYQB0AGUAZAAgAGYAcgBvAG0AIAA0AC4AMg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CAAKAAoAGsAZwAgAE4ASAAzAC0ATgAgACsAIABOAE8AeAAtAE4AKQAvAGsAZwAgAE4AKQBcACIALAAgAFwAIgBmAHIAYQBjAHQAaQBvAG4AXAAiACwAIABcACIAQwBvAG4AcwB0AGEAbgB0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XAAiACwAIABcACIAawBnACAATgBcACIALAAgAFwAIgBDAGEAbABjAHUAbABhAHQAZQBkACAAZgByAG8AbQAgADQALgAyAC4AMQAuADcAIAAoADIAKQBcACIAOwBcAG4AIAAgACAAIAAgACAAIAAgACAAIABcACIARQBGAF8AbABlAGEAYwBoAFwAIgAsACAAXAAi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yAF8AMQBfADcAXwBfADIAXwBNAGEAcwBzAE8AZgBOAGkAdAByAG8AZwBlAG4ATABvAHMAdABUAG8ATABlAGEAYwBoAGkAbgBnAEEAbgBkAFIAdQBuAG8AZgBmAE8AbgBQAGEAcwB0AHUAcgBlAFwAbgBNAGEAcwBzACAAbwBmACAAbgBpAHQAcgBvAGcAZQBuACAAbABvAHMAdAAgAHQAbwAgAGwAZQBhAGMAaABpAG4AZwAgAGEAbgBkACAAcgB1AG4AbwBmAGYAXABuAE0AXwBsAGUAYQBjAGgAXABuAGsAZwAgAE4AXABuAE0AXwB7AGwAZQBhAGMAaAB9AD0AQQBFAFwAXAB0AGkAbQBlAHMAIABGAHIAYQBjAFcAZQB0AFwAXAB0AGkAbQBlAHMAIABGAHIAYQBjAEwARQBBAEMASABcAG4AQQBFACAAPQAgAHQAbwB0AGEAbAAgAG0AYQBzAHMAIABvAGYAIABuAGkAdAByAG8AZwBlAG4AIABlAHgAYwByAGUAdABlAGQAIABvAG4AIABQAFIAUAAgAGYAbwByACAAYgBlAGUAZgAgAGMAYQB0AHQAbABlACAAKABrAGcAIABOACkAXABuAEYAcgBhAGMAVwBlAHQAIAA9ACAAZgByAGEAYwB0AGkAbwBuACAAbwBmACAATgAgAGEAdgBhAGkAbABhAGIAbABlACAAZgBvAHIAIABsAGUAYQBjAGgAaQBuAGcAIABhAG4AZAAgAHIAdQBuAG8AZgBmAFwAbgBGAHIAYQBjAEwARQBBAEMASAAgAD0AIABmAHIAYQBjAHQAaQBvAG4AIABvAGYAIABhAGwAbAAgAE4AIAB0AGgAYQB0ACAAaQBzACAAbABvAHMAdAAgAHQAaAByAG8AdQBnAGgAIABsAGUAYQBjAGgAaQBuAGcAIABhAG4AZAAgAHIAdQBuAG8AZgBmAFwAbgAtAC0ALQAtAC0ALQAtAC0ALQAtAC0ALQAtAC0ALQAtAC0ALQAtAC0ALQAtAC0ALQAtAC0ALQAtAC0ALQAtAC0ALQAtAC0ALQAtAC0AXABuACoALwBcAG4AXABuAFYARQBFAFIARwBfADQAXwAyAF8AMQBfADcAXwBfADIAXwBNAGEAcwBzAE8AZgBOAGkAdAByAG8AZwBlAG4ATABvAHMAdABUAG8ATABlAGEAYwBoAGkAbgBnAEEAbgBkAFIAdQBuAG8AZgBmAE8AbgBQAGEAcwB0AHUAcgBlAFwAbgAgACAAPQBMAEEATQBCAEQAQQAoAFwAbgAgACAAIAAgAEEARQAsACAARgByAGEAYwBXAGUAdAAsACAARgByAGEAYwBMAEUAQQBDAEgALABcAG4AIAAgACAAIABBAEUAIAAqACAARgByAGEAYwBXAGUAdAAgACoAIABGAHIAYQBjAEwARQBBAEMASABcAG4AIAAgACkAOwBcAG4AXABuAFYARQBFAFIARwBfADQAXwAyAF8AMQBfADc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XAAiACkAOwBcAG4AXABuAFYARQBFAFIARwBfADQAXwAyAF8AMQBfADcAXwBfADIAXwBNAGEAcwBzAE8AZgBOAGkAdAByAG8AZwBlAG4ATABvAHMAdABUAG8ATABlAGEAYwBoAGkAbgBnAEEAbgBkAFIAdQBuAG8AZgBmAE8AbgBQAGEAcwB0AHUAcgBlAF8AVgBhAHIAaQBhAGIAbABlAFwAbgAgACAAPQBMAEEATQBCAEQAQQAoAFwAIgBNAF8AbABlAGEAYwBoAFwAIgApADsAXABuAFwAbgBWAEUARQBSAEcAXwA0AF8AMgBfADEAXwA3AF8AXwAyAF8ATQBhAHMAcwBPAGYATgBpAHQAcgBvAGcAZQBuAEwAbwBzAHQAVABvAEwAZQBhAGMAaABpAG4AZwBBAG4AZABSAHUAbgBvAGYAZgBPAG4AUABhAHMAdAB1AHIAZQBfAFUAbgBpAHQAXABuACAAIAA9AEwAQQBNAEIARABBACgAXAAiAGsAZwAgAE4AXAAiACkAOwBcAG4AXABuAFYARQBFAFIARwBfADQAXwAyAF8AMQBfADcAXwBfADIAXwBNAGEAcwBzAE8AZgBOAGkAdAByAG8AZwBlAG4ATABvAHMAdABUAG8ATABlAGEAYwBoAGkAbgBnAEEAbgBkAFIAdQBuAG8AZgBmAE8AbgBQAGEAcwB0AHUAcgBlAF8AUwBvAHUAcgBjAGUAXABuACAAIAA9AEwAQQBNAEIARABBACgAXAAiAFYARQBFAFIARwAgADIAMAAyADYAOgAgADQALgAyAC4AMQAuADcALAAgAEUAcQB1AGEAdABpAG8AbgAgACgAMgApAFwAIgApADsAXABuAFwAbgBWAEUARQBSAEcAXwA0AF8AMgBfADEAXwA3AF8AXwAyAF8ATQBhAHMAcwBPAGYATgBpAHQAcgBvAGcAZQBuAEwAbwBzAHQAVABvAEwAZQBhAGMAaABpAG4AZwBBAG4AZABSAHUAbgBvAGYAZgBPAG4AUABhAHMAdAB1AHIAZQBfAE4ASQBSAFIAZQBmAGUAcgBlAG4AYwBlAFwAbgAgACAAPQBMAEEATQBCAEQAQQAoAFwAIgBcACIAKQA7AFwAbgBcAG4AVgBFAEUAUgBHAF8ANABfADIAXwAxAF8ANwBfAF8AMgBfAE0AYQBzAHMATwBmAE4AaQB0AHIAbwBnAGUAbgBMAG8AcwB0AFQAbwBMAGUAYQBjAGgAaQBuAGcAQQBuAGQAUgB1AG4AbwBmAGYATwBuAFAAYQBzAHQAdQByAGUAXwBMAGEAdABlAHgARQBxAHUAYQB0AGkAbwBuAFwAbgAgACAAPQBMAEEATQBCAEQAQQAoAFwAIgBNAF8AewBsAGUAYQBjAGgAfQA9AEEARQBcAFwAdABpAG0AZQBzACAARgByAGEAYwBXAGUAdABcAFwAdABpAG0AZQBzACAARgByAGEAYwBMAEUAQQBDAEgAXAAiACkAOwBcAG4AXABuAFYARQBFAFIARwBfADQAXwAyAF8AMQBfADc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FcAZQB0AFwAIgAsACA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AgAFwAIgBmAHIAYQBjAHQAaQBvAG4AIABvAGYAIABhAGwAbA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TQBNAFMAXwBQAGEAcwB0AHUAcgBlAEIAZQBlAGYAXwBNAGUAdABoAGEAbgBlAF8ARQBxAHUAYQB0AGkAbwBuAHMALgBWAEUARQBSAEcAXwA0AF8AMgBfADEAXwAxAF8AXwAxAF8AVABvAHQAYQBsAEEAbgBuAHUAYQBsAE0AZQB0AGgAYQBuAGUAUAByAG8AZAB1AGMAdABpAG8AbgBGAHIAbwBtAE0AYQBuAHUAcgBlAE0AYQBuAGEAZwBlAG0AZQBuAHQAIgAsACIATQBNAFMAXwBQAGEAcwB0AHUAcgBlAEIAZQBlAGYAXwBNAGUAdABoAGEAbgBlAF8ARQBxAHUAYQB0AGkAbwBuAHMALgBWAEUARQBSAEcAXwA0AF8AMgBfADEAXwAxAF8AXwAxAF8AVABvAHQAYQBsAEEAbgBuAHUAYQBsAE0AZQB0AGgAYQBuAGUAUAByAG8AZAB1AGMAdABpAG8AbgBGAHIAbwBtAE0AYQBuAHUAcgBlAE0AYQBuAGEAZwBlAG0AZQBuAHQAXwBUAGkAdABsAGUAIgAsACIATQBNAFMAXwBQAGEAcwB0AHUAcgBlAEIAZQBlAGYAXwBNAGUAdABoAGEAbgBlAF8ARQBxAHUAYQB0AGkAbwBuAHMALgBWAEUARQBSAEcAXwA0AF8AMgBfADEAXwAxAF8AXwAxAF8AVABvAHQAYQBsAEEAbgBuAHUAYQBsAE0AZQB0AGgAYQBuAGUAUAByAG8AZAB1AGMAdABpAG8AbgBGAHIAbwBtAE0AYQBuAHUAcgBlAE0AYQBuAGEAZwBlAG0AZQBuAHQAXwBWAGEAcgBpAGEAYgBsAGUAIgAsACIATQBNAFMAXwBQAGEAcwB0AHUAcgBlAEIAZQBlAGYAXwBNAGUAdABoAGEAbgBlAF8ARQBxAHUAYQB0AGkAbwBuAHMALgBWAEUARQBSAEcAXwA0AF8AMgBfADEAXwAxAF8AXwAxAF8AVABvAHQAYQBsAEEAbgBuAHUAYQBsAE0AZQB0AGgAYQBuAGUAUAByAG8AZAB1AGMAdABpAG8AbgBGAHIAbwBtAE0AYQBuAHUAcgBlAE0AYQBuAGEAZwBlAG0AZQBuAHQAXwBVAG4AaQB0ACIALAAiAE0ATQBTAF8AUABhAHMAdAB1AHIAZQBCAGUAZQBmAF8ATQBlAHQAaABhAG4AZQBfAEUAcQB1AGEAdABpAG8AbgBzAC4AVgBFAEUAUgBHAF8ANABfADIAXwAxAF8AMQBfAF8AMQBfAFQAbwB0AGEAbABBAG4AbgB1AGEAbABNAGUAdABoAGEAbgBlAFAAcgBvAGQAdQBjAHQAaQBvAG4ARgByAG8AbQBNAGEAbgB1AHIAZQBNAGEAbgBhAGcAZQBtAGUAbgB0AF8AUwBvAHUAc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OAEkAUgBSAGUAZgBlAHIAZQBuAGMAZQAiACwAIgBNAE0AUwBfAFAAYQBzAHQAdQByAGUAQgBlAGUAZgBfAE0AZQB0AGgAYQBuAGUAXwBFAHEAdQBhAHQAaQBvAG4AcwAuAFYARQBFAFIARwBfADQAXwAyAF8AMQBfADEAXwBfADEAXwBUAG8AdABhAGwAQQBuAG4AdQBhAGwATQBlAHQAaABhAG4AZQBQAHIAbwBkAHUAYwB0AGkAbwBuAEYAcgBvAG0ATQBhAG4AdQByAGUATQBhAG4AYQBnAGUAbQBlAG4AdABfAEwAYQB0AGUAeABFAHEAdQBhAHQAaQBvAG4AIgAsACIATQBNAFMAXwBQAGEAcwB0AHUAcgBlAEIAZQBlAGYAXwBNAGUAdABoAGEAbgBlAF8ARQBxAHUAYQB0AGkAbwBuAHMALgBWAEUARQBSAEcAXwA0AF8AMgBfADEAXwAxAF8AXwAxAF8AVABvAHQAYQBsAEEAbgBuAHUAYQBsAE0AZQB0AGgAYQBuAGUAUAByAG8AZAB1AGMAdABpAG8AbgBGAHIAbwBtAE0AYQBuAHUAcgBlAE0AYQBuAGEAZwBlAG0AZQBuAHQAXwBBAHIAZwB1AG0AZQBuAHQAcwAiACwAIgBNAE0AUwBfAFAAYQBzAHQAdQByAGUAQgBlAGUAZgBfAE0AZQB0AGgAYQBuAGUAXwBFAHEAdQBhAHQAaQBvAG4AcwAuAFYARQBFAFIARwBfADQAXwAyAF8AMQBfADEAXwBfADIAXwBNAGUAdABoAGEAbgBlAFAAcgBvAGQAdQBjAHQAaQBvAG4ARgByAG8AbQBNAGEAbgB1AHIAZQAiACwAIgBNAE0AUwBfAFAAYQBzAHQAdQByAGUAQgBlAGUAZgBfAE0AZQB0AGgAYQBuAGUAXwBFAHEAdQBhAHQAaQBvAG4AcwAuAFYARQBFAFIARwBfADQAXwAyAF8AMQBfADEAXwBfADIAXwBNAGUAdABoAGEAbgBlAFAAcgBvAGQAdQBjAHQAaQBvAG4ARgByAG8AbQBNAGEAbgB1AHIAZQBfAFQAaQB0AGwAZQAiACwAIgBNAE0AUwBfAFAAYQBzAHQAdQByAGUAQgBlAGUAZgBfAE0AZQB0AGgAYQBuAGUAXwBFAHEAdQBhAHQAaQBvAG4AcwAuAFYARQBFAFIARwBfADQAXwAyAF8AMQBfADEAXwBfADIAXwBNAGUAdABoAGEAbgBlAFAAcgBvAGQAdQBjAHQAaQBvAG4ARgByAG8AbQBNAGEAbgB1AHIAZQBfAFYAYQByAGkAYQBiAGwAZQAiACwAIgBNAE0AUwBfAFAAYQBzAHQAdQByAGUAQgBlAGUAZgBfAE0AZQB0AGgAYQBuAGUAXwBFAHEAdQBhAHQAaQBvAG4AcwAuAFYARQBFAFIARwBfADQAXwAyAF8AMQBfADEAXwBfADIAXwBNAGUAdABoAGEAbgBlAFAAcgBvAGQAdQBjAHQAaQBvAG4ARgByAG8AbQBNAGEAbgB1AHIAZQBfAFUAbgBpAHQAIgAsACIATQBNAFMAXwBQAGEAcwB0AHUAcgBlAEIAZQBlAGYAXwBNAGUAdABoAGEAbgBlAF8ARQBxAHUAYQB0AGkAbwBuAHMALgBWAEUARQBSAEcAXwA0AF8AMgBfADEAXwAxAF8AXwAyAF8ATQBlAHQAaABhAG4AZQBQAHIAbwBkAHUAYwB0AGkAbwBuAEYAcgBvAG0ATQBhAG4AdQByAGUAXwBTAG8AdQByAGMAZQAiACwAIgBNAE0AUwBfAFAAYQBzAHQAdQByAGUAQgBlAGUAZgBfAE0AZQB0AGgAYQBuAGUAXwBFAHEAdQBhAHQAaQBvAG4AcwAuAFYARQBFAFIARwBfADQAXwAyAF8AMQBfADEAXwBfADIAXwBNAGUAdABoAGEAbgBlAFAAcgBvAGQAdQBjAHQAaQBvAG4ARgByAG8AbQBNAGEAbgB1AHIAZQBfAE4ASQBSAFIAZQBmAGUAcgBlAG4AYwBlACIALAAiAE0ATQBTAF8AUABhAHMAdAB1AHIAZQBCAGUAZQBmAF8ATQBlAHQAaABhAG4AZQBfAEUAcQB1AGEAdABpAG8AbgBzAC4AVgBFAEUAUgBHAF8ANABfADIAXwAxAF8AMQBfAF8AMgBfAE0AZQB0AGgAYQBuAGUAUAByAG8AZAB1AGMAdABpAG8AbgBGAHIAbwBtAE0AYQBuAHUAcgBlAF8ATABhAHQAZQB4AEUAcQB1AGEAdABpAG8AbgAiACwAIgBNAE0AUwBfAFAAYQBzAHQAdQByAGUAQgBlAGUAZgBfAE0AZQB0AGgAYQBuAGUAXwBFAHEAdQBhAHQAaQBvAG4AcwAuAFYARQBFAFIARwBfADQAXwAyAF8AMQBfADEAXwBfADIAXwBNAGUAdABoAGEAbgBlAFAAcgBvAGQAdQBjAHQAaQBvAG4ARgByAG8AbQBNAGEAbgB1AHIAZQBfAEEAcgBnAHUAbQBlAG4AdABzACIALAAiAE0ATQBTAF8AUABhAHMAdAB1AHIAZQBCAGUAZQBmAF8ATQBlAHQAaABhAG4AZQBfAEUAcQB1AGEAdABpAG8AbgBzAC4AVgBFAEUAUgBHAF8ANABfADIAXwAxAF8AMQBfAF8AMgBfAE0AZQB0AGgAYQBuAGUAUAByAG8AZAB1AGMAdABpAG8AbgBGAHIAbwBtAE0AYQBuAHUAcgBlAF8AQQByAGcAdQBtAGUAbgB0AHMAXwBNAGUAdABoAG8AZAAyACIALAAiAE0ATQBTAF8AUABhAHMAdAB1AHIAZQBCAGUAZQBmAF8ATQBlAHQAaABhAG4AZQBfAEUAcQB1AGEAdABpAG8AbgBzAC4AVgBFAEUAUgBHAF8ANABfADIAXwAxAF8AMQBfAF8AMwBfAFYAbwBsAGEAdABpAGwAZQBTAG8AbABpAGQAUAByAG8AZAB1AGMAdABpAG8AbgBGAHIAbwBtAEcAcgBhAHoAaQBuAGcAQgBlAGUAZgAiACwAIgBNAE0AUwBfAFAAYQBzAHQAdQByAGUAQgBlAGUAZgBfAE0AZQB0AGgAYQBuAGUAXwBFAHEAdQBhAHQAaQBvAG4AcwAuAFYARQBFAFIARwBfADQAXwAyAF8AMQBfADEAXwBfADMAXwBWAG8AbABhAHQAaQBsAGUAUwBvAGwAaQBkAFAAcgBvAGQAdQBjAHQAaQBvAG4ARgByAG8AbQBHAHIAYQB6AGkAbgBnAEIAZQBlAGYAXwBUAGkAdABsAGUAIgAsACIATQBNAFMAXwBQAGEAcwB0AHUAcgBlAEIAZQBlAGYAXwBNAGUAdABoAGEAbgBlAF8ARQBxAHUAYQB0AGkAbwBuAHMALgBWAEUARQBSAEcAXwA0AF8AMgBfADEAXwAxAF8AXwAzAF8AVgBvAGwAYQB0AGkAbABlAFMAbwBsAGkAZABQAHIAbwBkAHUAYwB0AGkAbwBuAEYAcgBvAG0ARwByAGEAegBpAG4AZwBCAGUAZQBmAF8AVgBhAHIAaQBhAGIAbABlACIALAAiAE0ATQBTAF8AUABhAHMAdAB1AHIAZQBCAGUAZQBmAF8ATQBlAHQAaABhAG4AZQBfAEUAcQB1AGEAdABpAG8AbgBzAC4AVgBFAEUAUgBHAF8ANABfADIAXwAxAF8AMQBfAF8AMwBfAFYAbwBsAGEAdABpAGwAZQBTAG8AbABpAGQAUAByAG8AZAB1AGMAdABpAG8AbgBGAHIAbwBtAEcAcgBhAHoAaQBuAGcAQgBlAGUAZgBfAFUAbgBpAHQAIgAsACIATQBNAFMAXwBQAGEAcwB0AHUAcgBlAEIAZQBlAGYAXwBNAGUAdABoAGEAbgBlAF8ARQBxAHUAYQB0AGkAbwBuAHMALgBWAEUARQBSAEcAXwA0AF8AMgBfADEAXwAxAF8AXwAzAF8AVgBvAGwAYQB0AGkAbABlAFMAbwBsAGkAZABQAHIAbwBkAHUAYwB0AGkAbwBuAEYAcgBvAG0ARwByAGEAegBpAG4AZwBCAGUAZQBmAF8AUwBvAHUAcgBjAGUAIgAsACIATQBNAFMAXwBQAGEAcwB0AHUAcgBlAEIAZQBlAGYAXwBNAGUAdABoAGEAbgBlAF8ARQBxAHUAYQB0AGkAbwBuAHMALgBWAEUARQBSAEcAXwA0AF8AMgBfADEAXwAxAF8AXwAzAF8AVgBvAGwAYQB0AGkAbABlAFMAbwBsAGkAZABQAHIAbwBkAHUAYwB0AGkAbwBuAEYAcgBvAG0ARwByAGEAegBpAG4AZwBCAGUAZQBmAF8ATgBJAFIAUgBlAGYAZQByAGUAbgBjAGUAIgAsACIATQBNAFMAXwBQAGEAcwB0AHUAcgBlAEIAZQBlAGYAXwBNAGUAdABoAGEAbgBlAF8ARQBxAHUAYQB0AGkAbwBuAHMALgBWAEUARQBSAEcAXwA0AF8AMgBfADEAXwAxAF8AXwAzAF8AVgBvAGwAYQB0AGkAbABlAFMAbwBsAGkAZABQAHIAbwBkAHUAYwB0AGkAbwBuAEYAcgBvAG0ARwByAGEAegBpAG4AZwBCAGUAZQBmAF8ATABhAHQAZQB4AEUAcQB1AGEAdABpAG8AbgAiACwAIgBNAE0AUwBfAFAAYQBzAHQAdQByAGUAQgBlAGUAZgBfAE0AZQB0AGgAYQBuAGUAXwBFAHEAdQBhAHQAaQBvAG4AcwAuAFYARQBFAFIARwBfADQAXwAyAF8AMQBfADEAXwBfADMAXwBWAG8AbABhAHQAaQBsAGUAUwBvAGwAaQBkAFAAcgBvAGQAdQBjAHQAaQBvAG4ARgByAG8AbQBHAHIAYQB6AGkAbgBnAEIAZQBlAGYAXwBBAHIAZwB1AG0AZQBuAHQAcwAiACwAIgBFAG4AdABlAHIAaQBjAE0AZQB0AGgAYQBuAGUAXwBQAGEAcwB0AHUAcgBlAEIAZQBlAGYAXwBFAHEAdQBhAHQAaQBvAG4AcwAuAFYARQBFAFIARwBfADMAXwAyAF8AMQBfADEAXwBfADEAXwBUAG8AdABhAGwAQQBuAG4AdQBhAGwATQBlAHQAaABhAG4AZQBGAHIAbwBtAEUAbgB0AGUAcgBpAGMARgBlAHIAbQBlAG4AdABhAHQAaQBvAG4AIgAsACIARQBuAHQAZQByAGkAYwBNAGUAdABoAGEAbgBlAF8AUABhAHMAdAB1AHIAZQBCAGUAZQBmAF8ARQBxAHUAYQB0AGkAbwBuAHMALgBWAEUARQBSAEcAXwAzAF8AMgBfADEAXwAxAF8AXwAxAF8AVABvAHQAYQBsAEEAbgBuAHUAYQBsAE0AZQB0AGgAYQBuAGUARgByAG8AbQBFAG4AdABlAHIAaQBjAEYAZQByAG0AZQBuAHQAYQB0AGkAbwBuAF8AVABpAHQAbABlACIALAAiAEUAbgB0AGUAcgBpAGMATQBlAHQAaABhAG4AZQBfAFAAYQBzAHQAdQByAGUAQgBlAGUAZgBfAEUAcQB1AGEAdABpAG8AbgBzAC4AVgBFAEUAUgBHAF8AMwBfADIAXwAxAF8AMQBfAF8AMQBfAFQAbwB0AGEAbABBAG4AbgB1AGEAbABNAGUAdABoAGEAbgBlAEYAcgBvAG0ARQBuAHQAZQByAGkAYwBGAGUAcgBtAGUAbgB0AGEAdABpAG8AbgBfAFYAYQByAGkAYQBiAGwAZQAiACwAIgBFAG4AdABlAHIAaQBjAE0AZQB0AGgAYQBuAGUAXwBQAGEAcwB0AHUAcgBlAEIAZQBlAGYAXwBFAHEAdQBhAHQAaQBvAG4AcwAuAFYARQBFAFIARwBfADMAXwAyAF8AMQBfADEAXwBfADEAXwBUAG8AdABhAGwAQQBuAG4AdQBhAGwATQBlAHQAaABhAG4AZQBGAHIAbwBtAEUAbgB0AGUAcgBpAGMARgBlAHIAbQBlAG4AdABhAHQAaQBvAG4AXwBVAG4AaQB0ACIALAAiAEUAbgB0AGUAcgBpAGMATQBlAHQAaABhAG4AZQBfAFAAYQBzAHQAdQByAGUAQgBlAGUAZgBfAEUAcQB1AGEAdABpAG8AbgBzAC4AVgBFAEUAUgBHAF8AMwBfADIAXwAxAF8AMQBfAF8AMQBfAFQAbwB0AGEAbABBAG4AbgB1AGEAbABNAGUAdABoAGEAbgBlAEYAcgBvAG0ARQBuAHQAZQByAGkAYwBGAGUAcgBtAGUAbgB0AGEAdABpAG8AbgBfAFMAbwB1AHIAYwBlACIALAAiAEUAbgB0AGUAcgBpAGMATQBlAHQAaABhAG4AZQBfAFAAYQBzAHQAdQByAGUAQgBlAGUAZgBfAEUAcQB1AGEAdABpAG8AbgBzAC4AVgBFAEUAUgBHAF8AMwBfADIAXwAxAF8AMQBfAF8AMQBfAFQAbwB0AGEAbABBAG4AbgB1AGEAbABNAGUAdABoAGEAbgBlAEYAcgBvAG0ARQBuAHQAZQByAGkAYwBGAGUAcgBtAGUAbgB0AGEAdABpAG8AbgBfAE4ASQBSAFIAZQBmAGUAcgBlAG4AYwBlACIALAAiAEUAbgB0AGUAcgBpAGMATQBlAHQAaABhAG4AZQBfAFAAYQBzAHQAdQByAGUAQgBlAGUAZgBfAEUAcQB1AGEAdABpAG8AbgBzAC4AVgBFAEUAUgBHAF8AMwBfADIAXwAxAF8AMQBfAF8AMQBfAFQAbwB0AGEAbABBAG4AbgB1AGEAbABNAGUAdABoAGEAbgBlAEYAcgBvAG0ARQBuAHQAZQByAGkAYwBGAGUAcgBtAGUAbgB0AGEAdABpAG8AbgBfAEwAYQB0AGUAeABFAHEAdQBhAHQAaQBvAG4AIgAsACIARQBuAHQAZQByAGkAYwBNAGUAdABoAGEAbgBlAF8AUABhAHMAdAB1AHIAZQBCAGUAZQBmAF8ARQBxAHUAYQB0AGkAbwBuAHMALgBWAEUARQBSAEcAXwAzAF8AMgBfADEAXwAxAF8AXwAxAF8AVABvAHQAYQBsAEEAbgBuAHUAYQBsAE0AZQB0AGgAYQBuAGUARgByAG8AbQBFAG4AdABlAHIAaQBjAEYAZQByAG0AZQBuAHQAYQB0AGkAbwBuAF8AQQByAGcAdQBtAGUAbgB0AHMAIgAsACIARQBuAHQAZQByAGkAYwBNAGUAdABoAGEAbgBlAF8AUABhAHMAdAB1AHIAZQBCAGUAZQBmAF8ARQBxAHUAYQB0AGkAbwBuAHMALgBWAEUARQBSAEcAXwAzAF8AMgBfADEAXwAxAF8AXwAyAF8ARABhAGkAbAB5AEUAbgB0AGUAcgBpAGMATQBlAHQAaABhAG4AZQBQAHIAbwBkAHUAYwB0AGkAbwBuACIALAAiAEUAbgB0AGUAcgBpAGMATQBlAHQAaABhAG4AZQBfAFAAYQBzAHQAdQByAGUAQgBlAGUAZgBfAEUAcQB1AGEAdABpAG8AbgBzAC4AVgBFAEUAUgBHAF8AMwBfADIAXwAxAF8AMQBfAF8AMgBfAEQAYQBpAGwAeQBFAG4AdABlAHIAaQBjAE0AZQB0AGgAYQBuAGUAUAByAG8AZAB1AGMAdABpAG8AbgBfAFQAaQB0AGwAZQAiACwAIgBFAG4AdABlAHIAaQBjAE0AZQB0AGgAYQBuAGUAXwBQAGEAcwB0AHUAcgBlAEIAZQBlAGYAXwBFAHEAdQBhAHQAaQBvAG4AcwAuAFYARQBFAFIARwBfADMAXwAyAF8AMQBfADEAXwBfADIAXwBEAGEAaQBsAHkARQBuAHQAZQByAGkAYwBNAGUAdABoAGEAbgBlAFAAcgBvAGQAdQBjAHQAaQBvAG4AXwBWAGEAcgBpAGEAYgBsAGUAIgAsACIARQBuAHQAZQByAGkAYwBNAGUAdABoAGEAbgBlAF8AUABhAHMAdAB1AHIAZQBCAGUAZQBmAF8ARQBxAHUAYQB0AGkAbwBuAHMALgBWAEUARQBSAEcAXwAzAF8AMgBfADEAXwAxAF8AXwAyAF8ARABhAGkAbAB5AEUAbgB0AGUAcgBpAGMATQBlAHQAaABhAG4AZQBQAHIAbwBkAHUAYwB0AGkAbwBuAF8AVQBuAGkAdAAiACwAIgBFAG4AdABlAHIAaQBjAE0AZQB0AGgAYQBuAGUAXwBQAGEAcwB0AHUAcgBlAEIAZQBlAGYAXwBFAHEAdQBhAHQAaQBvAG4AcwAuAFYARQBFAFIARwBfADMAXwAyAF8AMQBfADEAXwBfADIAXwBEAGEAaQBsAHkARQBuAHQAZQByAGkAYwBNAGUAdABoAGEAbgBlAFAAcgBvAGQAdQBjAHQAaQBvAG4AXwBTAG8AdQByAGMAZQAiACwAIgBFAG4AdABlAHIAaQBjAE0AZQB0AGgAYQBuAGUAXwBQAGEAcwB0AHUAcgBlAEIAZQBlAGYAXwBFAHEAdQBhAHQAaQBvAG4AcwAuAFYARQBFAFIARwBfADMAXwAyAF8AMQBfADEAXwBfADIAXwBEAGEAaQBsAHkARQBuAHQAZQByAGkAYwBNAGUAdABoAGEAbgBlAFAAcgBvAGQAdQBjAHQAaQBvAG4AXwBOAEkAUgBSAGUAZgBlAHIAZQBuAGMAZQAiACwAIgBFAG4AdABlAHIAaQBjAE0AZQB0AGgAYQBuAGUAXwBQAGEAcwB0AHUAcgBlAEIAZQBlAGYAXwBFAHEAdQBhAHQAaQBvAG4AcwAuAFYARQBFAFIARwBfADMAXwAyAF8AMQBfADEAXwBfADIAXwBEAGEAaQBsAHkARQBuAHQAZQByAGkAYwBNAGUAdABoAGEAbgBlAFAAcgBvAGQAdQBjAHQAaQBvAG4AXwBMAGEAdABlAHgARQBxAHUAYQB0AGkAbwBuACIALAAiAEUAbgB0AGUAcgBpAGMATQBlAHQAaABhAG4AZQBfAFAAYQBzAHQAdQByAGUAQgBlAGUAZgBfAEUAcQB1AGEAdABpAG8AbgBzAC4AVgBFAEUAUgBHAF8AMwBfADIAXwAxAF8AMQBfAF8AMgBfAEQAYQBpAGwAeQBFAG4AdABlAHIAaQBjAE0AZQB0AGgAYQBuAGUAUAByAG8AZAB1AGMAdABpAG8AbgBfAEEAcgBnAHUAbQBlAG4AdABzACIALAAiAEUAbgB0AGUAcgBpAGMATQBlAHQAaABhAG4AZQBfAFAAYQBzAHQAdQByAGUAQgBlAGUAZgBfAEUAcQB1AGEAdABpAG8AbgBzAC4AVgBFAEUAUgBHAF8AMwBfADIAXwAxAF8AMQBfAF8AMwBfAEYAZQBlAGQASQBuAHQAYQBrAGUARgBvAHIARwByAGEAegBpAG4AZwBCAGUAZQBmACIALAAiAEUAbgB0AGUAcgBpAGMATQBlAHQAaABhAG4AZQBfAFAAYQBzAHQAdQByAGUAQgBlAGUAZgBfAEUAcQB1AGEAdABpAG8AbgBzAC4AVgBFAEUAUgBHAF8AMwBfADIAXwAxAF8AMQBfAF8AMwBfAEYAZQBlAGQASQBuAHQAYQBrAGUARgBvAHIARwByAGEAegBpAG4AZwBCAGUAZQBmAF8AVABpAHQAbABlACIALAAiAEUAbgB0AGUAcgBpAGMATQBlAHQAaABhAG4AZQBfAFAAYQBzAHQAdQByAGUAQgBlAGUAZgBfAEUAcQB1AGEAdABpAG8AbgBzAC4AVgBFAEUAUgBHAF8AMwBfADIAXwAxAF8AMQBfAF8AMwBfAEYAZQBlAGQASQBuAHQAYQBrAGUARgBvAHIARwByAGEAegBpAG4AZwBCAGUAZQBmAF8AVgBhAHIAaQBhAGIAbABlACIALAAiAEUAbgB0AGUAcgBpAGMATQBlAHQAaABhAG4AZQBfAFAAYQBzAHQAdQByAGUAQgBlAGUAZgBfAEUAcQB1AGEAdABpAG8AbgBzAC4AVgBFAEUAUgBHAF8AMwBfADIAXwAxAF8AMQBfAF8AMwBfAEYAZQBlAGQASQBuAHQAYQBrAGUARgBvAHIARwByAGEAegBpAG4AZwBCAGUAZQBmAF8AVQBuAGkAdAAiACwAIgBFAG4AdABlAHIAaQBjAE0AZQB0AGgAYQBuAGUAXwBQAGEAcwB0AHUAcgBlAEIAZQBlAGYAXwBFAHEAdQBhAHQAaQBvAG4AcwAuAFYARQBFAFIARwBfADMAXwAyAF8AMQBfADEAXwBfADMAXwBGAGUAZQBkAEkAbgB0AGEAawBlAEYAbwByAEcAcgBhAHoAaQBuAGcAQgBlAGUAZgBfAFMAbwB1AHIAYwBlACIALAAiAEUAbgB0AGUAcgBpAGMATQBlAHQAaABhAG4AZQBfAFAAYQBzAHQAdQByAGUAQgBlAGUAZgBfAEUAcQB1AGEAdABpAG8AbgBzAC4AVgBFAEUAUgBHAF8AMwBfADIAXwAxAF8AMQBfAF8AMwBfAEYAZQBlAGQASQBuAHQAYQBrAGUARgBvAHIARwByAGEAegBpAG4AZwBCAGUAZQBmAF8ATgBJAFIAUgBlAGYAZQByAGUAbgBjAGUAIgAsACIARQBuAHQAZQByAGkAYwBNAGUAdABoAGEAbgBlAF8AUABhAHMAdAB1AHIAZQBCAGUAZQBmAF8ARQBxAHUAYQB0AGkAbwBuAHMALgBWAEUARQBSAEcAXwAzAF8AMgBfADEAXwAxAF8AXwAzAF8ARgBlAGUAZABJAG4AdABhAGsAZQBGAG8AcgBHAHIAYQB6AGkAbgBnAEIAZQBlAGYAXwBMAGEAdABlAHgARQBxAHUAYQB0AGkAbwBuACIALAAiAEUAbgB0AGUAcgBpAGMATQBlAHQAaABhAG4AZQBfAFAAYQBzAHQAdQByAGUAQgBlAGUAZgBfAEUAcQB1AGEAdABpAG8AbgBzAC4AVgBFAEUAUgBHAF8AMwBfADIAXwAxAF8AMQBfAF8AMwBfAEYAZQBlAGQASQBuAHQAYQBrAGUARgBvAHIARwByAGEAegBpAG4AZwBCAGUAZQBmAF8AQQByAGcAdQBtAGUAbgB0AHMAIgAsACIARQBuAHQAZQByAGkAYwBNAGUAdABoAGEAbgBlAF8AUABhAHMAdAB1AHIAZQBCAGUAZQBmAF8ARQBxAHUAYQB0AGkAbwBuAHMALgBWAEUARQBSAEcAXwAzAF8AMgBfADEAXwAxAF8AXwA0AF8AQQBkAGQAaQB0AGkAbwBuAGEAbABJAG4AdABhAGsAZQBGAG8AcgBNAGkAbABrAFAAcgBvAGQAdQBjAHQAaQBvAG4AIgAsACIARQBuAHQAZQByAGkAYwBNAGUAdABoAGEAbgBlAF8AUABhAHMAdAB1AHIAZQBCAGUAZQBmAF8ARQBxAHUAYQB0AGkAbwBuAHMALgBWAEUARQBSAEcAXwAzAF8AMgBfADEAXwAxAF8AXwA0AF8AQQBkAGQAaQB0AGkAbwBuAGEAbABJAG4AdABhAGsAZQBGAG8AcgBNAGkAbABrAFAAcgBvAGQAdQBjAHQAaQBvAG4AVgBhAHIAaQBhAHQAaQBvAG4AIgAsACIARQBuAHQAZQByAGkAYwBNAGUAdABoAGEAbgBlAF8AUABhAHMAdAB1AHIAZQBCAGUAZQBmAF8ARQBxAHUAYQB0AGkAbwBuAHMALgBWAEUARQBSAEcAXwAzAF8AMgBfADEAXwAxAF8AXwA0AF8AQQBkAGQAaQB0AGkAbwBuAGEAbABJAG4AdABhAGsAZQBGAG8AcgBNAGkAbABrAFAAcgBvAGQAdQBjAHQAaQBvAG4AXwBUAGkAdABsAGUAIgAsACIARQBuAHQAZQByAGkAYwBNAGUAdABoAGEAbgBlAF8AUABhAHMAdAB1AHIAZQBCAGUAZQBmAF8ARQBxAHUAYQB0AGkAbwBuAHMALgBWAEUARQBSAEcAXwAzAF8AMgBfADEAXwAxAF8AXwA0AF8AQQBkAGQAaQB0AGkAbwBuAGEAbABJAG4AdABhAGsAZQBGAG8AcgBNAGkAbABrAFAAcgBvAGQAdQBjAHQAaQBvAG4AXwBWAGEAcgBpAGEAYgBsAGUAIgAsACIARQBuAHQAZQByAGkAYwBNAGUAdABoAGEAbgBlAF8AUABhAHMAdAB1AHIAZQBCAGUAZQBmAF8ARQBxAHUAYQB0AGkAbwBuAHMALgBWAEUARQBSAEcAXwAzAF8AMgBfADEAXwAxAF8AXwA0AF8AQQBkAGQAaQB0AGkAbwBuAGEAbABJAG4AdABhAGsAZQBGAG8AcgBNAGkAbABrAFAAcgBvAGQAdQBjAHQAaQBvAG4AXwBVAG4AaQB0ACIALAAiAEUAbgB0AGUAcgBpAGMATQBlAHQAaABhAG4AZQBfAFAAYQBzAHQAdQByAGUAQgBlAGUAZgBfAEUAcQB1AGEAdABpAG8AbgBzAC4AVgBFAEUAUgBHAF8AMwBfADIAXwAxAF8AMQBfAF8ANABfAEEAZABkAGkAdABpAG8AbgBhAGwASQBuAHQAYQBrAGUARgBvAHIATQBpAGwAawBQAHIAbwBkAHUAYwB0AGkAbwBuAF8AUwBvAHUAcgBjAGUAIgAsACIARQBuAHQAZQByAGkAYwBNAGUAdABoAGEAbgBlAF8AUABhAHMAdAB1AHIAZQBCAGUAZQBmAF8ARQBxAHUAYQB0AGkAbwBuAHMALgBWAEUARQBSAEcAXwAzAF8AMgBfADEAXwAxAF8AXwA0AF8AQQBkAGQAaQB0AGkAbwBuAGEAbABJAG4AdABhAGsAZQBGAG8AcgBNAGkAbABrAFAAcgBvAGQAdQBjAHQAaQBvAG4AXwBOAEkAUgBSAGUAZgBlAHIAZQBuAGMAZQAiACwAIgBFAG4AdABlAHIAaQBjAE0AZQB0AGgAYQBuAGUAXwBQAGEAcwB0AHUAcgBlAEIAZQBlAGYAXwBFAHEAdQBhAHQAaQBvAG4AcwAuAFYARQBFAFIARwBfADMAXwAyAF8AMQBfADEAXwBfADQAXwBBAGQAZABpAHQAaQBvAG4AYQBsAEkAbgB0AGEAawBlAEYAbwByAE0AaQBsAGsAUAByAG8AZAB1AGMAdABpAG8AbgBfAEwAYQB0AGUAeABFAHEAdQBhAHQAaQBvAG4AIgAsACIARQBuAHQAZQByAGkAYwBNAGUAdABoAGEAbgBlAF8AUABhAHMAdAB1AHIAZQBCAGUAZQBmAF8ARQBxAHUAYQB0AGkAbwBuAHMALgBWAEUARQBSAEcAXwAzAF8AMgBfADEAXwAxAF8AXwA0AF8AQQBkAGQAaQB0AGkAbwBuAGEAbABJAG4AdABhAGsAZQBGAG8AcgBNAGkAbABrAFAAcgBvAGQAdQBjAHQAaQBvAG4AXwBMAGEAdABlAHgARQBxAHUAYQB0AGkAbwBuAFYAYQByAGkAYQB0AGkAbwBuACIALAAiAEUAbgB0AGUAcgBpAGMATQBlAHQAaABhAG4AZQBfAFAAYQBzAHQAdQByAGUAQgBlAGUAZgBfAEUAcQB1AGEAdABpAG8AbgBzAC4AVgBFAEUAUgBHAF8AMwBfADIAXwAxAF8AMQBfAF8ANABfAEEAZABkAGkAdABpAG8AbgBhAGwASQBuAHQAYQBrAGUARgBvAHIATQBpAGwAawBQAHIAbwBkAHUAYwB0AGkAbwBuAF8AQQByAGcAdQBtAGUAbgB0AHMAIgAsACIARQBuAHQAZQByAGkAYwBNAGUAdABoAGEAbgBlAF8AUABhAHMAdAB1AHIAZQBCAGUAZQBmAF8ARQBxAHUAYQB0AGkAbwBuAHMALgBWAEUARQBSAEcAXwAzAF8AMgBfADEAXwAxAF8AXwA0AF8AQQBkAGQAaQB0AGkAbwBuAGEAbABJAG4AdABhAGsAZQBGAG8AcgBNAGkAbABrAFAAcgBvAGQAdQBjAHQAaQBvAG4AXwBBAHIAZwB1AG0AZQBuAHQAcwBWAGEAcgBpAGEAdABpAG8AbgAiACwAIgBFAG4AdABlAHIAaQBjAE0AZQB0AGgAYQBuAGUAXwBQAGEAcwB0AHUAcgBlAEIAZQBlAGYAXwBFAHEAdQBhAHQAaQBvAG4AcwAuAFYARQBFAFIARwBfADMAXwAyAF8AMQBfADEAXwBfADQAXwBBAGQAZABpAHQAaQBvAG4AYQBsAEkAbgB0AGEAawBlAEYAbwByAE0AaQBsAGsAUAByAG8AZAB1AGMAdABpAG8AbgBfAFYAYQByAGkAYQB0AGkAbwBuACIALAAiAFMAbwB1AHIAYwBlAEQAYQB0AGEAXwBQAGEAcwB0AHUAcgBlAEIAZQBlAGYALgBTAG8AdQByAGMAZQBEAGEAdABhAF8AUABhAHMAdAB1AHIAZQBCAGUAZQBmAF8ATABpAHYAZQB3AGUAaQBnAGgAdABfAFQAaQB0AGwAZQAiACwAIgBTAG8AdQByAGMAZQBEAGEAdABhAF8AUABhAHMAdAB1AHIAZQBCAGUAZQBmAC4AUwBvAHUAcgBjAGUARABhAHQAYQBfAFAAYQBzAHQAdQByAGUAQgBlAGUAZgBfAEwAaQB2AGUAdwBlAGkAZwBoAHQAXwBWAGEAcgBpAGEAYgBsAGUAIgAsACIAUwBvAHUAcgBjAGUARABhAHQAYQBfAFAAYQBzAHQAdQByAGUAQgBlAGUAZgAuAFMAbwB1AHIAYwBlAEQAYQB0AGEAXwBQAGEAcwB0AHUAcgBlAEIAZQBlAGYAXwBMAGkAdgBlAHcAZQBpAGcAaAB0AF8AVQBuAGkAdAAiACwAIgBTAG8AdQByAGMAZQBEAGEAdABhAF8AUABhAHMAdAB1AHIAZQBCAGUAZQBmAC4AUwBvAHUAcgBjAGUARABhAHQAYQBfAFAAYQBzAHQAdQByAGUAQgBlAGUAZgBfAEwAaQB2AGUAdwBlAGkAZwBoAHQAXwBTAG8AdQByAGMAZQAiACwAIgBTAG8AdQByAGMAZQBEAGEAdABhAF8AUABhAHMAdAB1AHIAZQBCAGUAZQBmAC4AUwBvAHUAcgBjAGUARABhAHQAYQBfAFAAYQBzAHQAdQByAGUAQgBlAGUAZgBfAEwAaQB2AGUAdwBlAGkAZwBoAHQAXwBWAGEAcgBpAGEAdABpAG8AbgAiACwAIgBTAG8AdQByAGMAZQBEAGEAdABhAF8AUABhAHMAdAB1AHIAZQBCAGUAZQBmAC4AUwBvAHUAcgBjAGUARABhAHQAYQBfAFAAYQBzAHQAdQByAGUAQgBlAGUAZgBfAEwAaQB2AGUAdwBlAGkAZwBoAHQAXwBEAGEAdABhACIALAAiAFMAbwB1AHIAYwBlAEQAYQB0AGEAXwBQAGEAcwB0AHUAcgBlAEIAZQBlAGYALgBTAG8AdQByAGMAZQBEAGEAdABhAF8AUABhAHMAdAB1AHIAZQBCAGUAZQBmAF8ATABpAHYAZQB3AGUAaQBnAGgAdABOAFQAUQBMAEQAXwBUAGkAdABsAGUAIgAsACIAUwBvAHUAcgBjAGUARABhAHQAYQBfAFAAYQBzAHQAdQByAGUAQgBlAGUAZgAuAFMAbwB1AHIAYwBlAEQAYQB0AGEAXwBQAGEAcwB0AHUAcgBlAEIAZQBlAGYAXwBMAGkAdgBlAHcAZQBpAGcAaAB0AE4AVABRAEwARABfAFYAYQByAGkAYQBiAGwAZQAiACwAIgBTAG8AdQByAGMAZQBEAGEAdABhAF8AUABhAHMAdAB1AHIAZQBCAGUAZQBmAC4AUwBvAHUAcgBjAGUARABhAHQAYQBfAFAAYQBzAHQAdQByAGUAQgBlAGUAZgBfAEwAaQB2AGUAdwBlAGkAZwBoAHQATgBUAFEATABEAF8AVQBuAGkAdAAiACwAIgBTAG8AdQByAGMAZQBEAGEAdABhAF8AUABhAHMAdAB1AHIAZQBCAGUAZQBmAC4AUwBvAHUAcgBjAGUARABhAHQAYQBfAFAAYQBzAHQAdQByAGUAQgBlAGUAZgBfAEwAaQB2AGUAdwBlAGkAZwBoAHQATgBUAFEATABEAF8AUwBvAHUAcgBjAGUAIgAsACIAUwBvAHUAcgBjAGUARABhAHQAYQBfAFAAYQBzAHQAdQByAGUAQgBlAGUAZgAuAFMAbwB1AHIAYwBlAEQAYQB0AGEAXwBQAGEAcwB0AHUAcgBlAEIAZQBlAGYAXwBMAGkAdgBlAHcAZQBpAGcAaAB0AE4AVABRAEwARABfAFYAYQByAGkAYQB0AGkAbwBuACIALAAiAFMAbwB1AHIAYwBlAEQAYQB0AGEAXwBQAGEAcwB0AHUAcgBlAEIAZQBlAGYALgBTAG8AdQByAGMAZQBEAGEAdABhAF8AUABhAHMAdAB1AHIAZQBCAGUAZQBmAF8ATABpAHYAZQB3AGUAaQBnAGgAdABOAFQAUQBMAEQAXwBEAGEAdABhACIALAAiAFMAbwB1AHIAYwBlAEQAYQB0AGEAXwBQAGEAcwB0AHUAcgBlAEIAZQBlAGYALgBTAG8AdQByAGMAZQBEAGEAdABhAF8AUABhAHMAdAB1AHIAZQBCAGUAZQBmAF8ATABpAHYAZQB3AGUAaQBnAGgAdABHAGEAaQBuAF8AVABpAHQAbABlACIALAAiAFMAbwB1AHIAYwBlAEQAYQB0AGEAXwBQAGEAcwB0AHUAcgBlAEIAZQBlAGYALgBTAG8AdQByAGMAZQBEAGEAdABhAF8AUABhAHMAdAB1AHIAZQBCAGUAZQBmAF8ATABpAHYAZQB3AGUAaQBnAGgAdABHAGEAaQBuAF8AVgBhAHIAaQBhAGIAbABlACIALAAiAFMAbwB1AHIAYwBlAEQAYQB0AGEAXwBQAGEAcwB0AHUAcgBlAEIAZQBlAGYALgBTAG8AdQByAGMAZQBEAGEAdABhAF8AUABhAHMAdAB1AHIAZQBCAGUAZQBmAF8ATABpAHYAZQB3AGUAaQBnAGgAdABHAGEAaQBuAF8AVQBuAGkAdAAiACwAIgBTAG8AdQByAGMAZQBEAGEAdABhAF8AUABhAHMAdAB1AHIAZQBCAGUAZQBmAC4AUwBvAHUAcgBjAGUARABhAHQAYQBfAFAAYQBzAHQAdQByAGUAQgBlAGUAZgBfAEwAaQB2AGUAdwBlAGkAZwBoAHQARwBhAGkAbgBfAFMAbwB1AHIAYwBlACIALAAiAFMAbwB1AHIAYwBlAEQAYQB0AGEAXwBQAGEAcwB0AHUAcgBlAEIAZQBlAGYALgBTAG8AdQByAGMAZQBEAGEAdABhAF8AUABhAHMAdAB1AHIAZQBCAGUAZQBmAF8ATABpAHYAZQB3AGUAaQBnAGgAdABHAGEAaQBuAF8AVgBhAHIAaQBhAHQAaQBvAG4AIgAsACIAUwBvAHUAcgBjAGUARABhAHQAYQBfAFAAYQBzAHQAdQByAGUAQgBlAGUAZgAuAFMAbwB1AHIAYwBlAEQAYQB0AGEAXwBQAGEAcwB0AHUAcgBlAEIAZQBlAGYAXwBMAGkAdgBlAHcAZQBpAGcAaAB0AEcAYQBpAG4AXwBEAGEAdABhACIALAAiAFMAbwB1AHIAYwBlAEQAYQB0AGEAXwBQAGEAcwB0AHUAcgBlAEIAZQBlAGYALgBTAG8AdQByAGMAZQBEAGEAdABhAF8AUABhAHMAdAB1AHIAZQBCAGUAZQBmAF8ATABpAHYAZQB3AGUAaQBnAGgAdABHAGEAaQBuAE4AVABRAEwARABfAFQAaQB0AGwAZQAiACwAIgBTAG8AdQByAGMAZQBEAGEAdABhAF8AUABhAHMAdAB1AHIAZQBCAGUAZQBmAC4AUwBvAHUAcgBjAGUARABhAHQAYQBfAFAAYQBzAHQAdQByAGUAQgBlAGUAZgBfAEwAaQB2AGUAdwBlAGkAZwBoAHQARwBhAGkAbgBOAFQAUQBMAEQAXwBWAGEAcgBpAGEAYgBsAGUAIgAsACIAUwBvAHUAcgBjAGUARABhAHQAYQBfAFAAYQBzAHQAdQByAGUAQgBlAGUAZgAuAFMAbwB1AHIAYwBlAEQAYQB0AGEAXwBQAGEAcwB0AHUAcgBlAEIAZQBlAGYAXwBMAGkAdgBlAHcAZQBpAGcAaAB0AEcAYQBpAG4ATgBUAFEATABEAF8AVQBuAGkAdAAiACwAIgBTAG8AdQByAGMAZQBEAGEAdABhAF8AUABhAHMAdAB1AHIAZQBCAGUAZQBmAC4AUwBvAHUAcgBjAGUARABhAHQAYQBfAFAAYQBzAHQAdQByAGUAQgBlAGUAZgBfAEwAaQB2AGUAdwBlAGkAZwBoAHQARwBhAGkAbgBOAFQAUQBMAEQAXwBTAG8AdQByAGMAZQAiACwAIgBTAG8AdQByAGMAZQBEAGEAdABhAF8AUABhAHMAdAB1AHIAZQBCAGUAZQBmAC4AUwBvAHUAcgBjAGUARABhAHQAYQBfAFAAYQBzAHQAdQByAGUAQgBlAGUAZgBfAEwAaQB2AGUAdwBlAGkAZwBoAHQARwBhAGkAbgBOAFQAUQBMAEQAXwBWAGEAcgBpAGEAdABpAG8AbgAiACwAIgBTAG8AdQByAGMAZQBEAGEAdABhAF8AUABhAHMAdAB1AHIAZQBCAGUAZQBmAC4AUwBvAHUAcgBjAGUARABhAHQAYQBfAFAAYQBzAHQAdQByAGUAQgBlAGUAZgBfAEwAaQB2AGUAdwBlAGkAZwBoAHQARwBhAGkAbgBOAFQAUQBMAEQAXwBEAGEAdABhACIALAAiAFMAbwB1AHIAYwBlAEQAYQB0AGEAXwBQAGEAcwB0AHUAcgBlAEIAZQBlAGYALgBTAG8AdQByAGMAZQBEAGEAdABhAF8AUABhAHMAdAB1AHIAZQBCAGUAZQBmAF8ARAByAHkATQBhAHQAdABlAHIARABpAGcAZQBzAHQAaQBiAGkAbABpAHQAeQBfAFQAaQB0AGwAZQAiACwAIgBTAG8AdQByAGMAZQBEAGEAdABhAF8AUABhAHMAdAB1AHIAZQBCAGUAZQBmAC4AUwBvAHUAcgBjAGUARABhAHQAYQBfAFAAYQBzAHQAdQByAGUAQgBlAGUAZgBfAEQAcgB5AE0AYQB0AHQAZQByAEQAaQBnAGUAcwB0AGkAYgBpAGwAaQB0AHkAXwBWAGEAcgBpAGEAYgBsAGUAIgAsACIAUwBvAHUAcgBjAGUARABhAHQAYQBfAFAAYQBzAHQAdQByAGUAQgBlAGUAZgAuAFMAbwB1AHIAYwBlAEQAYQB0AGEAXwBQAGEAcwB0AHUAcgBlAEIAZQBlAGYAXwBEAHIAeQBNAGEAdAB0AGUAcgBEAGkAZwBlAHMAdABpAGIAaQBsAGkAdAB5AF8AVQBuAGkAdAAiACwAIgBTAG8AdQByAGMAZQBEAGEAdABhAF8AUABhAHMAdAB1AHIAZQBCAGUAZQBmAC4AUwBvAHUAcgBjAGUARABhAHQAYQBfAFAAYQBzAHQAdQByAGUAQgBlAGUAZgBfAEQAcgB5AE0AYQB0AHQAZQByAEQAaQBnAGUAcwB0AGkAYgBpAGwAaQB0AHkAXwBTAG8AdQByAGMAZQAiACwAIgBTAG8AdQByAGMAZQBEAGEAdABhAF8AUABhAHMAdAB1AHIAZQBCAGUAZQBmAC4AUwBvAHUAcgBjAGUARABhAHQAYQBfAFAAYQBzAHQAdQByAGUAQgBlAGUAZgBfAEQAcgB5AE0AYQB0AHQAZQByAEQAaQBnAGUAcwB0AGkAYgBpAGwAaQB0AHkAXwBWAGEAcgBpAGEAdABpAG8AbgAiACwAIgBTAG8AdQByAGMAZQBEAGEAdABhAF8AUABhAHMAdAB1AHIAZQBCAGUAZQBmAC4AUwBvAHUAcgBjAGUARABhAHQAYQBfAFAAYQBzAHQAdQByAGUAQgBlAGUAZgBfAEQAcgB5AE0AYQB0AHQAZQByAEQAaQBnAGUAcwB0AGkAYgBpAGwAaQB0AHkAXwBEAGEAdABhACIALAAiAFMAbwB1AHIAYwBlAEQAYQB0AGEAXwBQAGEAcwB0AHUAcgBlAEIAZQBlAGYALgBTAG8AdQByAGMAZQBEAGEAdABhAF8AUABhAHMAdAB1AHIAZQBCAGUAZQBmAF8AQwByAHUAZABlAFAAcgBvAHQAZQBpAG4AQwBvAG4AdABlAG4AdABfAFQAaQB0AGwAZQAiACwAIgBTAG8AdQByAGMAZQBEAGEAdABhAF8AUABhAHMAdAB1AHIAZQBCAGUAZQBmAC4AUwBvAHUAcgBjAGUARABhAHQAYQBfAFAAYQBzAHQAdQByAGUAQgBlAGUAZgBfAEMAcgB1AGQAZQBQAHIAbwB0AGUAaQBuAEMAbwBuAHQAZQBuAHQAXwBWAGEAcgBpAGEAYgBsAGUAIgAsACIAUwBvAHUAcgBjAGUARABhAHQAYQBfAFAAYQBzAHQAdQByAGUAQgBlAGUAZgAuAFMAbwB1AHIAYwBlAEQAYQB0AGEAXwBQAGEAcwB0AHUAcgBlAEIAZQBlAGYAXwBDAHIAdQBkAGUAUAByAG8AdABlAGkAbgBDAG8AbgB0AGUAbgB0AF8AVQBuAGkAdAAiACwAIgBTAG8AdQByAGMAZQBEAGEAdABhAF8AUABhAHMAdAB1AHIAZQBCAGUAZQBmAC4AUwBvAHUAcgBjAGUARABhAHQAYQBfAFAAYQBzAHQAdQByAGUAQgBlAGUAZgBfAEMAcgB1AGQAZQBQAHIAbwB0AGUAaQBuAEMAbwBuAHQAZQBuAHQAXwBTAG8AdQByAGMAZQAiACwAIgBTAG8AdQByAGMAZQBEAGEAdABhAF8AUABhAHMAdAB1AHIAZQBCAGUAZQBmAC4AUwBvAHUAcgBjAGUARABhAHQAYQBfAFAAYQBzAHQAdQByAGUAQgBlAGUAZgBfAEMAcgB1AGQAZQBQAHIAbwB0AGUAaQBuAEMAbwBuAHQAZQBuAHQAXwBWAGEAcgBpAGEAdABpAG8AbgAiACwAIgBTAG8AdQByAGMAZQBEAGEAdABhAF8AUABhAHMAdAB1AHIAZQBCAGUAZQBmAC4AUwBvAHUAcgBjAGUARABhAHQAYQBfAFAAYQBzAHQAdQByAGUAQgBlAGUAZgBfAEMAcgB1AGQAZQBQAHIAbwB0AGUAaQBuAEMAbwBuAHQAZQBuAHQAXwBEAGEAdABhACIALAAiAFMAbwB1AHIAYwBlAEQAYQB0AGEAXwBQAGEAcwB0AHUAcgBlAEIAZQBlAGYALgBTAG8AdQByAGMAZQBEAGEAdABhAF8AUABhAHMAdAB1AHIAZQBCAGUAZQBmAF8ARgBlAGUAZABBAGQAagB1AHMAdABtAGUAbgB0AEEAbgBkAE0AaQBsAGsAUAByAG8AZAB1AGMAdABpAG8AbgBfAFQAaQB0AGwAZQAiACwAIgBTAG8AdQByAGMAZQBEAGEAdABhAF8AUABhAHMAdAB1AHIAZQBCAGUAZQBmAC4AUwBvAHUAcgBjAGUARABhAHQAYQBfAFAAYQBzAHQAdQByAGUAQgBlAGUAZgBfAEYAZQBlAGQAQQBkAGoAdQBzAHQAbQBlAG4AdABBAG4AZABNAGkAbABrAFAAcgBvAGQAdQBjAHQAaQBvAG4AXwBWAGEAcgBpAGEAYgBsAGUAIgAsACIAUwBvAHUAcgBjAGUARABhAHQAYQBfAFAAYQBzAHQAdQByAGUAQgBlAGUAZgAuAFMAbwB1AHIAYwBlAEQAYQB0AGEAXwBQAGEAcwB0AHUAcgBlAEIAZQBlAGYAXwBGAGUAZQBkAEEAZABqAHUAcwB0AG0AZQBuAHQAQQBuAGQATQBpAGwAawBQAHIAbwBkAHUAYwB0AGkAbwBuAF8AVQBuAGkAdAAiACwAIgBTAG8AdQByAGMAZQBEAGEAdABhAF8AUABhAHMAdAB1AHIAZQBCAGUAZQBmAC4AUwBvAHUAcgBjAGUARABhAHQAYQBfAFAAYQBzAHQAdQByAGUAQgBlAGUAZgBfAEYAZQBlAGQAQQBkAGoAdQBzAHQAbQBlAG4AdABBAG4AZABNAGkAbABrAFAAcgBvAGQAdQBjAHQAaQBvAG4AXwBTAG8AdQByAGMAZQAiACwAIgBTAG8AdQByAGMAZQBEAGEAdABhAF8AUABhAHMAdAB1AHIAZQBCAGUAZQBmAC4AUwBvAHUAcgBjAGUARABhAHQAYQBfAFAAYQBzAHQAdQByAGUAQgBlAGUAZgBfAEYAZQBlAGQAQQBkAGoAdQBzAHQAbQBlAG4AdABBAG4AZABNAGkAbABrAFAAcgBvAGQAdQBjAHQAaQBvAG4AXwBWAGEAcgBpAGEAdABpAG8AbgAiACwAIgBTAG8AdQByAGMAZQBEAGEAdABhAF8AUABhAHMAdAB1AHIAZQBCAGUAZQBmAC4AUwBvAHUAcgBjAGUARABhAHQAYQBfAFAAYQBzAHQAdQByAGUAQgBlAGUAZgBfAEYAZQBlAGQAQQBkAGoAdQBzAHQAbQBlAG4AdABBAG4AZABNAGkAbABrAFAAcgBvAGQAdQBjAHQAaQBvAG4AXwBEAGEAdABhACIALAAiAFMAbwB1AHIAYwBlAEQAYQB0AGEAXwBQAGEAcwB0AHUAcgBlAEIAZQBlAGYALgBTAG8AdQByAGMAZQBEAGEAdABhAF8AUABhAHMAdAB1AHIAZQBCAGUAZQBmAF8AUwB0AGEAbgBkAGEAcgBkAFIAZQBmAGUAcgBlAG4AYwBlAFcAZQBpAGcAaAB0AHMAXwBUAGkAdABsAGUAIgAsACIAUwBvAHUAcgBjAGUARABhAHQAYQBfAFAAYQBzAHQAdQByAGUAQgBlAGUAZgAuAFMAbwB1AHIAYwBlAEQAYQB0AGEAXwBQAGEAcwB0AHUAcgBlAEIAZQBlAGYAXwBTAHQAYQBuAGQAYQByAGQAUgBlAGYAZQByAGUAbgBjAGUAVwBlAGkAZwBoAHQAcwBfAFYAYQByAGkAYQBiAGwAZQAiACwAIgBTAG8AdQByAGMAZQBEAGEAdABhAF8AUABhAHMAdAB1AHIAZQBCAGUAZQBmAC4AUwBvAHUAcgBjAGUARABhAHQAYQBfAFAAYQBzAHQAdQByAGUAQgBlAGUAZgBfAFMAdABhAG4AZABhAHIAZABSAGUAZgBlAHIAZQBuAGMAZQBXAGUAaQBnAGgAdABzAF8AVQBuAGkAdAAiACwAIgBTAG8AdQByAGMAZQBEAGEAdABhAF8AUABhAHMAdAB1AHIAZQBCAGUAZQBmAC4AUwBvAHUAcgBjAGUARABhAHQAYQBfAFAAYQBzAHQAdQByAGUAQgBlAGUAZgBfAFMAdABhAG4AZABhAHIAZABSAGUAZgBlAHIAZQBuAGMAZQBXAGUAaQBnAGgAdABzAF8AUwBvAHUAcgBjAGUAIgAsACIAUwBvAHUAcgBjAGUARABhAHQAYQBfAFAAYQBzAHQAdQByAGUAQgBlAGUAZgAuAFMAbwB1AHIAYwBlAEQAYQB0AGEAXwBQAGEAcwB0AHUAcgBlAEIAZQBlAGYAXwBTAHQAYQBuAGQAYQByAGQAUgBlAGYAZQByAGUAbgBjAGUAVwBlAGkAZwBoAHQAcwBfAFYAYQByAGkAYQB0AGkAbwBuACIALAAiAFMAbwB1AHIAYwBlAEQAYQB0AGEAXwBQAGEAcwB0AHUAcgBlAEIAZQBlAGYALgBTAG8AdQByAGMAZQBEAGEAdABhAF8AUABhAHMAdAB1AHIAZQBCAGUAZQBmAF8AUwB0AGEAbgBkAGEAcgBkAFIAZQBmAGUAcgBlAG4AYwBlAFcAZQBpAGcAaAB0AHMAXwBEAGEAdABhACIALAAiAFMAbwB1AHIAYwBlAEQAYQB0AGEAXwBQAGEAcwB0AHUAcgBlAEIAZQBlAGYALgBTAG8AdQByAGMAZQBEAGEAdABhAF8AUABhAHMAdAB1AHIAZQBCAGUAZQBmAF8ARgByAGEAYwB0AGkAbwBuAE8AZgBNAGEAbgB1AHIAZQBUAG8ATQBNAFMAXwBUAGkAdABsAGUAIgAsACIAUwBvAHUAcgBjAGUARABhAHQAYQBfAFAAYQBzAHQAdQByAGUAQgBlAGUAZgAuAFMAbwB1AHIAYwBlAEQAYQB0AGEAXwBQAGEAcwB0AHUAcgBlAEIAZQBlAGYAXwBGAHIAYQBjAHQAaQBvAG4ATwBmAE0AYQBuAHUAcgBlAFQAbwBNAE0AUwBfAFYAYQByAGkAYQBiAGwAZQAiACwAIgBTAG8AdQByAGMAZQBEAGEAdABhAF8AUABhAHMAdAB1AHIAZQBCAGUAZQBmAC4AUwBvAHUAcgBjAGUARABhAHQAYQBfAFAAYQBzAHQAdQByAGUAQgBlAGUAZgBfAEYAcgBhAGMAdABpAG8AbgBPAGYATQBhAG4AdQByAGUAVABvAE0ATQBTAF8AVQBuAGkAdAAiACwAIgBTAG8AdQByAGMAZQBEAGEAdABhAF8AUABhAHMAdAB1AHIAZQBCAGUAZQBmAC4AUwBvAHUAcgBjAGUARABhAHQAYQBfAFAAYQBzAHQAdQByAGUAQgBlAGUAZgBfAEYAcgBhAGMAdABpAG8AbgBPAGYATQBhAG4AdQByAGUAVABvAE0ATQBTAF8AUwBvAHUAcgBjAGUAIgAsACIAUwBvAHUAcgBjAGUARABhAHQAYQBfAFAAYQBzAHQAdQByAGUAQgBlAGUAZgAuAFMAbwB1AHIAYwBlAEQAYQB0AGEAXwBQAGEAcwB0AHUAcgBlAEIAZQBlAGYAXwBGAHIAYQBjAHQAaQBvAG4ATwBmAE0AYQBuAHUAcgBlAFQAbwBNAE0AUwBfAFYAYQByAGkAYQB0AGkAbwBuACIALAAiAFMAbwB1AHIAYwBlAEQAYQB0AGEAXwBQAGEAcwB0AHUAcgBlAEIAZQBlAGYALgBTAG8AdQByAGMAZQBEAGEAdABhAF8AUABhAHMAdAB1AHIAZQBCAGUAZQBmAF8ARgByAGEAYwB0AGkAbwBuAE8AZgBNAGEAbgB1AHIAZQBUAG8ATQBNAFMAXwBEAGEAdABhACIALAAiAFMAbwB1AHIAYwBlAEQAYQB0AGEAXwBQAGEAcwB0AHUAcgBlAEIAZQBlAGYALgBTAG8AdQByAGMAZQBEAGEAdABhAF8AUABhAHMAdAB1AHIAZQBCAGUAZQBmAF8ATQBlAHQAaABhAG4AZQBDAG8AbgB2AGUAcgBzAGkAbwBuAEYAYQBjAHQAbwByAFAAZQByAFIAZQBnAGkAbwBuAF8AVABpAHQAbABlACIALAAiAFMAbwB1AHIAYwBlAEQAYQB0AGEAXwBQAGEAcwB0AHUAcgBlAEIAZQBlAGYALgBTAG8AdQByAGMAZQBEAGEAdABhAF8AUABhAHMAdAB1AHIAZQBCAGUAZQBmAF8ATQBlAHQAaABhAG4AZQBDAG8AbgB2AGUAcgBzAGkAbwBuAEYAYQBjAHQAbwByAFAAZQByAFIAZQBnAGkAbwBuAF8AVgBhAHIAaQBhAGIAbABlACIALAAiAFMAbwB1AHIAYwBlAEQAYQB0AGEAXwBQAGEAcwB0AHUAcgBlAEIAZQBlAGYALgBTAG8AdQByAGMAZQBEAGEAdABhAF8AUABhAHMAdAB1AHIAZQBCAGUAZQBmAF8ATQBlAHQAaABhAG4AZQBDAG8AbgB2AGUAcgBzAGkAbwBuAEYAYQBjAHQAbwByAFAAZQByAFIAZQBnAGkAbwBuAF8AVQBuAGkAdAAiACwAIgBTAG8AdQByAGMAZQBEAGEAdABhAF8AUABhAHMAdAB1AHIAZQBCAGUAZQBmAC4AUwBvAHUAcgBjAGUARABhAHQAYQBfAFAAYQBzAHQAdQByAGUAQgBlAGUAZgBfAE0AZQB0AGgAYQBuAGUAQwBvAG4AdgBlAHIAcwBpAG8AbgBGAGEAYwB0AG8AcgBQAGUAcgBSAGUAZwBpAG8AbgBfAFMAbwB1AHIAYwBlACIALAAiAFMAbwB1AHIAYwBlAEQAYQB0AGEAXwBQAGEAcwB0AHUAcgBlAEIAZQBlAGYALgBTAG8AdQByAGMAZQBEAGEAdABhAF8AUABhAHMAdAB1AHIAZQBCAGUAZQBmAF8ATQBlAHQAaABhAG4AZQBDAG8AbgB2AGUAcgBzAGkAbwBuAEYAYQBjAHQAbwByAFAAZQByAFIAZQBnAGkAbwBuAF8AVgBhAHIAaQBhAHQAaQBvAG4AIgAsACIAUwBvAHUAcgBjAGUARABhAHQAYQBfAFAAYQBzAHQAdQByAGUAQgBlAGUAZgAuAFMAbwB1AHIAYwBlAEQAYQB0AGEAXwBQAGEAcwB0AHUAcgBlAEIAZQBlAGYAXwBNAGUAdABoAGEAbgBlAEMAbwBuAHYAZQByAHMAaQBvAG4ARgBhAGMAdABvAHIAUABlAHIAUgBlAGcAaQBvAG4AXwBEAGEAdABhACIALAAiAFMAbwB1AHIAYwBlAEQAYQB0AGEAXwBQAGEAcwB0AHUAcgBlAEIAZQBlAGYALgBTAG8AdQByAGMAZQBEAGEAdABhAF8AUABhAHMAdAB1AHIAZQBCAGUAZQBmAF8AQQBzAGgAQwBvAG4AdABlAG4AdABPAGYARgBlAGUAZABJAG4AdABhAGsAZQBfAFQAaQB0AGwAZQAiACwAIgBTAG8AdQByAGMAZQBEAGEAdABhAF8AUABhAHMAdAB1AHIAZQBCAGUAZQBmAC4AUwBvAHUAcgBjAGUARABhAHQAYQBfAFAAYQBzAHQAdQByAGUAQgBlAGUAZgBfAEEAcwBoAEMAbwBuAHQAZQBuAHQATwBmAEYAZQBlAGQASQBuAHQAYQBrAGUAXwBWAGEAcgBpAGEAYgBsAGUAIgAsACIAUwBvAHUAcgBjAGUARABhAHQAYQBfAFAAYQBzAHQAdQByAGUAQgBlAGUAZgAuAFMAbwB1AHIAYwBlAEQAYQB0AGEAXwBQAGEAcwB0AHUAcgBlAEIAZQBlAGYAXwBBAHMAaABDAG8AbgB0AGUAbgB0AE8AZgBGAGUAZQBkAEkAbgB0AGEAawBlAF8AVQBuAGkAdAAiACwAIgBTAG8AdQByAGMAZQBEAGEAdABhAF8AUABhAHMAdAB1AHIAZQBCAGUAZQBmAC4AUwBvAHUAcgBjAGUARABhAHQAYQBfAFAAYQBzAHQAdQByAGUAQgBlAGUAZgBfAEEAcwBoAEMAbwBuAHQAZQBuAHQATwBmAEYAZQBlAGQASQBuAHQAYQBrAGUAXwBTAG8AdQByAGMAZQAiACwAIgBTAG8AdQByAGMAZQBEAGEAdABhAF8AUABhAHMAdAB1AHIAZQBCAGUAZQBmAC4AUwBvAHUAcgBjAGUARABhAHQAYQBfAFAAYQBzAHQAdQByAGUAQgBlAGUAZgBfAEEAcwBoAEMAbwBuAHQAZQBuAHQATwBmAEYAZQBlAGQASQBuAHQAYQBrAGUAXwBWAGEAcgBpAGEAdABpAG8AbgAiACwAIgBTAG8AdQByAGMAZQBEAGEAdABhAF8AUABhAHMAdAB1AHIAZQBCAGUAZQBmAC4AUwBvAHUAcgBjAGUARABhAHQAYQBfAFAAYQBzAHQAdQByAGUAQgBlAGUAZgBfAEEAcwBoAEMAbwBuAHQAZQBuAHQATwBmAEYAZQBlAGQASQBuAHQAYQBrAGUAXwBEAGEAdABhACIALAAiAFMAbwB1AHIAYwBlAEQAYQB0AGEAXwBQAGEAcwB0AHUAcgBlAEIAZQBlAGYALgBTAG8AdQByAGMAZQBEAGEAdABhAF8AUABhAHMAdAB1AHIAZQBCAGUAZQBmAF8ATQBlAHQAaABhAG4AZQBFAG0AaQBzAHMAaQBvAG4AcwBQAG8AdABlAG4AdABpAGEAbABfAFQAaQB0AGwAZQAiACwAIgBTAG8AdQByAGMAZQBEAGEAdABhAF8AUABhAHMAdAB1AHIAZQBCAGUAZQBmAC4AUwBvAHUAcgBjAGUARABhAHQAYQBfAFAAYQBzAHQAdQByAGUAQgBlAGUAZgBfAE0AZQB0AGgAYQBuAGUARQBtAGkAcwBzAGkAbwBuAHMAUABvAHQAZQBuAHQAaQBhAGwAXwBWAGEAcgBpAGEAYgBsAGUAIgAsACIAUwBvAHUAcgBjAGUARABhAHQAYQBfAFAAYQBzAHQAdQByAGUAQgBlAGUAZgAuAFMAbwB1AHIAYwBlAEQAYQB0AGEAXwBQAGEAcwB0AHUAcgBlAEIAZQBlAGYAXwBNAGUAdABoAGEAbgBlAEUAbQBpAHMAcwBpAG8AbgBzAFAAbwB0AGUAbgB0AGkAYQBsAF8AVQBuAGkAdAAiACwAIgBTAG8AdQByAGMAZQBEAGEAdABhAF8AUABhAHMAdAB1AHIAZQBCAGUAZQBmAC4AUwBvAHUAcgBjAGUARABhAHQAYQBfAFAAYQBzAHQAdQByAGUAQgBlAGUAZgBfAE0AZQB0AGgAYQBuAGUARQBtAGkAcwBzAGkAbwBuAHMAUABvAHQAZQBuAHQAaQBhAGwAXwBTAG8AdQByAGMAZQAiACwAIgBTAG8AdQByAGMAZQBEAGEAdABhAF8AUABhAHMAdAB1AHIAZQBCAGUAZQBmAC4AUwBvAHUAcgBjAGUARABhAHQAYQBfAFAAYQBzAHQAdQByAGUAQgBlAGUAZgBfAE0AZQB0AGgAYQBuAGUARQBtAGkAcwBzAGkAbwBuAHMAUABvAHQAZQBuAHQAaQBhAGwAXwBWAGEAcgBpAGEAdABpAG8AbgAiACwAIgBTAG8AdQByAGMAZQBEAGEAdABhAF8AUABhAHMAdAB1AHIAZQBCAGUAZQBmAC4AUwBvAHUAcgBjAGUARABhAHQAYQBfAFAAYQBzAHQAdQByAGUAQgBlAGUAZgBfAE0AZQB0AGgAYQBuAGUARQBtAGkAcwBzAGkAbwBuAHMAUABvAHQAZQBuAHQAaQBhAGwAXwBEAGEAdABhACIALAAiAFMAbwB1AHIAYwBlAEQAYQB0AGEAXwBQAGEAcwB0AHUAcgBlAEIAZQBlAGYALgBTAG8AdQByAGMAZQBEAGEAdABhAF8AUABhAHMAdAB1AHIAZQBCAGUAZQBmAF8ARgByAGEAYwBHAEEAUwBNAFMAbwBpAGwAXwBUAGkAdABsAGUAIgAsACIAUwBvAHUAcgBjAGUARABhAHQAYQBfAFAAYQBzAHQAdQByAGUAQgBlAGUAZgAuAFMAbwB1AHIAYwBlAEQAYQB0AGEAXwBQAGEAcwB0AHUAcgBlAEIAZQBlAGYAXwBGAHIAYQBjAEcAQQBTAE0AUwBvAGkAbABfAFYAYQByAGkAYQBiAGwAZQAiACwAIgBTAG8AdQByAGMAZQBEAGEAdABhAF8AUABhAHMAdAB1AHIAZQBCAGUAZQBmAC4AUwBvAHUAcgBjAGUARABhAHQAYQBfAFAAYQBzAHQAdQByAGUAQgBlAGUAZgBfAEYAcgBhAGMARwBBAFMATQBTAG8AaQBsAF8AVQBuAGkAdAAiACwAIgBTAG8AdQByAGMAZQBEAGEAdABhAF8AUABhAHMAdAB1AHIAZQBCAGUAZQBmAC4AUwBvAHUAcgBjAGUARABhAHQAYQBfAFAAYQBzAHQAdQByAGUAQgBlAGUAZgBfAEYAcgBhAGMARwBBAFMATQBTAG8AaQBsAF8AUwBvAHUAcgBjAGUAIgAsACIAUwBvAHUAcgBjAGUARABhAHQAYQBfAFAAYQBzAHQAdQByAGUAQgBlAGUAZgAuAFMAbwB1AHIAYwBlAEQAYQB0AGEAXwBQAGEAcwB0AHUAcgBlAEIAZQBlAGYAXwBGAHIAYQBjAEcAQQBTAE0AUwBvAGkAbABfAFYAYQByAGkAYQB0AGkAbwBuACIALAAiAFMAbwB1AHIAYwBlAEQAYQB0AGEAXwBQAGEAcwB0AHUAcgBlAEIAZQBlAGYALgBTAG8AdQByAGMAZQBEAGEAdABhAF8AUABhAHMAdAB1AHIAZQBCAGUAZQBmAF8ARgByAGEAYwBHAEEAUwBNAFMAbwBpAGwAXwBEAGEAdABhACIALAAiAFMAbwB1AHIAYwBlAEQAYQB0AGEAXwBQAGEAcwB0AHUAcgBlAEIAZQBlAGYALgBTAG8AdQByAGMAZQBEAGEAdABhAF8AUABhAHMAdAB1AHIAZQBCAGUAZQBmAF8ARgByAGEAYwBMAEUAQQBDAEgAXwBUAGkAdABsAGUAIgAsACIAUwBvAHUAcgBjAGUARABhAHQAYQBfAFAAYQBzAHQAdQByAGUAQgBlAGUAZgAuAFMAbwB1AHIAYwBlAEQAYQB0AGEAXwBQAGEAcwB0AHUAcgBlAEIAZQBlAGYAXwBGAHIAYQBjAEwARQBBAEMASABfAFYAYQByAGkAYQBiAGwAZQAiACwAIgBTAG8AdQByAGMAZQBEAGEAdABhAF8AUABhAHMAdAB1AHIAZQBCAGUAZQBmAC4AUwBvAHUAcgBjAGUARABhAHQAYQBfAFAAYQBzAHQAdQByAGUAQgBlAGUAZgBfAEYAcgBhAGMATABFAEEAQwBIAF8AVQBuAGkAdAAiACwAIgBTAG8AdQByAGMAZQBEAGEAdABhAF8AUABhAHMAdAB1AHIAZQBCAGUAZQBmAC4AUwBvAHUAcgBjAGUARABhAHQAYQBfAFAAYQBzAHQAdQByAGUAQgBlAGUAZgBfAEYAcgBhAGMATABFAEEAQwBIAF8AUwBvAHUAcgBjAGUAIgAsACIAUwBvAHUAcgBjAGUARABhAHQAYQBfAFAAYQBzAHQAdQByAGUAQgBlAGUAZgAuAFMAbwB1AHIAYwBlAEQAYQB0AGEAXwBQAGEAcwB0AHUAcgBlAEIAZQBlAGYAXwBGAHIAYQBjAEwARQBBAEMASABfAFYAYQByAGkAYQB0AGkAbwBuACIALAAiAFMAbwB1AHIAYwBlAEQAYQB0AGEAXwBQAGEAcwB0AHUAcgBlAEIAZQBlAGYALgBTAG8AdQByAGMAZQBEAGEAdABhAF8AUABhAHMAdAB1AHIAZQBCAGUAZQBmAF8ARgByAGEAYwBMAEUAQQBDAEgAXwBEAGEAdABhACIALAAiAEkAbgBwAHUAdABGAHUAbgBjAHQAaQBvAG4AcwBfAFAAYQBzAHQAdQByAGUAQgBlAGUAZgAuAEwAbwBvAGsAdQBwAEwAaQB2AGUAdwBlAGkAZwBoAHQARgByAG8AbQBTAGUAYQBzAG8AbgAiACwAIgBJAG4AcAB1AHQARgB1AG4AYwB0AGkAbwBuAHMAXwBQAGEAcwB0AHUAcgBlAEIAZQBlAGYALgBMAG8AbwBrAHUAcABMAGkAdgBlAHcAZQBpAGcAaAB0AEYAcgBvAG0ATQBvAG4AdABoACIALAAiAEkAbgBwAHUAdABGAHUAbgBjAHQAaQBvAG4AcwBfAFAAYQBzAHQAdQByAGUAQgBlAGUAZgAuAEMAbwBuAHYAZQByAHQATQBvAG4AdABoAGwAeQBDAGEAbAB2AGkAbgBnAFQAbwBTAGUAYQBzAG8AbgAiACwAIgBJAG4AcAB1AHQARgB1AG4AYwB0AGkAbwBuAHMAXwBQAGEAcwB0AHUAcgBlAEIAZQBlAGYALgBMAG8AbwBrAHUAcABWAGEAbAB1AGUARgByAG8AbQBTAHQAYQB0AGUAUgBlAGcAaQBvAG4AUwBlAGEAcwBvAG4AIgAsACIASQBuAHAAdQB0AEYAdQBuAGMAdABpAG8AbgBzAF8AUABhAHMAdAB1AHIAZQBCAGUAZQBmAC4ATABvAG8AawB1AHAAVgBhAGwAdQBlAEYAcgBvAG0AUwB0AGEAdABlAFIAZQBnAGkAbwBuAE0AbwBuAHQAaAAiACwAIgBNAE0AUwBfAFAAYQBzAHQAdQByAGUAQgBlAGUAZgBfAFMAbwBpAGwAXwBOADIATwBEAGkAcgBlAGMAdABfAEUAcQB1AGEAdABpAG8AbgBzAC4AVgBFAEUAUgBHAF8ANABfADIAXwAxAF8AMwBfAF8AMQBfAEQAaQByAGUAYwB0AE4AaQB0AHIAbwB1AHMATwB4AGkAZABlAEUAbQBpAHMAcwBpAG8AbgBzAE8AbgBQAGEAcwB0AHUAcgBlACIALAAiAE0ATQBTAF8AUABhAHMAdAB1AHIAZQBCAGUAZQBmAF8AUwBvAGkAbABfAE4AMgBPAEQAaQByAGUAYwB0AF8ARQBxAHUAYQB0AGkAbwBuAHMALgBWAEUARQBSAEcAXwA0AF8AMgBfADEAXwAzAF8AXwAxAF8ARABpAHIAZQBjAHQATgBpAHQAcgBvAHUAcwBPAHgAaQBkAGUARQBtAGkAcwBzAGkAbwBuAHMATwBuAFAAYQBzAHQAdQByAGUAXwBUAGkAdABsAGUAIgAsACIATQBNAFMAXwBQAGEAcwB0AHUAcgBlAEIAZQBlAGYAXwBTAG8AaQBsAF8ATgAyAE8ARABpAHIAZQBjAHQAXwBFAHEAdQBhAHQAaQBvAG4AcwAuAFYARQBFAFIARwBfADQAXwAyAF8AMQBfADMAXwBfADEAXwBEAGkAcgBlAGMAdABOAGkAdAByAG8AdQBzAE8AeABpAGQAZQBFAG0AaQBzAHMAaQBvAG4AcwBPAG4AUABhAHMAdAB1AHIAZQBfAFYAYQByAGkAYQBiAGwAZQAiACwAIgBNAE0AUwBfAFAAYQBzAHQAdQByAGUAQgBlAGUAZgBfAFMAbwBpAGwAXwBOADIATwBEAGkAcgBlAGMAdABfAEUAcQB1AGEAdABpAG8AbgBzAC4AVgBFAEUAUgBHAF8ANABfADIAXwAxAF8AMwBfAF8AMQBfAEQAaQByAGUAYwB0AE4AaQB0AHIAbwB1AHMATwB4AGkAZABlAEUAbQBpAHMAcwBpAG8AbgBzAE8AbgBQAGEAcwB0AHUAcgBlAF8AVQBuAGkAdAAiACwAIgBNAE0AUwBfAFAAYQBzAHQAdQByAGUAQgBlAGUAZgBfAFMAbwBpAGwAXwBOADIATwBEAGkAcgBlAGMAdABfAEUAcQB1AGEAdABpAG8AbgBzAC4AVgBFAEUAUgBHAF8ANABfADIAXwAxAF8AMwBfAF8AMQBfAEQAaQByAGUAYwB0AE4AaQB0AHIAbwB1AHMATwB4AGkAZABlAEUAbQBpAHMAcwBpAG8AbgBzAE8AbgBQAGEAcwB0AHUAcgBlAF8AUwBvAHUAcgBjAGUAIgAsACIATQBNAFMAXwBQAGEAcwB0AHUAcgBlAEIAZQBlAGYAXwBTAG8AaQBsAF8ATgAyAE8ARABpAHIAZQBjAHQAXwBFAHEAdQBhAHQAaQBvAG4AcwAuAFYARQBFAFIARwBfADQAXwAyAF8AMQBfADMAXwBfADEAXwBEAGkAcgBlAGMAdABOAGkAdAByAG8AdQBzAE8AeABpAGQAZQBFAG0AaQBzAHMAaQBvAG4AcwBPAG4AUABhAHMAdAB1AHIAZQBfAE4ASQBSAFIAZQBmAGUAcgBlAG4AYwBlACIALAAiAE0ATQBTAF8AUABhAHMAdAB1AHIAZQBCAGUAZQBmAF8AUwBvAGkAbABfAE4AMgBPAEQAaQByAGUAYwB0AF8ARQBxAHUAYQB0AGkAbwBuAHMALgBWAEUARQBSAEcAXwA0AF8AMgBfADEAXwAzAF8AXwAxAF8ARABpAHIAZQBjAHQATgBpAHQAcgBvAHUAcwBPAHgAaQBkAGUARQBtAGkAcwBzAGkAbwBuAHMATwBuAFAAYQBzAHQAdQByAGUAXwBMAGEAdABlAHgARQBxAHUAYQB0AGkAbwBuACIALAAiAE0ATQBTAF8AUABhAHMAdAB1AHIAZQBCAGUAZQBmAF8AUwBvAGkAbABfAE4AMgBPAEQAaQByAGUAYwB0AF8ARQBxAHUAYQB0AGkAbwBuAHMALgBWAEUARQBSAEcAXwA0AF8AMgBfADEAXwAzAF8AXwAxAF8ARABpAHIAZQBjAHQATgBpAHQAcgBvAHUAcwBPAHgAaQBkAGUARQBtAGkAcwBzAGkAbwBuAHMATwBuAFAAYQBzAHQAdQByAGUAXwBBAHIAZwB1AG0AZQBuAHQAc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UAGkAdA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YAYQByAGkAYQBiAGw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QBuAGkAdA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UwBvAHUAcgBj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E4ASQBSAFIAZQBmAGUAcgBlAG4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MAGEAdABlAHgARQBxAHUAYQB0AGkAbwBu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BAHIAZwB1AG0AZQBuAHQAcwAiACwAIgBNAE0AUwBfAFAAYQBzAHQAdQByAGUAQgBlAGUAZgBfAFMAbwBpAGwAXwBOADIATwBEAGkAcgBlAGMAdABfAEUAcQB1AGEAdABpAG8AbgBzAC4AVgBFAEUAUgBHAF8ANABfADIAXwAxAF8AMwBfAF8AMwBfAE4AaQB0AHIAbwBnAGUAbgBFAHgAYwByAGUAdABlAGQAIgAsACIATQBNAFMAXwBQAGEAcwB0AHUAcgBlAEIAZQBlAGYAXwBTAG8AaQBsAF8ATgAyAE8ARABpAHIAZQBjAHQAXwBFAHEAdQBhAHQAaQBvAG4AcwAuAFYARQBFAFIARwBfADQAXwAyAF8AMQBfADMAXwBfADMAXwBOAGkAdAByAG8AZwBlAG4ARQB4AGMAcgBlAHQAZQBkAF8AVABpAHQAbABlACIALAAiAE0ATQBTAF8AUABhAHMAdAB1AHIAZQBCAGUAZQBmAF8AUwBvAGkAbABfAE4AMgBPAEQAaQByAGUAYwB0AF8ARQBxAHUAYQB0AGkAbwBuAHMALgBWAEUARQBSAEcAXwA0AF8AMgBfADEAXwAzAF8AXwAzAF8ATgBpAHQAcgBvAGcAZQBuAEUAeABjAHIAZQB0AGUAZABfAFYAYQByAGkAYQBiAGwAZQAiACwAIgBNAE0AUwBfAFAAYQBzAHQAdQByAGUAQgBlAGUAZgBfAFMAbwBpAGwAXwBOADIATwBEAGkAcgBlAGMAdABfAEUAcQB1AGEAdABpAG8AbgBzAC4AVgBFAEUAUgBHAF8ANABfADIAXwAxAF8AMwBfAF8AMwBfAE4AaQB0AHIAbwBnAGUAbgBFAHgAYwByAGUAdABlAGQAXwBVAG4AaQB0ACIALAAiAE0ATQBTAF8AUABhAHMAdAB1AHIAZQBCAGUAZQBmAF8AUwBvAGkAbABfAE4AMgBPAEQAaQByAGUAYwB0AF8ARQBxAHUAYQB0AGkAbwBuAHMALgBWAEUARQBSAEcAXwA0AF8AMgBfADEAXwAzAF8AXwAzAF8ATgBpAHQAcgBvAGcAZQBuAEUAeABjAHIAZQB0AGUAZABfAFMAbwB1AHIAYwBlACIALAAiAE0ATQBTAF8AUABhAHMAdAB1AHIAZQBCAGUAZQBmAF8AUwBvAGkAbABfAE4AMgBPAEQAaQByAGUAYwB0AF8ARQBxAHUAYQB0AGkAbwBuAHMALgBWAEUARQBSAEcAXwA0AF8AMgBfADEAXwAzAF8AXwAzAF8ATgBpAHQAcgBvAGcAZQBuAEUAeABjAHIAZQB0AGUAZABfAE4ASQBSAFIAZQBmAGUAcgBlAG4AYwBlACIALAAiAE0ATQBTAF8AUABhAHMAdAB1AHIAZQBCAGUAZQBmAF8AUwBvAGkAbABfAE4AMgBPAEQAaQByAGUAYwB0AF8ARQBxAHUAYQB0AGkAbwBuAHMALgBWAEUARQBSAEcAXwA0AF8AMgBfADEAXwAzAF8AXwAzAF8ATgBpAHQAcgBvAGcAZQBuAEUAeABjAHIAZQB0AGUAZABfAEwAYQB0AGUAeABFAHEAdQBhAHQAaQBvAG4AIgAsACIATQBNAFMAXwBQAGEAcwB0AHUAcgBlAEIAZQBlAGYAXwBTAG8AaQBsAF8ATgAyAE8ARABpAHIAZQBjAHQAXwBFAHEAdQBhAHQAaQBvAG4AcwAuAFYARQBFAFIARwBfADQAXwAyAF8AMQBfADMAXwBfADMAXwBOAGkAdAByAG8AZwBlAG4ARQB4AGMAcgBlAHQAZQBkAF8AQQByAGcAdQBtAGUAbgB0AHMAIgAsACIATQBNAFMAXwBQAGEAcwB0AHUAcgBlAEIAZQBlAGYAXwBTAG8AaQBsAF8ATgAyAE8ARABpAHIAZQBjAHQAXwBFAHEAdQBhAHQAaQBvAG4AcwAuAFYARQBFAFIARwBfADQAXwAyAF8AMQBfADMAXwBfADQAXwBOAGkAdAByAG8AZwBlAG4AUgBlAHQAYQBpAG4AZQBkAEIAeQBCAG8AZAB5ACIALAAiAE0ATQBTAF8AUABhAHMAdAB1AHIAZQBCAGUAZQBmAF8AUwBvAGkAbABfAE4AMgBPAEQAaQByAGUAYwB0AF8ARQBxAHUAYQB0AGkAbwBuAHMALgBWAEUARQBSAEcAXwA0AF8AMgBfADEAXwAzAF8AXwA0AF8ATgBpAHQAcgBvAGcAZQBuAFIAZQB0AGEAaQBuAGUAZABCAHkAQgBvAGQAeQBfAFQAaQB0AGwAZQAiACwAIgBNAE0AUwBfAFAAYQBzAHQAdQByAGUAQgBlAGUAZgBfAFMAbwBpAGwAXwBOADIATwBEAGkAcgBlAGMAdABfAEUAcQB1AGEAdABpAG8AbgBzAC4AVgBFAEUAUgBHAF8ANABfADIAXwAxAF8AMwBfAF8ANABfAE4AaQB0AHIAbwBnAGUAbgBSAGUAdABhAGkAbgBlAGQAQgB5AEIAbwBkAHkAXwBWAGEAcgBpAGEAYgBsAGUAIgAsACIATQBNAFMAXwBQAGEAcwB0AHUAcgBlAEIAZQBlAGYAXwBTAG8AaQBsAF8ATgAyAE8ARABpAHIAZQBjAHQAXwBFAHEAdQBhAHQAaQBvAG4AcwAuAFYARQBFAFIARwBfADQAXwAyAF8AMQBfADMAXwBfADQAXwBOAGkAdAByAG8AZwBlAG4AUgBlAHQAYQBpAG4AZQBkAEIAeQBCAG8AZAB5AF8AVQBuAGkAdAAiACwAIgBNAE0AUwBfAFAAYQBzAHQAdQByAGUAQgBlAGUAZgBfAFMAbwBpAGwAXwBOADIATwBEAGkAcgBlAGMAdABfAEUAcQB1AGEAdABpAG8AbgBzAC4AVgBFAEUAUgBHAF8ANABfADIAXwAxAF8AMwBfAF8ANABfAE4AaQB0AHIAbwBnAGUAbgBSAGUAdABhAGkAbgBlAGQAQgB5AEIAbwBkAHkAXwBTAG8AdQByAGMAZQAiACwAIgBNAE0AUwBfAFAAYQBzAHQAdQByAGUAQgBlAGUAZgBfAFMAbwBpAGwAXwBOADIATwBEAGkAcgBlAGMAdABfAEUAcQB1AGEAdABpAG8AbgBzAC4AVgBFAEUAUgBHAF8ANABfADIAXwAxAF8AMwBfAF8ANABfAE4AaQB0AHIAbwBnAGUAbgBSAGUAdABhAGkAbgBlAGQAQgB5AEIAbwBkAHkAXwBOAEkAUgBSAGUAZgBlAHIAZQBuAGMAZQAiACwAIgBNAE0AUwBfAFAAYQBzAHQAdQByAGUAQgBlAGUAZgBfAFMAbwBpAGwAXwBOADIATwBEAGkAcgBlAGMAdABfAEUAcQB1AGEAdABpAG8AbgBzAC4AVgBFAEUAUgBHAF8ANABfADIAXwAxAF8AMwBfAF8ANABfAE4AaQB0AHIAbwBnAGUAbgBSAGUAdABhAGkAbgBlAGQAQgB5AEIAbwBkAHkAXwBMAGEAdABlAHgARQBxAHUAYQB0AGkAbwBuACIALAAiAE0ATQBTAF8AUABhAHMAdAB1AHIAZQBCAGUAZQBmAF8AUwBvAGkAbABfAE4AMgBPAEQAaQByAGUAYwB0AF8ARQBxAHUAYQB0AGkAbwBuAHMALgBWAEUARQBSAEcAXwA0AF8AMgBfADEAXwAzAF8AXwA0AF8ATgBpAHQAcgBvAGcAZQBuAFIAZQB0AGEAaQBuAGUAZABCAHkAQgBvAGQAeQBfAEEAcgBnAHUAbQBlAG4AdABzACIALAAiAE0ATQBTAF8AUABhAHMAdAB1AHIAZQBCAGUAZQBmAF8AUwBvAGkAbABfAE4AMgBPAEQAaQByAGUAYwB0AF8ARQBxAHUAYQB0AGkAbwBuAHMALgBWAEUARQBSAEcAXwA0AF8AMgBfADEAXwAzAF8AXwA1AF8ATQBpAGwAawBQAHIAbwBkAHUAYwB0AGkAbwBuAEYAbwByAEMAYQBsAHYAaQBuAGcAUwBlAGEAcwBvAG4AIgAsACIATQBNAFMAXwBQAGEAcwB0AHUAcgBlAEIAZQBlAGYAXwBTAG8AaQBsAF8ATgAyAE8ARABpAHIAZQBjAHQAXwBFAHEAdQBhAHQAaQBvAG4AcwAuAFYARQBFAFIARwBfADQAXwAyAF8AMQBfADMAXwBfADUAXwBNAGkAbABrAFAAcgBvAGQAdQBjAHQAaQBvAG4ARgBvAHIAQwBhAGwAdgBpAG4AZwBTAGUAYQBzAG8AbgBWAGEAcgBpAGEAdABpAG8AbgAiACwAIgBNAE0AUwBfAFAAYQBzAHQAdQByAGUAQgBlAGUAZgBfAFMAbwBpAGwAXwBOADIATwBEAGkAcgBlAGMAdABfAEUAcQB1AGEAdABpAG8AbgBzAC4AVgBFAEUAUgBHAF8ANABfADIAXwAxAF8AMwBfAF8ANQBfAE0AaQBsAGsAUAByAG8AZAB1AGMAdABpAG8AbgBGAG8AcgBDAGEAbAB2AGkAbgBnAFMAZQBhAHMAbwBuAF8AVABpAHQAbABlACIALAAiAE0ATQBTAF8AUABhAHMAdAB1AHIAZQBCAGUAZQBmAF8AUwBvAGkAbABfAE4AMgBPAEQAaQByAGUAYwB0AF8ARQBxAHUAYQB0AGkAbwBuAHMALgBWAEUARQBSAEcAXwA0AF8AMgBfADEAXwAzAF8AXwA1AF8ATQBpAGwAawBQAHIAbwBkAHUAYwB0AGkAbwBuAEYAbwByAEMAYQBsAHYAaQBuAGcAUwBlAGEAcwBvAG4AXwBWAGEAcgBpAGEAYgBsAGUAIgAsACIATQBNAFMAXwBQAGEAcwB0AHUAcgBlAEIAZQBlAGYAXwBTAG8AaQBsAF8ATgAyAE8ARABpAHIAZQBjAHQAXwBFAHEAdQBhAHQAaQBvAG4AcwAuAFYARQBFAFIARwBfADQAXwAyAF8AMQBfADMAXwBfADUAXwBNAGkAbABrAFAAcgBvAGQAdQBjAHQAaQBvAG4ARgBvAHIAQwBhAGwAdgBpAG4AZwBTAGUAYQBzAG8AbgBfAFUAbgBpAHQAIgAsACIATQBNAFMAXwBQAGEAcwB0AHUAcgBlAEIAZQBlAGYAXwBTAG8AaQBsAF8ATgAyAE8ARABpAHIAZQBjAHQAXwBFAHEAdQBhAHQAaQBvAG4AcwAuAFYARQBFAFIARwBfADQAXwAyAF8AMQBfADMAXwBfADUAXwBNAGkAbABrAFAAcgBvAGQAdQBjAHQAaQBvAG4ARgBvAHIAQwBhAGwAdgBpAG4AZwBTAGUAYQBzAG8AbgBfAFMAbwB1AHIAYwBlACIALAAiAE0ATQBTAF8AUABhAHMAdAB1AHIAZQBCAGUAZQBmAF8AUwBvAGkAbABfAE4AMgBPAEQAaQByAGUAYwB0AF8ARQBxAHUAYQB0AGkAbwBuAHMALgBWAEUARQBSAEcAXwA0AF8AMgBfADEAXwAzAF8AXwA1AF8ATQBpAGwAawBQAHIAbwBkAHUAYwB0AGkAbwBuAEYAbwByAEMAYQBsAHYAaQBuAGcAUwBlAGEAcwBvAG4AXwBOAEkAUgBSAGUAZgBlAHIAZQBuAGMAZQAiACwAIgBNAE0AUwBfAFAAYQBzAHQAdQByAGUAQgBlAGUAZgBfAFMAbwBpAGwAXwBOADIATwBEAGkAcgBlAGMAdABfAEUAcQB1AGEAdABpAG8AbgBzAC4AVgBFAEUAUgBHAF8ANABfADIAXwAxAF8AMwBfAF8ANQBfAE0AaQBsAGsAUAByAG8AZAB1AGMAdABpAG8AbgBGAG8AcgBDAGEAbAB2AGkAbgBnAFMAZQBhAHMAbwBuAF8ATABhAHQAZQB4AEUAcQB1AGEAdABpAG8AbgAiACwAIgBNAE0AUwBfAFAAYQBzAHQAdQByAGUAQgBlAGUAZgBfAFMAbwBpAGwAXwBOADIATwBEAGkAcgBlAGMAdABfAEUAcQB1AGEAdABpAG8AbgBzAC4AVgBFAEUAUgBHAF8ANABfADIAXwAxAF8AMwBfAF8ANQBfAE0AaQBsAGsAUAByAG8AZAB1AGMAdABpAG8AbgBGAG8AcgBDAGEAbAB2AGkAbgBnAFMAZQBhAHMAbwBuAF8ATABhAHQAZQB4AEUAcQB1AGEAdABpAG8AbgBWAGEAcgBpAGEAdABpAG8AbgAiACwAIgBNAE0AUwBfAFAAYQBzAHQAdQByAGUAQgBlAGUAZgBfAFMAbwBpAGwAXwBOADIATwBEAGkAcgBlAGMAdABfAEUAcQB1AGEAdABpAG8AbgBzAC4AVgBFAEUAUgBHAF8ANABfADIAXwAxAF8AMwBfAF8ANQBfAE0AaQBsAGsAUAByAG8AZAB1AGMAdABpAG8AbgBGAG8AcgBDAGEAbAB2AGkAbgBnAFMAZQBhAHMAbwBuAF8AQQByAGcAdQBtAGUAbgB0AHMAIgAsACIATQBNAFMAXwBQAGEAcwB0AHUAcgBlAEIAZQBlAGYAXwBTAG8AaQBsAF8ATgAyAE8ARABpAHIAZQBjAHQAXwBFAHEAdQBhAHQAaQBvAG4AcwAuAFYARQBFAFIARwBfADQAXwAyAF8AMQBfADMAXwBfADUAXwBNAGkAbABrAFAAcgBvAGQAdQBjAHQAaQBvAG4ARgBvAHIAQwBhAGwAdgBpAG4AZwBTAGUAYQBzAG8AbgBfAEEAcgBnAHUAbQBlAG4AdABzAFYAYQByAGkAYQB0AGkAbwBuACIALAAiAE0ATQBTAF8AUABhAHMAdAB1AHIAZQBCAGUAZQBmAF8AUwBvAGkAbABfAE4AMgBPAEQAaQByAGUAYwB0AF8ARQBxAHUAYQB0AGkAbwBuAHMALgBWAEUARQBSAEcAXwA0AF8AMgBfADEAXwAzAF8AXwA1AF8ATQBpAGwAawBQAHIAbwBkAHUAYwB0AGkAbwBuAEYAbwByAEMAYQBsAHYAaQBuAGcAUwBlAGEAcwBvAG4AXwBWAGEAcgBpAGEAdABpAG8AbgAiACwAIgBNAE0AUwBfAFAAYQBzAHQAdQByAGUAQgBlAGUAZgBfAFMAbwBpAGwAXwBOADIATwBEAGkAcgBlAGMAdABfAEUAcQB1AGEAdABpAG8AbgBzAC4AVgBFAEUAUgBHAF8ANABfADIAXwAxAF8AMwBfAF8ANgBfAEkAbgB0AGEAawBlAFIAZQBsAGEAdABpAHYAZQBUAG8ATQBhAGkAbgB0AGUAbgBhAG4AYwBlACIALAAiAE0ATQBTAF8AUABhAHMAdAB1AHIAZQBCAGUAZQBmAF8AUwBvAGkAbABfAE4AMgBPAEQAaQByAGUAYwB0AF8ARQBxAHUAYQB0AGkAbwBuAHMALgBWAEUARQBSAEcAXwA0AF8AMgBfADEAXwAzAF8AXwA2AF8ASQBuAHQAYQBrAGUAUgBlAGwAYQB0AGkAdgBlAFQAbwBNAGEAaQBuAHQAZQBuAGEAbgBjAGUAXwBUAGkAdABsAGUAIgAsACIATQBNAFMAXwBQAGEAcwB0AHUAcgBlAEIAZQBlAGYAXwBTAG8AaQBsAF8ATgAyAE8ARABpAHIAZQBjAHQAXwBFAHEAdQBhAHQAaQBvAG4AcwAuAFYARQBFAFIARwBfADQAXwAyAF8AMQBfADMAXwBfADYAXwBJAG4AdABhAGsAZQBSAGUAbABhAHQAaQB2AGUAVABvAE0AYQBpAG4AdABlAG4AYQBuAGMAZQBfAFYAYQByAGkAYQBiAGwAZQAiACwAIgBNAE0AUwBfAFAAYQBzAHQAdQByAGUAQgBlAGUAZgBfAFMAbwBpAGwAXwBOADIATwBEAGkAcgBlAGMAdABfAEUAcQB1AGEAdABpAG8AbgBzAC4AVgBFAEUAUgBHAF8ANABfADIAXwAxAF8AMwBfAF8ANgBfAEkAbgB0AGEAawBlAFIAZQBsAGEAdABpAHYAZQBUAG8ATQBhAGkAbgB0AGUAbgBhAG4AYwBlAF8AVQBuAGkAdAAiACwAIgBNAE0AUwBfAFAAYQBzAHQAdQByAGUAQgBlAGUAZgBfAFMAbwBpAGwAXwBOADIATwBEAGkAcgBlAGMAdABfAEUAcQB1AGEAdABpAG8AbgBzAC4AVgBFAEUAUgBHAF8ANABfADIAXwAxAF8AMwBfAF8ANgBfAEkAbgB0AGEAawBlAFIAZQBsAGEAdABpAHYAZQBUAG8ATQBhAGkAbgB0AGUAbgBhAG4AYwBlAF8AUwBvAHUAcgBjAGUAIgAsACIATQBNAFMAXwBQAGEAcwB0AHUAcgBlAEIAZQBlAGYAXwBTAG8AaQBsAF8ATgAyAE8ARABpAHIAZQBjAHQAXwBFAHEAdQBhAHQAaQBvAG4AcwAuAFYARQBFAFIARwBfADQAXwAyAF8AMQBfADMAXwBfADYAXwBJAG4AdABhAGsAZQBSAGUAbABhAHQAaQB2AGUAVABvAE0AYQBpAG4AdABlAG4AYQBuAGMAZQBfAE4ASQBSAFIAZQBmAGUAcgBlAG4AYwBlACIALAAiAE0ATQBTAF8AUABhAHMAdAB1AHIAZQBCAGUAZQBmAF8AUwBvAGkAbABfAE4AMgBPAEQAaQByAGUAYwB0AF8ARQBxAHUAYQB0AGkAbwBuAHMALgBWAEUARQBSAEcAXwA0AF8AMgBfADEAXwAzAF8AXwA2AF8ASQBuAHQAYQBrAGUAUgBlAGwAYQB0AGkAdgBlAFQAbwBNAGEAaQBuAHQAZQBuAGEAbgBjAGUAXwBMAGEAdABlAHgARQBxAHUAYQB0AGkAbwBuACIALAAiAE0ATQBTAF8AUABhAHMAdAB1AHIAZQBCAGUAZQBmAF8AUwBvAGkAbABfAE4AMgBPAEQAaQByAGUAYwB0AF8ARQBxAHUAYQB0AGkAbwBuAHMALgBWAEUARQBSAEcAXwA0AF8AMgBfADEAXwAzAF8AXwA2AF8ASQBuAHQAYQBrAGUAUgBlAGwAYQB0AGkAdgBlAFQAbwBNAGEAaQBuAHQAZQBuAGEAbgBjAGUAXwBBAHIAZwB1AG0AZQBuAHQAcwAiACwAIgBNAE0AUwBfAFAAYQBzAHQAdQByAGUAQgBlAGUAZgBfAFMAbwBpAGwAXwBOADIATwBEAGkAcgBlAGMAdABfAEUAcQB1AGEAdABpAG8AbgBzAC4AVgBFAEUAUgBHAF8ANABfADIAXwAxAF8AMwBfAF8ANwBfAFIAZQBsAGEAdABpAHYAZQBTAGkAegBlACIALAAiAE0ATQBTAF8AUABhAHMAdAB1AHIAZQBCAGUAZQBmAF8AUwBvAGkAbABfAE4AMgBPAEQAaQByAGUAYwB0AF8ARQBxAHUAYQB0AGkAbwBuAHMALgBWAEUARQBSAEcAXwA0AF8AMgBfADEAXwAzAF8AXwA3AF8AUgBlAGwAYQB0AGkAdgBlAFMAaQB6AGUAXwBUAGkAdABsAGUAIgAsACIATQBNAFMAXwBQAGEAcwB0AHUAcgBlAEIAZQBlAGYAXwBTAG8AaQBsAF8ATgAyAE8ARABpAHIAZQBjAHQAXwBFAHEAdQBhAHQAaQBvAG4AcwAuAFYARQBFAFIARwBfADQAXwAyAF8AMQBfADMAXwBfADcAXwBSAGUAbABhAHQAaQB2AGUAUwBpAHoAZQBfAFYAYQByAGkAYQBiAGwAZQAiACwAIgBNAE0AUwBfAFAAYQBzAHQAdQByAGUAQgBlAGUAZgBfAFMAbwBpAGwAXwBOADIATwBEAGkAcgBlAGMAdABfAEUAcQB1AGEAdABpAG8AbgBzAC4AVgBFAEUAUgBHAF8ANABfADIAXwAxAF8AMwBfAF8ANwBfAFIAZQBsAGEAdABpAHYAZQBTAGkAegBlAF8AVQBuAGkAdAAiACwAIgBNAE0AUwBfAFAAYQBzAHQAdQByAGUAQgBlAGUAZgBfAFMAbwBpAGwAXwBOADIATwBEAGkAcgBlAGMAdABfAEUAcQB1AGEAdABpAG8AbgBzAC4AVgBFAEUAUgBHAF8ANABfADIAXwAxAF8AMwBfAF8ANwBfAFIAZQBsAGEAdABpAHYAZQBTAGkAegBlAF8AUwBvAHUAcgBjAGUAIgAsACIATQBNAFMAXwBQAGEAcwB0AHUAcgBlAEIAZQBlAGYAXwBTAG8AaQBsAF8ATgAyAE8ARABpAHIAZQBjAHQAXwBFAHEAdQBhAHQAaQBvAG4AcwAuAFYARQBFAFIARwBfADQAXwAyAF8AMQBfADMAXwBfADcAXwBSAGUAbABhAHQAaQB2AGUAUwBpAHoAZQBfAE4ASQBSAFIAZQBmAGUAcgBlAG4AYwBlACIALAAiAE0ATQBTAF8AUABhAHMAdAB1AHIAZQBCAGUAZQBmAF8AUwBvAGkAbABfAE4AMgBPAEQAaQByAGUAYwB0AF8ARQBxAHUAYQB0AGkAbwBuAHMALgBWAEUARQBSAEcAXwA0AF8AMgBfADEAXwAzAF8AXwA3AF8AUgBlAGwAYQB0AGkAdgBlAFMAaQB6AGUAXwBMAGEAdABlAHgARQBxAHUAYQB0AGkAbwBuACIALAAiAE0ATQBTAF8AUABhAHMAdAB1AHIAZQBCAGUAZQBmAF8AUwBvAGkAbABfAE4AMgBPAEQAaQByAGUAYwB0AF8ARQBxAHUAYQB0AGkAbwBuAHMALgBWAEUARQBSAEcAXwA0AF8AMgBfADEAXwAzAF8AXwA3AF8AUgBlAGwAYQB0AGkAdgBlAFMAaQB6AGUAXwBBAHIAZwB1AG0AZQBuAHQAcw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ABpAHQAbA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YAYQByAGkAYQBi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VAG4AaQB0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MAbwB1AHIAYw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4ASQBSAFIAZQBmAGUAcgBlAG4AYw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wAYQB0AGUAeABFAHEAdQBhAHQAaQBvAG4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QQByAGcAdQBtAGUAbgB0AHM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QAaQB0AGw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WAGEAcgBpAGEAYg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QBuAGkAdA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TAG8AdQByAGM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OAEkAUgBSAGUAZgBlAHIAZQBuAGM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MAGEAdABlAHgARQBxAHUAYQB0AGkAbwBu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EEAcgBnAHUAbQBlAG4AdABz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UAGkAdABs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gBhAHIAaQBhAGI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UAbgBpAHQ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UwBvAHUAcgBj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TgBJAFIAUgBlAGYAZQByAGUAbgBj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TABhAHQAZQB4AEUAcQB1AGEAdABpAG8Abg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BAHIAZwB1AG0AZQBuAHQAcw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QAaQB0AGw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YAYQByAGkAYQBiAGw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UAbgBpAHQ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TAG8AdQBy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4ASQBSAFIAZQBmAGUAcgBlAG4AYwBl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TABhAHQAZQB4AEUAcQB1AGEAdABpAG8Abg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Home</vt:lpstr>
      <vt:lpstr>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2026-07-08T02:35:02Z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