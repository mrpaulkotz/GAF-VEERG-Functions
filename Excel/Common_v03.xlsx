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F4AD98B-3471-4EFC-BE49-75ACD8E87A03}" xr6:coauthVersionLast="47" xr6:coauthVersionMax="47" xr10:uidLastSave="{00000000-0000-0000-0000-000000000000}"/>
  <bookViews>
    <workbookView xWindow="615" yWindow="2340" windowWidth="37785" windowHeight="19140" activeTab="1" xr2:uid="{992023F3-CAB7-4E5B-A348-08D563A0EF40}"/>
  </bookViews>
  <sheets>
    <sheet name="Home" sheetId="3" r:id="rId1"/>
    <sheet name="Constants - Common" sheetId="2" r:id="rId2"/>
    <sheet name="Acknowledgements" sheetId="4" r:id="rId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4" l="1"/>
  <c r="A7" i="4"/>
  <c r="A3" i="4"/>
  <c r="A8" i="2"/>
  <c r="A7" i="2"/>
  <c r="A3" i="2"/>
  <c r="A8" i="3"/>
  <c r="A7" i="3"/>
  <c r="A3" i="3"/>
  <c r="D259" i="2"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4" i="2" l="1"/>
  <c r="H50" i="2"/>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<sst xmlns="http://schemas.openxmlformats.org/spreadsheetml/2006/main" count="159" uniqueCount="138">
  <si>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</si>
  <si>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</si>
  <si>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</si>
  <si>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</si>
  <si>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</si>
  <si>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</si>
  <si>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</si>
  <si>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</si>
  <si>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</si>
  <si>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</si>
  <si>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</si>
  <si>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</si>
  <si>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</si>
  <si>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</si>
  <si>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</si>
  <si>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</si>
  <si>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</si>
  <si>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</si>
  <si>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</si>
  <si>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</si>
  <si>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</si>
  <si>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</si>
  <si>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</si>
  <si>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</si>
  <si>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</si>
  <si>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</si>
  <si>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</si>
  <si>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</si>
  <si>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</si>
  <si>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</si>
  <si>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</si>
  <si>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</si>
  <si>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</si>
  <si>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</si>
  <si>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</si>
  <si>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</si>
  <si>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</si>
  <si>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</si>
  <si>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</si>
  <si>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</si>
  <si>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</si>
  <si>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</si>
  <si>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</si>
  <si>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</si>
  <si>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</si>
  <si>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</si>
  <si>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</si>
  <si>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</si>
  <si>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</si>
  <si>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</si>
  <si>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</si>
  <si>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</si>
  <si>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</si>
  <si>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</si>
  <si>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</si>
  <si>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</si>
  <si>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</si>
  <si>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</si>
  <si>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</si>
  <si>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</si>
  <si>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</si>
  <si>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</si>
  <si>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</si>
  <si>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</si>
  <si>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</si>
  <si>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</si>
  <si>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</si>
  <si>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</si>
  <si>
    <t>APPENDICES</t>
  </si>
  <si>
    <t>Table_SourceData_DataQuality_TemporalRepresentativeness</t>
  </si>
  <si>
    <t>Table_SourceData_DataQuality_SpatialRepresentativeness</t>
  </si>
  <si>
    <t>Table_SourceData_DataQuality_SampleSize</t>
  </si>
  <si>
    <t>Table_SourceData_DataQuality_Scope3</t>
  </si>
  <si>
    <t>ID</t>
  </si>
  <si>
    <t>Description</t>
  </si>
  <si>
    <t>Score</t>
  </si>
  <si>
    <t>TR5</t>
  </si>
  <si>
    <t>TR4</t>
  </si>
  <si>
    <t>TR3</t>
  </si>
  <si>
    <t>TR2</t>
  </si>
  <si>
    <t>TR1</t>
  </si>
  <si>
    <t>Data collected covers the time-period for which emissions are being estimated  </t>
  </si>
  <si>
    <t>Data covers specific entity location(s) with spatial partitioning or using stratified sampling within property </t>
  </si>
  <si>
    <t>Data based on sample size of &gt;90% (e.g. total annual fuel purchases) </t>
  </si>
  <si>
    <t>Verified data provided by supplier consistent with ISO14067:2018 or GHG Protocol Product Lifecycle Accounting and Reporting Standard </t>
  </si>
  <si>
    <t>Data collected represents activities that occurred within 2 years of the time-period being assessed  </t>
  </si>
  <si>
    <t>Data covers specific entity location(s) without spatial partitioning within property  </t>
  </si>
  <si>
    <t>Data based on sample size of 51-90%  </t>
  </si>
  <si>
    <t>Data collected represents activities that occurred within 3 years of to the time-period being assessed  </t>
  </si>
  <si>
    <t>Data based on regional data from a government or industry database or survey </t>
  </si>
  <si>
    <t>Data based on sample size of 21-50%  </t>
  </si>
  <si>
    <t>Regionally relevant product specific value from database developed using international best practice </t>
  </si>
  <si>
    <t>Data collected represents activities that occurred within 4 years of the time-period being assessed  </t>
  </si>
  <si>
    <t>Data based on state data from a government or industry database or survey </t>
  </si>
  <si>
    <t>Data based on sample size of &lt;20% (e.g. liveweight measured for 10% of herd) </t>
  </si>
  <si>
    <t>Nationally relevant product specific value from database developed using international best practice   </t>
  </si>
  <si>
    <t>Age of data unknown or data more than 4 years older than the time-period being reported  </t>
  </si>
  <si>
    <t>Data based on national data from a government or industry database or survey </t>
  </si>
  <si>
    <t>Unknown (e.g. data based on national/state/regional data source) </t>
  </si>
  <si>
    <t>Geographically generic product specific value from database developed using international best practice </t>
  </si>
  <si>
    <t>SR5</t>
  </si>
  <si>
    <t>SR4</t>
  </si>
  <si>
    <t>SR3</t>
  </si>
  <si>
    <t>SR2</t>
  </si>
  <si>
    <t>SR1</t>
  </si>
  <si>
    <t>SS5</t>
  </si>
  <si>
    <t>SS4</t>
  </si>
  <si>
    <t>SS3</t>
  </si>
  <si>
    <t>SS2</t>
  </si>
  <si>
    <t>SS1</t>
  </si>
  <si>
    <t>Unverified supplier data, consistent with ISO14067:2018 or GHG Protocol Product Lifecycle Accounting and Reporting Standard, or consistent with these Guidelines (where appropriate)</t>
  </si>
  <si>
    <t>S35</t>
  </si>
  <si>
    <t>S34</t>
  </si>
  <si>
    <t>S33</t>
  </si>
  <si>
    <t>S32</t>
  </si>
  <si>
    <t>S31</t>
  </si>
  <si>
    <t>Data quality scoring</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</si>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</sst>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
      <u/>
      <sz val="11"/>
      <color theme="10"/>
      <name val="Times New Roman"/>
      <family val="2"/>
      <scheme val="minor"/>
    </font>
    <font>
      <sz val="9"/>
      <color rgb="FF404040"/>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6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xf numFmtId="0" fontId="32" fillId="0" borderId="0" applyNumberFormat="0" applyFill="0" applyBorder="0" applyAlignment="0" applyProtection="0"/>
  </cellStyleXfs>
  <cellXfs count="19">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xf numFmtId="0" fontId="32" fillId="0" borderId="0" xfId="59"/>
    <xf numFmtId="0" fontId="33" fillId="9" borderId="3" xfId="34" applyFont="1">
      <alignment horizontal="left" vertical="center" indent="1"/>
    </xf>
    <xf numFmtId="0" fontId="2" fillId="0" borderId="0" xfId="33">
      <alignment horizontal="left" vertical="center" indent="1"/>
    </xf>
    <xf numFmtId="0" fontId="18" fillId="10" borderId="0" xfId="35">
      <alignment horizontal="left" vertical="center" indent="1"/>
    </xf>
  </cellXfs>
  <cellStyles count="60">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59"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53">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2"/>
      <tableStyleElement type="headerRow" dxfId="51"/>
      <tableStyleElement type="totalRow" dxfId="50"/>
      <tableStyleElement type="firstColumn" dxfId="49"/>
      <tableStyleElement type="firstRowStripe" dxfId="48"/>
      <tableStyleElement type="secondRowStripe" dxfId="47"/>
    </tableStyle>
    <tableStyle name="Equation table" pivot="0" count="6" xr9:uid="{B247698E-E41D-4CCD-AA0A-C14817E9DE65}">
      <tableStyleElement type="wholeTable" dxfId="46"/>
      <tableStyleElement type="headerRow" dxfId="45"/>
      <tableStyleElement type="totalRow" dxfId="44"/>
      <tableStyleElement type="firstColumn" dxfId="43"/>
      <tableStyleElement type="firstRowStripe" dxfId="42"/>
      <tableStyleElement type="secondRowStripe" dxfId="41"/>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5" Type="http://schemas.openxmlformats.org/officeDocument/2006/relationships/customXml" Target="../customXml/item3.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openxmlformats.org/officeDocument/2006/relationships/customXml" Target="../customXml/item2.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AD44602-D2F2-4D97-923C-A32E98F8C17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EABA93E-2C84-4F8B-AD41-9A8E420FF89F}" name="User friendly description" dataDxfId="3" dataCellStyle="Content normal"/>
    <tableColumn id="2" xr3:uid="{EEF9FA42-D387-4999-8DA3-0AB968DE5B49}" name="Description" dataDxfId="4" dataCellStyle="Content normal"/>
    <tableColumn id="1" xr3:uid="{AB1526C9-DA24-4CC9-B5EF-21A0F80180A1}" name="ID"/>
    <tableColumn id="3" xr3:uid="{2DA8D021-3344-47CC-9BAF-CCD2982CBA69}" name="Score"/>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5094D65-3E0E-45CE-A3F4-F41E74C11901}"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F6174C3-89C3-4B10-86C2-6A31851B07A4}" name="User friendly description" dataDxfId="2" dataCellStyle="Content normal"/>
    <tableColumn id="1" xr3:uid="{1849C441-004D-43F7-9536-F4D3575BC03A}" name="Description"/>
    <tableColumn id="2" xr3:uid="{2EA84693-0D7E-4E6D-A008-71E4D387FE32}" name="ID"/>
    <tableColumn id="3" xr3:uid="{0F873D1E-9AF5-43C5-A381-3F4760BB41BF}"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E8F748C-E65A-4AA2-81BB-D28A432CF33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09186B8A-5E2A-49CD-8802-3F9B0F7EC226}" name="User friendly description" dataDxfId="1" dataCellStyle="Content normal"/>
    <tableColumn id="1" xr3:uid="{EB2D29FA-8BB9-4C96-B01A-C17C52C76465}" name="Description"/>
    <tableColumn id="2" xr3:uid="{DC813F48-FE91-49F9-951B-D509D706CF09}" name="ID"/>
    <tableColumn id="3" xr3:uid="{DD670A12-0EA9-4344-8058-F7F57417108F}"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3A1C4DA-75D1-45DF-BA9A-1798C2CC5A4B}"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8403EC01-6798-45E2-B51A-4AF99E10C45A}" name="User friendly description" dataDxfId="0" dataCellStyle="Content normal"/>
    <tableColumn id="1" xr3:uid="{375B2CFE-E727-4795-9B4F-05A1E0DC4AED}" name="Description"/>
    <tableColumn id="2" xr3:uid="{830FB755-D404-43AF-922A-796F2CCAEA50}" name="ID"/>
    <tableColumn id="3" xr3:uid="{15047EEC-A818-4168-BABD-BB70ACD6159D}"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sheetPr>
    <tabColor rgb="FF0C769E"/>
  </sheetPr>
  <dimension ref="A1:A8"/>
  <sheetViews>
    <sheetView zoomScaleNormal="100" workbookViewId="0">
      <selection activeCell="A8" sqref="A8"/>
    </sheetView>
  </sheetViews>
  <sheetFormatPr defaultRowHeight="15" x14ac:dyDescent="0.25"/>
  <sheetData>
    <row r="1" spans="1:1" x14ac:dyDescent="0.25">
      <c r="A1" t="s">
        <v>44</v>
      </c>
    </row>
    <row r="3" spans="1:1" x14ac:dyDescent="0.25">
      <c r="A3" s="15" t="str">
        <f>HYPERLINK("#'Home'!A1", "Home")</f>
        <v>Home</v>
      </c>
    </row>
    <row r="6" spans="1:1" x14ac:dyDescent="0.25">
      <c r="A6" s="16" t="s">
        <v>68</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sheetPr>
    <tabColor theme="2" tint="-0.499984740745262"/>
  </sheetPr>
  <dimension ref="A1:BY297"/>
  <sheetViews>
    <sheetView showGridLines="0" tabSelected="1" topLeftCell="A262" zoomScaleNormal="100" workbookViewId="0">
      <selection activeCell="D292" sqref="D292:D297"/>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c r="A2"/>
    </row>
    <row r="3" spans="1:65" ht="20.100000000000001" customHeight="1" x14ac:dyDescent="0.25">
      <c r="A3" s="17"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16" t="s">
        <v>68</v>
      </c>
      <c r="D6" s="11" t="s">
        <v>1</v>
      </c>
      <c r="E6" s="11" t="s">
        <v>2</v>
      </c>
      <c r="F6" s="11" t="s">
        <v>3</v>
      </c>
    </row>
    <row r="7" spans="1:65" ht="20.100000000000001" customHeight="1" x14ac:dyDescent="0.25">
      <c r="A7" s="18" t="str">
        <f>HYPERLINK("#'Constants - Common'!A1", "Constants - Common")</f>
        <v>Constants - Common</v>
      </c>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A42"/>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A43"/>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11" t="s">
        <v>5</v>
      </c>
      <c r="E47" s="11" t="s">
        <v>7</v>
      </c>
      <c r="F47" s="11" t="s">
        <v>8</v>
      </c>
      <c r="G47" s="11" t="s">
        <v>9</v>
      </c>
      <c r="H47" s="11" t="s">
        <v>10</v>
      </c>
    </row>
    <row r="48" spans="1:8" ht="20.100000000000001" customHeight="1" x14ac:dyDescent="0.25">
      <c r="A48"/>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1:8" ht="20.100000000000001" customHeight="1" x14ac:dyDescent="0.25">
      <c r="A49"/>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1:8" ht="20.100000000000001" customHeight="1" x14ac:dyDescent="0.25">
      <c r="A50"/>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1:8" ht="20.100000000000001" customHeight="1" x14ac:dyDescent="0.25">
      <c r="A51"/>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1:8" ht="20.100000000000001" customHeight="1" x14ac:dyDescent="0.25">
      <c r="A52"/>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1:8" ht="20.100000000000001" customHeight="1" x14ac:dyDescent="0.25">
      <c r="A53"/>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1:8" ht="20.100000000000001" customHeight="1" x14ac:dyDescent="0.25">
      <c r="A54"/>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13" t="str" cm="1">
        <f t="array" ref="D59:D61">"⚠️" &amp; Common_SourceData.Common_SourceData_WetAndDryZones_Variation()</f>
        <v>⚠️VARIATION OF SOURCE DATA:</v>
      </c>
    </row>
    <row r="60" spans="1:8" ht="20.100000000000001" customHeight="1" x14ac:dyDescent="0.25">
      <c r="A60"/>
      <c r="D60" s="13" t="str">
        <v>⚠️Added warm / cool temperate moist / dry - low frost and high temp classes to accommodate climate scenarios excluded by VEERG criteria.</v>
      </c>
    </row>
    <row r="61" spans="1:8" ht="20.100000000000001" customHeight="1" x14ac:dyDescent="0.25">
      <c r="A61"/>
      <c r="D61" s="13" t="str">
        <v>⚠️Fixed typo - Changed 'Fry' to 'Dry'.</v>
      </c>
    </row>
    <row r="62" spans="1:8" ht="20.100000000000001" customHeight="1" x14ac:dyDescent="0.25">
      <c r="A62"/>
    </row>
    <row r="63" spans="1:8" ht="20.100000000000001" customHeight="1" x14ac:dyDescent="0.25">
      <c r="A63"/>
      <c r="D63" s="11" t="s">
        <v>0</v>
      </c>
      <c r="E63" s="11" t="s">
        <v>23</v>
      </c>
    </row>
    <row r="64" spans="1:8" ht="20.100000000000001" customHeight="1" x14ac:dyDescent="0.25">
      <c r="A64"/>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13" t="str" cm="1">
        <f t="array" ref="D83:D87">"⚠️" &amp; Common_SourceData.Common_SourceData_ClimateZones_Variation()</f>
        <v>⚠️VARIATION OF SOURCE DATA:</v>
      </c>
    </row>
    <row r="84" spans="1:20" ht="20.100000000000001" customHeight="1" x14ac:dyDescent="0.25">
      <c r="A84"/>
      <c r="D84" s="13" t="str">
        <v>⚠️Added warm / cool temperate moist / dry - low frost and high temp classes to accommodate climate scenarios excluded by VEERG criteria.</v>
      </c>
    </row>
    <row r="85" spans="1:20" ht="20.100000000000001" customHeight="1" x14ac:dyDescent="0.25">
      <c r="A85"/>
      <c r="D85" s="13" t="str">
        <v>⚠️Fixed typo in MAT value for warm temperate dry - changed 10 to 11.</v>
      </c>
    </row>
    <row r="86" spans="1:20" ht="20.100000000000001" customHeight="1" x14ac:dyDescent="0.25">
      <c r="A86"/>
      <c r="D86" s="13" t="str">
        <v>⚠️Added min and max columns for MAT, MAP, frost days per year, elevation, MAP:PET to calculate zones from real climate data.</v>
      </c>
    </row>
    <row r="87" spans="1:20" ht="20.100000000000001" customHeight="1" x14ac:dyDescent="0.25">
      <c r="A87"/>
      <c r="D87" s="13" t="str">
        <v>⚠️GAF accepts rainfall as a proxy for precipitation.</v>
      </c>
    </row>
    <row r="88" spans="1:20" ht="20.100000000000001" customHeight="1" x14ac:dyDescent="0.25">
      <c r="A88"/>
    </row>
    <row r="89" spans="1:20" ht="20.100000000000001" customHeight="1" x14ac:dyDescent="0.25">
      <c r="A89"/>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1:20" ht="20.100000000000001" customHeight="1" x14ac:dyDescent="0.25">
      <c r="A90"/>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1:20" ht="20.100000000000001" customHeight="1" x14ac:dyDescent="0.25">
      <c r="A91"/>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1:20" ht="20.100000000000001" customHeight="1" x14ac:dyDescent="0.25">
      <c r="A92"/>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1:20" ht="20.100000000000001" customHeight="1" x14ac:dyDescent="0.25">
      <c r="A93"/>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1:20" ht="20.100000000000001" customHeight="1" x14ac:dyDescent="0.25">
      <c r="A94"/>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1:20" ht="20.100000000000001" customHeight="1" x14ac:dyDescent="0.25">
      <c r="A9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1:20" ht="20.100000000000001" customHeight="1" x14ac:dyDescent="0.25">
      <c r="A96"/>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1:20" ht="20.100000000000001" customHeight="1" x14ac:dyDescent="0.25">
      <c r="A97"/>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1:20" ht="20.100000000000001" customHeight="1" x14ac:dyDescent="0.25">
      <c r="A98"/>
    </row>
    <row r="99" spans="1:20" ht="20.100000000000001" customHeight="1" x14ac:dyDescent="0.25">
      <c r="A99"/>
      <c r="D99" s="12" t="str" cm="1">
        <f t="array" ref="D99:D102">Common_SourceData.Common_SourceData_ClimateZones_Appendices()</f>
        <v>Note:</v>
      </c>
    </row>
    <row r="100" spans="1:20" ht="20.100000000000001" customHeight="1" x14ac:dyDescent="0.25">
      <c r="A100"/>
      <c r="D100" s="12" t="str">
        <v>MAT = mean annual temperature</v>
      </c>
    </row>
    <row r="101" spans="1:20" ht="20.100000000000001" customHeight="1" x14ac:dyDescent="0.25">
      <c r="A101"/>
      <c r="D101" s="12" t="str">
        <v>MAP = mean annual precipitation</v>
      </c>
    </row>
    <row r="102" spans="1:20" ht="20.100000000000001" customHeight="1" x14ac:dyDescent="0.25">
      <c r="A102"/>
      <c r="D102" s="12" t="str">
        <v>PET = potential evapotranspiration</v>
      </c>
    </row>
    <row r="103" spans="1:20" ht="20.100000000000001" customHeight="1" x14ac:dyDescent="0.25">
      <c r="A103"/>
      <c r="D103" s="12"/>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1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1" t="s">
        <v>27</v>
      </c>
      <c r="E109" s="11" t="s">
        <v>11</v>
      </c>
      <c r="F109" s="11" t="s">
        <v>28</v>
      </c>
      <c r="G109" s="11" t="s">
        <v>29</v>
      </c>
    </row>
    <row r="110" spans="1:20" ht="20.100000000000001" customHeight="1" x14ac:dyDescent="0.25">
      <c r="A110"/>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13"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11" t="s">
        <v>30</v>
      </c>
      <c r="E119" s="11" t="s">
        <v>31</v>
      </c>
      <c r="F119" s="11" t="s">
        <v>18</v>
      </c>
      <c r="G119" s="11" t="s">
        <v>19</v>
      </c>
      <c r="BN119" s="6"/>
    </row>
    <row r="120" spans="1:66" ht="20.100000000000001" customHeight="1" x14ac:dyDescent="0.25">
      <c r="A120"/>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1" t="s">
        <v>32</v>
      </c>
      <c r="E127" s="11" t="s">
        <v>33</v>
      </c>
    </row>
    <row r="128" spans="1:66" ht="20.100000000000001" customHeight="1" x14ac:dyDescent="0.25">
      <c r="A128"/>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0"/>
    </row>
    <row r="133" spans="1:77" ht="20.100000000000001" customHeight="1" x14ac:dyDescent="0.25">
      <c r="A133"/>
      <c r="D133" s="4" t="str" cm="1">
        <f t="array" ref="D133">Common_SourceData.Common_SourceData_FracWET_Source()</f>
        <v>VEERG 2026:5.5.2.3 Constant Parameters</v>
      </c>
      <c r="E133" s="10"/>
    </row>
    <row r="134" spans="1:77" ht="20.100000000000001" customHeight="1" x14ac:dyDescent="0.25">
      <c r="A134"/>
      <c r="D134" t="s">
        <v>37</v>
      </c>
      <c r="E134" t="s">
        <v>38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11" t="s">
        <v>46</v>
      </c>
      <c r="E142" s="11" t="s">
        <v>38</v>
      </c>
      <c r="BN142" s="6"/>
    </row>
    <row r="143" spans="1:77" ht="20.100000000000001" customHeight="1" x14ac:dyDescent="0.25">
      <c r="A143"/>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11" t="s">
        <v>34</v>
      </c>
      <c r="E153" s="11" t="s">
        <v>35</v>
      </c>
      <c r="BC153" s="2"/>
      <c r="BD153" s="2"/>
      <c r="BE153" s="2"/>
      <c r="BF153" s="2"/>
      <c r="BG153" s="2"/>
      <c r="BH153" s="2"/>
      <c r="BI153" s="2"/>
      <c r="BJ153" s="2"/>
      <c r="BK153" s="2"/>
      <c r="BL153" s="2"/>
      <c r="BM153" s="2"/>
    </row>
    <row r="154" spans="1:66" ht="20.100000000000001" customHeight="1" x14ac:dyDescent="0.25">
      <c r="A154"/>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66" x14ac:dyDescent="0.25">
      <c r="D257" s="11" t="s">
        <v>66</v>
      </c>
      <c r="E257" s="11" t="s">
        <v>67</v>
      </c>
    </row>
    <row r="258" spans="4:66"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5" t="s">
        <v>116</v>
      </c>
    </row>
    <row r="264" spans="4:66" x14ac:dyDescent="0.25">
      <c r="D264" s="1" t="s">
        <v>69</v>
      </c>
    </row>
    <row r="265" spans="4:66" x14ac:dyDescent="0.25">
      <c r="D265" s="11" t="s">
        <v>117</v>
      </c>
      <c r="E265" s="11" t="s">
        <v>74</v>
      </c>
      <c r="F265" s="11" t="s">
        <v>73</v>
      </c>
      <c r="G265" s="11" t="s">
        <v>75</v>
      </c>
      <c r="V265" s="1"/>
      <c r="BN265" s="6"/>
    </row>
    <row r="266" spans="4:66" x14ac:dyDescent="0.25">
      <c r="D266" s="11" t="s">
        <v>118</v>
      </c>
      <c r="E266" s="11" t="s">
        <v>81</v>
      </c>
      <c r="F266" s="11" t="s">
        <v>76</v>
      </c>
      <c r="G266" s="11">
        <v>5</v>
      </c>
      <c r="V266" s="1"/>
      <c r="BN266" s="6"/>
    </row>
    <row r="267" spans="4:66" x14ac:dyDescent="0.25">
      <c r="D267" s="11" t="s">
        <v>119</v>
      </c>
      <c r="E267" s="11" t="s">
        <v>85</v>
      </c>
      <c r="F267" s="11" t="s">
        <v>77</v>
      </c>
      <c r="G267" s="11">
        <v>4</v>
      </c>
      <c r="V267" s="1"/>
      <c r="BN267" s="6"/>
    </row>
    <row r="268" spans="4:66" x14ac:dyDescent="0.25">
      <c r="D268" s="11" t="s">
        <v>120</v>
      </c>
      <c r="E268" s="11" t="s">
        <v>88</v>
      </c>
      <c r="F268" s="11" t="s">
        <v>78</v>
      </c>
      <c r="G268" s="11">
        <v>3</v>
      </c>
      <c r="V268" s="1"/>
      <c r="BN268" s="6"/>
    </row>
    <row r="269" spans="4:66" x14ac:dyDescent="0.25">
      <c r="D269" s="11" t="s">
        <v>121</v>
      </c>
      <c r="E269" s="11" t="s">
        <v>92</v>
      </c>
      <c r="F269" s="11" t="s">
        <v>79</v>
      </c>
      <c r="G269" s="11">
        <v>2</v>
      </c>
      <c r="V269" s="1"/>
      <c r="BN269" s="6"/>
    </row>
    <row r="270" spans="4:66" x14ac:dyDescent="0.25">
      <c r="D270" s="11" t="s">
        <v>122</v>
      </c>
      <c r="E270" s="11" t="s">
        <v>96</v>
      </c>
      <c r="F270" s="11" t="s">
        <v>80</v>
      </c>
      <c r="G270" s="11">
        <v>1</v>
      </c>
      <c r="V270" s="1"/>
      <c r="BN270" s="6"/>
    </row>
    <row r="273" spans="4:66" x14ac:dyDescent="0.25">
      <c r="D273" s="1" t="s">
        <v>70</v>
      </c>
    </row>
    <row r="274" spans="4:66" x14ac:dyDescent="0.25">
      <c r="D274" s="11" t="s">
        <v>117</v>
      </c>
      <c r="E274" s="11" t="s">
        <v>74</v>
      </c>
      <c r="F274" s="11" t="s">
        <v>73</v>
      </c>
      <c r="G274" s="11" t="s">
        <v>75</v>
      </c>
      <c r="V274" s="1"/>
      <c r="BN274" s="6"/>
    </row>
    <row r="275" spans="4:66" x14ac:dyDescent="0.25">
      <c r="D275" s="11" t="s">
        <v>123</v>
      </c>
      <c r="E275" s="11" t="s">
        <v>82</v>
      </c>
      <c r="F275" s="11" t="s">
        <v>100</v>
      </c>
      <c r="G275" s="11">
        <v>5</v>
      </c>
      <c r="V275" s="1"/>
      <c r="BN275" s="6"/>
    </row>
    <row r="276" spans="4:66" x14ac:dyDescent="0.25">
      <c r="D276" s="11" t="s">
        <v>124</v>
      </c>
      <c r="E276" s="11" t="s">
        <v>86</v>
      </c>
      <c r="F276" s="11" t="s">
        <v>101</v>
      </c>
      <c r="G276" s="11">
        <v>4</v>
      </c>
      <c r="V276" s="1"/>
      <c r="BN276" s="6"/>
    </row>
    <row r="277" spans="4:66" x14ac:dyDescent="0.25">
      <c r="D277" s="11" t="s">
        <v>125</v>
      </c>
      <c r="E277" s="11" t="s">
        <v>89</v>
      </c>
      <c r="F277" s="11" t="s">
        <v>102</v>
      </c>
      <c r="G277" s="11">
        <v>3</v>
      </c>
      <c r="V277" s="1"/>
      <c r="BN277" s="6"/>
    </row>
    <row r="278" spans="4:66" x14ac:dyDescent="0.25">
      <c r="D278" s="11" t="s">
        <v>126</v>
      </c>
      <c r="E278" s="11" t="s">
        <v>93</v>
      </c>
      <c r="F278" s="11" t="s">
        <v>103</v>
      </c>
      <c r="G278" s="11">
        <v>2</v>
      </c>
      <c r="V278" s="1"/>
      <c r="BN278" s="6"/>
    </row>
    <row r="279" spans="4:66" x14ac:dyDescent="0.25">
      <c r="D279" s="11" t="s">
        <v>127</v>
      </c>
      <c r="E279" s="11" t="s">
        <v>97</v>
      </c>
      <c r="F279" s="11" t="s">
        <v>104</v>
      </c>
      <c r="G279" s="11">
        <v>1</v>
      </c>
      <c r="V279" s="1"/>
      <c r="BN279" s="6"/>
    </row>
    <row r="282" spans="4:66" x14ac:dyDescent="0.25">
      <c r="D282" s="1" t="s">
        <v>71</v>
      </c>
    </row>
    <row r="283" spans="4:66" x14ac:dyDescent="0.25">
      <c r="D283" s="11" t="s">
        <v>117</v>
      </c>
      <c r="E283" s="11" t="s">
        <v>74</v>
      </c>
      <c r="F283" s="11" t="s">
        <v>73</v>
      </c>
      <c r="G283" s="11" t="s">
        <v>75</v>
      </c>
      <c r="V283" s="1"/>
      <c r="BN283" s="6"/>
    </row>
    <row r="284" spans="4:66" x14ac:dyDescent="0.25">
      <c r="D284" s="11" t="s">
        <v>128</v>
      </c>
      <c r="E284" s="11" t="s">
        <v>83</v>
      </c>
      <c r="F284" s="11" t="s">
        <v>105</v>
      </c>
      <c r="G284" s="11">
        <v>5</v>
      </c>
      <c r="V284" s="1"/>
      <c r="BN284" s="6"/>
    </row>
    <row r="285" spans="4:66" x14ac:dyDescent="0.25">
      <c r="D285" s="11" t="s">
        <v>129</v>
      </c>
      <c r="E285" s="11" t="s">
        <v>87</v>
      </c>
      <c r="F285" s="11" t="s">
        <v>106</v>
      </c>
      <c r="G285" s="11">
        <v>4</v>
      </c>
      <c r="V285" s="1"/>
      <c r="BN285" s="6"/>
    </row>
    <row r="286" spans="4:66" x14ac:dyDescent="0.25">
      <c r="D286" s="11" t="s">
        <v>130</v>
      </c>
      <c r="E286" s="11" t="s">
        <v>90</v>
      </c>
      <c r="F286" s="11" t="s">
        <v>107</v>
      </c>
      <c r="G286" s="11">
        <v>3</v>
      </c>
      <c r="V286" s="1"/>
      <c r="BN286" s="6"/>
    </row>
    <row r="287" spans="4:66" x14ac:dyDescent="0.25">
      <c r="D287" s="11" t="s">
        <v>131</v>
      </c>
      <c r="E287" s="11" t="s">
        <v>94</v>
      </c>
      <c r="F287" s="11" t="s">
        <v>108</v>
      </c>
      <c r="G287" s="11">
        <v>2</v>
      </c>
      <c r="V287" s="1"/>
      <c r="BN287" s="6"/>
    </row>
    <row r="288" spans="4:66" x14ac:dyDescent="0.25">
      <c r="D288" s="11" t="s">
        <v>132</v>
      </c>
      <c r="E288" s="11" t="s">
        <v>98</v>
      </c>
      <c r="F288" s="11" t="s">
        <v>109</v>
      </c>
      <c r="G288" s="11">
        <v>1</v>
      </c>
      <c r="V288" s="1"/>
      <c r="BN288" s="6"/>
    </row>
    <row r="291" spans="4:66" x14ac:dyDescent="0.25">
      <c r="D291" s="1" t="s">
        <v>72</v>
      </c>
    </row>
    <row r="292" spans="4:66" x14ac:dyDescent="0.25">
      <c r="D292" s="11" t="s">
        <v>117</v>
      </c>
      <c r="E292" s="11" t="s">
        <v>74</v>
      </c>
      <c r="F292" s="11" t="s">
        <v>73</v>
      </c>
      <c r="G292" s="11" t="s">
        <v>75</v>
      </c>
      <c r="V292" s="1"/>
      <c r="BN292" s="6"/>
    </row>
    <row r="293" spans="4:66" x14ac:dyDescent="0.25">
      <c r="D293" s="11" t="s">
        <v>133</v>
      </c>
      <c r="E293" s="11" t="s">
        <v>84</v>
      </c>
      <c r="F293" s="11" t="s">
        <v>111</v>
      </c>
      <c r="G293" s="11">
        <v>5</v>
      </c>
      <c r="V293" s="1"/>
      <c r="BN293" s="6"/>
    </row>
    <row r="294" spans="4:66" x14ac:dyDescent="0.25">
      <c r="D294" s="11" t="s">
        <v>134</v>
      </c>
      <c r="E294" s="11" t="s">
        <v>110</v>
      </c>
      <c r="F294" s="11" t="s">
        <v>112</v>
      </c>
      <c r="G294" s="11">
        <v>4</v>
      </c>
      <c r="V294" s="1"/>
      <c r="BN294" s="6"/>
    </row>
    <row r="295" spans="4:66" x14ac:dyDescent="0.25">
      <c r="D295" s="11" t="s">
        <v>135</v>
      </c>
      <c r="E295" s="11" t="s">
        <v>91</v>
      </c>
      <c r="F295" s="11" t="s">
        <v>113</v>
      </c>
      <c r="G295" s="11">
        <v>3</v>
      </c>
      <c r="V295" s="1"/>
      <c r="BN295" s="6"/>
    </row>
    <row r="296" spans="4:66" x14ac:dyDescent="0.25">
      <c r="D296" s="11" t="s">
        <v>136</v>
      </c>
      <c r="E296" s="11" t="s">
        <v>95</v>
      </c>
      <c r="F296" s="11" t="s">
        <v>114</v>
      </c>
      <c r="G296" s="11">
        <v>2</v>
      </c>
      <c r="V296" s="1"/>
      <c r="BN296" s="6"/>
    </row>
    <row r="297" spans="4:66" x14ac:dyDescent="0.25">
      <c r="D297" s="11" t="s">
        <v>137</v>
      </c>
      <c r="E297" s="11" t="s">
        <v>99</v>
      </c>
      <c r="F297" s="11" t="s">
        <v>115</v>
      </c>
      <c r="G297" s="11">
        <v>1</v>
      </c>
      <c r="V297" s="1"/>
      <c r="BN297" s="6"/>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A8"/>
  <sheetViews>
    <sheetView zoomScaleNormal="100" workbookViewId="0">
      <selection activeCell="A8" sqref="A8"/>
    </sheetView>
  </sheetViews>
  <sheetFormatPr defaultRowHeight="15" x14ac:dyDescent="0.25"/>
  <sheetData>
    <row r="1" spans="1:1" x14ac:dyDescent="0.25">
      <c r="A1" t="s">
        <v>45</v>
      </c>
    </row>
    <row r="3" spans="1:1" ht="15.75" x14ac:dyDescent="0.25">
      <c r="A3" s="17" t="str">
        <f>HYPERLINK("#'Home'!A1", "Home")</f>
        <v>Home</v>
      </c>
    </row>
    <row r="6" spans="1:1" x14ac:dyDescent="0.25">
      <c r="A6" s="16" t="s">
        <v>68</v>
      </c>
    </row>
    <row r="7" spans="1:1" ht="15.75" x14ac:dyDescent="0.25">
      <c r="A7" s="17" t="str">
        <f>HYPERLINK("#'Constants - Common'!A1", "Constants - Common")</f>
        <v>Constants - Common</v>
      </c>
    </row>
    <row r="8" spans="1:1" ht="15.75" x14ac:dyDescent="0.25">
      <c r="A8" s="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Home</vt:lpstr>
      <vt:lpstr>Constants - Common</vt:lpstr>
      <vt:lpstr>Acknowledgements</vt:lpstr>
      <vt:lpstr>Common_SourceData_DensityOfMethane_Data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2026-08-11T01:29:10Z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