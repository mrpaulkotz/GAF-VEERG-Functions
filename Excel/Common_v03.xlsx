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83DA50F-01CC-4FF8-9136-484FAE7D8BB1}" xr6:coauthVersionLast="47" xr6:coauthVersionMax="47" xr10:uidLastSave="{00000000-0000-0000-0000-000000000000}"/>
  <bookViews>
    <workbookView xWindow="1560" yWindow="1560" windowWidth="36255" windowHeight="19140" activeTab="1" xr2:uid="{992023F3-CAB7-4E5B-A348-08D563A0EF40}"/>
  </bookViews>
  <sheets>
    <sheet name="Home" sheetId="3" r:id="rId1"/>
    <sheet name="Input - Data quality" sheetId="5" r:id="rId2"/>
    <sheet name="Constants - Common" sheetId="2" r:id="rId3"/>
    <sheet name="Acknowledgements" sheetId="4" r:id="rId4"/>
  </sheets>
  <externalReferences>
    <externalReference r:id="rId5"/>
  </externalReferences>
  <definedNames>
    <definedName name="Common_Equations.Common_ConvertCH4ToCO2e" localSheetId="1">_xlfn.LAMBDA(_xlpm.E_CH4,_xlpm.GWP_CH4, _xlpm.E_CH4 * _xlpm.GWP_CH4)</definedName>
    <definedName name="Common_Equations.Common_ConvertCH4ToCO2e">_xlfn.LAMBDA(_xlpm.E_CH4,_xlpm.GWP_CH4, _xlpm.E_CH4 * _xlpm.GWP_CH4)</definedName>
    <definedName name="Common_Equations.Common_ConvertCH4ToCO2e_Arguments" localSheetId="1">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1">_xlfn.LAMBDA(_xlpm.E_N2O,_xlpm.GWP_N2O, _xlpm.E_N2O * _xlpm.GWP_N2O)</definedName>
    <definedName name="Common_Equations.Common_ConvertN2OToCO2e">_xlfn.LAMBDA(_xlpm.E_N2O,_xlpm.GWP_N2O, _xlpm.E_N2O * _xlpm.GWP_N2O)</definedName>
    <definedName name="Common_Equations.Common_ConvertN2OToCO2e_Arguments" localSheetId="1">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 localSheetId="1">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 localSheetId="1">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 localSheetId="1">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 localSheetId="1">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_xlfn.LAMBDA(_xlpm.TargetCell, _xlfn.LET(_xlpm.sh, _xlfn.TEXTAFTER(CELL("filename", _xlpm.TargetCell), "]"), _xlpm.addr, CELL("address", _xlpm.TargetCell),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 localSheetId="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1">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1">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1">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1">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[1]Results!$E$50</definedName>
    <definedName name="Result_EmissionsForWholeProductionCycle_Method1">[1]Results!$E$39</definedName>
    <definedName name="Result_EmissionsForWholeProductionCycle_Method2">[1]Results!$F$39</definedName>
    <definedName name="Result_Enterprise_Method1">[1]Results!$H$25</definedName>
    <definedName name="Result_Enterprise_Method2">[1]Results!$I$25</definedName>
    <definedName name="Result_NetEmissions_Method1">[1]Results!$E$56</definedName>
    <definedName name="Result_NetEmissions_Method2">[1]Results!$F$56</definedName>
    <definedName name="X_Cell_Enterprise_PercentIncomeFromGrain">'[1]Input - Enterprise'!$E$32</definedName>
    <definedName name="X_Cell_Enterprise_ProductionTimeframeEnd">'[1]Input - Enterprise'!$E$19</definedName>
    <definedName name="X_Cell_Enterprise_ProductionTimeframeStart">'[1]Input - Enterprise'!$E$18</definedName>
    <definedName name="X_Cell_Site_StartDate">'[1]Input - Enterprise'!$E$12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5" l="1"/>
  <c r="A8" i="4"/>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<sst xmlns="http://schemas.openxmlformats.org/spreadsheetml/2006/main" count="147" uniqueCount="125">
  <si>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</si>
  <si>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</si>
  <si>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</si>
  <si>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</si>
  <si>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</si>
  <si>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</si>
  <si>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</si>
  <si>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</si>
  <si>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</si>
  <si>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</si>
  <si>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</si>
  <si>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</si>
  <si>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</si>
  <si>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</si>
  <si>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</si>
  <si>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</si>
  <si>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</si>
  <si>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</si>
  <si>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</si>
  <si>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</si>
  <si>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</si>
  <si>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</si>
  <si>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</si>
  <si>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</si>
  <si>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</si>
  <si>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</si>
  <si>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</si>
  <si>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</si>
  <si>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</si>
  <si>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</si>
  <si>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</si>
  <si>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</si>
  <si>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</si>
  <si>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</si>
  <si>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</si>
  <si>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</si>
  <si>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</si>
  <si>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</si>
  <si>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</si>
  <si>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</si>
  <si>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</si>
  <si>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</si>
  <si>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</si>
  <si>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</si>
  <si>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</si>
  <si>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</si>
  <si>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</si>
  <si>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</si>
  <si>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</si>
  <si>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</si>
  <si>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</si>
  <si>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</si>
  <si>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</si>
  <si>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</si>
  <si>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</si>
  <si>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</si>
  <si>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</si>
  <si>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</si>
  <si>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</si>
  <si>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</si>
  <si>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</si>
  <si>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</si>
  <si>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</si>
  <si>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</si>
  <si>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</si>
  <si>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</si>
  <si>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</si>
  <si>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</si>
  <si>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</si>
  <si>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Input - Data quality</t>
  </si>
  <si>
    <t>Notes</t>
  </si>
  <si>
    <t>Evidence files</t>
  </si>
  <si>
    <t>Input</t>
  </si>
  <si>
    <t>Temporal representativeness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</si>
  <si>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</si>
  <si>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</si>
  <si>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</si>
  <si>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</si>
  <si>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</si>
  <si>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</si>
  <si>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</si>
  <si>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</si>
  <si>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</si>
  <si>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</si>
  <si>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</si>
  <si>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</si>
  <si>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</si>
  <si>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</si>
  <si>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</si>
  <si>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</si>
  <si>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</si>
  <si>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</si>
  <si>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</si>
  <si>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</si>
  <si>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</si>
  <si>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</si>
  <si>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</si>
  <si>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</si>
  <si>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</si>
  <si>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</si>
  <si>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</si>
  <si>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</si>
  <si>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</si>
  <si>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</si>
  <si>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</si>
  <si>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</si>
  <si>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</si>
  <si>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</si>
  <si>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</si>
  <si>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</si>
  <si>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</si>
  <si>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</si>
  <si>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</si>
  <si>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</si>
  <si>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</si>
  <si>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</si>
  <si>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</si>
  <si>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</si>
  <si>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</si>
  <si>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</si>
  <si>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</si>
  <si>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</si>
  <si>
    <t>Spatial resolution</t>
  </si>
  <si>
    <t>Sample size</t>
  </si>
  <si>
    <t>Input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</si>
</sst>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2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xf numFmtId="0" fontId="16" fillId="7" borderId="0" xfId="31">
      <alignment vertical="center"/>
    </xf>
    <xf numFmtId="0" fontId="10" fillId="0" borderId="0" xfId="32"/>
    <xf numFmtId="0" fontId="12" fillId="6" borderId="0" xfId="29">
      <alignment horizontal="center" vertical="center"/>
      <protection locked="0"/>
    </xf>
    <xf numFmtId="0" fontId="3" fillId="11" borderId="1" xfId="15">
      <alignment horizontal="center" vertical="center"/>
    </xf>
    <xf numFmtId="0" fontId="0" fillId="0" borderId="0" xfId="14" applyFont="1" applyBorder="1">
      <alignment horizontal="center" vertical="center"/>
    </xf>
    <xf numFmtId="0" fontId="21" fillId="4" borderId="1" xfId="52">
      <alignment horizontal="center" vertical="center"/>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s/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3023411-FAD9-40B6-9366-7826422CBF8A}"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DF183-0BAA-498A-9B37-66C6C22B6CF3}" name="Input"/>
    <tableColumn id="2" xr3:uid="{6CE8517D-1BF5-41D8-AECC-86D1C40836B1}" name="Temporal representativeness" dataCellStyle="Input select"/>
    <tableColumn id="3" xr3:uid="{C5670EC5-C3E7-45CC-B5CC-F04864805BF9}" name="Spatial resolution" dataCellStyle="Input select"/>
    <tableColumn id="4" xr3:uid="{7DC7BACF-82BB-4981-857A-7815604920E6}" name="Sample size" dataCellStyle="Input select"/>
    <tableColumn id="5" xr3:uid="{429BE7C7-3702-4A3D-8940-3720A52AA97C}" name="Notes"/>
    <tableColumn id="6" xr3:uid="{23695E05-CB90-4B3D-8984-AE8904F2CE28}" name="Evidence files"/>
    <tableColumn id="7" xr3:uid="{C5FD6441-FC89-47D1-A4AC-0A260329C853}" name="Score" dataCellStyle="Input number general calculated">
      <calculatedColumnFormula>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EF9FA42-D387-4999-8DA3-0AB968DE5B49}" name="Description" dataDxfId="0"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1.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315A-7CC8-4753-9519-BB4446F907F4}">
  <sheetPr>
    <tabColor rgb="FFCC6600"/>
  </sheetPr>
  <dimension ref="C1:M7"/>
  <sheetViews>
    <sheetView showGridLines="0" tabSelected="1" topLeftCell="G1" workbookViewId="0">
      <selection activeCell="J8" sqref="J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20" customFormat="1" ht="25.5" x14ac:dyDescent="0.35">
      <c r="C1" s="20" t="s">
        <v>69</v>
      </c>
    </row>
    <row r="2" spans="3:13" s="8" customFormat="1" x14ac:dyDescent="0.25"/>
    <row r="3" spans="3:13" ht="20.25" x14ac:dyDescent="0.25">
      <c r="C3" s="19"/>
      <c r="D3" s="19"/>
      <c r="E3" s="19"/>
      <c r="F3" s="19"/>
      <c r="G3" s="19"/>
      <c r="H3" s="19"/>
      <c r="I3" s="19"/>
      <c r="J3" s="19"/>
      <c r="K3" s="19"/>
      <c r="L3" s="19"/>
      <c r="M3" s="19"/>
    </row>
    <row r="6" spans="3:13" x14ac:dyDescent="0.25">
      <c r="D6" s="21" t="s">
        <v>72</v>
      </c>
      <c r="E6" s="21" t="s">
        <v>73</v>
      </c>
      <c r="F6" s="21" t="s">
        <v>122</v>
      </c>
      <c r="G6" s="21" t="s">
        <v>123</v>
      </c>
      <c r="H6" s="21" t="s">
        <v>70</v>
      </c>
      <c r="I6" s="21" t="s">
        <v>71</v>
      </c>
      <c r="J6" s="21" t="s">
        <v>80</v>
      </c>
    </row>
    <row r="7" spans="3:13" x14ac:dyDescent="0.25">
      <c r="D7" s="23" t="s">
        <v>124</v>
      </c>
      <c r="E7" s="22" t="s">
        <v>82</v>
      </c>
      <c r="F7" s="22" t="s">
        <v>105</v>
      </c>
      <c r="G7" s="22" t="s">
        <v>112</v>
      </c>
      <c r="H7" s="23"/>
      <c r="I7" s="23"/>
      <c r="J7" s="24">
        <f>_xlfn.XLOOKUP(Table_Input_DataQuality[[#This Row],[Temporal representativeness]],Table_SourceData_DataQuality_TemporalRepresentativeness[ID],Table_SourceData_DataQuality_TemporalRepresentativeness[Score])+_xlfn.XLOOKUP(Table_Input_DataQuality[[#This Row],[Spatial resolution]],Table_SourceData_DataQuality_SpatialRepresentativeness[ID],Table_SourceData_DataQuality_SpatialRepresentativeness[Score])+_xlfn.XLOOKUP(Table_Input_DataQuality[[#This Row],[Sample size]],Table_SourceData_DataQuality_SampleSize[ID],Table_SourceData_DataQuality_SampleSize[Score])</f>
        <v>12</v>
      </c>
    </row>
  </sheetData>
  <dataValidations count="3">
    <dataValidation type="list" allowBlank="1" showInputMessage="1" showErrorMessage="1" sqref="E7" xr:uid="{7AC950BA-B243-4A2B-908C-CE099E570588}">
      <formula1>INDIRECT("Table_SourceData_DataQuality_TemporalRepresentativeness[ID]")</formula1>
    </dataValidation>
    <dataValidation type="list" allowBlank="1" showInputMessage="1" showErrorMessage="1" sqref="F7" xr:uid="{B4055273-B946-42C8-9570-43C0D83989F4}">
      <formula1>INDIRECT("Table_SourceData_DataQuality_SpatialRepresentativeness[ID]")</formula1>
    </dataValidation>
    <dataValidation type="list" allowBlank="1" showInputMessage="1" showErrorMessage="1" sqref="G7" xr:uid="{0643B092-4651-4CE2-AF60-342D5FB04D11}">
      <formula1>INDIRECT("Table_SourceData_DataQuality_SampleSize[ID]")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opLeftCell="A251" zoomScaleNormal="100" workbookViewId="0">
      <selection activeCell="D263" sqref="D263:F29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 x14ac:dyDescent="0.25">
      <c r="D257" s="11" t="s">
        <v>66</v>
      </c>
      <c r="E257" s="11" t="s">
        <v>67</v>
      </c>
    </row>
    <row r="258" spans="4: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121</v>
      </c>
    </row>
    <row r="264" spans="4:6" x14ac:dyDescent="0.25">
      <c r="D264" s="1" t="s">
        <v>74</v>
      </c>
    </row>
    <row r="265" spans="4:6" x14ac:dyDescent="0.25">
      <c r="D265" s="11" t="s">
        <v>79</v>
      </c>
      <c r="E265" s="11" t="s">
        <v>78</v>
      </c>
      <c r="F265" s="11" t="s">
        <v>80</v>
      </c>
    </row>
    <row r="266" spans="4:6" x14ac:dyDescent="0.25">
      <c r="D266" s="11" t="s">
        <v>86</v>
      </c>
      <c r="E266" s="11" t="s">
        <v>81</v>
      </c>
      <c r="F266" s="11">
        <v>5</v>
      </c>
    </row>
    <row r="267" spans="4:6" x14ac:dyDescent="0.25">
      <c r="D267" s="11" t="s">
        <v>90</v>
      </c>
      <c r="E267" s="11" t="s">
        <v>82</v>
      </c>
      <c r="F267" s="11">
        <v>4</v>
      </c>
    </row>
    <row r="268" spans="4:6" x14ac:dyDescent="0.25">
      <c r="D268" s="11" t="s">
        <v>93</v>
      </c>
      <c r="E268" s="11" t="s">
        <v>83</v>
      </c>
      <c r="F268" s="11">
        <v>3</v>
      </c>
    </row>
    <row r="269" spans="4:6" x14ac:dyDescent="0.25">
      <c r="D269" s="11" t="s">
        <v>97</v>
      </c>
      <c r="E269" s="11" t="s">
        <v>84</v>
      </c>
      <c r="F269" s="11">
        <v>2</v>
      </c>
    </row>
    <row r="270" spans="4:6" x14ac:dyDescent="0.25">
      <c r="D270" s="11" t="s">
        <v>101</v>
      </c>
      <c r="E270" s="11" t="s">
        <v>85</v>
      </c>
      <c r="F270" s="11">
        <v>1</v>
      </c>
    </row>
    <row r="273" spans="4:6" x14ac:dyDescent="0.25">
      <c r="D273" s="1" t="s">
        <v>75</v>
      </c>
    </row>
    <row r="274" spans="4:6" x14ac:dyDescent="0.25">
      <c r="D274" s="11" t="s">
        <v>79</v>
      </c>
      <c r="E274" s="11" t="s">
        <v>78</v>
      </c>
      <c r="F274" s="11" t="s">
        <v>80</v>
      </c>
    </row>
    <row r="275" spans="4:6" x14ac:dyDescent="0.25">
      <c r="D275" s="11" t="s">
        <v>87</v>
      </c>
      <c r="E275" s="11" t="s">
        <v>105</v>
      </c>
      <c r="F275" s="11">
        <v>5</v>
      </c>
    </row>
    <row r="276" spans="4:6" x14ac:dyDescent="0.25">
      <c r="D276" s="11" t="s">
        <v>91</v>
      </c>
      <c r="E276" s="11" t="s">
        <v>106</v>
      </c>
      <c r="F276" s="11">
        <v>4</v>
      </c>
    </row>
    <row r="277" spans="4:6" x14ac:dyDescent="0.25">
      <c r="D277" s="11" t="s">
        <v>94</v>
      </c>
      <c r="E277" s="11" t="s">
        <v>107</v>
      </c>
      <c r="F277" s="11">
        <v>3</v>
      </c>
    </row>
    <row r="278" spans="4:6" x14ac:dyDescent="0.25">
      <c r="D278" s="11" t="s">
        <v>98</v>
      </c>
      <c r="E278" s="11" t="s">
        <v>108</v>
      </c>
      <c r="F278" s="11">
        <v>2</v>
      </c>
    </row>
    <row r="279" spans="4:6" x14ac:dyDescent="0.25">
      <c r="D279" s="11" t="s">
        <v>102</v>
      </c>
      <c r="E279" s="11" t="s">
        <v>109</v>
      </c>
      <c r="F279" s="11">
        <v>1</v>
      </c>
    </row>
    <row r="282" spans="4:6" x14ac:dyDescent="0.25">
      <c r="D282" s="1" t="s">
        <v>76</v>
      </c>
    </row>
    <row r="283" spans="4:6" x14ac:dyDescent="0.25">
      <c r="D283" s="11" t="s">
        <v>79</v>
      </c>
      <c r="E283" s="11" t="s">
        <v>78</v>
      </c>
      <c r="F283" s="11" t="s">
        <v>80</v>
      </c>
    </row>
    <row r="284" spans="4:6" x14ac:dyDescent="0.25">
      <c r="D284" s="11" t="s">
        <v>88</v>
      </c>
      <c r="E284" s="11" t="s">
        <v>110</v>
      </c>
      <c r="F284" s="11">
        <v>5</v>
      </c>
    </row>
    <row r="285" spans="4:6" x14ac:dyDescent="0.25">
      <c r="D285" s="11" t="s">
        <v>92</v>
      </c>
      <c r="E285" s="11" t="s">
        <v>111</v>
      </c>
      <c r="F285" s="11">
        <v>4</v>
      </c>
    </row>
    <row r="286" spans="4:6" x14ac:dyDescent="0.25">
      <c r="D286" s="11" t="s">
        <v>95</v>
      </c>
      <c r="E286" s="11" t="s">
        <v>112</v>
      </c>
      <c r="F286" s="11">
        <v>3</v>
      </c>
    </row>
    <row r="287" spans="4:6" x14ac:dyDescent="0.25">
      <c r="D287" s="11" t="s">
        <v>99</v>
      </c>
      <c r="E287" s="11" t="s">
        <v>113</v>
      </c>
      <c r="F287" s="11">
        <v>2</v>
      </c>
    </row>
    <row r="288" spans="4:6" x14ac:dyDescent="0.25">
      <c r="D288" s="11" t="s">
        <v>103</v>
      </c>
      <c r="E288" s="11" t="s">
        <v>114</v>
      </c>
      <c r="F288" s="11">
        <v>1</v>
      </c>
    </row>
    <row r="291" spans="4:6" x14ac:dyDescent="0.25">
      <c r="D291" s="1" t="s">
        <v>77</v>
      </c>
    </row>
    <row r="292" spans="4:6" x14ac:dyDescent="0.25">
      <c r="D292" s="11" t="s">
        <v>79</v>
      </c>
      <c r="E292" s="11" t="s">
        <v>78</v>
      </c>
      <c r="F292" s="11" t="s">
        <v>80</v>
      </c>
    </row>
    <row r="293" spans="4:6" x14ac:dyDescent="0.25">
      <c r="D293" s="11" t="s">
        <v>89</v>
      </c>
      <c r="E293" s="11" t="s">
        <v>116</v>
      </c>
      <c r="F293" s="11">
        <v>5</v>
      </c>
    </row>
    <row r="294" spans="4:6" x14ac:dyDescent="0.25">
      <c r="D294" s="11" t="s">
        <v>115</v>
      </c>
      <c r="E294" s="11" t="s">
        <v>117</v>
      </c>
      <c r="F294" s="11">
        <v>4</v>
      </c>
    </row>
    <row r="295" spans="4:6" x14ac:dyDescent="0.25">
      <c r="D295" s="11" t="s">
        <v>96</v>
      </c>
      <c r="E295" s="11" t="s">
        <v>118</v>
      </c>
      <c r="F295" s="11">
        <v>3</v>
      </c>
    </row>
    <row r="296" spans="4:6" x14ac:dyDescent="0.25">
      <c r="D296" s="11" t="s">
        <v>100</v>
      </c>
      <c r="E296" s="11" t="s">
        <v>119</v>
      </c>
      <c r="F296" s="11">
        <v>2</v>
      </c>
    </row>
    <row r="297" spans="4:6" x14ac:dyDescent="0.25">
      <c r="D297" s="11" t="s">
        <v>104</v>
      </c>
      <c r="E297" s="11" t="s">
        <v>120</v>
      </c>
      <c r="F297" s="1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Home</vt:lpstr>
      <vt:lpstr>Input - Data quality</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2026-08-06T23:40:57Z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