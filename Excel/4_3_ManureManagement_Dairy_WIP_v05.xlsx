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3B83FBB7-3746-490B-A195-89FB9AA37F4E}" xr6:coauthVersionLast="47" xr6:coauthVersionMax="47" xr10:uidLastSave="{00000000-0000-0000-0000-000000000000}"/>
  <bookViews>
    <workbookView xWindow="2730" yWindow="2730" windowWidth="21600" windowHeight="12645" firstSheet="13" activeTab="13" xr2:uid="{992023F3-CAB7-4E5B-A348-08D563A0EF40}"/>
  </bookViews>
  <sheets>
    <sheet name="Home" sheetId="71" r:id="rId1"/>
    <sheet name="Results" sheetId="13" r:id="rId2"/>
    <sheet name="Input - Site" sheetId="15" r:id="rId3"/>
    <sheet name="Input - Dairy" sheetId="70" r:id="rId4"/>
    <sheet name="4.3.1.1-2 Methane" sheetId="69" r:id="rId5"/>
    <sheet name="4.3.1.3-4 Direct N20" sheetId="76" r:id="rId6"/>
    <sheet name="4.3.1.5 Atmos deposition" sheetId="82" r:id="rId7"/>
    <sheet name="4.3.1.6-7 Leaching and runoff" sheetId="95" r:id="rId8"/>
    <sheet name="4.3.1.8 Manure applied to soils" sheetId="81" r:id="rId9"/>
    <sheet name="4.3.1.9 Soil direct N2O" sheetId="96" r:id="rId10"/>
    <sheet name="4.3.1.10-11 Soil Atmos Dep" sheetId="97" r:id="rId11"/>
    <sheet name="4.3.1.12-13 Soil leach runoff" sheetId="98" r:id="rId12"/>
    <sheet name="Constants - Dairy" sheetId="79" r:id="rId13"/>
    <sheet name="Constants - Common" sheetId="104" r:id="rId14"/>
    <sheet name="Constants - Livestock" sheetId="43" r:id="rId15"/>
    <sheet name="Acknowledgements" sheetId="72" r:id="rId16"/>
    <sheet name="Tab template" sheetId="74" r:id="rId17"/>
  </sheets>
  <externalReferences>
    <externalReference r:id="rId18"/>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_xlfn.LAMBDA(_xlfn.MAKEARRAY(7, 2, _xlfn.LAMBDA(_xlpm.r,_xlpm.c, INDEX({"N_j124","number of dairy cattle in classes j=1,2,4 (head)";"M_j124","daily enteric methane production for classes j=1,2,4 (kg CH4/head/day)";"D_j124","duration of stay on the farm for classes j=1,2,4 (days)";"N_j35","number of dairy cattle in classes j=3,5 (head)";"M_j35","daily enteric methane production for classes j=3,5 (kg CH4/head/day)";"D_j35","duration of stay on the farm for classes j=3,5 (days)";"MPW_ENTERIC_j35","daily methane production for pre-weaned heifer and bull calves (kg CH4/head/day)"}, _xlpm.r, _xlpm.c))))</definedName>
    <definedName name="EntericMethane_Dairy_Equations.VEERG_3_3_1_1__1_TotalAnnualMethaneFromEntericFermentation_LatexEquation">_xlfn.LAMBDA("E_{enteric}=((N_{j=1,2,4}\times M_{j=1,2,4}\times D_{j=1,2,4})+(N_{j=3,5}\times M_{j=3,5}\times D_{j=3,5})+(N_{j=3,5}\times MPW_{ENTERIC,j=3,5}\times D_{j=3,5}))\times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2, _xlfn.LAMBDA(_xlpm.r,_xlpm.c, INDEX({"I_j","dry matter feed intake (kg DM/head/day)"},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2, _xlfn.LAMBDA(_xlpm.r,_xlpm.c, INDEX({"W_j","liveweight (kg)";"LWG_j","liveweight gain (kg/head/day)";"MR_j","increase in metabolic rate when producing milk (fraction)";"MI_j","additional intake required for milk production (kg DM/head/day)"},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_xlfn.LAMBDA("Minson and McDonald (1987)")</definedName>
    <definedName name="EntericMethane_Dairy_Equations.VEERG_3_3_1_1__3_DryMatterFeedIntake_Source">_xlfn.LAMBDA("VEERG 2026: 3.3.1.1, Equation (3)")</definedName>
    <definedName name="EntericMethane_Dairy_Equations.VEERG_3_3_1_1__3_DryMatterFeedIntake_Title">_xlfn.LAMBDA("Feed intake based on Minson and McDonald (1987)")</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_xlfn.LAMBDA(_xlfn.MAKEARRAY(5, 2, _xlfn.LAMBDA(_xlpm.r,_xlpm.c, INDEX({"MP_j","milk production (L/head/day)";"NE","net energy (MJ net energy/kg milk)";"GEC","gross energy content (MJ/kgDM)";"k","efficiency of metabolizable energy use for milk production (fraction)";"qm_j","metabolisability of the diet (fraction)"},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_xlfn.LAMBDA(_xlfn.MAKEARRAY(3, 2, _xlfn.LAMBDA(_xlpm.r,_xlpm.c, INDEX({"MS_j","daily production of milk solids (kg MS/head/day)";"FC_j","fat content in fat and protein corrected milk (per cent)";"PC_j","protein content in fat and protein corrected milk (per cent)"}, _xlpm.r, _xlpm.c))))</definedName>
    <definedName name="EntericMethane_Dairy_Equations.VEERG_3_3_1_1__5_MilkProductionFromMilkSolids_LatexEquation">_xlfn.LAMBDA("MP_j=MS_j/(0.01\times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2, _xlfn.LAMBDA(_xlpm.r,_xlpm.c, INDEX({"DMD_j","dry matter digestibility expressed as a fraction"}, _xlpm.r, _xlpm.c))))</definedName>
    <definedName name="EntericMethane_Dairy_Equations.VEERG_3_3_1_1__6_MetabolisabilityOfDiet_LatexEquation">_xlfn.LAMBDA("qm_j=0.795\times (DMD_j\times 100)-0.0014")</definedName>
    <definedName name="EntericMethane_Dairy_Equations.VEERG_3_3_1_1__6_MetabolisabilityOfDiet_NIRReference">_xlfn.LAMBDA("Minson and McDonald (1987)")</definedName>
    <definedName name="EntericMethane_Dairy_Equations.VEERG_3_3_1_1__6_MetabolisabilityOfDiet_Source">_xlfn.LAMBDA("VEERG 2026: 3.3.1.1, Equation (6)")</definedName>
    <definedName name="EntericMethane_Dairy_Equations.VEERG_3_3_1_1__6_MetabolisabilityOfDiet_Title">_xlfn.LAMBDA("Metabolisability of the diet based on Minson and McDonald (1987)")</definedName>
    <definedName name="EntericMethane_Dairy_Equations.VEERG_3_3_1_1__6_MetabolisabilityOfDiet_Unit">_xlfn.LAMBDA("fraction")</definedName>
    <definedName name="EntericMethane_Dairy_Equations.VEERG_3_3_1_1__6_MetabolisabilityOfDiet_Variable">_xlfn.LAMBDA("qm_j")</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2, _xlfn.LAMBDA(_xlpm.r,_xlpm.c, INDEX({"MN_ATMOS","mass of N volatilised from MMS (kg N)";"EF_N2O","nitrous oxide emission factor for atmospheric deposition (kg N2O-N/kg N)";"C_N2O","factor to convert elemental mass of N2O to molecular mass";"j","production system";"ir","irrigation method";"r","rainfall region"},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2, _xlfn.LAMBDA(_xlpm.r,_xlpm.c, INDEX({"MN_jm","total nitrogen in each MMS for dairy cattle classes (kg N)";"FracGASM_m","fraction of N volatilised from MMS (fraction)"},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2, _xlfn.LAMBDA(_xlpm.r,_xlpm.c, INDEX({"MNLeach_jm","mass of N lost through leaching and runoff";"EF_leach","nitrous oxide emission factor for leaching and runoff (kg N2O-N/kg N)";"C_N2O","factor to convert elemental mass of N2O to molecular mass"},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2, _xlfn.LAMBDA(_xlpm.r,_xlpm.c, INDEX({"MN_jm4","total nitrogen in solid storage system m=4 (kg N)";"FracWET_i","fraction of N that is available for leaching and runoff from the leaching zone z and irrigation type ir (dimensionless)";"FracLEACH_MS","fraction of N that is lost through leaching and runoff (dimensionless)";"z","location in leaching zone";"j","production system";"ir","irrigation method"},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2, _xlfn.LAMBDA(_xlpm.r,_xlpm.c, INDEX({"MN_jm","total nitrogen in each MMS for dairy cattle classes (kg N)";"EF_m","emission factor for nitrous oxide emissions per MMS (kg N2O-N/kg N)";"FracGASM_m","fraction of N volatilised from MMS";"MNLeach_jm","mass of N lost through leaching and runoff from each MMS (kg N)";"PF_scope","fraction of manure applied to soil within farm boundary"},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2, _xlfn.LAMBDA(_xlpm.r,_xlpm.c, INDEX({"MN_jm","total nitrogen in each MMS for dairy cattle classes (kg N)";"EF_m","emission factor for nitrous oxide emissions per MMS (kg N2O-N/kg N)";"FracGASM_m","fraction of N volatilised from MMS";"MNLeach_jm","mass of N lost through leaching and runoff from each MMS (kg N)";"PF","fraction of manure applied to soil within farm boundary"},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2, _xlfn.LAMBDA(_xlpm.r,_xlpm.c, INDEX({"N_j124","number of dairy cattle in classes j=1,2,4";"M_j124m","methane production from manure of weaned dairy cattle in classes j=1,2,4 in MMS m (kg CH4/head/day)";"D_j124","duration of stay on farm for classes j=1,2,4 (days)";"N_j35","number of dairy cattle in classes j=3,5";"M_j35m","methane production from manure of weaned dairy cattle in classes j=3,5 in MMS m (kg CH4/head/day)";"D_j35","duration of stay on farm for classes j=3,5 (days)";"MPW_manure_j35","methane production from manure of pre-weaned heifer and bull calves (kg CH4/head/day)";"DPW_j35","duration of stay on farm for pre-weaned heifer and bull calves (days)"},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2, _xlfn.LAMBDA(_xlpm.r,_xlpm.c, INDEX({"VS_j","daily volatile solids production per head for dairy cattle (kg/head/day)";"FVS_jmT1","fraction of waste from each class in each management system";"MCF_im","methane conversion factor for temperature zone and MMS";"B_o","emissions potential (m3 CH4/kgVS)";"rho","density of methane (kg/m3)";"i","state"},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2, _xlfn.LAMBDA(_xlpm.r,_xlpm.c, INDEX({"I_j","dry matter feed intake (kgDM/head/day)";"DMD_j","dry matter digestibility";"A","ash content of feed intake"},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2, _xlfn.LAMBDA(_xlpm.r,_xlpm.c, INDEX({"MMS_jm","fraction of manure to each primary MMS for each class prior to solid separation";"SS_m","fraction of volatile solids separated to solid storage for each MMS"},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2, _xlfn.LAMBDA(_xlpm.r,_xlpm.c, INDEX({"MMS_jm4","fraction of volatile solids in solid storage before transfer";"MMS_jm179","fraction of volatile solids in MMS m=1,7,9 before transfer";"SS_m","fraction of volatile solids separated to solid storage for each MMS"},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2, _xlfn.LAMBDA(_xlpm.r,_xlpm.c, INDEX({"MN_jm","total nitrogen in each MMS for dairy cattle classes (kg N)";"EF_m","nitrous oxide emission factor for each MMS (kg N2O-N/kg N deposited)";"C_N2O","factor to convert elemental mass of N2O to molecular mass"},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2, _xlfn.LAMBDA(_xlpm.r,_xlpm.c, INDEX({"AE_j","total nitrogen excreted by each dairy class (kg N)";"MMS_jm","manure management system fraction for class j and system m"},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2, _xlfn.LAMBDA(_xlpm.r,_xlpm.c, INDEX({"N_j124","number of dairy cattle in classes j=1,2,4";"NE_j124","nitrogen excreted by dairy cattle greater than one year old (kg N/head/day)";"D_j124","duration of stay on farm for classes j=1,2,4 (days)"},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2, _xlfn.LAMBDA(_xlpm.r,_xlpm.c, INDEX({"N_j35","number of dairy cattle in classes j=3,5";"NE_j35","nitrogen excreted by weaned dairy cattle less than one year old (kg N/head/day)";"NPW_j35","nitrogen excreted by pre-weaned calves (kg N/head/day)";"D_j35","duration of stay on farm for weaned dairy cattle less than one year old (days)";"DPW_j35","duration of stay on farm for pre-weaned calves (days)"},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2, _xlfn.LAMBDA(_xlpm.r,_xlpm.c, INDEX({"CPI_j","crude protein intake (kg/head/day)";"NR_j","amount of nitrogen retained by the body (kg N/head/day)";"W_j","liveweight (kg)"},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2, _xlfn.LAMBDA(_xlpm.r,_xlpm.c, INDEX({"I_j","dry matter intake (kgDM/head/day)";"CP_j","crude protein content of feed intake (fraction)"},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_xlfn.LAMBDA(_xlfn.MAKEARRAY(4, 2, _xlfn.LAMBDA(_xlpm.r,_xlpm.c, INDEX({"MP_j","milk production (L/head/day)";"L_j","intake relative to maintenance";"Z_j","relative size";"LWG_j","liveweight gain (kg/day)"},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2, _xlfn.LAMBDA(_xlpm.r,_xlpm.c, INDEX({"I_j","dry matter intake (kgDM/head/day)";"W_j","liveweight (kg)";"MR_j","increase in metabolic rate when producing milk";"MI_j","additional intake required for milk production (kgDM/head/day)"},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2, _xlfn.LAMBDA(_xlpm.r,_xlpm.c, INDEX({"W_j","liveweight (kg)";"WR_j","reference weight (kg)"},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2, _xlfn.LAMBDA(_xlpm.r,_xlpm.c, INDEX({"M_vol_m14","mass of nitrogen volatilised from urine and faeces deposited on pasture (kg N)";"EF_N2O","nitrous oxide emission factor for atmospheric deposition (kg N2O-N/kg N)";"C_N2O","factor to convert elemental mass of N2O to molecular mass";"j","production system";"ir","irrigation method";"r","rainfall region"},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2, _xlfn.LAMBDA(_xlpm.r,_xlpm.c, INDEX({"MN_jm14","mass of nitrogen excreted on pasture, range and paddock for each dairy class (kg N)";"FracGASMsoil","fraction of nitrogen volatilised from urine and faeces deposited on pasture ((kg NH3-N + NOx-N)/kg N)"},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2, _xlfn.LAMBDA(_xlpm.r,_xlpm.c, INDEX({"M_leach_m14","mass of nitrogen lost to leaching and runoff from urine and faeces deposited on pasture (kg N)";"EF_leach","nitrous oxide emission factor for leaching and runoff (kg N2O-N/kg N)";"C_N2O","factor to convert elemental mass of N2O to molecular mass"},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2, _xlfn.LAMBDA(_xlpm.r,_xlpm.c, INDEX({"MN_jm14","mass of nitrogen excreted on pasture, range and paddock for each dairy class (kg N)";"FracWet","fraction of N available for leaching and runoff";"FracLEACH","fraction of N lost through leaching and runoff";"z","location in leaching zone";"j","production system";"ir","irrigation method"},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2, _xlfn.LAMBDA(_xlpm.r,_xlpm.c, INDEX({"MN_jm14","mass of nitrogen excreted on pasture, range, and paddock for each dairy cattle class (kg N)";"EF_PRP","emission factor for nitrous oxide emissions for urine and dung deposited on PRP (kg N2O-N/kg N deposited)";"C_N2O","factor to convert elemental mass of N2O to molecular mass";"z","Wet or dry climate zone"},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Range_LivestockStartingValues">#REF!</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(kg DM/head/day) (MRj)")</definedName>
    <definedName name="SourceData_Dairy.SourceData_Dairy_IncreasedMetabolicRateMilk_Unit">_xlfn.LAMBDA("kg DM/head/day")</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79" l="1"/>
  <c r="G8" i="79"/>
  <c r="R190" i="69"/>
  <c r="G189" i="69"/>
  <c r="H44" i="96"/>
  <c r="H14" i="98"/>
  <c r="H14" i="95"/>
  <c r="H39" i="97"/>
  <c r="G62" i="82"/>
  <c r="E30" i="15"/>
  <c r="E33" i="15"/>
  <c r="E32" i="15"/>
  <c r="E31" i="15"/>
  <c r="H45" i="98"/>
  <c r="H40" i="97"/>
  <c r="H45" i="96"/>
  <c r="G44" i="95"/>
  <c r="G63" i="82"/>
  <c r="G257" i="76"/>
  <c r="R50" i="98"/>
  <c r="G50" i="98"/>
  <c r="R48" i="97"/>
  <c r="G48" i="97"/>
  <c r="R56" i="96"/>
  <c r="G56" i="96"/>
  <c r="R55" i="95"/>
  <c r="G55" i="95"/>
  <c r="R71" i="82"/>
  <c r="G71" i="82"/>
  <c r="Q283" i="76"/>
  <c r="G283" i="76"/>
  <c r="G267" i="69"/>
  <c r="R191" i="69"/>
  <c r="G190" i="69"/>
  <c r="S250" i="104" a="1"/>
  <c r="S250" i="104" s="1"/>
  <c r="R250" i="104" a="1"/>
  <c r="R250" i="104" s="1"/>
  <c r="Q250" i="104" a="1"/>
  <c r="Q250" i="104" s="1"/>
  <c r="P250" i="104" a="1"/>
  <c r="P250" i="104" s="1"/>
  <c r="O250" i="104" a="1"/>
  <c r="O250" i="104" s="1"/>
  <c r="N250" i="104" a="1"/>
  <c r="N250" i="104" s="1"/>
  <c r="M250" i="104" a="1"/>
  <c r="M250" i="104" s="1"/>
  <c r="L250" i="104" a="1"/>
  <c r="L250" i="104" s="1"/>
  <c r="K250" i="104" a="1"/>
  <c r="K250" i="104" s="1"/>
  <c r="J250" i="104" a="1"/>
  <c r="J250" i="104" s="1"/>
  <c r="I250" i="104" a="1"/>
  <c r="I250" i="104" s="1"/>
  <c r="H250" i="104" a="1"/>
  <c r="H250" i="104" s="1"/>
  <c r="G250" i="104" a="1"/>
  <c r="G250" i="104" s="1"/>
  <c r="F250" i="104" a="1"/>
  <c r="F250" i="104" s="1"/>
  <c r="E250" i="104" a="1"/>
  <c r="E250" i="104" s="1"/>
  <c r="D250" i="104" a="1"/>
  <c r="D250" i="104" s="1"/>
  <c r="S249" i="104" a="1"/>
  <c r="S249" i="104" s="1"/>
  <c r="R249" i="104" a="1"/>
  <c r="R249" i="104" s="1"/>
  <c r="Q249" i="104" a="1"/>
  <c r="Q249" i="104" s="1"/>
  <c r="P249" i="104" a="1"/>
  <c r="P249" i="104" s="1"/>
  <c r="O249" i="104" a="1"/>
  <c r="O249" i="104" s="1"/>
  <c r="N249" i="104" a="1"/>
  <c r="N249" i="104" s="1"/>
  <c r="M249" i="104" a="1"/>
  <c r="M249" i="104" s="1"/>
  <c r="L249" i="104" a="1"/>
  <c r="L249" i="104" s="1"/>
  <c r="K249" i="104" a="1"/>
  <c r="K249" i="104" s="1"/>
  <c r="J249" i="104" a="1"/>
  <c r="J249" i="104" s="1"/>
  <c r="I249" i="104" a="1"/>
  <c r="I249" i="104" s="1"/>
  <c r="H249" i="104" a="1"/>
  <c r="H249" i="104" s="1"/>
  <c r="G249" i="104" a="1"/>
  <c r="G249" i="104" s="1"/>
  <c r="F249" i="104" a="1"/>
  <c r="F249" i="104" s="1"/>
  <c r="E249" i="104" a="1"/>
  <c r="E249" i="104" s="1"/>
  <c r="D249" i="104" a="1"/>
  <c r="D249" i="104" s="1"/>
  <c r="S248" i="104" a="1"/>
  <c r="S248" i="104" s="1"/>
  <c r="R248" i="104" a="1"/>
  <c r="R248" i="104" s="1"/>
  <c r="Q248" i="104" a="1"/>
  <c r="Q248" i="104" s="1"/>
  <c r="P248" i="104" a="1"/>
  <c r="P248" i="104" s="1"/>
  <c r="O248" i="104" a="1"/>
  <c r="O248" i="104" s="1"/>
  <c r="N248" i="104" a="1"/>
  <c r="N248" i="104" s="1"/>
  <c r="M248" i="104" a="1"/>
  <c r="M248" i="104" s="1"/>
  <c r="L248" i="104" a="1"/>
  <c r="L248" i="104" s="1"/>
  <c r="K248" i="104" a="1"/>
  <c r="K248" i="104" s="1"/>
  <c r="J248" i="104" a="1"/>
  <c r="J248" i="104" s="1"/>
  <c r="I248" i="104" a="1"/>
  <c r="I248" i="104" s="1"/>
  <c r="H248" i="104" a="1"/>
  <c r="H248" i="104" s="1"/>
  <c r="G248" i="104" a="1"/>
  <c r="G248" i="104" s="1"/>
  <c r="F248" i="104" a="1"/>
  <c r="F248" i="104" s="1"/>
  <c r="E248" i="104" a="1"/>
  <c r="E248" i="104" s="1"/>
  <c r="D248" i="104" a="1"/>
  <c r="D248" i="104" s="1"/>
  <c r="S247" i="104" a="1"/>
  <c r="S247" i="104" s="1"/>
  <c r="R247" i="104" a="1"/>
  <c r="R247" i="104" s="1"/>
  <c r="Q247" i="104" a="1"/>
  <c r="Q247" i="104" s="1"/>
  <c r="P247" i="104" a="1"/>
  <c r="P247" i="104" s="1"/>
  <c r="O247" i="104" a="1"/>
  <c r="O247" i="104" s="1"/>
  <c r="N247" i="104" a="1"/>
  <c r="N247" i="104" s="1"/>
  <c r="M247" i="104" a="1"/>
  <c r="M247" i="104" s="1"/>
  <c r="L247" i="104" a="1"/>
  <c r="L247" i="104" s="1"/>
  <c r="K247" i="104" a="1"/>
  <c r="K247" i="104" s="1"/>
  <c r="J247" i="104" a="1"/>
  <c r="J247" i="104" s="1"/>
  <c r="I247" i="104" a="1"/>
  <c r="I247" i="104" s="1"/>
  <c r="H247" i="104" a="1"/>
  <c r="H247" i="104" s="1"/>
  <c r="G247" i="104" a="1"/>
  <c r="G247" i="104" s="1"/>
  <c r="F247" i="104" a="1"/>
  <c r="F247" i="104" s="1"/>
  <c r="E247" i="104" a="1"/>
  <c r="E247" i="104" s="1"/>
  <c r="D247" i="104" a="1"/>
  <c r="D247" i="104" s="1"/>
  <c r="S246" i="104" a="1"/>
  <c r="S246" i="104" s="1"/>
  <c r="R246" i="104" a="1"/>
  <c r="R246" i="104" s="1"/>
  <c r="Q246" i="104" a="1"/>
  <c r="Q246" i="104" s="1"/>
  <c r="P246" i="104" a="1"/>
  <c r="P246" i="104" s="1"/>
  <c r="O246" i="104" a="1"/>
  <c r="O246" i="104" s="1"/>
  <c r="N246" i="104" a="1"/>
  <c r="N246" i="104" s="1"/>
  <c r="M246" i="104" a="1"/>
  <c r="M246" i="104" s="1"/>
  <c r="L246" i="104" a="1"/>
  <c r="L246" i="104" s="1"/>
  <c r="K246" i="104" a="1"/>
  <c r="K246" i="104" s="1"/>
  <c r="J246" i="104" a="1"/>
  <c r="J246" i="104" s="1"/>
  <c r="I246" i="104" a="1"/>
  <c r="I246" i="104" s="1"/>
  <c r="H246" i="104" a="1"/>
  <c r="H246" i="104" s="1"/>
  <c r="G246" i="104" a="1"/>
  <c r="G246" i="104" s="1"/>
  <c r="F246" i="104" a="1"/>
  <c r="F246" i="104" s="1"/>
  <c r="E246" i="104" a="1"/>
  <c r="E246" i="104" s="1"/>
  <c r="D246" i="104" a="1"/>
  <c r="D246" i="104" s="1"/>
  <c r="S245" i="104" a="1"/>
  <c r="S245" i="104" s="1"/>
  <c r="R245" i="104" a="1"/>
  <c r="R245" i="104" s="1"/>
  <c r="Q245" i="104" a="1"/>
  <c r="Q245" i="104" s="1"/>
  <c r="P245" i="104" a="1"/>
  <c r="P245" i="104" s="1"/>
  <c r="O245" i="104" a="1"/>
  <c r="O245" i="104" s="1"/>
  <c r="N245" i="104" a="1"/>
  <c r="N245" i="104" s="1"/>
  <c r="M245" i="104" a="1"/>
  <c r="M245" i="104" s="1"/>
  <c r="L245" i="104" a="1"/>
  <c r="L245" i="104" s="1"/>
  <c r="K245" i="104" a="1"/>
  <c r="K245" i="104" s="1"/>
  <c r="J245" i="104" a="1"/>
  <c r="J245" i="104" s="1"/>
  <c r="I245" i="104" a="1"/>
  <c r="I245" i="104" s="1"/>
  <c r="H245" i="104" a="1"/>
  <c r="H245" i="104" s="1"/>
  <c r="G245" i="104" a="1"/>
  <c r="G245" i="104" s="1"/>
  <c r="F245" i="104" a="1"/>
  <c r="F245" i="104" s="1"/>
  <c r="E245" i="104" a="1"/>
  <c r="E245" i="104" s="1"/>
  <c r="D245" i="104" a="1"/>
  <c r="D245" i="104" s="1"/>
  <c r="S244" i="104" a="1"/>
  <c r="S244" i="104" s="1"/>
  <c r="R244" i="104" a="1"/>
  <c r="R244" i="104" s="1"/>
  <c r="Q244" i="104" a="1"/>
  <c r="Q244" i="104" s="1"/>
  <c r="P244" i="104" a="1"/>
  <c r="P244" i="104" s="1"/>
  <c r="O244" i="104" a="1"/>
  <c r="O244" i="104" s="1"/>
  <c r="N244" i="104" a="1"/>
  <c r="N244" i="104" s="1"/>
  <c r="M244" i="104" a="1"/>
  <c r="M244" i="104" s="1"/>
  <c r="L244" i="104" a="1"/>
  <c r="L244" i="104" s="1"/>
  <c r="K244" i="104" a="1"/>
  <c r="K244" i="104" s="1"/>
  <c r="J244" i="104" a="1"/>
  <c r="J244" i="104" s="1"/>
  <c r="I244" i="104" a="1"/>
  <c r="I244" i="104" s="1"/>
  <c r="H244" i="104" a="1"/>
  <c r="H244" i="104" s="1"/>
  <c r="G244" i="104" a="1"/>
  <c r="G244" i="104" s="1"/>
  <c r="F244" i="104" a="1"/>
  <c r="F244" i="104" s="1"/>
  <c r="E244" i="104" a="1"/>
  <c r="E244" i="104" s="1"/>
  <c r="D244" i="104" a="1"/>
  <c r="D244" i="104" s="1"/>
  <c r="S243" i="104" a="1"/>
  <c r="S243" i="104" s="1"/>
  <c r="R243" i="104" a="1"/>
  <c r="R243" i="104" s="1"/>
  <c r="Q243" i="104" a="1"/>
  <c r="Q243" i="104" s="1"/>
  <c r="P243" i="104" a="1"/>
  <c r="P243" i="104" s="1"/>
  <c r="O243" i="104" a="1"/>
  <c r="O243" i="104" s="1"/>
  <c r="N243" i="104" a="1"/>
  <c r="N243" i="104" s="1"/>
  <c r="M243" i="104" a="1"/>
  <c r="M243" i="104" s="1"/>
  <c r="L243" i="104" a="1"/>
  <c r="L243" i="104" s="1"/>
  <c r="K243" i="104" a="1"/>
  <c r="K243" i="104" s="1"/>
  <c r="J243" i="104" a="1"/>
  <c r="J243" i="104" s="1"/>
  <c r="I243" i="104" a="1"/>
  <c r="I243" i="104" s="1"/>
  <c r="H243" i="104" a="1"/>
  <c r="H243" i="104" s="1"/>
  <c r="G243" i="104" a="1"/>
  <c r="G243" i="104" s="1"/>
  <c r="F243" i="104"/>
  <c r="F243" i="104" a="1"/>
  <c r="E243" i="104" a="1"/>
  <c r="E243" i="104" s="1"/>
  <c r="D243" i="104" a="1"/>
  <c r="D243" i="104" s="1"/>
  <c r="S242" i="104" a="1"/>
  <c r="S242" i="104" s="1"/>
  <c r="R242" i="104" a="1"/>
  <c r="R242" i="104" s="1"/>
  <c r="Q242" i="104" a="1"/>
  <c r="Q242" i="104" s="1"/>
  <c r="P242" i="104" a="1"/>
  <c r="P242" i="104" s="1"/>
  <c r="O242" i="104" a="1"/>
  <c r="O242" i="104" s="1"/>
  <c r="N242" i="104" a="1"/>
  <c r="N242" i="104" s="1"/>
  <c r="M242" i="104" a="1"/>
  <c r="M242" i="104" s="1"/>
  <c r="L242" i="104" a="1"/>
  <c r="L242" i="104" s="1"/>
  <c r="K242" i="104" a="1"/>
  <c r="K242" i="104" s="1"/>
  <c r="J242" i="104" a="1"/>
  <c r="J242" i="104" s="1"/>
  <c r="I242" i="104" a="1"/>
  <c r="I242" i="104" s="1"/>
  <c r="H242" i="104" a="1"/>
  <c r="H242" i="104" s="1"/>
  <c r="G242" i="104" a="1"/>
  <c r="G242" i="104" s="1"/>
  <c r="F242" i="104" a="1"/>
  <c r="F242" i="104" s="1"/>
  <c r="E242" i="104" a="1"/>
  <c r="E242" i="104" s="1"/>
  <c r="D242" i="104" a="1"/>
  <c r="D242" i="104" s="1"/>
  <c r="S241" i="104" a="1"/>
  <c r="S241" i="104" s="1"/>
  <c r="R241" i="104"/>
  <c r="R241" i="104" a="1"/>
  <c r="Q241" i="104" a="1"/>
  <c r="Q241" i="104" s="1"/>
  <c r="P241" i="104" a="1"/>
  <c r="P241" i="104" s="1"/>
  <c r="O241" i="104" a="1"/>
  <c r="O241" i="104" s="1"/>
  <c r="N241" i="104" a="1"/>
  <c r="N241" i="104" s="1"/>
  <c r="M241" i="104" a="1"/>
  <c r="M241" i="104" s="1"/>
  <c r="L241" i="104" a="1"/>
  <c r="L241" i="104" s="1"/>
  <c r="K241" i="104" a="1"/>
  <c r="K241" i="104" s="1"/>
  <c r="J241" i="104" a="1"/>
  <c r="J241" i="104" s="1"/>
  <c r="I241" i="104" a="1"/>
  <c r="I241" i="104" s="1"/>
  <c r="H241" i="104" a="1"/>
  <c r="H241" i="104" s="1"/>
  <c r="G241" i="104" a="1"/>
  <c r="G241" i="104" s="1"/>
  <c r="F241" i="104" a="1"/>
  <c r="F241" i="104" s="1"/>
  <c r="E241" i="104" a="1"/>
  <c r="E241" i="104" s="1"/>
  <c r="D241" i="104" a="1"/>
  <c r="D241" i="104" s="1"/>
  <c r="S240" i="104" a="1"/>
  <c r="S240" i="104" s="1"/>
  <c r="R240" i="104" a="1"/>
  <c r="R240" i="104" s="1"/>
  <c r="Q240" i="104" a="1"/>
  <c r="Q240" i="104" s="1"/>
  <c r="P240" i="104" a="1"/>
  <c r="P240" i="104" s="1"/>
  <c r="O240" i="104" a="1"/>
  <c r="O240" i="104" s="1"/>
  <c r="N240" i="104" a="1"/>
  <c r="N240" i="104" s="1"/>
  <c r="M240" i="104" a="1"/>
  <c r="M240" i="104" s="1"/>
  <c r="L240" i="104" a="1"/>
  <c r="L240" i="104" s="1"/>
  <c r="K240" i="104" a="1"/>
  <c r="K240" i="104" s="1"/>
  <c r="J240" i="104" a="1"/>
  <c r="J240" i="104" s="1"/>
  <c r="I240" i="104" a="1"/>
  <c r="I240" i="104" s="1"/>
  <c r="H240" i="104" a="1"/>
  <c r="H240" i="104" s="1"/>
  <c r="G240" i="104" a="1"/>
  <c r="G240" i="104" s="1"/>
  <c r="F240" i="104" a="1"/>
  <c r="F240" i="104" s="1"/>
  <c r="E240" i="104" a="1"/>
  <c r="E240" i="104" s="1"/>
  <c r="D240" i="104" a="1"/>
  <c r="D240" i="104" s="1"/>
  <c r="S239" i="104" a="1"/>
  <c r="S239" i="104" s="1"/>
  <c r="R239" i="104" a="1"/>
  <c r="R239" i="104" s="1"/>
  <c r="Q239" i="104" a="1"/>
  <c r="Q239" i="104" s="1"/>
  <c r="P239" i="104" a="1"/>
  <c r="P239" i="104" s="1"/>
  <c r="O239" i="104" a="1"/>
  <c r="O239" i="104" s="1"/>
  <c r="N239" i="104" a="1"/>
  <c r="N239" i="104" s="1"/>
  <c r="M239" i="104" a="1"/>
  <c r="M239" i="104" s="1"/>
  <c r="L239" i="104" a="1"/>
  <c r="L239" i="104" s="1"/>
  <c r="K239" i="104" a="1"/>
  <c r="K239" i="104" s="1"/>
  <c r="J239" i="104" a="1"/>
  <c r="J239" i="104" s="1"/>
  <c r="I239" i="104" a="1"/>
  <c r="I239" i="104" s="1"/>
  <c r="H239" i="104" a="1"/>
  <c r="H239" i="104" s="1"/>
  <c r="G239" i="104" a="1"/>
  <c r="G239" i="104" s="1"/>
  <c r="F239" i="104" a="1"/>
  <c r="F239" i="104" s="1"/>
  <c r="E239" i="104" a="1"/>
  <c r="E239" i="104" s="1"/>
  <c r="D239" i="104" a="1"/>
  <c r="D239" i="104" s="1"/>
  <c r="S238" i="104" a="1"/>
  <c r="S238" i="104" s="1"/>
  <c r="R238" i="104" a="1"/>
  <c r="R238" i="104" s="1"/>
  <c r="Q238" i="104" a="1"/>
  <c r="Q238" i="104" s="1"/>
  <c r="P238" i="104" a="1"/>
  <c r="P238" i="104" s="1"/>
  <c r="O238" i="104" a="1"/>
  <c r="O238" i="104" s="1"/>
  <c r="N238" i="104" a="1"/>
  <c r="N238" i="104" s="1"/>
  <c r="M238" i="104" a="1"/>
  <c r="M238" i="104" s="1"/>
  <c r="L238" i="104" a="1"/>
  <c r="L238" i="104" s="1"/>
  <c r="K238" i="104" a="1"/>
  <c r="K238" i="104" s="1"/>
  <c r="J238" i="104" a="1"/>
  <c r="J238" i="104" s="1"/>
  <c r="I238" i="104" a="1"/>
  <c r="I238" i="104" s="1"/>
  <c r="H238" i="104" a="1"/>
  <c r="H238" i="104" s="1"/>
  <c r="G238" i="104" a="1"/>
  <c r="G238" i="104" s="1"/>
  <c r="F238" i="104" a="1"/>
  <c r="F238" i="104" s="1"/>
  <c r="E238" i="104" a="1"/>
  <c r="E238" i="104" s="1"/>
  <c r="D238" i="104" a="1"/>
  <c r="D238" i="104" s="1"/>
  <c r="S237" i="104" a="1"/>
  <c r="S237" i="104" s="1"/>
  <c r="R237" i="104" a="1"/>
  <c r="R237" i="104" s="1"/>
  <c r="Q237" i="104" a="1"/>
  <c r="Q237" i="104" s="1"/>
  <c r="P237" i="104" a="1"/>
  <c r="P237" i="104" s="1"/>
  <c r="O237" i="104" a="1"/>
  <c r="O237" i="104" s="1"/>
  <c r="N237" i="104" a="1"/>
  <c r="N237" i="104" s="1"/>
  <c r="M237" i="104" a="1"/>
  <c r="M237" i="104" s="1"/>
  <c r="L237" i="104" a="1"/>
  <c r="L237" i="104" s="1"/>
  <c r="K237" i="104" a="1"/>
  <c r="K237" i="104" s="1"/>
  <c r="J237" i="104" a="1"/>
  <c r="J237" i="104" s="1"/>
  <c r="I237" i="104" a="1"/>
  <c r="I237" i="104" s="1"/>
  <c r="H237" i="104" a="1"/>
  <c r="H237" i="104" s="1"/>
  <c r="G237" i="104" a="1"/>
  <c r="G237" i="104" s="1"/>
  <c r="F237" i="104" a="1"/>
  <c r="F237" i="104" s="1"/>
  <c r="E237" i="104" a="1"/>
  <c r="E237" i="104" s="1"/>
  <c r="D237" i="104" a="1"/>
  <c r="D237" i="104" s="1"/>
  <c r="S236" i="104" a="1"/>
  <c r="S236" i="104" s="1"/>
  <c r="R236" i="104" a="1"/>
  <c r="R236" i="104" s="1"/>
  <c r="Q236" i="104" a="1"/>
  <c r="Q236" i="104" s="1"/>
  <c r="P236" i="104" a="1"/>
  <c r="P236" i="104" s="1"/>
  <c r="O236" i="104" a="1"/>
  <c r="O236" i="104" s="1"/>
  <c r="N236" i="104" a="1"/>
  <c r="N236" i="104" s="1"/>
  <c r="M236" i="104" a="1"/>
  <c r="M236" i="104" s="1"/>
  <c r="L236" i="104" a="1"/>
  <c r="L236" i="104" s="1"/>
  <c r="K236" i="104" a="1"/>
  <c r="K236" i="104" s="1"/>
  <c r="J236" i="104" a="1"/>
  <c r="J236" i="104" s="1"/>
  <c r="I236" i="104" a="1"/>
  <c r="I236" i="104" s="1"/>
  <c r="H236" i="104" a="1"/>
  <c r="H236" i="104" s="1"/>
  <c r="G236" i="104" a="1"/>
  <c r="G236" i="104" s="1"/>
  <c r="F236" i="104" a="1"/>
  <c r="F236" i="104" s="1"/>
  <c r="E236" i="104" a="1"/>
  <c r="E236" i="104" s="1"/>
  <c r="D236" i="104" a="1"/>
  <c r="D236" i="104" s="1"/>
  <c r="S235" i="104" a="1"/>
  <c r="S235" i="104" s="1"/>
  <c r="R235" i="104" a="1"/>
  <c r="R235" i="104" s="1"/>
  <c r="Q235" i="104" a="1"/>
  <c r="Q235" i="104" s="1"/>
  <c r="P235" i="104" a="1"/>
  <c r="P235" i="104" s="1"/>
  <c r="O235" i="104" a="1"/>
  <c r="O235" i="104" s="1"/>
  <c r="N235" i="104" a="1"/>
  <c r="N235" i="104" s="1"/>
  <c r="M235" i="104" a="1"/>
  <c r="M235" i="104" s="1"/>
  <c r="L235" i="104" a="1"/>
  <c r="L235" i="104" s="1"/>
  <c r="K235" i="104" a="1"/>
  <c r="K235" i="104" s="1"/>
  <c r="J235" i="104" a="1"/>
  <c r="J235" i="104" s="1"/>
  <c r="I235" i="104" a="1"/>
  <c r="I235" i="104" s="1"/>
  <c r="H235" i="104" a="1"/>
  <c r="H235" i="104" s="1"/>
  <c r="G235" i="104" a="1"/>
  <c r="G235" i="104" s="1"/>
  <c r="F235" i="104" a="1"/>
  <c r="F235" i="104" s="1"/>
  <c r="E235" i="104" a="1"/>
  <c r="E235" i="104" s="1"/>
  <c r="D235" i="104" a="1"/>
  <c r="D235" i="104" s="1"/>
  <c r="S234" i="104" a="1"/>
  <c r="S234" i="104" s="1"/>
  <c r="R234" i="104" a="1"/>
  <c r="R234" i="104" s="1"/>
  <c r="Q234" i="104" a="1"/>
  <c r="Q234" i="104" s="1"/>
  <c r="P234" i="104" a="1"/>
  <c r="P234" i="104" s="1"/>
  <c r="O234" i="104" a="1"/>
  <c r="O234" i="104" s="1"/>
  <c r="N234" i="104" a="1"/>
  <c r="N234" i="104" s="1"/>
  <c r="M234" i="104" a="1"/>
  <c r="M234" i="104" s="1"/>
  <c r="L234" i="104" a="1"/>
  <c r="L234" i="104" s="1"/>
  <c r="K234" i="104" a="1"/>
  <c r="K234" i="104" s="1"/>
  <c r="J234" i="104" a="1"/>
  <c r="J234" i="104" s="1"/>
  <c r="I234" i="104" a="1"/>
  <c r="I234" i="104" s="1"/>
  <c r="H234" i="104" a="1"/>
  <c r="H234" i="104" s="1"/>
  <c r="G234" i="104" a="1"/>
  <c r="G234" i="104" s="1"/>
  <c r="F234" i="104" a="1"/>
  <c r="F234" i="104" s="1"/>
  <c r="E234" i="104" a="1"/>
  <c r="E234" i="104" s="1"/>
  <c r="D234" i="104" a="1"/>
  <c r="D234" i="104" s="1"/>
  <c r="S233" i="104" a="1"/>
  <c r="S233" i="104" s="1"/>
  <c r="R233" i="104" a="1"/>
  <c r="R233" i="104" s="1"/>
  <c r="Q233" i="104" a="1"/>
  <c r="Q233" i="104" s="1"/>
  <c r="P233" i="104" a="1"/>
  <c r="P233" i="104" s="1"/>
  <c r="O233" i="104" a="1"/>
  <c r="O233" i="104" s="1"/>
  <c r="N233" i="104" a="1"/>
  <c r="N233" i="104" s="1"/>
  <c r="M233" i="104" a="1"/>
  <c r="M233" i="104" s="1"/>
  <c r="L233" i="104" a="1"/>
  <c r="L233" i="104" s="1"/>
  <c r="K233" i="104" a="1"/>
  <c r="K233" i="104" s="1"/>
  <c r="J233" i="104" a="1"/>
  <c r="J233" i="104" s="1"/>
  <c r="I233" i="104" a="1"/>
  <c r="I233" i="104" s="1"/>
  <c r="H233" i="104" a="1"/>
  <c r="H233" i="104" s="1"/>
  <c r="G233" i="104" a="1"/>
  <c r="G233" i="104" s="1"/>
  <c r="F233" i="104" a="1"/>
  <c r="F233" i="104" s="1"/>
  <c r="E233" i="104" a="1"/>
  <c r="E233" i="104" s="1"/>
  <c r="D233" i="104" a="1"/>
  <c r="D233" i="104" s="1"/>
  <c r="S232" i="104" a="1"/>
  <c r="S232" i="104" s="1"/>
  <c r="R232" i="104" a="1"/>
  <c r="R232" i="104" s="1"/>
  <c r="Q232" i="104" a="1"/>
  <c r="Q232" i="104" s="1"/>
  <c r="P232" i="104" a="1"/>
  <c r="P232" i="104" s="1"/>
  <c r="O232" i="104" a="1"/>
  <c r="O232" i="104" s="1"/>
  <c r="N232" i="104" a="1"/>
  <c r="N232" i="104" s="1"/>
  <c r="M232" i="104" a="1"/>
  <c r="M232" i="104" s="1"/>
  <c r="L232" i="104" a="1"/>
  <c r="L232" i="104" s="1"/>
  <c r="K232" i="104" a="1"/>
  <c r="K232" i="104" s="1"/>
  <c r="J232" i="104" a="1"/>
  <c r="J232" i="104" s="1"/>
  <c r="I232" i="104" a="1"/>
  <c r="I232" i="104" s="1"/>
  <c r="H232" i="104" a="1"/>
  <c r="H232" i="104" s="1"/>
  <c r="G232" i="104" a="1"/>
  <c r="G232" i="104" s="1"/>
  <c r="F232" i="104" a="1"/>
  <c r="F232" i="104" s="1"/>
  <c r="E232" i="104" a="1"/>
  <c r="E232" i="104" s="1"/>
  <c r="D232" i="104" a="1"/>
  <c r="D232" i="104" s="1"/>
  <c r="D229" i="104" a="1"/>
  <c r="D229" i="104" s="1"/>
  <c r="D228" i="104" a="1"/>
  <c r="D228" i="104" s="1"/>
  <c r="D227" i="104" a="1"/>
  <c r="D227" i="104" s="1"/>
  <c r="E224" i="104" a="1"/>
  <c r="E224" i="104" s="1"/>
  <c r="D224" i="104" a="1"/>
  <c r="D224" i="104" s="1"/>
  <c r="E223" i="104" a="1"/>
  <c r="E223" i="104" s="1"/>
  <c r="D223" i="104" a="1"/>
  <c r="D223" i="104" s="1"/>
  <c r="E222" i="104" a="1"/>
  <c r="E222" i="104" s="1"/>
  <c r="D222" i="104" a="1"/>
  <c r="D222" i="104" s="1"/>
  <c r="E221" i="104" a="1"/>
  <c r="E221" i="104" s="1"/>
  <c r="D221" i="104" a="1"/>
  <c r="D221" i="104" s="1"/>
  <c r="E220" i="104" a="1"/>
  <c r="E220" i="104" s="1"/>
  <c r="D220" i="104" a="1"/>
  <c r="D220" i="104" s="1"/>
  <c r="E219" i="104" a="1"/>
  <c r="E219" i="104" s="1"/>
  <c r="D219" i="104" a="1"/>
  <c r="D219" i="104" s="1"/>
  <c r="E218" i="104" a="1"/>
  <c r="E218" i="104" s="1"/>
  <c r="D218" i="104" a="1"/>
  <c r="D218" i="104" s="1"/>
  <c r="E217" i="104" a="1"/>
  <c r="E217" i="104" s="1"/>
  <c r="D217" i="104" a="1"/>
  <c r="D217" i="104" s="1"/>
  <c r="E216" i="104" a="1"/>
  <c r="E216" i="104" s="1"/>
  <c r="D216" i="104" a="1"/>
  <c r="D216" i="104" s="1"/>
  <c r="E215" i="104" a="1"/>
  <c r="E215" i="104" s="1"/>
  <c r="D215" i="104" a="1"/>
  <c r="D215" i="104" s="1"/>
  <c r="E214" i="104" a="1"/>
  <c r="E214" i="104" s="1"/>
  <c r="D214" i="104" a="1"/>
  <c r="D214" i="104" s="1"/>
  <c r="E213" i="104" a="1"/>
  <c r="E213" i="104" s="1"/>
  <c r="D213" i="104" a="1"/>
  <c r="D213" i="104" s="1"/>
  <c r="D211" i="104" a="1"/>
  <c r="D211" i="104" s="1"/>
  <c r="E208" i="104" a="1"/>
  <c r="E208" i="104" s="1"/>
  <c r="D208" i="104" a="1"/>
  <c r="D208" i="104" s="1"/>
  <c r="E207" i="104" a="1"/>
  <c r="E207" i="104" s="1"/>
  <c r="D207" i="104" a="1"/>
  <c r="D207" i="104" s="1"/>
  <c r="D205" i="104" a="1"/>
  <c r="D205" i="104" s="1"/>
  <c r="D204" i="104" a="1"/>
  <c r="D204" i="104" s="1"/>
  <c r="D203" i="104" a="1"/>
  <c r="D203" i="104" s="1"/>
  <c r="D202" i="104"/>
  <c r="D202" i="104" a="1"/>
  <c r="H199" i="104" a="1"/>
  <c r="H199" i="104" s="1"/>
  <c r="G199" i="104" a="1"/>
  <c r="G199" i="104" s="1"/>
  <c r="F199" i="104" a="1"/>
  <c r="F199" i="104" s="1"/>
  <c r="E199" i="104" a="1"/>
  <c r="E199" i="104" s="1"/>
  <c r="D199" i="104" a="1"/>
  <c r="D199" i="104" s="1"/>
  <c r="H198" i="104" a="1"/>
  <c r="H198" i="104" s="1"/>
  <c r="G198" i="104" a="1"/>
  <c r="G198" i="104" s="1"/>
  <c r="F198" i="104" a="1"/>
  <c r="F198" i="104" s="1"/>
  <c r="E198" i="104" a="1"/>
  <c r="E198" i="104" s="1"/>
  <c r="D198" i="104" a="1"/>
  <c r="D198" i="104" s="1"/>
  <c r="H197" i="104" a="1"/>
  <c r="H197" i="104" s="1"/>
  <c r="G197" i="104" a="1"/>
  <c r="G197" i="104" s="1"/>
  <c r="F197" i="104" a="1"/>
  <c r="F197" i="104" s="1"/>
  <c r="E197" i="104" a="1"/>
  <c r="E197" i="104" s="1"/>
  <c r="D197" i="104" a="1"/>
  <c r="D197" i="104" s="1"/>
  <c r="H196" i="104" a="1"/>
  <c r="H196" i="104" s="1"/>
  <c r="G196" i="104" a="1"/>
  <c r="G196" i="104" s="1"/>
  <c r="F196" i="104" a="1"/>
  <c r="F196" i="104" s="1"/>
  <c r="E196" i="104" a="1"/>
  <c r="E196" i="104" s="1"/>
  <c r="D196" i="104" a="1"/>
  <c r="D196" i="104" s="1"/>
  <c r="H195" i="104" a="1"/>
  <c r="H195" i="104" s="1"/>
  <c r="G195" i="104" a="1"/>
  <c r="G195" i="104" s="1"/>
  <c r="F195" i="104" a="1"/>
  <c r="F195" i="104" s="1"/>
  <c r="E195" i="104" a="1"/>
  <c r="E195" i="104" s="1"/>
  <c r="D195" i="104" a="1"/>
  <c r="D195" i="104" s="1"/>
  <c r="H194" i="104" a="1"/>
  <c r="H194" i="104" s="1"/>
  <c r="G194" i="104" a="1"/>
  <c r="G194" i="104" s="1"/>
  <c r="F194" i="104" a="1"/>
  <c r="F194" i="104" s="1"/>
  <c r="E194" i="104" a="1"/>
  <c r="E194" i="104" s="1"/>
  <c r="D194" i="104" a="1"/>
  <c r="D194" i="104" s="1"/>
  <c r="H193" i="104" a="1"/>
  <c r="H193" i="104" s="1"/>
  <c r="G193" i="104" a="1"/>
  <c r="G193" i="104" s="1"/>
  <c r="F193" i="104" a="1"/>
  <c r="F193" i="104" s="1"/>
  <c r="E193" i="104" a="1"/>
  <c r="E193" i="104" s="1"/>
  <c r="D193" i="104" a="1"/>
  <c r="D193" i="104" s="1"/>
  <c r="H192" i="104" a="1"/>
  <c r="H192" i="104" s="1"/>
  <c r="G192" i="104" a="1"/>
  <c r="G192" i="104" s="1"/>
  <c r="F192" i="104" a="1"/>
  <c r="F192" i="104" s="1"/>
  <c r="E192" i="104" a="1"/>
  <c r="E192" i="104" s="1"/>
  <c r="D192" i="104" a="1"/>
  <c r="D192" i="104" s="1"/>
  <c r="H191" i="104" a="1"/>
  <c r="H191" i="104" s="1"/>
  <c r="G191" i="104" a="1"/>
  <c r="G191" i="104" s="1"/>
  <c r="F191" i="104" a="1"/>
  <c r="F191" i="104" s="1"/>
  <c r="E191" i="104" a="1"/>
  <c r="E191" i="104" s="1"/>
  <c r="D191" i="104" a="1"/>
  <c r="D191" i="104" s="1"/>
  <c r="H190" i="104" a="1"/>
  <c r="H190" i="104" s="1"/>
  <c r="G190" i="104" a="1"/>
  <c r="G190" i="104" s="1"/>
  <c r="F190" i="104" a="1"/>
  <c r="F190" i="104" s="1"/>
  <c r="E190" i="104" a="1"/>
  <c r="E190" i="104" s="1"/>
  <c r="D190" i="104" a="1"/>
  <c r="D190" i="104" s="1"/>
  <c r="H189" i="104" a="1"/>
  <c r="H189" i="104" s="1"/>
  <c r="G189" i="104" a="1"/>
  <c r="G189" i="104" s="1"/>
  <c r="F189" i="104" a="1"/>
  <c r="F189" i="104" s="1"/>
  <c r="E189" i="104" a="1"/>
  <c r="E189" i="104" s="1"/>
  <c r="D189" i="104" a="1"/>
  <c r="D189" i="104" s="1"/>
  <c r="H188" i="104" a="1"/>
  <c r="H188" i="104" s="1"/>
  <c r="G188" i="104" a="1"/>
  <c r="G188" i="104" s="1"/>
  <c r="F188" i="104" a="1"/>
  <c r="F188" i="104" s="1"/>
  <c r="E188" i="104" a="1"/>
  <c r="E188" i="104" s="1"/>
  <c r="D188" i="104" a="1"/>
  <c r="D188" i="104" s="1"/>
  <c r="H187" i="104" a="1"/>
  <c r="H187" i="104" s="1"/>
  <c r="G187" i="104" a="1"/>
  <c r="G187" i="104" s="1"/>
  <c r="F187" i="104" a="1"/>
  <c r="F187" i="104" s="1"/>
  <c r="E187" i="104" a="1"/>
  <c r="E187" i="104" s="1"/>
  <c r="D187" i="104" a="1"/>
  <c r="D187" i="104" s="1"/>
  <c r="D181" i="104" a="1"/>
  <c r="D181" i="104" s="1"/>
  <c r="D180" i="104" a="1"/>
  <c r="D180" i="104" s="1"/>
  <c r="D179" i="104" a="1"/>
  <c r="D179" i="104" s="1"/>
  <c r="D178" i="104" a="1"/>
  <c r="D178" i="104" s="1"/>
  <c r="E175" i="104" a="1"/>
  <c r="E175" i="104" s="1"/>
  <c r="D175" i="104" a="1"/>
  <c r="D175" i="104" s="1"/>
  <c r="D174" i="104" a="1"/>
  <c r="D174" i="104" s="1"/>
  <c r="D173" i="104" a="1"/>
  <c r="D173" i="104" s="1"/>
  <c r="D170" i="104" a="1"/>
  <c r="D170" i="104" s="1"/>
  <c r="D169" i="104" a="1"/>
  <c r="D169" i="104" s="1"/>
  <c r="D168" i="104" a="1"/>
  <c r="D168" i="104" s="1"/>
  <c r="D167" i="104" a="1"/>
  <c r="D167" i="104" s="1"/>
  <c r="D164" i="104" a="1"/>
  <c r="D164" i="104" s="1"/>
  <c r="D163" i="104" a="1"/>
  <c r="D163" i="104" s="1"/>
  <c r="D162" i="104"/>
  <c r="D162" i="104" a="1"/>
  <c r="D161" i="104" a="1"/>
  <c r="D161" i="104" s="1"/>
  <c r="E158" i="104" a="1"/>
  <c r="E158" i="104" s="1"/>
  <c r="D158" i="104" a="1"/>
  <c r="D158" i="104" s="1"/>
  <c r="E157" i="104" a="1"/>
  <c r="E157" i="104" s="1"/>
  <c r="D157" i="104" a="1"/>
  <c r="D157" i="104" s="1"/>
  <c r="E156" i="104" a="1"/>
  <c r="E156" i="104" s="1"/>
  <c r="D156" i="104" a="1"/>
  <c r="D156" i="104" s="1"/>
  <c r="E155" i="104" a="1"/>
  <c r="E155" i="104" s="1"/>
  <c r="D155" i="104" a="1"/>
  <c r="D155" i="104" s="1"/>
  <c r="E154" i="104" a="1"/>
  <c r="E154" i="104" s="1"/>
  <c r="D154" i="104" a="1"/>
  <c r="D154" i="104" s="1"/>
  <c r="D151" i="104" a="1"/>
  <c r="D151" i="104" s="1"/>
  <c r="D150" i="104" a="1"/>
  <c r="D150" i="104" s="1"/>
  <c r="E147" i="104" a="1"/>
  <c r="E147" i="104" s="1"/>
  <c r="D147" i="104" a="1"/>
  <c r="D147" i="104" s="1"/>
  <c r="E146" i="104" a="1"/>
  <c r="E146" i="104" s="1"/>
  <c r="D146" i="104" a="1"/>
  <c r="D146" i="104" s="1"/>
  <c r="E145" i="104" a="1"/>
  <c r="E145" i="104" s="1"/>
  <c r="D145" i="104" a="1"/>
  <c r="D145" i="104" s="1"/>
  <c r="E144" i="104" a="1"/>
  <c r="E144" i="104" s="1"/>
  <c r="D144" i="104" a="1"/>
  <c r="D144" i="104" s="1"/>
  <c r="E143" i="104" a="1"/>
  <c r="E143" i="104" s="1"/>
  <c r="D143" i="104" a="1"/>
  <c r="D143" i="104" s="1"/>
  <c r="D141" i="104" a="1"/>
  <c r="D141" i="104" s="1"/>
  <c r="D140" i="104"/>
  <c r="D140" i="104" a="1"/>
  <c r="D139" i="104" a="1"/>
  <c r="D139" i="104" s="1"/>
  <c r="E136" i="104" a="1"/>
  <c r="E136" i="104" s="1"/>
  <c r="D136" i="104" a="1"/>
  <c r="D136" i="104" s="1"/>
  <c r="E135" i="104" a="1"/>
  <c r="E135" i="104" s="1"/>
  <c r="D135" i="104" a="1"/>
  <c r="D135" i="104" s="1"/>
  <c r="D133" i="104" a="1"/>
  <c r="D133" i="104" s="1"/>
  <c r="D132" i="104" a="1"/>
  <c r="D132" i="104" s="1"/>
  <c r="E129" i="104" a="1"/>
  <c r="E129" i="104" s="1"/>
  <c r="D129" i="104" a="1"/>
  <c r="D129" i="104" s="1"/>
  <c r="E128" i="104" a="1"/>
  <c r="E128" i="104" s="1"/>
  <c r="D128" i="104" a="1"/>
  <c r="D128" i="104" s="1"/>
  <c r="D125" i="104" a="1"/>
  <c r="D125" i="104" s="1"/>
  <c r="D124" i="104" a="1"/>
  <c r="D124" i="104" s="1"/>
  <c r="G121" i="104" a="1"/>
  <c r="G121" i="104" s="1"/>
  <c r="F121" i="104" a="1"/>
  <c r="F121" i="104" s="1"/>
  <c r="E121" i="104" a="1"/>
  <c r="E121" i="104" s="1"/>
  <c r="D121" i="104" a="1"/>
  <c r="D121" i="104" s="1"/>
  <c r="G120" i="104" a="1"/>
  <c r="G120" i="104" s="1"/>
  <c r="F120" i="104" a="1"/>
  <c r="F120" i="104" s="1"/>
  <c r="E120" i="104" a="1"/>
  <c r="E120" i="104" s="1"/>
  <c r="D120" i="104" a="1"/>
  <c r="D120" i="104" s="1"/>
  <c r="D117" i="104" a="1"/>
  <c r="D117" i="104" s="1"/>
  <c r="D116" i="104" a="1"/>
  <c r="D116" i="104" s="1"/>
  <c r="D115" i="104"/>
  <c r="D115" i="104" a="1"/>
  <c r="G112" i="104" a="1"/>
  <c r="G112" i="104" s="1"/>
  <c r="F112" i="104" a="1"/>
  <c r="F112" i="104" s="1"/>
  <c r="E112" i="104" a="1"/>
  <c r="E112" i="104" s="1"/>
  <c r="D112" i="104" a="1"/>
  <c r="D112" i="104" s="1"/>
  <c r="G111" i="104" a="1"/>
  <c r="G111" i="104" s="1"/>
  <c r="F111" i="104" a="1"/>
  <c r="F111" i="104" s="1"/>
  <c r="E111" i="104" a="1"/>
  <c r="E111" i="104" s="1"/>
  <c r="D111" i="104" a="1"/>
  <c r="D111" i="104" s="1"/>
  <c r="G110" i="104" a="1"/>
  <c r="G110" i="104" s="1"/>
  <c r="F110" i="104" a="1"/>
  <c r="F110" i="104" s="1"/>
  <c r="E110" i="104" a="1"/>
  <c r="E110" i="104" s="1"/>
  <c r="D110" i="104" a="1"/>
  <c r="D110" i="104" s="1"/>
  <c r="D107" i="104" a="1"/>
  <c r="D107" i="104" s="1"/>
  <c r="D106" i="104" a="1"/>
  <c r="D106" i="104" s="1"/>
  <c r="D105" i="104" a="1"/>
  <c r="D105" i="104" s="1"/>
  <c r="D98" i="104" a="1"/>
  <c r="D98" i="104" s="1"/>
  <c r="S97" i="104" a="1"/>
  <c r="S97" i="104" s="1"/>
  <c r="R97" i="104" a="1"/>
  <c r="R97" i="104" s="1"/>
  <c r="Q97" i="104" a="1"/>
  <c r="Q97" i="104" s="1"/>
  <c r="P97" i="104" a="1"/>
  <c r="P97" i="104" s="1"/>
  <c r="O97" i="104" a="1"/>
  <c r="O97" i="104" s="1"/>
  <c r="N97" i="104" a="1"/>
  <c r="N97" i="104" s="1"/>
  <c r="M97" i="104" a="1"/>
  <c r="M97" i="104" s="1"/>
  <c r="L97" i="104" a="1"/>
  <c r="L97" i="104" s="1"/>
  <c r="K97" i="104" a="1"/>
  <c r="K97" i="104" s="1"/>
  <c r="J97" i="104" a="1"/>
  <c r="J97" i="104" s="1"/>
  <c r="I97" i="104" a="1"/>
  <c r="I97" i="104" s="1"/>
  <c r="H97" i="104" a="1"/>
  <c r="H97" i="104" s="1"/>
  <c r="G97" i="104" a="1"/>
  <c r="G97" i="104" s="1"/>
  <c r="F97" i="104" a="1"/>
  <c r="F97" i="104" s="1"/>
  <c r="E97" i="104" a="1"/>
  <c r="E97" i="104" s="1"/>
  <c r="D97" i="104" a="1"/>
  <c r="D97" i="104" s="1"/>
  <c r="S96" i="104" a="1"/>
  <c r="S96" i="104" s="1"/>
  <c r="R96" i="104" a="1"/>
  <c r="R96" i="104" s="1"/>
  <c r="Q96" i="104" a="1"/>
  <c r="Q96" i="104" s="1"/>
  <c r="P96" i="104" a="1"/>
  <c r="P96" i="104" s="1"/>
  <c r="O96" i="104" a="1"/>
  <c r="O96" i="104" s="1"/>
  <c r="N96" i="104" a="1"/>
  <c r="N96" i="104" s="1"/>
  <c r="M96" i="104" a="1"/>
  <c r="M96" i="104" s="1"/>
  <c r="L96" i="104" a="1"/>
  <c r="L96" i="104" s="1"/>
  <c r="K96" i="104" a="1"/>
  <c r="K96" i="104" s="1"/>
  <c r="J96" i="104" a="1"/>
  <c r="J96" i="104" s="1"/>
  <c r="I96" i="104" a="1"/>
  <c r="I96" i="104" s="1"/>
  <c r="H96" i="104" a="1"/>
  <c r="H96" i="104" s="1"/>
  <c r="G96" i="104" a="1"/>
  <c r="G96" i="104" s="1"/>
  <c r="F96" i="104" a="1"/>
  <c r="F96" i="104" s="1"/>
  <c r="E96" i="104" a="1"/>
  <c r="E96" i="104" s="1"/>
  <c r="D96" i="104" a="1"/>
  <c r="D96" i="104" s="1"/>
  <c r="S95" i="104" a="1"/>
  <c r="S95" i="104" s="1"/>
  <c r="R95" i="104" a="1"/>
  <c r="R95" i="104" s="1"/>
  <c r="Q95" i="104" a="1"/>
  <c r="Q95" i="104" s="1"/>
  <c r="P95" i="104" a="1"/>
  <c r="P95" i="104" s="1"/>
  <c r="O95" i="104" a="1"/>
  <c r="O95" i="104" s="1"/>
  <c r="N95" i="104" a="1"/>
  <c r="N95" i="104" s="1"/>
  <c r="M95" i="104" a="1"/>
  <c r="M95" i="104" s="1"/>
  <c r="L95" i="104" a="1"/>
  <c r="L95" i="104" s="1"/>
  <c r="K95" i="104" a="1"/>
  <c r="K95" i="104" s="1"/>
  <c r="J95" i="104" a="1"/>
  <c r="J95" i="104" s="1"/>
  <c r="I95" i="104" a="1"/>
  <c r="I95" i="104" s="1"/>
  <c r="H95" i="104" a="1"/>
  <c r="H95" i="104" s="1"/>
  <c r="G95" i="104" a="1"/>
  <c r="G95" i="104" s="1"/>
  <c r="F95" i="104" a="1"/>
  <c r="F95" i="104" s="1"/>
  <c r="E95" i="104" a="1"/>
  <c r="E95" i="104" s="1"/>
  <c r="D95" i="104" a="1"/>
  <c r="D95" i="104" s="1"/>
  <c r="S94" i="104" a="1"/>
  <c r="S94" i="104" s="1"/>
  <c r="R94" i="104" a="1"/>
  <c r="R94" i="104" s="1"/>
  <c r="Q94" i="104" a="1"/>
  <c r="Q94" i="104" s="1"/>
  <c r="P94" i="104" a="1"/>
  <c r="P94" i="104" s="1"/>
  <c r="O94" i="104" a="1"/>
  <c r="O94" i="104" s="1"/>
  <c r="N94" i="104" a="1"/>
  <c r="N94" i="104" s="1"/>
  <c r="M94" i="104" a="1"/>
  <c r="M94" i="104" s="1"/>
  <c r="L94" i="104" a="1"/>
  <c r="L94" i="104" s="1"/>
  <c r="K94" i="104" a="1"/>
  <c r="K94" i="104" s="1"/>
  <c r="J94" i="104" a="1"/>
  <c r="J94" i="104" s="1"/>
  <c r="I94" i="104" a="1"/>
  <c r="I94" i="104" s="1"/>
  <c r="H94" i="104" a="1"/>
  <c r="H94" i="104" s="1"/>
  <c r="G94" i="104" a="1"/>
  <c r="G94" i="104" s="1"/>
  <c r="F94" i="104" a="1"/>
  <c r="F94" i="104" s="1"/>
  <c r="E94" i="104" a="1"/>
  <c r="E94" i="104" s="1"/>
  <c r="D94" i="104" a="1"/>
  <c r="D94" i="104" s="1"/>
  <c r="S93" i="104" a="1"/>
  <c r="S93" i="104" s="1"/>
  <c r="R93" i="104" a="1"/>
  <c r="R93" i="104" s="1"/>
  <c r="Q93" i="104" a="1"/>
  <c r="Q93" i="104" s="1"/>
  <c r="P93" i="104" a="1"/>
  <c r="P93" i="104" s="1"/>
  <c r="O93" i="104" a="1"/>
  <c r="O93" i="104" s="1"/>
  <c r="N93" i="104" a="1"/>
  <c r="N93" i="104" s="1"/>
  <c r="M93" i="104" a="1"/>
  <c r="M93" i="104" s="1"/>
  <c r="L93" i="104" a="1"/>
  <c r="L93" i="104" s="1"/>
  <c r="K93" i="104" a="1"/>
  <c r="K93" i="104" s="1"/>
  <c r="J93" i="104" a="1"/>
  <c r="J93" i="104" s="1"/>
  <c r="I93" i="104" a="1"/>
  <c r="I93" i="104" s="1"/>
  <c r="H93" i="104" a="1"/>
  <c r="H93" i="104" s="1"/>
  <c r="G93" i="104" a="1"/>
  <c r="G93" i="104" s="1"/>
  <c r="F93" i="104" a="1"/>
  <c r="F93" i="104" s="1"/>
  <c r="E93" i="104" a="1"/>
  <c r="E93" i="104" s="1"/>
  <c r="D93" i="104" a="1"/>
  <c r="D93" i="104" s="1"/>
  <c r="S92" i="104" a="1"/>
  <c r="S92" i="104" s="1"/>
  <c r="R92" i="104" a="1"/>
  <c r="R92" i="104" s="1"/>
  <c r="Q92" i="104" a="1"/>
  <c r="Q92" i="104" s="1"/>
  <c r="P92" i="104" a="1"/>
  <c r="P92" i="104" s="1"/>
  <c r="O92" i="104" a="1"/>
  <c r="O92" i="104" s="1"/>
  <c r="N92" i="104" a="1"/>
  <c r="N92" i="104" s="1"/>
  <c r="M92" i="104" a="1"/>
  <c r="M92" i="104" s="1"/>
  <c r="L92" i="104" a="1"/>
  <c r="L92" i="104" s="1"/>
  <c r="K92" i="104" a="1"/>
  <c r="K92" i="104" s="1"/>
  <c r="J92" i="104" a="1"/>
  <c r="J92" i="104" s="1"/>
  <c r="I92" i="104" a="1"/>
  <c r="I92" i="104" s="1"/>
  <c r="H92" i="104" a="1"/>
  <c r="H92" i="104" s="1"/>
  <c r="G92" i="104" a="1"/>
  <c r="G92" i="104" s="1"/>
  <c r="F92" i="104" a="1"/>
  <c r="F92" i="104" s="1"/>
  <c r="E92" i="104" a="1"/>
  <c r="E92" i="104" s="1"/>
  <c r="D92" i="104" a="1"/>
  <c r="D92" i="104" s="1"/>
  <c r="S91" i="104" a="1"/>
  <c r="S91" i="104" s="1"/>
  <c r="R91" i="104" a="1"/>
  <c r="R91" i="104" s="1"/>
  <c r="Q91" i="104" a="1"/>
  <c r="Q91" i="104" s="1"/>
  <c r="P91" i="104" a="1"/>
  <c r="P91" i="104" s="1"/>
  <c r="O91" i="104" a="1"/>
  <c r="O91" i="104" s="1"/>
  <c r="N91" i="104" a="1"/>
  <c r="N91" i="104" s="1"/>
  <c r="M91" i="104" a="1"/>
  <c r="M91" i="104" s="1"/>
  <c r="L91" i="104" a="1"/>
  <c r="L91" i="104" s="1"/>
  <c r="K91" i="104" a="1"/>
  <c r="K91" i="104" s="1"/>
  <c r="J91" i="104" a="1"/>
  <c r="J91" i="104" s="1"/>
  <c r="I91" i="104" a="1"/>
  <c r="I91" i="104" s="1"/>
  <c r="H91" i="104" a="1"/>
  <c r="H91" i="104" s="1"/>
  <c r="G91" i="104" a="1"/>
  <c r="G91" i="104" s="1"/>
  <c r="F91" i="104" a="1"/>
  <c r="F91" i="104" s="1"/>
  <c r="E91" i="104" a="1"/>
  <c r="E91" i="104" s="1"/>
  <c r="D91" i="104" a="1"/>
  <c r="D91" i="104" s="1"/>
  <c r="S90" i="104" a="1"/>
  <c r="S90" i="104" s="1"/>
  <c r="R90" i="104" a="1"/>
  <c r="R90" i="104" s="1"/>
  <c r="Q90" i="104" a="1"/>
  <c r="Q90" i="104" s="1"/>
  <c r="P90" i="104" a="1"/>
  <c r="P90" i="104" s="1"/>
  <c r="O90" i="104" a="1"/>
  <c r="O90" i="104" s="1"/>
  <c r="N90" i="104" a="1"/>
  <c r="N90" i="104" s="1"/>
  <c r="M90" i="104" a="1"/>
  <c r="M90" i="104" s="1"/>
  <c r="L90" i="104" a="1"/>
  <c r="L90" i="104" s="1"/>
  <c r="K90" i="104" a="1"/>
  <c r="K90" i="104" s="1"/>
  <c r="J90" i="104" a="1"/>
  <c r="J90" i="104" s="1"/>
  <c r="I90" i="104" a="1"/>
  <c r="I90" i="104" s="1"/>
  <c r="H90" i="104" a="1"/>
  <c r="H90" i="104" s="1"/>
  <c r="G90" i="104" a="1"/>
  <c r="G90" i="104" s="1"/>
  <c r="F90" i="104" a="1"/>
  <c r="F90" i="104" s="1"/>
  <c r="E90" i="104" a="1"/>
  <c r="E90" i="104" s="1"/>
  <c r="D90" i="104" a="1"/>
  <c r="D90" i="104" s="1"/>
  <c r="D83" i="104" a="1"/>
  <c r="D83" i="104" s="1"/>
  <c r="D82" i="104" a="1"/>
  <c r="D82" i="104" s="1"/>
  <c r="D81" i="104" a="1"/>
  <c r="D81" i="104" s="1"/>
  <c r="E77" i="104" a="1"/>
  <c r="E77" i="104" s="1"/>
  <c r="D77" i="104" a="1"/>
  <c r="D77" i="104" s="1"/>
  <c r="E76" i="104" a="1"/>
  <c r="E76" i="104" s="1"/>
  <c r="D76" i="104" a="1"/>
  <c r="D76" i="104" s="1"/>
  <c r="E75" i="104" a="1"/>
  <c r="E75" i="104" s="1"/>
  <c r="D75" i="104" a="1"/>
  <c r="D75" i="104" s="1"/>
  <c r="E74" i="104" a="1"/>
  <c r="E74" i="104" s="1"/>
  <c r="D74" i="104" a="1"/>
  <c r="D74" i="104" s="1"/>
  <c r="E73" i="104" a="1"/>
  <c r="E73" i="104" s="1"/>
  <c r="D73" i="104" a="1"/>
  <c r="D73" i="104" s="1"/>
  <c r="E72" i="104" a="1"/>
  <c r="E72" i="104" s="1"/>
  <c r="D72" i="104" a="1"/>
  <c r="D72" i="104" s="1"/>
  <c r="E71" i="104" a="1"/>
  <c r="E71" i="104" s="1"/>
  <c r="D71" i="104" a="1"/>
  <c r="D71" i="104" s="1"/>
  <c r="E70" i="104" a="1"/>
  <c r="E70" i="104" s="1"/>
  <c r="D70" i="104" a="1"/>
  <c r="D70" i="104" s="1"/>
  <c r="E69" i="104" a="1"/>
  <c r="E69" i="104" s="1"/>
  <c r="D69" i="104" a="1"/>
  <c r="D69" i="104" s="1"/>
  <c r="E68" i="104" a="1"/>
  <c r="E68" i="104" s="1"/>
  <c r="D68" i="104" a="1"/>
  <c r="D68" i="104" s="1"/>
  <c r="E67" i="104" a="1"/>
  <c r="E67" i="104" s="1"/>
  <c r="D67" i="104" a="1"/>
  <c r="D67" i="104" s="1"/>
  <c r="E66" i="104" a="1"/>
  <c r="E66" i="104" s="1"/>
  <c r="D66" i="104" a="1"/>
  <c r="D66" i="104" s="1"/>
  <c r="E65" i="104" a="1"/>
  <c r="E65" i="104" s="1"/>
  <c r="D65" i="104" a="1"/>
  <c r="D65" i="104" s="1"/>
  <c r="E64" i="104" a="1"/>
  <c r="E64" i="104" s="1"/>
  <c r="D64" i="104" a="1"/>
  <c r="D64" i="104" s="1"/>
  <c r="D59" i="104" a="1"/>
  <c r="D59" i="104" s="1"/>
  <c r="D58" i="104" a="1"/>
  <c r="D58" i="104" s="1"/>
  <c r="D57" i="104" a="1"/>
  <c r="D57" i="104" s="1"/>
  <c r="G54" i="104" a="1"/>
  <c r="G54" i="104" s="1"/>
  <c r="F54" i="104" a="1"/>
  <c r="F54" i="104" s="1"/>
  <c r="E54" i="104" a="1"/>
  <c r="E54" i="104" s="1"/>
  <c r="D54" i="104" a="1"/>
  <c r="D54" i="104" s="1"/>
  <c r="G53" i="104" a="1"/>
  <c r="G53" i="104" s="1"/>
  <c r="F53" i="104" a="1"/>
  <c r="F53" i="104" s="1"/>
  <c r="E53" i="104" a="1"/>
  <c r="E53" i="104" s="1"/>
  <c r="D53" i="104" a="1"/>
  <c r="D53" i="104" s="1"/>
  <c r="G52" i="104" a="1"/>
  <c r="G52" i="104" s="1"/>
  <c r="F52" i="104" a="1"/>
  <c r="F52" i="104" s="1"/>
  <c r="E52" i="104" a="1"/>
  <c r="E52" i="104" s="1"/>
  <c r="D52" i="104" a="1"/>
  <c r="D52" i="104" s="1"/>
  <c r="G51" i="104" a="1"/>
  <c r="G51" i="104" s="1"/>
  <c r="F51" i="104" a="1"/>
  <c r="F51" i="104" s="1"/>
  <c r="E51" i="104" a="1"/>
  <c r="E51" i="104" s="1"/>
  <c r="D51" i="104" a="1"/>
  <c r="D51" i="104" s="1"/>
  <c r="G50" i="104" a="1"/>
  <c r="G50" i="104" s="1"/>
  <c r="F50" i="104" a="1"/>
  <c r="F50" i="104" s="1"/>
  <c r="E50" i="104" a="1"/>
  <c r="E50" i="104" s="1"/>
  <c r="D50" i="104" a="1"/>
  <c r="D50" i="104" s="1"/>
  <c r="G49" i="104" a="1"/>
  <c r="G49" i="104" s="1"/>
  <c r="F49" i="104" a="1"/>
  <c r="F49" i="104" s="1"/>
  <c r="E49" i="104" a="1"/>
  <c r="E49" i="104" s="1"/>
  <c r="D49" i="104" a="1"/>
  <c r="D49" i="104" s="1"/>
  <c r="G48" i="104" a="1"/>
  <c r="G48" i="104" s="1"/>
  <c r="F48" i="104" a="1"/>
  <c r="F48" i="104" s="1"/>
  <c r="E48" i="104" a="1"/>
  <c r="E48" i="104" s="1"/>
  <c r="D48" i="104" a="1"/>
  <c r="D48" i="104" s="1"/>
  <c r="D46" i="104" a="1"/>
  <c r="D46" i="104" s="1"/>
  <c r="D45" i="104" a="1"/>
  <c r="D45" i="104" s="1"/>
  <c r="E43" i="104" a="1"/>
  <c r="E43" i="104" s="1"/>
  <c r="D43" i="104" a="1"/>
  <c r="D43" i="104" s="1"/>
  <c r="E42" i="104" a="1"/>
  <c r="E42" i="104" s="1"/>
  <c r="D42" i="104" a="1"/>
  <c r="D42" i="104" s="1"/>
  <c r="E41" i="104" a="1"/>
  <c r="E41" i="104" s="1"/>
  <c r="D41" i="104" a="1"/>
  <c r="D41" i="104" s="1"/>
  <c r="E40" i="104" a="1"/>
  <c r="E40" i="104" s="1"/>
  <c r="D40" i="104" a="1"/>
  <c r="D40" i="104" s="1"/>
  <c r="E39" i="104" a="1"/>
  <c r="E39" i="104" s="1"/>
  <c r="D39" i="104" a="1"/>
  <c r="D39" i="104" s="1"/>
  <c r="E38" i="104" a="1"/>
  <c r="E38" i="104" s="1"/>
  <c r="D38" i="104" a="1"/>
  <c r="D38" i="104" s="1"/>
  <c r="E37" i="104" a="1"/>
  <c r="E37" i="104" s="1"/>
  <c r="D37" i="104" a="1"/>
  <c r="D37" i="104" s="1"/>
  <c r="D35" i="104" a="1"/>
  <c r="D35" i="104" s="1"/>
  <c r="D34" i="104" a="1"/>
  <c r="D34" i="104" s="1"/>
  <c r="D30" i="104" a="1"/>
  <c r="D30" i="104" s="1"/>
  <c r="D29" i="104" a="1"/>
  <c r="D29" i="104" s="1"/>
  <c r="D28" i="104" a="1"/>
  <c r="D28" i="104" s="1"/>
  <c r="D27" i="104" a="1"/>
  <c r="D27" i="104" s="1"/>
  <c r="D26" i="104" a="1"/>
  <c r="D26" i="104" s="1"/>
  <c r="D25" i="104" a="1"/>
  <c r="D25" i="104" s="1"/>
  <c r="D24" i="104" a="1"/>
  <c r="D24" i="104" s="1"/>
  <c r="D23" i="104" a="1"/>
  <c r="D23" i="104" s="1"/>
  <c r="D22" i="104" a="1"/>
  <c r="D22" i="104" s="1"/>
  <c r="D21" i="104" a="1"/>
  <c r="D21" i="104" s="1"/>
  <c r="D19" i="104"/>
  <c r="D19" i="104" a="1"/>
  <c r="D18" i="104" a="1"/>
  <c r="D18" i="104" s="1"/>
  <c r="F14" i="104" a="1"/>
  <c r="F14" i="104" s="1"/>
  <c r="E14" i="104" a="1"/>
  <c r="E14" i="104" s="1"/>
  <c r="D14" i="104" a="1"/>
  <c r="D14" i="104" s="1"/>
  <c r="F13" i="104" a="1"/>
  <c r="F13" i="104" s="1"/>
  <c r="E13" i="104" a="1"/>
  <c r="E13" i="104" s="1"/>
  <c r="D13" i="104" a="1"/>
  <c r="D13" i="104" s="1"/>
  <c r="F12" i="104" a="1"/>
  <c r="F12" i="104" s="1"/>
  <c r="E12" i="104" a="1"/>
  <c r="E12" i="104" s="1"/>
  <c r="D12" i="104" a="1"/>
  <c r="D12" i="104" s="1"/>
  <c r="F11" i="104" a="1"/>
  <c r="F11" i="104" s="1"/>
  <c r="E11" i="104" a="1"/>
  <c r="E11" i="104" s="1"/>
  <c r="D11" i="104" a="1"/>
  <c r="D11" i="104" s="1"/>
  <c r="F10" i="104" a="1"/>
  <c r="F10" i="104" s="1"/>
  <c r="E10" i="104" a="1"/>
  <c r="E10" i="104" s="1"/>
  <c r="D10" i="104" a="1"/>
  <c r="D10" i="104" s="1"/>
  <c r="F9" i="104" a="1"/>
  <c r="F9" i="104" s="1"/>
  <c r="E9" i="104" a="1"/>
  <c r="E9" i="104" s="1"/>
  <c r="D9" i="104" a="1"/>
  <c r="D9" i="104" s="1"/>
  <c r="F8" i="104" a="1"/>
  <c r="F8" i="104" s="1"/>
  <c r="E8" i="104" a="1"/>
  <c r="E8" i="104" s="1"/>
  <c r="D8" i="104" a="1"/>
  <c r="D8" i="104" s="1"/>
  <c r="F7" i="104" a="1"/>
  <c r="F7" i="104" s="1"/>
  <c r="E7" i="104" a="1"/>
  <c r="E7" i="104" s="1"/>
  <c r="D7" i="104" a="1"/>
  <c r="D7" i="104" s="1"/>
  <c r="D5" i="104" a="1"/>
  <c r="D5" i="104" s="1"/>
  <c r="H100" i="81"/>
  <c r="H97" i="81"/>
  <c r="G16" i="81"/>
  <c r="G13" i="81"/>
  <c r="O47" i="81"/>
  <c r="D47" i="81"/>
  <c r="O46" i="81"/>
  <c r="D46" i="81"/>
  <c r="O45" i="81"/>
  <c r="D45" i="81"/>
  <c r="O44" i="81"/>
  <c r="D44" i="81"/>
  <c r="O43" i="81"/>
  <c r="D43" i="81"/>
  <c r="O42" i="81"/>
  <c r="D42" i="81"/>
  <c r="O41" i="81"/>
  <c r="D41" i="81"/>
  <c r="O40" i="81"/>
  <c r="D40" i="81"/>
  <c r="O59" i="81"/>
  <c r="O58" i="81"/>
  <c r="O57" i="81"/>
  <c r="O56" i="81"/>
  <c r="O55" i="81"/>
  <c r="O54" i="81"/>
  <c r="O53" i="81"/>
  <c r="O52" i="81"/>
  <c r="D59" i="81"/>
  <c r="D58" i="81"/>
  <c r="D57" i="81"/>
  <c r="D56" i="81"/>
  <c r="D55" i="81"/>
  <c r="D54" i="81"/>
  <c r="D53" i="81"/>
  <c r="D52" i="81"/>
  <c r="H54" i="104" l="1"/>
  <c r="H52" i="104"/>
  <c r="H49" i="104"/>
  <c r="H50" i="104"/>
  <c r="H53" i="104"/>
  <c r="H48" i="104"/>
  <c r="H51" i="104"/>
  <c r="O146" i="81"/>
  <c r="D146" i="81"/>
  <c r="O145" i="81"/>
  <c r="D145" i="81"/>
  <c r="O144" i="81"/>
  <c r="D144" i="81"/>
  <c r="O143" i="81"/>
  <c r="D143" i="81"/>
  <c r="O142" i="81"/>
  <c r="D142" i="81"/>
  <c r="O141" i="81"/>
  <c r="D141" i="81"/>
  <c r="O140" i="81"/>
  <c r="D140" i="81"/>
  <c r="O139" i="81"/>
  <c r="D139" i="81"/>
  <c r="J134" i="81"/>
  <c r="I134" i="81"/>
  <c r="H134" i="81"/>
  <c r="G134" i="81"/>
  <c r="F134" i="81"/>
  <c r="D134" i="81"/>
  <c r="J133" i="81"/>
  <c r="I133" i="81"/>
  <c r="H133" i="81"/>
  <c r="G133" i="81"/>
  <c r="F133" i="81"/>
  <c r="D133" i="81"/>
  <c r="J132" i="81"/>
  <c r="I132" i="81"/>
  <c r="H132" i="81"/>
  <c r="G132" i="81"/>
  <c r="F132" i="81"/>
  <c r="D132" i="81"/>
  <c r="J131" i="81"/>
  <c r="I131" i="81"/>
  <c r="H131" i="81"/>
  <c r="G131" i="81"/>
  <c r="F131" i="81"/>
  <c r="D131" i="81"/>
  <c r="J130" i="81"/>
  <c r="I130" i="81"/>
  <c r="H130" i="81"/>
  <c r="G130" i="81"/>
  <c r="F130" i="81"/>
  <c r="D130" i="81"/>
  <c r="J129" i="81"/>
  <c r="I129" i="81"/>
  <c r="H129" i="81"/>
  <c r="G129" i="81"/>
  <c r="F129" i="81"/>
  <c r="D129" i="81"/>
  <c r="J128" i="81"/>
  <c r="I128" i="81"/>
  <c r="H128" i="81"/>
  <c r="G128" i="81"/>
  <c r="F128" i="81"/>
  <c r="D128" i="81"/>
  <c r="J127" i="81"/>
  <c r="I127" i="81"/>
  <c r="H127" i="81"/>
  <c r="G127" i="81"/>
  <c r="F127" i="81"/>
  <c r="D127" i="81"/>
  <c r="J71" i="81"/>
  <c r="I71" i="81"/>
  <c r="H71" i="81"/>
  <c r="G71" i="81"/>
  <c r="F71" i="81"/>
  <c r="J70" i="81"/>
  <c r="I70" i="81"/>
  <c r="H70" i="81"/>
  <c r="G70" i="81"/>
  <c r="F70" i="81"/>
  <c r="J69" i="81"/>
  <c r="I69" i="81"/>
  <c r="H69" i="81"/>
  <c r="G69" i="81"/>
  <c r="F69" i="81"/>
  <c r="J68" i="81"/>
  <c r="I68" i="81"/>
  <c r="H68" i="81"/>
  <c r="G68" i="81"/>
  <c r="F68" i="81"/>
  <c r="J67" i="81"/>
  <c r="I67" i="81"/>
  <c r="H67" i="81"/>
  <c r="G67" i="81"/>
  <c r="F67" i="81"/>
  <c r="J66" i="81"/>
  <c r="I66" i="81"/>
  <c r="H66" i="81"/>
  <c r="G66" i="81"/>
  <c r="F66" i="81"/>
  <c r="J65" i="81"/>
  <c r="I65" i="81"/>
  <c r="H65" i="81"/>
  <c r="G65" i="81"/>
  <c r="F65" i="81"/>
  <c r="J64" i="81"/>
  <c r="I64" i="81"/>
  <c r="H64" i="81"/>
  <c r="G64" i="81"/>
  <c r="F64" i="81"/>
  <c r="R188" i="69" l="1"/>
  <c r="R187" i="69"/>
  <c r="R186" i="69"/>
  <c r="O186" i="69" a="1"/>
  <c r="O186" i="69" s="1"/>
  <c r="A24" i="43"/>
  <c r="A23" i="43"/>
  <c r="A22" i="43"/>
  <c r="A21" i="43"/>
  <c r="A18" i="43"/>
  <c r="A17" i="43"/>
  <c r="A16" i="43"/>
  <c r="A15" i="43"/>
  <c r="A14" i="43"/>
  <c r="A13" i="43"/>
  <c r="A12" i="43"/>
  <c r="A11" i="43"/>
  <c r="A8" i="43"/>
  <c r="A7" i="43"/>
  <c r="A4" i="43"/>
  <c r="A3" i="43"/>
  <c r="A24" i="79"/>
  <c r="A23" i="79"/>
  <c r="A22" i="79"/>
  <c r="A21" i="79"/>
  <c r="A18" i="79"/>
  <c r="A17" i="79"/>
  <c r="A16" i="79"/>
  <c r="A15" i="79"/>
  <c r="A14" i="79"/>
  <c r="A13" i="79"/>
  <c r="A12" i="79"/>
  <c r="A11" i="79"/>
  <c r="A8" i="79"/>
  <c r="A7" i="79"/>
  <c r="A4" i="79"/>
  <c r="A3" i="79"/>
  <c r="A24" i="98"/>
  <c r="A23" i="98"/>
  <c r="A22" i="98"/>
  <c r="A21" i="98"/>
  <c r="A18" i="98"/>
  <c r="A17" i="98"/>
  <c r="A16" i="98"/>
  <c r="A15" i="98"/>
  <c r="A14" i="98"/>
  <c r="A13" i="98"/>
  <c r="A12" i="98"/>
  <c r="A11" i="98"/>
  <c r="A8" i="98"/>
  <c r="A7" i="98"/>
  <c r="A4" i="98"/>
  <c r="A3" i="98"/>
  <c r="A24" i="97"/>
  <c r="A23" i="97"/>
  <c r="A22" i="97"/>
  <c r="A21" i="97"/>
  <c r="A18" i="97"/>
  <c r="A17" i="97"/>
  <c r="A16" i="97"/>
  <c r="A15" i="97"/>
  <c r="A14" i="97"/>
  <c r="A13" i="97"/>
  <c r="A12" i="97"/>
  <c r="A11" i="97"/>
  <c r="A8" i="97"/>
  <c r="A7" i="97"/>
  <c r="A4" i="97"/>
  <c r="A3" i="97"/>
  <c r="A24" i="96"/>
  <c r="A23" i="96"/>
  <c r="A22" i="96"/>
  <c r="A21" i="96"/>
  <c r="A18" i="96"/>
  <c r="A17" i="96"/>
  <c r="A16" i="96"/>
  <c r="A15" i="96"/>
  <c r="A14" i="96"/>
  <c r="A13" i="96"/>
  <c r="A12" i="96"/>
  <c r="A11" i="96"/>
  <c r="A8" i="96"/>
  <c r="A7" i="96"/>
  <c r="A4" i="96"/>
  <c r="A3" i="96"/>
  <c r="A24" i="81"/>
  <c r="A23" i="81"/>
  <c r="A22" i="81"/>
  <c r="A21" i="81"/>
  <c r="A18" i="81"/>
  <c r="A17" i="81"/>
  <c r="A16" i="81"/>
  <c r="A15" i="81"/>
  <c r="A14" i="81"/>
  <c r="A13" i="81"/>
  <c r="A12" i="81"/>
  <c r="A11" i="81"/>
  <c r="A8" i="81"/>
  <c r="A7" i="81"/>
  <c r="A4" i="81"/>
  <c r="A3" i="81"/>
  <c r="A24" i="95"/>
  <c r="A23" i="95"/>
  <c r="A22" i="95"/>
  <c r="A21" i="95"/>
  <c r="A18" i="95"/>
  <c r="A17" i="95"/>
  <c r="A16" i="95"/>
  <c r="A15" i="95"/>
  <c r="A14" i="95"/>
  <c r="A13" i="95"/>
  <c r="A12" i="95"/>
  <c r="A11" i="95"/>
  <c r="A8" i="95"/>
  <c r="A7" i="95"/>
  <c r="A4" i="95"/>
  <c r="A3" i="95"/>
  <c r="A24" i="82"/>
  <c r="A23" i="82"/>
  <c r="A22" i="82"/>
  <c r="A21" i="82"/>
  <c r="A18" i="82"/>
  <c r="A17" i="82"/>
  <c r="A16" i="82"/>
  <c r="A15" i="82"/>
  <c r="A14" i="82"/>
  <c r="A13" i="82"/>
  <c r="A12" i="82"/>
  <c r="A11" i="82"/>
  <c r="A8" i="82"/>
  <c r="A7" i="82"/>
  <c r="A4" i="82"/>
  <c r="A3" i="82"/>
  <c r="A24" i="76"/>
  <c r="A23" i="76"/>
  <c r="A22" i="76"/>
  <c r="A21" i="76"/>
  <c r="A18" i="76"/>
  <c r="A17" i="76"/>
  <c r="A16" i="76"/>
  <c r="A15" i="76"/>
  <c r="A14" i="76"/>
  <c r="A13" i="76"/>
  <c r="A12" i="76"/>
  <c r="A11" i="76"/>
  <c r="A8" i="76"/>
  <c r="A7" i="76"/>
  <c r="A4" i="76"/>
  <c r="A3" i="76"/>
  <c r="A24" i="69"/>
  <c r="A23" i="69"/>
  <c r="A22" i="69"/>
  <c r="A21" i="69"/>
  <c r="A18" i="69"/>
  <c r="A17" i="69"/>
  <c r="A16" i="69"/>
  <c r="A15" i="69"/>
  <c r="A14" i="69"/>
  <c r="A13" i="69"/>
  <c r="A12" i="69"/>
  <c r="A11" i="69"/>
  <c r="A8" i="69"/>
  <c r="A7" i="69"/>
  <c r="A4" i="69"/>
  <c r="A3" i="69"/>
  <c r="A24" i="70"/>
  <c r="A23" i="70"/>
  <c r="A22" i="70"/>
  <c r="A21" i="70"/>
  <c r="A18" i="70"/>
  <c r="A17" i="70"/>
  <c r="A16" i="70"/>
  <c r="A15" i="70"/>
  <c r="A14" i="70"/>
  <c r="A13" i="70"/>
  <c r="A12" i="70"/>
  <c r="A11" i="70"/>
  <c r="A8" i="70"/>
  <c r="A7" i="70"/>
  <c r="A4" i="70"/>
  <c r="A3" i="70"/>
  <c r="A24" i="15"/>
  <c r="A23" i="15"/>
  <c r="A22" i="15"/>
  <c r="A21" i="15"/>
  <c r="A18" i="15"/>
  <c r="A17" i="15"/>
  <c r="A16" i="15"/>
  <c r="A15" i="15"/>
  <c r="A14" i="15"/>
  <c r="A13" i="15"/>
  <c r="A12" i="15"/>
  <c r="A11" i="15"/>
  <c r="A8" i="15"/>
  <c r="A7" i="15"/>
  <c r="A4" i="15"/>
  <c r="A3" i="15"/>
  <c r="A18" i="13"/>
  <c r="A17" i="13"/>
  <c r="A21" i="13"/>
  <c r="A16" i="13"/>
  <c r="A14" i="13"/>
  <c r="A15" i="13"/>
  <c r="A13" i="13"/>
  <c r="A12" i="13"/>
  <c r="A8" i="13"/>
  <c r="A11" i="13"/>
  <c r="D214" i="69" a="1"/>
  <c r="D214" i="69" s="1"/>
  <c r="Q52" i="98" a="1"/>
  <c r="Q52" i="98" s="1"/>
  <c r="O49" i="98" a="1"/>
  <c r="O49" i="98" s="1"/>
  <c r="F52" i="98" a="1"/>
  <c r="F52" i="98" s="1"/>
  <c r="J13" i="13" s="1"/>
  <c r="D49" i="98" a="1"/>
  <c r="D49" i="98" s="1"/>
  <c r="D35" i="98" a="1"/>
  <c r="D35" i="98" s="1"/>
  <c r="D43" i="98" a="1"/>
  <c r="D43" i="98" s="1"/>
  <c r="O43" i="98" s="1"/>
  <c r="E41" i="98" a="1"/>
  <c r="E41" i="98" s="1"/>
  <c r="F47" i="98" s="1"/>
  <c r="G13" i="13" s="1"/>
  <c r="E40" i="98" a="1"/>
  <c r="E40" i="98" s="1"/>
  <c r="D36" i="98" a="1"/>
  <c r="D36" i="98" s="1"/>
  <c r="O28" i="98"/>
  <c r="D28" i="98"/>
  <c r="H18" i="98"/>
  <c r="H17" i="98"/>
  <c r="H16" i="98"/>
  <c r="H13" i="98"/>
  <c r="O23" i="98"/>
  <c r="D23" i="98"/>
  <c r="D13" i="98" a="1"/>
  <c r="D13" i="98" s="1"/>
  <c r="E11" i="98" a="1"/>
  <c r="E11" i="98" s="1"/>
  <c r="V23" i="98" s="1"/>
  <c r="E10" i="98" a="1"/>
  <c r="E10" i="98" s="1"/>
  <c r="D6" i="98" a="1"/>
  <c r="D6" i="98" s="1"/>
  <c r="D5" i="98" a="1"/>
  <c r="D5" i="98" s="1"/>
  <c r="Q50" i="97" a="1"/>
  <c r="Q50" i="97" s="1"/>
  <c r="O47" i="97" a="1"/>
  <c r="O47" i="97" s="1"/>
  <c r="F50" i="97" a="1"/>
  <c r="F50" i="97" s="1"/>
  <c r="J12" i="13" s="1"/>
  <c r="D47" i="97" a="1"/>
  <c r="D47" i="97" s="1"/>
  <c r="H42" i="97"/>
  <c r="H41" i="97"/>
  <c r="D38" i="97" a="1"/>
  <c r="D38" i="97" s="1"/>
  <c r="O38" i="97" s="1"/>
  <c r="E36" i="97" a="1"/>
  <c r="E36" i="97" s="1"/>
  <c r="F45" i="97" s="1"/>
  <c r="G12" i="13" s="1"/>
  <c r="E35" i="97" a="1"/>
  <c r="E35" i="97" s="1"/>
  <c r="D31" i="97" a="1"/>
  <c r="D31" i="97" s="1"/>
  <c r="D30" i="97" a="1"/>
  <c r="D30" i="97" s="1"/>
  <c r="O24" i="97"/>
  <c r="D24" i="97"/>
  <c r="D215" i="79" a="1"/>
  <c r="D215" i="79" s="1"/>
  <c r="H14" i="97" s="1"/>
  <c r="D214" i="79" a="1"/>
  <c r="D214" i="79" s="1"/>
  <c r="D213" i="79" a="1"/>
  <c r="D213" i="79" s="1"/>
  <c r="D212" i="79" a="1"/>
  <c r="D212" i="79" s="1"/>
  <c r="D211" i="79" a="1"/>
  <c r="D211" i="79" s="1"/>
  <c r="H13" i="97"/>
  <c r="O19" i="97"/>
  <c r="D19" i="97"/>
  <c r="D13" i="97" a="1"/>
  <c r="D13" i="97" s="1"/>
  <c r="E11" i="97" a="1"/>
  <c r="E11" i="97" s="1"/>
  <c r="V19" i="97" s="1"/>
  <c r="E10" i="97" a="1"/>
  <c r="E10" i="97" s="1"/>
  <c r="D6" i="97" a="1"/>
  <c r="D6" i="97" s="1"/>
  <c r="D5" i="97" a="1"/>
  <c r="D5" i="97" s="1"/>
  <c r="Q58" i="96" a="1"/>
  <c r="Q58" i="96" s="1"/>
  <c r="O55" i="96" a="1"/>
  <c r="O55" i="96" s="1"/>
  <c r="F58" i="96" a="1"/>
  <c r="F58" i="96" s="1"/>
  <c r="J11" i="13" s="1"/>
  <c r="D55" i="96" a="1"/>
  <c r="D55" i="96" s="1"/>
  <c r="O51" i="96"/>
  <c r="D51" i="96"/>
  <c r="D35" i="96" a="1"/>
  <c r="D35" i="96" s="1"/>
  <c r="D36" i="96" a="1"/>
  <c r="D36" i="96" s="1"/>
  <c r="H43" i="96"/>
  <c r="G13" i="96"/>
  <c r="O31" i="96"/>
  <c r="D31" i="96"/>
  <c r="O25" i="96"/>
  <c r="D25" i="96"/>
  <c r="G14" i="96"/>
  <c r="D13" i="96" a="1"/>
  <c r="D13" i="96" s="1"/>
  <c r="E11" i="96" a="1"/>
  <c r="E11" i="96" s="1"/>
  <c r="K31" i="96" s="1"/>
  <c r="E10" i="96" a="1"/>
  <c r="E10" i="96" s="1"/>
  <c r="D6" i="96" a="1"/>
  <c r="D6" i="96" s="1"/>
  <c r="D5" i="96" a="1"/>
  <c r="D5" i="96" s="1"/>
  <c r="D43" i="96" a="1"/>
  <c r="D43" i="96" s="1"/>
  <c r="E41" i="96" a="1"/>
  <c r="E41" i="96" s="1"/>
  <c r="Q53" i="96" s="1"/>
  <c r="E40" i="96" a="1"/>
  <c r="E40" i="96" s="1"/>
  <c r="D133" i="70"/>
  <c r="D157" i="70"/>
  <c r="O113" i="81"/>
  <c r="O112" i="81"/>
  <c r="O111" i="81"/>
  <c r="O110" i="81"/>
  <c r="O109" i="81"/>
  <c r="O108" i="81"/>
  <c r="O107" i="81"/>
  <c r="O106" i="81"/>
  <c r="D113" i="81"/>
  <c r="D112" i="81"/>
  <c r="D111" i="81"/>
  <c r="D110" i="81"/>
  <c r="D109" i="81"/>
  <c r="D108" i="81"/>
  <c r="D107" i="81"/>
  <c r="D106" i="81"/>
  <c r="H101" i="81"/>
  <c r="H99" i="81"/>
  <c r="H98" i="81"/>
  <c r="D97" i="81" a="1"/>
  <c r="D97" i="81" s="1"/>
  <c r="E95" i="81" a="1"/>
  <c r="E95" i="81" s="1"/>
  <c r="E94" i="81" a="1"/>
  <c r="E94" i="81" s="1"/>
  <c r="D90" i="81" a="1"/>
  <c r="D90" i="81" s="1"/>
  <c r="D89" i="81" a="1"/>
  <c r="D89" i="81" s="1"/>
  <c r="O83" i="81"/>
  <c r="O82" i="81"/>
  <c r="O81" i="81"/>
  <c r="O80" i="81"/>
  <c r="O79" i="81"/>
  <c r="O78" i="81"/>
  <c r="O77" i="81"/>
  <c r="O76" i="81"/>
  <c r="D83" i="81"/>
  <c r="D82" i="81"/>
  <c r="D81" i="81"/>
  <c r="D80" i="81"/>
  <c r="D79" i="81"/>
  <c r="D78" i="81"/>
  <c r="D77" i="81"/>
  <c r="D76" i="81"/>
  <c r="G17" i="81"/>
  <c r="D71" i="81"/>
  <c r="D70" i="81"/>
  <c r="D69" i="81"/>
  <c r="D68" i="81"/>
  <c r="D67" i="81"/>
  <c r="D66" i="81"/>
  <c r="D65" i="81"/>
  <c r="D64" i="81"/>
  <c r="G15" i="81"/>
  <c r="G14" i="81"/>
  <c r="K69" i="81"/>
  <c r="D13" i="81" a="1"/>
  <c r="D13" i="81" s="1"/>
  <c r="E11" i="81" a="1"/>
  <c r="E11" i="81" s="1"/>
  <c r="V78" i="81" s="1"/>
  <c r="E10" i="81" a="1"/>
  <c r="E10" i="81" s="1"/>
  <c r="D6" i="81" a="1"/>
  <c r="D6" i="81" s="1"/>
  <c r="D119" i="81" s="1"/>
  <c r="D5" i="81" a="1"/>
  <c r="D5" i="81" s="1"/>
  <c r="D209" i="79" a="1"/>
  <c r="D209" i="79" s="1"/>
  <c r="H15" i="95" s="1"/>
  <c r="D208" i="79" a="1"/>
  <c r="D208" i="79" s="1"/>
  <c r="D207" i="79" a="1"/>
  <c r="D207" i="79" s="1"/>
  <c r="D206" i="79" a="1"/>
  <c r="D206" i="79" s="1"/>
  <c r="D205" i="79" a="1"/>
  <c r="D205" i="79" s="1"/>
  <c r="D202" i="79" a="1"/>
  <c r="D202" i="79" s="1"/>
  <c r="G43" i="95" s="1"/>
  <c r="D201" i="79" a="1"/>
  <c r="D201" i="79" s="1"/>
  <c r="D200" i="79" a="1"/>
  <c r="D200" i="79" s="1"/>
  <c r="D199" i="79" a="1"/>
  <c r="D199" i="79" s="1"/>
  <c r="D198" i="79" a="1"/>
  <c r="D198" i="79" s="1"/>
  <c r="Q57" i="95" a="1"/>
  <c r="Q57" i="95" s="1"/>
  <c r="O54" i="95" a="1"/>
  <c r="O54" i="95" s="1"/>
  <c r="F57" i="95" a="1"/>
  <c r="F57" i="95" s="1"/>
  <c r="J10" i="13" s="1"/>
  <c r="D54" i="95" a="1"/>
  <c r="D54" i="95" s="1"/>
  <c r="O50" i="95"/>
  <c r="O49" i="95"/>
  <c r="D50" i="95"/>
  <c r="D49" i="95"/>
  <c r="G42" i="95"/>
  <c r="E40" i="95" a="1"/>
  <c r="E40" i="95" s="1"/>
  <c r="K49" i="95" s="1"/>
  <c r="E39" i="95" a="1"/>
  <c r="E39" i="95" s="1"/>
  <c r="D35" i="95" a="1"/>
  <c r="D35" i="95" s="1"/>
  <c r="D42" i="95" a="1"/>
  <c r="D42" i="95" s="1"/>
  <c r="D34" i="95" a="1"/>
  <c r="D34" i="95" s="1"/>
  <c r="O30" i="95"/>
  <c r="O29" i="95"/>
  <c r="O24" i="95"/>
  <c r="O23" i="95"/>
  <c r="D30" i="95"/>
  <c r="D29" i="95"/>
  <c r="D24" i="95"/>
  <c r="D23" i="95"/>
  <c r="E7" i="97" a="1"/>
  <c r="E36" i="95" a="1"/>
  <c r="E7" i="96" a="1"/>
  <c r="E37" i="98" a="1"/>
  <c r="E37" i="96" a="1"/>
  <c r="E55" i="82" a="1"/>
  <c r="E7" i="98" a="1"/>
  <c r="E32" i="97" a="1"/>
  <c r="E7" i="95" a="1"/>
  <c r="E91" i="81" a="1"/>
  <c r="E7" i="81" a="1"/>
  <c r="F148" i="81" l="1"/>
  <c r="K142" i="81"/>
  <c r="V146" i="81"/>
  <c r="V139" i="81"/>
  <c r="K144" i="81"/>
  <c r="V141" i="81"/>
  <c r="K140" i="81"/>
  <c r="K146" i="81"/>
  <c r="K139" i="81"/>
  <c r="V145" i="81"/>
  <c r="V144" i="81"/>
  <c r="V143" i="81"/>
  <c r="K141" i="81"/>
  <c r="K143" i="81"/>
  <c r="K145" i="81"/>
  <c r="Q148" i="81"/>
  <c r="V140" i="81"/>
  <c r="V142" i="81"/>
  <c r="P43" i="98"/>
  <c r="Q47" i="98"/>
  <c r="P38" i="97"/>
  <c r="H15" i="98"/>
  <c r="K28" i="98"/>
  <c r="K111" i="81"/>
  <c r="V28" i="98"/>
  <c r="H44" i="98"/>
  <c r="F30" i="98"/>
  <c r="F26" i="97"/>
  <c r="Q45" i="97"/>
  <c r="Q30" i="98"/>
  <c r="V50" i="95"/>
  <c r="Q26" i="97"/>
  <c r="E55" i="82"/>
  <c r="E37" i="98"/>
  <c r="E32" i="97"/>
  <c r="E7" i="98"/>
  <c r="K23" i="98"/>
  <c r="V24" i="97"/>
  <c r="K51" i="96"/>
  <c r="K110" i="81"/>
  <c r="V51" i="96"/>
  <c r="K24" i="97"/>
  <c r="E7" i="97"/>
  <c r="K19" i="97"/>
  <c r="V106" i="81"/>
  <c r="V108" i="81"/>
  <c r="V31" i="96"/>
  <c r="V109" i="81"/>
  <c r="K67" i="81"/>
  <c r="V110" i="81"/>
  <c r="K65" i="81"/>
  <c r="F53" i="96"/>
  <c r="G11" i="13" s="1"/>
  <c r="K70" i="81"/>
  <c r="K66" i="81"/>
  <c r="K71" i="81"/>
  <c r="K64" i="81"/>
  <c r="E37" i="96"/>
  <c r="E7" i="96"/>
  <c r="V49" i="95"/>
  <c r="K50" i="95"/>
  <c r="Q52" i="95"/>
  <c r="F52" i="95"/>
  <c r="G10" i="13" s="1"/>
  <c r="K82" i="81"/>
  <c r="V79" i="81"/>
  <c r="V77" i="81"/>
  <c r="Q115" i="81"/>
  <c r="F85" i="81"/>
  <c r="V76" i="81"/>
  <c r="F115" i="81"/>
  <c r="K83" i="81"/>
  <c r="K81" i="81"/>
  <c r="K80" i="81"/>
  <c r="K79" i="81"/>
  <c r="K78" i="81"/>
  <c r="V83" i="81"/>
  <c r="K77" i="81"/>
  <c r="V82" i="81"/>
  <c r="K76" i="81"/>
  <c r="V81" i="81"/>
  <c r="V80" i="81"/>
  <c r="K68" i="81"/>
  <c r="K106" i="81"/>
  <c r="V112" i="81"/>
  <c r="K107" i="81"/>
  <c r="V113" i="81"/>
  <c r="K108" i="81"/>
  <c r="K109" i="81"/>
  <c r="K112" i="81"/>
  <c r="K113" i="81"/>
  <c r="V107" i="81"/>
  <c r="V111" i="81"/>
  <c r="E91" i="81"/>
  <c r="E7" i="81"/>
  <c r="E36" i="95"/>
  <c r="E7" i="95"/>
  <c r="H18" i="95" l="1"/>
  <c r="H17" i="95"/>
  <c r="G64" i="82"/>
  <c r="G65" i="82"/>
  <c r="H16" i="95"/>
  <c r="H13" i="95"/>
  <c r="D6" i="95" a="1"/>
  <c r="D6" i="95" s="1"/>
  <c r="E11" i="95" a="1"/>
  <c r="E11" i="95" s="1"/>
  <c r="E10" i="95" a="1"/>
  <c r="E10" i="95" s="1"/>
  <c r="D13" i="95" a="1"/>
  <c r="D13" i="95" s="1"/>
  <c r="D5" i="95" a="1"/>
  <c r="D5" i="95" s="1"/>
  <c r="Q73" i="82" a="1"/>
  <c r="Q73" i="82" s="1"/>
  <c r="O70" i="82" a="1"/>
  <c r="O70" i="82" s="1"/>
  <c r="F73" i="82" a="1"/>
  <c r="F73" i="82" s="1"/>
  <c r="J9" i="13" s="1"/>
  <c r="D70" i="82" a="1"/>
  <c r="D70" i="82" s="1"/>
  <c r="E59" i="82" a="1"/>
  <c r="E59" i="82" s="1"/>
  <c r="F68" i="82" s="1"/>
  <c r="G9" i="13" s="1"/>
  <c r="E58" i="82" a="1"/>
  <c r="E58" i="82" s="1"/>
  <c r="D54" i="82" a="1"/>
  <c r="D54" i="82" s="1"/>
  <c r="D61" i="82" a="1"/>
  <c r="D53" i="82" a="1"/>
  <c r="D53" i="82" s="1"/>
  <c r="O47" i="82"/>
  <c r="O46" i="82"/>
  <c r="O45" i="82"/>
  <c r="O44" i="82"/>
  <c r="O43" i="82"/>
  <c r="O42" i="82"/>
  <c r="O41" i="82"/>
  <c r="O40" i="82"/>
  <c r="D47" i="82"/>
  <c r="D46" i="82"/>
  <c r="D45" i="82"/>
  <c r="D44" i="82"/>
  <c r="D43" i="82"/>
  <c r="D42" i="82"/>
  <c r="D41" i="82"/>
  <c r="D40" i="82"/>
  <c r="O26" i="82"/>
  <c r="O25" i="82"/>
  <c r="O24" i="82"/>
  <c r="O23" i="82"/>
  <c r="O22" i="82"/>
  <c r="O21" i="82"/>
  <c r="O20" i="82"/>
  <c r="O19" i="82"/>
  <c r="G14" i="82"/>
  <c r="G13" i="82"/>
  <c r="D26" i="82"/>
  <c r="D25" i="82"/>
  <c r="D24" i="82"/>
  <c r="D23" i="82"/>
  <c r="D22" i="82"/>
  <c r="D21" i="82"/>
  <c r="D20" i="82"/>
  <c r="D19" i="82"/>
  <c r="D6" i="82" a="1"/>
  <c r="D6" i="82" s="1"/>
  <c r="E11" i="82" a="1"/>
  <c r="E11" i="82" s="1"/>
  <c r="E10" i="82" a="1"/>
  <c r="E10" i="82" s="1"/>
  <c r="D13" i="82" a="1"/>
  <c r="D13" i="82" s="1"/>
  <c r="D5" i="82" a="1"/>
  <c r="D5" i="82" s="1"/>
  <c r="P285" i="76" a="1"/>
  <c r="P285" i="76" s="1"/>
  <c r="N282" i="76" a="1"/>
  <c r="N282" i="76" s="1"/>
  <c r="N278" i="76"/>
  <c r="N277" i="76"/>
  <c r="N276" i="76"/>
  <c r="N275" i="76"/>
  <c r="N274" i="76"/>
  <c r="N273" i="76"/>
  <c r="N272" i="76"/>
  <c r="N271" i="76"/>
  <c r="F285" i="76" a="1"/>
  <c r="F285" i="76" s="1"/>
  <c r="D282" i="76" a="1"/>
  <c r="D282" i="76" s="1"/>
  <c r="D278" i="76"/>
  <c r="D277" i="76"/>
  <c r="D276" i="76"/>
  <c r="D275" i="76"/>
  <c r="D274" i="76"/>
  <c r="D273" i="76"/>
  <c r="D272" i="76"/>
  <c r="D271" i="76"/>
  <c r="G256" i="76"/>
  <c r="G255" i="76"/>
  <c r="E253" i="76" a="1"/>
  <c r="E253" i="76" s="1"/>
  <c r="P280" i="76" s="1"/>
  <c r="E252" i="76" a="1"/>
  <c r="E252" i="76" s="1"/>
  <c r="D248" i="76" a="1"/>
  <c r="D248" i="76" s="1"/>
  <c r="D255" i="76" a="1"/>
  <c r="D255" i="76" s="1"/>
  <c r="D247" i="76" a="1"/>
  <c r="D247" i="76" s="1"/>
  <c r="N243" i="76"/>
  <c r="N242" i="76"/>
  <c r="N241" i="76"/>
  <c r="N240" i="76"/>
  <c r="N239" i="76"/>
  <c r="N238" i="76"/>
  <c r="N237" i="76"/>
  <c r="N236" i="76"/>
  <c r="D243" i="76"/>
  <c r="D242" i="76"/>
  <c r="D241" i="76"/>
  <c r="D240" i="76"/>
  <c r="D239" i="76"/>
  <c r="D238" i="76"/>
  <c r="D237" i="76"/>
  <c r="D236" i="76"/>
  <c r="N231" i="76"/>
  <c r="N230" i="76"/>
  <c r="N229" i="76"/>
  <c r="N228" i="76"/>
  <c r="N227" i="76"/>
  <c r="N226" i="76"/>
  <c r="N225" i="76"/>
  <c r="N224" i="76"/>
  <c r="G219" i="76"/>
  <c r="D231" i="76"/>
  <c r="D230" i="76"/>
  <c r="D229" i="76"/>
  <c r="D228" i="76"/>
  <c r="D227" i="76"/>
  <c r="D226" i="76"/>
  <c r="D225" i="76"/>
  <c r="D224" i="76"/>
  <c r="G218" i="76"/>
  <c r="D218" i="76" a="1"/>
  <c r="D218" i="76" s="1"/>
  <c r="E216" i="76" a="1"/>
  <c r="E216" i="76" s="1"/>
  <c r="E215" i="76" a="1"/>
  <c r="E215" i="76" s="1"/>
  <c r="D211" i="76" a="1"/>
  <c r="D211" i="76" s="1"/>
  <c r="D210" i="76" a="1"/>
  <c r="D210" i="76" s="1"/>
  <c r="G184" i="76"/>
  <c r="G186" i="76"/>
  <c r="G185" i="76"/>
  <c r="G183" i="76"/>
  <c r="G182" i="76"/>
  <c r="D175" i="76" a="1"/>
  <c r="D175" i="76" s="1"/>
  <c r="E180" i="76" a="1"/>
  <c r="E180" i="76" s="1"/>
  <c r="E179" i="76" a="1"/>
  <c r="E179" i="76" s="1"/>
  <c r="D174" i="76" a="1"/>
  <c r="D174" i="76" s="1"/>
  <c r="D182" i="76" a="1"/>
  <c r="D182" i="76" s="1"/>
  <c r="D173" i="76" a="1"/>
  <c r="D173" i="76" s="1"/>
  <c r="G154" i="76"/>
  <c r="G152" i="76"/>
  <c r="H159" i="76"/>
  <c r="G159" i="76"/>
  <c r="F159" i="76"/>
  <c r="E159" i="76"/>
  <c r="D159" i="76"/>
  <c r="H235" i="69"/>
  <c r="G235" i="69"/>
  <c r="F235" i="69"/>
  <c r="E235" i="69"/>
  <c r="D235" i="69"/>
  <c r="G153" i="76"/>
  <c r="D145" i="76" a="1"/>
  <c r="D145" i="76" s="1"/>
  <c r="D152" i="76" a="1"/>
  <c r="D152" i="76" s="1"/>
  <c r="E150" i="76" a="1"/>
  <c r="E150" i="76" s="1"/>
  <c r="S169" i="76" s="1"/>
  <c r="E149" i="76" a="1"/>
  <c r="E149" i="76" s="1"/>
  <c r="D144" i="76" a="1"/>
  <c r="D144" i="76" s="1"/>
  <c r="D143" i="76" a="1"/>
  <c r="D143" i="76" s="1"/>
  <c r="G134" i="76"/>
  <c r="G133" i="76"/>
  <c r="G132" i="76"/>
  <c r="D132" i="76" a="1"/>
  <c r="D132" i="76" s="1"/>
  <c r="E130" i="76" a="1"/>
  <c r="E130" i="76" s="1"/>
  <c r="I139" i="76" s="1"/>
  <c r="E129" i="76" a="1"/>
  <c r="E129" i="76" s="1"/>
  <c r="D124" i="76" a="1"/>
  <c r="D124" i="76" s="1"/>
  <c r="D123" i="76" a="1"/>
  <c r="D123" i="76" s="1"/>
  <c r="R114" i="76"/>
  <c r="Q114" i="76"/>
  <c r="P114" i="76"/>
  <c r="O114" i="76"/>
  <c r="N114" i="76"/>
  <c r="G109" i="76"/>
  <c r="G108" i="76"/>
  <c r="D108" i="76" a="1"/>
  <c r="D108" i="76" s="1"/>
  <c r="E106" i="76" a="1"/>
  <c r="E106" i="76" s="1"/>
  <c r="S119" i="76" s="1"/>
  <c r="E105" i="76" a="1"/>
  <c r="E105" i="76" s="1"/>
  <c r="D101" i="76" a="1"/>
  <c r="D101" i="76" s="1"/>
  <c r="D100" i="76" a="1"/>
  <c r="D100" i="76" s="1"/>
  <c r="G81" i="76"/>
  <c r="G80" i="76"/>
  <c r="G79" i="76"/>
  <c r="G78" i="76"/>
  <c r="D86" i="76"/>
  <c r="D78" i="76" a="1"/>
  <c r="D78" i="76" s="1"/>
  <c r="E76" i="76" a="1"/>
  <c r="E76" i="76" s="1"/>
  <c r="I96" i="76" s="1"/>
  <c r="E75" i="76" a="1"/>
  <c r="E75" i="76" s="1"/>
  <c r="D70" i="76" a="1"/>
  <c r="D70" i="76" s="1"/>
  <c r="D69" i="76" a="1"/>
  <c r="D69" i="76" s="1"/>
  <c r="G45" i="76"/>
  <c r="G44" i="76"/>
  <c r="G42" i="76"/>
  <c r="G43" i="76"/>
  <c r="E40" i="76" a="1"/>
  <c r="E40" i="76" s="1"/>
  <c r="S65" i="76" s="1"/>
  <c r="E39" i="76" a="1"/>
  <c r="E39" i="76" s="1"/>
  <c r="D34" i="76" a="1"/>
  <c r="D34" i="76" s="1"/>
  <c r="D42" i="76" a="1"/>
  <c r="D42" i="76" s="1"/>
  <c r="D33" i="76" a="1"/>
  <c r="D33" i="76" s="1"/>
  <c r="F14" i="76"/>
  <c r="F13" i="76"/>
  <c r="D13" i="76" a="1"/>
  <c r="D13" i="76" s="1"/>
  <c r="E11" i="76" a="1"/>
  <c r="E11" i="76" s="1"/>
  <c r="I29" i="76" s="1"/>
  <c r="E10" i="76" a="1"/>
  <c r="E10" i="76" s="1"/>
  <c r="D6" i="76" a="1"/>
  <c r="D6" i="76" s="1"/>
  <c r="D5" i="76" a="1"/>
  <c r="D5" i="76" s="1"/>
  <c r="Q269" i="69" a="1"/>
  <c r="Q269" i="69" s="1"/>
  <c r="O266" i="69" a="1"/>
  <c r="O266" i="69" s="1"/>
  <c r="O262" i="69"/>
  <c r="O261" i="69"/>
  <c r="O260" i="69"/>
  <c r="O259" i="69"/>
  <c r="O258" i="69"/>
  <c r="O257" i="69"/>
  <c r="O256" i="69"/>
  <c r="O255" i="69"/>
  <c r="O210" i="69"/>
  <c r="O209" i="69"/>
  <c r="O208" i="69"/>
  <c r="O207" i="69"/>
  <c r="O206" i="69"/>
  <c r="O205" i="69"/>
  <c r="O204" i="69"/>
  <c r="O203" i="69"/>
  <c r="F269" i="69" a="1"/>
  <c r="F269" i="69" s="1"/>
  <c r="J7" i="13" s="1"/>
  <c r="D266" i="69" a="1"/>
  <c r="D266" i="69" s="1"/>
  <c r="D262" i="69"/>
  <c r="D261" i="69"/>
  <c r="D260" i="69"/>
  <c r="D259" i="69"/>
  <c r="D258" i="69"/>
  <c r="D257" i="69"/>
  <c r="D256" i="69"/>
  <c r="D255" i="69"/>
  <c r="H230" i="69"/>
  <c r="H229" i="69"/>
  <c r="H226" i="69"/>
  <c r="H227" i="69"/>
  <c r="H223" i="69"/>
  <c r="H224" i="69"/>
  <c r="H228" i="69"/>
  <c r="H225" i="69"/>
  <c r="D223" i="69" a="1"/>
  <c r="D223" i="69" s="1"/>
  <c r="E221" i="69" a="1"/>
  <c r="E221" i="69" s="1"/>
  <c r="Q264" i="69" s="1"/>
  <c r="E220" i="69" a="1"/>
  <c r="E220" i="69" s="1"/>
  <c r="D216" i="69" a="1"/>
  <c r="D216" i="69" s="1"/>
  <c r="D215" i="69" a="1"/>
  <c r="D215" i="69" s="1"/>
  <c r="G186" i="69"/>
  <c r="D210" i="69"/>
  <c r="D209" i="69"/>
  <c r="D208" i="69"/>
  <c r="D207" i="69"/>
  <c r="D206" i="69"/>
  <c r="D205" i="69"/>
  <c r="D204" i="69"/>
  <c r="D203" i="69"/>
  <c r="G187" i="69"/>
  <c r="D195" i="79" a="1"/>
  <c r="D195" i="79" s="1"/>
  <c r="D194" i="79" a="1"/>
  <c r="D194" i="79" s="1"/>
  <c r="D193" i="79" a="1"/>
  <c r="D193" i="79" s="1"/>
  <c r="D192" i="79" a="1"/>
  <c r="D192" i="79" s="1"/>
  <c r="D191" i="79" a="1"/>
  <c r="D191" i="79" s="1"/>
  <c r="G185" i="69"/>
  <c r="E182" i="69" a="1"/>
  <c r="E182" i="69" s="1"/>
  <c r="D178" i="69" a="1"/>
  <c r="D178" i="69" s="1"/>
  <c r="E183" i="69" a="1"/>
  <c r="E183" i="69" s="1"/>
  <c r="V210" i="69" s="1"/>
  <c r="D185" i="69" a="1"/>
  <c r="D185" i="69" s="1"/>
  <c r="D177" i="69" a="1"/>
  <c r="D177" i="69" s="1"/>
  <c r="O173" i="69"/>
  <c r="O172" i="69"/>
  <c r="O167" i="69"/>
  <c r="O166" i="69"/>
  <c r="D152" i="69" a="1"/>
  <c r="D152" i="69" s="1"/>
  <c r="D173" i="69"/>
  <c r="D172" i="69"/>
  <c r="G161" i="69"/>
  <c r="G159" i="69"/>
  <c r="D167" i="69"/>
  <c r="D166" i="69"/>
  <c r="G160" i="69"/>
  <c r="E157" i="69" a="1"/>
  <c r="E157" i="69" s="1"/>
  <c r="V173" i="69" s="1"/>
  <c r="E156" i="69" a="1"/>
  <c r="E156" i="69" s="1"/>
  <c r="D151" i="69" a="1"/>
  <c r="D151" i="69" s="1"/>
  <c r="D159" i="69" a="1"/>
  <c r="D159" i="69" s="1"/>
  <c r="D150" i="69" a="1"/>
  <c r="D150" i="69" s="1"/>
  <c r="O146" i="69"/>
  <c r="O145" i="69"/>
  <c r="O144" i="69"/>
  <c r="O143" i="69"/>
  <c r="O142" i="69"/>
  <c r="O141" i="69"/>
  <c r="D108" i="69" a="1"/>
  <c r="D108" i="69" s="1"/>
  <c r="D146" i="69"/>
  <c r="D145" i="69"/>
  <c r="D144" i="69"/>
  <c r="D143" i="69"/>
  <c r="D142" i="69"/>
  <c r="D141" i="69"/>
  <c r="Q136" i="69"/>
  <c r="Q135" i="69"/>
  <c r="Q134" i="69"/>
  <c r="Q133" i="69"/>
  <c r="Q132" i="69"/>
  <c r="Q131" i="69"/>
  <c r="O136" i="69"/>
  <c r="O135" i="69"/>
  <c r="O134" i="69"/>
  <c r="O133" i="69"/>
  <c r="O132" i="69"/>
  <c r="O131" i="69"/>
  <c r="O126" i="69"/>
  <c r="O125" i="69"/>
  <c r="O124" i="69"/>
  <c r="O123" i="69"/>
  <c r="O122" i="69"/>
  <c r="O121" i="69"/>
  <c r="G116" i="69"/>
  <c r="F136" i="69"/>
  <c r="F135" i="69"/>
  <c r="F134" i="69"/>
  <c r="F133" i="69"/>
  <c r="F132" i="69"/>
  <c r="F131" i="69"/>
  <c r="D136" i="69"/>
  <c r="D135" i="69"/>
  <c r="D134" i="69"/>
  <c r="D133" i="69"/>
  <c r="D132" i="69"/>
  <c r="D131" i="69"/>
  <c r="G115" i="69"/>
  <c r="D126" i="69"/>
  <c r="D125" i="69"/>
  <c r="D124" i="69"/>
  <c r="D123" i="69"/>
  <c r="D122" i="69"/>
  <c r="D121" i="69"/>
  <c r="E112" i="69" a="1"/>
  <c r="E112" i="69" s="1"/>
  <c r="E113" i="69" a="1"/>
  <c r="E113" i="69" s="1"/>
  <c r="K142" i="69" s="1"/>
  <c r="D115" i="69" a="1"/>
  <c r="D115" i="69" s="1"/>
  <c r="D107" i="69" a="1"/>
  <c r="D107" i="69" s="1"/>
  <c r="D188" i="79" a="1"/>
  <c r="D188" i="79" s="1"/>
  <c r="G98" i="69" s="1"/>
  <c r="D187" i="79" a="1"/>
  <c r="D187" i="79" s="1"/>
  <c r="D186" i="79" a="1"/>
  <c r="D186" i="79" s="1"/>
  <c r="D185" i="79" a="1"/>
  <c r="D185" i="79" s="1"/>
  <c r="D184" i="79" a="1"/>
  <c r="D184" i="79" s="1"/>
  <c r="G97" i="69"/>
  <c r="G96" i="69"/>
  <c r="G64" i="69"/>
  <c r="G63" i="69"/>
  <c r="G35" i="69"/>
  <c r="D44" i="69"/>
  <c r="D27" i="69" a="1"/>
  <c r="D27" i="69" s="1"/>
  <c r="G39" i="69"/>
  <c r="S18" i="69"/>
  <c r="S23" i="69" s="1" a="1"/>
  <c r="S23" i="69" s="1"/>
  <c r="R18" i="69"/>
  <c r="R23" i="69" s="1" a="1"/>
  <c r="R23" i="69" s="1"/>
  <c r="Q18" i="69"/>
  <c r="Q23" i="69" s="1" a="1"/>
  <c r="Q23" i="69" s="1"/>
  <c r="P18" i="69"/>
  <c r="P23" i="69" s="1" a="1"/>
  <c r="P23" i="69" s="1"/>
  <c r="O18" i="69"/>
  <c r="O23" i="69" s="1" a="1"/>
  <c r="O23" i="69" s="1"/>
  <c r="G13" i="69"/>
  <c r="D6" i="69" a="1"/>
  <c r="D6" i="69" s="1"/>
  <c r="E10" i="69" a="1"/>
  <c r="E10" i="69" s="1"/>
  <c r="E11" i="69" a="1"/>
  <c r="E11" i="69" s="1"/>
  <c r="D13" i="69" a="1"/>
  <c r="D13" i="69" s="1"/>
  <c r="D5" i="69" a="1"/>
  <c r="D5" i="69" s="1"/>
  <c r="D28" i="69" a="1"/>
  <c r="D28" i="69" s="1"/>
  <c r="D181" i="79" a="1"/>
  <c r="D181" i="79" s="1"/>
  <c r="G38" i="69" s="1"/>
  <c r="D180" i="79" a="1"/>
  <c r="D180" i="79" s="1"/>
  <c r="D179" i="79" a="1"/>
  <c r="D179" i="79" s="1"/>
  <c r="D178" i="79" a="1"/>
  <c r="D178" i="79" s="1"/>
  <c r="D177" i="79" a="1"/>
  <c r="D177" i="79" s="1"/>
  <c r="D174" i="79" a="1"/>
  <c r="D174" i="79" s="1"/>
  <c r="G37" i="69" s="1"/>
  <c r="D173" i="79" a="1"/>
  <c r="D173" i="79" s="1"/>
  <c r="D172" i="79" a="1"/>
  <c r="D172" i="79" s="1"/>
  <c r="D171" i="79" a="1"/>
  <c r="D171" i="79" s="1"/>
  <c r="D170" i="79" a="1"/>
  <c r="D170" i="79" s="1"/>
  <c r="D167" i="79" a="1"/>
  <c r="D167" i="79" s="1"/>
  <c r="G36" i="69" s="1"/>
  <c r="D166" i="79" a="1"/>
  <c r="D166" i="79" s="1"/>
  <c r="D165" i="79" a="1"/>
  <c r="D165" i="79" s="1"/>
  <c r="D164" i="79" a="1"/>
  <c r="D164" i="79" s="1"/>
  <c r="D163" i="79" a="1"/>
  <c r="D163" i="79" s="1"/>
  <c r="E32" i="69" a="1"/>
  <c r="E32" i="69" s="1"/>
  <c r="E33" i="69" a="1"/>
  <c r="E33" i="69" s="1"/>
  <c r="T49" i="69" s="1"/>
  <c r="D35" i="69" a="1"/>
  <c r="D35" i="69" s="1"/>
  <c r="G62" i="69"/>
  <c r="G61" i="69"/>
  <c r="D54" i="69" a="1"/>
  <c r="D54" i="69" s="1"/>
  <c r="E58" i="69" a="1"/>
  <c r="E58" i="69" s="1"/>
  <c r="E59" i="69" a="1"/>
  <c r="E59" i="69" s="1"/>
  <c r="I84" i="69" s="1"/>
  <c r="I50" i="76" s="1"/>
  <c r="D61" i="69" a="1"/>
  <c r="D61" i="69" s="1"/>
  <c r="D53" i="69" a="1"/>
  <c r="D53" i="69" s="1"/>
  <c r="D160" i="79" a="1"/>
  <c r="D160" i="79" s="1"/>
  <c r="E36" i="70" s="1"/>
  <c r="D18" i="69" s="1"/>
  <c r="D23" i="69" s="1" a="1"/>
  <c r="D23" i="69" s="1"/>
  <c r="D159" i="79" a="1"/>
  <c r="D159" i="79" s="1"/>
  <c r="D158" i="79" a="1"/>
  <c r="D158" i="79" s="1"/>
  <c r="D157" i="79" a="1"/>
  <c r="D157" i="79" s="1"/>
  <c r="D156" i="79" a="1"/>
  <c r="D156" i="79" s="1"/>
  <c r="D150" i="79" a="1"/>
  <c r="D150" i="79" s="1"/>
  <c r="D151" i="79" a="1"/>
  <c r="D151" i="79" s="1"/>
  <c r="D152" i="79" a="1"/>
  <c r="D152" i="79" s="1"/>
  <c r="D153" i="79" a="1"/>
  <c r="D153" i="79" s="1"/>
  <c r="F37" i="70" s="1"/>
  <c r="E114" i="76" s="1"/>
  <c r="D149" i="79" a="1"/>
  <c r="D149" i="79" s="1"/>
  <c r="D89" i="69" a="1"/>
  <c r="D89" i="69" s="1"/>
  <c r="E93" i="69" a="1"/>
  <c r="E93" i="69" s="1"/>
  <c r="E94" i="69" a="1"/>
  <c r="E94" i="69" s="1"/>
  <c r="I103" i="69" s="1"/>
  <c r="D96" i="69" a="1"/>
  <c r="D96" i="69" s="1"/>
  <c r="D88" i="69" a="1"/>
  <c r="D88" i="69" s="1"/>
  <c r="I178" i="70"/>
  <c r="H178" i="70"/>
  <c r="G178" i="70"/>
  <c r="F178" i="70"/>
  <c r="E178" i="70"/>
  <c r="I173" i="70"/>
  <c r="H173" i="70"/>
  <c r="G173" i="70"/>
  <c r="F173" i="70"/>
  <c r="E173" i="70"/>
  <c r="I168" i="70"/>
  <c r="H168" i="70"/>
  <c r="G168" i="70"/>
  <c r="F168" i="70"/>
  <c r="E168" i="70"/>
  <c r="I163" i="70"/>
  <c r="H163" i="70"/>
  <c r="G163" i="70"/>
  <c r="F163" i="70"/>
  <c r="E163" i="70"/>
  <c r="E114" i="70"/>
  <c r="I126" i="70" s="1"/>
  <c r="E113" i="70"/>
  <c r="H119" i="70" s="1"/>
  <c r="E109" i="70"/>
  <c r="F125" i="70" s="1"/>
  <c r="E108" i="70"/>
  <c r="H118" i="70" s="1"/>
  <c r="E104" i="70"/>
  <c r="H124" i="70" s="1"/>
  <c r="E103" i="70"/>
  <c r="G117" i="70" s="1"/>
  <c r="D64" i="70"/>
  <c r="D98" i="70"/>
  <c r="I154" i="70"/>
  <c r="H154" i="70"/>
  <c r="G154" i="70"/>
  <c r="F154" i="70"/>
  <c r="E154" i="70"/>
  <c r="I92" i="70"/>
  <c r="H92" i="70"/>
  <c r="G92" i="70"/>
  <c r="F92" i="70"/>
  <c r="E92" i="70"/>
  <c r="I91" i="70"/>
  <c r="H91" i="70"/>
  <c r="G91" i="70"/>
  <c r="F91" i="70"/>
  <c r="E91" i="70"/>
  <c r="I90" i="70"/>
  <c r="H90" i="70"/>
  <c r="G90" i="70"/>
  <c r="F90" i="70"/>
  <c r="E90" i="70"/>
  <c r="I85" i="70"/>
  <c r="H85" i="70"/>
  <c r="G85" i="70"/>
  <c r="F85" i="70"/>
  <c r="E85" i="70"/>
  <c r="I84" i="70"/>
  <c r="H84" i="70"/>
  <c r="G84" i="70"/>
  <c r="F84" i="70"/>
  <c r="E84" i="70"/>
  <c r="I83" i="70"/>
  <c r="H83" i="70"/>
  <c r="G83" i="70"/>
  <c r="F83" i="70"/>
  <c r="E83" i="70"/>
  <c r="E176" i="76" a="1"/>
  <c r="E7" i="69" a="1"/>
  <c r="E55" i="69" a="1"/>
  <c r="E7" i="82" a="1"/>
  <c r="E71" i="76" a="1"/>
  <c r="E7" i="76" a="1"/>
  <c r="E249" i="76" a="1"/>
  <c r="E29" i="69" a="1"/>
  <c r="E102" i="76" a="1"/>
  <c r="E153" i="69" a="1"/>
  <c r="E146" i="76" a="1"/>
  <c r="E212" i="76" a="1"/>
  <c r="E35" i="76" a="1"/>
  <c r="E179" i="69" a="1"/>
  <c r="E125" i="76" a="1"/>
  <c r="E109" i="69" a="1"/>
  <c r="E90" i="69" a="1"/>
  <c r="E217" i="69" a="1"/>
  <c r="S139" i="76" l="1"/>
  <c r="F49" i="82"/>
  <c r="Q49" i="82"/>
  <c r="D61" i="82"/>
  <c r="O61" i="82" s="1"/>
  <c r="P61" i="82"/>
  <c r="G188" i="69"/>
  <c r="R189" i="69"/>
  <c r="K207" i="69"/>
  <c r="V206" i="69"/>
  <c r="S29" i="76"/>
  <c r="S206" i="76"/>
  <c r="I206" i="76"/>
  <c r="I169" i="76"/>
  <c r="K208" i="69"/>
  <c r="K209" i="69"/>
  <c r="K143" i="69"/>
  <c r="K210" i="69"/>
  <c r="V29" i="95"/>
  <c r="K30" i="95"/>
  <c r="K29" i="95"/>
  <c r="V30" i="95"/>
  <c r="K144" i="69"/>
  <c r="K145" i="69"/>
  <c r="S96" i="76"/>
  <c r="K146" i="69"/>
  <c r="I119" i="76"/>
  <c r="F280" i="76"/>
  <c r="G8" i="13" s="1"/>
  <c r="T84" i="69"/>
  <c r="S50" i="76" s="1"/>
  <c r="T103" i="69"/>
  <c r="I65" i="76"/>
  <c r="V143" i="69"/>
  <c r="F36" i="70"/>
  <c r="E18" i="69" s="1"/>
  <c r="E23" i="69" s="1" a="1"/>
  <c r="E23" i="69" s="1"/>
  <c r="E49" i="69" s="1" a="1"/>
  <c r="E49" i="69" s="1"/>
  <c r="E60" i="76" s="1"/>
  <c r="V172" i="69"/>
  <c r="K173" i="69"/>
  <c r="K172" i="69"/>
  <c r="G36" i="70"/>
  <c r="F18" i="69" s="1"/>
  <c r="F23" i="69" s="1" a="1"/>
  <c r="F23" i="69" s="1"/>
  <c r="F49" i="69" s="1" a="1"/>
  <c r="F49" i="69" s="1"/>
  <c r="F60" i="76" s="1"/>
  <c r="H36" i="70"/>
  <c r="G18" i="69" s="1"/>
  <c r="G23" i="69" s="1" a="1"/>
  <c r="G23" i="69" s="1"/>
  <c r="G49" i="69" s="1" a="1"/>
  <c r="G49" i="69" s="1"/>
  <c r="G60" i="76" s="1"/>
  <c r="G37" i="70"/>
  <c r="F114" i="76" s="1"/>
  <c r="I37" i="70"/>
  <c r="H114" i="76" s="1"/>
  <c r="H37" i="70"/>
  <c r="G114" i="76" s="1"/>
  <c r="E37" i="70"/>
  <c r="D114" i="76" s="1"/>
  <c r="I36" i="70"/>
  <c r="H18" i="69" s="1"/>
  <c r="H23" i="69" s="1" a="1"/>
  <c r="H23" i="69" s="1"/>
  <c r="H49" i="69" s="1" a="1"/>
  <c r="H49" i="69" s="1"/>
  <c r="H60" i="76" s="1"/>
  <c r="F264" i="69"/>
  <c r="G7" i="13" s="1"/>
  <c r="I23" i="69"/>
  <c r="T23" i="69"/>
  <c r="Q68" i="82"/>
  <c r="V207" i="69"/>
  <c r="V141" i="69"/>
  <c r="V203" i="69"/>
  <c r="V142" i="69"/>
  <c r="V208" i="69"/>
  <c r="V144" i="69"/>
  <c r="K203" i="69"/>
  <c r="V204" i="69"/>
  <c r="J8" i="13"/>
  <c r="V145" i="69"/>
  <c r="K204" i="69"/>
  <c r="V209" i="69"/>
  <c r="K141" i="69"/>
  <c r="V146" i="69"/>
  <c r="K205" i="69"/>
  <c r="K206" i="69"/>
  <c r="V205" i="69"/>
  <c r="E7" i="82"/>
  <c r="E249" i="76"/>
  <c r="E212" i="76"/>
  <c r="E176" i="76"/>
  <c r="E146" i="76"/>
  <c r="E125" i="76"/>
  <c r="E102" i="76"/>
  <c r="E71" i="76"/>
  <c r="E35" i="76"/>
  <c r="E7" i="76"/>
  <c r="E217" i="69"/>
  <c r="E179" i="69"/>
  <c r="E153" i="69"/>
  <c r="E109" i="69"/>
  <c r="E55" i="69"/>
  <c r="E90" i="69"/>
  <c r="R49" i="69" a="1"/>
  <c r="R49" i="69" s="1"/>
  <c r="P49" i="69" a="1"/>
  <c r="P49" i="69" s="1"/>
  <c r="S49" i="69" a="1"/>
  <c r="S49" i="69" s="1"/>
  <c r="I49" i="69"/>
  <c r="I60" i="76" s="1"/>
  <c r="D49" i="69" a="1"/>
  <c r="D49" i="69" s="1"/>
  <c r="D60" i="76" s="1"/>
  <c r="O49" i="69" a="1"/>
  <c r="O49" i="69" s="1"/>
  <c r="Q49" i="69" a="1"/>
  <c r="Q49" i="69" s="1"/>
  <c r="E29" i="69"/>
  <c r="E7" i="69"/>
  <c r="F93" i="70"/>
  <c r="F95" i="70" s="1"/>
  <c r="I93" i="70"/>
  <c r="I95" i="70" s="1"/>
  <c r="E93" i="70"/>
  <c r="E95" i="70" s="1"/>
  <c r="G93" i="70"/>
  <c r="G95" i="70" s="1"/>
  <c r="I86" i="70"/>
  <c r="I88" i="70" s="1"/>
  <c r="H93" i="70"/>
  <c r="H95" i="70" s="1"/>
  <c r="H117" i="70"/>
  <c r="H120" i="70" s="1"/>
  <c r="H122" i="70" s="1"/>
  <c r="I118" i="70"/>
  <c r="F119" i="70"/>
  <c r="I119" i="70"/>
  <c r="E126" i="70"/>
  <c r="F126" i="70"/>
  <c r="G126" i="70"/>
  <c r="F86" i="70"/>
  <c r="F88" i="70" s="1"/>
  <c r="E117" i="70"/>
  <c r="G86" i="70"/>
  <c r="G88" i="70" s="1"/>
  <c r="F117" i="70"/>
  <c r="E86" i="70"/>
  <c r="H86" i="70"/>
  <c r="H88" i="70" s="1"/>
  <c r="E88" i="70"/>
  <c r="E119" i="70"/>
  <c r="E125" i="70"/>
  <c r="G119" i="70"/>
  <c r="G125" i="70"/>
  <c r="H125" i="70"/>
  <c r="I117" i="70"/>
  <c r="H126" i="70"/>
  <c r="I125" i="70"/>
  <c r="E118" i="70"/>
  <c r="E124" i="70"/>
  <c r="I124" i="70"/>
  <c r="F118" i="70"/>
  <c r="F124" i="70"/>
  <c r="F127" i="70" s="1"/>
  <c r="F129" i="70" s="1"/>
  <c r="G118" i="70"/>
  <c r="G124" i="70"/>
  <c r="I120" i="70" l="1"/>
  <c r="I122" i="70" s="1"/>
  <c r="F120" i="70"/>
  <c r="F122" i="70" s="1"/>
  <c r="G120" i="70"/>
  <c r="G122" i="70" s="1"/>
  <c r="E127" i="70"/>
  <c r="E129" i="70" s="1"/>
  <c r="H127" i="70"/>
  <c r="H129" i="70" s="1"/>
  <c r="E120" i="70"/>
  <c r="E122" i="70" s="1"/>
  <c r="I127" i="70"/>
  <c r="I129" i="70" s="1"/>
  <c r="G127" i="70"/>
  <c r="G129" i="70" s="1"/>
  <c r="D146" i="79" l="1"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D29" i="70"/>
  <c r="D28" i="70"/>
  <c r="D24" i="70"/>
  <c r="D25" i="70"/>
  <c r="D10" i="70"/>
  <c r="E28" i="70" l="1" a="1"/>
  <c r="E28" i="70" s="1"/>
  <c r="F35" i="70" a="1"/>
  <c r="F35" i="70" s="1"/>
  <c r="I40" i="70" a="1"/>
  <c r="I40" i="70" s="1"/>
  <c r="E35" i="70" a="1"/>
  <c r="E35" i="70" s="1"/>
  <c r="H40" i="70" a="1"/>
  <c r="H40" i="70" s="1"/>
  <c r="G40" i="70" a="1"/>
  <c r="G40" i="70" s="1"/>
  <c r="F40" i="70" a="1"/>
  <c r="F40" i="70" s="1"/>
  <c r="E40" i="70" a="1"/>
  <c r="E40" i="70" s="1"/>
  <c r="I35" i="70" a="1"/>
  <c r="I35" i="70" s="1"/>
  <c r="H35" i="70" a="1"/>
  <c r="H35" i="70" s="1"/>
  <c r="G35" i="70" a="1"/>
  <c r="G35" i="70" s="1"/>
  <c r="G25" i="70" a="1"/>
  <c r="G25" i="70" s="1"/>
  <c r="G28" i="70" a="1"/>
  <c r="G28" i="70" s="1"/>
  <c r="H25" i="70" a="1"/>
  <c r="H25" i="70" s="1"/>
  <c r="H28" i="70" a="1"/>
  <c r="H28" i="70" s="1"/>
  <c r="I25" i="70" a="1"/>
  <c r="I25" i="70" s="1"/>
  <c r="F25" i="70" a="1"/>
  <c r="F25" i="70" s="1"/>
  <c r="F28" i="70" a="1"/>
  <c r="F28" i="70" s="1"/>
  <c r="E24" i="70" a="1"/>
  <c r="E24" i="70" s="1"/>
  <c r="I28" i="70" a="1"/>
  <c r="I28" i="70" s="1"/>
  <c r="F24" i="70" a="1"/>
  <c r="F24" i="70" s="1"/>
  <c r="G24" i="70" a="1"/>
  <c r="G24" i="70" s="1"/>
  <c r="H24" i="70" a="1"/>
  <c r="H24" i="70" s="1"/>
  <c r="I24" i="70" a="1"/>
  <c r="I24" i="70" s="1"/>
  <c r="E25" i="70" a="1"/>
  <c r="E25" i="70" s="1"/>
  <c r="G201" i="76" l="1"/>
  <c r="Q201" i="76"/>
  <c r="G250" i="69"/>
  <c r="P196" i="76"/>
  <c r="Q240" i="69"/>
  <c r="G29" i="70"/>
  <c r="H240" i="69"/>
  <c r="H196" i="76"/>
  <c r="F201" i="76"/>
  <c r="F250" i="69"/>
  <c r="F240" i="69"/>
  <c r="F196" i="76"/>
  <c r="E164" i="76"/>
  <c r="E240" i="69"/>
  <c r="R196" i="76"/>
  <c r="S240" i="69"/>
  <c r="I29" i="70"/>
  <c r="D240" i="69"/>
  <c r="D164" i="76"/>
  <c r="D201" i="76"/>
  <c r="N201" i="76"/>
  <c r="D250" i="69"/>
  <c r="P240" i="69"/>
  <c r="F29" i="70"/>
  <c r="P250" i="69" s="1"/>
  <c r="O164" i="76"/>
  <c r="H201" i="76"/>
  <c r="H250" i="69"/>
  <c r="G240" i="69"/>
  <c r="G164" i="76"/>
  <c r="E201" i="76"/>
  <c r="E250" i="69"/>
  <c r="O201" i="76"/>
  <c r="Q164" i="76"/>
  <c r="R240" i="69"/>
  <c r="H29" i="70"/>
  <c r="R250" i="69" s="1"/>
  <c r="N164" i="76"/>
  <c r="O240" i="69"/>
  <c r="E29" i="70"/>
  <c r="O250" i="69" s="1"/>
  <c r="P201" i="76" l="1"/>
  <c r="Q250" i="69"/>
  <c r="S250" i="69"/>
  <c r="R201" i="76"/>
  <c r="I144" i="70" l="1"/>
  <c r="H144" i="70"/>
  <c r="I149" i="70"/>
  <c r="H149" i="70"/>
  <c r="I139" i="70"/>
  <c r="H139" i="70"/>
  <c r="D71" i="79"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55" i="76" s="1"/>
  <c r="D108" i="79" a="1"/>
  <c r="D108" i="79" s="1"/>
  <c r="D103" i="79" a="1"/>
  <c r="D103" i="79" s="1"/>
  <c r="D95" i="79" a="1"/>
  <c r="D95" i="79" s="1"/>
  <c r="D96" i="79" a="1"/>
  <c r="D96" i="79" s="1"/>
  <c r="D97" i="79" a="1"/>
  <c r="D97" i="79" s="1"/>
  <c r="D100" i="79" a="1"/>
  <c r="D100" i="79" s="1"/>
  <c r="E100" i="79" a="1"/>
  <c r="E100" i="79" s="1"/>
  <c r="E99" i="79" a="1"/>
  <c r="E99" i="7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H191" i="76" s="1"/>
  <c r="F64" i="79" a="1"/>
  <c r="F64" i="79" s="1"/>
  <c r="E64" i="79" a="1"/>
  <c r="E64" i="79" s="1"/>
  <c r="H245" i="69" s="1"/>
  <c r="D64" i="79" a="1"/>
  <c r="D64" i="79" s="1"/>
  <c r="G63" i="79" a="1"/>
  <c r="G63" i="79" s="1"/>
  <c r="F191" i="76" s="1"/>
  <c r="F63" i="79" a="1"/>
  <c r="F63" i="79" s="1"/>
  <c r="E63" i="79" a="1"/>
  <c r="E63" i="79" s="1"/>
  <c r="F245" i="69" s="1"/>
  <c r="D63" i="79" a="1"/>
  <c r="D63" i="79" s="1"/>
  <c r="D59" i="79" a="1"/>
  <c r="D59" i="79" s="1"/>
  <c r="D60" i="79" a="1"/>
  <c r="D60" i="79" s="1"/>
  <c r="D61" i="79" a="1"/>
  <c r="D61" i="79" s="1"/>
  <c r="D58" i="79" a="1"/>
  <c r="D58" i="79" s="1"/>
  <c r="H55" i="79" a="1"/>
  <c r="H55" i="79" s="1"/>
  <c r="H24" i="76" s="1" a="1"/>
  <c r="H24" i="76" s="1"/>
  <c r="G55" i="79" a="1"/>
  <c r="G55" i="79" s="1"/>
  <c r="G24" i="76" s="1" a="1"/>
  <c r="G24" i="76" s="1"/>
  <c r="F55" i="79" a="1"/>
  <c r="F55" i="79" s="1"/>
  <c r="F24" i="76" s="1" a="1"/>
  <c r="F24" i="76" s="1"/>
  <c r="E55" i="79" a="1"/>
  <c r="E55" i="79" s="1"/>
  <c r="E24" i="76" s="1" a="1"/>
  <c r="E24" i="76" s="1"/>
  <c r="D55" i="79" a="1"/>
  <c r="D55" i="79" s="1"/>
  <c r="D24" i="76" s="1" a="1"/>
  <c r="D24" i="76"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F35" i="81" l="1"/>
  <c r="F34" i="81"/>
  <c r="F32" i="81"/>
  <c r="F31" i="81"/>
  <c r="F33" i="81"/>
  <c r="E22" i="81" a="1"/>
  <c r="E31" i="81" a="1"/>
  <c r="E31" i="81" s="1"/>
  <c r="D31" i="81" a="1"/>
  <c r="D31" i="81" s="1"/>
  <c r="D22" i="81" a="1"/>
  <c r="D22" i="81" s="1"/>
  <c r="E262" i="76" a="1"/>
  <c r="E262" i="76" s="1"/>
  <c r="E31" i="82" a="1"/>
  <c r="E31" i="82" s="1"/>
  <c r="D262" i="76" a="1"/>
  <c r="D262" i="76" s="1"/>
  <c r="D31" i="82" a="1"/>
  <c r="D31" i="82" s="1"/>
  <c r="F35" i="82"/>
  <c r="F34" i="82"/>
  <c r="F33" i="82"/>
  <c r="F32" i="82"/>
  <c r="F31" i="82"/>
  <c r="H55" i="76"/>
  <c r="G55" i="76"/>
  <c r="E55" i="76"/>
  <c r="F55" i="76"/>
  <c r="F79" i="69"/>
  <c r="E79" i="69"/>
  <c r="G79" i="69"/>
  <c r="H79" i="69"/>
  <c r="D79" i="69"/>
  <c r="E14" i="70" a="1"/>
  <c r="E14" i="70" s="1"/>
  <c r="E18" i="70" a="1"/>
  <c r="E18" i="70" s="1"/>
  <c r="G14" i="70" a="1"/>
  <c r="G14" i="70" s="1"/>
  <c r="G18" i="70" a="1"/>
  <c r="G18" i="70" s="1"/>
  <c r="F14" i="70" a="1"/>
  <c r="F14" i="70" s="1"/>
  <c r="F18" i="70" a="1"/>
  <c r="F18" i="70" s="1"/>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G60" i="70" a="1"/>
  <c r="G60" i="70" s="1"/>
  <c r="H55" i="70" a="1"/>
  <c r="H55" i="70" s="1"/>
  <c r="E60" i="70" a="1"/>
  <c r="E60" i="70" s="1"/>
  <c r="I59" i="70" a="1"/>
  <c r="I59" i="70" s="1"/>
  <c r="I53" i="70" a="1"/>
  <c r="I53" i="70" s="1"/>
  <c r="G58" i="70" a="1"/>
  <c r="G58" i="70" s="1"/>
  <c r="S25" i="96" s="1"/>
  <c r="H60" i="70" a="1"/>
  <c r="H60" i="70" s="1"/>
  <c r="F60" i="70" a="1"/>
  <c r="F60" i="70" s="1"/>
  <c r="G55" i="70" a="1"/>
  <c r="G55" i="70" s="1"/>
  <c r="F55" i="70" a="1"/>
  <c r="F55" i="70" s="1"/>
  <c r="E55" i="70" a="1"/>
  <c r="E55" i="70" s="1"/>
  <c r="E53" i="70" a="1"/>
  <c r="E53" i="70" s="1"/>
  <c r="F25" i="96" s="1"/>
  <c r="H59" i="70" a="1"/>
  <c r="H59" i="70" s="1"/>
  <c r="I54" i="70" a="1"/>
  <c r="I54" i="70" s="1"/>
  <c r="E59" i="70" a="1"/>
  <c r="E59" i="70" s="1"/>
  <c r="E54" i="70" a="1"/>
  <c r="E54" i="70" s="1"/>
  <c r="I55" i="70" a="1"/>
  <c r="I55" i="70" s="1"/>
  <c r="G59" i="70" a="1"/>
  <c r="G59" i="70" s="1"/>
  <c r="H54" i="70" a="1"/>
  <c r="H54" i="70" s="1"/>
  <c r="F54" i="70" a="1"/>
  <c r="F54" i="70" s="1"/>
  <c r="H58" i="70" a="1"/>
  <c r="H58" i="70" s="1"/>
  <c r="T25" i="96" s="1"/>
  <c r="F59" i="70" a="1"/>
  <c r="F59" i="70" s="1"/>
  <c r="G54" i="70" a="1"/>
  <c r="G54" i="70" s="1"/>
  <c r="I58" i="70" a="1"/>
  <c r="I58" i="70" s="1"/>
  <c r="U25" i="96" s="1"/>
  <c r="H53" i="70" a="1"/>
  <c r="H53" i="70" s="1"/>
  <c r="F58" i="70" a="1"/>
  <c r="F58" i="70" s="1"/>
  <c r="R25" i="96" s="1"/>
  <c r="G53" i="70" a="1"/>
  <c r="G53" i="70" s="1"/>
  <c r="I60" i="70" a="1"/>
  <c r="I60" i="70" s="1"/>
  <c r="E58" i="70" a="1"/>
  <c r="E58" i="70" s="1"/>
  <c r="Q25" i="96" s="1"/>
  <c r="F53" i="70" a="1"/>
  <c r="F53" i="70" s="1"/>
  <c r="E22" i="81" l="1"/>
  <c r="J166" i="69"/>
  <c r="J25" i="96"/>
  <c r="G166" i="69"/>
  <c r="G25" i="96"/>
  <c r="H166" i="69"/>
  <c r="H25" i="96"/>
  <c r="I166" i="69"/>
  <c r="I25" i="96"/>
  <c r="R224" i="76" a="1"/>
  <c r="R224" i="76" s="1"/>
  <c r="R226" i="76" a="1"/>
  <c r="R226" i="76" s="1"/>
  <c r="R227" i="76" a="1"/>
  <c r="R227" i="76" s="1"/>
  <c r="R225" i="76" a="1"/>
  <c r="R225" i="76" s="1"/>
  <c r="T226" i="76" a="1"/>
  <c r="T226" i="76" s="1"/>
  <c r="T224" i="76" a="1"/>
  <c r="T224" i="76" s="1"/>
  <c r="T225" i="76" a="1"/>
  <c r="T225" i="76" s="1"/>
  <c r="T227" i="76" a="1"/>
  <c r="T227" i="76" s="1"/>
  <c r="R74" i="69"/>
  <c r="Q91" i="76"/>
  <c r="J229" i="76" a="1"/>
  <c r="J229" i="76" s="1"/>
  <c r="J230" i="76" a="1"/>
  <c r="J230" i="76" s="1"/>
  <c r="J231" i="76" a="1"/>
  <c r="J231" i="76" s="1"/>
  <c r="J228" i="76" a="1"/>
  <c r="J228" i="76" s="1"/>
  <c r="P231" i="76" a="1"/>
  <c r="P231" i="76" s="1"/>
  <c r="P229" i="76" a="1"/>
  <c r="P229" i="76" s="1"/>
  <c r="P228" i="76" a="1"/>
  <c r="P228" i="76" s="1"/>
  <c r="P230" i="76" a="1"/>
  <c r="P230" i="76" s="1"/>
  <c r="G74" i="69"/>
  <c r="G91" i="76"/>
  <c r="F225" i="76" a="1"/>
  <c r="F225" i="76" s="1"/>
  <c r="F227" i="76" a="1"/>
  <c r="F227" i="76" s="1"/>
  <c r="F226" i="76" a="1"/>
  <c r="F226" i="76" s="1"/>
  <c r="F224" i="76" a="1"/>
  <c r="F224" i="76" s="1"/>
  <c r="I230" i="76" a="1"/>
  <c r="I230" i="76" s="1"/>
  <c r="I229" i="76" a="1"/>
  <c r="I229" i="76" s="1"/>
  <c r="I231" i="76" a="1"/>
  <c r="I231" i="76" s="1"/>
  <c r="I228" i="76" a="1"/>
  <c r="I228" i="76" s="1"/>
  <c r="F74" i="69"/>
  <c r="F91" i="76"/>
  <c r="P227" i="76" a="1"/>
  <c r="P227" i="76" s="1"/>
  <c r="P224" i="76" a="1"/>
  <c r="P224" i="76" s="1"/>
  <c r="P226" i="76" a="1"/>
  <c r="P226" i="76" s="1"/>
  <c r="P225" i="76" a="1"/>
  <c r="P225" i="76" s="1"/>
  <c r="R229" i="76" a="1"/>
  <c r="R229" i="76" s="1"/>
  <c r="R231" i="76" a="1"/>
  <c r="R231" i="76" s="1"/>
  <c r="R228" i="76" a="1"/>
  <c r="R228" i="76" s="1"/>
  <c r="R230" i="76" a="1"/>
  <c r="R230" i="76" s="1"/>
  <c r="Q74" i="69"/>
  <c r="P91" i="76"/>
  <c r="T231" i="76" a="1"/>
  <c r="T231" i="76" s="1"/>
  <c r="T228" i="76" a="1"/>
  <c r="T228" i="76" s="1"/>
  <c r="T230" i="76" a="1"/>
  <c r="T230" i="76" s="1"/>
  <c r="T229" i="76" a="1"/>
  <c r="T229" i="76" s="1"/>
  <c r="J227" i="76" a="1"/>
  <c r="J227" i="76" s="1"/>
  <c r="J224" i="76" a="1"/>
  <c r="J224" i="76" s="1"/>
  <c r="J226" i="76" a="1"/>
  <c r="J226" i="76" s="1"/>
  <c r="J225" i="76" a="1"/>
  <c r="J225" i="76" s="1"/>
  <c r="E74" i="69"/>
  <c r="E91" i="76"/>
  <c r="P69" i="69"/>
  <c r="O19" i="76"/>
  <c r="O29" i="76" s="1" a="1"/>
  <c r="O29" i="76" s="1"/>
  <c r="S224" i="76" a="1"/>
  <c r="S224" i="76" s="1"/>
  <c r="S226" i="76" a="1"/>
  <c r="S226" i="76" s="1"/>
  <c r="S225" i="76" a="1"/>
  <c r="S225" i="76" s="1"/>
  <c r="S227" i="76" a="1"/>
  <c r="S227" i="76" s="1"/>
  <c r="P74" i="69"/>
  <c r="O91" i="76"/>
  <c r="E69" i="69"/>
  <c r="E19" i="76"/>
  <c r="E29" i="76" s="1" a="1"/>
  <c r="E29" i="76" s="1"/>
  <c r="O74" i="69"/>
  <c r="N91" i="76"/>
  <c r="Q69" i="69"/>
  <c r="P19" i="76"/>
  <c r="P29" i="76" s="1" a="1"/>
  <c r="P29" i="76" s="1"/>
  <c r="F228" i="76" a="1"/>
  <c r="F228" i="76" s="1"/>
  <c r="F230" i="76" a="1"/>
  <c r="F230" i="76" s="1"/>
  <c r="F229" i="76" a="1"/>
  <c r="F229" i="76" s="1"/>
  <c r="F231" i="76" a="1"/>
  <c r="F231" i="76" s="1"/>
  <c r="D74" i="69"/>
  <c r="D91" i="76"/>
  <c r="F69" i="69"/>
  <c r="F19" i="76"/>
  <c r="F29" i="76" s="1" a="1"/>
  <c r="F29" i="76" s="1"/>
  <c r="G228" i="76" a="1"/>
  <c r="G228" i="76" s="1"/>
  <c r="G230" i="76" a="1"/>
  <c r="G230" i="76" s="1"/>
  <c r="G231" i="76" a="1"/>
  <c r="G231" i="76" s="1"/>
  <c r="G229" i="76" a="1"/>
  <c r="G229" i="76" s="1"/>
  <c r="H69" i="69"/>
  <c r="H19" i="76"/>
  <c r="H29" i="76" s="1" a="1"/>
  <c r="H29" i="76" s="1"/>
  <c r="O69" i="69"/>
  <c r="N19" i="76"/>
  <c r="N29" i="76" s="1" a="1"/>
  <c r="N29" i="76" s="1"/>
  <c r="H225" i="76" a="1"/>
  <c r="H225" i="76" s="1"/>
  <c r="H227" i="76" a="1"/>
  <c r="H227" i="76" s="1"/>
  <c r="H224" i="76" a="1"/>
  <c r="H224" i="76" s="1"/>
  <c r="H226" i="76" a="1"/>
  <c r="H226" i="76" s="1"/>
  <c r="H230" i="76" a="1"/>
  <c r="H230" i="76" s="1"/>
  <c r="H229" i="76" a="1"/>
  <c r="H229" i="76" s="1"/>
  <c r="H228" i="76" a="1"/>
  <c r="H228" i="76" s="1"/>
  <c r="H231" i="76" a="1"/>
  <c r="H231" i="76" s="1"/>
  <c r="S69" i="69"/>
  <c r="R19" i="76"/>
  <c r="R29" i="76" s="1" a="1"/>
  <c r="R29" i="76" s="1"/>
  <c r="D69" i="69"/>
  <c r="D19" i="76"/>
  <c r="D29" i="76" s="1" a="1"/>
  <c r="D29" i="76" s="1"/>
  <c r="Q224" i="76" a="1"/>
  <c r="Q224" i="76" s="1"/>
  <c r="Q226" i="76" a="1"/>
  <c r="Q226" i="76" s="1"/>
  <c r="Q227" i="76" a="1"/>
  <c r="Q227" i="76" s="1"/>
  <c r="Q225" i="76" a="1"/>
  <c r="Q225" i="76" s="1"/>
  <c r="Q229" i="76" a="1"/>
  <c r="Q229" i="76" s="1"/>
  <c r="Q231" i="76" a="1"/>
  <c r="Q231" i="76" s="1"/>
  <c r="Q228" i="76" a="1"/>
  <c r="Q228" i="76" s="1"/>
  <c r="Q230" i="76" a="1"/>
  <c r="Q230" i="76" s="1"/>
  <c r="G69" i="69"/>
  <c r="G19" i="76"/>
  <c r="G29" i="76" s="1" a="1"/>
  <c r="G29" i="76" s="1"/>
  <c r="S229" i="76" a="1"/>
  <c r="S229" i="76" s="1"/>
  <c r="S231" i="76" a="1"/>
  <c r="S231" i="76" s="1"/>
  <c r="S228" i="76" a="1"/>
  <c r="S228" i="76" s="1"/>
  <c r="S230" i="76" a="1"/>
  <c r="S230" i="76" s="1"/>
  <c r="R69" i="69"/>
  <c r="R84" i="69" s="1" a="1"/>
  <c r="R84" i="69" s="1"/>
  <c r="Q19" i="76"/>
  <c r="Q29" i="76" s="1" a="1"/>
  <c r="Q29" i="76" s="1"/>
  <c r="G225" i="76" a="1"/>
  <c r="G225" i="76" s="1"/>
  <c r="G227" i="76" a="1"/>
  <c r="G227" i="76" s="1"/>
  <c r="G224" i="76" a="1"/>
  <c r="G224" i="76" s="1"/>
  <c r="G226" i="76" a="1"/>
  <c r="G226" i="76" s="1"/>
  <c r="H74" i="69"/>
  <c r="H91" i="76"/>
  <c r="I225" i="76" a="1"/>
  <c r="I225" i="76" s="1"/>
  <c r="I227" i="76" a="1"/>
  <c r="I227" i="76" s="1"/>
  <c r="I224" i="76" a="1"/>
  <c r="I224" i="76" s="1"/>
  <c r="I226" i="76" a="1"/>
  <c r="I226" i="76" s="1"/>
  <c r="S74" i="69"/>
  <c r="R91" i="76"/>
  <c r="J124" i="69"/>
  <c r="J144" i="69" s="1" a="1"/>
  <c r="J144" i="69" s="1"/>
  <c r="J126" i="69"/>
  <c r="J146" i="69" s="1" a="1"/>
  <c r="J146" i="69" s="1"/>
  <c r="J125" i="69"/>
  <c r="J145" i="69" s="1" a="1"/>
  <c r="J145" i="69" s="1"/>
  <c r="J167" i="69"/>
  <c r="Q124" i="69"/>
  <c r="Q144" i="69" s="1" a="1"/>
  <c r="Q144" i="69" s="1"/>
  <c r="Q125" i="69"/>
  <c r="Q145" i="69" s="1" a="1"/>
  <c r="Q145" i="69" s="1"/>
  <c r="Q126" i="69"/>
  <c r="Q146" i="69" s="1" a="1"/>
  <c r="Q146" i="69" s="1"/>
  <c r="Q167" i="69"/>
  <c r="S126" i="69"/>
  <c r="S146" i="69" s="1" a="1"/>
  <c r="S146" i="69" s="1"/>
  <c r="S125" i="69"/>
  <c r="S145" i="69" s="1" a="1"/>
  <c r="S145" i="69" s="1"/>
  <c r="S124" i="69"/>
  <c r="S144" i="69" s="1" a="1"/>
  <c r="S144" i="69" s="1"/>
  <c r="S167" i="69"/>
  <c r="T166" i="69"/>
  <c r="T123" i="69"/>
  <c r="T143" i="69" s="1" a="1"/>
  <c r="T143" i="69" s="1"/>
  <c r="T122" i="69"/>
  <c r="T142" i="69" s="1" a="1"/>
  <c r="T142" i="69" s="1"/>
  <c r="T121" i="69"/>
  <c r="T141" i="69" s="1" a="1"/>
  <c r="T141" i="69" s="1"/>
  <c r="F166" i="69"/>
  <c r="F123" i="69"/>
  <c r="F143" i="69" s="1" a="1"/>
  <c r="F143" i="69" s="1"/>
  <c r="F122" i="69"/>
  <c r="F142" i="69" s="1" a="1"/>
  <c r="F142" i="69" s="1"/>
  <c r="F121" i="69"/>
  <c r="F141" i="69" s="1" a="1"/>
  <c r="F141" i="69" s="1"/>
  <c r="U126" i="69"/>
  <c r="U146" i="69" s="1" a="1"/>
  <c r="U146" i="69" s="1"/>
  <c r="U125" i="69"/>
  <c r="U145" i="69" s="1" a="1"/>
  <c r="U145" i="69" s="1"/>
  <c r="U124" i="69"/>
  <c r="U144" i="69" s="1" a="1"/>
  <c r="U144" i="69" s="1"/>
  <c r="U167" i="69"/>
  <c r="F125" i="69"/>
  <c r="F145" i="69" s="1" a="1"/>
  <c r="F145" i="69" s="1"/>
  <c r="F167" i="69"/>
  <c r="F124" i="69"/>
  <c r="F144" i="69" s="1" a="1"/>
  <c r="F144" i="69" s="1"/>
  <c r="F126" i="69"/>
  <c r="F146" i="69" s="1" a="1"/>
  <c r="F146" i="69" s="1"/>
  <c r="H124" i="69"/>
  <c r="H144" i="69" s="1" a="1"/>
  <c r="H144" i="69" s="1"/>
  <c r="H167" i="69"/>
  <c r="H126" i="69"/>
  <c r="H146" i="69" s="1" a="1"/>
  <c r="H146" i="69" s="1"/>
  <c r="H125" i="69"/>
  <c r="H145" i="69" s="1" a="1"/>
  <c r="H145" i="69" s="1"/>
  <c r="J123" i="69"/>
  <c r="J143" i="69" s="1" a="1"/>
  <c r="J143" i="69" s="1"/>
  <c r="J122" i="69"/>
  <c r="J142" i="69" s="1" a="1"/>
  <c r="J142" i="69" s="1"/>
  <c r="J121" i="69"/>
  <c r="J141" i="69" s="1" a="1"/>
  <c r="J141" i="69" s="1"/>
  <c r="G124" i="69"/>
  <c r="G144" i="69" s="1" a="1"/>
  <c r="G144" i="69" s="1"/>
  <c r="G167" i="69"/>
  <c r="G126" i="69"/>
  <c r="G146" i="69" s="1" a="1"/>
  <c r="G146" i="69" s="1"/>
  <c r="G125" i="69"/>
  <c r="G145" i="69" s="1" a="1"/>
  <c r="G145" i="69" s="1"/>
  <c r="H121" i="69"/>
  <c r="H141" i="69" s="1" a="1"/>
  <c r="H141" i="69" s="1"/>
  <c r="H123" i="69"/>
  <c r="H143" i="69" s="1" a="1"/>
  <c r="H143" i="69" s="1"/>
  <c r="H122" i="69"/>
  <c r="H142" i="69" s="1" a="1"/>
  <c r="H142" i="69" s="1"/>
  <c r="R121" i="69"/>
  <c r="R141" i="69" s="1" a="1"/>
  <c r="R141" i="69" s="1"/>
  <c r="R166" i="69"/>
  <c r="R123" i="69"/>
  <c r="R143" i="69" s="1" a="1"/>
  <c r="R143" i="69" s="1"/>
  <c r="R122" i="69"/>
  <c r="R142" i="69" s="1" a="1"/>
  <c r="R142" i="69" s="1"/>
  <c r="T167" i="69"/>
  <c r="T125" i="69"/>
  <c r="T145" i="69" s="1" a="1"/>
  <c r="T145" i="69" s="1"/>
  <c r="T124" i="69"/>
  <c r="T144" i="69" s="1" a="1"/>
  <c r="T144" i="69" s="1"/>
  <c r="T126" i="69"/>
  <c r="T146" i="69" s="1" a="1"/>
  <c r="T146" i="69" s="1"/>
  <c r="I167" i="69"/>
  <c r="I126" i="69"/>
  <c r="I146" i="69" s="1" a="1"/>
  <c r="I146" i="69" s="1"/>
  <c r="I125" i="69"/>
  <c r="I145" i="69" s="1" a="1"/>
  <c r="I145" i="69" s="1"/>
  <c r="I124" i="69"/>
  <c r="I144" i="69" s="1" a="1"/>
  <c r="I144" i="69" s="1"/>
  <c r="G123" i="69"/>
  <c r="G143" i="69" s="1" a="1"/>
  <c r="G143" i="69" s="1"/>
  <c r="G122" i="69"/>
  <c r="G142" i="69" s="1" a="1"/>
  <c r="G142" i="69" s="1"/>
  <c r="G121" i="69"/>
  <c r="G141" i="69" s="1" a="1"/>
  <c r="G141" i="69" s="1"/>
  <c r="Q166" i="69"/>
  <c r="Q122" i="69"/>
  <c r="Q142" i="69" s="1" a="1"/>
  <c r="Q142" i="69" s="1"/>
  <c r="Q123" i="69"/>
  <c r="Q143" i="69" s="1" a="1"/>
  <c r="Q143" i="69" s="1"/>
  <c r="Q121" i="69"/>
  <c r="Q141" i="69" s="1" a="1"/>
  <c r="Q141" i="69" s="1"/>
  <c r="R124" i="69"/>
  <c r="R144" i="69" s="1" a="1"/>
  <c r="R144" i="69" s="1"/>
  <c r="R126" i="69"/>
  <c r="R146" i="69" s="1" a="1"/>
  <c r="R146" i="69" s="1"/>
  <c r="R125" i="69"/>
  <c r="R145" i="69" s="1" a="1"/>
  <c r="R145" i="69" s="1"/>
  <c r="R167" i="69"/>
  <c r="I121" i="69"/>
  <c r="I141" i="69" s="1" a="1"/>
  <c r="I141" i="69" s="1"/>
  <c r="I123" i="69"/>
  <c r="I143" i="69" s="1" a="1"/>
  <c r="I143" i="69" s="1"/>
  <c r="I122" i="69"/>
  <c r="I142" i="69" s="1" a="1"/>
  <c r="I142" i="69" s="1"/>
  <c r="S121" i="69"/>
  <c r="S141" i="69" s="1" a="1"/>
  <c r="S141" i="69" s="1"/>
  <c r="S166" i="69"/>
  <c r="S123" i="69"/>
  <c r="S143" i="69" s="1" a="1"/>
  <c r="S143" i="69" s="1"/>
  <c r="S122" i="69"/>
  <c r="S142" i="69" s="1" a="1"/>
  <c r="S142" i="69" s="1"/>
  <c r="U166" i="69"/>
  <c r="U122" i="69"/>
  <c r="U142" i="69" s="1" a="1"/>
  <c r="U142" i="69" s="1"/>
  <c r="U121" i="69"/>
  <c r="U141" i="69" s="1" a="1"/>
  <c r="U141" i="69" s="1"/>
  <c r="U123" i="69"/>
  <c r="U143" i="69" s="1" a="1"/>
  <c r="U143" i="69" s="1"/>
  <c r="H46" i="96"/>
  <c r="G149" i="70"/>
  <c r="F149" i="70"/>
  <c r="E149" i="70"/>
  <c r="D84" i="69" l="1" a="1"/>
  <c r="D84" i="69" s="1"/>
  <c r="D103" i="69" s="1" a="1"/>
  <c r="D103" i="69" s="1"/>
  <c r="G84" i="69" a="1"/>
  <c r="G84" i="69" s="1"/>
  <c r="G50" i="76" s="1"/>
  <c r="F84" i="69" a="1"/>
  <c r="F84" i="69" s="1"/>
  <c r="F103" i="69" s="1" a="1"/>
  <c r="F103" i="69" s="1"/>
  <c r="E84" i="69" a="1"/>
  <c r="E84" i="69" s="1"/>
  <c r="E103" i="69" s="1" a="1"/>
  <c r="E103" i="69" s="1"/>
  <c r="H84" i="69" a="1"/>
  <c r="H84" i="69" s="1"/>
  <c r="H103" i="69" s="1" a="1"/>
  <c r="H103" i="69" s="1"/>
  <c r="H43" i="97"/>
  <c r="G66" i="82"/>
  <c r="Q84" i="69" a="1"/>
  <c r="Q84" i="69" s="1"/>
  <c r="P50" i="76" s="1"/>
  <c r="P84" i="69" a="1"/>
  <c r="P84" i="69" s="1"/>
  <c r="O50" i="76" s="1"/>
  <c r="S84" i="69" a="1"/>
  <c r="S84" i="69" s="1"/>
  <c r="S103" i="69" s="1" a="1"/>
  <c r="S103" i="69" s="1"/>
  <c r="O84" i="69" a="1"/>
  <c r="O84" i="69" s="1"/>
  <c r="O103" i="69" s="1" a="1"/>
  <c r="O103" i="69" s="1"/>
  <c r="R173" i="69" a="1"/>
  <c r="R173" i="69" s="1"/>
  <c r="G173" i="69" a="1"/>
  <c r="G173" i="69" s="1"/>
  <c r="Q173" i="69" a="1"/>
  <c r="Q173" i="69" s="1"/>
  <c r="J173" i="69" a="1"/>
  <c r="J173" i="69" s="1"/>
  <c r="S172" i="69" a="1"/>
  <c r="S172" i="69" s="1"/>
  <c r="F173" i="69" a="1"/>
  <c r="F173" i="69" s="1"/>
  <c r="U173" i="69" a="1"/>
  <c r="U173" i="69" s="1"/>
  <c r="I173" i="69" a="1"/>
  <c r="I173" i="69" s="1"/>
  <c r="R103" i="69" a="1"/>
  <c r="R103" i="69" s="1"/>
  <c r="Q50" i="76"/>
  <c r="T173" i="69" a="1"/>
  <c r="T173" i="69" s="1"/>
  <c r="G172" i="69" a="1"/>
  <c r="G172" i="69" s="1"/>
  <c r="S173" i="69" a="1"/>
  <c r="S173" i="69" s="1"/>
  <c r="H172" i="69" a="1"/>
  <c r="H172" i="69" s="1"/>
  <c r="U172" i="69" a="1"/>
  <c r="U172" i="69" s="1"/>
  <c r="Q172" i="69" a="1"/>
  <c r="Q172" i="69" s="1"/>
  <c r="R172" i="69" a="1"/>
  <c r="R172" i="69" s="1"/>
  <c r="H173" i="69" a="1"/>
  <c r="H173" i="69" s="1"/>
  <c r="F172" i="69" a="1"/>
  <c r="F172" i="69" s="1"/>
  <c r="J172" i="69" a="1"/>
  <c r="J172" i="69" s="1"/>
  <c r="T172" i="69" a="1"/>
  <c r="T172" i="69" s="1"/>
  <c r="I172" i="69" a="1"/>
  <c r="I172" i="69" s="1"/>
  <c r="F50" i="76" l="1"/>
  <c r="G103" i="69" a="1"/>
  <c r="G103" i="69" s="1"/>
  <c r="D50" i="76"/>
  <c r="D119" i="76" s="1" a="1"/>
  <c r="D119" i="76" s="1"/>
  <c r="H50" i="76"/>
  <c r="H65" i="76" s="1" a="1"/>
  <c r="H65" i="76" s="1"/>
  <c r="H96" i="76" s="1" a="1"/>
  <c r="H96" i="76" s="1"/>
  <c r="R50" i="76"/>
  <c r="R119" i="76" s="1" a="1"/>
  <c r="R119" i="76" s="1"/>
  <c r="Q103" i="69" a="1"/>
  <c r="Q103" i="69" s="1"/>
  <c r="E50" i="76"/>
  <c r="E65" i="76" s="1" a="1"/>
  <c r="E65" i="76" s="1"/>
  <c r="E96" i="76" s="1" a="1"/>
  <c r="E96" i="76" s="1"/>
  <c r="P103" i="69" a="1"/>
  <c r="P103" i="69" s="1"/>
  <c r="N50" i="76"/>
  <c r="N65" i="76" s="1" a="1"/>
  <c r="N65" i="76" s="1"/>
  <c r="N96" i="76" s="1" a="1"/>
  <c r="N96" i="76" s="1"/>
  <c r="P65" i="76" a="1"/>
  <c r="P65" i="76" s="1"/>
  <c r="P96" i="76" s="1" a="1"/>
  <c r="P96" i="76" s="1"/>
  <c r="P119" i="76" a="1"/>
  <c r="P119" i="76" s="1"/>
  <c r="N119" i="76" a="1"/>
  <c r="N119" i="76" s="1"/>
  <c r="Q65" i="76" a="1"/>
  <c r="Q65" i="76" s="1"/>
  <c r="Q96" i="76" s="1" a="1"/>
  <c r="Q96" i="76" s="1"/>
  <c r="Q119" i="76" a="1"/>
  <c r="Q119" i="76" s="1"/>
  <c r="G119" i="76" a="1"/>
  <c r="G119" i="76" s="1"/>
  <c r="G65" i="76" a="1"/>
  <c r="G65" i="76" s="1"/>
  <c r="G96" i="76" s="1" a="1"/>
  <c r="G96" i="76" s="1"/>
  <c r="O65" i="76" a="1"/>
  <c r="O65" i="76" s="1"/>
  <c r="O96" i="76" s="1" a="1"/>
  <c r="O96" i="76" s="1"/>
  <c r="O119" i="76" a="1"/>
  <c r="O119" i="76" s="1"/>
  <c r="F119" i="76" a="1"/>
  <c r="F119" i="76" s="1"/>
  <c r="F65" i="76" a="1"/>
  <c r="F65" i="76" s="1"/>
  <c r="F96" i="76" s="1" a="1"/>
  <c r="F96" i="76" s="1"/>
  <c r="A39" i="74"/>
  <c r="A38" i="74"/>
  <c r="A37" i="74"/>
  <c r="A36" i="74"/>
  <c r="A33" i="74"/>
  <c r="A30" i="74"/>
  <c r="A29" i="74"/>
  <c r="A28" i="74"/>
  <c r="A27" i="74"/>
  <c r="A26" i="74"/>
  <c r="A25" i="74"/>
  <c r="A24" i="74"/>
  <c r="A19" i="74"/>
  <c r="A18" i="74"/>
  <c r="A15" i="74"/>
  <c r="A14" i="74"/>
  <c r="A13" i="74"/>
  <c r="A12" i="74"/>
  <c r="A11" i="74"/>
  <c r="A10" i="74"/>
  <c r="A9" i="74"/>
  <c r="A8" i="74"/>
  <c r="A7" i="74"/>
  <c r="A4" i="74"/>
  <c r="D65" i="76" l="1" a="1"/>
  <c r="D65" i="76" s="1"/>
  <c r="D96" i="76" s="1" a="1"/>
  <c r="D96" i="76" s="1"/>
  <c r="D139" i="76" s="1" a="1"/>
  <c r="D139" i="76" s="1"/>
  <c r="D206" i="76" s="1" a="1"/>
  <c r="D206" i="76" s="1"/>
  <c r="E119" i="76" a="1"/>
  <c r="E119" i="76" s="1"/>
  <c r="H119" i="76" a="1"/>
  <c r="H119" i="76" s="1"/>
  <c r="H139" i="76" s="1" a="1"/>
  <c r="H139" i="76" s="1"/>
  <c r="F139" i="76" a="1"/>
  <c r="F139" i="76" s="1"/>
  <c r="F206" i="76" s="1" a="1"/>
  <c r="F206" i="76" s="1"/>
  <c r="F19" i="96" s="1"/>
  <c r="R65" i="76" a="1"/>
  <c r="R65" i="76" s="1"/>
  <c r="R96" i="76" s="1" a="1"/>
  <c r="R96" i="76" s="1"/>
  <c r="R139" i="76" s="1" a="1"/>
  <c r="R139" i="76" s="1"/>
  <c r="R169" i="76" s="1" a="1"/>
  <c r="R169" i="76" s="1"/>
  <c r="Q139" i="76" a="1"/>
  <c r="Q139" i="76" s="1"/>
  <c r="Q169" i="76" s="1" a="1"/>
  <c r="Q169" i="76" s="1"/>
  <c r="G139" i="76" a="1"/>
  <c r="G139" i="76" s="1"/>
  <c r="G206" i="76" s="1" a="1"/>
  <c r="G206" i="76" s="1"/>
  <c r="E139" i="76" a="1"/>
  <c r="E139" i="76" s="1"/>
  <c r="N139" i="76" a="1"/>
  <c r="N139" i="76" s="1"/>
  <c r="O139" i="76" a="1"/>
  <c r="O139" i="76" s="1"/>
  <c r="P139" i="76" a="1"/>
  <c r="P139" i="76" s="1"/>
  <c r="G139" i="70"/>
  <c r="F139" i="70"/>
  <c r="E139" i="70"/>
  <c r="G144" i="70"/>
  <c r="F144" i="70"/>
  <c r="E144" i="70"/>
  <c r="G169" i="76" l="1" a="1"/>
  <c r="G169" i="76" s="1"/>
  <c r="G19" i="96" s="1"/>
  <c r="H169" i="76" a="1"/>
  <c r="H169" i="76" s="1"/>
  <c r="H206" i="76" a="1"/>
  <c r="H206" i="76" s="1"/>
  <c r="H19" i="96" s="1"/>
  <c r="U31" i="96" s="1" a="1"/>
  <c r="U31" i="96" s="1"/>
  <c r="F169" i="76" a="1"/>
  <c r="F169" i="76" s="1"/>
  <c r="D169" i="76" a="1"/>
  <c r="D169" i="76" s="1"/>
  <c r="D19" i="96" s="1"/>
  <c r="Q31" i="96" s="1" a="1"/>
  <c r="Q31" i="96" s="1"/>
  <c r="R206" i="76" a="1"/>
  <c r="R206" i="76" s="1"/>
  <c r="T236" i="76" s="1" a="1"/>
  <c r="T236" i="76" s="1"/>
  <c r="U40" i="81" s="1"/>
  <c r="T31" i="96" a="1"/>
  <c r="T31" i="96" s="1"/>
  <c r="I31" i="96" a="1"/>
  <c r="I31" i="96" s="1"/>
  <c r="S31" i="96" a="1"/>
  <c r="S31" i="96" s="1"/>
  <c r="H31" i="96" a="1"/>
  <c r="H31" i="96" s="1"/>
  <c r="Q206" i="76" a="1"/>
  <c r="Q206" i="76" s="1"/>
  <c r="J239" i="76" a="1"/>
  <c r="J239" i="76" s="1"/>
  <c r="J43" i="81" s="1"/>
  <c r="J241" i="76" a="1"/>
  <c r="J241" i="76" s="1"/>
  <c r="J45" i="81" s="1"/>
  <c r="F243" i="76" a="1"/>
  <c r="F243" i="76" s="1"/>
  <c r="F47" i="81" s="1"/>
  <c r="H243" i="76" a="1"/>
  <c r="H243" i="76" s="1"/>
  <c r="H47" i="81" s="1"/>
  <c r="H242" i="76" a="1"/>
  <c r="H242" i="76" s="1"/>
  <c r="H46" i="81" s="1"/>
  <c r="H241" i="76" a="1"/>
  <c r="H241" i="76" s="1"/>
  <c r="H45" i="81" s="1"/>
  <c r="H239" i="76" a="1"/>
  <c r="H239" i="76" s="1"/>
  <c r="H43" i="81" s="1"/>
  <c r="H237" i="76" a="1"/>
  <c r="H237" i="76" s="1"/>
  <c r="H41" i="81" s="1"/>
  <c r="H236" i="76" a="1"/>
  <c r="H236" i="76" s="1"/>
  <c r="H40" i="81" s="1"/>
  <c r="H240" i="76" a="1"/>
  <c r="H240" i="76" s="1"/>
  <c r="H44" i="81" s="1"/>
  <c r="H238" i="76" a="1"/>
  <c r="H238" i="76" s="1"/>
  <c r="H42" i="81" s="1"/>
  <c r="S243" i="76" a="1"/>
  <c r="S243" i="76" s="1"/>
  <c r="T47" i="81" s="1"/>
  <c r="S241" i="76" a="1"/>
  <c r="S241" i="76" s="1"/>
  <c r="T45" i="81" s="1"/>
  <c r="S236" i="76" a="1"/>
  <c r="S236" i="76" s="1"/>
  <c r="T40" i="81" s="1"/>
  <c r="S239" i="76" a="1"/>
  <c r="S239" i="76" s="1"/>
  <c r="T43" i="81" s="1"/>
  <c r="S238" i="76" a="1"/>
  <c r="S238" i="76" s="1"/>
  <c r="T42" i="81" s="1"/>
  <c r="S240" i="76" a="1"/>
  <c r="S240" i="76" s="1"/>
  <c r="T44" i="81" s="1"/>
  <c r="S237" i="76" a="1"/>
  <c r="S237" i="76" s="1"/>
  <c r="T41" i="81" s="1"/>
  <c r="S242" i="76" a="1"/>
  <c r="S242" i="76" s="1"/>
  <c r="T46" i="81" s="1"/>
  <c r="I243" i="76" a="1"/>
  <c r="I243" i="76" s="1"/>
  <c r="I47" i="81" s="1"/>
  <c r="I242" i="76" a="1"/>
  <c r="I242" i="76" s="1"/>
  <c r="I46" i="81" s="1"/>
  <c r="I241" i="76" a="1"/>
  <c r="I241" i="76" s="1"/>
  <c r="I45" i="81" s="1"/>
  <c r="I240" i="76" a="1"/>
  <c r="I240" i="76" s="1"/>
  <c r="I44" i="81" s="1"/>
  <c r="I239" i="76" a="1"/>
  <c r="I239" i="76" s="1"/>
  <c r="I43" i="81" s="1"/>
  <c r="I238" i="76" a="1"/>
  <c r="I238" i="76" s="1"/>
  <c r="I42" i="81" s="1"/>
  <c r="I237" i="76" a="1"/>
  <c r="I237" i="76" s="1"/>
  <c r="I41" i="81" s="1"/>
  <c r="I236" i="76" a="1"/>
  <c r="I236" i="76" s="1"/>
  <c r="I40" i="81" s="1"/>
  <c r="O169" i="76" a="1"/>
  <c r="O169" i="76" s="1"/>
  <c r="O206" i="76" a="1"/>
  <c r="O206" i="76" s="1"/>
  <c r="E169" i="76" a="1"/>
  <c r="E169" i="76" s="1"/>
  <c r="E19" i="96" s="1"/>
  <c r="E206" i="76" a="1"/>
  <c r="E206" i="76" s="1"/>
  <c r="N169" i="76" a="1"/>
  <c r="N169" i="76" s="1"/>
  <c r="N206" i="76" a="1"/>
  <c r="N206" i="76" s="1"/>
  <c r="P169" i="76" a="1"/>
  <c r="P169" i="76" s="1"/>
  <c r="P206" i="76" a="1"/>
  <c r="P206" i="76" s="1"/>
  <c r="F237" i="76" l="1" a="1"/>
  <c r="F237" i="76" s="1"/>
  <c r="F41" i="81" s="1"/>
  <c r="F239" i="76" a="1"/>
  <c r="F239" i="76" s="1"/>
  <c r="F43" i="81" s="1"/>
  <c r="T239" i="76" a="1"/>
  <c r="T239" i="76" s="1"/>
  <c r="U43" i="81" s="1"/>
  <c r="F238" i="76" a="1"/>
  <c r="F238" i="76" s="1"/>
  <c r="F42" i="81" s="1"/>
  <c r="T240" i="76" a="1"/>
  <c r="T240" i="76" s="1"/>
  <c r="U44" i="81" s="1"/>
  <c r="T238" i="76" a="1"/>
  <c r="T238" i="76" s="1"/>
  <c r="U42" i="81" s="1"/>
  <c r="T243" i="76" a="1"/>
  <c r="T243" i="76" s="1"/>
  <c r="U47" i="81" s="1"/>
  <c r="J236" i="76" a="1"/>
  <c r="J236" i="76" s="1"/>
  <c r="F31" i="96" a="1"/>
  <c r="F31" i="96" s="1"/>
  <c r="F23" i="98" s="1"/>
  <c r="F28" i="98" s="1" a="1"/>
  <c r="F28" i="98" s="1"/>
  <c r="J242" i="76" a="1"/>
  <c r="J242" i="76" s="1"/>
  <c r="T242" i="76" a="1"/>
  <c r="T242" i="76" s="1"/>
  <c r="U46" i="81" s="1"/>
  <c r="J31" i="96" a="1"/>
  <c r="J31" i="96" s="1"/>
  <c r="J51" i="96" s="1" a="1"/>
  <c r="J51" i="96" s="1"/>
  <c r="T241" i="76" a="1"/>
  <c r="T241" i="76" s="1"/>
  <c r="T276" i="76" s="1" a="1"/>
  <c r="T276" i="76" s="1"/>
  <c r="J243" i="76" a="1"/>
  <c r="J243" i="76" s="1"/>
  <c r="J240" i="76" a="1"/>
  <c r="J240" i="76" s="1"/>
  <c r="J238" i="76" a="1"/>
  <c r="J238" i="76" s="1"/>
  <c r="F236" i="76" a="1"/>
  <c r="F236" i="76" s="1"/>
  <c r="J237" i="76" a="1"/>
  <c r="J237" i="76" s="1"/>
  <c r="J41" i="81" s="1"/>
  <c r="F240" i="76" a="1"/>
  <c r="F240" i="76" s="1"/>
  <c r="F241" i="76" a="1"/>
  <c r="F241" i="76" s="1"/>
  <c r="F45" i="81" s="1"/>
  <c r="F242" i="76" a="1"/>
  <c r="F242" i="76" s="1"/>
  <c r="F277" i="76" s="1" a="1"/>
  <c r="F277" i="76" s="1"/>
  <c r="T237" i="76" a="1"/>
  <c r="T237" i="76" s="1"/>
  <c r="U41" i="81" s="1"/>
  <c r="H23" i="98"/>
  <c r="H28" i="98" s="1" a="1"/>
  <c r="H28" i="98" s="1"/>
  <c r="H19" i="97"/>
  <c r="H24" i="97" s="1" a="1"/>
  <c r="H24" i="97" s="1"/>
  <c r="S23" i="98"/>
  <c r="S28" i="98" s="1" a="1"/>
  <c r="S28" i="98" s="1"/>
  <c r="S19" i="97"/>
  <c r="S24" i="97" s="1" a="1"/>
  <c r="S24" i="97" s="1"/>
  <c r="Q23" i="98"/>
  <c r="Q28" i="98" s="1" a="1"/>
  <c r="Q28" i="98" s="1"/>
  <c r="Q19" i="97"/>
  <c r="Q24" i="97" s="1" a="1"/>
  <c r="Q24" i="97" s="1"/>
  <c r="U23" i="98"/>
  <c r="U28" i="98" s="1" a="1"/>
  <c r="U28" i="98" s="1"/>
  <c r="U19" i="97"/>
  <c r="U24" i="97" s="1" a="1"/>
  <c r="U24" i="97" s="1"/>
  <c r="I19" i="97"/>
  <c r="I24" i="97" s="1" a="1"/>
  <c r="I24" i="97" s="1"/>
  <c r="I23" i="98"/>
  <c r="I28" i="98" s="1" a="1"/>
  <c r="I28" i="98" s="1"/>
  <c r="T23" i="98"/>
  <c r="T28" i="98" s="1" a="1"/>
  <c r="T28" i="98" s="1"/>
  <c r="T19" i="97"/>
  <c r="T24" i="97" s="1" a="1"/>
  <c r="T24" i="97" s="1"/>
  <c r="H51" i="96" a="1"/>
  <c r="H51" i="96" s="1"/>
  <c r="S51" i="96" a="1"/>
  <c r="S51" i="96" s="1"/>
  <c r="Q51" i="96" a="1"/>
  <c r="Q51" i="96" s="1"/>
  <c r="U51" i="96" a="1"/>
  <c r="U51" i="96" s="1"/>
  <c r="I51" i="96" a="1"/>
  <c r="I51" i="96" s="1"/>
  <c r="T51" i="96" a="1"/>
  <c r="T51" i="96" s="1"/>
  <c r="R31" i="96" a="1"/>
  <c r="R31" i="96" s="1"/>
  <c r="G31" i="96" a="1"/>
  <c r="G31" i="96" s="1"/>
  <c r="H24" i="82"/>
  <c r="H45" i="82" s="1" a="1"/>
  <c r="H45" i="82" s="1"/>
  <c r="T25" i="82"/>
  <c r="T46" i="82" s="1" a="1"/>
  <c r="T46" i="82" s="1"/>
  <c r="H25" i="82"/>
  <c r="H46" i="82" s="1" a="1"/>
  <c r="H46" i="82" s="1"/>
  <c r="H24" i="95"/>
  <c r="H30" i="95" s="1" a="1"/>
  <c r="H30" i="95" s="1"/>
  <c r="H26" i="82"/>
  <c r="H47" i="82" s="1" a="1"/>
  <c r="H47" i="82" s="1"/>
  <c r="T20" i="82"/>
  <c r="T41" i="82" s="1" a="1"/>
  <c r="T41" i="82" s="1"/>
  <c r="U23" i="95"/>
  <c r="U29" i="95" s="1" a="1"/>
  <c r="U29" i="95" s="1"/>
  <c r="U22" i="82"/>
  <c r="U43" i="82" s="1" a="1"/>
  <c r="U43" i="82" s="1"/>
  <c r="T23" i="82"/>
  <c r="T44" i="82" s="1" a="1"/>
  <c r="T44" i="82" s="1"/>
  <c r="F20" i="82"/>
  <c r="F41" i="82" s="1" a="1"/>
  <c r="F41" i="82" s="1"/>
  <c r="U19" i="82"/>
  <c r="U40" i="82" s="1" a="1"/>
  <c r="U40" i="82" s="1"/>
  <c r="J25" i="82"/>
  <c r="J46" i="82" s="1" a="1"/>
  <c r="J46" i="82" s="1"/>
  <c r="T19" i="82"/>
  <c r="T40" i="82" s="1" a="1"/>
  <c r="T40" i="82" s="1"/>
  <c r="F21" i="82"/>
  <c r="F42" i="82" s="1" a="1"/>
  <c r="F42" i="82" s="1"/>
  <c r="I24" i="95"/>
  <c r="I30" i="95" s="1" a="1"/>
  <c r="I30" i="95" s="1"/>
  <c r="I26" i="82"/>
  <c r="I47" i="82" s="1" a="1"/>
  <c r="I47" i="82" s="1"/>
  <c r="F23" i="95"/>
  <c r="F29" i="95" s="1" a="1"/>
  <c r="F29" i="95" s="1"/>
  <c r="F22" i="82"/>
  <c r="F43" i="82" s="1" a="1"/>
  <c r="F43" i="82" s="1"/>
  <c r="I20" i="82"/>
  <c r="I41" i="82" s="1" a="1"/>
  <c r="I41" i="82" s="1"/>
  <c r="T24" i="95"/>
  <c r="T30" i="95" s="1" a="1"/>
  <c r="T30" i="95" s="1"/>
  <c r="T26" i="82"/>
  <c r="T47" i="82" s="1" a="1"/>
  <c r="T47" i="82" s="1"/>
  <c r="J24" i="82"/>
  <c r="J45" i="82" s="1" a="1"/>
  <c r="J45" i="82" s="1"/>
  <c r="I21" i="82"/>
  <c r="I42" i="82" s="1" a="1"/>
  <c r="I42" i="82" s="1"/>
  <c r="H21" i="82"/>
  <c r="H42" i="82" s="1" a="1"/>
  <c r="H42" i="82" s="1"/>
  <c r="T21" i="82"/>
  <c r="T42" i="82" s="1" a="1"/>
  <c r="T42" i="82" s="1"/>
  <c r="T24" i="82"/>
  <c r="T45" i="82" s="1" a="1"/>
  <c r="T45" i="82" s="1"/>
  <c r="I23" i="95"/>
  <c r="I29" i="95" s="1" a="1"/>
  <c r="I29" i="95" s="1"/>
  <c r="I22" i="82"/>
  <c r="I43" i="82" s="1" a="1"/>
  <c r="I43" i="82" s="1"/>
  <c r="H23" i="82"/>
  <c r="H44" i="82" s="1" a="1"/>
  <c r="H44" i="82" s="1"/>
  <c r="F24" i="95"/>
  <c r="F30" i="95" s="1" a="1"/>
  <c r="F30" i="95" s="1"/>
  <c r="F26" i="82"/>
  <c r="F47" i="82" s="1" a="1"/>
  <c r="F47" i="82" s="1"/>
  <c r="H19" i="82"/>
  <c r="H40" i="82" s="1" a="1"/>
  <c r="H40" i="82" s="1"/>
  <c r="U23" i="82"/>
  <c r="U44" i="82" s="1" a="1"/>
  <c r="U44" i="82" s="1"/>
  <c r="I19" i="82"/>
  <c r="I40" i="82" s="1" a="1"/>
  <c r="I40" i="82" s="1"/>
  <c r="I23" i="82"/>
  <c r="I44" i="82" s="1" a="1"/>
  <c r="I44" i="82" s="1"/>
  <c r="I24" i="82"/>
  <c r="I45" i="82" s="1" a="1"/>
  <c r="I45" i="82" s="1"/>
  <c r="H20" i="82"/>
  <c r="H41" i="82" s="1" a="1"/>
  <c r="H41" i="82" s="1"/>
  <c r="U21" i="82"/>
  <c r="U42" i="82" s="1" a="1"/>
  <c r="U42" i="82" s="1"/>
  <c r="J23" i="95"/>
  <c r="J29" i="95" s="1" a="1"/>
  <c r="J29" i="95" s="1"/>
  <c r="J22" i="82"/>
  <c r="J43" i="82" s="1" a="1"/>
  <c r="J43" i="82" s="1"/>
  <c r="T23" i="95"/>
  <c r="T29" i="95" s="1" a="1"/>
  <c r="T29" i="95" s="1"/>
  <c r="T22" i="82"/>
  <c r="T43" i="82" s="1" a="1"/>
  <c r="T43" i="82" s="1"/>
  <c r="I25" i="82"/>
  <c r="I46" i="82" s="1" a="1"/>
  <c r="I46" i="82" s="1"/>
  <c r="H23" i="95"/>
  <c r="H29" i="95" s="1" a="1"/>
  <c r="H29" i="95" s="1"/>
  <c r="H22" i="82"/>
  <c r="H43" i="82" s="1" a="1"/>
  <c r="H43" i="82" s="1"/>
  <c r="I277" i="76" a="1"/>
  <c r="I277" i="76" s="1"/>
  <c r="H274" i="76" a="1"/>
  <c r="H274" i="76" s="1"/>
  <c r="T278" i="76" a="1"/>
  <c r="T278" i="76" s="1"/>
  <c r="I278" i="76" a="1"/>
  <c r="I278" i="76" s="1"/>
  <c r="H276" i="76" a="1"/>
  <c r="H276" i="76" s="1"/>
  <c r="F274" i="76" a="1"/>
  <c r="F274" i="76" s="1"/>
  <c r="H277" i="76" a="1"/>
  <c r="H277" i="76" s="1"/>
  <c r="P240" i="76" a="1"/>
  <c r="P240" i="76" s="1"/>
  <c r="Q44" i="81" s="1"/>
  <c r="P238" i="76" a="1"/>
  <c r="P238" i="76" s="1"/>
  <c r="Q42" i="81" s="1"/>
  <c r="P243" i="76" a="1"/>
  <c r="P243" i="76" s="1"/>
  <c r="Q47" i="81" s="1"/>
  <c r="P241" i="76" a="1"/>
  <c r="P241" i="76" s="1"/>
  <c r="Q45" i="81" s="1"/>
  <c r="P236" i="76" a="1"/>
  <c r="P236" i="76" s="1"/>
  <c r="Q40" i="81" s="1"/>
  <c r="P239" i="76" a="1"/>
  <c r="P239" i="76" s="1"/>
  <c r="Q43" i="81" s="1"/>
  <c r="P242" i="76" a="1"/>
  <c r="P242" i="76" s="1"/>
  <c r="Q46" i="81" s="1"/>
  <c r="P237" i="76" a="1"/>
  <c r="P237" i="76" s="1"/>
  <c r="Q41" i="81" s="1"/>
  <c r="S275" i="76" a="1"/>
  <c r="S275" i="76" s="1"/>
  <c r="F272" i="76" a="1"/>
  <c r="F272" i="76" s="1"/>
  <c r="F273" i="76" a="1"/>
  <c r="F273" i="76" s="1"/>
  <c r="S276" i="76" a="1"/>
  <c r="S276" i="76" s="1"/>
  <c r="S277" i="76" a="1"/>
  <c r="S277" i="76" s="1"/>
  <c r="H278" i="76" a="1"/>
  <c r="H278" i="76" s="1"/>
  <c r="S278" i="76" a="1"/>
  <c r="S278" i="76" s="1"/>
  <c r="J276" i="76" a="1"/>
  <c r="J276" i="76" s="1"/>
  <c r="I273" i="76" a="1"/>
  <c r="I273" i="76" s="1"/>
  <c r="H273" i="76" a="1"/>
  <c r="H273" i="76" s="1"/>
  <c r="S273" i="76" a="1"/>
  <c r="S273" i="76" s="1"/>
  <c r="S271" i="76" a="1"/>
  <c r="S271" i="76" s="1"/>
  <c r="I272" i="76" a="1"/>
  <c r="I272" i="76" s="1"/>
  <c r="F278" i="76" a="1"/>
  <c r="F278" i="76" s="1"/>
  <c r="G238" i="76" a="1"/>
  <c r="G238" i="76" s="1"/>
  <c r="G42" i="81" s="1"/>
  <c r="G237" i="76" a="1"/>
  <c r="G237" i="76" s="1"/>
  <c r="G41" i="81" s="1"/>
  <c r="G236" i="76" a="1"/>
  <c r="G236" i="76" s="1"/>
  <c r="G40" i="81" s="1"/>
  <c r="G243" i="76" a="1"/>
  <c r="G243" i="76" s="1"/>
  <c r="G47" i="81" s="1"/>
  <c r="G240" i="76" a="1"/>
  <c r="G240" i="76" s="1"/>
  <c r="G44" i="81" s="1"/>
  <c r="G239" i="76" a="1"/>
  <c r="G239" i="76" s="1"/>
  <c r="G43" i="81" s="1"/>
  <c r="G241" i="76" a="1"/>
  <c r="G241" i="76" s="1"/>
  <c r="G45" i="81" s="1"/>
  <c r="G242" i="76" a="1"/>
  <c r="G242" i="76" s="1"/>
  <c r="G46" i="81" s="1"/>
  <c r="I271" i="76" a="1"/>
  <c r="I271" i="76" s="1"/>
  <c r="I274" i="76" a="1"/>
  <c r="I274" i="76" s="1"/>
  <c r="I275" i="76" a="1"/>
  <c r="I275" i="76" s="1"/>
  <c r="T275" i="76" a="1"/>
  <c r="T275" i="76" s="1"/>
  <c r="J273" i="76" a="1"/>
  <c r="J273" i="76" s="1"/>
  <c r="S272" i="76" a="1"/>
  <c r="S272" i="76" s="1"/>
  <c r="T274" i="76" a="1"/>
  <c r="T274" i="76" s="1"/>
  <c r="T271" i="76" a="1"/>
  <c r="T271" i="76" s="1"/>
  <c r="S274" i="76" a="1"/>
  <c r="S274" i="76" s="1"/>
  <c r="Q243" i="76" a="1"/>
  <c r="Q243" i="76" s="1"/>
  <c r="R47" i="81" s="1"/>
  <c r="Q238" i="76" a="1"/>
  <c r="Q238" i="76" s="1"/>
  <c r="R42" i="81" s="1"/>
  <c r="Q241" i="76" a="1"/>
  <c r="Q241" i="76" s="1"/>
  <c r="R45" i="81" s="1"/>
  <c r="Q236" i="76" a="1"/>
  <c r="Q236" i="76" s="1"/>
  <c r="R40" i="81" s="1"/>
  <c r="Q240" i="76" a="1"/>
  <c r="Q240" i="76" s="1"/>
  <c r="R44" i="81" s="1"/>
  <c r="Q242" i="76" a="1"/>
  <c r="Q242" i="76" s="1"/>
  <c r="R46" i="81" s="1"/>
  <c r="Q239" i="76" a="1"/>
  <c r="Q239" i="76" s="1"/>
  <c r="R43" i="81" s="1"/>
  <c r="Q237" i="76" a="1"/>
  <c r="Q237" i="76" s="1"/>
  <c r="R41" i="81" s="1"/>
  <c r="H275" i="76" a="1"/>
  <c r="H275" i="76" s="1"/>
  <c r="R243" i="76" a="1"/>
  <c r="R243" i="76" s="1"/>
  <c r="S47" i="81" s="1"/>
  <c r="R238" i="76" a="1"/>
  <c r="R238" i="76" s="1"/>
  <c r="S42" i="81" s="1"/>
  <c r="R241" i="76" a="1"/>
  <c r="R241" i="76" s="1"/>
  <c r="S45" i="81" s="1"/>
  <c r="R236" i="76" a="1"/>
  <c r="R236" i="76" s="1"/>
  <c r="S40" i="81" s="1"/>
  <c r="R239" i="76" a="1"/>
  <c r="R239" i="76" s="1"/>
  <c r="S43" i="81" s="1"/>
  <c r="R237" i="76" a="1"/>
  <c r="R237" i="76" s="1"/>
  <c r="S41" i="81" s="1"/>
  <c r="R240" i="76" a="1"/>
  <c r="R240" i="76" s="1"/>
  <c r="S44" i="81" s="1"/>
  <c r="R242" i="76" a="1"/>
  <c r="R242" i="76" s="1"/>
  <c r="S46" i="81" s="1"/>
  <c r="H271" i="76" a="1"/>
  <c r="H271" i="76" s="1"/>
  <c r="I276" i="76" a="1"/>
  <c r="I276" i="76" s="1"/>
  <c r="H272" i="76" a="1"/>
  <c r="H272" i="76" s="1"/>
  <c r="T273" i="76" a="1"/>
  <c r="T273" i="76" s="1"/>
  <c r="J274" i="76" a="1"/>
  <c r="J274" i="76" s="1"/>
  <c r="A24" i="13"/>
  <c r="A22" i="13"/>
  <c r="A23" i="13"/>
  <c r="A7" i="13"/>
  <c r="A4" i="13"/>
  <c r="A3" i="13"/>
  <c r="T277" i="76" l="1" a="1"/>
  <c r="T277" i="76" s="1"/>
  <c r="U49" i="95" a="1"/>
  <c r="U49" i="95" s="1"/>
  <c r="U55" i="81"/>
  <c r="U26" i="82"/>
  <c r="U47" i="82" s="1" a="1"/>
  <c r="U47" i="82" s="1"/>
  <c r="U24" i="95"/>
  <c r="U30" i="95" s="1" a="1"/>
  <c r="U30" i="95" s="1"/>
  <c r="H50" i="95" a="1"/>
  <c r="H50" i="95" s="1"/>
  <c r="H59" i="81"/>
  <c r="F275" i="76" a="1"/>
  <c r="F275" i="76" s="1"/>
  <c r="F44" i="81"/>
  <c r="I49" i="95" a="1"/>
  <c r="I49" i="95" s="1"/>
  <c r="I55" i="81"/>
  <c r="J24" i="95"/>
  <c r="J30" i="95" s="1" a="1"/>
  <c r="J30" i="95" s="1"/>
  <c r="J47" i="81"/>
  <c r="J19" i="82"/>
  <c r="J40" i="82" s="1" a="1"/>
  <c r="J40" i="82" s="1"/>
  <c r="J40" i="81"/>
  <c r="F49" i="95" a="1"/>
  <c r="F49" i="95" s="1"/>
  <c r="F55" i="81"/>
  <c r="U25" i="82"/>
  <c r="U46" i="82" s="1" a="1"/>
  <c r="U46" i="82" s="1"/>
  <c r="T49" i="95" a="1"/>
  <c r="T49" i="95" s="1"/>
  <c r="T55" i="81"/>
  <c r="U24" i="82"/>
  <c r="U45" i="82" s="1" a="1"/>
  <c r="U45" i="82" s="1"/>
  <c r="U45" i="81"/>
  <c r="J49" i="95" a="1"/>
  <c r="J49" i="95" s="1"/>
  <c r="J55" i="81"/>
  <c r="J277" i="76" a="1"/>
  <c r="J277" i="76" s="1"/>
  <c r="J46" i="81"/>
  <c r="F25" i="82"/>
  <c r="F46" i="82" s="1" a="1"/>
  <c r="F46" i="82" s="1"/>
  <c r="F46" i="81"/>
  <c r="H49" i="95" a="1"/>
  <c r="H49" i="95" s="1"/>
  <c r="H55" i="81"/>
  <c r="F50" i="95" a="1"/>
  <c r="F50" i="95" s="1"/>
  <c r="F59" i="81"/>
  <c r="F271" i="76" a="1"/>
  <c r="F271" i="76" s="1"/>
  <c r="F40" i="81"/>
  <c r="I50" i="95" a="1"/>
  <c r="I50" i="95" s="1"/>
  <c r="I59" i="81"/>
  <c r="J21" i="82"/>
  <c r="J42" i="82" s="1" a="1"/>
  <c r="J42" i="82" s="1"/>
  <c r="J42" i="81"/>
  <c r="J271" i="76" a="1"/>
  <c r="J271" i="76" s="1"/>
  <c r="T50" i="95" a="1"/>
  <c r="T50" i="95" s="1"/>
  <c r="T59" i="81"/>
  <c r="J23" i="82"/>
  <c r="J44" i="82" s="1" a="1"/>
  <c r="J44" i="82" s="1"/>
  <c r="J44" i="81"/>
  <c r="J23" i="98"/>
  <c r="J28" i="98" s="1" a="1"/>
  <c r="J28" i="98" s="1"/>
  <c r="U20" i="82"/>
  <c r="U41" i="82" s="1" a="1"/>
  <c r="U41" i="82" s="1"/>
  <c r="J19" i="97"/>
  <c r="J24" i="97" s="1" a="1"/>
  <c r="J24" i="97" s="1"/>
  <c r="J278" i="76" a="1"/>
  <c r="J278" i="76" s="1"/>
  <c r="F19" i="82"/>
  <c r="F40" i="82" s="1" a="1"/>
  <c r="F40" i="82" s="1"/>
  <c r="J275" i="76" a="1"/>
  <c r="J275" i="76" s="1"/>
  <c r="F51" i="96" a="1"/>
  <c r="F51" i="96" s="1"/>
  <c r="F19" i="97"/>
  <c r="F24" i="97" s="1" a="1"/>
  <c r="F24" i="97" s="1"/>
  <c r="T272" i="76" a="1"/>
  <c r="T272" i="76" s="1"/>
  <c r="F276" i="76" a="1"/>
  <c r="F276" i="76" s="1"/>
  <c r="F24" i="82"/>
  <c r="F45" i="82" s="1" a="1"/>
  <c r="F45" i="82" s="1"/>
  <c r="J272" i="76" a="1"/>
  <c r="J272" i="76" s="1"/>
  <c r="F23" i="82"/>
  <c r="F44" i="82" s="1" a="1"/>
  <c r="F44" i="82" s="1"/>
  <c r="J20" i="82"/>
  <c r="J41" i="82" s="1" a="1"/>
  <c r="J41" i="82" s="1"/>
  <c r="J26" i="82"/>
  <c r="J47" i="82" s="1" a="1"/>
  <c r="J47" i="82" s="1"/>
  <c r="G23" i="98"/>
  <c r="G28" i="98" s="1" a="1"/>
  <c r="G28" i="98" s="1"/>
  <c r="G19" i="97"/>
  <c r="G24" i="97" s="1" a="1"/>
  <c r="G24" i="97" s="1"/>
  <c r="R23" i="98"/>
  <c r="R28" i="98" s="1" a="1"/>
  <c r="R28" i="98" s="1"/>
  <c r="P30" i="98" s="1"/>
  <c r="S43" i="98" s="1"/>
  <c r="P47" i="98" s="1" a="1"/>
  <c r="P47" i="98" s="1"/>
  <c r="R19" i="97"/>
  <c r="R24" i="97" s="1" a="1"/>
  <c r="R24" i="97" s="1"/>
  <c r="P26" i="97" s="1"/>
  <c r="S38" i="97" s="1"/>
  <c r="P45" i="97" s="1" a="1"/>
  <c r="P45" i="97" s="1"/>
  <c r="G51" i="96" a="1"/>
  <c r="G51" i="96" s="1"/>
  <c r="R51" i="96" a="1"/>
  <c r="R51" i="96" s="1"/>
  <c r="P53" i="96" s="1"/>
  <c r="R19" i="82"/>
  <c r="R40" i="82" s="1" a="1"/>
  <c r="R40" i="82" s="1"/>
  <c r="G24" i="95"/>
  <c r="G30" i="95" s="1" a="1"/>
  <c r="G30" i="95" s="1"/>
  <c r="G26" i="82"/>
  <c r="G47" i="82" s="1" a="1"/>
  <c r="G47" i="82" s="1"/>
  <c r="Q21" i="82"/>
  <c r="Q42" i="82" s="1" a="1"/>
  <c r="Q42" i="82" s="1"/>
  <c r="S23" i="82"/>
  <c r="S44" i="82" s="1" a="1"/>
  <c r="S44" i="82" s="1"/>
  <c r="S20" i="82"/>
  <c r="S41" i="82" s="1" a="1"/>
  <c r="S41" i="82" s="1"/>
  <c r="R21" i="82"/>
  <c r="R42" i="82" s="1" a="1"/>
  <c r="R42" i="82" s="1"/>
  <c r="G20" i="82"/>
  <c r="G41" i="82" s="1" a="1"/>
  <c r="G41" i="82" s="1"/>
  <c r="S25" i="82"/>
  <c r="S46" i="82" s="1" a="1"/>
  <c r="S46" i="82" s="1"/>
  <c r="S23" i="95"/>
  <c r="S29" i="95" s="1" a="1"/>
  <c r="S29" i="95" s="1"/>
  <c r="S22" i="82"/>
  <c r="S43" i="82" s="1" a="1"/>
  <c r="S43" i="82" s="1"/>
  <c r="R24" i="95"/>
  <c r="R30" i="95" s="1" a="1"/>
  <c r="R30" i="95" s="1"/>
  <c r="R26" i="82"/>
  <c r="R47" i="82" s="1" a="1"/>
  <c r="R47" i="82" s="1"/>
  <c r="G21" i="82"/>
  <c r="G42" i="82" s="1" a="1"/>
  <c r="G42" i="82" s="1"/>
  <c r="S19" i="82"/>
  <c r="S40" i="82" s="1" a="1"/>
  <c r="S40" i="82" s="1"/>
  <c r="S24" i="95"/>
  <c r="S30" i="95" s="1" a="1"/>
  <c r="S30" i="95" s="1"/>
  <c r="S26" i="82"/>
  <c r="S47" i="82" s="1" a="1"/>
  <c r="S47" i="82" s="1"/>
  <c r="S21" i="82"/>
  <c r="S42" i="82" s="1" a="1"/>
  <c r="S42" i="82" s="1"/>
  <c r="Q20" i="82"/>
  <c r="Q41" i="82" s="1" a="1"/>
  <c r="Q41" i="82" s="1"/>
  <c r="Q25" i="82"/>
  <c r="Q46" i="82" s="1" a="1"/>
  <c r="Q46" i="82" s="1"/>
  <c r="G25" i="82"/>
  <c r="G46" i="82" s="1" a="1"/>
  <c r="G46" i="82" s="1"/>
  <c r="Q23" i="95"/>
  <c r="Q29" i="95" s="1" a="1"/>
  <c r="Q29" i="95" s="1"/>
  <c r="Q22" i="82"/>
  <c r="Q43" i="82" s="1" a="1"/>
  <c r="Q43" i="82" s="1"/>
  <c r="R20" i="82"/>
  <c r="R41" i="82" s="1" a="1"/>
  <c r="R41" i="82" s="1"/>
  <c r="G24" i="82"/>
  <c r="G45" i="82" s="1" a="1"/>
  <c r="G45" i="82" s="1"/>
  <c r="Q19" i="82"/>
  <c r="Q40" i="82" s="1" a="1"/>
  <c r="Q40" i="82" s="1"/>
  <c r="R25" i="82"/>
  <c r="R46" i="82" s="1" a="1"/>
  <c r="R46" i="82" s="1"/>
  <c r="G23" i="95"/>
  <c r="G29" i="95" s="1" a="1"/>
  <c r="G29" i="95" s="1"/>
  <c r="G22" i="82"/>
  <c r="G43" i="82" s="1" a="1"/>
  <c r="G43" i="82" s="1"/>
  <c r="Q24" i="82"/>
  <c r="Q45" i="82" s="1" a="1"/>
  <c r="Q45" i="82" s="1"/>
  <c r="R23" i="82"/>
  <c r="R44" i="82" s="1" a="1"/>
  <c r="R44" i="82" s="1"/>
  <c r="G23" i="82"/>
  <c r="G44" i="82" s="1" a="1"/>
  <c r="G44" i="82" s="1"/>
  <c r="Q24" i="95"/>
  <c r="Q30" i="95" s="1" a="1"/>
  <c r="Q30" i="95" s="1"/>
  <c r="Q26" i="82"/>
  <c r="Q47" i="82" s="1" a="1"/>
  <c r="Q47" i="82" s="1"/>
  <c r="S24" i="82"/>
  <c r="S45" i="82" s="1" a="1"/>
  <c r="S45" i="82" s="1"/>
  <c r="R23" i="95"/>
  <c r="R29" i="95" s="1" a="1"/>
  <c r="R29" i="95" s="1"/>
  <c r="R22" i="82"/>
  <c r="R43" i="82" s="1" a="1"/>
  <c r="R43" i="82" s="1"/>
  <c r="R24" i="82"/>
  <c r="R45" i="82" s="1" a="1"/>
  <c r="R45" i="82" s="1"/>
  <c r="G19" i="82"/>
  <c r="G40" i="82" s="1" a="1"/>
  <c r="G40" i="82" s="1"/>
  <c r="Q23" i="82"/>
  <c r="Q44" i="82" s="1" a="1"/>
  <c r="Q44" i="82" s="1"/>
  <c r="G277" i="76" a="1"/>
  <c r="G277" i="76" s="1"/>
  <c r="R273" i="76" a="1"/>
  <c r="R273" i="76" s="1"/>
  <c r="P272" i="76" a="1"/>
  <c r="P272" i="76" s="1"/>
  <c r="P277" i="76" a="1"/>
  <c r="P277" i="76" s="1"/>
  <c r="P274" i="76" a="1"/>
  <c r="P274" i="76" s="1"/>
  <c r="R278" i="76" a="1"/>
  <c r="R278" i="76" s="1"/>
  <c r="P271" i="76" a="1"/>
  <c r="P271" i="76" s="1"/>
  <c r="Q277" i="76" a="1"/>
  <c r="Q277" i="76" s="1"/>
  <c r="G274" i="76" a="1"/>
  <c r="G274" i="76" s="1"/>
  <c r="P276" i="76" a="1"/>
  <c r="P276" i="76" s="1"/>
  <c r="P278" i="76" a="1"/>
  <c r="P278" i="76" s="1"/>
  <c r="P273" i="76" a="1"/>
  <c r="P273" i="76" s="1"/>
  <c r="Q272" i="76" a="1"/>
  <c r="Q272" i="76" s="1"/>
  <c r="Q274" i="76" a="1"/>
  <c r="Q274" i="76" s="1"/>
  <c r="G276" i="76" a="1"/>
  <c r="G276" i="76" s="1"/>
  <c r="G275" i="76" a="1"/>
  <c r="G275" i="76" s="1"/>
  <c r="R277" i="76" a="1"/>
  <c r="R277" i="76" s="1"/>
  <c r="Q271" i="76" a="1"/>
  <c r="Q271" i="76" s="1"/>
  <c r="G278" i="76" a="1"/>
  <c r="G278" i="76" s="1"/>
  <c r="R275" i="76" a="1"/>
  <c r="R275" i="76" s="1"/>
  <c r="Q276" i="76" a="1"/>
  <c r="Q276" i="76" s="1"/>
  <c r="G271" i="76" a="1"/>
  <c r="G271" i="76" s="1"/>
  <c r="P275" i="76" a="1"/>
  <c r="P275" i="76" s="1"/>
  <c r="Q275" i="76" a="1"/>
  <c r="Q275" i="76" s="1"/>
  <c r="R272" i="76" a="1"/>
  <c r="R272" i="76" s="1"/>
  <c r="R274" i="76" a="1"/>
  <c r="R274" i="76" s="1"/>
  <c r="G273" i="76" a="1"/>
  <c r="G273" i="76" s="1"/>
  <c r="R271" i="76" a="1"/>
  <c r="R271" i="76" s="1"/>
  <c r="Q273" i="76" a="1"/>
  <c r="Q273" i="76" s="1"/>
  <c r="G272" i="76" a="1"/>
  <c r="G272" i="76" s="1"/>
  <c r="Q278" i="76" a="1"/>
  <c r="Q278" i="76" s="1"/>
  <c r="R276" i="76" a="1"/>
  <c r="R276" i="76"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1" i="79" s="1"/>
  <c r="E15" i="43" a="1"/>
  <c r="E15" i="43" s="1"/>
  <c r="D11" i="79" s="1"/>
  <c r="D15" i="43" a="1"/>
  <c r="D15" i="43" s="1"/>
  <c r="F14" i="43" a="1"/>
  <c r="F14" i="43" s="1"/>
  <c r="E10" i="79" s="1"/>
  <c r="E14" i="43" a="1"/>
  <c r="E14" i="43" s="1"/>
  <c r="D10" i="79" s="1"/>
  <c r="D14" i="43" a="1"/>
  <c r="D14" i="43" s="1"/>
  <c r="F13" i="43" a="1"/>
  <c r="F13" i="43" s="1"/>
  <c r="E9" i="79" s="1"/>
  <c r="E13" i="43" a="1"/>
  <c r="E13" i="43" s="1"/>
  <c r="D9" i="79" s="1"/>
  <c r="D13" i="43" a="1"/>
  <c r="D13" i="43" s="1"/>
  <c r="F12" i="43" a="1"/>
  <c r="F12" i="43" s="1"/>
  <c r="E12" i="43" a="1"/>
  <c r="E12" i="43" s="1"/>
  <c r="D12" i="43" a="1"/>
  <c r="D12" i="43" s="1"/>
  <c r="F11" i="43" a="1"/>
  <c r="F11" i="43" s="1"/>
  <c r="E11" i="43" a="1"/>
  <c r="E11" i="43" s="1"/>
  <c r="D11" i="43" a="1"/>
  <c r="D11" i="43" s="1"/>
  <c r="F10" i="43" a="1"/>
  <c r="F10" i="43" s="1"/>
  <c r="E8" i="79" s="1"/>
  <c r="E10" i="43" a="1"/>
  <c r="E10" i="43" s="1"/>
  <c r="D8" i="79" s="1"/>
  <c r="D10" i="43" a="1"/>
  <c r="D10" i="43" s="1"/>
  <c r="D8" i="43" a="1"/>
  <c r="D8" i="43" s="1"/>
  <c r="D7" i="43" a="1"/>
  <c r="D7" i="43" s="1"/>
  <c r="D6" i="43" a="1"/>
  <c r="D6" i="43" s="1"/>
  <c r="J50" i="95" l="1" a="1"/>
  <c r="J50" i="95" s="1"/>
  <c r="J59" i="81"/>
  <c r="G49" i="95" a="1"/>
  <c r="G49" i="95" s="1"/>
  <c r="G55" i="81"/>
  <c r="G50" i="95" a="1"/>
  <c r="G50" i="95" s="1"/>
  <c r="G59" i="81"/>
  <c r="R50" i="95" a="1"/>
  <c r="R50" i="95" s="1"/>
  <c r="R59" i="81"/>
  <c r="U50" i="95" a="1"/>
  <c r="U50" i="95" s="1"/>
  <c r="U59" i="81"/>
  <c r="S49" i="95" a="1"/>
  <c r="S49" i="95" s="1"/>
  <c r="S55" i="81"/>
  <c r="S50" i="95" a="1"/>
  <c r="S50" i="95" s="1"/>
  <c r="S59" i="81"/>
  <c r="Q50" i="95" a="1"/>
  <c r="Q50" i="95" s="1"/>
  <c r="Q59" i="81"/>
  <c r="R49" i="95" a="1"/>
  <c r="R49" i="95" s="1"/>
  <c r="R55" i="81"/>
  <c r="Q49" i="95" a="1"/>
  <c r="Q49" i="95" s="1"/>
  <c r="Q55" i="81"/>
  <c r="E30" i="98"/>
  <c r="H43" i="98" s="1"/>
  <c r="E47" i="98" s="1" a="1"/>
  <c r="E47" i="98" s="1"/>
  <c r="G49" i="98" s="1"/>
  <c r="E52" i="98" s="1" a="1"/>
  <c r="E52" i="98" s="1"/>
  <c r="H13" i="13" s="1"/>
  <c r="E26" i="97"/>
  <c r="H38" i="97" s="1"/>
  <c r="E45" i="97" s="1" a="1"/>
  <c r="E45" i="97" s="1"/>
  <c r="E12" i="13" s="1"/>
  <c r="E53" i="96"/>
  <c r="G55" i="96" s="1"/>
  <c r="E58" i="96" s="1" a="1"/>
  <c r="E58" i="96" s="1"/>
  <c r="H11" i="13" s="1"/>
  <c r="E28" i="98"/>
  <c r="P28" i="98"/>
  <c r="E23" i="98"/>
  <c r="P23" i="98"/>
  <c r="E49" i="82"/>
  <c r="R61" i="82" s="1"/>
  <c r="P68" i="82" s="1" a="1"/>
  <c r="P68" i="82" s="1"/>
  <c r="F9" i="13" s="1"/>
  <c r="F13" i="13"/>
  <c r="R49" i="98"/>
  <c r="P52" i="98" s="1" a="1"/>
  <c r="P52" i="98" s="1"/>
  <c r="I13" i="13" s="1"/>
  <c r="P49" i="82"/>
  <c r="R55" i="96"/>
  <c r="P58" i="96" s="1" a="1"/>
  <c r="P58" i="96" s="1"/>
  <c r="I11" i="13" s="1"/>
  <c r="F11" i="13"/>
  <c r="R47" i="97"/>
  <c r="P50" i="97" s="1" a="1"/>
  <c r="P50" i="97" s="1"/>
  <c r="I12" i="13" s="1"/>
  <c r="F12" i="13"/>
  <c r="P19" i="97"/>
  <c r="E19" i="97"/>
  <c r="P24" i="97"/>
  <c r="E24" i="97"/>
  <c r="P51" i="96"/>
  <c r="P25" i="96"/>
  <c r="E25" i="96"/>
  <c r="P31" i="96"/>
  <c r="E51" i="96"/>
  <c r="E31" i="96"/>
  <c r="D196" i="69"/>
  <c r="E196" i="69" s="1" a="1"/>
  <c r="E196" i="69" s="1"/>
  <c r="D72" i="70"/>
  <c r="D106" i="70"/>
  <c r="D197" i="69"/>
  <c r="E197" i="69" s="1" a="1"/>
  <c r="E197" i="69" s="1"/>
  <c r="D77" i="70"/>
  <c r="D111" i="70"/>
  <c r="D195" i="69"/>
  <c r="E195" i="69" s="1" a="1"/>
  <c r="E195" i="69" s="1"/>
  <c r="D67" i="70"/>
  <c r="D101" i="70"/>
  <c r="D198" i="69"/>
  <c r="E198" i="69" s="1" a="1"/>
  <c r="E198" i="69" s="1"/>
  <c r="D82" i="70"/>
  <c r="D116" i="70"/>
  <c r="E29" i="15"/>
  <c r="E52" i="95" l="1"/>
  <c r="G54" i="95" s="1"/>
  <c r="E57" i="95" s="1" a="1"/>
  <c r="E57" i="95" s="1"/>
  <c r="H10" i="13" s="1"/>
  <c r="P52" i="95"/>
  <c r="R54" i="95" s="1"/>
  <c r="P57" i="95" s="1" a="1"/>
  <c r="P57" i="95" s="1"/>
  <c r="I10" i="13" s="1"/>
  <c r="P56" i="81"/>
  <c r="E44" i="81"/>
  <c r="P44" i="81"/>
  <c r="E56" i="81"/>
  <c r="E131" i="81"/>
  <c r="E143" i="81"/>
  <c r="P143" i="81"/>
  <c r="P40" i="81"/>
  <c r="E40" i="81"/>
  <c r="P52" i="81"/>
  <c r="E52" i="81"/>
  <c r="P139" i="81"/>
  <c r="E139" i="81"/>
  <c r="E127" i="81"/>
  <c r="E58" i="81"/>
  <c r="P46" i="81"/>
  <c r="P58" i="81"/>
  <c r="E46" i="81"/>
  <c r="E145" i="81"/>
  <c r="E133" i="81"/>
  <c r="P145" i="81"/>
  <c r="E42" i="81"/>
  <c r="P54" i="81"/>
  <c r="P42" i="81"/>
  <c r="E54" i="81"/>
  <c r="P141" i="81"/>
  <c r="E141" i="81"/>
  <c r="E129" i="81"/>
  <c r="P45" i="81"/>
  <c r="P57" i="81"/>
  <c r="E45" i="81"/>
  <c r="E57" i="81"/>
  <c r="P144" i="81"/>
  <c r="E132" i="81"/>
  <c r="E144" i="81"/>
  <c r="P41" i="81"/>
  <c r="E53" i="81"/>
  <c r="E41" i="81"/>
  <c r="P53" i="81"/>
  <c r="E128" i="81"/>
  <c r="P140" i="81"/>
  <c r="E140" i="81"/>
  <c r="E55" i="81"/>
  <c r="P43" i="81"/>
  <c r="E43" i="81"/>
  <c r="P55" i="81"/>
  <c r="P142" i="81"/>
  <c r="E130" i="81"/>
  <c r="E142" i="81"/>
  <c r="P47" i="81"/>
  <c r="P59" i="81"/>
  <c r="E59" i="81"/>
  <c r="E47" i="81"/>
  <c r="P146" i="81"/>
  <c r="E134" i="81"/>
  <c r="E146" i="81"/>
  <c r="E13" i="13"/>
  <c r="G47" i="97"/>
  <c r="E50" i="97" s="1" a="1"/>
  <c r="E50" i="97" s="1"/>
  <c r="H12" i="13" s="1"/>
  <c r="E11" i="13"/>
  <c r="G61" i="82"/>
  <c r="E68" i="82" s="1" a="1"/>
  <c r="E68" i="82" s="1"/>
  <c r="E9" i="13" s="1"/>
  <c r="E10" i="13"/>
  <c r="E67" i="81"/>
  <c r="E23" i="95"/>
  <c r="E49" i="95"/>
  <c r="P29" i="95"/>
  <c r="P79" i="81"/>
  <c r="P109" i="81"/>
  <c r="E79" i="81"/>
  <c r="E109" i="81"/>
  <c r="P23" i="95"/>
  <c r="E29" i="95"/>
  <c r="P49" i="95"/>
  <c r="E68" i="81"/>
  <c r="P110" i="81"/>
  <c r="P80" i="81"/>
  <c r="E110" i="81"/>
  <c r="E80" i="81"/>
  <c r="E30" i="95"/>
  <c r="P83" i="81"/>
  <c r="P113" i="81"/>
  <c r="E83" i="81"/>
  <c r="E113" i="81"/>
  <c r="P30" i="95"/>
  <c r="E50" i="95"/>
  <c r="P24" i="95"/>
  <c r="E24" i="95"/>
  <c r="P50" i="95"/>
  <c r="E71" i="81"/>
  <c r="P76" i="81"/>
  <c r="P106" i="81"/>
  <c r="E76" i="81"/>
  <c r="E106" i="81"/>
  <c r="E64" i="81"/>
  <c r="P81" i="81"/>
  <c r="P111" i="81"/>
  <c r="E81" i="81"/>
  <c r="E111" i="81"/>
  <c r="E69" i="81"/>
  <c r="P82" i="81"/>
  <c r="E112" i="81"/>
  <c r="E70" i="81"/>
  <c r="E82" i="81"/>
  <c r="P112" i="81"/>
  <c r="E108" i="81"/>
  <c r="E66" i="81"/>
  <c r="P78" i="81"/>
  <c r="P108" i="81"/>
  <c r="E78" i="81"/>
  <c r="P77" i="81"/>
  <c r="E107" i="81"/>
  <c r="P107" i="81"/>
  <c r="E77" i="81"/>
  <c r="E65" i="81"/>
  <c r="R70" i="82"/>
  <c r="P73" i="82" s="1" a="1"/>
  <c r="P73" i="82" s="1"/>
  <c r="I9" i="13" s="1"/>
  <c r="P261" i="69"/>
  <c r="E242" i="76"/>
  <c r="E46" i="82"/>
  <c r="P25" i="82"/>
  <c r="O277" i="76"/>
  <c r="E277" i="76"/>
  <c r="E261" i="69"/>
  <c r="P146" i="69"/>
  <c r="P209" i="69"/>
  <c r="E146" i="69"/>
  <c r="E209" i="69"/>
  <c r="O230" i="76"/>
  <c r="P46" i="82"/>
  <c r="E25" i="82"/>
  <c r="O242" i="76"/>
  <c r="E230" i="76"/>
  <c r="P126" i="69"/>
  <c r="E126" i="69"/>
  <c r="P136" i="69"/>
  <c r="E136" i="69"/>
  <c r="H205" i="69" a="1"/>
  <c r="H205" i="69" s="1"/>
  <c r="H257" i="69" s="1" a="1"/>
  <c r="H257" i="69" s="1"/>
  <c r="F209" i="69" a="1"/>
  <c r="F209" i="69" s="1"/>
  <c r="F261" i="69" s="1" a="1"/>
  <c r="F261" i="69" s="1"/>
  <c r="I205" i="69" a="1"/>
  <c r="I205" i="69" s="1"/>
  <c r="I257" i="69" s="1" a="1"/>
  <c r="I257" i="69" s="1"/>
  <c r="J209" i="69" a="1"/>
  <c r="J209" i="69" s="1"/>
  <c r="J261" i="69" s="1" a="1"/>
  <c r="J261" i="69" s="1"/>
  <c r="I209" i="69" a="1"/>
  <c r="I209" i="69" s="1"/>
  <c r="I261" i="69" s="1" a="1"/>
  <c r="I261" i="69" s="1"/>
  <c r="G209" i="69" a="1"/>
  <c r="G209" i="69" s="1"/>
  <c r="G261" i="69" s="1" a="1"/>
  <c r="G261" i="69" s="1"/>
  <c r="U209" i="69" a="1"/>
  <c r="U209" i="69" s="1"/>
  <c r="U261" i="69" s="1" a="1"/>
  <c r="U261" i="69" s="1"/>
  <c r="T205" i="69" a="1"/>
  <c r="T205" i="69" s="1"/>
  <c r="T257" i="69" s="1" a="1"/>
  <c r="T257" i="69" s="1"/>
  <c r="Q205" i="69" a="1"/>
  <c r="Q205" i="69" s="1"/>
  <c r="Q257" i="69" s="1" a="1"/>
  <c r="Q257" i="69" s="1"/>
  <c r="G205" i="69" a="1"/>
  <c r="G205" i="69" s="1"/>
  <c r="G257" i="69" s="1" a="1"/>
  <c r="G257" i="69" s="1"/>
  <c r="F205" i="69" a="1"/>
  <c r="F205" i="69" s="1"/>
  <c r="F257" i="69" s="1" a="1"/>
  <c r="F257" i="69" s="1"/>
  <c r="S205" i="69" a="1"/>
  <c r="S205" i="69" s="1"/>
  <c r="S257" i="69" s="1" a="1"/>
  <c r="S257" i="69" s="1"/>
  <c r="Q209" i="69" a="1"/>
  <c r="Q209" i="69" s="1"/>
  <c r="Q261" i="69" s="1" a="1"/>
  <c r="Q261" i="69" s="1"/>
  <c r="R209" i="69" a="1"/>
  <c r="R209" i="69" s="1"/>
  <c r="R261" i="69" s="1" a="1"/>
  <c r="R261" i="69" s="1"/>
  <c r="U205" i="69" a="1"/>
  <c r="U205" i="69" s="1"/>
  <c r="U257" i="69" s="1" a="1"/>
  <c r="U257" i="69" s="1"/>
  <c r="J205" i="69" a="1"/>
  <c r="J205" i="69" s="1"/>
  <c r="J257" i="69" s="1" a="1"/>
  <c r="J257" i="69" s="1"/>
  <c r="S209" i="69" a="1"/>
  <c r="S209" i="69" s="1"/>
  <c r="S261" i="69" s="1" a="1"/>
  <c r="S261" i="69" s="1"/>
  <c r="R205" i="69" a="1"/>
  <c r="R205" i="69" s="1"/>
  <c r="R257" i="69" s="1" a="1"/>
  <c r="R257" i="69" s="1"/>
  <c r="T209" i="69" a="1"/>
  <c r="T209" i="69" s="1"/>
  <c r="T261" i="69" s="1" a="1"/>
  <c r="T261" i="69" s="1"/>
  <c r="H209" i="69" a="1"/>
  <c r="H209" i="69" s="1"/>
  <c r="H261" i="69" s="1" a="1"/>
  <c r="H261" i="69" s="1"/>
  <c r="F207" i="69" a="1"/>
  <c r="F207" i="69" s="1"/>
  <c r="F259" i="69" s="1" a="1"/>
  <c r="F259" i="69" s="1"/>
  <c r="I203" i="69" a="1"/>
  <c r="I203" i="69" s="1"/>
  <c r="I255" i="69" s="1" a="1"/>
  <c r="I255" i="69" s="1"/>
  <c r="I207" i="69" a="1"/>
  <c r="I207" i="69" s="1"/>
  <c r="I259" i="69" s="1" a="1"/>
  <c r="I259" i="69" s="1"/>
  <c r="F203" i="69" a="1"/>
  <c r="F203" i="69" s="1"/>
  <c r="F255" i="69" s="1" a="1"/>
  <c r="F255" i="69" s="1"/>
  <c r="R203" i="69" a="1"/>
  <c r="R203" i="69" s="1"/>
  <c r="R255" i="69" s="1" a="1"/>
  <c r="R255" i="69" s="1"/>
  <c r="J207" i="69" a="1"/>
  <c r="J207" i="69" s="1"/>
  <c r="J259" i="69" s="1" a="1"/>
  <c r="J259" i="69" s="1"/>
  <c r="J203" i="69" a="1"/>
  <c r="J203" i="69" s="1"/>
  <c r="J255" i="69" s="1" a="1"/>
  <c r="J255" i="69" s="1"/>
  <c r="T207" i="69" a="1"/>
  <c r="T207" i="69" s="1"/>
  <c r="T259" i="69" s="1" a="1"/>
  <c r="T259" i="69" s="1"/>
  <c r="H207" i="69" a="1"/>
  <c r="H207" i="69" s="1"/>
  <c r="H259" i="69" s="1" a="1"/>
  <c r="H259" i="69" s="1"/>
  <c r="Q203" i="69" a="1"/>
  <c r="Q203" i="69" s="1"/>
  <c r="Q255" i="69" s="1" a="1"/>
  <c r="Q255" i="69" s="1"/>
  <c r="U207" i="69" a="1"/>
  <c r="U207" i="69" s="1"/>
  <c r="U259" i="69" s="1" a="1"/>
  <c r="U259" i="69" s="1"/>
  <c r="G207" i="69" a="1"/>
  <c r="G207" i="69" s="1"/>
  <c r="G259" i="69" s="1" a="1"/>
  <c r="G259" i="69" s="1"/>
  <c r="S207" i="69" a="1"/>
  <c r="S207" i="69" s="1"/>
  <c r="S259" i="69" s="1" a="1"/>
  <c r="S259" i="69" s="1"/>
  <c r="S203" i="69" a="1"/>
  <c r="S203" i="69" s="1"/>
  <c r="S255" i="69" s="1" a="1"/>
  <c r="S255" i="69" s="1"/>
  <c r="H203" i="69" a="1"/>
  <c r="H203" i="69" s="1"/>
  <c r="H255" i="69" s="1" a="1"/>
  <c r="H255" i="69" s="1"/>
  <c r="T203" i="69" a="1"/>
  <c r="T203" i="69" s="1"/>
  <c r="T255" i="69" s="1" a="1"/>
  <c r="T255" i="69" s="1"/>
  <c r="G203" i="69" a="1"/>
  <c r="G203" i="69" s="1"/>
  <c r="G255" i="69" s="1" a="1"/>
  <c r="G255" i="69" s="1"/>
  <c r="U203" i="69" a="1"/>
  <c r="U203" i="69" s="1"/>
  <c r="U255" i="69" s="1" a="1"/>
  <c r="U255" i="69" s="1"/>
  <c r="R207" i="69" a="1"/>
  <c r="R207" i="69" s="1"/>
  <c r="R259" i="69" s="1" a="1"/>
  <c r="R259" i="69" s="1"/>
  <c r="Q207" i="69" a="1"/>
  <c r="Q207" i="69" s="1"/>
  <c r="Q259" i="69" s="1" a="1"/>
  <c r="Q259" i="69" s="1"/>
  <c r="P45" i="82"/>
  <c r="E260" i="69"/>
  <c r="P260" i="69"/>
  <c r="E241" i="76"/>
  <c r="E45" i="82"/>
  <c r="P24" i="82"/>
  <c r="E276" i="76"/>
  <c r="O241" i="76"/>
  <c r="P208" i="69"/>
  <c r="E208" i="69"/>
  <c r="P145" i="69"/>
  <c r="O229" i="76"/>
  <c r="O276" i="76"/>
  <c r="E24" i="82"/>
  <c r="E229" i="76"/>
  <c r="P135" i="69"/>
  <c r="E135" i="69"/>
  <c r="E145" i="69"/>
  <c r="P125" i="69"/>
  <c r="E125" i="69"/>
  <c r="J208" i="69" a="1"/>
  <c r="J208" i="69" s="1"/>
  <c r="J260" i="69" s="1" a="1"/>
  <c r="J260" i="69" s="1"/>
  <c r="F204" i="69" a="1"/>
  <c r="F204" i="69" s="1"/>
  <c r="F256" i="69" s="1" a="1"/>
  <c r="F256" i="69" s="1"/>
  <c r="F208" i="69" a="1"/>
  <c r="F208" i="69" s="1"/>
  <c r="F260" i="69" s="1" a="1"/>
  <c r="F260" i="69" s="1"/>
  <c r="H208" i="69" a="1"/>
  <c r="H208" i="69" s="1"/>
  <c r="H260" i="69" s="1" a="1"/>
  <c r="H260" i="69" s="1"/>
  <c r="J204" i="69" a="1"/>
  <c r="J204" i="69" s="1"/>
  <c r="J256" i="69" s="1" a="1"/>
  <c r="J256" i="69" s="1"/>
  <c r="I208" i="69" a="1"/>
  <c r="I208" i="69" s="1"/>
  <c r="I260" i="69" s="1" a="1"/>
  <c r="I260" i="69" s="1"/>
  <c r="Q208" i="69" a="1"/>
  <c r="Q208" i="69" s="1"/>
  <c r="Q260" i="69" s="1" a="1"/>
  <c r="Q260" i="69" s="1"/>
  <c r="Q204" i="69" a="1"/>
  <c r="Q204" i="69" s="1"/>
  <c r="Q256" i="69" s="1" a="1"/>
  <c r="Q256" i="69" s="1"/>
  <c r="G208" i="69" a="1"/>
  <c r="G208" i="69" s="1"/>
  <c r="G260" i="69" s="1" a="1"/>
  <c r="G260" i="69" s="1"/>
  <c r="I204" i="69" a="1"/>
  <c r="I204" i="69" s="1"/>
  <c r="I256" i="69" s="1" a="1"/>
  <c r="I256" i="69" s="1"/>
  <c r="S208" i="69" a="1"/>
  <c r="S208" i="69" s="1"/>
  <c r="S260" i="69" s="1" a="1"/>
  <c r="S260" i="69" s="1"/>
  <c r="U204" i="69" a="1"/>
  <c r="U204" i="69" s="1"/>
  <c r="U256" i="69" s="1" a="1"/>
  <c r="U256" i="69" s="1"/>
  <c r="G204" i="69" a="1"/>
  <c r="G204" i="69" s="1"/>
  <c r="G256" i="69" s="1" a="1"/>
  <c r="G256" i="69" s="1"/>
  <c r="R204" i="69" a="1"/>
  <c r="R204" i="69" s="1"/>
  <c r="R256" i="69" s="1" a="1"/>
  <c r="R256" i="69" s="1"/>
  <c r="R208" i="69" a="1"/>
  <c r="R208" i="69" s="1"/>
  <c r="R260" i="69" s="1" a="1"/>
  <c r="R260" i="69" s="1"/>
  <c r="S204" i="69" a="1"/>
  <c r="S204" i="69" s="1"/>
  <c r="S256" i="69" s="1" a="1"/>
  <c r="S256" i="69" s="1"/>
  <c r="H204" i="69" a="1"/>
  <c r="H204" i="69" s="1"/>
  <c r="H256" i="69" s="1" a="1"/>
  <c r="H256" i="69" s="1"/>
  <c r="T204" i="69" a="1"/>
  <c r="T204" i="69" s="1"/>
  <c r="T256" i="69" s="1" a="1"/>
  <c r="T256" i="69" s="1"/>
  <c r="T208" i="69" a="1"/>
  <c r="T208" i="69" s="1"/>
  <c r="T260" i="69" s="1" a="1"/>
  <c r="T260" i="69" s="1"/>
  <c r="U208" i="69" a="1"/>
  <c r="U208" i="69" s="1"/>
  <c r="U260" i="69" s="1" a="1"/>
  <c r="U260" i="69" s="1"/>
  <c r="D109" i="70"/>
  <c r="P204" i="69"/>
  <c r="P132" i="69"/>
  <c r="P41" i="82"/>
  <c r="O225" i="76"/>
  <c r="E132" i="69"/>
  <c r="E122" i="69"/>
  <c r="E20" i="82"/>
  <c r="E225" i="76"/>
  <c r="O272" i="76"/>
  <c r="E41" i="82"/>
  <c r="P20" i="82"/>
  <c r="E272" i="76"/>
  <c r="O237" i="76"/>
  <c r="E256" i="69"/>
  <c r="E142" i="69"/>
  <c r="P122" i="69"/>
  <c r="E237" i="76"/>
  <c r="P142" i="69"/>
  <c r="E204" i="69"/>
  <c r="P256" i="69"/>
  <c r="D108" i="70"/>
  <c r="D84" i="70"/>
  <c r="D74" i="70"/>
  <c r="D165" i="70"/>
  <c r="D118" i="70"/>
  <c r="D91" i="70"/>
  <c r="D141" i="70"/>
  <c r="D125" i="70"/>
  <c r="D73" i="70"/>
  <c r="D107" i="70"/>
  <c r="D75" i="70"/>
  <c r="J210" i="69" a="1"/>
  <c r="J210" i="69" s="1"/>
  <c r="J262" i="69" s="1" a="1"/>
  <c r="J262" i="69" s="1"/>
  <c r="I206" i="69" a="1"/>
  <c r="I206" i="69" s="1"/>
  <c r="I258" i="69" s="1" a="1"/>
  <c r="I258" i="69" s="1"/>
  <c r="Q210" i="69" a="1"/>
  <c r="Q210" i="69" s="1"/>
  <c r="Q262" i="69" s="1" a="1"/>
  <c r="Q262" i="69" s="1"/>
  <c r="T206" i="69" a="1"/>
  <c r="T206" i="69" s="1"/>
  <c r="T258" i="69" s="1" a="1"/>
  <c r="T258" i="69" s="1"/>
  <c r="R206" i="69" a="1"/>
  <c r="R206" i="69" s="1"/>
  <c r="R258" i="69" s="1" a="1"/>
  <c r="R258" i="69" s="1"/>
  <c r="F210" i="69" a="1"/>
  <c r="F210" i="69" s="1"/>
  <c r="F262" i="69" s="1" a="1"/>
  <c r="F262" i="69" s="1"/>
  <c r="Q206" i="69" a="1"/>
  <c r="Q206" i="69" s="1"/>
  <c r="Q258" i="69" s="1" a="1"/>
  <c r="Q258" i="69" s="1"/>
  <c r="H206" i="69" a="1"/>
  <c r="H206" i="69" s="1"/>
  <c r="H258" i="69" s="1" a="1"/>
  <c r="H258" i="69" s="1"/>
  <c r="U206" i="69" a="1"/>
  <c r="U206" i="69" s="1"/>
  <c r="U258" i="69" s="1" a="1"/>
  <c r="U258" i="69" s="1"/>
  <c r="I210" i="69" a="1"/>
  <c r="I210" i="69" s="1"/>
  <c r="I262" i="69" s="1" a="1"/>
  <c r="I262" i="69" s="1"/>
  <c r="U210" i="69" a="1"/>
  <c r="U210" i="69" s="1"/>
  <c r="U262" i="69" s="1" a="1"/>
  <c r="U262" i="69" s="1"/>
  <c r="J206" i="69" a="1"/>
  <c r="J206" i="69" s="1"/>
  <c r="J258" i="69" s="1" a="1"/>
  <c r="J258" i="69" s="1"/>
  <c r="S210" i="69" a="1"/>
  <c r="S210" i="69" s="1"/>
  <c r="S262" i="69" s="1" a="1"/>
  <c r="S262" i="69" s="1"/>
  <c r="H210" i="69" a="1"/>
  <c r="H210" i="69" s="1"/>
  <c r="H262" i="69" s="1" a="1"/>
  <c r="H262" i="69" s="1"/>
  <c r="G210" i="69" a="1"/>
  <c r="G210" i="69" s="1"/>
  <c r="G262" i="69" s="1" a="1"/>
  <c r="G262" i="69" s="1"/>
  <c r="S206" i="69" a="1"/>
  <c r="S206" i="69" s="1"/>
  <c r="S258" i="69" s="1" a="1"/>
  <c r="S258" i="69" s="1"/>
  <c r="R210" i="69" a="1"/>
  <c r="R210" i="69" s="1"/>
  <c r="R262" i="69" s="1" a="1"/>
  <c r="R262" i="69" s="1"/>
  <c r="G206" i="69" a="1"/>
  <c r="G206" i="69" s="1"/>
  <c r="G258" i="69" s="1" a="1"/>
  <c r="G258" i="69" s="1"/>
  <c r="T210" i="69" a="1"/>
  <c r="T210" i="69" s="1"/>
  <c r="T262" i="69" s="1" a="1"/>
  <c r="T262" i="69" s="1"/>
  <c r="F206" i="69" a="1"/>
  <c r="F206" i="69" s="1"/>
  <c r="F258" i="69" s="1" a="1"/>
  <c r="F258" i="69" s="1"/>
  <c r="D160" i="70"/>
  <c r="E40" i="82"/>
  <c r="P19" i="82"/>
  <c r="E271" i="76"/>
  <c r="E255" i="69"/>
  <c r="P141" i="69"/>
  <c r="P121" i="69"/>
  <c r="P131" i="69"/>
  <c r="E121" i="69"/>
  <c r="O271" i="76"/>
  <c r="O224" i="76"/>
  <c r="E131" i="69"/>
  <c r="E19" i="82"/>
  <c r="E224" i="76"/>
  <c r="P40" i="82"/>
  <c r="E236" i="76"/>
  <c r="O236" i="76"/>
  <c r="E141" i="69"/>
  <c r="P203" i="69"/>
  <c r="P255" i="69"/>
  <c r="E203" i="69"/>
  <c r="D103" i="70"/>
  <c r="D102" i="70"/>
  <c r="D90" i="70"/>
  <c r="D117" i="70"/>
  <c r="D136" i="70"/>
  <c r="D70" i="70"/>
  <c r="D124" i="70"/>
  <c r="D104" i="70"/>
  <c r="D83" i="70"/>
  <c r="D69" i="70"/>
  <c r="D68" i="70"/>
  <c r="D78" i="70"/>
  <c r="O226" i="76"/>
  <c r="P205" i="69"/>
  <c r="O273" i="76"/>
  <c r="E133" i="69"/>
  <c r="E123" i="69"/>
  <c r="O238" i="76"/>
  <c r="E21" i="82"/>
  <c r="E226" i="76"/>
  <c r="P42" i="82"/>
  <c r="E238" i="76"/>
  <c r="E205" i="69"/>
  <c r="E42" i="82"/>
  <c r="P21" i="82"/>
  <c r="E273" i="76"/>
  <c r="E143" i="69"/>
  <c r="P123" i="69"/>
  <c r="P143" i="69"/>
  <c r="P133" i="69"/>
  <c r="P257" i="69"/>
  <c r="E257" i="69"/>
  <c r="D113" i="70"/>
  <c r="D146" i="70"/>
  <c r="D80" i="70"/>
  <c r="D85" i="70"/>
  <c r="D114" i="70"/>
  <c r="D126" i="70"/>
  <c r="D92" i="70"/>
  <c r="D119" i="70"/>
  <c r="D112" i="70"/>
  <c r="D79" i="70"/>
  <c r="D170" i="70"/>
  <c r="E23" i="82"/>
  <c r="E228" i="76"/>
  <c r="E134" i="69"/>
  <c r="O240" i="76"/>
  <c r="O275" i="76"/>
  <c r="P259" i="69"/>
  <c r="E240" i="76"/>
  <c r="E44" i="82"/>
  <c r="P23" i="82"/>
  <c r="E275" i="76"/>
  <c r="E259" i="69"/>
  <c r="P44" i="82"/>
  <c r="P144" i="69"/>
  <c r="P207" i="69"/>
  <c r="P134" i="69"/>
  <c r="O228" i="76"/>
  <c r="E207" i="69"/>
  <c r="E144" i="69"/>
  <c r="P124" i="69"/>
  <c r="E124" i="69"/>
  <c r="E47" i="82"/>
  <c r="P26" i="82"/>
  <c r="E278" i="76"/>
  <c r="P47" i="82"/>
  <c r="P210" i="69"/>
  <c r="E262" i="69"/>
  <c r="E173" i="69"/>
  <c r="O243" i="76"/>
  <c r="O231" i="76"/>
  <c r="E26" i="82"/>
  <c r="E231" i="76"/>
  <c r="E167" i="69"/>
  <c r="E243" i="76"/>
  <c r="P262" i="69"/>
  <c r="O278" i="76"/>
  <c r="P167" i="69"/>
  <c r="P173" i="69"/>
  <c r="E210" i="69"/>
  <c r="D151" i="70"/>
  <c r="P43" i="82"/>
  <c r="E22" i="82"/>
  <c r="E227" i="76"/>
  <c r="E172" i="69"/>
  <c r="P258" i="69"/>
  <c r="E239" i="76"/>
  <c r="E43" i="82"/>
  <c r="P22" i="82"/>
  <c r="E258" i="69"/>
  <c r="O274" i="76"/>
  <c r="O227" i="76"/>
  <c r="E274" i="76"/>
  <c r="E206" i="69"/>
  <c r="P206" i="69"/>
  <c r="E166" i="69"/>
  <c r="O239" i="76"/>
  <c r="P172" i="69"/>
  <c r="P166" i="69"/>
  <c r="D175" i="70"/>
  <c r="E13" i="15"/>
  <c r="F10" i="13" l="1"/>
  <c r="U107" i="81" a="1"/>
  <c r="U107" i="81" s="1"/>
  <c r="S107" i="81" a="1"/>
  <c r="S107" i="81" s="1"/>
  <c r="T107" i="81" a="1"/>
  <c r="T107" i="81" s="1"/>
  <c r="R107" i="81" a="1"/>
  <c r="R107" i="81" s="1"/>
  <c r="Q107" i="81" a="1"/>
  <c r="Q107" i="81" s="1"/>
  <c r="U111" i="81" a="1"/>
  <c r="U111" i="81" s="1"/>
  <c r="S111" i="81" a="1"/>
  <c r="S111" i="81" s="1"/>
  <c r="Q111" i="81" a="1"/>
  <c r="Q111" i="81" s="1"/>
  <c r="T111" i="81" a="1"/>
  <c r="T111" i="81" s="1"/>
  <c r="R111" i="81" a="1"/>
  <c r="R111" i="81" s="1"/>
  <c r="J78" i="81" a="1"/>
  <c r="J78" i="81" s="1"/>
  <c r="H78" i="81" a="1"/>
  <c r="H78" i="81" s="1"/>
  <c r="G78" i="81" a="1"/>
  <c r="G78" i="81" s="1"/>
  <c r="F78" i="81" a="1"/>
  <c r="F78" i="81" s="1"/>
  <c r="I78" i="81" a="1"/>
  <c r="I78" i="81" s="1"/>
  <c r="S81" i="81" a="1"/>
  <c r="S81" i="81" s="1"/>
  <c r="T81" i="81" a="1"/>
  <c r="T81" i="81" s="1"/>
  <c r="U81" i="81" a="1"/>
  <c r="U81" i="81" s="1"/>
  <c r="Q81" i="81" a="1"/>
  <c r="Q81" i="81" s="1"/>
  <c r="R81" i="81" a="1"/>
  <c r="R81" i="81" s="1"/>
  <c r="U113" i="81" a="1"/>
  <c r="U113" i="81" s="1"/>
  <c r="S113" i="81" a="1"/>
  <c r="S113" i="81" s="1"/>
  <c r="Q113" i="81" a="1"/>
  <c r="Q113" i="81" s="1"/>
  <c r="R113" i="81" a="1"/>
  <c r="R113" i="81" s="1"/>
  <c r="T113" i="81" a="1"/>
  <c r="T113" i="81" s="1"/>
  <c r="T78" i="81" a="1"/>
  <c r="T78" i="81" s="1"/>
  <c r="R78" i="81" a="1"/>
  <c r="R78" i="81" s="1"/>
  <c r="Q78" i="81" a="1"/>
  <c r="Q78" i="81" s="1"/>
  <c r="S78" i="81" a="1"/>
  <c r="S78" i="81" s="1"/>
  <c r="U78" i="81" a="1"/>
  <c r="U78" i="81" s="1"/>
  <c r="J76" i="81" a="1"/>
  <c r="J76" i="81" s="1"/>
  <c r="G76" i="81" a="1"/>
  <c r="G76" i="81" s="1"/>
  <c r="H76" i="81" a="1"/>
  <c r="H76" i="81" s="1"/>
  <c r="F76" i="81" a="1"/>
  <c r="F76" i="81" s="1"/>
  <c r="I76" i="81" a="1"/>
  <c r="I76" i="81" s="1"/>
  <c r="J108" i="81" a="1"/>
  <c r="J108" i="81" s="1"/>
  <c r="G108" i="81" a="1"/>
  <c r="G108" i="81" s="1"/>
  <c r="F108" i="81" a="1"/>
  <c r="F108" i="81" s="1"/>
  <c r="I108" i="81" a="1"/>
  <c r="I108" i="81" s="1"/>
  <c r="H108" i="81" a="1"/>
  <c r="H108" i="81" s="1"/>
  <c r="R106" i="81" a="1"/>
  <c r="R106" i="81" s="1"/>
  <c r="Q106" i="81" a="1"/>
  <c r="Q106" i="81" s="1"/>
  <c r="T106" i="81" a="1"/>
  <c r="T106" i="81" s="1"/>
  <c r="S106" i="81" a="1"/>
  <c r="S106" i="81" s="1"/>
  <c r="U106" i="81" a="1"/>
  <c r="U106" i="81" s="1"/>
  <c r="J110" i="81" a="1"/>
  <c r="J110" i="81" s="1"/>
  <c r="G110" i="81" a="1"/>
  <c r="G110" i="81" s="1"/>
  <c r="F110" i="81" a="1"/>
  <c r="F110" i="81" s="1"/>
  <c r="H110" i="81" a="1"/>
  <c r="H110" i="81" s="1"/>
  <c r="I110" i="81" a="1"/>
  <c r="I110" i="81" s="1"/>
  <c r="H142" i="81" a="1"/>
  <c r="H142" i="81" s="1"/>
  <c r="F142" i="81" a="1"/>
  <c r="F142" i="81" s="1"/>
  <c r="G142" i="81" a="1"/>
  <c r="G142" i="81" s="1"/>
  <c r="J142" i="81" a="1"/>
  <c r="J142" i="81" s="1"/>
  <c r="I142" i="81" a="1"/>
  <c r="I142" i="81" s="1"/>
  <c r="J144" i="81" a="1"/>
  <c r="J144" i="81" s="1"/>
  <c r="I144" i="81" a="1"/>
  <c r="I144" i="81" s="1"/>
  <c r="H144" i="81" a="1"/>
  <c r="H144" i="81" s="1"/>
  <c r="F144" i="81" a="1"/>
  <c r="F144" i="81" s="1"/>
  <c r="G144" i="81" a="1"/>
  <c r="G144" i="81" s="1"/>
  <c r="Q145" i="81" a="1"/>
  <c r="Q145" i="81" s="1"/>
  <c r="U145" i="81" a="1"/>
  <c r="U145" i="81" s="1"/>
  <c r="T145" i="81" a="1"/>
  <c r="T145" i="81" s="1"/>
  <c r="S145" i="81" a="1"/>
  <c r="S145" i="81" s="1"/>
  <c r="R145" i="81" a="1"/>
  <c r="R145" i="81" s="1"/>
  <c r="U143" i="81" a="1"/>
  <c r="U143" i="81" s="1"/>
  <c r="S143" i="81" a="1"/>
  <c r="S143" i="81" s="1"/>
  <c r="T143" i="81" a="1"/>
  <c r="T143" i="81" s="1"/>
  <c r="Q143" i="81" a="1"/>
  <c r="Q143" i="81" s="1"/>
  <c r="R143" i="81" a="1"/>
  <c r="R143" i="81" s="1"/>
  <c r="J146" i="81" a="1"/>
  <c r="J146" i="81" s="1"/>
  <c r="I146" i="81" a="1"/>
  <c r="I146" i="81" s="1"/>
  <c r="F146" i="81" a="1"/>
  <c r="F146" i="81" s="1"/>
  <c r="G146" i="81" a="1"/>
  <c r="G146" i="81" s="1"/>
  <c r="H146" i="81" a="1"/>
  <c r="H146" i="81" s="1"/>
  <c r="F80" i="81" a="1"/>
  <c r="F80" i="81" s="1"/>
  <c r="I80" i="81" a="1"/>
  <c r="I80" i="81" s="1"/>
  <c r="H80" i="81" a="1"/>
  <c r="H80" i="81" s="1"/>
  <c r="J80" i="81" a="1"/>
  <c r="J80" i="81" s="1"/>
  <c r="G80" i="81" a="1"/>
  <c r="G80" i="81" s="1"/>
  <c r="U112" i="81" a="1"/>
  <c r="U112" i="81" s="1"/>
  <c r="T112" i="81" a="1"/>
  <c r="T112" i="81" s="1"/>
  <c r="S112" i="81" a="1"/>
  <c r="S112" i="81" s="1"/>
  <c r="Q112" i="81" a="1"/>
  <c r="Q112" i="81" s="1"/>
  <c r="R112" i="81" a="1"/>
  <c r="R112" i="81" s="1"/>
  <c r="T76" i="81" a="1"/>
  <c r="T76" i="81" s="1"/>
  <c r="S76" i="81" a="1"/>
  <c r="S76" i="81" s="1"/>
  <c r="U76" i="81" a="1"/>
  <c r="U76" i="81" s="1"/>
  <c r="R76" i="81" a="1"/>
  <c r="R76" i="81" s="1"/>
  <c r="Q76" i="81" a="1"/>
  <c r="Q76" i="81" s="1"/>
  <c r="U80" i="81" a="1"/>
  <c r="U80" i="81" s="1"/>
  <c r="T80" i="81" a="1"/>
  <c r="T80" i="81" s="1"/>
  <c r="S80" i="81" a="1"/>
  <c r="S80" i="81" s="1"/>
  <c r="R80" i="81" a="1"/>
  <c r="R80" i="81" s="1"/>
  <c r="Q80" i="81" a="1"/>
  <c r="Q80" i="81" s="1"/>
  <c r="G143" i="81" a="1"/>
  <c r="G143" i="81" s="1"/>
  <c r="F143" i="81" a="1"/>
  <c r="F143" i="81" s="1"/>
  <c r="H143" i="81" a="1"/>
  <c r="H143" i="81" s="1"/>
  <c r="J143" i="81" a="1"/>
  <c r="J143" i="81" s="1"/>
  <c r="I143" i="81" a="1"/>
  <c r="I143" i="81" s="1"/>
  <c r="J111" i="81" a="1"/>
  <c r="J111" i="81" s="1"/>
  <c r="G111" i="81" a="1"/>
  <c r="G111" i="81" s="1"/>
  <c r="I111" i="81" a="1"/>
  <c r="I111" i="81" s="1"/>
  <c r="H111" i="81" a="1"/>
  <c r="H111" i="81" s="1"/>
  <c r="F111" i="81" a="1"/>
  <c r="F111" i="81" s="1"/>
  <c r="H79" i="81" a="1"/>
  <c r="H79" i="81" s="1"/>
  <c r="J79" i="81" a="1"/>
  <c r="J79" i="81" s="1"/>
  <c r="I79" i="81" a="1"/>
  <c r="I79" i="81" s="1"/>
  <c r="G79" i="81" a="1"/>
  <c r="G79" i="81" s="1"/>
  <c r="F79" i="81" a="1"/>
  <c r="F79" i="81" s="1"/>
  <c r="Q83" i="81" a="1"/>
  <c r="Q83" i="81" s="1"/>
  <c r="R83" i="81" a="1"/>
  <c r="R83" i="81" s="1"/>
  <c r="U83" i="81" a="1"/>
  <c r="U83" i="81" s="1"/>
  <c r="T83" i="81" a="1"/>
  <c r="T83" i="81" s="1"/>
  <c r="S83" i="81" a="1"/>
  <c r="S83" i="81" s="1"/>
  <c r="H82" i="81" a="1"/>
  <c r="H82" i="81" s="1"/>
  <c r="F82" i="81" a="1"/>
  <c r="F82" i="81" s="1"/>
  <c r="G82" i="81" a="1"/>
  <c r="G82" i="81" s="1"/>
  <c r="I82" i="81" a="1"/>
  <c r="I82" i="81" s="1"/>
  <c r="J82" i="81" a="1"/>
  <c r="J82" i="81" s="1"/>
  <c r="T110" i="81" a="1"/>
  <c r="T110" i="81" s="1"/>
  <c r="U110" i="81" a="1"/>
  <c r="U110" i="81" s="1"/>
  <c r="S110" i="81" a="1"/>
  <c r="S110" i="81" s="1"/>
  <c r="R110" i="81" a="1"/>
  <c r="R110" i="81" s="1"/>
  <c r="Q110" i="81" a="1"/>
  <c r="Q110" i="81" s="1"/>
  <c r="S142" i="81" a="1"/>
  <c r="S142" i="81" s="1"/>
  <c r="R142" i="81" a="1"/>
  <c r="R142" i="81" s="1"/>
  <c r="Q142" i="81" a="1"/>
  <c r="Q142" i="81" s="1"/>
  <c r="U142" i="81" a="1"/>
  <c r="U142" i="81" s="1"/>
  <c r="T142" i="81" a="1"/>
  <c r="T142" i="81" s="1"/>
  <c r="T144" i="81" a="1"/>
  <c r="T144" i="81" s="1"/>
  <c r="R144" i="81" a="1"/>
  <c r="R144" i="81" s="1"/>
  <c r="U144" i="81" a="1"/>
  <c r="U144" i="81" s="1"/>
  <c r="S144" i="81" a="1"/>
  <c r="S144" i="81" s="1"/>
  <c r="Q144" i="81" a="1"/>
  <c r="Q144" i="81" s="1"/>
  <c r="G145" i="81" a="1"/>
  <c r="G145" i="81" s="1"/>
  <c r="F145" i="81" a="1"/>
  <c r="F145" i="81" s="1"/>
  <c r="J145" i="81" a="1"/>
  <c r="J145" i="81" s="1"/>
  <c r="I145" i="81" a="1"/>
  <c r="I145" i="81" s="1"/>
  <c r="H145" i="81" a="1"/>
  <c r="H145" i="81" s="1"/>
  <c r="I107" i="81" a="1"/>
  <c r="I107" i="81" s="1"/>
  <c r="F107" i="81" a="1"/>
  <c r="F107" i="81" s="1"/>
  <c r="J107" i="81" a="1"/>
  <c r="J107" i="81" s="1"/>
  <c r="H107" i="81" a="1"/>
  <c r="H107" i="81" s="1"/>
  <c r="G107" i="81" a="1"/>
  <c r="G107" i="81" s="1"/>
  <c r="J113" i="81" a="1"/>
  <c r="J113" i="81" s="1"/>
  <c r="I113" i="81" a="1"/>
  <c r="I113" i="81" s="1"/>
  <c r="G113" i="81" a="1"/>
  <c r="G113" i="81" s="1"/>
  <c r="H113" i="81" a="1"/>
  <c r="H113" i="81" s="1"/>
  <c r="F113" i="81" a="1"/>
  <c r="F113" i="81" s="1"/>
  <c r="I139" i="81" a="1"/>
  <c r="I139" i="81" s="1"/>
  <c r="G139" i="81" a="1"/>
  <c r="G139" i="81" s="1"/>
  <c r="F139" i="81" a="1"/>
  <c r="F139" i="81" s="1"/>
  <c r="H139" i="81" a="1"/>
  <c r="H139" i="81" s="1"/>
  <c r="J139" i="81" a="1"/>
  <c r="J139" i="81" s="1"/>
  <c r="U79" i="81" a="1"/>
  <c r="U79" i="81" s="1"/>
  <c r="T79" i="81" a="1"/>
  <c r="T79" i="81" s="1"/>
  <c r="S79" i="81" a="1"/>
  <c r="S79" i="81" s="1"/>
  <c r="R79" i="81" a="1"/>
  <c r="R79" i="81" s="1"/>
  <c r="Q79" i="81" a="1"/>
  <c r="Q79" i="81" s="1"/>
  <c r="J106" i="81" a="1"/>
  <c r="J106" i="81" s="1"/>
  <c r="H106" i="81" a="1"/>
  <c r="H106" i="81" s="1"/>
  <c r="I106" i="81" a="1"/>
  <c r="I106" i="81" s="1"/>
  <c r="G106" i="81" a="1"/>
  <c r="G106" i="81" s="1"/>
  <c r="F106" i="81" a="1"/>
  <c r="F106" i="81" s="1"/>
  <c r="J140" i="81" a="1"/>
  <c r="J140" i="81" s="1"/>
  <c r="I140" i="81" a="1"/>
  <c r="I140" i="81" s="1"/>
  <c r="H140" i="81" a="1"/>
  <c r="H140" i="81" s="1"/>
  <c r="G140" i="81" a="1"/>
  <c r="G140" i="81" s="1"/>
  <c r="F140" i="81" a="1"/>
  <c r="F140" i="81" s="1"/>
  <c r="Q140" i="81" a="1"/>
  <c r="Q140" i="81" s="1"/>
  <c r="S140" i="81" a="1"/>
  <c r="S140" i="81" s="1"/>
  <c r="R140" i="81" a="1"/>
  <c r="R140" i="81" s="1"/>
  <c r="T140" i="81" a="1"/>
  <c r="T140" i="81" s="1"/>
  <c r="U140" i="81" a="1"/>
  <c r="U140" i="81" s="1"/>
  <c r="U141" i="81" a="1"/>
  <c r="U141" i="81" s="1"/>
  <c r="S141" i="81" a="1"/>
  <c r="S141" i="81" s="1"/>
  <c r="T141" i="81" a="1"/>
  <c r="T141" i="81" s="1"/>
  <c r="R141" i="81" a="1"/>
  <c r="R141" i="81" s="1"/>
  <c r="Q141" i="81" a="1"/>
  <c r="Q141" i="81" s="1"/>
  <c r="F112" i="81" a="1"/>
  <c r="F112" i="81" s="1"/>
  <c r="G112" i="81" a="1"/>
  <c r="G112" i="81" s="1"/>
  <c r="J112" i="81" a="1"/>
  <c r="J112" i="81" s="1"/>
  <c r="I112" i="81" a="1"/>
  <c r="I112" i="81" s="1"/>
  <c r="H112" i="81" a="1"/>
  <c r="H112" i="81" s="1"/>
  <c r="F109" i="81" a="1"/>
  <c r="F109" i="81" s="1"/>
  <c r="G109" i="81" a="1"/>
  <c r="G109" i="81" s="1"/>
  <c r="J109" i="81" a="1"/>
  <c r="J109" i="81" s="1"/>
  <c r="I109" i="81" a="1"/>
  <c r="I109" i="81" s="1"/>
  <c r="H109" i="81" a="1"/>
  <c r="H109" i="81" s="1"/>
  <c r="I141" i="81" a="1"/>
  <c r="I141" i="81" s="1"/>
  <c r="J141" i="81" a="1"/>
  <c r="J141" i="81" s="1"/>
  <c r="G141" i="81" a="1"/>
  <c r="G141" i="81" s="1"/>
  <c r="F141" i="81" a="1"/>
  <c r="F141" i="81" s="1"/>
  <c r="H141" i="81" a="1"/>
  <c r="H141" i="81" s="1"/>
  <c r="Q77" i="81" a="1"/>
  <c r="Q77" i="81" s="1"/>
  <c r="U77" i="81" a="1"/>
  <c r="U77" i="81" s="1"/>
  <c r="T77" i="81" a="1"/>
  <c r="T77" i="81" s="1"/>
  <c r="S77" i="81" a="1"/>
  <c r="S77" i="81" s="1"/>
  <c r="R77" i="81" a="1"/>
  <c r="R77" i="81" s="1"/>
  <c r="J83" i="81" a="1"/>
  <c r="J83" i="81" s="1"/>
  <c r="I83" i="81" a="1"/>
  <c r="I83" i="81" s="1"/>
  <c r="H83" i="81" a="1"/>
  <c r="H83" i="81" s="1"/>
  <c r="G83" i="81" a="1"/>
  <c r="G83" i="81" s="1"/>
  <c r="F83" i="81" a="1"/>
  <c r="F83" i="81" s="1"/>
  <c r="T146" i="81" a="1"/>
  <c r="T146" i="81" s="1"/>
  <c r="U146" i="81" a="1"/>
  <c r="U146" i="81" s="1"/>
  <c r="S146" i="81" a="1"/>
  <c r="S146" i="81" s="1"/>
  <c r="R146" i="81" a="1"/>
  <c r="R146" i="81" s="1"/>
  <c r="Q146" i="81" a="1"/>
  <c r="Q146" i="81" s="1"/>
  <c r="T139" i="81" a="1"/>
  <c r="T139" i="81" s="1"/>
  <c r="R139" i="81" a="1"/>
  <c r="R139" i="81" s="1"/>
  <c r="U139" i="81" a="1"/>
  <c r="U139" i="81" s="1"/>
  <c r="S139" i="81" a="1"/>
  <c r="S139" i="81" s="1"/>
  <c r="Q139" i="81" a="1"/>
  <c r="Q139" i="81" s="1"/>
  <c r="T82" i="81" a="1"/>
  <c r="T82" i="81" s="1"/>
  <c r="R82" i="81" a="1"/>
  <c r="R82" i="81" s="1"/>
  <c r="Q82" i="81" a="1"/>
  <c r="Q82" i="81" s="1"/>
  <c r="S82" i="81" a="1"/>
  <c r="S82" i="81" s="1"/>
  <c r="U82" i="81" a="1"/>
  <c r="U82" i="81" s="1"/>
  <c r="J81" i="81" a="1"/>
  <c r="J81" i="81" s="1"/>
  <c r="H81" i="81" a="1"/>
  <c r="H81" i="81" s="1"/>
  <c r="G81" i="81" a="1"/>
  <c r="G81" i="81" s="1"/>
  <c r="I81" i="81" a="1"/>
  <c r="I81" i="81" s="1"/>
  <c r="F81" i="81" a="1"/>
  <c r="F81" i="81" s="1"/>
  <c r="Q109" i="81" a="1"/>
  <c r="Q109" i="81" s="1"/>
  <c r="R109" i="81" a="1"/>
  <c r="R109" i="81" s="1"/>
  <c r="U109" i="81" a="1"/>
  <c r="U109" i="81" s="1"/>
  <c r="T109" i="81" a="1"/>
  <c r="T109" i="81" s="1"/>
  <c r="S109" i="81" a="1"/>
  <c r="S109" i="81" s="1"/>
  <c r="T108" i="81" a="1"/>
  <c r="T108" i="81" s="1"/>
  <c r="S108" i="81" a="1"/>
  <c r="S108" i="81" s="1"/>
  <c r="R108" i="81" a="1"/>
  <c r="R108" i="81" s="1"/>
  <c r="U108" i="81" a="1"/>
  <c r="U108" i="81" s="1"/>
  <c r="Q108" i="81" a="1"/>
  <c r="Q108" i="81" s="1"/>
  <c r="H77" i="81" a="1"/>
  <c r="H77" i="81" s="1"/>
  <c r="F77" i="81" a="1"/>
  <c r="F77" i="81" s="1"/>
  <c r="G77" i="81" a="1"/>
  <c r="G77" i="81" s="1"/>
  <c r="J77" i="81" a="1"/>
  <c r="J77" i="81" s="1"/>
  <c r="I77" i="81" a="1"/>
  <c r="I77" i="81" s="1"/>
  <c r="G70" i="82"/>
  <c r="E73" i="82" s="1" a="1"/>
  <c r="E73" i="82" s="1"/>
  <c r="H9" i="13" s="1"/>
  <c r="E280" i="76"/>
  <c r="P264" i="69"/>
  <c r="O280" i="76"/>
  <c r="F8" i="13" s="1"/>
  <c r="E264" i="69"/>
  <c r="E85" i="81" l="1"/>
  <c r="E20" i="13" s="1"/>
  <c r="P115" i="81"/>
  <c r="E115" i="81"/>
  <c r="E22" i="13" s="1"/>
  <c r="E148" i="81"/>
  <c r="E21" i="13" s="1"/>
  <c r="P148" i="81"/>
  <c r="E7" i="13"/>
  <c r="G266" i="69"/>
  <c r="E269" i="69" s="1" a="1"/>
  <c r="E269" i="69" s="1"/>
  <c r="H7" i="13" s="1"/>
  <c r="R266" i="69"/>
  <c r="P269" i="69" s="1" a="1"/>
  <c r="P269" i="69" s="1"/>
  <c r="I7" i="13" s="1"/>
  <c r="F7" i="13"/>
  <c r="Q282" i="76"/>
  <c r="O285" i="76" s="1" a="1"/>
  <c r="O285" i="76" s="1"/>
  <c r="I8" i="13" s="1"/>
  <c r="G282" i="76"/>
  <c r="E285" i="76" s="1" a="1"/>
  <c r="E285" i="76" s="1"/>
  <c r="H8" i="13" s="1"/>
  <c r="E8" i="13"/>
  <c r="H14" i="13" l="1"/>
  <c r="I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<sst xmlns="http://schemas.openxmlformats.org/spreadsheetml/2006/main" count="1720" uniqueCount="437">
  <si>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</si>
  <si>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</si>
  <si>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</si>
  <si>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</si>
  <si>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</si>
  <si>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</si>
  <si>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</si>
  <si>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</si>
  <si>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</si>
  <si>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</si>
  <si>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</si>
  <si>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</si>
  <si>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</si>
  <si>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</si>
  <si>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</si>
  <si>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</si>
  <si>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</si>
  <si>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</si>
  <si>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 xml:space="preserve"> </t>
  </si>
  <si>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</si>
  <si>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</si>
  <si>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</si>
  <si>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</si>
  <si>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</si>
  <si>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</si>
  <si>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</si>
  <si>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</si>
  <si>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</si>
  <si>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</si>
  <si>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</si>
  <si>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</si>
  <si>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</si>
  <si>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</si>
  <si>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</si>
  <si>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</si>
  <si>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</si>
  <si>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</si>
  <si>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</si>
  <si>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</si>
  <si>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</si>
  <si>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</si>
  <si>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</si>
  <si>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</si>
  <si>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</si>
  <si>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</si>
  <si>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</si>
  <si>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</si>
  <si>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</si>
  <si>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</si>
  <si>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</si>
  <si>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</si>
  <si>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</si>
  <si>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</si>
  <si>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</si>
  <si>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</si>
  <si>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</si>
  <si>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</si>
  <si>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</si>
  <si>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</si>
  <si>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</si>
  <si>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</si>
  <si>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</si>
  <si>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</si>
  <si>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</si>
  <si>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</si>
  <si>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</si>
  <si>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</si>
  <si>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</si>
  <si>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</si>
  <si>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</si>
  <si>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</si>
  <si>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</si>
  <si>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</si>
  <si>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</si>
  <si>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</si>
  <si>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</si>
  <si>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</si>
  <si>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</si>
  <si>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</si>
  <si>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</si>
  <si>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</si>
  <si>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</si>
  <si>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</si>
  <si>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</si>
  <si>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</si>
  <si>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</si>
  <si>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</si>
  <si>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</si>
  <si>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</si>
  <si>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</si>
  <si>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</si>
  <si>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</si>
  <si>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</si>
  <si>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</si>
  <si>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</si>
  <si>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</si>
  <si>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</si>
  <si>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</si>
  <si>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</si>
  <si>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</si>
  <si>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</si>
  <si>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</si>
  <si>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MMS m</t>
  </si>
  <si>
    <t>Stage 1 MMS</t>
  </si>
  <si>
    <t>Manure management systems</t>
  </si>
  <si>
    <t>New South Wales</t>
  </si>
  <si>
    <t>Herd movement</t>
  </si>
  <si>
    <t>Duration of stay</t>
  </si>
  <si>
    <t>head</t>
  </si>
  <si>
    <t>Table_N_j</t>
  </si>
  <si>
    <t>Head</t>
  </si>
  <si>
    <r>
      <t>E</t>
    </r>
    <r>
      <rPr>
        <vertAlign val="subscript"/>
        <sz val="12"/>
        <color theme="1" tint="0.24994659260841701"/>
        <rFont val="Times New Roman"/>
        <family val="1"/>
      </rPr>
      <t>CO2e</t>
    </r>
  </si>
  <si>
    <t>Sold as fertiliser</t>
  </si>
  <si>
    <t>Formula name</t>
  </si>
  <si>
    <t>Crude protein</t>
  </si>
  <si>
    <t>Source Data - Feedlot</t>
  </si>
  <si>
    <t>M1_Table_I_j</t>
  </si>
  <si>
    <t>M1_Table_CP_j</t>
  </si>
  <si>
    <t>M2_Table_I_j</t>
  </si>
  <si>
    <t>M1_Table_NR_j</t>
  </si>
  <si>
    <t>M2_Table_NR_j</t>
  </si>
  <si>
    <t>M1_Table_NE_j</t>
  </si>
  <si>
    <t>M2_Table_NE_j</t>
  </si>
  <si>
    <t>Method 1</t>
  </si>
  <si>
    <t>Method 2</t>
  </si>
  <si>
    <t>M1_Table_AE_j</t>
  </si>
  <si>
    <r>
      <t>E</t>
    </r>
    <r>
      <rPr>
        <b/>
        <vertAlign val="subscript"/>
        <sz val="16"/>
        <color theme="1" tint="0.24994659260841701"/>
        <rFont val="Times New Roman"/>
        <family val="1"/>
      </rPr>
      <t>N2O,dir</t>
    </r>
  </si>
  <si>
    <t>M1_Table_E_N2O_dir</t>
  </si>
  <si>
    <t>M1_Table_DMD_j</t>
  </si>
  <si>
    <t>M1_Table_VS_j</t>
  </si>
  <si>
    <t>Dry matter digestibility (Method 1)</t>
  </si>
  <si>
    <t>M2_Table_DMD_j</t>
  </si>
  <si>
    <t>M2_Table_VS_j</t>
  </si>
  <si>
    <t>ECH4 (Method 1)</t>
  </si>
  <si>
    <r>
      <t>E</t>
    </r>
    <r>
      <rPr>
        <vertAlign val="subscript"/>
        <sz val="12"/>
        <color theme="1" tint="0.24994659260841701"/>
        <rFont val="Times New Roman"/>
        <family val="1"/>
      </rPr>
      <t>CO2e</t>
    </r>
    <r>
      <rPr>
        <sz val="12"/>
        <color theme="1" tint="0.24994659260841701"/>
        <rFont val="Times New Roman"/>
        <family val="1"/>
      </rPr>
      <t xml:space="preserve"> (Method 1)</t>
    </r>
  </si>
  <si>
    <t>kg N</t>
  </si>
  <si>
    <r>
      <t>MNSoil</t>
    </r>
    <r>
      <rPr>
        <b/>
        <vertAlign val="subscript"/>
        <sz val="16"/>
        <color theme="1" tint="0.24994659260841701"/>
        <rFont val="Times New Roman"/>
        <family val="1"/>
      </rPr>
      <t>scope1</t>
    </r>
  </si>
  <si>
    <t>Deposited on farm soils as waste (Direct application MMS)</t>
  </si>
  <si>
    <t>Table_PF_fert</t>
  </si>
  <si>
    <t>Fraction of manure applied to as fertiliser on own farm from MMS</t>
  </si>
  <si>
    <t>M1_Table_MNSoil_scope3_fert</t>
  </si>
  <si>
    <t>M2_Table_MNSoil_scope3_fert</t>
  </si>
  <si>
    <t>Mass of N applied to own farm as fertiliser (Method 2)</t>
  </si>
  <si>
    <t>Mass of N applied to own farm as fertiliser (Method 1)</t>
  </si>
  <si>
    <r>
      <t>MNSoil</t>
    </r>
    <r>
      <rPr>
        <b/>
        <vertAlign val="subscript"/>
        <sz val="16"/>
        <color theme="1" tint="0.24994659260841701"/>
        <rFont val="Times New Roman"/>
        <family val="1"/>
      </rPr>
      <t>scope3,fert</t>
    </r>
  </si>
  <si>
    <t>Scope 1 source</t>
  </si>
  <si>
    <t>Where deposited on farm soils as waste, what is the closest match?</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</si>
  <si>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</si>
  <si>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</si>
  <si>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</si>
  <si>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</si>
  <si>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</si>
  <si>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</si>
  <si>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</si>
  <si>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</si>
  <si>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</si>
  <si>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</si>
  <si>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</si>
  <si>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</si>
  <si>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</si>
  <si>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</si>
  <si>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</si>
  <si>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</si>
  <si>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</si>
  <si>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</si>
  <si>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</si>
  <si>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Amount of N in manure</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</si>
  <si>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</si>
  <si>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</si>
  <si>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</si>
  <si>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</si>
  <si>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</si>
  <si>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</si>
  <si>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</si>
  <si>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</si>
  <si>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</si>
  <si>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</si>
  <si>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</si>
  <si>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</si>
  <si>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</si>
  <si>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</si>
  <si>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</si>
  <si>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</si>
  <si>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</si>
  <si>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</si>
  <si>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</si>
  <si>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</si>
  <si>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</si>
  <si>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</si>
  <si>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</si>
  <si>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</si>
  <si>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</si>
  <si>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</si>
  <si>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</si>
  <si>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</si>
  <si>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</si>
  <si>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</si>
  <si>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</si>
  <si>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</si>
  <si>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</si>
  <si>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</si>
  <si>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</si>
  <si>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</si>
  <si>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</si>
  <si>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litres/head/day</t>
  </si>
  <si>
    <t>Duration (weaned)</t>
  </si>
  <si>
    <t>Duration (pre-weaned)</t>
  </si>
  <si>
    <t>Time spent in production systems</t>
  </si>
  <si>
    <t>Feed pad</t>
  </si>
  <si>
    <t>Production system template</t>
  </si>
  <si>
    <t>Duplicate of data in table 1.3.7</t>
  </si>
  <si>
    <t>Method 2 custom values (Edit if known)</t>
  </si>
  <si>
    <t>Method 1 default values (Do not edit)</t>
  </si>
  <si>
    <t>Yes</t>
  </si>
  <si>
    <t>Total manure sent to MMS (Must equal 100%)  (Method 1)</t>
  </si>
  <si>
    <t>Total percent sent to solid storage (Method 1)</t>
  </si>
  <si>
    <t>Total percent sent to solid storage (Method 2)</t>
  </si>
  <si>
    <t>Total manure sent to MMS (Must equal 100%)  (Method 2)</t>
  </si>
  <si>
    <t>Post treatment destinations</t>
  </si>
  <si>
    <t>Production systems</t>
  </si>
  <si>
    <t>No</t>
  </si>
  <si>
    <t>System 3: Pasture-grazed 3-9 months/year</t>
  </si>
  <si>
    <t>Applied to farm soils as fertiliser</t>
  </si>
  <si>
    <t>Dry matter intake</t>
  </si>
  <si>
    <t>Diet</t>
  </si>
  <si>
    <t>kgDM/head/day</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</si>
  <si>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</si>
  <si>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</si>
  <si>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</si>
  <si>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</si>
  <si>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</si>
  <si>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</si>
  <si>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</si>
  <si>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</si>
  <si>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</si>
  <si>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</si>
  <si>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</si>
  <si>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</si>
  <si>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</si>
  <si>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</si>
  <si>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</si>
  <si>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</si>
  <si>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</si>
  <si>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</si>
  <si>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</si>
  <si>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</si>
  <si>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</si>
  <si>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</si>
  <si>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</si>
  <si>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</si>
  <si>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</si>
  <si>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</si>
  <si>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</si>
  <si>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</si>
  <si>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Volatile solids for weaned cattle (Method 1)</t>
  </si>
  <si>
    <t>Volatile solids for weaned cattle (Method 2)</t>
  </si>
  <si>
    <t>Fraction volatile solids to MMS other than solid storage (Method 1)</t>
  </si>
  <si>
    <t>M1_Table_FVS_j_m</t>
  </si>
  <si>
    <t>M1_Table_SS_m</t>
  </si>
  <si>
    <t>SS</t>
  </si>
  <si>
    <t>M1_Table_MMS_j_m</t>
  </si>
  <si>
    <t>Fraction of manure in each MMS prior to solid separation (Method 1)</t>
  </si>
  <si>
    <t>M2_Table_MMS_j_m</t>
  </si>
  <si>
    <t>Fraction of manure in each MMS prior to solid separation (Method 2)</t>
  </si>
  <si>
    <t>M2_Table_SS_m</t>
  </si>
  <si>
    <t>M1_Table_MMS_j_m-4</t>
  </si>
  <si>
    <t>Fraction volatile solids to in solid storage before transfer (Method 1)</t>
  </si>
  <si>
    <t>Fraction volatile solids separated to solid storage (Method 1)</t>
  </si>
  <si>
    <t>Fraction volatile solids separated to solid storage (Method 2)</t>
  </si>
  <si>
    <t>M1_Table_FVS_j_m-4</t>
  </si>
  <si>
    <t>Fraction volatile solids to in solid storage (Method 1)</t>
  </si>
  <si>
    <t>M2_Table_MMS_j_m-4</t>
  </si>
  <si>
    <t>Fraction volatile solids to in solid storage before transfer (Method 2)</t>
  </si>
  <si>
    <t>M2_Table_FVS_j_m-4</t>
  </si>
  <si>
    <t>Fraction volatile solids to in solid storage (Method 2)</t>
  </si>
  <si>
    <t>T subscript is redundant?</t>
  </si>
  <si>
    <t>M1_Table_MCF_i_m</t>
  </si>
  <si>
    <t>Methane conversion factor for state (Method 1)</t>
  </si>
  <si>
    <t>M1_M_j_m</t>
  </si>
  <si>
    <t>Number of dairy cattle in all classes</t>
  </si>
  <si>
    <t>M1_Table_D_j</t>
  </si>
  <si>
    <t>M1_Table_DPW_j</t>
  </si>
  <si>
    <t>Table_MPW_manure_j-3-5</t>
  </si>
  <si>
    <t>Methane production of pre-weaned cattle</t>
  </si>
  <si>
    <t>M1_Table_E_CH4</t>
  </si>
  <si>
    <t>CH4/head/day</t>
  </si>
  <si>
    <t>M1_Table_D_j-1-2-4</t>
  </si>
  <si>
    <t>t CH4</t>
  </si>
  <si>
    <t>Duration of stay of weaned dairy cattle in all classes (Method 1)</t>
  </si>
  <si>
    <t>Duration of stay of of pre-weaned dairy cattle in all classes (Method 1)</t>
  </si>
  <si>
    <t>M2_Table_D_j</t>
  </si>
  <si>
    <t>Duration of stay of weaned dairy cattle in all classes (Method 2)</t>
  </si>
  <si>
    <t>M2_M_j_m</t>
  </si>
  <si>
    <t>Methane from manure production of weaned cattle (Method 2)</t>
  </si>
  <si>
    <t>Methane from manure production of weaned cattle (Method 1)</t>
  </si>
  <si>
    <t>Equation 5 includes MMS subscripts, this should too</t>
  </si>
  <si>
    <t>Methane production from manure management (Method 1)</t>
  </si>
  <si>
    <t>4.3.1.1-2 Manure Methane</t>
  </si>
  <si>
    <t>4.3.1.3-4 Manure Direct N2O</t>
  </si>
  <si>
    <t>Make method 2 MCF table and use</t>
  </si>
  <si>
    <t>Table_WR_j</t>
  </si>
  <si>
    <t>Reference weight for each animal class</t>
  </si>
  <si>
    <t>M1_Table_Z_j</t>
  </si>
  <si>
    <t>Relative size for each animal class (Method 1)</t>
  </si>
  <si>
    <t>M1_Table_L_j</t>
  </si>
  <si>
    <t>Intake relative to maintenance (Method 1)</t>
  </si>
  <si>
    <t>M2_Table_L_j</t>
  </si>
  <si>
    <t>Intake relative to maintenance (Method 2)</t>
  </si>
  <si>
    <t>Nitrogen retained in the body for each animal class j (Method 1)</t>
  </si>
  <si>
    <t>Nitrogen retained in the body for each animal class j (Method 2)</t>
  </si>
  <si>
    <t>Crude protein content of feed intake for each animal class j (Method 1)</t>
  </si>
  <si>
    <t>M1_Table_CPI_j</t>
  </si>
  <si>
    <t>Crude protein intake for each animal class j (Method 1)</t>
  </si>
  <si>
    <t>Nitrogen excreted for each animal class j (Method 1)</t>
  </si>
  <si>
    <t>Nitrogen excreted for each animal class j (Method 2)</t>
  </si>
  <si>
    <t>M1_Table_AE_j-1-2-4</t>
  </si>
  <si>
    <t>Total annual nitrogen excreted cattle &gt; 1 year old</t>
  </si>
  <si>
    <t>Duration of stay of cattle &gt; 1 year (Method 1)</t>
  </si>
  <si>
    <t>Duration of stay of cattle &gt; 1 year (Method 2)</t>
  </si>
  <si>
    <t>M1_Table_D_j-3-5</t>
  </si>
  <si>
    <t>Duration of stay of weaned cattle &lt; 1 year (Method 1)</t>
  </si>
  <si>
    <t>Table_NPW_j-3-5</t>
  </si>
  <si>
    <t>Nitrogen excretion of pre-weaned cattle</t>
  </si>
  <si>
    <t>Total annual nitrogen excreted cattle &lt; 1 year old (Method 1)</t>
  </si>
  <si>
    <t>Total annual nitrogen excreted cattle &gt; 1 year old (Method 1)</t>
  </si>
  <si>
    <t>Fraction of manure sent to each MMS (Method 1)</t>
  </si>
  <si>
    <t>Fraction of manure sent to each MMS (Method 2)</t>
  </si>
  <si>
    <t>M1_Table_MN_j_m</t>
  </si>
  <si>
    <t>Total nitrogen in each MMS (Method 1)</t>
  </si>
  <si>
    <t>Total nitrogen in each MMS (Method 2)</t>
  </si>
  <si>
    <t>M2_Table_MN_j_m</t>
  </si>
  <si>
    <t>Table_EF_m</t>
  </si>
  <si>
    <t>Nitrous oxide EF for each MMS</t>
  </si>
  <si>
    <r>
      <t>EF</t>
    </r>
    <r>
      <rPr>
        <b/>
        <vertAlign val="subscript"/>
        <sz val="11"/>
        <color rgb="FF183C1B"/>
        <rFont val="Times New Roman"/>
        <family val="1"/>
      </rPr>
      <t>m</t>
    </r>
  </si>
  <si>
    <t>Total annual direct N2O emissions from each MMS (Method 1)</t>
  </si>
  <si>
    <t>4.3 Manure management: Dairy: Results</t>
  </si>
  <si>
    <t>4.3.1.5 Manure Atmospheric Deposition</t>
  </si>
  <si>
    <t>Table_FracGASM_m</t>
  </si>
  <si>
    <r>
      <t>FracGASM</t>
    </r>
    <r>
      <rPr>
        <b/>
        <vertAlign val="subscript"/>
        <sz val="11"/>
        <color rgb="FF183C1B"/>
        <rFont val="Times New Roman"/>
        <family val="1"/>
      </rPr>
      <t>m</t>
    </r>
  </si>
  <si>
    <t>Fraction N volatilised from each MS</t>
  </si>
  <si>
    <t>M1_Table_MN_atmos</t>
  </si>
  <si>
    <t>Total nitrogen volatilised from each MMS (Method 1)</t>
  </si>
  <si>
    <t>M2_Table_MN_atmos</t>
  </si>
  <si>
    <t>Total nitrogen volatilised from each MMS (Method 2)</t>
  </si>
  <si>
    <r>
      <t>E</t>
    </r>
    <r>
      <rPr>
        <b/>
        <vertAlign val="subscript"/>
        <sz val="16"/>
        <color theme="1" tint="0.24994659260841701"/>
        <rFont val="Times New Roman"/>
        <family val="1"/>
      </rPr>
      <t>N2O,MMS,ad</t>
    </r>
  </si>
  <si>
    <t>There is no method 2 in VEERG doc, but there are method 2 flow-ons from direct N2O</t>
  </si>
  <si>
    <t>Irrigation type i</t>
  </si>
  <si>
    <t>M1_Table_MN_j_m-4</t>
  </si>
  <si>
    <t>Total nitrogen in solid storage MMS (Method 1)</t>
  </si>
  <si>
    <t>M2_Table_MN_j_m-4</t>
  </si>
  <si>
    <t>Total nitrogen in solid storage MMS (Method 2)</t>
  </si>
  <si>
    <t>Mass of N lost to leaching and runoff from solid storage (Method 1)</t>
  </si>
  <si>
    <t>M1_Table_MN_leach_j_m-4</t>
  </si>
  <si>
    <t>M2_Table_MN_leach_j_m-4</t>
  </si>
  <si>
    <t>Mass of N lost to leaching and runoff from solid storage (Method 2)</t>
  </si>
  <si>
    <t>M1_Table_EF_N2O_leach</t>
  </si>
  <si>
    <t>Emissions from leaching and runoff (Method 1)</t>
  </si>
  <si>
    <t>M2_Table_EF_N2O_leach</t>
  </si>
  <si>
    <t>Emissions from leaching and runoff (Method 2)</t>
  </si>
  <si>
    <t>4.3.1.8 Manure applied to soils</t>
  </si>
  <si>
    <t>Table_PF_scope</t>
  </si>
  <si>
    <t>Fraction of manure applied to soils within farm boundary</t>
  </si>
  <si>
    <t>M1_Table_MN_soil_scope1</t>
  </si>
  <si>
    <t>has 'scope' subscript in arguments definition but not equation</t>
  </si>
  <si>
    <t>M1_Table_MN_soil_scope3</t>
  </si>
  <si>
    <t>Mass of nitrogen from manure applied to soils for scope 3 emissions (Method 1)</t>
  </si>
  <si>
    <t>Mass of nitrogen from manure applied to soils for scope 1 emissions (Method 1)</t>
  </si>
  <si>
    <t>M2_Table_MN_soil_scope1</t>
  </si>
  <si>
    <t>Mass of nitrogen from manure applied to soils for scope 1 emissions (Method 2)</t>
  </si>
  <si>
    <r>
      <t>MNSoil</t>
    </r>
    <r>
      <rPr>
        <b/>
        <vertAlign val="subscript"/>
        <sz val="16"/>
        <color theme="1" tint="0.24994659260841701"/>
        <rFont val="Times New Roman"/>
        <family val="1"/>
      </rPr>
      <t>scope3</t>
    </r>
  </si>
  <si>
    <t>M2_Table_MN_soil_scope3</t>
  </si>
  <si>
    <t>Mass of nitrogen from manure applied to soils for scope 3 emissions (Method 2)</t>
  </si>
  <si>
    <t>t CO2e</t>
  </si>
  <si>
    <t>4.1.1.6-7 Manure leaching and runoff</t>
  </si>
  <si>
    <t>4.3.1.9 Soil direct N2O</t>
  </si>
  <si>
    <t>M1_Table_MMS_j_m-14</t>
  </si>
  <si>
    <t>Fraction of manure deposited on pasture range and paddock (Method 1)</t>
  </si>
  <si>
    <t>Total annual nitrogen excreted all cattle (Method 1)</t>
  </si>
  <si>
    <t>M1_Table_MN_j_m-14</t>
  </si>
  <si>
    <t>Total nitrogen deposited on pasture range and paddock (Method 1)</t>
  </si>
  <si>
    <t>M2_Table_MN_j_m-14</t>
  </si>
  <si>
    <t>Total nitrogen deposited on pasture range and paddock (Method 2)</t>
  </si>
  <si>
    <t>EFPRP</t>
  </si>
  <si>
    <t>Direct nitrous oxide emissions from urine and dung deposited on pasture (Method 1)</t>
  </si>
  <si>
    <t>M2_Table_E_N2O_dir</t>
  </si>
  <si>
    <t>Direct nitrous oxide emissions from urine and dung deposited on pasture (Method 2)</t>
  </si>
  <si>
    <t>M1_Table_M_vol_m-14</t>
  </si>
  <si>
    <t>Mass of N volatilised from urine and dung on pasture (Method 1)</t>
  </si>
  <si>
    <t>M2_Table_M_vol_m-14</t>
  </si>
  <si>
    <t>Mass of N volatilised from urine and dung on pasture (Method 2)</t>
  </si>
  <si>
    <t>4.3.1.10-11 Soil atmospheric deposition</t>
  </si>
  <si>
    <t>4.3.1.12-13 Soil leaching and runoff</t>
  </si>
  <si>
    <t>4.3.1.12-13 Soil leaching and runoff N2O</t>
  </si>
  <si>
    <t>4.3.1.10-11 Soil atmospheric deposition N2O</t>
  </si>
  <si>
    <t>M1_Table_M_leach_M-14</t>
  </si>
  <si>
    <t>Mass of N lost to leaching and runoff urine and faeces on pasture (Method 1)</t>
  </si>
  <si>
    <t>M2_Table_M_leach_M-14</t>
  </si>
  <si>
    <t>Mass of N lost to leaching and runoff urine and faeces on pasture (Method 2)</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</si>
  <si>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</si>
  <si>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leach,m=14</t>
    </r>
  </si>
  <si>
    <r>
      <t>M</t>
    </r>
    <r>
      <rPr>
        <b/>
        <vertAlign val="subscript"/>
        <sz val="12"/>
        <color theme="1" tint="0.24994659260841701"/>
        <rFont val="Times New Roman"/>
        <family val="1"/>
      </rPr>
      <t>vol,m=14</t>
    </r>
  </si>
  <si>
    <t>equation in document has FracGASMm-1-13, should be m=1-13</t>
  </si>
  <si>
    <r>
      <t>MN</t>
    </r>
    <r>
      <rPr>
        <b/>
        <vertAlign val="subscript"/>
        <sz val="12"/>
        <color theme="1" tint="0.24994659260841701"/>
        <rFont val="Times New Roman"/>
        <family val="1"/>
      </rPr>
      <t>ATMOS</t>
    </r>
  </si>
  <si>
    <t>GHG emissions method 1</t>
  </si>
  <si>
    <t>GHG emissions method 2</t>
  </si>
  <si>
    <t>4.3.1.1-2 Manure methane</t>
  </si>
  <si>
    <t>4.3.1.3-4 Manure direct N2O</t>
  </si>
  <si>
    <t>4.3.1.5 Manure atmospheric deposition</t>
  </si>
  <si>
    <t>4.3.1.6-7 Manure leaching and runoff</t>
  </si>
  <si>
    <t>CO2-e emissions method 1</t>
  </si>
  <si>
    <t>CO2-e emissions method 2</t>
  </si>
  <si>
    <t>Scope 1 - This dairy</t>
  </si>
  <si>
    <t>Month</t>
  </si>
  <si>
    <t>Season</t>
  </si>
  <si>
    <t>Acknowledgements</t>
  </si>
  <si>
    <t>Scope 1: Mass of nitrogen applied as fertiliser on own farm</t>
  </si>
  <si>
    <t>* Scope 1: Manure that is removed from MMS and used as fertiliser on the farm, for other enterprises (eg crops)</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</si>
  <si>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</si>
  <si>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M2_Table_MN_leach_j_m</t>
  </si>
  <si>
    <t>Mass of N lost to leaching and runoff from MMS (Method 2)</t>
  </si>
  <si>
    <t>M1_Table_MN_leach_j_m</t>
  </si>
  <si>
    <t>Mass of N lost to leaching and runoff from MMS (Method 1)</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</si>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</sst>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0">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00%"/>
    <numFmt numFmtId="172" formatCode="0.0%"/>
  </numFmts>
  <fonts count="65"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s>
  <fills count="15">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5">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cellStyleXfs>
  <cellXfs count="144">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50" fillId="4" borderId="0" xfId="61">
      <alignment horizontal="left" vertical="center"/>
    </xf>
    <xf numFmtId="0" fontId="49" fillId="4" borderId="0" xfId="60">
      <alignment horizontal="left" vertical="center"/>
    </xf>
    <xf numFmtId="0" fontId="35" fillId="4" borderId="19" xfId="55" applyBorder="1" applyAlignment="1">
      <alignment horizontal="left" vertical="center"/>
    </xf>
    <xf numFmtId="3" fontId="2" fillId="0" borderId="2" xfId="19">
      <alignment horizontal="center" vertical="center"/>
    </xf>
    <xf numFmtId="3" fontId="35" fillId="4" borderId="2" xfId="55" applyNumberFormat="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0" fontId="40" fillId="14" borderId="0" xfId="8" applyFill="1">
      <alignment horizontal="left" vertical="center"/>
    </xf>
    <xf numFmtId="0" fontId="35" fillId="4" borderId="2" xfId="55" applyAlignment="1">
      <alignment vertical="center"/>
    </xf>
    <xf numFmtId="0" fontId="35" fillId="4" borderId="6" xfId="55" applyBorder="1" applyAlignment="1">
      <alignment vertical="center"/>
    </xf>
    <xf numFmtId="0" fontId="35" fillId="4" borderId="7" xfId="55" applyBorder="1" applyAlignment="1">
      <alignment vertical="center"/>
    </xf>
    <xf numFmtId="0" fontId="46" fillId="13" borderId="9" xfId="41" applyBorder="1">
      <alignment horizontal="left" vertical="center"/>
    </xf>
    <xf numFmtId="9" fontId="8" fillId="4" borderId="0" xfId="11">
      <alignment horizontal="center" vertical="center"/>
    </xf>
    <xf numFmtId="164" fontId="8" fillId="4" borderId="0" xfId="10">
      <alignment horizontal="center"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60" fillId="4" borderId="0" xfId="62" applyFont="1">
      <alignment horizontal="left" vertical="center"/>
    </xf>
    <xf numFmtId="0" fontId="40" fillId="4" borderId="0" xfId="8" applyAlignment="1">
      <alignment horizontal="center" vertical="center"/>
    </xf>
    <xf numFmtId="0" fontId="48" fillId="11" borderId="0" xfId="63">
      <alignment horizontal="center" vertical="center"/>
    </xf>
    <xf numFmtId="0" fontId="22" fillId="11" borderId="0" xfId="64">
      <alignment horizontal="left" vertical="center" indent="1"/>
    </xf>
    <xf numFmtId="0" fontId="61" fillId="0" borderId="0" xfId="2" applyFont="1"/>
    <xf numFmtId="0" fontId="57" fillId="2" borderId="0" xfId="8" applyFont="1" applyFill="1">
      <alignment horizontal="left" vertical="center"/>
    </xf>
    <xf numFmtId="0" fontId="17" fillId="4" borderId="0" xfId="32" applyFill="1">
      <alignment vertical="center"/>
    </xf>
    <xf numFmtId="9" fontId="2" fillId="0" borderId="2" xfId="14" applyFont="1" applyBorder="1" applyAlignment="1">
      <alignment horizontal="center" vertical="center"/>
    </xf>
    <xf numFmtId="0" fontId="38" fillId="14" borderId="0" xfId="5" applyFill="1">
      <alignment horizontal="left" vertical="center"/>
    </xf>
    <xf numFmtId="170" fontId="40" fillId="4" borderId="0" xfId="8" applyNumberFormat="1">
      <alignment horizontal="left" vertical="center"/>
    </xf>
    <xf numFmtId="170" fontId="35" fillId="4" borderId="2" xfId="55" applyNumberFormat="1">
      <alignment horizontal="center" vertical="center"/>
    </xf>
    <xf numFmtId="171" fontId="35" fillId="4" borderId="2" xfId="55" applyNumberFormat="1">
      <alignment horizontal="center" vertical="center"/>
    </xf>
    <xf numFmtId="0" fontId="62" fillId="4" borderId="0" xfId="8" applyFont="1">
      <alignment horizontal="left" vertical="center"/>
    </xf>
    <xf numFmtId="0" fontId="63" fillId="4" borderId="0" xfId="8" applyFont="1">
      <alignment horizontal="left" vertical="center"/>
    </xf>
    <xf numFmtId="172" fontId="40" fillId="4" borderId="0" xfId="8" applyNumberFormat="1">
      <alignment horizontal="left" vertical="center"/>
    </xf>
    <xf numFmtId="43" fontId="40" fillId="4" borderId="0" xfId="42" applyFont="1" applyFill="1" applyAlignment="1">
      <alignment horizontal="left" vertical="center"/>
    </xf>
    <xf numFmtId="0" fontId="35" fillId="14" borderId="2" xfId="55" applyFill="1" applyAlignment="1">
      <alignment horizontal="left" vertical="center"/>
    </xf>
    <xf numFmtId="0" fontId="35" fillId="4" borderId="19" xfId="55" applyBorder="1" applyAlignment="1">
      <alignment vertical="center"/>
    </xf>
    <xf numFmtId="0" fontId="35" fillId="14" borderId="7" xfId="55" applyFill="1" applyBorder="1" applyAlignment="1">
      <alignment horizontal="left" vertical="center"/>
    </xf>
    <xf numFmtId="0" fontId="35" fillId="14" borderId="6" xfId="55" applyFill="1" applyBorder="1" applyAlignment="1">
      <alignment horizontal="left" vertical="center"/>
    </xf>
    <xf numFmtId="0" fontId="10" fillId="0" borderId="0" xfId="46"/>
  </cellXfs>
  <cellStyles count="65">
    <cellStyle name="Alert" xfId="62" xr:uid="{34EFE908-8095-4010-8F93-8CFE88055637}"/>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s>
  <dxfs count="105">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04"/>
      <tableStyleElement type="headerRow" dxfId="103"/>
      <tableStyleElement type="totalRow" dxfId="102"/>
      <tableStyleElement type="firstColumn" dxfId="101"/>
      <tableStyleElement type="firstRowStripe" dxfId="100"/>
      <tableStyleElement type="secondRowStripe" dxfId="99"/>
    </tableStyle>
    <tableStyle name="Equation table" pivot="0" count="6" xr9:uid="{B247698E-E41D-4CCD-AA0A-C14817E9DE65}">
      <tableStyleElement type="wholeTable" dxfId="98"/>
      <tableStyleElement type="headerRow" dxfId="97"/>
      <tableStyleElement type="totalRow" dxfId="96"/>
      <tableStyleElement type="firstColumn" dxfId="95"/>
      <tableStyleElement type="firstRowStripe" dxfId="94"/>
      <tableStyleElement type="secondRowStripe" dxfId="93"/>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31"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3</xdr:col>
      <xdr:colOff>14287</xdr:colOff>
      <xdr:row>90</xdr:row>
      <xdr:rowOff>90487</xdr:rowOff>
    </xdr:from>
    <xdr:ext cx="2975751"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𝑉𝑆_𝑗=(𝐼_𝑗×(1−𝐷𝑀𝐷_𝑗 )+(0.04×𝐼_𝑗 ))×(1−𝐴)</a:t>
              </a:r>
              <a:endParaRPr lang="en-AU" sz="1100"/>
            </a:p>
          </xdr:txBody>
        </xdr:sp>
      </mc:Fallback>
    </mc:AlternateContent>
    <xdr:clientData/>
  </xdr:oneCellAnchor>
  <xdr:oneCellAnchor>
    <xdr:from>
      <xdr:col>2</xdr:col>
      <xdr:colOff>309562</xdr:colOff>
      <xdr:row>55</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14287</xdr:colOff>
      <xdr:row>29</xdr:row>
      <xdr:rowOff>42862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7</xdr:row>
      <xdr:rowOff>128587</xdr:rowOff>
    </xdr:from>
    <xdr:ext cx="2435346"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43534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43534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𝑞𝑚_𝑗=0.795×(𝐷𝑀𝐷_𝑗×100)−0.0014</a:t>
              </a:r>
              <a:endParaRPr lang="en-AU" sz="1100"/>
            </a:p>
          </xdr:txBody>
        </xdr:sp>
      </mc:Fallback>
    </mc:AlternateContent>
    <xdr:clientData/>
  </xdr:oneCellAnchor>
  <xdr:oneCellAnchor>
    <xdr:from>
      <xdr:col>3</xdr:col>
      <xdr:colOff>14287</xdr:colOff>
      <xdr:row>109</xdr:row>
      <xdr:rowOff>128587</xdr:rowOff>
    </xdr:from>
    <xdr:ext cx="1834220" cy="182871"/>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𝐹𝑉𝑆_𝑗𝑚=𝑀𝑀𝑆_𝑗𝑚×(1−𝑆𝑆_𝑚 )</a:t>
              </a:r>
              <a:endParaRPr lang="en-AU" sz="1100"/>
            </a:p>
          </xdr:txBody>
        </xdr:sp>
      </mc:Fallback>
    </mc:AlternateContent>
    <xdr:clientData/>
  </xdr:oneCellAnchor>
  <xdr:oneCellAnchor>
    <xdr:from>
      <xdr:col>6</xdr:col>
      <xdr:colOff>1604962</xdr:colOff>
      <xdr:row>153</xdr:row>
      <xdr:rowOff>157162</xdr:rowOff>
    </xdr:from>
    <xdr:ext cx="3888692" cy="194990"/>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m:rPr>
                        <m:sty m:val="p"/>
                      </m:rPr>
                      <a:rPr lang="en-AU" sz="1100" b="0" i="1">
                        <a:solidFill>
                          <a:srgbClr val="C44340"/>
                        </a:solidFill>
                        <a:latin typeface="Cambria Math" panose="02040503050406030204" pitchFamily="18" charset="0"/>
                      </a:rPr>
                      <m:t>equation</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0" i="0">
                  <a:solidFill>
                    <a:srgbClr val="C44340"/>
                  </a:solidFill>
                  <a:latin typeface="Cambria Math" panose="02040503050406030204" pitchFamily="18" charset="0"/>
                </a:rPr>
                <a:t>Original equation:</a:t>
              </a:r>
              <a:r>
                <a:rPr lang="en-AU" sz="1100" b="0" i="0">
                  <a:latin typeface="Cambria Math" panose="02040503050406030204" pitchFamily="18" charset="0"/>
                </a:rPr>
                <a:t> </a:t>
              </a:r>
              <a:r>
                <a:rPr lang="en-AU" sz="1100" i="0">
                  <a:latin typeface="Cambria Math" panose="02040503050406030204" pitchFamily="18" charset="0"/>
                </a:rPr>
                <a:t>𝐹𝑉𝑆_(𝑗𝑚=4)=𝑀𝑀𝑆_(𝑗𝑚=4)+(𝑀𝑀𝑆_(𝑗𝑚=1,7,9)×𝑆𝑆_𝑚 )</a:t>
              </a:r>
              <a:endParaRPr lang="en-AU" sz="1100"/>
            </a:p>
          </xdr:txBody>
        </xdr:sp>
      </mc:Fallback>
    </mc:AlternateContent>
    <xdr:clientData/>
  </xdr:oneCellAnchor>
  <xdr:oneCellAnchor>
    <xdr:from>
      <xdr:col>2</xdr:col>
      <xdr:colOff>276225</xdr:colOff>
      <xdr:row>153</xdr:row>
      <xdr:rowOff>128587</xdr:rowOff>
    </xdr:from>
    <xdr:ext cx="5606791" cy="194990"/>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=7</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sub>
                        </m:sSub>
                      </m:e>
                    </m:d>
                  </m:oMath>
                </m:oMathPara>
              </a14:m>
              <a:endParaRPr lang="en-AU" sz="1100"/>
            </a:p>
          </xdr:txBody>
        </xdr:sp>
      </mc:Choice>
      <mc:Fallback xmlns="">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𝐹𝑉𝑆_(𝑗𝑚=4)=𝑀𝑀𝑆_(𝑗𝑚=4)+(𝑀𝑀𝑆_(𝑗𝑚=1)×𝑆𝑆_(𝑚=1) )+(𝑀𝑀𝑆_(𝑗𝑚=7)×𝑆𝑆_(𝑚=7) )+(𝑀𝑀𝑆_(𝑗𝑚=9)×𝑆𝑆_(𝑚=9) )</a:t>
              </a:r>
              <a:endParaRPr lang="en-AU" sz="1100"/>
            </a:p>
          </xdr:txBody>
        </xdr:sp>
      </mc:Fallback>
    </mc:AlternateContent>
    <xdr:clientData/>
  </xdr:oneCellAnchor>
  <xdr:oneCellAnchor>
    <xdr:from>
      <xdr:col>3</xdr:col>
      <xdr:colOff>4762</xdr:colOff>
      <xdr:row>179</xdr:row>
      <xdr:rowOff>157162</xdr:rowOff>
    </xdr:from>
    <xdr:ext cx="2591222" cy="182871"/>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𝑀_𝑗𝑚=𝑉𝑆_𝑗×𝐹𝑉𝑆_(𝑗𝑚,𝑇=1)×𝑀𝐶𝐹_𝑖𝑚×𝐵_𝑜×𝜌</a:t>
              </a:r>
              <a:endParaRPr lang="en-AU" sz="1100"/>
            </a:p>
          </xdr:txBody>
        </xdr:sp>
      </mc:Fallback>
    </mc:AlternateContent>
    <xdr:clientData/>
  </xdr:oneCellAnchor>
  <xdr:oneCellAnchor>
    <xdr:from>
      <xdr:col>3</xdr:col>
      <xdr:colOff>14287</xdr:colOff>
      <xdr:row>217</xdr:row>
      <xdr:rowOff>166687</xdr:rowOff>
    </xdr:from>
    <xdr:ext cx="7943200" cy="332079"/>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𝐸_𝐶𝐻4=∑10_𝑗▒∑10_𝑚▒((𝑁_(𝑗=1,2,4)×𝑀_(𝑗=1,2,4,𝑚)×𝐷_(𝑗=1,2,4) )+(𝑁_(𝑗=3,5)×𝑀_(𝑗=3,5,𝑚)×𝐷_(𝑗=3,5) )+(𝑁_(𝑗=3,5)×𝑀𝑃𝑊_(𝑚𝑎𝑛𝑢𝑟𝑒,𝑗=3,5)×𝐷𝑃𝑊_(𝑗=3,5) )) ×10^(−3)</a:t>
              </a:r>
              <a:endParaRPr lang="en-AU" sz="1100"/>
            </a:p>
          </xdr:txBody>
        </xdr:sp>
      </mc:Fallback>
    </mc:AlternateContent>
    <xdr:clientData/>
  </xdr:oneCellAnchor>
  <xdr:oneCellAnchor>
    <xdr:from>
      <xdr:col>7</xdr:col>
      <xdr:colOff>4762</xdr:colOff>
      <xdr:row>217</xdr:row>
      <xdr:rowOff>147637</xdr:rowOff>
    </xdr:from>
    <xdr:ext cx="8406468" cy="332079"/>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a:t>
              </a: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𝐸〗_𝐶𝐻4=∑10_𝑗▒∑10_𝑚▒((𝑁_(𝑗=1,2,4)×𝑀_(𝑗=1,2,4,𝑚)×𝐷_(𝑗=1,2,4) )+(𝑁_(𝑗=3,5)×𝑀_(𝑗=3,5,𝑚)×𝐷_(𝑗=3,5) )+(𝑁_(𝑗=3,5)×𝑀𝑃𝑊_(𝑚𝑎𝑛𝑢𝑟𝑒,𝑗=3,5)×𝐷_(𝑗=3,5) )) ×10^(−3)</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num>
                      <m:den>
                        <m:r>
                          <a:rPr lang="en-AU" sz="1100" i="1">
                            <a:latin typeface="Cambria Math" panose="02040503050406030204" pitchFamily="18" charset="0"/>
                          </a:rPr>
                          <m:t>𝑊</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𝑍_𝑗=𝑊_𝑗/(𝑊𝑅_𝑗 )</a:t>
              </a:r>
              <a:endParaRPr lang="en-AU" sz="11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𝐿_𝑗=𝐼_𝑗/((1.185+0.00454×𝑊_𝑗−0.0000026×𝑊_𝑗^2 )^2×𝑀𝑅_𝑗+𝑀𝐼_𝑗 )</a:t>
              </a:r>
              <a:endParaRPr lang="en-AU" sz="1100"/>
            </a:p>
          </xdr:txBody>
        </xdr:sp>
      </mc:Fallback>
    </mc:AlternateContent>
    <xdr:clientData/>
  </xdr:oneCellAnchor>
  <xdr:oneCellAnchor>
    <xdr:from>
      <xdr:col>3</xdr:col>
      <xdr:colOff>9525</xdr:colOff>
      <xdr:row>71</xdr:row>
      <xdr:rowOff>90487</xdr:rowOff>
    </xdr:from>
    <xdr:ext cx="7038402" cy="39728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86050" y="178069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num>
                          <m:den>
                            <m:r>
                              <a:rPr lang="en-AU" sz="1100" i="1">
                                <a:latin typeface="Cambria Math" panose="02040503050406030204" pitchFamily="18" charset="0"/>
                              </a:rPr>
                              <m:t>6.38</m:t>
                            </m:r>
                          </m:den>
                        </m:f>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−0.4</m:t>
                                            </m:r>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r>
                              <a:rPr lang="en-AU" sz="1100" i="1">
                                <a:latin typeface="Cambria Math" panose="02040503050406030204" pitchFamily="18" charset="0"/>
                              </a:rPr>
                              <m:t>×0.92</m:t>
                            </m:r>
                          </m:e>
                        </m:d>
                      </m:e>
                    </m:d>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6.25</m:t>
                        </m:r>
                      </m:den>
                    </m:f>
                  </m:oMath>
                </m:oMathPara>
              </a14:m>
              <a:endParaRPr lang="en-AU" sz="1100"/>
            </a:p>
          </xdr:txBody>
        </xdr:sp>
      </mc:Choice>
      <mc:Fallback xmlns="">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86050" y="178069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𝑁𝑅_𝑗=((0.032×𝑀𝑃_𝑗×1.03)/6.38)+{(0.212−0.008×(𝐿_𝑗−2)−[(0.140−0.008×(𝐿_𝑗−2))/(1+𝑒^(−6×(𝑍_𝑗−0.4) ) )])×(𝐿𝑊𝐺_𝑗×0.92)}×1/6.25</a:t>
              </a:r>
            </a:p>
          </xdr:txBody>
        </xdr:sp>
      </mc:Fallback>
    </mc:AlternateContent>
    <xdr:clientData/>
  </xdr:oneCellAnchor>
  <xdr:oneCellAnchor>
    <xdr:from>
      <xdr:col>3</xdr:col>
      <xdr:colOff>85725</xdr:colOff>
      <xdr:row>102</xdr:row>
      <xdr:rowOff>147637</xdr:rowOff>
    </xdr:from>
    <xdr:ext cx="946413" cy="182871"/>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762250" y="2554128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762250" y="2554128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𝐶𝑃𝐼_𝑗=𝐼_𝑗×𝐶𝑃_𝑗</a:t>
              </a:r>
              <a:endParaRPr lang="en-AU" sz="1100"/>
            </a:p>
          </xdr:txBody>
        </xdr:sp>
      </mc:Fallback>
    </mc:AlternateContent>
    <xdr:clientData/>
  </xdr:oneCellAnchor>
  <xdr:oneCellAnchor>
    <xdr:from>
      <xdr:col>3</xdr:col>
      <xdr:colOff>28575</xdr:colOff>
      <xdr:row>125</xdr:row>
      <xdr:rowOff>119062</xdr:rowOff>
    </xdr:from>
    <xdr:ext cx="2719847" cy="413768"/>
    <mc:AlternateContent xmlns:mc="http://schemas.openxmlformats.org/markup-compatibility/2006" xmlns:a14="http://schemas.microsoft.com/office/drawing/2010/main">
      <mc:Choice Requires="a14">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r>
                              <a:rPr lang="en-AU" sz="1100" i="1">
                                <a:latin typeface="Cambria Math" panose="02040503050406030204" pitchFamily="18" charset="0"/>
                              </a:rPr>
                              <m:t>6.25</m:t>
                            </m:r>
                          </m:den>
                        </m:f>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0.75</m:t>
                                </m:r>
                              </m:sup>
                            </m:sSubSup>
                          </m:num>
                          <m:den>
                            <m:r>
                              <a:rPr lang="en-AU" sz="1100" i="1">
                                <a:latin typeface="Cambria Math" panose="02040503050406030204" pitchFamily="18" charset="0"/>
                              </a:rPr>
                              <m:t>6.25</m:t>
                            </m:r>
                          </m:den>
                        </m:f>
                      </m:e>
                    </m:d>
                  </m:oMath>
                </m:oMathPara>
              </a14:m>
              <a:endParaRPr lang="en-AU" sz="1100"/>
            </a:p>
          </xdr:txBody>
        </xdr:sp>
      </mc:Choice>
      <mc:Fallback xmlns="">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𝑁𝐸_𝑗=((𝐶𝑃𝐼_𝑗)/6.25)−𝑁𝑅_𝑗−[(1.1×10^(−4)×𝑊_𝑗^0.75)/6.25]</a:t>
              </a:r>
              <a:endParaRPr lang="en-AU" sz="1100"/>
            </a:p>
          </xdr:txBody>
        </xdr:sp>
      </mc:Fallback>
    </mc:AlternateContent>
    <xdr:clientData/>
  </xdr:oneCellAnchor>
  <xdr:oneCellAnchor>
    <xdr:from>
      <xdr:col>5</xdr:col>
      <xdr:colOff>1733550</xdr:colOff>
      <xdr:row>146</xdr:row>
      <xdr:rowOff>119062</xdr:rowOff>
    </xdr:from>
    <xdr:ext cx="3283528" cy="182871"/>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×365</m:t>
                  </m:r>
                </m:oMath>
              </a14:m>
              <a:endParaRPr lang="en-AU" sz="1100"/>
            </a:p>
          </xdr:txBody>
        </xdr:sp>
      </mc:Choice>
      <mc:Fallback xmlns="">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r>
                <a:rPr lang="en-AU" sz="1100" i="0">
                  <a:latin typeface="Cambria Math" panose="02040503050406030204" pitchFamily="18" charset="0"/>
                </a:rPr>
                <a:t>𝐴𝐸_(𝑗=1,2,4)=𝑁_(𝑗=1,2,4)×𝑁𝐸_(𝑗=1,2,4)×365</a:t>
              </a:r>
              <a:endParaRPr lang="en-AU" sz="1100"/>
            </a:p>
          </xdr:txBody>
        </xdr:sp>
      </mc:Fallback>
    </mc:AlternateContent>
    <xdr:clientData/>
  </xdr:oneCellAnchor>
  <xdr:oneCellAnchor>
    <xdr:from>
      <xdr:col>3</xdr:col>
      <xdr:colOff>28575</xdr:colOff>
      <xdr:row>146</xdr:row>
      <xdr:rowOff>138112</xdr:rowOff>
    </xdr:from>
    <xdr:ext cx="2449453" cy="182871"/>
    <mc:AlternateContent xmlns:mc="http://schemas.openxmlformats.org/markup-compatibility/2006" xmlns:a14="http://schemas.microsoft.com/office/drawing/2010/main">
      <mc:Choice Requires="a14">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oMath>
                </m:oMathPara>
              </a14:m>
              <a:endParaRPr lang="en-AU" sz="1100"/>
            </a:p>
          </xdr:txBody>
        </xdr:sp>
      </mc:Choice>
      <mc:Fallback xmlns="">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𝐴𝐸_(𝑗=1,2,4)=𝑁_(𝑗=1,2,4)×𝑁𝐸_(𝑗=1,2,4)×𝐷_(𝑗=1,2,4)</a:t>
              </a:r>
              <a:endParaRPr lang="en-AU" sz="1100"/>
            </a:p>
          </xdr:txBody>
        </xdr:sp>
      </mc:Fallback>
    </mc:AlternateContent>
    <xdr:clientData/>
  </xdr:oneCellAnchor>
  <xdr:oneCellAnchor>
    <xdr:from>
      <xdr:col>5</xdr:col>
      <xdr:colOff>1485900</xdr:colOff>
      <xdr:row>176</xdr:row>
      <xdr:rowOff>128587</xdr:rowOff>
    </xdr:from>
    <xdr:ext cx="4867936" cy="194990"/>
    <mc:AlternateContent xmlns:mc="http://schemas.openxmlformats.org/markup-compatibility/2006" xmlns:a14="http://schemas.microsoft.com/office/drawing/2010/main">
      <mc:Choice Requires="a14">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×281</m:t>
                      </m:r>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×84</m:t>
                      </m:r>
                    </m:e>
                  </m:d>
                </m:oMath>
              </a14:m>
              <a:endParaRPr lang="en-AU" sz="1100"/>
            </a:p>
          </xdr:txBody>
        </xdr:sp>
      </mc:Choice>
      <mc:Fallback xmlns="">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r>
                <a:rPr lang="en-AU" sz="1100" i="0">
                  <a:latin typeface="Cambria Math" panose="02040503050406030204" pitchFamily="18" charset="0"/>
                </a:rPr>
                <a:t>𝐴𝐸_(𝑗=3,5)=(𝑁_(𝑗=3,5)×𝑁𝐸_(𝑗=3,5)×281)+(𝑁_(𝑗=3,5)×𝑁𝑃𝑊_(𝑗=3,5)×84)</a:t>
              </a:r>
              <a:endParaRPr lang="en-AU" sz="1100"/>
            </a:p>
          </xdr:txBody>
        </xdr:sp>
      </mc:Fallback>
    </mc:AlternateContent>
    <xdr:clientData/>
  </xdr:oneCellAnchor>
  <xdr:oneCellAnchor>
    <xdr:from>
      <xdr:col>3</xdr:col>
      <xdr:colOff>0</xdr:colOff>
      <xdr:row>176</xdr:row>
      <xdr:rowOff>138112</xdr:rowOff>
    </xdr:from>
    <xdr:ext cx="4361129" cy="194990"/>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oMath>
                </m:oMathPara>
              </a14:m>
              <a:endParaRPr lang="en-AU" sz="1100"/>
            </a:p>
          </xdr:txBody>
        </xdr:sp>
      </mc:Choice>
      <mc:Fallback xmlns="">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𝐴𝐸_(𝑗=3,5)=(𝑁_(𝑗=3,5)×𝑁𝐸_(𝑗=3,5)×𝐷_(𝑗=3,5) )+(𝑁_(𝑗=3,5)×𝑁𝑃𝑊_(𝑗=3,5)×𝐷𝑃𝑊_(𝑗=3,5) )</a:t>
              </a:r>
              <a:endParaRPr lang="en-AU" sz="1100"/>
            </a:p>
          </xdr:txBody>
        </xdr:sp>
      </mc:Fallback>
    </mc:AlternateContent>
    <xdr:clientData/>
  </xdr:oneCellAnchor>
  <xdr:oneCellAnchor>
    <xdr:from>
      <xdr:col>3</xdr:col>
      <xdr:colOff>27332</xdr:colOff>
      <xdr:row>212</xdr:row>
      <xdr:rowOff>118440</xdr:rowOff>
    </xdr:from>
    <xdr:ext cx="1405385"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oneCellAnchor>
    <xdr:from>
      <xdr:col>3</xdr:col>
      <xdr:colOff>10766</xdr:colOff>
      <xdr:row>249</xdr:row>
      <xdr:rowOff>126723</xdr:rowOff>
    </xdr:from>
    <xdr:ext cx="3059363" cy="332079"/>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𝐸_(𝑁2𝑂,𝑑𝑖𝑟)=∑10_𝑗▒∑10_𝑚▒(𝑀𝑁_𝑗𝑚×𝐸𝐹_𝑚×𝐶_𝑁2𝑂×10^(−3) ) </a:t>
              </a:r>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sub>
                                </m:sSub>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𝑀𝑁_𝐴𝑇𝑀𝑂𝑆=∑10_𝑗▒∑10_𝑚▒(𝑀𝑁_𝑗𝑚×𝐹𝑟𝑎𝑐𝐺𝐴𝑆𝑀_𝑚 ) </a:t>
              </a:r>
              <a:endParaRPr lang="en-AU" sz="11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𝑀𝑀𝑆</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𝐸_(𝑁2𝑂,𝑀𝑀𝑆,𝑎𝑑)=𝑀𝑁_𝐴𝑇𝑀𝑂𝑆×𝐸𝐹_𝑁2𝑂×𝐶_𝑁2𝑂×10^(−3)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𝐹𝑟𝑎𝑐𝑊𝐸</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m:t>
                        </m:r>
                      </m:sub>
                    </m:sSub>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𝑀𝑁𝐿𝑒𝑎𝑐ℎ_(𝑗𝑚=4)=𝑀𝑁_(𝑗𝑚=4)×𝐹𝑟𝑎𝑐𝑊𝐸𝑇_𝑖×𝐹𝑟𝑎𝑐𝐿𝐸𝐴𝐶𝐻_𝑀𝑆</a:t>
              </a:r>
              <a:endParaRPr lang="en-AU" sz="11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r>
                              <a:rPr lang="en-AU" sz="1100" i="1">
                                <a:latin typeface="Cambria Math" panose="02040503050406030204" pitchFamily="18" charset="0"/>
                              </a:rPr>
                              <m:t>=1−13</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𝐸_(𝑁2𝑂,𝑙𝑒𝑎𝑐ℎ)=∑10_𝑗▒∑10_(𝑚=1−13)▒(𝑀𝑁𝐿𝑒𝑎𝑐ℎ_𝑗𝑚×𝐸𝐹_𝑙𝑒𝑎𝑐ℎ×𝐶_𝑁2𝑂 ) ×10^(−3)</a:t>
              </a:r>
              <a14:m xmlns:a14="http://schemas.microsoft.com/office/drawing/2010/main"/>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295275</xdr:colOff>
      <xdr:row>7</xdr:row>
      <xdr:rowOff>93289</xdr:rowOff>
    </xdr:from>
    <xdr:ext cx="6020815"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𝑀𝑁𝑆𝑜𝑖𝑙_𝑠𝑐𝑜𝑝𝑒1=∑2_𝑗▒∑2_𝑚▒(𝑀𝑁_(𝑗𝑚=1−13)×(1−𝐸𝐹_(𝑚=1−13)−𝐹𝑟𝑎𝑐𝐺𝐴𝑆𝑀_(𝑚=1−13) )−𝑀𝑁𝐿𝑒𝑎𝑐ℎ_𝑗𝑚 ) ×𝑃𝐹</a:t>
              </a:r>
              <a:endParaRPr lang="en-AU" sz="1100"/>
            </a:p>
          </xdr:txBody>
        </xdr:sp>
      </mc:Fallback>
    </mc:AlternateContent>
    <xdr:clientData/>
  </xdr:oneCellAnchor>
  <xdr:oneCellAnchor>
    <xdr:from>
      <xdr:col>3</xdr:col>
      <xdr:colOff>13445</xdr:colOff>
      <xdr:row>91</xdr:row>
      <xdr:rowOff>108696</xdr:rowOff>
    </xdr:from>
    <xdr:ext cx="6384120"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𝑀𝑁𝑆𝑜𝑖𝑙_𝑠𝑐𝑜𝑝𝑒3=∑2_𝑗▒∑2_𝑚▒(𝑀𝑁_(𝑗𝑚=1−13)×(1−𝐸𝐹_(𝑚=1−13)−𝐹𝑟𝑎𝑐𝐺𝐴𝑆𝑀_(𝑚=1−13) )−𝑀𝑁𝐿𝑒𝑎𝑐ℎ_𝑗𝑚 ) ×(1−𝑃𝐹)</a:t>
              </a:r>
              <a:endParaRPr lang="en-AU" sz="1100"/>
            </a:p>
          </xdr:txBody>
        </xdr:sp>
      </mc:Fallback>
    </mc:AlternateContent>
    <xdr:clientData/>
  </xdr:oneCellAnchor>
  <xdr:twoCellAnchor editAs="oneCell">
    <xdr:from>
      <xdr:col>6</xdr:col>
      <xdr:colOff>1983442</xdr:colOff>
      <xdr:row>93</xdr:row>
      <xdr:rowOff>44824</xdr:rowOff>
    </xdr:from>
    <xdr:to>
      <xdr:col>9</xdr:col>
      <xdr:colOff>1728210</xdr:colOff>
      <xdr:row>95</xdr:row>
      <xdr:rowOff>94766</xdr:rowOff>
    </xdr:to>
    <xdr:pic>
      <xdr:nvPicPr>
        <xdr:cNvPr id="9" name="Picture 8">
          <a:extLst>
            <a:ext uri="{FF2B5EF4-FFF2-40B4-BE49-F238E27FC236}">
              <a16:creationId xmlns:a16="http://schemas.microsoft.com/office/drawing/2014/main" id="{5C60F29D-4670-9430-0E3C-2B84B76E7BF1}"/>
            </a:ext>
          </a:extLst>
        </xdr:cNvPr>
        <xdr:cNvPicPr>
          <a:picLocks noChangeAspect="1"/>
        </xdr:cNvPicPr>
      </xdr:nvPicPr>
      <xdr:blipFill>
        <a:blip xmlns:r="http://schemas.openxmlformats.org/officeDocument/2006/relationships" r:embed="rId1"/>
        <a:stretch>
          <a:fillRect/>
        </a:stretch>
      </xdr:blipFill>
      <xdr:spPr>
        <a:xfrm>
          <a:off x="10813677" y="27297530"/>
          <a:ext cx="5896798" cy="54300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𝐸_(𝑁2𝑂,𝑑𝑖𝑟)=∑10_𝑗▒(𝑀𝑁_(𝑗𝑚=14)×𝐸𝐹_𝑃𝑅𝑃×𝐶_𝑁2𝑂×10^(−3) ) </a:t>
              </a:r>
              <a:endParaRPr lang="en-AU" sz="11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𝑀_(𝑣𝑜𝑙,𝑚=14)=∑10_𝑗▒(𝑀𝑁_(𝑗𝑚=14)×𝐹𝑟𝑎𝑐𝐺𝐴𝑆𝑀𝑠𝑜𝑖𝑙) </a:t>
              </a:r>
              <a:endParaRPr lang="en-AU" sz="11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𝑀_(𝑙𝑒𝑎𝑐ℎ,𝑚=14)=∑10_𝑗▒(𝑀𝑁_(𝑗𝑚=14)×𝐹𝑟𝑎𝑐𝑊𝑒𝑡×𝐹𝑟𝑎𝑐𝐿𝐸𝐴𝐶𝐻</a:t>
              </a:r>
              <a14:m xmlns:a14="http://schemas.microsoft.com/office/drawing/2010/main"/>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92"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91"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90"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89"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88"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87"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86"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85"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84"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83"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82"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81"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80"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79"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78"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77"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76"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75"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74"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73"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72"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71"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70"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69"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68"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67"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66"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65"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64"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63"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62"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61"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60"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59"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58"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57"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56"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03FF72D-5AA8-4D04-BC68-A876F0B27A9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F794626-A850-4164-8339-B540B2DF4318}" name="State/Territory">
      <calculatedColumnFormula array="1">Common_InputFunctions.Utility_DisplayArrayInTable(Common_SourceData.Common_SourceData_AustralianStatesTerritories_Data(),Table_AustralianStates[[#Headers],[State/Territory]],0)</calculatedColumnFormula>
    </tableColumn>
    <tableColumn id="2" xr3:uid="{DAE38D79-3412-44EE-B743-F7EA54525797}" name="Common Name">
      <calculatedColumnFormula array="1">Common_InputFunctions.Utility_DisplayArrayInTable(Common_SourceData.Common_SourceData_AustralianStatesTerritories_Data(),Table_AustralianStates[[#Headers],[State/Territory]],0)</calculatedColumnFormula>
    </tableColumn>
    <tableColumn id="3" xr3:uid="{0A80F820-FBCF-4CD9-BB99-A505AD6A647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A467D148-4878-4FAD-BB3C-F97D06CA9512}" name="Table_WASA4Areas" displayName="Table_WASA4Areas" ref="D20:D30" totalsRowShown="0">
  <autoFilter ref="D20:D30" xr:uid="{5FA81339-C6C8-4D36-BEEA-6C4AEDD9E676}">
    <filterColumn colId="0" hiddenButton="1"/>
  </autoFilter>
  <tableColumns count="1">
    <tableColumn id="1" xr3:uid="{C82476DA-E731-4E10-9D5A-E9F0C1FC06B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914CD11-0EFE-4643-96AF-5AA68162B523}" name="Table_GWPData" displayName="Table_GWPData" ref="D36:E43" totalsRowShown="0">
  <autoFilter ref="D36:E43" xr:uid="{B8E87A66-3E41-4AD3-925D-01EE21B43D7A}">
    <filterColumn colId="0" hiddenButton="1"/>
    <filterColumn colId="1" hiddenButton="1"/>
  </autoFilter>
  <tableColumns count="2">
    <tableColumn id="1" xr3:uid="{65D9E7F2-5AA3-4F6D-B872-299BD4277352}" name="Gas">
      <calculatedColumnFormula array="1">Common_InputFunctions.Utility_DisplayArrayInTable(Common_SourceData.Common_SourceData_GWP_Data(), Table_GWPData[[#Headers],[Gas]], 0)</calculatedColumnFormula>
    </tableColumn>
    <tableColumn id="2" xr3:uid="{2E11C296-A27E-44C8-B866-B60D8484DA21}"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9DEC118-7605-4D43-9B0E-4EC1C118899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24DF9520-BD4A-4E94-BBCC-0D5B7E7A8E54}" name="Gas">
      <calculatedColumnFormula array="1">Common_InputFunctions.Utility_DisplayArrayInTable(Common_SourceData.Common_SourceData_ConvertGasElementalToMolecular_Data(),Table_GasToMolecularConversionFactor[[#Headers],[Gas]], 0)</calculatedColumnFormula>
    </tableColumn>
    <tableColumn id="5" xr3:uid="{719EA7B0-E1E5-4B9A-9E3D-3FFF5967D16D}" name="Conversion factor">
      <calculatedColumnFormula array="1">Common_InputFunctions.Utility_DisplayArrayInTable(Common_SourceData.Common_SourceData_ConvertGasElementalToMolecular_Data(),Table_GasToMolecularConversionFactor[[#Headers],[Gas]], 0)</calculatedColumnFormula>
    </tableColumn>
    <tableColumn id="2" xr3:uid="{AF7D1800-FE1C-4287-A8AE-6903F6F799C1}"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AFCE0E3-845A-46DD-9AB0-BABC1C0E7CFA}"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BEB747A-4ACF-4E38-AEBF-06ED8AF9CE7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EBE267B3-46EA-4CA7-9B3C-1A1F5421802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7B6CA81-618B-4698-9F97-AD28407946EB}"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1C1D4B8-FE13-46DA-BB59-A5008C6FE7C1}" name="MAT"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3" xr3:uid="{102A624F-AE25-4F8F-B3F0-59DB196609CC}" name="MAP"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4" xr3:uid="{F989612B-CC72-45D5-AE66-26DF38DFC6EA}" name="Frost days per year"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5" xr3:uid="{01545F31-673F-4A04-A77E-2429EE93C858}" name="Elevation"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6" xr3:uid="{25F16A09-9A57-463B-9BCB-20875BB51C44}" name="MAP:PET"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7" xr3:uid="{5AA65FCB-002B-47F1-A287-E218559BCF41}" name="Min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8" xr3:uid="{C0739D72-8114-41EC-AE17-F0842D7BE327}" name="Max temp"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9" xr3:uid="{838C2DB7-9885-4DD3-9B09-44688DEE8F3E}" name="Min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0" xr3:uid="{AC6CC6C2-C45B-4428-B2ED-43073BD9C77B}" name="Max rainfall"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1" xr3:uid="{D27C9106-4113-428E-A02E-BB79B2F36A53}" name="Min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5" xr3:uid="{2C7CD77E-0CE7-472B-80F9-ED09AE8A7629}" name="Max frost days"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2" xr3:uid="{FAF6B10D-23FD-49F4-B389-A5D911DA4EB0}" name="Min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6" xr3:uid="{C3D3CE5A-28C9-4BA8-9403-42CCEEFC311A}" name="Max elevation"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3" xr3:uid="{41AF1E4E-419B-49D3-B5DD-31A71A63AD52}" name="Min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 id="17" xr3:uid="{0323E4F1-1C74-4A8C-A893-AA2777B9A8E5}" name="Max MAP:PET" totalsRowDxfId="20"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E4CA1693-7EC0-48C3-8123-A6D663D828A8}"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9E074F6-1F46-427E-8A7B-BFEA18900DC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7FF83C7F-09C9-4F06-BECA-CDFF7F5BD9FB}" name="Wet or Dry Zone" totalsRowDxfId="19"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18520BC8-5672-4822-908B-809C356B033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083149F2-73DE-4562-B91A-1F9C39334064}" name="Temperature Zone">
      <calculatedColumnFormula array="1">Common_InputFunctions.Utility_DisplayArrayInTable(Common_SourceData.Common_SourceData_TemperatureZones_Data(),Table_SourceData_TemperatureZones[[#Headers],[Temperature Zone]],0)</calculatedColumnFormula>
    </tableColumn>
    <tableColumn id="2" xr3:uid="{14D1E32A-5A09-4329-8DC4-EAD6A0F58865}" name="MAT">
      <calculatedColumnFormula array="1">Common_InputFunctions.Utility_DisplayArrayInTable(Common_SourceData.Common_SourceData_TemperatureZones_Data(),Table_SourceData_TemperatureZones[[#Headers],[Temperature Zone]],0)</calculatedColumnFormula>
    </tableColumn>
    <tableColumn id="3" xr3:uid="{C067EEEF-2F54-4838-949C-910BB29190EE}" name="Min MAT">
      <calculatedColumnFormula array="1">Common_InputFunctions.Utility_DisplayArrayInTable(Common_SourceData.Common_SourceData_TemperatureZones_Data(),Table_SourceData_TemperatureZones[[#Headers],[Temperature Zone]],0)</calculatedColumnFormula>
    </tableColumn>
    <tableColumn id="4" xr3:uid="{1A7E3D6B-ED50-49B2-8FFF-27C59B2D2298}"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BCEE09E-35BE-4F5B-9886-18B04A28577F}"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6419F08F-BAEF-4F99-9D31-2F07F0CBAEC1}" name="Rainfall Zone">
      <calculatedColumnFormula array="1">Common_InputFunctions.Utility_DisplayArrayInTable(Common_SourceData.Common_SourceData_RainfallZones_Data(),Table_SourceData_RainfallZones[[#Headers],[Rainfall Zone]],0)</calculatedColumnFormula>
    </tableColumn>
    <tableColumn id="2" xr3:uid="{C5E53696-D0AD-48E4-A387-F00098834B82}" name="Annual rainfall">
      <calculatedColumnFormula array="1">Common_InputFunctions.Utility_DisplayArrayInTable(Common_SourceData.Common_SourceData_RainfallZones_Data(),Table_SourceData_RainfallZones[[#Headers],[Rainfall Zone]],0)</calculatedColumnFormula>
    </tableColumn>
    <tableColumn id="3" xr3:uid="{AEB22F2A-45B7-4985-926A-90CE467ACCA3}" name="Min rainfall">
      <calculatedColumnFormula array="1">Common_InputFunctions.Utility_DisplayArrayInTable(Common_SourceData.Common_SourceData_RainfallZones_Data(),Table_SourceData_RainfallZones[[#Headers],[Rainfall Zone]],0)</calculatedColumnFormula>
    </tableColumn>
    <tableColumn id="4" xr3:uid="{1E498886-42FD-468A-8875-3F9783E4700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BDEC461-6A93-4A97-90E4-9A8AA40A19DB}"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7479AB66-B537-45F0-95C3-F780F47F5E4D}" name="Leaching Zone">
      <calculatedColumnFormula array="1">Common_InputFunctions.Utility_DisplayArrayInTable(Common_SourceData.Common_SourceData_LeachingZones_Data(), Table_SourceData_LeachingZones[[#Headers],[Leaching Zone]], 0)</calculatedColumnFormula>
    </tableColumn>
    <tableColumn id="2" xr3:uid="{7681297D-A0F0-4054-A87F-AE8E786F8B43}"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21C81900-DCEC-41E8-B766-0A4CBD6AFDD7}"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242AC1A-2AFA-428F-935B-83A73B49F1AF}" name="Data source">
      <calculatedColumnFormula array="1">Common_InputFunctions.Utility_DisplayArrayInTable(Common_SourceData.Common_SourceData_DataScores_Scope3_Data(), Table_SourceData_DataScores_Scope3[[#Headers],[Data source]], 0)</calculatedColumnFormula>
    </tableColumn>
    <tableColumn id="2" xr3:uid="{A432E50B-9E0E-4A79-9E3B-C047686F9E56}"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C3F08F2B-C3BE-4F58-9F6F-330BA0E52867}" name="Table_SourceData_FracWET" displayName="Table_SourceData_FracWET" ref="D134:E136" totalsRowShown="0">
  <autoFilter ref="D134:E136" xr:uid="{308E99BE-FE1F-47A4-B2CA-97217277C4E9}">
    <filterColumn colId="0" hiddenButton="1"/>
    <filterColumn colId="1" hiddenButton="1"/>
  </autoFilter>
  <tableColumns count="2">
    <tableColumn id="1" xr3:uid="{CA6CB252-C2A3-40D6-9473-9FC46E9D52A4}" name="Is in leaching zone">
      <calculatedColumnFormula array="1">Common_InputFunctions.Utility_DisplayArrayInTable(Common_SourceData.Common_SourceData_FracWET_Data(),Table_SourceData_FracWET[[#Headers],[Is in leaching zone]],0)</calculatedColumnFormula>
    </tableColumn>
    <tableColumn id="2" xr3:uid="{17B50AED-915B-4AAF-A792-B6C8FBF0C02A}" name="FracWET" dataDxfId="18">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6AE7B8FB-16AF-416E-98A4-D699DD5C5E8A}"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9A1113FC-3C11-4120-8A7A-C6A066062811}" name="Production system j">
      <calculatedColumnFormula array="1">Common_InputFunctions.Utility_DisplayArrayInTable(Common_SourceData.Common_SourceData_EFN2O_Data(), Table_SourceData_Common_EFN2O[[#Headers],[Production system j]], 0)</calculatedColumnFormula>
    </tableColumn>
    <tableColumn id="2" xr3:uid="{19F26070-D269-4461-9AA9-E73E9C3B4B2E}" name="EFN2O">
      <calculatedColumnFormula array="1">Common_InputFunctions.Utility_DisplayArrayInTable(Common_SourceData.Common_SourceData_EFN2O_Data(), Table_SourceData_Common_EFN2O[[#Headers],[Production system j]], 0)</calculatedColumnFormula>
    </tableColumn>
    <tableColumn id="3" xr3:uid="{21B682C6-C2D0-424C-AD39-4F3E40D4636F}" name="Production system only">
      <calculatedColumnFormula array="1">Common_InputFunctions.Utility_DisplayArrayInTable(Common_SourceData.Common_SourceData_EFN2O_Data(), Table_SourceData_Common_EFN2O[[#Headers],[Production system j]], 0)</calculatedColumnFormula>
    </tableColumn>
    <tableColumn id="4" xr3:uid="{6962E14F-8525-41AD-A04F-63D56983CE42}" name="Irrigation method">
      <calculatedColumnFormula array="1">Common_InputFunctions.Utility_DisplayArrayInTable(Common_SourceData.Common_SourceData_EFN2O_Data(), Table_SourceData_Common_EFN2O[[#Headers],[Production system j]], 0)</calculatedColumnFormula>
    </tableColumn>
    <tableColumn id="5" xr3:uid="{3BE4975D-FE3A-45D5-891E-ED75504CC358}"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A13CB41C-F794-4760-AC66-5B531D674B0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CAC3C0F9-1257-4074-B70D-B5E41C33E503}" name="Irrigation type i">
      <calculatedColumnFormula array="1">Common_InputFunctions.Utility_DisplayArrayInTable(Common_SourceData.Common_SourceData_FracWETIrrigation_Data(), Table_SourceData_FracWETIrrigation[[#Headers],[Irrigation type i]], 0)</calculatedColumnFormula>
    </tableColumn>
    <tableColumn id="2" xr3:uid="{493CDD78-3DCB-49BC-B18C-971DBEBBEFAD}" name="FracWET" dataDxfId="17"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B66389F-5E7A-480C-811A-03404D9514D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6A630E68-DE8C-4AED-8D19-EEAAD9054DF8}"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BCF572D-EFF8-47B4-9A54-09684720C466}" name="EFPRP" dataDxfId="16"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F6508C63-E9E0-470A-9DC6-5393265238C6}"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3D2FAD8-2DF7-440E-9815-F9954FD522E7}" name="Month">
      <calculatedColumnFormula array="1">Common_InputFunctions.Utility_DisplayArrayInTable(Common_SourceData.Common_SourceData_MonthsToSeasons_Data(), Table_SourceData_Common_MonthToSeason[[#Headers],[Month]], 0)</calculatedColumnFormula>
    </tableColumn>
    <tableColumn id="2" xr3:uid="{E686A930-9FC6-45F2-A491-349E9B878124}" name="Season" dataDxfId="15"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DC651049-2627-4EC7-8E7F-25B154AFB6E0}"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2F53388-4525-4EB9-9628-BCBEA2F30578}"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6933AB0-11DA-4292-8FE5-DE8E2CA4B88D}" name="MAT (ºC)"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76F11EA-A68F-4DDA-AB7D-A620B6EF4C44}" name="Anaerobic lagoon"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A59FC53-FA95-42F8-A803-83894C899534}" name="Digester / covered lagoon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8317A95-2AB4-45D9-AACA-B1FFC6DCAD30}" name="Liquid systems"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0C2DD5C-EF5D-46AB-A17D-EA174DBC06AB}" name="Daily spread"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3E6D90B-E8DC-4961-9A38-4984A6364EC3}" name="Composting (passive windrow)"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485E7893-DB4C-4B24-975D-397921C40F6A}" name="Solid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5D07BA0-D24C-47DD-BCE9-8AEB94688BBD}" name="Pit storage"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A8038AA-B56B-40E7-94C4-CFC40CEFAF7B}" name="Deep litter"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8FB6B0A-E569-4A66-B2B7-67E40B8006C7}" name="Poultry manure with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9708DD5D-0DF4-4D67-BB71-ADF7EFD4F4DF}" name="Poultry manure without bedd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02B5F58-FFEC-4FFD-AC7E-15228F5CB463}" name="Direct processing"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5D5FE3CD-8EA9-40AB-A6D2-55C163061365}" name="Direct application"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89C453B-2907-4AE7-80EF-A626BEEC7189}" name="Pasture range and paddock"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00A278F-92FA-4925-ADAF-21269BA28878}" name="MAT raw" dataDxfId="0"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6.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D26" sqref="D26:J26"/>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71" t="e" vm="1">
        <v>#VALUE!</v>
      </c>
      <c r="C1" s="127" t="s">
        <v>335</v>
      </c>
    </row>
    <row r="2" spans="1:11" ht="20.100000000000001" customHeight="1" x14ac:dyDescent="0.25">
      <c r="A2" s="9"/>
      <c r="C2" s="9"/>
    </row>
    <row r="3" spans="1:11" ht="20.100000000000001" customHeight="1" x14ac:dyDescent="0.25">
      <c r="A3" s="17" t="str">
        <f>HYPERLINK("#'Home'!A1", "Home")</f>
        <v>Home</v>
      </c>
      <c r="C3" s="24"/>
      <c r="D3" s="24"/>
      <c r="E3" s="24"/>
      <c r="F3" s="24"/>
      <c r="G3" s="24"/>
      <c r="H3" s="24"/>
      <c r="I3" s="24"/>
      <c r="J3" s="24"/>
      <c r="K3" s="24"/>
    </row>
    <row r="4" spans="1:11" ht="20.100000000000001" customHeight="1" x14ac:dyDescent="0.25">
      <c r="A4" s="126" t="str">
        <f>HYPERLINK("#'Results'!A1", "Results")</f>
        <v>Results</v>
      </c>
      <c r="C4" s="24"/>
      <c r="D4" s="6" t="s">
        <v>5</v>
      </c>
      <c r="E4" s="26"/>
      <c r="F4" s="26"/>
      <c r="G4" s="26"/>
      <c r="H4" s="6"/>
      <c r="I4" s="6"/>
      <c r="J4" s="6"/>
      <c r="K4" s="27"/>
    </row>
    <row r="5" spans="1:11" ht="20.100000000000001" customHeight="1" x14ac:dyDescent="0.3">
      <c r="A5" s="16"/>
      <c r="C5" s="24"/>
      <c r="D5" s="28"/>
      <c r="E5" s="29"/>
      <c r="F5" s="29"/>
      <c r="G5" s="29"/>
      <c r="H5" s="26"/>
      <c r="I5" s="24"/>
      <c r="J5" s="24"/>
      <c r="K5" s="24"/>
    </row>
    <row r="6" spans="1:11" ht="20.100000000000001" customHeight="1" x14ac:dyDescent="0.25">
      <c r="A6" s="20" t="s">
        <v>3</v>
      </c>
      <c r="C6" s="24"/>
      <c r="D6" s="125" t="s">
        <v>145</v>
      </c>
      <c r="E6" s="125" t="s">
        <v>403</v>
      </c>
      <c r="F6" s="125" t="s">
        <v>404</v>
      </c>
      <c r="G6" s="125" t="s">
        <v>162</v>
      </c>
      <c r="H6" s="125" t="s">
        <v>409</v>
      </c>
      <c r="I6" s="125" t="s">
        <v>410</v>
      </c>
      <c r="J6" s="125" t="s">
        <v>163</v>
      </c>
      <c r="K6" s="24"/>
    </row>
    <row r="7" spans="1:11" ht="20.100000000000001" customHeight="1" x14ac:dyDescent="0.25">
      <c r="A7" s="17" t="str">
        <f>HYPERLINK("#'Input - Site'!A1", "Site")</f>
        <v>Site</v>
      </c>
      <c r="C7" s="24"/>
      <c r="D7" s="1" t="s">
        <v>405</v>
      </c>
      <c r="E7" s="120">
        <f>'4.3.1.1-2 Methane'!$E$264</f>
        <v>8.1869605415711497</v>
      </c>
      <c r="F7" s="120">
        <f>'4.3.1.1-2 Methane'!$P$264</f>
        <v>8.0754442628988556</v>
      </c>
      <c r="G7" s="57" t="str">
        <f>'4.3.1.1-2 Methane'!$F$264</f>
        <v>t CH4</v>
      </c>
      <c r="H7" s="120">
        <f>'4.3.1.1-2 Methane'!$E$269</f>
        <v>229.23489516399218</v>
      </c>
      <c r="I7" s="120">
        <f>'4.3.1.1-2 Methane'!$P$269</f>
        <v>0</v>
      </c>
      <c r="J7" s="57" t="str">
        <f>'4.3.1.1-2 Methane'!$F$269</f>
        <v>t CO2e</v>
      </c>
      <c r="K7" s="24"/>
    </row>
    <row r="8" spans="1:11" ht="20.100000000000001" customHeight="1" x14ac:dyDescent="0.25">
      <c r="A8" s="17" t="str">
        <f>HYPERLINK("#'Input - Dairy'!A1", "Dairy")</f>
        <v>Dairy</v>
      </c>
      <c r="C8" s="24"/>
      <c r="D8" s="1" t="s">
        <v>406</v>
      </c>
      <c r="E8" s="120">
        <f>'4.3.1.3-4 Direct N20'!$E$280</f>
        <v>1.7559968594126556E-2</v>
      </c>
      <c r="F8" s="120">
        <f>'4.3.1.3-4 Direct N20'!$O$280</f>
        <v>1.7559968594126556E-2</v>
      </c>
      <c r="G8" s="57" t="str">
        <f>'4.3.1.3-4 Direct N20'!$F$280</f>
        <v>t N2O</v>
      </c>
      <c r="H8" s="120">
        <f>'4.3.1.3-4 Direct N20'!$E$285</f>
        <v>4.6533916774435369</v>
      </c>
      <c r="I8" s="120">
        <f>'4.3.1.3-4 Direct N20'!$O$285</f>
        <v>4.6533916774435369</v>
      </c>
      <c r="J8" s="57" t="str">
        <f>'4.3.1.3-4 Direct N20'!$F$285</f>
        <v>t CO2e</v>
      </c>
      <c r="K8" s="24"/>
    </row>
    <row r="9" spans="1:11" ht="20.100000000000001" customHeight="1" x14ac:dyDescent="0.25">
      <c r="A9" s="17"/>
      <c r="C9" s="24"/>
      <c r="D9" s="1" t="s">
        <v>407</v>
      </c>
      <c r="E9" s="120">
        <f>'4.3.1.5 Atmos deposition'!$E$68</f>
        <v>3.8269027723897175E-2</v>
      </c>
      <c r="F9" s="120">
        <f>'4.3.1.5 Atmos deposition'!$P$68</f>
        <v>3.8269027723897175E-2</v>
      </c>
      <c r="G9" s="57" t="str">
        <f>'4.3.1.5 Atmos deposition'!$F$68</f>
        <v>t N2O</v>
      </c>
      <c r="H9" s="120">
        <f>'4.3.1.5 Atmos deposition'!$E$73</f>
        <v>10.141292346832751</v>
      </c>
      <c r="I9" s="120">
        <f>'4.3.1.5 Atmos deposition'!$P$73</f>
        <v>10.141292346832751</v>
      </c>
      <c r="J9" s="57" t="str">
        <f>'4.3.1.5 Atmos deposition'!$F$73</f>
        <v>t CO2e</v>
      </c>
      <c r="K9" s="24"/>
    </row>
    <row r="10" spans="1:11" ht="20.100000000000001" customHeight="1" x14ac:dyDescent="0.25">
      <c r="A10" s="19" t="s">
        <v>78</v>
      </c>
      <c r="C10" s="24"/>
      <c r="D10" s="1" t="s">
        <v>408</v>
      </c>
      <c r="E10" s="120">
        <f>'4.3.1.6-7 Leaching and runoff'!$E$52</f>
        <v>2.0994898959935987E-3</v>
      </c>
      <c r="F10" s="120">
        <f>'4.3.1.6-7 Leaching and runoff'!$P$52</f>
        <v>2.0994898959935987E-3</v>
      </c>
      <c r="G10" s="57" t="str">
        <f>'4.3.1.6-7 Leaching and runoff'!$F$52</f>
        <v>t N2O</v>
      </c>
      <c r="H10" s="120">
        <f>'4.3.1.6-7 Leaching and runoff'!$E$57</f>
        <v>0.55636482243830365</v>
      </c>
      <c r="I10" s="120">
        <f>'4.3.1.6-7 Leaching and runoff'!$P$57</f>
        <v>0.55636482243830365</v>
      </c>
      <c r="J10" s="57" t="str">
        <f>'4.3.1.6-7 Leaching and runoff'!$F$57</f>
        <v>t CO2e</v>
      </c>
      <c r="K10" s="24"/>
    </row>
    <row r="11" spans="1:11" ht="20.100000000000001" customHeight="1" x14ac:dyDescent="0.25">
      <c r="A11" s="17" t="str">
        <f>HYPERLINK("#'4.3.1.1-2 Methane'!A1", "4.3.1.1-2 Methane")</f>
        <v>4.3.1.1-2 Methane</v>
      </c>
      <c r="C11" s="24"/>
      <c r="D11" s="1" t="s">
        <v>374</v>
      </c>
      <c r="E11" s="120">
        <f>'4.3.1.9 Soil direct N2O'!$E$53</f>
        <v>6.045118108813663E-2</v>
      </c>
      <c r="F11" s="120">
        <f>'4.3.1.9 Soil direct N2O'!$P$53</f>
        <v>6.045118108813663E-2</v>
      </c>
      <c r="G11" s="57" t="str">
        <f>'4.3.1.9 Soil direct N2O'!$F$53</f>
        <v>t N2O</v>
      </c>
      <c r="H11" s="120">
        <f>'4.3.1.9 Soil direct N2O'!$E$58</f>
        <v>16.019562988356206</v>
      </c>
      <c r="I11" s="120">
        <f>'4.3.1.9 Soil direct N2O'!$P$58</f>
        <v>16.019562988356206</v>
      </c>
      <c r="J11" s="57" t="str">
        <f>'4.3.1.9 Soil direct N2O'!$F$58</f>
        <v>t CO2e</v>
      </c>
      <c r="K11" s="24"/>
    </row>
    <row r="12" spans="1:11" ht="20.100000000000001" customHeight="1" x14ac:dyDescent="0.25">
      <c r="A12" s="17" t="str">
        <f>HYPERLINK("#'4.3.1.3-4 Direct N20'!A1", "4.3.1.3-4 Direct N2O")</f>
        <v>4.3.1.3-4 Direct N2O</v>
      </c>
      <c r="C12" s="24"/>
      <c r="D12" s="1" t="s">
        <v>390</v>
      </c>
      <c r="E12" s="120">
        <f>'4.3.1.10-11 Soil Atmos Dep'!$E$45</f>
        <v>3.7449506684100645E-2</v>
      </c>
      <c r="F12" s="120">
        <f>'4.3.1.10-11 Soil Atmos Dep'!$P$45</f>
        <v>3.7449506684100645E-2</v>
      </c>
      <c r="G12" s="57" t="str">
        <f>'4.3.1.10-11 Soil Atmos Dep'!$F$45</f>
        <v>t N2O</v>
      </c>
      <c r="H12" s="120">
        <f>'4.3.1.10-11 Soil Atmos Dep'!$E$50</f>
        <v>9.9241192712866706</v>
      </c>
      <c r="I12" s="120">
        <f>'4.3.1.10-11 Soil Atmos Dep'!$P$50</f>
        <v>9.9241192712866706</v>
      </c>
      <c r="J12" s="57" t="str">
        <f>'4.3.1.10-11 Soil Atmos Dep'!$F$50</f>
        <v>t CO2e</v>
      </c>
      <c r="K12" s="24"/>
    </row>
    <row r="13" spans="1:11" ht="20.100000000000001" customHeight="1" x14ac:dyDescent="0.25">
      <c r="A13" s="17" t="str">
        <f>HYPERLINK("#'4.3.1.5 Atmos Deposition'!A1", "4.3.1.5 Atmospheric deposition")</f>
        <v>4.3.1.5 Atmospheric deposition</v>
      </c>
      <c r="C13" s="24"/>
      <c r="D13" s="1" t="s">
        <v>391</v>
      </c>
      <c r="E13" s="120">
        <f>'4.3.1.12-13 Soil leach runoff'!$E$47</f>
        <v>6.64962991969503E-3</v>
      </c>
      <c r="F13" s="120">
        <f>'4.3.1.12-13 Soil leach runoff'!$P$47</f>
        <v>6.64962991969503E-3</v>
      </c>
      <c r="G13" s="57" t="str">
        <f>'4.3.1.12-13 Soil leach runoff'!$F$47</f>
        <v>t N2O</v>
      </c>
      <c r="H13" s="120">
        <f>'4.3.1.12-13 Soil leach runoff'!$E$52</f>
        <v>1.7621519287191829</v>
      </c>
      <c r="I13" s="120">
        <f>'4.3.1.12-13 Soil leach runoff'!$P$52</f>
        <v>1.7621519287191829</v>
      </c>
      <c r="J13" s="57" t="str">
        <f>'4.3.1.12-13 Soil leach runoff'!$F$52</f>
        <v>t CO2e</v>
      </c>
      <c r="K13" s="24"/>
    </row>
    <row r="14" spans="1:11" ht="20.100000000000001" customHeight="1" x14ac:dyDescent="0.3">
      <c r="A14" s="17" t="str">
        <f>HYPERLINK("#'4.3.1.6-7 Leaching and runoff'!A1", "4.3.1.6-7 Leaching and runoff")</f>
        <v>4.3.1.6-7 Leaching and runoff</v>
      </c>
      <c r="C14" s="24"/>
      <c r="D14" s="31" t="s">
        <v>160</v>
      </c>
      <c r="E14" s="25"/>
      <c r="F14" s="25"/>
      <c r="G14" s="31"/>
      <c r="H14" s="122">
        <f ca="1">SUM(H7:H14)</f>
        <v>272.2917781990688</v>
      </c>
      <c r="I14" s="122">
        <f ca="1">SUM(I7:I14)</f>
        <v>269.16932239624458</v>
      </c>
      <c r="J14" s="112" t="s">
        <v>372</v>
      </c>
      <c r="K14" s="24"/>
    </row>
    <row r="15" spans="1:11" ht="20.100000000000001" customHeight="1" x14ac:dyDescent="0.25">
      <c r="A15" s="17" t="str">
        <f>HYPERLINK("#'4.3.1.8 Manure applied to soils'!A1", "4.3.1.8 Manure applied to soils")</f>
        <v>4.3.1.8 Manure applied to soils</v>
      </c>
      <c r="C15" s="24"/>
      <c r="D15" s="1"/>
      <c r="E15" s="1"/>
      <c r="F15" s="1"/>
      <c r="G15" s="26"/>
      <c r="H15" s="24"/>
      <c r="I15" s="1"/>
      <c r="J15" s="1"/>
      <c r="K15" s="24"/>
    </row>
    <row r="16" spans="1:11" ht="20.100000000000001" customHeight="1" x14ac:dyDescent="0.25">
      <c r="A16" s="17" t="str">
        <f>HYPERLINK("#'4.3.1.9 Soil direct N2O'!A1", "4.3.1.9 Soil direct N2O")</f>
        <v>4.3.1.9 Soil direct N2O</v>
      </c>
      <c r="C16" s="24"/>
      <c r="D16" s="51" t="s">
        <v>359</v>
      </c>
      <c r="E16" s="1"/>
      <c r="F16" s="1"/>
      <c r="G16" s="1"/>
      <c r="H16" s="26"/>
      <c r="I16" s="1"/>
      <c r="J16" s="1"/>
      <c r="K16" s="24"/>
    </row>
    <row r="17" spans="1:11" ht="20.100000000000001" customHeight="1" x14ac:dyDescent="0.25">
      <c r="A17" s="17" t="str">
        <f>HYPERLINK("#'4.3.1.10-11 Soil Atmos Dep'!A1", "4.3.1.10-11 Soil atm. deposition")</f>
        <v>4.3.1.10-11 Soil atm. deposition</v>
      </c>
      <c r="C17" s="24"/>
      <c r="D17" s="113" t="s">
        <v>168</v>
      </c>
      <c r="E17" s="1"/>
      <c r="F17" s="1"/>
      <c r="G17" s="1"/>
      <c r="H17" s="1"/>
      <c r="I17" s="1"/>
      <c r="J17" s="1"/>
      <c r="K17" s="24"/>
    </row>
    <row r="18" spans="1:11" ht="20.100000000000001" customHeight="1" x14ac:dyDescent="0.25">
      <c r="A18" s="17" t="str">
        <f>HYPERLINK("#'4.3.1.12-13 Soil leach runoff'!A1", "4.3.1.12-13 Soil leach &amp; runoff")</f>
        <v>4.3.1.12-13 Soil leach &amp; runoff</v>
      </c>
      <c r="C18" s="24"/>
      <c r="D18" s="123" t="s">
        <v>174</v>
      </c>
      <c r="E18" s="1"/>
      <c r="F18" s="1"/>
      <c r="G18" s="1"/>
      <c r="H18" s="1"/>
      <c r="I18" s="1"/>
      <c r="J18" s="1"/>
      <c r="K18" s="24"/>
    </row>
    <row r="19" spans="1:11" ht="20.100000000000001" customHeight="1" x14ac:dyDescent="0.25">
      <c r="A19" s="17"/>
      <c r="C19" s="24"/>
      <c r="D19" s="125" t="s">
        <v>169</v>
      </c>
      <c r="E19" s="125" t="s">
        <v>166</v>
      </c>
      <c r="F19" s="125" t="s">
        <v>167</v>
      </c>
      <c r="G19" s="125" t="s">
        <v>161</v>
      </c>
      <c r="H19" s="125" t="s">
        <v>173</v>
      </c>
      <c r="I19" s="1"/>
      <c r="J19" s="1"/>
      <c r="K19" s="24"/>
    </row>
    <row r="20" spans="1:11" ht="20.100000000000001" customHeight="1" x14ac:dyDescent="0.25">
      <c r="A20" s="18" t="s">
        <v>4</v>
      </c>
      <c r="C20" s="24"/>
      <c r="D20" s="1" t="s">
        <v>417</v>
      </c>
      <c r="E20" s="124">
        <f>'4.3.1.8 Manure applied to soils'!$E$85</f>
        <v>9379.260858797159</v>
      </c>
      <c r="F20" s="57" t="s">
        <v>135</v>
      </c>
      <c r="G20" s="1" t="s">
        <v>411</v>
      </c>
      <c r="H20" s="1" t="s">
        <v>172</v>
      </c>
      <c r="I20" s="1"/>
      <c r="J20" s="1"/>
      <c r="K20" s="24"/>
    </row>
    <row r="21" spans="1:11" ht="20.100000000000001" customHeight="1" x14ac:dyDescent="0.25">
      <c r="A21" s="17" t="str">
        <f>HYPERLINK("#'Constants - Dairy'!A1", "Constants - Dairy")</f>
        <v>Constants - Dairy</v>
      </c>
      <c r="C21" s="24"/>
      <c r="D21" s="1" t="s">
        <v>170</v>
      </c>
      <c r="E21" s="124">
        <f>'4.3.1.8 Manure applied to soils'!$E$148</f>
        <v>3126.4202862657203</v>
      </c>
      <c r="F21" s="57" t="s">
        <v>135</v>
      </c>
      <c r="G21" s="1" t="s">
        <v>411</v>
      </c>
      <c r="H21" s="1" t="s">
        <v>172</v>
      </c>
      <c r="I21" s="24"/>
      <c r="J21" s="1"/>
      <c r="K21" s="24"/>
    </row>
    <row r="22" spans="1:11" ht="20.100000000000001" customHeight="1" x14ac:dyDescent="0.25">
      <c r="A22" s="17" t="str">
        <f>HYPERLINK("#'Constants - Livestock'!A1", "Constants - Livestock")</f>
        <v>Constants - Livestock</v>
      </c>
      <c r="C22" s="24"/>
      <c r="D22" s="1" t="s">
        <v>164</v>
      </c>
      <c r="E22" s="124">
        <f>'4.3.1.8 Manure applied to soils'!$E$115</f>
        <v>3126.4202862657203</v>
      </c>
      <c r="F22" s="57" t="s">
        <v>135</v>
      </c>
      <c r="G22" s="1" t="s">
        <v>165</v>
      </c>
      <c r="H22" s="1" t="s">
        <v>171</v>
      </c>
      <c r="I22" s="24"/>
      <c r="J22" s="24"/>
      <c r="K22" s="24"/>
    </row>
    <row r="23" spans="1:11" ht="20.100000000000001" customHeight="1" x14ac:dyDescent="0.25">
      <c r="A23" s="17" t="str">
        <f>HYPERLINK("#'Constants - Common'!A1", "Constants - Common")</f>
        <v>Constants - Common</v>
      </c>
      <c r="C23" s="24"/>
      <c r="D23" s="1"/>
      <c r="E23" s="1"/>
      <c r="F23" s="1"/>
      <c r="G23" s="1"/>
      <c r="H23" s="1"/>
      <c r="I23" s="24"/>
      <c r="J23" s="24"/>
      <c r="K23" s="24"/>
    </row>
    <row r="24" spans="1:11" ht="20.100000000000001" customHeight="1" x14ac:dyDescent="0.25">
      <c r="A24" s="17" t="str">
        <f>HYPERLINK("#'Acknowledgements'!A1", "Acknowledgements")</f>
        <v>Acknowledgements</v>
      </c>
      <c r="C24" s="24"/>
      <c r="D24" s="1"/>
      <c r="E24" s="1"/>
      <c r="F24" s="1"/>
      <c r="G24" s="1"/>
      <c r="H24" s="26"/>
      <c r="I24" s="24"/>
      <c r="J24" s="24"/>
      <c r="K24" s="24"/>
    </row>
    <row r="25" spans="1:11" ht="20.100000000000001" customHeight="1" x14ac:dyDescent="0.3">
      <c r="C25" s="24"/>
      <c r="D25" s="1"/>
      <c r="E25" s="1"/>
      <c r="F25" s="1"/>
      <c r="G25" s="1"/>
      <c r="H25" s="29"/>
      <c r="I25" s="24"/>
      <c r="J25" s="24"/>
      <c r="K25" s="24"/>
    </row>
    <row r="26" spans="1:11" ht="20.100000000000001" customHeight="1" x14ac:dyDescent="0.25">
      <c r="C26" s="24"/>
      <c r="D26" s="1"/>
      <c r="E26" s="1"/>
      <c r="F26" s="1"/>
      <c r="G26" s="1"/>
      <c r="H26" s="1"/>
      <c r="I26" s="1"/>
      <c r="J26" s="1"/>
      <c r="K26" s="24"/>
    </row>
    <row r="27" spans="1:11" ht="20.100000000000001" customHeight="1" x14ac:dyDescent="0.25">
      <c r="C27" s="24"/>
      <c r="D27" s="1"/>
      <c r="E27" s="1"/>
      <c r="F27" s="1"/>
      <c r="G27" s="1"/>
      <c r="H27" s="1"/>
      <c r="I27" s="1"/>
      <c r="J27" s="24"/>
      <c r="K27" s="24"/>
    </row>
    <row r="28" spans="1:11" ht="20.100000000000001" customHeight="1" x14ac:dyDescent="0.25">
      <c r="C28" s="24"/>
      <c r="D28" s="1"/>
      <c r="E28" s="1"/>
      <c r="F28" s="1"/>
      <c r="G28" s="1"/>
      <c r="H28" s="1"/>
      <c r="I28" s="1"/>
      <c r="J28" s="24"/>
      <c r="K28" s="24"/>
    </row>
    <row r="29" spans="1:11" ht="20.100000000000001" customHeight="1" x14ac:dyDescent="0.25">
      <c r="C29" s="24"/>
      <c r="D29" s="1"/>
      <c r="E29" s="1"/>
      <c r="F29" s="1"/>
      <c r="G29" s="1"/>
      <c r="H29" s="1"/>
      <c r="I29" s="1"/>
      <c r="J29" s="24"/>
      <c r="K29" s="24"/>
    </row>
    <row r="30" spans="1:11" ht="20.100000000000001" customHeight="1" x14ac:dyDescent="0.25">
      <c r="C30" s="24"/>
      <c r="D30" s="1"/>
      <c r="E30" s="1"/>
      <c r="F30" s="1"/>
      <c r="G30" s="1"/>
      <c r="H30" s="1"/>
      <c r="I30" s="1"/>
      <c r="J30" s="24"/>
      <c r="K30" s="24"/>
    </row>
    <row r="31" spans="1:11" ht="20.100000000000001" customHeight="1" x14ac:dyDescent="0.25">
      <c r="C31" s="24"/>
      <c r="D31" s="1"/>
      <c r="E31" s="1"/>
      <c r="F31" s="1"/>
      <c r="G31" s="1"/>
      <c r="H31" s="1"/>
      <c r="I31" s="1"/>
      <c r="J31" s="24"/>
      <c r="K31" s="24"/>
    </row>
    <row r="32" spans="1:11" ht="20.100000000000001" customHeight="1" x14ac:dyDescent="0.25">
      <c r="C32" s="24"/>
      <c r="D32" s="1"/>
      <c r="E32" s="1"/>
      <c r="F32" s="1"/>
      <c r="G32" s="1"/>
      <c r="H32" s="1"/>
      <c r="I32" s="1"/>
      <c r="J32" s="24"/>
      <c r="K32" s="24"/>
    </row>
    <row r="33" spans="3:11" ht="20.100000000000001" customHeight="1" x14ac:dyDescent="0.25">
      <c r="C33" s="24"/>
      <c r="D33" s="1"/>
      <c r="E33" s="1"/>
      <c r="F33" s="1"/>
      <c r="G33" s="1"/>
      <c r="H33" s="1"/>
      <c r="I33" s="1"/>
      <c r="J33" s="24"/>
      <c r="K33" s="24"/>
    </row>
    <row r="34" spans="3:11" ht="20.100000000000001" customHeight="1" x14ac:dyDescent="0.25">
      <c r="C34" s="24"/>
      <c r="D34" s="1"/>
      <c r="E34" s="1"/>
      <c r="F34" s="1"/>
      <c r="G34" s="1"/>
      <c r="H34" s="1"/>
      <c r="I34" s="24"/>
      <c r="J34" s="24"/>
      <c r="K34" s="24"/>
    </row>
    <row r="35" spans="3:11" ht="20.100000000000001" customHeight="1" x14ac:dyDescent="0.25">
      <c r="C35" s="24"/>
      <c r="D35" s="1"/>
      <c r="E35" s="1"/>
      <c r="F35" s="1"/>
      <c r="G35" s="1"/>
      <c r="H35" s="1"/>
      <c r="I35" s="24"/>
      <c r="J35" s="24"/>
      <c r="K35" s="24"/>
    </row>
    <row r="36" spans="3:11" ht="20.100000000000001" customHeight="1" x14ac:dyDescent="0.25">
      <c r="C36" s="24"/>
      <c r="D36" s="1"/>
      <c r="E36" s="1"/>
      <c r="F36" s="1"/>
      <c r="G36" s="1"/>
      <c r="H36" s="1"/>
      <c r="I36" s="24"/>
      <c r="J36" s="24"/>
      <c r="K36" s="24"/>
    </row>
    <row r="37" spans="3:11" ht="20.100000000000001" customHeight="1" x14ac:dyDescent="0.25">
      <c r="C37" s="24"/>
      <c r="D37" s="1"/>
      <c r="E37" s="1"/>
      <c r="F37" s="1"/>
      <c r="G37" s="1"/>
      <c r="H37" s="1"/>
      <c r="I37" s="24"/>
      <c r="J37" s="24"/>
      <c r="K37" s="24"/>
    </row>
    <row r="38" spans="3:11" ht="20.100000000000001" customHeight="1" x14ac:dyDescent="0.25">
      <c r="C38" s="24"/>
      <c r="D38" s="1"/>
      <c r="E38" s="1"/>
      <c r="F38" s="1"/>
      <c r="G38" s="1"/>
      <c r="H38" s="1"/>
      <c r="I38" s="119"/>
      <c r="J38" s="119"/>
      <c r="K38" s="24"/>
    </row>
    <row r="39" spans="3:11" ht="20.100000000000001" customHeight="1" x14ac:dyDescent="0.25">
      <c r="C39" s="24"/>
      <c r="D39" s="1"/>
      <c r="E39" s="1"/>
      <c r="F39" s="1"/>
      <c r="G39" s="1"/>
      <c r="H39" s="1"/>
      <c r="I39" s="119"/>
      <c r="J39" s="119"/>
      <c r="K39" s="24"/>
    </row>
    <row r="40" spans="3:11" ht="20.100000000000001" customHeight="1" x14ac:dyDescent="0.25">
      <c r="C40" s="24"/>
      <c r="D40" s="1"/>
      <c r="E40" s="1"/>
      <c r="F40" s="1"/>
      <c r="G40" s="1"/>
      <c r="H40" s="1"/>
      <c r="I40" s="119"/>
      <c r="J40" s="119"/>
      <c r="K40" s="24"/>
    </row>
    <row r="41" spans="3:11" ht="20.100000000000001" customHeight="1" x14ac:dyDescent="0.25">
      <c r="C41" s="24"/>
      <c r="D41" s="1"/>
      <c r="E41" s="1"/>
      <c r="F41" s="1"/>
      <c r="G41" s="1"/>
      <c r="H41" s="1"/>
      <c r="I41" s="119"/>
      <c r="J41" s="119"/>
      <c r="K41" s="24"/>
    </row>
    <row r="42" spans="3:11" ht="20.100000000000001" customHeight="1" x14ac:dyDescent="0.25">
      <c r="C42" s="24"/>
      <c r="D42" s="1"/>
      <c r="E42" s="1"/>
      <c r="F42" s="1"/>
      <c r="G42" s="1"/>
      <c r="H42" s="1"/>
      <c r="I42" s="119"/>
      <c r="J42" s="119"/>
      <c r="K42" s="24"/>
    </row>
    <row r="43" spans="3:11" ht="20.100000000000001" customHeight="1" x14ac:dyDescent="0.25">
      <c r="C43" s="24"/>
      <c r="D43" s="1"/>
      <c r="E43" s="1"/>
      <c r="F43" s="1"/>
      <c r="G43" s="1"/>
      <c r="H43" s="1"/>
      <c r="I43" s="119"/>
      <c r="J43" s="119"/>
      <c r="K43" s="24"/>
    </row>
    <row r="44" spans="3:11" ht="20.100000000000001" customHeight="1" x14ac:dyDescent="0.25">
      <c r="C44" s="24"/>
      <c r="D44" s="1"/>
      <c r="E44" s="1"/>
      <c r="F44" s="1"/>
      <c r="G44" s="1"/>
      <c r="H44" s="1"/>
      <c r="I44" s="119"/>
      <c r="J44" s="119"/>
      <c r="K44" s="24"/>
    </row>
    <row r="45" spans="3:11" ht="20.100000000000001" customHeight="1" x14ac:dyDescent="0.25">
      <c r="C45" s="24"/>
      <c r="D45" s="1"/>
      <c r="E45" s="1"/>
      <c r="F45" s="1"/>
      <c r="G45" s="1"/>
      <c r="H45" s="1"/>
      <c r="I45" s="119"/>
      <c r="J45" s="119"/>
      <c r="K45" s="24"/>
    </row>
    <row r="46" spans="3:11" ht="20.100000000000001" customHeight="1" x14ac:dyDescent="0.25">
      <c r="C46" s="24"/>
      <c r="D46" s="1"/>
      <c r="E46" s="1"/>
      <c r="F46" s="1"/>
      <c r="G46" s="1"/>
      <c r="H46" s="1"/>
      <c r="I46" s="119"/>
      <c r="J46" s="119"/>
      <c r="K46" s="24"/>
    </row>
    <row r="47" spans="3:11" ht="20.100000000000001" customHeight="1" x14ac:dyDescent="0.25">
      <c r="C47" s="24"/>
      <c r="D47" s="1"/>
      <c r="E47" s="1"/>
      <c r="F47" s="1"/>
      <c r="G47" s="1"/>
      <c r="H47" s="1"/>
      <c r="I47" s="119"/>
      <c r="J47" s="119"/>
      <c r="K47" s="24"/>
    </row>
    <row r="48" spans="3:11" ht="20.100000000000001" customHeight="1" x14ac:dyDescent="0.25">
      <c r="C48" s="24"/>
      <c r="D48" s="1"/>
      <c r="E48" s="1"/>
      <c r="F48" s="1"/>
      <c r="G48" s="1"/>
      <c r="H48" s="1"/>
      <c r="I48" s="119"/>
      <c r="J48" s="119"/>
      <c r="K48" s="24"/>
    </row>
    <row r="49" spans="3:11" ht="20.100000000000001" customHeight="1" x14ac:dyDescent="0.25">
      <c r="C49" s="24"/>
      <c r="D49" s="1"/>
      <c r="E49" s="1"/>
      <c r="F49" s="1"/>
      <c r="G49" s="1"/>
      <c r="H49" s="119"/>
      <c r="I49" s="119"/>
      <c r="J49" s="119"/>
      <c r="K49" s="24"/>
    </row>
    <row r="50" spans="3:11" ht="20.100000000000001" customHeight="1" x14ac:dyDescent="0.25">
      <c r="C50" s="24"/>
      <c r="D50" s="1"/>
      <c r="E50" s="1"/>
      <c r="F50" s="1"/>
      <c r="G50" s="1"/>
      <c r="H50" s="119"/>
      <c r="I50" s="119"/>
      <c r="J50" s="119"/>
      <c r="K50" s="24"/>
    </row>
    <row r="51" spans="3:11" ht="20.100000000000001" customHeight="1" x14ac:dyDescent="0.25">
      <c r="C51" s="24"/>
      <c r="D51" s="1"/>
      <c r="E51" s="1"/>
      <c r="F51" s="1"/>
      <c r="G51" s="1"/>
      <c r="H51" s="119"/>
      <c r="I51" s="119"/>
      <c r="J51" s="119"/>
      <c r="K51" s="24"/>
    </row>
    <row r="52" spans="3:11" ht="20.100000000000001" customHeight="1" x14ac:dyDescent="0.25">
      <c r="C52" s="24"/>
      <c r="D52" s="1"/>
      <c r="E52" s="1"/>
      <c r="F52" s="1"/>
      <c r="G52" s="1"/>
      <c r="H52" s="119"/>
      <c r="I52" s="119"/>
      <c r="J52" s="119"/>
      <c r="K52" s="24"/>
    </row>
    <row r="53" spans="3:11" ht="20.100000000000001" customHeight="1" x14ac:dyDescent="0.25">
      <c r="C53" s="24"/>
      <c r="D53" s="1"/>
      <c r="E53" s="1"/>
      <c r="F53" s="1"/>
      <c r="G53" s="1"/>
      <c r="H53" s="119"/>
      <c r="I53" s="119"/>
      <c r="J53" s="119"/>
      <c r="K53" s="24"/>
    </row>
    <row r="54" spans="3:11" ht="20.100000000000001" customHeight="1" x14ac:dyDescent="0.25">
      <c r="C54" s="24"/>
      <c r="D54" s="1"/>
      <c r="E54" s="1"/>
      <c r="F54" s="1"/>
      <c r="G54" s="1"/>
      <c r="H54" s="24"/>
      <c r="I54" s="24"/>
      <c r="J54" s="24"/>
      <c r="K54" s="24"/>
    </row>
    <row r="55" spans="3:11" ht="20.100000000000001" customHeight="1" x14ac:dyDescent="0.25">
      <c r="C55" s="24"/>
      <c r="D55" s="1"/>
      <c r="E55" s="1"/>
      <c r="F55" s="1"/>
      <c r="G55" s="1"/>
      <c r="H55" s="24"/>
      <c r="I55" s="24"/>
      <c r="J55" s="24"/>
      <c r="K55" s="24"/>
    </row>
    <row r="56" spans="3:11" ht="20.100000000000001" customHeight="1" x14ac:dyDescent="0.25">
      <c r="C56" s="24"/>
      <c r="D56" s="1"/>
      <c r="E56" s="1"/>
      <c r="F56" s="1"/>
      <c r="G56" s="1"/>
      <c r="H56" s="24"/>
      <c r="I56" s="24"/>
      <c r="J56" s="24"/>
      <c r="K56" s="24"/>
    </row>
    <row r="57" spans="3:11" ht="20.100000000000001" customHeight="1" x14ac:dyDescent="0.25">
      <c r="C57" s="24"/>
      <c r="D57" s="1"/>
      <c r="E57" s="1"/>
      <c r="F57" s="1"/>
      <c r="G57" s="1"/>
      <c r="H57" s="24"/>
      <c r="I57" s="24"/>
      <c r="J57" s="24"/>
      <c r="K57" s="24"/>
    </row>
    <row r="58" spans="3:11" ht="20.100000000000001" customHeight="1" x14ac:dyDescent="0.25">
      <c r="C58" s="24"/>
      <c r="D58" s="1"/>
      <c r="E58" s="32"/>
      <c r="F58" s="30"/>
      <c r="G58" s="24"/>
      <c r="H58" s="24"/>
      <c r="I58" s="24"/>
      <c r="J58" s="24"/>
      <c r="K58" s="24"/>
    </row>
    <row r="59" spans="3:11" ht="20.100000000000001" customHeight="1" x14ac:dyDescent="0.25">
      <c r="C59" s="24"/>
      <c r="D59" s="1"/>
      <c r="E59" s="1"/>
      <c r="F59" s="1"/>
      <c r="G59" s="1"/>
      <c r="H59" s="1"/>
      <c r="I59" s="1"/>
      <c r="J59" s="1"/>
      <c r="K59" s="24"/>
    </row>
    <row r="60" spans="3:11" ht="20.100000000000001" customHeight="1" x14ac:dyDescent="0.25">
      <c r="C60" s="24"/>
      <c r="D60" s="1"/>
      <c r="E60" s="1"/>
      <c r="F60" s="1"/>
      <c r="G60" s="1"/>
      <c r="H60" s="1"/>
      <c r="I60" s="1"/>
      <c r="J60" s="1"/>
      <c r="K60" s="24"/>
    </row>
    <row r="61" spans="3:11" ht="20.100000000000001" customHeight="1" x14ac:dyDescent="0.25">
      <c r="C61" s="24"/>
      <c r="D61" s="1"/>
      <c r="E61" s="1"/>
      <c r="F61" s="1"/>
      <c r="G61" s="1"/>
      <c r="H61" s="1"/>
      <c r="I61" s="1"/>
      <c r="J61" s="1"/>
      <c r="K61" s="24"/>
    </row>
    <row r="62" spans="3:11" ht="20.100000000000001" customHeight="1" x14ac:dyDescent="0.25">
      <c r="C62" s="24"/>
      <c r="D62" s="1"/>
      <c r="E62" s="1"/>
      <c r="F62" s="1"/>
      <c r="G62" s="1"/>
      <c r="H62" s="1"/>
      <c r="I62" s="1"/>
      <c r="J62" s="1"/>
      <c r="K62" s="24"/>
    </row>
    <row r="63" spans="3:11" ht="20.100000000000001" customHeight="1" x14ac:dyDescent="0.25">
      <c r="C63" s="24"/>
      <c r="D63" s="1"/>
      <c r="E63" s="1"/>
      <c r="F63" s="1"/>
      <c r="G63" s="1"/>
      <c r="H63" s="1"/>
      <c r="I63" s="1"/>
      <c r="J63" s="1"/>
      <c r="K63" s="24"/>
    </row>
    <row r="64" spans="3:11" ht="20.100000000000001" customHeight="1" x14ac:dyDescent="0.25">
      <c r="C64" s="24"/>
      <c r="D64" s="1"/>
      <c r="E64" s="1"/>
      <c r="F64" s="1"/>
      <c r="G64" s="1"/>
      <c r="H64" s="1"/>
      <c r="I64" s="1"/>
      <c r="J64" s="1"/>
      <c r="K64" s="24"/>
    </row>
    <row r="65" spans="3:11" ht="20.100000000000001" customHeight="1" x14ac:dyDescent="0.25">
      <c r="C65" s="24"/>
      <c r="D65" s="1"/>
      <c r="E65" s="1"/>
      <c r="F65" s="1"/>
      <c r="G65" s="1"/>
      <c r="H65" s="1"/>
      <c r="I65" s="1"/>
      <c r="J65" s="1"/>
      <c r="K65" s="24"/>
    </row>
    <row r="66" spans="3:11" ht="20.100000000000001" customHeight="1" x14ac:dyDescent="0.25">
      <c r="C66" s="24"/>
      <c r="D66" s="1"/>
      <c r="E66" s="1"/>
      <c r="F66" s="1"/>
      <c r="G66" s="1"/>
      <c r="H66" s="1"/>
      <c r="I66" s="1"/>
      <c r="J66" s="1"/>
      <c r="K66" s="24"/>
    </row>
    <row r="67" spans="3:11" ht="20.100000000000001" customHeight="1" x14ac:dyDescent="0.25">
      <c r="C67" s="24"/>
      <c r="D67" s="1"/>
      <c r="E67" s="1"/>
      <c r="F67" s="1"/>
      <c r="G67" s="1"/>
      <c r="H67" s="1"/>
      <c r="I67" s="1"/>
      <c r="J67" s="1"/>
      <c r="K67" s="24"/>
    </row>
    <row r="68" spans="3:11" ht="20.100000000000001" customHeight="1" x14ac:dyDescent="0.25">
      <c r="C68" s="24"/>
      <c r="D68" s="1"/>
      <c r="E68" s="1"/>
      <c r="F68" s="1"/>
      <c r="G68" s="1"/>
      <c r="H68" s="1"/>
      <c r="I68" s="1"/>
      <c r="J68" s="1"/>
      <c r="K68" s="24"/>
    </row>
    <row r="69" spans="3:11" ht="20.100000000000001" customHeight="1" x14ac:dyDescent="0.25">
      <c r="C69" s="24"/>
      <c r="D69" s="1"/>
      <c r="E69" s="1"/>
      <c r="F69" s="1"/>
      <c r="G69" s="1"/>
      <c r="H69" s="1"/>
      <c r="I69" s="1"/>
      <c r="J69" s="1"/>
      <c r="K69" s="24"/>
    </row>
    <row r="70" spans="3:11" ht="20.100000000000001" customHeight="1" x14ac:dyDescent="0.25">
      <c r="C70" s="24"/>
      <c r="D70" s="1"/>
      <c r="E70" s="1"/>
      <c r="F70" s="1"/>
      <c r="G70" s="1"/>
      <c r="H70" s="1"/>
      <c r="I70" s="1"/>
      <c r="J70" s="1"/>
      <c r="K70" s="24"/>
    </row>
    <row r="71" spans="3:11" ht="20.100000000000001" customHeight="1" x14ac:dyDescent="0.25">
      <c r="C71" s="24"/>
      <c r="D71" s="1"/>
      <c r="E71" s="1"/>
      <c r="F71" s="1"/>
      <c r="G71" s="1"/>
      <c r="H71" s="1"/>
      <c r="I71" s="1"/>
      <c r="J71" s="1"/>
      <c r="K71" s="24"/>
    </row>
    <row r="72" spans="3:11" ht="20.100000000000001" customHeight="1" x14ac:dyDescent="0.25">
      <c r="C72" s="24"/>
      <c r="D72" s="1"/>
      <c r="E72" s="1"/>
      <c r="F72" s="1"/>
      <c r="G72" s="1"/>
      <c r="H72" s="1"/>
      <c r="I72" s="1"/>
      <c r="J72" s="1"/>
      <c r="K72" s="24"/>
    </row>
    <row r="73" spans="3:11" ht="20.100000000000001" customHeight="1" x14ac:dyDescent="0.25">
      <c r="C73" s="24"/>
      <c r="D73" s="1"/>
      <c r="E73" s="1"/>
      <c r="F73" s="1"/>
      <c r="G73" s="1"/>
      <c r="H73" s="1"/>
      <c r="I73" s="1"/>
      <c r="J73" s="1"/>
      <c r="K73" s="24"/>
    </row>
    <row r="74" spans="3:11" ht="20.100000000000001" customHeight="1" x14ac:dyDescent="0.25">
      <c r="C74" s="24"/>
      <c r="D74" s="1"/>
      <c r="E74" s="1"/>
      <c r="F74" s="1"/>
      <c r="G74" s="1"/>
      <c r="H74" s="1"/>
      <c r="I74" s="1"/>
      <c r="J74" s="1"/>
      <c r="K74" s="24"/>
    </row>
    <row r="75" spans="3:11" ht="20.100000000000001" customHeight="1" x14ac:dyDescent="0.25">
      <c r="C75" s="24"/>
      <c r="D75" s="1"/>
      <c r="E75" s="1"/>
      <c r="F75" s="1"/>
      <c r="G75" s="1"/>
      <c r="H75" s="1"/>
      <c r="I75" s="1"/>
      <c r="J75" s="1"/>
      <c r="K75" s="24"/>
    </row>
    <row r="76" spans="3:11" ht="15.75" x14ac:dyDescent="0.25">
      <c r="C76" s="24"/>
      <c r="D76" s="1"/>
      <c r="E76" s="1"/>
      <c r="F76" s="1"/>
      <c r="G76" s="1"/>
      <c r="H76" s="1"/>
      <c r="I76" s="1"/>
      <c r="J76" s="1"/>
      <c r="K76" s="24"/>
    </row>
    <row r="77" spans="3:11" ht="15.75" x14ac:dyDescent="0.25">
      <c r="C77" s="24"/>
      <c r="D77" s="1"/>
      <c r="E77" s="1"/>
      <c r="F77" s="1"/>
      <c r="G77" s="1"/>
      <c r="H77" s="1"/>
      <c r="I77" s="1"/>
      <c r="J77" s="1"/>
      <c r="K77" s="24"/>
    </row>
    <row r="78" spans="3:11" ht="15.75" x14ac:dyDescent="0.25">
      <c r="C78" s="24"/>
      <c r="D78" s="1"/>
      <c r="E78" s="1"/>
      <c r="F78" s="1"/>
      <c r="G78" s="1"/>
      <c r="H78" s="1"/>
      <c r="I78" s="1"/>
      <c r="J78" s="1"/>
      <c r="K78" s="24"/>
    </row>
    <row r="79" spans="3:11" ht="15.75" x14ac:dyDescent="0.25">
      <c r="C79" s="24"/>
      <c r="D79" s="1"/>
      <c r="E79" s="1"/>
      <c r="F79" s="1"/>
      <c r="G79" s="1"/>
      <c r="H79" s="1"/>
      <c r="I79" s="1"/>
      <c r="J79" s="1"/>
      <c r="K79" s="24"/>
    </row>
    <row r="80" spans="3:11" ht="15.75" x14ac:dyDescent="0.25">
      <c r="C80" s="24"/>
      <c r="D80" s="1"/>
      <c r="E80" s="1"/>
      <c r="F80" s="1"/>
      <c r="G80" s="1"/>
      <c r="H80" s="1"/>
      <c r="I80" s="1"/>
      <c r="J80" s="1"/>
      <c r="K80" s="24"/>
    </row>
    <row r="81" spans="3:11" ht="15.75" x14ac:dyDescent="0.25">
      <c r="C81" s="24"/>
      <c r="D81" s="1"/>
      <c r="E81" s="1"/>
      <c r="F81" s="1"/>
      <c r="G81" s="1"/>
      <c r="H81" s="1"/>
      <c r="I81" s="1"/>
      <c r="J81" s="1"/>
      <c r="K81" s="24"/>
    </row>
    <row r="82" spans="3:11" ht="15.75" x14ac:dyDescent="0.25">
      <c r="C82" s="24"/>
      <c r="D82" s="1"/>
      <c r="E82" s="1"/>
      <c r="F82" s="1"/>
      <c r="G82" s="1"/>
      <c r="H82" s="1"/>
      <c r="I82" s="1"/>
      <c r="J82" s="1"/>
      <c r="K82" s="24"/>
    </row>
    <row r="83" spans="3:11" ht="15.75" x14ac:dyDescent="0.25">
      <c r="C83" s="24"/>
      <c r="D83" s="1"/>
      <c r="E83" s="1"/>
      <c r="F83" s="1"/>
      <c r="G83" s="1"/>
      <c r="H83" s="1"/>
      <c r="I83" s="1"/>
      <c r="J83" s="1"/>
      <c r="K83" s="24"/>
    </row>
    <row r="84" spans="3:11" ht="15.75" x14ac:dyDescent="0.25">
      <c r="C84" s="24"/>
      <c r="D84" s="1"/>
      <c r="E84" s="1"/>
      <c r="F84" s="1"/>
      <c r="G84" s="1"/>
      <c r="H84" s="1"/>
      <c r="I84" s="1"/>
      <c r="J84" s="1"/>
      <c r="K84" s="24"/>
    </row>
    <row r="85" spans="3:11" ht="15.75" x14ac:dyDescent="0.25">
      <c r="C85" s="24"/>
      <c r="D85" s="1"/>
      <c r="E85" s="1"/>
      <c r="F85" s="1"/>
      <c r="G85" s="1"/>
      <c r="H85" s="1"/>
      <c r="I85" s="1"/>
      <c r="J85" s="1"/>
      <c r="K85" s="24"/>
    </row>
    <row r="86" spans="3:11" x14ac:dyDescent="0.25">
      <c r="C86" s="24"/>
      <c r="D86" s="24"/>
      <c r="E86" s="24"/>
      <c r="F86" s="24"/>
      <c r="G86" s="24"/>
      <c r="H86" s="24"/>
      <c r="I86" s="24"/>
      <c r="J86" s="24"/>
      <c r="K86" s="24"/>
    </row>
    <row r="87" spans="3:11" x14ac:dyDescent="0.25">
      <c r="C87" s="24"/>
      <c r="D87" s="24"/>
      <c r="E87" s="24"/>
      <c r="F87" s="24"/>
      <c r="G87" s="24"/>
      <c r="H87" s="24"/>
      <c r="I87" s="24"/>
      <c r="J87" s="24"/>
      <c r="K87"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4" sqref="A4"/>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71" t="e" vm="1">
        <v>#VALUE!</v>
      </c>
      <c r="C1" s="12" t="s">
        <v>93</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73"/>
      <c r="D4" s="73"/>
      <c r="E4" s="73"/>
      <c r="F4" s="73"/>
      <c r="G4" s="73"/>
      <c r="H4" s="73"/>
      <c r="I4" s="73"/>
      <c r="J4" s="73"/>
      <c r="K4" s="73"/>
    </row>
    <row r="5" spans="1:24" ht="20.100000000000001" customHeight="1" x14ac:dyDescent="0.25">
      <c r="D5" s="6" t="s">
        <v>15</v>
      </c>
      <c r="N5" s="43"/>
    </row>
    <row r="6" spans="1:24" ht="20.100000000000001" customHeight="1" x14ac:dyDescent="0.25">
      <c r="A6" s="20" t="s">
        <v>3</v>
      </c>
      <c r="D6" s="14"/>
      <c r="N6" s="44"/>
    </row>
    <row r="7" spans="1:24" ht="20.100000000000001" customHeight="1" x14ac:dyDescent="0.25">
      <c r="A7" s="21" t="str">
        <f>HYPERLINK("#'Input - Site'!A1", "Site")</f>
        <v>Site</v>
      </c>
      <c r="D7" s="1" t="s">
        <v>7</v>
      </c>
      <c r="E7" s="35" t="s">
        <v>6</v>
      </c>
      <c r="F7" s="2"/>
    </row>
    <row r="8" spans="1:24" ht="20.100000000000001" customHeight="1" x14ac:dyDescent="0.25">
      <c r="A8" s="17" t="str">
        <f>HYPERLINK("#'Input - Dairy'!A1", "Dairy")</f>
        <v>Dairy</v>
      </c>
      <c r="D8" s="10" t="s">
        <v>74</v>
      </c>
      <c r="E8" s="35" t="s">
        <v>75</v>
      </c>
    </row>
    <row r="9" spans="1:24" ht="20.100000000000001" customHeight="1" x14ac:dyDescent="0.25">
      <c r="A9" s="17"/>
      <c r="N9" s="45"/>
    </row>
    <row r="10" spans="1:24" ht="20.100000000000001" customHeight="1" x14ac:dyDescent="0.25">
      <c r="A10" s="19" t="s">
        <v>78</v>
      </c>
      <c r="D10" s="98" t="s">
        <v>92</v>
      </c>
      <c r="E10" s="96"/>
      <c r="F10" s="99"/>
      <c r="G10" s="93"/>
      <c r="N10" s="45"/>
    </row>
    <row r="11" spans="1:24" ht="20.100000000000001" customHeight="1" x14ac:dyDescent="0.25">
      <c r="A11" s="17" t="str">
        <f>HYPERLINK("#'4.3.1.1-2 Methane'!A1", "4.3.1.1-2 Methane")</f>
        <v>4.3.1.1-2 Methane</v>
      </c>
      <c r="N11" s="46"/>
    </row>
    <row r="12" spans="1:24" ht="20.100000000000001" customHeight="1" x14ac:dyDescent="0.25">
      <c r="A12" s="17" t="str">
        <f>HYPERLINK("#'4.3.1.3-4 Direct N20'!A1", "4.3.1.3-4 Direct N2O")</f>
        <v>4.3.1.3-4 Direct N2O</v>
      </c>
      <c r="D12" s="10" t="s">
        <v>98</v>
      </c>
      <c r="E12" s="67">
        <v>45292</v>
      </c>
      <c r="F12" s="2" t="s">
        <v>72</v>
      </c>
    </row>
    <row r="13" spans="1:24" ht="20.100000000000001" customHeight="1" x14ac:dyDescent="0.25">
      <c r="A13" s="17" t="str">
        <f>HYPERLINK("#'4.3.1.5 Atmos Deposition'!A1", "4.3.1.5 Atmospheric deposition")</f>
        <v>4.3.1.5 Atmospheric deposition</v>
      </c>
      <c r="D13" s="10" t="s">
        <v>99</v>
      </c>
      <c r="E13" s="74">
        <f>DATE(YEAR(E12)+1,MONTH(E12),DAY(E12))-1</f>
        <v>45657</v>
      </c>
      <c r="F13" s="2" t="s">
        <v>17</v>
      </c>
      <c r="N13" s="40"/>
      <c r="O13" s="40"/>
    </row>
    <row r="14" spans="1:24" ht="20.100000000000001" customHeight="1" x14ac:dyDescent="0.25">
      <c r="A14" s="17" t="str">
        <f>HYPERLINK("#'4.3.1.6-7 Leaching and runoff'!A1", "4.3.1.6-7 Leaching and runoff")</f>
        <v>4.3.1.6-7 Leaching and runoff</v>
      </c>
      <c r="N14" s="40"/>
      <c r="O14" s="40"/>
    </row>
    <row r="15" spans="1:24" ht="20.100000000000001" customHeight="1" x14ac:dyDescent="0.25">
      <c r="A15" s="17" t="str">
        <f>HYPERLINK("#'4.3.1.8 Manure applied to soils'!A1", "4.3.1.8 Manure applied to soils")</f>
        <v>4.3.1.8 Manure applied to soils</v>
      </c>
      <c r="N15" s="40"/>
      <c r="O15" s="40"/>
    </row>
    <row r="16" spans="1:24" ht="20.100000000000001" customHeight="1" x14ac:dyDescent="0.25">
      <c r="A16" s="17" t="str">
        <f>HYPERLINK("#'4.3.1.9 Soil direct N2O'!A1", "4.3.1.9 Soil direct N2O")</f>
        <v>4.3.1.9 Soil direct N2O</v>
      </c>
      <c r="D16" s="6" t="s">
        <v>14</v>
      </c>
      <c r="N16" s="40"/>
      <c r="O16" s="40"/>
    </row>
    <row r="17" spans="1:25" ht="20.100000000000001" customHeight="1" x14ac:dyDescent="0.25">
      <c r="A17" s="17" t="str">
        <f>HYPERLINK("#'4.3.1.10-11 Soil Atmos Dep'!A1", "4.3.1.10-11 Soil atm. deposition")</f>
        <v>4.3.1.10-11 Soil atm. deposition</v>
      </c>
    </row>
    <row r="18" spans="1:25" ht="20.100000000000001" customHeight="1" x14ac:dyDescent="0.25">
      <c r="A18" s="17" t="str">
        <f>HYPERLINK("#'4.3.1.12-13 Soil leach runoff'!A1", "4.3.1.12-13 Soil leach &amp; runoff")</f>
        <v>4.3.1.12-13 Soil leach &amp; runoff</v>
      </c>
      <c r="D18" s="100" t="s">
        <v>16</v>
      </c>
      <c r="E18" s="95"/>
      <c r="F18" s="95"/>
      <c r="G18" s="91"/>
    </row>
    <row r="19" spans="1:25" ht="20.100000000000001" customHeight="1" x14ac:dyDescent="0.25">
      <c r="A19" s="17"/>
      <c r="D19" s="97" t="s">
        <v>73</v>
      </c>
      <c r="E19" s="94"/>
      <c r="F19" s="94"/>
      <c r="G19" s="92"/>
      <c r="N19" s="43"/>
    </row>
    <row r="20" spans="1:25" ht="20.100000000000001" customHeight="1" x14ac:dyDescent="0.25">
      <c r="A20" s="18" t="s">
        <v>4</v>
      </c>
      <c r="D20" s="1"/>
      <c r="E20" s="33"/>
      <c r="F20" s="2"/>
      <c r="N20" s="44"/>
    </row>
    <row r="21" spans="1:25" ht="20.100000000000001" customHeight="1" x14ac:dyDescent="0.25">
      <c r="A21" s="17" t="str">
        <f>HYPERLINK("#'Constants - Dairy'!A1", "Constants - Dairy")</f>
        <v>Constants - Dairy</v>
      </c>
      <c r="D21" s="1" t="s">
        <v>8</v>
      </c>
      <c r="E21" s="42" t="s">
        <v>105</v>
      </c>
      <c r="F21" s="2" t="s">
        <v>11</v>
      </c>
    </row>
    <row r="22" spans="1:25" ht="20.100000000000001" customHeight="1" x14ac:dyDescent="0.25">
      <c r="A22" s="17" t="str">
        <f>HYPERLINK("#'Constants - Livestock'!A1", "Constants - Livestock")</f>
        <v>Constants - Livestock</v>
      </c>
      <c r="D22" s="1" t="s">
        <v>27</v>
      </c>
      <c r="E22" s="42" t="s">
        <v>36</v>
      </c>
      <c r="F22" s="2" t="s">
        <v>11</v>
      </c>
      <c r="G22" s="1"/>
    </row>
    <row r="23" spans="1:25" ht="20.100000000000001" customHeight="1" x14ac:dyDescent="0.25">
      <c r="A23" s="17" t="str">
        <f>HYPERLINK("#'Constants - Common'!A1", "Constants - Common")</f>
        <v>Constants - Common</v>
      </c>
      <c r="D23" s="1" t="s">
        <v>9</v>
      </c>
      <c r="E23" s="42" t="s">
        <v>97</v>
      </c>
      <c r="F23" s="2" t="s">
        <v>11</v>
      </c>
    </row>
    <row r="24" spans="1:25" ht="20.100000000000001" customHeight="1" x14ac:dyDescent="0.25">
      <c r="A24" s="17" t="str">
        <f>HYPERLINK("#'Acknowledgements'!A1", "Acknowledgements")</f>
        <v>Acknowledgements</v>
      </c>
      <c r="D24" s="1" t="s">
        <v>41</v>
      </c>
      <c r="E24" s="35">
        <v>307.7</v>
      </c>
      <c r="F24" s="2" t="s">
        <v>55</v>
      </c>
    </row>
    <row r="25" spans="1:25" ht="20.100000000000001" customHeight="1" x14ac:dyDescent="0.25">
      <c r="A25"/>
      <c r="D25" s="1" t="s">
        <v>63</v>
      </c>
      <c r="E25" s="35">
        <v>18</v>
      </c>
      <c r="F25" s="2" t="s">
        <v>12</v>
      </c>
      <c r="N25" s="44"/>
    </row>
    <row r="26" spans="1:25" ht="20.100000000000001" customHeight="1" x14ac:dyDescent="0.25">
      <c r="A26"/>
      <c r="D26" s="1" t="s">
        <v>64</v>
      </c>
      <c r="E26" s="35">
        <v>601</v>
      </c>
      <c r="F26" s="2" t="s">
        <v>13</v>
      </c>
    </row>
    <row r="27" spans="1:25" ht="20.100000000000001" customHeight="1" x14ac:dyDescent="0.25">
      <c r="A27"/>
      <c r="D27" s="10" t="s">
        <v>65</v>
      </c>
      <c r="E27" s="35">
        <v>1326</v>
      </c>
      <c r="F27" s="2" t="s">
        <v>13</v>
      </c>
    </row>
    <row r="28" spans="1:25" ht="20.100000000000001" customHeight="1" x14ac:dyDescent="0.25">
      <c r="A28"/>
      <c r="D28" s="1" t="s">
        <v>66</v>
      </c>
      <c r="E28" s="35">
        <v>7</v>
      </c>
      <c r="F28" s="2" t="s">
        <v>56</v>
      </c>
    </row>
    <row r="29" spans="1:25" ht="20.100000000000001" customHeight="1" x14ac:dyDescent="0.25">
      <c r="A29"/>
      <c r="D29" s="10" t="s">
        <v>62</v>
      </c>
      <c r="E29" s="55">
        <f>E26/E27</f>
        <v>0.45324283559577677</v>
      </c>
      <c r="F29" s="2"/>
    </row>
    <row r="30" spans="1:25" ht="20.100000000000001" customHeight="1" x14ac:dyDescent="0.25">
      <c r="A30"/>
      <c r="D30" s="10" t="s">
        <v>37</v>
      </c>
      <c r="E30" s="55" t="str">
        <f>Common_InputFunctions.Utility_LookupItemFromMinMax(E26,Table_SourceData_RainfallZones[Min rainfall],Table_SourceData_RainfallZones[Max rainfall],Table_SourceData_RainfallZones[Rainfall Zone])</f>
        <v>High rainfall</v>
      </c>
      <c r="G30" s="34"/>
      <c r="L30" s="52"/>
      <c r="M30" s="52"/>
      <c r="N30" s="52"/>
      <c r="O30" s="52"/>
      <c r="P30" s="52"/>
      <c r="Q30" s="52"/>
      <c r="R30" s="52"/>
      <c r="S30" s="52"/>
      <c r="T30" s="52"/>
      <c r="U30" s="52"/>
      <c r="V30" s="52"/>
      <c r="W30" s="52"/>
      <c r="X30" s="52"/>
      <c r="Y30" s="52"/>
    </row>
    <row r="31" spans="1:25" ht="20.100000000000001" customHeight="1" x14ac:dyDescent="0.25">
      <c r="A31"/>
      <c r="D31" s="1" t="s">
        <v>10</v>
      </c>
      <c r="E31" s="55"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50"/>
      <c r="M31" s="50"/>
      <c r="N31" s="50"/>
      <c r="O31" s="50"/>
      <c r="P31" s="50"/>
      <c r="Q31" s="50"/>
      <c r="R31" s="50"/>
      <c r="S31" s="50"/>
      <c r="T31" s="50"/>
      <c r="U31" s="50"/>
      <c r="V31" s="50"/>
      <c r="W31" s="50"/>
      <c r="X31" s="50"/>
      <c r="Y31" s="50"/>
    </row>
    <row r="32" spans="1:25" ht="20.100000000000001" customHeight="1" x14ac:dyDescent="0.25">
      <c r="A32"/>
      <c r="D32" s="1" t="s">
        <v>94</v>
      </c>
      <c r="E32" s="55" t="str">
        <f>Common_InputFunctions.Utility_LookupValueInTable($E$31,Table_SourceData_WetDryZones[Climate zone],Table_SourceData_WetDryZones[Wet or Dry Zone])</f>
        <v>Dry climate zone</v>
      </c>
      <c r="F32" s="1"/>
      <c r="G32" s="33"/>
      <c r="L32" s="50"/>
      <c r="M32" s="50"/>
      <c r="N32" s="50"/>
      <c r="O32" s="50"/>
      <c r="P32" s="50"/>
      <c r="Q32" s="50"/>
      <c r="R32" s="50"/>
      <c r="S32" s="50"/>
      <c r="T32" s="50"/>
      <c r="U32" s="50"/>
      <c r="V32" s="50"/>
      <c r="W32" s="50"/>
      <c r="X32" s="50"/>
      <c r="Y32" s="50"/>
    </row>
    <row r="33" spans="1:25" ht="20.100000000000001" customHeight="1" x14ac:dyDescent="0.25">
      <c r="A33"/>
      <c r="D33" s="1" t="s">
        <v>54</v>
      </c>
      <c r="E33" s="55" t="str">
        <f>Common_InputFunctions.Utility_LookupItemFromMinMax(E25,Table_SourceData_TemperatureZones[Min MAT],Table_SourceData_TemperatureZones[Max MAT],Table_SourceData_TemperatureZones[Temperature Zone])</f>
        <v>Temperate</v>
      </c>
      <c r="G33" s="75"/>
      <c r="L33" s="50"/>
      <c r="M33" s="50"/>
      <c r="N33" s="50"/>
      <c r="O33" s="50"/>
      <c r="P33" s="50"/>
      <c r="Q33" s="50"/>
      <c r="R33" s="50"/>
      <c r="S33" s="50"/>
      <c r="T33" s="50"/>
      <c r="U33" s="50"/>
      <c r="V33" s="50"/>
      <c r="W33" s="50"/>
      <c r="X33" s="50"/>
      <c r="Y33" s="50"/>
    </row>
    <row r="34" spans="1:25" ht="20.100000000000001" customHeight="1" x14ac:dyDescent="0.25">
      <c r="A34"/>
      <c r="J34" s="64"/>
      <c r="K34" s="78"/>
      <c r="L34" s="50"/>
      <c r="M34" s="50"/>
      <c r="N34" s="50"/>
      <c r="O34" s="50"/>
      <c r="P34" s="50"/>
      <c r="Q34" s="50"/>
      <c r="R34" s="50"/>
      <c r="S34" s="50"/>
      <c r="T34" s="50"/>
      <c r="U34" s="50"/>
      <c r="V34" s="50"/>
      <c r="W34" s="50"/>
      <c r="X34" s="50"/>
      <c r="Y34" s="50"/>
    </row>
    <row r="35" spans="1:25" ht="20.100000000000001" customHeight="1" x14ac:dyDescent="0.25">
      <c r="A35"/>
      <c r="J35" s="64"/>
      <c r="K35" s="78"/>
      <c r="L35" s="50"/>
      <c r="M35" s="50"/>
      <c r="N35" s="50"/>
      <c r="O35" s="50"/>
      <c r="P35" s="50"/>
      <c r="Q35" s="50"/>
      <c r="R35" s="50"/>
      <c r="S35" s="50"/>
      <c r="T35" s="50"/>
      <c r="U35" s="50"/>
      <c r="V35" s="50"/>
      <c r="W35" s="50"/>
      <c r="X35" s="50"/>
      <c r="Y35" s="50"/>
    </row>
    <row r="36" spans="1:25" ht="20.100000000000001" customHeight="1" x14ac:dyDescent="0.25">
      <c r="A36"/>
      <c r="D36" s="76"/>
      <c r="E36" s="76"/>
      <c r="F36" s="77"/>
      <c r="G36" s="64"/>
      <c r="H36" s="64"/>
      <c r="I36" s="65"/>
      <c r="J36" s="64"/>
      <c r="K36" s="78"/>
      <c r="L36" s="50"/>
      <c r="M36" s="50"/>
      <c r="N36" s="50"/>
      <c r="O36" s="50"/>
      <c r="P36" s="50"/>
      <c r="Q36" s="50"/>
      <c r="R36" s="50"/>
      <c r="S36" s="50"/>
      <c r="T36" s="50"/>
      <c r="U36" s="50"/>
      <c r="V36" s="50"/>
      <c r="W36" s="50"/>
      <c r="X36" s="50"/>
      <c r="Y36" s="50"/>
    </row>
    <row r="37" spans="1:25" ht="20.100000000000001" customHeight="1" x14ac:dyDescent="0.25">
      <c r="A37"/>
      <c r="D37" s="76"/>
      <c r="E37" s="76"/>
      <c r="F37" s="77"/>
      <c r="G37" s="64"/>
      <c r="H37" s="64"/>
      <c r="I37" s="65"/>
      <c r="J37" s="64"/>
      <c r="K37" s="78"/>
      <c r="L37" s="50"/>
      <c r="M37" s="50"/>
      <c r="N37" s="50"/>
      <c r="O37" s="50"/>
      <c r="P37" s="50"/>
      <c r="Q37" s="50"/>
      <c r="R37" s="50"/>
      <c r="S37" s="50"/>
      <c r="T37" s="50"/>
      <c r="U37" s="50"/>
      <c r="V37" s="50"/>
      <c r="W37" s="50"/>
      <c r="X37" s="50"/>
      <c r="Y37" s="50"/>
    </row>
    <row r="38" spans="1:25" ht="20.100000000000001" customHeight="1" x14ac:dyDescent="0.25">
      <c r="A38"/>
      <c r="D38" s="76"/>
      <c r="E38" s="76"/>
      <c r="F38" s="77"/>
      <c r="G38" s="64"/>
      <c r="H38" s="64"/>
      <c r="I38" s="65"/>
      <c r="J38" s="64"/>
      <c r="K38" s="78"/>
      <c r="L38" s="50"/>
      <c r="M38" s="50"/>
      <c r="N38" s="50"/>
      <c r="O38" s="50"/>
      <c r="P38" s="50"/>
      <c r="Q38" s="50"/>
      <c r="R38" s="50"/>
      <c r="S38" s="50"/>
      <c r="T38" s="50"/>
      <c r="U38" s="50"/>
      <c r="V38" s="50"/>
      <c r="W38" s="50"/>
      <c r="X38" s="50"/>
      <c r="Y38" s="50"/>
    </row>
    <row r="39" spans="1:25" ht="20.100000000000001" customHeight="1" x14ac:dyDescent="0.25">
      <c r="A39"/>
      <c r="D39" s="76"/>
      <c r="E39" s="76"/>
      <c r="F39" s="77"/>
      <c r="G39" s="64"/>
      <c r="H39" s="64"/>
      <c r="I39" s="65"/>
      <c r="J39" s="64"/>
      <c r="K39" s="78"/>
      <c r="L39" s="50"/>
      <c r="M39" s="50"/>
      <c r="N39" s="50"/>
      <c r="O39" s="50"/>
      <c r="P39" s="50"/>
      <c r="Q39" s="50"/>
      <c r="R39" s="50"/>
      <c r="S39" s="50"/>
      <c r="T39" s="50"/>
      <c r="U39" s="50"/>
      <c r="V39" s="50"/>
      <c r="W39" s="50"/>
      <c r="X39" s="50"/>
      <c r="Y39" s="50"/>
    </row>
    <row r="40" spans="1:25" ht="20.100000000000001" customHeight="1" x14ac:dyDescent="0.25">
      <c r="A40"/>
      <c r="D40" s="79"/>
      <c r="E40" s="79"/>
      <c r="F40" s="79"/>
      <c r="G40" s="80"/>
      <c r="H40" s="81"/>
      <c r="I40" s="81"/>
      <c r="J40" s="81"/>
      <c r="K40" s="81"/>
      <c r="L40" s="53"/>
      <c r="M40" s="53"/>
      <c r="N40" s="53"/>
      <c r="O40" s="53"/>
      <c r="P40" s="53"/>
      <c r="Q40" s="53"/>
      <c r="R40" s="53"/>
      <c r="S40" s="53"/>
      <c r="T40" s="53"/>
      <c r="U40" s="53"/>
      <c r="V40" s="53"/>
      <c r="W40" s="53"/>
      <c r="X40" s="53"/>
      <c r="Y40" s="5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82"/>
      <c r="E47" s="82"/>
      <c r="F47" s="82"/>
      <c r="G47" s="82"/>
      <c r="H47" s="82"/>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83"/>
      <c r="E51" s="84"/>
      <c r="F51" s="84"/>
      <c r="G51" s="84"/>
      <c r="H51" s="85"/>
    </row>
    <row r="52" spans="4:8" ht="20.100000000000001" customHeight="1" x14ac:dyDescent="0.25"/>
    <row r="53" spans="4:8" ht="20.100000000000001" customHeight="1" x14ac:dyDescent="0.25"/>
    <row r="54" spans="4:8" ht="20.100000000000001" customHeight="1" x14ac:dyDescent="0.25">
      <c r="G54" s="86"/>
    </row>
    <row r="55" spans="4:8" ht="20.100000000000001" customHeight="1" x14ac:dyDescent="0.25">
      <c r="D55" s="6"/>
    </row>
    <row r="56" spans="4:8" ht="20.100000000000001" customHeight="1" x14ac:dyDescent="0.25"/>
    <row r="57" spans="4:8" ht="20.100000000000001" customHeight="1" x14ac:dyDescent="0.25">
      <c r="D57" s="23"/>
      <c r="F57" s="87"/>
    </row>
    <row r="58" spans="4:8" ht="20.100000000000001" customHeight="1" x14ac:dyDescent="0.25">
      <c r="D58" s="1"/>
      <c r="E58" s="88"/>
    </row>
    <row r="59" spans="4:8" ht="20.100000000000001" customHeight="1" x14ac:dyDescent="0.25">
      <c r="D59" s="1"/>
      <c r="E59" s="88"/>
    </row>
    <row r="60" spans="4:8" ht="20.100000000000001" customHeight="1" x14ac:dyDescent="0.25">
      <c r="D60" s="1"/>
      <c r="E60" s="89"/>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8"/>
    </row>
    <row r="65" spans="4:9" ht="20.100000000000001" customHeight="1" x14ac:dyDescent="0.25">
      <c r="D65" s="1"/>
      <c r="E65" s="88"/>
    </row>
    <row r="66" spans="4:9" ht="20.100000000000001" customHeight="1" x14ac:dyDescent="0.25">
      <c r="D66" s="1"/>
      <c r="E66" s="89"/>
    </row>
    <row r="67" spans="4:9" ht="20.100000000000001" customHeight="1" x14ac:dyDescent="0.25"/>
    <row r="68" spans="4:9" ht="20.100000000000001" customHeight="1" x14ac:dyDescent="0.25"/>
    <row r="69" spans="4:9" ht="20.100000000000001" customHeight="1" x14ac:dyDescent="0.25">
      <c r="D69" s="63"/>
      <c r="E69" s="63"/>
      <c r="F69" s="63"/>
      <c r="G69" s="63"/>
      <c r="H69" s="63"/>
      <c r="I69" s="63"/>
    </row>
    <row r="70" spans="4:9" ht="20.100000000000001" customHeight="1" x14ac:dyDescent="0.25">
      <c r="D70" s="63"/>
      <c r="E70" s="63"/>
      <c r="F70" s="63"/>
      <c r="G70" s="63"/>
      <c r="H70" s="63"/>
      <c r="I70" s="63"/>
    </row>
    <row r="71" spans="4:9" ht="20.100000000000001" customHeight="1" x14ac:dyDescent="0.25">
      <c r="D71" s="63"/>
      <c r="E71" s="63"/>
      <c r="F71" s="63"/>
      <c r="G71" s="63"/>
      <c r="H71" s="63"/>
      <c r="I71" s="63"/>
    </row>
    <row r="72" spans="4:9" ht="20.100000000000001" customHeight="1" x14ac:dyDescent="0.25">
      <c r="D72" s="63"/>
      <c r="E72" s="63"/>
      <c r="F72" s="63"/>
      <c r="G72" s="63"/>
      <c r="H72" s="63"/>
      <c r="I72" s="63"/>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90"/>
    </row>
    <row r="79" spans="4:9" ht="20.100000000000001" customHeight="1" x14ac:dyDescent="0.25">
      <c r="D79" s="90"/>
    </row>
    <row r="80" spans="4:9" ht="20.100000000000001" customHeight="1" x14ac:dyDescent="0.25">
      <c r="D80" s="90"/>
    </row>
    <row r="81" spans="4:4" ht="20.100000000000001" customHeight="1" x14ac:dyDescent="0.25">
      <c r="D81" s="90"/>
    </row>
    <row r="82" spans="4:4" ht="20.100000000000001" customHeight="1" x14ac:dyDescent="0.25">
      <c r="D82" s="9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T184"/>
  <sheetViews>
    <sheetView showGridLines="0" topLeftCell="A48" workbookViewId="0">
      <selection activeCell="D24" sqref="D24"/>
    </sheetView>
  </sheetViews>
  <sheetFormatPr defaultRowHeight="15.75" x14ac:dyDescent="0.25"/>
  <cols>
    <col min="1" max="1" width="30.7109375" customWidth="1"/>
    <col min="2" max="2" width="4.7109375" customWidth="1"/>
    <col min="3" max="3" width="4.7109375" style="1" customWidth="1"/>
    <col min="4" max="4" width="79" style="1" customWidth="1"/>
    <col min="5" max="10" width="30.7109375" style="1" customWidth="1"/>
    <col min="11" max="11" width="4.7109375" style="1" customWidth="1"/>
    <col min="12" max="13" width="4.7109375" style="59" customWidth="1"/>
    <col min="14" max="19" width="30.7109375" style="59" customWidth="1"/>
    <col min="20" max="20" width="4.7109375" style="59" customWidth="1"/>
  </cols>
  <sheetData>
    <row r="1" spans="1:20" s="71" customFormat="1" ht="30" customHeight="1" x14ac:dyDescent="0.35">
      <c r="A1" s="71" t="e" vm="1">
        <v>#VALUE!</v>
      </c>
      <c r="C1" s="71" t="s">
        <v>199</v>
      </c>
      <c r="L1" s="59"/>
      <c r="M1" s="59"/>
      <c r="N1" s="59"/>
      <c r="O1" s="59"/>
      <c r="P1" s="59"/>
      <c r="Q1" s="59"/>
      <c r="R1" s="59"/>
      <c r="S1" s="59"/>
      <c r="T1" s="59"/>
    </row>
    <row r="2" spans="1:20" s="9" customFormat="1" ht="20.100000000000001" customHeight="1" x14ac:dyDescent="0.25">
      <c r="L2" s="59"/>
      <c r="M2" s="59"/>
      <c r="N2" s="59"/>
      <c r="O2" s="59"/>
      <c r="P2" s="59"/>
      <c r="Q2" s="59"/>
      <c r="R2" s="59"/>
      <c r="S2" s="59"/>
      <c r="T2" s="59"/>
    </row>
    <row r="3" spans="1:20" ht="20.100000000000001" customHeight="1" x14ac:dyDescent="0.25">
      <c r="A3" s="17" t="str">
        <f>HYPERLINK("#'Home'!A1", "Home")</f>
        <v>Home</v>
      </c>
      <c r="C3" s="15"/>
      <c r="D3" s="15"/>
      <c r="E3" s="15"/>
      <c r="F3" s="15"/>
      <c r="G3" s="15"/>
      <c r="H3" s="15"/>
      <c r="I3" s="15"/>
      <c r="J3" s="15"/>
      <c r="K3" s="15"/>
    </row>
    <row r="4" spans="1:20" ht="20.100000000000001" customHeight="1" x14ac:dyDescent="0.25">
      <c r="A4" s="17" t="str">
        <f>HYPERLINK("#'Results'!A1", "Results")</f>
        <v>Results</v>
      </c>
    </row>
    <row r="5" spans="1:20" ht="20.100000000000001" customHeight="1" x14ac:dyDescent="0.25">
      <c r="A5" s="16"/>
      <c r="D5" s="6" t="s">
        <v>106</v>
      </c>
      <c r="K5" s="3"/>
      <c r="O5" s="7"/>
    </row>
    <row r="6" spans="1:20" ht="20.100000000000001" customHeight="1" x14ac:dyDescent="0.25">
      <c r="A6" s="20" t="s">
        <v>3</v>
      </c>
      <c r="K6" s="3"/>
      <c r="O6" s="7"/>
    </row>
    <row r="7" spans="1:20" ht="20.100000000000001" customHeight="1" x14ac:dyDescent="0.25">
      <c r="A7" s="17" t="str">
        <f>HYPERLINK("#'Input - Site'!A1", "Site")</f>
        <v>Site</v>
      </c>
      <c r="D7" s="1" t="s">
        <v>177</v>
      </c>
      <c r="E7" s="42" t="s">
        <v>229</v>
      </c>
      <c r="F7" s="2" t="s">
        <v>11</v>
      </c>
      <c r="K7" s="3"/>
      <c r="O7" s="7"/>
    </row>
    <row r="8" spans="1:20" ht="20.100000000000001" customHeight="1" x14ac:dyDescent="0.25">
      <c r="A8" s="21" t="str">
        <f>HYPERLINK("#'Input - Dairy'!A1", "Dairy")</f>
        <v>Dairy</v>
      </c>
      <c r="K8" s="3"/>
      <c r="O8" s="7"/>
    </row>
    <row r="9" spans="1:20" ht="20.100000000000001" customHeight="1" x14ac:dyDescent="0.25">
      <c r="A9" s="17"/>
      <c r="D9" s="66"/>
      <c r="E9" s="41" t="s">
        <v>178</v>
      </c>
      <c r="F9" s="41" t="s">
        <v>195</v>
      </c>
      <c r="G9" s="41" t="s">
        <v>196</v>
      </c>
      <c r="H9" s="41" t="s">
        <v>197</v>
      </c>
      <c r="I9" s="41" t="s">
        <v>198</v>
      </c>
      <c r="O9" s="7"/>
    </row>
    <row r="10" spans="1:20" ht="20.100000000000001" customHeight="1" x14ac:dyDescent="0.25">
      <c r="A10" s="19" t="s">
        <v>78</v>
      </c>
      <c r="D10" s="1" t="str">
        <f>"Average number of head between " &amp; TEXT('Input - Site'!$E$12, "dd mmm yy") &amp; " and " &amp; TEXT('Input - Site'!$E$13, "dd mmm yy")</f>
        <v>Average number of head between 01 Jan 24 and 31 Dec 24</v>
      </c>
      <c r="E10" s="106">
        <v>100</v>
      </c>
      <c r="F10" s="106">
        <v>100</v>
      </c>
      <c r="G10" s="106">
        <v>100</v>
      </c>
      <c r="H10" s="106">
        <v>100</v>
      </c>
      <c r="I10" s="106">
        <v>100</v>
      </c>
      <c r="J10" s="2" t="s">
        <v>108</v>
      </c>
      <c r="O10" s="7"/>
    </row>
    <row r="11" spans="1:20" ht="20.100000000000001" customHeight="1" x14ac:dyDescent="0.25">
      <c r="A11" s="17" t="str">
        <f>HYPERLINK("#'4.3.1.1-2 Methane'!A1", "4.3.1.1-2 Methane")</f>
        <v>4.3.1.1-2 Methane</v>
      </c>
      <c r="O11" s="7"/>
    </row>
    <row r="12" spans="1:20" ht="20.100000000000001" customHeight="1" x14ac:dyDescent="0.25">
      <c r="A12" s="17" t="str">
        <f>HYPERLINK("#'4.3.1.3-4 Direct N20'!A1", "4.3.1.3-4 Direct N2O")</f>
        <v>4.3.1.3-4 Direct N2O</v>
      </c>
      <c r="D12" s="51" t="s">
        <v>226</v>
      </c>
      <c r="O12" s="7"/>
    </row>
    <row r="13" spans="1:20" ht="20.100000000000001" customHeight="1" x14ac:dyDescent="0.25">
      <c r="A13" s="17" t="str">
        <f>HYPERLINK("#'4.3.1.5 Atmos Deposition'!A1", "4.3.1.5 Atmospheric deposition")</f>
        <v>4.3.1.5 Atmospheric deposition</v>
      </c>
      <c r="D13" s="66" t="s">
        <v>212</v>
      </c>
      <c r="E13" s="41" t="s">
        <v>178</v>
      </c>
      <c r="F13" s="41" t="s">
        <v>195</v>
      </c>
      <c r="G13" s="41" t="s">
        <v>196</v>
      </c>
      <c r="H13" s="41" t="s">
        <v>197</v>
      </c>
      <c r="I13" s="41" t="s">
        <v>198</v>
      </c>
      <c r="O13" s="40"/>
    </row>
    <row r="14" spans="1:20" ht="20.100000000000001" customHeight="1" x14ac:dyDescent="0.25">
      <c r="A14" s="17" t="str">
        <f>HYPERLINK("#'4.3.1.6-7 Leaching and runoff'!A1", "4.3.1.6-7 Leaching and runoff")</f>
        <v>4.3.1.6-7 Leaching and runoff</v>
      </c>
      <c r="D14" s="1" t="s">
        <v>227</v>
      </c>
      <c r="E14" s="55" cm="1">
        <f t="array" ref="E14">Common_InputFunctions.Utility_LookupValueInTableNumber($E$7, Table_SourceData_Dairy_WjCowsHeifers[Breed],Table_SourceData_Dairy_WjCowsHeifers[Milking cows])</f>
        <v>550</v>
      </c>
      <c r="F14" s="55" cm="1">
        <f t="array" ref="F14">Common_InputFunctions.Utility_LookupValueInTableNumber($E$7, Table_SourceData_Dairy_WjCowsHeifers[Breed],Table_SourceData_Dairy_WjCowsHeifers[Heifers &gt; 1])</f>
        <v>380</v>
      </c>
      <c r="G14" s="55" cm="1">
        <f t="array" ref="G14">Common_InputFunctions.Utility_LookupValueInTableNumber($E$7, Table_SourceData_Dairy_WjCowsHeifers[Breed],Table_SourceData_Dairy_WjCowsHeifers[Heifers &lt; 1 (weaned)])</f>
        <v>155</v>
      </c>
      <c r="H14" s="55" cm="1">
        <f t="array" ref="H14">Table_SourceData_Dairy_WjBulls[Bulls &gt; 1]</f>
        <v>600</v>
      </c>
      <c r="I14" s="55" cm="1">
        <f t="array" ref="I14">Table_SourceData_Dairy_WjBulls[Bulls &lt; 1 (weaned)]</f>
        <v>225</v>
      </c>
      <c r="J14" s="2" t="s">
        <v>200</v>
      </c>
      <c r="O14" s="40"/>
    </row>
    <row r="15" spans="1:20" ht="20.100000000000001" customHeight="1" x14ac:dyDescent="0.25">
      <c r="A15" s="17" t="str">
        <f>HYPERLINK("#'4.3.1.8 Manure applied to soils'!A1", "4.3.1.8 Manure applied to soils")</f>
        <v>4.3.1.8 Manure applied to soils</v>
      </c>
      <c r="D15" s="1" t="s">
        <v>228</v>
      </c>
      <c r="E15" s="55" cm="1">
        <f t="array" ref="E15">Table_SourceData_Dairy_LWGj[Milking cows]</f>
        <v>1.6E-2</v>
      </c>
      <c r="F15" s="55" cm="1">
        <f t="array" ref="F15">Table_SourceData_Dairy_LWGj[Heifers &gt; 1]</f>
        <v>0.6</v>
      </c>
      <c r="G15" s="55" cm="1">
        <f t="array" ref="G15">Table_SourceData_Dairy_LWGj[Heifers &lt; 1 (weaned)]</f>
        <v>0.56999999999999995</v>
      </c>
      <c r="H15" s="55" cm="1">
        <f t="array" ref="H15">Table_SourceData_Dairy_LWGj[Bulls &gt; 1]</f>
        <v>0.1</v>
      </c>
      <c r="I15" s="55" cm="1">
        <f t="array" ref="I15">Table_SourceData_Dairy_LWGj[Bulls &lt; 1 (weaned)]</f>
        <v>0.8</v>
      </c>
      <c r="J15" s="2" t="s">
        <v>201</v>
      </c>
      <c r="O15" s="40"/>
    </row>
    <row r="16" spans="1:20" ht="20.100000000000001" customHeight="1" x14ac:dyDescent="0.25">
      <c r="A16" s="17" t="str">
        <f>HYPERLINK("#'4.3.1.9 Soil direct N2O'!A1", "4.3.1.9 Soil direct N2O")</f>
        <v>4.3.1.9 Soil direct N2O</v>
      </c>
      <c r="O16" s="40"/>
    </row>
    <row r="17" spans="1:15" ht="20.100000000000001" customHeight="1" x14ac:dyDescent="0.25">
      <c r="A17" s="17" t="str">
        <f>HYPERLINK("#'4.3.1.10-11 Soil Atmos Dep'!A1", "4.3.1.10-11 Soil atm. deposition")</f>
        <v>4.3.1.10-11 Soil atm. deposition</v>
      </c>
      <c r="D17" s="66" t="s">
        <v>211</v>
      </c>
      <c r="E17" s="41" t="s">
        <v>178</v>
      </c>
      <c r="F17" s="41" t="s">
        <v>195</v>
      </c>
      <c r="G17" s="41" t="s">
        <v>196</v>
      </c>
      <c r="H17" s="41" t="s">
        <v>197</v>
      </c>
      <c r="I17" s="41" t="s">
        <v>198</v>
      </c>
      <c r="O17" s="7"/>
    </row>
    <row r="18" spans="1:15" ht="20.100000000000001" customHeight="1" x14ac:dyDescent="0.25">
      <c r="A18" s="17" t="str">
        <f>HYPERLINK("#'4.3.1.12-13 Soil leach runoff'!A1", "4.3.1.12-13 Soil leach &amp; runoff")</f>
        <v>4.3.1.12-13 Soil leach &amp; runoff</v>
      </c>
      <c r="D18" s="1" t="s">
        <v>227</v>
      </c>
      <c r="E18" s="69" cm="1">
        <f t="array" ref="E18">Common_InputFunctions.Utility_LookupValueInTableNumber($E$7, Table_SourceData_Dairy_WjCowsHeifers[Breed],Table_SourceData_Dairy_WjCowsHeifers[Milking cows])</f>
        <v>550</v>
      </c>
      <c r="F18" s="69" cm="1">
        <f t="array" ref="F18">Common_InputFunctions.Utility_LookupValueInTableNumber($E$7, Table_SourceData_Dairy_WjCowsHeifers[Breed],Table_SourceData_Dairy_WjCowsHeifers[Heifers &gt; 1])</f>
        <v>380</v>
      </c>
      <c r="G18" s="69" cm="1">
        <f t="array" ref="G18">Common_InputFunctions.Utility_LookupValueInTableNumber($E$7, Table_SourceData_Dairy_WjCowsHeifers[Breed],Table_SourceData_Dairy_WjCowsHeifers[Heifers &lt; 1 (weaned)])</f>
        <v>155</v>
      </c>
      <c r="H18" s="69" cm="1">
        <f t="array" ref="H18">Table_SourceData_Dairy_WjBulls[Bulls &gt; 1]</f>
        <v>600</v>
      </c>
      <c r="I18" s="69" cm="1">
        <f t="array" ref="I18">Table_SourceData_Dairy_WjBulls[Bulls &lt; 1 (weaned)]</f>
        <v>225</v>
      </c>
      <c r="J18" s="2" t="s">
        <v>200</v>
      </c>
      <c r="O18" s="7"/>
    </row>
    <row r="19" spans="1:15" ht="20.100000000000001" customHeight="1" x14ac:dyDescent="0.25">
      <c r="A19" s="17"/>
      <c r="D19" s="1" t="s">
        <v>228</v>
      </c>
      <c r="E19" s="69" cm="1">
        <f t="array" ref="E19">Table_SourceData_Dairy_LWGj[Milking cows]</f>
        <v>1.6E-2</v>
      </c>
      <c r="F19" s="69" cm="1">
        <f t="array" ref="F19">Table_SourceData_Dairy_LWGj[Heifers &gt; 1]</f>
        <v>0.6</v>
      </c>
      <c r="G19" s="69" cm="1">
        <f t="array" ref="G19">Table_SourceData_Dairy_LWGj[Heifers &lt; 1 (weaned)]</f>
        <v>0.56999999999999995</v>
      </c>
      <c r="H19" s="69" cm="1">
        <f t="array" ref="H19">Table_SourceData_Dairy_LWGj[Bulls &gt; 1]</f>
        <v>0.1</v>
      </c>
      <c r="I19" s="69" cm="1">
        <f t="array" ref="I19">Table_SourceData_Dairy_LWGj[Bulls &lt; 1 (weaned)]</f>
        <v>0.8</v>
      </c>
      <c r="J19" s="2" t="s">
        <v>201</v>
      </c>
      <c r="O19" s="7"/>
    </row>
    <row r="20" spans="1:15" ht="20.100000000000001" customHeight="1" x14ac:dyDescent="0.25">
      <c r="A20" s="18" t="s">
        <v>4</v>
      </c>
      <c r="O20" s="7"/>
    </row>
    <row r="21" spans="1:15" ht="20.100000000000001" customHeight="1" x14ac:dyDescent="0.25">
      <c r="A21" s="17" t="str">
        <f>HYPERLINK("#'Constants - Dairy'!A1", "Constants - Dairy")</f>
        <v>Constants - Dairy</v>
      </c>
      <c r="D21" s="51" t="s">
        <v>107</v>
      </c>
      <c r="O21" s="7"/>
    </row>
    <row r="22" spans="1:15" ht="20.100000000000001" customHeight="1" x14ac:dyDescent="0.25">
      <c r="A22" s="17" t="str">
        <f>HYPERLINK("#'Constants - Livestock'!A1", "Constants - Livestock")</f>
        <v>Constants - Livestock</v>
      </c>
      <c r="O22" s="7"/>
    </row>
    <row r="23" spans="1:15" ht="20.100000000000001" customHeight="1" x14ac:dyDescent="0.25">
      <c r="A23" s="17" t="str">
        <f>HYPERLINK("#'Constants - Common'!A1", "Constants - Common")</f>
        <v>Constants - Common</v>
      </c>
      <c r="D23" s="66" t="s">
        <v>212</v>
      </c>
      <c r="E23" s="41" t="s">
        <v>178</v>
      </c>
      <c r="F23" s="41" t="s">
        <v>195</v>
      </c>
      <c r="G23" s="41" t="s">
        <v>196</v>
      </c>
      <c r="H23" s="41" t="s">
        <v>197</v>
      </c>
      <c r="I23" s="41" t="s">
        <v>198</v>
      </c>
      <c r="O23" s="7"/>
    </row>
    <row r="24" spans="1:15" ht="20.100000000000001" customHeight="1" x14ac:dyDescent="0.25">
      <c r="A24" s="17" t="str">
        <f>HYPERLINK("#'Acknowledgements'!A1", "Acknowledgements")</f>
        <v>Acknowledgements</v>
      </c>
      <c r="D24" s="1" t="str">
        <f>"Average duration of stay between " &amp; TEXT('Input - Site'!$E$12, "dd mmm yy") &amp; " and " &amp; TEXT('Input - Site'!$E$13, "dd mmm yy") &amp; " weaned livestock"</f>
        <v>Average duration of stay between 01 Jan 24 and 31 Dec 24 weaned livestock</v>
      </c>
      <c r="E24" s="55" cm="1">
        <f t="array" ref="E24">Common_InputFunctions.Utility_LookupValueInTableNumber(E23,Table_SourceData_Dairy_Duration[Animal class j],Table_SourceData_Dairy_Duration[Duration (weaned)])</f>
        <v>365</v>
      </c>
      <c r="F24" s="55" cm="1">
        <f t="array" ref="F24">Common_InputFunctions.Utility_LookupValueInTableNumber(F23,Table_SourceData_Dairy_Duration[Animal class j],Table_SourceData_Dairy_Duration[Duration (weaned)])</f>
        <v>365</v>
      </c>
      <c r="G24" s="55" cm="1">
        <f t="array" ref="G24">Common_InputFunctions.Utility_LookupValueInTableNumber(G23,Table_SourceData_Dairy_Duration[Animal class j],Table_SourceData_Dairy_Duration[Duration (weaned)])</f>
        <v>281</v>
      </c>
      <c r="H24" s="55" cm="1">
        <f t="array" ref="H24">Common_InputFunctions.Utility_LookupValueInTableNumber(H23,Table_SourceData_Dairy_Duration[Animal class j],Table_SourceData_Dairy_Duration[Duration (weaned)])</f>
        <v>365</v>
      </c>
      <c r="I24" s="55" cm="1">
        <f t="array" ref="I24">Common_InputFunctions.Utility_LookupValueInTableNumber(I23,Table_SourceData_Dairy_Duration[Animal class j],Table_SourceData_Dairy_Duration[Duration (weaned)])</f>
        <v>281</v>
      </c>
      <c r="J24" s="2" t="s">
        <v>56</v>
      </c>
      <c r="O24" s="7"/>
    </row>
    <row r="25" spans="1:15" ht="20.100000000000001" customHeight="1" x14ac:dyDescent="0.25">
      <c r="D25" s="1" t="str">
        <f>"Average duration of stay between " &amp; TEXT('Input - Site'!$E$12, "dd mmm yy") &amp; " and " &amp; TEXT('Input - Site'!$E$13, "dd mmm yy") &amp; " pre-weaned livestock"</f>
        <v>Average duration of stay between 01 Jan 24 and 31 Dec 24 pre-weaned livestock</v>
      </c>
      <c r="E25" s="55" cm="1">
        <f t="array" ref="E25">Common_InputFunctions.Utility_LookupValueInTableNumber(E23,Table_SourceData_Dairy_Duration[Animal class j],Table_SourceData_Dairy_Duration[Duration (pre-weaned)])</f>
        <v>0</v>
      </c>
      <c r="F25" s="55" cm="1">
        <f t="array" ref="F25">Common_InputFunctions.Utility_LookupValueInTableNumber(F23,Table_SourceData_Dairy_Duration[Animal class j],Table_SourceData_Dairy_Duration[Duration (pre-weaned)])</f>
        <v>0</v>
      </c>
      <c r="G25" s="55" cm="1">
        <f t="array" ref="G25">Common_InputFunctions.Utility_LookupValueInTableNumber(G23,Table_SourceData_Dairy_Duration[Animal class j],Table_SourceData_Dairy_Duration[Duration (pre-weaned)])</f>
        <v>84</v>
      </c>
      <c r="H25" s="55" cm="1">
        <f t="array" ref="H25">Common_InputFunctions.Utility_LookupValueInTableNumber(H23,Table_SourceData_Dairy_Duration[Animal class j],Table_SourceData_Dairy_Duration[Duration (pre-weaned)])</f>
        <v>0</v>
      </c>
      <c r="I25" s="55" cm="1">
        <f t="array" ref="I25">Common_InputFunctions.Utility_LookupValueInTableNumber(I23,Table_SourceData_Dairy_Duration[Animal class j],Table_SourceData_Dairy_Duration[Duration (pre-weaned)])</f>
        <v>84</v>
      </c>
      <c r="J25" s="2" t="s">
        <v>56</v>
      </c>
      <c r="O25" s="7"/>
    </row>
    <row r="26" spans="1:15" ht="20.100000000000001" customHeight="1" x14ac:dyDescent="0.25">
      <c r="A26" s="17"/>
      <c r="O26" s="7"/>
    </row>
    <row r="27" spans="1:15" ht="20.100000000000001" customHeight="1" x14ac:dyDescent="0.25">
      <c r="A27" s="17"/>
      <c r="D27" s="66" t="s">
        <v>211</v>
      </c>
      <c r="E27" s="41" t="s">
        <v>178</v>
      </c>
      <c r="F27" s="41" t="s">
        <v>195</v>
      </c>
      <c r="G27" s="41" t="s">
        <v>196</v>
      </c>
      <c r="H27" s="41" t="s">
        <v>197</v>
      </c>
      <c r="I27" s="41" t="s">
        <v>198</v>
      </c>
      <c r="O27" s="7"/>
    </row>
    <row r="28" spans="1:15" ht="20.100000000000001" customHeight="1" x14ac:dyDescent="0.25">
      <c r="A28" s="17"/>
      <c r="D28" s="1" t="str">
        <f>"Average duration of stay between " &amp; TEXT('Input - Site'!$E$12, "dd mmm yy") &amp; " and " &amp; TEXT('Input - Site'!$E$13, "dd mmm yy") &amp; " weaned livestock"</f>
        <v>Average duration of stay between 01 Jan 24 and 31 Dec 24 weaned livestock</v>
      </c>
      <c r="E28" s="69" cm="1">
        <f t="array" ref="E28">Common_InputFunctions.Utility_LookupValueInTableNumber(E27,Table_SourceData_Dairy_Duration[Animal class j],Table_SourceData_Dairy_Duration[Duration (weaned)])</f>
        <v>365</v>
      </c>
      <c r="F28" s="69" cm="1">
        <f t="array" ref="F28">Common_InputFunctions.Utility_LookupValueInTableNumber(F27,Table_SourceData_Dairy_Duration[Animal class j],Table_SourceData_Dairy_Duration[Duration (weaned)])</f>
        <v>365</v>
      </c>
      <c r="G28" s="69" cm="1">
        <f t="array" ref="G28">Common_InputFunctions.Utility_LookupValueInTableNumber(G27,Table_SourceData_Dairy_Duration[Animal class j],Table_SourceData_Dairy_Duration[Duration (weaned)])</f>
        <v>281</v>
      </c>
      <c r="H28" s="69" cm="1">
        <f t="array" ref="H28">Common_InputFunctions.Utility_LookupValueInTableNumber(H27,Table_SourceData_Dairy_Duration[Animal class j],Table_SourceData_Dairy_Duration[Duration (weaned)])</f>
        <v>365</v>
      </c>
      <c r="I28" s="69" cm="1">
        <f t="array" ref="I28">Common_InputFunctions.Utility_LookupValueInTableNumber(I27,Table_SourceData_Dairy_Duration[Animal class j],Table_SourceData_Dairy_Duration[Duration (weaned)])</f>
        <v>281</v>
      </c>
      <c r="J28" s="2" t="s">
        <v>56</v>
      </c>
      <c r="O28" s="7"/>
    </row>
    <row r="29" spans="1:15" ht="20.100000000000001" customHeight="1" x14ac:dyDescent="0.25">
      <c r="A29" s="17"/>
      <c r="D29" s="1" t="str">
        <f>"Average duration of stay between " &amp; TEXT('Input - Site'!$E$12, "dd mmm yy") &amp; " and " &amp; TEXT('Input - Site'!$E$13, "dd mmm yy") &amp; " pre-weaned livestock"</f>
        <v>Average duration of stay between 01 Jan 24 and 31 Dec 24 pre-weaned livestock</v>
      </c>
      <c r="E29" s="55">
        <f>365-E28</f>
        <v>0</v>
      </c>
      <c r="F29" s="55">
        <f t="shared" ref="F29:I29" si="0">365-F28</f>
        <v>0</v>
      </c>
      <c r="G29" s="55">
        <f t="shared" si="0"/>
        <v>84</v>
      </c>
      <c r="H29" s="55">
        <f t="shared" si="0"/>
        <v>0</v>
      </c>
      <c r="I29" s="55">
        <f t="shared" si="0"/>
        <v>84</v>
      </c>
      <c r="J29" s="2" t="s">
        <v>56</v>
      </c>
      <c r="O29" s="7"/>
    </row>
    <row r="30" spans="1:15" ht="20.100000000000001" customHeight="1" x14ac:dyDescent="0.25">
      <c r="A30" s="17"/>
      <c r="O30" s="7"/>
    </row>
    <row r="31" spans="1:15" ht="20.100000000000001" customHeight="1" x14ac:dyDescent="0.25">
      <c r="A31" s="70"/>
      <c r="O31" s="7"/>
    </row>
    <row r="32" spans="1:15" ht="20.100000000000001" customHeight="1" x14ac:dyDescent="0.25">
      <c r="A32" s="70"/>
      <c r="D32" s="6" t="s">
        <v>224</v>
      </c>
      <c r="O32" s="7"/>
    </row>
    <row r="33" spans="1:15" ht="20.100000000000001" customHeight="1" x14ac:dyDescent="0.25">
      <c r="A33" s="17"/>
      <c r="D33" s="51"/>
      <c r="O33" s="7"/>
    </row>
    <row r="34" spans="1:15" ht="20.100000000000001" customHeight="1" x14ac:dyDescent="0.25">
      <c r="D34" s="66" t="s">
        <v>212</v>
      </c>
      <c r="E34" s="41" t="s">
        <v>178</v>
      </c>
      <c r="F34" s="41" t="s">
        <v>195</v>
      </c>
      <c r="G34" s="41" t="s">
        <v>196</v>
      </c>
      <c r="H34" s="41" t="s">
        <v>197</v>
      </c>
      <c r="I34" s="41" t="s">
        <v>198</v>
      </c>
      <c r="O34" s="7"/>
    </row>
    <row r="35" spans="1:15" ht="20.100000000000001" customHeight="1" x14ac:dyDescent="0.25">
      <c r="D35" s="1" t="s">
        <v>223</v>
      </c>
      <c r="E35" s="55" cm="1">
        <f t="array" ref="E35">Common_InputFunctions.Utility_LookupValueInTableNumber(E34,Table_SourceData_Dairy_Duration[Animal class j],Table_SourceData_Dairy_Duration[Duration (weaned)])</f>
        <v>365</v>
      </c>
      <c r="F35" s="55" cm="1">
        <f t="array" ref="F35">Common_InputFunctions.Utility_LookupValueInTableNumber(F34,Table_SourceData_Dairy_Duration[Animal class j],Table_SourceData_Dairy_Duration[Duration (weaned)])</f>
        <v>365</v>
      </c>
      <c r="G35" s="55" cm="1">
        <f t="array" ref="G35">Common_InputFunctions.Utility_LookupValueInTableNumber(G34,Table_SourceData_Dairy_Duration[Animal class j],Table_SourceData_Dairy_Duration[Duration (weaned)])</f>
        <v>281</v>
      </c>
      <c r="H35" s="55" cm="1">
        <f t="array" ref="H35">Common_InputFunctions.Utility_LookupValueInTableNumber(H34,Table_SourceData_Dairy_Duration[Animal class j],Table_SourceData_Dairy_Duration[Duration (weaned)])</f>
        <v>365</v>
      </c>
      <c r="I35" s="55" cm="1">
        <f t="array" ref="I35">Common_InputFunctions.Utility_LookupValueInTableNumber(I34,Table_SourceData_Dairy_Duration[Animal class j],Table_SourceData_Dairy_Duration[Duration (weaned)])</f>
        <v>281</v>
      </c>
      <c r="J35" s="2" t="s">
        <v>225</v>
      </c>
      <c r="O35" s="7"/>
    </row>
    <row r="36" spans="1:15" ht="20.100000000000001" customHeight="1" x14ac:dyDescent="0.25">
      <c r="D36" s="1" t="s">
        <v>19</v>
      </c>
      <c r="E36" s="55">
        <f>'Constants - Dairy'!$D$160</f>
        <v>0.75</v>
      </c>
      <c r="F36" s="55">
        <f>'Constants - Dairy'!$D$160</f>
        <v>0.75</v>
      </c>
      <c r="G36" s="55">
        <f>'Constants - Dairy'!$D$160</f>
        <v>0.75</v>
      </c>
      <c r="H36" s="55">
        <f>'Constants - Dairy'!$D$160</f>
        <v>0.75</v>
      </c>
      <c r="I36" s="55">
        <f>'Constants - Dairy'!$D$160</f>
        <v>0.75</v>
      </c>
      <c r="J36" s="2" t="s">
        <v>101</v>
      </c>
      <c r="O36" s="7"/>
    </row>
    <row r="37" spans="1:15" ht="20.100000000000001" customHeight="1" x14ac:dyDescent="0.25">
      <c r="D37" s="1" t="s">
        <v>114</v>
      </c>
      <c r="E37" s="55">
        <f>'Constants - Dairy'!$D$153</f>
        <v>0.2</v>
      </c>
      <c r="F37" s="55">
        <f>'Constants - Dairy'!$D$153</f>
        <v>0.2</v>
      </c>
      <c r="G37" s="55">
        <f>'Constants - Dairy'!$D$153</f>
        <v>0.2</v>
      </c>
      <c r="H37" s="55">
        <f>'Constants - Dairy'!$D$153</f>
        <v>0.2</v>
      </c>
      <c r="I37" s="55">
        <f>'Constants - Dairy'!$D$153</f>
        <v>0.2</v>
      </c>
      <c r="J37" s="2" t="s">
        <v>101</v>
      </c>
      <c r="O37" s="7"/>
    </row>
    <row r="38" spans="1:15" ht="20.100000000000001" customHeight="1" x14ac:dyDescent="0.25">
      <c r="O38" s="7"/>
    </row>
    <row r="39" spans="1:15" ht="20.100000000000001" customHeight="1" x14ac:dyDescent="0.25">
      <c r="A39" s="17"/>
      <c r="D39" s="66" t="s">
        <v>211</v>
      </c>
      <c r="E39" s="41" t="s">
        <v>178</v>
      </c>
      <c r="F39" s="41" t="s">
        <v>195</v>
      </c>
      <c r="G39" s="41" t="s">
        <v>196</v>
      </c>
      <c r="H39" s="41" t="s">
        <v>197</v>
      </c>
      <c r="I39" s="41" t="s">
        <v>198</v>
      </c>
      <c r="O39" s="7"/>
    </row>
    <row r="40" spans="1:15" ht="20.100000000000001" customHeight="1" x14ac:dyDescent="0.25">
      <c r="D40" s="1" t="s">
        <v>223</v>
      </c>
      <c r="E40" s="69" cm="1">
        <f t="array" ref="E40">Common_InputFunctions.Utility_LookupValueInTableNumber(E39,Table_SourceData_Dairy_Duration[Animal class j],Table_SourceData_Dairy_Duration[Duration (weaned)])</f>
        <v>365</v>
      </c>
      <c r="F40" s="69" cm="1">
        <f t="array" ref="F40">Common_InputFunctions.Utility_LookupValueInTableNumber(F39,Table_SourceData_Dairy_Duration[Animal class j],Table_SourceData_Dairy_Duration[Duration (weaned)])</f>
        <v>365</v>
      </c>
      <c r="G40" s="69" cm="1">
        <f t="array" ref="G40">Common_InputFunctions.Utility_LookupValueInTableNumber(G39,Table_SourceData_Dairy_Duration[Animal class j],Table_SourceData_Dairy_Duration[Duration (weaned)])</f>
        <v>281</v>
      </c>
      <c r="H40" s="69" cm="1">
        <f t="array" ref="H40">Common_InputFunctions.Utility_LookupValueInTableNumber(H39,Table_SourceData_Dairy_Duration[Animal class j],Table_SourceData_Dairy_Duration[Duration (weaned)])</f>
        <v>365</v>
      </c>
      <c r="I40" s="69" cm="1">
        <f t="array" ref="I40">Common_InputFunctions.Utility_LookupValueInTableNumber(I39,Table_SourceData_Dairy_Duration[Animal class j],Table_SourceData_Dairy_Duration[Duration (weaned)])</f>
        <v>281</v>
      </c>
      <c r="J40" s="2" t="s">
        <v>225</v>
      </c>
      <c r="O40" s="7"/>
    </row>
    <row r="41" spans="1:15" ht="20.100000000000001" customHeight="1" x14ac:dyDescent="0.25">
      <c r="A41" s="47"/>
      <c r="D41" s="1" t="s">
        <v>19</v>
      </c>
      <c r="E41" s="69">
        <v>0.75</v>
      </c>
      <c r="F41" s="69">
        <v>0.75</v>
      </c>
      <c r="G41" s="69">
        <v>0.75</v>
      </c>
      <c r="H41" s="69">
        <v>0.75</v>
      </c>
      <c r="I41" s="69">
        <v>0.75</v>
      </c>
      <c r="J41" s="2" t="s">
        <v>101</v>
      </c>
      <c r="O41" s="7"/>
    </row>
    <row r="42" spans="1:15" ht="20.100000000000001" customHeight="1" x14ac:dyDescent="0.25">
      <c r="D42" s="1" t="s">
        <v>114</v>
      </c>
      <c r="E42" s="69">
        <v>0.2</v>
      </c>
      <c r="F42" s="69">
        <v>0.2</v>
      </c>
      <c r="G42" s="69">
        <v>0.2</v>
      </c>
      <c r="H42" s="69">
        <v>0.2</v>
      </c>
      <c r="I42" s="69">
        <v>0.2</v>
      </c>
      <c r="J42" s="2" t="s">
        <v>101</v>
      </c>
      <c r="O42" s="7"/>
    </row>
    <row r="43" spans="1:15" ht="20.100000000000001" customHeight="1" x14ac:dyDescent="0.25">
      <c r="O43" s="7"/>
    </row>
    <row r="44" spans="1:15" ht="20.100000000000001" customHeight="1" x14ac:dyDescent="0.25">
      <c r="D44" s="6" t="s">
        <v>202</v>
      </c>
      <c r="E44" s="3"/>
      <c r="F44" s="3"/>
      <c r="G44" s="3"/>
      <c r="H44" s="3"/>
      <c r="I44" s="3"/>
      <c r="J44" s="3"/>
      <c r="O44" s="7"/>
    </row>
    <row r="45" spans="1:15" ht="20.100000000000001" customHeight="1" x14ac:dyDescent="0.25">
      <c r="E45" s="41" t="s">
        <v>178</v>
      </c>
      <c r="F45" s="6"/>
      <c r="G45" s="6"/>
      <c r="H45" s="6"/>
      <c r="I45" s="6"/>
      <c r="J45" s="129"/>
      <c r="O45" s="7"/>
    </row>
    <row r="46" spans="1:15" ht="20.100000000000001" customHeight="1" x14ac:dyDescent="0.25">
      <c r="D46" s="1" t="s">
        <v>203</v>
      </c>
      <c r="E46" s="69">
        <v>44</v>
      </c>
      <c r="F46" s="2" t="s">
        <v>204</v>
      </c>
      <c r="H46" s="3"/>
      <c r="I46" s="3"/>
      <c r="J46" s="3"/>
      <c r="O46" s="7"/>
    </row>
    <row r="47" spans="1:15" ht="20.100000000000001" customHeight="1" x14ac:dyDescent="0.25">
      <c r="O47" s="7"/>
    </row>
    <row r="48" spans="1:15" ht="20.100000000000001" customHeight="1" x14ac:dyDescent="0.25">
      <c r="D48" s="6" t="s">
        <v>219</v>
      </c>
      <c r="O48" s="7"/>
    </row>
    <row r="49" spans="4:15" ht="20.100000000000001" customHeight="1" x14ac:dyDescent="0.25">
      <c r="D49" s="51" t="s">
        <v>207</v>
      </c>
      <c r="O49" s="7"/>
    </row>
    <row r="50" spans="4:15" ht="20.100000000000001" customHeight="1" x14ac:dyDescent="0.25">
      <c r="D50" s="1" t="s">
        <v>209</v>
      </c>
      <c r="E50" s="42" t="s">
        <v>221</v>
      </c>
      <c r="F50" s="2" t="s">
        <v>11</v>
      </c>
      <c r="K50" s="3"/>
      <c r="O50" s="7"/>
    </row>
    <row r="51" spans="4:15" ht="20.100000000000001" customHeight="1" x14ac:dyDescent="0.25">
      <c r="K51" s="3"/>
      <c r="O51" s="7"/>
    </row>
    <row r="52" spans="4:15" ht="20.100000000000001" customHeight="1" x14ac:dyDescent="0.25">
      <c r="D52" s="66" t="s">
        <v>212</v>
      </c>
      <c r="E52" s="41" t="s">
        <v>178</v>
      </c>
      <c r="F52" s="41" t="s">
        <v>195</v>
      </c>
      <c r="G52" s="41" t="s">
        <v>196</v>
      </c>
      <c r="H52" s="41" t="s">
        <v>197</v>
      </c>
      <c r="I52" s="41" t="s">
        <v>198</v>
      </c>
      <c r="K52" s="3"/>
      <c r="O52" s="7"/>
    </row>
    <row r="53" spans="4:15" ht="20.100000000000001" customHeight="1" x14ac:dyDescent="0.25">
      <c r="D53" s="1" t="s">
        <v>151</v>
      </c>
      <c r="E53" s="101" cm="1">
        <f t="array" ref="E53">Common_InputFunctions.Utility_LookupValueInTableNumber($E$50, Table_SourceData_Dairy_ProductionSystemTemplates[Area],Table_SourceData_Dairy_ProductionSystemTemplates[Pasture])</f>
        <v>0.53400000000000003</v>
      </c>
      <c r="F53" s="101" cm="1">
        <f t="array" ref="F53">Common_InputFunctions.Utility_LookupValueInTableNumber($E$50, Table_SourceData_Dairy_ProductionSystemTemplates[Area],Table_SourceData_Dairy_ProductionSystemTemplates[Pasture])</f>
        <v>0.53400000000000003</v>
      </c>
      <c r="G53" s="101" cm="1">
        <f t="array" ref="G53">Common_InputFunctions.Utility_LookupValueInTableNumber($E$50, Table_SourceData_Dairy_ProductionSystemTemplates[Area],Table_SourceData_Dairy_ProductionSystemTemplates[Pasture])</f>
        <v>0.53400000000000003</v>
      </c>
      <c r="H53" s="101" cm="1">
        <f t="array" ref="H53">Common_InputFunctions.Utility_LookupValueInTableNumber($E$50, Table_SourceData_Dairy_ProductionSystemTemplates[Area],Table_SourceData_Dairy_ProductionSystemTemplates[Pasture])</f>
        <v>0.53400000000000003</v>
      </c>
      <c r="I53" s="101" cm="1">
        <f t="array" ref="I53">Common_InputFunctions.Utility_LookupValueInTableNumber($E$50, Table_SourceData_Dairy_ProductionSystemTemplates[Area],Table_SourceData_Dairy_ProductionSystemTemplates[Pasture])</f>
        <v>0.53400000000000003</v>
      </c>
      <c r="J53" s="2" t="s">
        <v>20</v>
      </c>
      <c r="K53" s="3"/>
      <c r="O53" s="7"/>
    </row>
    <row r="54" spans="4:15" ht="20.100000000000001" customHeight="1" x14ac:dyDescent="0.25">
      <c r="D54" s="1" t="s">
        <v>192</v>
      </c>
      <c r="E54" s="101" cm="1">
        <f t="array" ref="E54">Common_InputFunctions.Utility_LookupValueInTableNumber($E$50, Table_SourceData_Dairy_ProductionSystemTemplates[Area],Table_SourceData_Dairy_ProductionSystemTemplates[Milking shed])</f>
        <v>0.11</v>
      </c>
      <c r="F54" s="101" cm="1">
        <f t="array" ref="F54">Common_InputFunctions.Utility_LookupValueInTableNumber($E$50, Table_SourceData_Dairy_ProductionSystemTemplates[Area],Table_SourceData_Dairy_ProductionSystemTemplates[Milking shed])</f>
        <v>0.11</v>
      </c>
      <c r="G54" s="101" cm="1">
        <f t="array" ref="G54">Common_InputFunctions.Utility_LookupValueInTableNumber($E$50, Table_SourceData_Dairy_ProductionSystemTemplates[Area],Table_SourceData_Dairy_ProductionSystemTemplates[Milking shed])</f>
        <v>0.11</v>
      </c>
      <c r="H54" s="101" cm="1">
        <f t="array" ref="H54">Common_InputFunctions.Utility_LookupValueInTableNumber($E$50, Table_SourceData_Dairy_ProductionSystemTemplates[Area],Table_SourceData_Dairy_ProductionSystemTemplates[Milking shed])</f>
        <v>0.11</v>
      </c>
      <c r="I54" s="101" cm="1">
        <f t="array" ref="I54">Common_InputFunctions.Utility_LookupValueInTableNumber($E$50, Table_SourceData_Dairy_ProductionSystemTemplates[Area],Table_SourceData_Dairy_ProductionSystemTemplates[Milking shed])</f>
        <v>0.11</v>
      </c>
      <c r="J54" s="2" t="s">
        <v>20</v>
      </c>
      <c r="K54" s="3"/>
      <c r="O54" s="7"/>
    </row>
    <row r="55" spans="4:15" ht="20.100000000000001" customHeight="1" x14ac:dyDescent="0.25">
      <c r="D55" s="1" t="s">
        <v>208</v>
      </c>
      <c r="E55" s="101" cm="1">
        <f t="array" ref="E55">Common_InputFunctions.Utility_LookupValueInTableNumber($E$50, Table_SourceData_Dairy_ProductionSystemTemplates[Area],Table_SourceData_Dairy_ProductionSystemTemplates[Feedpad])</f>
        <v>0.35599999999999998</v>
      </c>
      <c r="F55" s="101" cm="1">
        <f t="array" ref="F55">Common_InputFunctions.Utility_LookupValueInTableNumber($E$50, Table_SourceData_Dairy_ProductionSystemTemplates[Area],Table_SourceData_Dairy_ProductionSystemTemplates[Feedpad])</f>
        <v>0.35599999999999998</v>
      </c>
      <c r="G55" s="101" cm="1">
        <f t="array" ref="G55">Common_InputFunctions.Utility_LookupValueInTableNumber($E$50, Table_SourceData_Dairy_ProductionSystemTemplates[Area],Table_SourceData_Dairy_ProductionSystemTemplates[Feedpad])</f>
        <v>0.35599999999999998</v>
      </c>
      <c r="H55" s="101" cm="1">
        <f t="array" ref="H55">Common_InputFunctions.Utility_LookupValueInTableNumber($E$50, Table_SourceData_Dairy_ProductionSystemTemplates[Area],Table_SourceData_Dairy_ProductionSystemTemplates[Feedpad])</f>
        <v>0.35599999999999998</v>
      </c>
      <c r="I55" s="101" cm="1">
        <f t="array" ref="I55">Common_InputFunctions.Utility_LookupValueInTableNumber($E$50, Table_SourceData_Dairy_ProductionSystemTemplates[Area],Table_SourceData_Dairy_ProductionSystemTemplates[Feedpad])</f>
        <v>0.35599999999999998</v>
      </c>
      <c r="J55" s="2" t="s">
        <v>20</v>
      </c>
      <c r="K55" s="3"/>
      <c r="O55" s="7"/>
    </row>
    <row r="56" spans="4:15" ht="20.100000000000001" customHeight="1" x14ac:dyDescent="0.25">
      <c r="K56" s="3"/>
      <c r="O56" s="7"/>
    </row>
    <row r="57" spans="4:15" ht="20.100000000000001" customHeight="1" x14ac:dyDescent="0.25">
      <c r="D57" s="66" t="s">
        <v>211</v>
      </c>
      <c r="E57" s="41" t="s">
        <v>178</v>
      </c>
      <c r="F57" s="41" t="s">
        <v>195</v>
      </c>
      <c r="G57" s="41" t="s">
        <v>196</v>
      </c>
      <c r="H57" s="41" t="s">
        <v>197</v>
      </c>
      <c r="I57" s="41" t="s">
        <v>198</v>
      </c>
      <c r="K57" s="3"/>
      <c r="O57" s="7"/>
    </row>
    <row r="58" spans="4:15" ht="20.100000000000001" customHeight="1" x14ac:dyDescent="0.25">
      <c r="D58" s="1" t="s">
        <v>151</v>
      </c>
      <c r="E58" s="130" cm="1">
        <f t="array" ref="E58">Common_InputFunctions.Utility_LookupValueInTableNumber($E$50, Table_SourceData_Dairy_ProductionSystemTemplates[Area],Table_SourceData_Dairy_ProductionSystemTemplates[Pasture])</f>
        <v>0.53400000000000003</v>
      </c>
      <c r="F58" s="130" cm="1">
        <f t="array" ref="F58">Common_InputFunctions.Utility_LookupValueInTableNumber($E$50, Table_SourceData_Dairy_ProductionSystemTemplates[Area],Table_SourceData_Dairy_ProductionSystemTemplates[Pasture])</f>
        <v>0.53400000000000003</v>
      </c>
      <c r="G58" s="130" cm="1">
        <f t="array" ref="G58">Common_InputFunctions.Utility_LookupValueInTableNumber($E$50, Table_SourceData_Dairy_ProductionSystemTemplates[Area],Table_SourceData_Dairy_ProductionSystemTemplates[Pasture])</f>
        <v>0.53400000000000003</v>
      </c>
      <c r="H58" s="130" cm="1">
        <f t="array" ref="H58">Common_InputFunctions.Utility_LookupValueInTableNumber($E$50, Table_SourceData_Dairy_ProductionSystemTemplates[Area],Table_SourceData_Dairy_ProductionSystemTemplates[Pasture])</f>
        <v>0.53400000000000003</v>
      </c>
      <c r="I58" s="130" cm="1">
        <f t="array" ref="I58">Common_InputFunctions.Utility_LookupValueInTableNumber($E$50, Table_SourceData_Dairy_ProductionSystemTemplates[Area],Table_SourceData_Dairy_ProductionSystemTemplates[Pasture])</f>
        <v>0.53400000000000003</v>
      </c>
      <c r="J58" s="2" t="s">
        <v>20</v>
      </c>
      <c r="K58" s="3"/>
      <c r="O58" s="7"/>
    </row>
    <row r="59" spans="4:15" ht="20.100000000000001" customHeight="1" x14ac:dyDescent="0.25">
      <c r="D59" s="1" t="s">
        <v>192</v>
      </c>
      <c r="E59" s="130" cm="1">
        <f t="array" ref="E59">Common_InputFunctions.Utility_LookupValueInTableNumber($E$50, Table_SourceData_Dairy_ProductionSystemTemplates[Area],Table_SourceData_Dairy_ProductionSystemTemplates[Milking shed])</f>
        <v>0.11</v>
      </c>
      <c r="F59" s="130" cm="1">
        <f t="array" ref="F59">Common_InputFunctions.Utility_LookupValueInTableNumber($E$50, Table_SourceData_Dairy_ProductionSystemTemplates[Area],Table_SourceData_Dairy_ProductionSystemTemplates[Milking shed])</f>
        <v>0.11</v>
      </c>
      <c r="G59" s="130" cm="1">
        <f t="array" ref="G59">Common_InputFunctions.Utility_LookupValueInTableNumber($E$50, Table_SourceData_Dairy_ProductionSystemTemplates[Area],Table_SourceData_Dairy_ProductionSystemTemplates[Milking shed])</f>
        <v>0.11</v>
      </c>
      <c r="H59" s="130" cm="1">
        <f t="array" ref="H59">Common_InputFunctions.Utility_LookupValueInTableNumber($E$50, Table_SourceData_Dairy_ProductionSystemTemplates[Area],Table_SourceData_Dairy_ProductionSystemTemplates[Milking shed])</f>
        <v>0.11</v>
      </c>
      <c r="I59" s="130" cm="1">
        <f t="array" ref="I59">Common_InputFunctions.Utility_LookupValueInTableNumber($E$50, Table_SourceData_Dairy_ProductionSystemTemplates[Area],Table_SourceData_Dairy_ProductionSystemTemplates[Milking shed])</f>
        <v>0.11</v>
      </c>
      <c r="J59" s="2" t="s">
        <v>20</v>
      </c>
      <c r="K59" s="3"/>
      <c r="O59" s="7"/>
    </row>
    <row r="60" spans="4:15" ht="20.100000000000001" customHeight="1" x14ac:dyDescent="0.25">
      <c r="D60" s="1" t="s">
        <v>208</v>
      </c>
      <c r="E60" s="130" cm="1">
        <f t="array" ref="E60">Common_InputFunctions.Utility_LookupValueInTableNumber($E$50, Table_SourceData_Dairy_ProductionSystemTemplates[Area],Table_SourceData_Dairy_ProductionSystemTemplates[Feedpad])</f>
        <v>0.35599999999999998</v>
      </c>
      <c r="F60" s="130" cm="1">
        <f t="array" ref="F60">Common_InputFunctions.Utility_LookupValueInTableNumber($E$50, Table_SourceData_Dairy_ProductionSystemTemplates[Area],Table_SourceData_Dairy_ProductionSystemTemplates[Feedpad])</f>
        <v>0.35599999999999998</v>
      </c>
      <c r="G60" s="130" cm="1">
        <f t="array" ref="G60">Common_InputFunctions.Utility_LookupValueInTableNumber($E$50, Table_SourceData_Dairy_ProductionSystemTemplates[Area],Table_SourceData_Dairy_ProductionSystemTemplates[Feedpad])</f>
        <v>0.35599999999999998</v>
      </c>
      <c r="H60" s="130" cm="1">
        <f t="array" ref="H60">Common_InputFunctions.Utility_LookupValueInTableNumber($E$50, Table_SourceData_Dairy_ProductionSystemTemplates[Area],Table_SourceData_Dairy_ProductionSystemTemplates[Feedpad])</f>
        <v>0.35599999999999998</v>
      </c>
      <c r="I60" s="130" cm="1">
        <f t="array" ref="I60">Common_InputFunctions.Utility_LookupValueInTableNumber($E$50, Table_SourceData_Dairy_ProductionSystemTemplates[Area],Table_SourceData_Dairy_ProductionSystemTemplates[Feedpad])</f>
        <v>0.35599999999999998</v>
      </c>
      <c r="J60" s="2" t="s">
        <v>20</v>
      </c>
      <c r="K60" s="3"/>
      <c r="O60" s="7"/>
    </row>
    <row r="61" spans="4:15" ht="20.100000000000001" customHeight="1" x14ac:dyDescent="0.25">
      <c r="E61" s="137"/>
      <c r="K61" s="3"/>
      <c r="O61" s="7"/>
    </row>
    <row r="62" spans="4:15" ht="20.100000000000001" customHeight="1" x14ac:dyDescent="0.25">
      <c r="K62" s="3"/>
      <c r="O62" s="7"/>
    </row>
    <row r="63" spans="4:15" ht="20.100000000000001" customHeight="1" x14ac:dyDescent="0.25">
      <c r="D63" s="6" t="s">
        <v>104</v>
      </c>
      <c r="F63" s="132"/>
      <c r="K63" s="3"/>
      <c r="O63" s="7"/>
    </row>
    <row r="64" spans="4:15" ht="20.100000000000001" customHeight="1" x14ac:dyDescent="0.25">
      <c r="D64" s="51" t="str">
        <f>"From " &amp; $D$54</f>
        <v>From Milking shed</v>
      </c>
      <c r="K64" s="3"/>
      <c r="O64" s="7"/>
    </row>
    <row r="65" spans="4:15" ht="20.100000000000001" customHeight="1" x14ac:dyDescent="0.25">
      <c r="K65" s="3"/>
      <c r="O65" s="7"/>
    </row>
    <row r="66" spans="4:15" ht="20.100000000000001" customHeight="1" x14ac:dyDescent="0.25">
      <c r="D66" s="66" t="s">
        <v>103</v>
      </c>
      <c r="E66" s="41" t="s">
        <v>178</v>
      </c>
      <c r="F66" s="41" t="s">
        <v>195</v>
      </c>
      <c r="G66" s="41" t="s">
        <v>196</v>
      </c>
      <c r="H66" s="41" t="s">
        <v>197</v>
      </c>
      <c r="I66" s="41" t="s">
        <v>198</v>
      </c>
      <c r="K66" s="3"/>
      <c r="O66" s="7"/>
    </row>
    <row r="67" spans="4:15" ht="20.100000000000001" customHeight="1" x14ac:dyDescent="0.25">
      <c r="D67" s="56" t="str">
        <f>'Constants - Dairy'!$D$8</f>
        <v>Anaerobic lagoon</v>
      </c>
      <c r="E67" s="49">
        <v>0.25</v>
      </c>
      <c r="F67" s="49">
        <v>0.25</v>
      </c>
      <c r="G67" s="49">
        <v>0.25</v>
      </c>
      <c r="H67" s="49">
        <v>0.25</v>
      </c>
      <c r="I67" s="49">
        <v>0.25</v>
      </c>
      <c r="J67" s="2" t="s">
        <v>20</v>
      </c>
      <c r="K67" s="3"/>
      <c r="O67" s="7"/>
    </row>
    <row r="68" spans="4:15" ht="20.100000000000001" customHeight="1" x14ac:dyDescent="0.25">
      <c r="D68" s="1" t="str">
        <f>"Were solids separated from " &amp; $D$67 &amp; "?"</f>
        <v>Were solids separated from Anaerobic lagoon?</v>
      </c>
      <c r="E68" s="42" t="s">
        <v>213</v>
      </c>
      <c r="F68" s="2" t="s">
        <v>11</v>
      </c>
      <c r="K68" s="3"/>
      <c r="O68" s="7"/>
    </row>
    <row r="69" spans="4:15" ht="20.100000000000001" customHeight="1" x14ac:dyDescent="0.25">
      <c r="D69" s="1" t="str">
        <f>"Percent solids separated from " &amp; $D$67 &amp; " (Method 1 - Do not edit)"</f>
        <v>Percent solids separated from Anaerobic lagoon (Method 1 - Do not edit)</v>
      </c>
      <c r="E69" s="101">
        <v>0.2</v>
      </c>
      <c r="F69" s="2" t="s">
        <v>20</v>
      </c>
      <c r="K69" s="3"/>
      <c r="O69" s="7"/>
    </row>
    <row r="70" spans="4:15" ht="20.100000000000001" customHeight="1" x14ac:dyDescent="0.25">
      <c r="D70" s="1" t="str">
        <f>"Percent solids separated from " &amp; $D$67 &amp; " (Method 2 - Edit if known)"</f>
        <v>Percent solids separated from Anaerobic lagoon (Method 2 - Edit if known)</v>
      </c>
      <c r="E70" s="49">
        <v>0.2</v>
      </c>
      <c r="F70" s="2" t="s">
        <v>20</v>
      </c>
      <c r="K70" s="3"/>
      <c r="O70" s="7"/>
    </row>
    <row r="71" spans="4:15" ht="20.100000000000001" customHeight="1" x14ac:dyDescent="0.25">
      <c r="K71" s="3"/>
      <c r="O71" s="7"/>
    </row>
    <row r="72" spans="4:15" ht="20.100000000000001" customHeight="1" x14ac:dyDescent="0.25">
      <c r="D72" s="56" t="str">
        <f>'Constants - Dairy'!$D$9</f>
        <v>Sump and dispersal system</v>
      </c>
      <c r="E72" s="49">
        <v>0.25</v>
      </c>
      <c r="F72" s="49">
        <v>0.25</v>
      </c>
      <c r="G72" s="49">
        <v>0.25</v>
      </c>
      <c r="H72" s="49">
        <v>0.25</v>
      </c>
      <c r="I72" s="49">
        <v>0.25</v>
      </c>
      <c r="J72" s="2" t="s">
        <v>20</v>
      </c>
      <c r="O72" s="7"/>
    </row>
    <row r="73" spans="4:15" ht="20.100000000000001" customHeight="1" x14ac:dyDescent="0.25">
      <c r="D73" s="1" t="str">
        <f>"Were solids separated from " &amp; $D$72 &amp; "?"</f>
        <v>Were solids separated from Sump and dispersal system?</v>
      </c>
      <c r="E73" s="42" t="s">
        <v>213</v>
      </c>
      <c r="F73" s="2" t="s">
        <v>11</v>
      </c>
      <c r="O73" s="7"/>
    </row>
    <row r="74" spans="4:15" ht="20.100000000000001" customHeight="1" x14ac:dyDescent="0.25">
      <c r="D74" s="1" t="str">
        <f>"Percent solids separated from " &amp; $D$72 &amp; " (Method 1 - Do not edit)"</f>
        <v>Percent solids separated from Sump and dispersal system (Method 1 - Do not edit)</v>
      </c>
      <c r="E74" s="101">
        <v>0.2</v>
      </c>
      <c r="F74" s="2" t="s">
        <v>20</v>
      </c>
      <c r="O74" s="7"/>
    </row>
    <row r="75" spans="4:15" ht="20.100000000000001" customHeight="1" x14ac:dyDescent="0.25">
      <c r="D75" s="1" t="str">
        <f>"Percent solids separated from " &amp; $D$72 &amp; " (Method 2 - Edit if known)"</f>
        <v>Percent solids separated from Sump and dispersal system (Method 2 - Edit if known)</v>
      </c>
      <c r="E75" s="49">
        <v>0.2</v>
      </c>
      <c r="F75" s="2" t="s">
        <v>20</v>
      </c>
      <c r="O75" s="7"/>
    </row>
    <row r="76" spans="4:15" ht="20.100000000000001" customHeight="1" x14ac:dyDescent="0.25">
      <c r="O76" s="7"/>
    </row>
    <row r="77" spans="4:15" ht="20.100000000000001" customHeight="1" x14ac:dyDescent="0.25">
      <c r="D77" s="56" t="str">
        <f>'Constants - Dairy'!$D$10</f>
        <v>Drains to paddock</v>
      </c>
      <c r="E77" s="49">
        <v>0.25</v>
      </c>
      <c r="F77" s="49">
        <v>0.25</v>
      </c>
      <c r="G77" s="49">
        <v>0.25</v>
      </c>
      <c r="H77" s="49">
        <v>0.25</v>
      </c>
      <c r="I77" s="49">
        <v>0.25</v>
      </c>
      <c r="J77" s="2" t="s">
        <v>20</v>
      </c>
      <c r="O77" s="7"/>
    </row>
    <row r="78" spans="4:15" ht="20.100000000000001" customHeight="1" x14ac:dyDescent="0.25">
      <c r="D78" s="1" t="str">
        <f>"Were solids separated from " &amp; $D$77 &amp; "?"</f>
        <v>Were solids separated from Drains to paddock?</v>
      </c>
      <c r="E78" s="42" t="s">
        <v>213</v>
      </c>
      <c r="F78" s="2" t="s">
        <v>11</v>
      </c>
      <c r="O78" s="7"/>
    </row>
    <row r="79" spans="4:15" ht="20.100000000000001" customHeight="1" x14ac:dyDescent="0.25">
      <c r="D79" s="1" t="str">
        <f>"Percent solids separated from " &amp; $D$77 &amp; " (Method 1 - Do not edit)"</f>
        <v>Percent solids separated from Drains to paddock (Method 1 - Do not edit)</v>
      </c>
      <c r="E79" s="101">
        <v>0.2</v>
      </c>
      <c r="F79" s="2" t="s">
        <v>20</v>
      </c>
      <c r="O79" s="7"/>
    </row>
    <row r="80" spans="4:15" ht="20.100000000000001" customHeight="1" x14ac:dyDescent="0.25">
      <c r="D80" s="1" t="str">
        <f>"Percent solids separated from " &amp; $D$77 &amp; " (Method 2 - Edit if known)"</f>
        <v>Percent solids separated from Drains to paddock (Method 2 - Edit if known)</v>
      </c>
      <c r="E80" s="49">
        <v>0.2</v>
      </c>
      <c r="F80" s="2" t="s">
        <v>20</v>
      </c>
      <c r="O80" s="7"/>
    </row>
    <row r="81" spans="4:15" ht="20.100000000000001" customHeight="1" x14ac:dyDescent="0.25">
      <c r="O81" s="7"/>
    </row>
    <row r="82" spans="4:15" ht="20.100000000000001" customHeight="1" x14ac:dyDescent="0.25">
      <c r="D82" s="56" t="str">
        <f>'Constants - Dairy'!$D$11</f>
        <v>Solid storage</v>
      </c>
      <c r="E82" s="49">
        <v>0.25</v>
      </c>
      <c r="F82" s="49">
        <v>0.25</v>
      </c>
      <c r="G82" s="49">
        <v>0.25</v>
      </c>
      <c r="H82" s="49">
        <v>0.25</v>
      </c>
      <c r="I82" s="49">
        <v>0.25</v>
      </c>
      <c r="J82" s="2" t="s">
        <v>20</v>
      </c>
      <c r="O82" s="7"/>
    </row>
    <row r="83" spans="4:15" ht="20.100000000000001" customHeight="1" x14ac:dyDescent="0.25">
      <c r="D83" s="1" t="str">
        <f>"Perecnt separated from " &amp; $D$67 &amp; " (Method 1)"</f>
        <v>Perecnt separated from Anaerobic lagoon (Method 1)</v>
      </c>
      <c r="E83" s="101">
        <f>E67*$E$69</f>
        <v>0.05</v>
      </c>
      <c r="F83" s="101">
        <f>F67*$E$69</f>
        <v>0.05</v>
      </c>
      <c r="G83" s="101">
        <f>G67*$E$69</f>
        <v>0.05</v>
      </c>
      <c r="H83" s="101">
        <f>H67*$E$69</f>
        <v>0.05</v>
      </c>
      <c r="I83" s="101">
        <f>I67*$E$69</f>
        <v>0.05</v>
      </c>
      <c r="J83" s="2" t="s">
        <v>20</v>
      </c>
      <c r="O83" s="7"/>
    </row>
    <row r="84" spans="4:15" ht="20.100000000000001" customHeight="1" x14ac:dyDescent="0.25">
      <c r="D84" s="1" t="str">
        <f>"Perecnt separated from " &amp; $D$72 &amp; " (Method 1)"</f>
        <v>Perecnt separated from Sump and dispersal system (Method 1)</v>
      </c>
      <c r="E84" s="101">
        <f>E72*$E$74</f>
        <v>0.05</v>
      </c>
      <c r="F84" s="101">
        <f>F72*$E$74</f>
        <v>0.05</v>
      </c>
      <c r="G84" s="101">
        <f>G72*$E$74</f>
        <v>0.05</v>
      </c>
      <c r="H84" s="101">
        <f>H72*$E$74</f>
        <v>0.05</v>
      </c>
      <c r="I84" s="101">
        <f>I72*$E$74</f>
        <v>0.05</v>
      </c>
      <c r="J84" s="2" t="s">
        <v>20</v>
      </c>
      <c r="O84" s="7"/>
    </row>
    <row r="85" spans="4:15" ht="20.100000000000001" customHeight="1" x14ac:dyDescent="0.25">
      <c r="D85" s="1" t="str">
        <f>"Perecnt separated from " &amp; $D$77 &amp; " (Method 1)"</f>
        <v>Perecnt separated from Drains to paddock (Method 1)</v>
      </c>
      <c r="E85" s="101">
        <f>E77*$E$79</f>
        <v>0.05</v>
      </c>
      <c r="F85" s="101">
        <f>F77*$E$79</f>
        <v>0.05</v>
      </c>
      <c r="G85" s="101">
        <f>G77*$E$79</f>
        <v>0.05</v>
      </c>
      <c r="H85" s="101">
        <f>H77*$E$79</f>
        <v>0.05</v>
      </c>
      <c r="I85" s="101">
        <f>I77*$E$79</f>
        <v>0.05</v>
      </c>
      <c r="J85" s="2" t="s">
        <v>20</v>
      </c>
      <c r="O85" s="7"/>
    </row>
    <row r="86" spans="4:15" ht="20.100000000000001" customHeight="1" x14ac:dyDescent="0.25">
      <c r="D86" s="1" t="s">
        <v>215</v>
      </c>
      <c r="E86" s="101">
        <f>E$82+SUM(E83:E85)</f>
        <v>0.4</v>
      </c>
      <c r="F86" s="101">
        <f>F$82+SUM(F83:F85)</f>
        <v>0.4</v>
      </c>
      <c r="G86" s="101">
        <f>G$82+SUM(G83:G85)</f>
        <v>0.4</v>
      </c>
      <c r="H86" s="101">
        <f>H$82+SUM(H83:H85)</f>
        <v>0.4</v>
      </c>
      <c r="I86" s="101">
        <f>I$82+SUM(I83:I85)</f>
        <v>0.4</v>
      </c>
      <c r="J86" s="2" t="s">
        <v>20</v>
      </c>
      <c r="O86" s="7"/>
    </row>
    <row r="87" spans="4:15" ht="20.100000000000001" customHeight="1" x14ac:dyDescent="0.25">
      <c r="O87" s="7"/>
    </row>
    <row r="88" spans="4:15" ht="20.100000000000001" customHeight="1" x14ac:dyDescent="0.25">
      <c r="D88" s="1" t="s">
        <v>214</v>
      </c>
      <c r="E88" s="101">
        <f>(E67-(E67*$E$69))+(E72-(E72*$E$74))+(E77-(E77*$E$79))+E86</f>
        <v>1</v>
      </c>
      <c r="F88" s="101">
        <f>(F67-(F67*$E$69))+(F72-(F72*$E$74))+(F77-(F77*$E$79))+F86</f>
        <v>1</v>
      </c>
      <c r="G88" s="101">
        <f>(G67-(G67*$E$69))+(G72-(G72*$E$74))+(G77-(G77*$E$79))+G86</f>
        <v>1</v>
      </c>
      <c r="H88" s="101">
        <f>(H67-(H67*$E$69))+(H72-(H72*$E$74))+(H77-(H77*$E$79))+H86</f>
        <v>1</v>
      </c>
      <c r="I88" s="101">
        <f>(I67-(I67*$E$69))+(I72-(I72*$E$74))+(I77-(I77*$E$79))+I86</f>
        <v>1</v>
      </c>
      <c r="J88" s="2" t="s">
        <v>20</v>
      </c>
      <c r="O88" s="7"/>
    </row>
    <row r="89" spans="4:15" ht="20.100000000000001" customHeight="1" x14ac:dyDescent="0.25">
      <c r="O89" s="7"/>
    </row>
    <row r="90" spans="4:15" ht="20.100000000000001" customHeight="1" x14ac:dyDescent="0.25">
      <c r="D90" s="1" t="str">
        <f>"Perecnt separated from " &amp; $D$67 &amp; " (Method 2)"</f>
        <v>Perecnt separated from Anaerobic lagoon (Method 2)</v>
      </c>
      <c r="E90" s="101">
        <f>E67*$E$70</f>
        <v>0.05</v>
      </c>
      <c r="F90" s="101">
        <f>F67*$E$70</f>
        <v>0.05</v>
      </c>
      <c r="G90" s="101">
        <f>G67*$E$70</f>
        <v>0.05</v>
      </c>
      <c r="H90" s="101">
        <f>H67*$E$70</f>
        <v>0.05</v>
      </c>
      <c r="I90" s="101">
        <f>I67*$E$70</f>
        <v>0.05</v>
      </c>
      <c r="J90" s="2" t="s">
        <v>20</v>
      </c>
      <c r="O90" s="7"/>
    </row>
    <row r="91" spans="4:15" ht="20.100000000000001" customHeight="1" x14ac:dyDescent="0.25">
      <c r="D91" s="1" t="str">
        <f>"Perecnt separated from " &amp; $D$72 &amp; " (Method 2)"</f>
        <v>Perecnt separated from Sump and dispersal system (Method 2)</v>
      </c>
      <c r="E91" s="101">
        <f>E72*$E$75</f>
        <v>0.05</v>
      </c>
      <c r="F91" s="101">
        <f>F72*$E$75</f>
        <v>0.05</v>
      </c>
      <c r="G91" s="101">
        <f>G72*$E$75</f>
        <v>0.05</v>
      </c>
      <c r="H91" s="101">
        <f>H72*$E$75</f>
        <v>0.05</v>
      </c>
      <c r="I91" s="101">
        <f>I72*$E$75</f>
        <v>0.05</v>
      </c>
      <c r="J91" s="2" t="s">
        <v>20</v>
      </c>
      <c r="O91" s="7"/>
    </row>
    <row r="92" spans="4:15" ht="20.100000000000001" customHeight="1" x14ac:dyDescent="0.25">
      <c r="D92" s="1" t="str">
        <f>"Perecnt separated from " &amp; $D$77 &amp; " (Method 2)"</f>
        <v>Perecnt separated from Drains to paddock (Method 2)</v>
      </c>
      <c r="E92" s="101">
        <f>E77*$E$80</f>
        <v>0.05</v>
      </c>
      <c r="F92" s="101">
        <f>F77*$E$80</f>
        <v>0.05</v>
      </c>
      <c r="G92" s="101">
        <f>G77*$E$80</f>
        <v>0.05</v>
      </c>
      <c r="H92" s="101">
        <f>H77*$E$80</f>
        <v>0.05</v>
      </c>
      <c r="I92" s="101">
        <f>I77*$E$80</f>
        <v>0.05</v>
      </c>
      <c r="J92" s="2" t="s">
        <v>20</v>
      </c>
      <c r="O92" s="7"/>
    </row>
    <row r="93" spans="4:15" ht="20.100000000000001" customHeight="1" x14ac:dyDescent="0.25">
      <c r="D93" s="1" t="s">
        <v>216</v>
      </c>
      <c r="E93" s="101">
        <f>E$82+SUM(E90:E92)</f>
        <v>0.4</v>
      </c>
      <c r="F93" s="101">
        <f>F$82+SUM(F90:F92)</f>
        <v>0.4</v>
      </c>
      <c r="G93" s="101">
        <f>G$82+SUM(G90:G92)</f>
        <v>0.4</v>
      </c>
      <c r="H93" s="101">
        <f>H$82+SUM(H90:H92)</f>
        <v>0.4</v>
      </c>
      <c r="I93" s="101">
        <f>I$82+SUM(I90:I92)</f>
        <v>0.4</v>
      </c>
      <c r="J93" s="2" t="s">
        <v>20</v>
      </c>
      <c r="O93" s="7"/>
    </row>
    <row r="94" spans="4:15" ht="20.100000000000001" customHeight="1" x14ac:dyDescent="0.25">
      <c r="O94" s="7"/>
    </row>
    <row r="95" spans="4:15" ht="20.100000000000001" customHeight="1" x14ac:dyDescent="0.25">
      <c r="D95" s="1" t="s">
        <v>217</v>
      </c>
      <c r="E95" s="101">
        <f>(E67-(E67*$E$70))+(E72-(E72*$E$75))+(E77-(E77*$E$80))+E93</f>
        <v>1</v>
      </c>
      <c r="F95" s="101">
        <f>(F67-(F67*$E$70))+(F72-(F72*$E$75))+(F77-(F77*$E$80))+F93</f>
        <v>1</v>
      </c>
      <c r="G95" s="101">
        <f>(G67-(G67*$E$70))+(G72-(G72*$E$75))+(G77-(G77*$E$80))+G93</f>
        <v>1</v>
      </c>
      <c r="H95" s="101">
        <f>(H67-(H67*$E$70))+(H72-(H72*$E$75))+(H77-(H77*$E$80))+H93</f>
        <v>1</v>
      </c>
      <c r="I95" s="101">
        <f>(I67-(I67*$E$70))+(I72-(I72*$E$75))+(I77-(I77*$E$80))+I93</f>
        <v>1</v>
      </c>
      <c r="J95" s="2" t="s">
        <v>20</v>
      </c>
      <c r="O95" s="7"/>
    </row>
    <row r="96" spans="4:15" ht="20.100000000000001" customHeight="1" x14ac:dyDescent="0.25">
      <c r="O96" s="7"/>
    </row>
    <row r="97" spans="4:15" ht="20.100000000000001" customHeight="1" x14ac:dyDescent="0.25">
      <c r="O97" s="7"/>
    </row>
    <row r="98" spans="4:15" ht="20.100000000000001" customHeight="1" x14ac:dyDescent="0.25">
      <c r="D98" s="51" t="str">
        <f>"From " &amp; $D$55</f>
        <v>From Feed pad</v>
      </c>
      <c r="O98" s="7"/>
    </row>
    <row r="99" spans="4:15" ht="20.100000000000001" customHeight="1" x14ac:dyDescent="0.25">
      <c r="O99" s="7"/>
    </row>
    <row r="100" spans="4:15" ht="20.100000000000001" customHeight="1" x14ac:dyDescent="0.25">
      <c r="D100" s="66" t="s">
        <v>103</v>
      </c>
      <c r="E100" s="41" t="s">
        <v>178</v>
      </c>
      <c r="F100" s="41" t="s">
        <v>195</v>
      </c>
      <c r="G100" s="41" t="s">
        <v>196</v>
      </c>
      <c r="H100" s="41" t="s">
        <v>197</v>
      </c>
      <c r="I100" s="41" t="s">
        <v>198</v>
      </c>
      <c r="O100" s="7"/>
    </row>
    <row r="101" spans="4:15" ht="20.100000000000001" customHeight="1" x14ac:dyDescent="0.25">
      <c r="D101" s="56" t="str">
        <f>'Constants - Dairy'!$D$8</f>
        <v>Anaerobic lagoon</v>
      </c>
      <c r="E101" s="49">
        <v>0.25</v>
      </c>
      <c r="F101" s="49">
        <v>0.25</v>
      </c>
      <c r="G101" s="49">
        <v>0.25</v>
      </c>
      <c r="H101" s="49">
        <v>0.25</v>
      </c>
      <c r="I101" s="49">
        <v>0.25</v>
      </c>
      <c r="J101" s="2" t="s">
        <v>20</v>
      </c>
      <c r="O101" s="7"/>
    </row>
    <row r="102" spans="4:15" ht="20.100000000000001" customHeight="1" x14ac:dyDescent="0.25">
      <c r="D102" s="1" t="str">
        <f>"Were solids separated from " &amp; $D$67 &amp; "?"</f>
        <v>Were solids separated from Anaerobic lagoon?</v>
      </c>
      <c r="E102" s="42" t="s">
        <v>220</v>
      </c>
      <c r="F102" s="2" t="s">
        <v>11</v>
      </c>
      <c r="O102" s="7"/>
    </row>
    <row r="103" spans="4:15" ht="20.100000000000001" customHeight="1" x14ac:dyDescent="0.25">
      <c r="D103" s="1" t="str">
        <f>"Percent solids separated from " &amp; $D$67 &amp; " (Method 1 - Do not edit)"</f>
        <v>Percent solids separated from Anaerobic lagoon (Method 1 - Do not edit)</v>
      </c>
      <c r="E103" s="101">
        <f>IF(E102="Yes", 20%, 0)</f>
        <v>0</v>
      </c>
      <c r="F103" s="2" t="s">
        <v>20</v>
      </c>
      <c r="O103" s="7"/>
    </row>
    <row r="104" spans="4:15" ht="20.100000000000001" customHeight="1" x14ac:dyDescent="0.25">
      <c r="D104" s="1" t="str">
        <f>"Percent solids separated from " &amp; $D$67 &amp; " (Method 2 - Edit if known)"</f>
        <v>Percent solids separated from Anaerobic lagoon (Method 2 - Edit if known)</v>
      </c>
      <c r="E104" s="49">
        <f>IF(E102="Yes", 20%, 0)</f>
        <v>0</v>
      </c>
      <c r="F104" s="2" t="s">
        <v>20</v>
      </c>
      <c r="O104" s="7"/>
    </row>
    <row r="105" spans="4:15" ht="20.100000000000001" customHeight="1" x14ac:dyDescent="0.25">
      <c r="O105" s="7"/>
    </row>
    <row r="106" spans="4:15" ht="20.100000000000001" customHeight="1" x14ac:dyDescent="0.25">
      <c r="D106" s="56" t="str">
        <f>'Constants - Dairy'!$D$9</f>
        <v>Sump and dispersal system</v>
      </c>
      <c r="E106" s="49">
        <v>0.25</v>
      </c>
      <c r="F106" s="49">
        <v>0.25</v>
      </c>
      <c r="G106" s="49">
        <v>0.25</v>
      </c>
      <c r="H106" s="49">
        <v>0.25</v>
      </c>
      <c r="I106" s="49">
        <v>0.25</v>
      </c>
      <c r="J106" s="2" t="s">
        <v>20</v>
      </c>
      <c r="O106" s="7"/>
    </row>
    <row r="107" spans="4:15" ht="20.100000000000001" customHeight="1" x14ac:dyDescent="0.25">
      <c r="D107" s="1" t="str">
        <f>"Were solids separated from " &amp; $D$72 &amp; "?"</f>
        <v>Were solids separated from Sump and dispersal system?</v>
      </c>
      <c r="E107" s="42" t="s">
        <v>213</v>
      </c>
      <c r="F107" s="2" t="s">
        <v>11</v>
      </c>
    </row>
    <row r="108" spans="4:15" ht="20.100000000000001" customHeight="1" x14ac:dyDescent="0.25">
      <c r="D108" s="1" t="str">
        <f>"Percent solids separated from " &amp; $D$72 &amp; " (Method 1 - Do not edit)"</f>
        <v>Percent solids separated from Sump and dispersal system (Method 1 - Do not edit)</v>
      </c>
      <c r="E108" s="101">
        <f>IF(E107="Yes", 20%, 0)</f>
        <v>0.2</v>
      </c>
      <c r="F108" s="2" t="s">
        <v>20</v>
      </c>
    </row>
    <row r="109" spans="4:15" ht="20.100000000000001" customHeight="1" x14ac:dyDescent="0.25">
      <c r="D109" s="1" t="str">
        <f>"Percent solids separated from " &amp; $D$72 &amp; " (Method 2 - Edit if known)"</f>
        <v>Percent solids separated from Sump and dispersal system (Method 2 - Edit if known)</v>
      </c>
      <c r="E109" s="49">
        <f>IF(E107="Yes", 20%, 0)</f>
        <v>0.2</v>
      </c>
      <c r="F109" s="2" t="s">
        <v>20</v>
      </c>
    </row>
    <row r="110" spans="4:15" ht="20.100000000000001" customHeight="1" x14ac:dyDescent="0.25"/>
    <row r="111" spans="4:15" ht="20.100000000000001" customHeight="1" x14ac:dyDescent="0.25">
      <c r="D111" s="56" t="str">
        <f>'Constants - Dairy'!$D$10</f>
        <v>Drains to paddock</v>
      </c>
      <c r="E111" s="49">
        <v>0.25</v>
      </c>
      <c r="F111" s="49">
        <v>0.25</v>
      </c>
      <c r="G111" s="49">
        <v>0.25</v>
      </c>
      <c r="H111" s="49">
        <v>0.25</v>
      </c>
      <c r="I111" s="49">
        <v>0.25</v>
      </c>
      <c r="J111" s="2" t="s">
        <v>20</v>
      </c>
    </row>
    <row r="112" spans="4:15" ht="20.100000000000001" customHeight="1" x14ac:dyDescent="0.25">
      <c r="D112" s="1" t="str">
        <f>"Were solids separated from " &amp; $D$77 &amp; "?"</f>
        <v>Were solids separated from Drains to paddock?</v>
      </c>
      <c r="E112" s="42" t="s">
        <v>213</v>
      </c>
      <c r="F112" s="2" t="s">
        <v>11</v>
      </c>
    </row>
    <row r="113" spans="4:10" ht="20.100000000000001" customHeight="1" x14ac:dyDescent="0.25">
      <c r="D113" s="1" t="str">
        <f>"Percent solids separated from " &amp; $D$77 &amp; " (Method 1 - Do not edit)"</f>
        <v>Percent solids separated from Drains to paddock (Method 1 - Do not edit)</v>
      </c>
      <c r="E113" s="101">
        <f>IF(E112="Yes", 20%, 0)</f>
        <v>0.2</v>
      </c>
      <c r="F113" s="2" t="s">
        <v>20</v>
      </c>
    </row>
    <row r="114" spans="4:10" ht="20.100000000000001" customHeight="1" x14ac:dyDescent="0.25">
      <c r="D114" s="1" t="str">
        <f>"Percent solids separated from " &amp; $D$77 &amp; " (Method 2 - Edit if known)"</f>
        <v>Percent solids separated from Drains to paddock (Method 2 - Edit if known)</v>
      </c>
      <c r="E114" s="49">
        <f>IF(E112="Yes", 20%, 0)</f>
        <v>0.2</v>
      </c>
      <c r="F114" s="2" t="s">
        <v>20</v>
      </c>
    </row>
    <row r="115" spans="4:10" ht="20.100000000000001" customHeight="1" x14ac:dyDescent="0.25"/>
    <row r="116" spans="4:10" ht="20.100000000000001" customHeight="1" x14ac:dyDescent="0.25">
      <c r="D116" s="56" t="str">
        <f>'Constants - Dairy'!$D$11</f>
        <v>Solid storage</v>
      </c>
      <c r="E116" s="49">
        <v>0.25</v>
      </c>
      <c r="F116" s="49">
        <v>0.25</v>
      </c>
      <c r="G116" s="49">
        <v>0.25</v>
      </c>
      <c r="H116" s="49">
        <v>0.25</v>
      </c>
      <c r="I116" s="49">
        <v>0.25</v>
      </c>
      <c r="J116" s="2" t="s">
        <v>20</v>
      </c>
    </row>
    <row r="117" spans="4:10" ht="20.100000000000001" customHeight="1" x14ac:dyDescent="0.25">
      <c r="D117" s="1" t="str">
        <f>"Perecnt separated from " &amp; $D$67 &amp; " (Method 1)"</f>
        <v>Perecnt separated from Anaerobic lagoon (Method 1)</v>
      </c>
      <c r="E117" s="101">
        <f>E101*$E$103</f>
        <v>0</v>
      </c>
      <c r="F117" s="101">
        <f>F101*$E$103</f>
        <v>0</v>
      </c>
      <c r="G117" s="101">
        <f>G101*$E$103</f>
        <v>0</v>
      </c>
      <c r="H117" s="101">
        <f>H101*$E$103</f>
        <v>0</v>
      </c>
      <c r="I117" s="101">
        <f>I101*$E$103</f>
        <v>0</v>
      </c>
      <c r="J117" s="2" t="s">
        <v>20</v>
      </c>
    </row>
    <row r="118" spans="4:10" ht="20.100000000000001" customHeight="1" x14ac:dyDescent="0.25">
      <c r="D118" s="1" t="str">
        <f>"Perecnt separated from " &amp; $D$72 &amp; " (Method 1)"</f>
        <v>Perecnt separated from Sump and dispersal system (Method 1)</v>
      </c>
      <c r="E118" s="101">
        <f>E106*$E$108</f>
        <v>0.05</v>
      </c>
      <c r="F118" s="101">
        <f>F106*$E$108</f>
        <v>0.05</v>
      </c>
      <c r="G118" s="101">
        <f>G106*$E$108</f>
        <v>0.05</v>
      </c>
      <c r="H118" s="101">
        <f>H106*$E$108</f>
        <v>0.05</v>
      </c>
      <c r="I118" s="101">
        <f>I106*$E$108</f>
        <v>0.05</v>
      </c>
      <c r="J118" s="2" t="s">
        <v>20</v>
      </c>
    </row>
    <row r="119" spans="4:10" ht="20.100000000000001" customHeight="1" x14ac:dyDescent="0.25">
      <c r="D119" s="1" t="str">
        <f>"Perecnt separated from " &amp; $D$77 &amp; " (Method 1)"</f>
        <v>Perecnt separated from Drains to paddock (Method 1)</v>
      </c>
      <c r="E119" s="101">
        <f>E111*$E$113</f>
        <v>0.05</v>
      </c>
      <c r="F119" s="101">
        <f>F111*$E$113</f>
        <v>0.05</v>
      </c>
      <c r="G119" s="101">
        <f>G111*$E$113</f>
        <v>0.05</v>
      </c>
      <c r="H119" s="101">
        <f>H111*$E$113</f>
        <v>0.05</v>
      </c>
      <c r="I119" s="101">
        <f>I111*$E$113</f>
        <v>0.05</v>
      </c>
      <c r="J119" s="2" t="s">
        <v>20</v>
      </c>
    </row>
    <row r="120" spans="4:10" ht="20.100000000000001" customHeight="1" x14ac:dyDescent="0.25">
      <c r="D120" s="1" t="s">
        <v>215</v>
      </c>
      <c r="E120" s="101">
        <f>E$116+SUM(E117:E119)</f>
        <v>0.35</v>
      </c>
      <c r="F120" s="101">
        <f>F$116+SUM(F117:F119)</f>
        <v>0.35</v>
      </c>
      <c r="G120" s="101">
        <f>G$116+SUM(G117:G119)</f>
        <v>0.35</v>
      </c>
      <c r="H120" s="101">
        <f>H$116+SUM(H117:H119)</f>
        <v>0.35</v>
      </c>
      <c r="I120" s="101">
        <f>I$116+SUM(I117:I119)</f>
        <v>0.35</v>
      </c>
      <c r="J120" s="2" t="s">
        <v>20</v>
      </c>
    </row>
    <row r="121" spans="4:10" ht="20.100000000000001" customHeight="1" x14ac:dyDescent="0.25"/>
    <row r="122" spans="4:10" ht="20.100000000000001" customHeight="1" x14ac:dyDescent="0.25">
      <c r="D122" s="1" t="s">
        <v>214</v>
      </c>
      <c r="E122" s="101">
        <f>(E101-(E101*$E$103))+(E106-(E106*$E$108))+(E111-(E111*$E$113))+E120</f>
        <v>1</v>
      </c>
      <c r="F122" s="101">
        <f>(F101-(F101*$E$103))+(F106-(F106*$E$108))+(F111-(F111*$E$113))+F120</f>
        <v>1</v>
      </c>
      <c r="G122" s="101">
        <f>(G101-(G101*$E$103))+(G106-(G106*$E$108))+(G111-(G111*$E$113))+G120</f>
        <v>1</v>
      </c>
      <c r="H122" s="101">
        <f>(H101-(H101*$E$103))+(H106-(H106*$E$108))+(H111-(H111*$E$113))+H120</f>
        <v>1</v>
      </c>
      <c r="I122" s="101">
        <f>(I101-(I101*$E$103))+(I106-(I106*$E$108))+(I111-(I111*$E$113))+I120</f>
        <v>1</v>
      </c>
      <c r="J122" s="2" t="s">
        <v>20</v>
      </c>
    </row>
    <row r="123" spans="4:10" ht="20.100000000000001" customHeight="1" x14ac:dyDescent="0.25"/>
    <row r="124" spans="4:10" ht="20.100000000000001" customHeight="1" x14ac:dyDescent="0.25">
      <c r="D124" s="1" t="str">
        <f>"Perecnt separated from " &amp; $D$67 &amp; " (Method 2)"</f>
        <v>Perecnt separated from Anaerobic lagoon (Method 2)</v>
      </c>
      <c r="E124" s="101">
        <f>E101*$E$104</f>
        <v>0</v>
      </c>
      <c r="F124" s="101">
        <f>F101*$E$104</f>
        <v>0</v>
      </c>
      <c r="G124" s="101">
        <f>G101*$E$104</f>
        <v>0</v>
      </c>
      <c r="H124" s="101">
        <f>H101*$E$104</f>
        <v>0</v>
      </c>
      <c r="I124" s="101">
        <f>I101*$E$104</f>
        <v>0</v>
      </c>
      <c r="J124" s="2" t="s">
        <v>20</v>
      </c>
    </row>
    <row r="125" spans="4:10" ht="20.100000000000001" customHeight="1" x14ac:dyDescent="0.25">
      <c r="D125" s="1" t="str">
        <f>"Perecnt separated from " &amp; $D$72 &amp; " (Method 2)"</f>
        <v>Perecnt separated from Sump and dispersal system (Method 2)</v>
      </c>
      <c r="E125" s="101">
        <f>E106*$E$109</f>
        <v>0.05</v>
      </c>
      <c r="F125" s="101">
        <f>F106*$E$109</f>
        <v>0.05</v>
      </c>
      <c r="G125" s="101">
        <f>G106*$E$109</f>
        <v>0.05</v>
      </c>
      <c r="H125" s="101">
        <f>H106*$E$109</f>
        <v>0.05</v>
      </c>
      <c r="I125" s="101">
        <f>I106*$E$109</f>
        <v>0.05</v>
      </c>
      <c r="J125" s="2" t="s">
        <v>20</v>
      </c>
    </row>
    <row r="126" spans="4:10" ht="20.100000000000001" customHeight="1" x14ac:dyDescent="0.25">
      <c r="D126" s="1" t="str">
        <f>"Perecnt separated from " &amp; $D$77 &amp; " (Method 2)"</f>
        <v>Perecnt separated from Drains to paddock (Method 2)</v>
      </c>
      <c r="E126" s="101">
        <f>E111*$E$114</f>
        <v>0.05</v>
      </c>
      <c r="F126" s="101">
        <f>F111*$E$114</f>
        <v>0.05</v>
      </c>
      <c r="G126" s="101">
        <f>G111*$E$114</f>
        <v>0.05</v>
      </c>
      <c r="H126" s="101">
        <f>H111*$E$114</f>
        <v>0.05</v>
      </c>
      <c r="I126" s="101">
        <f>I111*$E$114</f>
        <v>0.05</v>
      </c>
      <c r="J126" s="2" t="s">
        <v>20</v>
      </c>
    </row>
    <row r="127" spans="4:10" ht="20.100000000000001" customHeight="1" x14ac:dyDescent="0.25">
      <c r="D127" s="1" t="s">
        <v>216</v>
      </c>
      <c r="E127" s="101">
        <f>E$116+SUM(E124:E126)</f>
        <v>0.35</v>
      </c>
      <c r="F127" s="101">
        <f>F$116+SUM(F124:F126)</f>
        <v>0.35</v>
      </c>
      <c r="G127" s="101">
        <f>G$116+SUM(G124:G126)</f>
        <v>0.35</v>
      </c>
      <c r="H127" s="101">
        <f>H$116+SUM(H124:H126)</f>
        <v>0.35</v>
      </c>
      <c r="I127" s="101">
        <f>I$116+SUM(I124:I126)</f>
        <v>0.35</v>
      </c>
      <c r="J127" s="2" t="s">
        <v>20</v>
      </c>
    </row>
    <row r="128" spans="4:10" ht="20.100000000000001" customHeight="1" x14ac:dyDescent="0.25">
      <c r="E128" s="132"/>
      <c r="F128" s="132"/>
    </row>
    <row r="129" spans="4:10" ht="20.100000000000001" customHeight="1" x14ac:dyDescent="0.25">
      <c r="D129" s="1" t="s">
        <v>217</v>
      </c>
      <c r="E129" s="101">
        <f>(E101-(E101*$E$104))+(E106-(E106*$E$109))+(E111-(E111*$E$114))+E127</f>
        <v>1</v>
      </c>
      <c r="F129" s="101">
        <f>(F101-(F101*$E$104))+(F106-(F106*$E$109))+(F111-(F111*$E$114))+F127</f>
        <v>1</v>
      </c>
      <c r="G129" s="101">
        <f>(G101-(G101*$E$104))+(G106-(G106*$E$109))+(G111-(G111*$E$114))+G127</f>
        <v>1</v>
      </c>
      <c r="H129" s="101">
        <f>(H101-(H101*$E$104))+(H106-(H106*$E$109))+(H111-(H111*$E$114))+H127</f>
        <v>1</v>
      </c>
      <c r="I129" s="101">
        <f>(I101-(I101*$E$104))+(I106-(I106*$E$109))+(I111-(I111*$E$114))+I127</f>
        <v>1</v>
      </c>
      <c r="J129" s="2" t="s">
        <v>20</v>
      </c>
    </row>
    <row r="130" spans="4:10" ht="20.100000000000001" customHeight="1" x14ac:dyDescent="0.25"/>
    <row r="131" spans="4:10" ht="20.100000000000001" customHeight="1" x14ac:dyDescent="0.25"/>
    <row r="132" spans="4:10" ht="20.100000000000001" customHeight="1" x14ac:dyDescent="0.25">
      <c r="D132" s="6" t="s">
        <v>218</v>
      </c>
    </row>
    <row r="133" spans="4:10" ht="20.100000000000001" customHeight="1" x14ac:dyDescent="0.25">
      <c r="D133" s="51" t="str">
        <f>"From " &amp; $D$54</f>
        <v>From Milking shed</v>
      </c>
    </row>
    <row r="134" spans="4:10" ht="20.100000000000001" customHeight="1" x14ac:dyDescent="0.25"/>
    <row r="135" spans="4:10" ht="20.100000000000001" customHeight="1" x14ac:dyDescent="0.25">
      <c r="D135" s="66" t="s">
        <v>103</v>
      </c>
      <c r="E135" s="41" t="s">
        <v>178</v>
      </c>
      <c r="F135" s="41" t="s">
        <v>195</v>
      </c>
      <c r="G135" s="41" t="s">
        <v>196</v>
      </c>
      <c r="H135" s="41" t="s">
        <v>197</v>
      </c>
      <c r="I135" s="41" t="s">
        <v>198</v>
      </c>
    </row>
    <row r="136" spans="4:10" ht="20.100000000000001" customHeight="1" x14ac:dyDescent="0.25">
      <c r="D136" s="56" t="str">
        <f>"Sent from stage 1: " &amp; $D$67 &amp; " to:"</f>
        <v>Sent from stage 1: Anaerobic lagoon to:</v>
      </c>
      <c r="E136" s="58"/>
    </row>
    <row r="137" spans="4:10" ht="20.100000000000001" customHeight="1" x14ac:dyDescent="0.25">
      <c r="D137" s="1" t="s">
        <v>112</v>
      </c>
      <c r="E137" s="49">
        <v>0.25</v>
      </c>
      <c r="F137" s="49">
        <v>0.25</v>
      </c>
      <c r="G137" s="49">
        <v>0.25</v>
      </c>
      <c r="H137" s="49">
        <v>0.25</v>
      </c>
      <c r="I137" s="49">
        <v>0.25</v>
      </c>
      <c r="J137" s="2" t="s">
        <v>20</v>
      </c>
    </row>
    <row r="138" spans="4:10" ht="20.100000000000001" customHeight="1" x14ac:dyDescent="0.25">
      <c r="D138" s="1" t="s">
        <v>222</v>
      </c>
      <c r="E138" s="49">
        <v>0.25</v>
      </c>
      <c r="F138" s="49">
        <v>0.25</v>
      </c>
      <c r="G138" s="49">
        <v>0.25</v>
      </c>
      <c r="H138" s="49">
        <v>0.25</v>
      </c>
      <c r="I138" s="49">
        <v>0.25</v>
      </c>
      <c r="J138" s="2" t="s">
        <v>20</v>
      </c>
    </row>
    <row r="139" spans="4:10" ht="20.100000000000001" customHeight="1" x14ac:dyDescent="0.25">
      <c r="D139" s="1" t="s">
        <v>137</v>
      </c>
      <c r="E139" s="101">
        <f t="shared" ref="E139:I139" si="1">1-SUM(E137:E138)</f>
        <v>0.5</v>
      </c>
      <c r="F139" s="101">
        <f t="shared" si="1"/>
        <v>0.5</v>
      </c>
      <c r="G139" s="101">
        <f t="shared" si="1"/>
        <v>0.5</v>
      </c>
      <c r="H139" s="101">
        <f t="shared" si="1"/>
        <v>0.5</v>
      </c>
      <c r="I139" s="101">
        <f t="shared" si="1"/>
        <v>0.5</v>
      </c>
      <c r="J139" s="2" t="s">
        <v>20</v>
      </c>
    </row>
    <row r="140" spans="4:10" ht="20.100000000000001" customHeight="1" x14ac:dyDescent="0.25"/>
    <row r="141" spans="4:10" ht="20.100000000000001" customHeight="1" x14ac:dyDescent="0.25">
      <c r="D141" s="56" t="str">
        <f>"Sent from stage 1: " &amp; $D$72 &amp; " to:"</f>
        <v>Sent from stage 1: Sump and dispersal system to:</v>
      </c>
    </row>
    <row r="142" spans="4:10" ht="20.100000000000001" customHeight="1" x14ac:dyDescent="0.25">
      <c r="D142" s="1" t="s">
        <v>112</v>
      </c>
      <c r="E142" s="49">
        <v>0.25</v>
      </c>
      <c r="F142" s="49">
        <v>0.25</v>
      </c>
      <c r="G142" s="49">
        <v>0.25</v>
      </c>
      <c r="H142" s="49">
        <v>0.25</v>
      </c>
      <c r="I142" s="49">
        <v>0.25</v>
      </c>
      <c r="J142" s="2" t="s">
        <v>20</v>
      </c>
    </row>
    <row r="143" spans="4:10" ht="20.100000000000001" customHeight="1" x14ac:dyDescent="0.25">
      <c r="D143" s="1" t="s">
        <v>222</v>
      </c>
      <c r="E143" s="49">
        <v>0.25</v>
      </c>
      <c r="F143" s="49">
        <v>0.25</v>
      </c>
      <c r="G143" s="49">
        <v>0.25</v>
      </c>
      <c r="H143" s="49">
        <v>0.25</v>
      </c>
      <c r="I143" s="49">
        <v>0.25</v>
      </c>
      <c r="J143" s="2" t="s">
        <v>20</v>
      </c>
    </row>
    <row r="144" spans="4:10" ht="20.100000000000001" customHeight="1" x14ac:dyDescent="0.25">
      <c r="D144" s="1" t="s">
        <v>137</v>
      </c>
      <c r="E144" s="101">
        <f>1-SUM(E142:E143)</f>
        <v>0.5</v>
      </c>
      <c r="F144" s="101">
        <f t="shared" ref="F144:I144" si="2">1-SUM(F142:F143)</f>
        <v>0.5</v>
      </c>
      <c r="G144" s="101">
        <f t="shared" si="2"/>
        <v>0.5</v>
      </c>
      <c r="H144" s="101">
        <f t="shared" si="2"/>
        <v>0.5</v>
      </c>
      <c r="I144" s="101">
        <f t="shared" si="2"/>
        <v>0.5</v>
      </c>
      <c r="J144" s="2" t="s">
        <v>20</v>
      </c>
    </row>
    <row r="145" spans="4:10" ht="20.100000000000001" customHeight="1" x14ac:dyDescent="0.25"/>
    <row r="146" spans="4:10" ht="20.100000000000001" customHeight="1" x14ac:dyDescent="0.25">
      <c r="D146" s="56" t="str">
        <f>"Sent from stage 1: " &amp; $D$77 &amp; " to:"</f>
        <v>Sent from stage 1: Drains to paddock to:</v>
      </c>
    </row>
    <row r="147" spans="4:10" ht="20.100000000000001" customHeight="1" x14ac:dyDescent="0.25">
      <c r="D147" s="1" t="s">
        <v>112</v>
      </c>
      <c r="E147" s="49">
        <v>0.25</v>
      </c>
      <c r="F147" s="49">
        <v>0.25</v>
      </c>
      <c r="G147" s="49">
        <v>0.25</v>
      </c>
      <c r="H147" s="49">
        <v>0.25</v>
      </c>
      <c r="I147" s="49">
        <v>0.25</v>
      </c>
      <c r="J147" s="2" t="s">
        <v>20</v>
      </c>
    </row>
    <row r="148" spans="4:10" ht="20.100000000000001" customHeight="1" x14ac:dyDescent="0.25">
      <c r="D148" s="1" t="s">
        <v>222</v>
      </c>
      <c r="E148" s="49">
        <v>0.25</v>
      </c>
      <c r="F148" s="49">
        <v>0.25</v>
      </c>
      <c r="G148" s="49">
        <v>0.25</v>
      </c>
      <c r="H148" s="49">
        <v>0.25</v>
      </c>
      <c r="I148" s="49">
        <v>0.25</v>
      </c>
      <c r="J148" s="2" t="s">
        <v>20</v>
      </c>
    </row>
    <row r="149" spans="4:10" ht="20.100000000000001" customHeight="1" x14ac:dyDescent="0.25">
      <c r="D149" s="1" t="s">
        <v>137</v>
      </c>
      <c r="E149" s="101">
        <f>1-SUM(E147:E148)</f>
        <v>0.5</v>
      </c>
      <c r="F149" s="101">
        <f t="shared" ref="F149:I149" si="3">1-SUM(F147:F148)</f>
        <v>0.5</v>
      </c>
      <c r="G149" s="101">
        <f t="shared" si="3"/>
        <v>0.5</v>
      </c>
      <c r="H149" s="101">
        <f t="shared" si="3"/>
        <v>0.5</v>
      </c>
      <c r="I149" s="101">
        <f t="shared" si="3"/>
        <v>0.5</v>
      </c>
      <c r="J149" s="2" t="s">
        <v>20</v>
      </c>
    </row>
    <row r="150" spans="4:10" ht="20.100000000000001" customHeight="1" x14ac:dyDescent="0.25"/>
    <row r="151" spans="4:10" ht="20.100000000000001" customHeight="1" x14ac:dyDescent="0.25">
      <c r="D151" s="56" t="str">
        <f>"Sent from stage 1: " &amp; $D$82 &amp; " to:"</f>
        <v>Sent from stage 1: Solid storage to:</v>
      </c>
    </row>
    <row r="152" spans="4:10" ht="20.100000000000001" customHeight="1" x14ac:dyDescent="0.25">
      <c r="D152" s="1" t="s">
        <v>112</v>
      </c>
      <c r="E152" s="49">
        <v>0.25</v>
      </c>
      <c r="F152" s="49">
        <v>0.25</v>
      </c>
      <c r="G152" s="49">
        <v>0.25</v>
      </c>
      <c r="H152" s="49">
        <v>0.25</v>
      </c>
      <c r="I152" s="49">
        <v>0.25</v>
      </c>
      <c r="J152" s="2" t="s">
        <v>20</v>
      </c>
    </row>
    <row r="153" spans="4:10" ht="20.100000000000001" customHeight="1" x14ac:dyDescent="0.25">
      <c r="D153" s="1" t="s">
        <v>222</v>
      </c>
      <c r="E153" s="49">
        <v>0.25</v>
      </c>
      <c r="F153" s="49">
        <v>0.25</v>
      </c>
      <c r="G153" s="49">
        <v>0.25</v>
      </c>
      <c r="H153" s="49">
        <v>0.25</v>
      </c>
      <c r="I153" s="49">
        <v>0.25</v>
      </c>
      <c r="J153" s="2" t="s">
        <v>20</v>
      </c>
    </row>
    <row r="154" spans="4:10" ht="20.100000000000001" customHeight="1" x14ac:dyDescent="0.25">
      <c r="D154" s="1" t="s">
        <v>137</v>
      </c>
      <c r="E154" s="101">
        <f>1-SUM(E152:E153)</f>
        <v>0.5</v>
      </c>
      <c r="F154" s="101">
        <f t="shared" ref="F154:I154" si="4">1-SUM(F152:F153)</f>
        <v>0.5</v>
      </c>
      <c r="G154" s="101">
        <f t="shared" si="4"/>
        <v>0.5</v>
      </c>
      <c r="H154" s="101">
        <f t="shared" si="4"/>
        <v>0.5</v>
      </c>
      <c r="I154" s="101">
        <f t="shared" si="4"/>
        <v>0.5</v>
      </c>
      <c r="J154" s="2" t="s">
        <v>20</v>
      </c>
    </row>
    <row r="155" spans="4:10" ht="20.100000000000001" customHeight="1" x14ac:dyDescent="0.25"/>
    <row r="156" spans="4:10" ht="20.100000000000001" customHeight="1" x14ac:dyDescent="0.25">
      <c r="D156" s="113"/>
    </row>
    <row r="157" spans="4:10" ht="20.100000000000001" customHeight="1" x14ac:dyDescent="0.25">
      <c r="D157" s="51" t="str">
        <f>"From " &amp; $D$55</f>
        <v>From Feed pad</v>
      </c>
    </row>
    <row r="158" spans="4:10" ht="20.100000000000001" customHeight="1" x14ac:dyDescent="0.25"/>
    <row r="159" spans="4:10" ht="20.100000000000001" customHeight="1" x14ac:dyDescent="0.25">
      <c r="D159" s="66" t="s">
        <v>103</v>
      </c>
      <c r="E159" s="41" t="s">
        <v>178</v>
      </c>
      <c r="F159" s="41" t="s">
        <v>195</v>
      </c>
      <c r="G159" s="41" t="s">
        <v>196</v>
      </c>
      <c r="H159" s="41" t="s">
        <v>197</v>
      </c>
      <c r="I159" s="41" t="s">
        <v>198</v>
      </c>
    </row>
    <row r="160" spans="4:10" ht="20.100000000000001" customHeight="1" x14ac:dyDescent="0.25">
      <c r="D160" s="56" t="str">
        <f>"Sent from stage 1: " &amp; $D$67 &amp; " to:"</f>
        <v>Sent from stage 1: Anaerobic lagoon to:</v>
      </c>
      <c r="E160" s="58"/>
    </row>
    <row r="161" spans="4:10" ht="20.100000000000001" customHeight="1" x14ac:dyDescent="0.25">
      <c r="D161" s="1" t="s">
        <v>112</v>
      </c>
      <c r="E161" s="49">
        <v>0.25</v>
      </c>
      <c r="F161" s="49">
        <v>0.25</v>
      </c>
      <c r="G161" s="49">
        <v>0.25</v>
      </c>
      <c r="H161" s="49">
        <v>0.25</v>
      </c>
      <c r="I161" s="49">
        <v>0.25</v>
      </c>
      <c r="J161" s="2" t="s">
        <v>20</v>
      </c>
    </row>
    <row r="162" spans="4:10" ht="20.100000000000001" customHeight="1" x14ac:dyDescent="0.25">
      <c r="D162" s="1" t="s">
        <v>222</v>
      </c>
      <c r="E162" s="49">
        <v>0.25</v>
      </c>
      <c r="F162" s="49">
        <v>0.25</v>
      </c>
      <c r="G162" s="49">
        <v>0.25</v>
      </c>
      <c r="H162" s="49">
        <v>0.25</v>
      </c>
      <c r="I162" s="49">
        <v>0.25</v>
      </c>
      <c r="J162" s="2" t="s">
        <v>20</v>
      </c>
    </row>
    <row r="163" spans="4:10" ht="20.100000000000001" customHeight="1" x14ac:dyDescent="0.25">
      <c r="D163" s="1" t="s">
        <v>137</v>
      </c>
      <c r="E163" s="101">
        <f t="shared" ref="E163:I163" si="5">1-SUM(E161:E162)</f>
        <v>0.5</v>
      </c>
      <c r="F163" s="101">
        <f t="shared" si="5"/>
        <v>0.5</v>
      </c>
      <c r="G163" s="101">
        <f t="shared" si="5"/>
        <v>0.5</v>
      </c>
      <c r="H163" s="101">
        <f t="shared" si="5"/>
        <v>0.5</v>
      </c>
      <c r="I163" s="101">
        <f t="shared" si="5"/>
        <v>0.5</v>
      </c>
      <c r="J163" s="2" t="s">
        <v>20</v>
      </c>
    </row>
    <row r="164" spans="4:10" ht="20.100000000000001" customHeight="1" x14ac:dyDescent="0.25"/>
    <row r="165" spans="4:10" ht="20.100000000000001" customHeight="1" x14ac:dyDescent="0.25">
      <c r="D165" s="56" t="str">
        <f>"Sent from stage 1: " &amp; $D$72 &amp; " to:"</f>
        <v>Sent from stage 1: Sump and dispersal system to:</v>
      </c>
    </row>
    <row r="166" spans="4:10" x14ac:dyDescent="0.25">
      <c r="D166" s="1" t="s">
        <v>112</v>
      </c>
      <c r="E166" s="49">
        <v>0.25</v>
      </c>
      <c r="F166" s="49">
        <v>0.25</v>
      </c>
      <c r="G166" s="49">
        <v>0.25</v>
      </c>
      <c r="H166" s="49">
        <v>0.25</v>
      </c>
      <c r="I166" s="49">
        <v>0.25</v>
      </c>
      <c r="J166" s="2" t="s">
        <v>20</v>
      </c>
    </row>
    <row r="167" spans="4:10" x14ac:dyDescent="0.25">
      <c r="D167" s="1" t="s">
        <v>222</v>
      </c>
      <c r="E167" s="49">
        <v>0.25</v>
      </c>
      <c r="F167" s="49">
        <v>0.25</v>
      </c>
      <c r="G167" s="49">
        <v>0.25</v>
      </c>
      <c r="H167" s="49">
        <v>0.25</v>
      </c>
      <c r="I167" s="49">
        <v>0.25</v>
      </c>
      <c r="J167" s="2" t="s">
        <v>20</v>
      </c>
    </row>
    <row r="168" spans="4:10" x14ac:dyDescent="0.25">
      <c r="D168" s="1" t="s">
        <v>137</v>
      </c>
      <c r="E168" s="101">
        <f>1-SUM(E166:E167)</f>
        <v>0.5</v>
      </c>
      <c r="F168" s="101">
        <f t="shared" ref="F168:I168" si="6">1-SUM(F166:F167)</f>
        <v>0.5</v>
      </c>
      <c r="G168" s="101">
        <f t="shared" si="6"/>
        <v>0.5</v>
      </c>
      <c r="H168" s="101">
        <f t="shared" si="6"/>
        <v>0.5</v>
      </c>
      <c r="I168" s="101">
        <f t="shared" si="6"/>
        <v>0.5</v>
      </c>
      <c r="J168" s="2" t="s">
        <v>20</v>
      </c>
    </row>
    <row r="170" spans="4:10" x14ac:dyDescent="0.25">
      <c r="D170" s="56" t="str">
        <f>"Sent from stage 1: " &amp; $D$77 &amp; " to:"</f>
        <v>Sent from stage 1: Drains to paddock to:</v>
      </c>
    </row>
    <row r="171" spans="4:10" x14ac:dyDescent="0.25">
      <c r="D171" s="1" t="s">
        <v>112</v>
      </c>
      <c r="E171" s="49">
        <v>0.25</v>
      </c>
      <c r="F171" s="49">
        <v>0.25</v>
      </c>
      <c r="G171" s="49">
        <v>0.25</v>
      </c>
      <c r="H171" s="49">
        <v>0.25</v>
      </c>
      <c r="I171" s="49">
        <v>0.25</v>
      </c>
      <c r="J171" s="2" t="s">
        <v>20</v>
      </c>
    </row>
    <row r="172" spans="4:10" x14ac:dyDescent="0.25">
      <c r="D172" s="1" t="s">
        <v>222</v>
      </c>
      <c r="E172" s="49">
        <v>0.25</v>
      </c>
      <c r="F172" s="49">
        <v>0.25</v>
      </c>
      <c r="G172" s="49">
        <v>0.25</v>
      </c>
      <c r="H172" s="49">
        <v>0.25</v>
      </c>
      <c r="I172" s="49">
        <v>0.25</v>
      </c>
      <c r="J172" s="2" t="s">
        <v>20</v>
      </c>
    </row>
    <row r="173" spans="4:10" x14ac:dyDescent="0.25">
      <c r="D173" s="1" t="s">
        <v>137</v>
      </c>
      <c r="E173" s="101">
        <f>1-SUM(E171:E172)</f>
        <v>0.5</v>
      </c>
      <c r="F173" s="101">
        <f t="shared" ref="F173:I173" si="7">1-SUM(F171:F172)</f>
        <v>0.5</v>
      </c>
      <c r="G173" s="101">
        <f t="shared" si="7"/>
        <v>0.5</v>
      </c>
      <c r="H173" s="101">
        <f t="shared" si="7"/>
        <v>0.5</v>
      </c>
      <c r="I173" s="101">
        <f t="shared" si="7"/>
        <v>0.5</v>
      </c>
      <c r="J173" s="2" t="s">
        <v>20</v>
      </c>
    </row>
    <row r="175" spans="4:10" x14ac:dyDescent="0.25">
      <c r="D175" s="56" t="str">
        <f>"Sent from stage 1: " &amp; $D$82 &amp; " to:"</f>
        <v>Sent from stage 1: Solid storage to:</v>
      </c>
    </row>
    <row r="176" spans="4:10" x14ac:dyDescent="0.25">
      <c r="D176" s="1" t="s">
        <v>112</v>
      </c>
      <c r="E176" s="49">
        <v>0.25</v>
      </c>
      <c r="F176" s="49">
        <v>0.25</v>
      </c>
      <c r="G176" s="49">
        <v>0.25</v>
      </c>
      <c r="H176" s="49">
        <v>0.25</v>
      </c>
      <c r="I176" s="49">
        <v>0.25</v>
      </c>
      <c r="J176" s="2" t="s">
        <v>20</v>
      </c>
    </row>
    <row r="177" spans="4:10" x14ac:dyDescent="0.25">
      <c r="D177" s="1" t="s">
        <v>222</v>
      </c>
      <c r="E177" s="49">
        <v>0.25</v>
      </c>
      <c r="F177" s="49">
        <v>0.25</v>
      </c>
      <c r="G177" s="49">
        <v>0.25</v>
      </c>
      <c r="H177" s="49">
        <v>0.25</v>
      </c>
      <c r="I177" s="49">
        <v>0.25</v>
      </c>
      <c r="J177" s="2" t="s">
        <v>20</v>
      </c>
    </row>
    <row r="178" spans="4:10" x14ac:dyDescent="0.25">
      <c r="D178" s="1" t="s">
        <v>137</v>
      </c>
      <c r="E178" s="101">
        <f>1-SUM(E176:E177)</f>
        <v>0.5</v>
      </c>
      <c r="F178" s="101">
        <f t="shared" ref="F178:I178" si="8">1-SUM(F176:F177)</f>
        <v>0.5</v>
      </c>
      <c r="G178" s="101">
        <f t="shared" si="8"/>
        <v>0.5</v>
      </c>
      <c r="H178" s="101">
        <f t="shared" si="8"/>
        <v>0.5</v>
      </c>
      <c r="I178" s="101">
        <f t="shared" si="8"/>
        <v>0.5</v>
      </c>
      <c r="J178" s="2" t="s">
        <v>20</v>
      </c>
    </row>
    <row r="180" spans="4:10" x14ac:dyDescent="0.25">
      <c r="D180" s="113"/>
    </row>
    <row r="183" spans="4:10" x14ac:dyDescent="0.25">
      <c r="D183" s="1" t="s">
        <v>146</v>
      </c>
      <c r="E183" s="42" t="s">
        <v>151</v>
      </c>
      <c r="F183" s="2" t="s">
        <v>11</v>
      </c>
    </row>
    <row r="184" spans="4:10" x14ac:dyDescent="0.25">
      <c r="E184" s="42" t="s">
        <v>156</v>
      </c>
      <c r="F184" s="2" t="s">
        <v>11</v>
      </c>
    </row>
  </sheetData>
  <conditionalFormatting sqref="E10:J10 E24:J25 E28:J29 J67 J72 J77 J82:J86">
    <cfRule type="cellIs" dxfId="55" priority="30" operator="lessThan">
      <formula>0</formula>
    </cfRule>
  </conditionalFormatting>
  <conditionalFormatting sqref="E14:J15">
    <cfRule type="cellIs" dxfId="54" priority="2" operator="lessThan">
      <formula>0</formula>
    </cfRule>
  </conditionalFormatting>
  <conditionalFormatting sqref="E18:J19">
    <cfRule type="cellIs" dxfId="53" priority="1" operator="lessThan">
      <formula>0</formula>
    </cfRule>
  </conditionalFormatting>
  <conditionalFormatting sqref="E35:J37">
    <cfRule type="cellIs" dxfId="52" priority="6" operator="lessThan">
      <formula>0</formula>
    </cfRule>
  </conditionalFormatting>
  <conditionalFormatting sqref="E40:J42">
    <cfRule type="cellIs" dxfId="51" priority="3" operator="lessThan">
      <formula>0</formula>
    </cfRule>
  </conditionalFormatting>
  <conditionalFormatting sqref="F69:F70">
    <cfRule type="cellIs" dxfId="50" priority="21" operator="lessThan">
      <formula>0</formula>
    </cfRule>
  </conditionalFormatting>
  <conditionalFormatting sqref="F74:F75">
    <cfRule type="cellIs" dxfId="49" priority="20" operator="lessThan">
      <formula>0</formula>
    </cfRule>
  </conditionalFormatting>
  <conditionalFormatting sqref="F79:F80">
    <cfRule type="cellIs" dxfId="48" priority="19" operator="lessThan">
      <formula>0</formula>
    </cfRule>
  </conditionalFormatting>
  <conditionalFormatting sqref="F103:F104">
    <cfRule type="cellIs" dxfId="47" priority="13" operator="lessThan">
      <formula>0</formula>
    </cfRule>
  </conditionalFormatting>
  <conditionalFormatting sqref="F108:F109">
    <cfRule type="cellIs" dxfId="46" priority="12" operator="lessThan">
      <formula>0</formula>
    </cfRule>
  </conditionalFormatting>
  <conditionalFormatting sqref="F113:F114">
    <cfRule type="cellIs" dxfId="45" priority="11" operator="lessThan">
      <formula>0</formula>
    </cfRule>
  </conditionalFormatting>
  <conditionalFormatting sqref="J53:J55">
    <cfRule type="cellIs" dxfId="44" priority="24" operator="lessThan">
      <formula>0</formula>
    </cfRule>
  </conditionalFormatting>
  <conditionalFormatting sqref="J58:J60">
    <cfRule type="cellIs" dxfId="43" priority="23" operator="lessThan">
      <formula>0</formula>
    </cfRule>
  </conditionalFormatting>
  <conditionalFormatting sqref="J88">
    <cfRule type="cellIs" dxfId="42" priority="17" operator="lessThan">
      <formula>0</formula>
    </cfRule>
  </conditionalFormatting>
  <conditionalFormatting sqref="J90:J93">
    <cfRule type="cellIs" dxfId="41" priority="16" operator="lessThan">
      <formula>0</formula>
    </cfRule>
  </conditionalFormatting>
  <conditionalFormatting sqref="J95">
    <cfRule type="cellIs" dxfId="40" priority="15" operator="lessThan">
      <formula>0</formula>
    </cfRule>
  </conditionalFormatting>
  <conditionalFormatting sqref="J101 J106 J111 J116:J120">
    <cfRule type="cellIs" dxfId="39" priority="14" operator="lessThan">
      <formula>0</formula>
    </cfRule>
  </conditionalFormatting>
  <conditionalFormatting sqref="J122">
    <cfRule type="cellIs" dxfId="38" priority="10" operator="lessThan">
      <formula>0</formula>
    </cfRule>
  </conditionalFormatting>
  <conditionalFormatting sqref="J124:J127">
    <cfRule type="cellIs" dxfId="37" priority="9" operator="lessThan">
      <formula>0</formula>
    </cfRule>
  </conditionalFormatting>
  <conditionalFormatting sqref="J129">
    <cfRule type="cellIs" dxfId="36" priority="8" operator="lessThan">
      <formula>0</formula>
    </cfRule>
  </conditionalFormatting>
  <conditionalFormatting sqref="K43:M43">
    <cfRule type="cellIs" dxfId="35" priority="31" operator="lessThan">
      <formula>0</formula>
    </cfRule>
  </conditionalFormatting>
  <dataValidations count="6">
    <dataValidation type="list" allowBlank="1" showInputMessage="1" showErrorMessage="1" sqref="D96" xr:uid="{4E913AB3-F90B-4C35-BCE1-5DBB8FC05107}">
      <formula1>INDIRECT("Table_SourceData_PoultryMMSStage1[MMS]")</formula1>
    </dataValidation>
    <dataValidation type="list" allowBlank="1" showInputMessage="1" showErrorMessage="1" sqref="E183" xr:uid="{AF94BFC8-A9BD-4286-932B-111409BF1EB6}">
      <formula1>INDIRECT("Table_SourceData_Dairy_CropProdSystems[Production system]")</formula1>
    </dataValidation>
    <dataValidation type="list" allowBlank="1" showInputMessage="1" showErrorMessage="1" sqref="E184" xr:uid="{20E9D9A1-CABD-46A5-B149-02F06B30AA0E}">
      <formula1>INDIRECT("Table_SourceData_Dairy_IrrigationMethods[Irrigation method]")</formula1>
    </dataValidation>
    <dataValidation type="list" allowBlank="1" showInputMessage="1" showErrorMessage="1" sqref="E50" xr:uid="{9FB53635-991F-44AA-A123-E8ABEF9EE0A6}">
      <formula1>INDIRECT("Table_SourceData_Dairy_ProductionSystemTemplates[Area]")</formula1>
    </dataValidation>
    <dataValidation type="list" allowBlank="1" showInputMessage="1" showErrorMessage="1" sqref="E68 E73 E78 E112 E107 E102"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W271"/>
  <sheetViews>
    <sheetView showGridLines="0" topLeftCell="A239" zoomScaleNormal="100" workbookViewId="0">
      <selection activeCell="F255" sqref="F25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71" t="e" vm="1">
        <v>#VALUE!</v>
      </c>
      <c r="C1" s="8" t="s">
        <v>297</v>
      </c>
    </row>
    <row r="2" spans="1:23" s="9" customFormat="1" ht="20.100000000000001" customHeight="1" x14ac:dyDescent="0.25"/>
    <row r="3" spans="1:23" ht="20.100000000000001" customHeight="1" x14ac:dyDescent="0.25">
      <c r="A3" s="17" t="str">
        <f>HYPERLINK("#'Home'!A1", "Home")</f>
        <v>Home</v>
      </c>
      <c r="C3" s="4"/>
      <c r="D3" s="4" t="s">
        <v>123</v>
      </c>
      <c r="E3" s="4"/>
      <c r="F3" s="4"/>
      <c r="G3" s="4"/>
      <c r="H3" s="4"/>
      <c r="I3" s="4"/>
      <c r="J3" s="4"/>
      <c r="K3" s="4"/>
      <c r="L3" s="4"/>
      <c r="N3" s="4"/>
      <c r="O3" s="4" t="s">
        <v>124</v>
      </c>
      <c r="P3" s="4"/>
      <c r="Q3" s="4"/>
      <c r="R3" s="4"/>
      <c r="S3" s="4"/>
      <c r="T3" s="4"/>
      <c r="U3" s="4"/>
      <c r="V3" s="4"/>
      <c r="W3" s="4"/>
    </row>
    <row r="4" spans="1:23" ht="20.100000000000001" customHeight="1" x14ac:dyDescent="0.25">
      <c r="A4" s="17" t="str">
        <f>HYPERLINK("#'Results'!A1", "Results")</f>
        <v>Results</v>
      </c>
    </row>
    <row r="5" spans="1:23" ht="20.100000000000001" customHeight="1" x14ac:dyDescent="0.25">
      <c r="A5" s="16"/>
      <c r="D5" s="131" t="str" cm="1">
        <f t="array" ref="D5">EntericMethane_Dairy_Equations.VEERG_3_3_1_1__6_MetabolisabilityOfDiet_Title()</f>
        <v>Metabolisability of the diet based on Minson and McDonald (1987)</v>
      </c>
    </row>
    <row r="6" spans="1:23" ht="20.100000000000001" customHeight="1" x14ac:dyDescent="0.25">
      <c r="A6" s="20" t="s">
        <v>3</v>
      </c>
      <c r="D6" s="5" t="str" cm="1">
        <f t="array" ref="D6">EntericMethane_Dairy_Equations.VEERG_3_3_1_1__6_MetabolisabilityOfDiet_Source()</f>
        <v>VEERG 2026: 3.3.1.1, Equation (6)</v>
      </c>
    </row>
    <row r="7" spans="1:23" ht="20.100000000000001" customHeight="1" x14ac:dyDescent="0.25">
      <c r="A7" s="17" t="str">
        <f>HYPERLINK("#'Input - Site'!A1", "Site")</f>
        <v>Site</v>
      </c>
      <c r="D7" s="13" t="s">
        <v>28</v>
      </c>
      <c r="E7" s="13" t="str" cm="1">
        <f t="array" aca="1" ref="E7" ca="1">Common_InputFunctions.Utility_DisplayFunctionName(D23)</f>
        <v>=EntericMethane_Dairy_Equations.VEERG_3_3_1_1__6_MetabolisabilityOfDiet</v>
      </c>
    </row>
    <row r="8" spans="1:23" ht="20.100000000000001" customHeight="1" x14ac:dyDescent="0.25">
      <c r="A8" s="17" t="str">
        <f>HYPERLINK("#'Input - Dairy'!A1", "Dairy")</f>
        <v>Dairy</v>
      </c>
    </row>
    <row r="9" spans="1:23" ht="20.100000000000001" customHeight="1" x14ac:dyDescent="0.25">
      <c r="A9" s="17"/>
    </row>
    <row r="10" spans="1:23" ht="20.100000000000001" customHeight="1" x14ac:dyDescent="0.25">
      <c r="A10" s="19" t="s">
        <v>78</v>
      </c>
      <c r="D10" s="56" t="s">
        <v>31</v>
      </c>
      <c r="E10" s="1" t="str" cm="1">
        <f t="array" ref="E10">EntericMethane_Dairy_Equations.VEERG_3_3_1_1__6_MetabolisabilityOfDiet_Variable()</f>
        <v>qm_j</v>
      </c>
    </row>
    <row r="11" spans="1:23" ht="20.100000000000001" customHeight="1" x14ac:dyDescent="0.25">
      <c r="A11" s="22" t="str">
        <f>HYPERLINK("#'4.3.1.1-2 Methane'!A1", "4.3.1.1-2 Methane")</f>
        <v>4.3.1.1-2 Methane</v>
      </c>
      <c r="D11" s="56" t="s">
        <v>21</v>
      </c>
      <c r="E11" s="57" t="str" cm="1">
        <f t="array" ref="E11">EntericMethane_Dairy_Equations.VEERG_3_3_1_1__6_MetabolisabilityOfDiet_Unit()</f>
        <v>fraction</v>
      </c>
    </row>
    <row r="12" spans="1:23" ht="20.100000000000001" customHeight="1" x14ac:dyDescent="0.25">
      <c r="A12" s="17" t="str">
        <f>HYPERLINK("#'4.3.1.3-4 Direct N20'!A1", "4.3.1.3-4 Direct N2O")</f>
        <v>4.3.1.3-4 Direct N2O</v>
      </c>
    </row>
    <row r="13" spans="1:23" ht="20.100000000000001" customHeight="1" x14ac:dyDescent="0.25">
      <c r="A13" s="17" t="str">
        <f>HYPERLINK("#'4.3.1.5 Atmos Deposition'!A1", "4.3.1.5 Atmospheric deposition")</f>
        <v>4.3.1.5 Atmospheric deposition</v>
      </c>
      <c r="D13" s="115" t="str" cm="1">
        <f t="array" ref="D13:E13">EntericMethane_Dairy_Equations.VEERG_3_3_1_1__6_MetabolisabilityOfDiet_Arguments()</f>
        <v>DMD_j</v>
      </c>
      <c r="E13" s="117" t="str">
        <v>dry matter digestibility expressed as a fraction</v>
      </c>
      <c r="F13" s="116"/>
      <c r="G13" s="115" t="str">
        <f>"See " &amp; D15</f>
        <v>See M1_Table_DMD_j</v>
      </c>
    </row>
    <row r="14" spans="1:23" ht="20.100000000000001" customHeight="1" x14ac:dyDescent="0.25">
      <c r="A14" s="17" t="str">
        <f>HYPERLINK("#'4.3.1.6-7 Leaching and runoff'!A1", "4.3.1.6-7 Leaching and runoff")</f>
        <v>4.3.1.6-7 Leaching and runoff</v>
      </c>
    </row>
    <row r="15" spans="1:23" ht="20.100000000000001" customHeight="1" x14ac:dyDescent="0.25">
      <c r="A15" s="17" t="str">
        <f>HYPERLINK("#'4.3.1.8 Manure applied to soils'!A1", "4.3.1.8 Manure applied to soils")</f>
        <v>4.3.1.8 Manure applied to soils</v>
      </c>
      <c r="D15" s="104" t="s">
        <v>128</v>
      </c>
      <c r="O15" s="104" t="s">
        <v>131</v>
      </c>
    </row>
    <row r="16" spans="1:23" ht="20.100000000000001" customHeight="1" x14ac:dyDescent="0.25">
      <c r="A16" s="17" t="str">
        <f>HYPERLINK("#'4.3.1.9 Soil direct N2O'!A1", "4.3.1.9 Soil direct N2O")</f>
        <v>4.3.1.9 Soil direct N2O</v>
      </c>
      <c r="D16" s="103" t="s">
        <v>130</v>
      </c>
      <c r="O16" s="103" t="s">
        <v>251</v>
      </c>
    </row>
    <row r="17" spans="1:23" ht="20.100000000000001" customHeight="1" x14ac:dyDescent="0.25">
      <c r="A17" s="17" t="str">
        <f>HYPERLINK("#'4.3.1.10-11 Soil Atmos Dep'!A1", "4.3.1.10-11 Soil atm. deposition")</f>
        <v>4.3.1.10-11 Soil atm. deposition</v>
      </c>
      <c r="D17" s="54" t="s">
        <v>178</v>
      </c>
      <c r="E17" s="54" t="s">
        <v>195</v>
      </c>
      <c r="F17" s="54" t="s">
        <v>196</v>
      </c>
      <c r="G17" s="54" t="s">
        <v>197</v>
      </c>
      <c r="H17" s="54" t="s">
        <v>198</v>
      </c>
      <c r="O17" s="54" t="s">
        <v>178</v>
      </c>
      <c r="P17" s="54" t="s">
        <v>195</v>
      </c>
      <c r="Q17" s="54" t="s">
        <v>196</v>
      </c>
      <c r="R17" s="54" t="s">
        <v>197</v>
      </c>
      <c r="S17" s="54" t="s">
        <v>198</v>
      </c>
    </row>
    <row r="18" spans="1:23" ht="20.100000000000001" customHeight="1" x14ac:dyDescent="0.25">
      <c r="A18" s="17" t="str">
        <f>HYPERLINK("#'4.3.1.12-13 Soil leach runoff'!A1", "4.3.1.12-13 Soil leach &amp; runoff")</f>
        <v>4.3.1.12-13 Soil leach &amp; runoff</v>
      </c>
      <c r="D18" s="55">
        <f>'Input - Dairy'!$E$36</f>
        <v>0.75</v>
      </c>
      <c r="E18" s="55">
        <f>'Input - Dairy'!$F$36</f>
        <v>0.75</v>
      </c>
      <c r="F18" s="55">
        <f>'Input - Dairy'!$G$36</f>
        <v>0.75</v>
      </c>
      <c r="G18" s="55">
        <f>'Input - Dairy'!$H$36</f>
        <v>0.75</v>
      </c>
      <c r="H18" s="55">
        <f>'Input - Dairy'!$I$36</f>
        <v>0.75</v>
      </c>
      <c r="I18" s="2" t="s">
        <v>240</v>
      </c>
      <c r="J18" s="2"/>
      <c r="K18" s="2"/>
      <c r="O18" s="55">
        <f>'Input - Dairy'!$E$41</f>
        <v>0.75</v>
      </c>
      <c r="P18" s="55">
        <f>'Input - Dairy'!$F$41</f>
        <v>0.75</v>
      </c>
      <c r="Q18" s="55">
        <f>'Input - Dairy'!$G$41</f>
        <v>0.75</v>
      </c>
      <c r="R18" s="55">
        <f>'Input - Dairy'!$H$41</f>
        <v>0.75</v>
      </c>
      <c r="S18" s="55">
        <f>'Input - Dairy'!$I$41</f>
        <v>0.75</v>
      </c>
      <c r="T18" s="2" t="s">
        <v>240</v>
      </c>
      <c r="U18" s="2"/>
      <c r="V18" s="2"/>
    </row>
    <row r="19" spans="1:23" ht="20.100000000000001" customHeight="1" x14ac:dyDescent="0.25">
      <c r="A19" s="17"/>
    </row>
    <row r="20" spans="1:23" ht="20.100000000000001" customHeight="1" x14ac:dyDescent="0.25">
      <c r="A20" s="18" t="s">
        <v>4</v>
      </c>
      <c r="D20" s="104" t="s">
        <v>241</v>
      </c>
      <c r="O20" s="104" t="s">
        <v>243</v>
      </c>
    </row>
    <row r="21" spans="1:23" ht="20.100000000000001" customHeight="1" x14ac:dyDescent="0.25">
      <c r="A21" s="17" t="str">
        <f>HYPERLINK("#'Constants - Dairy'!A1", "Constants - Dairy")</f>
        <v>Constants - Dairy</v>
      </c>
      <c r="D21" s="103" t="s">
        <v>242</v>
      </c>
      <c r="O21" s="103" t="s">
        <v>244</v>
      </c>
    </row>
    <row r="22" spans="1:23" ht="20.100000000000001" customHeight="1" x14ac:dyDescent="0.25">
      <c r="A22" s="17" t="str">
        <f>HYPERLINK("#'Constants - Livestock'!A1", "Constants - Livestock")</f>
        <v>Constants - Livestock</v>
      </c>
      <c r="D22" s="54" t="s">
        <v>178</v>
      </c>
      <c r="E22" s="54" t="s">
        <v>195</v>
      </c>
      <c r="F22" s="54" t="s">
        <v>196</v>
      </c>
      <c r="G22" s="54" t="s">
        <v>197</v>
      </c>
      <c r="H22" s="54" t="s">
        <v>198</v>
      </c>
      <c r="O22" s="54" t="s">
        <v>178</v>
      </c>
      <c r="P22" s="54" t="s">
        <v>195</v>
      </c>
      <c r="Q22" s="54" t="s">
        <v>196</v>
      </c>
      <c r="R22" s="54" t="s">
        <v>197</v>
      </c>
      <c r="S22" s="54" t="s">
        <v>198</v>
      </c>
    </row>
    <row r="23" spans="1:23" ht="20.100000000000001" customHeight="1" x14ac:dyDescent="0.25">
      <c r="A23" s="17" t="str">
        <f>HYPERLINK("#'Constants - Common'!A1", "Constants - Common")</f>
        <v>Constants - Common</v>
      </c>
      <c r="D23" s="55" cm="1">
        <f t="array" ref="D23">EntericMethane_Dairy_Equations.VEERG_3_3_1_1__6_MetabolisabilityOfDiet(D18)</f>
        <v>59.623600000000003</v>
      </c>
      <c r="E23" s="55" cm="1">
        <f t="array" ref="E23">EntericMethane_Dairy_Equations.VEERG_3_3_1_1__6_MetabolisabilityOfDiet(E18)</f>
        <v>59.623600000000003</v>
      </c>
      <c r="F23" s="55" cm="1">
        <f t="array" ref="F23">EntericMethane_Dairy_Equations.VEERG_3_3_1_1__6_MetabolisabilityOfDiet(F18)</f>
        <v>59.623600000000003</v>
      </c>
      <c r="G23" s="55" cm="1">
        <f t="array" ref="G23">EntericMethane_Dairy_Equations.VEERG_3_3_1_1__6_MetabolisabilityOfDiet(G18)</f>
        <v>59.623600000000003</v>
      </c>
      <c r="H23" s="55" cm="1">
        <f t="array" ref="H23">EntericMethane_Dairy_Equations.VEERG_3_3_1_1__6_MetabolisabilityOfDiet(H18)</f>
        <v>59.623600000000003</v>
      </c>
      <c r="I23" s="2" t="str">
        <f>$E$11</f>
        <v>fraction</v>
      </c>
      <c r="J23" s="2"/>
      <c r="K23" s="2"/>
      <c r="O23" s="55" cm="1">
        <f t="array" ref="O23">EntericMethane_Dairy_Equations.VEERG_3_3_1_1__6_MetabolisabilityOfDiet(O18)</f>
        <v>59.623600000000003</v>
      </c>
      <c r="P23" s="55" cm="1">
        <f t="array" ref="P23">EntericMethane_Dairy_Equations.VEERG_3_3_1_1__6_MetabolisabilityOfDiet(P18)</f>
        <v>59.623600000000003</v>
      </c>
      <c r="Q23" s="55" cm="1">
        <f t="array" ref="Q23">EntericMethane_Dairy_Equations.VEERG_3_3_1_1__6_MetabolisabilityOfDiet(Q18)</f>
        <v>59.623600000000003</v>
      </c>
      <c r="R23" s="55" cm="1">
        <f t="array" ref="R23">EntericMethane_Dairy_Equations.VEERG_3_3_1_1__6_MetabolisabilityOfDiet(R18)</f>
        <v>59.623600000000003</v>
      </c>
      <c r="S23" s="55" cm="1">
        <f t="array" ref="S23">EntericMethane_Dairy_Equations.VEERG_3_3_1_1__6_MetabolisabilityOfDiet(S18)</f>
        <v>59.623600000000003</v>
      </c>
      <c r="T23" s="2" t="str">
        <f>$E$11</f>
        <v>fraction</v>
      </c>
      <c r="U23" s="2"/>
      <c r="V23" s="2"/>
    </row>
    <row r="24" spans="1:23" ht="20.100000000000001" customHeight="1" x14ac:dyDescent="0.25">
      <c r="A24" s="17" t="str">
        <f>HYPERLINK("#'Acknowledgements'!A1", "Acknowledgements")</f>
        <v>Acknowledgements</v>
      </c>
    </row>
    <row r="25" spans="1:23" ht="20.100000000000001" customHeight="1" x14ac:dyDescent="0.25"/>
    <row r="26" spans="1:23" ht="20.100000000000001" customHeight="1" x14ac:dyDescent="0.25">
      <c r="C26" s="48"/>
      <c r="D26" s="48"/>
      <c r="E26" s="48"/>
      <c r="F26" s="48"/>
      <c r="G26" s="48"/>
      <c r="H26" s="48"/>
      <c r="I26" s="48"/>
      <c r="J26" s="48"/>
      <c r="K26" s="48"/>
      <c r="L26" s="48"/>
      <c r="N26" s="48"/>
      <c r="O26" s="48"/>
      <c r="P26" s="48"/>
      <c r="Q26" s="48"/>
      <c r="R26" s="48"/>
      <c r="S26" s="48"/>
      <c r="T26" s="48"/>
      <c r="U26" s="48"/>
      <c r="V26" s="48"/>
      <c r="W26" s="48"/>
    </row>
    <row r="27" spans="1:23" ht="20.100000000000001" customHeight="1" x14ac:dyDescent="0.25">
      <c r="D27" s="6" t="str" cm="1">
        <f t="array" ref="D27">EntericMethane_Dairy_Equations.VEERG_3_3_1_1__4_AdditionalIntakeForMilkProduction_Title()</f>
        <v>Additional intake required for milk production</v>
      </c>
    </row>
    <row r="28" spans="1:23" ht="20.100000000000001" customHeight="1" x14ac:dyDescent="0.25">
      <c r="D28" s="5" t="str" cm="1">
        <f t="array" ref="D28">EntericMethane_Dairy_Equations.VEERG_3_3_1_1__4_AdditionalIntakeForMilkProduction_Source()</f>
        <v>VEERG 2026: 3.3.1.1, Equation (4)</v>
      </c>
    </row>
    <row r="29" spans="1:23" ht="20.100000000000001" customHeight="1" x14ac:dyDescent="0.25">
      <c r="D29" s="13" t="s">
        <v>28</v>
      </c>
      <c r="E29" s="13" t="str" cm="1">
        <f t="array" aca="1" ref="E29" ca="1">Common_InputFunctions.Utility_DisplayFunctionName(D49)</f>
        <v>=EntericMethane_Dairy_Equations.VEERG_3_3_1_1__4_AdditionalIntakeForMilkProduction</v>
      </c>
    </row>
    <row r="30" spans="1:23" ht="20.100000000000001" customHeight="1" x14ac:dyDescent="0.25"/>
    <row r="31" spans="1:23" ht="20.100000000000001" customHeight="1" x14ac:dyDescent="0.25">
      <c r="D31" s="6"/>
    </row>
    <row r="32" spans="1:23" ht="20.100000000000001" customHeight="1" x14ac:dyDescent="0.25">
      <c r="D32" s="56" t="s">
        <v>31</v>
      </c>
      <c r="E32" s="1" t="str" cm="1">
        <f t="array" ref="E32">EntericMethane_Dairy_Equations.VEERG_3_3_1_1__4_AdditionalIntakeForMilkProduction_Variable()</f>
        <v>MI_j</v>
      </c>
    </row>
    <row r="33" spans="4:19" ht="20.100000000000001" customHeight="1" x14ac:dyDescent="0.25">
      <c r="D33" s="56" t="s">
        <v>21</v>
      </c>
      <c r="E33" s="57" t="str" cm="1">
        <f t="array" ref="E33">EntericMethane_Dairy_Equations.VEERG_3_3_1_1__4_AdditionalIntakeForMilkProduction_Unit()</f>
        <v>kg DM/head/day</v>
      </c>
    </row>
    <row r="34" spans="4:19" ht="20.100000000000001" customHeight="1" x14ac:dyDescent="0.25"/>
    <row r="35" spans="4:19" ht="20.100000000000001" customHeight="1" x14ac:dyDescent="0.25">
      <c r="D35" s="60" t="str" cm="1">
        <f t="array" ref="D35:E39">EntericMethane_Dairy_Equations.VEERG_3_3_1_1__4_AdditionalIntakeForMilkProduction_Arguments()</f>
        <v>MP_j</v>
      </c>
      <c r="E35" s="61" t="str">
        <v>milk production (L/head/day)</v>
      </c>
      <c r="F35" s="62"/>
      <c r="G35" s="60" t="str">
        <f>"See " &amp; D41</f>
        <v>See Table_MP_j</v>
      </c>
    </row>
    <row r="36" spans="4:19" ht="20.100000000000001" customHeight="1" x14ac:dyDescent="0.25">
      <c r="D36" s="60" t="str">
        <v>NE</v>
      </c>
      <c r="E36" s="61" t="str">
        <v>net energy (MJ net energy/kg milk)</v>
      </c>
      <c r="F36" s="62"/>
      <c r="G36" s="60">
        <f>'Constants - Dairy'!$D$167</f>
        <v>3.0539999999999998</v>
      </c>
    </row>
    <row r="37" spans="4:19" ht="20.100000000000001" customHeight="1" x14ac:dyDescent="0.25">
      <c r="D37" s="60" t="str">
        <v>GEC</v>
      </c>
      <c r="E37" s="61" t="str">
        <v>gross energy content (MJ/kgDM)</v>
      </c>
      <c r="F37" s="62"/>
      <c r="G37" s="60">
        <f>'Constants - Dairy'!$D$174</f>
        <v>18.399999999999999</v>
      </c>
    </row>
    <row r="38" spans="4:19" ht="20.100000000000001" customHeight="1" x14ac:dyDescent="0.25">
      <c r="D38" s="60" t="str">
        <v>k</v>
      </c>
      <c r="E38" s="61" t="str">
        <v>efficiency of metabolizable energy use for milk production (fraction)</v>
      </c>
      <c r="F38" s="62"/>
      <c r="G38" s="60">
        <f>'Constants - Dairy'!$D$181</f>
        <v>0.6</v>
      </c>
    </row>
    <row r="39" spans="4:19" ht="20.100000000000001" customHeight="1" x14ac:dyDescent="0.25">
      <c r="D39" s="60" t="str">
        <v>qm_j</v>
      </c>
      <c r="E39" s="61" t="str">
        <v>metabolisability of the diet (fraction)</v>
      </c>
      <c r="F39" s="62"/>
      <c r="G39" s="60" t="str">
        <f>"See " &amp; D20</f>
        <v>See M1_Table_qm_j</v>
      </c>
    </row>
    <row r="40" spans="4:19" ht="20.100000000000001" customHeight="1" x14ac:dyDescent="0.25"/>
    <row r="41" spans="4:19" ht="20.100000000000001" customHeight="1" x14ac:dyDescent="0.25">
      <c r="D41" s="104" t="s">
        <v>250</v>
      </c>
    </row>
    <row r="42" spans="4:19" ht="20.100000000000001" customHeight="1" x14ac:dyDescent="0.25">
      <c r="D42" s="103" t="s">
        <v>202</v>
      </c>
    </row>
    <row r="43" spans="4:19" ht="20.100000000000001" customHeight="1" x14ac:dyDescent="0.25">
      <c r="D43" s="54" t="s">
        <v>178</v>
      </c>
      <c r="E43" s="54" t="s">
        <v>195</v>
      </c>
      <c r="F43" s="54" t="s">
        <v>196</v>
      </c>
      <c r="G43" s="54" t="s">
        <v>197</v>
      </c>
      <c r="H43" s="54" t="s">
        <v>198</v>
      </c>
    </row>
    <row r="44" spans="4:19" ht="20.100000000000001" customHeight="1" x14ac:dyDescent="0.25">
      <c r="D44" s="55">
        <f>'Input - Dairy'!$E$46</f>
        <v>44</v>
      </c>
      <c r="E44" s="55">
        <v>0</v>
      </c>
      <c r="F44" s="55">
        <v>0</v>
      </c>
      <c r="G44" s="55">
        <v>0</v>
      </c>
      <c r="H44" s="55">
        <v>0</v>
      </c>
      <c r="I44" s="2" t="s">
        <v>247</v>
      </c>
      <c r="J44" s="2"/>
      <c r="K44" s="2"/>
    </row>
    <row r="45" spans="4:19" ht="20.100000000000001" customHeight="1" x14ac:dyDescent="0.25"/>
    <row r="46" spans="4:19" ht="20.100000000000001" customHeight="1" x14ac:dyDescent="0.25">
      <c r="D46" s="104" t="s">
        <v>245</v>
      </c>
      <c r="O46" s="104" t="s">
        <v>248</v>
      </c>
    </row>
    <row r="47" spans="4:19" ht="20.100000000000001" customHeight="1" x14ac:dyDescent="0.25">
      <c r="D47" s="103" t="s">
        <v>246</v>
      </c>
      <c r="O47" s="103" t="s">
        <v>249</v>
      </c>
    </row>
    <row r="48" spans="4:19" ht="20.100000000000001" customHeight="1" x14ac:dyDescent="0.25">
      <c r="D48" s="54" t="s">
        <v>178</v>
      </c>
      <c r="E48" s="54" t="s">
        <v>195</v>
      </c>
      <c r="F48" s="54" t="s">
        <v>196</v>
      </c>
      <c r="G48" s="54" t="s">
        <v>197</v>
      </c>
      <c r="H48" s="54" t="s">
        <v>198</v>
      </c>
      <c r="O48" s="54" t="s">
        <v>178</v>
      </c>
      <c r="P48" s="54" t="s">
        <v>195</v>
      </c>
      <c r="Q48" s="54" t="s">
        <v>196</v>
      </c>
      <c r="R48" s="54" t="s">
        <v>197</v>
      </c>
      <c r="S48" s="54" t="s">
        <v>198</v>
      </c>
    </row>
    <row r="49" spans="3:23" ht="20.100000000000001" customHeight="1" x14ac:dyDescent="0.25">
      <c r="D49" s="55" cm="1">
        <f t="array" ref="D49">EntericMethane_Dairy_Equations.VEERG_3_3_1_1__4_AdditionalIntakeForMilkProduction(D44, $G$36,$G$37,$G$38,D23)</f>
        <v>0.21026726504853488</v>
      </c>
      <c r="E49" s="55" cm="1">
        <f t="array" ref="E49">EntericMethane_Dairy_Equations.VEERG_3_3_1_1__4_AdditionalIntakeForMilkProduction(E44, $G$36,$G$37,$G$38,E23)</f>
        <v>0</v>
      </c>
      <c r="F49" s="55" cm="1">
        <f t="array" ref="F49">EntericMethane_Dairy_Equations.VEERG_3_3_1_1__4_AdditionalIntakeForMilkProduction(F44, $G$36,$G$37,$G$38,F23)</f>
        <v>0</v>
      </c>
      <c r="G49" s="55" cm="1">
        <f t="array" ref="G49">EntericMethane_Dairy_Equations.VEERG_3_3_1_1__4_AdditionalIntakeForMilkProduction(G44, $G$36,$G$37,$G$38,G23)</f>
        <v>0</v>
      </c>
      <c r="H49" s="55" cm="1">
        <f t="array" ref="H49">EntericMethane_Dairy_Equations.VEERG_3_3_1_1__4_AdditionalIntakeForMilkProduction(H44, $G$36,$G$37,$G$38,H23)</f>
        <v>0</v>
      </c>
      <c r="I49" s="2" t="str">
        <f>$E$33</f>
        <v>kg DM/head/day</v>
      </c>
      <c r="J49" s="2"/>
      <c r="K49" s="2"/>
      <c r="O49" s="55" cm="1">
        <f t="array" ref="O49">EntericMethane_Dairy_Equations.VEERG_3_3_1_1__4_AdditionalIntakeForMilkProduction(D44, $G$36,$G$37,$G$38,O23)</f>
        <v>0.21026726504853488</v>
      </c>
      <c r="P49" s="55" cm="1">
        <f t="array" ref="P49">EntericMethane_Dairy_Equations.VEERG_3_3_1_1__4_AdditionalIntakeForMilkProduction(E44, $G$36,$G$37,$G$38,P23)</f>
        <v>0</v>
      </c>
      <c r="Q49" s="55" cm="1">
        <f t="array" ref="Q49">EntericMethane_Dairy_Equations.VEERG_3_3_1_1__4_AdditionalIntakeForMilkProduction(F44, $G$36,$G$37,$G$38,Q23)</f>
        <v>0</v>
      </c>
      <c r="R49" s="55" cm="1">
        <f t="array" ref="R49">EntericMethane_Dairy_Equations.VEERG_3_3_1_1__4_AdditionalIntakeForMilkProduction(G44, $G$36,$G$37,$G$38,R23)</f>
        <v>0</v>
      </c>
      <c r="S49" s="55" cm="1">
        <f t="array" ref="S49">EntericMethane_Dairy_Equations.VEERG_3_3_1_1__4_AdditionalIntakeForMilkProduction(H44, $G$36,$G$37,$G$38,S23)</f>
        <v>0</v>
      </c>
      <c r="T49" s="2" t="str">
        <f>$E$33</f>
        <v>kg DM/head/day</v>
      </c>
      <c r="U49" s="2"/>
      <c r="V49" s="2"/>
    </row>
    <row r="50" spans="3:23" ht="20.100000000000001" customHeight="1" x14ac:dyDescent="0.25"/>
    <row r="51" spans="3:23" ht="20.100000000000001" customHeight="1" x14ac:dyDescent="0.25"/>
    <row r="52" spans="3:23" ht="20.100000000000001" customHeight="1" x14ac:dyDescent="0.25">
      <c r="C52" s="48"/>
      <c r="D52" s="48"/>
      <c r="E52" s="48"/>
      <c r="F52" s="48"/>
      <c r="G52" s="48"/>
      <c r="H52" s="48"/>
      <c r="I52" s="48"/>
      <c r="J52" s="48"/>
      <c r="K52" s="48"/>
      <c r="L52" s="48"/>
      <c r="N52" s="48"/>
      <c r="O52" s="48"/>
      <c r="P52" s="48"/>
      <c r="Q52" s="48"/>
      <c r="R52" s="48"/>
      <c r="S52" s="48"/>
      <c r="T52" s="48"/>
      <c r="U52" s="48"/>
      <c r="V52" s="48"/>
      <c r="W52" s="48"/>
    </row>
    <row r="53" spans="3:23" ht="20.100000000000001" customHeight="1" x14ac:dyDescent="0.25">
      <c r="D53" s="131" t="str" cm="1">
        <f t="array" ref="D53">EntericMethane_Dairy_Equations.VEERG_3_3_1_1__3_DryMatterFeedIntake_Title()</f>
        <v>Feed intake based on Minson and McDonald (1987)</v>
      </c>
    </row>
    <row r="54" spans="3:23" ht="20.100000000000001" customHeight="1" x14ac:dyDescent="0.25">
      <c r="D54" s="5" t="str" cm="1">
        <f t="array" ref="D54">EntericMethane_Dairy_Equations.VEERG_3_3_1_1__3_DryMatterFeedIntake_Source()</f>
        <v>VEERG 2026: 3.3.1.1, Equation (3)</v>
      </c>
    </row>
    <row r="55" spans="3:23" ht="20.100000000000001" customHeight="1" x14ac:dyDescent="0.25">
      <c r="D55" s="13" t="s">
        <v>28</v>
      </c>
      <c r="E55" s="13" t="str" cm="1">
        <f t="array" aca="1" ref="E55" ca="1">Common_InputFunctions.Utility_DisplayFunctionName(D84)</f>
        <v>=EntericMethane_Dairy_Equations.VEERG_3_3_1_1__3_DryMatterFeedIntake</v>
      </c>
    </row>
    <row r="56" spans="3:23" ht="20.100000000000001" customHeight="1" x14ac:dyDescent="0.25"/>
    <row r="57" spans="3:23" ht="20.100000000000001" customHeight="1" x14ac:dyDescent="0.25"/>
    <row r="58" spans="3:23" ht="20.100000000000001" customHeight="1" x14ac:dyDescent="0.25">
      <c r="D58" s="56" t="s">
        <v>31</v>
      </c>
      <c r="E58" s="1" t="str" cm="1">
        <f t="array" ref="E58">EntericMethane_Dairy_Equations.VEERG_3_3_1_1__3_DryMatterFeedIntake_Variable()</f>
        <v>I_j</v>
      </c>
    </row>
    <row r="59" spans="3:23" ht="20.100000000000001" customHeight="1" x14ac:dyDescent="0.25">
      <c r="D59" s="56" t="s">
        <v>21</v>
      </c>
      <c r="E59" s="57" t="str" cm="1">
        <f t="array" ref="E59">EntericMethane_Dairy_Equations.VEERG_3_3_1_1__3_DryMatterFeedIntake_Unit()</f>
        <v>kg DM/head/day</v>
      </c>
    </row>
    <row r="60" spans="3:23" ht="20.100000000000001" customHeight="1" x14ac:dyDescent="0.25"/>
    <row r="61" spans="3:23" ht="20.100000000000001" customHeight="1" x14ac:dyDescent="0.25">
      <c r="D61" s="60" t="str" cm="1">
        <f t="array" ref="D61:E64">EntericMethane_Dairy_Equations.VEERG_3_3_1_1__3_DryMatterFeedIntake_Arguments()</f>
        <v>W_j</v>
      </c>
      <c r="E61" s="61" t="str">
        <v>liveweight (kg)</v>
      </c>
      <c r="F61" s="62"/>
      <c r="G61" s="60" t="str">
        <f>"See " &amp; D66</f>
        <v>See M1_Table_W_j</v>
      </c>
    </row>
    <row r="62" spans="3:23" ht="20.100000000000001" customHeight="1" x14ac:dyDescent="0.25">
      <c r="D62" s="60" t="str">
        <v>LWG_j</v>
      </c>
      <c r="E62" s="61" t="str">
        <v>liveweight gain (kg/head/day)</v>
      </c>
      <c r="F62" s="62"/>
      <c r="G62" s="60" t="str">
        <f>"See " &amp; D71</f>
        <v>See M1_Table_LWG_j</v>
      </c>
    </row>
    <row r="63" spans="3:23" ht="20.100000000000001" customHeight="1" x14ac:dyDescent="0.25">
      <c r="D63" s="60" t="str">
        <v>MR_j</v>
      </c>
      <c r="E63" s="61" t="str">
        <v>increase in metabolic rate when producing milk (fraction)</v>
      </c>
      <c r="F63" s="62"/>
      <c r="G63" s="60" t="str">
        <f>"See " &amp; D76</f>
        <v>See Table_MR_j</v>
      </c>
    </row>
    <row r="64" spans="3:23" ht="20.100000000000001" customHeight="1" x14ac:dyDescent="0.25">
      <c r="D64" s="60" t="str">
        <v>MI_j</v>
      </c>
      <c r="E64" s="61" t="str">
        <v>additional intake required for milk production (kg DM/head/day)</v>
      </c>
      <c r="F64" s="62"/>
      <c r="G64" s="60" t="str">
        <f>"See " &amp; D46</f>
        <v>See M1_Table_MI_j</v>
      </c>
    </row>
    <row r="65" spans="4:22" ht="20.100000000000001" customHeight="1" x14ac:dyDescent="0.25"/>
    <row r="66" spans="4:22" ht="20.100000000000001" customHeight="1" x14ac:dyDescent="0.25">
      <c r="D66" s="104" t="s">
        <v>230</v>
      </c>
      <c r="O66" s="104" t="s">
        <v>232</v>
      </c>
    </row>
    <row r="67" spans="4:22" ht="20.100000000000001" customHeight="1" x14ac:dyDescent="0.25">
      <c r="D67" s="103" t="s">
        <v>231</v>
      </c>
      <c r="O67" s="103" t="s">
        <v>233</v>
      </c>
    </row>
    <row r="68" spans="4:22" ht="20.100000000000001" customHeight="1" x14ac:dyDescent="0.25">
      <c r="D68" s="54" t="s">
        <v>178</v>
      </c>
      <c r="E68" s="54" t="s">
        <v>195</v>
      </c>
      <c r="F68" s="54" t="s">
        <v>196</v>
      </c>
      <c r="G68" s="54" t="s">
        <v>197</v>
      </c>
      <c r="H68" s="54" t="s">
        <v>198</v>
      </c>
      <c r="O68" s="54" t="s">
        <v>178</v>
      </c>
      <c r="P68" s="54" t="s">
        <v>195</v>
      </c>
      <c r="Q68" s="54" t="s">
        <v>196</v>
      </c>
      <c r="R68" s="54" t="s">
        <v>197</v>
      </c>
      <c r="S68" s="54" t="s">
        <v>198</v>
      </c>
    </row>
    <row r="69" spans="4:22" ht="20.100000000000001" customHeight="1" x14ac:dyDescent="0.25">
      <c r="D69" s="55">
        <f>'Input - Dairy'!$E$14</f>
        <v>550</v>
      </c>
      <c r="E69" s="55">
        <f>'Input - Dairy'!$F$14</f>
        <v>380</v>
      </c>
      <c r="F69" s="55">
        <f>'Input - Dairy'!$G$14</f>
        <v>155</v>
      </c>
      <c r="G69" s="55">
        <f>'Input - Dairy'!$H$14</f>
        <v>600</v>
      </c>
      <c r="H69" s="55">
        <f>'Input - Dairy'!$I$14</f>
        <v>225</v>
      </c>
      <c r="I69" s="2" t="s">
        <v>200</v>
      </c>
      <c r="J69" s="2"/>
      <c r="K69" s="2"/>
      <c r="O69" s="55">
        <f>'Input - Dairy'!$E$18</f>
        <v>550</v>
      </c>
      <c r="P69" s="55">
        <f>'Input - Dairy'!$F$18</f>
        <v>380</v>
      </c>
      <c r="Q69" s="55">
        <f>'Input - Dairy'!$G$18</f>
        <v>155</v>
      </c>
      <c r="R69" s="55">
        <f>'Input - Dairy'!$H$18</f>
        <v>600</v>
      </c>
      <c r="S69" s="55">
        <f>'Input - Dairy'!$I$18</f>
        <v>225</v>
      </c>
      <c r="T69" s="2" t="s">
        <v>200</v>
      </c>
      <c r="U69" s="2"/>
      <c r="V69" s="2"/>
    </row>
    <row r="70" spans="4:22" ht="20.100000000000001" customHeight="1" x14ac:dyDescent="0.25"/>
    <row r="71" spans="4:22" ht="20.100000000000001" customHeight="1" x14ac:dyDescent="0.25">
      <c r="D71" s="104" t="s">
        <v>234</v>
      </c>
      <c r="O71" s="104" t="s">
        <v>236</v>
      </c>
    </row>
    <row r="72" spans="4:22" ht="20.100000000000001" customHeight="1" x14ac:dyDescent="0.25">
      <c r="D72" s="103" t="s">
        <v>235</v>
      </c>
      <c r="O72" s="103" t="s">
        <v>237</v>
      </c>
    </row>
    <row r="73" spans="4:22" ht="20.100000000000001" customHeight="1" x14ac:dyDescent="0.25">
      <c r="D73" s="54" t="s">
        <v>178</v>
      </c>
      <c r="E73" s="54" t="s">
        <v>195</v>
      </c>
      <c r="F73" s="54" t="s">
        <v>196</v>
      </c>
      <c r="G73" s="54" t="s">
        <v>197</v>
      </c>
      <c r="H73" s="54" t="s">
        <v>198</v>
      </c>
      <c r="O73" s="54" t="s">
        <v>178</v>
      </c>
      <c r="P73" s="54" t="s">
        <v>195</v>
      </c>
      <c r="Q73" s="54" t="s">
        <v>196</v>
      </c>
      <c r="R73" s="54" t="s">
        <v>197</v>
      </c>
      <c r="S73" s="54" t="s">
        <v>198</v>
      </c>
    </row>
    <row r="74" spans="4:22" ht="20.100000000000001" customHeight="1" x14ac:dyDescent="0.25">
      <c r="D74" s="55">
        <f>'Input - Dairy'!$E$15</f>
        <v>1.6E-2</v>
      </c>
      <c r="E74" s="55">
        <f>'Input - Dairy'!$F$15</f>
        <v>0.6</v>
      </c>
      <c r="F74" s="55">
        <f>'Input - Dairy'!$G$15</f>
        <v>0.56999999999999995</v>
      </c>
      <c r="G74" s="55">
        <f>'Input - Dairy'!$H$15</f>
        <v>0.1</v>
      </c>
      <c r="H74" s="55">
        <f>'Input - Dairy'!$I$15</f>
        <v>0.8</v>
      </c>
      <c r="I74" s="2" t="s">
        <v>201</v>
      </c>
      <c r="J74" s="2"/>
      <c r="K74" s="2"/>
      <c r="O74" s="55">
        <f>'Input - Dairy'!$E$19</f>
        <v>1.6E-2</v>
      </c>
      <c r="P74" s="55">
        <f>'Input - Dairy'!$F$19</f>
        <v>0.6</v>
      </c>
      <c r="Q74" s="55">
        <f>'Input - Dairy'!$G$19</f>
        <v>0.56999999999999995</v>
      </c>
      <c r="R74" s="55">
        <f>'Input - Dairy'!$H$19</f>
        <v>0.1</v>
      </c>
      <c r="S74" s="55">
        <f>'Input - Dairy'!$I$19</f>
        <v>0.8</v>
      </c>
      <c r="T74" s="2" t="s">
        <v>201</v>
      </c>
      <c r="U74" s="2"/>
      <c r="V74" s="2"/>
    </row>
    <row r="75" spans="4:22" ht="20.100000000000001" customHeight="1" x14ac:dyDescent="0.25"/>
    <row r="76" spans="4:22" ht="20.100000000000001" customHeight="1" x14ac:dyDescent="0.25">
      <c r="D76" s="104" t="s">
        <v>238</v>
      </c>
    </row>
    <row r="77" spans="4:22" ht="20.100000000000001" customHeight="1" x14ac:dyDescent="0.25">
      <c r="D77" s="103" t="s">
        <v>239</v>
      </c>
    </row>
    <row r="78" spans="4:22" ht="20.100000000000001" customHeight="1" x14ac:dyDescent="0.25">
      <c r="D78" s="54" t="s">
        <v>178</v>
      </c>
      <c r="E78" s="54" t="s">
        <v>195</v>
      </c>
      <c r="F78" s="54" t="s">
        <v>196</v>
      </c>
      <c r="G78" s="54" t="s">
        <v>197</v>
      </c>
      <c r="H78" s="54" t="s">
        <v>198</v>
      </c>
    </row>
    <row r="79" spans="4:22" ht="20.100000000000001" customHeight="1" x14ac:dyDescent="0.25">
      <c r="D79" s="55">
        <f>'Constants - Dairy'!$E$108</f>
        <v>1.1000000000000001</v>
      </c>
      <c r="E79" s="55">
        <f>'Constants - Dairy'!$E$109</f>
        <v>1</v>
      </c>
      <c r="F79" s="55">
        <f>'Constants - Dairy'!$E$109</f>
        <v>1</v>
      </c>
      <c r="G79" s="55">
        <f>'Constants - Dairy'!$E$109</f>
        <v>1</v>
      </c>
      <c r="H79" s="55">
        <f>'Constants - Dairy'!$E$109</f>
        <v>1</v>
      </c>
      <c r="I79" s="2" t="s">
        <v>101</v>
      </c>
      <c r="J79" s="2"/>
      <c r="K79" s="2"/>
    </row>
    <row r="80" spans="4:22" ht="20.100000000000001" customHeight="1" x14ac:dyDescent="0.25"/>
    <row r="81" spans="3:23" ht="20.100000000000001" customHeight="1" x14ac:dyDescent="0.25">
      <c r="D81" s="104" t="s">
        <v>116</v>
      </c>
      <c r="O81" s="104" t="s">
        <v>118</v>
      </c>
    </row>
    <row r="82" spans="3:23" ht="20.100000000000001" customHeight="1" x14ac:dyDescent="0.25">
      <c r="D82" s="103" t="s">
        <v>253</v>
      </c>
      <c r="O82" s="103" t="s">
        <v>252</v>
      </c>
    </row>
    <row r="83" spans="3:23" ht="20.100000000000001" customHeight="1" x14ac:dyDescent="0.25">
      <c r="D83" s="54" t="s">
        <v>178</v>
      </c>
      <c r="E83" s="54" t="s">
        <v>195</v>
      </c>
      <c r="F83" s="54" t="s">
        <v>196</v>
      </c>
      <c r="G83" s="54" t="s">
        <v>197</v>
      </c>
      <c r="H83" s="54" t="s">
        <v>198</v>
      </c>
      <c r="O83" s="54" t="s">
        <v>178</v>
      </c>
      <c r="P83" s="54" t="s">
        <v>195</v>
      </c>
      <c r="Q83" s="54" t="s">
        <v>196</v>
      </c>
      <c r="R83" s="54" t="s">
        <v>197</v>
      </c>
      <c r="S83" s="54" t="s">
        <v>198</v>
      </c>
    </row>
    <row r="84" spans="3:23" ht="20.100000000000001" customHeight="1" x14ac:dyDescent="0.25">
      <c r="D84" s="55" cm="1">
        <f t="array" ref="D84">EntericMethane_Dairy_Equations.VEERG_3_3_1_1__3_DryMatterFeedIntake(D69,D74,D79,D49)</f>
        <v>9.4647127858085369</v>
      </c>
      <c r="E84" s="55" cm="1">
        <f t="array" ref="E84">EntericMethane_Dairy_Equations.VEERG_3_3_1_1__3_DryMatterFeedIntake(E69,E74,E79,E49)</f>
        <v>7.4188685375999972</v>
      </c>
      <c r="F84" s="55" cm="1">
        <f t="array" ref="F84">EntericMethane_Dairy_Equations.VEERG_3_3_1_1__3_DryMatterFeedIntake(F69,F74,F79,F49)</f>
        <v>4.0231734662249998</v>
      </c>
      <c r="G84" s="55" cm="1">
        <f t="array" ref="G84">EntericMethane_Dairy_Equations.VEERG_3_3_1_1__3_DryMatterFeedIntake(G69,G74,G79,G49)</f>
        <v>9.0270202499999979</v>
      </c>
      <c r="H84" s="55" cm="1">
        <f t="array" ref="H84">EntericMethane_Dairy_Equations.VEERG_3_3_1_1__3_DryMatterFeedIntake(H69,H74,H79,H49)</f>
        <v>5.4143472656250013</v>
      </c>
      <c r="I84" s="2" t="str">
        <f>$E$59</f>
        <v>kg DM/head/day</v>
      </c>
      <c r="J84" s="2"/>
      <c r="K84" s="2"/>
      <c r="O84" s="55" cm="1">
        <f t="array" ref="O84">EntericMethane_Dairy_Equations.VEERG_3_3_1_1__3_DryMatterFeedIntake(O69,O74,D79,O49)</f>
        <v>9.4647127858085369</v>
      </c>
      <c r="P84" s="55" cm="1">
        <f t="array" ref="P84">EntericMethane_Dairy_Equations.VEERG_3_3_1_1__3_DryMatterFeedIntake(P69,P74,E79,P49)</f>
        <v>7.4188685375999972</v>
      </c>
      <c r="Q84" s="55" cm="1">
        <f t="array" ref="Q84">EntericMethane_Dairy_Equations.VEERG_3_3_1_1__3_DryMatterFeedIntake(Q69,Q74,F79,Q49)</f>
        <v>4.0231734662249998</v>
      </c>
      <c r="R84" s="55" cm="1">
        <f t="array" ref="R84">EntericMethane_Dairy_Equations.VEERG_3_3_1_1__3_DryMatterFeedIntake(R69,R74,G79,R49)</f>
        <v>9.0270202499999979</v>
      </c>
      <c r="S84" s="55" cm="1">
        <f t="array" ref="S84">EntericMethane_Dairy_Equations.VEERG_3_3_1_1__3_DryMatterFeedIntake(S69,S74,H79,S49)</f>
        <v>5.4143472656250013</v>
      </c>
      <c r="T84" s="2" t="str">
        <f>$E$59</f>
        <v>kg DM/head/day</v>
      </c>
      <c r="U84" s="2"/>
      <c r="V84" s="2"/>
    </row>
    <row r="85" spans="3:23" ht="20.100000000000001" customHeight="1" x14ac:dyDescent="0.25"/>
    <row r="86" spans="3:23" ht="20.100000000000001" customHeight="1" x14ac:dyDescent="0.25"/>
    <row r="87" spans="3:23" ht="20.100000000000001" customHeight="1" x14ac:dyDescent="0.25">
      <c r="C87" s="48"/>
      <c r="D87" s="48"/>
      <c r="E87" s="48"/>
      <c r="F87" s="48"/>
      <c r="G87" s="48"/>
      <c r="H87" s="48"/>
      <c r="I87" s="48"/>
      <c r="J87" s="48"/>
      <c r="K87" s="48"/>
      <c r="L87" s="48"/>
      <c r="N87" s="48"/>
      <c r="O87" s="48"/>
      <c r="P87" s="48"/>
      <c r="Q87" s="48"/>
      <c r="R87" s="48"/>
      <c r="S87" s="48"/>
      <c r="T87" s="48"/>
      <c r="U87" s="48"/>
      <c r="V87" s="48"/>
      <c r="W87" s="48"/>
    </row>
    <row r="88" spans="3:23" ht="20.100000000000001" customHeight="1" x14ac:dyDescent="0.25">
      <c r="D88" s="6" t="str" cm="1">
        <f t="array" ref="D88">MMS_Dairy_Methane_Equations.VEERG_4_3_1_1__3_VolatileSolidsForWeanedDairyCattle_Title()</f>
        <v>Volatile solids for weaned dairy cattle</v>
      </c>
    </row>
    <row r="89" spans="3:23" ht="20.100000000000001" customHeight="1" x14ac:dyDescent="0.25">
      <c r="D89" s="5" t="str" cm="1">
        <f t="array" ref="D89">MMS_Dairy_Methane_Equations.VEERG_4_3_1_1__3_VolatileSolidsForWeanedDairyCattle_Source()</f>
        <v>VEERG 2026: 4.3.1.1, Equation (3)</v>
      </c>
    </row>
    <row r="90" spans="3:23" ht="20.100000000000001" customHeight="1" x14ac:dyDescent="0.25">
      <c r="D90" s="13" t="s">
        <v>28</v>
      </c>
      <c r="E90" s="13" t="str" cm="1">
        <f t="array" aca="1" ref="E90" ca="1">Common_InputFunctions.Utility_DisplayFunctionName(D103)</f>
        <v>=MMS_Dairy_Methane_Equations.VEERG_4_3_1_1__3_VolatileSolidsForWeanedDairyCattle</v>
      </c>
    </row>
    <row r="91" spans="3:23" ht="20.100000000000001" customHeight="1" x14ac:dyDescent="0.25"/>
    <row r="92" spans="3:23" ht="20.100000000000001" customHeight="1" x14ac:dyDescent="0.25"/>
    <row r="93" spans="3:23" ht="20.100000000000001" customHeight="1" x14ac:dyDescent="0.25">
      <c r="D93" s="56" t="s">
        <v>31</v>
      </c>
      <c r="E93" s="1" t="str" cm="1">
        <f t="array" ref="E93">MMS_Dairy_Methane_Equations.VEERG_4_3_1_1__3_VolatileSolidsForWeanedDairyCattle_Variable()</f>
        <v>VS_j</v>
      </c>
    </row>
    <row r="94" spans="3:23" ht="20.100000000000001" customHeight="1" x14ac:dyDescent="0.25">
      <c r="D94" s="56" t="s">
        <v>21</v>
      </c>
      <c r="E94" s="57" t="str" cm="1">
        <f t="array" ref="E94">MMS_Dairy_Methane_Equations.VEERG_4_3_1_1__3_VolatileSolidsForWeanedDairyCattle_Unit()</f>
        <v>kg/head/day</v>
      </c>
    </row>
    <row r="95" spans="3:23" ht="20.100000000000001" customHeight="1" x14ac:dyDescent="0.25"/>
    <row r="96" spans="3:23" ht="20.100000000000001" customHeight="1" x14ac:dyDescent="0.25">
      <c r="D96" s="115" t="str" cm="1">
        <f t="array" ref="D96:E98">MMS_Dairy_Methane_Equations.VEERG_4_3_1_1__3_VolatileSolidsForWeanedDairyCattle_Arguments()</f>
        <v>I_j</v>
      </c>
      <c r="E96" s="117" t="str">
        <v>dry matter feed intake (kgDM/head/day)</v>
      </c>
      <c r="F96" s="116"/>
      <c r="G96" s="115" t="str">
        <f>"See " &amp; D81</f>
        <v>See M1_Table_I_j</v>
      </c>
    </row>
    <row r="97" spans="3:23" ht="20.100000000000001" customHeight="1" x14ac:dyDescent="0.25">
      <c r="D97" s="115" t="str">
        <v>DMD_j</v>
      </c>
      <c r="E97" s="117" t="str">
        <v>dry matter digestibility</v>
      </c>
      <c r="F97" s="116"/>
      <c r="G97" s="115" t="str">
        <f>"See " &amp; D15</f>
        <v>See M1_Table_DMD_j</v>
      </c>
    </row>
    <row r="98" spans="3:23" ht="20.100000000000001" customHeight="1" x14ac:dyDescent="0.25">
      <c r="D98" s="115" t="str">
        <v>A</v>
      </c>
      <c r="E98" s="117" t="str">
        <v>ash content of feed intake</v>
      </c>
      <c r="F98" s="116"/>
      <c r="G98" s="60">
        <f>'Constants - Dairy'!$D$188</f>
        <v>0.08</v>
      </c>
    </row>
    <row r="99" spans="3:23" ht="20.100000000000001" customHeight="1" x14ac:dyDescent="0.25"/>
    <row r="100" spans="3:23" ht="20.100000000000001" customHeight="1" x14ac:dyDescent="0.25">
      <c r="D100" s="104" t="s">
        <v>129</v>
      </c>
      <c r="O100" s="104" t="s">
        <v>132</v>
      </c>
    </row>
    <row r="101" spans="3:23" ht="20.100000000000001" customHeight="1" x14ac:dyDescent="0.25">
      <c r="D101" s="103" t="s">
        <v>254</v>
      </c>
      <c r="O101" s="103" t="s">
        <v>255</v>
      </c>
    </row>
    <row r="102" spans="3:23" ht="20.100000000000001" customHeight="1" x14ac:dyDescent="0.25">
      <c r="D102" s="54" t="s">
        <v>178</v>
      </c>
      <c r="E102" s="54" t="s">
        <v>195</v>
      </c>
      <c r="F102" s="54" t="s">
        <v>196</v>
      </c>
      <c r="G102" s="54" t="s">
        <v>197</v>
      </c>
      <c r="H102" s="54" t="s">
        <v>198</v>
      </c>
      <c r="O102" s="54" t="s">
        <v>178</v>
      </c>
      <c r="P102" s="54" t="s">
        <v>195</v>
      </c>
      <c r="Q102" s="54" t="s">
        <v>196</v>
      </c>
      <c r="R102" s="54" t="s">
        <v>197</v>
      </c>
      <c r="S102" s="54" t="s">
        <v>198</v>
      </c>
    </row>
    <row r="103" spans="3:23" ht="20.100000000000001" customHeight="1" x14ac:dyDescent="0.25">
      <c r="D103" s="55" cm="1">
        <f t="array" ref="D103">MMS_Dairy_Methane_Equations.VEERG_4_3_1_1__3_VolatileSolidsForWeanedDairyCattle(D84,D18,$G$98)</f>
        <v>2.525185371253718</v>
      </c>
      <c r="E103" s="55" cm="1">
        <f t="array" ref="E103">MMS_Dairy_Methane_Equations.VEERG_4_3_1_1__3_VolatileSolidsForWeanedDairyCattle(E84,E18,$G$98)</f>
        <v>1.9793541258316791</v>
      </c>
      <c r="F103" s="55" cm="1">
        <f t="array" ref="F103">MMS_Dairy_Methane_Equations.VEERG_4_3_1_1__3_VolatileSolidsForWeanedDairyCattle(F84,F18,$G$98)</f>
        <v>1.07338268078883</v>
      </c>
      <c r="G103" s="55" cm="1">
        <f t="array" ref="G103">MMS_Dairy_Methane_Equations.VEERG_4_3_1_1__3_VolatileSolidsForWeanedDairyCattle(G84,G18,$G$98)</f>
        <v>2.4084090026999996</v>
      </c>
      <c r="H103" s="55" cm="1">
        <f t="array" ref="H103">MMS_Dairy_Methane_Equations.VEERG_4_3_1_1__3_VolatileSolidsForWeanedDairyCattle(H84,H18,$G$98)</f>
        <v>1.4445478504687506</v>
      </c>
      <c r="I103" s="2" t="str">
        <f>$E$94</f>
        <v>kg/head/day</v>
      </c>
      <c r="O103" s="55" cm="1">
        <f t="array" ref="O103">MMS_Dairy_Methane_Equations.VEERG_4_3_1_1__3_VolatileSolidsForWeanedDairyCattle(O84,O18,$G$98)</f>
        <v>2.525185371253718</v>
      </c>
      <c r="P103" s="55" cm="1">
        <f t="array" ref="P103">MMS_Dairy_Methane_Equations.VEERG_4_3_1_1__3_VolatileSolidsForWeanedDairyCattle(P84,P18,$G$98)</f>
        <v>1.9793541258316791</v>
      </c>
      <c r="Q103" s="55" cm="1">
        <f t="array" ref="Q103">MMS_Dairy_Methane_Equations.VEERG_4_3_1_1__3_VolatileSolidsForWeanedDairyCattle(Q84,Q18,$G$98)</f>
        <v>1.07338268078883</v>
      </c>
      <c r="R103" s="55" cm="1">
        <f t="array" ref="R103">MMS_Dairy_Methane_Equations.VEERG_4_3_1_1__3_VolatileSolidsForWeanedDairyCattle(R84,R18,$G$98)</f>
        <v>2.4084090026999996</v>
      </c>
      <c r="S103" s="55" cm="1">
        <f t="array" ref="S103">MMS_Dairy_Methane_Equations.VEERG_4_3_1_1__3_VolatileSolidsForWeanedDairyCattle(S84,S18,$G$98)</f>
        <v>1.4445478504687506</v>
      </c>
      <c r="T103" s="2" t="str">
        <f>$E$94</f>
        <v>kg/head/day</v>
      </c>
    </row>
    <row r="104" spans="3:23" ht="20.100000000000001" customHeight="1" x14ac:dyDescent="0.25"/>
    <row r="105" spans="3:23" ht="20.100000000000001" customHeight="1" x14ac:dyDescent="0.25"/>
    <row r="106" spans="3:23" ht="20.100000000000001" customHeight="1" x14ac:dyDescent="0.25">
      <c r="C106" s="48"/>
      <c r="D106" s="48"/>
      <c r="E106" s="48"/>
      <c r="F106" s="48"/>
      <c r="G106" s="48"/>
      <c r="H106" s="48"/>
      <c r="I106" s="48"/>
      <c r="J106" s="48"/>
      <c r="K106" s="48"/>
      <c r="L106" s="48"/>
      <c r="N106" s="48"/>
      <c r="O106" s="48"/>
      <c r="P106" s="48"/>
      <c r="Q106" s="48"/>
      <c r="R106" s="48"/>
      <c r="S106" s="48"/>
      <c r="T106" s="48"/>
      <c r="U106" s="48"/>
      <c r="V106" s="48"/>
      <c r="W106" s="48"/>
    </row>
    <row r="107" spans="3:23" ht="20.100000000000001" customHeight="1" x14ac:dyDescent="0.25">
      <c r="D107" s="6" t="str" cm="1">
        <f t="array" ref="D107">MMS_Dairy_Methane_Equations.VEERG_4_3_1_1__4_FractionVolatileSolidsNotSolidStorage_Title()</f>
        <v>Fraction of volatile solids in each system other than solid storage</v>
      </c>
    </row>
    <row r="108" spans="3:23" ht="20.100000000000001" customHeight="1" x14ac:dyDescent="0.25">
      <c r="D108" s="5" t="str" cm="1">
        <f t="array" ref="D108">MMS_Dairy_Methane_Equations.VEERG_4_3_1_1__4_FractionVolatileSolidsNotSolidStorage_Source()</f>
        <v>VEERG 2026: 4.3.1.1, Equation (4)</v>
      </c>
      <c r="E108" s="13"/>
    </row>
    <row r="109" spans="3:23" ht="20.100000000000001" customHeight="1" x14ac:dyDescent="0.25">
      <c r="D109" s="13" t="s">
        <v>28</v>
      </c>
      <c r="E109" s="13" t="str" cm="1">
        <f t="array" aca="1" ref="E109" ca="1">Common_InputFunctions.Utility_DisplayFunctionName(F141)</f>
        <v>=MMS_Dairy_Methane_Equations.VEERG_4_3_1_1__4_FractionVolatileSolidsNotSolidStorage</v>
      </c>
    </row>
    <row r="110" spans="3:23" ht="20.100000000000001" customHeight="1" x14ac:dyDescent="0.25">
      <c r="D110" s="6"/>
    </row>
    <row r="111" spans="3:23" ht="20.100000000000001" customHeight="1" x14ac:dyDescent="0.25">
      <c r="F111" s="114" t="s">
        <v>295</v>
      </c>
    </row>
    <row r="112" spans="3:23" ht="20.100000000000001" customHeight="1" x14ac:dyDescent="0.25">
      <c r="D112" s="56" t="s">
        <v>31</v>
      </c>
      <c r="E112" s="1" t="str" cm="1">
        <f t="array" ref="E112">MMS_Dairy_Methane_Equations.VEERG_4_3_1_1__4_FractionVolatileSolidsNotSolidStorage_Variable()</f>
        <v>FVS_jm</v>
      </c>
    </row>
    <row r="113" spans="4:22" ht="20.100000000000001" customHeight="1" x14ac:dyDescent="0.25">
      <c r="D113" s="56" t="s">
        <v>21</v>
      </c>
      <c r="E113" s="57" t="str" cm="1">
        <f t="array" ref="E113">MMS_Dairy_Methane_Equations.VEERG_4_3_1_1__4_FractionVolatileSolidsNotSolidStorage_Unit()</f>
        <v>fraction</v>
      </c>
    </row>
    <row r="114" spans="4:22" ht="20.100000000000001" customHeight="1" x14ac:dyDescent="0.25"/>
    <row r="115" spans="4:22" ht="20.100000000000001" customHeight="1" x14ac:dyDescent="0.25">
      <c r="D115" s="115" t="str" cm="1">
        <f t="array" ref="D115:E116">MMS_Dairy_Methane_Equations.VEERG_4_3_1_1__4_FractionVolatileSolidsNotSolidStorage_Arguments()</f>
        <v>MMS_jm</v>
      </c>
      <c r="E115" s="117" t="str">
        <v>fraction of manure to each primary MMS for each class prior to solid separation</v>
      </c>
      <c r="F115" s="116"/>
      <c r="G115" s="115" t="str">
        <f>"See " &amp; D118</f>
        <v>See M1_Table_MMS_j_m</v>
      </c>
    </row>
    <row r="116" spans="4:22" ht="20.100000000000001" customHeight="1" x14ac:dyDescent="0.25">
      <c r="D116" s="115" t="str">
        <v>SS_m</v>
      </c>
      <c r="E116" s="117" t="str">
        <v>fraction of volatile solids separated to solid storage for each MMS</v>
      </c>
      <c r="F116" s="116"/>
      <c r="G116" s="115" t="str">
        <f>"See " &amp; D128</f>
        <v>See M1_Table_SS_m</v>
      </c>
    </row>
    <row r="117" spans="4:22" ht="20.100000000000001" customHeight="1" x14ac:dyDescent="0.25"/>
    <row r="118" spans="4:22" ht="20.100000000000001" customHeight="1" x14ac:dyDescent="0.25">
      <c r="D118" s="104" t="s">
        <v>260</v>
      </c>
      <c r="O118" s="104" t="s">
        <v>262</v>
      </c>
    </row>
    <row r="119" spans="4:22" ht="20.100000000000001" customHeight="1" x14ac:dyDescent="0.25">
      <c r="D119" s="103" t="s">
        <v>261</v>
      </c>
      <c r="O119" s="103" t="s">
        <v>263</v>
      </c>
    </row>
    <row r="120" spans="4:22" ht="20.100000000000001" customHeight="1" x14ac:dyDescent="0.25">
      <c r="D120" s="54" t="s">
        <v>152</v>
      </c>
      <c r="E120" s="54" t="s">
        <v>69</v>
      </c>
      <c r="F120" s="54" t="s">
        <v>178</v>
      </c>
      <c r="G120" s="54" t="s">
        <v>195</v>
      </c>
      <c r="H120" s="54" t="s">
        <v>196</v>
      </c>
      <c r="I120" s="54" t="s">
        <v>197</v>
      </c>
      <c r="J120" s="54" t="s">
        <v>198</v>
      </c>
      <c r="O120" s="54" t="s">
        <v>152</v>
      </c>
      <c r="P120" s="54" t="s">
        <v>69</v>
      </c>
      <c r="Q120" s="54" t="s">
        <v>178</v>
      </c>
      <c r="R120" s="54" t="s">
        <v>195</v>
      </c>
      <c r="S120" s="54" t="s">
        <v>196</v>
      </c>
      <c r="T120" s="54" t="s">
        <v>197</v>
      </c>
      <c r="U120" s="54" t="s">
        <v>198</v>
      </c>
    </row>
    <row r="121" spans="4:22" ht="20.100000000000001" customHeight="1" x14ac:dyDescent="0.25">
      <c r="D121" s="55" t="str">
        <f>'Input - Dairy'!$D$54</f>
        <v>Milking shed</v>
      </c>
      <c r="E121" s="55" t="str">
        <f>'Input - Dairy'!$D$67</f>
        <v>Anaerobic lagoon</v>
      </c>
      <c r="F121" s="55">
        <f>'Input - Dairy'!E$54*'Input - Dairy'!E67</f>
        <v>2.75E-2</v>
      </c>
      <c r="G121" s="55">
        <f>'Input - Dairy'!F$54*'Input - Dairy'!F67</f>
        <v>2.75E-2</v>
      </c>
      <c r="H121" s="55">
        <f>'Input - Dairy'!G$54*'Input - Dairy'!G67</f>
        <v>2.75E-2</v>
      </c>
      <c r="I121" s="55">
        <f>'Input - Dairy'!H$54*'Input - Dairy'!H67</f>
        <v>2.75E-2</v>
      </c>
      <c r="J121" s="55">
        <f>'Input - Dairy'!I$54*'Input - Dairy'!I67</f>
        <v>2.75E-2</v>
      </c>
      <c r="K121" s="2" t="s">
        <v>101</v>
      </c>
      <c r="O121" s="55" t="str">
        <f>'Input - Dairy'!$D$54</f>
        <v>Milking shed</v>
      </c>
      <c r="P121" s="55" t="str">
        <f>'Input - Dairy'!$D$67</f>
        <v>Anaerobic lagoon</v>
      </c>
      <c r="Q121" s="55">
        <f>'Input - Dairy'!E$59*'Input - Dairy'!E67</f>
        <v>2.75E-2</v>
      </c>
      <c r="R121" s="55">
        <f>'Input - Dairy'!F$59*'Input - Dairy'!F67</f>
        <v>2.75E-2</v>
      </c>
      <c r="S121" s="55">
        <f>'Input - Dairy'!G$59*'Input - Dairy'!G67</f>
        <v>2.75E-2</v>
      </c>
      <c r="T121" s="55">
        <f>'Input - Dairy'!H$59*'Input - Dairy'!H67</f>
        <v>2.75E-2</v>
      </c>
      <c r="U121" s="55">
        <f>'Input - Dairy'!I$59*'Input - Dairy'!I67</f>
        <v>2.75E-2</v>
      </c>
      <c r="V121" s="2" t="s">
        <v>101</v>
      </c>
    </row>
    <row r="122" spans="4:22" ht="20.100000000000001" customHeight="1" x14ac:dyDescent="0.25">
      <c r="D122" s="55" t="str">
        <f>'Input - Dairy'!$D$54</f>
        <v>Milking shed</v>
      </c>
      <c r="E122" s="55" t="str">
        <f>'Input - Dairy'!$D$72</f>
        <v>Sump and dispersal system</v>
      </c>
      <c r="F122" s="55">
        <f>'Input - Dairy'!E$54*'Input - Dairy'!E72</f>
        <v>2.75E-2</v>
      </c>
      <c r="G122" s="55">
        <f>'Input - Dairy'!F$54*'Input - Dairy'!F72</f>
        <v>2.75E-2</v>
      </c>
      <c r="H122" s="55">
        <f>'Input - Dairy'!G$54*'Input - Dairy'!G72</f>
        <v>2.75E-2</v>
      </c>
      <c r="I122" s="55">
        <f>'Input - Dairy'!H$54*'Input - Dairy'!H72</f>
        <v>2.75E-2</v>
      </c>
      <c r="J122" s="55">
        <f>'Input - Dairy'!I$54*'Input - Dairy'!I72</f>
        <v>2.75E-2</v>
      </c>
      <c r="K122" s="2" t="s">
        <v>101</v>
      </c>
      <c r="O122" s="55" t="str">
        <f>'Input - Dairy'!$D$54</f>
        <v>Milking shed</v>
      </c>
      <c r="P122" s="55" t="str">
        <f>'Input - Dairy'!$D$72</f>
        <v>Sump and dispersal system</v>
      </c>
      <c r="Q122" s="55">
        <f>'Input - Dairy'!E$59*'Input - Dairy'!E72</f>
        <v>2.75E-2</v>
      </c>
      <c r="R122" s="55">
        <f>'Input - Dairy'!F$59*'Input - Dairy'!F72</f>
        <v>2.75E-2</v>
      </c>
      <c r="S122" s="55">
        <f>'Input - Dairy'!G$59*'Input - Dairy'!G72</f>
        <v>2.75E-2</v>
      </c>
      <c r="T122" s="55">
        <f>'Input - Dairy'!H$59*'Input - Dairy'!H72</f>
        <v>2.75E-2</v>
      </c>
      <c r="U122" s="55">
        <f>'Input - Dairy'!I$59*'Input - Dairy'!I72</f>
        <v>2.75E-2</v>
      </c>
      <c r="V122" s="2" t="s">
        <v>101</v>
      </c>
    </row>
    <row r="123" spans="4:22" ht="20.100000000000001" customHeight="1" x14ac:dyDescent="0.25">
      <c r="D123" s="55" t="str">
        <f>'Input - Dairy'!$D$54</f>
        <v>Milking shed</v>
      </c>
      <c r="E123" s="55" t="str">
        <f>'Input - Dairy'!$D$77</f>
        <v>Drains to paddock</v>
      </c>
      <c r="F123" s="55">
        <f>'Input - Dairy'!E$54*'Input - Dairy'!E77</f>
        <v>2.75E-2</v>
      </c>
      <c r="G123" s="55">
        <f>'Input - Dairy'!F$54*'Input - Dairy'!F77</f>
        <v>2.75E-2</v>
      </c>
      <c r="H123" s="55">
        <f>'Input - Dairy'!G$54*'Input - Dairy'!G77</f>
        <v>2.75E-2</v>
      </c>
      <c r="I123" s="55">
        <f>'Input - Dairy'!H$54*'Input - Dairy'!H77</f>
        <v>2.75E-2</v>
      </c>
      <c r="J123" s="55">
        <f>'Input - Dairy'!I$54*'Input - Dairy'!I77</f>
        <v>2.75E-2</v>
      </c>
      <c r="K123" s="2" t="s">
        <v>101</v>
      </c>
      <c r="O123" s="55" t="str">
        <f>'Input - Dairy'!$D$54</f>
        <v>Milking shed</v>
      </c>
      <c r="P123" s="55" t="str">
        <f>'Input - Dairy'!$D$77</f>
        <v>Drains to paddock</v>
      </c>
      <c r="Q123" s="55">
        <f>'Input - Dairy'!E$59*'Input - Dairy'!E77</f>
        <v>2.75E-2</v>
      </c>
      <c r="R123" s="55">
        <f>'Input - Dairy'!F$59*'Input - Dairy'!F77</f>
        <v>2.75E-2</v>
      </c>
      <c r="S123" s="55">
        <f>'Input - Dairy'!G$59*'Input - Dairy'!G77</f>
        <v>2.75E-2</v>
      </c>
      <c r="T123" s="55">
        <f>'Input - Dairy'!H$59*'Input - Dairy'!H77</f>
        <v>2.75E-2</v>
      </c>
      <c r="U123" s="55">
        <f>'Input - Dairy'!I$59*'Input - Dairy'!I77</f>
        <v>2.75E-2</v>
      </c>
      <c r="V123" s="2" t="s">
        <v>101</v>
      </c>
    </row>
    <row r="124" spans="4:22" ht="20.100000000000001" customHeight="1" x14ac:dyDescent="0.25">
      <c r="D124" s="55" t="str">
        <f>'Input - Dairy'!$D$55</f>
        <v>Feed pad</v>
      </c>
      <c r="E124" s="55" t="str">
        <f>'Input - Dairy'!$D$101</f>
        <v>Anaerobic lagoon</v>
      </c>
      <c r="F124" s="55">
        <f>'Input - Dairy'!E$55*'Input - Dairy'!E101</f>
        <v>8.8999999999999996E-2</v>
      </c>
      <c r="G124" s="55">
        <f>'Input - Dairy'!F$55*'Input - Dairy'!F101</f>
        <v>8.8999999999999996E-2</v>
      </c>
      <c r="H124" s="55">
        <f>'Input - Dairy'!G$55*'Input - Dairy'!G101</f>
        <v>8.8999999999999996E-2</v>
      </c>
      <c r="I124" s="55">
        <f>'Input - Dairy'!H$55*'Input - Dairy'!H101</f>
        <v>8.8999999999999996E-2</v>
      </c>
      <c r="J124" s="55">
        <f>'Input - Dairy'!I$55*'Input - Dairy'!I101</f>
        <v>8.8999999999999996E-2</v>
      </c>
      <c r="K124" s="2" t="s">
        <v>101</v>
      </c>
      <c r="O124" s="55" t="str">
        <f>'Input - Dairy'!$D$55</f>
        <v>Feed pad</v>
      </c>
      <c r="P124" s="55" t="str">
        <f>'Input - Dairy'!$D$101</f>
        <v>Anaerobic lagoon</v>
      </c>
      <c r="Q124" s="55">
        <f>'Input - Dairy'!E$60*'Input - Dairy'!E101</f>
        <v>8.8999999999999996E-2</v>
      </c>
      <c r="R124" s="55">
        <f>'Input - Dairy'!F$60*'Input - Dairy'!F101</f>
        <v>8.8999999999999996E-2</v>
      </c>
      <c r="S124" s="55">
        <f>'Input - Dairy'!G$60*'Input - Dairy'!G101</f>
        <v>8.8999999999999996E-2</v>
      </c>
      <c r="T124" s="55">
        <f>'Input - Dairy'!H$60*'Input - Dairy'!H101</f>
        <v>8.8999999999999996E-2</v>
      </c>
      <c r="U124" s="55">
        <f>'Input - Dairy'!I$60*'Input - Dairy'!I101</f>
        <v>8.8999999999999996E-2</v>
      </c>
      <c r="V124" s="2" t="s">
        <v>101</v>
      </c>
    </row>
    <row r="125" spans="4:22" ht="20.100000000000001" customHeight="1" x14ac:dyDescent="0.25">
      <c r="D125" s="55" t="str">
        <f>'Input - Dairy'!$D$55</f>
        <v>Feed pad</v>
      </c>
      <c r="E125" s="55" t="str">
        <f>'Input - Dairy'!$D$106</f>
        <v>Sump and dispersal system</v>
      </c>
      <c r="F125" s="55">
        <f>'Input - Dairy'!E$55*'Input - Dairy'!E106</f>
        <v>8.8999999999999996E-2</v>
      </c>
      <c r="G125" s="55">
        <f>'Input - Dairy'!F$55*'Input - Dairy'!F106</f>
        <v>8.8999999999999996E-2</v>
      </c>
      <c r="H125" s="55">
        <f>'Input - Dairy'!G$55*'Input - Dairy'!G106</f>
        <v>8.8999999999999996E-2</v>
      </c>
      <c r="I125" s="55">
        <f>'Input - Dairy'!H$55*'Input - Dairy'!H106</f>
        <v>8.8999999999999996E-2</v>
      </c>
      <c r="J125" s="55">
        <f>'Input - Dairy'!I$55*'Input - Dairy'!I106</f>
        <v>8.8999999999999996E-2</v>
      </c>
      <c r="K125" s="2" t="s">
        <v>101</v>
      </c>
      <c r="O125" s="55" t="str">
        <f>'Input - Dairy'!$D$55</f>
        <v>Feed pad</v>
      </c>
      <c r="P125" s="55" t="str">
        <f>'Input - Dairy'!$D$106</f>
        <v>Sump and dispersal system</v>
      </c>
      <c r="Q125" s="55">
        <f>'Input - Dairy'!E$60*'Input - Dairy'!E106</f>
        <v>8.8999999999999996E-2</v>
      </c>
      <c r="R125" s="55">
        <f>'Input - Dairy'!F$60*'Input - Dairy'!F106</f>
        <v>8.8999999999999996E-2</v>
      </c>
      <c r="S125" s="55">
        <f>'Input - Dairy'!G$60*'Input - Dairy'!G106</f>
        <v>8.8999999999999996E-2</v>
      </c>
      <c r="T125" s="55">
        <f>'Input - Dairy'!H$60*'Input - Dairy'!H106</f>
        <v>8.8999999999999996E-2</v>
      </c>
      <c r="U125" s="55">
        <f>'Input - Dairy'!I$60*'Input - Dairy'!I106</f>
        <v>8.8999999999999996E-2</v>
      </c>
      <c r="V125" s="2" t="s">
        <v>101</v>
      </c>
    </row>
    <row r="126" spans="4:22" ht="20.100000000000001" customHeight="1" x14ac:dyDescent="0.25">
      <c r="D126" s="55" t="str">
        <f>'Input - Dairy'!$D$55</f>
        <v>Feed pad</v>
      </c>
      <c r="E126" s="55" t="str">
        <f>'Input - Dairy'!$D$111</f>
        <v>Drains to paddock</v>
      </c>
      <c r="F126" s="55">
        <f>'Input - Dairy'!E$55*'Input - Dairy'!E111</f>
        <v>8.8999999999999996E-2</v>
      </c>
      <c r="G126" s="55">
        <f>'Input - Dairy'!F$55*'Input - Dairy'!F111</f>
        <v>8.8999999999999996E-2</v>
      </c>
      <c r="H126" s="55">
        <f>'Input - Dairy'!G$55*'Input - Dairy'!G111</f>
        <v>8.8999999999999996E-2</v>
      </c>
      <c r="I126" s="55">
        <f>'Input - Dairy'!H$55*'Input - Dairy'!H111</f>
        <v>8.8999999999999996E-2</v>
      </c>
      <c r="J126" s="55">
        <f>'Input - Dairy'!I$55*'Input - Dairy'!I111</f>
        <v>8.8999999999999996E-2</v>
      </c>
      <c r="K126" s="2" t="s">
        <v>101</v>
      </c>
      <c r="O126" s="55" t="str">
        <f>'Input - Dairy'!$D$55</f>
        <v>Feed pad</v>
      </c>
      <c r="P126" s="55" t="str">
        <f>'Input - Dairy'!$D$111</f>
        <v>Drains to paddock</v>
      </c>
      <c r="Q126" s="55">
        <f>'Input - Dairy'!E$60*'Input - Dairy'!E111</f>
        <v>8.8999999999999996E-2</v>
      </c>
      <c r="R126" s="55">
        <f>'Input - Dairy'!F$60*'Input - Dairy'!F111</f>
        <v>8.8999999999999996E-2</v>
      </c>
      <c r="S126" s="55">
        <f>'Input - Dairy'!G$60*'Input - Dairy'!G111</f>
        <v>8.8999999999999996E-2</v>
      </c>
      <c r="T126" s="55">
        <f>'Input - Dairy'!H$60*'Input - Dairy'!H111</f>
        <v>8.8999999999999996E-2</v>
      </c>
      <c r="U126" s="55">
        <f>'Input - Dairy'!I$60*'Input - Dairy'!I111</f>
        <v>8.8999999999999996E-2</v>
      </c>
      <c r="V126" s="2" t="s">
        <v>101</v>
      </c>
    </row>
    <row r="127" spans="4:22" ht="20.100000000000001" customHeight="1" x14ac:dyDescent="0.25"/>
    <row r="128" spans="4:22" ht="20.100000000000001" customHeight="1" x14ac:dyDescent="0.25">
      <c r="D128" s="104" t="s">
        <v>258</v>
      </c>
      <c r="O128" s="104" t="s">
        <v>264</v>
      </c>
    </row>
    <row r="129" spans="4:22" ht="20.100000000000001" customHeight="1" x14ac:dyDescent="0.25">
      <c r="D129" s="103" t="s">
        <v>267</v>
      </c>
      <c r="O129" s="103" t="s">
        <v>268</v>
      </c>
    </row>
    <row r="130" spans="4:22" ht="20.100000000000001" customHeight="1" x14ac:dyDescent="0.25">
      <c r="D130" s="54" t="s">
        <v>152</v>
      </c>
      <c r="E130" s="54" t="s">
        <v>69</v>
      </c>
      <c r="F130" s="54" t="s">
        <v>259</v>
      </c>
      <c r="O130" s="54" t="s">
        <v>152</v>
      </c>
      <c r="P130" s="54" t="s">
        <v>69</v>
      </c>
      <c r="Q130" s="54" t="s">
        <v>259</v>
      </c>
    </row>
    <row r="131" spans="4:22" ht="20.100000000000001" customHeight="1" x14ac:dyDescent="0.25">
      <c r="D131" s="55" t="str">
        <f>'Input - Dairy'!$D$54</f>
        <v>Milking shed</v>
      </c>
      <c r="E131" s="55" t="str">
        <f>'Input - Dairy'!$D$67</f>
        <v>Anaerobic lagoon</v>
      </c>
      <c r="F131" s="55">
        <f>'Input - Dairy'!$E$69</f>
        <v>0.2</v>
      </c>
      <c r="G131" s="2" t="s">
        <v>101</v>
      </c>
      <c r="O131" s="55" t="str">
        <f>'Input - Dairy'!$D$54</f>
        <v>Milking shed</v>
      </c>
      <c r="P131" s="55" t="str">
        <f>'Input - Dairy'!$D$67</f>
        <v>Anaerobic lagoon</v>
      </c>
      <c r="Q131" s="55">
        <f>'Input - Dairy'!$E$70</f>
        <v>0.2</v>
      </c>
      <c r="R131" s="2" t="s">
        <v>101</v>
      </c>
    </row>
    <row r="132" spans="4:22" ht="20.100000000000001" customHeight="1" x14ac:dyDescent="0.25">
      <c r="D132" s="55" t="str">
        <f>'Input - Dairy'!$D$54</f>
        <v>Milking shed</v>
      </c>
      <c r="E132" s="55" t="str">
        <f>'Input - Dairy'!$D$72</f>
        <v>Sump and dispersal system</v>
      </c>
      <c r="F132" s="55">
        <f>'Input - Dairy'!$E$74</f>
        <v>0.2</v>
      </c>
      <c r="G132" s="2" t="s">
        <v>101</v>
      </c>
      <c r="O132" s="55" t="str">
        <f>'Input - Dairy'!$D$54</f>
        <v>Milking shed</v>
      </c>
      <c r="P132" s="55" t="str">
        <f>'Input - Dairy'!$D$72</f>
        <v>Sump and dispersal system</v>
      </c>
      <c r="Q132" s="55">
        <f>'Input - Dairy'!$E$75</f>
        <v>0.2</v>
      </c>
      <c r="R132" s="2" t="s">
        <v>101</v>
      </c>
    </row>
    <row r="133" spans="4:22" ht="20.100000000000001" customHeight="1" x14ac:dyDescent="0.25">
      <c r="D133" s="55" t="str">
        <f>'Input - Dairy'!$D$54</f>
        <v>Milking shed</v>
      </c>
      <c r="E133" s="55" t="str">
        <f>'Input - Dairy'!$D$77</f>
        <v>Drains to paddock</v>
      </c>
      <c r="F133" s="55">
        <f>'Input - Dairy'!$E$79</f>
        <v>0.2</v>
      </c>
      <c r="G133" s="2" t="s">
        <v>101</v>
      </c>
      <c r="O133" s="55" t="str">
        <f>'Input - Dairy'!$D$54</f>
        <v>Milking shed</v>
      </c>
      <c r="P133" s="55" t="str">
        <f>'Input - Dairy'!$D$77</f>
        <v>Drains to paddock</v>
      </c>
      <c r="Q133" s="55">
        <f>'Input - Dairy'!$E$80</f>
        <v>0.2</v>
      </c>
      <c r="R133" s="2" t="s">
        <v>101</v>
      </c>
    </row>
    <row r="134" spans="4:22" ht="20.100000000000001" customHeight="1" x14ac:dyDescent="0.25">
      <c r="D134" s="55" t="str">
        <f>'Input - Dairy'!$D$55</f>
        <v>Feed pad</v>
      </c>
      <c r="E134" s="55" t="str">
        <f>'Input - Dairy'!$D$101</f>
        <v>Anaerobic lagoon</v>
      </c>
      <c r="F134" s="55">
        <f>'Input - Dairy'!$E$103</f>
        <v>0</v>
      </c>
      <c r="G134" s="2" t="s">
        <v>101</v>
      </c>
      <c r="O134" s="55" t="str">
        <f>'Input - Dairy'!$D$55</f>
        <v>Feed pad</v>
      </c>
      <c r="P134" s="55" t="str">
        <f>'Input - Dairy'!$D$101</f>
        <v>Anaerobic lagoon</v>
      </c>
      <c r="Q134" s="55">
        <f>'Input - Dairy'!$E$104</f>
        <v>0</v>
      </c>
      <c r="R134" s="2" t="s">
        <v>101</v>
      </c>
    </row>
    <row r="135" spans="4:22" ht="20.100000000000001" customHeight="1" x14ac:dyDescent="0.25">
      <c r="D135" s="55" t="str">
        <f>'Input - Dairy'!$D$55</f>
        <v>Feed pad</v>
      </c>
      <c r="E135" s="55" t="str">
        <f>'Input - Dairy'!$D$106</f>
        <v>Sump and dispersal system</v>
      </c>
      <c r="F135" s="55">
        <f>'Input - Dairy'!$E$108</f>
        <v>0.2</v>
      </c>
      <c r="G135" s="2" t="s">
        <v>101</v>
      </c>
      <c r="O135" s="55" t="str">
        <f>'Input - Dairy'!$D$55</f>
        <v>Feed pad</v>
      </c>
      <c r="P135" s="55" t="str">
        <f>'Input - Dairy'!$D$106</f>
        <v>Sump and dispersal system</v>
      </c>
      <c r="Q135" s="55">
        <f>'Input - Dairy'!$E$109</f>
        <v>0.2</v>
      </c>
      <c r="R135" s="2" t="s">
        <v>101</v>
      </c>
    </row>
    <row r="136" spans="4:22" ht="20.100000000000001" customHeight="1" x14ac:dyDescent="0.25">
      <c r="D136" s="55" t="str">
        <f>'Input - Dairy'!$D$55</f>
        <v>Feed pad</v>
      </c>
      <c r="E136" s="55" t="str">
        <f>'Input - Dairy'!$D$111</f>
        <v>Drains to paddock</v>
      </c>
      <c r="F136" s="55">
        <f>'Input - Dairy'!$E$113</f>
        <v>0.2</v>
      </c>
      <c r="G136" s="2" t="s">
        <v>101</v>
      </c>
      <c r="O136" s="55" t="str">
        <f>'Input - Dairy'!$D$55</f>
        <v>Feed pad</v>
      </c>
      <c r="P136" s="55" t="str">
        <f>'Input - Dairy'!$D$111</f>
        <v>Drains to paddock</v>
      </c>
      <c r="Q136" s="55">
        <f>'Input - Dairy'!$E$114</f>
        <v>0.2</v>
      </c>
      <c r="R136" s="2" t="s">
        <v>101</v>
      </c>
    </row>
    <row r="137" spans="4:22" ht="20.100000000000001" customHeight="1" x14ac:dyDescent="0.25"/>
    <row r="138" spans="4:22" ht="20.100000000000001" customHeight="1" x14ac:dyDescent="0.25">
      <c r="D138" s="104" t="s">
        <v>257</v>
      </c>
      <c r="O138" s="104" t="s">
        <v>257</v>
      </c>
    </row>
    <row r="139" spans="4:22" ht="20.100000000000001" customHeight="1" x14ac:dyDescent="0.25">
      <c r="D139" s="103" t="s">
        <v>256</v>
      </c>
      <c r="O139" s="103" t="s">
        <v>256</v>
      </c>
    </row>
    <row r="140" spans="4:22" ht="20.100000000000001" customHeight="1" x14ac:dyDescent="0.25">
      <c r="D140" s="54" t="s">
        <v>152</v>
      </c>
      <c r="E140" s="54" t="s">
        <v>69</v>
      </c>
      <c r="F140" s="54" t="s">
        <v>178</v>
      </c>
      <c r="G140" s="54" t="s">
        <v>195</v>
      </c>
      <c r="H140" s="54" t="s">
        <v>196</v>
      </c>
      <c r="I140" s="54" t="s">
        <v>197</v>
      </c>
      <c r="J140" s="54" t="s">
        <v>198</v>
      </c>
      <c r="O140" s="54" t="s">
        <v>152</v>
      </c>
      <c r="P140" s="54" t="s">
        <v>69</v>
      </c>
      <c r="Q140" s="54" t="s">
        <v>178</v>
      </c>
      <c r="R140" s="54" t="s">
        <v>195</v>
      </c>
      <c r="S140" s="54" t="s">
        <v>196</v>
      </c>
      <c r="T140" s="54" t="s">
        <v>197</v>
      </c>
      <c r="U140" s="54" t="s">
        <v>198</v>
      </c>
    </row>
    <row r="141" spans="4:22" ht="20.100000000000001" customHeight="1" x14ac:dyDescent="0.25">
      <c r="D141" s="55" t="str">
        <f>'Input - Dairy'!$D$54</f>
        <v>Milking shed</v>
      </c>
      <c r="E141" s="55" t="str">
        <f>'Input - Dairy'!$D$67</f>
        <v>Anaerobic lagoon</v>
      </c>
      <c r="F141" s="55" cm="1">
        <f t="array" ref="F141">MMS_Dairy_Methane_Equations.VEERG_4_3_1_1__4_FractionVolatileSolidsNotSolidStorage(F121,$F131)</f>
        <v>2.2000000000000002E-2</v>
      </c>
      <c r="G141" s="55" cm="1">
        <f t="array" ref="G141">MMS_Dairy_Methane_Equations.VEERG_4_3_1_1__4_FractionVolatileSolidsNotSolidStorage(G121,$F131)</f>
        <v>2.2000000000000002E-2</v>
      </c>
      <c r="H141" s="55" cm="1">
        <f t="array" ref="H141">MMS_Dairy_Methane_Equations.VEERG_4_3_1_1__4_FractionVolatileSolidsNotSolidStorage(H121,$F131)</f>
        <v>2.2000000000000002E-2</v>
      </c>
      <c r="I141" s="55" cm="1">
        <f t="array" ref="I141">MMS_Dairy_Methane_Equations.VEERG_4_3_1_1__4_FractionVolatileSolidsNotSolidStorage(I121,$F131)</f>
        <v>2.2000000000000002E-2</v>
      </c>
      <c r="J141" s="55" cm="1">
        <f t="array" ref="J141">MMS_Dairy_Methane_Equations.VEERG_4_3_1_1__4_FractionVolatileSolidsNotSolidStorage(J121,$F131)</f>
        <v>2.2000000000000002E-2</v>
      </c>
      <c r="K141" s="2" t="str">
        <f>$E$113</f>
        <v>fraction</v>
      </c>
      <c r="O141" s="55" t="str">
        <f>'Input - Dairy'!$D$54</f>
        <v>Milking shed</v>
      </c>
      <c r="P141" s="55" t="str">
        <f>'Input - Dairy'!$D$67</f>
        <v>Anaerobic lagoon</v>
      </c>
      <c r="Q141" s="55" cm="1">
        <f t="array" ref="Q141">MMS_Dairy_Methane_Equations.VEERG_4_3_1_1__4_FractionVolatileSolidsNotSolidStorage(Q121,$Q131)</f>
        <v>2.2000000000000002E-2</v>
      </c>
      <c r="R141" s="55" cm="1">
        <f t="array" ref="R141">MMS_Dairy_Methane_Equations.VEERG_4_3_1_1__4_FractionVolatileSolidsNotSolidStorage(R121,$Q131)</f>
        <v>2.2000000000000002E-2</v>
      </c>
      <c r="S141" s="55" cm="1">
        <f t="array" ref="S141">MMS_Dairy_Methane_Equations.VEERG_4_3_1_1__4_FractionVolatileSolidsNotSolidStorage(S121,$Q131)</f>
        <v>2.2000000000000002E-2</v>
      </c>
      <c r="T141" s="55" cm="1">
        <f t="array" ref="T141">MMS_Dairy_Methane_Equations.VEERG_4_3_1_1__4_FractionVolatileSolidsNotSolidStorage(T121,$Q131)</f>
        <v>2.2000000000000002E-2</v>
      </c>
      <c r="U141" s="55" cm="1">
        <f t="array" ref="U141">MMS_Dairy_Methane_Equations.VEERG_4_3_1_1__4_FractionVolatileSolidsNotSolidStorage(U121,$Q131)</f>
        <v>2.2000000000000002E-2</v>
      </c>
      <c r="V141" s="2" t="str">
        <f t="shared" ref="V141:V146" si="0">$E$113</f>
        <v>fraction</v>
      </c>
    </row>
    <row r="142" spans="4:22" ht="20.100000000000001" customHeight="1" x14ac:dyDescent="0.25">
      <c r="D142" s="55" t="str">
        <f>'Input - Dairy'!$D$54</f>
        <v>Milking shed</v>
      </c>
      <c r="E142" s="55" t="str">
        <f>'Input - Dairy'!$D$72</f>
        <v>Sump and dispersal system</v>
      </c>
      <c r="F142" s="55" cm="1">
        <f t="array" ref="F142">MMS_Dairy_Methane_Equations.VEERG_4_3_1_1__4_FractionVolatileSolidsNotSolidStorage(F122,$F132)</f>
        <v>2.2000000000000002E-2</v>
      </c>
      <c r="G142" s="55" cm="1">
        <f t="array" ref="G142">MMS_Dairy_Methane_Equations.VEERG_4_3_1_1__4_FractionVolatileSolidsNotSolidStorage(G122,$F132)</f>
        <v>2.2000000000000002E-2</v>
      </c>
      <c r="H142" s="55" cm="1">
        <f t="array" ref="H142">MMS_Dairy_Methane_Equations.VEERG_4_3_1_1__4_FractionVolatileSolidsNotSolidStorage(H122,$F132)</f>
        <v>2.2000000000000002E-2</v>
      </c>
      <c r="I142" s="55" cm="1">
        <f t="array" ref="I142">MMS_Dairy_Methane_Equations.VEERG_4_3_1_1__4_FractionVolatileSolidsNotSolidStorage(I122,$F132)</f>
        <v>2.2000000000000002E-2</v>
      </c>
      <c r="J142" s="55" cm="1">
        <f t="array" ref="J142">MMS_Dairy_Methane_Equations.VEERG_4_3_1_1__4_FractionVolatileSolidsNotSolidStorage(J122,$F132)</f>
        <v>2.2000000000000002E-2</v>
      </c>
      <c r="K142" s="2" t="str">
        <f t="shared" ref="K142:K146" si="1">$E$113</f>
        <v>fraction</v>
      </c>
      <c r="O142" s="55" t="str">
        <f>'Input - Dairy'!$D$54</f>
        <v>Milking shed</v>
      </c>
      <c r="P142" s="55" t="str">
        <f>'Input - Dairy'!$D$72</f>
        <v>Sump and dispersal system</v>
      </c>
      <c r="Q142" s="55" cm="1">
        <f t="array" ref="Q142">MMS_Dairy_Methane_Equations.VEERG_4_3_1_1__4_FractionVolatileSolidsNotSolidStorage(Q122,$Q132)</f>
        <v>2.2000000000000002E-2</v>
      </c>
      <c r="R142" s="55" cm="1">
        <f t="array" ref="R142">MMS_Dairy_Methane_Equations.VEERG_4_3_1_1__4_FractionVolatileSolidsNotSolidStorage(R122,$Q132)</f>
        <v>2.2000000000000002E-2</v>
      </c>
      <c r="S142" s="55" cm="1">
        <f t="array" ref="S142">MMS_Dairy_Methane_Equations.VEERG_4_3_1_1__4_FractionVolatileSolidsNotSolidStorage(S122,$Q132)</f>
        <v>2.2000000000000002E-2</v>
      </c>
      <c r="T142" s="55" cm="1">
        <f t="array" ref="T142">MMS_Dairy_Methane_Equations.VEERG_4_3_1_1__4_FractionVolatileSolidsNotSolidStorage(T122,$Q132)</f>
        <v>2.2000000000000002E-2</v>
      </c>
      <c r="U142" s="55" cm="1">
        <f t="array" ref="U142">MMS_Dairy_Methane_Equations.VEERG_4_3_1_1__4_FractionVolatileSolidsNotSolidStorage(U122,$Q132)</f>
        <v>2.2000000000000002E-2</v>
      </c>
      <c r="V142" s="2" t="str">
        <f t="shared" si="0"/>
        <v>fraction</v>
      </c>
    </row>
    <row r="143" spans="4:22" ht="20.100000000000001" customHeight="1" x14ac:dyDescent="0.25">
      <c r="D143" s="55" t="str">
        <f>'Input - Dairy'!$D$54</f>
        <v>Milking shed</v>
      </c>
      <c r="E143" s="55" t="str">
        <f>'Input - Dairy'!$D$77</f>
        <v>Drains to paddock</v>
      </c>
      <c r="F143" s="55" cm="1">
        <f t="array" ref="F143">MMS_Dairy_Methane_Equations.VEERG_4_3_1_1__4_FractionVolatileSolidsNotSolidStorage(F123,$F133)</f>
        <v>2.2000000000000002E-2</v>
      </c>
      <c r="G143" s="55" cm="1">
        <f t="array" ref="G143">MMS_Dairy_Methane_Equations.VEERG_4_3_1_1__4_FractionVolatileSolidsNotSolidStorage(G123,$F133)</f>
        <v>2.2000000000000002E-2</v>
      </c>
      <c r="H143" s="55" cm="1">
        <f t="array" ref="H143">MMS_Dairy_Methane_Equations.VEERG_4_3_1_1__4_FractionVolatileSolidsNotSolidStorage(H123,$F133)</f>
        <v>2.2000000000000002E-2</v>
      </c>
      <c r="I143" s="55" cm="1">
        <f t="array" ref="I143">MMS_Dairy_Methane_Equations.VEERG_4_3_1_1__4_FractionVolatileSolidsNotSolidStorage(I123,$F133)</f>
        <v>2.2000000000000002E-2</v>
      </c>
      <c r="J143" s="55" cm="1">
        <f t="array" ref="J143">MMS_Dairy_Methane_Equations.VEERG_4_3_1_1__4_FractionVolatileSolidsNotSolidStorage(J123,$F133)</f>
        <v>2.2000000000000002E-2</v>
      </c>
      <c r="K143" s="2" t="str">
        <f t="shared" si="1"/>
        <v>fraction</v>
      </c>
      <c r="O143" s="55" t="str">
        <f>'Input - Dairy'!$D$54</f>
        <v>Milking shed</v>
      </c>
      <c r="P143" s="55" t="str">
        <f>'Input - Dairy'!$D$77</f>
        <v>Drains to paddock</v>
      </c>
      <c r="Q143" s="55" cm="1">
        <f t="array" ref="Q143">MMS_Dairy_Methane_Equations.VEERG_4_3_1_1__4_FractionVolatileSolidsNotSolidStorage(Q123,$Q133)</f>
        <v>2.2000000000000002E-2</v>
      </c>
      <c r="R143" s="55" cm="1">
        <f t="array" ref="R143">MMS_Dairy_Methane_Equations.VEERG_4_3_1_1__4_FractionVolatileSolidsNotSolidStorage(R123,$Q133)</f>
        <v>2.2000000000000002E-2</v>
      </c>
      <c r="S143" s="55" cm="1">
        <f t="array" ref="S143">MMS_Dairy_Methane_Equations.VEERG_4_3_1_1__4_FractionVolatileSolidsNotSolidStorage(S123,$Q133)</f>
        <v>2.2000000000000002E-2</v>
      </c>
      <c r="T143" s="55" cm="1">
        <f t="array" ref="T143">MMS_Dairy_Methane_Equations.VEERG_4_3_1_1__4_FractionVolatileSolidsNotSolidStorage(T123,$Q133)</f>
        <v>2.2000000000000002E-2</v>
      </c>
      <c r="U143" s="55" cm="1">
        <f t="array" ref="U143">MMS_Dairy_Methane_Equations.VEERG_4_3_1_1__4_FractionVolatileSolidsNotSolidStorage(U123,$Q133)</f>
        <v>2.2000000000000002E-2</v>
      </c>
      <c r="V143" s="2" t="str">
        <f t="shared" si="0"/>
        <v>fraction</v>
      </c>
    </row>
    <row r="144" spans="4:22" ht="20.100000000000001" customHeight="1" x14ac:dyDescent="0.25">
      <c r="D144" s="55" t="str">
        <f>'Input - Dairy'!$D$55</f>
        <v>Feed pad</v>
      </c>
      <c r="E144" s="55" t="str">
        <f>'Input - Dairy'!$D$101</f>
        <v>Anaerobic lagoon</v>
      </c>
      <c r="F144" s="55" cm="1">
        <f t="array" ref="F144">MMS_Dairy_Methane_Equations.VEERG_4_3_1_1__4_FractionVolatileSolidsNotSolidStorage(F124,$F134)</f>
        <v>8.8999999999999996E-2</v>
      </c>
      <c r="G144" s="55" cm="1">
        <f t="array" ref="G144">MMS_Dairy_Methane_Equations.VEERG_4_3_1_1__4_FractionVolatileSolidsNotSolidStorage(G124,$F134)</f>
        <v>8.8999999999999996E-2</v>
      </c>
      <c r="H144" s="55" cm="1">
        <f t="array" ref="H144">MMS_Dairy_Methane_Equations.VEERG_4_3_1_1__4_FractionVolatileSolidsNotSolidStorage(H124,$F134)</f>
        <v>8.8999999999999996E-2</v>
      </c>
      <c r="I144" s="55" cm="1">
        <f t="array" ref="I144">MMS_Dairy_Methane_Equations.VEERG_4_3_1_1__4_FractionVolatileSolidsNotSolidStorage(I124,$F134)</f>
        <v>8.8999999999999996E-2</v>
      </c>
      <c r="J144" s="55" cm="1">
        <f t="array" ref="J144">MMS_Dairy_Methane_Equations.VEERG_4_3_1_1__4_FractionVolatileSolidsNotSolidStorage(J124,$F134)</f>
        <v>8.8999999999999996E-2</v>
      </c>
      <c r="K144" s="2" t="str">
        <f t="shared" si="1"/>
        <v>fraction</v>
      </c>
      <c r="O144" s="55" t="str">
        <f>'Input - Dairy'!$D$55</f>
        <v>Feed pad</v>
      </c>
      <c r="P144" s="55" t="str">
        <f>'Input - Dairy'!$D$101</f>
        <v>Anaerobic lagoon</v>
      </c>
      <c r="Q144" s="55" cm="1">
        <f t="array" ref="Q144">MMS_Dairy_Methane_Equations.VEERG_4_3_1_1__4_FractionVolatileSolidsNotSolidStorage(Q124,$Q134)</f>
        <v>8.8999999999999996E-2</v>
      </c>
      <c r="R144" s="55" cm="1">
        <f t="array" ref="R144">MMS_Dairy_Methane_Equations.VEERG_4_3_1_1__4_FractionVolatileSolidsNotSolidStorage(R124,$Q134)</f>
        <v>8.8999999999999996E-2</v>
      </c>
      <c r="S144" s="55" cm="1">
        <f t="array" ref="S144">MMS_Dairy_Methane_Equations.VEERG_4_3_1_1__4_FractionVolatileSolidsNotSolidStorage(S124,$Q134)</f>
        <v>8.8999999999999996E-2</v>
      </c>
      <c r="T144" s="55" cm="1">
        <f t="array" ref="T144">MMS_Dairy_Methane_Equations.VEERG_4_3_1_1__4_FractionVolatileSolidsNotSolidStorage(T124,$Q134)</f>
        <v>8.8999999999999996E-2</v>
      </c>
      <c r="U144" s="55" cm="1">
        <f t="array" ref="U144">MMS_Dairy_Methane_Equations.VEERG_4_3_1_1__4_FractionVolatileSolidsNotSolidStorage(U124,$Q134)</f>
        <v>8.8999999999999996E-2</v>
      </c>
      <c r="V144" s="2" t="str">
        <f t="shared" si="0"/>
        <v>fraction</v>
      </c>
    </row>
    <row r="145" spans="3:23" ht="20.100000000000001" customHeight="1" x14ac:dyDescent="0.25">
      <c r="D145" s="55" t="str">
        <f>'Input - Dairy'!$D$55</f>
        <v>Feed pad</v>
      </c>
      <c r="E145" s="55" t="str">
        <f>'Input - Dairy'!$D$106</f>
        <v>Sump and dispersal system</v>
      </c>
      <c r="F145" s="55" cm="1">
        <f t="array" ref="F145">MMS_Dairy_Methane_Equations.VEERG_4_3_1_1__4_FractionVolatileSolidsNotSolidStorage(F125,$F135)</f>
        <v>7.1199999999999999E-2</v>
      </c>
      <c r="G145" s="55" cm="1">
        <f t="array" ref="G145">MMS_Dairy_Methane_Equations.VEERG_4_3_1_1__4_FractionVolatileSolidsNotSolidStorage(G125,$F135)</f>
        <v>7.1199999999999999E-2</v>
      </c>
      <c r="H145" s="55" cm="1">
        <f t="array" ref="H145">MMS_Dairy_Methane_Equations.VEERG_4_3_1_1__4_FractionVolatileSolidsNotSolidStorage(H125,$F135)</f>
        <v>7.1199999999999999E-2</v>
      </c>
      <c r="I145" s="55" cm="1">
        <f t="array" ref="I145">MMS_Dairy_Methane_Equations.VEERG_4_3_1_1__4_FractionVolatileSolidsNotSolidStorage(I125,$F135)</f>
        <v>7.1199999999999999E-2</v>
      </c>
      <c r="J145" s="55" cm="1">
        <f t="array" ref="J145">MMS_Dairy_Methane_Equations.VEERG_4_3_1_1__4_FractionVolatileSolidsNotSolidStorage(J125,$F135)</f>
        <v>7.1199999999999999E-2</v>
      </c>
      <c r="K145" s="2" t="str">
        <f t="shared" si="1"/>
        <v>fraction</v>
      </c>
      <c r="O145" s="55" t="str">
        <f>'Input - Dairy'!$D$55</f>
        <v>Feed pad</v>
      </c>
      <c r="P145" s="55" t="str">
        <f>'Input - Dairy'!$D$106</f>
        <v>Sump and dispersal system</v>
      </c>
      <c r="Q145" s="55" cm="1">
        <f t="array" ref="Q145">MMS_Dairy_Methane_Equations.VEERG_4_3_1_1__4_FractionVolatileSolidsNotSolidStorage(Q125,$Q135)</f>
        <v>7.1199999999999999E-2</v>
      </c>
      <c r="R145" s="55" cm="1">
        <f t="array" ref="R145">MMS_Dairy_Methane_Equations.VEERG_4_3_1_1__4_FractionVolatileSolidsNotSolidStorage(R125,$Q135)</f>
        <v>7.1199999999999999E-2</v>
      </c>
      <c r="S145" s="55" cm="1">
        <f t="array" ref="S145">MMS_Dairy_Methane_Equations.VEERG_4_3_1_1__4_FractionVolatileSolidsNotSolidStorage(S125,$Q135)</f>
        <v>7.1199999999999999E-2</v>
      </c>
      <c r="T145" s="55" cm="1">
        <f t="array" ref="T145">MMS_Dairy_Methane_Equations.VEERG_4_3_1_1__4_FractionVolatileSolidsNotSolidStorage(T125,$Q135)</f>
        <v>7.1199999999999999E-2</v>
      </c>
      <c r="U145" s="55" cm="1">
        <f t="array" ref="U145">MMS_Dairy_Methane_Equations.VEERG_4_3_1_1__4_FractionVolatileSolidsNotSolidStorage(U125,$Q135)</f>
        <v>7.1199999999999999E-2</v>
      </c>
      <c r="V145" s="2" t="str">
        <f t="shared" si="0"/>
        <v>fraction</v>
      </c>
    </row>
    <row r="146" spans="3:23" ht="20.100000000000001" customHeight="1" x14ac:dyDescent="0.25">
      <c r="D146" s="55" t="str">
        <f>'Input - Dairy'!$D$55</f>
        <v>Feed pad</v>
      </c>
      <c r="E146" s="55" t="str">
        <f>'Input - Dairy'!$D$111</f>
        <v>Drains to paddock</v>
      </c>
      <c r="F146" s="55" cm="1">
        <f t="array" ref="F146">MMS_Dairy_Methane_Equations.VEERG_4_3_1_1__4_FractionVolatileSolidsNotSolidStorage(F126,$F136)</f>
        <v>7.1199999999999999E-2</v>
      </c>
      <c r="G146" s="55" cm="1">
        <f t="array" ref="G146">MMS_Dairy_Methane_Equations.VEERG_4_3_1_1__4_FractionVolatileSolidsNotSolidStorage(G126,$F136)</f>
        <v>7.1199999999999999E-2</v>
      </c>
      <c r="H146" s="55" cm="1">
        <f t="array" ref="H146">MMS_Dairy_Methane_Equations.VEERG_4_3_1_1__4_FractionVolatileSolidsNotSolidStorage(H126,$F136)</f>
        <v>7.1199999999999999E-2</v>
      </c>
      <c r="I146" s="55" cm="1">
        <f t="array" ref="I146">MMS_Dairy_Methane_Equations.VEERG_4_3_1_1__4_FractionVolatileSolidsNotSolidStorage(I126,$F136)</f>
        <v>7.1199999999999999E-2</v>
      </c>
      <c r="J146" s="55" cm="1">
        <f t="array" ref="J146">MMS_Dairy_Methane_Equations.VEERG_4_3_1_1__4_FractionVolatileSolidsNotSolidStorage(J126,$F136)</f>
        <v>7.1199999999999999E-2</v>
      </c>
      <c r="K146" s="2" t="str">
        <f t="shared" si="1"/>
        <v>fraction</v>
      </c>
      <c r="O146" s="55" t="str">
        <f>'Input - Dairy'!$D$55</f>
        <v>Feed pad</v>
      </c>
      <c r="P146" s="55" t="str">
        <f>'Input - Dairy'!$D$111</f>
        <v>Drains to paddock</v>
      </c>
      <c r="Q146" s="55" cm="1">
        <f t="array" ref="Q146">MMS_Dairy_Methane_Equations.VEERG_4_3_1_1__4_FractionVolatileSolidsNotSolidStorage(Q126,$Q136)</f>
        <v>7.1199999999999999E-2</v>
      </c>
      <c r="R146" s="55" cm="1">
        <f t="array" ref="R146">MMS_Dairy_Methane_Equations.VEERG_4_3_1_1__4_FractionVolatileSolidsNotSolidStorage(R126,$Q136)</f>
        <v>7.1199999999999999E-2</v>
      </c>
      <c r="S146" s="55" cm="1">
        <f t="array" ref="S146">MMS_Dairy_Methane_Equations.VEERG_4_3_1_1__4_FractionVolatileSolidsNotSolidStorage(S126,$Q136)</f>
        <v>7.1199999999999999E-2</v>
      </c>
      <c r="T146" s="55" cm="1">
        <f t="array" ref="T146">MMS_Dairy_Methane_Equations.VEERG_4_3_1_1__4_FractionVolatileSolidsNotSolidStorage(T126,$Q136)</f>
        <v>7.1199999999999999E-2</v>
      </c>
      <c r="U146" s="55" cm="1">
        <f t="array" ref="U146">MMS_Dairy_Methane_Equations.VEERG_4_3_1_1__4_FractionVolatileSolidsNotSolidStorage(U126,$Q136)</f>
        <v>7.1199999999999999E-2</v>
      </c>
      <c r="V146" s="2" t="str">
        <f t="shared" si="0"/>
        <v>fraction</v>
      </c>
    </row>
    <row r="147" spans="3:23" ht="20.100000000000001" customHeight="1" x14ac:dyDescent="0.25"/>
    <row r="148" spans="3:23" ht="20.100000000000001" customHeight="1" x14ac:dyDescent="0.25"/>
    <row r="149" spans="3:23" ht="20.100000000000001" customHeight="1" x14ac:dyDescent="0.25">
      <c r="C149" s="48"/>
      <c r="D149" s="48"/>
      <c r="E149" s="48"/>
      <c r="F149" s="48"/>
      <c r="G149" s="48"/>
      <c r="H149" s="48"/>
      <c r="I149" s="48"/>
      <c r="J149" s="48"/>
      <c r="K149" s="48"/>
      <c r="L149" s="48"/>
      <c r="N149" s="48"/>
      <c r="O149" s="48"/>
      <c r="P149" s="48"/>
      <c r="Q149" s="48"/>
      <c r="R149" s="48"/>
      <c r="S149" s="48"/>
      <c r="T149" s="48"/>
      <c r="U149" s="48"/>
      <c r="V149" s="48"/>
      <c r="W149" s="48"/>
    </row>
    <row r="150" spans="3:23" ht="20.100000000000001" customHeight="1" x14ac:dyDescent="0.25">
      <c r="D150" s="6" t="str" cm="1">
        <f t="array" ref="D150">MMS_Dairy_Methane_Equations.VEERG_4_3_1_1__5_FractionVolatileSolidsSolidStorage_Title()</f>
        <v>Fraction of volatile solids in solid storage</v>
      </c>
    </row>
    <row r="151" spans="3:23" ht="20.100000000000001" customHeight="1" x14ac:dyDescent="0.25">
      <c r="D151" s="5" t="str" cm="1">
        <f t="array" ref="D151">MMS_Dairy_Methane_Equations.VEERG_4_3_1_1__5_FractionVolatileSolidsSolidStorage_Source()</f>
        <v>VEERG 2026: 4.3.1.1, Equation (5)</v>
      </c>
    </row>
    <row r="152" spans="3:23" ht="20.100000000000001" customHeight="1" x14ac:dyDescent="0.25">
      <c r="D152" s="58" t="str" cm="1">
        <f t="array" ref="D152">MMS_Dairy_Methane_Equations.VEERG_4_3_1_1__5_FractionVolatileSolidsSolidStorage_Variation()</f>
        <v>Used separate variables for MMS and SS m 1, 7 and 9.</v>
      </c>
    </row>
    <row r="153" spans="3:23" ht="20.100000000000001" customHeight="1" x14ac:dyDescent="0.25">
      <c r="D153" s="13" t="s">
        <v>28</v>
      </c>
      <c r="E153" s="13" t="str" cm="1">
        <f t="array" aca="1" ref="E153" ca="1">Common_InputFunctions.Utility_DisplayFunctionName($F$172)</f>
        <v>=MMS_Dairy_Methane_Equations.VEERG_4_3_1_1__5_FractionVolatileSolidsSolidStorageVariation</v>
      </c>
    </row>
    <row r="154" spans="3:23" ht="20.100000000000001" customHeight="1" x14ac:dyDescent="0.25"/>
    <row r="155" spans="3:23" ht="20.100000000000001" customHeight="1" x14ac:dyDescent="0.25">
      <c r="D155" s="6"/>
    </row>
    <row r="156" spans="3:23" ht="20.100000000000001" customHeight="1" x14ac:dyDescent="0.25">
      <c r="D156" s="56" t="s">
        <v>31</v>
      </c>
      <c r="E156" s="1" t="str" cm="1">
        <f t="array" ref="E156">MMS_Dairy_Methane_Equations.VEERG_4_3_1_1__5_FractionVolatileSolidsSolidStorage_Variable()</f>
        <v>FVS_jm4</v>
      </c>
    </row>
    <row r="157" spans="3:23" ht="20.100000000000001" customHeight="1" x14ac:dyDescent="0.25">
      <c r="D157" s="56" t="s">
        <v>21</v>
      </c>
      <c r="E157" s="57" t="str" cm="1">
        <f t="array" ref="E157">MMS_Dairy_Methane_Equations.VEERG_4_3_1_1__5_FractionVolatileSolidsSolidStorage_Unit()</f>
        <v>fraction</v>
      </c>
    </row>
    <row r="158" spans="3:23" ht="20.100000000000001" customHeight="1" x14ac:dyDescent="0.25"/>
    <row r="159" spans="3:23" ht="20.100000000000001" customHeight="1" x14ac:dyDescent="0.25">
      <c r="D159" s="60" t="str" cm="1">
        <f t="array" ref="D159:E161">MMS_Dairy_Methane_Equations.VEERG_4_3_1_1__5_FractionVolatileSolidsSolidStorage_Arguments()</f>
        <v>MMS_jm4</v>
      </c>
      <c r="E159" s="61" t="str">
        <v>fraction of volatile solids in solid storage before transfer</v>
      </c>
      <c r="F159" s="62"/>
      <c r="G159" s="60" t="str">
        <f>"See " &amp; D163</f>
        <v>See M1_Table_MMS_j_m-4</v>
      </c>
    </row>
    <row r="160" spans="3:23" ht="20.100000000000001" customHeight="1" x14ac:dyDescent="0.25">
      <c r="D160" s="60" t="str">
        <v>MMS_jm179</v>
      </c>
      <c r="E160" s="61" t="str">
        <v>fraction of volatile solids in MMS m=1,7,9 before transfer</v>
      </c>
      <c r="F160" s="62"/>
      <c r="G160" s="60" t="str">
        <f>"See " &amp; D118</f>
        <v>See M1_Table_MMS_j_m</v>
      </c>
    </row>
    <row r="161" spans="3:23" ht="20.100000000000001" customHeight="1" x14ac:dyDescent="0.25">
      <c r="D161" s="60" t="str">
        <v>SS_m</v>
      </c>
      <c r="E161" s="61" t="str">
        <v>fraction of volatile solids separated to solid storage for each MMS</v>
      </c>
      <c r="F161" s="62"/>
      <c r="G161" s="60" t="str">
        <f>"See " &amp; D128</f>
        <v>See M1_Table_SS_m</v>
      </c>
    </row>
    <row r="162" spans="3:23" ht="20.100000000000001" customHeight="1" x14ac:dyDescent="0.25"/>
    <row r="163" spans="3:23" ht="20.100000000000001" customHeight="1" x14ac:dyDescent="0.25">
      <c r="D163" s="104" t="s">
        <v>265</v>
      </c>
      <c r="O163" s="104" t="s">
        <v>271</v>
      </c>
    </row>
    <row r="164" spans="3:23" ht="20.100000000000001" customHeight="1" x14ac:dyDescent="0.25">
      <c r="D164" s="103" t="s">
        <v>266</v>
      </c>
      <c r="O164" s="103" t="s">
        <v>272</v>
      </c>
    </row>
    <row r="165" spans="3:23" ht="20.100000000000001" customHeight="1" x14ac:dyDescent="0.25">
      <c r="D165" s="54" t="s">
        <v>152</v>
      </c>
      <c r="E165" s="54" t="s">
        <v>69</v>
      </c>
      <c r="F165" s="54" t="s">
        <v>178</v>
      </c>
      <c r="G165" s="54" t="s">
        <v>195</v>
      </c>
      <c r="H165" s="54" t="s">
        <v>196</v>
      </c>
      <c r="I165" s="54" t="s">
        <v>197</v>
      </c>
      <c r="J165" s="54" t="s">
        <v>198</v>
      </c>
      <c r="O165" s="54" t="s">
        <v>152</v>
      </c>
      <c r="P165" s="54" t="s">
        <v>69</v>
      </c>
      <c r="Q165" s="54" t="s">
        <v>178</v>
      </c>
      <c r="R165" s="54" t="s">
        <v>195</v>
      </c>
      <c r="S165" s="54" t="s">
        <v>196</v>
      </c>
      <c r="T165" s="54" t="s">
        <v>197</v>
      </c>
      <c r="U165" s="54" t="s">
        <v>198</v>
      </c>
    </row>
    <row r="166" spans="3:23" ht="20.100000000000001" customHeight="1" x14ac:dyDescent="0.25">
      <c r="D166" s="55" t="str">
        <f>'Input - Dairy'!$D$54</f>
        <v>Milking shed</v>
      </c>
      <c r="E166" s="55" t="str">
        <f>'Input - Dairy'!$D$82</f>
        <v>Solid storage</v>
      </c>
      <c r="F166" s="55">
        <f>'Input - Dairy'!E53*'Input - Dairy'!E82</f>
        <v>0.13350000000000001</v>
      </c>
      <c r="G166" s="55">
        <f>'Input - Dairy'!F53*'Input - Dairy'!F82</f>
        <v>0.13350000000000001</v>
      </c>
      <c r="H166" s="55">
        <f>'Input - Dairy'!G53*'Input - Dairy'!G82</f>
        <v>0.13350000000000001</v>
      </c>
      <c r="I166" s="55">
        <f>'Input - Dairy'!H53*'Input - Dairy'!H82</f>
        <v>0.13350000000000001</v>
      </c>
      <c r="J166" s="55">
        <f>'Input - Dairy'!I53*'Input - Dairy'!I82</f>
        <v>0.13350000000000001</v>
      </c>
      <c r="K166" s="2" t="s">
        <v>101</v>
      </c>
      <c r="O166" s="55" t="str">
        <f>'Input - Dairy'!$D$54</f>
        <v>Milking shed</v>
      </c>
      <c r="P166" s="55" t="str">
        <f>'Input - Dairy'!$D$82</f>
        <v>Solid storage</v>
      </c>
      <c r="Q166" s="133">
        <f>'Input - Dairy'!E59*'Input - Dairy'!E82</f>
        <v>2.75E-2</v>
      </c>
      <c r="R166" s="133">
        <f>'Input - Dairy'!F59*'Input - Dairy'!F82</f>
        <v>2.75E-2</v>
      </c>
      <c r="S166" s="133">
        <f>'Input - Dairy'!G59*'Input - Dairy'!G82</f>
        <v>2.75E-2</v>
      </c>
      <c r="T166" s="133">
        <f>'Input - Dairy'!H59*'Input - Dairy'!H82</f>
        <v>2.75E-2</v>
      </c>
      <c r="U166" s="133">
        <f>'Input - Dairy'!I59*'Input - Dairy'!I82</f>
        <v>2.75E-2</v>
      </c>
      <c r="V166" s="2" t="s">
        <v>101</v>
      </c>
    </row>
    <row r="167" spans="3:23" ht="20.100000000000001" customHeight="1" x14ac:dyDescent="0.25">
      <c r="D167" s="55" t="str">
        <f>'Input - Dairy'!$D$55</f>
        <v>Feed pad</v>
      </c>
      <c r="E167" s="55" t="str">
        <f>'Input - Dairy'!$D$116</f>
        <v>Solid storage</v>
      </c>
      <c r="F167" s="55">
        <f>'Input - Dairy'!E55*'Input - Dairy'!E116</f>
        <v>8.8999999999999996E-2</v>
      </c>
      <c r="G167" s="55">
        <f>'Input - Dairy'!F55*'Input - Dairy'!F116</f>
        <v>8.8999999999999996E-2</v>
      </c>
      <c r="H167" s="55">
        <f>'Input - Dairy'!G55*'Input - Dairy'!G116</f>
        <v>8.8999999999999996E-2</v>
      </c>
      <c r="I167" s="55">
        <f>'Input - Dairy'!H55*'Input - Dairy'!H116</f>
        <v>8.8999999999999996E-2</v>
      </c>
      <c r="J167" s="55">
        <f>'Input - Dairy'!I55*'Input - Dairy'!I116</f>
        <v>8.8999999999999996E-2</v>
      </c>
      <c r="K167" s="2" t="s">
        <v>101</v>
      </c>
      <c r="O167" s="55" t="str">
        <f>'Input - Dairy'!$D$55</f>
        <v>Feed pad</v>
      </c>
      <c r="P167" s="55" t="str">
        <f>'Input - Dairy'!$D$116</f>
        <v>Solid storage</v>
      </c>
      <c r="Q167" s="134">
        <f>'Input - Dairy'!E60*'Input - Dairy'!E116</f>
        <v>8.8999999999999996E-2</v>
      </c>
      <c r="R167" s="134">
        <f>'Input - Dairy'!F60*'Input - Dairy'!F116</f>
        <v>8.8999999999999996E-2</v>
      </c>
      <c r="S167" s="134">
        <f>'Input - Dairy'!G60*'Input - Dairy'!G116</f>
        <v>8.8999999999999996E-2</v>
      </c>
      <c r="T167" s="134">
        <f>'Input - Dairy'!H60*'Input - Dairy'!H116</f>
        <v>8.8999999999999996E-2</v>
      </c>
      <c r="U167" s="134">
        <f>'Input - Dairy'!I60*'Input - Dairy'!I116</f>
        <v>8.8999999999999996E-2</v>
      </c>
      <c r="V167" s="2" t="s">
        <v>101</v>
      </c>
    </row>
    <row r="168" spans="3:23" ht="20.100000000000001" customHeight="1" x14ac:dyDescent="0.25"/>
    <row r="169" spans="3:23" ht="20.100000000000001" customHeight="1" x14ac:dyDescent="0.25">
      <c r="D169" s="104" t="s">
        <v>269</v>
      </c>
      <c r="O169" s="104" t="s">
        <v>273</v>
      </c>
    </row>
    <row r="170" spans="3:23" ht="20.100000000000001" customHeight="1" x14ac:dyDescent="0.25">
      <c r="D170" s="103" t="s">
        <v>270</v>
      </c>
      <c r="O170" s="103" t="s">
        <v>274</v>
      </c>
    </row>
    <row r="171" spans="3:23" ht="20.100000000000001" customHeight="1" x14ac:dyDescent="0.25">
      <c r="D171" s="54" t="s">
        <v>152</v>
      </c>
      <c r="E171" s="54" t="s">
        <v>69</v>
      </c>
      <c r="F171" s="54" t="s">
        <v>178</v>
      </c>
      <c r="G171" s="54" t="s">
        <v>195</v>
      </c>
      <c r="H171" s="54" t="s">
        <v>196</v>
      </c>
      <c r="I171" s="54" t="s">
        <v>197</v>
      </c>
      <c r="J171" s="54" t="s">
        <v>198</v>
      </c>
      <c r="O171" s="54" t="s">
        <v>152</v>
      </c>
      <c r="P171" s="54" t="s">
        <v>69</v>
      </c>
      <c r="Q171" s="54" t="s">
        <v>178</v>
      </c>
      <c r="R171" s="54" t="s">
        <v>195</v>
      </c>
      <c r="S171" s="54" t="s">
        <v>196</v>
      </c>
      <c r="T171" s="54" t="s">
        <v>197</v>
      </c>
      <c r="U171" s="54" t="s">
        <v>198</v>
      </c>
    </row>
    <row r="172" spans="3:23" ht="20.100000000000001" customHeight="1" x14ac:dyDescent="0.25">
      <c r="D172" s="55" t="str">
        <f>'Input - Dairy'!$D$54</f>
        <v>Milking shed</v>
      </c>
      <c r="E172" s="55" t="str">
        <f>'Input - Dairy'!$D$82</f>
        <v>Solid storage</v>
      </c>
      <c r="F172" s="55" cm="1">
        <f t="array" ref="F172">MMS_Dairy_Methane_Equations.VEERG_4_3_1_1__5_FractionVolatileSolidsSolidStorageVariation(F166,F121,$F131,F122,$F132,F123,$F133)</f>
        <v>0.15000000000000002</v>
      </c>
      <c r="G172" s="55" cm="1">
        <f t="array" ref="G172">MMS_Dairy_Methane_Equations.VEERG_4_3_1_1__5_FractionVolatileSolidsSolidStorageVariation(G166,G121,$F131,G122,$F132,G123,$F133)</f>
        <v>0.15000000000000002</v>
      </c>
      <c r="H172" s="55" cm="1">
        <f t="array" ref="H172">MMS_Dairy_Methane_Equations.VEERG_4_3_1_1__5_FractionVolatileSolidsSolidStorageVariation(H166,H121,$F131,H122,$F132,H123,$F133)</f>
        <v>0.15000000000000002</v>
      </c>
      <c r="I172" s="55" cm="1">
        <f t="array" ref="I172">MMS_Dairy_Methane_Equations.VEERG_4_3_1_1__5_FractionVolatileSolidsSolidStorageVariation(I166,I121,$F131,I122,$F132,I123,$F133)</f>
        <v>0.15000000000000002</v>
      </c>
      <c r="J172" s="55" cm="1">
        <f t="array" ref="J172">MMS_Dairy_Methane_Equations.VEERG_4_3_1_1__5_FractionVolatileSolidsSolidStorageVariation(J166,J121,$F131,J122,$F132,J123,$F133)</f>
        <v>0.15000000000000002</v>
      </c>
      <c r="K172" s="2" t="str">
        <f>$E$157</f>
        <v>fraction</v>
      </c>
      <c r="O172" s="55" t="str">
        <f>'Input - Dairy'!$D$54</f>
        <v>Milking shed</v>
      </c>
      <c r="P172" s="55" t="str">
        <f>'Input - Dairy'!$D$82</f>
        <v>Solid storage</v>
      </c>
      <c r="Q172" s="55" cm="1">
        <f t="array" ref="Q172">MMS_Dairy_Methane_Equations.VEERG_4_3_1_1__5_FractionVolatileSolidsSolidStorageVariation(Q166,Q121,$Q131,Q122,$Q132,Q123,$Q133)</f>
        <v>4.3999999999999997E-2</v>
      </c>
      <c r="R172" s="55" cm="1">
        <f t="array" ref="R172">MMS_Dairy_Methane_Equations.VEERG_4_3_1_1__5_FractionVolatileSolidsSolidStorageVariation(R166,R121,$Q131,R122,$Q132,R123,$Q133)</f>
        <v>4.3999999999999997E-2</v>
      </c>
      <c r="S172" s="55" cm="1">
        <f t="array" ref="S172">MMS_Dairy_Methane_Equations.VEERG_4_3_1_1__5_FractionVolatileSolidsSolidStorageVariation(S166,S121,$Q131,S122,$Q132,S123,$Q133)</f>
        <v>4.3999999999999997E-2</v>
      </c>
      <c r="T172" s="55" cm="1">
        <f t="array" ref="T172">MMS_Dairy_Methane_Equations.VEERG_4_3_1_1__5_FractionVolatileSolidsSolidStorageVariation(T166,T121,$Q131,T122,$Q132,T123,$Q133)</f>
        <v>4.3999999999999997E-2</v>
      </c>
      <c r="U172" s="55" cm="1">
        <f t="array" ref="U172">MMS_Dairy_Methane_Equations.VEERG_4_3_1_1__5_FractionVolatileSolidsSolidStorageVariation(U166,U121,$Q131,U122,$Q132,U123,$Q133)</f>
        <v>4.3999999999999997E-2</v>
      </c>
      <c r="V172" s="2" t="str">
        <f t="shared" ref="V172:V173" si="2">$E$157</f>
        <v>fraction</v>
      </c>
    </row>
    <row r="173" spans="3:23" ht="20.100000000000001" customHeight="1" x14ac:dyDescent="0.25">
      <c r="D173" s="55" t="str">
        <f>'Input - Dairy'!$D$55</f>
        <v>Feed pad</v>
      </c>
      <c r="E173" s="55" t="str">
        <f>'Input - Dairy'!$D$116</f>
        <v>Solid storage</v>
      </c>
      <c r="F173" s="55" cm="1">
        <f t="array" ref="F173">MMS_Dairy_Methane_Equations.VEERG_4_3_1_1__5_FractionVolatileSolidsSolidStorageVariation(F167,F124,$F134,F125,$F135,F126,$F136)</f>
        <v>0.12459999999999999</v>
      </c>
      <c r="G173" s="55" cm="1">
        <f t="array" ref="G173">MMS_Dairy_Methane_Equations.VEERG_4_3_1_1__5_FractionVolatileSolidsSolidStorageVariation(G167,G124,$F134,G125,$F135,G126,$F136)</f>
        <v>0.12459999999999999</v>
      </c>
      <c r="H173" s="55" cm="1">
        <f t="array" ref="H173">MMS_Dairy_Methane_Equations.VEERG_4_3_1_1__5_FractionVolatileSolidsSolidStorageVariation(H167,H124,$F134,H125,$F135,H126,$F136)</f>
        <v>0.12459999999999999</v>
      </c>
      <c r="I173" s="55" cm="1">
        <f t="array" ref="I173">MMS_Dairy_Methane_Equations.VEERG_4_3_1_1__5_FractionVolatileSolidsSolidStorageVariation(I167,I124,$F134,I125,$F135,I126,$F136)</f>
        <v>0.12459999999999999</v>
      </c>
      <c r="J173" s="55" cm="1">
        <f t="array" ref="J173">MMS_Dairy_Methane_Equations.VEERG_4_3_1_1__5_FractionVolatileSolidsSolidStorageVariation(J167,J124,$F134,J125,$F135,J126,$F136)</f>
        <v>0.12459999999999999</v>
      </c>
      <c r="K173" s="2" t="str">
        <f>$E$157</f>
        <v>fraction</v>
      </c>
      <c r="O173" s="55" t="str">
        <f>'Input - Dairy'!$D$55</f>
        <v>Feed pad</v>
      </c>
      <c r="P173" s="55" t="str">
        <f>'Input - Dairy'!$D$116</f>
        <v>Solid storage</v>
      </c>
      <c r="Q173" s="55" cm="1">
        <f t="array" ref="Q173">MMS_Dairy_Methane_Equations.VEERG_4_3_1_1__5_FractionVolatileSolidsSolidStorageVariation(Q167,Q124,$Q134,Q125,$Q135,Q126,$Q136)</f>
        <v>0.12459999999999999</v>
      </c>
      <c r="R173" s="55" cm="1">
        <f t="array" ref="R173">MMS_Dairy_Methane_Equations.VEERG_4_3_1_1__5_FractionVolatileSolidsSolidStorageVariation(R167,R124,$Q134,R125,$Q135,R126,$Q136)</f>
        <v>0.12459999999999999</v>
      </c>
      <c r="S173" s="55" cm="1">
        <f t="array" ref="S173">MMS_Dairy_Methane_Equations.VEERG_4_3_1_1__5_FractionVolatileSolidsSolidStorageVariation(S167,S124,$Q134,S125,$Q135,S126,$Q136)</f>
        <v>0.12459999999999999</v>
      </c>
      <c r="T173" s="55" cm="1">
        <f t="array" ref="T173">MMS_Dairy_Methane_Equations.VEERG_4_3_1_1__5_FractionVolatileSolidsSolidStorageVariation(T167,T124,$Q134,T125,$Q135,T126,$Q136)</f>
        <v>0.12459999999999999</v>
      </c>
      <c r="U173" s="55" cm="1">
        <f t="array" ref="U173">MMS_Dairy_Methane_Equations.VEERG_4_3_1_1__5_FractionVolatileSolidsSolidStorageVariation(U167,U124,$Q134,U125,$Q135,U126,$Q136)</f>
        <v>0.12459999999999999</v>
      </c>
      <c r="V173" s="2" t="str">
        <f t="shared" si="2"/>
        <v>fraction</v>
      </c>
    </row>
    <row r="174" spans="3:23" ht="20.100000000000001" customHeight="1" x14ac:dyDescent="0.25"/>
    <row r="175" spans="3:23" ht="20.100000000000001" customHeight="1" x14ac:dyDescent="0.25"/>
    <row r="176" spans="3:23" ht="20.100000000000001" customHeight="1" x14ac:dyDescent="0.25">
      <c r="C176" s="48"/>
      <c r="D176" s="48"/>
      <c r="E176" s="48"/>
      <c r="F176" s="48"/>
      <c r="G176" s="48"/>
      <c r="H176" s="48"/>
      <c r="I176" s="48"/>
      <c r="J176" s="48"/>
      <c r="K176" s="48"/>
      <c r="L176" s="48"/>
      <c r="N176" s="48"/>
      <c r="O176" s="48"/>
      <c r="P176" s="48"/>
      <c r="Q176" s="48"/>
      <c r="R176" s="48"/>
      <c r="S176" s="48"/>
      <c r="T176" s="48"/>
      <c r="U176" s="48"/>
      <c r="V176" s="48"/>
      <c r="W176" s="48"/>
    </row>
    <row r="177" spans="4:18" ht="20.100000000000001" customHeight="1" x14ac:dyDescent="0.25">
      <c r="D177" s="6" t="str" cm="1">
        <f t="array" ref="D177">MMS_Dairy_Methane_Equations.VEERG_4_3_1_1__2_MethaneFromManureProduction_Title()</f>
        <v>Methane from manure production from weaned dairy cattle</v>
      </c>
    </row>
    <row r="178" spans="4:18" ht="20.100000000000001" customHeight="1" x14ac:dyDescent="0.25">
      <c r="D178" s="5" t="str" cm="1">
        <f t="array" ref="D178">MMS_Dairy_Methane_Equations.VEERG_4_3_1_1__2_MethaneFromManureProduction_Source()</f>
        <v>VEERG 2026: 4.3.1.1, Equation (2)</v>
      </c>
    </row>
    <row r="179" spans="4:18" ht="20.100000000000001" customHeight="1" x14ac:dyDescent="0.25">
      <c r="D179" s="13" t="s">
        <v>28</v>
      </c>
      <c r="E179" s="13" t="str" cm="1">
        <f t="array" aca="1" ref="E179" ca="1">Common_InputFunctions.Utility_DisplayFunctionName($F$203)</f>
        <v>=MMS_Dairy_Methane_Equations.VEERG_4_3_1_1__2_MethaneFromManureProduction</v>
      </c>
    </row>
    <row r="180" spans="4:18" ht="20.100000000000001" customHeight="1" x14ac:dyDescent="0.25"/>
    <row r="181" spans="4:18" ht="20.100000000000001" customHeight="1" x14ac:dyDescent="0.25">
      <c r="D181" s="6"/>
    </row>
    <row r="182" spans="4:18" ht="20.100000000000001" customHeight="1" x14ac:dyDescent="0.25">
      <c r="D182" s="56" t="s">
        <v>31</v>
      </c>
      <c r="E182" s="1" t="str" cm="1">
        <f t="array" ref="E182">MMS_Dairy_Methane_Equations.VEERG_4_3_1_1__2_MethaneFromManureProduction_Variable()</f>
        <v>M_jm</v>
      </c>
    </row>
    <row r="183" spans="4:18" ht="20.100000000000001" customHeight="1" x14ac:dyDescent="0.25">
      <c r="D183" s="56" t="s">
        <v>21</v>
      </c>
      <c r="E183" s="57" t="str" cm="1">
        <f t="array" ref="E183">MMS_Dairy_Methane_Equations.VEERG_4_3_1_1__2_MethaneFromManureProduction_Unit()</f>
        <v>kg CH4/head/day</v>
      </c>
    </row>
    <row r="184" spans="4:18" ht="20.100000000000001" customHeight="1" x14ac:dyDescent="0.25"/>
    <row r="185" spans="4:18" ht="20.100000000000001" customHeight="1" x14ac:dyDescent="0.25">
      <c r="D185" s="60" t="str" cm="1">
        <f t="array" ref="D185:E190">MMS_Dairy_Methane_Equations.VEERG_4_3_1_1__2_MethaneFromManureProduction_Arguments()</f>
        <v>VS_j</v>
      </c>
      <c r="E185" s="61" t="str">
        <v>daily volatile solids production per head for dairy cattle (kg/head/day)</v>
      </c>
      <c r="F185" s="62"/>
      <c r="G185" s="60" t="str">
        <f>"See " &amp; D100</f>
        <v>See M1_Table_VS_j</v>
      </c>
    </row>
    <row r="186" spans="4:18" ht="20.100000000000001" customHeight="1" x14ac:dyDescent="0.25">
      <c r="D186" s="60" t="str">
        <v>FVS_jmT1</v>
      </c>
      <c r="E186" s="61" t="str">
        <v>fraction of waste from each class in each management system</v>
      </c>
      <c r="F186" s="62"/>
      <c r="G186" s="60" t="str">
        <f>"See " &amp; D138 &amp; " and " &amp; D169</f>
        <v>See M1_Table_FVS_j_m and M1_Table_FVS_j_m-4</v>
      </c>
      <c r="H186" s="114" t="s">
        <v>275</v>
      </c>
      <c r="O186" s="139" t="str" cm="1">
        <f t="array" ref="O186:P191">MMS_Dairy_Methane_Equations.VEERG_4_3_1_1__2_MethaneFromManureProduction_Arguments()</f>
        <v>VS_j</v>
      </c>
      <c r="P186" s="141" t="str">
        <v>daily volatile solids production per head for dairy cattle (kg/head/day)</v>
      </c>
      <c r="Q186" s="142"/>
      <c r="R186" s="139" t="str">
        <f>"See " &amp; O101</f>
        <v>See Volatile solids for weaned cattle (Method 2)</v>
      </c>
    </row>
    <row r="187" spans="4:18" ht="20.100000000000001" customHeight="1" x14ac:dyDescent="0.25">
      <c r="D187" s="60" t="str">
        <v>MCF_im</v>
      </c>
      <c r="E187" s="61" t="str">
        <v>methane conversion factor for temperature zone and MMS</v>
      </c>
      <c r="F187" s="62"/>
      <c r="G187" s="60" t="str">
        <f>"See " &amp; D192</f>
        <v>See M1_Table_MCF_i_m</v>
      </c>
      <c r="H187" s="114" t="s">
        <v>299</v>
      </c>
      <c r="O187" s="139" t="str">
        <v>FVS_jmT1</v>
      </c>
      <c r="P187" s="141" t="str">
        <v>fraction of waste from each class in each management system</v>
      </c>
      <c r="Q187" s="142"/>
      <c r="R187" s="139" t="str">
        <f>"See " &amp; O139 &amp; " and " &amp; O170</f>
        <v>See Fraction volatile solids to MMS other than solid storage (Method 1) and Fraction volatile solids to in solid storage (Method 2)</v>
      </c>
    </row>
    <row r="188" spans="4:18" ht="20.100000000000001" customHeight="1" x14ac:dyDescent="0.25">
      <c r="D188" s="60" t="str">
        <v>B_o</v>
      </c>
      <c r="E188" s="61" t="str">
        <v>emissions potential (m3 CH4/kgVS)</v>
      </c>
      <c r="F188" s="62"/>
      <c r="G188" s="60">
        <f>'Constants - Dairy'!$D$195</f>
        <v>0.24</v>
      </c>
      <c r="O188" s="139" t="str">
        <v>MCF_im</v>
      </c>
      <c r="P188" s="141" t="str">
        <v>methane conversion factor for temperature zone and MMS</v>
      </c>
      <c r="Q188" s="142"/>
      <c r="R188" s="139" t="str">
        <f>"See " &amp; O193</f>
        <v xml:space="preserve">See </v>
      </c>
    </row>
    <row r="189" spans="4:18" ht="20.100000000000001" customHeight="1" x14ac:dyDescent="0.25">
      <c r="D189" s="60" t="str">
        <v>rho</v>
      </c>
      <c r="E189" s="61" t="str">
        <v>density of methane (kg/m3)</v>
      </c>
      <c r="F189" s="62"/>
      <c r="G189" s="60">
        <f>'Constants - Common'!$D$175</f>
        <v>0.6784</v>
      </c>
      <c r="O189" s="139" t="str">
        <v>B_o</v>
      </c>
      <c r="P189" s="141" t="str">
        <v>emissions potential (m3 CH4/kgVS)</v>
      </c>
      <c r="Q189" s="142"/>
      <c r="R189" s="139">
        <f>'Constants - Dairy'!$D$195</f>
        <v>0.24</v>
      </c>
    </row>
    <row r="190" spans="4:18" ht="20.100000000000001" customHeight="1" x14ac:dyDescent="0.25">
      <c r="D190" s="60" t="str">
        <v>i</v>
      </c>
      <c r="E190" s="61" t="str">
        <v>state</v>
      </c>
      <c r="F190" s="62"/>
      <c r="G190" s="60" t="str">
        <f>Common_InputFunctions.Utility_LookupValueInTable('Input - Site'!$E$21, Table_AustralianStates[Common Name],Table_AustralianStates[Abbreviation])</f>
        <v>NSW</v>
      </c>
      <c r="O190" s="139" t="str">
        <v>rho</v>
      </c>
      <c r="P190" s="141" t="str">
        <v>density of methane (kg/m3)</v>
      </c>
      <c r="Q190" s="142"/>
      <c r="R190" s="139">
        <f>'Constants - Common'!$D$175</f>
        <v>0.6784</v>
      </c>
    </row>
    <row r="191" spans="4:18" ht="20.100000000000001" customHeight="1" x14ac:dyDescent="0.25">
      <c r="O191" s="139" t="str">
        <v>i</v>
      </c>
      <c r="P191" s="141" t="str">
        <v>state</v>
      </c>
      <c r="Q191" s="142"/>
      <c r="R191" s="139" t="str">
        <f>Common_InputFunctions.Utility_LookupValueInTable('Input - Site'!$E$21, Table_AustralianStates[Common Name],Table_AustralianStates[Abbreviation])</f>
        <v>NSW</v>
      </c>
    </row>
    <row r="192" spans="4:18" ht="20.100000000000001" customHeight="1" x14ac:dyDescent="0.25">
      <c r="D192" s="135" t="s">
        <v>276</v>
      </c>
    </row>
    <row r="193" spans="4:22" ht="20.100000000000001" customHeight="1" x14ac:dyDescent="0.25">
      <c r="D193" s="136" t="s">
        <v>277</v>
      </c>
    </row>
    <row r="194" spans="4:22" ht="20.100000000000001" customHeight="1" x14ac:dyDescent="0.25">
      <c r="D194" s="54" t="s">
        <v>69</v>
      </c>
      <c r="E194" s="54" t="s">
        <v>100</v>
      </c>
    </row>
    <row r="195" spans="4:22" ht="20.100000000000001" customHeight="1" x14ac:dyDescent="0.25">
      <c r="D195" s="60" t="str">
        <f>'Constants - Dairy'!D8</f>
        <v>Anaerobic lagoon</v>
      </c>
      <c r="E195" s="55" cm="1">
        <f t="array" ref="E195">CommonLivestock_InputFunctions.Livestock_LookupMCFState(D195,Table_SourceData_Dairy_MCFjm[NIR reference],$G$190,Table_SourceData_Dairy_MCFjm[#Headers],Table_SourceData_Dairy_MCFjm[])</f>
        <v>0.76</v>
      </c>
    </row>
    <row r="196" spans="4:22" ht="20.100000000000001" customHeight="1" x14ac:dyDescent="0.25">
      <c r="D196" s="60" t="str">
        <f>'Constants - Dairy'!D9</f>
        <v>Sump and dispersal system</v>
      </c>
      <c r="E196" s="55" cm="1">
        <f t="array" ref="E196">CommonLivestock_InputFunctions.Livestock_LookupMCFState(D196,Table_SourceData_Dairy_MCFjm[NIR reference],$G$190,Table_SourceData_Dairy_MCFjm[#Headers],Table_SourceData_Dairy_MCFjm[])</f>
        <v>5.0000000000000001E-3</v>
      </c>
    </row>
    <row r="197" spans="4:22" ht="20.100000000000001" customHeight="1" x14ac:dyDescent="0.25">
      <c r="D197" s="60" t="str">
        <f>'Constants - Dairy'!D10</f>
        <v>Drains to paddock</v>
      </c>
      <c r="E197" s="55" cm="1">
        <f t="array" ref="E197">CommonLivestock_InputFunctions.Livestock_LookupMCFState(D197,Table_SourceData_Dairy_MCFjm[NIR reference],$G$190,Table_SourceData_Dairy_MCFjm[#Headers],Table_SourceData_Dairy_MCFjm[])</f>
        <v>0.18</v>
      </c>
    </row>
    <row r="198" spans="4:22" ht="20.100000000000001" customHeight="1" x14ac:dyDescent="0.25">
      <c r="D198" s="60" t="str">
        <f>'Constants - Dairy'!D11</f>
        <v>Solid storage</v>
      </c>
      <c r="E198" s="55" cm="1">
        <f t="array" ref="E198">CommonLivestock_InputFunctions.Livestock_LookupMCFState(D198,Table_SourceData_Dairy_MCFjm[NIR reference],$G$190,Table_SourceData_Dairy_MCFjm[#Headers],Table_SourceData_Dairy_MCFjm[])</f>
        <v>0.02</v>
      </c>
    </row>
    <row r="199" spans="4:22" ht="20.100000000000001" customHeight="1" x14ac:dyDescent="0.25"/>
    <row r="200" spans="4:22" ht="20.100000000000001" customHeight="1" x14ac:dyDescent="0.25">
      <c r="D200" s="135" t="s">
        <v>278</v>
      </c>
      <c r="O200" s="135" t="s">
        <v>292</v>
      </c>
    </row>
    <row r="201" spans="4:22" ht="20.100000000000001" customHeight="1" x14ac:dyDescent="0.25">
      <c r="D201" s="136" t="s">
        <v>294</v>
      </c>
      <c r="O201" s="136" t="s">
        <v>293</v>
      </c>
    </row>
    <row r="202" spans="4:22" ht="20.100000000000001" customHeight="1" x14ac:dyDescent="0.25">
      <c r="D202" s="54" t="s">
        <v>152</v>
      </c>
      <c r="E202" s="54" t="s">
        <v>69</v>
      </c>
      <c r="F202" s="54" t="s">
        <v>178</v>
      </c>
      <c r="G202" s="54" t="s">
        <v>195</v>
      </c>
      <c r="H202" s="54" t="s">
        <v>196</v>
      </c>
      <c r="I202" s="54" t="s">
        <v>197</v>
      </c>
      <c r="J202" s="54" t="s">
        <v>198</v>
      </c>
      <c r="O202" s="54" t="s">
        <v>152</v>
      </c>
      <c r="P202" s="54" t="s">
        <v>69</v>
      </c>
      <c r="Q202" s="54" t="s">
        <v>178</v>
      </c>
      <c r="R202" s="54" t="s">
        <v>195</v>
      </c>
      <c r="S202" s="54" t="s">
        <v>196</v>
      </c>
      <c r="T202" s="54" t="s">
        <v>197</v>
      </c>
      <c r="U202" s="54" t="s">
        <v>198</v>
      </c>
    </row>
    <row r="203" spans="4:22" ht="20.100000000000001" customHeight="1" x14ac:dyDescent="0.25">
      <c r="D203" s="55" t="str">
        <f>'Input - Dairy'!$D$54</f>
        <v>Milking shed</v>
      </c>
      <c r="E203" s="55" t="str">
        <f>'Input - Dairy'!$D$67</f>
        <v>Anaerobic lagoon</v>
      </c>
      <c r="F203" s="55" cm="1">
        <f t="array" ref="F203">MMS_Dairy_Methane_Equations.VEERG_4_3_1_1__2_MethaneFromManureProduction(D$103,F141,$E$195,$G$188,$G$189)</f>
        <v>6.8742705211090795E-3</v>
      </c>
      <c r="G203" s="55" cm="1">
        <f t="array" ref="G203">MMS_Dairy_Methane_Equations.VEERG_4_3_1_1__2_MethaneFromManureProduction(E$103,G141,$E$195,$G$188,$G$189)</f>
        <v>5.3883631169955861E-3</v>
      </c>
      <c r="H203" s="55" cm="1">
        <f t="array" ref="H203">MMS_Dairy_Methane_Equations.VEERG_4_3_1_1__2_MethaneFromManureProduction(F$103,H141,$E$195,$G$188,$G$189)</f>
        <v>2.922051982564853E-3</v>
      </c>
      <c r="I203" s="55" cm="1">
        <f t="array" ref="I203">MMS_Dairy_Methane_Equations.VEERG_4_3_1_1__2_MethaneFromManureProduction(G$103,I141,$E$195,$G$188,$G$189)</f>
        <v>6.556372137469845E-3</v>
      </c>
      <c r="J203" s="55" cm="1">
        <f t="array" ref="J203">MMS_Dairy_Methane_Equations.VEERG_4_3_1_1__2_MethaneFromManureProduction(H$103,J141,$E$195,$G$188,$G$189)</f>
        <v>3.9324688071825046E-3</v>
      </c>
      <c r="K203" s="2" t="str">
        <f>$E$183</f>
        <v>kg CH4/head/day</v>
      </c>
      <c r="O203" s="55" t="str">
        <f>'Input - Dairy'!$D$54</f>
        <v>Milking shed</v>
      </c>
      <c r="P203" s="55" t="str">
        <f>'Input - Dairy'!$D$67</f>
        <v>Anaerobic lagoon</v>
      </c>
      <c r="Q203" s="55" cm="1">
        <f t="array" ref="Q203">MMS_Dairy_Methane_Equations.VEERG_4_3_1_1__2_MethaneFromManureProduction(O$103,Q141,$E$195,$G$188,$G$189)</f>
        <v>6.8742705211090795E-3</v>
      </c>
      <c r="R203" s="55" cm="1">
        <f t="array" ref="R203">MMS_Dairy_Methane_Equations.VEERG_4_3_1_1__2_MethaneFromManureProduction(P$103,R141,$E$195,$G$188,$G$189)</f>
        <v>5.3883631169955861E-3</v>
      </c>
      <c r="S203" s="55" cm="1">
        <f t="array" ref="S203">MMS_Dairy_Methane_Equations.VEERG_4_3_1_1__2_MethaneFromManureProduction(Q$103,S141,$E$195,$G$188,$G$189)</f>
        <v>2.922051982564853E-3</v>
      </c>
      <c r="T203" s="55" cm="1">
        <f t="array" ref="T203">MMS_Dairy_Methane_Equations.VEERG_4_3_1_1__2_MethaneFromManureProduction(R$103,T141,$E$195,$G$188,$G$189)</f>
        <v>6.556372137469845E-3</v>
      </c>
      <c r="U203" s="55" cm="1">
        <f t="array" ref="U203">MMS_Dairy_Methane_Equations.VEERG_4_3_1_1__2_MethaneFromManureProduction(S$103,U141,$E$195,$G$188,$G$189)</f>
        <v>3.9324688071825046E-3</v>
      </c>
      <c r="V203" s="2" t="str">
        <f>$E$183</f>
        <v>kg CH4/head/day</v>
      </c>
    </row>
    <row r="204" spans="4:22" ht="20.100000000000001" customHeight="1" x14ac:dyDescent="0.25">
      <c r="D204" s="55" t="str">
        <f>'Input - Dairy'!$D$54</f>
        <v>Milking shed</v>
      </c>
      <c r="E204" s="55" t="str">
        <f>'Input - Dairy'!$D$72</f>
        <v>Sump and dispersal system</v>
      </c>
      <c r="F204" s="55" cm="1">
        <f t="array" ref="F204">MMS_Dairy_Methane_Equations.VEERG_4_3_1_1__2_MethaneFromManureProduction(D$103,F142,$E$196,$G$188,$G$189)</f>
        <v>4.5225463954664985E-5</v>
      </c>
      <c r="G204" s="55" cm="1">
        <f t="array" ref="G204">MMS_Dairy_Methane_Equations.VEERG_4_3_1_1__2_MethaneFromManureProduction(E$103,G142,$E$196,$G$188,$G$189)</f>
        <v>3.5449757348655176E-5</v>
      </c>
      <c r="H204" s="55" cm="1">
        <f t="array" ref="H204">MMS_Dairy_Methane_Equations.VEERG_4_3_1_1__2_MethaneFromManureProduction(F$103,H142,$E$196,$G$188,$G$189)</f>
        <v>1.9224026201084556E-5</v>
      </c>
      <c r="I204" s="55" cm="1">
        <f t="array" ref="I204">MMS_Dairy_Methane_Equations.VEERG_4_3_1_1__2_MethaneFromManureProduction(G$103,I142,$E$196,$G$188,$G$189)</f>
        <v>4.313402722019635E-5</v>
      </c>
      <c r="J204" s="55" cm="1">
        <f t="array" ref="J204">MMS_Dairy_Methane_Equations.VEERG_4_3_1_1__2_MethaneFromManureProduction(H$103,J142,$E$196,$G$188,$G$189)</f>
        <v>2.587150531041121E-5</v>
      </c>
      <c r="K204" s="2" t="str">
        <f t="shared" ref="K204:K210" si="3">$E$183</f>
        <v>kg CH4/head/day</v>
      </c>
      <c r="O204" s="55" t="str">
        <f>'Input - Dairy'!$D$54</f>
        <v>Milking shed</v>
      </c>
      <c r="P204" s="55" t="str">
        <f>'Input - Dairy'!$D$72</f>
        <v>Sump and dispersal system</v>
      </c>
      <c r="Q204" s="55" cm="1">
        <f t="array" ref="Q204">MMS_Dairy_Methane_Equations.VEERG_4_3_1_1__2_MethaneFromManureProduction(O$103,Q142,$E$196,$G$188,$G$189)</f>
        <v>4.5225463954664985E-5</v>
      </c>
      <c r="R204" s="55" cm="1">
        <f t="array" ref="R204">MMS_Dairy_Methane_Equations.VEERG_4_3_1_1__2_MethaneFromManureProduction(P$103,R142,$E$196,$G$188,$G$189)</f>
        <v>3.5449757348655176E-5</v>
      </c>
      <c r="S204" s="55" cm="1">
        <f t="array" ref="S204">MMS_Dairy_Methane_Equations.VEERG_4_3_1_1__2_MethaneFromManureProduction(Q$103,S142,$E$196,$G$188,$G$189)</f>
        <v>1.9224026201084556E-5</v>
      </c>
      <c r="T204" s="55" cm="1">
        <f t="array" ref="T204">MMS_Dairy_Methane_Equations.VEERG_4_3_1_1__2_MethaneFromManureProduction(R$103,T142,$E$196,$G$188,$G$189)</f>
        <v>4.313402722019635E-5</v>
      </c>
      <c r="U204" s="55" cm="1">
        <f t="array" ref="U204">MMS_Dairy_Methane_Equations.VEERG_4_3_1_1__2_MethaneFromManureProduction(S$103,U142,$E$196,$G$188,$G$189)</f>
        <v>2.587150531041121E-5</v>
      </c>
      <c r="V204" s="2" t="str">
        <f t="shared" ref="V204:V210" si="4">$E$183</f>
        <v>kg CH4/head/day</v>
      </c>
    </row>
    <row r="205" spans="4:22" ht="20.100000000000001" customHeight="1" x14ac:dyDescent="0.25">
      <c r="D205" s="55" t="str">
        <f>'Input - Dairy'!$D$54</f>
        <v>Milking shed</v>
      </c>
      <c r="E205" s="55" t="str">
        <f>'Input - Dairy'!$D$77</f>
        <v>Drains to paddock</v>
      </c>
      <c r="F205" s="55" cm="1">
        <f t="array" ref="F205">MMS_Dairy_Methane_Equations.VEERG_4_3_1_1__2_MethaneFromManureProduction(D$103,F143,$E$197,$G$188,$G$189)</f>
        <v>1.6281167023679398E-3</v>
      </c>
      <c r="G205" s="55" cm="1">
        <f t="array" ref="G205">MMS_Dairy_Methane_Equations.VEERG_4_3_1_1__2_MethaneFromManureProduction(E$103,G143,$E$197,$G$188,$G$189)</f>
        <v>1.2761912645515865E-3</v>
      </c>
      <c r="H205" s="55" cm="1">
        <f t="array" ref="H205">MMS_Dairy_Methane_Equations.VEERG_4_3_1_1__2_MethaneFromManureProduction(F$103,H143,$E$197,$G$188,$G$189)</f>
        <v>6.9206494323904399E-4</v>
      </c>
      <c r="I205" s="55" cm="1">
        <f t="array" ref="I205">MMS_Dairy_Methane_Equations.VEERG_4_3_1_1__2_MethaneFromManureProduction(G$103,I143,$E$197,$G$188,$G$189)</f>
        <v>1.5528249799270685E-3</v>
      </c>
      <c r="J205" s="55" cm="1">
        <f t="array" ref="J205">MMS_Dairy_Methane_Equations.VEERG_4_3_1_1__2_MethaneFromManureProduction(H$103,J143,$E$197,$G$188,$G$189)</f>
        <v>9.3137419117480342E-4</v>
      </c>
      <c r="K205" s="2" t="str">
        <f t="shared" si="3"/>
        <v>kg CH4/head/day</v>
      </c>
      <c r="O205" s="55" t="str">
        <f>'Input - Dairy'!$D$54</f>
        <v>Milking shed</v>
      </c>
      <c r="P205" s="55" t="str">
        <f>'Input - Dairy'!$D$77</f>
        <v>Drains to paddock</v>
      </c>
      <c r="Q205" s="55" cm="1">
        <f t="array" ref="Q205">MMS_Dairy_Methane_Equations.VEERG_4_3_1_1__2_MethaneFromManureProduction(O$103,Q143,$E$197,$G$188,$G$189)</f>
        <v>1.6281167023679398E-3</v>
      </c>
      <c r="R205" s="55" cm="1">
        <f t="array" ref="R205">MMS_Dairy_Methane_Equations.VEERG_4_3_1_1__2_MethaneFromManureProduction(P$103,R143,$E$197,$G$188,$G$189)</f>
        <v>1.2761912645515865E-3</v>
      </c>
      <c r="S205" s="55" cm="1">
        <f t="array" ref="S205">MMS_Dairy_Methane_Equations.VEERG_4_3_1_1__2_MethaneFromManureProduction(Q$103,S143,$E$197,$G$188,$G$189)</f>
        <v>6.9206494323904399E-4</v>
      </c>
      <c r="T205" s="55" cm="1">
        <f t="array" ref="T205">MMS_Dairy_Methane_Equations.VEERG_4_3_1_1__2_MethaneFromManureProduction(R$103,T143,$E$197,$G$188,$G$189)</f>
        <v>1.5528249799270685E-3</v>
      </c>
      <c r="U205" s="55" cm="1">
        <f t="array" ref="U205">MMS_Dairy_Methane_Equations.VEERG_4_3_1_1__2_MethaneFromManureProduction(S$103,U143,$E$197,$G$188,$G$189)</f>
        <v>9.3137419117480342E-4</v>
      </c>
      <c r="V205" s="2" t="str">
        <f t="shared" si="4"/>
        <v>kg CH4/head/day</v>
      </c>
    </row>
    <row r="206" spans="4:22" ht="20.100000000000001" customHeight="1" x14ac:dyDescent="0.25">
      <c r="D206" s="55" t="str">
        <f>'Input - Dairy'!$D$54</f>
        <v>Milking shed</v>
      </c>
      <c r="E206" s="55" t="str">
        <f>'Input - Dairy'!$D$82</f>
        <v>Solid storage</v>
      </c>
      <c r="F206" s="55" cm="1">
        <f t="array" ref="F206">MMS_Dairy_Methane_Equations.VEERG_4_3_1_1__2_MethaneFromManureProduction(D$103,F172,$E$198,$G$188,$G$189)</f>
        <v>1.2334217442181361E-3</v>
      </c>
      <c r="G206" s="55" cm="1">
        <f t="array" ref="G206">MMS_Dairy_Methane_Equations.VEERG_4_3_1_1__2_MethaneFromManureProduction(E$103,G172,$E$198,$G$188,$G$189)</f>
        <v>9.6681156405423207E-4</v>
      </c>
      <c r="H206" s="55" cm="1">
        <f t="array" ref="H206">MMS_Dairy_Methane_Equations.VEERG_4_3_1_1__2_MethaneFromManureProduction(F$103,H172,$E$198,$G$188,$G$189)</f>
        <v>5.2429162366594254E-4</v>
      </c>
      <c r="I206" s="55" cm="1">
        <f t="array" ref="I206">MMS_Dairy_Methane_Equations.VEERG_4_3_1_1__2_MethaneFromManureProduction(G$103,I172,$E$198,$G$188,$G$189)</f>
        <v>1.1763825605508097E-3</v>
      </c>
      <c r="J206" s="55" cm="1">
        <f t="array" ref="J206">MMS_Dairy_Methane_Equations.VEERG_4_3_1_1__2_MethaneFromManureProduction(H$103,J172,$E$198,$G$188,$G$189)</f>
        <v>7.055865084657604E-4</v>
      </c>
      <c r="K206" s="2" t="str">
        <f t="shared" si="3"/>
        <v>kg CH4/head/day</v>
      </c>
      <c r="O206" s="55" t="str">
        <f>'Input - Dairy'!$D$54</f>
        <v>Milking shed</v>
      </c>
      <c r="P206" s="55" t="str">
        <f>'Input - Dairy'!$D$82</f>
        <v>Solid storage</v>
      </c>
      <c r="Q206" s="55" cm="1">
        <f t="array" ref="Q206">MMS_Dairy_Methane_Equations.VEERG_4_3_1_1__2_MethaneFromManureProduction(O$103,Q172,$E$198,$G$188,$G$189)</f>
        <v>3.6180371163731982E-4</v>
      </c>
      <c r="R206" s="55" cm="1">
        <f t="array" ref="R206">MMS_Dairy_Methane_Equations.VEERG_4_3_1_1__2_MethaneFromManureProduction(P$103,R172,$E$198,$G$188,$G$189)</f>
        <v>2.8359805878924141E-4</v>
      </c>
      <c r="S206" s="55" cm="1">
        <f t="array" ref="S206">MMS_Dairy_Methane_Equations.VEERG_4_3_1_1__2_MethaneFromManureProduction(Q$103,S172,$E$198,$G$188,$G$189)</f>
        <v>1.5379220960867642E-4</v>
      </c>
      <c r="T206" s="55" cm="1">
        <f t="array" ref="T206">MMS_Dairy_Methane_Equations.VEERG_4_3_1_1__2_MethaneFromManureProduction(R$103,T172,$E$198,$G$188,$G$189)</f>
        <v>3.4507221776157069E-4</v>
      </c>
      <c r="U206" s="55" cm="1">
        <f t="array" ref="U206">MMS_Dairy_Methane_Equations.VEERG_4_3_1_1__2_MethaneFromManureProduction(S$103,U172,$E$198,$G$188,$G$189)</f>
        <v>2.0697204248328968E-4</v>
      </c>
      <c r="V206" s="2" t="str">
        <f t="shared" si="4"/>
        <v>kg CH4/head/day</v>
      </c>
    </row>
    <row r="207" spans="4:22" ht="20.100000000000001" customHeight="1" x14ac:dyDescent="0.25">
      <c r="D207" s="55" t="str">
        <f>'Input - Dairy'!$D$55</f>
        <v>Feed pad</v>
      </c>
      <c r="E207" s="55" t="str">
        <f>'Input - Dairy'!$D$101</f>
        <v>Anaerobic lagoon</v>
      </c>
      <c r="F207" s="55" cm="1">
        <f t="array" ref="F207">MMS_Dairy_Methane_Equations.VEERG_4_3_1_1__2_MethaneFromManureProduction(D$103,F144,$E$195,$G$188,$G$189)</f>
        <v>2.7809548926304904E-2</v>
      </c>
      <c r="G207" s="55" cm="1">
        <f t="array" ref="G207">MMS_Dairy_Methane_Equations.VEERG_4_3_1_1__2_MethaneFromManureProduction(E$103,G144,$E$195,$G$188,$G$189)</f>
        <v>2.1798378064209416E-2</v>
      </c>
      <c r="H207" s="55" cm="1">
        <f t="array" ref="H207">MMS_Dairy_Methane_Equations.VEERG_4_3_1_1__2_MethaneFromManureProduction(F$103,H144,$E$195,$G$188,$G$189)</f>
        <v>1.1821028474921448E-2</v>
      </c>
      <c r="I207" s="55" cm="1">
        <f t="array" ref="I207">MMS_Dairy_Methane_Equations.VEERG_4_3_1_1__2_MethaneFromManureProduction(G$103,I144,$E$195,$G$188,$G$189)</f>
        <v>2.6523505465218911E-2</v>
      </c>
      <c r="J207" s="55" cm="1">
        <f t="array" ref="J207">MMS_Dairy_Methane_Equations.VEERG_4_3_1_1__2_MethaneFromManureProduction(H$103,J144,$E$195,$G$188,$G$189)</f>
        <v>1.5908623810874673E-2</v>
      </c>
      <c r="K207" s="2" t="str">
        <f t="shared" si="3"/>
        <v>kg CH4/head/day</v>
      </c>
      <c r="O207" s="55" t="str">
        <f>'Input - Dairy'!$D$55</f>
        <v>Feed pad</v>
      </c>
      <c r="P207" s="55" t="str">
        <f>'Input - Dairy'!$D$101</f>
        <v>Anaerobic lagoon</v>
      </c>
      <c r="Q207" s="55" cm="1">
        <f t="array" ref="Q207">MMS_Dairy_Methane_Equations.VEERG_4_3_1_1__2_MethaneFromManureProduction(O$103,Q144,$E$195,$G$188,$G$189)</f>
        <v>2.7809548926304904E-2</v>
      </c>
      <c r="R207" s="55" cm="1">
        <f t="array" ref="R207">MMS_Dairy_Methane_Equations.VEERG_4_3_1_1__2_MethaneFromManureProduction(P$103,R144,$E$195,$G$188,$G$189)</f>
        <v>2.1798378064209416E-2</v>
      </c>
      <c r="S207" s="55" cm="1">
        <f t="array" ref="S207">MMS_Dairy_Methane_Equations.VEERG_4_3_1_1__2_MethaneFromManureProduction(Q$103,S144,$E$195,$G$188,$G$189)</f>
        <v>1.1821028474921448E-2</v>
      </c>
      <c r="T207" s="55" cm="1">
        <f t="array" ref="T207">MMS_Dairy_Methane_Equations.VEERG_4_3_1_1__2_MethaneFromManureProduction(R$103,T144,$E$195,$G$188,$G$189)</f>
        <v>2.6523505465218911E-2</v>
      </c>
      <c r="U207" s="55" cm="1">
        <f t="array" ref="U207">MMS_Dairy_Methane_Equations.VEERG_4_3_1_1__2_MethaneFromManureProduction(S$103,U144,$E$195,$G$188,$G$189)</f>
        <v>1.5908623810874673E-2</v>
      </c>
      <c r="V207" s="2" t="str">
        <f t="shared" si="4"/>
        <v>kg CH4/head/day</v>
      </c>
    </row>
    <row r="208" spans="4:22" ht="20.100000000000001" customHeight="1" x14ac:dyDescent="0.25">
      <c r="D208" s="55" t="str">
        <f>'Input - Dairy'!$D$55</f>
        <v>Feed pad</v>
      </c>
      <c r="E208" s="55" t="str">
        <f>'Input - Dairy'!$D$106</f>
        <v>Sump and dispersal system</v>
      </c>
      <c r="F208" s="55" cm="1">
        <f t="array" ref="F208">MMS_Dairy_Methane_Equations.VEERG_4_3_1_1__2_MethaneFromManureProduction(D$103,F145,$E$196,$G$188,$G$189)</f>
        <v>1.4636604698055217E-4</v>
      </c>
      <c r="G208" s="55" cm="1">
        <f t="array" ref="G208">MMS_Dairy_Methane_Equations.VEERG_4_3_1_1__2_MethaneFromManureProduction(E$103,G145,$E$196,$G$188,$G$189)</f>
        <v>1.1472830560110218E-4</v>
      </c>
      <c r="H208" s="55" cm="1">
        <f t="array" ref="H208">MMS_Dairy_Methane_Equations.VEERG_4_3_1_1__2_MethaneFromManureProduction(F$103,H145,$E$196,$G$188,$G$189)</f>
        <v>6.2215939341691832E-5</v>
      </c>
      <c r="I208" s="55" cm="1">
        <f t="array" ref="I208">MMS_Dairy_Methane_Equations.VEERG_4_3_1_1__2_MethaneFromManureProduction(G$103,I145,$E$196,$G$188,$G$189)</f>
        <v>1.3959739718536268E-4</v>
      </c>
      <c r="J208" s="55" cm="1">
        <f t="array" ref="J208">MMS_Dairy_Methane_Equations.VEERG_4_3_1_1__2_MethaneFromManureProduction(H$103,J145,$E$196,$G$188,$G$189)</f>
        <v>8.3729599004603552E-5</v>
      </c>
      <c r="K208" s="2" t="str">
        <f t="shared" si="3"/>
        <v>kg CH4/head/day</v>
      </c>
      <c r="O208" s="55" t="str">
        <f>'Input - Dairy'!$D$55</f>
        <v>Feed pad</v>
      </c>
      <c r="P208" s="55" t="str">
        <f>'Input - Dairy'!$D$106</f>
        <v>Sump and dispersal system</v>
      </c>
      <c r="Q208" s="55" cm="1">
        <f t="array" ref="Q208">MMS_Dairy_Methane_Equations.VEERG_4_3_1_1__2_MethaneFromManureProduction(O$103,Q145,$E$196,$G$188,$G$189)</f>
        <v>1.4636604698055217E-4</v>
      </c>
      <c r="R208" s="55" cm="1">
        <f t="array" ref="R208">MMS_Dairy_Methane_Equations.VEERG_4_3_1_1__2_MethaneFromManureProduction(P$103,R145,$E$196,$G$188,$G$189)</f>
        <v>1.1472830560110218E-4</v>
      </c>
      <c r="S208" s="55" cm="1">
        <f t="array" ref="S208">MMS_Dairy_Methane_Equations.VEERG_4_3_1_1__2_MethaneFromManureProduction(Q$103,S145,$E$196,$G$188,$G$189)</f>
        <v>6.2215939341691832E-5</v>
      </c>
      <c r="T208" s="55" cm="1">
        <f t="array" ref="T208">MMS_Dairy_Methane_Equations.VEERG_4_3_1_1__2_MethaneFromManureProduction(R$103,T145,$E$196,$G$188,$G$189)</f>
        <v>1.3959739718536268E-4</v>
      </c>
      <c r="U208" s="55" cm="1">
        <f t="array" ref="U208">MMS_Dairy_Methane_Equations.VEERG_4_3_1_1__2_MethaneFromManureProduction(S$103,U145,$E$196,$G$188,$G$189)</f>
        <v>8.3729599004603552E-5</v>
      </c>
      <c r="V208" s="2" t="str">
        <f t="shared" si="4"/>
        <v>kg CH4/head/day</v>
      </c>
    </row>
    <row r="209" spans="3:23" ht="20.100000000000001" customHeight="1" x14ac:dyDescent="0.25">
      <c r="D209" s="55" t="str">
        <f>'Input - Dairy'!$D$55</f>
        <v>Feed pad</v>
      </c>
      <c r="E209" s="55" t="str">
        <f>'Input - Dairy'!$D$111</f>
        <v>Drains to paddock</v>
      </c>
      <c r="F209" s="55" cm="1">
        <f t="array" ref="F209">MMS_Dairy_Methane_Equations.VEERG_4_3_1_1__2_MethaneFromManureProduction(D$103,F146,$E$197,$G$188,$G$189)</f>
        <v>5.2691776912998757E-3</v>
      </c>
      <c r="G209" s="55" cm="1">
        <f t="array" ref="G209">MMS_Dairy_Methane_Equations.VEERG_4_3_1_1__2_MethaneFromManureProduction(E$103,G146,$E$197,$G$188,$G$189)</f>
        <v>4.1302190016396789E-3</v>
      </c>
      <c r="H209" s="55" cm="1">
        <f t="array" ref="H209">MMS_Dairy_Methane_Equations.VEERG_4_3_1_1__2_MethaneFromManureProduction(F$103,H146,$E$197,$G$188,$G$189)</f>
        <v>2.2397738163009058E-3</v>
      </c>
      <c r="I209" s="55" cm="1">
        <f t="array" ref="I209">MMS_Dairy_Methane_Equations.VEERG_4_3_1_1__2_MethaneFromManureProduction(G$103,I146,$E$197,$G$188,$G$189)</f>
        <v>5.0255062986730567E-3</v>
      </c>
      <c r="J209" s="55" cm="1">
        <f t="array" ref="J209">MMS_Dairy_Methane_Equations.VEERG_4_3_1_1__2_MethaneFromManureProduction(H$103,J146,$E$197,$G$188,$G$189)</f>
        <v>3.0142655641657275E-3</v>
      </c>
      <c r="K209" s="2" t="str">
        <f t="shared" si="3"/>
        <v>kg CH4/head/day</v>
      </c>
      <c r="O209" s="55" t="str">
        <f>'Input - Dairy'!$D$55</f>
        <v>Feed pad</v>
      </c>
      <c r="P209" s="55" t="str">
        <f>'Input - Dairy'!$D$111</f>
        <v>Drains to paddock</v>
      </c>
      <c r="Q209" s="55" cm="1">
        <f t="array" ref="Q209">MMS_Dairy_Methane_Equations.VEERG_4_3_1_1__2_MethaneFromManureProduction(O$103,Q146,$E$197,$G$188,$G$189)</f>
        <v>5.2691776912998757E-3</v>
      </c>
      <c r="R209" s="55" cm="1">
        <f t="array" ref="R209">MMS_Dairy_Methane_Equations.VEERG_4_3_1_1__2_MethaneFromManureProduction(P$103,R146,$E$197,$G$188,$G$189)</f>
        <v>4.1302190016396789E-3</v>
      </c>
      <c r="S209" s="55" cm="1">
        <f t="array" ref="S209">MMS_Dairy_Methane_Equations.VEERG_4_3_1_1__2_MethaneFromManureProduction(Q$103,S146,$E$197,$G$188,$G$189)</f>
        <v>2.2397738163009058E-3</v>
      </c>
      <c r="T209" s="55" cm="1">
        <f t="array" ref="T209">MMS_Dairy_Methane_Equations.VEERG_4_3_1_1__2_MethaneFromManureProduction(R$103,T146,$E$197,$G$188,$G$189)</f>
        <v>5.0255062986730567E-3</v>
      </c>
      <c r="U209" s="55" cm="1">
        <f t="array" ref="U209">MMS_Dairy_Methane_Equations.VEERG_4_3_1_1__2_MethaneFromManureProduction(S$103,U146,$E$197,$G$188,$G$189)</f>
        <v>3.0142655641657275E-3</v>
      </c>
      <c r="V209" s="2" t="str">
        <f t="shared" si="4"/>
        <v>kg CH4/head/day</v>
      </c>
    </row>
    <row r="210" spans="3:23" ht="20.100000000000001" customHeight="1" x14ac:dyDescent="0.25">
      <c r="D210" s="55" t="str">
        <f>'Input - Dairy'!$D$55</f>
        <v>Feed pad</v>
      </c>
      <c r="E210" s="55" t="str">
        <f>'Input - Dairy'!$D$116</f>
        <v>Solid storage</v>
      </c>
      <c r="F210" s="55" cm="1">
        <f t="array" ref="F210">MMS_Dairy_Methane_Equations.VEERG_4_3_1_1__2_MethaneFromManureProduction(D$103,F173,$E$198,$G$188,$G$189)</f>
        <v>1.0245623288638649E-3</v>
      </c>
      <c r="G210" s="55" cm="1">
        <f t="array" ref="G210">MMS_Dairy_Methane_Equations.VEERG_4_3_1_1__2_MethaneFromManureProduction(E$103,G173,$E$198,$G$188,$G$189)</f>
        <v>8.0309813920771526E-4</v>
      </c>
      <c r="H210" s="55" cm="1">
        <f t="array" ref="H210">MMS_Dairy_Methane_Equations.VEERG_4_3_1_1__2_MethaneFromManureProduction(F$103,H173,$E$198,$G$188,$G$189)</f>
        <v>4.3551157539184287E-4</v>
      </c>
      <c r="I210" s="55" cm="1">
        <f t="array" ref="I210">MMS_Dairy_Methane_Equations.VEERG_4_3_1_1__2_MethaneFromManureProduction(G$103,I173,$E$198,$G$188,$G$189)</f>
        <v>9.7718178029753897E-4</v>
      </c>
      <c r="J210" s="55" cm="1">
        <f t="array" ref="J210">MMS_Dairy_Methane_Equations.VEERG_4_3_1_1__2_MethaneFromManureProduction(H$103,J173,$E$198,$G$188,$G$189)</f>
        <v>5.8610719303222485E-4</v>
      </c>
      <c r="K210" s="2" t="str">
        <f t="shared" si="3"/>
        <v>kg CH4/head/day</v>
      </c>
      <c r="O210" s="55" t="str">
        <f>'Input - Dairy'!$D$55</f>
        <v>Feed pad</v>
      </c>
      <c r="P210" s="55" t="str">
        <f>'Input - Dairy'!$D$116</f>
        <v>Solid storage</v>
      </c>
      <c r="Q210" s="55" cm="1">
        <f t="array" ref="Q210">MMS_Dairy_Methane_Equations.VEERG_4_3_1_1__2_MethaneFromManureProduction(O$103,Q173,$E$198,$G$188,$G$189)</f>
        <v>1.0245623288638649E-3</v>
      </c>
      <c r="R210" s="55" cm="1">
        <f t="array" ref="R210">MMS_Dairy_Methane_Equations.VEERG_4_3_1_1__2_MethaneFromManureProduction(P$103,R173,$E$198,$G$188,$G$189)</f>
        <v>8.0309813920771526E-4</v>
      </c>
      <c r="S210" s="55" cm="1">
        <f t="array" ref="S210">MMS_Dairy_Methane_Equations.VEERG_4_3_1_1__2_MethaneFromManureProduction(Q$103,S173,$E$198,$G$188,$G$189)</f>
        <v>4.3551157539184287E-4</v>
      </c>
      <c r="T210" s="55" cm="1">
        <f t="array" ref="T210">MMS_Dairy_Methane_Equations.VEERG_4_3_1_1__2_MethaneFromManureProduction(R$103,T173,$E$198,$G$188,$G$189)</f>
        <v>9.7718178029753897E-4</v>
      </c>
      <c r="U210" s="55" cm="1">
        <f t="array" ref="U210">MMS_Dairy_Methane_Equations.VEERG_4_3_1_1__2_MethaneFromManureProduction(S$103,U173,$E$198,$G$188,$G$189)</f>
        <v>5.8610719303222485E-4</v>
      </c>
      <c r="V210" s="2" t="str">
        <f t="shared" si="4"/>
        <v>kg CH4/head/day</v>
      </c>
    </row>
    <row r="211" spans="3:23" ht="20.100000000000001" customHeight="1" x14ac:dyDescent="0.25"/>
    <row r="212" spans="3:23" ht="20.100000000000001" customHeight="1" x14ac:dyDescent="0.25"/>
    <row r="213" spans="3:23" ht="20.100000000000001" customHeight="1" x14ac:dyDescent="0.25">
      <c r="C213" s="48"/>
      <c r="D213" s="48"/>
      <c r="E213" s="48"/>
      <c r="F213" s="48"/>
      <c r="G213" s="48"/>
      <c r="H213" s="48"/>
      <c r="I213" s="48"/>
      <c r="J213" s="48"/>
      <c r="K213" s="48"/>
      <c r="L213" s="48"/>
      <c r="N213" s="48"/>
      <c r="O213" s="48"/>
      <c r="P213" s="48"/>
      <c r="Q213" s="48"/>
      <c r="R213" s="48"/>
      <c r="S213" s="48"/>
      <c r="T213" s="48"/>
      <c r="U213" s="48"/>
      <c r="V213" s="48"/>
      <c r="W213" s="48"/>
    </row>
    <row r="214" spans="3:23" ht="20.100000000000001" customHeight="1" x14ac:dyDescent="0.25">
      <c r="D214" s="6" t="str" cm="1">
        <f t="array" ref="D214">MMS_Dairy_Methane_Equations.VEERG_4_3_1_1__1_TotalAnnualMethaneFromManureManagement_Title()</f>
        <v>Total annual methane production from manure management</v>
      </c>
    </row>
    <row r="215" spans="3:23" ht="20.100000000000001" customHeight="1" x14ac:dyDescent="0.25">
      <c r="D215" s="5" t="str" cm="1">
        <f t="array" ref="D215">MMS_Dairy_Methane_Equations.VEERG_4_3_1_1__1_TotalAnnualMethaneFromManureManagement_Source()</f>
        <v>VEERG 2026: 4.3.1.1, Equation (1)</v>
      </c>
    </row>
    <row r="216" spans="3:23" ht="20.100000000000001" customHeight="1" x14ac:dyDescent="0.25">
      <c r="D216" s="58" t="str" cm="1">
        <f t="array" ref="D216">MMS_Dairy_Methane_Equations.VEERG_4_3_1_1__1_TotalAnnualMethaneFromManureManagement_Variation()</f>
        <v>VARIATION: Used separate variable for duration of stay on farm for pre-weaned heifer and bull calves.</v>
      </c>
    </row>
    <row r="217" spans="3:23" ht="20.100000000000001" customHeight="1" x14ac:dyDescent="0.25">
      <c r="D217" s="13" t="s">
        <v>28</v>
      </c>
      <c r="E217" s="13" t="str" cm="1">
        <f t="array" aca="1" ref="E217" ca="1">Common_InputFunctions.Utility_DisplayFunctionName($F$255)</f>
        <v>=MMS_Dairy_Methane_Equations.VEERG_4_3_1_1__1_TotalAnnualMethaneFromManureManagementVariation</v>
      </c>
    </row>
    <row r="218" spans="3:23" ht="20.100000000000001" customHeight="1" x14ac:dyDescent="0.25">
      <c r="D218" s="6"/>
    </row>
    <row r="219" spans="3:23" ht="20.100000000000001" customHeight="1" x14ac:dyDescent="0.25">
      <c r="D219" s="6"/>
    </row>
    <row r="220" spans="3:23" ht="20.100000000000001" customHeight="1" x14ac:dyDescent="0.25">
      <c r="D220" s="56" t="s">
        <v>31</v>
      </c>
      <c r="E220" s="1" t="str" cm="1">
        <f t="array" ref="E220">MMS_Dairy_Methane_Equations.VEERG_4_3_1_1__1_TotalAnnualMethaneFromManureManagement_Variable()</f>
        <v>E_CH4</v>
      </c>
    </row>
    <row r="221" spans="3:23" ht="20.100000000000001" customHeight="1" x14ac:dyDescent="0.25">
      <c r="D221" s="56" t="s">
        <v>21</v>
      </c>
      <c r="E221" s="57" t="str" cm="1">
        <f t="array" ref="E221">MMS_Dairy_Methane_Equations.VEERG_4_3_1_1__1_TotalAnnualMethaneFromManureManagement_Unit()</f>
        <v>t CH4</v>
      </c>
    </row>
    <row r="222" spans="3:23" ht="20.100000000000001" customHeight="1" x14ac:dyDescent="0.25"/>
    <row r="223" spans="3:23" ht="20.100000000000001" customHeight="1" x14ac:dyDescent="0.25">
      <c r="D223" s="60" t="str" cm="1">
        <f t="array" ref="D223:E230">MMS_Dairy_Methane_Equations.VEERG_4_3_1_1__1_TotalAnnualMethaneFromManureManagement_Arguments()</f>
        <v>N_j124</v>
      </c>
      <c r="E223" s="61" t="str">
        <v>number of dairy cattle in classes j=1,2,4</v>
      </c>
      <c r="F223" s="105"/>
      <c r="G223" s="62"/>
      <c r="H223" s="60" t="str">
        <f>"See " &amp; $D$232</f>
        <v>See Table_N_j</v>
      </c>
    </row>
    <row r="224" spans="3:23" ht="20.100000000000001" customHeight="1" x14ac:dyDescent="0.25">
      <c r="D224" s="60" t="str">
        <v>M_j124m</v>
      </c>
      <c r="E224" s="61" t="str">
        <v>methane production from manure of weaned dairy cattle in classes j=1,2,4 in MMS m (kg CH4/head/day)</v>
      </c>
      <c r="F224" s="105"/>
      <c r="G224" s="62"/>
      <c r="H224" s="60" t="str">
        <f>"See " &amp; $D$200</f>
        <v>See M1_M_j_m</v>
      </c>
    </row>
    <row r="225" spans="4:20" ht="20.100000000000001" customHeight="1" x14ac:dyDescent="0.25">
      <c r="D225" s="60" t="str">
        <v>D_j124</v>
      </c>
      <c r="E225" s="61" t="str">
        <v>duration of stay on farm for classes j=1,2,4 (days)</v>
      </c>
      <c r="F225" s="105"/>
      <c r="G225" s="62"/>
      <c r="H225" s="60" t="str">
        <f>"See " &amp; $D$237</f>
        <v>See M1_Table_D_j</v>
      </c>
    </row>
    <row r="226" spans="4:20" ht="20.100000000000001" customHeight="1" x14ac:dyDescent="0.25">
      <c r="D226" s="60" t="str">
        <v>N_j35</v>
      </c>
      <c r="E226" s="61" t="str">
        <v>number of dairy cattle in classes j=3,5</v>
      </c>
      <c r="F226" s="105"/>
      <c r="G226" s="62"/>
      <c r="H226" s="60" t="str">
        <f>"See " &amp; $D$232</f>
        <v>See Table_N_j</v>
      </c>
    </row>
    <row r="227" spans="4:20" ht="20.100000000000001" customHeight="1" x14ac:dyDescent="0.25">
      <c r="D227" s="60" t="str">
        <v>M_j35m</v>
      </c>
      <c r="E227" s="61" t="str">
        <v>methane production from manure of weaned dairy cattle in classes j=3,5 in MMS m (kg CH4/head/day)</v>
      </c>
      <c r="F227" s="105"/>
      <c r="G227" s="62"/>
      <c r="H227" s="60" t="str">
        <f>"See " &amp; $D$200</f>
        <v>See M1_M_j_m</v>
      </c>
    </row>
    <row r="228" spans="4:20" ht="20.100000000000001" customHeight="1" x14ac:dyDescent="0.25">
      <c r="D228" s="60" t="str">
        <v>D_j35</v>
      </c>
      <c r="E228" s="61" t="str">
        <v>duration of stay on farm for classes j=3,5 (days)</v>
      </c>
      <c r="F228" s="105"/>
      <c r="G228" s="62"/>
      <c r="H228" s="60" t="str">
        <f>"See " &amp; $D$237</f>
        <v>See M1_Table_D_j</v>
      </c>
    </row>
    <row r="229" spans="4:20" ht="20.100000000000001" customHeight="1" x14ac:dyDescent="0.25">
      <c r="D229" s="60" t="str">
        <v>MPW_manure_j35</v>
      </c>
      <c r="E229" s="61" t="str">
        <v>methane production from manure of pre-weaned heifer and bull calves (kg CH4/head/day)</v>
      </c>
      <c r="F229" s="105"/>
      <c r="G229" s="62"/>
      <c r="H229" s="60" t="str">
        <f>"See " &amp; $D$242</f>
        <v>See Table_MPW_manure_j-3-5</v>
      </c>
    </row>
    <row r="230" spans="4:20" ht="20.100000000000001" customHeight="1" x14ac:dyDescent="0.25">
      <c r="D230" s="60" t="str">
        <v>DPW_j35</v>
      </c>
      <c r="E230" s="61" t="str">
        <v>duration of stay on farm for pre-weaned heifer and bull calves (days)</v>
      </c>
      <c r="F230" s="105"/>
      <c r="G230" s="62"/>
      <c r="H230" s="60" t="str">
        <f>"See " &amp; $D$247</f>
        <v>See M1_Table_DPW_j</v>
      </c>
    </row>
    <row r="231" spans="4:20" ht="20.100000000000001" customHeight="1" x14ac:dyDescent="0.25"/>
    <row r="232" spans="4:20" ht="20.100000000000001" customHeight="1" x14ac:dyDescent="0.25">
      <c r="D232" s="104" t="s">
        <v>109</v>
      </c>
    </row>
    <row r="233" spans="4:20" ht="20.100000000000001" customHeight="1" x14ac:dyDescent="0.25">
      <c r="D233" s="103" t="s">
        <v>279</v>
      </c>
    </row>
    <row r="234" spans="4:20" ht="20.100000000000001" customHeight="1" x14ac:dyDescent="0.25">
      <c r="D234" s="54" t="s">
        <v>178</v>
      </c>
      <c r="E234" s="54" t="s">
        <v>195</v>
      </c>
      <c r="F234" s="54" t="s">
        <v>196</v>
      </c>
      <c r="G234" s="54" t="s">
        <v>197</v>
      </c>
      <c r="H234" s="54" t="s">
        <v>198</v>
      </c>
    </row>
    <row r="235" spans="4:20" ht="20.100000000000001" customHeight="1" x14ac:dyDescent="0.25">
      <c r="D235" s="107">
        <f>'Input - Dairy'!$E$10</f>
        <v>100</v>
      </c>
      <c r="E235" s="107">
        <f>'Input - Dairy'!$F$10</f>
        <v>100</v>
      </c>
      <c r="F235" s="107">
        <f>'Input - Dairy'!$G$10</f>
        <v>100</v>
      </c>
      <c r="G235" s="107">
        <f>'Input - Dairy'!$H$10</f>
        <v>100</v>
      </c>
      <c r="H235" s="107">
        <f>'Input - Dairy'!$I$10</f>
        <v>100</v>
      </c>
      <c r="I235" s="2" t="s">
        <v>110</v>
      </c>
    </row>
    <row r="236" spans="4:20" ht="20.100000000000001" customHeight="1" x14ac:dyDescent="0.25"/>
    <row r="237" spans="4:20" ht="20.100000000000001" customHeight="1" x14ac:dyDescent="0.25">
      <c r="D237" s="104" t="s">
        <v>280</v>
      </c>
      <c r="O237" s="104" t="s">
        <v>290</v>
      </c>
    </row>
    <row r="238" spans="4:20" ht="20.100000000000001" customHeight="1" x14ac:dyDescent="0.25">
      <c r="D238" s="103" t="s">
        <v>288</v>
      </c>
      <c r="O238" s="103" t="s">
        <v>291</v>
      </c>
    </row>
    <row r="239" spans="4:20" ht="20.100000000000001" customHeight="1" x14ac:dyDescent="0.25">
      <c r="D239" s="54" t="s">
        <v>178</v>
      </c>
      <c r="E239" s="54" t="s">
        <v>195</v>
      </c>
      <c r="F239" s="54" t="s">
        <v>196</v>
      </c>
      <c r="G239" s="54" t="s">
        <v>197</v>
      </c>
      <c r="H239" s="54" t="s">
        <v>198</v>
      </c>
      <c r="O239" s="54" t="s">
        <v>178</v>
      </c>
      <c r="P239" s="54" t="s">
        <v>195</v>
      </c>
      <c r="Q239" s="54" t="s">
        <v>196</v>
      </c>
      <c r="R239" s="54" t="s">
        <v>197</v>
      </c>
      <c r="S239" s="54" t="s">
        <v>198</v>
      </c>
    </row>
    <row r="240" spans="4:20" ht="20.100000000000001" customHeight="1" x14ac:dyDescent="0.25">
      <c r="D240" s="55">
        <f>'Input - Dairy'!$E$24</f>
        <v>365</v>
      </c>
      <c r="E240" s="55">
        <f>'Input - Dairy'!$F$24</f>
        <v>365</v>
      </c>
      <c r="F240" s="55">
        <f>'Input - Dairy'!$G$24</f>
        <v>281</v>
      </c>
      <c r="G240" s="55">
        <f>'Input - Dairy'!$H$24</f>
        <v>365</v>
      </c>
      <c r="H240" s="55">
        <f>'Input - Dairy'!$I$24</f>
        <v>281</v>
      </c>
      <c r="I240" s="2" t="s">
        <v>56</v>
      </c>
      <c r="O240" s="55">
        <f>'Input - Dairy'!$E$28</f>
        <v>365</v>
      </c>
      <c r="P240" s="55">
        <f>'Input - Dairy'!$F$28</f>
        <v>365</v>
      </c>
      <c r="Q240" s="55">
        <f>'Input - Dairy'!$G$28</f>
        <v>281</v>
      </c>
      <c r="R240" s="55">
        <f>'Input - Dairy'!$H$28</f>
        <v>365</v>
      </c>
      <c r="S240" s="55">
        <f>'Input - Dairy'!$I$28</f>
        <v>281</v>
      </c>
      <c r="T240" s="2" t="s">
        <v>56</v>
      </c>
    </row>
    <row r="241" spans="4:21" ht="20.100000000000001" customHeight="1" x14ac:dyDescent="0.25"/>
    <row r="242" spans="4:21" ht="20.100000000000001" customHeight="1" x14ac:dyDescent="0.25">
      <c r="D242" s="104" t="s">
        <v>282</v>
      </c>
    </row>
    <row r="243" spans="4:21" ht="20.100000000000001" customHeight="1" x14ac:dyDescent="0.25">
      <c r="D243" s="103" t="s">
        <v>283</v>
      </c>
    </row>
    <row r="244" spans="4:21" ht="20.100000000000001" customHeight="1" x14ac:dyDescent="0.25">
      <c r="D244" s="54" t="s">
        <v>178</v>
      </c>
      <c r="E244" s="54" t="s">
        <v>195</v>
      </c>
      <c r="F244" s="54" t="s">
        <v>196</v>
      </c>
      <c r="G244" s="54" t="s">
        <v>197</v>
      </c>
      <c r="H244" s="54" t="s">
        <v>198</v>
      </c>
    </row>
    <row r="245" spans="4:21" ht="20.100000000000001" customHeight="1" x14ac:dyDescent="0.25">
      <c r="D245" s="55">
        <v>0</v>
      </c>
      <c r="E245" s="55">
        <v>0</v>
      </c>
      <c r="F245" s="55">
        <f>'Constants - Dairy'!$E$63</f>
        <v>1.7600000000000001E-2</v>
      </c>
      <c r="G245" s="55">
        <v>0</v>
      </c>
      <c r="H245" s="55">
        <f>'Constants - Dairy'!$E$64</f>
        <v>2.0400000000000001E-2</v>
      </c>
      <c r="I245" s="2" t="s">
        <v>285</v>
      </c>
    </row>
    <row r="246" spans="4:21" ht="20.100000000000001" customHeight="1" x14ac:dyDescent="0.25"/>
    <row r="247" spans="4:21" ht="20.100000000000001" customHeight="1" x14ac:dyDescent="0.25">
      <c r="D247" s="104" t="s">
        <v>281</v>
      </c>
      <c r="O247" s="104" t="s">
        <v>281</v>
      </c>
    </row>
    <row r="248" spans="4:21" ht="20.100000000000001" customHeight="1" x14ac:dyDescent="0.25">
      <c r="D248" s="103" t="s">
        <v>289</v>
      </c>
      <c r="O248" s="103" t="s">
        <v>289</v>
      </c>
    </row>
    <row r="249" spans="4:21" ht="20.100000000000001" customHeight="1" x14ac:dyDescent="0.25">
      <c r="D249" s="54" t="s">
        <v>178</v>
      </c>
      <c r="E249" s="54" t="s">
        <v>195</v>
      </c>
      <c r="F249" s="54" t="s">
        <v>196</v>
      </c>
      <c r="G249" s="54" t="s">
        <v>197</v>
      </c>
      <c r="H249" s="54" t="s">
        <v>198</v>
      </c>
      <c r="O249" s="54" t="s">
        <v>178</v>
      </c>
      <c r="P249" s="54" t="s">
        <v>195</v>
      </c>
      <c r="Q249" s="54" t="s">
        <v>196</v>
      </c>
      <c r="R249" s="54" t="s">
        <v>197</v>
      </c>
      <c r="S249" s="54" t="s">
        <v>198</v>
      </c>
    </row>
    <row r="250" spans="4:21" ht="20.100000000000001" customHeight="1" x14ac:dyDescent="0.25">
      <c r="D250" s="55">
        <f>'Input - Dairy'!$E$25</f>
        <v>0</v>
      </c>
      <c r="E250" s="55">
        <f>'Input - Dairy'!$F$25</f>
        <v>0</v>
      </c>
      <c r="F250" s="55">
        <f>'Input - Dairy'!$G$25</f>
        <v>84</v>
      </c>
      <c r="G250" s="55">
        <f>'Input - Dairy'!$H$25</f>
        <v>0</v>
      </c>
      <c r="H250" s="55">
        <f>'Input - Dairy'!$I$25</f>
        <v>84</v>
      </c>
      <c r="I250" s="2" t="s">
        <v>56</v>
      </c>
      <c r="O250" s="55">
        <f>'Input - Dairy'!$E$29</f>
        <v>0</v>
      </c>
      <c r="P250" s="55">
        <f>'Input - Dairy'!$F$29</f>
        <v>0</v>
      </c>
      <c r="Q250" s="55">
        <f>'Input - Dairy'!$G$29</f>
        <v>84</v>
      </c>
      <c r="R250" s="55">
        <f>'Input - Dairy'!$H$29</f>
        <v>0</v>
      </c>
      <c r="S250" s="55">
        <f>'Input - Dairy'!$I$29</f>
        <v>84</v>
      </c>
      <c r="T250" s="2" t="s">
        <v>56</v>
      </c>
    </row>
    <row r="251" spans="4:21" ht="20.100000000000001" customHeight="1" x14ac:dyDescent="0.25"/>
    <row r="252" spans="4:21" ht="20.100000000000001" customHeight="1" x14ac:dyDescent="0.25">
      <c r="D252" s="104" t="s">
        <v>284</v>
      </c>
      <c r="O252" s="104" t="s">
        <v>284</v>
      </c>
    </row>
    <row r="253" spans="4:21" ht="20.100000000000001" customHeight="1" x14ac:dyDescent="0.25">
      <c r="D253" s="103" t="s">
        <v>296</v>
      </c>
      <c r="O253" s="103" t="s">
        <v>296</v>
      </c>
    </row>
    <row r="254" spans="4:21" ht="20.100000000000001" customHeight="1" x14ac:dyDescent="0.25">
      <c r="D254" s="54" t="s">
        <v>152</v>
      </c>
      <c r="E254" s="54" t="s">
        <v>69</v>
      </c>
      <c r="F254" s="54" t="s">
        <v>178</v>
      </c>
      <c r="G254" s="54" t="s">
        <v>195</v>
      </c>
      <c r="H254" s="54" t="s">
        <v>196</v>
      </c>
      <c r="I254" s="54" t="s">
        <v>197</v>
      </c>
      <c r="J254" s="54" t="s">
        <v>198</v>
      </c>
      <c r="O254" s="54" t="s">
        <v>152</v>
      </c>
      <c r="P254" s="54" t="s">
        <v>69</v>
      </c>
      <c r="Q254" s="54" t="s">
        <v>178</v>
      </c>
      <c r="R254" s="54" t="s">
        <v>195</v>
      </c>
      <c r="S254" s="54" t="s">
        <v>196</v>
      </c>
      <c r="T254" s="54" t="s">
        <v>197</v>
      </c>
      <c r="U254" s="54" t="s">
        <v>198</v>
      </c>
    </row>
    <row r="255" spans="4:21" ht="20.100000000000001" customHeight="1" x14ac:dyDescent="0.25">
      <c r="D255" s="55" t="str">
        <f>'Input - Dairy'!$D$54</f>
        <v>Milking shed</v>
      </c>
      <c r="E255" s="55" t="str">
        <f>'Input - Dairy'!$D$67</f>
        <v>Anaerobic lagoon</v>
      </c>
      <c r="F255" s="55" cm="1">
        <f t="array" ref="F255">MMS_Dairy_Methane_Equations.VEERG_4_3_1_1__1_TotalAnnualMethaneFromManureManagementVariation(D$235,F203,D$240,0,0,0,0,0)</f>
        <v>0.2509108740204814</v>
      </c>
      <c r="G255" s="55" cm="1">
        <f t="array" ref="G255">MMS_Dairy_Methane_Equations.VEERG_4_3_1_1__1_TotalAnnualMethaneFromManureManagementVariation(E$235,G203,E$240,0,0,0,0,0)</f>
        <v>0.1966752537703389</v>
      </c>
      <c r="H255" s="55" cm="1">
        <f t="array" ref="H255">MMS_Dairy_Methane_Equations.VEERG_4_3_1_1__1_TotalAnnualMethaneFromManureManagementVariation(0,0,0,F$235,H203,F$240,F$245,F$250)</f>
        <v>0.22994966071007236</v>
      </c>
      <c r="I255" s="55" cm="1">
        <f t="array" ref="I255">MMS_Dairy_Methane_Equations.VEERG_4_3_1_1__1_TotalAnnualMethaneFromManureManagementVariation(G$235,I203,G$240,0,0,0,0,0)</f>
        <v>0.23930758301764934</v>
      </c>
      <c r="J255" s="55" cm="1">
        <f t="array" ref="J255">MMS_Dairy_Methane_Equations.VEERG_4_3_1_1__1_TotalAnnualMethaneFromManureManagementVariation(0,0,0,H$235,J203,H$240,H$245,H$250)</f>
        <v>0.28186237348182841</v>
      </c>
      <c r="O255" s="55" t="str">
        <f>'Input - Dairy'!$D$54</f>
        <v>Milking shed</v>
      </c>
      <c r="P255" s="55" t="str">
        <f>'Input - Dairy'!$D$67</f>
        <v>Anaerobic lagoon</v>
      </c>
      <c r="Q255" s="55" cm="1">
        <f t="array" ref="Q255">MMS_Dairy_Methane_Equations.VEERG_4_3_1_1__1_TotalAnnualMethaneFromManureManagementVariation(D$235,Q203,O$240,0,0,0,0,0)</f>
        <v>0.2509108740204814</v>
      </c>
      <c r="R255" s="55" cm="1">
        <f t="array" ref="R255">MMS_Dairy_Methane_Equations.VEERG_4_3_1_1__1_TotalAnnualMethaneFromManureManagementVariation(D$235,R203,P$240,0,0,0,0,0)</f>
        <v>0.1966752537703389</v>
      </c>
      <c r="S255" s="55" cm="1">
        <f t="array" ref="S255">MMS_Dairy_Methane_Equations.VEERG_4_3_1_1__1_TotalAnnualMethaneFromManureManagementVariation(0,0,0,F$235,S203,Q$240,F$245,Q$250)</f>
        <v>0.22994966071007236</v>
      </c>
      <c r="T255" s="55" cm="1">
        <f t="array" ref="T255">MMS_Dairy_Methane_Equations.VEERG_4_3_1_1__1_TotalAnnualMethaneFromManureManagementVariation(F$235,T203,R$240,0,0,0,0,0)</f>
        <v>0.23930758301764934</v>
      </c>
      <c r="U255" s="55" cm="1">
        <f t="array" ref="U255">MMS_Dairy_Methane_Equations.VEERG_4_3_1_1__1_TotalAnnualMethaneFromManureManagementVariation(0,0,0,H$235,U203,S$240,H$245,S$250)</f>
        <v>0.28186237348182841</v>
      </c>
    </row>
    <row r="256" spans="4:21" ht="20.100000000000001" customHeight="1" x14ac:dyDescent="0.25">
      <c r="D256" s="55" t="str">
        <f>'Input - Dairy'!$D$54</f>
        <v>Milking shed</v>
      </c>
      <c r="E256" s="55" t="str">
        <f>'Input - Dairy'!$D$72</f>
        <v>Sump and dispersal system</v>
      </c>
      <c r="F256" s="55" cm="1">
        <f t="array" ref="F256">MMS_Dairy_Methane_Equations.VEERG_4_3_1_1__1_TotalAnnualMethaneFromManureManagementVariation(D$235,F204,D$240,0,0,0,0,0)</f>
        <v>1.6507294343452721E-3</v>
      </c>
      <c r="G256" s="55" cm="1">
        <f t="array" ref="G256">MMS_Dairy_Methane_Equations.VEERG_4_3_1_1__1_TotalAnnualMethaneFromManureManagementVariation(E$235,G204,E$240,0,0,0,0,0)</f>
        <v>1.293916143225914E-3</v>
      </c>
      <c r="H256" s="55" cm="1">
        <f t="array" ref="H256">MMS_Dairy_Methane_Equations.VEERG_4_3_1_1__1_TotalAnnualMethaneFromManureManagementVariation(0,0,0,F$235,H204,F$240,F$245,F$250)</f>
        <v>0.14838019513625048</v>
      </c>
      <c r="I256" s="55" cm="1">
        <f t="array" ref="I256">MMS_Dairy_Methane_Equations.VEERG_4_3_1_1__1_TotalAnnualMethaneFromManureManagementVariation(G$235,I204,G$240,0,0,0,0,0)</f>
        <v>1.5743919935371669E-3</v>
      </c>
      <c r="J256" s="55" cm="1">
        <f t="array" ref="J256">MMS_Dairy_Methane_Equations.VEERG_4_3_1_1__1_TotalAnnualMethaneFromManureManagementVariation(0,0,0,H$235,J204,H$240,H$245,H$250)</f>
        <v>0.17208698929922259</v>
      </c>
      <c r="O256" s="55" t="str">
        <f>'Input - Dairy'!$D$54</f>
        <v>Milking shed</v>
      </c>
      <c r="P256" s="55" t="str">
        <f>'Input - Dairy'!$D$72</f>
        <v>Sump and dispersal system</v>
      </c>
      <c r="Q256" s="55" cm="1">
        <f t="array" ref="Q256">MMS_Dairy_Methane_Equations.VEERG_4_3_1_1__1_TotalAnnualMethaneFromManureManagementVariation(D$235,Q204,O$240,0,0,0,0,0)</f>
        <v>1.6507294343452721E-3</v>
      </c>
      <c r="R256" s="55" cm="1">
        <f t="array" ref="R256">MMS_Dairy_Methane_Equations.VEERG_4_3_1_1__1_TotalAnnualMethaneFromManureManagementVariation(D$235,R204,P$240,0,0,0,0,0)</f>
        <v>1.293916143225914E-3</v>
      </c>
      <c r="S256" s="55" cm="1">
        <f t="array" ref="S256">MMS_Dairy_Methane_Equations.VEERG_4_3_1_1__1_TotalAnnualMethaneFromManureManagementVariation(0,0,0,F$235,S204,Q$240,F$245,Q$250)</f>
        <v>0.14838019513625048</v>
      </c>
      <c r="T256" s="55" cm="1">
        <f t="array" ref="T256">MMS_Dairy_Methane_Equations.VEERG_4_3_1_1__1_TotalAnnualMethaneFromManureManagementVariation(F$235,T204,R$240,0,0,0,0,0)</f>
        <v>1.5743919935371669E-3</v>
      </c>
      <c r="U256" s="55" cm="1">
        <f t="array" ref="U256">MMS_Dairy_Methane_Equations.VEERG_4_3_1_1__1_TotalAnnualMethaneFromManureManagementVariation(0,0,0,H$235,U204,S$240,H$245,S$250)</f>
        <v>0.17208698929922259</v>
      </c>
    </row>
    <row r="257" spans="4:21" ht="20.100000000000001" customHeight="1" x14ac:dyDescent="0.25">
      <c r="D257" s="55" t="str">
        <f>'Input - Dairy'!$D$54</f>
        <v>Milking shed</v>
      </c>
      <c r="E257" s="55" t="str">
        <f>'Input - Dairy'!$D$77</f>
        <v>Drains to paddock</v>
      </c>
      <c r="F257" s="55" cm="1">
        <f t="array" ref="F257">MMS_Dairy_Methane_Equations.VEERG_4_3_1_1__1_TotalAnnualMethaneFromManureManagementVariation(D$235,F205,D$240,0,0,0,0,0)</f>
        <v>5.9426259636429807E-2</v>
      </c>
      <c r="G257" s="55" cm="1">
        <f t="array" ref="G257">MMS_Dairy_Methane_Equations.VEERG_4_3_1_1__1_TotalAnnualMethaneFromManureManagementVariation(E$235,G205,E$240,0,0,0,0,0)</f>
        <v>4.6580981156132899E-2</v>
      </c>
      <c r="H257" s="55" cm="1">
        <f t="array" ref="H257">MMS_Dairy_Methane_Equations.VEERG_4_3_1_1__1_TotalAnnualMethaneFromManureManagementVariation(0,0,0,F$235,H205,F$240,F$245,F$250)</f>
        <v>0.16728702490501715</v>
      </c>
      <c r="I257" s="55" cm="1">
        <f t="array" ref="I257">MMS_Dairy_Methane_Equations.VEERG_4_3_1_1__1_TotalAnnualMethaneFromManureManagementVariation(G$235,I205,G$240,0,0,0,0,0)</f>
        <v>5.6678111767338002E-2</v>
      </c>
      <c r="J257" s="55" cm="1">
        <f t="array" ref="J257">MMS_Dairy_Methane_Equations.VEERG_4_3_1_1__1_TotalAnnualMethaneFromManureManagementVariation(0,0,0,H$235,J205,H$240,H$245,H$250)</f>
        <v>0.197531614772012</v>
      </c>
      <c r="O257" s="55" t="str">
        <f>'Input - Dairy'!$D$54</f>
        <v>Milking shed</v>
      </c>
      <c r="P257" s="55" t="str">
        <f>'Input - Dairy'!$D$77</f>
        <v>Drains to paddock</v>
      </c>
      <c r="Q257" s="55" cm="1">
        <f t="array" ref="Q257">MMS_Dairy_Methane_Equations.VEERG_4_3_1_1__1_TotalAnnualMethaneFromManureManagementVariation(D$235,Q205,O$240,0,0,0,0,0)</f>
        <v>5.9426259636429807E-2</v>
      </c>
      <c r="R257" s="55" cm="1">
        <f t="array" ref="R257">MMS_Dairy_Methane_Equations.VEERG_4_3_1_1__1_TotalAnnualMethaneFromManureManagementVariation(D$235,R205,P$240,0,0,0,0,0)</f>
        <v>4.6580981156132899E-2</v>
      </c>
      <c r="S257" s="55" cm="1">
        <f t="array" ref="S257">MMS_Dairy_Methane_Equations.VEERG_4_3_1_1__1_TotalAnnualMethaneFromManureManagementVariation(0,0,0,F$235,S205,Q$240,F$245,Q$250)</f>
        <v>0.16728702490501715</v>
      </c>
      <c r="T257" s="55" cm="1">
        <f t="array" ref="T257">MMS_Dairy_Methane_Equations.VEERG_4_3_1_1__1_TotalAnnualMethaneFromManureManagementVariation(F$235,T205,R$240,0,0,0,0,0)</f>
        <v>5.6678111767338002E-2</v>
      </c>
      <c r="U257" s="55" cm="1">
        <f t="array" ref="U257">MMS_Dairy_Methane_Equations.VEERG_4_3_1_1__1_TotalAnnualMethaneFromManureManagementVariation(0,0,0,H$235,U205,S$240,H$245,S$250)</f>
        <v>0.197531614772012</v>
      </c>
    </row>
    <row r="258" spans="4:21" ht="20.100000000000001" customHeight="1" x14ac:dyDescent="0.25">
      <c r="D258" s="55" t="str">
        <f>'Input - Dairy'!$D$54</f>
        <v>Milking shed</v>
      </c>
      <c r="E258" s="55" t="str">
        <f>'Input - Dairy'!$D$82</f>
        <v>Solid storage</v>
      </c>
      <c r="F258" s="55" cm="1">
        <f t="array" ref="F258">MMS_Dairy_Methane_Equations.VEERG_4_3_1_1__1_TotalAnnualMethaneFromManureManagementVariation(D$235,F206,D$240,0,0,0,0,0)</f>
        <v>4.5019893663961967E-2</v>
      </c>
      <c r="G258" s="55" cm="1">
        <f t="array" ref="G258">MMS_Dairy_Methane_Equations.VEERG_4_3_1_1__1_TotalAnnualMethaneFromManureManagementVariation(E$235,G206,E$240,0,0,0,0,0)</f>
        <v>3.5288622087979477E-2</v>
      </c>
      <c r="H258" s="55" cm="1">
        <f t="array" ref="H258">MMS_Dairy_Methane_Equations.VEERG_4_3_1_1__1_TotalAnnualMethaneFromManureManagementVariation(0,0,0,F$235,H206,F$240,F$245,F$250)</f>
        <v>0.16257259462501297</v>
      </c>
      <c r="I258" s="55" cm="1">
        <f t="array" ref="I258">MMS_Dairy_Methane_Equations.VEERG_4_3_1_1__1_TotalAnnualMethaneFromManureManagementVariation(G$235,I206,G$240,0,0,0,0,0)</f>
        <v>4.2937963460104554E-2</v>
      </c>
      <c r="J258" s="55" cm="1">
        <f t="array" ref="J258">MMS_Dairy_Methane_Equations.VEERG_4_3_1_1__1_TotalAnnualMethaneFromManureManagementVariation(0,0,0,H$235,J206,H$240,H$245,H$250)</f>
        <v>0.19118698088788791</v>
      </c>
      <c r="O258" s="55" t="str">
        <f>'Input - Dairy'!$D$54</f>
        <v>Milking shed</v>
      </c>
      <c r="P258" s="55" t="str">
        <f>'Input - Dairy'!$D$82</f>
        <v>Solid storage</v>
      </c>
      <c r="Q258" s="55" cm="1">
        <f t="array" ref="Q258">MMS_Dairy_Methane_Equations.VEERG_4_3_1_1__1_TotalAnnualMethaneFromManureManagementVariation(D$235,Q206,O$240,0,0,0,0,0)</f>
        <v>1.3205835474762173E-2</v>
      </c>
      <c r="R258" s="55" cm="1">
        <f t="array" ref="R258">MMS_Dairy_Methane_Equations.VEERG_4_3_1_1__1_TotalAnnualMethaneFromManureManagementVariation(D$235,R206,P$240,0,0,0,0,0)</f>
        <v>1.0351329145807312E-2</v>
      </c>
      <c r="S258" s="55" cm="1">
        <f t="array" ref="S258">MMS_Dairy_Methane_Equations.VEERG_4_3_1_1__1_TotalAnnualMethaneFromManureManagementVariation(0,0,0,F$235,S206,Q$240,F$245,Q$250)</f>
        <v>0.15216156109000381</v>
      </c>
      <c r="T258" s="55" cm="1">
        <f t="array" ref="T258">MMS_Dairy_Methane_Equations.VEERG_4_3_1_1__1_TotalAnnualMethaneFromManureManagementVariation(F$235,T206,R$240,0,0,0,0,0)</f>
        <v>1.259513594829733E-2</v>
      </c>
      <c r="U258" s="55" cm="1">
        <f t="array" ref="U258">MMS_Dairy_Methane_Equations.VEERG_4_3_1_1__1_TotalAnnualMethaneFromManureManagementVariation(0,0,0,H$235,U206,S$240,H$245,S$250)</f>
        <v>0.17717591439378047</v>
      </c>
    </row>
    <row r="259" spans="4:21" ht="20.100000000000001" customHeight="1" x14ac:dyDescent="0.25">
      <c r="D259" s="55" t="str">
        <f>'Input - Dairy'!$D$55</f>
        <v>Feed pad</v>
      </c>
      <c r="E259" s="55" t="str">
        <f>'Input - Dairy'!$D$101</f>
        <v>Anaerobic lagoon</v>
      </c>
      <c r="F259" s="55" cm="1">
        <f t="array" ref="F259">MMS_Dairy_Methane_Equations.VEERG_4_3_1_1__1_TotalAnnualMethaneFromManureManagementVariation(D$235,F207,D$240,0,0,0,0,0)</f>
        <v>1.0150485358101291</v>
      </c>
      <c r="G259" s="55" cm="1">
        <f t="array" ref="G259">MMS_Dairy_Methane_Equations.VEERG_4_3_1_1__1_TotalAnnualMethaneFromManureManagementVariation(E$235,G207,E$240,0,0,0,0,0)</f>
        <v>0.79564079934364373</v>
      </c>
      <c r="H259" s="55" cm="1">
        <f t="array" ref="H259">MMS_Dairy_Methane_Equations.VEERG_4_3_1_1__1_TotalAnnualMethaneFromManureManagementVariation(0,0,0,F$235,H207,F$240,F$245,F$250)</f>
        <v>0.48001090014529268</v>
      </c>
      <c r="I259" s="55" cm="1">
        <f t="array" ref="I259">MMS_Dairy_Methane_Equations.VEERG_4_3_1_1__1_TotalAnnualMethaneFromManureManagementVariation(G$235,I207,G$240,0,0,0,0,0)</f>
        <v>0.96810794948049028</v>
      </c>
      <c r="J259" s="55" cm="1">
        <f t="array" ref="J259">MMS_Dairy_Methane_Equations.VEERG_4_3_1_1__1_TotalAnnualMethaneFromManureManagementVariation(0,0,0,H$235,J207,H$240,H$245,H$250)</f>
        <v>0.6183923290855784</v>
      </c>
      <c r="O259" s="55" t="str">
        <f>'Input - Dairy'!$D$55</f>
        <v>Feed pad</v>
      </c>
      <c r="P259" s="55" t="str">
        <f>'Input - Dairy'!$D$101</f>
        <v>Anaerobic lagoon</v>
      </c>
      <c r="Q259" s="55" cm="1">
        <f t="array" ref="Q259">MMS_Dairy_Methane_Equations.VEERG_4_3_1_1__1_TotalAnnualMethaneFromManureManagementVariation(D$235,Q207,O$240,0,0,0,0,0)</f>
        <v>1.0150485358101291</v>
      </c>
      <c r="R259" s="55" cm="1">
        <f t="array" ref="R259">MMS_Dairy_Methane_Equations.VEERG_4_3_1_1__1_TotalAnnualMethaneFromManureManagementVariation(D$235,R207,P$240,0,0,0,0,0)</f>
        <v>0.79564079934364373</v>
      </c>
      <c r="S259" s="55" cm="1">
        <f t="array" ref="S259">MMS_Dairy_Methane_Equations.VEERG_4_3_1_1__1_TotalAnnualMethaneFromManureManagementVariation(0,0,0,F$235,S207,Q$240,F$245,Q$250)</f>
        <v>0.48001090014529268</v>
      </c>
      <c r="T259" s="55" cm="1">
        <f t="array" ref="T259">MMS_Dairy_Methane_Equations.VEERG_4_3_1_1__1_TotalAnnualMethaneFromManureManagementVariation(F$235,T207,R$240,0,0,0,0,0)</f>
        <v>0.96810794948049028</v>
      </c>
      <c r="U259" s="55" cm="1">
        <f t="array" ref="U259">MMS_Dairy_Methane_Equations.VEERG_4_3_1_1__1_TotalAnnualMethaneFromManureManagementVariation(0,0,0,H$235,U207,S$240,H$245,S$250)</f>
        <v>0.6183923290855784</v>
      </c>
    </row>
    <row r="260" spans="4:21" ht="20.100000000000001" customHeight="1" x14ac:dyDescent="0.25">
      <c r="D260" s="55" t="str">
        <f>'Input - Dairy'!$D$55</f>
        <v>Feed pad</v>
      </c>
      <c r="E260" s="55" t="str">
        <f>'Input - Dairy'!$D$106</f>
        <v>Sump and dispersal system</v>
      </c>
      <c r="F260" s="55" cm="1">
        <f t="array" ref="F260">MMS_Dairy_Methane_Equations.VEERG_4_3_1_1__1_TotalAnnualMethaneFromManureManagementVariation(D$235,F208,D$240,0,0,0,0,0)</f>
        <v>5.3423607147901541E-3</v>
      </c>
      <c r="G260" s="55" cm="1">
        <f t="array" ref="G260">MMS_Dairy_Methane_Equations.VEERG_4_3_1_1__1_TotalAnnualMethaneFromManureManagementVariation(E$235,G208,E$240,0,0,0,0,0)</f>
        <v>4.1875831544402296E-3</v>
      </c>
      <c r="H260" s="55" cm="1">
        <f t="array" ref="H260">MMS_Dairy_Methane_Equations.VEERG_4_3_1_1__1_TotalAnnualMethaneFromManureManagementVariation(0,0,0,F$235,H208,F$240,F$245,F$250)</f>
        <v>0.14958826789550153</v>
      </c>
      <c r="I260" s="55" cm="1">
        <f t="array" ref="I260">MMS_Dairy_Methane_Equations.VEERG_4_3_1_1__1_TotalAnnualMethaneFromManureManagementVariation(G$235,I208,G$240,0,0,0,0,0)</f>
        <v>5.095304997265738E-3</v>
      </c>
      <c r="J260" s="55" cm="1">
        <f t="array" ref="J260">MMS_Dairy_Methane_Equations.VEERG_4_3_1_1__1_TotalAnnualMethaneFromManureManagementVariation(0,0,0,H$235,J208,H$240,H$245,H$250)</f>
        <v>0.17371280173202935</v>
      </c>
      <c r="O260" s="55" t="str">
        <f>'Input - Dairy'!$D$55</f>
        <v>Feed pad</v>
      </c>
      <c r="P260" s="55" t="str">
        <f>'Input - Dairy'!$D$106</f>
        <v>Sump and dispersal system</v>
      </c>
      <c r="Q260" s="55" cm="1">
        <f t="array" ref="Q260">MMS_Dairy_Methane_Equations.VEERG_4_3_1_1__1_TotalAnnualMethaneFromManureManagementVariation(D$235,Q208,O$240,0,0,0,0,0)</f>
        <v>5.3423607147901541E-3</v>
      </c>
      <c r="R260" s="55" cm="1">
        <f t="array" ref="R260">MMS_Dairy_Methane_Equations.VEERG_4_3_1_1__1_TotalAnnualMethaneFromManureManagementVariation(D$235,R208,P$240,0,0,0,0,0)</f>
        <v>4.1875831544402296E-3</v>
      </c>
      <c r="S260" s="55" cm="1">
        <f t="array" ref="S260">MMS_Dairy_Methane_Equations.VEERG_4_3_1_1__1_TotalAnnualMethaneFromManureManagementVariation(0,0,0,F$235,S208,Q$240,F$245,Q$250)</f>
        <v>0.14958826789550153</v>
      </c>
      <c r="T260" s="55" cm="1">
        <f t="array" ref="T260">MMS_Dairy_Methane_Equations.VEERG_4_3_1_1__1_TotalAnnualMethaneFromManureManagementVariation(F$235,T208,R$240,0,0,0,0,0)</f>
        <v>5.095304997265738E-3</v>
      </c>
      <c r="U260" s="55" cm="1">
        <f t="array" ref="U260">MMS_Dairy_Methane_Equations.VEERG_4_3_1_1__1_TotalAnnualMethaneFromManureManagementVariation(0,0,0,H$235,U208,S$240,H$245,S$250)</f>
        <v>0.17371280173202935</v>
      </c>
    </row>
    <row r="261" spans="4:21" ht="20.100000000000001" customHeight="1" x14ac:dyDescent="0.25">
      <c r="D261" s="55" t="str">
        <f>'Input - Dairy'!$D$55</f>
        <v>Feed pad</v>
      </c>
      <c r="E261" s="55" t="str">
        <f>'Input - Dairy'!$D$111</f>
        <v>Drains to paddock</v>
      </c>
      <c r="F261" s="55" cm="1">
        <f t="array" ref="F261">MMS_Dairy_Methane_Equations.VEERG_4_3_1_1__1_TotalAnnualMethaneFromManureManagementVariation(D$235,F209,D$240,0,0,0,0,0)</f>
        <v>0.19232498573244547</v>
      </c>
      <c r="G261" s="55" cm="1">
        <f t="array" ref="G261">MMS_Dairy_Methane_Equations.VEERG_4_3_1_1__1_TotalAnnualMethaneFromManureManagementVariation(E$235,G209,E$240,0,0,0,0,0)</f>
        <v>0.15075299355984828</v>
      </c>
      <c r="H261" s="55" cm="1">
        <f t="array" ref="H261">MMS_Dairy_Methane_Equations.VEERG_4_3_1_1__1_TotalAnnualMethaneFromManureManagementVariation(0,0,0,F$235,H209,F$240,F$245,F$250)</f>
        <v>0.21077764423805545</v>
      </c>
      <c r="I261" s="55" cm="1">
        <f t="array" ref="I261">MMS_Dairy_Methane_Equations.VEERG_4_3_1_1__1_TotalAnnualMethaneFromManureManagementVariation(G$235,I209,G$240,0,0,0,0,0)</f>
        <v>0.18343097990156659</v>
      </c>
      <c r="J261" s="55" cm="1">
        <f t="array" ref="J261">MMS_Dairy_Methane_Equations.VEERG_4_3_1_1__1_TotalAnnualMethaneFromManureManagementVariation(0,0,0,H$235,J209,H$240,H$245,H$250)</f>
        <v>0.25606086235305697</v>
      </c>
      <c r="O261" s="55" t="str">
        <f>'Input - Dairy'!$D$55</f>
        <v>Feed pad</v>
      </c>
      <c r="P261" s="55" t="str">
        <f>'Input - Dairy'!$D$111</f>
        <v>Drains to paddock</v>
      </c>
      <c r="Q261" s="55" cm="1">
        <f t="array" ref="Q261">MMS_Dairy_Methane_Equations.VEERG_4_3_1_1__1_TotalAnnualMethaneFromManureManagementVariation(D$235,Q209,O$240,0,0,0,0,0)</f>
        <v>0.19232498573244547</v>
      </c>
      <c r="R261" s="55" cm="1">
        <f t="array" ref="R261">MMS_Dairy_Methane_Equations.VEERG_4_3_1_1__1_TotalAnnualMethaneFromManureManagementVariation(D$235,R209,P$240,0,0,0,0,0)</f>
        <v>0.15075299355984828</v>
      </c>
      <c r="S261" s="55" cm="1">
        <f t="array" ref="S261">MMS_Dairy_Methane_Equations.VEERG_4_3_1_1__1_TotalAnnualMethaneFromManureManagementVariation(0,0,0,F$235,S209,Q$240,F$245,Q$250)</f>
        <v>0.21077764423805545</v>
      </c>
      <c r="T261" s="55" cm="1">
        <f t="array" ref="T261">MMS_Dairy_Methane_Equations.VEERG_4_3_1_1__1_TotalAnnualMethaneFromManureManagementVariation(F$235,T209,R$240,0,0,0,0,0)</f>
        <v>0.18343097990156659</v>
      </c>
      <c r="U261" s="55" cm="1">
        <f t="array" ref="U261">MMS_Dairy_Methane_Equations.VEERG_4_3_1_1__1_TotalAnnualMethaneFromManureManagementVariation(0,0,0,H$235,U209,S$240,H$245,S$250)</f>
        <v>0.25606086235305697</v>
      </c>
    </row>
    <row r="262" spans="4:21" ht="20.100000000000001" customHeight="1" x14ac:dyDescent="0.25">
      <c r="D262" s="55" t="str">
        <f>'Input - Dairy'!$D$55</f>
        <v>Feed pad</v>
      </c>
      <c r="E262" s="55" t="str">
        <f>'Input - Dairy'!$D$116</f>
        <v>Solid storage</v>
      </c>
      <c r="F262" s="55" cm="1">
        <f t="array" ref="F262">MMS_Dairy_Methane_Equations.VEERG_4_3_1_1__1_TotalAnnualMethaneFromManureManagementVariation(D$235,F210,D$240,0,0,0,0,0)</f>
        <v>3.7396525003531071E-2</v>
      </c>
      <c r="G262" s="55" cm="1">
        <f t="array" ref="G262">MMS_Dairy_Methane_Equations.VEERG_4_3_1_1__1_TotalAnnualMethaneFromManureManagementVariation(E$235,G210,E$240,0,0,0,0,0)</f>
        <v>2.9313082081081607E-2</v>
      </c>
      <c r="H262" s="55" cm="1">
        <f t="array" ref="H262">MMS_Dairy_Methane_Equations.VEERG_4_3_1_1__1_TotalAnnualMethaneFromManureManagementVariation(0,0,0,F$235,H210,F$240,F$245,F$250)</f>
        <v>0.16007787526851078</v>
      </c>
      <c r="I262" s="55" cm="1">
        <f t="array" ref="I262">MMS_Dairy_Methane_Equations.VEERG_4_3_1_1__1_TotalAnnualMethaneFromManureManagementVariation(G$235,I210,G$240,0,0,0,0,0)</f>
        <v>3.5667134980860167E-2</v>
      </c>
      <c r="J262" s="55" cm="1">
        <f t="array" ref="J262">MMS_Dairy_Methane_Equations.VEERG_4_3_1_1__1_TotalAnnualMethaneFromManureManagementVariation(0,0,0,H$235,J210,H$240,H$245,H$250)</f>
        <v>0.18782961212420554</v>
      </c>
      <c r="O262" s="55" t="str">
        <f>'Input - Dairy'!$D$55</f>
        <v>Feed pad</v>
      </c>
      <c r="P262" s="55" t="str">
        <f>'Input - Dairy'!$D$116</f>
        <v>Solid storage</v>
      </c>
      <c r="Q262" s="55" cm="1">
        <f t="array" ref="Q262">MMS_Dairy_Methane_Equations.VEERG_4_3_1_1__1_TotalAnnualMethaneFromManureManagementVariation(D$235,Q210,O$240,0,0,0,0,0)</f>
        <v>3.7396525003531071E-2</v>
      </c>
      <c r="R262" s="55" cm="1">
        <f t="array" ref="R262">MMS_Dairy_Methane_Equations.VEERG_4_3_1_1__1_TotalAnnualMethaneFromManureManagementVariation(D$235,R210,P$240,0,0,0,0,0)</f>
        <v>2.9313082081081607E-2</v>
      </c>
      <c r="S262" s="55" cm="1">
        <f t="array" ref="S262">MMS_Dairy_Methane_Equations.VEERG_4_3_1_1__1_TotalAnnualMethaneFromManureManagementVariation(0,0,0,F$235,S210,Q$240,F$245,Q$250)</f>
        <v>0.16007787526851078</v>
      </c>
      <c r="T262" s="55" cm="1">
        <f t="array" ref="T262">MMS_Dairy_Methane_Equations.VEERG_4_3_1_1__1_TotalAnnualMethaneFromManureManagementVariation(F$235,T210,R$240,0,0,0,0,0)</f>
        <v>3.5667134980860167E-2</v>
      </c>
      <c r="U262" s="55" cm="1">
        <f t="array" ref="U262">MMS_Dairy_Methane_Equations.VEERG_4_3_1_1__1_TotalAnnualMethaneFromManureManagementVariation(0,0,0,H$235,U210,S$240,H$245,S$250)</f>
        <v>0.18782961212420554</v>
      </c>
    </row>
    <row r="263" spans="4:21" ht="20.100000000000001" customHeight="1" x14ac:dyDescent="0.25"/>
    <row r="264" spans="4:21" ht="20.100000000000001" customHeight="1" x14ac:dyDescent="0.25">
      <c r="D264" s="108" t="s">
        <v>133</v>
      </c>
      <c r="E264" s="109">
        <f>SUM(F255:J262)</f>
        <v>8.1869605415711497</v>
      </c>
      <c r="F264" s="110" t="str">
        <f>$E$221</f>
        <v>t CH4</v>
      </c>
      <c r="O264" s="108" t="s">
        <v>133</v>
      </c>
      <c r="P264" s="109">
        <f>SUM(Q255:U262)</f>
        <v>8.0754442628988556</v>
      </c>
      <c r="Q264" s="110" t="str">
        <f>$E$221</f>
        <v>t CH4</v>
      </c>
    </row>
    <row r="265" spans="4:21" ht="20.100000000000001" customHeight="1" x14ac:dyDescent="0.25"/>
    <row r="266" spans="4:21" ht="20.100000000000001" customHeight="1" x14ac:dyDescent="0.25">
      <c r="D266" s="60" t="str" cm="1">
        <f t="array" ref="D266:E267">Common_Equations.Common_ConvertCH4ToCO2e_Arguments()</f>
        <v>ECH4</v>
      </c>
      <c r="E266" s="61" t="str">
        <v>Methane emissions (t CH4)</v>
      </c>
      <c r="F266" s="111"/>
      <c r="G266" s="55">
        <f>E264</f>
        <v>8.1869605415711497</v>
      </c>
      <c r="H266" s="2"/>
      <c r="O266" s="60" t="str" cm="1">
        <f t="array" ref="O266:P267">Common_Equations.Common_ConvertCH4ToCO2e_Arguments()</f>
        <v>ECH4</v>
      </c>
      <c r="P266" s="61" t="str">
        <v>Methane emissions (t CH4)</v>
      </c>
      <c r="Q266" s="111"/>
      <c r="R266" s="55">
        <f>P264</f>
        <v>8.0754442628988556</v>
      </c>
      <c r="S266" s="2" t="s">
        <v>287</v>
      </c>
    </row>
    <row r="267" spans="4:21" ht="20.100000000000001" customHeight="1" x14ac:dyDescent="0.25">
      <c r="D267" s="60" t="str">
        <v>GWPCH4</v>
      </c>
      <c r="E267" s="61" t="str">
        <v>Global warming potential for methane (t CO2-e / t CH4)</v>
      </c>
      <c r="F267" s="111"/>
      <c r="G267" s="55">
        <f>Common_InputFunctions.Utility_LookupValueInTableNumber("CH4",Table_GWPData[Gas],Table_GWPData[CO2-e factor])</f>
        <v>28</v>
      </c>
      <c r="O267" s="60" t="str">
        <v>GWPCH4</v>
      </c>
      <c r="P267" s="61" t="str">
        <v>Global warming potential for methane (t CO2-e / t CH4)</v>
      </c>
      <c r="Q267" s="111"/>
      <c r="R267" s="55">
        <v>0</v>
      </c>
    </row>
    <row r="268" spans="4:21" ht="20.100000000000001" customHeight="1" x14ac:dyDescent="0.25"/>
    <row r="269" spans="4:21" ht="20.100000000000001" customHeight="1" x14ac:dyDescent="0.25">
      <c r="D269" s="48" t="s">
        <v>134</v>
      </c>
      <c r="E269" s="48" cm="1">
        <f t="array" ref="E269">Common_Equations.Common_ConvertCH4ToCO2e(G266,G267)</f>
        <v>229.23489516399218</v>
      </c>
      <c r="F269" s="112" t="str" cm="1">
        <f t="array" ref="F269">Common_Equations.Common_ConvertN2OToCO2e_Unit()</f>
        <v>t CO2e</v>
      </c>
      <c r="O269" s="48" t="s">
        <v>134</v>
      </c>
      <c r="P269" s="48" cm="1">
        <f t="array" ref="P269">Common_Equations.Common_ConvertCH4ToCO2e(R266,R267)</f>
        <v>0</v>
      </c>
      <c r="Q269" s="112" t="str" cm="1">
        <f t="array" ref="Q269">Common_Equations.Common_ConvertN2OToCO2e_Unit()</f>
        <v>t CO2e</v>
      </c>
    </row>
    <row r="270" spans="4:21" ht="20.100000000000001" customHeight="1" x14ac:dyDescent="0.25"/>
    <row r="271" spans="4:21" ht="20.100000000000001" customHeight="1" x14ac:dyDescent="0.25"/>
  </sheetData>
  <dataValidations disablePrompts="1" count="1">
    <dataValidation operator="equal" allowBlank="1" showInputMessage="1" showErrorMessage="1" sqref="E116:G116 F132:F136 Q122:U126 D154:F154 P60:R60 E121:J121 F122:J126 E131:F131 Q132:Q136 P131:Q131 P121:U121 E141:J141 F142:J146 P141:U141 Q142:U146 E166:J166 F167:J167 E172:J172 F173:J173 Q173:U173 P166:U166 Q167:U167 P172:U172 E206 E203 E258 E255 P206 P203 P258 P255" xr:uid="{AF7BB680-B75F-4AE8-AA2D-EDF03FCB10D8}"/>
  </dataValidations>
  <pageMargins left="0.7" right="0.7" top="0.75" bottom="0.75" header="0.3" footer="0.3"/>
  <pageSetup paperSize="9" orientation="portrait" r:id="rId1"/>
  <ignoredErrors>
    <ignoredError sqref="H255 H256:H262 I255:I262 S255:S262" formula="1"/>
  </ignoredError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291"/>
  <sheetViews>
    <sheetView showGridLines="0" topLeftCell="E212" zoomScaleNormal="100" workbookViewId="0">
      <selection activeCell="D233" sqref="D233:T24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71" t="e" vm="1">
        <v>#VALUE!</v>
      </c>
      <c r="C1" s="8" t="s">
        <v>298</v>
      </c>
    </row>
    <row r="2" spans="1:21" s="9" customFormat="1" ht="20.100000000000001" customHeight="1" x14ac:dyDescent="0.25"/>
    <row r="3" spans="1:21" ht="20.100000000000001" customHeight="1" x14ac:dyDescent="0.25">
      <c r="A3" s="17" t="str">
        <f>HYPERLINK("#'Home'!A1", "Home")</f>
        <v>Home</v>
      </c>
      <c r="C3" s="4"/>
      <c r="D3" s="4" t="s">
        <v>123</v>
      </c>
      <c r="E3" s="4"/>
      <c r="F3" s="4"/>
      <c r="G3" s="4"/>
      <c r="H3" s="4"/>
      <c r="I3" s="4"/>
      <c r="J3" s="4"/>
      <c r="K3" s="4"/>
      <c r="M3" s="4"/>
      <c r="N3" s="4" t="s">
        <v>124</v>
      </c>
      <c r="O3" s="4"/>
      <c r="P3" s="4"/>
      <c r="Q3" s="4"/>
      <c r="R3" s="4"/>
      <c r="S3" s="4"/>
      <c r="T3" s="4"/>
      <c r="U3" s="4"/>
    </row>
    <row r="4" spans="1:21" ht="20.100000000000001" customHeight="1" x14ac:dyDescent="0.25">
      <c r="A4" s="17" t="str">
        <f>HYPERLINK("#'Results'!A1", "Results")</f>
        <v>Results</v>
      </c>
    </row>
    <row r="5" spans="1:21" ht="20.100000000000001" customHeight="1" x14ac:dyDescent="0.25">
      <c r="A5" s="16"/>
      <c r="D5" s="6" t="str" cm="1">
        <f t="array" ref="D5">MMS_Dairy_N2ODirect_Equations.VEERG_4_3_1_3__8_RelativeSize_Title()</f>
        <v>Relative size</v>
      </c>
    </row>
    <row r="6" spans="1:21" ht="20.100000000000001" customHeight="1" x14ac:dyDescent="0.25">
      <c r="A6" s="20" t="s">
        <v>3</v>
      </c>
      <c r="D6" s="5" t="str" cm="1">
        <f t="array" ref="D6">MMS_Dairy_N2ODirect_Equations.VEERG_4_3_1_3__8_RelativeSize_Source()</f>
        <v>VEERG 2026: 4.3.1.3, Equation (8)</v>
      </c>
    </row>
    <row r="7" spans="1:21" ht="20.100000000000001" customHeight="1" x14ac:dyDescent="0.25">
      <c r="A7" s="17" t="str">
        <f>HYPERLINK("#'Input - Site'!A1", "Site")</f>
        <v>Site</v>
      </c>
      <c r="D7" s="13" t="s">
        <v>28</v>
      </c>
      <c r="E7" s="13" t="str" cm="1">
        <f t="array" aca="1" ref="E7" ca="1">Common_InputFunctions.Utility_DisplayFunctionName(D29)</f>
        <v>=MMS_Dairy_N2ODirect_Equations.VEERG_4_3_1_3__8_RelativeSize</v>
      </c>
    </row>
    <row r="8" spans="1:21" ht="20.100000000000001" customHeight="1" x14ac:dyDescent="0.25">
      <c r="A8" s="17" t="str">
        <f>HYPERLINK("#'Input - Dairy'!A1", "Dairy")</f>
        <v>Dairy</v>
      </c>
    </row>
    <row r="9" spans="1:21" ht="20.100000000000001" customHeight="1" x14ac:dyDescent="0.25">
      <c r="A9" s="17"/>
    </row>
    <row r="10" spans="1:21" ht="20.100000000000001" customHeight="1" x14ac:dyDescent="0.25">
      <c r="A10" s="19" t="s">
        <v>78</v>
      </c>
      <c r="D10" s="56" t="s">
        <v>31</v>
      </c>
      <c r="E10" s="1" t="str" cm="1">
        <f t="array" ref="E10">MMS_Dairy_N2ODirect_Equations.VEERG_4_3_1_3__8_RelativeSize_Variable()</f>
        <v>Z_j</v>
      </c>
    </row>
    <row r="11" spans="1:21" ht="20.100000000000001" customHeight="1" x14ac:dyDescent="0.25">
      <c r="A11" s="17" t="str">
        <f>HYPERLINK("#'4.3.1.1-2 Methane'!A1", "4.3.1.1-2 Methane")</f>
        <v>4.3.1.1-2 Methane</v>
      </c>
      <c r="D11" s="56" t="s">
        <v>21</v>
      </c>
      <c r="E11" s="57" t="str" cm="1">
        <f t="array" ref="E11">MMS_Dairy_N2ODirect_Equations.VEERG_4_3_1_3__8_RelativeSize_Unit()</f>
        <v>ratio</v>
      </c>
    </row>
    <row r="12" spans="1:21" ht="20.100000000000001" customHeight="1" x14ac:dyDescent="0.25">
      <c r="A12" s="22" t="str">
        <f>HYPERLINK("#'4.3.1.3-4 Direct N20'!A1", "4.3.1.3-4 Direct N2O")</f>
        <v>4.3.1.3-4 Direct N2O</v>
      </c>
    </row>
    <row r="13" spans="1:21" ht="20.100000000000001" customHeight="1" x14ac:dyDescent="0.25">
      <c r="A13" s="17" t="str">
        <f>HYPERLINK("#'4.3.1.5 Atmos Deposition'!A1", "4.3.1.5 Atmospheric deposition")</f>
        <v>4.3.1.5 Atmospheric deposition</v>
      </c>
      <c r="D13" s="60" t="str" cm="1">
        <f t="array" ref="D13:E14">MMS_Dairy_N2ODirect_Equations.VEERG_4_3_1_3__8_RelativeSize_Arguments()</f>
        <v>W_j</v>
      </c>
      <c r="E13" s="60" t="str">
        <v>liveweight (kg)</v>
      </c>
      <c r="F13" s="60" t="str">
        <f>"See " &amp; D16</f>
        <v>See M1_Table_W_j</v>
      </c>
    </row>
    <row r="14" spans="1:21" ht="20.100000000000001" customHeight="1" x14ac:dyDescent="0.25">
      <c r="A14" s="17" t="str">
        <f>HYPERLINK("#'4.3.1.6-7 Leaching and runoff'!A1", "4.3.1.6-7 Leaching and runoff")</f>
        <v>4.3.1.6-7 Leaching and runoff</v>
      </c>
      <c r="D14" s="60" t="str">
        <v>WR_j</v>
      </c>
      <c r="E14" s="60" t="str">
        <v>reference weight (kg)</v>
      </c>
      <c r="F14" s="60" t="str">
        <f>"See " &amp; D21</f>
        <v>See Table_WR_j</v>
      </c>
    </row>
    <row r="15" spans="1:21" ht="20.100000000000001" customHeight="1" x14ac:dyDescent="0.25">
      <c r="A15" s="17" t="str">
        <f>HYPERLINK("#'4.3.1.8 Manure applied to soils'!A1", "4.3.1.8 Manure applied to soils")</f>
        <v>4.3.1.8 Manure applied to soils</v>
      </c>
    </row>
    <row r="16" spans="1:21" ht="20.100000000000001" customHeight="1" x14ac:dyDescent="0.25">
      <c r="A16" s="17" t="str">
        <f>HYPERLINK("#'4.3.1.9 Soil direct N2O'!A1", "4.3.1.9 Soil direct N2O")</f>
        <v>4.3.1.9 Soil direct N2O</v>
      </c>
      <c r="D16" s="104" t="s">
        <v>230</v>
      </c>
      <c r="N16" s="104" t="s">
        <v>232</v>
      </c>
    </row>
    <row r="17" spans="1:21" ht="20.100000000000001" customHeight="1" x14ac:dyDescent="0.25">
      <c r="A17" s="17" t="str">
        <f>HYPERLINK("#'4.3.1.10-11 Soil Atmos Dep'!A1", "4.3.1.10-11 Soil atm. deposition")</f>
        <v>4.3.1.10-11 Soil atm. deposition</v>
      </c>
      <c r="D17" s="103" t="s">
        <v>231</v>
      </c>
      <c r="N17" s="103" t="s">
        <v>233</v>
      </c>
    </row>
    <row r="18" spans="1:21" ht="20.100000000000001" customHeight="1" x14ac:dyDescent="0.25">
      <c r="A18" s="17" t="str">
        <f>HYPERLINK("#'4.3.1.12-13 Soil leach runoff'!A1", "4.3.1.12-13 Soil leach &amp; runoff")</f>
        <v>4.3.1.12-13 Soil leach &amp; runoff</v>
      </c>
      <c r="D18" s="54" t="s">
        <v>178</v>
      </c>
      <c r="E18" s="54" t="s">
        <v>195</v>
      </c>
      <c r="F18" s="54" t="s">
        <v>196</v>
      </c>
      <c r="G18" s="54" t="s">
        <v>197</v>
      </c>
      <c r="H18" s="54" t="s">
        <v>198</v>
      </c>
      <c r="N18" s="54" t="s">
        <v>178</v>
      </c>
      <c r="O18" s="54" t="s">
        <v>195</v>
      </c>
      <c r="P18" s="54" t="s">
        <v>196</v>
      </c>
      <c r="Q18" s="54" t="s">
        <v>197</v>
      </c>
      <c r="R18" s="54" t="s">
        <v>198</v>
      </c>
    </row>
    <row r="19" spans="1:21" ht="20.100000000000001" customHeight="1" x14ac:dyDescent="0.25">
      <c r="A19" s="17"/>
      <c r="D19" s="55">
        <f>'Input - Dairy'!$E$14</f>
        <v>550</v>
      </c>
      <c r="E19" s="55">
        <f>'Input - Dairy'!$F$14</f>
        <v>380</v>
      </c>
      <c r="F19" s="55">
        <f>'Input - Dairy'!$G$14</f>
        <v>155</v>
      </c>
      <c r="G19" s="55">
        <f>'Input - Dairy'!$H$14</f>
        <v>600</v>
      </c>
      <c r="H19" s="55">
        <f>'Input - Dairy'!$I$14</f>
        <v>225</v>
      </c>
      <c r="I19" s="2" t="s">
        <v>200</v>
      </c>
      <c r="N19" s="55">
        <f>'Input - Dairy'!$E$18</f>
        <v>550</v>
      </c>
      <c r="O19" s="55">
        <f>'Input - Dairy'!$F$18</f>
        <v>380</v>
      </c>
      <c r="P19" s="55">
        <f>'Input - Dairy'!$G$18</f>
        <v>155</v>
      </c>
      <c r="Q19" s="55">
        <f>'Input - Dairy'!$H$18</f>
        <v>600</v>
      </c>
      <c r="R19" s="55">
        <f>'Input - Dairy'!$I$18</f>
        <v>225</v>
      </c>
      <c r="S19" s="2" t="s">
        <v>200</v>
      </c>
    </row>
    <row r="20" spans="1:21" ht="20.100000000000001" customHeight="1" x14ac:dyDescent="0.25">
      <c r="A20" s="18" t="s">
        <v>4</v>
      </c>
    </row>
    <row r="21" spans="1:21" ht="20.100000000000001" customHeight="1" x14ac:dyDescent="0.25">
      <c r="A21" s="17" t="str">
        <f>HYPERLINK("#'Constants - Dairy'!A1", "Constants - Dairy")</f>
        <v>Constants - Dairy</v>
      </c>
      <c r="D21" s="104" t="s">
        <v>300</v>
      </c>
    </row>
    <row r="22" spans="1:21" ht="20.100000000000001" customHeight="1" x14ac:dyDescent="0.25">
      <c r="A22" s="17" t="str">
        <f>HYPERLINK("#'Constants - Livestock'!A1", "Constants - Livestock")</f>
        <v>Constants - Livestock</v>
      </c>
      <c r="D22" s="103" t="s">
        <v>301</v>
      </c>
    </row>
    <row r="23" spans="1:21" ht="20.100000000000001" customHeight="1" x14ac:dyDescent="0.25">
      <c r="A23" s="17" t="str">
        <f>HYPERLINK("#'Constants - Common'!A1", "Constants - Common")</f>
        <v>Constants - Common</v>
      </c>
      <c r="D23" s="54" t="s">
        <v>178</v>
      </c>
      <c r="E23" s="54" t="s">
        <v>195</v>
      </c>
      <c r="F23" s="54" t="s">
        <v>196</v>
      </c>
      <c r="G23" s="54" t="s">
        <v>197</v>
      </c>
      <c r="H23" s="54" t="s">
        <v>198</v>
      </c>
    </row>
    <row r="24" spans="1:21" ht="20.100000000000001" customHeight="1" x14ac:dyDescent="0.25">
      <c r="A24" s="17" t="str">
        <f>HYPERLINK("#'Acknowledgements'!A1", "Acknowledgements")</f>
        <v>Acknowledgements</v>
      </c>
      <c r="D24" s="55" cm="1">
        <f t="array" ref="D24">Table_SourceData_Dairy_WRj[Milking cows]</f>
        <v>590</v>
      </c>
      <c r="E24" s="55" cm="1">
        <f t="array" ref="E24">Table_SourceData_Dairy_WRj[Heifers &gt; 1]</f>
        <v>590</v>
      </c>
      <c r="F24" s="55" cm="1">
        <f t="array" ref="F24">Table_SourceData_Dairy_WRj[Heifers &lt; 1 (weaned)]</f>
        <v>590</v>
      </c>
      <c r="G24" s="55" cm="1">
        <f t="array" ref="G24">Table_SourceData_Dairy_WRj[Bulls &gt; 1]</f>
        <v>770</v>
      </c>
      <c r="H24" s="55" cm="1">
        <f t="array" ref="H24">Table_SourceData_Dairy_WRj[Bulls &lt; 1 (weaned)]</f>
        <v>770</v>
      </c>
      <c r="I24" s="2" t="s">
        <v>200</v>
      </c>
    </row>
    <row r="25" spans="1:21" ht="20.100000000000001" customHeight="1" x14ac:dyDescent="0.25"/>
    <row r="26" spans="1:21" ht="20.100000000000001" customHeight="1" x14ac:dyDescent="0.25">
      <c r="D26" s="104" t="s">
        <v>302</v>
      </c>
      <c r="N26" s="104" t="s">
        <v>302</v>
      </c>
    </row>
    <row r="27" spans="1:21" ht="20.100000000000001" customHeight="1" x14ac:dyDescent="0.25">
      <c r="D27" s="103" t="s">
        <v>303</v>
      </c>
      <c r="N27" s="103" t="s">
        <v>303</v>
      </c>
    </row>
    <row r="28" spans="1:21" ht="20.100000000000001" customHeight="1" x14ac:dyDescent="0.25">
      <c r="D28" s="54" t="s">
        <v>178</v>
      </c>
      <c r="E28" s="54" t="s">
        <v>195</v>
      </c>
      <c r="F28" s="54" t="s">
        <v>196</v>
      </c>
      <c r="G28" s="54" t="s">
        <v>197</v>
      </c>
      <c r="H28" s="54" t="s">
        <v>198</v>
      </c>
      <c r="N28" s="54" t="s">
        <v>178</v>
      </c>
      <c r="O28" s="54" t="s">
        <v>195</v>
      </c>
      <c r="P28" s="54" t="s">
        <v>196</v>
      </c>
      <c r="Q28" s="54" t="s">
        <v>197</v>
      </c>
      <c r="R28" s="54" t="s">
        <v>198</v>
      </c>
    </row>
    <row r="29" spans="1:21" ht="20.100000000000001" customHeight="1" x14ac:dyDescent="0.25">
      <c r="D29" s="55" cm="1">
        <f t="array" ref="D29">MMS_Dairy_N2ODirect_Equations.VEERG_4_3_1_3__8_RelativeSize(D19,D24)</f>
        <v>0.93220338983050843</v>
      </c>
      <c r="E29" s="55" cm="1">
        <f t="array" ref="E29">MMS_Dairy_N2ODirect_Equations.VEERG_4_3_1_3__8_RelativeSize(E19,E24)</f>
        <v>0.64406779661016944</v>
      </c>
      <c r="F29" s="55" cm="1">
        <f t="array" ref="F29">MMS_Dairy_N2ODirect_Equations.VEERG_4_3_1_3__8_RelativeSize(F19,F24)</f>
        <v>0.26271186440677968</v>
      </c>
      <c r="G29" s="55" cm="1">
        <f t="array" ref="G29">MMS_Dairy_N2ODirect_Equations.VEERG_4_3_1_3__8_RelativeSize(G19,G24)</f>
        <v>0.77922077922077926</v>
      </c>
      <c r="H29" s="55" cm="1">
        <f t="array" ref="H29">MMS_Dairy_N2ODirect_Equations.VEERG_4_3_1_3__8_RelativeSize(H19,H24)</f>
        <v>0.29220779220779219</v>
      </c>
      <c r="I29" s="2" t="str">
        <f>$E$11</f>
        <v>ratio</v>
      </c>
      <c r="N29" s="55" cm="1">
        <f t="array" ref="N29">MMS_Dairy_N2ODirect_Equations.VEERG_4_3_1_3__8_RelativeSize(N19,D24)</f>
        <v>0.93220338983050843</v>
      </c>
      <c r="O29" s="55" cm="1">
        <f t="array" ref="O29">MMS_Dairy_N2ODirect_Equations.VEERG_4_3_1_3__8_RelativeSize(O19,E24)</f>
        <v>0.64406779661016944</v>
      </c>
      <c r="P29" s="55" cm="1">
        <f t="array" ref="P29">MMS_Dairy_N2ODirect_Equations.VEERG_4_3_1_3__8_RelativeSize(P19,F24)</f>
        <v>0.26271186440677968</v>
      </c>
      <c r="Q29" s="55" cm="1">
        <f t="array" ref="Q29">MMS_Dairy_N2ODirect_Equations.VEERG_4_3_1_3__8_RelativeSize(Q19,G24)</f>
        <v>0.77922077922077926</v>
      </c>
      <c r="R29" s="55" cm="1">
        <f t="array" ref="R29">MMS_Dairy_N2ODirect_Equations.VEERG_4_3_1_3__8_RelativeSize(R19,H24)</f>
        <v>0.29220779220779219</v>
      </c>
      <c r="S29" s="2" t="str">
        <f>$E$11</f>
        <v>ratio</v>
      </c>
    </row>
    <row r="30" spans="1:21" ht="20.100000000000001" customHeight="1" x14ac:dyDescent="0.25"/>
    <row r="31" spans="1:21" ht="20.100000000000001" customHeight="1" x14ac:dyDescent="0.25"/>
    <row r="32" spans="1:21" ht="20.100000000000001" customHeight="1" x14ac:dyDescent="0.25">
      <c r="C32" s="48"/>
      <c r="D32" s="48"/>
      <c r="E32" s="48"/>
      <c r="F32" s="48"/>
      <c r="G32" s="48"/>
      <c r="H32" s="48"/>
      <c r="I32" s="48"/>
      <c r="J32" s="48"/>
      <c r="K32" s="48"/>
      <c r="M32" s="48"/>
      <c r="N32" s="48"/>
      <c r="O32" s="48"/>
      <c r="P32" s="48"/>
      <c r="Q32" s="48"/>
      <c r="R32" s="48"/>
      <c r="S32" s="48"/>
      <c r="T32" s="48"/>
      <c r="U32" s="48"/>
    </row>
    <row r="33" spans="4:14" ht="20.100000000000001" customHeight="1" x14ac:dyDescent="0.25">
      <c r="D33" s="6" t="str" cm="1">
        <f t="array" ref="D33">MMS_Dairy_N2ODirect_Equations.VEERG_4_3_1_3__7_IntakeRelativeToMaintenance_Title()</f>
        <v>Intake relative to maintenance</v>
      </c>
    </row>
    <row r="34" spans="4:14" ht="20.100000000000001" customHeight="1" x14ac:dyDescent="0.25">
      <c r="D34" s="5" t="str" cm="1">
        <f t="array" ref="D34">MMS_Dairy_N2ODirect_Equations.VEERG_4_3_1_3__7_IntakeRelativeToMaintenance_Source()</f>
        <v>VEERG 2026: 4.3.1.3, Equation (7)</v>
      </c>
    </row>
    <row r="35" spans="4:14" ht="20.100000000000001" customHeight="1" x14ac:dyDescent="0.25">
      <c r="D35" s="13" t="s">
        <v>28</v>
      </c>
      <c r="E35" s="13" t="str" cm="1">
        <f t="array" aca="1" ref="E35" ca="1">Common_InputFunctions.Utility_DisplayFunctionName(D65)</f>
        <v>=MMS_Dairy_N2ODirect_Equations.VEERG_4_3_1_3__7_IntakeRelativeToMaintenance</v>
      </c>
    </row>
    <row r="36" spans="4:14" ht="20.100000000000001" customHeight="1" x14ac:dyDescent="0.25"/>
    <row r="37" spans="4:14" ht="20.100000000000001" customHeight="1" x14ac:dyDescent="0.25">
      <c r="D37" s="6"/>
      <c r="F37" s="6"/>
    </row>
    <row r="38" spans="4:14" ht="20.100000000000001" customHeight="1" x14ac:dyDescent="0.25"/>
    <row r="39" spans="4:14" ht="20.100000000000001" customHeight="1" x14ac:dyDescent="0.25">
      <c r="D39" s="56" t="s">
        <v>31</v>
      </c>
      <c r="E39" s="1" t="str" cm="1">
        <f t="array" ref="E39">MMS_Dairy_N2ODirect_Equations.VEERG_4_3_1_3__7_IntakeRelativeToMaintenance_Variable()</f>
        <v>L_j</v>
      </c>
    </row>
    <row r="40" spans="4:14" ht="20.100000000000001" customHeight="1" x14ac:dyDescent="0.25">
      <c r="D40" s="56" t="s">
        <v>21</v>
      </c>
      <c r="E40" s="57" t="str" cm="1">
        <f t="array" ref="E40">MMS_Dairy_N2ODirect_Equations.VEERG_4_3_1_3__7_IntakeRelativeToMaintenance_Unit()</f>
        <v>ratio</v>
      </c>
    </row>
    <row r="41" spans="4:14" ht="20.100000000000001" customHeight="1" x14ac:dyDescent="0.25"/>
    <row r="42" spans="4:14" ht="20.100000000000001" customHeight="1" x14ac:dyDescent="0.25">
      <c r="D42" s="60" t="str" cm="1">
        <f t="array" ref="D42:E45">MMS_Dairy_N2ODirect_Equations.VEERG_4_3_1_3__7_IntakeRelativeToMaintenance_Arguments()</f>
        <v>I_j</v>
      </c>
      <c r="E42" s="61" t="str">
        <v>dry matter intake (kgDM/head/day)</v>
      </c>
      <c r="F42" s="62"/>
      <c r="G42" s="60" t="str">
        <f>"See " &amp; D47</f>
        <v>See M1_Table_I_j</v>
      </c>
    </row>
    <row r="43" spans="4:14" ht="20.100000000000001" customHeight="1" x14ac:dyDescent="0.25">
      <c r="D43" s="60" t="str">
        <v>W_j</v>
      </c>
      <c r="E43" s="61" t="str">
        <v>liveweight (kg)</v>
      </c>
      <c r="F43" s="62"/>
      <c r="G43" s="60" t="str">
        <f>"See " &amp; D16</f>
        <v>See M1_Table_W_j</v>
      </c>
    </row>
    <row r="44" spans="4:14" ht="20.100000000000001" customHeight="1" x14ac:dyDescent="0.25">
      <c r="D44" s="60" t="str">
        <v>MR_j</v>
      </c>
      <c r="E44" s="61" t="str">
        <v>increase in metabolic rate when producing milk</v>
      </c>
      <c r="F44" s="62"/>
      <c r="G44" s="60" t="str">
        <f>"See " &amp; D52</f>
        <v>See Table_MR_j</v>
      </c>
    </row>
    <row r="45" spans="4:14" ht="20.100000000000001" customHeight="1" x14ac:dyDescent="0.25">
      <c r="D45" s="60" t="str">
        <v>MI_j</v>
      </c>
      <c r="E45" s="61" t="str">
        <v>additional intake required for milk production (kgDM/head/day)</v>
      </c>
      <c r="F45" s="62"/>
      <c r="G45" s="60" t="str">
        <f>"See " &amp; D57</f>
        <v>See M1_Table_MI_j</v>
      </c>
    </row>
    <row r="46" spans="4:14" ht="20.100000000000001" customHeight="1" x14ac:dyDescent="0.25"/>
    <row r="47" spans="4:14" ht="20.100000000000001" customHeight="1" x14ac:dyDescent="0.25">
      <c r="D47" s="104" t="s">
        <v>116</v>
      </c>
      <c r="N47" s="104" t="s">
        <v>118</v>
      </c>
    </row>
    <row r="48" spans="4:14" ht="20.100000000000001" customHeight="1" x14ac:dyDescent="0.25">
      <c r="D48" s="103" t="s">
        <v>253</v>
      </c>
      <c r="N48" s="103" t="s">
        <v>252</v>
      </c>
    </row>
    <row r="49" spans="4:19" ht="20.100000000000001" customHeight="1" x14ac:dyDescent="0.25">
      <c r="D49" s="54" t="s">
        <v>178</v>
      </c>
      <c r="E49" s="54" t="s">
        <v>195</v>
      </c>
      <c r="F49" s="54" t="s">
        <v>196</v>
      </c>
      <c r="G49" s="54" t="s">
        <v>197</v>
      </c>
      <c r="H49" s="54" t="s">
        <v>198</v>
      </c>
      <c r="N49" s="54" t="s">
        <v>178</v>
      </c>
      <c r="O49" s="54" t="s">
        <v>195</v>
      </c>
      <c r="P49" s="54" t="s">
        <v>196</v>
      </c>
      <c r="Q49" s="54" t="s">
        <v>197</v>
      </c>
      <c r="R49" s="54" t="s">
        <v>198</v>
      </c>
    </row>
    <row r="50" spans="4:19" ht="20.100000000000001" customHeight="1" x14ac:dyDescent="0.25">
      <c r="D50" s="55">
        <f>'4.3.1.1-2 Methane'!D84</f>
        <v>9.4647127858085369</v>
      </c>
      <c r="E50" s="55">
        <f>'4.3.1.1-2 Methane'!E84</f>
        <v>7.4188685375999972</v>
      </c>
      <c r="F50" s="55">
        <f>'4.3.1.1-2 Methane'!F84</f>
        <v>4.0231734662249998</v>
      </c>
      <c r="G50" s="55">
        <f>'4.3.1.1-2 Methane'!G84</f>
        <v>9.0270202499999979</v>
      </c>
      <c r="H50" s="55">
        <f>'4.3.1.1-2 Methane'!H84</f>
        <v>5.4143472656250013</v>
      </c>
      <c r="I50" s="2" t="str">
        <f>'4.3.1.1-2 Methane'!I84</f>
        <v>kg DM/head/day</v>
      </c>
      <c r="N50" s="55">
        <f>'4.3.1.1-2 Methane'!O84</f>
        <v>9.4647127858085369</v>
      </c>
      <c r="O50" s="55">
        <f>'4.3.1.1-2 Methane'!P84</f>
        <v>7.4188685375999972</v>
      </c>
      <c r="P50" s="55">
        <f>'4.3.1.1-2 Methane'!Q84</f>
        <v>4.0231734662249998</v>
      </c>
      <c r="Q50" s="55">
        <f>'4.3.1.1-2 Methane'!R84</f>
        <v>9.0270202499999979</v>
      </c>
      <c r="R50" s="55">
        <f>'4.3.1.1-2 Methane'!S84</f>
        <v>5.4143472656250013</v>
      </c>
      <c r="S50" s="2" t="str">
        <f>'4.3.1.1-2 Methane'!T84</f>
        <v>kg DM/head/day</v>
      </c>
    </row>
    <row r="51" spans="4:19" ht="20.100000000000001" customHeight="1" x14ac:dyDescent="0.25"/>
    <row r="52" spans="4:19" ht="20.100000000000001" customHeight="1" x14ac:dyDescent="0.25">
      <c r="D52" s="104" t="s">
        <v>238</v>
      </c>
    </row>
    <row r="53" spans="4:19" ht="20.100000000000001" customHeight="1" x14ac:dyDescent="0.25">
      <c r="D53" s="103" t="s">
        <v>239</v>
      </c>
    </row>
    <row r="54" spans="4:19" ht="20.100000000000001" customHeight="1" x14ac:dyDescent="0.25">
      <c r="D54" s="54" t="s">
        <v>178</v>
      </c>
      <c r="E54" s="54" t="s">
        <v>195</v>
      </c>
      <c r="F54" s="54" t="s">
        <v>196</v>
      </c>
      <c r="G54" s="54" t="s">
        <v>197</v>
      </c>
      <c r="H54" s="54" t="s">
        <v>198</v>
      </c>
    </row>
    <row r="55" spans="4:19" ht="20.100000000000001" customHeight="1" x14ac:dyDescent="0.25">
      <c r="D55" s="55">
        <f>'Constants - Dairy'!$E$108</f>
        <v>1.1000000000000001</v>
      </c>
      <c r="E55" s="55">
        <f>'Constants - Dairy'!$E$109</f>
        <v>1</v>
      </c>
      <c r="F55" s="55">
        <f>'Constants - Dairy'!$E$109</f>
        <v>1</v>
      </c>
      <c r="G55" s="55">
        <f>'Constants - Dairy'!$E$109</f>
        <v>1</v>
      </c>
      <c r="H55" s="55">
        <f>'Constants - Dairy'!$E$109</f>
        <v>1</v>
      </c>
      <c r="I55" s="2" t="s">
        <v>101</v>
      </c>
    </row>
    <row r="56" spans="4:19" ht="20.100000000000001" customHeight="1" x14ac:dyDescent="0.25"/>
    <row r="57" spans="4:19" ht="20.100000000000001" customHeight="1" x14ac:dyDescent="0.25">
      <c r="D57" s="104" t="s">
        <v>245</v>
      </c>
    </row>
    <row r="58" spans="4:19" ht="20.100000000000001" customHeight="1" x14ac:dyDescent="0.25">
      <c r="D58" s="103" t="s">
        <v>246</v>
      </c>
    </row>
    <row r="59" spans="4:19" ht="20.100000000000001" customHeight="1" x14ac:dyDescent="0.25">
      <c r="D59" s="54" t="s">
        <v>178</v>
      </c>
      <c r="E59" s="54" t="s">
        <v>195</v>
      </c>
      <c r="F59" s="54" t="s">
        <v>196</v>
      </c>
      <c r="G59" s="54" t="s">
        <v>197</v>
      </c>
      <c r="H59" s="54" t="s">
        <v>198</v>
      </c>
    </row>
    <row r="60" spans="4:19" ht="20.100000000000001" customHeight="1" x14ac:dyDescent="0.25">
      <c r="D60" s="55">
        <f>'4.3.1.1-2 Methane'!D49</f>
        <v>0.21026726504853488</v>
      </c>
      <c r="E60" s="55">
        <f>'4.3.1.1-2 Methane'!E49</f>
        <v>0</v>
      </c>
      <c r="F60" s="55">
        <f>'4.3.1.1-2 Methane'!F49</f>
        <v>0</v>
      </c>
      <c r="G60" s="55">
        <f>'4.3.1.1-2 Methane'!G49</f>
        <v>0</v>
      </c>
      <c r="H60" s="55">
        <f>'4.3.1.1-2 Methane'!H49</f>
        <v>0</v>
      </c>
      <c r="I60" s="2" t="str">
        <f>'4.3.1.1-2 Methane'!I49</f>
        <v>kg DM/head/day</v>
      </c>
    </row>
    <row r="61" spans="4:19" ht="20.100000000000001" customHeight="1" x14ac:dyDescent="0.25"/>
    <row r="62" spans="4:19" ht="20.100000000000001" customHeight="1" x14ac:dyDescent="0.25">
      <c r="D62" s="104" t="s">
        <v>304</v>
      </c>
      <c r="N62" s="104" t="s">
        <v>306</v>
      </c>
    </row>
    <row r="63" spans="4:19" ht="20.100000000000001" customHeight="1" x14ac:dyDescent="0.25">
      <c r="D63" s="103" t="s">
        <v>305</v>
      </c>
      <c r="N63" s="103" t="s">
        <v>307</v>
      </c>
    </row>
    <row r="64" spans="4:19" ht="20.100000000000001" customHeight="1" x14ac:dyDescent="0.25">
      <c r="D64" s="54" t="s">
        <v>178</v>
      </c>
      <c r="E64" s="54" t="s">
        <v>195</v>
      </c>
      <c r="F64" s="54" t="s">
        <v>196</v>
      </c>
      <c r="G64" s="54" t="s">
        <v>197</v>
      </c>
      <c r="H64" s="54" t="s">
        <v>198</v>
      </c>
      <c r="N64" s="54" t="s">
        <v>178</v>
      </c>
      <c r="O64" s="54" t="s">
        <v>195</v>
      </c>
      <c r="P64" s="54" t="s">
        <v>196</v>
      </c>
      <c r="Q64" s="54" t="s">
        <v>197</v>
      </c>
      <c r="R64" s="54" t="s">
        <v>198</v>
      </c>
    </row>
    <row r="65" spans="3:21" ht="20.100000000000001" customHeight="1" x14ac:dyDescent="0.25">
      <c r="D65" s="55" cm="1">
        <f t="array" ref="D65">MMS_Dairy_N2ODirect_Equations.VEERG_4_3_1_3__7_IntakeRelativeToMaintenance(D50,D19,D55,D60)</f>
        <v>1.0034066233551036</v>
      </c>
      <c r="E65" s="55" cm="1">
        <f t="array" ref="E65">MMS_Dairy_N2ODirect_Equations.VEERG_4_3_1_3__7_IntakeRelativeToMaintenance(E50,E19,E55,E60)</f>
        <v>1.1546862260954116</v>
      </c>
      <c r="F65" s="55" cm="1">
        <f t="array" ref="F65">MMS_Dairy_N2ODirect_Equations.VEERG_4_3_1_3__7_IntakeRelativeToMaintenance(F50,F19,F55,F60)</f>
        <v>1.206300296845944</v>
      </c>
      <c r="G65" s="55" cm="1">
        <f t="array" ref="G65">MMS_Dairy_N2ODirect_Equations.VEERG_4_3_1_3__7_IntakeRelativeToMaintenance(G50,G19,G55,G60)</f>
        <v>1.0213029780639273</v>
      </c>
      <c r="H65" s="55" cm="1">
        <f t="array" ref="H65">MMS_Dairy_N2ODirect_Equations.VEERG_4_3_1_3__7_IntakeRelativeToMaintenance(H50,H19,H55,H60)</f>
        <v>1.2576570545672616</v>
      </c>
      <c r="I65" s="2" t="str">
        <f>$E$40</f>
        <v>ratio</v>
      </c>
      <c r="N65" s="55" cm="1">
        <f t="array" ref="N65">MMS_Dairy_N2ODirect_Equations.VEERG_4_3_1_3__7_IntakeRelativeToMaintenance(N50,N19,D55,D60)</f>
        <v>1.0034066233551036</v>
      </c>
      <c r="O65" s="55" cm="1">
        <f t="array" ref="O65">MMS_Dairy_N2ODirect_Equations.VEERG_4_3_1_3__7_IntakeRelativeToMaintenance(O50,O19,E55,E60)</f>
        <v>1.1546862260954116</v>
      </c>
      <c r="P65" s="55" cm="1">
        <f t="array" ref="P65">MMS_Dairy_N2ODirect_Equations.VEERG_4_3_1_3__7_IntakeRelativeToMaintenance(P50,P19,F55,F60)</f>
        <v>1.206300296845944</v>
      </c>
      <c r="Q65" s="55" cm="1">
        <f t="array" ref="Q65">MMS_Dairy_N2ODirect_Equations.VEERG_4_3_1_3__7_IntakeRelativeToMaintenance(Q50,Q19,G55,G60)</f>
        <v>1.0213029780639273</v>
      </c>
      <c r="R65" s="55" cm="1">
        <f t="array" ref="R65">MMS_Dairy_N2ODirect_Equations.VEERG_4_3_1_3__7_IntakeRelativeToMaintenance(R50,R19,H55,H60)</f>
        <v>1.2576570545672616</v>
      </c>
      <c r="S65" s="2" t="str">
        <f>$E$40</f>
        <v>ratio</v>
      </c>
    </row>
    <row r="66" spans="3:21" ht="20.100000000000001" customHeight="1" x14ac:dyDescent="0.25"/>
    <row r="67" spans="3:21" ht="20.100000000000001" customHeight="1" x14ac:dyDescent="0.25"/>
    <row r="68" spans="3:21" ht="20.100000000000001" customHeight="1" x14ac:dyDescent="0.25">
      <c r="C68" s="48"/>
      <c r="D68" s="48"/>
      <c r="E68" s="48"/>
      <c r="F68" s="48"/>
      <c r="G68" s="48"/>
      <c r="H68" s="48"/>
      <c r="I68" s="48"/>
      <c r="J68" s="48"/>
      <c r="K68" s="48"/>
      <c r="M68" s="48"/>
      <c r="N68" s="48"/>
      <c r="O68" s="48"/>
      <c r="P68" s="48"/>
      <c r="Q68" s="48"/>
      <c r="R68" s="48"/>
      <c r="S68" s="48"/>
      <c r="T68" s="48"/>
      <c r="U68" s="48"/>
    </row>
    <row r="69" spans="3:21" ht="20.100000000000001" customHeight="1" x14ac:dyDescent="0.25">
      <c r="D69" s="6" t="str" cm="1">
        <f t="array" ref="D69">MMS_Dairy_N2ODirect_Equations.VEERG_4_3_1_3__6_NitrogenRetainedByBody_Title()</f>
        <v>Amount of nitrogen retained by the body</v>
      </c>
    </row>
    <row r="70" spans="3:21" ht="20.100000000000001" customHeight="1" x14ac:dyDescent="0.25">
      <c r="D70" s="5" t="str" cm="1">
        <f t="array" ref="D70">MMS_Dairy_N2ODirect_Equations.VEERG_4_3_1_3__6_NitrogenRetainedByBody_Source()</f>
        <v>VEERG 2026: 4.3.1.3, Equation (6)</v>
      </c>
    </row>
    <row r="71" spans="3:21" ht="20.100000000000001" customHeight="1" x14ac:dyDescent="0.25">
      <c r="D71" s="13" t="s">
        <v>28</v>
      </c>
      <c r="E71" s="13" t="str" cm="1">
        <f t="array" aca="1" ref="E71" ca="1">Common_InputFunctions.Utility_DisplayFunctionName(D96)</f>
        <v>=MMS_Dairy_N2ODirect_Equations.VEERG_4_3_1_3__6_NitrogenRetainedByBody</v>
      </c>
    </row>
    <row r="72" spans="3:21" ht="20.100000000000001" customHeight="1" x14ac:dyDescent="0.25"/>
    <row r="73" spans="3:21" ht="20.100000000000001" customHeight="1" x14ac:dyDescent="0.25"/>
    <row r="74" spans="3:21" ht="20.100000000000001" customHeight="1" x14ac:dyDescent="0.25"/>
    <row r="75" spans="3:21" ht="20.100000000000001" customHeight="1" x14ac:dyDescent="0.25">
      <c r="D75" s="56" t="s">
        <v>31</v>
      </c>
      <c r="E75" s="1" t="str" cm="1">
        <f t="array" ref="E75">MMS_Dairy_N2ODirect_Equations.VEERG_4_3_1_3__6_NitrogenRetainedByBody_Variable()</f>
        <v>NR_j</v>
      </c>
    </row>
    <row r="76" spans="3:21" ht="20.100000000000001" customHeight="1" x14ac:dyDescent="0.25">
      <c r="D76" s="56" t="s">
        <v>21</v>
      </c>
      <c r="E76" s="57" t="str" cm="1">
        <f t="array" ref="E76">MMS_Dairy_N2ODirect_Equations.VEERG_4_3_1_3__6_NitrogenRetainedByBody_Unit()</f>
        <v>kg N/head/day</v>
      </c>
    </row>
    <row r="77" spans="3:21" ht="20.100000000000001" customHeight="1" x14ac:dyDescent="0.25"/>
    <row r="78" spans="3:21" ht="20.100000000000001" customHeight="1" x14ac:dyDescent="0.25">
      <c r="D78" s="115" t="str" cm="1">
        <f t="array" ref="D78:E81">MMS_Dairy_N2ODirect_Equations.VEERG_4_3_1_3__6_NitrogenRetainedByBody_Arguments()</f>
        <v>MP_j</v>
      </c>
      <c r="E78" s="117" t="str">
        <v>milk production (L/head/day)</v>
      </c>
      <c r="F78" s="116"/>
      <c r="G78" s="115" t="str">
        <f>"See " &amp; D83</f>
        <v>See Table_MP_j</v>
      </c>
    </row>
    <row r="79" spans="3:21" ht="20.100000000000001" customHeight="1" x14ac:dyDescent="0.25">
      <c r="D79" s="115" t="str">
        <v>L_j</v>
      </c>
      <c r="E79" s="117" t="str">
        <v>intake relative to maintenance</v>
      </c>
      <c r="F79" s="116"/>
      <c r="G79" s="115" t="str">
        <f>"See " &amp; D62</f>
        <v>See M1_Table_L_j</v>
      </c>
    </row>
    <row r="80" spans="3:21" ht="20.100000000000001" customHeight="1" x14ac:dyDescent="0.25">
      <c r="D80" s="115" t="str">
        <v>Z_j</v>
      </c>
      <c r="E80" s="117" t="str">
        <v>relative size</v>
      </c>
      <c r="F80" s="116"/>
      <c r="G80" s="115" t="str">
        <f>"See " &amp; D26</f>
        <v>See M1_Table_Z_j</v>
      </c>
    </row>
    <row r="81" spans="4:19" ht="20.100000000000001" customHeight="1" x14ac:dyDescent="0.25">
      <c r="D81" s="115" t="str">
        <v>LWG_j</v>
      </c>
      <c r="E81" s="117" t="str">
        <v>liveweight gain (kg/day)</v>
      </c>
      <c r="F81" s="116"/>
      <c r="G81" s="115" t="str">
        <f>"See " &amp; D88</f>
        <v>See M1_Table_LWG_j</v>
      </c>
    </row>
    <row r="82" spans="4:19" ht="20.100000000000001" customHeight="1" x14ac:dyDescent="0.25"/>
    <row r="83" spans="4:19" ht="20.100000000000001" customHeight="1" x14ac:dyDescent="0.25">
      <c r="D83" s="104" t="s">
        <v>250</v>
      </c>
    </row>
    <row r="84" spans="4:19" ht="20.100000000000001" customHeight="1" x14ac:dyDescent="0.25">
      <c r="D84" s="103" t="s">
        <v>202</v>
      </c>
    </row>
    <row r="85" spans="4:19" ht="20.100000000000001" customHeight="1" x14ac:dyDescent="0.25">
      <c r="D85" s="54" t="s">
        <v>178</v>
      </c>
      <c r="E85" s="54" t="s">
        <v>195</v>
      </c>
      <c r="F85" s="54" t="s">
        <v>196</v>
      </c>
      <c r="G85" s="54" t="s">
        <v>197</v>
      </c>
      <c r="H85" s="54" t="s">
        <v>198</v>
      </c>
    </row>
    <row r="86" spans="4:19" ht="20.100000000000001" customHeight="1" x14ac:dyDescent="0.25">
      <c r="D86" s="55">
        <f>'Input - Dairy'!$E$46</f>
        <v>44</v>
      </c>
      <c r="E86" s="55">
        <v>0</v>
      </c>
      <c r="F86" s="55">
        <v>0</v>
      </c>
      <c r="G86" s="55">
        <v>0</v>
      </c>
      <c r="H86" s="55">
        <v>0</v>
      </c>
      <c r="I86" s="2" t="s">
        <v>247</v>
      </c>
    </row>
    <row r="87" spans="4:19" ht="20.100000000000001" customHeight="1" x14ac:dyDescent="0.25"/>
    <row r="88" spans="4:19" ht="20.100000000000001" customHeight="1" x14ac:dyDescent="0.25">
      <c r="D88" s="104" t="s">
        <v>234</v>
      </c>
      <c r="N88" s="104" t="s">
        <v>236</v>
      </c>
    </row>
    <row r="89" spans="4:19" ht="20.100000000000001" customHeight="1" x14ac:dyDescent="0.25">
      <c r="D89" s="103" t="s">
        <v>235</v>
      </c>
      <c r="N89" s="103" t="s">
        <v>237</v>
      </c>
    </row>
    <row r="90" spans="4:19" ht="20.100000000000001" customHeight="1" x14ac:dyDescent="0.25">
      <c r="D90" s="54" t="s">
        <v>178</v>
      </c>
      <c r="E90" s="54" t="s">
        <v>195</v>
      </c>
      <c r="F90" s="54" t="s">
        <v>196</v>
      </c>
      <c r="G90" s="54" t="s">
        <v>197</v>
      </c>
      <c r="H90" s="54" t="s">
        <v>198</v>
      </c>
      <c r="N90" s="54" t="s">
        <v>178</v>
      </c>
      <c r="O90" s="54" t="s">
        <v>195</v>
      </c>
      <c r="P90" s="54" t="s">
        <v>196</v>
      </c>
      <c r="Q90" s="54" t="s">
        <v>197</v>
      </c>
      <c r="R90" s="54" t="s">
        <v>198</v>
      </c>
    </row>
    <row r="91" spans="4:19" ht="20.100000000000001" customHeight="1" x14ac:dyDescent="0.25">
      <c r="D91" s="55">
        <f>'Input - Dairy'!$E$15</f>
        <v>1.6E-2</v>
      </c>
      <c r="E91" s="55">
        <f>'Input - Dairy'!$F$15</f>
        <v>0.6</v>
      </c>
      <c r="F91" s="55">
        <f>'Input - Dairy'!$G$15</f>
        <v>0.56999999999999995</v>
      </c>
      <c r="G91" s="55">
        <f>'Input - Dairy'!$H$15</f>
        <v>0.1</v>
      </c>
      <c r="H91" s="55">
        <f>'Input - Dairy'!$I$15</f>
        <v>0.8</v>
      </c>
      <c r="I91" s="2" t="s">
        <v>201</v>
      </c>
      <c r="N91" s="55">
        <f>'Input - Dairy'!$E$19</f>
        <v>1.6E-2</v>
      </c>
      <c r="O91" s="55">
        <f>'Input - Dairy'!$F$19</f>
        <v>0.6</v>
      </c>
      <c r="P91" s="55">
        <f>'Input - Dairy'!$G$19</f>
        <v>0.56999999999999995</v>
      </c>
      <c r="Q91" s="55">
        <f>'Input - Dairy'!$H$19</f>
        <v>0.1</v>
      </c>
      <c r="R91" s="55">
        <f>'Input - Dairy'!$I$19</f>
        <v>0.8</v>
      </c>
      <c r="S91" s="2" t="s">
        <v>201</v>
      </c>
    </row>
    <row r="92" spans="4:19" ht="20.100000000000001" customHeight="1" x14ac:dyDescent="0.25"/>
    <row r="93" spans="4:19" ht="20.100000000000001" customHeight="1" x14ac:dyDescent="0.25">
      <c r="D93" s="104" t="s">
        <v>119</v>
      </c>
      <c r="N93" s="104" t="s">
        <v>120</v>
      </c>
    </row>
    <row r="94" spans="4:19" ht="20.100000000000001" customHeight="1" x14ac:dyDescent="0.25">
      <c r="D94" s="103" t="s">
        <v>308</v>
      </c>
      <c r="N94" s="103" t="s">
        <v>309</v>
      </c>
    </row>
    <row r="95" spans="4:19" ht="20.100000000000001" customHeight="1" x14ac:dyDescent="0.25">
      <c r="D95" s="54" t="s">
        <v>178</v>
      </c>
      <c r="E95" s="54" t="s">
        <v>195</v>
      </c>
      <c r="F95" s="54" t="s">
        <v>196</v>
      </c>
      <c r="G95" s="54" t="s">
        <v>197</v>
      </c>
      <c r="H95" s="54" t="s">
        <v>198</v>
      </c>
      <c r="N95" s="54" t="s">
        <v>178</v>
      </c>
      <c r="O95" s="54" t="s">
        <v>195</v>
      </c>
      <c r="P95" s="54" t="s">
        <v>196</v>
      </c>
      <c r="Q95" s="54" t="s">
        <v>197</v>
      </c>
      <c r="R95" s="54" t="s">
        <v>198</v>
      </c>
    </row>
    <row r="96" spans="4:19" ht="20.100000000000001" customHeight="1" x14ac:dyDescent="0.25">
      <c r="D96" s="55" cm="1">
        <f t="array" ref="D96">MMS_Dairy_N2ODirect_Equations.VEERG_4_3_1_3__6_NitrogenRetainedByBody(D86,D65,D29,D91)</f>
        <v>3.6552968231573939E-2</v>
      </c>
      <c r="E96" s="55" cm="1">
        <f t="array" ref="E96">MMS_Dairy_N2ODirect_Equations.VEERG_4_3_1_3__6_NitrogenRetainedByBody(E86,E65,E29,E91)</f>
        <v>8.7932411900846184E-3</v>
      </c>
      <c r="F96" s="55" cm="1">
        <f t="array" ref="F96">MMS_Dairy_N2ODirect_Equations.VEERG_4_3_1_3__6_NitrogenRetainedByBody(F86,F65,F29,F91)</f>
        <v>1.4575548166167214E-2</v>
      </c>
      <c r="G96" s="55" cm="1">
        <f t="array" ref="G96">MMS_Dairy_N2ODirect_Equations.VEERG_4_3_1_3__6_NitrogenRetainedByBody(G86,G65,G29,G91)</f>
        <v>1.2626203146474683E-3</v>
      </c>
      <c r="H96" s="55" cm="1">
        <f t="array" ref="H96">MMS_Dairy_N2ODirect_Equations.VEERG_4_3_1_3__6_NitrogenRetainedByBody(H86,H65,H29,H91)</f>
        <v>1.9757354894894087E-2</v>
      </c>
      <c r="I96" s="2" t="str">
        <f>$E$76</f>
        <v>kg N/head/day</v>
      </c>
      <c r="N96" s="55" cm="1">
        <f t="array" ref="N96">MMS_Dairy_N2ODirect_Equations.VEERG_4_3_1_3__6_NitrogenRetainedByBody(D86,N65,N29,N91)</f>
        <v>3.6552968231573939E-2</v>
      </c>
      <c r="O96" s="55" cm="1">
        <f t="array" ref="O96">MMS_Dairy_N2ODirect_Equations.VEERG_4_3_1_3__6_NitrogenRetainedByBody(E86,O65,O29,O91)</f>
        <v>8.7932411900846184E-3</v>
      </c>
      <c r="P96" s="55" cm="1">
        <f t="array" ref="P96">MMS_Dairy_N2ODirect_Equations.VEERG_4_3_1_3__6_NitrogenRetainedByBody(F86,P65,P29,P91)</f>
        <v>1.4575548166167214E-2</v>
      </c>
      <c r="Q96" s="55" cm="1">
        <f t="array" ref="Q96">MMS_Dairy_N2ODirect_Equations.VEERG_4_3_1_3__6_NitrogenRetainedByBody(G86,Q65,Q29,Q91)</f>
        <v>1.2626203146474683E-3</v>
      </c>
      <c r="R96" s="55" cm="1">
        <f t="array" ref="R96">MMS_Dairy_N2ODirect_Equations.VEERG_4_3_1_3__6_NitrogenRetainedByBody(H86,R65,R29,R91)</f>
        <v>1.9757354894894087E-2</v>
      </c>
      <c r="S96" s="2" t="str">
        <f>$E$76</f>
        <v>kg N/head/day</v>
      </c>
    </row>
    <row r="97" spans="3:21" ht="20.100000000000001" customHeight="1" x14ac:dyDescent="0.25"/>
    <row r="98" spans="3:21" ht="20.100000000000001" customHeight="1" x14ac:dyDescent="0.25"/>
    <row r="99" spans="3:21" ht="20.100000000000001" customHeight="1" x14ac:dyDescent="0.25">
      <c r="C99" s="48"/>
      <c r="D99" s="48"/>
      <c r="E99" s="48"/>
      <c r="F99" s="48"/>
      <c r="G99" s="48"/>
      <c r="H99" s="48"/>
      <c r="I99" s="48"/>
      <c r="J99" s="48"/>
      <c r="K99" s="48"/>
      <c r="M99" s="48"/>
      <c r="N99" s="48"/>
      <c r="O99" s="48"/>
      <c r="P99" s="48"/>
      <c r="Q99" s="48"/>
      <c r="R99" s="48"/>
      <c r="S99" s="48"/>
      <c r="T99" s="48"/>
      <c r="U99" s="48"/>
    </row>
    <row r="100" spans="3:21" ht="20.100000000000001" customHeight="1" x14ac:dyDescent="0.25">
      <c r="D100" s="6" t="str" cm="1">
        <f t="array" ref="D100">MMS_Dairy_N2ODirect_Equations.VEERG_4_3_1_3__5_CrudeProteinIntakeOfDairyCattle_Title()</f>
        <v>Crude protein intake of dairy cattle</v>
      </c>
    </row>
    <row r="101" spans="3:21" ht="20.100000000000001" customHeight="1" x14ac:dyDescent="0.25">
      <c r="D101" s="5" t="str" cm="1">
        <f t="array" ref="D101">MMS_Dairy_N2ODirect_Equations.VEERG_4_3_1_3__5_CrudeProteinIntakeOfDairyCattle_Source()</f>
        <v>VEERG 2026: 4.3.1.3, Equation (5)</v>
      </c>
    </row>
    <row r="102" spans="3:21" ht="20.100000000000001" customHeight="1" x14ac:dyDescent="0.25">
      <c r="D102" s="13" t="s">
        <v>28</v>
      </c>
      <c r="E102" s="13" t="str" cm="1">
        <f t="array" aca="1" ref="E102" ca="1">Common_InputFunctions.Utility_DisplayFunctionName(D119)</f>
        <v>=MMS_Dairy_N2ODirect_Equations.VEERG_4_3_1_3__5_CrudeProteinIntakeOfDairyCattle</v>
      </c>
    </row>
    <row r="103" spans="3:21" ht="20.100000000000001" customHeight="1" x14ac:dyDescent="0.25"/>
    <row r="104" spans="3:21" ht="20.100000000000001" customHeight="1" x14ac:dyDescent="0.25">
      <c r="D104" s="6"/>
    </row>
    <row r="105" spans="3:21" ht="20.100000000000001" customHeight="1" x14ac:dyDescent="0.25">
      <c r="D105" s="56" t="s">
        <v>31</v>
      </c>
      <c r="E105" s="1" t="str" cm="1">
        <f t="array" ref="E105">MMS_Dairy_N2ODirect_Equations.VEERG_4_3_1_3__5_CrudeProteinIntakeOfDairyCattle_Variable()</f>
        <v>CPI_j</v>
      </c>
    </row>
    <row r="106" spans="3:21" ht="20.100000000000001" customHeight="1" x14ac:dyDescent="0.25">
      <c r="D106" s="56" t="s">
        <v>21</v>
      </c>
      <c r="E106" s="57" t="str" cm="1">
        <f t="array" ref="E106">MMS_Dairy_N2ODirect_Equations.VEERG_4_3_1_3__5_CrudeProteinIntakeOfDairyCattle_Unit()</f>
        <v>kg/head/day</v>
      </c>
    </row>
    <row r="107" spans="3:21" ht="20.100000000000001" customHeight="1" x14ac:dyDescent="0.25"/>
    <row r="108" spans="3:21" ht="20.100000000000001" customHeight="1" x14ac:dyDescent="0.25">
      <c r="D108" s="60" t="str" cm="1">
        <f t="array" ref="D108:E109">MMS_Dairy_N2ODirect_Equations.VEERG_4_3_1_3__5_CrudeProteinIntakeOfDairyCattle_Arguments()</f>
        <v>I_j</v>
      </c>
      <c r="E108" s="61" t="str">
        <v>dry matter intake (kgDM/head/day)</v>
      </c>
      <c r="F108" s="62"/>
      <c r="G108" s="60" t="str">
        <f>"See " &amp; D47</f>
        <v>See M1_Table_I_j</v>
      </c>
    </row>
    <row r="109" spans="3:21" ht="20.100000000000001" customHeight="1" x14ac:dyDescent="0.25">
      <c r="D109" s="60" t="str">
        <v>CP_j</v>
      </c>
      <c r="E109" s="61" t="str">
        <v>crude protein content of feed intake (fraction)</v>
      </c>
      <c r="F109" s="62"/>
      <c r="G109" s="60" t="str">
        <f>"See " &amp; D111</f>
        <v>See M1_Table_CP_j</v>
      </c>
    </row>
    <row r="110" spans="3:21" ht="20.100000000000001" customHeight="1" x14ac:dyDescent="0.25"/>
    <row r="111" spans="3:21" ht="20.100000000000001" customHeight="1" x14ac:dyDescent="0.25">
      <c r="D111" s="104" t="s">
        <v>117</v>
      </c>
      <c r="N111" s="104" t="s">
        <v>117</v>
      </c>
    </row>
    <row r="112" spans="3:21" ht="20.100000000000001" customHeight="1" x14ac:dyDescent="0.25">
      <c r="D112" s="103" t="s">
        <v>310</v>
      </c>
      <c r="N112" s="103" t="s">
        <v>310</v>
      </c>
    </row>
    <row r="113" spans="3:21" ht="20.100000000000001" customHeight="1" x14ac:dyDescent="0.25">
      <c r="D113" s="54" t="s">
        <v>178</v>
      </c>
      <c r="E113" s="54" t="s">
        <v>195</v>
      </c>
      <c r="F113" s="54" t="s">
        <v>196</v>
      </c>
      <c r="G113" s="54" t="s">
        <v>197</v>
      </c>
      <c r="H113" s="54" t="s">
        <v>198</v>
      </c>
      <c r="N113" s="54" t="s">
        <v>178</v>
      </c>
      <c r="O113" s="54" t="s">
        <v>195</v>
      </c>
      <c r="P113" s="54" t="s">
        <v>196</v>
      </c>
      <c r="Q113" s="54" t="s">
        <v>197</v>
      </c>
      <c r="R113" s="54" t="s">
        <v>198</v>
      </c>
    </row>
    <row r="114" spans="3:21" ht="20.100000000000001" customHeight="1" x14ac:dyDescent="0.25">
      <c r="D114" s="55">
        <f>'Input - Dairy'!E37</f>
        <v>0.2</v>
      </c>
      <c r="E114" s="55">
        <f>'Input - Dairy'!F37</f>
        <v>0.2</v>
      </c>
      <c r="F114" s="55">
        <f>'Input - Dairy'!G37</f>
        <v>0.2</v>
      </c>
      <c r="G114" s="55">
        <f>'Input - Dairy'!H37</f>
        <v>0.2</v>
      </c>
      <c r="H114" s="55">
        <f>'Input - Dairy'!I37</f>
        <v>0.2</v>
      </c>
      <c r="I114" s="2" t="s">
        <v>101</v>
      </c>
      <c r="N114" s="55">
        <f>'Input - Dairy'!E42</f>
        <v>0.2</v>
      </c>
      <c r="O114" s="55">
        <f>'Input - Dairy'!F42</f>
        <v>0.2</v>
      </c>
      <c r="P114" s="55">
        <f>'Input - Dairy'!G42</f>
        <v>0.2</v>
      </c>
      <c r="Q114" s="55">
        <f>'Input - Dairy'!H42</f>
        <v>0.2</v>
      </c>
      <c r="R114" s="55">
        <f>'Input - Dairy'!I42</f>
        <v>0.2</v>
      </c>
      <c r="S114" s="2" t="s">
        <v>101</v>
      </c>
    </row>
    <row r="115" spans="3:21" ht="20.100000000000001" customHeight="1" x14ac:dyDescent="0.25"/>
    <row r="116" spans="3:21" ht="20.100000000000001" customHeight="1" x14ac:dyDescent="0.25">
      <c r="D116" s="104" t="s">
        <v>311</v>
      </c>
      <c r="N116" s="104" t="s">
        <v>311</v>
      </c>
    </row>
    <row r="117" spans="3:21" ht="20.100000000000001" customHeight="1" x14ac:dyDescent="0.25">
      <c r="D117" s="103" t="s">
        <v>312</v>
      </c>
      <c r="N117" s="103" t="s">
        <v>312</v>
      </c>
    </row>
    <row r="118" spans="3:21" ht="20.100000000000001" customHeight="1" x14ac:dyDescent="0.25">
      <c r="D118" s="54" t="s">
        <v>178</v>
      </c>
      <c r="E118" s="54" t="s">
        <v>195</v>
      </c>
      <c r="F118" s="54" t="s">
        <v>196</v>
      </c>
      <c r="G118" s="54" t="s">
        <v>197</v>
      </c>
      <c r="H118" s="54" t="s">
        <v>198</v>
      </c>
      <c r="N118" s="54" t="s">
        <v>178</v>
      </c>
      <c r="O118" s="54" t="s">
        <v>195</v>
      </c>
      <c r="P118" s="54" t="s">
        <v>196</v>
      </c>
      <c r="Q118" s="54" t="s">
        <v>197</v>
      </c>
      <c r="R118" s="54" t="s">
        <v>198</v>
      </c>
    </row>
    <row r="119" spans="3:21" ht="20.100000000000001" customHeight="1" x14ac:dyDescent="0.25">
      <c r="D119" s="55" cm="1">
        <f t="array" ref="D119">MMS_Dairy_N2ODirect_Equations.VEERG_4_3_1_3__5_CrudeProteinIntakeOfDairyCattle(D50,D114)</f>
        <v>1.8929425571617076</v>
      </c>
      <c r="E119" s="55" cm="1">
        <f t="array" ref="E119">MMS_Dairy_N2ODirect_Equations.VEERG_4_3_1_3__5_CrudeProteinIntakeOfDairyCattle(E50,E114)</f>
        <v>1.4837737075199995</v>
      </c>
      <c r="F119" s="55" cm="1">
        <f t="array" ref="F119">MMS_Dairy_N2ODirect_Equations.VEERG_4_3_1_3__5_CrudeProteinIntakeOfDairyCattle(F50,F114)</f>
        <v>0.80463469324500003</v>
      </c>
      <c r="G119" s="55" cm="1">
        <f t="array" ref="G119">MMS_Dairy_N2ODirect_Equations.VEERG_4_3_1_3__5_CrudeProteinIntakeOfDairyCattle(G50,G114)</f>
        <v>1.8054040499999997</v>
      </c>
      <c r="H119" s="55" cm="1">
        <f t="array" ref="H119">MMS_Dairy_N2ODirect_Equations.VEERG_4_3_1_3__5_CrudeProteinIntakeOfDairyCattle(H50,H114)</f>
        <v>1.0828694531250003</v>
      </c>
      <c r="I119" s="2" t="str">
        <f>$E$106</f>
        <v>kg/head/day</v>
      </c>
      <c r="N119" s="55" cm="1">
        <f t="array" ref="N119">MMS_Dairy_N2ODirect_Equations.VEERG_4_3_1_3__5_CrudeProteinIntakeOfDairyCattle(N50,N114)</f>
        <v>1.8929425571617076</v>
      </c>
      <c r="O119" s="55" cm="1">
        <f t="array" ref="O119">MMS_Dairy_N2ODirect_Equations.VEERG_4_3_1_3__5_CrudeProteinIntakeOfDairyCattle(O50,O114)</f>
        <v>1.4837737075199995</v>
      </c>
      <c r="P119" s="55" cm="1">
        <f t="array" ref="P119">MMS_Dairy_N2ODirect_Equations.VEERG_4_3_1_3__5_CrudeProteinIntakeOfDairyCattle(P50,P114)</f>
        <v>0.80463469324500003</v>
      </c>
      <c r="Q119" s="55" cm="1">
        <f t="array" ref="Q119">MMS_Dairy_N2ODirect_Equations.VEERG_4_3_1_3__5_CrudeProteinIntakeOfDairyCattle(Q50,Q114)</f>
        <v>1.8054040499999997</v>
      </c>
      <c r="R119" s="55" cm="1">
        <f t="array" ref="R119">MMS_Dairy_N2ODirect_Equations.VEERG_4_3_1_3__5_CrudeProteinIntakeOfDairyCattle(R50,R114)</f>
        <v>1.0828694531250003</v>
      </c>
      <c r="S119" s="2" t="str">
        <f>$E$106</f>
        <v>kg/head/day</v>
      </c>
    </row>
    <row r="120" spans="3:21" ht="20.100000000000001" customHeight="1" x14ac:dyDescent="0.25"/>
    <row r="121" spans="3:21" ht="20.100000000000001" customHeight="1" x14ac:dyDescent="0.25"/>
    <row r="122" spans="3:21" ht="20.100000000000001" customHeight="1" x14ac:dyDescent="0.25">
      <c r="C122" s="48"/>
      <c r="D122" s="48"/>
      <c r="E122" s="48"/>
      <c r="F122" s="48"/>
      <c r="G122" s="48"/>
      <c r="H122" s="48"/>
      <c r="I122" s="48"/>
      <c r="J122" s="48"/>
      <c r="K122" s="48"/>
      <c r="M122" s="48"/>
      <c r="N122" s="48"/>
      <c r="O122" s="48"/>
      <c r="P122" s="48"/>
      <c r="Q122" s="48"/>
      <c r="R122" s="48"/>
      <c r="S122" s="48"/>
      <c r="T122" s="48"/>
      <c r="U122" s="48"/>
    </row>
    <row r="123" spans="3:21" ht="20.100000000000001" customHeight="1" x14ac:dyDescent="0.25">
      <c r="D123" s="6" t="str" cm="1">
        <f t="array" ref="D123">MMS_Dairy_N2ODirect_Equations.VEERG_4_3_1_3__4_NitrogenExcretedByDairyCattleGreaterThanOneYear_Title()</f>
        <v>Nitrogen excreted by dairy cattle greater than one year old</v>
      </c>
    </row>
    <row r="124" spans="3:21" ht="20.100000000000001" customHeight="1" x14ac:dyDescent="0.25">
      <c r="D124" s="5" t="str" cm="1">
        <f t="array" ref="D124">MMS_Dairy_N2ODirect_Equations.VEERG_4_3_1_3__4_NitrogenExcretedByDairyCattleGreaterThanOneYear_Source()</f>
        <v>VEERG 2026: 4.3.1.3, Equation (4)</v>
      </c>
    </row>
    <row r="125" spans="3:21" ht="20.100000000000001" customHeight="1" x14ac:dyDescent="0.25">
      <c r="D125" s="13" t="s">
        <v>28</v>
      </c>
      <c r="E125" s="13" t="str" cm="1">
        <f t="array" aca="1" ref="E125" ca="1">Common_InputFunctions.Utility_DisplayFunctionName(D139)</f>
        <v>=MMS_Dairy_N2ODirect_Equations.VEERG_4_3_1_3__4_NitrogenExcretedByDairyCattleGreaterThanOneYear</v>
      </c>
    </row>
    <row r="126" spans="3:21" ht="20.100000000000001" customHeight="1" x14ac:dyDescent="0.25"/>
    <row r="127" spans="3:21" ht="20.100000000000001" customHeight="1" x14ac:dyDescent="0.25">
      <c r="D127" s="6"/>
    </row>
    <row r="128" spans="3:21" ht="20.100000000000001" customHeight="1" x14ac:dyDescent="0.25"/>
    <row r="129" spans="3:21" ht="20.100000000000001" customHeight="1" x14ac:dyDescent="0.25">
      <c r="D129" s="56" t="s">
        <v>31</v>
      </c>
      <c r="E129" s="1" t="str" cm="1">
        <f t="array" ref="E129">MMS_Dairy_N2ODirect_Equations.VEERG_4_3_1_3__4_NitrogenExcretedByDairyCattleGreaterThanOneYear_Variable()</f>
        <v>NE_j</v>
      </c>
    </row>
    <row r="130" spans="3:21" ht="20.100000000000001" customHeight="1" x14ac:dyDescent="0.25">
      <c r="D130" s="56" t="s">
        <v>21</v>
      </c>
      <c r="E130" s="57" t="str" cm="1">
        <f t="array" ref="E130">MMS_Dairy_N2ODirect_Equations.VEERG_4_3_1_3__4_NitrogenExcretedByDairyCattleGreaterThanOneYear_Unit()</f>
        <v>kg N/head/day</v>
      </c>
    </row>
    <row r="131" spans="3:21" ht="20.100000000000001" customHeight="1" x14ac:dyDescent="0.25"/>
    <row r="132" spans="3:21" ht="20.100000000000001" customHeight="1" x14ac:dyDescent="0.25">
      <c r="D132" s="60" t="str" cm="1">
        <f t="array" ref="D132:E134">MMS_Dairy_N2ODirect_Equations.VEERG_4_3_1_3__4_NitrogenExcretedByDairyCattleGreaterThanOneYear_Arguments()</f>
        <v>CPI_j</v>
      </c>
      <c r="E132" s="61" t="str">
        <v>crude protein intake (kg/head/day)</v>
      </c>
      <c r="F132" s="62"/>
      <c r="G132" s="60" t="str">
        <f>"See " &amp;D116</f>
        <v>See M1_Table_CPI_j</v>
      </c>
    </row>
    <row r="133" spans="3:21" ht="20.100000000000001" customHeight="1" x14ac:dyDescent="0.25">
      <c r="D133" s="60" t="str">
        <v>NR_j</v>
      </c>
      <c r="E133" s="61" t="str">
        <v>amount of nitrogen retained by the body (kg N/head/day)</v>
      </c>
      <c r="F133" s="62"/>
      <c r="G133" s="60" t="str">
        <f>"See " &amp; D93</f>
        <v>See M1_Table_NR_j</v>
      </c>
    </row>
    <row r="134" spans="3:21" ht="20.100000000000001" customHeight="1" x14ac:dyDescent="0.25">
      <c r="D134" s="60" t="str">
        <v>W_j</v>
      </c>
      <c r="E134" s="61" t="str">
        <v>liveweight (kg)</v>
      </c>
      <c r="F134" s="62"/>
      <c r="G134" s="60" t="str">
        <f>"See " &amp; D16</f>
        <v>See M1_Table_W_j</v>
      </c>
    </row>
    <row r="135" spans="3:21" ht="20.100000000000001" customHeight="1" x14ac:dyDescent="0.25"/>
    <row r="136" spans="3:21" ht="20.100000000000001" customHeight="1" x14ac:dyDescent="0.25">
      <c r="D136" s="104" t="s">
        <v>121</v>
      </c>
      <c r="N136" s="104" t="s">
        <v>122</v>
      </c>
    </row>
    <row r="137" spans="3:21" ht="20.100000000000001" customHeight="1" x14ac:dyDescent="0.25">
      <c r="D137" s="103" t="s">
        <v>313</v>
      </c>
      <c r="N137" s="103" t="s">
        <v>314</v>
      </c>
    </row>
    <row r="138" spans="3:21" ht="20.100000000000001" customHeight="1" x14ac:dyDescent="0.25">
      <c r="D138" s="54" t="s">
        <v>178</v>
      </c>
      <c r="E138" s="54" t="s">
        <v>195</v>
      </c>
      <c r="F138" s="54" t="s">
        <v>196</v>
      </c>
      <c r="G138" s="54" t="s">
        <v>197</v>
      </c>
      <c r="H138" s="54" t="s">
        <v>198</v>
      </c>
      <c r="N138" s="54" t="s">
        <v>178</v>
      </c>
      <c r="O138" s="54" t="s">
        <v>195</v>
      </c>
      <c r="P138" s="54" t="s">
        <v>196</v>
      </c>
      <c r="Q138" s="54" t="s">
        <v>197</v>
      </c>
      <c r="R138" s="54" t="s">
        <v>198</v>
      </c>
    </row>
    <row r="139" spans="3:21" ht="20.100000000000001" customHeight="1" x14ac:dyDescent="0.25">
      <c r="D139" s="55" cm="1">
        <f t="array" ref="D139">MMS_Dairy_N2ODirect_Equations.VEERG_4_3_1_3__4_NitrogenExcretedByDairyCattleGreaterThanOneYear(D119,D96,D19)</f>
        <v>0.26431897029296131</v>
      </c>
      <c r="E139" s="55" cm="1">
        <f t="array" ref="E139">MMS_Dairy_N2ODirect_Equations.VEERG_4_3_1_3__4_NitrogenExcretedByDairyCattleGreaterThanOneYear(E119,E96,E19)</f>
        <v>0.22709576921272823</v>
      </c>
      <c r="F139" s="55" cm="1">
        <f t="array" ref="F139">MMS_Dairy_N2ODirect_Equations.VEERG_4_3_1_3__4_NitrogenExcretedByDairyCattleGreaterThanOneYear(F119,F96,F19)</f>
        <v>0.1133928568810149</v>
      </c>
      <c r="G139" s="55" cm="1">
        <f t="array" ref="G139">MMS_Dairy_N2ODirect_Equations.VEERG_4_3_1_3__4_NitrogenExcretedByDairyCattleGreaterThanOneYear(G119,G96,G19)</f>
        <v>0.28546836331241399</v>
      </c>
      <c r="H139" s="55" cm="1">
        <f t="array" ref="H139">MMS_Dairy_N2ODirect_Equations.VEERG_4_3_1_3__4_NitrogenExcretedByDairyCattleGreaterThanOneYear(H119,H96,H19)</f>
        <v>0.15247929000170721</v>
      </c>
      <c r="I139" s="2" t="str">
        <f>$E$130</f>
        <v>kg N/head/day</v>
      </c>
      <c r="N139" s="55" cm="1">
        <f t="array" ref="N139">MMS_Dairy_N2ODirect_Equations.VEERG_4_3_1_3__4_NitrogenExcretedByDairyCattleGreaterThanOneYear(N119,N96,N19)</f>
        <v>0.26431897029296131</v>
      </c>
      <c r="O139" s="55" cm="1">
        <f t="array" ref="O139">MMS_Dairy_N2ODirect_Equations.VEERG_4_3_1_3__4_NitrogenExcretedByDairyCattleGreaterThanOneYear(O119,O96,O19)</f>
        <v>0.22709576921272823</v>
      </c>
      <c r="P139" s="55" cm="1">
        <f t="array" ref="P139">MMS_Dairy_N2ODirect_Equations.VEERG_4_3_1_3__4_NitrogenExcretedByDairyCattleGreaterThanOneYear(P119,P96,P19)</f>
        <v>0.1133928568810149</v>
      </c>
      <c r="Q139" s="55" cm="1">
        <f t="array" ref="Q139">MMS_Dairy_N2ODirect_Equations.VEERG_4_3_1_3__4_NitrogenExcretedByDairyCattleGreaterThanOneYear(Q119,Q96,Q19)</f>
        <v>0.28546836331241399</v>
      </c>
      <c r="R139" s="55" cm="1">
        <f t="array" ref="R139">MMS_Dairy_N2ODirect_Equations.VEERG_4_3_1_3__4_NitrogenExcretedByDairyCattleGreaterThanOneYear(R119,R96,R19)</f>
        <v>0.15247929000170721</v>
      </c>
      <c r="S139" s="2" t="str">
        <f>$E$130</f>
        <v>kg N/head/day</v>
      </c>
    </row>
    <row r="140" spans="3:21" ht="20.100000000000001" customHeight="1" x14ac:dyDescent="0.25"/>
    <row r="141" spans="3:21" ht="20.100000000000001" customHeight="1" x14ac:dyDescent="0.25"/>
    <row r="142" spans="3:21" ht="20.100000000000001" customHeight="1" x14ac:dyDescent="0.25">
      <c r="C142" s="48"/>
      <c r="D142" s="48"/>
      <c r="E142" s="48"/>
      <c r="F142" s="48"/>
      <c r="G142" s="48"/>
      <c r="H142" s="48"/>
      <c r="I142" s="48"/>
      <c r="J142" s="48"/>
      <c r="K142" s="48"/>
      <c r="M142" s="48"/>
      <c r="N142" s="48"/>
      <c r="O142" s="48"/>
      <c r="P142" s="48"/>
      <c r="Q142" s="48"/>
      <c r="R142" s="48"/>
      <c r="S142" s="48"/>
      <c r="T142" s="48"/>
      <c r="U142" s="48"/>
    </row>
    <row r="143" spans="3:21" ht="20.100000000000001" customHeight="1" x14ac:dyDescent="0.25">
      <c r="D143" s="6" t="str" cm="1">
        <f t="array" ref="D143">MMS_Dairy_N2ODirect_Equations.VEERG_4_3_1_3__3a_TotalAnnualNitrogenExcretedGreaterThanOneYear_Title()</f>
        <v>Total annual nitrogen excreted by dairy cattle greater than one year old</v>
      </c>
    </row>
    <row r="144" spans="3:21" ht="20.100000000000001" customHeight="1" x14ac:dyDescent="0.25">
      <c r="D144" s="5" t="str" cm="1">
        <f t="array" ref="D144">MMS_Dairy_N2ODirect_Equations.VEERG_4_3_1_3__3a_TotalAnnualNitrogenExcretedGreaterThanOneYear_Source()</f>
        <v>VEERG 2026: 4.3.1.3, Equation (3a)</v>
      </c>
    </row>
    <row r="145" spans="4:9" ht="20.100000000000001" customHeight="1" x14ac:dyDescent="0.25">
      <c r="D145" s="58" t="str" cm="1">
        <f t="array" ref="D145">MMS_Dairy_N2ODirect_Equations.VEERG_4_3_1_3__3a_TotalAnnualNitrogenExcretedGreaterThanOneYear_Variation()</f>
        <v>VARIATION: Used Duration variables instead of hard-coded 365 value.</v>
      </c>
    </row>
    <row r="146" spans="4:9" ht="20.100000000000001" customHeight="1" x14ac:dyDescent="0.25">
      <c r="D146" s="13" t="s">
        <v>28</v>
      </c>
      <c r="E146" s="13" t="str" cm="1">
        <f t="array" aca="1" ref="E146" ca="1">Common_InputFunctions.Utility_DisplayFunctionName(D169)</f>
        <v>=MMS_Dairy_N2ODirect_Equations.VEERG_4_3_1_3__3a_TotalAnnualNitrogenExcretedGreaterThanOneYearVariation</v>
      </c>
    </row>
    <row r="147" spans="4:9" ht="20.100000000000001" customHeight="1" x14ac:dyDescent="0.25"/>
    <row r="148" spans="4:9" ht="20.100000000000001" customHeight="1" x14ac:dyDescent="0.25">
      <c r="D148" s="6"/>
    </row>
    <row r="149" spans="4:9" ht="20.100000000000001" customHeight="1" x14ac:dyDescent="0.25">
      <c r="D149" s="56" t="s">
        <v>31</v>
      </c>
      <c r="E149" s="1" t="str" cm="1">
        <f t="array" ref="E149">MMS_Dairy_N2ODirect_Equations.VEERG_4_3_1_3__3a_TotalAnnualNitrogenExcretedGreaterThanOneYear_Variable()</f>
        <v>AE_j124</v>
      </c>
    </row>
    <row r="150" spans="4:9" ht="20.100000000000001" customHeight="1" x14ac:dyDescent="0.25">
      <c r="D150" s="56" t="s">
        <v>21</v>
      </c>
      <c r="E150" s="57" t="str" cm="1">
        <f t="array" ref="E150">MMS_Dairy_N2ODirect_Equations.VEERG_4_3_1_3__3a_TotalAnnualNitrogenExcretedGreaterThanOneYear_Unit()</f>
        <v>kg N</v>
      </c>
    </row>
    <row r="151" spans="4:9" ht="20.100000000000001" customHeight="1" x14ac:dyDescent="0.25"/>
    <row r="152" spans="4:9" ht="20.100000000000001" customHeight="1" x14ac:dyDescent="0.25">
      <c r="D152" s="115" t="str" cm="1">
        <f t="array" ref="D152:E154">MMS_Dairy_N2ODirect_Equations.VEERG_4_3_1_3__3a_TotalAnnualNitrogenExcretedGreaterThanOneYear_Arguments()</f>
        <v>N_j124</v>
      </c>
      <c r="E152" s="117" t="str">
        <v>number of dairy cattle in classes j=1,2,4</v>
      </c>
      <c r="F152" s="116"/>
      <c r="G152" s="115" t="str">
        <f>"See " &amp; D156</f>
        <v>See Table_N_j</v>
      </c>
    </row>
    <row r="153" spans="4:9" ht="20.100000000000001" customHeight="1" x14ac:dyDescent="0.25">
      <c r="D153" s="115" t="str">
        <v>NE_j124</v>
      </c>
      <c r="E153" s="117" t="str">
        <v>nitrogen excreted by dairy cattle greater than one year old (kg N/head/day)</v>
      </c>
      <c r="F153" s="116"/>
      <c r="G153" s="115" t="str">
        <f>"See " &amp; D136</f>
        <v>See M1_Table_NE_j</v>
      </c>
    </row>
    <row r="154" spans="4:9" ht="20.100000000000001" customHeight="1" x14ac:dyDescent="0.25">
      <c r="D154" s="115" t="str">
        <v>D_j124</v>
      </c>
      <c r="E154" s="117" t="str">
        <v>duration of stay on farm for classes j=1,2,4 (days)</v>
      </c>
      <c r="F154" s="116"/>
      <c r="G154" s="115" t="str">
        <f>"See " &amp; D161</f>
        <v>See M1_Table_D_j-1-2-4</v>
      </c>
    </row>
    <row r="155" spans="4:9" ht="20.100000000000001" customHeight="1" x14ac:dyDescent="0.25"/>
    <row r="156" spans="4:9" ht="20.100000000000001" customHeight="1" x14ac:dyDescent="0.25">
      <c r="D156" s="104" t="s">
        <v>109</v>
      </c>
    </row>
    <row r="157" spans="4:9" ht="20.100000000000001" customHeight="1" x14ac:dyDescent="0.25">
      <c r="D157" s="103" t="s">
        <v>279</v>
      </c>
    </row>
    <row r="158" spans="4:9" ht="20.100000000000001" customHeight="1" x14ac:dyDescent="0.25">
      <c r="D158" s="54" t="s">
        <v>178</v>
      </c>
      <c r="E158" s="54" t="s">
        <v>195</v>
      </c>
      <c r="F158" s="54" t="s">
        <v>196</v>
      </c>
      <c r="G158" s="54" t="s">
        <v>197</v>
      </c>
      <c r="H158" s="54" t="s">
        <v>198</v>
      </c>
    </row>
    <row r="159" spans="4:9" ht="20.100000000000001" customHeight="1" x14ac:dyDescent="0.25">
      <c r="D159" s="107">
        <f>'Input - Dairy'!$E$10</f>
        <v>100</v>
      </c>
      <c r="E159" s="107">
        <f>'Input - Dairy'!$F$10</f>
        <v>100</v>
      </c>
      <c r="F159" s="107">
        <f>'Input - Dairy'!$G$10</f>
        <v>100</v>
      </c>
      <c r="G159" s="107">
        <f>'Input - Dairy'!$H$10</f>
        <v>100</v>
      </c>
      <c r="H159" s="107">
        <f>'Input - Dairy'!$I$10</f>
        <v>100</v>
      </c>
      <c r="I159" s="2" t="s">
        <v>110</v>
      </c>
    </row>
    <row r="160" spans="4:9" ht="20.100000000000001" customHeight="1" x14ac:dyDescent="0.25"/>
    <row r="161" spans="3:21" ht="20.100000000000001" customHeight="1" x14ac:dyDescent="0.25">
      <c r="D161" s="104" t="s">
        <v>286</v>
      </c>
      <c r="N161" s="104" t="s">
        <v>286</v>
      </c>
    </row>
    <row r="162" spans="3:21" ht="20.100000000000001" customHeight="1" x14ac:dyDescent="0.25">
      <c r="D162" s="103" t="s">
        <v>317</v>
      </c>
      <c r="N162" s="103" t="s">
        <v>318</v>
      </c>
    </row>
    <row r="163" spans="3:21" ht="20.100000000000001" customHeight="1" x14ac:dyDescent="0.25">
      <c r="D163" s="54" t="s">
        <v>178</v>
      </c>
      <c r="E163" s="54" t="s">
        <v>195</v>
      </c>
      <c r="F163" s="54" t="s">
        <v>196</v>
      </c>
      <c r="G163" s="54" t="s">
        <v>197</v>
      </c>
      <c r="H163" s="54" t="s">
        <v>198</v>
      </c>
      <c r="N163" s="54" t="s">
        <v>178</v>
      </c>
      <c r="O163" s="54" t="s">
        <v>195</v>
      </c>
      <c r="P163" s="54" t="s">
        <v>196</v>
      </c>
      <c r="Q163" s="54" t="s">
        <v>197</v>
      </c>
      <c r="R163" s="54" t="s">
        <v>198</v>
      </c>
    </row>
    <row r="164" spans="3:21" ht="20.100000000000001" customHeight="1" x14ac:dyDescent="0.25">
      <c r="D164" s="55">
        <f>'Input - Dairy'!$E$24</f>
        <v>365</v>
      </c>
      <c r="E164" s="55">
        <f>'Input - Dairy'!$F$24</f>
        <v>365</v>
      </c>
      <c r="F164" s="55">
        <v>0</v>
      </c>
      <c r="G164" s="55">
        <f>'Input - Dairy'!$H$24</f>
        <v>365</v>
      </c>
      <c r="H164" s="55">
        <v>0</v>
      </c>
      <c r="I164" s="2" t="s">
        <v>56</v>
      </c>
      <c r="N164" s="55">
        <f>'Input - Dairy'!E28</f>
        <v>365</v>
      </c>
      <c r="O164" s="55">
        <f>'Input - Dairy'!F28</f>
        <v>365</v>
      </c>
      <c r="P164" s="55">
        <v>0</v>
      </c>
      <c r="Q164" s="55">
        <f>'Input - Dairy'!H28</f>
        <v>365</v>
      </c>
      <c r="R164" s="55">
        <v>0</v>
      </c>
      <c r="S164" s="2" t="s">
        <v>56</v>
      </c>
    </row>
    <row r="165" spans="3:21" ht="20.100000000000001" customHeight="1" x14ac:dyDescent="0.25"/>
    <row r="166" spans="3:21" ht="20.100000000000001" customHeight="1" x14ac:dyDescent="0.25">
      <c r="D166" s="104" t="s">
        <v>315</v>
      </c>
      <c r="N166" s="104" t="s">
        <v>315</v>
      </c>
    </row>
    <row r="167" spans="3:21" ht="20.100000000000001" customHeight="1" x14ac:dyDescent="0.25">
      <c r="D167" s="103" t="s">
        <v>324</v>
      </c>
      <c r="N167" s="103" t="s">
        <v>316</v>
      </c>
    </row>
    <row r="168" spans="3:21" ht="20.100000000000001" customHeight="1" x14ac:dyDescent="0.25">
      <c r="D168" s="54" t="s">
        <v>178</v>
      </c>
      <c r="E168" s="54" t="s">
        <v>195</v>
      </c>
      <c r="F168" s="54" t="s">
        <v>196</v>
      </c>
      <c r="G168" s="54" t="s">
        <v>197</v>
      </c>
      <c r="H168" s="54" t="s">
        <v>198</v>
      </c>
      <c r="N168" s="54" t="s">
        <v>178</v>
      </c>
      <c r="O168" s="54" t="s">
        <v>195</v>
      </c>
      <c r="P168" s="54" t="s">
        <v>196</v>
      </c>
      <c r="Q168" s="54" t="s">
        <v>197</v>
      </c>
      <c r="R168" s="54" t="s">
        <v>198</v>
      </c>
    </row>
    <row r="169" spans="3:21" ht="20.100000000000001" customHeight="1" x14ac:dyDescent="0.25">
      <c r="D169" s="55" cm="1">
        <f t="array" ref="D169">MMS_Dairy_N2ODirect_Equations.VEERG_4_3_1_3__3a_TotalAnnualNitrogenExcretedGreaterThanOneYearVariation(D159,D139,D164)</f>
        <v>9647.642415693088</v>
      </c>
      <c r="E169" s="55" cm="1">
        <f t="array" ref="E169">MMS_Dairy_N2ODirect_Equations.VEERG_4_3_1_3__3a_TotalAnnualNitrogenExcretedGreaterThanOneYearVariation(E159,E139,E164)</f>
        <v>8288.9955762645804</v>
      </c>
      <c r="F169" s="55" cm="1">
        <f t="array" ref="F169">MMS_Dairy_N2ODirect_Equations.VEERG_4_3_1_3__3a_TotalAnnualNitrogenExcretedGreaterThanOneYearVariation(F159,F139,F164)</f>
        <v>0</v>
      </c>
      <c r="G169" s="55" cm="1">
        <f t="array" ref="G169">MMS_Dairy_N2ODirect_Equations.VEERG_4_3_1_3__3a_TotalAnnualNitrogenExcretedGreaterThanOneYearVariation(G159,G139,G164)</f>
        <v>10419.59526090311</v>
      </c>
      <c r="H169" s="55" cm="1">
        <f t="array" ref="H169">MMS_Dairy_N2ODirect_Equations.VEERG_4_3_1_3__3a_TotalAnnualNitrogenExcretedGreaterThanOneYearVariation(H159,H139,H164)</f>
        <v>0</v>
      </c>
      <c r="I169" s="2" t="str">
        <f>$E$150</f>
        <v>kg N</v>
      </c>
      <c r="N169" s="55" cm="1">
        <f t="array" ref="N169">MMS_Dairy_N2ODirect_Equations.VEERG_4_3_1_3__3a_TotalAnnualNitrogenExcretedGreaterThanOneYearVariation(D159,N139,N164)</f>
        <v>9647.642415693088</v>
      </c>
      <c r="O169" s="55" cm="1">
        <f t="array" ref="O169">MMS_Dairy_N2ODirect_Equations.VEERG_4_3_1_3__3a_TotalAnnualNitrogenExcretedGreaterThanOneYearVariation(E159,O139,O164)</f>
        <v>8288.9955762645804</v>
      </c>
      <c r="P169" s="55" cm="1">
        <f t="array" ref="P169">MMS_Dairy_N2ODirect_Equations.VEERG_4_3_1_3__3a_TotalAnnualNitrogenExcretedGreaterThanOneYearVariation(F159,P139,P164)</f>
        <v>0</v>
      </c>
      <c r="Q169" s="55" cm="1">
        <f t="array" ref="Q169">MMS_Dairy_N2ODirect_Equations.VEERG_4_3_1_3__3a_TotalAnnualNitrogenExcretedGreaterThanOneYearVariation(G159,Q139,Q164)</f>
        <v>10419.59526090311</v>
      </c>
      <c r="R169" s="55" cm="1">
        <f t="array" ref="R169">MMS_Dairy_N2ODirect_Equations.VEERG_4_3_1_3__3a_TotalAnnualNitrogenExcretedGreaterThanOneYearVariation(H159,R139,R164)</f>
        <v>0</v>
      </c>
      <c r="S169" s="2" t="str">
        <f>$E$150</f>
        <v>kg N</v>
      </c>
    </row>
    <row r="170" spans="3:21" ht="20.100000000000001" customHeight="1" x14ac:dyDescent="0.25"/>
    <row r="171" spans="3:21" ht="20.100000000000001" customHeight="1" x14ac:dyDescent="0.25"/>
    <row r="172" spans="3:21" ht="20.100000000000001" customHeight="1" x14ac:dyDescent="0.25">
      <c r="C172" s="48"/>
      <c r="D172" s="48"/>
      <c r="E172" s="48"/>
      <c r="F172" s="48"/>
      <c r="G172" s="48"/>
      <c r="H172" s="48"/>
      <c r="I172" s="48"/>
      <c r="J172" s="48"/>
      <c r="K172" s="48"/>
      <c r="M172" s="48"/>
      <c r="N172" s="48"/>
      <c r="O172" s="48"/>
      <c r="P172" s="48"/>
      <c r="Q172" s="48"/>
      <c r="R172" s="48"/>
      <c r="S172" s="48"/>
      <c r="T172" s="48"/>
      <c r="U172" s="48"/>
    </row>
    <row r="173" spans="3:21" ht="20.100000000000001" customHeight="1" x14ac:dyDescent="0.25">
      <c r="D173" s="6" t="str" cm="1">
        <f t="array" ref="D173">MMS_Dairy_N2ODirect_Equations.VEERG_4_3_1_3__3b_TotalAnnualNitrogenExcretedLessThanOneYear_Title()</f>
        <v>Total annual nitrogen excreted by dairy cattle less than one year old</v>
      </c>
    </row>
    <row r="174" spans="3:21" ht="20.100000000000001" customHeight="1" x14ac:dyDescent="0.25">
      <c r="D174" s="5" t="str" cm="1">
        <f t="array" ref="D174">MMS_Dairy_N2ODirect_Equations.VEERG_4_3_1_3__3b_TotalAnnualNitrogenExcretedLessThanOneYear_Source()</f>
        <v>VEERG 2026: 4.3.1.3, Equation (3b)</v>
      </c>
    </row>
    <row r="175" spans="3:21" ht="20.100000000000001" customHeight="1" x14ac:dyDescent="0.25">
      <c r="D175" s="58" t="str" cm="1">
        <f t="array" ref="D175">MMS_Dairy_N2ODirect_Equations.VEERG_4_3_1_3__3b_TotalAnnualNitrogenExcretedLessThanOneYear_Variation()</f>
        <v>VARIATION: Used Duration variables instead of hard-coded 281 and 84 values.</v>
      </c>
    </row>
    <row r="176" spans="3:21" ht="20.100000000000001" customHeight="1" x14ac:dyDescent="0.25">
      <c r="D176" s="13" t="s">
        <v>28</v>
      </c>
      <c r="E176" s="13" t="str" cm="1">
        <f t="array" aca="1" ref="E176" ca="1">Common_InputFunctions.Utility_DisplayFunctionName(D206)</f>
        <v>=MMS_Dairy_N2ODirect_Equations.VEERG_4_3_1_3__3b_TotalAnnualNitrogenExcretedLessThanOneYearVariation</v>
      </c>
    </row>
    <row r="177" spans="4:9" ht="20.100000000000001" customHeight="1" x14ac:dyDescent="0.25">
      <c r="D177" s="6"/>
    </row>
    <row r="178" spans="4:9" ht="20.100000000000001" customHeight="1" x14ac:dyDescent="0.25">
      <c r="D178" s="6"/>
    </row>
    <row r="179" spans="4:9" ht="20.100000000000001" customHeight="1" x14ac:dyDescent="0.25">
      <c r="D179" s="56" t="s">
        <v>31</v>
      </c>
      <c r="E179" s="1" t="str" cm="1">
        <f t="array" ref="E179">MMS_Dairy_N2ODirect_Equations.VEERG_4_3_1_3__3b_TotalAnnualNitrogenExcretedLessThanOneYear_Variable()</f>
        <v>AE_j35</v>
      </c>
    </row>
    <row r="180" spans="4:9" ht="20.100000000000001" customHeight="1" x14ac:dyDescent="0.25">
      <c r="D180" s="56" t="s">
        <v>21</v>
      </c>
      <c r="E180" s="57" t="str" cm="1">
        <f t="array" ref="E180">MMS_Dairy_N2ODirect_Equations.VEERG_4_3_1_3__3b_TotalAnnualNitrogenExcretedLessThanOneYear_Unit()</f>
        <v>kg N</v>
      </c>
    </row>
    <row r="181" spans="4:9" ht="20.100000000000001" customHeight="1" x14ac:dyDescent="0.25"/>
    <row r="182" spans="4:9" ht="20.100000000000001" customHeight="1" x14ac:dyDescent="0.25">
      <c r="D182" s="60" t="str" cm="1">
        <f t="array" ref="D182:E186">MMS_Dairy_N2ODirect_Equations.VEERG_4_3_1_3__3b_TotalAnnualNitrogenExcretedLessThanOneYear_Arguments()</f>
        <v>N_j35</v>
      </c>
      <c r="E182" s="61" t="str">
        <v>number of dairy cattle in classes j=3,5</v>
      </c>
      <c r="F182" s="62"/>
      <c r="G182" s="60" t="str">
        <f>"See " &amp; D156</f>
        <v>See Table_N_j</v>
      </c>
    </row>
    <row r="183" spans="4:9" ht="20.100000000000001" customHeight="1" x14ac:dyDescent="0.25">
      <c r="D183" s="60" t="str">
        <v>NE_j35</v>
      </c>
      <c r="E183" s="61" t="str">
        <v>nitrogen excreted by weaned dairy cattle less than one year old (kg N/head/day)</v>
      </c>
      <c r="F183" s="62"/>
      <c r="G183" s="60" t="str">
        <f>"See " &amp; D136</f>
        <v>See M1_Table_NE_j</v>
      </c>
    </row>
    <row r="184" spans="4:9" ht="20.100000000000001" customHeight="1" x14ac:dyDescent="0.25">
      <c r="D184" s="60" t="str">
        <v>NPW_j35</v>
      </c>
      <c r="E184" s="61" t="str">
        <v>nitrogen excreted by pre-weaned calves (kg N/head/day)</v>
      </c>
      <c r="F184" s="62"/>
      <c r="G184" s="60" t="str">
        <f>"See " &amp; D188</f>
        <v>See Table_NPW_j-3-5</v>
      </c>
    </row>
    <row r="185" spans="4:9" ht="20.100000000000001" customHeight="1" x14ac:dyDescent="0.25">
      <c r="D185" s="60" t="str">
        <v>D_j35</v>
      </c>
      <c r="E185" s="61" t="str">
        <v>duration of stay on farm for weaned dairy cattle less than one year old (days)</v>
      </c>
      <c r="F185" s="62"/>
      <c r="G185" s="60" t="str">
        <f>"See " &amp; D193</f>
        <v>See M1_Table_D_j-3-5</v>
      </c>
    </row>
    <row r="186" spans="4:9" ht="20.100000000000001" customHeight="1" x14ac:dyDescent="0.25">
      <c r="D186" s="60" t="str">
        <v>DPW_j35</v>
      </c>
      <c r="E186" s="61" t="str">
        <v>duration of stay on farm for pre-weaned calves (days)</v>
      </c>
      <c r="F186" s="62"/>
      <c r="G186" s="60" t="str">
        <f>"See " &amp; D198</f>
        <v>See M1_Table_DPW_j</v>
      </c>
    </row>
    <row r="187" spans="4:9" ht="20.100000000000001" customHeight="1" x14ac:dyDescent="0.25"/>
    <row r="188" spans="4:9" ht="20.100000000000001" customHeight="1" x14ac:dyDescent="0.25">
      <c r="D188" s="104" t="s">
        <v>321</v>
      </c>
    </row>
    <row r="189" spans="4:9" ht="20.100000000000001" customHeight="1" x14ac:dyDescent="0.25">
      <c r="D189" s="103" t="s">
        <v>322</v>
      </c>
    </row>
    <row r="190" spans="4:9" ht="20.100000000000001" customHeight="1" x14ac:dyDescent="0.25">
      <c r="D190" s="54" t="s">
        <v>178</v>
      </c>
      <c r="E190" s="54" t="s">
        <v>195</v>
      </c>
      <c r="F190" s="54" t="s">
        <v>196</v>
      </c>
      <c r="G190" s="54" t="s">
        <v>197</v>
      </c>
      <c r="H190" s="54" t="s">
        <v>198</v>
      </c>
    </row>
    <row r="191" spans="4:9" ht="20.100000000000001" customHeight="1" x14ac:dyDescent="0.25">
      <c r="D191" s="55">
        <v>0</v>
      </c>
      <c r="E191" s="55">
        <v>0</v>
      </c>
      <c r="F191" s="55">
        <f>'Constants - Dairy'!$G$63</f>
        <v>1.37E-2</v>
      </c>
      <c r="G191" s="55">
        <v>0</v>
      </c>
      <c r="H191" s="55">
        <f>'Constants - Dairy'!$G$64</f>
        <v>9.1999999999999998E-3</v>
      </c>
      <c r="I191" s="2" t="s">
        <v>285</v>
      </c>
    </row>
    <row r="192" spans="4:9" ht="20.100000000000001" customHeight="1" x14ac:dyDescent="0.25"/>
    <row r="193" spans="4:19" ht="20.100000000000001" customHeight="1" x14ac:dyDescent="0.25">
      <c r="D193" s="104" t="s">
        <v>319</v>
      </c>
      <c r="N193" s="104" t="s">
        <v>319</v>
      </c>
    </row>
    <row r="194" spans="4:19" ht="20.100000000000001" customHeight="1" x14ac:dyDescent="0.25">
      <c r="D194" s="103" t="s">
        <v>320</v>
      </c>
      <c r="N194" s="103" t="s">
        <v>320</v>
      </c>
    </row>
    <row r="195" spans="4:19" ht="20.100000000000001" customHeight="1" x14ac:dyDescent="0.25">
      <c r="D195" s="54" t="s">
        <v>178</v>
      </c>
      <c r="E195" s="54" t="s">
        <v>195</v>
      </c>
      <c r="F195" s="54" t="s">
        <v>196</v>
      </c>
      <c r="G195" s="54" t="s">
        <v>197</v>
      </c>
      <c r="H195" s="54" t="s">
        <v>198</v>
      </c>
      <c r="N195" s="54" t="s">
        <v>178</v>
      </c>
      <c r="O195" s="54" t="s">
        <v>195</v>
      </c>
      <c r="P195" s="54" t="s">
        <v>196</v>
      </c>
      <c r="Q195" s="54" t="s">
        <v>197</v>
      </c>
      <c r="R195" s="54" t="s">
        <v>198</v>
      </c>
    </row>
    <row r="196" spans="4:19" ht="20.100000000000001" customHeight="1" x14ac:dyDescent="0.25">
      <c r="D196" s="55">
        <v>0</v>
      </c>
      <c r="E196" s="55">
        <v>0</v>
      </c>
      <c r="F196" s="55">
        <f>'Input - Dairy'!$G$24</f>
        <v>281</v>
      </c>
      <c r="G196" s="55">
        <v>0</v>
      </c>
      <c r="H196" s="55">
        <f>'Input - Dairy'!$I$24</f>
        <v>281</v>
      </c>
      <c r="I196" s="2" t="s">
        <v>56</v>
      </c>
      <c r="N196" s="55">
        <v>0</v>
      </c>
      <c r="O196" s="55">
        <v>0</v>
      </c>
      <c r="P196" s="55">
        <f>'Input - Dairy'!G28</f>
        <v>281</v>
      </c>
      <c r="Q196" s="55">
        <v>0</v>
      </c>
      <c r="R196" s="55">
        <f>'Input - Dairy'!I28</f>
        <v>281</v>
      </c>
      <c r="S196" s="2" t="s">
        <v>56</v>
      </c>
    </row>
    <row r="197" spans="4:19" ht="20.100000000000001" customHeight="1" x14ac:dyDescent="0.25"/>
    <row r="198" spans="4:19" ht="20.100000000000001" customHeight="1" x14ac:dyDescent="0.25">
      <c r="D198" s="104" t="s">
        <v>281</v>
      </c>
      <c r="N198" s="104" t="s">
        <v>281</v>
      </c>
    </row>
    <row r="199" spans="4:19" ht="20.100000000000001" customHeight="1" x14ac:dyDescent="0.25">
      <c r="D199" s="103" t="s">
        <v>289</v>
      </c>
      <c r="N199" s="103" t="s">
        <v>289</v>
      </c>
    </row>
    <row r="200" spans="4:19" ht="20.100000000000001" customHeight="1" x14ac:dyDescent="0.25">
      <c r="D200" s="54" t="s">
        <v>178</v>
      </c>
      <c r="E200" s="54" t="s">
        <v>195</v>
      </c>
      <c r="F200" s="54" t="s">
        <v>196</v>
      </c>
      <c r="G200" s="54" t="s">
        <v>197</v>
      </c>
      <c r="H200" s="54" t="s">
        <v>198</v>
      </c>
      <c r="N200" s="54" t="s">
        <v>178</v>
      </c>
      <c r="O200" s="54" t="s">
        <v>195</v>
      </c>
      <c r="P200" s="54" t="s">
        <v>196</v>
      </c>
      <c r="Q200" s="54" t="s">
        <v>197</v>
      </c>
      <c r="R200" s="54" t="s">
        <v>198</v>
      </c>
    </row>
    <row r="201" spans="4:19" ht="20.100000000000001" customHeight="1" x14ac:dyDescent="0.25">
      <c r="D201" s="55">
        <f>'Input - Dairy'!$E$25</f>
        <v>0</v>
      </c>
      <c r="E201" s="55">
        <f>'Input - Dairy'!$F$25</f>
        <v>0</v>
      </c>
      <c r="F201" s="55">
        <f>'Input - Dairy'!$G$25</f>
        <v>84</v>
      </c>
      <c r="G201" s="55">
        <f>'Input - Dairy'!$H$25</f>
        <v>0</v>
      </c>
      <c r="H201" s="55">
        <f>'Input - Dairy'!$I$25</f>
        <v>84</v>
      </c>
      <c r="I201" s="2" t="s">
        <v>56</v>
      </c>
      <c r="N201" s="55">
        <f>'Input - Dairy'!$E$25</f>
        <v>0</v>
      </c>
      <c r="O201" s="55">
        <f>'Input - Dairy'!$F$25</f>
        <v>0</v>
      </c>
      <c r="P201" s="55">
        <f>'Input - Dairy'!G29</f>
        <v>84</v>
      </c>
      <c r="Q201" s="55">
        <f>'Input - Dairy'!$H$25</f>
        <v>0</v>
      </c>
      <c r="R201" s="55">
        <f>'Input - Dairy'!I29</f>
        <v>84</v>
      </c>
      <c r="S201" s="2" t="s">
        <v>56</v>
      </c>
    </row>
    <row r="202" spans="4:19" ht="20.100000000000001" customHeight="1" x14ac:dyDescent="0.25"/>
    <row r="203" spans="4:19" ht="20.100000000000001" customHeight="1" x14ac:dyDescent="0.25">
      <c r="D203" s="104" t="s">
        <v>125</v>
      </c>
      <c r="N203" s="104" t="s">
        <v>125</v>
      </c>
    </row>
    <row r="204" spans="4:19" ht="20.100000000000001" customHeight="1" x14ac:dyDescent="0.25">
      <c r="D204" s="103" t="s">
        <v>323</v>
      </c>
      <c r="N204" s="103" t="s">
        <v>323</v>
      </c>
    </row>
    <row r="205" spans="4:19" ht="20.100000000000001" customHeight="1" x14ac:dyDescent="0.25">
      <c r="D205" s="54" t="s">
        <v>178</v>
      </c>
      <c r="E205" s="54" t="s">
        <v>195</v>
      </c>
      <c r="F205" s="54" t="s">
        <v>196</v>
      </c>
      <c r="G205" s="54" t="s">
        <v>197</v>
      </c>
      <c r="H205" s="54" t="s">
        <v>198</v>
      </c>
      <c r="N205" s="54" t="s">
        <v>178</v>
      </c>
      <c r="O205" s="54" t="s">
        <v>195</v>
      </c>
      <c r="P205" s="54" t="s">
        <v>196</v>
      </c>
      <c r="Q205" s="54" t="s">
        <v>197</v>
      </c>
      <c r="R205" s="54" t="s">
        <v>198</v>
      </c>
    </row>
    <row r="206" spans="4:19" ht="20.100000000000001" customHeight="1" x14ac:dyDescent="0.25">
      <c r="D206" s="55" cm="1">
        <f t="array" ref="D206">MMS_Dairy_N2ODirect_Equations.VEERG_4_3_1_3__3b_TotalAnnualNitrogenExcretedLessThanOneYearVariation(D159,D139,D191,D196,D201)</f>
        <v>0</v>
      </c>
      <c r="E206" s="55" cm="1">
        <f t="array" ref="E206">MMS_Dairy_N2ODirect_Equations.VEERG_4_3_1_3__3b_TotalAnnualNitrogenExcretedLessThanOneYearVariation(E159,E139,E191,E196,E201)</f>
        <v>0</v>
      </c>
      <c r="F206" s="55" cm="1">
        <f t="array" ref="F206">MMS_Dairy_N2ODirect_Equations.VEERG_4_3_1_3__3b_TotalAnnualNitrogenExcretedLessThanOneYearVariation(F159,F139,F191,F196,F201)</f>
        <v>3301.419278356519</v>
      </c>
      <c r="G206" s="55" cm="1">
        <f t="array" ref="G206">MMS_Dairy_N2ODirect_Equations.VEERG_4_3_1_3__3b_TotalAnnualNitrogenExcretedLessThanOneYearVariation(G159,G139,G191,G196,G201)</f>
        <v>0</v>
      </c>
      <c r="H206" s="55" cm="1">
        <f t="array" ref="H206">MMS_Dairy_N2ODirect_Equations.VEERG_4_3_1_3__3b_TotalAnnualNitrogenExcretedLessThanOneYearVariation(H159,H139,H191,H196,H201)</f>
        <v>4361.9480490479727</v>
      </c>
      <c r="I206" s="2" t="str">
        <f>$E$180</f>
        <v>kg N</v>
      </c>
      <c r="N206" s="55" cm="1">
        <f t="array" ref="N206">MMS_Dairy_N2ODirect_Equations.VEERG_4_3_1_3__3b_TotalAnnualNitrogenExcretedLessThanOneYearVariation(D159,N139,D191,N196,N201)</f>
        <v>0</v>
      </c>
      <c r="O206" s="55" cm="1">
        <f t="array" ref="O206">MMS_Dairy_N2ODirect_Equations.VEERG_4_3_1_3__3b_TotalAnnualNitrogenExcretedLessThanOneYearVariation(E159,O139,E191,O196,O201)</f>
        <v>0</v>
      </c>
      <c r="P206" s="55" cm="1">
        <f t="array" ref="P206">MMS_Dairy_N2ODirect_Equations.VEERG_4_3_1_3__3b_TotalAnnualNitrogenExcretedLessThanOneYearVariation(F159,P139,F191,P196,P201)</f>
        <v>3301.419278356519</v>
      </c>
      <c r="Q206" s="55" cm="1">
        <f t="array" ref="Q206">MMS_Dairy_N2ODirect_Equations.VEERG_4_3_1_3__3b_TotalAnnualNitrogenExcretedLessThanOneYearVariation(G159,Q139,G191,Q196,Q201)</f>
        <v>0</v>
      </c>
      <c r="R206" s="55" cm="1">
        <f t="array" ref="R206">MMS_Dairy_N2ODirect_Equations.VEERG_4_3_1_3__3b_TotalAnnualNitrogenExcretedLessThanOneYearVariation(H159,R139,H191,R196,R201)</f>
        <v>4361.9480490479727</v>
      </c>
      <c r="S206" s="2" t="str">
        <f>$E$180</f>
        <v>kg N</v>
      </c>
    </row>
    <row r="207" spans="4:19" ht="20.100000000000001" customHeight="1" x14ac:dyDescent="0.25"/>
    <row r="208" spans="4:19" ht="20.100000000000001" customHeight="1" x14ac:dyDescent="0.25"/>
    <row r="209" spans="3:21" ht="20.100000000000001" customHeight="1" x14ac:dyDescent="0.25">
      <c r="C209" s="48"/>
      <c r="D209" s="48"/>
      <c r="E209" s="48"/>
      <c r="F209" s="48"/>
      <c r="G209" s="48"/>
      <c r="H209" s="48"/>
      <c r="I209" s="48"/>
      <c r="J209" s="48"/>
      <c r="K209" s="48"/>
      <c r="M209" s="48"/>
      <c r="N209" s="48"/>
      <c r="O209" s="48"/>
      <c r="P209" s="48"/>
      <c r="Q209" s="48"/>
      <c r="R209" s="48"/>
      <c r="S209" s="48"/>
      <c r="T209" s="48"/>
      <c r="U209" s="48"/>
    </row>
    <row r="210" spans="3:21" ht="20.100000000000001" customHeight="1" x14ac:dyDescent="0.25">
      <c r="D210" s="6" t="str" cm="1">
        <f t="array" ref="D210">MMS_Dairy_N2ODirect_Equations.VEERG_4_3_1_3__2_TotalNitrogenInEachMMS_Title()</f>
        <v>Total nitrogen in each MMS</v>
      </c>
    </row>
    <row r="211" spans="3:21" ht="20.100000000000001" customHeight="1" x14ac:dyDescent="0.25">
      <c r="D211" s="5" t="str" cm="1">
        <f t="array" ref="D211">MMS_Dairy_N2ODirect_Equations.VEERG_4_3_1_3__2_TotalNitrogenInEachMMS_Source()</f>
        <v>VEERG 2026: 4.3.1.3, Equation (2)</v>
      </c>
    </row>
    <row r="212" spans="3:21" ht="20.100000000000001" customHeight="1" x14ac:dyDescent="0.25">
      <c r="D212" s="13" t="s">
        <v>28</v>
      </c>
      <c r="E212" s="13" t="str" cm="1">
        <f t="array" aca="1" ref="E212" ca="1">Common_InputFunctions.Utility_DisplayFunctionName(F236)</f>
        <v>=MMS_Dairy_N2ODirect_Equations.VEERG_4_3_1_3__2_TotalNitrogenInEachMMS</v>
      </c>
    </row>
    <row r="213" spans="3:21" ht="20.100000000000001" customHeight="1" x14ac:dyDescent="0.25"/>
    <row r="214" spans="3:21" ht="20.100000000000001" customHeight="1" x14ac:dyDescent="0.25">
      <c r="D214" s="6"/>
    </row>
    <row r="215" spans="3:21" ht="20.100000000000001" customHeight="1" x14ac:dyDescent="0.25">
      <c r="D215" s="56" t="s">
        <v>31</v>
      </c>
      <c r="E215" s="1" t="str" cm="1">
        <f t="array" ref="E215">MMS_Dairy_N2ODirect_Equations.VEERG_4_3_1_3__2_TotalNitrogenInEachMMS_Variable()</f>
        <v>MN_jm</v>
      </c>
    </row>
    <row r="216" spans="3:21" ht="20.100000000000001" customHeight="1" x14ac:dyDescent="0.25">
      <c r="D216" s="56" t="s">
        <v>21</v>
      </c>
      <c r="E216" s="57" t="str" cm="1">
        <f t="array" ref="E216">MMS_Dairy_N2ODirect_Equations.VEERG_4_3_1_3__2_TotalNitrogenInEachMMS_Unit()</f>
        <v>kg N</v>
      </c>
    </row>
    <row r="217" spans="3:21" ht="20.100000000000001" customHeight="1" x14ac:dyDescent="0.25"/>
    <row r="218" spans="3:21" ht="20.100000000000001" customHeight="1" x14ac:dyDescent="0.25">
      <c r="D218" s="115" t="str" cm="1">
        <f t="array" ref="D218:E219">MMS_Dairy_N2ODirect_Equations.VEERG_4_3_1_3__2_TotalNitrogenInEachMMS_Arguments()</f>
        <v>AE_j</v>
      </c>
      <c r="E218" s="117" t="str">
        <v>total nitrogen excreted by each dairy class (kg N)</v>
      </c>
      <c r="F218" s="116"/>
      <c r="G218" s="115" t="str">
        <f>"See " &amp; D166 &amp; " and " &amp; D203</f>
        <v>See M1_Table_AE_j-1-2-4 and M1_Table_AE_j</v>
      </c>
    </row>
    <row r="219" spans="3:21" ht="20.100000000000001" customHeight="1" x14ac:dyDescent="0.25">
      <c r="D219" s="115" t="str">
        <v>MMS_jm</v>
      </c>
      <c r="E219" s="117" t="str">
        <v>manure management system fraction for class j and system m</v>
      </c>
      <c r="F219" s="116"/>
      <c r="G219" s="115" t="str">
        <f>"See " &amp; D221</f>
        <v>See M1_Table_MMS_j_m</v>
      </c>
    </row>
    <row r="220" spans="3:21" ht="20.100000000000001" customHeight="1" x14ac:dyDescent="0.25"/>
    <row r="221" spans="3:21" ht="20.100000000000001" customHeight="1" x14ac:dyDescent="0.25">
      <c r="D221" s="104" t="s">
        <v>260</v>
      </c>
      <c r="N221" s="104" t="s">
        <v>262</v>
      </c>
    </row>
    <row r="222" spans="3:21" ht="20.100000000000001" customHeight="1" x14ac:dyDescent="0.25">
      <c r="D222" s="103" t="s">
        <v>325</v>
      </c>
      <c r="N222" s="103" t="s">
        <v>326</v>
      </c>
    </row>
    <row r="223" spans="3:21" ht="20.100000000000001" customHeight="1" x14ac:dyDescent="0.25">
      <c r="D223" s="54" t="s">
        <v>152</v>
      </c>
      <c r="E223" s="54" t="s">
        <v>69</v>
      </c>
      <c r="F223" s="54" t="s">
        <v>178</v>
      </c>
      <c r="G223" s="54" t="s">
        <v>195</v>
      </c>
      <c r="H223" s="54" t="s">
        <v>196</v>
      </c>
      <c r="I223" s="54" t="s">
        <v>197</v>
      </c>
      <c r="J223" s="54" t="s">
        <v>198</v>
      </c>
      <c r="N223" s="54" t="s">
        <v>152</v>
      </c>
      <c r="O223" s="54" t="s">
        <v>69</v>
      </c>
      <c r="P223" s="54" t="s">
        <v>178</v>
      </c>
      <c r="Q223" s="54" t="s">
        <v>195</v>
      </c>
      <c r="R223" s="54" t="s">
        <v>196</v>
      </c>
      <c r="S223" s="54" t="s">
        <v>197</v>
      </c>
      <c r="T223" s="54" t="s">
        <v>198</v>
      </c>
    </row>
    <row r="224" spans="3:21" ht="20.100000000000001" customHeight="1" x14ac:dyDescent="0.25">
      <c r="D224" s="55" t="str">
        <f>'Input - Dairy'!$D$54</f>
        <v>Milking shed</v>
      </c>
      <c r="E224" s="55" t="str">
        <f>'Input - Dairy'!$D$67</f>
        <v>Anaerobic lagoon</v>
      </c>
      <c r="F224" s="55" cm="1">
        <f t="array" ref="F224">InputFunctions_Dairy.CalculateFractionInMMSAfterSolidSeparation('Input - Dairy'!E54,'Input - Dairy'!E67,'Input - Dairy'!$E$69)</f>
        <v>2.2000000000000002E-2</v>
      </c>
      <c r="G224" s="55" cm="1">
        <f t="array" ref="G224">InputFunctions_Dairy.CalculateFractionInMMSAfterSolidSeparation('Input - Dairy'!F54,'Input - Dairy'!F67,'Input - Dairy'!$E$69)</f>
        <v>2.2000000000000002E-2</v>
      </c>
      <c r="H224" s="55" cm="1">
        <f t="array" ref="H224">InputFunctions_Dairy.CalculateFractionInMMSAfterSolidSeparation('Input - Dairy'!G54,'Input - Dairy'!G67,'Input - Dairy'!$E$69)</f>
        <v>2.2000000000000002E-2</v>
      </c>
      <c r="I224" s="55" cm="1">
        <f t="array" ref="I224">InputFunctions_Dairy.CalculateFractionInMMSAfterSolidSeparation('Input - Dairy'!H54,'Input - Dairy'!H67,'Input - Dairy'!$E$69)</f>
        <v>2.2000000000000002E-2</v>
      </c>
      <c r="J224" s="55" cm="1">
        <f t="array" ref="J224">InputFunctions_Dairy.CalculateFractionInMMSAfterSolidSeparation('Input - Dairy'!I54,'Input - Dairy'!I67,'Input - Dairy'!$E$69)</f>
        <v>2.2000000000000002E-2</v>
      </c>
      <c r="N224" s="55" t="str">
        <f>'Input - Dairy'!$D$54</f>
        <v>Milking shed</v>
      </c>
      <c r="O224" s="55" t="str">
        <f>'Input - Dairy'!$D$67</f>
        <v>Anaerobic lagoon</v>
      </c>
      <c r="P224" s="55" cm="1">
        <f t="array" ref="P224">InputFunctions_Dairy.CalculateFractionInMMSAfterSolidSeparation('Input - Dairy'!E59,'Input - Dairy'!E67,'Input - Dairy'!$E$70)</f>
        <v>2.2000000000000002E-2</v>
      </c>
      <c r="Q224" s="55" cm="1">
        <f t="array" ref="Q224">InputFunctions_Dairy.CalculateFractionInMMSAfterSolidSeparation('Input - Dairy'!F59,'Input - Dairy'!F67,'Input - Dairy'!$E$70)</f>
        <v>2.2000000000000002E-2</v>
      </c>
      <c r="R224" s="55" cm="1">
        <f t="array" ref="R224">InputFunctions_Dairy.CalculateFractionInMMSAfterSolidSeparation('Input - Dairy'!G59,'Input - Dairy'!G67,'Input - Dairy'!$E$70)</f>
        <v>2.2000000000000002E-2</v>
      </c>
      <c r="S224" s="55" cm="1">
        <f t="array" ref="S224">InputFunctions_Dairy.CalculateFractionInMMSAfterSolidSeparation('Input - Dairy'!H59,'Input - Dairy'!H67,'Input - Dairy'!$E$70)</f>
        <v>2.2000000000000002E-2</v>
      </c>
      <c r="T224" s="55" cm="1">
        <f t="array" ref="T224">InputFunctions_Dairy.CalculateFractionInMMSAfterSolidSeparation('Input - Dairy'!I59,'Input - Dairy'!I67,'Input - Dairy'!$E$70)</f>
        <v>2.2000000000000002E-2</v>
      </c>
    </row>
    <row r="225" spans="4:20" ht="20.100000000000001" customHeight="1" x14ac:dyDescent="0.25">
      <c r="D225" s="55" t="str">
        <f>'Input - Dairy'!$D$54</f>
        <v>Milking shed</v>
      </c>
      <c r="E225" s="55" t="str">
        <f>'Input - Dairy'!$D$72</f>
        <v>Sump and dispersal system</v>
      </c>
      <c r="F225" s="55" cm="1">
        <f t="array" ref="F225">InputFunctions_Dairy.CalculateFractionInMMSAfterSolidSeparation('Input - Dairy'!E54,'Input - Dairy'!E72,'Input - Dairy'!$E$74)</f>
        <v>2.2000000000000002E-2</v>
      </c>
      <c r="G225" s="55" cm="1">
        <f t="array" ref="G225">InputFunctions_Dairy.CalculateFractionInMMSAfterSolidSeparation('Input - Dairy'!F54,'Input - Dairy'!F72,'Input - Dairy'!$E$74)</f>
        <v>2.2000000000000002E-2</v>
      </c>
      <c r="H225" s="55" cm="1">
        <f t="array" ref="H225">InputFunctions_Dairy.CalculateFractionInMMSAfterSolidSeparation('Input - Dairy'!G54,'Input - Dairy'!G72,'Input - Dairy'!$E$74)</f>
        <v>2.2000000000000002E-2</v>
      </c>
      <c r="I225" s="55" cm="1">
        <f t="array" ref="I225">InputFunctions_Dairy.CalculateFractionInMMSAfterSolidSeparation('Input - Dairy'!H54,'Input - Dairy'!H72,'Input - Dairy'!$E$74)</f>
        <v>2.2000000000000002E-2</v>
      </c>
      <c r="J225" s="55" cm="1">
        <f t="array" ref="J225">InputFunctions_Dairy.CalculateFractionInMMSAfterSolidSeparation('Input - Dairy'!I54,'Input - Dairy'!I72,'Input - Dairy'!$E$74)</f>
        <v>2.2000000000000002E-2</v>
      </c>
      <c r="N225" s="55" t="str">
        <f>'Input - Dairy'!$D$54</f>
        <v>Milking shed</v>
      </c>
      <c r="O225" s="55" t="str">
        <f>'Input - Dairy'!$D$72</f>
        <v>Sump and dispersal system</v>
      </c>
      <c r="P225" s="55" cm="1">
        <f t="array" ref="P225">InputFunctions_Dairy.CalculateFractionInMMSAfterSolidSeparation('Input - Dairy'!E59,'Input - Dairy'!E72,'Input - Dairy'!$E$75)</f>
        <v>2.2000000000000002E-2</v>
      </c>
      <c r="Q225" s="55" cm="1">
        <f t="array" ref="Q225">InputFunctions_Dairy.CalculateFractionInMMSAfterSolidSeparation('Input - Dairy'!F59,'Input - Dairy'!F72,'Input - Dairy'!$E$75)</f>
        <v>2.2000000000000002E-2</v>
      </c>
      <c r="R225" s="55" cm="1">
        <f t="array" ref="R225">InputFunctions_Dairy.CalculateFractionInMMSAfterSolidSeparation('Input - Dairy'!G59,'Input - Dairy'!G72,'Input - Dairy'!$E$75)</f>
        <v>2.2000000000000002E-2</v>
      </c>
      <c r="S225" s="55" cm="1">
        <f t="array" ref="S225">InputFunctions_Dairy.CalculateFractionInMMSAfterSolidSeparation('Input - Dairy'!H59,'Input - Dairy'!H72,'Input - Dairy'!$E$75)</f>
        <v>2.2000000000000002E-2</v>
      </c>
      <c r="T225" s="55" cm="1">
        <f t="array" ref="T225">InputFunctions_Dairy.CalculateFractionInMMSAfterSolidSeparation('Input - Dairy'!I59,'Input - Dairy'!I72,'Input - Dairy'!$E$75)</f>
        <v>2.2000000000000002E-2</v>
      </c>
    </row>
    <row r="226" spans="4:20" ht="20.100000000000001" customHeight="1" x14ac:dyDescent="0.25">
      <c r="D226" s="55" t="str">
        <f>'Input - Dairy'!$D$54</f>
        <v>Milking shed</v>
      </c>
      <c r="E226" s="55" t="str">
        <f>'Input - Dairy'!$D$77</f>
        <v>Drains to paddock</v>
      </c>
      <c r="F226" s="55" cm="1">
        <f t="array" ref="F226">InputFunctions_Dairy.CalculateFractionInMMSAfterSolidSeparation('Input - Dairy'!E54,'Input - Dairy'!E77,'Input - Dairy'!$E$79)</f>
        <v>2.2000000000000002E-2</v>
      </c>
      <c r="G226" s="55" cm="1">
        <f t="array" ref="G226">InputFunctions_Dairy.CalculateFractionInMMSAfterSolidSeparation('Input - Dairy'!F54,'Input - Dairy'!F77,'Input - Dairy'!$E$79)</f>
        <v>2.2000000000000002E-2</v>
      </c>
      <c r="H226" s="55" cm="1">
        <f t="array" ref="H226">InputFunctions_Dairy.CalculateFractionInMMSAfterSolidSeparation('Input - Dairy'!G54,'Input - Dairy'!G77,'Input - Dairy'!$E$79)</f>
        <v>2.2000000000000002E-2</v>
      </c>
      <c r="I226" s="55" cm="1">
        <f t="array" ref="I226">InputFunctions_Dairy.CalculateFractionInMMSAfterSolidSeparation('Input - Dairy'!H54,'Input - Dairy'!H77,'Input - Dairy'!$E$79)</f>
        <v>2.2000000000000002E-2</v>
      </c>
      <c r="J226" s="55" cm="1">
        <f t="array" ref="J226">InputFunctions_Dairy.CalculateFractionInMMSAfterSolidSeparation('Input - Dairy'!I54,'Input - Dairy'!I77,'Input - Dairy'!$E$79)</f>
        <v>2.2000000000000002E-2</v>
      </c>
      <c r="N226" s="55" t="str">
        <f>'Input - Dairy'!$D$54</f>
        <v>Milking shed</v>
      </c>
      <c r="O226" s="55" t="str">
        <f>'Input - Dairy'!$D$77</f>
        <v>Drains to paddock</v>
      </c>
      <c r="P226" s="55" cm="1">
        <f t="array" ref="P226">InputFunctions_Dairy.CalculateFractionInMMSAfterSolidSeparation('Input - Dairy'!E59,'Input - Dairy'!E77,'Input - Dairy'!$E$80)</f>
        <v>2.2000000000000002E-2</v>
      </c>
      <c r="Q226" s="55" cm="1">
        <f t="array" ref="Q226">InputFunctions_Dairy.CalculateFractionInMMSAfterSolidSeparation('Input - Dairy'!F59,'Input - Dairy'!F77,'Input - Dairy'!$E$80)</f>
        <v>2.2000000000000002E-2</v>
      </c>
      <c r="R226" s="55" cm="1">
        <f t="array" ref="R226">InputFunctions_Dairy.CalculateFractionInMMSAfterSolidSeparation('Input - Dairy'!G59,'Input - Dairy'!G77,'Input - Dairy'!$E$80)</f>
        <v>2.2000000000000002E-2</v>
      </c>
      <c r="S226" s="55" cm="1">
        <f t="array" ref="S226">InputFunctions_Dairy.CalculateFractionInMMSAfterSolidSeparation('Input - Dairy'!H59,'Input - Dairy'!H77,'Input - Dairy'!$E$80)</f>
        <v>2.2000000000000002E-2</v>
      </c>
      <c r="T226" s="55" cm="1">
        <f t="array" ref="T226">InputFunctions_Dairy.CalculateFractionInMMSAfterSolidSeparation('Input - Dairy'!I59,'Input - Dairy'!I77,'Input - Dairy'!$E$80)</f>
        <v>2.2000000000000002E-2</v>
      </c>
    </row>
    <row r="227" spans="4:20" ht="20.100000000000001" customHeight="1" x14ac:dyDescent="0.25">
      <c r="D227" s="55" t="str">
        <f>'Input - Dairy'!$D$54</f>
        <v>Milking shed</v>
      </c>
      <c r="E227" s="55" t="str">
        <f>'Input - Dairy'!$D$82</f>
        <v>Solid storage</v>
      </c>
      <c r="F227" s="55" cm="1">
        <f t="array" ref="F227">InputFunctions_Dairy.CalculateFractionInSolidStorage('Input - Dairy'!E54,'Input - Dairy'!E82,'Input - Dairy'!E67,'Input - Dairy'!$E$69,'Input - Dairy'!E72,'Input - Dairy'!$E$74,'Input - Dairy'!E77,'Input - Dairy'!$E$79)</f>
        <v>4.3999999999999997E-2</v>
      </c>
      <c r="G227" s="55" cm="1">
        <f t="array" ref="G227">InputFunctions_Dairy.CalculateFractionInSolidStorage('Input - Dairy'!F54,'Input - Dairy'!F82,'Input - Dairy'!F67,'Input - Dairy'!$E$69,'Input - Dairy'!F72,'Input - Dairy'!$E$74,'Input - Dairy'!F77,'Input - Dairy'!$E$79)</f>
        <v>4.3999999999999997E-2</v>
      </c>
      <c r="H227" s="55" cm="1">
        <f t="array" ref="H227">InputFunctions_Dairy.CalculateFractionInSolidStorage('Input - Dairy'!G54,'Input - Dairy'!G82,'Input - Dairy'!G67,'Input - Dairy'!$E$69,'Input - Dairy'!G72,'Input - Dairy'!$E$74,'Input - Dairy'!G77,'Input - Dairy'!$E$79)</f>
        <v>4.3999999999999997E-2</v>
      </c>
      <c r="I227" s="55" cm="1">
        <f t="array" ref="I227">InputFunctions_Dairy.CalculateFractionInSolidStorage('Input - Dairy'!H54,'Input - Dairy'!H82,'Input - Dairy'!H67,'Input - Dairy'!$E$69,'Input - Dairy'!H72,'Input - Dairy'!$E$74,'Input - Dairy'!H77,'Input - Dairy'!$E$79)</f>
        <v>4.3999999999999997E-2</v>
      </c>
      <c r="J227" s="55" cm="1">
        <f t="array" ref="J227">InputFunctions_Dairy.CalculateFractionInSolidStorage('Input - Dairy'!I54,'Input - Dairy'!I82,'Input - Dairy'!I67,'Input - Dairy'!$E$69,'Input - Dairy'!I72,'Input - Dairy'!$E$74,'Input - Dairy'!I77,'Input - Dairy'!$E$79)</f>
        <v>4.3999999999999997E-2</v>
      </c>
      <c r="N227" s="55" t="str">
        <f>'Input - Dairy'!$D$54</f>
        <v>Milking shed</v>
      </c>
      <c r="O227" s="55" t="str">
        <f>'Input - Dairy'!$D$82</f>
        <v>Solid storage</v>
      </c>
      <c r="P227" s="55" cm="1">
        <f t="array" ref="P227">InputFunctions_Dairy.CalculateFractionInSolidStorage('Input - Dairy'!E59,'Input - Dairy'!E82,'Input - Dairy'!E67,'Input - Dairy'!$E$70,'Input - Dairy'!E72,'Input - Dairy'!$E$75,'Input - Dairy'!E77,'Input - Dairy'!$E$80)</f>
        <v>4.3999999999999997E-2</v>
      </c>
      <c r="Q227" s="55" cm="1">
        <f t="array" ref="Q227">InputFunctions_Dairy.CalculateFractionInSolidStorage('Input - Dairy'!F59,'Input - Dairy'!F82,'Input - Dairy'!F67,'Input - Dairy'!$E$70,'Input - Dairy'!F72,'Input - Dairy'!$E$75,'Input - Dairy'!F77,'Input - Dairy'!$E$80)</f>
        <v>4.3999999999999997E-2</v>
      </c>
      <c r="R227" s="55" cm="1">
        <f t="array" ref="R227">InputFunctions_Dairy.CalculateFractionInSolidStorage('Input - Dairy'!G59,'Input - Dairy'!G82,'Input - Dairy'!G67,'Input - Dairy'!$E$70,'Input - Dairy'!G72,'Input - Dairy'!$E$75,'Input - Dairy'!G77,'Input - Dairy'!$E$80)</f>
        <v>4.3999999999999997E-2</v>
      </c>
      <c r="S227" s="55" cm="1">
        <f t="array" ref="S227">InputFunctions_Dairy.CalculateFractionInSolidStorage('Input - Dairy'!H59,'Input - Dairy'!H82,'Input - Dairy'!H67,'Input - Dairy'!$E$70,'Input - Dairy'!H72,'Input - Dairy'!$E$75,'Input - Dairy'!H77,'Input - Dairy'!$E$80)</f>
        <v>4.3999999999999997E-2</v>
      </c>
      <c r="T227" s="55" cm="1">
        <f t="array" ref="T227">InputFunctions_Dairy.CalculateFractionInSolidStorage('Input - Dairy'!I59,'Input - Dairy'!I82,'Input - Dairy'!I67,'Input - Dairy'!$E$70,'Input - Dairy'!I72,'Input - Dairy'!$E$75,'Input - Dairy'!I77,'Input - Dairy'!$E$80)</f>
        <v>4.3999999999999997E-2</v>
      </c>
    </row>
    <row r="228" spans="4:20" ht="20.100000000000001" customHeight="1" x14ac:dyDescent="0.25">
      <c r="D228" s="55" t="str">
        <f>'Input - Dairy'!$D$55</f>
        <v>Feed pad</v>
      </c>
      <c r="E228" s="55" t="str">
        <f>'Input - Dairy'!$D$101</f>
        <v>Anaerobic lagoon</v>
      </c>
      <c r="F228" s="55" cm="1">
        <f t="array" ref="F228">InputFunctions_Dairy.CalculateFractionInMMSAfterSolidSeparation('Input - Dairy'!E55,'Input - Dairy'!E101,'Input - Dairy'!$E$103)</f>
        <v>8.8999999999999996E-2</v>
      </c>
      <c r="G228" s="55" cm="1">
        <f t="array" ref="G228">InputFunctions_Dairy.CalculateFractionInMMSAfterSolidSeparation('Input - Dairy'!F55,'Input - Dairy'!F101,'Input - Dairy'!$E$103)</f>
        <v>8.8999999999999996E-2</v>
      </c>
      <c r="H228" s="55" cm="1">
        <f t="array" ref="H228">InputFunctions_Dairy.CalculateFractionInMMSAfterSolidSeparation('Input - Dairy'!G55,'Input - Dairy'!G101,'Input - Dairy'!$E$103)</f>
        <v>8.8999999999999996E-2</v>
      </c>
      <c r="I228" s="55" cm="1">
        <f t="array" ref="I228">InputFunctions_Dairy.CalculateFractionInMMSAfterSolidSeparation('Input - Dairy'!H55,'Input - Dairy'!H101,'Input - Dairy'!$E$103)</f>
        <v>8.8999999999999996E-2</v>
      </c>
      <c r="J228" s="55" cm="1">
        <f t="array" ref="J228">InputFunctions_Dairy.CalculateFractionInMMSAfterSolidSeparation('Input - Dairy'!I55,'Input - Dairy'!I101,'Input - Dairy'!$E$103)</f>
        <v>8.8999999999999996E-2</v>
      </c>
      <c r="N228" s="55" t="str">
        <f>'Input - Dairy'!$D$55</f>
        <v>Feed pad</v>
      </c>
      <c r="O228" s="55" t="str">
        <f>'Input - Dairy'!$D$101</f>
        <v>Anaerobic lagoon</v>
      </c>
      <c r="P228" s="55" cm="1">
        <f t="array" ref="P228">InputFunctions_Dairy.CalculateFractionInMMSAfterSolidSeparation('Input - Dairy'!E60,'Input - Dairy'!E101,'Input - Dairy'!$E$104)</f>
        <v>8.8999999999999996E-2</v>
      </c>
      <c r="Q228" s="55" cm="1">
        <f t="array" ref="Q228">InputFunctions_Dairy.CalculateFractionInMMSAfterSolidSeparation('Input - Dairy'!F60,'Input - Dairy'!F101,'Input - Dairy'!$E$104)</f>
        <v>8.8999999999999996E-2</v>
      </c>
      <c r="R228" s="55" cm="1">
        <f t="array" ref="R228">InputFunctions_Dairy.CalculateFractionInMMSAfterSolidSeparation('Input - Dairy'!G60,'Input - Dairy'!G101,'Input - Dairy'!$E$104)</f>
        <v>8.8999999999999996E-2</v>
      </c>
      <c r="S228" s="55" cm="1">
        <f t="array" ref="S228">InputFunctions_Dairy.CalculateFractionInMMSAfterSolidSeparation('Input - Dairy'!H60,'Input - Dairy'!H101,'Input - Dairy'!$E$104)</f>
        <v>8.8999999999999996E-2</v>
      </c>
      <c r="T228" s="55" cm="1">
        <f t="array" ref="T228">InputFunctions_Dairy.CalculateFractionInMMSAfterSolidSeparation('Input - Dairy'!I60,'Input - Dairy'!I101,'Input - Dairy'!$E$104)</f>
        <v>8.8999999999999996E-2</v>
      </c>
    </row>
    <row r="229" spans="4:20" ht="20.100000000000001" customHeight="1" x14ac:dyDescent="0.25">
      <c r="D229" s="55" t="str">
        <f>'Input - Dairy'!$D$55</f>
        <v>Feed pad</v>
      </c>
      <c r="E229" s="55" t="str">
        <f>'Input - Dairy'!$D$106</f>
        <v>Sump and dispersal system</v>
      </c>
      <c r="F229" s="55" cm="1">
        <f t="array" ref="F229">InputFunctions_Dairy.CalculateFractionInMMSAfterSolidSeparation('Input - Dairy'!E55,'Input - Dairy'!E106,'Input - Dairy'!$E$108)</f>
        <v>7.1199999999999999E-2</v>
      </c>
      <c r="G229" s="55" cm="1">
        <f t="array" ref="G229">InputFunctions_Dairy.CalculateFractionInMMSAfterSolidSeparation('Input - Dairy'!F55,'Input - Dairy'!F106,'Input - Dairy'!$E$108)</f>
        <v>7.1199999999999999E-2</v>
      </c>
      <c r="H229" s="55" cm="1">
        <f t="array" ref="H229">InputFunctions_Dairy.CalculateFractionInMMSAfterSolidSeparation('Input - Dairy'!G55,'Input - Dairy'!G106,'Input - Dairy'!$E$108)</f>
        <v>7.1199999999999999E-2</v>
      </c>
      <c r="I229" s="55" cm="1">
        <f t="array" ref="I229">InputFunctions_Dairy.CalculateFractionInMMSAfterSolidSeparation('Input - Dairy'!H55,'Input - Dairy'!H106,'Input - Dairy'!$E$108)</f>
        <v>7.1199999999999999E-2</v>
      </c>
      <c r="J229" s="55" cm="1">
        <f t="array" ref="J229">InputFunctions_Dairy.CalculateFractionInMMSAfterSolidSeparation('Input - Dairy'!I55,'Input - Dairy'!I106,'Input - Dairy'!$E$108)</f>
        <v>7.1199999999999999E-2</v>
      </c>
      <c r="N229" s="55" t="str">
        <f>'Input - Dairy'!$D$55</f>
        <v>Feed pad</v>
      </c>
      <c r="O229" s="55" t="str">
        <f>'Input - Dairy'!$D$106</f>
        <v>Sump and dispersal system</v>
      </c>
      <c r="P229" s="55" cm="1">
        <f t="array" ref="P229">InputFunctions_Dairy.CalculateFractionInMMSAfterSolidSeparation('Input - Dairy'!E60,'Input - Dairy'!E106,'Input - Dairy'!$E$109)</f>
        <v>7.1199999999999999E-2</v>
      </c>
      <c r="Q229" s="55" cm="1">
        <f t="array" ref="Q229">InputFunctions_Dairy.CalculateFractionInMMSAfterSolidSeparation('Input - Dairy'!F60,'Input - Dairy'!F106,'Input - Dairy'!$E$109)</f>
        <v>7.1199999999999999E-2</v>
      </c>
      <c r="R229" s="55" cm="1">
        <f t="array" ref="R229">InputFunctions_Dairy.CalculateFractionInMMSAfterSolidSeparation('Input - Dairy'!G60,'Input - Dairy'!G106,'Input - Dairy'!$E$109)</f>
        <v>7.1199999999999999E-2</v>
      </c>
      <c r="S229" s="55" cm="1">
        <f t="array" ref="S229">InputFunctions_Dairy.CalculateFractionInMMSAfterSolidSeparation('Input - Dairy'!H60,'Input - Dairy'!H106,'Input - Dairy'!$E$109)</f>
        <v>7.1199999999999999E-2</v>
      </c>
      <c r="T229" s="55" cm="1">
        <f t="array" ref="T229">InputFunctions_Dairy.CalculateFractionInMMSAfterSolidSeparation('Input - Dairy'!I60,'Input - Dairy'!I106,'Input - Dairy'!$E$109)</f>
        <v>7.1199999999999999E-2</v>
      </c>
    </row>
    <row r="230" spans="4:20" ht="20.100000000000001" customHeight="1" x14ac:dyDescent="0.25">
      <c r="D230" s="55" t="str">
        <f>'Input - Dairy'!$D$55</f>
        <v>Feed pad</v>
      </c>
      <c r="E230" s="55" t="str">
        <f>'Input - Dairy'!$D$111</f>
        <v>Drains to paddock</v>
      </c>
      <c r="F230" s="55" cm="1">
        <f t="array" ref="F230">InputFunctions_Dairy.CalculateFractionInMMSAfterSolidSeparation('Input - Dairy'!E55,'Input - Dairy'!E111,'Input - Dairy'!$E$113)</f>
        <v>7.1199999999999999E-2</v>
      </c>
      <c r="G230" s="55" cm="1">
        <f t="array" ref="G230">InputFunctions_Dairy.CalculateFractionInMMSAfterSolidSeparation('Input - Dairy'!F55,'Input - Dairy'!F111,'Input - Dairy'!$E$113)</f>
        <v>7.1199999999999999E-2</v>
      </c>
      <c r="H230" s="55" cm="1">
        <f t="array" ref="H230">InputFunctions_Dairy.CalculateFractionInMMSAfterSolidSeparation('Input - Dairy'!G55,'Input - Dairy'!G111,'Input - Dairy'!$E$113)</f>
        <v>7.1199999999999999E-2</v>
      </c>
      <c r="I230" s="55" cm="1">
        <f t="array" ref="I230">InputFunctions_Dairy.CalculateFractionInMMSAfterSolidSeparation('Input - Dairy'!H55,'Input - Dairy'!H111,'Input - Dairy'!$E$113)</f>
        <v>7.1199999999999999E-2</v>
      </c>
      <c r="J230" s="55" cm="1">
        <f t="array" ref="J230">InputFunctions_Dairy.CalculateFractionInMMSAfterSolidSeparation('Input - Dairy'!I55,'Input - Dairy'!I111,'Input - Dairy'!$E$113)</f>
        <v>7.1199999999999999E-2</v>
      </c>
      <c r="N230" s="55" t="str">
        <f>'Input - Dairy'!$D$55</f>
        <v>Feed pad</v>
      </c>
      <c r="O230" s="55" t="str">
        <f>'Input - Dairy'!$D$111</f>
        <v>Drains to paddock</v>
      </c>
      <c r="P230" s="55" cm="1">
        <f t="array" ref="P230">InputFunctions_Dairy.CalculateFractionInMMSAfterSolidSeparation('Input - Dairy'!E60,'Input - Dairy'!E111,'Input - Dairy'!$E$114)</f>
        <v>7.1199999999999999E-2</v>
      </c>
      <c r="Q230" s="55" cm="1">
        <f t="array" ref="Q230">InputFunctions_Dairy.CalculateFractionInMMSAfterSolidSeparation('Input - Dairy'!F60,'Input - Dairy'!F111,'Input - Dairy'!$E$114)</f>
        <v>7.1199999999999999E-2</v>
      </c>
      <c r="R230" s="55" cm="1">
        <f t="array" ref="R230">InputFunctions_Dairy.CalculateFractionInMMSAfterSolidSeparation('Input - Dairy'!G60,'Input - Dairy'!G111,'Input - Dairy'!$E$114)</f>
        <v>7.1199999999999999E-2</v>
      </c>
      <c r="S230" s="55" cm="1">
        <f t="array" ref="S230">InputFunctions_Dairy.CalculateFractionInMMSAfterSolidSeparation('Input - Dairy'!H60,'Input - Dairy'!H111,'Input - Dairy'!$E$114)</f>
        <v>7.1199999999999999E-2</v>
      </c>
      <c r="T230" s="55" cm="1">
        <f t="array" ref="T230">InputFunctions_Dairy.CalculateFractionInMMSAfterSolidSeparation('Input - Dairy'!I60,'Input - Dairy'!I111,'Input - Dairy'!$E$114)</f>
        <v>7.1199999999999999E-2</v>
      </c>
    </row>
    <row r="231" spans="4:20" ht="20.100000000000001" customHeight="1" x14ac:dyDescent="0.25">
      <c r="D231" s="55" t="str">
        <f>'Input - Dairy'!$D$55</f>
        <v>Feed pad</v>
      </c>
      <c r="E231" s="55" t="str">
        <f>'Input - Dairy'!$D$116</f>
        <v>Solid storage</v>
      </c>
      <c r="F231" s="55" cm="1">
        <f t="array" ref="F231">InputFunctions_Dairy.CalculateFractionInSolidStorage('Input - Dairy'!E55,'Input - Dairy'!E116,'Input - Dairy'!E101,'Input - Dairy'!$E$103,'Input - Dairy'!E106,'Input - Dairy'!$E$108,'Input - Dairy'!E111,'Input - Dairy'!$E$113)</f>
        <v>0.12459999999999999</v>
      </c>
      <c r="G231" s="55" cm="1">
        <f t="array" ref="G231">InputFunctions_Dairy.CalculateFractionInSolidStorage('Input - Dairy'!F55,'Input - Dairy'!F116,'Input - Dairy'!F101,'Input - Dairy'!$E$103,'Input - Dairy'!F106,'Input - Dairy'!$E$108,'Input - Dairy'!F111,'Input - Dairy'!$E$113)</f>
        <v>0.12459999999999999</v>
      </c>
      <c r="H231" s="55" cm="1">
        <f t="array" ref="H231">InputFunctions_Dairy.CalculateFractionInSolidStorage('Input - Dairy'!G55,'Input - Dairy'!G116,'Input - Dairy'!G101,'Input - Dairy'!$E$103,'Input - Dairy'!G106,'Input - Dairy'!$E$108,'Input - Dairy'!G111,'Input - Dairy'!$E$113)</f>
        <v>0.12459999999999999</v>
      </c>
      <c r="I231" s="55" cm="1">
        <f t="array" ref="I231">InputFunctions_Dairy.CalculateFractionInSolidStorage('Input - Dairy'!H55,'Input - Dairy'!H116,'Input - Dairy'!H101,'Input - Dairy'!$E$103,'Input - Dairy'!H106,'Input - Dairy'!$E$108,'Input - Dairy'!H111,'Input - Dairy'!$E$113)</f>
        <v>0.12459999999999999</v>
      </c>
      <c r="J231" s="55" cm="1">
        <f t="array" ref="J231">InputFunctions_Dairy.CalculateFractionInSolidStorage('Input - Dairy'!I55,'Input - Dairy'!I116,'Input - Dairy'!I101,'Input - Dairy'!$E$103,'Input - Dairy'!I106,'Input - Dairy'!$E$108,'Input - Dairy'!I111,'Input - Dairy'!$E$113)</f>
        <v>0.12459999999999999</v>
      </c>
      <c r="N231" s="55" t="str">
        <f>'Input - Dairy'!$D$55</f>
        <v>Feed pad</v>
      </c>
      <c r="O231" s="55" t="str">
        <f>'Input - Dairy'!$D$116</f>
        <v>Solid storage</v>
      </c>
      <c r="P231" s="55" cm="1">
        <f t="array" ref="P231">InputFunctions_Dairy.CalculateFractionInSolidStorage('Input - Dairy'!E60,'Input - Dairy'!E116,'Input - Dairy'!E101,'Input - Dairy'!$E$104, 'Input - Dairy'!E106,'Input - Dairy'!$E$109,'Input - Dairy'!E111,'Input - Dairy'!$E$114)</f>
        <v>0.12459999999999999</v>
      </c>
      <c r="Q231" s="55" cm="1">
        <f t="array" ref="Q231">InputFunctions_Dairy.CalculateFractionInSolidStorage('Input - Dairy'!F60,'Input - Dairy'!F116,'Input - Dairy'!F101,'Input - Dairy'!$E$104, 'Input - Dairy'!F106,'Input - Dairy'!$E$109,'Input - Dairy'!F111,'Input - Dairy'!$E$114)</f>
        <v>0.12459999999999999</v>
      </c>
      <c r="R231" s="55" cm="1">
        <f t="array" ref="R231">InputFunctions_Dairy.CalculateFractionInSolidStorage('Input - Dairy'!G60,'Input - Dairy'!G116,'Input - Dairy'!G101,'Input - Dairy'!$E$104, 'Input - Dairy'!G106,'Input - Dairy'!$E$109,'Input - Dairy'!G111,'Input - Dairy'!$E$114)</f>
        <v>0.12459999999999999</v>
      </c>
      <c r="S231" s="55" cm="1">
        <f t="array" ref="S231">InputFunctions_Dairy.CalculateFractionInSolidStorage('Input - Dairy'!H60,'Input - Dairy'!H116,'Input - Dairy'!H101,'Input - Dairy'!$E$104, 'Input - Dairy'!H106,'Input - Dairy'!$E$109,'Input - Dairy'!H111,'Input - Dairy'!$E$114)</f>
        <v>0.12459999999999999</v>
      </c>
      <c r="T231" s="55" cm="1">
        <f t="array" ref="T231">InputFunctions_Dairy.CalculateFractionInSolidStorage('Input - Dairy'!I60,'Input - Dairy'!I116,'Input - Dairy'!I101,'Input - Dairy'!$E$104, 'Input - Dairy'!I106,'Input - Dairy'!$E$109,'Input - Dairy'!I111,'Input - Dairy'!$E$114)</f>
        <v>0.12459999999999999</v>
      </c>
    </row>
    <row r="232" spans="4:20" ht="20.100000000000001" customHeight="1" x14ac:dyDescent="0.25">
      <c r="Q232" s="138"/>
    </row>
    <row r="233" spans="4:20" ht="20.100000000000001" customHeight="1" x14ac:dyDescent="0.25">
      <c r="D233" s="104" t="s">
        <v>327</v>
      </c>
      <c r="N233" s="104" t="s">
        <v>330</v>
      </c>
    </row>
    <row r="234" spans="4:20" ht="20.100000000000001" customHeight="1" x14ac:dyDescent="0.25">
      <c r="D234" s="103" t="s">
        <v>328</v>
      </c>
      <c r="N234" s="103" t="s">
        <v>329</v>
      </c>
    </row>
    <row r="235" spans="4:20" ht="20.100000000000001" customHeight="1" x14ac:dyDescent="0.25">
      <c r="D235" s="54" t="s">
        <v>152</v>
      </c>
      <c r="E235" s="54" t="s">
        <v>69</v>
      </c>
      <c r="F235" s="54" t="s">
        <v>178</v>
      </c>
      <c r="G235" s="54" t="s">
        <v>195</v>
      </c>
      <c r="H235" s="54" t="s">
        <v>196</v>
      </c>
      <c r="I235" s="54" t="s">
        <v>197</v>
      </c>
      <c r="J235" s="54" t="s">
        <v>198</v>
      </c>
      <c r="N235" s="54" t="s">
        <v>152</v>
      </c>
      <c r="O235" s="54" t="s">
        <v>69</v>
      </c>
      <c r="P235" s="54" t="s">
        <v>178</v>
      </c>
      <c r="Q235" s="54" t="s">
        <v>195</v>
      </c>
      <c r="R235" s="54" t="s">
        <v>196</v>
      </c>
      <c r="S235" s="54" t="s">
        <v>197</v>
      </c>
      <c r="T235" s="54" t="s">
        <v>198</v>
      </c>
    </row>
    <row r="236" spans="4:20" ht="20.100000000000001" customHeight="1" x14ac:dyDescent="0.25">
      <c r="D236" s="55" t="str">
        <f>'Input - Dairy'!$D$54</f>
        <v>Milking shed</v>
      </c>
      <c r="E236" s="55" t="str">
        <f>'Input - Dairy'!$D$67</f>
        <v>Anaerobic lagoon</v>
      </c>
      <c r="F236" s="55" cm="1">
        <f t="array" ref="F236">MMS_Dairy_N2ODirect_Equations.VEERG_4_3_1_3__2_TotalNitrogenInEachMMS(D$169,F224)</f>
        <v>212.24813314524795</v>
      </c>
      <c r="G236" s="55" cm="1">
        <f t="array" ref="G236">MMS_Dairy_N2ODirect_Equations.VEERG_4_3_1_3__2_TotalNitrogenInEachMMS(E$169,G224)</f>
        <v>182.35790267782079</v>
      </c>
      <c r="H236" s="55" cm="1">
        <f t="array" ref="H236">MMS_Dairy_N2ODirect_Equations.VEERG_4_3_1_3__2_TotalNitrogenInEachMMS(F$206,H224)</f>
        <v>72.631224123843424</v>
      </c>
      <c r="I236" s="55" cm="1">
        <f t="array" ref="I236">MMS_Dairy_N2ODirect_Equations.VEERG_4_3_1_3__2_TotalNitrogenInEachMMS(G$169,I224)</f>
        <v>229.23109573986844</v>
      </c>
      <c r="J236" s="55" cm="1">
        <f t="array" ref="J236">MMS_Dairy_N2ODirect_Equations.VEERG_4_3_1_3__2_TotalNitrogenInEachMMS(H$206,J224)</f>
        <v>95.962857079055411</v>
      </c>
      <c r="N236" s="55" t="str">
        <f>'Input - Dairy'!$D$54</f>
        <v>Milking shed</v>
      </c>
      <c r="O236" s="55" t="str">
        <f>'Input - Dairy'!$D$67</f>
        <v>Anaerobic lagoon</v>
      </c>
      <c r="P236" s="55" cm="1">
        <f t="array" ref="P236">MMS_Dairy_N2ODirect_Equations.VEERG_4_3_1_3__2_TotalNitrogenInEachMMS(N$169,P224)</f>
        <v>212.24813314524795</v>
      </c>
      <c r="Q236" s="55" cm="1">
        <f t="array" ref="Q236">MMS_Dairy_N2ODirect_Equations.VEERG_4_3_1_3__2_TotalNitrogenInEachMMS(O$169,Q224)</f>
        <v>182.35790267782079</v>
      </c>
      <c r="R236" s="55" cm="1">
        <f t="array" ref="R236">MMS_Dairy_N2ODirect_Equations.VEERG_4_3_1_3__2_TotalNitrogenInEachMMS(P$206,R224)</f>
        <v>72.631224123843424</v>
      </c>
      <c r="S236" s="55" cm="1">
        <f t="array" ref="S236">MMS_Dairy_N2ODirect_Equations.VEERG_4_3_1_3__2_TotalNitrogenInEachMMS(Q$169,S224)</f>
        <v>229.23109573986844</v>
      </c>
      <c r="T236" s="55" cm="1">
        <f t="array" ref="T236">MMS_Dairy_N2ODirect_Equations.VEERG_4_3_1_3__2_TotalNitrogenInEachMMS(R$206,T224)</f>
        <v>95.962857079055411</v>
      </c>
    </row>
    <row r="237" spans="4:20" ht="20.100000000000001" customHeight="1" x14ac:dyDescent="0.25">
      <c r="D237" s="55" t="str">
        <f>'Input - Dairy'!$D$54</f>
        <v>Milking shed</v>
      </c>
      <c r="E237" s="55" t="str">
        <f>'Input - Dairy'!$D$72</f>
        <v>Sump and dispersal system</v>
      </c>
      <c r="F237" s="55" cm="1">
        <f t="array" ref="F237">MMS_Dairy_N2ODirect_Equations.VEERG_4_3_1_3__2_TotalNitrogenInEachMMS(D$169,F225)</f>
        <v>212.24813314524795</v>
      </c>
      <c r="G237" s="55" cm="1">
        <f t="array" ref="G237">MMS_Dairy_N2ODirect_Equations.VEERG_4_3_1_3__2_TotalNitrogenInEachMMS(E$169,G225)</f>
        <v>182.35790267782079</v>
      </c>
      <c r="H237" s="55" cm="1">
        <f t="array" ref="H237">MMS_Dairy_N2ODirect_Equations.VEERG_4_3_1_3__2_TotalNitrogenInEachMMS(F$206,H225)</f>
        <v>72.631224123843424</v>
      </c>
      <c r="I237" s="55" cm="1">
        <f t="array" ref="I237">MMS_Dairy_N2ODirect_Equations.VEERG_4_3_1_3__2_TotalNitrogenInEachMMS(G$169,I225)</f>
        <v>229.23109573986844</v>
      </c>
      <c r="J237" s="55" cm="1">
        <f t="array" ref="J237">MMS_Dairy_N2ODirect_Equations.VEERG_4_3_1_3__2_TotalNitrogenInEachMMS(H$206,J225)</f>
        <v>95.962857079055411</v>
      </c>
      <c r="N237" s="55" t="str">
        <f>'Input - Dairy'!$D$54</f>
        <v>Milking shed</v>
      </c>
      <c r="O237" s="55" t="str">
        <f>'Input - Dairy'!$D$72</f>
        <v>Sump and dispersal system</v>
      </c>
      <c r="P237" s="55" cm="1">
        <f t="array" ref="P237">MMS_Dairy_N2ODirect_Equations.VEERG_4_3_1_3__2_TotalNitrogenInEachMMS(N$169,P225)</f>
        <v>212.24813314524795</v>
      </c>
      <c r="Q237" s="55" cm="1">
        <f t="array" ref="Q237">MMS_Dairy_N2ODirect_Equations.VEERG_4_3_1_3__2_TotalNitrogenInEachMMS(O$169,Q225)</f>
        <v>182.35790267782079</v>
      </c>
      <c r="R237" s="55" cm="1">
        <f t="array" ref="R237">MMS_Dairy_N2ODirect_Equations.VEERG_4_3_1_3__2_TotalNitrogenInEachMMS(P$206,R225)</f>
        <v>72.631224123843424</v>
      </c>
      <c r="S237" s="55" cm="1">
        <f t="array" ref="S237">MMS_Dairy_N2ODirect_Equations.VEERG_4_3_1_3__2_TotalNitrogenInEachMMS(Q$169,S225)</f>
        <v>229.23109573986844</v>
      </c>
      <c r="T237" s="55" cm="1">
        <f t="array" ref="T237">MMS_Dairy_N2ODirect_Equations.VEERG_4_3_1_3__2_TotalNitrogenInEachMMS(R$206,T225)</f>
        <v>95.962857079055411</v>
      </c>
    </row>
    <row r="238" spans="4:20" ht="20.100000000000001" customHeight="1" x14ac:dyDescent="0.25">
      <c r="D238" s="55" t="str">
        <f>'Input - Dairy'!$D$54</f>
        <v>Milking shed</v>
      </c>
      <c r="E238" s="55" t="str">
        <f>'Input - Dairy'!$D$77</f>
        <v>Drains to paddock</v>
      </c>
      <c r="F238" s="55" cm="1">
        <f t="array" ref="F238">MMS_Dairy_N2ODirect_Equations.VEERG_4_3_1_3__2_TotalNitrogenInEachMMS(D$169,F226)</f>
        <v>212.24813314524795</v>
      </c>
      <c r="G238" s="55" cm="1">
        <f t="array" ref="G238">MMS_Dairy_N2ODirect_Equations.VEERG_4_3_1_3__2_TotalNitrogenInEachMMS(E$169,G226)</f>
        <v>182.35790267782079</v>
      </c>
      <c r="H238" s="55" cm="1">
        <f t="array" ref="H238">MMS_Dairy_N2ODirect_Equations.VEERG_4_3_1_3__2_TotalNitrogenInEachMMS(F$206,H226)</f>
        <v>72.631224123843424</v>
      </c>
      <c r="I238" s="55" cm="1">
        <f t="array" ref="I238">MMS_Dairy_N2ODirect_Equations.VEERG_4_3_1_3__2_TotalNitrogenInEachMMS(G$169,I226)</f>
        <v>229.23109573986844</v>
      </c>
      <c r="J238" s="55" cm="1">
        <f t="array" ref="J238">MMS_Dairy_N2ODirect_Equations.VEERG_4_3_1_3__2_TotalNitrogenInEachMMS(H$206,J226)</f>
        <v>95.962857079055411</v>
      </c>
      <c r="N238" s="55" t="str">
        <f>'Input - Dairy'!$D$54</f>
        <v>Milking shed</v>
      </c>
      <c r="O238" s="55" t="str">
        <f>'Input - Dairy'!$D$77</f>
        <v>Drains to paddock</v>
      </c>
      <c r="P238" s="55" cm="1">
        <f t="array" ref="P238">MMS_Dairy_N2ODirect_Equations.VEERG_4_3_1_3__2_TotalNitrogenInEachMMS(N$169,P226)</f>
        <v>212.24813314524795</v>
      </c>
      <c r="Q238" s="55" cm="1">
        <f t="array" ref="Q238">MMS_Dairy_N2ODirect_Equations.VEERG_4_3_1_3__2_TotalNitrogenInEachMMS(O$169,Q226)</f>
        <v>182.35790267782079</v>
      </c>
      <c r="R238" s="55" cm="1">
        <f t="array" ref="R238">MMS_Dairy_N2ODirect_Equations.VEERG_4_3_1_3__2_TotalNitrogenInEachMMS(P$206,R226)</f>
        <v>72.631224123843424</v>
      </c>
      <c r="S238" s="55" cm="1">
        <f t="array" ref="S238">MMS_Dairy_N2ODirect_Equations.VEERG_4_3_1_3__2_TotalNitrogenInEachMMS(Q$169,S226)</f>
        <v>229.23109573986844</v>
      </c>
      <c r="T238" s="55" cm="1">
        <f t="array" ref="T238">MMS_Dairy_N2ODirect_Equations.VEERG_4_3_1_3__2_TotalNitrogenInEachMMS(R$206,T226)</f>
        <v>95.962857079055411</v>
      </c>
    </row>
    <row r="239" spans="4:20" ht="20.100000000000001" customHeight="1" x14ac:dyDescent="0.25">
      <c r="D239" s="55" t="str">
        <f>'Input - Dairy'!$D$54</f>
        <v>Milking shed</v>
      </c>
      <c r="E239" s="55" t="str">
        <f>'Input - Dairy'!$D$82</f>
        <v>Solid storage</v>
      </c>
      <c r="F239" s="55" cm="1">
        <f t="array" ref="F239">MMS_Dairy_N2ODirect_Equations.VEERG_4_3_1_3__2_TotalNitrogenInEachMMS(D$169,F227)</f>
        <v>424.49626629049584</v>
      </c>
      <c r="G239" s="55" cm="1">
        <f t="array" ref="G239">MMS_Dairy_N2ODirect_Equations.VEERG_4_3_1_3__2_TotalNitrogenInEachMMS(E$169,G227)</f>
        <v>364.71580535564152</v>
      </c>
      <c r="H239" s="55" cm="1">
        <f t="array" ref="H239">MMS_Dairy_N2ODirect_Equations.VEERG_4_3_1_3__2_TotalNitrogenInEachMMS(F$206,H227)</f>
        <v>145.26244824768682</v>
      </c>
      <c r="I239" s="55" cm="1">
        <f t="array" ref="I239">MMS_Dairy_N2ODirect_Equations.VEERG_4_3_1_3__2_TotalNitrogenInEachMMS(G$169,I227)</f>
        <v>458.46219147973682</v>
      </c>
      <c r="J239" s="55" cm="1">
        <f t="array" ref="J239">MMS_Dairy_N2ODirect_Equations.VEERG_4_3_1_3__2_TotalNitrogenInEachMMS(H$206,J227)</f>
        <v>191.92571415811079</v>
      </c>
      <c r="N239" s="55" t="str">
        <f>'Input - Dairy'!$D$54</f>
        <v>Milking shed</v>
      </c>
      <c r="O239" s="55" t="str">
        <f>'Input - Dairy'!$D$82</f>
        <v>Solid storage</v>
      </c>
      <c r="P239" s="55" cm="1">
        <f t="array" ref="P239">MMS_Dairy_N2ODirect_Equations.VEERG_4_3_1_3__2_TotalNitrogenInEachMMS(N$169,P227)</f>
        <v>424.49626629049584</v>
      </c>
      <c r="Q239" s="55" cm="1">
        <f t="array" ref="Q239">MMS_Dairy_N2ODirect_Equations.VEERG_4_3_1_3__2_TotalNitrogenInEachMMS(O$169,Q227)</f>
        <v>364.71580535564152</v>
      </c>
      <c r="R239" s="55" cm="1">
        <f t="array" ref="R239">MMS_Dairy_N2ODirect_Equations.VEERG_4_3_1_3__2_TotalNitrogenInEachMMS(P$206,R227)</f>
        <v>145.26244824768682</v>
      </c>
      <c r="S239" s="55" cm="1">
        <f t="array" ref="S239">MMS_Dairy_N2ODirect_Equations.VEERG_4_3_1_3__2_TotalNitrogenInEachMMS(Q$169,S227)</f>
        <v>458.46219147973682</v>
      </c>
      <c r="T239" s="55" cm="1">
        <f t="array" ref="T239">MMS_Dairy_N2ODirect_Equations.VEERG_4_3_1_3__2_TotalNitrogenInEachMMS(R$206,T227)</f>
        <v>191.92571415811079</v>
      </c>
    </row>
    <row r="240" spans="4:20" ht="20.100000000000001" customHeight="1" x14ac:dyDescent="0.25">
      <c r="D240" s="55" t="str">
        <f>'Input - Dairy'!$D$55</f>
        <v>Feed pad</v>
      </c>
      <c r="E240" s="55" t="str">
        <f>'Input - Dairy'!$D$101</f>
        <v>Anaerobic lagoon</v>
      </c>
      <c r="F240" s="55" cm="1">
        <f t="array" ref="F240">MMS_Dairy_N2ODirect_Equations.VEERG_4_3_1_3__2_TotalNitrogenInEachMMS(D$169,F228)</f>
        <v>858.64017499668478</v>
      </c>
      <c r="G240" s="55" cm="1">
        <f t="array" ref="G240">MMS_Dairy_N2ODirect_Equations.VEERG_4_3_1_3__2_TotalNitrogenInEachMMS(E$169,G228)</f>
        <v>737.72060628754764</v>
      </c>
      <c r="H240" s="55" cm="1">
        <f t="array" ref="H240">MMS_Dairy_N2ODirect_Equations.VEERG_4_3_1_3__2_TotalNitrogenInEachMMS(F$206,H228)</f>
        <v>293.82631577373019</v>
      </c>
      <c r="I240" s="55" cm="1">
        <f t="array" ref="I240">MMS_Dairy_N2ODirect_Equations.VEERG_4_3_1_3__2_TotalNitrogenInEachMMS(G$169,I228)</f>
        <v>927.34397822037681</v>
      </c>
      <c r="J240" s="55" cm="1">
        <f t="array" ref="J240">MMS_Dairy_N2ODirect_Equations.VEERG_4_3_1_3__2_TotalNitrogenInEachMMS(H$206,J228)</f>
        <v>388.21337636526954</v>
      </c>
      <c r="N240" s="55" t="str">
        <f>'Input - Dairy'!$D$55</f>
        <v>Feed pad</v>
      </c>
      <c r="O240" s="55" t="str">
        <f>'Input - Dairy'!$D$101</f>
        <v>Anaerobic lagoon</v>
      </c>
      <c r="P240" s="55" cm="1">
        <f t="array" ref="P240">MMS_Dairy_N2ODirect_Equations.VEERG_4_3_1_3__2_TotalNitrogenInEachMMS(N$169,P228)</f>
        <v>858.64017499668478</v>
      </c>
      <c r="Q240" s="55" cm="1">
        <f t="array" ref="Q240">MMS_Dairy_N2ODirect_Equations.VEERG_4_3_1_3__2_TotalNitrogenInEachMMS(O$169,Q228)</f>
        <v>737.72060628754764</v>
      </c>
      <c r="R240" s="55" cm="1">
        <f t="array" ref="R240">MMS_Dairy_N2ODirect_Equations.VEERG_4_3_1_3__2_TotalNitrogenInEachMMS(P$206,R228)</f>
        <v>293.82631577373019</v>
      </c>
      <c r="S240" s="55" cm="1">
        <f t="array" ref="S240">MMS_Dairy_N2ODirect_Equations.VEERG_4_3_1_3__2_TotalNitrogenInEachMMS(Q$169,S228)</f>
        <v>927.34397822037681</v>
      </c>
      <c r="T240" s="55" cm="1">
        <f t="array" ref="T240">MMS_Dairy_N2ODirect_Equations.VEERG_4_3_1_3__2_TotalNitrogenInEachMMS(R$206,T228)</f>
        <v>388.21337636526954</v>
      </c>
    </row>
    <row r="241" spans="3:21" ht="20.100000000000001" customHeight="1" x14ac:dyDescent="0.25">
      <c r="D241" s="55" t="str">
        <f>'Input - Dairy'!$D$55</f>
        <v>Feed pad</v>
      </c>
      <c r="E241" s="55" t="str">
        <f>'Input - Dairy'!$D$106</f>
        <v>Sump and dispersal system</v>
      </c>
      <c r="F241" s="55" cm="1">
        <f t="array" ref="F241">MMS_Dairy_N2ODirect_Equations.VEERG_4_3_1_3__2_TotalNitrogenInEachMMS(D$169,F229)</f>
        <v>686.91213999734782</v>
      </c>
      <c r="G241" s="55" cm="1">
        <f t="array" ref="G241">MMS_Dairy_N2ODirect_Equations.VEERG_4_3_1_3__2_TotalNitrogenInEachMMS(E$169,G229)</f>
        <v>590.17648503003818</v>
      </c>
      <c r="H241" s="55" cm="1">
        <f t="array" ref="H241">MMS_Dairy_N2ODirect_Equations.VEERG_4_3_1_3__2_TotalNitrogenInEachMMS(F$206,H229)</f>
        <v>235.06105261898415</v>
      </c>
      <c r="I241" s="55" cm="1">
        <f t="array" ref="I241">MMS_Dairy_N2ODirect_Equations.VEERG_4_3_1_3__2_TotalNitrogenInEachMMS(G$169,I229)</f>
        <v>741.87518257630143</v>
      </c>
      <c r="J241" s="55" cm="1">
        <f t="array" ref="J241">MMS_Dairy_N2ODirect_Equations.VEERG_4_3_1_3__2_TotalNitrogenInEachMMS(H$206,J229)</f>
        <v>310.57070109221564</v>
      </c>
      <c r="N241" s="55" t="str">
        <f>'Input - Dairy'!$D$55</f>
        <v>Feed pad</v>
      </c>
      <c r="O241" s="55" t="str">
        <f>'Input - Dairy'!$D$106</f>
        <v>Sump and dispersal system</v>
      </c>
      <c r="P241" s="55" cm="1">
        <f t="array" ref="P241">MMS_Dairy_N2ODirect_Equations.VEERG_4_3_1_3__2_TotalNitrogenInEachMMS(N$169,P229)</f>
        <v>686.91213999734782</v>
      </c>
      <c r="Q241" s="55" cm="1">
        <f t="array" ref="Q241">MMS_Dairy_N2ODirect_Equations.VEERG_4_3_1_3__2_TotalNitrogenInEachMMS(O$169,Q229)</f>
        <v>590.17648503003818</v>
      </c>
      <c r="R241" s="55" cm="1">
        <f t="array" ref="R241">MMS_Dairy_N2ODirect_Equations.VEERG_4_3_1_3__2_TotalNitrogenInEachMMS(P$206,R229)</f>
        <v>235.06105261898415</v>
      </c>
      <c r="S241" s="55" cm="1">
        <f t="array" ref="S241">MMS_Dairy_N2ODirect_Equations.VEERG_4_3_1_3__2_TotalNitrogenInEachMMS(Q$169,S229)</f>
        <v>741.87518257630143</v>
      </c>
      <c r="T241" s="55" cm="1">
        <f t="array" ref="T241">MMS_Dairy_N2ODirect_Equations.VEERG_4_3_1_3__2_TotalNitrogenInEachMMS(R$206,T229)</f>
        <v>310.57070109221564</v>
      </c>
    </row>
    <row r="242" spans="3:21" ht="20.100000000000001" customHeight="1" x14ac:dyDescent="0.25">
      <c r="D242" s="55" t="str">
        <f>'Input - Dairy'!$D$55</f>
        <v>Feed pad</v>
      </c>
      <c r="E242" s="55" t="str">
        <f>'Input - Dairy'!$D$111</f>
        <v>Drains to paddock</v>
      </c>
      <c r="F242" s="55" cm="1">
        <f t="array" ref="F242">MMS_Dairy_N2ODirect_Equations.VEERG_4_3_1_3__2_TotalNitrogenInEachMMS(D$169,F230)</f>
        <v>686.91213999734782</v>
      </c>
      <c r="G242" s="55" cm="1">
        <f t="array" ref="G242">MMS_Dairy_N2ODirect_Equations.VEERG_4_3_1_3__2_TotalNitrogenInEachMMS(E$169,G230)</f>
        <v>590.17648503003818</v>
      </c>
      <c r="H242" s="55" cm="1">
        <f t="array" ref="H242">MMS_Dairy_N2ODirect_Equations.VEERG_4_3_1_3__2_TotalNitrogenInEachMMS(F$206,H230)</f>
        <v>235.06105261898415</v>
      </c>
      <c r="I242" s="55" cm="1">
        <f t="array" ref="I242">MMS_Dairy_N2ODirect_Equations.VEERG_4_3_1_3__2_TotalNitrogenInEachMMS(G$169,I230)</f>
        <v>741.87518257630143</v>
      </c>
      <c r="J242" s="55" cm="1">
        <f t="array" ref="J242">MMS_Dairy_N2ODirect_Equations.VEERG_4_3_1_3__2_TotalNitrogenInEachMMS(H$206,J230)</f>
        <v>310.57070109221564</v>
      </c>
      <c r="N242" s="55" t="str">
        <f>'Input - Dairy'!$D$55</f>
        <v>Feed pad</v>
      </c>
      <c r="O242" s="55" t="str">
        <f>'Input - Dairy'!$D$111</f>
        <v>Drains to paddock</v>
      </c>
      <c r="P242" s="55" cm="1">
        <f t="array" ref="P242">MMS_Dairy_N2ODirect_Equations.VEERG_4_3_1_3__2_TotalNitrogenInEachMMS(N$169,P230)</f>
        <v>686.91213999734782</v>
      </c>
      <c r="Q242" s="55" cm="1">
        <f t="array" ref="Q242">MMS_Dairy_N2ODirect_Equations.VEERG_4_3_1_3__2_TotalNitrogenInEachMMS(O$169,Q230)</f>
        <v>590.17648503003818</v>
      </c>
      <c r="R242" s="55" cm="1">
        <f t="array" ref="R242">MMS_Dairy_N2ODirect_Equations.VEERG_4_3_1_3__2_TotalNitrogenInEachMMS(P$206,R230)</f>
        <v>235.06105261898415</v>
      </c>
      <c r="S242" s="55" cm="1">
        <f t="array" ref="S242">MMS_Dairy_N2ODirect_Equations.VEERG_4_3_1_3__2_TotalNitrogenInEachMMS(Q$169,S230)</f>
        <v>741.87518257630143</v>
      </c>
      <c r="T242" s="55" cm="1">
        <f t="array" ref="T242">MMS_Dairy_N2ODirect_Equations.VEERG_4_3_1_3__2_TotalNitrogenInEachMMS(R$206,T230)</f>
        <v>310.57070109221564</v>
      </c>
    </row>
    <row r="243" spans="3:21" ht="20.100000000000001" customHeight="1" x14ac:dyDescent="0.25">
      <c r="D243" s="55" t="str">
        <f>'Input - Dairy'!$D$55</f>
        <v>Feed pad</v>
      </c>
      <c r="E243" s="55" t="str">
        <f>'Input - Dairy'!$D$116</f>
        <v>Solid storage</v>
      </c>
      <c r="F243" s="55" cm="1">
        <f t="array" ref="F243">MMS_Dairy_N2ODirect_Equations.VEERG_4_3_1_3__2_TotalNitrogenInEachMMS(D$169,F231)</f>
        <v>1202.0962449953586</v>
      </c>
      <c r="G243" s="55" cm="1">
        <f t="array" ref="G243">MMS_Dairy_N2ODirect_Equations.VEERG_4_3_1_3__2_TotalNitrogenInEachMMS(E$169,G231)</f>
        <v>1032.8088488025667</v>
      </c>
      <c r="H243" s="55" cm="1">
        <f t="array" ref="H243">MMS_Dairy_N2ODirect_Equations.VEERG_4_3_1_3__2_TotalNitrogenInEachMMS(F$206,H231)</f>
        <v>411.35684208322226</v>
      </c>
      <c r="I243" s="55" cm="1">
        <f t="array" ref="I243">MMS_Dairy_N2ODirect_Equations.VEERG_4_3_1_3__2_TotalNitrogenInEachMMS(G$169,I231)</f>
        <v>1298.2815695085274</v>
      </c>
      <c r="J243" s="55" cm="1">
        <f t="array" ref="J243">MMS_Dairy_N2ODirect_Equations.VEERG_4_3_1_3__2_TotalNitrogenInEachMMS(H$206,J231)</f>
        <v>543.49872691137739</v>
      </c>
      <c r="N243" s="55" t="str">
        <f>'Input - Dairy'!$D$55</f>
        <v>Feed pad</v>
      </c>
      <c r="O243" s="55" t="str">
        <f>'Input - Dairy'!$D$116</f>
        <v>Solid storage</v>
      </c>
      <c r="P243" s="55" cm="1">
        <f t="array" ref="P243">MMS_Dairy_N2ODirect_Equations.VEERG_4_3_1_3__2_TotalNitrogenInEachMMS(N$169,P231)</f>
        <v>1202.0962449953586</v>
      </c>
      <c r="Q243" s="55" cm="1">
        <f t="array" ref="Q243">MMS_Dairy_N2ODirect_Equations.VEERG_4_3_1_3__2_TotalNitrogenInEachMMS(O$169,Q231)</f>
        <v>1032.8088488025667</v>
      </c>
      <c r="R243" s="55" cm="1">
        <f t="array" ref="R243">MMS_Dairy_N2ODirect_Equations.VEERG_4_3_1_3__2_TotalNitrogenInEachMMS(P$206,R231)</f>
        <v>411.35684208322226</v>
      </c>
      <c r="S243" s="55" cm="1">
        <f t="array" ref="S243">MMS_Dairy_N2ODirect_Equations.VEERG_4_3_1_3__2_TotalNitrogenInEachMMS(Q$169,S231)</f>
        <v>1298.2815695085274</v>
      </c>
      <c r="T243" s="55" cm="1">
        <f t="array" ref="T243">MMS_Dairy_N2ODirect_Equations.VEERG_4_3_1_3__2_TotalNitrogenInEachMMS(R$206,T231)</f>
        <v>543.49872691137739</v>
      </c>
    </row>
    <row r="244" spans="3:21" ht="20.100000000000001" customHeight="1" x14ac:dyDescent="0.25"/>
    <row r="245" spans="3:21" ht="20.100000000000001" customHeight="1" x14ac:dyDescent="0.25"/>
    <row r="246" spans="3:21" ht="20.100000000000001" customHeight="1" x14ac:dyDescent="0.25">
      <c r="C246" s="48"/>
      <c r="D246" s="48"/>
      <c r="E246" s="48"/>
      <c r="F246" s="48"/>
      <c r="G246" s="48"/>
      <c r="H246" s="48"/>
      <c r="I246" s="48"/>
      <c r="J246" s="48"/>
      <c r="K246" s="48"/>
      <c r="M246" s="48"/>
      <c r="N246" s="48"/>
      <c r="O246" s="48"/>
      <c r="P246" s="48"/>
      <c r="Q246" s="48"/>
      <c r="R246" s="48"/>
      <c r="S246" s="48"/>
      <c r="T246" s="48"/>
      <c r="U246" s="48"/>
    </row>
    <row r="247" spans="3:21" ht="20.100000000000001" customHeight="1" x14ac:dyDescent="0.25">
      <c r="D247" s="6" t="str" cm="1">
        <f t="array" ref="D247">MMS_Dairy_N2ODirect_Equations.VEERG_4_3_1_3__1_TotalAnnualDirectNitrousOxideEmissionsFromMMS_Title()</f>
        <v>Total annual direct nitrous oxide emissions from manure management systems</v>
      </c>
    </row>
    <row r="248" spans="3:21" ht="20.100000000000001" customHeight="1" x14ac:dyDescent="0.25">
      <c r="D248" s="5" t="str" cm="1">
        <f t="array" ref="D248">MMS_Dairy_N2ODirect_Equations.VEERG_4_3_1_3__1_TotalAnnualDirectNitrousOxideEmissionsFromMMS_Source()</f>
        <v>VEERG 2026: 4.3.1.3, Equation (1)</v>
      </c>
    </row>
    <row r="249" spans="3:21" ht="20.100000000000001" customHeight="1" x14ac:dyDescent="0.25">
      <c r="D249" s="13" t="s">
        <v>28</v>
      </c>
      <c r="E249" s="13" t="str" cm="1">
        <f t="array" aca="1" ref="E249" ca="1">Common_InputFunctions.Utility_DisplayFunctionName(F273)</f>
        <v>=MMS_Dairy_N2ODirect_Equations.VEERG_4_3_1_3__1_TotalAnnualDirectNitrousOxideEmissionsFromMMS</v>
      </c>
    </row>
    <row r="250" spans="3:21" ht="20.100000000000001" customHeight="1" x14ac:dyDescent="0.25"/>
    <row r="251" spans="3:21" ht="20.100000000000001" customHeight="1" x14ac:dyDescent="0.25">
      <c r="D251" s="6"/>
    </row>
    <row r="252" spans="3:21" ht="20.100000000000001" customHeight="1" x14ac:dyDescent="0.25">
      <c r="D252" s="56" t="s">
        <v>31</v>
      </c>
      <c r="E252" s="1" t="str" cm="1">
        <f t="array" ref="E252">MMS_Dairy_N2ODirect_Equations.VEERG_4_3_1_3__1_TotalAnnualDirectNitrousOxideEmissionsFromMMS_Variable()</f>
        <v>E_N2Odir</v>
      </c>
    </row>
    <row r="253" spans="3:21" ht="20.100000000000001" customHeight="1" x14ac:dyDescent="0.25">
      <c r="D253" s="56" t="s">
        <v>21</v>
      </c>
      <c r="E253" s="57" t="str" cm="1">
        <f t="array" ref="E253">MMS_Dairy_N2ODirect_Equations.VEERG_4_3_1_3__1_TotalAnnualDirectNitrousOxideEmissionsFromMMS_Unit()</f>
        <v>t N2O</v>
      </c>
    </row>
    <row r="254" spans="3:21" ht="20.100000000000001" customHeight="1" x14ac:dyDescent="0.25"/>
    <row r="255" spans="3:21" ht="20.100000000000001" customHeight="1" x14ac:dyDescent="0.25">
      <c r="D255" s="60" t="str" cm="1">
        <f t="array" ref="D255:E257">MMS_Dairy_N2ODirect_Equations.VEERG_4_3_1_3__1_TotalAnnualDirectNitrousOxideEmissionsFromMMS_Arguments()</f>
        <v>MN_jm</v>
      </c>
      <c r="E255" s="61" t="str">
        <v>total nitrogen in each MMS for dairy cattle classes (kg N)</v>
      </c>
      <c r="F255" s="62"/>
      <c r="G255" s="60" t="str">
        <f>"See " &amp; D233</f>
        <v>See M1_Table_MN_j_m</v>
      </c>
    </row>
    <row r="256" spans="3:21" ht="20.100000000000001" customHeight="1" x14ac:dyDescent="0.25">
      <c r="D256" s="60" t="str">
        <v>EF_m</v>
      </c>
      <c r="E256" s="61" t="str">
        <v>nitrous oxide emission factor for each MMS (kg N2O-N/kg N deposited)</v>
      </c>
      <c r="F256" s="62"/>
      <c r="G256" s="60" t="str">
        <f>"See " &amp; D259</f>
        <v>See Table_EF_m</v>
      </c>
    </row>
    <row r="257" spans="4:20" ht="20.100000000000001" customHeight="1" x14ac:dyDescent="0.25">
      <c r="D257" s="60" t="str">
        <v>C_N2O</v>
      </c>
      <c r="E257" s="61" t="str">
        <v>factor to convert elemental mass of N2O to molecular mass</v>
      </c>
      <c r="F257" s="62"/>
      <c r="G257" s="60">
        <f>Common_InputFunctions.Utility_LookupValueInTableNumber("N2O",Table_GasToMolecularConversionFactor[Gas],Table_GasToMolecularConversionFactor[Conversion factor combined])</f>
        <v>1.5714285714285714</v>
      </c>
    </row>
    <row r="258" spans="4:20" ht="20.100000000000001" customHeight="1" x14ac:dyDescent="0.25"/>
    <row r="259" spans="4:20" ht="20.100000000000001" customHeight="1" x14ac:dyDescent="0.25">
      <c r="D259" s="104" t="s">
        <v>331</v>
      </c>
    </row>
    <row r="260" spans="4:20" ht="20.100000000000001" customHeight="1" x14ac:dyDescent="0.25">
      <c r="D260" s="103" t="s">
        <v>332</v>
      </c>
    </row>
    <row r="261" spans="4:20" ht="20.100000000000001" customHeight="1" x14ac:dyDescent="0.25">
      <c r="D261" s="54" t="s">
        <v>69</v>
      </c>
      <c r="E261" s="54" t="s">
        <v>333</v>
      </c>
    </row>
    <row r="262" spans="4:20" ht="20.100000000000001" customHeight="1" x14ac:dyDescent="0.25">
      <c r="D262" s="55" t="str" cm="1">
        <f t="array" ref="D262:D266">Table_SourceData_Dairy_EFmFracGASM[NIR reference]</f>
        <v>Pasture range and paddock</v>
      </c>
      <c r="E262" s="55" cm="1">
        <f t="array" ref="E262:E266">Table_SourceData_Dairy_EFmFracGASM[EFm]</f>
        <v>0</v>
      </c>
    </row>
    <row r="263" spans="4:20" ht="20.100000000000001" customHeight="1" x14ac:dyDescent="0.25">
      <c r="D263" s="55" t="str">
        <v>Anaerobic lagoon</v>
      </c>
      <c r="E263" s="55">
        <v>0</v>
      </c>
    </row>
    <row r="264" spans="4:20" ht="20.100000000000001" customHeight="1" x14ac:dyDescent="0.25">
      <c r="D264" s="55" t="str">
        <v>Sump and dispersal system</v>
      </c>
      <c r="E264" s="55">
        <v>0</v>
      </c>
    </row>
    <row r="265" spans="4:20" ht="20.100000000000001" customHeight="1" x14ac:dyDescent="0.25">
      <c r="D265" s="55" t="str">
        <v>Drains to paddock</v>
      </c>
      <c r="E265" s="55">
        <v>0</v>
      </c>
    </row>
    <row r="266" spans="4:20" ht="20.100000000000001" customHeight="1" x14ac:dyDescent="0.25">
      <c r="D266" s="55" t="str">
        <v>Solid storage</v>
      </c>
      <c r="E266" s="55">
        <v>5.0000000000000001E-3</v>
      </c>
    </row>
    <row r="267" spans="4:20" ht="20.100000000000001" customHeight="1" x14ac:dyDescent="0.25"/>
    <row r="268" spans="4:20" ht="20.100000000000001" customHeight="1" x14ac:dyDescent="0.25">
      <c r="D268" s="104" t="s">
        <v>127</v>
      </c>
      <c r="N268" s="104" t="s">
        <v>127</v>
      </c>
    </row>
    <row r="269" spans="4:20" ht="20.100000000000001" customHeight="1" x14ac:dyDescent="0.25">
      <c r="D269" s="103" t="s">
        <v>334</v>
      </c>
      <c r="N269" s="103" t="s">
        <v>334</v>
      </c>
    </row>
    <row r="270" spans="4:20" ht="20.100000000000001" customHeight="1" x14ac:dyDescent="0.25">
      <c r="D270" s="54" t="s">
        <v>152</v>
      </c>
      <c r="E270" s="54" t="s">
        <v>69</v>
      </c>
      <c r="F270" s="54" t="s">
        <v>178</v>
      </c>
      <c r="G270" s="54" t="s">
        <v>195</v>
      </c>
      <c r="H270" s="54" t="s">
        <v>196</v>
      </c>
      <c r="I270" s="54" t="s">
        <v>197</v>
      </c>
      <c r="J270" s="54" t="s">
        <v>198</v>
      </c>
      <c r="N270" s="54" t="s">
        <v>152</v>
      </c>
      <c r="O270" s="54" t="s">
        <v>69</v>
      </c>
      <c r="P270" s="54" t="s">
        <v>178</v>
      </c>
      <c r="Q270" s="54" t="s">
        <v>195</v>
      </c>
      <c r="R270" s="54" t="s">
        <v>196</v>
      </c>
      <c r="S270" s="54" t="s">
        <v>197</v>
      </c>
      <c r="T270" s="54" t="s">
        <v>198</v>
      </c>
    </row>
    <row r="271" spans="4:20" ht="20.100000000000001" customHeight="1" x14ac:dyDescent="0.25">
      <c r="D271" s="55" t="str">
        <f>'Input - Dairy'!$D$54</f>
        <v>Milking shed</v>
      </c>
      <c r="E271" s="55" t="str">
        <f>'Input - Dairy'!$D$67</f>
        <v>Anaerobic lagoon</v>
      </c>
      <c r="F271" s="55" cm="1">
        <f t="array" ref="F271">MMS_Dairy_N2ODirect_Equations.VEERG_4_3_1_3__1_TotalAnnualDirectNitrousOxideEmissionsFromMMS(F236,$E263,$G$257)</f>
        <v>0</v>
      </c>
      <c r="G271" s="55" cm="1">
        <f t="array" ref="G271">MMS_Dairy_N2ODirect_Equations.VEERG_4_3_1_3__1_TotalAnnualDirectNitrousOxideEmissionsFromMMS(G236,$E263,$G$257)</f>
        <v>0</v>
      </c>
      <c r="H271" s="55" cm="1">
        <f t="array" ref="H271">MMS_Dairy_N2ODirect_Equations.VEERG_4_3_1_3__1_TotalAnnualDirectNitrousOxideEmissionsFromMMS(H236,$E263,$G$257)</f>
        <v>0</v>
      </c>
      <c r="I271" s="55" cm="1">
        <f t="array" ref="I271">MMS_Dairy_N2ODirect_Equations.VEERG_4_3_1_3__1_TotalAnnualDirectNitrousOxideEmissionsFromMMS(I236,$E263,$G$257)</f>
        <v>0</v>
      </c>
      <c r="J271" s="55" cm="1">
        <f t="array" ref="J271">MMS_Dairy_N2ODirect_Equations.VEERG_4_3_1_3__1_TotalAnnualDirectNitrousOxideEmissionsFromMMS(J236,$E263,$G$257)</f>
        <v>0</v>
      </c>
      <c r="N271" s="55" t="str">
        <f>'Input - Dairy'!$D$54</f>
        <v>Milking shed</v>
      </c>
      <c r="O271" s="55" t="str">
        <f>'Input - Dairy'!$D$67</f>
        <v>Anaerobic lagoon</v>
      </c>
      <c r="P271" s="55" cm="1">
        <f t="array" ref="P271">MMS_Dairy_N2ODirect_Equations.VEERG_4_3_1_3__1_TotalAnnualDirectNitrousOxideEmissionsFromMMS(P236,$E263,$G$257)</f>
        <v>0</v>
      </c>
      <c r="Q271" s="55" cm="1">
        <f t="array" ref="Q271">MMS_Dairy_N2ODirect_Equations.VEERG_4_3_1_3__1_TotalAnnualDirectNitrousOxideEmissionsFromMMS(Q236,$E263,$G$257)</f>
        <v>0</v>
      </c>
      <c r="R271" s="55" cm="1">
        <f t="array" ref="R271">MMS_Dairy_N2ODirect_Equations.VEERG_4_3_1_3__1_TotalAnnualDirectNitrousOxideEmissionsFromMMS(R236,$E263,$G$257)</f>
        <v>0</v>
      </c>
      <c r="S271" s="55" cm="1">
        <f t="array" ref="S271">MMS_Dairy_N2ODirect_Equations.VEERG_4_3_1_3__1_TotalAnnualDirectNitrousOxideEmissionsFromMMS(S236,$E263,$G$257)</f>
        <v>0</v>
      </c>
      <c r="T271" s="55" cm="1">
        <f t="array" ref="T271">MMS_Dairy_N2ODirect_Equations.VEERG_4_3_1_3__1_TotalAnnualDirectNitrousOxideEmissionsFromMMS(T236,$E263,$G$257)</f>
        <v>0</v>
      </c>
    </row>
    <row r="272" spans="4:20" ht="20.100000000000001" customHeight="1" x14ac:dyDescent="0.25">
      <c r="D272" s="55" t="str">
        <f>'Input - Dairy'!$D$54</f>
        <v>Milking shed</v>
      </c>
      <c r="E272" s="55" t="str">
        <f>'Input - Dairy'!$D$72</f>
        <v>Sump and dispersal system</v>
      </c>
      <c r="F272" s="55" cm="1">
        <f t="array" ref="F272">MMS_Dairy_N2ODirect_Equations.VEERG_4_3_1_3__1_TotalAnnualDirectNitrousOxideEmissionsFromMMS(F237,$E264,$G$257)</f>
        <v>0</v>
      </c>
      <c r="G272" s="55" cm="1">
        <f t="array" ref="G272">MMS_Dairy_N2ODirect_Equations.VEERG_4_3_1_3__1_TotalAnnualDirectNitrousOxideEmissionsFromMMS(G237,$E264,$G$257)</f>
        <v>0</v>
      </c>
      <c r="H272" s="55" cm="1">
        <f t="array" ref="H272">MMS_Dairy_N2ODirect_Equations.VEERG_4_3_1_3__1_TotalAnnualDirectNitrousOxideEmissionsFromMMS(H237,$E264,$G$257)</f>
        <v>0</v>
      </c>
      <c r="I272" s="55" cm="1">
        <f t="array" ref="I272">MMS_Dairy_N2ODirect_Equations.VEERG_4_3_1_3__1_TotalAnnualDirectNitrousOxideEmissionsFromMMS(I237,$E264,$G$257)</f>
        <v>0</v>
      </c>
      <c r="J272" s="55" cm="1">
        <f t="array" ref="J272">MMS_Dairy_N2ODirect_Equations.VEERG_4_3_1_3__1_TotalAnnualDirectNitrousOxideEmissionsFromMMS(J237,$E264,$G$257)</f>
        <v>0</v>
      </c>
      <c r="N272" s="55" t="str">
        <f>'Input - Dairy'!$D$54</f>
        <v>Milking shed</v>
      </c>
      <c r="O272" s="55" t="str">
        <f>'Input - Dairy'!$D$72</f>
        <v>Sump and dispersal system</v>
      </c>
      <c r="P272" s="55" cm="1">
        <f t="array" ref="P272">MMS_Dairy_N2ODirect_Equations.VEERG_4_3_1_3__1_TotalAnnualDirectNitrousOxideEmissionsFromMMS(P237,$E264,$G$257)</f>
        <v>0</v>
      </c>
      <c r="Q272" s="55" cm="1">
        <f t="array" ref="Q272">MMS_Dairy_N2ODirect_Equations.VEERG_4_3_1_3__1_TotalAnnualDirectNitrousOxideEmissionsFromMMS(Q237,$E264,$G$257)</f>
        <v>0</v>
      </c>
      <c r="R272" s="55" cm="1">
        <f t="array" ref="R272">MMS_Dairy_N2ODirect_Equations.VEERG_4_3_1_3__1_TotalAnnualDirectNitrousOxideEmissionsFromMMS(R237,$E264,$G$257)</f>
        <v>0</v>
      </c>
      <c r="S272" s="55" cm="1">
        <f t="array" ref="S272">MMS_Dairy_N2ODirect_Equations.VEERG_4_3_1_3__1_TotalAnnualDirectNitrousOxideEmissionsFromMMS(S237,$E264,$G$257)</f>
        <v>0</v>
      </c>
      <c r="T272" s="55" cm="1">
        <f t="array" ref="T272">MMS_Dairy_N2ODirect_Equations.VEERG_4_3_1_3__1_TotalAnnualDirectNitrousOxideEmissionsFromMMS(T237,$E264,$G$257)</f>
        <v>0</v>
      </c>
    </row>
    <row r="273" spans="4:20" ht="20.100000000000001" customHeight="1" x14ac:dyDescent="0.25">
      <c r="D273" s="55" t="str">
        <f>'Input - Dairy'!$D$54</f>
        <v>Milking shed</v>
      </c>
      <c r="E273" s="55" t="str">
        <f>'Input - Dairy'!$D$77</f>
        <v>Drains to paddock</v>
      </c>
      <c r="F273" s="55" cm="1">
        <f t="array" ref="F273">MMS_Dairy_N2ODirect_Equations.VEERG_4_3_1_3__1_TotalAnnualDirectNitrousOxideEmissionsFromMMS(F238,$E265,$G$257)</f>
        <v>0</v>
      </c>
      <c r="G273" s="55" cm="1">
        <f t="array" ref="G273">MMS_Dairy_N2ODirect_Equations.VEERG_4_3_1_3__1_TotalAnnualDirectNitrousOxideEmissionsFromMMS(G238,$E265,$G$257)</f>
        <v>0</v>
      </c>
      <c r="H273" s="55" cm="1">
        <f t="array" ref="H273">MMS_Dairy_N2ODirect_Equations.VEERG_4_3_1_3__1_TotalAnnualDirectNitrousOxideEmissionsFromMMS(H238,$E265,$G$257)</f>
        <v>0</v>
      </c>
      <c r="I273" s="55" cm="1">
        <f t="array" ref="I273">MMS_Dairy_N2ODirect_Equations.VEERG_4_3_1_3__1_TotalAnnualDirectNitrousOxideEmissionsFromMMS(I238,$E265,$G$257)</f>
        <v>0</v>
      </c>
      <c r="J273" s="55" cm="1">
        <f t="array" ref="J273">MMS_Dairy_N2ODirect_Equations.VEERG_4_3_1_3__1_TotalAnnualDirectNitrousOxideEmissionsFromMMS(J238,$E265,$G$257)</f>
        <v>0</v>
      </c>
      <c r="N273" s="55" t="str">
        <f>'Input - Dairy'!$D$54</f>
        <v>Milking shed</v>
      </c>
      <c r="O273" s="55" t="str">
        <f>'Input - Dairy'!$D$77</f>
        <v>Drains to paddock</v>
      </c>
      <c r="P273" s="55" cm="1">
        <f t="array" ref="P273">MMS_Dairy_N2ODirect_Equations.VEERG_4_3_1_3__1_TotalAnnualDirectNitrousOxideEmissionsFromMMS(P238,$E265,$G$257)</f>
        <v>0</v>
      </c>
      <c r="Q273" s="55" cm="1">
        <f t="array" ref="Q273">MMS_Dairy_N2ODirect_Equations.VEERG_4_3_1_3__1_TotalAnnualDirectNitrousOxideEmissionsFromMMS(Q238,$E265,$G$257)</f>
        <v>0</v>
      </c>
      <c r="R273" s="55" cm="1">
        <f t="array" ref="R273">MMS_Dairy_N2ODirect_Equations.VEERG_4_3_1_3__1_TotalAnnualDirectNitrousOxideEmissionsFromMMS(R238,$E265,$G$257)</f>
        <v>0</v>
      </c>
      <c r="S273" s="55" cm="1">
        <f t="array" ref="S273">MMS_Dairy_N2ODirect_Equations.VEERG_4_3_1_3__1_TotalAnnualDirectNitrousOxideEmissionsFromMMS(S238,$E265,$G$257)</f>
        <v>0</v>
      </c>
      <c r="T273" s="55" cm="1">
        <f t="array" ref="T273">MMS_Dairy_N2ODirect_Equations.VEERG_4_3_1_3__1_TotalAnnualDirectNitrousOxideEmissionsFromMMS(T238,$E265,$G$257)</f>
        <v>0</v>
      </c>
    </row>
    <row r="274" spans="4:20" ht="20.100000000000001" customHeight="1" x14ac:dyDescent="0.25">
      <c r="D274" s="55" t="str">
        <f>'Input - Dairy'!$D$54</f>
        <v>Milking shed</v>
      </c>
      <c r="E274" s="55" t="str">
        <f>'Input - Dairy'!$D$82</f>
        <v>Solid storage</v>
      </c>
      <c r="F274" s="55" cm="1">
        <f t="array" ref="F274">MMS_Dairy_N2ODirect_Equations.VEERG_4_3_1_3__1_TotalAnnualDirectNitrousOxideEmissionsFromMMS(F239,$E266,$G$257)</f>
        <v>3.3353278065681815E-3</v>
      </c>
      <c r="G274" s="55" cm="1">
        <f t="array" ref="G274">MMS_Dairy_N2ODirect_Equations.VEERG_4_3_1_3__1_TotalAnnualDirectNitrousOxideEmissionsFromMMS(G239,$E266,$G$257)</f>
        <v>2.8656241849371834E-3</v>
      </c>
      <c r="H274" s="55" cm="1">
        <f t="array" ref="H274">MMS_Dairy_N2ODirect_Equations.VEERG_4_3_1_3__1_TotalAnnualDirectNitrousOxideEmissionsFromMMS(H239,$E266,$G$257)</f>
        <v>1.1413478076603965E-3</v>
      </c>
      <c r="I274" s="55" cm="1">
        <f t="array" ref="I274">MMS_Dairy_N2ODirect_Equations.VEERG_4_3_1_3__1_TotalAnnualDirectNitrousOxideEmissionsFromMMS(I239,$E266,$G$257)</f>
        <v>3.6022029330550747E-3</v>
      </c>
      <c r="J274" s="55" cm="1">
        <f t="array" ref="J274">MMS_Dairy_N2ODirect_Equations.VEERG_4_3_1_3__1_TotalAnnualDirectNitrousOxideEmissionsFromMMS(J239,$E266,$G$257)</f>
        <v>1.5079877540994421E-3</v>
      </c>
      <c r="N274" s="55" t="str">
        <f>'Input - Dairy'!$D$54</f>
        <v>Milking shed</v>
      </c>
      <c r="O274" s="55" t="str">
        <f>'Input - Dairy'!$D$82</f>
        <v>Solid storage</v>
      </c>
      <c r="P274" s="55" cm="1">
        <f t="array" ref="P274">MMS_Dairy_N2ODirect_Equations.VEERG_4_3_1_3__1_TotalAnnualDirectNitrousOxideEmissionsFromMMS(P239,$E266,$G$257)</f>
        <v>3.3353278065681815E-3</v>
      </c>
      <c r="Q274" s="55" cm="1">
        <f t="array" ref="Q274">MMS_Dairy_N2ODirect_Equations.VEERG_4_3_1_3__1_TotalAnnualDirectNitrousOxideEmissionsFromMMS(Q239,$E266,$G$257)</f>
        <v>2.8656241849371834E-3</v>
      </c>
      <c r="R274" s="55" cm="1">
        <f t="array" ref="R274">MMS_Dairy_N2ODirect_Equations.VEERG_4_3_1_3__1_TotalAnnualDirectNitrousOxideEmissionsFromMMS(R239,$E266,$G$257)</f>
        <v>1.1413478076603965E-3</v>
      </c>
      <c r="S274" s="55" cm="1">
        <f t="array" ref="S274">MMS_Dairy_N2ODirect_Equations.VEERG_4_3_1_3__1_TotalAnnualDirectNitrousOxideEmissionsFromMMS(S239,$E266,$G$257)</f>
        <v>3.6022029330550747E-3</v>
      </c>
      <c r="T274" s="55" cm="1">
        <f t="array" ref="T274">MMS_Dairy_N2ODirect_Equations.VEERG_4_3_1_3__1_TotalAnnualDirectNitrousOxideEmissionsFromMMS(T239,$E266,$G$257)</f>
        <v>1.5079877540994421E-3</v>
      </c>
    </row>
    <row r="275" spans="4:20" ht="20.100000000000001" customHeight="1" x14ac:dyDescent="0.25">
      <c r="D275" s="55" t="str">
        <f>'Input - Dairy'!$D$55</f>
        <v>Feed pad</v>
      </c>
      <c r="E275" s="55" t="str">
        <f>'Input - Dairy'!$D$101</f>
        <v>Anaerobic lagoon</v>
      </c>
      <c r="F275" s="55" cm="1">
        <f t="array" ref="F275">MMS_Dairy_N2ODirect_Equations.VEERG_4_3_1_3__1_TotalAnnualDirectNitrousOxideEmissionsFromMMS(F240,$E263,$G$257)</f>
        <v>0</v>
      </c>
      <c r="G275" s="55" cm="1">
        <f t="array" ref="G275">MMS_Dairy_N2ODirect_Equations.VEERG_4_3_1_3__1_TotalAnnualDirectNitrousOxideEmissionsFromMMS(G240,$E263,$G$257)</f>
        <v>0</v>
      </c>
      <c r="H275" s="55" cm="1">
        <f t="array" ref="H275">MMS_Dairy_N2ODirect_Equations.VEERG_4_3_1_3__1_TotalAnnualDirectNitrousOxideEmissionsFromMMS(H240,$E263,$G$257)</f>
        <v>0</v>
      </c>
      <c r="I275" s="55" cm="1">
        <f t="array" ref="I275">MMS_Dairy_N2ODirect_Equations.VEERG_4_3_1_3__1_TotalAnnualDirectNitrousOxideEmissionsFromMMS(I240,$E263,$G$257)</f>
        <v>0</v>
      </c>
      <c r="J275" s="55" cm="1">
        <f t="array" ref="J275">MMS_Dairy_N2ODirect_Equations.VEERG_4_3_1_3__1_TotalAnnualDirectNitrousOxideEmissionsFromMMS(J240,$E263,$G$257)</f>
        <v>0</v>
      </c>
      <c r="N275" s="55" t="str">
        <f>'Input - Dairy'!$D$55</f>
        <v>Feed pad</v>
      </c>
      <c r="O275" s="55" t="str">
        <f>'Input - Dairy'!$D$101</f>
        <v>Anaerobic lagoon</v>
      </c>
      <c r="P275" s="55" cm="1">
        <f t="array" ref="P275">MMS_Dairy_N2ODirect_Equations.VEERG_4_3_1_3__1_TotalAnnualDirectNitrousOxideEmissionsFromMMS(P240,$E263,$G$257)</f>
        <v>0</v>
      </c>
      <c r="Q275" s="55" cm="1">
        <f t="array" ref="Q275">MMS_Dairy_N2ODirect_Equations.VEERG_4_3_1_3__1_TotalAnnualDirectNitrousOxideEmissionsFromMMS(Q240,$E263,$G$257)</f>
        <v>0</v>
      </c>
      <c r="R275" s="55" cm="1">
        <f t="array" ref="R275">MMS_Dairy_N2ODirect_Equations.VEERG_4_3_1_3__1_TotalAnnualDirectNitrousOxideEmissionsFromMMS(R240,$E263,$G$257)</f>
        <v>0</v>
      </c>
      <c r="S275" s="55" cm="1">
        <f t="array" ref="S275">MMS_Dairy_N2ODirect_Equations.VEERG_4_3_1_3__1_TotalAnnualDirectNitrousOxideEmissionsFromMMS(S240,$E263,$G$257)</f>
        <v>0</v>
      </c>
      <c r="T275" s="55" cm="1">
        <f t="array" ref="T275">MMS_Dairy_N2ODirect_Equations.VEERG_4_3_1_3__1_TotalAnnualDirectNitrousOxideEmissionsFromMMS(T240,$E263,$G$257)</f>
        <v>0</v>
      </c>
    </row>
    <row r="276" spans="4:20" ht="20.100000000000001" customHeight="1" x14ac:dyDescent="0.25">
      <c r="D276" s="55" t="str">
        <f>'Input - Dairy'!$D$55</f>
        <v>Feed pad</v>
      </c>
      <c r="E276" s="55" t="str">
        <f>'Input - Dairy'!$D$106</f>
        <v>Sump and dispersal system</v>
      </c>
      <c r="F276" s="55" cm="1">
        <f t="array" ref="F276">MMS_Dairy_N2ODirect_Equations.VEERG_4_3_1_3__1_TotalAnnualDirectNitrousOxideEmissionsFromMMS(F241,$E264,$G$257)</f>
        <v>0</v>
      </c>
      <c r="G276" s="55" cm="1">
        <f t="array" ref="G276">MMS_Dairy_N2ODirect_Equations.VEERG_4_3_1_3__1_TotalAnnualDirectNitrousOxideEmissionsFromMMS(G241,$E264,$G$257)</f>
        <v>0</v>
      </c>
      <c r="H276" s="55" cm="1">
        <f t="array" ref="H276">MMS_Dairy_N2ODirect_Equations.VEERG_4_3_1_3__1_TotalAnnualDirectNitrousOxideEmissionsFromMMS(H241,$E264,$G$257)</f>
        <v>0</v>
      </c>
      <c r="I276" s="55" cm="1">
        <f t="array" ref="I276">MMS_Dairy_N2ODirect_Equations.VEERG_4_3_1_3__1_TotalAnnualDirectNitrousOxideEmissionsFromMMS(I241,$E264,$G$257)</f>
        <v>0</v>
      </c>
      <c r="J276" s="55" cm="1">
        <f t="array" ref="J276">MMS_Dairy_N2ODirect_Equations.VEERG_4_3_1_3__1_TotalAnnualDirectNitrousOxideEmissionsFromMMS(J241,$E264,$G$257)</f>
        <v>0</v>
      </c>
      <c r="N276" s="55" t="str">
        <f>'Input - Dairy'!$D$55</f>
        <v>Feed pad</v>
      </c>
      <c r="O276" s="55" t="str">
        <f>'Input - Dairy'!$D$106</f>
        <v>Sump and dispersal system</v>
      </c>
      <c r="P276" s="55" cm="1">
        <f t="array" ref="P276">MMS_Dairy_N2ODirect_Equations.VEERG_4_3_1_3__1_TotalAnnualDirectNitrousOxideEmissionsFromMMS(P241,$E264,$G$257)</f>
        <v>0</v>
      </c>
      <c r="Q276" s="55" cm="1">
        <f t="array" ref="Q276">MMS_Dairy_N2ODirect_Equations.VEERG_4_3_1_3__1_TotalAnnualDirectNitrousOxideEmissionsFromMMS(Q241,$E264,$G$257)</f>
        <v>0</v>
      </c>
      <c r="R276" s="55" cm="1">
        <f t="array" ref="R276">MMS_Dairy_N2ODirect_Equations.VEERG_4_3_1_3__1_TotalAnnualDirectNitrousOxideEmissionsFromMMS(R241,$E264,$G$257)</f>
        <v>0</v>
      </c>
      <c r="S276" s="55" cm="1">
        <f t="array" ref="S276">MMS_Dairy_N2ODirect_Equations.VEERG_4_3_1_3__1_TotalAnnualDirectNitrousOxideEmissionsFromMMS(S241,$E264,$G$257)</f>
        <v>0</v>
      </c>
      <c r="T276" s="55" cm="1">
        <f t="array" ref="T276">MMS_Dairy_N2ODirect_Equations.VEERG_4_3_1_3__1_TotalAnnualDirectNitrousOxideEmissionsFromMMS(T241,$E264,$G$257)</f>
        <v>0</v>
      </c>
    </row>
    <row r="277" spans="4:20" ht="20.100000000000001" customHeight="1" x14ac:dyDescent="0.25">
      <c r="D277" s="55" t="str">
        <f>'Input - Dairy'!$D$55</f>
        <v>Feed pad</v>
      </c>
      <c r="E277" s="55" t="str">
        <f>'Input - Dairy'!$D$111</f>
        <v>Drains to paddock</v>
      </c>
      <c r="F277" s="55" cm="1">
        <f t="array" ref="F277">MMS_Dairy_N2ODirect_Equations.VEERG_4_3_1_3__1_TotalAnnualDirectNitrousOxideEmissionsFromMMS(F242,$E265,$G$257)</f>
        <v>0</v>
      </c>
      <c r="G277" s="55" cm="1">
        <f t="array" ref="G277">MMS_Dairy_N2ODirect_Equations.VEERG_4_3_1_3__1_TotalAnnualDirectNitrousOxideEmissionsFromMMS(G242,$E265,$G$257)</f>
        <v>0</v>
      </c>
      <c r="H277" s="55" cm="1">
        <f t="array" ref="H277">MMS_Dairy_N2ODirect_Equations.VEERG_4_3_1_3__1_TotalAnnualDirectNitrousOxideEmissionsFromMMS(H242,$E265,$G$257)</f>
        <v>0</v>
      </c>
      <c r="I277" s="55" cm="1">
        <f t="array" ref="I277">MMS_Dairy_N2ODirect_Equations.VEERG_4_3_1_3__1_TotalAnnualDirectNitrousOxideEmissionsFromMMS(I242,$E265,$G$257)</f>
        <v>0</v>
      </c>
      <c r="J277" s="55" cm="1">
        <f t="array" ref="J277">MMS_Dairy_N2ODirect_Equations.VEERG_4_3_1_3__1_TotalAnnualDirectNitrousOxideEmissionsFromMMS(J242,$E265,$G$257)</f>
        <v>0</v>
      </c>
      <c r="N277" s="55" t="str">
        <f>'Input - Dairy'!$D$55</f>
        <v>Feed pad</v>
      </c>
      <c r="O277" s="55" t="str">
        <f>'Input - Dairy'!$D$111</f>
        <v>Drains to paddock</v>
      </c>
      <c r="P277" s="55" cm="1">
        <f t="array" ref="P277">MMS_Dairy_N2ODirect_Equations.VEERG_4_3_1_3__1_TotalAnnualDirectNitrousOxideEmissionsFromMMS(P242,$E265,$G$257)</f>
        <v>0</v>
      </c>
      <c r="Q277" s="55" cm="1">
        <f t="array" ref="Q277">MMS_Dairy_N2ODirect_Equations.VEERG_4_3_1_3__1_TotalAnnualDirectNitrousOxideEmissionsFromMMS(Q242,$E265,$G$257)</f>
        <v>0</v>
      </c>
      <c r="R277" s="55" cm="1">
        <f t="array" ref="R277">MMS_Dairy_N2ODirect_Equations.VEERG_4_3_1_3__1_TotalAnnualDirectNitrousOxideEmissionsFromMMS(R242,$E265,$G$257)</f>
        <v>0</v>
      </c>
      <c r="S277" s="55" cm="1">
        <f t="array" ref="S277">MMS_Dairy_N2ODirect_Equations.VEERG_4_3_1_3__1_TotalAnnualDirectNitrousOxideEmissionsFromMMS(S242,$E265,$G$257)</f>
        <v>0</v>
      </c>
      <c r="T277" s="55" cm="1">
        <f t="array" ref="T277">MMS_Dairy_N2ODirect_Equations.VEERG_4_3_1_3__1_TotalAnnualDirectNitrousOxideEmissionsFromMMS(T242,$E265,$G$257)</f>
        <v>0</v>
      </c>
    </row>
    <row r="278" spans="4:20" ht="20.100000000000001" customHeight="1" x14ac:dyDescent="0.25">
      <c r="D278" s="55" t="str">
        <f>'Input - Dairy'!$D$55</f>
        <v>Feed pad</v>
      </c>
      <c r="E278" s="55" t="str">
        <f>'Input - Dairy'!$D$116</f>
        <v>Solid storage</v>
      </c>
      <c r="F278" s="55" cm="1">
        <f t="array" ref="F278">MMS_Dairy_N2ODirect_Equations.VEERG_4_3_1_3__1_TotalAnnualDirectNitrousOxideEmissionsFromMMS(F243,$E266,$G$257)</f>
        <v>9.4450419249635324E-3</v>
      </c>
      <c r="G278" s="55" cm="1">
        <f t="array" ref="G278">MMS_Dairy_N2ODirect_Equations.VEERG_4_3_1_3__1_TotalAnnualDirectNitrousOxideEmissionsFromMMS(G243,$E266,$G$257)</f>
        <v>8.1149266691630251E-3</v>
      </c>
      <c r="H278" s="55" cm="1">
        <f t="array" ref="H278">MMS_Dairy_N2ODirect_Equations.VEERG_4_3_1_3__1_TotalAnnualDirectNitrousOxideEmissionsFromMMS(H243,$E266,$G$257)</f>
        <v>3.2320894735110321E-3</v>
      </c>
      <c r="I278" s="55" cm="1">
        <f t="array" ref="I278">MMS_Dairy_N2ODirect_Equations.VEERG_4_3_1_3__1_TotalAnnualDirectNitrousOxideEmissionsFromMMS(I243,$E266,$G$257)</f>
        <v>1.0200783760424144E-2</v>
      </c>
      <c r="J278" s="55" cm="1">
        <f t="array" ref="J278">MMS_Dairy_N2ODirect_Equations.VEERG_4_3_1_3__1_TotalAnnualDirectNitrousOxideEmissionsFromMMS(J243,$E266,$G$257)</f>
        <v>4.2703471400179658E-3</v>
      </c>
      <c r="N278" s="55" t="str">
        <f>'Input - Dairy'!$D$55</f>
        <v>Feed pad</v>
      </c>
      <c r="O278" s="55" t="str">
        <f>'Input - Dairy'!$D$116</f>
        <v>Solid storage</v>
      </c>
      <c r="P278" s="55" cm="1">
        <f t="array" ref="P278">MMS_Dairy_N2ODirect_Equations.VEERG_4_3_1_3__1_TotalAnnualDirectNitrousOxideEmissionsFromMMS(P243,$E266,$G$257)</f>
        <v>9.4450419249635324E-3</v>
      </c>
      <c r="Q278" s="55" cm="1">
        <f t="array" ref="Q278">MMS_Dairy_N2ODirect_Equations.VEERG_4_3_1_3__1_TotalAnnualDirectNitrousOxideEmissionsFromMMS(Q243,$E266,$G$257)</f>
        <v>8.1149266691630251E-3</v>
      </c>
      <c r="R278" s="55" cm="1">
        <f t="array" ref="R278">MMS_Dairy_N2ODirect_Equations.VEERG_4_3_1_3__1_TotalAnnualDirectNitrousOxideEmissionsFromMMS(R243,$E266,$G$257)</f>
        <v>3.2320894735110321E-3</v>
      </c>
      <c r="S278" s="55" cm="1">
        <f t="array" ref="S278">MMS_Dairy_N2ODirect_Equations.VEERG_4_3_1_3__1_TotalAnnualDirectNitrousOxideEmissionsFromMMS(S243,$E266,$G$257)</f>
        <v>1.0200783760424144E-2</v>
      </c>
      <c r="T278" s="55" cm="1">
        <f t="array" ref="T278">MMS_Dairy_N2ODirect_Equations.VEERG_4_3_1_3__1_TotalAnnualDirectNitrousOxideEmissionsFromMMS(T243,$E266,$G$257)</f>
        <v>4.2703471400179658E-3</v>
      </c>
    </row>
    <row r="279" spans="4:20" ht="20.100000000000001" customHeight="1" x14ac:dyDescent="0.25"/>
    <row r="280" spans="4:20" ht="20.100000000000001" customHeight="1" x14ac:dyDescent="0.25">
      <c r="D280" s="108" t="s">
        <v>126</v>
      </c>
      <c r="E280" s="109">
        <f>SUM(E275:G278)</f>
        <v>1.7559968594126556E-2</v>
      </c>
      <c r="F280" s="110" t="str">
        <f>$E$253</f>
        <v>t N2O</v>
      </c>
      <c r="N280" s="108" t="s">
        <v>126</v>
      </c>
      <c r="O280" s="109">
        <f>SUM(O275:Q278)</f>
        <v>1.7559968594126556E-2</v>
      </c>
      <c r="P280" s="110" t="str">
        <f>$E$253</f>
        <v>t N2O</v>
      </c>
    </row>
    <row r="281" spans="4:20" ht="20.100000000000001" customHeight="1" x14ac:dyDescent="0.25"/>
    <row r="282" spans="4:20" ht="20.100000000000001" customHeight="1" x14ac:dyDescent="0.25">
      <c r="D282" s="60" t="str" cm="1">
        <f t="array" ref="D282:E283">Common_Equations.Common_ConvertN2OToCO2e_Arguments()</f>
        <v>EN2O</v>
      </c>
      <c r="E282" s="61" t="str">
        <v>Nitrous oxide emissions (t N2O)</v>
      </c>
      <c r="F282" s="111"/>
      <c r="G282" s="55">
        <f>$E$280</f>
        <v>1.7559968594126556E-2</v>
      </c>
      <c r="N282" s="60" t="str" cm="1">
        <f t="array" ref="N282:O283">Common_Equations.Common_ConvertN2OToCO2e_Arguments()</f>
        <v>EN2O</v>
      </c>
      <c r="O282" s="61" t="str">
        <v>Nitrous oxide emissions (t N2O)</v>
      </c>
      <c r="P282" s="111"/>
      <c r="Q282" s="55">
        <f>$E$280</f>
        <v>1.7559968594126556E-2</v>
      </c>
    </row>
    <row r="283" spans="4:20" ht="20.100000000000001" customHeight="1" x14ac:dyDescent="0.25">
      <c r="D283" s="60" t="str">
        <v>GWPN2O</v>
      </c>
      <c r="E283" s="61" t="str">
        <v>Global warming potential for nitrous oxide (t CO2-e / t N2O)</v>
      </c>
      <c r="F283" s="111"/>
      <c r="G283" s="55">
        <f>Common_InputFunctions.Utility_LookupValueInTableNumber("N2O",Table_GWPData[Gas],Table_GWPData[CO2-e factor])</f>
        <v>265</v>
      </c>
      <c r="N283" s="60" t="str">
        <v>GWPN2O</v>
      </c>
      <c r="O283" s="61" t="str">
        <v>Global warming potential for nitrous oxide (t CO2-e / t N2O)</v>
      </c>
      <c r="P283" s="111"/>
      <c r="Q283" s="55">
        <f>Common_InputFunctions.Utility_LookupValueInTableNumber("N2O",Table_GWPData[Gas],Table_GWPData[CO2-e factor])</f>
        <v>265</v>
      </c>
    </row>
    <row r="284" spans="4:20" ht="20.100000000000001" customHeight="1" x14ac:dyDescent="0.25"/>
    <row r="285" spans="4:20" ht="20.100000000000001" customHeight="1" x14ac:dyDescent="0.25">
      <c r="D285" s="48" t="s">
        <v>111</v>
      </c>
      <c r="E285" s="48" cm="1">
        <f t="array" ref="E285">Common_Equations.Common_ConvertN2OToCO2e(G282,G283)</f>
        <v>4.6533916774435369</v>
      </c>
      <c r="F285" s="112" t="str" cm="1">
        <f t="array" ref="F285">Common_Equations.Common_ConvertN2OToCO2e_Unit()</f>
        <v>t CO2e</v>
      </c>
      <c r="N285" s="48" t="s">
        <v>111</v>
      </c>
      <c r="O285" s="48" cm="1">
        <f t="array" ref="O285">Common_Equations.Common_ConvertN2OToCO2e(Q282,Q283)</f>
        <v>4.6533916774435369</v>
      </c>
      <c r="P285" s="112" t="str" cm="1">
        <f t="array" ref="P285">Common_Equations.Common_ConvertN2OToCO2e_Unit()</f>
        <v>t CO2e</v>
      </c>
    </row>
    <row r="286" spans="4:20" ht="20.100000000000001" customHeight="1" x14ac:dyDescent="0.25"/>
    <row r="287" spans="4:20" ht="20.100000000000001" customHeight="1" x14ac:dyDescent="0.25"/>
    <row r="288" spans="4:20" ht="20.100000000000001" customHeight="1" x14ac:dyDescent="0.25"/>
    <row r="289" ht="20.100000000000001" customHeight="1" x14ac:dyDescent="0.25"/>
    <row r="290" ht="20.100000000000001" customHeight="1" x14ac:dyDescent="0.25"/>
    <row r="291" ht="20.100000000000001" customHeight="1" x14ac:dyDescent="0.25"/>
  </sheetData>
  <dataValidations count="1">
    <dataValidation operator="equal" allowBlank="1" showInputMessage="1" showErrorMessage="1" sqref="O106:T106 F78 N83:P83 D79:E79 E101:J101 E73:F73 F106:J106 E227 E224 O227 O224 E239 E236 O239 O236 E265 E262 E274 E271 O274 O271" xr:uid="{CE18DC45-74F3-46B3-972B-5F44E5579A05}"/>
  </dataValidations>
  <pageMargins left="0.7" right="0.7" top="0.75" bottom="0.75" header="0.3" footer="0.3"/>
  <pageSetup paperSize="9" orientation="portrait" r:id="rId1"/>
  <ignoredErrors>
    <ignoredError sqref="H236:H243" formula="1"/>
  </ignoredError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dimension ref="A1:W165"/>
  <sheetViews>
    <sheetView showGridLines="0" topLeftCell="A44" workbookViewId="0">
      <selection activeCell="D68" sqref="D68:G7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336</v>
      </c>
    </row>
    <row r="2" spans="1:23" s="9" customFormat="1" ht="20.100000000000001" customHeight="1" x14ac:dyDescent="0.25"/>
    <row r="3" spans="1:23" ht="20.100000000000001" customHeight="1" x14ac:dyDescent="0.25">
      <c r="A3" s="17" t="str">
        <f>HYPERLINK("#'Home'!A1", "Home")</f>
        <v>Home</v>
      </c>
      <c r="C3" s="4"/>
      <c r="D3" s="4" t="s">
        <v>123</v>
      </c>
      <c r="E3" s="4"/>
      <c r="F3" s="4"/>
      <c r="G3" s="4"/>
      <c r="H3" s="4"/>
      <c r="I3" s="4"/>
      <c r="J3" s="4"/>
      <c r="K3" s="4"/>
      <c r="L3" s="4"/>
      <c r="N3" s="4"/>
      <c r="O3" s="4" t="s">
        <v>124</v>
      </c>
      <c r="P3" s="4"/>
      <c r="Q3" s="4"/>
      <c r="R3" s="4"/>
      <c r="S3" s="4"/>
      <c r="T3" s="4"/>
      <c r="U3" s="4"/>
      <c r="V3" s="4"/>
      <c r="W3" s="4"/>
    </row>
    <row r="4" spans="1:23" ht="20.100000000000001" customHeight="1" x14ac:dyDescent="0.25">
      <c r="A4" s="17" t="str">
        <f>HYPERLINK("#'Results'!A1", "Results")</f>
        <v>Results</v>
      </c>
    </row>
    <row r="5" spans="1:23" ht="20.100000000000001" customHeight="1" x14ac:dyDescent="0.25">
      <c r="A5" s="16"/>
      <c r="D5" s="6" t="str" cm="1">
        <f t="array" ref="D5">MMS_Dairy_AtmosphericDeposition_Equations.VEERG_4_3_1_5__2_TotalNitrogenVolatilisedFromMMS_Title()</f>
        <v>Total nitrogen volatilised from MMS</v>
      </c>
      <c r="G5" s="114" t="s">
        <v>345</v>
      </c>
    </row>
    <row r="6" spans="1:23" ht="20.100000000000001" customHeight="1" x14ac:dyDescent="0.25">
      <c r="A6" s="20" t="s">
        <v>3</v>
      </c>
      <c r="D6" s="5" t="str" cm="1">
        <f t="array" ref="D6">MMS_Dairy_AtmosphericDeposition_Equations.VEERG_4_3_1_5__2_TotalNitrogenVolatilisedFromMMS_Source()</f>
        <v>VEERG 2026: 4.3.1.5, Equation (2)</v>
      </c>
    </row>
    <row r="7" spans="1:23" ht="20.100000000000001" customHeight="1" x14ac:dyDescent="0.25">
      <c r="A7" s="17" t="str">
        <f>HYPERLINK("#'Input - Site'!A1", "Site")</f>
        <v>Site</v>
      </c>
      <c r="D7" s="13" t="s">
        <v>28</v>
      </c>
      <c r="E7" s="13" t="str" cm="1">
        <f t="array" aca="1" ref="E7" ca="1">Common_InputFunctions.Utility_DisplayFunctionName(F40)</f>
        <v>=MMS_Dairy_AtmosphericDeposition_Equations.VEERG_4_3_1_5__2_TotalNitrogenVolatilisedFromMMS</v>
      </c>
    </row>
    <row r="8" spans="1:23" ht="20.100000000000001" customHeight="1" x14ac:dyDescent="0.25">
      <c r="A8" s="17" t="str">
        <f>HYPERLINK("#'Input - Dairy'!A1", "Dairy")</f>
        <v>Dairy</v>
      </c>
    </row>
    <row r="9" spans="1:23" ht="20.100000000000001" customHeight="1" x14ac:dyDescent="0.25">
      <c r="A9" s="17"/>
    </row>
    <row r="10" spans="1:23" ht="20.100000000000001" customHeight="1" x14ac:dyDescent="0.25">
      <c r="A10" s="19" t="s">
        <v>78</v>
      </c>
      <c r="D10" s="56" t="s">
        <v>31</v>
      </c>
      <c r="E10" s="1" t="str" cm="1">
        <f t="array" ref="E10">MMS_Dairy_AtmosphericDeposition_Equations.VEERG_4_3_1_5__2_TotalNitrogenVolatilisedFromMMS_Variable()</f>
        <v>MN_ATMOS</v>
      </c>
    </row>
    <row r="11" spans="1:23" ht="20.100000000000001" customHeight="1" x14ac:dyDescent="0.25">
      <c r="A11" s="17" t="str">
        <f>HYPERLINK("#'4.3.1.1-2 Methane'!A1", "4.3.1.1-2 Methane")</f>
        <v>4.3.1.1-2 Methane</v>
      </c>
      <c r="D11" s="56" t="s">
        <v>21</v>
      </c>
      <c r="E11" s="57" t="str" cm="1">
        <f t="array" ref="E11">MMS_Dairy_AtmosphericDeposition_Equations.VEERG_4_3_1_5__2_TotalNitrogenVolatilisedFromMMS_Unit()</f>
        <v>kg N</v>
      </c>
    </row>
    <row r="12" spans="1:23" ht="20.100000000000001" customHeight="1" x14ac:dyDescent="0.25">
      <c r="A12" s="17" t="str">
        <f>HYPERLINK("#'4.3.1.3-4 Direct N20'!A1", "4.3.1.3-4 Direct N2O")</f>
        <v>4.3.1.3-4 Direct N2O</v>
      </c>
    </row>
    <row r="13" spans="1:23" ht="20.100000000000001" customHeight="1" x14ac:dyDescent="0.25">
      <c r="A13" s="22" t="str">
        <f>HYPERLINK("#'4.3.1.5 Atmos Deposition'!A1", "4.3.1.5 Atmospheric deposition")</f>
        <v>4.3.1.5 Atmospheric deposition</v>
      </c>
      <c r="D13" s="60" t="str" cm="1">
        <f t="array" ref="D13:E14">MMS_Dairy_AtmosphericDeposition_Equations.VEERG_4_3_1_5__2_TotalNitrogenVolatilisedFromMMS_Arguments()</f>
        <v>MN_jm</v>
      </c>
      <c r="E13" s="61" t="str">
        <v>total nitrogen in each MMS for dairy cattle classes (kg N)</v>
      </c>
      <c r="F13" s="62"/>
      <c r="G13" s="60" t="str">
        <f>"See " &amp; $D$16</f>
        <v>See M1_Table_MN_j_m</v>
      </c>
    </row>
    <row r="14" spans="1:23" ht="20.100000000000001" customHeight="1" x14ac:dyDescent="0.25">
      <c r="A14" s="17" t="str">
        <f>HYPERLINK("#'4.3.1.6-7 Leaching and runoff'!A1", "4.3.1.6-7 Leaching and runoff")</f>
        <v>4.3.1.6-7 Leaching and runoff</v>
      </c>
      <c r="D14" s="60" t="str">
        <v>FracGASM_m</v>
      </c>
      <c r="E14" s="61" t="str">
        <v>fraction of N volatilised from MMS (fraction)</v>
      </c>
      <c r="F14" s="62"/>
      <c r="G14" s="60" t="str">
        <f>"See " &amp; $D$28</f>
        <v>See Table_FracGASM_m</v>
      </c>
    </row>
    <row r="15" spans="1:23" ht="20.100000000000001" customHeight="1" x14ac:dyDescent="0.25">
      <c r="A15" s="17" t="str">
        <f>HYPERLINK("#'4.3.1.8 Manure applied to soils'!A1", "4.3.1.8 Manure applied to soils")</f>
        <v>4.3.1.8 Manure applied to soils</v>
      </c>
    </row>
    <row r="16" spans="1:23" ht="20.100000000000001" customHeight="1" x14ac:dyDescent="0.25">
      <c r="A16" s="17" t="str">
        <f>HYPERLINK("#'4.3.1.9 Soil direct N2O'!A1", "4.3.1.9 Soil direct N2O")</f>
        <v>4.3.1.9 Soil direct N2O</v>
      </c>
      <c r="D16" s="104" t="s">
        <v>327</v>
      </c>
      <c r="O16" s="104" t="s">
        <v>330</v>
      </c>
    </row>
    <row r="17" spans="1:22" ht="20.100000000000001" customHeight="1" x14ac:dyDescent="0.25">
      <c r="A17" s="17" t="str">
        <f>HYPERLINK("#'4.3.1.10-11 Soil Atmos Dep'!A1", "4.3.1.10-11 Soil atm. deposition")</f>
        <v>4.3.1.10-11 Soil atm. deposition</v>
      </c>
      <c r="D17" s="103" t="s">
        <v>328</v>
      </c>
      <c r="O17" s="103" t="s">
        <v>329</v>
      </c>
    </row>
    <row r="18" spans="1:22" ht="20.100000000000001" customHeight="1" x14ac:dyDescent="0.25">
      <c r="A18" s="17" t="str">
        <f>HYPERLINK("#'4.3.1.12-13 Soil leach runoff'!A1", "4.3.1.12-13 Soil leach &amp; runoff")</f>
        <v>4.3.1.12-13 Soil leach &amp; runoff</v>
      </c>
      <c r="D18" s="54" t="s">
        <v>152</v>
      </c>
      <c r="E18" s="54" t="s">
        <v>69</v>
      </c>
      <c r="F18" s="54" t="s">
        <v>178</v>
      </c>
      <c r="G18" s="54" t="s">
        <v>195</v>
      </c>
      <c r="H18" s="54" t="s">
        <v>196</v>
      </c>
      <c r="I18" s="54" t="s">
        <v>197</v>
      </c>
      <c r="J18" s="54" t="s">
        <v>198</v>
      </c>
      <c r="O18" s="54" t="s">
        <v>152</v>
      </c>
      <c r="P18" s="54" t="s">
        <v>69</v>
      </c>
      <c r="Q18" s="54" t="s">
        <v>178</v>
      </c>
      <c r="R18" s="54" t="s">
        <v>195</v>
      </c>
      <c r="S18" s="54" t="s">
        <v>196</v>
      </c>
      <c r="T18" s="54" t="s">
        <v>197</v>
      </c>
      <c r="U18" s="54" t="s">
        <v>198</v>
      </c>
    </row>
    <row r="19" spans="1:22" ht="20.100000000000001" customHeight="1" x14ac:dyDescent="0.25">
      <c r="A19" s="17"/>
      <c r="D19" s="55" t="str">
        <f>'Input - Dairy'!$D$54</f>
        <v>Milking shed</v>
      </c>
      <c r="E19" s="55" t="str">
        <f>'Input - Dairy'!$D$67</f>
        <v>Anaerobic lagoon</v>
      </c>
      <c r="F19" s="55">
        <f>'4.3.1.3-4 Direct N20'!$F$236</f>
        <v>212.24813314524795</v>
      </c>
      <c r="G19" s="55">
        <f>'4.3.1.3-4 Direct N20'!$G$236</f>
        <v>182.35790267782079</v>
      </c>
      <c r="H19" s="55">
        <f>'4.3.1.3-4 Direct N20'!$H$236</f>
        <v>72.631224123843424</v>
      </c>
      <c r="I19" s="55">
        <f>'4.3.1.3-4 Direct N20'!$I$236</f>
        <v>229.23109573986844</v>
      </c>
      <c r="J19" s="55">
        <f>'4.3.1.3-4 Direct N20'!$J$236</f>
        <v>95.962857079055411</v>
      </c>
      <c r="K19" s="2" t="s">
        <v>135</v>
      </c>
      <c r="O19" s="55" t="str">
        <f>'Input - Dairy'!$D$54</f>
        <v>Milking shed</v>
      </c>
      <c r="P19" s="55" t="str">
        <f>'Input - Dairy'!$D$67</f>
        <v>Anaerobic lagoon</v>
      </c>
      <c r="Q19" s="55">
        <f>'4.3.1.3-4 Direct N20'!$P$236</f>
        <v>212.24813314524795</v>
      </c>
      <c r="R19" s="55">
        <f>'4.3.1.3-4 Direct N20'!$Q$236</f>
        <v>182.35790267782079</v>
      </c>
      <c r="S19" s="55">
        <f>'4.3.1.3-4 Direct N20'!$R$236</f>
        <v>72.631224123843424</v>
      </c>
      <c r="T19" s="55">
        <f>'4.3.1.3-4 Direct N20'!$S$236</f>
        <v>229.23109573986844</v>
      </c>
      <c r="U19" s="55">
        <f>'4.3.1.3-4 Direct N20'!$T$236</f>
        <v>95.962857079055411</v>
      </c>
      <c r="V19" s="2" t="s">
        <v>135</v>
      </c>
    </row>
    <row r="20" spans="1:22" ht="20.100000000000001" customHeight="1" x14ac:dyDescent="0.25">
      <c r="A20" s="18" t="s">
        <v>4</v>
      </c>
      <c r="D20" s="55" t="str">
        <f>'Input - Dairy'!$D$54</f>
        <v>Milking shed</v>
      </c>
      <c r="E20" s="55" t="str">
        <f>'Input - Dairy'!$D$72</f>
        <v>Sump and dispersal system</v>
      </c>
      <c r="F20" s="55">
        <f>'4.3.1.3-4 Direct N20'!$F$237</f>
        <v>212.24813314524795</v>
      </c>
      <c r="G20" s="55">
        <f>'4.3.1.3-4 Direct N20'!$G$237</f>
        <v>182.35790267782079</v>
      </c>
      <c r="H20" s="55">
        <f>'4.3.1.3-4 Direct N20'!$H$237</f>
        <v>72.631224123843424</v>
      </c>
      <c r="I20" s="55">
        <f>'4.3.1.3-4 Direct N20'!$I$237</f>
        <v>229.23109573986844</v>
      </c>
      <c r="J20" s="55">
        <f>'4.3.1.3-4 Direct N20'!$J$237</f>
        <v>95.962857079055411</v>
      </c>
      <c r="K20" s="2" t="s">
        <v>135</v>
      </c>
      <c r="O20" s="55" t="str">
        <f>'Input - Dairy'!$D$54</f>
        <v>Milking shed</v>
      </c>
      <c r="P20" s="55" t="str">
        <f>'Input - Dairy'!$D$72</f>
        <v>Sump and dispersal system</v>
      </c>
      <c r="Q20" s="55">
        <f>'4.3.1.3-4 Direct N20'!$P$237</f>
        <v>212.24813314524795</v>
      </c>
      <c r="R20" s="55">
        <f>'4.3.1.3-4 Direct N20'!$Q$237</f>
        <v>182.35790267782079</v>
      </c>
      <c r="S20" s="55">
        <f>'4.3.1.3-4 Direct N20'!$R$237</f>
        <v>72.631224123843424</v>
      </c>
      <c r="T20" s="55">
        <f>'4.3.1.3-4 Direct N20'!$S$237</f>
        <v>229.23109573986844</v>
      </c>
      <c r="U20" s="55">
        <f>'4.3.1.3-4 Direct N20'!$T$237</f>
        <v>95.962857079055411</v>
      </c>
      <c r="V20" s="2" t="s">
        <v>135</v>
      </c>
    </row>
    <row r="21" spans="1:22" ht="20.100000000000001" customHeight="1" x14ac:dyDescent="0.25">
      <c r="A21" s="17" t="str">
        <f>HYPERLINK("#'Constants - Dairy'!A1", "Constants - Dairy")</f>
        <v>Constants - Dairy</v>
      </c>
      <c r="D21" s="55" t="str">
        <f>'Input - Dairy'!$D$54</f>
        <v>Milking shed</v>
      </c>
      <c r="E21" s="55" t="str">
        <f>'Input - Dairy'!$D$77</f>
        <v>Drains to paddock</v>
      </c>
      <c r="F21" s="55">
        <f>'4.3.1.3-4 Direct N20'!$F$238</f>
        <v>212.24813314524795</v>
      </c>
      <c r="G21" s="55">
        <f>'4.3.1.3-4 Direct N20'!$G$238</f>
        <v>182.35790267782079</v>
      </c>
      <c r="H21" s="55">
        <f>'4.3.1.3-4 Direct N20'!$H$238</f>
        <v>72.631224123843424</v>
      </c>
      <c r="I21" s="55">
        <f>'4.3.1.3-4 Direct N20'!$I$238</f>
        <v>229.23109573986844</v>
      </c>
      <c r="J21" s="55">
        <f>'4.3.1.3-4 Direct N20'!$J$238</f>
        <v>95.962857079055411</v>
      </c>
      <c r="K21" s="2" t="s">
        <v>135</v>
      </c>
      <c r="O21" s="55" t="str">
        <f>'Input - Dairy'!$D$54</f>
        <v>Milking shed</v>
      </c>
      <c r="P21" s="55" t="str">
        <f>'Input - Dairy'!$D$77</f>
        <v>Drains to paddock</v>
      </c>
      <c r="Q21" s="55">
        <f>'4.3.1.3-4 Direct N20'!$P$238</f>
        <v>212.24813314524795</v>
      </c>
      <c r="R21" s="55">
        <f>'4.3.1.3-4 Direct N20'!$Q$238</f>
        <v>182.35790267782079</v>
      </c>
      <c r="S21" s="55">
        <f>'4.3.1.3-4 Direct N20'!$R$238</f>
        <v>72.631224123843424</v>
      </c>
      <c r="T21" s="55">
        <f>'4.3.1.3-4 Direct N20'!$S$238</f>
        <v>229.23109573986844</v>
      </c>
      <c r="U21" s="55">
        <f>'4.3.1.3-4 Direct N20'!$T$238</f>
        <v>95.962857079055411</v>
      </c>
      <c r="V21" s="2" t="s">
        <v>135</v>
      </c>
    </row>
    <row r="22" spans="1:22" ht="20.100000000000001" customHeight="1" x14ac:dyDescent="0.25">
      <c r="A22" s="17" t="str">
        <f>HYPERLINK("#'Constants - Livestock'!A1", "Constants - Livestock")</f>
        <v>Constants - Livestock</v>
      </c>
      <c r="D22" s="55" t="str">
        <f>'Input - Dairy'!$D$54</f>
        <v>Milking shed</v>
      </c>
      <c r="E22" s="55" t="str">
        <f>'Input - Dairy'!$D$82</f>
        <v>Solid storage</v>
      </c>
      <c r="F22" s="55">
        <f>'4.3.1.3-4 Direct N20'!$F$239</f>
        <v>424.49626629049584</v>
      </c>
      <c r="G22" s="55">
        <f>'4.3.1.3-4 Direct N20'!$G$239</f>
        <v>364.71580535564152</v>
      </c>
      <c r="H22" s="55">
        <f>'4.3.1.3-4 Direct N20'!$H$239</f>
        <v>145.26244824768682</v>
      </c>
      <c r="I22" s="55">
        <f>'4.3.1.3-4 Direct N20'!$I$239</f>
        <v>458.46219147973682</v>
      </c>
      <c r="J22" s="55">
        <f>'4.3.1.3-4 Direct N20'!$J$239</f>
        <v>191.92571415811079</v>
      </c>
      <c r="K22" s="2" t="s">
        <v>135</v>
      </c>
      <c r="O22" s="55" t="str">
        <f>'Input - Dairy'!$D$54</f>
        <v>Milking shed</v>
      </c>
      <c r="P22" s="55" t="str">
        <f>'Input - Dairy'!$D$82</f>
        <v>Solid storage</v>
      </c>
      <c r="Q22" s="55">
        <f>'4.3.1.3-4 Direct N20'!$P$239</f>
        <v>424.49626629049584</v>
      </c>
      <c r="R22" s="55">
        <f>'4.3.1.3-4 Direct N20'!$Q$239</f>
        <v>364.71580535564152</v>
      </c>
      <c r="S22" s="55">
        <f>'4.3.1.3-4 Direct N20'!$R$239</f>
        <v>145.26244824768682</v>
      </c>
      <c r="T22" s="55">
        <f>'4.3.1.3-4 Direct N20'!$S$239</f>
        <v>458.46219147973682</v>
      </c>
      <c r="U22" s="55">
        <f>'4.3.1.3-4 Direct N20'!$T$239</f>
        <v>191.92571415811079</v>
      </c>
      <c r="V22" s="2" t="s">
        <v>135</v>
      </c>
    </row>
    <row r="23" spans="1:22" ht="20.100000000000001" customHeight="1" x14ac:dyDescent="0.25">
      <c r="A23" s="17" t="str">
        <f>HYPERLINK("#'Constants - Common'!A1", "Constants - Common")</f>
        <v>Constants - Common</v>
      </c>
      <c r="D23" s="55" t="str">
        <f>'Input - Dairy'!$D$55</f>
        <v>Feed pad</v>
      </c>
      <c r="E23" s="55" t="str">
        <f>'Input - Dairy'!$D$101</f>
        <v>Anaerobic lagoon</v>
      </c>
      <c r="F23" s="55">
        <f>'4.3.1.3-4 Direct N20'!$F$240</f>
        <v>858.64017499668478</v>
      </c>
      <c r="G23" s="55">
        <f>'4.3.1.3-4 Direct N20'!$G$240</f>
        <v>737.72060628754764</v>
      </c>
      <c r="H23" s="55">
        <f>'4.3.1.3-4 Direct N20'!$H$240</f>
        <v>293.82631577373019</v>
      </c>
      <c r="I23" s="55">
        <f>'4.3.1.3-4 Direct N20'!$I$240</f>
        <v>927.34397822037681</v>
      </c>
      <c r="J23" s="55">
        <f>'4.3.1.3-4 Direct N20'!$J$240</f>
        <v>388.21337636526954</v>
      </c>
      <c r="K23" s="2" t="s">
        <v>135</v>
      </c>
      <c r="O23" s="55" t="str">
        <f>'Input - Dairy'!$D$55</f>
        <v>Feed pad</v>
      </c>
      <c r="P23" s="55" t="str">
        <f>'Input - Dairy'!$D$101</f>
        <v>Anaerobic lagoon</v>
      </c>
      <c r="Q23" s="55">
        <f>'4.3.1.3-4 Direct N20'!$P$240</f>
        <v>858.64017499668478</v>
      </c>
      <c r="R23" s="55">
        <f>'4.3.1.3-4 Direct N20'!$Q$240</f>
        <v>737.72060628754764</v>
      </c>
      <c r="S23" s="55">
        <f>'4.3.1.3-4 Direct N20'!$R$240</f>
        <v>293.82631577373019</v>
      </c>
      <c r="T23" s="55">
        <f>'4.3.1.3-4 Direct N20'!$S$240</f>
        <v>927.34397822037681</v>
      </c>
      <c r="U23" s="55">
        <f>'4.3.1.3-4 Direct N20'!$T$240</f>
        <v>388.21337636526954</v>
      </c>
      <c r="V23" s="2" t="s">
        <v>135</v>
      </c>
    </row>
    <row r="24" spans="1:22" ht="20.100000000000001" customHeight="1" x14ac:dyDescent="0.25">
      <c r="A24" s="17" t="str">
        <f>HYPERLINK("#'Acknowledgements'!A1", "Acknowledgements")</f>
        <v>Acknowledgements</v>
      </c>
      <c r="D24" s="55" t="str">
        <f>'Input - Dairy'!$D$55</f>
        <v>Feed pad</v>
      </c>
      <c r="E24" s="55" t="str">
        <f>'Input - Dairy'!$D$106</f>
        <v>Sump and dispersal system</v>
      </c>
      <c r="F24" s="55">
        <f>'4.3.1.3-4 Direct N20'!$F$241</f>
        <v>686.91213999734782</v>
      </c>
      <c r="G24" s="55">
        <f>'4.3.1.3-4 Direct N20'!$G$241</f>
        <v>590.17648503003818</v>
      </c>
      <c r="H24" s="55">
        <f>'4.3.1.3-4 Direct N20'!$H$241</f>
        <v>235.06105261898415</v>
      </c>
      <c r="I24" s="55">
        <f>'4.3.1.3-4 Direct N20'!$I$241</f>
        <v>741.87518257630143</v>
      </c>
      <c r="J24" s="55">
        <f>'4.3.1.3-4 Direct N20'!$J$241</f>
        <v>310.57070109221564</v>
      </c>
      <c r="K24" s="2" t="s">
        <v>135</v>
      </c>
      <c r="O24" s="55" t="str">
        <f>'Input - Dairy'!$D$55</f>
        <v>Feed pad</v>
      </c>
      <c r="P24" s="55" t="str">
        <f>'Input - Dairy'!$D$106</f>
        <v>Sump and dispersal system</v>
      </c>
      <c r="Q24" s="55">
        <f>'4.3.1.3-4 Direct N20'!$P$241</f>
        <v>686.91213999734782</v>
      </c>
      <c r="R24" s="55">
        <f>'4.3.1.3-4 Direct N20'!$Q$241</f>
        <v>590.17648503003818</v>
      </c>
      <c r="S24" s="55">
        <f>'4.3.1.3-4 Direct N20'!$R$241</f>
        <v>235.06105261898415</v>
      </c>
      <c r="T24" s="55">
        <f>'4.3.1.3-4 Direct N20'!$S$241</f>
        <v>741.87518257630143</v>
      </c>
      <c r="U24" s="55">
        <f>'4.3.1.3-4 Direct N20'!$T$241</f>
        <v>310.57070109221564</v>
      </c>
      <c r="V24" s="2" t="s">
        <v>135</v>
      </c>
    </row>
    <row r="25" spans="1:22" ht="20.100000000000001" customHeight="1" x14ac:dyDescent="0.25">
      <c r="D25" s="55" t="str">
        <f>'Input - Dairy'!$D$55</f>
        <v>Feed pad</v>
      </c>
      <c r="E25" s="55" t="str">
        <f>'Input - Dairy'!$D$111</f>
        <v>Drains to paddock</v>
      </c>
      <c r="F25" s="55">
        <f>'4.3.1.3-4 Direct N20'!$F$242</f>
        <v>686.91213999734782</v>
      </c>
      <c r="G25" s="55">
        <f>'4.3.1.3-4 Direct N20'!$G$242</f>
        <v>590.17648503003818</v>
      </c>
      <c r="H25" s="55">
        <f>'4.3.1.3-4 Direct N20'!$H$242</f>
        <v>235.06105261898415</v>
      </c>
      <c r="I25" s="55">
        <f>'4.3.1.3-4 Direct N20'!$I$242</f>
        <v>741.87518257630143</v>
      </c>
      <c r="J25" s="55">
        <f>'4.3.1.3-4 Direct N20'!$J$242</f>
        <v>310.57070109221564</v>
      </c>
      <c r="K25" s="2" t="s">
        <v>135</v>
      </c>
      <c r="O25" s="55" t="str">
        <f>'Input - Dairy'!$D$55</f>
        <v>Feed pad</v>
      </c>
      <c r="P25" s="55" t="str">
        <f>'Input - Dairy'!$D$111</f>
        <v>Drains to paddock</v>
      </c>
      <c r="Q25" s="55">
        <f>'4.3.1.3-4 Direct N20'!$P$242</f>
        <v>686.91213999734782</v>
      </c>
      <c r="R25" s="55">
        <f>'4.3.1.3-4 Direct N20'!$Q$242</f>
        <v>590.17648503003818</v>
      </c>
      <c r="S25" s="55">
        <f>'4.3.1.3-4 Direct N20'!$R$242</f>
        <v>235.06105261898415</v>
      </c>
      <c r="T25" s="55">
        <f>'4.3.1.3-4 Direct N20'!$S$242</f>
        <v>741.87518257630143</v>
      </c>
      <c r="U25" s="55">
        <f>'4.3.1.3-4 Direct N20'!$T$242</f>
        <v>310.57070109221564</v>
      </c>
      <c r="V25" s="2" t="s">
        <v>135</v>
      </c>
    </row>
    <row r="26" spans="1:22" ht="20.100000000000001" customHeight="1" x14ac:dyDescent="0.25">
      <c r="D26" s="55" t="str">
        <f>'Input - Dairy'!$D$55</f>
        <v>Feed pad</v>
      </c>
      <c r="E26" s="55" t="str">
        <f>'Input - Dairy'!$D$116</f>
        <v>Solid storage</v>
      </c>
      <c r="F26" s="55">
        <f>'4.3.1.3-4 Direct N20'!$F$243</f>
        <v>1202.0962449953586</v>
      </c>
      <c r="G26" s="55">
        <f>'4.3.1.3-4 Direct N20'!$G$243</f>
        <v>1032.8088488025667</v>
      </c>
      <c r="H26" s="55">
        <f>'4.3.1.3-4 Direct N20'!$H$243</f>
        <v>411.35684208322226</v>
      </c>
      <c r="I26" s="55">
        <f>'4.3.1.3-4 Direct N20'!$I$243</f>
        <v>1298.2815695085274</v>
      </c>
      <c r="J26" s="55">
        <f>'4.3.1.3-4 Direct N20'!$J$243</f>
        <v>543.49872691137739</v>
      </c>
      <c r="K26" s="2" t="s">
        <v>135</v>
      </c>
      <c r="O26" s="55" t="str">
        <f>'Input - Dairy'!$D$55</f>
        <v>Feed pad</v>
      </c>
      <c r="P26" s="55" t="str">
        <f>'Input - Dairy'!$D$116</f>
        <v>Solid storage</v>
      </c>
      <c r="Q26" s="55">
        <f>'4.3.1.3-4 Direct N20'!$P$243</f>
        <v>1202.0962449953586</v>
      </c>
      <c r="R26" s="55">
        <f>'4.3.1.3-4 Direct N20'!$Q$243</f>
        <v>1032.8088488025667</v>
      </c>
      <c r="S26" s="55">
        <f>'4.3.1.3-4 Direct N20'!$R$243</f>
        <v>411.35684208322226</v>
      </c>
      <c r="T26" s="55">
        <f>'4.3.1.3-4 Direct N20'!$S$243</f>
        <v>1298.2815695085274</v>
      </c>
      <c r="U26" s="55">
        <f>'4.3.1.3-4 Direct N20'!$T$243</f>
        <v>543.49872691137739</v>
      </c>
      <c r="V26" s="2" t="s">
        <v>135</v>
      </c>
    </row>
    <row r="27" spans="1:22" ht="20.100000000000001" customHeight="1" x14ac:dyDescent="0.25"/>
    <row r="28" spans="1:22" ht="20.100000000000001" customHeight="1" x14ac:dyDescent="0.25">
      <c r="D28" s="104" t="s">
        <v>337</v>
      </c>
    </row>
    <row r="29" spans="1:22" ht="20.100000000000001" customHeight="1" x14ac:dyDescent="0.25">
      <c r="D29" s="103" t="s">
        <v>339</v>
      </c>
    </row>
    <row r="30" spans="1:22" ht="20.100000000000001" customHeight="1" x14ac:dyDescent="0.25">
      <c r="D30" s="54" t="s">
        <v>69</v>
      </c>
      <c r="E30" s="54" t="s">
        <v>338</v>
      </c>
    </row>
    <row r="31" spans="1:22" ht="20.100000000000001" customHeight="1" x14ac:dyDescent="0.25">
      <c r="D31" s="55" t="str" cm="1">
        <f t="array" ref="D31:D35">Table_SourceData_Dairy_EFmFracGASM[NIR reference]</f>
        <v>Pasture range and paddock</v>
      </c>
      <c r="E31" s="55" cm="1">
        <f t="array" ref="E31:E35">Table_SourceData_Dairy_EFmFracGASM[FracGASMm]</f>
        <v>0</v>
      </c>
      <c r="F31" s="2" t="str">
        <f>'Constants - Dairy'!$D$84</f>
        <v>kg N2O-N/kg N excreted</v>
      </c>
    </row>
    <row r="32" spans="1:22" ht="20.100000000000001" customHeight="1" x14ac:dyDescent="0.25">
      <c r="D32" s="55" t="str">
        <v>Anaerobic lagoon</v>
      </c>
      <c r="E32" s="55">
        <v>0.35</v>
      </c>
      <c r="F32" s="2" t="str">
        <f>'Constants - Dairy'!$D$84</f>
        <v>kg N2O-N/kg N excreted</v>
      </c>
    </row>
    <row r="33" spans="4:22" ht="20.100000000000001" customHeight="1" x14ac:dyDescent="0.25">
      <c r="D33" s="55" t="str">
        <v>Sump and dispersal system</v>
      </c>
      <c r="E33" s="55">
        <v>7.0000000000000007E-2</v>
      </c>
      <c r="F33" s="2" t="str">
        <f>'Constants - Dairy'!$D$84</f>
        <v>kg N2O-N/kg N excreted</v>
      </c>
    </row>
    <row r="34" spans="4:22" ht="20.100000000000001" customHeight="1" x14ac:dyDescent="0.25">
      <c r="D34" s="55" t="str">
        <v>Drains to paddock</v>
      </c>
      <c r="E34" s="55">
        <v>0.2</v>
      </c>
      <c r="F34" s="2" t="str">
        <f>'Constants - Dairy'!$D$84</f>
        <v>kg N2O-N/kg N excreted</v>
      </c>
    </row>
    <row r="35" spans="4:22" ht="20.100000000000001" customHeight="1" x14ac:dyDescent="0.25">
      <c r="D35" s="55" t="str">
        <v>Solid storage</v>
      </c>
      <c r="E35" s="55">
        <v>0.3</v>
      </c>
      <c r="F35" s="2" t="str">
        <f>'Constants - Dairy'!$D$84</f>
        <v>kg N2O-N/kg N excreted</v>
      </c>
    </row>
    <row r="36" spans="4:22" ht="20.100000000000001" customHeight="1" x14ac:dyDescent="0.25"/>
    <row r="37" spans="4:22" ht="20.100000000000001" customHeight="1" x14ac:dyDescent="0.25">
      <c r="D37" s="104" t="s">
        <v>340</v>
      </c>
      <c r="O37" s="104" t="s">
        <v>342</v>
      </c>
    </row>
    <row r="38" spans="4:22" ht="20.100000000000001" customHeight="1" x14ac:dyDescent="0.25">
      <c r="D38" s="103" t="s">
        <v>341</v>
      </c>
      <c r="O38" s="103" t="s">
        <v>343</v>
      </c>
    </row>
    <row r="39" spans="4:22" ht="20.100000000000001" customHeight="1" x14ac:dyDescent="0.25">
      <c r="D39" s="54" t="s">
        <v>152</v>
      </c>
      <c r="E39" s="54" t="s">
        <v>69</v>
      </c>
      <c r="F39" s="54" t="s">
        <v>178</v>
      </c>
      <c r="G39" s="54" t="s">
        <v>195</v>
      </c>
      <c r="H39" s="54" t="s">
        <v>196</v>
      </c>
      <c r="I39" s="54" t="s">
        <v>197</v>
      </c>
      <c r="J39" s="54" t="s">
        <v>198</v>
      </c>
      <c r="O39" s="54" t="s">
        <v>152</v>
      </c>
      <c r="P39" s="54" t="s">
        <v>69</v>
      </c>
      <c r="Q39" s="54" t="s">
        <v>178</v>
      </c>
      <c r="R39" s="54" t="s">
        <v>195</v>
      </c>
      <c r="S39" s="54" t="s">
        <v>196</v>
      </c>
      <c r="T39" s="54" t="s">
        <v>197</v>
      </c>
      <c r="U39" s="54" t="s">
        <v>198</v>
      </c>
    </row>
    <row r="40" spans="4:22" ht="20.100000000000001" customHeight="1" x14ac:dyDescent="0.25">
      <c r="D40" s="55" t="str">
        <f>'Input - Dairy'!$D$54</f>
        <v>Milking shed</v>
      </c>
      <c r="E40" s="55" t="str">
        <f>'Input - Dairy'!$D$67</f>
        <v>Anaerobic lagoon</v>
      </c>
      <c r="F40" s="55" cm="1">
        <f t="array" ref="F40">MMS_Dairy_AtmosphericDeposition_Equations.VEERG_4_3_1_5__2_TotalNitrogenVolatilisedFromMMS(F19,$E32)</f>
        <v>74.286846600836782</v>
      </c>
      <c r="G40" s="55" cm="1">
        <f t="array" ref="G40">MMS_Dairy_AtmosphericDeposition_Equations.VEERG_4_3_1_5__2_TotalNitrogenVolatilisedFromMMS(G19,$E32)</f>
        <v>63.825265937237269</v>
      </c>
      <c r="H40" s="55" cm="1">
        <f t="array" ref="H40">MMS_Dairy_AtmosphericDeposition_Equations.VEERG_4_3_1_5__2_TotalNitrogenVolatilisedFromMMS(H19,$E32)</f>
        <v>25.420928443345197</v>
      </c>
      <c r="I40" s="55" cm="1">
        <f t="array" ref="I40">MMS_Dairy_AtmosphericDeposition_Equations.VEERG_4_3_1_5__2_TotalNitrogenVolatilisedFromMMS(I19,$E32)</f>
        <v>80.230883508953951</v>
      </c>
      <c r="J40" s="55" cm="1">
        <f t="array" ref="J40">MMS_Dairy_AtmosphericDeposition_Equations.VEERG_4_3_1_5__2_TotalNitrogenVolatilisedFromMMS(J19,$E32)</f>
        <v>33.586999977669393</v>
      </c>
      <c r="K40" s="2" t="s">
        <v>135</v>
      </c>
      <c r="O40" s="55" t="str">
        <f>'Input - Dairy'!$D$54</f>
        <v>Milking shed</v>
      </c>
      <c r="P40" s="55" t="str">
        <f>'Input - Dairy'!$D$67</f>
        <v>Anaerobic lagoon</v>
      </c>
      <c r="Q40" s="55" cm="1">
        <f t="array" ref="Q40">MMS_Dairy_AtmosphericDeposition_Equations.VEERG_4_3_1_5__2_TotalNitrogenVolatilisedFromMMS(Q19,$E32)</f>
        <v>74.286846600836782</v>
      </c>
      <c r="R40" s="55" cm="1">
        <f t="array" ref="R40">MMS_Dairy_AtmosphericDeposition_Equations.VEERG_4_3_1_5__2_TotalNitrogenVolatilisedFromMMS(R19,$E32)</f>
        <v>63.825265937237269</v>
      </c>
      <c r="S40" s="55" cm="1">
        <f t="array" ref="S40">MMS_Dairy_AtmosphericDeposition_Equations.VEERG_4_3_1_5__2_TotalNitrogenVolatilisedFromMMS(S19,$E32)</f>
        <v>25.420928443345197</v>
      </c>
      <c r="T40" s="55" cm="1">
        <f t="array" ref="T40">MMS_Dairy_AtmosphericDeposition_Equations.VEERG_4_3_1_5__2_TotalNitrogenVolatilisedFromMMS(T19,$E32)</f>
        <v>80.230883508953951</v>
      </c>
      <c r="U40" s="55" cm="1">
        <f t="array" ref="U40">MMS_Dairy_AtmosphericDeposition_Equations.VEERG_4_3_1_5__2_TotalNitrogenVolatilisedFromMMS(U19,$E32)</f>
        <v>33.586999977669393</v>
      </c>
      <c r="V40" s="2" t="s">
        <v>135</v>
      </c>
    </row>
    <row r="41" spans="4:22" ht="20.100000000000001" customHeight="1" x14ac:dyDescent="0.25">
      <c r="D41" s="55" t="str">
        <f>'Input - Dairy'!$D$54</f>
        <v>Milking shed</v>
      </c>
      <c r="E41" s="55" t="str">
        <f>'Input - Dairy'!$D$72</f>
        <v>Sump and dispersal system</v>
      </c>
      <c r="F41" s="55" cm="1">
        <f t="array" ref="F41">MMS_Dairy_AtmosphericDeposition_Equations.VEERG_4_3_1_5__2_TotalNitrogenVolatilisedFromMMS(F20,$E33)</f>
        <v>14.857369320167358</v>
      </c>
      <c r="G41" s="55" cm="1">
        <f t="array" ref="G41">MMS_Dairy_AtmosphericDeposition_Equations.VEERG_4_3_1_5__2_TotalNitrogenVolatilisedFromMMS(G20,$E33)</f>
        <v>12.765053187447457</v>
      </c>
      <c r="H41" s="55" cm="1">
        <f t="array" ref="H41">MMS_Dairy_AtmosphericDeposition_Equations.VEERG_4_3_1_5__2_TotalNitrogenVolatilisedFromMMS(H20,$E33)</f>
        <v>5.0841856886690397</v>
      </c>
      <c r="I41" s="55" cm="1">
        <f t="array" ref="I41">MMS_Dairy_AtmosphericDeposition_Equations.VEERG_4_3_1_5__2_TotalNitrogenVolatilisedFromMMS(I20,$E33)</f>
        <v>16.046176701790792</v>
      </c>
      <c r="J41" s="55" cm="1">
        <f t="array" ref="J41">MMS_Dairy_AtmosphericDeposition_Equations.VEERG_4_3_1_5__2_TotalNitrogenVolatilisedFromMMS(J20,$E33)</f>
        <v>6.7173999955338797</v>
      </c>
      <c r="K41" s="2" t="s">
        <v>135</v>
      </c>
      <c r="O41" s="55" t="str">
        <f>'Input - Dairy'!$D$54</f>
        <v>Milking shed</v>
      </c>
      <c r="P41" s="55" t="str">
        <f>'Input - Dairy'!$D$72</f>
        <v>Sump and dispersal system</v>
      </c>
      <c r="Q41" s="55" cm="1">
        <f t="array" ref="Q41">MMS_Dairy_AtmosphericDeposition_Equations.VEERG_4_3_1_5__2_TotalNitrogenVolatilisedFromMMS(Q20,$E33)</f>
        <v>14.857369320167358</v>
      </c>
      <c r="R41" s="55" cm="1">
        <f t="array" ref="R41">MMS_Dairy_AtmosphericDeposition_Equations.VEERG_4_3_1_5__2_TotalNitrogenVolatilisedFromMMS(R20,$E33)</f>
        <v>12.765053187447457</v>
      </c>
      <c r="S41" s="55" cm="1">
        <f t="array" ref="S41">MMS_Dairy_AtmosphericDeposition_Equations.VEERG_4_3_1_5__2_TotalNitrogenVolatilisedFromMMS(S20,$E33)</f>
        <v>5.0841856886690397</v>
      </c>
      <c r="T41" s="55" cm="1">
        <f t="array" ref="T41">MMS_Dairy_AtmosphericDeposition_Equations.VEERG_4_3_1_5__2_TotalNitrogenVolatilisedFromMMS(T20,$E33)</f>
        <v>16.046176701790792</v>
      </c>
      <c r="U41" s="55" cm="1">
        <f t="array" ref="U41">MMS_Dairy_AtmosphericDeposition_Equations.VEERG_4_3_1_5__2_TotalNitrogenVolatilisedFromMMS(U20,$E33)</f>
        <v>6.7173999955338797</v>
      </c>
      <c r="V41" s="2" t="s">
        <v>135</v>
      </c>
    </row>
    <row r="42" spans="4:22" ht="20.100000000000001" customHeight="1" x14ac:dyDescent="0.25">
      <c r="D42" s="55" t="str">
        <f>'Input - Dairy'!$D$54</f>
        <v>Milking shed</v>
      </c>
      <c r="E42" s="55" t="str">
        <f>'Input - Dairy'!$D$77</f>
        <v>Drains to paddock</v>
      </c>
      <c r="F42" s="55" cm="1">
        <f t="array" ref="F42">MMS_Dairy_AtmosphericDeposition_Equations.VEERG_4_3_1_5__2_TotalNitrogenVolatilisedFromMMS(F21,$E34)</f>
        <v>42.44962662904959</v>
      </c>
      <c r="G42" s="55" cm="1">
        <f t="array" ref="G42">MMS_Dairy_AtmosphericDeposition_Equations.VEERG_4_3_1_5__2_TotalNitrogenVolatilisedFromMMS(G21,$E34)</f>
        <v>36.471580535564158</v>
      </c>
      <c r="H42" s="55" cm="1">
        <f t="array" ref="H42">MMS_Dairy_AtmosphericDeposition_Equations.VEERG_4_3_1_5__2_TotalNitrogenVolatilisedFromMMS(H21,$E34)</f>
        <v>14.526244824768686</v>
      </c>
      <c r="I42" s="55" cm="1">
        <f t="array" ref="I42">MMS_Dairy_AtmosphericDeposition_Equations.VEERG_4_3_1_5__2_TotalNitrogenVolatilisedFromMMS(I21,$E34)</f>
        <v>45.846219147973692</v>
      </c>
      <c r="J42" s="55" cm="1">
        <f t="array" ref="J42">MMS_Dairy_AtmosphericDeposition_Equations.VEERG_4_3_1_5__2_TotalNitrogenVolatilisedFromMMS(J21,$E34)</f>
        <v>19.192571415811084</v>
      </c>
      <c r="K42" s="2" t="s">
        <v>135</v>
      </c>
      <c r="O42" s="55" t="str">
        <f>'Input - Dairy'!$D$54</f>
        <v>Milking shed</v>
      </c>
      <c r="P42" s="55" t="str">
        <f>'Input - Dairy'!$D$77</f>
        <v>Drains to paddock</v>
      </c>
      <c r="Q42" s="55" cm="1">
        <f t="array" ref="Q42">MMS_Dairy_AtmosphericDeposition_Equations.VEERG_4_3_1_5__2_TotalNitrogenVolatilisedFromMMS(Q21,$E34)</f>
        <v>42.44962662904959</v>
      </c>
      <c r="R42" s="55" cm="1">
        <f t="array" ref="R42">MMS_Dairy_AtmosphericDeposition_Equations.VEERG_4_3_1_5__2_TotalNitrogenVolatilisedFromMMS(R21,$E34)</f>
        <v>36.471580535564158</v>
      </c>
      <c r="S42" s="55" cm="1">
        <f t="array" ref="S42">MMS_Dairy_AtmosphericDeposition_Equations.VEERG_4_3_1_5__2_TotalNitrogenVolatilisedFromMMS(S21,$E34)</f>
        <v>14.526244824768686</v>
      </c>
      <c r="T42" s="55" cm="1">
        <f t="array" ref="T42">MMS_Dairy_AtmosphericDeposition_Equations.VEERG_4_3_1_5__2_TotalNitrogenVolatilisedFromMMS(T21,$E34)</f>
        <v>45.846219147973692</v>
      </c>
      <c r="U42" s="55" cm="1">
        <f t="array" ref="U42">MMS_Dairy_AtmosphericDeposition_Equations.VEERG_4_3_1_5__2_TotalNitrogenVolatilisedFromMMS(U21,$E34)</f>
        <v>19.192571415811084</v>
      </c>
      <c r="V42" s="2" t="s">
        <v>135</v>
      </c>
    </row>
    <row r="43" spans="4:22" ht="20.100000000000001" customHeight="1" x14ac:dyDescent="0.25">
      <c r="D43" s="55" t="str">
        <f>'Input - Dairy'!$D$54</f>
        <v>Milking shed</v>
      </c>
      <c r="E43" s="55" t="str">
        <f>'Input - Dairy'!$D$82</f>
        <v>Solid storage</v>
      </c>
      <c r="F43" s="55" cm="1">
        <f t="array" ref="F43">MMS_Dairy_AtmosphericDeposition_Equations.VEERG_4_3_1_5__2_TotalNitrogenVolatilisedFromMMS(F22,$E35)</f>
        <v>127.34887988714874</v>
      </c>
      <c r="G43" s="55" cm="1">
        <f t="array" ref="G43">MMS_Dairy_AtmosphericDeposition_Equations.VEERG_4_3_1_5__2_TotalNitrogenVolatilisedFromMMS(G22,$E35)</f>
        <v>109.41474160669246</v>
      </c>
      <c r="H43" s="55" cm="1">
        <f t="array" ref="H43">MMS_Dairy_AtmosphericDeposition_Equations.VEERG_4_3_1_5__2_TotalNitrogenVolatilisedFromMMS(H22,$E35)</f>
        <v>43.578734474306046</v>
      </c>
      <c r="I43" s="55" cm="1">
        <f t="array" ref="I43">MMS_Dairy_AtmosphericDeposition_Equations.VEERG_4_3_1_5__2_TotalNitrogenVolatilisedFromMMS(I22,$E35)</f>
        <v>137.53865744392104</v>
      </c>
      <c r="J43" s="55" cm="1">
        <f t="array" ref="J43">MMS_Dairy_AtmosphericDeposition_Equations.VEERG_4_3_1_5__2_TotalNitrogenVolatilisedFromMMS(J22,$E35)</f>
        <v>57.577714247433235</v>
      </c>
      <c r="K43" s="2" t="s">
        <v>135</v>
      </c>
      <c r="O43" s="55" t="str">
        <f>'Input - Dairy'!$D$54</f>
        <v>Milking shed</v>
      </c>
      <c r="P43" s="55" t="str">
        <f>'Input - Dairy'!$D$82</f>
        <v>Solid storage</v>
      </c>
      <c r="Q43" s="55" cm="1">
        <f t="array" ref="Q43">MMS_Dairy_AtmosphericDeposition_Equations.VEERG_4_3_1_5__2_TotalNitrogenVolatilisedFromMMS(Q22,$E35)</f>
        <v>127.34887988714874</v>
      </c>
      <c r="R43" s="55" cm="1">
        <f t="array" ref="R43">MMS_Dairy_AtmosphericDeposition_Equations.VEERG_4_3_1_5__2_TotalNitrogenVolatilisedFromMMS(R22,$E35)</f>
        <v>109.41474160669246</v>
      </c>
      <c r="S43" s="55" cm="1">
        <f t="array" ref="S43">MMS_Dairy_AtmosphericDeposition_Equations.VEERG_4_3_1_5__2_TotalNitrogenVolatilisedFromMMS(S22,$E35)</f>
        <v>43.578734474306046</v>
      </c>
      <c r="T43" s="55" cm="1">
        <f t="array" ref="T43">MMS_Dairy_AtmosphericDeposition_Equations.VEERG_4_3_1_5__2_TotalNitrogenVolatilisedFromMMS(T22,$E35)</f>
        <v>137.53865744392104</v>
      </c>
      <c r="U43" s="55" cm="1">
        <f t="array" ref="U43">MMS_Dairy_AtmosphericDeposition_Equations.VEERG_4_3_1_5__2_TotalNitrogenVolatilisedFromMMS(U22,$E35)</f>
        <v>57.577714247433235</v>
      </c>
      <c r="V43" s="2" t="s">
        <v>135</v>
      </c>
    </row>
    <row r="44" spans="4:22" ht="20.100000000000001" customHeight="1" x14ac:dyDescent="0.25">
      <c r="D44" s="55" t="str">
        <f>'Input - Dairy'!$D$55</f>
        <v>Feed pad</v>
      </c>
      <c r="E44" s="55" t="str">
        <f>'Input - Dairy'!$D$101</f>
        <v>Anaerobic lagoon</v>
      </c>
      <c r="F44" s="55" cm="1">
        <f t="array" ref="F44">MMS_Dairy_AtmosphericDeposition_Equations.VEERG_4_3_1_5__2_TotalNitrogenVolatilisedFromMMS(F23, $E32)</f>
        <v>300.52406124883964</v>
      </c>
      <c r="G44" s="55" cm="1">
        <f t="array" ref="G44">MMS_Dairy_AtmosphericDeposition_Equations.VEERG_4_3_1_5__2_TotalNitrogenVolatilisedFromMMS(G23, $E32)</f>
        <v>258.20221220064167</v>
      </c>
      <c r="H44" s="55" cm="1">
        <f t="array" ref="H44">MMS_Dairy_AtmosphericDeposition_Equations.VEERG_4_3_1_5__2_TotalNitrogenVolatilisedFromMMS(H23, $E32)</f>
        <v>102.83921052080557</v>
      </c>
      <c r="I44" s="55" cm="1">
        <f t="array" ref="I44">MMS_Dairy_AtmosphericDeposition_Equations.VEERG_4_3_1_5__2_TotalNitrogenVolatilisedFromMMS(I23, $E32)</f>
        <v>324.57039237713184</v>
      </c>
      <c r="J44" s="55" cm="1">
        <f t="array" ref="J44">MMS_Dairy_AtmosphericDeposition_Equations.VEERG_4_3_1_5__2_TotalNitrogenVolatilisedFromMMS(J23, $E32)</f>
        <v>135.87468172784432</v>
      </c>
      <c r="K44" s="2" t="s">
        <v>135</v>
      </c>
      <c r="O44" s="55" t="str">
        <f>'Input - Dairy'!$D$55</f>
        <v>Feed pad</v>
      </c>
      <c r="P44" s="55" t="str">
        <f>'Input - Dairy'!$D$101</f>
        <v>Anaerobic lagoon</v>
      </c>
      <c r="Q44" s="55" cm="1">
        <f t="array" ref="Q44">MMS_Dairy_AtmosphericDeposition_Equations.VEERG_4_3_1_5__2_TotalNitrogenVolatilisedFromMMS(Q23, $E32)</f>
        <v>300.52406124883964</v>
      </c>
      <c r="R44" s="55" cm="1">
        <f t="array" ref="R44">MMS_Dairy_AtmosphericDeposition_Equations.VEERG_4_3_1_5__2_TotalNitrogenVolatilisedFromMMS(R23, $E32)</f>
        <v>258.20221220064167</v>
      </c>
      <c r="S44" s="55" cm="1">
        <f t="array" ref="S44">MMS_Dairy_AtmosphericDeposition_Equations.VEERG_4_3_1_5__2_TotalNitrogenVolatilisedFromMMS(S23, $E32)</f>
        <v>102.83921052080557</v>
      </c>
      <c r="T44" s="55" cm="1">
        <f t="array" ref="T44">MMS_Dairy_AtmosphericDeposition_Equations.VEERG_4_3_1_5__2_TotalNitrogenVolatilisedFromMMS(T23, $E32)</f>
        <v>324.57039237713184</v>
      </c>
      <c r="U44" s="55" cm="1">
        <f t="array" ref="U44">MMS_Dairy_AtmosphericDeposition_Equations.VEERG_4_3_1_5__2_TotalNitrogenVolatilisedFromMMS(U23, $E32)</f>
        <v>135.87468172784432</v>
      </c>
      <c r="V44" s="2" t="s">
        <v>135</v>
      </c>
    </row>
    <row r="45" spans="4:22" ht="20.100000000000001" customHeight="1" x14ac:dyDescent="0.25">
      <c r="D45" s="55" t="str">
        <f>'Input - Dairy'!$D$55</f>
        <v>Feed pad</v>
      </c>
      <c r="E45" s="55" t="str">
        <f>'Input - Dairy'!$D$106</f>
        <v>Sump and dispersal system</v>
      </c>
      <c r="F45" s="55" cm="1">
        <f t="array" ref="F45">MMS_Dairy_AtmosphericDeposition_Equations.VEERG_4_3_1_5__2_TotalNitrogenVolatilisedFromMMS(F24, $E33)</f>
        <v>48.083849799814352</v>
      </c>
      <c r="G45" s="55" cm="1">
        <f t="array" ref="G45">MMS_Dairy_AtmosphericDeposition_Equations.VEERG_4_3_1_5__2_TotalNitrogenVolatilisedFromMMS(G24, $E33)</f>
        <v>41.312353952102676</v>
      </c>
      <c r="H45" s="55" cm="1">
        <f t="array" ref="H45">MMS_Dairy_AtmosphericDeposition_Equations.VEERG_4_3_1_5__2_TotalNitrogenVolatilisedFromMMS(H24, $E33)</f>
        <v>16.454273683328893</v>
      </c>
      <c r="I45" s="55" cm="1">
        <f t="array" ref="I45">MMS_Dairy_AtmosphericDeposition_Equations.VEERG_4_3_1_5__2_TotalNitrogenVolatilisedFromMMS(I24, $E33)</f>
        <v>51.931262780341108</v>
      </c>
      <c r="J45" s="55" cm="1">
        <f t="array" ref="J45">MMS_Dairy_AtmosphericDeposition_Equations.VEERG_4_3_1_5__2_TotalNitrogenVolatilisedFromMMS(J24, $E33)</f>
        <v>21.739949076455098</v>
      </c>
      <c r="K45" s="2" t="s">
        <v>135</v>
      </c>
      <c r="O45" s="55" t="str">
        <f>'Input - Dairy'!$D$55</f>
        <v>Feed pad</v>
      </c>
      <c r="P45" s="55" t="str">
        <f>'Input - Dairy'!$D$106</f>
        <v>Sump and dispersal system</v>
      </c>
      <c r="Q45" s="55" cm="1">
        <f t="array" ref="Q45">MMS_Dairy_AtmosphericDeposition_Equations.VEERG_4_3_1_5__2_TotalNitrogenVolatilisedFromMMS(Q24, $E33)</f>
        <v>48.083849799814352</v>
      </c>
      <c r="R45" s="55" cm="1">
        <f t="array" ref="R45">MMS_Dairy_AtmosphericDeposition_Equations.VEERG_4_3_1_5__2_TotalNitrogenVolatilisedFromMMS(R24, $E33)</f>
        <v>41.312353952102676</v>
      </c>
      <c r="S45" s="55" cm="1">
        <f t="array" ref="S45">MMS_Dairy_AtmosphericDeposition_Equations.VEERG_4_3_1_5__2_TotalNitrogenVolatilisedFromMMS(S24, $E33)</f>
        <v>16.454273683328893</v>
      </c>
      <c r="T45" s="55" cm="1">
        <f t="array" ref="T45">MMS_Dairy_AtmosphericDeposition_Equations.VEERG_4_3_1_5__2_TotalNitrogenVolatilisedFromMMS(T24, $E33)</f>
        <v>51.931262780341108</v>
      </c>
      <c r="U45" s="55" cm="1">
        <f t="array" ref="U45">MMS_Dairy_AtmosphericDeposition_Equations.VEERG_4_3_1_5__2_TotalNitrogenVolatilisedFromMMS(U24, $E33)</f>
        <v>21.739949076455098</v>
      </c>
      <c r="V45" s="2" t="s">
        <v>135</v>
      </c>
    </row>
    <row r="46" spans="4:22" ht="20.100000000000001" customHeight="1" x14ac:dyDescent="0.25">
      <c r="D46" s="55" t="str">
        <f>'Input - Dairy'!$D$55</f>
        <v>Feed pad</v>
      </c>
      <c r="E46" s="55" t="str">
        <f>'Input - Dairy'!$D$111</f>
        <v>Drains to paddock</v>
      </c>
      <c r="F46" s="55" cm="1">
        <f t="array" ref="F46">MMS_Dairy_AtmosphericDeposition_Equations.VEERG_4_3_1_5__2_TotalNitrogenVolatilisedFromMMS(F25, $E34)</f>
        <v>137.38242799946957</v>
      </c>
      <c r="G46" s="55" cm="1">
        <f t="array" ref="G46">MMS_Dairy_AtmosphericDeposition_Equations.VEERG_4_3_1_5__2_TotalNitrogenVolatilisedFromMMS(G25, $E34)</f>
        <v>118.03529700600764</v>
      </c>
      <c r="H46" s="55" cm="1">
        <f t="array" ref="H46">MMS_Dairy_AtmosphericDeposition_Equations.VEERG_4_3_1_5__2_TotalNitrogenVolatilisedFromMMS(H25, $E34)</f>
        <v>47.012210523796831</v>
      </c>
      <c r="I46" s="55" cm="1">
        <f t="array" ref="I46">MMS_Dairy_AtmosphericDeposition_Equations.VEERG_4_3_1_5__2_TotalNitrogenVolatilisedFromMMS(I25, $E34)</f>
        <v>148.37503651526029</v>
      </c>
      <c r="J46" s="55" cm="1">
        <f t="array" ref="J46">MMS_Dairy_AtmosphericDeposition_Equations.VEERG_4_3_1_5__2_TotalNitrogenVolatilisedFromMMS(J25, $E34)</f>
        <v>62.114140218443133</v>
      </c>
      <c r="K46" s="2" t="s">
        <v>135</v>
      </c>
      <c r="O46" s="55" t="str">
        <f>'Input - Dairy'!$D$55</f>
        <v>Feed pad</v>
      </c>
      <c r="P46" s="55" t="str">
        <f>'Input - Dairy'!$D$111</f>
        <v>Drains to paddock</v>
      </c>
      <c r="Q46" s="55" cm="1">
        <f t="array" ref="Q46">MMS_Dairy_AtmosphericDeposition_Equations.VEERG_4_3_1_5__2_TotalNitrogenVolatilisedFromMMS(Q25, $E34)</f>
        <v>137.38242799946957</v>
      </c>
      <c r="R46" s="55" cm="1">
        <f t="array" ref="R46">MMS_Dairy_AtmosphericDeposition_Equations.VEERG_4_3_1_5__2_TotalNitrogenVolatilisedFromMMS(R25, $E34)</f>
        <v>118.03529700600764</v>
      </c>
      <c r="S46" s="55" cm="1">
        <f t="array" ref="S46">MMS_Dairy_AtmosphericDeposition_Equations.VEERG_4_3_1_5__2_TotalNitrogenVolatilisedFromMMS(S25, $E34)</f>
        <v>47.012210523796831</v>
      </c>
      <c r="T46" s="55" cm="1">
        <f t="array" ref="T46">MMS_Dairy_AtmosphericDeposition_Equations.VEERG_4_3_1_5__2_TotalNitrogenVolatilisedFromMMS(T25, $E34)</f>
        <v>148.37503651526029</v>
      </c>
      <c r="U46" s="55" cm="1">
        <f t="array" ref="U46">MMS_Dairy_AtmosphericDeposition_Equations.VEERG_4_3_1_5__2_TotalNitrogenVolatilisedFromMMS(U25, $E34)</f>
        <v>62.114140218443133</v>
      </c>
      <c r="V46" s="2" t="s">
        <v>135</v>
      </c>
    </row>
    <row r="47" spans="4:22" ht="20.100000000000001" customHeight="1" x14ac:dyDescent="0.25">
      <c r="D47" s="55" t="str">
        <f>'Input - Dairy'!$D$55</f>
        <v>Feed pad</v>
      </c>
      <c r="E47" s="55" t="str">
        <f>'Input - Dairy'!$D$116</f>
        <v>Solid storage</v>
      </c>
      <c r="F47" s="55" cm="1">
        <f t="array" ref="F47">MMS_Dairy_AtmosphericDeposition_Equations.VEERG_4_3_1_5__2_TotalNitrogenVolatilisedFromMMS(F26, $E35)</f>
        <v>360.62887349860756</v>
      </c>
      <c r="G47" s="55" cm="1">
        <f t="array" ref="G47">MMS_Dairy_AtmosphericDeposition_Equations.VEERG_4_3_1_5__2_TotalNitrogenVolatilisedFromMMS(G26, $E35)</f>
        <v>309.84265464076998</v>
      </c>
      <c r="H47" s="55" cm="1">
        <f t="array" ref="H47">MMS_Dairy_AtmosphericDeposition_Equations.VEERG_4_3_1_5__2_TotalNitrogenVolatilisedFromMMS(H26, $E35)</f>
        <v>123.40705262496667</v>
      </c>
      <c r="I47" s="55" cm="1">
        <f t="array" ref="I47">MMS_Dairy_AtmosphericDeposition_Equations.VEERG_4_3_1_5__2_TotalNitrogenVolatilisedFromMMS(I26, $E35)</f>
        <v>389.48447085255822</v>
      </c>
      <c r="J47" s="55" cm="1">
        <f t="array" ref="J47">MMS_Dairy_AtmosphericDeposition_Equations.VEERG_4_3_1_5__2_TotalNitrogenVolatilisedFromMMS(J26, $E35)</f>
        <v>163.0496180734132</v>
      </c>
      <c r="K47" s="2" t="s">
        <v>135</v>
      </c>
      <c r="O47" s="55" t="str">
        <f>'Input - Dairy'!$D$55</f>
        <v>Feed pad</v>
      </c>
      <c r="P47" s="55" t="str">
        <f>'Input - Dairy'!$D$116</f>
        <v>Solid storage</v>
      </c>
      <c r="Q47" s="55" cm="1">
        <f t="array" ref="Q47">MMS_Dairy_AtmosphericDeposition_Equations.VEERG_4_3_1_5__2_TotalNitrogenVolatilisedFromMMS(Q26, $E35)</f>
        <v>360.62887349860756</v>
      </c>
      <c r="R47" s="55" cm="1">
        <f t="array" ref="R47">MMS_Dairy_AtmosphericDeposition_Equations.VEERG_4_3_1_5__2_TotalNitrogenVolatilisedFromMMS(R26, $E35)</f>
        <v>309.84265464076998</v>
      </c>
      <c r="S47" s="55" cm="1">
        <f t="array" ref="S47">MMS_Dairy_AtmosphericDeposition_Equations.VEERG_4_3_1_5__2_TotalNitrogenVolatilisedFromMMS(S26, $E35)</f>
        <v>123.40705262496667</v>
      </c>
      <c r="T47" s="55" cm="1">
        <f t="array" ref="T47">MMS_Dairy_AtmosphericDeposition_Equations.VEERG_4_3_1_5__2_TotalNitrogenVolatilisedFromMMS(T26, $E35)</f>
        <v>389.48447085255822</v>
      </c>
      <c r="U47" s="55" cm="1">
        <f t="array" ref="U47">MMS_Dairy_AtmosphericDeposition_Equations.VEERG_4_3_1_5__2_TotalNitrogenVolatilisedFromMMS(U26, $E35)</f>
        <v>163.0496180734132</v>
      </c>
      <c r="V47" s="2" t="s">
        <v>135</v>
      </c>
    </row>
    <row r="48" spans="4:22" ht="20.100000000000001" customHeight="1" x14ac:dyDescent="0.25"/>
    <row r="49" spans="3:23" ht="20.100000000000001" customHeight="1" x14ac:dyDescent="0.25">
      <c r="D49" s="121" t="s">
        <v>402</v>
      </c>
      <c r="E49" s="48">
        <f>SUM(F40:J47)</f>
        <v>4127.6301088949185</v>
      </c>
      <c r="F49" s="112" t="str">
        <f>$E$11</f>
        <v>kg N</v>
      </c>
      <c r="O49" s="121" t="s">
        <v>402</v>
      </c>
      <c r="P49" s="48">
        <f>SUM(Q40:U47)</f>
        <v>4127.6301088949185</v>
      </c>
      <c r="Q49" s="112" t="str">
        <f>$E$11</f>
        <v>kg N</v>
      </c>
    </row>
    <row r="50" spans="3:23" ht="20.100000000000001" customHeight="1" x14ac:dyDescent="0.25">
      <c r="W50" s="48"/>
    </row>
    <row r="51" spans="3:23" ht="20.100000000000001" customHeight="1" x14ac:dyDescent="0.25"/>
    <row r="52" spans="3:23" ht="20.100000000000001" customHeight="1" x14ac:dyDescent="0.25">
      <c r="C52" s="48"/>
      <c r="D52" s="48"/>
      <c r="E52" s="48"/>
      <c r="F52" s="48"/>
      <c r="G52" s="48"/>
      <c r="H52" s="48"/>
      <c r="I52" s="48"/>
      <c r="J52" s="48"/>
      <c r="K52" s="48"/>
      <c r="L52" s="48"/>
      <c r="N52" s="48"/>
      <c r="O52" s="48"/>
      <c r="P52" s="48"/>
      <c r="Q52" s="48"/>
      <c r="R52" s="48"/>
      <c r="S52" s="48"/>
      <c r="T52" s="48"/>
      <c r="U52" s="48"/>
      <c r="V52" s="48"/>
    </row>
    <row r="53" spans="3:23" ht="20.100000000000001" customHeight="1" x14ac:dyDescent="0.25">
      <c r="D53" s="6" t="str" cm="1">
        <f t="array" ref="D53">MMS_Dairy_AtmosphericDeposition_Equations.VEERG_4_3_1_5__1_AnnualAtmosphericDepositionEmissionsFromMMS_Title()</f>
        <v>Annual atmospheric deposition emissions from MMS</v>
      </c>
    </row>
    <row r="54" spans="3:23" ht="20.100000000000001" customHeight="1" x14ac:dyDescent="0.25">
      <c r="D54" s="5" t="str" cm="1">
        <f t="array" ref="D54">MMS_Dairy_AtmosphericDeposition_Equations.VEERG_4_3_1_5__1_AnnualAtmosphericDepositionEmissionsFromMMS_Source()</f>
        <v>VEERG 2026: 4.3.1.5, Equation (1)</v>
      </c>
    </row>
    <row r="55" spans="3:23" ht="20.100000000000001" customHeight="1" x14ac:dyDescent="0.25">
      <c r="D55" s="13" t="s">
        <v>28</v>
      </c>
      <c r="E55" s="13" t="str" cm="1">
        <f t="array" aca="1" ref="E55" ca="1">Common_InputFunctions.Utility_DisplayFunctionName($E$68)</f>
        <v>=MMS_Dairy_AtmosphericDeposition_Equations.VEERG_4_3_1_5__1_AnnualAtmosphericDepositionEmissionsFromMMS</v>
      </c>
    </row>
    <row r="56" spans="3:23" ht="20.100000000000001" customHeight="1" x14ac:dyDescent="0.25"/>
    <row r="57" spans="3:23" ht="20.100000000000001" customHeight="1" x14ac:dyDescent="0.25">
      <c r="D57" s="6"/>
    </row>
    <row r="58" spans="3:23" ht="20.100000000000001" customHeight="1" x14ac:dyDescent="0.25">
      <c r="D58" s="56" t="s">
        <v>31</v>
      </c>
      <c r="E58" s="1" t="str" cm="1">
        <f t="array" ref="E58">MMS_Dairy_AtmosphericDeposition_Equations.VEERG_4_3_1_5__1_AnnualAtmosphericDepositionEmissionsFromMMS_Variable()</f>
        <v>E_N2OMMSad</v>
      </c>
    </row>
    <row r="59" spans="3:23" ht="20.100000000000001" customHeight="1" x14ac:dyDescent="0.25">
      <c r="D59" s="56" t="s">
        <v>21</v>
      </c>
      <c r="E59" s="57" t="str" cm="1">
        <f t="array" ref="E59">MMS_Dairy_AtmosphericDeposition_Equations.VEERG_4_3_1_5__1_AnnualAtmosphericDepositionEmissionsFromMMS_Unit()</f>
        <v>t N2O</v>
      </c>
    </row>
    <row r="60" spans="3:23" ht="20.100000000000001" customHeight="1" x14ac:dyDescent="0.25"/>
    <row r="61" spans="3:23" ht="20.100000000000001" customHeight="1" x14ac:dyDescent="0.25">
      <c r="D61" s="60" t="str" cm="1">
        <f t="array" ref="D61:E66">MMS_Dairy_AtmosphericDeposition_Equations.VEERG_4_3_1_5__1_AnnualAtmosphericDepositionEmissionsFromMMS_Arguments()</f>
        <v>MN_ATMOS</v>
      </c>
      <c r="E61" s="61" t="str">
        <v>mass of N volatilised from MMS (kg N)</v>
      </c>
      <c r="F61" s="62"/>
      <c r="G61" s="60">
        <f>$E$49</f>
        <v>4127.6301088949185</v>
      </c>
      <c r="O61" s="60" t="str">
        <f>D61</f>
        <v>MN_ATMOS</v>
      </c>
      <c r="P61" s="61" t="str">
        <f>E61</f>
        <v>mass of N volatilised from MMS (kg N)</v>
      </c>
      <c r="Q61" s="62"/>
      <c r="R61" s="60">
        <f>$E$49</f>
        <v>4127.6301088949185</v>
      </c>
    </row>
    <row r="62" spans="3:23" ht="20.100000000000001" customHeight="1" x14ac:dyDescent="0.25">
      <c r="D62" s="60" t="str">
        <v>EF_N2O</v>
      </c>
      <c r="E62" s="61" t="str">
        <v>nitrous oxide emission factor for atmospheric deposition (kg N2O-N/kg N)</v>
      </c>
      <c r="F62" s="62"/>
      <c r="G62" s="60">
        <f>Common_InputFunctions.Utility_LookupN2OEFFromProdIrrigationRainfall(G64,G65,G66,Table_SourceData_Common_EFN2O[Production system only],Table_SourceData_Common_EFN2O[Irrigation method],Table_SourceData_Common_EFN2O[Rainfall zone],Table_SourceData_Common_EFN2O[EFN2O])</f>
        <v>5.8999999999999999E-3</v>
      </c>
      <c r="O62" s="60"/>
      <c r="P62" s="61"/>
      <c r="Q62" s="62"/>
      <c r="R62" s="60"/>
    </row>
    <row r="63" spans="3:23" ht="20.100000000000001" customHeight="1" x14ac:dyDescent="0.25">
      <c r="D63" s="60" t="str">
        <v>C_N2O</v>
      </c>
      <c r="E63" s="61" t="str">
        <v>factor to convert elemental mass of N2O to molecular mass</v>
      </c>
      <c r="F63" s="62"/>
      <c r="G63" s="60">
        <f>Common_InputFunctions.Utility_LookupValueInTableNumber("N2O",Table_GasToMolecularConversionFactor[Gas],Table_GasToMolecularConversionFactor[Conversion factor combined])</f>
        <v>1.5714285714285714</v>
      </c>
      <c r="O63" s="60"/>
      <c r="P63" s="61"/>
      <c r="Q63" s="62"/>
      <c r="R63" s="60"/>
    </row>
    <row r="64" spans="3:23" ht="20.100000000000001" customHeight="1" x14ac:dyDescent="0.25">
      <c r="D64" s="60" t="str">
        <v>j</v>
      </c>
      <c r="E64" s="61" t="str">
        <v>production system</v>
      </c>
      <c r="F64" s="62"/>
      <c r="G64" s="60" t="str">
        <f>'Input - Dairy'!$E$183</f>
        <v>Pasture</v>
      </c>
      <c r="O64" s="60"/>
      <c r="P64" s="61"/>
      <c r="Q64" s="62"/>
      <c r="R64" s="60"/>
    </row>
    <row r="65" spans="4:18" ht="20.100000000000001" customHeight="1" x14ac:dyDescent="0.25">
      <c r="D65" s="60" t="str">
        <v>ir</v>
      </c>
      <c r="E65" s="61" t="str">
        <v>irrigation method</v>
      </c>
      <c r="F65" s="62"/>
      <c r="G65" s="60" t="str">
        <f>'Input - Dairy'!$E$184</f>
        <v>Sprinkler irrigation</v>
      </c>
      <c r="O65" s="60"/>
      <c r="P65" s="61"/>
      <c r="Q65" s="62"/>
      <c r="R65" s="60"/>
    </row>
    <row r="66" spans="4:18" ht="20.100000000000001" customHeight="1" x14ac:dyDescent="0.25">
      <c r="D66" s="60" t="str">
        <v>r</v>
      </c>
      <c r="E66" s="61" t="str">
        <v>rainfall region</v>
      </c>
      <c r="F66" s="62"/>
      <c r="G66" s="60" t="str">
        <f>'Input - Site'!$E$30</f>
        <v>High rainfall</v>
      </c>
      <c r="O66" s="60"/>
      <c r="P66" s="61"/>
      <c r="Q66" s="62"/>
      <c r="R66" s="60"/>
    </row>
    <row r="67" spans="4:18" ht="20.100000000000001" customHeight="1" x14ac:dyDescent="0.25"/>
    <row r="68" spans="4:18" ht="20.100000000000001" customHeight="1" x14ac:dyDescent="0.25">
      <c r="D68" s="108" t="s">
        <v>344</v>
      </c>
      <c r="E68" s="109" cm="1">
        <f t="array" ref="E68">MMS_Dairy_AtmosphericDeposition_Equations.VEERG_4_3_1_5__1_AnnualAtmosphericDepositionEmissionsFromMMS($G$61,$G$62,$G$63)</f>
        <v>3.8269027723897175E-2</v>
      </c>
      <c r="F68" s="110" t="str">
        <f>$E$59</f>
        <v>t N2O</v>
      </c>
      <c r="O68" s="108" t="s">
        <v>344</v>
      </c>
      <c r="P68" s="109" cm="1">
        <f t="array" ref="P68">MMS_Dairy_AtmosphericDeposition_Equations.VEERG_4_3_1_5__1_AnnualAtmosphericDepositionEmissionsFromMMS($R$61,$G$62,$G$63)</f>
        <v>3.8269027723897175E-2</v>
      </c>
      <c r="Q68" s="110" t="str">
        <f>$E$59</f>
        <v>t N2O</v>
      </c>
    </row>
    <row r="69" spans="4:18" ht="20.100000000000001" customHeight="1" x14ac:dyDescent="0.25"/>
    <row r="70" spans="4:18" ht="20.100000000000001" customHeight="1" x14ac:dyDescent="0.25">
      <c r="D70" s="60" t="str" cm="1">
        <f t="array" ref="D70:E71">Common_Equations.Common_ConvertN2OToCO2e_Arguments()</f>
        <v>EN2O</v>
      </c>
      <c r="E70" s="61" t="str">
        <v>Nitrous oxide emissions (t N2O)</v>
      </c>
      <c r="F70" s="111"/>
      <c r="G70" s="55">
        <f>$E$68</f>
        <v>3.8269027723897175E-2</v>
      </c>
      <c r="O70" s="60" t="str" cm="1">
        <f t="array" ref="O70:P71">Common_Equations.Common_ConvertN2OToCO2e_Arguments()</f>
        <v>EN2O</v>
      </c>
      <c r="P70" s="61" t="str">
        <v>Nitrous oxide emissions (t N2O)</v>
      </c>
      <c r="Q70" s="111"/>
      <c r="R70" s="55">
        <f>P68</f>
        <v>3.8269027723897175E-2</v>
      </c>
    </row>
    <row r="71" spans="4:18" ht="20.100000000000001" customHeight="1" x14ac:dyDescent="0.25">
      <c r="D71" s="60" t="str">
        <v>GWPN2O</v>
      </c>
      <c r="E71" s="61" t="str">
        <v>Global warming potential for nitrous oxide (t CO2-e / t N2O)</v>
      </c>
      <c r="F71" s="111"/>
      <c r="G71" s="55">
        <f>Common_InputFunctions.Utility_LookupValueInTableNumber("N2O",Table_GWPData[Gas],Table_GWPData[CO2-e factor])</f>
        <v>265</v>
      </c>
      <c r="O71" s="60" t="str">
        <v>GWPN2O</v>
      </c>
      <c r="P71" s="61" t="str">
        <v>Global warming potential for nitrous oxide (t CO2-e / t N2O)</v>
      </c>
      <c r="Q71" s="111"/>
      <c r="R71" s="55">
        <f>Common_InputFunctions.Utility_LookupValueInTableNumber("N2O",Table_GWPData[Gas],Table_GWPData[CO2-e factor])</f>
        <v>265</v>
      </c>
    </row>
    <row r="72" spans="4:18" ht="20.100000000000001" customHeight="1" x14ac:dyDescent="0.25"/>
    <row r="73" spans="4:18" ht="20.100000000000001" customHeight="1" x14ac:dyDescent="0.25">
      <c r="D73" s="48" t="s">
        <v>111</v>
      </c>
      <c r="E73" s="48" cm="1">
        <f t="array" ref="E73">Common_Equations.Common_ConvertN2OToCO2e(G70,G71)</f>
        <v>10.141292346832751</v>
      </c>
      <c r="F73" s="112" t="str" cm="1">
        <f t="array" ref="F73">Common_Equations.Common_ConvertN2OToCO2e_Unit()</f>
        <v>t CO2e</v>
      </c>
      <c r="O73" s="48" t="s">
        <v>111</v>
      </c>
      <c r="P73" s="48" cm="1">
        <f t="array" ref="P73">Common_Equations.Common_ConvertN2OToCO2e(R70,R71)</f>
        <v>10.141292346832751</v>
      </c>
      <c r="Q73" s="112" t="str" cm="1">
        <f t="array" ref="Q73">Common_Equations.Common_ConvertN2OToCO2e_Unit()</f>
        <v>t CO2e</v>
      </c>
    </row>
    <row r="74" spans="4:18" ht="20.100000000000001" customHeight="1" x14ac:dyDescent="0.25"/>
    <row r="75" spans="4:18" ht="20.100000000000001" customHeight="1" x14ac:dyDescent="0.25"/>
    <row r="76" spans="4:18" ht="20.100000000000001" customHeight="1" x14ac:dyDescent="0.25"/>
    <row r="77" spans="4:18" ht="20.100000000000001" customHeight="1" x14ac:dyDescent="0.25"/>
    <row r="78" spans="4:18" ht="20.100000000000001" customHeight="1" x14ac:dyDescent="0.25"/>
    <row r="79" spans="4:18" ht="20.100000000000001" customHeight="1" x14ac:dyDescent="0.25"/>
    <row r="80" spans="4: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34 E31 E22 E19 P22 P19 E43 E40 P43 P40 E74 P74" xr:uid="{7FA3C31B-BFCF-4AA3-9A1C-D3DF345CD246}"/>
  </dataValidation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FF1F9-358B-4D16-8622-0A1620082E5C}">
  <dimension ref="A1:W165"/>
  <sheetViews>
    <sheetView showGridLines="0" topLeftCell="A7" workbookViewId="0">
      <selection activeCell="O26" sqref="O26:V30"/>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373</v>
      </c>
    </row>
    <row r="2" spans="1:23" s="9" customFormat="1" ht="20.100000000000001" customHeight="1" x14ac:dyDescent="0.25"/>
    <row r="3" spans="1:23" ht="20.100000000000001" customHeight="1" x14ac:dyDescent="0.25">
      <c r="A3" s="17" t="str">
        <f>HYPERLINK("#'Home'!A1", "Home")</f>
        <v>Home</v>
      </c>
      <c r="C3" s="4"/>
      <c r="D3" s="4" t="s">
        <v>123</v>
      </c>
      <c r="E3" s="4"/>
      <c r="F3" s="4"/>
      <c r="G3" s="4"/>
      <c r="H3" s="4"/>
      <c r="I3" s="4"/>
      <c r="J3" s="4"/>
      <c r="K3" s="4"/>
      <c r="L3" s="4"/>
      <c r="N3" s="4"/>
      <c r="O3" s="4" t="s">
        <v>124</v>
      </c>
      <c r="P3" s="4"/>
      <c r="Q3" s="4"/>
      <c r="R3" s="4"/>
      <c r="S3" s="4"/>
      <c r="T3" s="4"/>
      <c r="U3" s="4"/>
      <c r="V3" s="4"/>
      <c r="W3" s="4"/>
    </row>
    <row r="4" spans="1:23" ht="20.100000000000001" customHeight="1" x14ac:dyDescent="0.25">
      <c r="A4" s="17" t="str">
        <f>HYPERLINK("#'Results'!A1", "Results")</f>
        <v>Results</v>
      </c>
    </row>
    <row r="5" spans="1:23" ht="20.100000000000001" customHeight="1" x14ac:dyDescent="0.25">
      <c r="A5" s="16"/>
      <c r="D5" s="6"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5">
      <c r="A6" s="20" t="s">
        <v>3</v>
      </c>
      <c r="D6" s="5" t="str" cm="1">
        <f t="array" ref="D6">MMS_Dairy_LeachingAndRunoff_Equations.VEERG_4_3_1_6__2_MassOfNitrogenLostToLeachingAndRunoffFromSolidStorage_Source()</f>
        <v>VEERG 2026: 4.3.1.6, Equation (2)</v>
      </c>
    </row>
    <row r="7" spans="1:23" ht="20.100000000000001" customHeight="1" x14ac:dyDescent="0.25">
      <c r="A7" s="17" t="str">
        <f>HYPERLINK("#'Input - Site'!A1", "Site")</f>
        <v>Site</v>
      </c>
      <c r="D7" s="13" t="s">
        <v>28</v>
      </c>
      <c r="E7" s="13" t="str" cm="1">
        <f t="array" aca="1" ref="E7" ca="1">Common_InputFunctions.Utility_DisplayFunctionName($F$29)</f>
        <v>=MMS_Dairy_LeachingAndRunoff_Equations.VEERG_4_3_1_6__2_MassOfNitrogenLostToLeachingAndRunoffFromSolidStorage</v>
      </c>
    </row>
    <row r="8" spans="1:23" ht="20.100000000000001" customHeight="1" x14ac:dyDescent="0.25">
      <c r="A8" s="17" t="str">
        <f>HYPERLINK("#'Input - Dairy'!A1", "Dairy")</f>
        <v>Dairy</v>
      </c>
      <c r="G8" s="114" t="s">
        <v>345</v>
      </c>
    </row>
    <row r="9" spans="1:23" ht="20.100000000000001" customHeight="1" x14ac:dyDescent="0.25">
      <c r="A9" s="17"/>
    </row>
    <row r="10" spans="1:23" ht="20.100000000000001" customHeight="1" x14ac:dyDescent="0.25">
      <c r="A10" s="19" t="s">
        <v>78</v>
      </c>
      <c r="D10" s="56" t="s">
        <v>31</v>
      </c>
      <c r="E10" s="1" t="str" cm="1">
        <f t="array" ref="E10">MMS_Dairy_LeachingAndRunoff_Equations.VEERG_4_3_1_6__2_MassOfNitrogenLostToLeachingAndRunoffFromSolidStorage_Variable()</f>
        <v>MNLeach_jm4</v>
      </c>
    </row>
    <row r="11" spans="1:23" ht="20.100000000000001" customHeight="1" x14ac:dyDescent="0.25">
      <c r="A11" s="17" t="str">
        <f>HYPERLINK("#'4.3.1.1-2 Methane'!A1", "4.3.1.1-2 Methane")</f>
        <v>4.3.1.1-2 Methane</v>
      </c>
      <c r="D11" s="56" t="s">
        <v>21</v>
      </c>
      <c r="E11" s="57" t="str" cm="1">
        <f t="array" ref="E11">MMS_Dairy_LeachingAndRunoff_Equations.VEERG_4_3_1_6__2_MassOfNitrogenLostToLeachingAndRunoffFromSolidStorage_Unit()</f>
        <v>kg N</v>
      </c>
    </row>
    <row r="12" spans="1:23" ht="20.100000000000001" customHeight="1" x14ac:dyDescent="0.25">
      <c r="A12" s="17" t="str">
        <f>HYPERLINK("#'4.3.1.3-4 Direct N20'!A1", "4.3.1.3-4 Direct N2O")</f>
        <v>4.3.1.3-4 Direct N2O</v>
      </c>
    </row>
    <row r="13" spans="1:23" ht="20.100000000000001" customHeight="1" x14ac:dyDescent="0.25">
      <c r="A13" s="17" t="str">
        <f>HYPERLINK("#'4.3.1.5 Atmos Deposition'!A1", "4.3.1.5 Atmospheric deposition")</f>
        <v>4.3.1.5 Atmospheric deposition</v>
      </c>
      <c r="D13" s="60" t="str" cm="1">
        <f t="array" ref="D13:E18">MMS_Dairy_LeachingAndRunoff_Equations.VEERG_4_3_1_6__2_MassOfNitrogenLostToLeachingAndRunoffFromSolidStorage_Arguments()</f>
        <v>MN_jm4</v>
      </c>
      <c r="E13" s="61" t="str">
        <v>total nitrogen in solid storage system m=4 (kg N)</v>
      </c>
      <c r="F13" s="105"/>
      <c r="G13" s="62"/>
      <c r="H13" s="60" t="str">
        <f>"See " &amp; D20</f>
        <v>See M1_Table_MN_j_m-4</v>
      </c>
    </row>
    <row r="14" spans="1:23" ht="20.100000000000001" customHeight="1" x14ac:dyDescent="0.25">
      <c r="A14" s="22" t="str">
        <f>HYPERLINK("#'4.3.1.6-7 Leaching and runoff'!A1", "4.3.1.6-7 Leaching and runoff")</f>
        <v>4.3.1.6-7 Leaching and runoff</v>
      </c>
      <c r="D14" s="60" t="str">
        <v>FracWET_i</v>
      </c>
      <c r="E14" s="61" t="str">
        <v>fraction of N that is available for leaching and runoff from the leaching zone z and irrigation type ir (dimensionless)</v>
      </c>
      <c r="F14" s="105"/>
      <c r="G14" s="62"/>
      <c r="H14" s="60">
        <f>Common_InputFunctions.CommonCropping_GetFracWET(H16,H18,#REF!,#REF!,Table_SourceData_FracWETIrrigation[Irrigation type i],Table_SourceData_FracWETIrrigation[FracWET])</f>
        <v>1</v>
      </c>
    </row>
    <row r="15" spans="1:23" ht="20.100000000000001" customHeight="1" x14ac:dyDescent="0.25">
      <c r="A15" s="17" t="str">
        <f>HYPERLINK("#'4.3.1.8 Manure applied to soils'!A1", "4.3.1.8 Manure applied to soils")</f>
        <v>4.3.1.8 Manure applied to soils</v>
      </c>
      <c r="D15" s="60" t="str">
        <v>FracLEACH_MS</v>
      </c>
      <c r="E15" s="61" t="str">
        <v>fraction of N that is lost through leaching and runoff (dimensionless)</v>
      </c>
      <c r="F15" s="105"/>
      <c r="G15" s="62"/>
      <c r="H15" s="60">
        <f>'Constants - Dairy'!$D$209</f>
        <v>0.02</v>
      </c>
    </row>
    <row r="16" spans="1:23" ht="20.100000000000001" customHeight="1" x14ac:dyDescent="0.25">
      <c r="A16" s="17" t="str">
        <f>HYPERLINK("#'4.3.1.9 Soil direct N2O'!A1", "4.3.1.9 Soil direct N2O")</f>
        <v>4.3.1.9 Soil direct N2O</v>
      </c>
      <c r="D16" s="60" t="str">
        <v>z</v>
      </c>
      <c r="E16" s="61" t="str">
        <v>location in leaching zone</v>
      </c>
      <c r="F16" s="105"/>
      <c r="G16" s="62"/>
      <c r="H16" s="60" t="str">
        <f>'Input - Site'!$E$23</f>
        <v>NO - Not in leaching zone</v>
      </c>
    </row>
    <row r="17" spans="1:22" ht="20.100000000000001" customHeight="1" x14ac:dyDescent="0.25">
      <c r="A17" s="17" t="str">
        <f>HYPERLINK("#'4.3.1.10-11 Soil Atmos Dep'!A1", "4.3.1.10-11 Soil atm. deposition")</f>
        <v>4.3.1.10-11 Soil atm. deposition</v>
      </c>
      <c r="D17" s="60" t="str">
        <v>j</v>
      </c>
      <c r="E17" s="61" t="str">
        <v>production system</v>
      </c>
      <c r="F17" s="105"/>
      <c r="G17" s="62"/>
      <c r="H17" s="60" t="str">
        <f>'Input - Dairy'!$E$183</f>
        <v>Pasture</v>
      </c>
    </row>
    <row r="18" spans="1:22" ht="20.100000000000001" customHeight="1" x14ac:dyDescent="0.25">
      <c r="A18" s="17" t="str">
        <f>HYPERLINK("#'4.3.1.12-13 Soil leach runoff'!A1", "4.3.1.12-13 Soil leach &amp; runoff")</f>
        <v>4.3.1.12-13 Soil leach &amp; runoff</v>
      </c>
      <c r="D18" s="60" t="str">
        <v>ir</v>
      </c>
      <c r="E18" s="61" t="str">
        <v>irrigation method</v>
      </c>
      <c r="F18" s="105"/>
      <c r="G18" s="62"/>
      <c r="H18" s="60" t="str">
        <f>'Input - Dairy'!$E$184</f>
        <v>Sprinkler irrigation</v>
      </c>
    </row>
    <row r="19" spans="1:22" ht="20.100000000000001" customHeight="1" x14ac:dyDescent="0.25">
      <c r="A19" s="17"/>
    </row>
    <row r="20" spans="1:22" ht="20.100000000000001" customHeight="1" x14ac:dyDescent="0.25">
      <c r="A20" s="18" t="s">
        <v>4</v>
      </c>
      <c r="D20" s="104" t="s">
        <v>347</v>
      </c>
      <c r="O20" s="104" t="s">
        <v>349</v>
      </c>
    </row>
    <row r="21" spans="1:22" ht="20.100000000000001" customHeight="1" x14ac:dyDescent="0.25">
      <c r="A21" s="17" t="str">
        <f>HYPERLINK("#'Constants - Dairy'!A1", "Constants - Dairy")</f>
        <v>Constants - Dairy</v>
      </c>
      <c r="D21" s="103" t="s">
        <v>348</v>
      </c>
      <c r="O21" s="103" t="s">
        <v>350</v>
      </c>
    </row>
    <row r="22" spans="1:22" ht="20.100000000000001" customHeight="1" x14ac:dyDescent="0.25">
      <c r="A22" s="17" t="str">
        <f>HYPERLINK("#'Constants - Livestock'!A1", "Constants - Livestock")</f>
        <v>Constants - Livestock</v>
      </c>
      <c r="D22" s="54" t="s">
        <v>152</v>
      </c>
      <c r="E22" s="54" t="s">
        <v>69</v>
      </c>
      <c r="F22" s="54" t="s">
        <v>178</v>
      </c>
      <c r="G22" s="54" t="s">
        <v>195</v>
      </c>
      <c r="H22" s="54" t="s">
        <v>196</v>
      </c>
      <c r="I22" s="54" t="s">
        <v>197</v>
      </c>
      <c r="J22" s="54" t="s">
        <v>198</v>
      </c>
      <c r="O22" s="54" t="s">
        <v>152</v>
      </c>
      <c r="P22" s="54" t="s">
        <v>69</v>
      </c>
      <c r="Q22" s="54" t="s">
        <v>178</v>
      </c>
      <c r="R22" s="54" t="s">
        <v>195</v>
      </c>
      <c r="S22" s="54" t="s">
        <v>196</v>
      </c>
      <c r="T22" s="54" t="s">
        <v>197</v>
      </c>
      <c r="U22" s="54" t="s">
        <v>198</v>
      </c>
    </row>
    <row r="23" spans="1:22" ht="20.100000000000001" customHeight="1" x14ac:dyDescent="0.25">
      <c r="A23" s="17" t="str">
        <f>HYPERLINK("#'Constants - Common'!A1", "Constants - Common")</f>
        <v>Constants - Common</v>
      </c>
      <c r="D23" s="55" t="str">
        <f>'Input - Dairy'!$D$54</f>
        <v>Milking shed</v>
      </c>
      <c r="E23" s="55" t="str">
        <f>'Input - Dairy'!$D$82</f>
        <v>Solid storage</v>
      </c>
      <c r="F23" s="55">
        <f>'4.3.1.3-4 Direct N20'!F239</f>
        <v>424.49626629049584</v>
      </c>
      <c r="G23" s="55">
        <f>'4.3.1.3-4 Direct N20'!G239</f>
        <v>364.71580535564152</v>
      </c>
      <c r="H23" s="55">
        <f>'4.3.1.3-4 Direct N20'!H239</f>
        <v>145.26244824768682</v>
      </c>
      <c r="I23" s="55">
        <f>'4.3.1.3-4 Direct N20'!I239</f>
        <v>458.46219147973682</v>
      </c>
      <c r="J23" s="55">
        <f>'4.3.1.3-4 Direct N20'!J239</f>
        <v>191.92571415811079</v>
      </c>
      <c r="K23" s="2" t="s">
        <v>135</v>
      </c>
      <c r="O23" s="55" t="str">
        <f>'Input - Dairy'!$D$54</f>
        <v>Milking shed</v>
      </c>
      <c r="P23" s="55" t="str">
        <f>'Input - Dairy'!$D$82</f>
        <v>Solid storage</v>
      </c>
      <c r="Q23" s="55">
        <f>'4.3.1.3-4 Direct N20'!P239</f>
        <v>424.49626629049584</v>
      </c>
      <c r="R23" s="55">
        <f>'4.3.1.3-4 Direct N20'!Q239</f>
        <v>364.71580535564152</v>
      </c>
      <c r="S23" s="55">
        <f>'4.3.1.3-4 Direct N20'!R239</f>
        <v>145.26244824768682</v>
      </c>
      <c r="T23" s="55">
        <f>'4.3.1.3-4 Direct N20'!S239</f>
        <v>458.46219147973682</v>
      </c>
      <c r="U23" s="55">
        <f>'4.3.1.3-4 Direct N20'!T239</f>
        <v>191.92571415811079</v>
      </c>
      <c r="V23" s="2" t="s">
        <v>135</v>
      </c>
    </row>
    <row r="24" spans="1:22" ht="20.100000000000001" customHeight="1" x14ac:dyDescent="0.25">
      <c r="A24" s="17" t="str">
        <f>HYPERLINK("#'Acknowledgements'!A1", "Acknowledgements")</f>
        <v>Acknowledgements</v>
      </c>
      <c r="D24" s="55" t="str">
        <f>'Input - Dairy'!$D$55</f>
        <v>Feed pad</v>
      </c>
      <c r="E24" s="55" t="str">
        <f>'Input - Dairy'!$D$116</f>
        <v>Solid storage</v>
      </c>
      <c r="F24" s="55">
        <f>'4.3.1.3-4 Direct N20'!F243</f>
        <v>1202.0962449953586</v>
      </c>
      <c r="G24" s="55">
        <f>'4.3.1.3-4 Direct N20'!G243</f>
        <v>1032.8088488025667</v>
      </c>
      <c r="H24" s="55">
        <f>'4.3.1.3-4 Direct N20'!H243</f>
        <v>411.35684208322226</v>
      </c>
      <c r="I24" s="55">
        <f>'4.3.1.3-4 Direct N20'!I243</f>
        <v>1298.2815695085274</v>
      </c>
      <c r="J24" s="55">
        <f>'4.3.1.3-4 Direct N20'!J243</f>
        <v>543.49872691137739</v>
      </c>
      <c r="K24" s="2" t="s">
        <v>135</v>
      </c>
      <c r="O24" s="55" t="str">
        <f>'Input - Dairy'!$D$55</f>
        <v>Feed pad</v>
      </c>
      <c r="P24" s="55" t="str">
        <f>'Input - Dairy'!$D$116</f>
        <v>Solid storage</v>
      </c>
      <c r="Q24" s="55">
        <f>'4.3.1.3-4 Direct N20'!P243</f>
        <v>1202.0962449953586</v>
      </c>
      <c r="R24" s="55">
        <f>'4.3.1.3-4 Direct N20'!Q243</f>
        <v>1032.8088488025667</v>
      </c>
      <c r="S24" s="55">
        <f>'4.3.1.3-4 Direct N20'!R243</f>
        <v>411.35684208322226</v>
      </c>
      <c r="T24" s="55">
        <f>'4.3.1.3-4 Direct N20'!S243</f>
        <v>1298.2815695085274</v>
      </c>
      <c r="U24" s="55">
        <f>'4.3.1.3-4 Direct N20'!T243</f>
        <v>543.49872691137739</v>
      </c>
      <c r="V24" s="2" t="s">
        <v>135</v>
      </c>
    </row>
    <row r="25" spans="1:22" ht="20.100000000000001" customHeight="1" x14ac:dyDescent="0.25"/>
    <row r="26" spans="1:22" ht="20.100000000000001" customHeight="1" x14ac:dyDescent="0.25">
      <c r="D26" s="104" t="s">
        <v>352</v>
      </c>
      <c r="O26" s="104" t="s">
        <v>353</v>
      </c>
    </row>
    <row r="27" spans="1:22" ht="20.100000000000001" customHeight="1" x14ac:dyDescent="0.25">
      <c r="D27" s="103" t="s">
        <v>351</v>
      </c>
      <c r="O27" s="103" t="s">
        <v>354</v>
      </c>
    </row>
    <row r="28" spans="1:22" ht="20.100000000000001" customHeight="1" x14ac:dyDescent="0.25">
      <c r="D28" s="54" t="s">
        <v>152</v>
      </c>
      <c r="E28" s="54" t="s">
        <v>69</v>
      </c>
      <c r="F28" s="54" t="s">
        <v>178</v>
      </c>
      <c r="G28" s="54" t="s">
        <v>195</v>
      </c>
      <c r="H28" s="54" t="s">
        <v>196</v>
      </c>
      <c r="I28" s="54" t="s">
        <v>197</v>
      </c>
      <c r="J28" s="54" t="s">
        <v>198</v>
      </c>
      <c r="O28" s="54" t="s">
        <v>152</v>
      </c>
      <c r="P28" s="54" t="s">
        <v>69</v>
      </c>
      <c r="Q28" s="54" t="s">
        <v>178</v>
      </c>
      <c r="R28" s="54" t="s">
        <v>195</v>
      </c>
      <c r="S28" s="54" t="s">
        <v>196</v>
      </c>
      <c r="T28" s="54" t="s">
        <v>197</v>
      </c>
      <c r="U28" s="54" t="s">
        <v>198</v>
      </c>
    </row>
    <row r="29" spans="1:22" ht="20.100000000000001" customHeight="1" x14ac:dyDescent="0.25">
      <c r="D29" s="55" t="str">
        <f>'Input - Dairy'!$D$54</f>
        <v>Milking shed</v>
      </c>
      <c r="E29" s="55" t="str">
        <f>'Input - Dairy'!$D$82</f>
        <v>Solid storage</v>
      </c>
      <c r="F29" s="55" cm="1">
        <f t="array" ref="F29">MMS_Dairy_LeachingAndRunoff_Equations.VEERG_4_3_1_6__2_MassOfNitrogenLostToLeachingAndRunoffFromSolidStorage(F23,$H$14,$H$15)</f>
        <v>8.4899253258099172</v>
      </c>
      <c r="G29" s="55" cm="1">
        <f t="array" ref="G29">MMS_Dairy_LeachingAndRunoff_Equations.VEERG_4_3_1_6__2_MassOfNitrogenLostToLeachingAndRunoffFromSolidStorage(G23,$H$14,$H$15)</f>
        <v>7.2943161071128308</v>
      </c>
      <c r="H29" s="55" cm="1">
        <f t="array" ref="H29">MMS_Dairy_LeachingAndRunoff_Equations.VEERG_4_3_1_6__2_MassOfNitrogenLostToLeachingAndRunoffFromSolidStorage(H23,$H$14,$H$15)</f>
        <v>2.9052489649537363</v>
      </c>
      <c r="I29" s="55" cm="1">
        <f t="array" ref="I29">MMS_Dairy_LeachingAndRunoff_Equations.VEERG_4_3_1_6__2_MassOfNitrogenLostToLeachingAndRunoffFromSolidStorage(I23,$H$14,$H$15)</f>
        <v>9.1692438295947358</v>
      </c>
      <c r="J29" s="55" cm="1">
        <f t="array" ref="J29">MMS_Dairy_LeachingAndRunoff_Equations.VEERG_4_3_1_6__2_MassOfNitrogenLostToLeachingAndRunoffFromSolidStorage(J23,$H$14,$H$15)</f>
        <v>3.8385142831622159</v>
      </c>
      <c r="K29" s="2" t="str">
        <f>$E$11</f>
        <v>kg N</v>
      </c>
      <c r="O29" s="55" t="str">
        <f>'Input - Dairy'!$D$54</f>
        <v>Milking shed</v>
      </c>
      <c r="P29" s="55" t="str">
        <f>'Input - Dairy'!$D$82</f>
        <v>Solid storage</v>
      </c>
      <c r="Q29" s="55" cm="1">
        <f t="array" ref="Q29">MMS_Dairy_LeachingAndRunoff_Equations.VEERG_4_3_1_6__2_MassOfNitrogenLostToLeachingAndRunoffFromSolidStorage(Q23,$H$14,$H$15)</f>
        <v>8.4899253258099172</v>
      </c>
      <c r="R29" s="55" cm="1">
        <f t="array" ref="R29">MMS_Dairy_LeachingAndRunoff_Equations.VEERG_4_3_1_6__2_MassOfNitrogenLostToLeachingAndRunoffFromSolidStorage(R23,$H$14,$H$15)</f>
        <v>7.2943161071128308</v>
      </c>
      <c r="S29" s="55" cm="1">
        <f t="array" ref="S29">MMS_Dairy_LeachingAndRunoff_Equations.VEERG_4_3_1_6__2_MassOfNitrogenLostToLeachingAndRunoffFromSolidStorage(S23,$H$14,$H$15)</f>
        <v>2.9052489649537363</v>
      </c>
      <c r="T29" s="55" cm="1">
        <f t="array" ref="T29">MMS_Dairy_LeachingAndRunoff_Equations.VEERG_4_3_1_6__2_MassOfNitrogenLostToLeachingAndRunoffFromSolidStorage(T23,$H$14,$H$15)</f>
        <v>9.1692438295947358</v>
      </c>
      <c r="U29" s="55" cm="1">
        <f t="array" ref="U29">MMS_Dairy_LeachingAndRunoff_Equations.VEERG_4_3_1_6__2_MassOfNitrogenLostToLeachingAndRunoffFromSolidStorage(U23,$H$14,$H$15)</f>
        <v>3.8385142831622159</v>
      </c>
      <c r="V29" s="2" t="str">
        <f t="shared" ref="V29:V30" si="0">$E$11</f>
        <v>kg N</v>
      </c>
    </row>
    <row r="30" spans="1:22" ht="20.100000000000001" customHeight="1" x14ac:dyDescent="0.25">
      <c r="D30" s="55" t="str">
        <f>'Input - Dairy'!$D$55</f>
        <v>Feed pad</v>
      </c>
      <c r="E30" s="55" t="str">
        <f>'Input - Dairy'!$D$116</f>
        <v>Solid storage</v>
      </c>
      <c r="F30" s="55" cm="1">
        <f t="array" ref="F30">MMS_Dairy_LeachingAndRunoff_Equations.VEERG_4_3_1_6__2_MassOfNitrogenLostToLeachingAndRunoffFromSolidStorage(F24,$H$14,$H$15)</f>
        <v>24.041924899907173</v>
      </c>
      <c r="G30" s="55" cm="1">
        <f t="array" ref="G30">MMS_Dairy_LeachingAndRunoff_Equations.VEERG_4_3_1_6__2_MassOfNitrogenLostToLeachingAndRunoffFromSolidStorage(G24,$H$14,$H$15)</f>
        <v>20.656176976051334</v>
      </c>
      <c r="H30" s="55" cm="1">
        <f t="array" ref="H30">MMS_Dairy_LeachingAndRunoff_Equations.VEERG_4_3_1_6__2_MassOfNitrogenLostToLeachingAndRunoffFromSolidStorage(H24,$H$14,$H$15)</f>
        <v>8.2271368416644446</v>
      </c>
      <c r="I30" s="55" cm="1">
        <f t="array" ref="I30">MMS_Dairy_LeachingAndRunoff_Equations.VEERG_4_3_1_6__2_MassOfNitrogenLostToLeachingAndRunoffFromSolidStorage(I24,$H$14,$H$15)</f>
        <v>25.965631390170547</v>
      </c>
      <c r="J30" s="55" cm="1">
        <f t="array" ref="J30">MMS_Dairy_LeachingAndRunoff_Equations.VEERG_4_3_1_6__2_MassOfNitrogenLostToLeachingAndRunoffFromSolidStorage(J24,$H$14,$H$15)</f>
        <v>10.869974538227549</v>
      </c>
      <c r="K30" s="2" t="str">
        <f>$E$11</f>
        <v>kg N</v>
      </c>
      <c r="O30" s="55" t="str">
        <f>'Input - Dairy'!$D$55</f>
        <v>Feed pad</v>
      </c>
      <c r="P30" s="55" t="str">
        <f>'Input - Dairy'!$D$116</f>
        <v>Solid storage</v>
      </c>
      <c r="Q30" s="55" cm="1">
        <f t="array" ref="Q30">MMS_Dairy_LeachingAndRunoff_Equations.VEERG_4_3_1_6__2_MassOfNitrogenLostToLeachingAndRunoffFromSolidStorage(Q24,$H$14,$H$15)</f>
        <v>24.041924899907173</v>
      </c>
      <c r="R30" s="55" cm="1">
        <f t="array" ref="R30">MMS_Dairy_LeachingAndRunoff_Equations.VEERG_4_3_1_6__2_MassOfNitrogenLostToLeachingAndRunoffFromSolidStorage(R24,$H$14,$H$15)</f>
        <v>20.656176976051334</v>
      </c>
      <c r="S30" s="55" cm="1">
        <f t="array" ref="S30">MMS_Dairy_LeachingAndRunoff_Equations.VEERG_4_3_1_6__2_MassOfNitrogenLostToLeachingAndRunoffFromSolidStorage(S24,$H$14,$H$15)</f>
        <v>8.2271368416644446</v>
      </c>
      <c r="T30" s="55" cm="1">
        <f t="array" ref="T30">MMS_Dairy_LeachingAndRunoff_Equations.VEERG_4_3_1_6__2_MassOfNitrogenLostToLeachingAndRunoffFromSolidStorage(T24,$H$14,$H$15)</f>
        <v>25.965631390170547</v>
      </c>
      <c r="U30" s="55" cm="1">
        <f t="array" ref="U30">MMS_Dairy_LeachingAndRunoff_Equations.VEERG_4_3_1_6__2_MassOfNitrogenLostToLeachingAndRunoffFromSolidStorage(U24,$H$14,$H$15)</f>
        <v>10.869974538227549</v>
      </c>
      <c r="V30" s="2" t="str">
        <f t="shared" si="0"/>
        <v>kg N</v>
      </c>
    </row>
    <row r="31" spans="1:22" ht="20.100000000000001" customHeight="1" x14ac:dyDescent="0.25"/>
    <row r="32" spans="1:22" ht="20.100000000000001" customHeight="1" x14ac:dyDescent="0.25"/>
    <row r="33" spans="3:23" ht="20.100000000000001" customHeight="1" x14ac:dyDescent="0.25">
      <c r="C33" s="48"/>
      <c r="D33" s="48"/>
      <c r="E33" s="48"/>
      <c r="F33" s="48"/>
      <c r="G33" s="48"/>
      <c r="H33" s="48"/>
      <c r="I33" s="48"/>
      <c r="J33" s="48"/>
      <c r="K33" s="48"/>
      <c r="L33" s="48"/>
      <c r="N33" s="48"/>
      <c r="O33" s="48"/>
      <c r="P33" s="48"/>
      <c r="Q33" s="48"/>
      <c r="R33" s="48"/>
      <c r="S33" s="48"/>
      <c r="T33" s="48"/>
      <c r="U33" s="48"/>
      <c r="V33" s="48"/>
      <c r="W33" s="48"/>
    </row>
    <row r="34" spans="3:23" ht="20.100000000000001" customHeight="1" x14ac:dyDescent="0.25">
      <c r="D34" s="6" t="str" cm="1">
        <f t="array" ref="D34">MMS_Dairy_LeachingAndRunoff_Equations.VEERG_4_3_1_6__1_AnnualEmissionsFromLeachingAndRunoffFromMMS_Title()</f>
        <v>Annual emissions from leaching and runoff from each MMS</v>
      </c>
    </row>
    <row r="35" spans="3:23" ht="20.100000000000001" customHeight="1" x14ac:dyDescent="0.25">
      <c r="D35" s="5" t="str" cm="1">
        <f t="array" ref="D35">MMS_Dairy_LeachingAndRunoff_Equations.VEERG_4_3_1_6__1_AnnualEmissionsFromLeachingAndRunoffFromMMS_Source()</f>
        <v>VEERG 2026: 4.3.1.6, Equation (1)</v>
      </c>
    </row>
    <row r="36" spans="3:23" ht="20.100000000000001" customHeight="1" x14ac:dyDescent="0.25">
      <c r="D36" s="13" t="s">
        <v>28</v>
      </c>
      <c r="E36" s="13" t="str" cm="1">
        <f t="array" aca="1" ref="E36" ca="1">Common_InputFunctions.Utility_DisplayFunctionName($F$29)</f>
        <v>=MMS_Dairy_LeachingAndRunoff_Equations.VEERG_4_3_1_6__2_MassOfNitrogenLostToLeachingAndRunoffFromSolidStorage</v>
      </c>
    </row>
    <row r="37" spans="3:23" ht="20.100000000000001" customHeight="1" x14ac:dyDescent="0.25"/>
    <row r="38" spans="3:23" ht="20.100000000000001" customHeight="1" x14ac:dyDescent="0.25">
      <c r="D38" s="6"/>
    </row>
    <row r="39" spans="3:23" ht="20.100000000000001" customHeight="1" x14ac:dyDescent="0.25">
      <c r="D39" s="56" t="s">
        <v>31</v>
      </c>
      <c r="E39" s="1" t="str" cm="1">
        <f t="array" ref="E39">MMS_Dairy_LeachingAndRunoff_Equations.VEERG_4_3_1_6__1_AnnualEmissionsFromLeachingAndRunoffFromMMS_Variable()</f>
        <v>E_N2Oleach</v>
      </c>
    </row>
    <row r="40" spans="3:23" ht="20.100000000000001" customHeight="1" x14ac:dyDescent="0.25">
      <c r="D40" s="56" t="s">
        <v>21</v>
      </c>
      <c r="E40" s="57" t="str" cm="1">
        <f t="array" ref="E40">MMS_Dairy_LeachingAndRunoff_Equations.VEERG_4_3_1_6__1_AnnualEmissionsFromLeachingAndRunoffFromMMS_Unit()</f>
        <v>t N2O</v>
      </c>
    </row>
    <row r="41" spans="3:23" ht="20.100000000000001" customHeight="1" x14ac:dyDescent="0.25"/>
    <row r="42" spans="3:23" ht="20.100000000000001" customHeight="1" x14ac:dyDescent="0.25">
      <c r="D42" s="115" t="str" cm="1">
        <f t="array" ref="D42:E44">MMS_Dairy_LeachingAndRunoff_Equations.VEERG_4_3_1_6__1_AnnualEmissionsFromLeachingAndRunoffFromMMS_Arguments()</f>
        <v>MNLeach_jm</v>
      </c>
      <c r="E42" s="117" t="str">
        <v>mass of N lost through leaching and runoff</v>
      </c>
      <c r="F42" s="116"/>
      <c r="G42" s="115" t="str">
        <f>"See " &amp; D26</f>
        <v>See M1_Table_MN_leach_j_m-4</v>
      </c>
    </row>
    <row r="43" spans="3:23" ht="20.100000000000001" customHeight="1" x14ac:dyDescent="0.25">
      <c r="D43" s="115" t="str">
        <v>EF_leach</v>
      </c>
      <c r="E43" s="117" t="str">
        <v>nitrous oxide emission factor for leaching and runoff (kg N2O-N/kg N)</v>
      </c>
      <c r="F43" s="116"/>
      <c r="G43" s="60">
        <f>'Constants - Dairy'!$D$202</f>
        <v>1.0999999999999999E-2</v>
      </c>
    </row>
    <row r="44" spans="3:23" ht="20.100000000000001" customHeight="1" x14ac:dyDescent="0.25">
      <c r="D44" s="115" t="str">
        <v>C_N2O</v>
      </c>
      <c r="E44" s="117" t="str">
        <v>factor to convert elemental mass of N2O to molecular mass</v>
      </c>
      <c r="F44" s="116"/>
      <c r="G44" s="60">
        <f>Common_InputFunctions.Utility_LookupValueInTableNumber("N2O",Table_GasToMolecularConversionFactor[Gas],Table_GasToMolecularConversionFactor[Conversion factor combined])</f>
        <v>1.5714285714285714</v>
      </c>
    </row>
    <row r="45" spans="3:23" ht="20.100000000000001" customHeight="1" x14ac:dyDescent="0.25"/>
    <row r="46" spans="3:23" ht="20.100000000000001" customHeight="1" x14ac:dyDescent="0.25">
      <c r="D46" s="104" t="s">
        <v>355</v>
      </c>
      <c r="O46" s="104" t="s">
        <v>357</v>
      </c>
    </row>
    <row r="47" spans="3:23" ht="20.100000000000001" customHeight="1" x14ac:dyDescent="0.25">
      <c r="D47" s="103" t="s">
        <v>356</v>
      </c>
      <c r="O47" s="103" t="s">
        <v>358</v>
      </c>
    </row>
    <row r="48" spans="3:23" ht="20.100000000000001" customHeight="1" x14ac:dyDescent="0.25">
      <c r="D48" s="54" t="s">
        <v>152</v>
      </c>
      <c r="E48" s="54" t="s">
        <v>69</v>
      </c>
      <c r="F48" s="54" t="s">
        <v>178</v>
      </c>
      <c r="G48" s="54" t="s">
        <v>195</v>
      </c>
      <c r="H48" s="54" t="s">
        <v>196</v>
      </c>
      <c r="I48" s="54" t="s">
        <v>197</v>
      </c>
      <c r="J48" s="54" t="s">
        <v>198</v>
      </c>
      <c r="O48" s="54" t="s">
        <v>152</v>
      </c>
      <c r="P48" s="54" t="s">
        <v>69</v>
      </c>
      <c r="Q48" s="54" t="s">
        <v>178</v>
      </c>
      <c r="R48" s="54" t="s">
        <v>195</v>
      </c>
      <c r="S48" s="54" t="s">
        <v>196</v>
      </c>
      <c r="T48" s="54" t="s">
        <v>197</v>
      </c>
      <c r="U48" s="54" t="s">
        <v>198</v>
      </c>
    </row>
    <row r="49" spans="4:22" ht="20.100000000000001" customHeight="1" x14ac:dyDescent="0.25">
      <c r="D49" s="55" t="str">
        <f>'Input - Dairy'!$D$54</f>
        <v>Milking shed</v>
      </c>
      <c r="E49" s="55" t="str">
        <f>'Input - Dairy'!$D$82</f>
        <v>Solid storage</v>
      </c>
      <c r="F49" s="55" cm="1">
        <f t="array" ref="F49">MMS_Dairy_LeachingAndRunoff_Equations.VEERG_4_3_1_6__1_AnnualEmissionsFromLeachingAndRunoffFromMMS(F29,$G$43,$G$44)</f>
        <v>1.4675442348899997E-4</v>
      </c>
      <c r="G49" s="55" cm="1">
        <f t="array" ref="G49">MMS_Dairy_LeachingAndRunoff_Equations.VEERG_4_3_1_6__1_AnnualEmissionsFromLeachingAndRunoffFromMMS(G29,$G$43,$G$44)</f>
        <v>1.2608746413723606E-4</v>
      </c>
      <c r="H49" s="55" cm="1">
        <f t="array" ref="H49">MMS_Dairy_LeachingAndRunoff_Equations.VEERG_4_3_1_6__1_AnnualEmissionsFromLeachingAndRunoffFromMMS(H29,$G$43,$G$44)</f>
        <v>5.0219303537057436E-5</v>
      </c>
      <c r="I49" s="55" cm="1">
        <f t="array" ref="I49">MMS_Dairy_LeachingAndRunoff_Equations.VEERG_4_3_1_6__1_AnnualEmissionsFromLeachingAndRunoffFromMMS(I29,$G$43,$G$44)</f>
        <v>1.5849692905442329E-4</v>
      </c>
      <c r="J49" s="55" cm="1">
        <f t="array" ref="J49">MMS_Dairy_LeachingAndRunoff_Equations.VEERG_4_3_1_6__1_AnnualEmissionsFromLeachingAndRunoffFromMMS(J29,$G$43,$G$44)</f>
        <v>6.6351461180375439E-5</v>
      </c>
      <c r="K49" s="2" t="str">
        <f>$E$40</f>
        <v>t N2O</v>
      </c>
      <c r="O49" s="55" t="str">
        <f>'Input - Dairy'!$D$54</f>
        <v>Milking shed</v>
      </c>
      <c r="P49" s="55" t="str">
        <f>'Input - Dairy'!$D$82</f>
        <v>Solid storage</v>
      </c>
      <c r="Q49" s="55" cm="1">
        <f t="array" ref="Q49">MMS_Dairy_LeachingAndRunoff_Equations.VEERG_4_3_1_6__1_AnnualEmissionsFromLeachingAndRunoffFromMMS(Q29,$G$43,$G$44)</f>
        <v>1.4675442348899997E-4</v>
      </c>
      <c r="R49" s="55" cm="1">
        <f t="array" ref="R49">MMS_Dairy_LeachingAndRunoff_Equations.VEERG_4_3_1_6__1_AnnualEmissionsFromLeachingAndRunoffFromMMS(R29,$G$43,$G$44)</f>
        <v>1.2608746413723606E-4</v>
      </c>
      <c r="S49" s="55" cm="1">
        <f t="array" ref="S49">MMS_Dairy_LeachingAndRunoff_Equations.VEERG_4_3_1_6__1_AnnualEmissionsFromLeachingAndRunoffFromMMS(S29,$G$43,$G$44)</f>
        <v>5.0219303537057436E-5</v>
      </c>
      <c r="T49" s="55" cm="1">
        <f t="array" ref="T49">MMS_Dairy_LeachingAndRunoff_Equations.VEERG_4_3_1_6__1_AnnualEmissionsFromLeachingAndRunoffFromMMS(T29,$G$43,$G$44)</f>
        <v>1.5849692905442329E-4</v>
      </c>
      <c r="U49" s="55" cm="1">
        <f t="array" ref="U49">MMS_Dairy_LeachingAndRunoff_Equations.VEERG_4_3_1_6__1_AnnualEmissionsFromLeachingAndRunoffFromMMS(U29,$G$43,$G$44)</f>
        <v>6.6351461180375439E-5</v>
      </c>
      <c r="V49" s="2" t="str">
        <f>$E$40</f>
        <v>t N2O</v>
      </c>
    </row>
    <row r="50" spans="4:22" ht="20.100000000000001" customHeight="1" x14ac:dyDescent="0.25">
      <c r="D50" s="55" t="str">
        <f>'Input - Dairy'!$D$55</f>
        <v>Feed pad</v>
      </c>
      <c r="E50" s="55" t="str">
        <f>'Input - Dairy'!$D$116</f>
        <v>Solid storage</v>
      </c>
      <c r="F50" s="55" cm="1">
        <f t="array" ref="F50">MMS_Dairy_LeachingAndRunoff_Equations.VEERG_4_3_1_6__1_AnnualEmissionsFromLeachingAndRunoffFromMMS(F30,$G$43,$G$44)</f>
        <v>4.1558184469839537E-4</v>
      </c>
      <c r="G50" s="55" cm="1">
        <f t="array" ref="G50">MMS_Dairy_LeachingAndRunoff_Equations.VEERG_4_3_1_6__1_AnnualEmissionsFromLeachingAndRunoffFromMMS(G30,$G$43,$G$44)</f>
        <v>3.5705677344317308E-4</v>
      </c>
      <c r="H50" s="55" cm="1">
        <f t="array" ref="H50">MMS_Dairy_LeachingAndRunoff_Equations.VEERG_4_3_1_6__1_AnnualEmissionsFromLeachingAndRunoffFromMMS(H30,$G$43,$G$44)</f>
        <v>1.4221193683448539E-4</v>
      </c>
      <c r="I50" s="55" cm="1">
        <f t="array" ref="I50">MMS_Dairy_LeachingAndRunoff_Equations.VEERG_4_3_1_6__1_AnnualEmissionsFromLeachingAndRunoffFromMMS(I30,$G$43,$G$44)</f>
        <v>4.4883448545866232E-4</v>
      </c>
      <c r="J50" s="55" cm="1">
        <f t="array" ref="J50">MMS_Dairy_LeachingAndRunoff_Equations.VEERG_4_3_1_6__1_AnnualEmissionsFromLeachingAndRunoffFromMMS(J30,$G$43,$G$44)</f>
        <v>1.8789527416079047E-4</v>
      </c>
      <c r="K50" s="2" t="str">
        <f>$E$40</f>
        <v>t N2O</v>
      </c>
      <c r="O50" s="55" t="str">
        <f>'Input - Dairy'!$D$55</f>
        <v>Feed pad</v>
      </c>
      <c r="P50" s="55" t="str">
        <f>'Input - Dairy'!$D$116</f>
        <v>Solid storage</v>
      </c>
      <c r="Q50" s="55" cm="1">
        <f t="array" ref="Q50">MMS_Dairy_LeachingAndRunoff_Equations.VEERG_4_3_1_6__1_AnnualEmissionsFromLeachingAndRunoffFromMMS(Q30,$G$43,$G$44)</f>
        <v>4.1558184469839537E-4</v>
      </c>
      <c r="R50" s="55" cm="1">
        <f t="array" ref="R50">MMS_Dairy_LeachingAndRunoff_Equations.VEERG_4_3_1_6__1_AnnualEmissionsFromLeachingAndRunoffFromMMS(R30,$G$43,$G$44)</f>
        <v>3.5705677344317308E-4</v>
      </c>
      <c r="S50" s="55" cm="1">
        <f t="array" ref="S50">MMS_Dairy_LeachingAndRunoff_Equations.VEERG_4_3_1_6__1_AnnualEmissionsFromLeachingAndRunoffFromMMS(S30,$G$43,$G$44)</f>
        <v>1.4221193683448539E-4</v>
      </c>
      <c r="T50" s="55" cm="1">
        <f t="array" ref="T50">MMS_Dairy_LeachingAndRunoff_Equations.VEERG_4_3_1_6__1_AnnualEmissionsFromLeachingAndRunoffFromMMS(T30,$G$43,$G$44)</f>
        <v>4.4883448545866232E-4</v>
      </c>
      <c r="U50" s="55" cm="1">
        <f t="array" ref="U50">MMS_Dairy_LeachingAndRunoff_Equations.VEERG_4_3_1_6__1_AnnualEmissionsFromLeachingAndRunoffFromMMS(U30,$G$43,$G$44)</f>
        <v>1.8789527416079047E-4</v>
      </c>
      <c r="V50" s="2" t="str">
        <f>$E$40</f>
        <v>t N2O</v>
      </c>
    </row>
    <row r="51" spans="4:22" ht="20.100000000000001" customHeight="1" x14ac:dyDescent="0.25"/>
    <row r="52" spans="4:22" ht="20.100000000000001" customHeight="1" x14ac:dyDescent="0.25">
      <c r="D52" s="108" t="s">
        <v>344</v>
      </c>
      <c r="E52" s="109">
        <f>SUM(F49:J50)</f>
        <v>2.0994898959935987E-3</v>
      </c>
      <c r="F52" s="110" t="str">
        <f>$E$40</f>
        <v>t N2O</v>
      </c>
      <c r="O52" s="108" t="s">
        <v>344</v>
      </c>
      <c r="P52" s="109">
        <f>SUM(Q49:U50)</f>
        <v>2.0994898959935987E-3</v>
      </c>
      <c r="Q52" s="110" t="str">
        <f>$E$40</f>
        <v>t N2O</v>
      </c>
    </row>
    <row r="53" spans="4:22" ht="20.100000000000001" customHeight="1" x14ac:dyDescent="0.25"/>
    <row r="54" spans="4:22" ht="20.100000000000001" customHeight="1" x14ac:dyDescent="0.25">
      <c r="D54" s="60" t="str" cm="1">
        <f t="array" ref="D54:E55">Common_Equations.Common_ConvertN2OToCO2e_Arguments()</f>
        <v>EN2O</v>
      </c>
      <c r="E54" s="61" t="str">
        <v>Nitrous oxide emissions (t N2O)</v>
      </c>
      <c r="F54" s="111"/>
      <c r="G54" s="55">
        <f>E$52</f>
        <v>2.0994898959935987E-3</v>
      </c>
      <c r="O54" s="60" t="str" cm="1">
        <f t="array" ref="O54:P55">Common_Equations.Common_ConvertN2OToCO2e_Arguments()</f>
        <v>EN2O</v>
      </c>
      <c r="P54" s="61" t="str">
        <v>Nitrous oxide emissions (t N2O)</v>
      </c>
      <c r="Q54" s="111"/>
      <c r="R54" s="55">
        <f>P$52</f>
        <v>2.0994898959935987E-3</v>
      </c>
    </row>
    <row r="55" spans="4:22" ht="20.100000000000001" customHeight="1" x14ac:dyDescent="0.25">
      <c r="D55" s="60" t="str">
        <v>GWPN2O</v>
      </c>
      <c r="E55" s="61" t="str">
        <v>Global warming potential for nitrous oxide (t CO2-e / t N2O)</v>
      </c>
      <c r="F55" s="111"/>
      <c r="G55" s="55">
        <f>Common_InputFunctions.Utility_LookupValueInTableNumber("N2O",Table_GWPData[Gas],Table_GWPData[CO2-e factor])</f>
        <v>265</v>
      </c>
      <c r="O55" s="60" t="str">
        <v>GWPN2O</v>
      </c>
      <c r="P55" s="61" t="str">
        <v>Global warming potential for nitrous oxide (t CO2-e / t N2O)</v>
      </c>
      <c r="Q55" s="111"/>
      <c r="R55" s="55">
        <f>Common_InputFunctions.Utility_LookupValueInTableNumber("N2O",Table_GWPData[Gas],Table_GWPData[CO2-e factor])</f>
        <v>265</v>
      </c>
    </row>
    <row r="56" spans="4:22" ht="20.100000000000001" customHeight="1" x14ac:dyDescent="0.25"/>
    <row r="57" spans="4:22" ht="20.100000000000001" customHeight="1" x14ac:dyDescent="0.25">
      <c r="D57" s="48" t="s">
        <v>111</v>
      </c>
      <c r="E57" s="48" cm="1">
        <f t="array" ref="E57">Common_Equations.Common_ConvertN2OToCO2e(G54,G55)</f>
        <v>0.55636482243830365</v>
      </c>
      <c r="F57" s="112" t="str" cm="1">
        <f t="array" ref="F57">Common_Equations.Common_ConvertN2OToCO2e_Unit()</f>
        <v>t CO2e</v>
      </c>
      <c r="O57" s="48" t="s">
        <v>111</v>
      </c>
      <c r="P57" s="48" cm="1">
        <f t="array" ref="P57">Common_Equations.Common_ConvertN2OToCO2e(R54,R55)</f>
        <v>0.55636482243830365</v>
      </c>
      <c r="Q57" s="112" t="str" cm="1">
        <f t="array" ref="Q57">Common_Equations.Common_ConvertN2OToCO2e_Unit()</f>
        <v>t CO2e</v>
      </c>
    </row>
    <row r="58" spans="4:22" ht="20.100000000000001" customHeight="1" x14ac:dyDescent="0.25"/>
    <row r="59" spans="4:22" ht="20.100000000000001" customHeight="1" x14ac:dyDescent="0.25"/>
    <row r="60" spans="4:22" ht="20.100000000000001" customHeight="1" x14ac:dyDescent="0.25"/>
    <row r="61" spans="4:22" ht="20.100000000000001" customHeight="1" x14ac:dyDescent="0.25"/>
    <row r="62" spans="4:22" ht="20.100000000000001" customHeight="1" x14ac:dyDescent="0.25"/>
    <row r="63" spans="4:22" ht="20.100000000000001" customHeight="1" x14ac:dyDescent="0.25"/>
    <row r="64" spans="4: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E29 P23 P29 E49 P49" xr:uid="{41AE1C4A-D10F-453D-9EBD-FABAB69A8FB2}"/>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dimension ref="A1:W207"/>
  <sheetViews>
    <sheetView showGridLines="0" topLeftCell="B102" zoomScaleNormal="100" workbookViewId="0">
      <selection activeCell="O153" sqref="O15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143"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359</v>
      </c>
      <c r="M1" s="143"/>
    </row>
    <row r="2" spans="1:23" s="9" customFormat="1" ht="20.100000000000001" customHeight="1" x14ac:dyDescent="0.25">
      <c r="M2" s="143"/>
    </row>
    <row r="3" spans="1:23" ht="20.100000000000001" customHeight="1" x14ac:dyDescent="0.25">
      <c r="A3" s="17" t="str">
        <f>HYPERLINK("#'Home'!A1", "Home")</f>
        <v>Home</v>
      </c>
      <c r="C3" s="4"/>
      <c r="D3" s="4" t="s">
        <v>123</v>
      </c>
      <c r="E3" s="4"/>
      <c r="F3" s="4"/>
      <c r="G3" s="4"/>
      <c r="H3" s="4"/>
      <c r="I3" s="4"/>
      <c r="J3" s="4"/>
      <c r="K3" s="4"/>
      <c r="L3" s="4"/>
      <c r="N3" s="4"/>
      <c r="O3" s="4" t="s">
        <v>124</v>
      </c>
      <c r="P3" s="4"/>
      <c r="Q3" s="4"/>
      <c r="R3" s="4"/>
      <c r="S3" s="4"/>
      <c r="T3" s="4"/>
      <c r="U3" s="4"/>
      <c r="V3" s="4"/>
      <c r="W3" s="4"/>
    </row>
    <row r="4" spans="1:23" ht="20.100000000000001" customHeight="1" x14ac:dyDescent="0.25">
      <c r="A4" s="17" t="str">
        <f>HYPERLINK("#'Results'!A1", "Results")</f>
        <v>Results</v>
      </c>
    </row>
    <row r="5" spans="1:23" ht="20.100000000000001" customHeight="1" x14ac:dyDescent="0.25">
      <c r="A5" s="16"/>
      <c r="D5" s="6" t="str" cm="1">
        <f t="array" ref="D5">MMS_Dairy_ManureAppliedToSoils_Equations.VEERG_4_3_1_8__1_MassOfNitrogenAppliedToSoilsScope1_Title()</f>
        <v>Mass of nitrogen from manure applied to soils for scope 1 emissions</v>
      </c>
    </row>
    <row r="6" spans="1:23" ht="20.100000000000001" customHeight="1" x14ac:dyDescent="0.25">
      <c r="A6" s="20" t="s">
        <v>3</v>
      </c>
      <c r="D6" s="5" t="str" cm="1">
        <f t="array" ref="D6">MMS_Dairy_ManureAppliedToSoils_Equations.VEERG_4_3_1_8__1_MassOfNitrogenAppliedToSoilsScope1_Source()</f>
        <v>VEERG 2026: 4.3.1.8, Equation (1)</v>
      </c>
    </row>
    <row r="7" spans="1:23" ht="20.100000000000001" customHeight="1" x14ac:dyDescent="0.25">
      <c r="A7" s="17" t="str">
        <f>HYPERLINK("#'Input - Site'!A1", "Site")</f>
        <v>Site</v>
      </c>
      <c r="D7" s="13" t="s">
        <v>28</v>
      </c>
      <c r="E7" s="13" t="str" cm="1">
        <f t="array" aca="1" ref="E7" ca="1">Common_InputFunctions.Utility_DisplayFunctionName($F$76)</f>
        <v>=MMS_Dairy_ManureAppliedToSoils_Equations.VEERG_4_3_1_8__1_MassOfNitrogenAppliedToSoilsScope1</v>
      </c>
    </row>
    <row r="8" spans="1:23" ht="20.100000000000001" customHeight="1" x14ac:dyDescent="0.25">
      <c r="A8" s="17" t="str">
        <f>HYPERLINK("#'Input - Dairy'!A1", "Dairy")</f>
        <v>Dairy</v>
      </c>
    </row>
    <row r="9" spans="1:23" ht="20.100000000000001" customHeight="1" x14ac:dyDescent="0.25">
      <c r="A9" s="17"/>
    </row>
    <row r="10" spans="1:23" ht="20.100000000000001" customHeight="1" x14ac:dyDescent="0.25">
      <c r="A10" s="19" t="s">
        <v>78</v>
      </c>
      <c r="D10" s="56" t="s">
        <v>31</v>
      </c>
      <c r="E10" s="1" t="str" cm="1">
        <f t="array" ref="E10">MMS_Dairy_ManureAppliedToSoils_Equations.VEERG_4_3_1_8__1_MassOfNitrogenAppliedToSoilsScope1_Variable()</f>
        <v>MNSoil_scope1</v>
      </c>
    </row>
    <row r="11" spans="1:23" ht="20.100000000000001" customHeight="1" x14ac:dyDescent="0.25">
      <c r="A11" s="17" t="str">
        <f>HYPERLINK("#'4.3.1.1-2 Methane'!A1", "4.3.1.1-2 Methane")</f>
        <v>4.3.1.1-2 Methane</v>
      </c>
      <c r="D11" s="56" t="s">
        <v>21</v>
      </c>
      <c r="E11" s="57" t="str" cm="1">
        <f t="array" ref="E11">MMS_Dairy_ManureAppliedToSoils_Equations.VEERG_4_3_1_8__1_MassOfNitrogenAppliedToSoilsScope1_Unit()</f>
        <v>kg N</v>
      </c>
    </row>
    <row r="12" spans="1:23" ht="20.100000000000001" customHeight="1" x14ac:dyDescent="0.25">
      <c r="A12" s="17" t="str">
        <f>HYPERLINK("#'4.3.1.3-4 Direct N20'!A1", "4.3.1.3-4 Direct N2O")</f>
        <v>4.3.1.3-4 Direct N2O</v>
      </c>
    </row>
    <row r="13" spans="1:23" ht="20.100000000000001" customHeight="1" x14ac:dyDescent="0.25">
      <c r="A13" s="17" t="str">
        <f>HYPERLINK("#'4.3.1.5 Atmos Deposition'!A1", "4.3.1.5 Atmospheric deposition")</f>
        <v>4.3.1.5 Atmospheric deposition</v>
      </c>
      <c r="D13" s="115" t="str" cm="1">
        <f t="array" ref="D13:E17">MMS_Dairy_ManureAppliedToSoils_Equations.VEERG_4_3_1_8__1_MassOfNitrogenAppliedToSoilsScope1_Arguments()</f>
        <v>MN_jm</v>
      </c>
      <c r="E13" s="117" t="str">
        <v>total nitrogen in each MMS for dairy cattle classes (kg N)</v>
      </c>
      <c r="F13" s="116"/>
      <c r="G13" s="115" t="str">
        <f>"See " &amp; D37</f>
        <v>See M1_Table_MN_j_m</v>
      </c>
    </row>
    <row r="14" spans="1:23" ht="20.100000000000001" customHeight="1" x14ac:dyDescent="0.25">
      <c r="A14" s="17" t="str">
        <f>HYPERLINK("#'4.3.1.6-7 Leaching and runoff'!A1", "4.3.1.6-7 Leaching and runoff")</f>
        <v>4.3.1.6-7 Leaching and runoff</v>
      </c>
      <c r="D14" s="115" t="str">
        <v>EF_m</v>
      </c>
      <c r="E14" s="117" t="str">
        <v>emission factor for nitrous oxide emissions per MMS (kg N2O-N/kg N)</v>
      </c>
      <c r="F14" s="116"/>
      <c r="G14" s="115" t="str">
        <f>"See " &amp; D19</f>
        <v>See Table_EF_m</v>
      </c>
    </row>
    <row r="15" spans="1:23" ht="20.100000000000001" customHeight="1" x14ac:dyDescent="0.25">
      <c r="A15" s="22" t="str">
        <f>HYPERLINK("#'4.3.1.8 Manure applied to soils'!A1", "4.3.1.8 Manure applied to soils")</f>
        <v>4.3.1.8 Manure applied to soils</v>
      </c>
      <c r="D15" s="115" t="str">
        <v>FracGASM_m</v>
      </c>
      <c r="E15" s="117" t="str">
        <v>fraction of N volatilised from MMS</v>
      </c>
      <c r="F15" s="116"/>
      <c r="G15" s="115" t="str">
        <f>"See " &amp; D28</f>
        <v>See Table_FracGASM_m</v>
      </c>
    </row>
    <row r="16" spans="1:23" ht="20.100000000000001" customHeight="1" x14ac:dyDescent="0.25">
      <c r="A16" s="17" t="str">
        <f>HYPERLINK("#'4.3.1.9 Soil direct N2O'!A1", "4.3.1.9 Soil direct N2O")</f>
        <v>4.3.1.9 Soil direct N2O</v>
      </c>
      <c r="D16" s="115" t="str">
        <v>MNLeach_jm</v>
      </c>
      <c r="E16" s="117" t="str">
        <v>mass of N lost through leaching and runoff from each MMS (kg N)</v>
      </c>
      <c r="F16" s="116"/>
      <c r="G16" s="115" t="str">
        <f>"See " &amp; D49</f>
        <v>See M1_Table_MN_leach_j_m</v>
      </c>
      <c r="H16" s="114"/>
    </row>
    <row r="17" spans="1:8" ht="20.100000000000001" customHeight="1" x14ac:dyDescent="0.25">
      <c r="A17" s="17" t="str">
        <f>HYPERLINK("#'4.3.1.10-11 Soil Atmos Dep'!A1", "4.3.1.10-11 Soil atm. deposition")</f>
        <v>4.3.1.10-11 Soil atm. deposition</v>
      </c>
      <c r="D17" s="115" t="str">
        <v>PF_scope</v>
      </c>
      <c r="E17" s="117" t="str">
        <v>fraction of manure applied to soil within farm boundary</v>
      </c>
      <c r="F17" s="116"/>
      <c r="G17" s="115" t="str">
        <f>"See " &amp; D61</f>
        <v>See Table_PF_scope</v>
      </c>
      <c r="H17" s="114" t="s">
        <v>363</v>
      </c>
    </row>
    <row r="18" spans="1:8" ht="20.100000000000001" customHeight="1" x14ac:dyDescent="0.25">
      <c r="A18" s="17" t="str">
        <f>HYPERLINK("#'4.3.1.12-13 Soil leach runoff'!A1", "4.3.1.12-13 Soil leach &amp; runoff")</f>
        <v>4.3.1.12-13 Soil leach &amp; runoff</v>
      </c>
    </row>
    <row r="19" spans="1:8" ht="20.100000000000001" customHeight="1" x14ac:dyDescent="0.25">
      <c r="A19" s="17"/>
      <c r="D19" s="104" t="s">
        <v>331</v>
      </c>
    </row>
    <row r="20" spans="1:8" ht="20.100000000000001" customHeight="1" x14ac:dyDescent="0.25">
      <c r="A20" s="18" t="s">
        <v>4</v>
      </c>
      <c r="D20" s="103" t="s">
        <v>332</v>
      </c>
    </row>
    <row r="21" spans="1:8" ht="20.100000000000001" customHeight="1" x14ac:dyDescent="0.25">
      <c r="A21" s="17" t="str">
        <f>HYPERLINK("#'Constants - Dairy'!A1", "Constants - Dairy")</f>
        <v>Constants - Dairy</v>
      </c>
      <c r="D21" s="54" t="s">
        <v>69</v>
      </c>
      <c r="E21" s="54" t="s">
        <v>333</v>
      </c>
    </row>
    <row r="22" spans="1:8" ht="20.100000000000001" customHeight="1" x14ac:dyDescent="0.25">
      <c r="A22" s="17" t="str">
        <f>HYPERLINK("#'Constants - Livestock'!A1", "Constants - Livestock")</f>
        <v>Constants - Livestock</v>
      </c>
      <c r="D22" s="55" t="str" cm="1">
        <f t="array" ref="D22:D26">Table_SourceData_Dairy_EFmFracGASM[NIR reference]</f>
        <v>Pasture range and paddock</v>
      </c>
      <c r="E22" s="55" cm="1">
        <f t="array" ref="E22:E26">Table_SourceData_Dairy_EFmFracGASM[EFm]</f>
        <v>0</v>
      </c>
    </row>
    <row r="23" spans="1:8" ht="20.100000000000001" customHeight="1" x14ac:dyDescent="0.25">
      <c r="A23" s="17" t="str">
        <f>HYPERLINK("#'Constants - Common'!A1", "Constants - Common")</f>
        <v>Constants - Common</v>
      </c>
      <c r="D23" s="55" t="str">
        <v>Anaerobic lagoon</v>
      </c>
      <c r="E23" s="55">
        <v>0</v>
      </c>
    </row>
    <row r="24" spans="1:8" ht="20.100000000000001" customHeight="1" x14ac:dyDescent="0.25">
      <c r="A24" s="17" t="str">
        <f>HYPERLINK("#'Acknowledgements'!A1", "Acknowledgements")</f>
        <v>Acknowledgements</v>
      </c>
      <c r="D24" s="55" t="str">
        <v>Sump and dispersal system</v>
      </c>
      <c r="E24" s="55">
        <v>0</v>
      </c>
    </row>
    <row r="25" spans="1:8" ht="20.100000000000001" customHeight="1" x14ac:dyDescent="0.25">
      <c r="D25" s="55" t="str">
        <v>Drains to paddock</v>
      </c>
      <c r="E25" s="55">
        <v>0</v>
      </c>
    </row>
    <row r="26" spans="1:8" ht="20.100000000000001" customHeight="1" x14ac:dyDescent="0.25">
      <c r="D26" s="55" t="str">
        <v>Solid storage</v>
      </c>
      <c r="E26" s="55">
        <v>5.0000000000000001E-3</v>
      </c>
    </row>
    <row r="27" spans="1:8" ht="20.100000000000001" customHeight="1" x14ac:dyDescent="0.25"/>
    <row r="28" spans="1:8" ht="20.100000000000001" customHeight="1" x14ac:dyDescent="0.25">
      <c r="D28" s="104" t="s">
        <v>337</v>
      </c>
    </row>
    <row r="29" spans="1:8" ht="20.100000000000001" customHeight="1" x14ac:dyDescent="0.25">
      <c r="D29" s="103" t="s">
        <v>339</v>
      </c>
    </row>
    <row r="30" spans="1:8" ht="20.100000000000001" customHeight="1" x14ac:dyDescent="0.25">
      <c r="D30" s="54" t="s">
        <v>69</v>
      </c>
      <c r="E30" s="54" t="s">
        <v>338</v>
      </c>
    </row>
    <row r="31" spans="1:8" ht="20.100000000000001" customHeight="1" x14ac:dyDescent="0.25">
      <c r="D31" s="55" t="str" cm="1">
        <f t="array" ref="D31:D35">Table_SourceData_Dairy_EFmFracGASM[NIR reference]</f>
        <v>Pasture range and paddock</v>
      </c>
      <c r="E31" s="55" cm="1">
        <f t="array" ref="E31:E35">Table_SourceData_Dairy_EFmFracGASM[FracGASMm]</f>
        <v>0</v>
      </c>
      <c r="F31" s="2" t="str">
        <f>'Constants - Dairy'!$D$84</f>
        <v>kg N2O-N/kg N excreted</v>
      </c>
    </row>
    <row r="32" spans="1:8" ht="20.100000000000001" customHeight="1" x14ac:dyDescent="0.25">
      <c r="D32" s="55" t="str">
        <v>Anaerobic lagoon</v>
      </c>
      <c r="E32" s="55">
        <v>0.35</v>
      </c>
      <c r="F32" s="2" t="str">
        <f>'Constants - Dairy'!$D$84</f>
        <v>kg N2O-N/kg N excreted</v>
      </c>
    </row>
    <row r="33" spans="4:22" ht="20.100000000000001" customHeight="1" x14ac:dyDescent="0.25">
      <c r="D33" s="55" t="str">
        <v>Sump and dispersal system</v>
      </c>
      <c r="E33" s="55">
        <v>7.0000000000000007E-2</v>
      </c>
      <c r="F33" s="2" t="str">
        <f>'Constants - Dairy'!$D$84</f>
        <v>kg N2O-N/kg N excreted</v>
      </c>
    </row>
    <row r="34" spans="4:22" ht="20.100000000000001" customHeight="1" x14ac:dyDescent="0.25">
      <c r="D34" s="55" t="str">
        <v>Drains to paddock</v>
      </c>
      <c r="E34" s="55">
        <v>0.2</v>
      </c>
      <c r="F34" s="2" t="str">
        <f>'Constants - Dairy'!$D$84</f>
        <v>kg N2O-N/kg N excreted</v>
      </c>
    </row>
    <row r="35" spans="4:22" ht="20.100000000000001" customHeight="1" x14ac:dyDescent="0.25">
      <c r="D35" s="55" t="str">
        <v>Solid storage</v>
      </c>
      <c r="E35" s="55">
        <v>0.3</v>
      </c>
      <c r="F35" s="2" t="str">
        <f>'Constants - Dairy'!$D$84</f>
        <v>kg N2O-N/kg N excreted</v>
      </c>
    </row>
    <row r="36" spans="4:22" ht="20.100000000000001" customHeight="1" x14ac:dyDescent="0.25"/>
    <row r="37" spans="4:22" ht="20.100000000000001" customHeight="1" x14ac:dyDescent="0.25">
      <c r="D37" s="104" t="s">
        <v>327</v>
      </c>
      <c r="M37"/>
      <c r="O37" s="104" t="s">
        <v>330</v>
      </c>
    </row>
    <row r="38" spans="4:22" ht="20.100000000000001" customHeight="1" x14ac:dyDescent="0.25">
      <c r="D38" s="103" t="s">
        <v>328</v>
      </c>
      <c r="M38"/>
      <c r="O38" s="103" t="s">
        <v>329</v>
      </c>
    </row>
    <row r="39" spans="4:22" ht="20.100000000000001" customHeight="1" x14ac:dyDescent="0.25">
      <c r="D39" s="54" t="s">
        <v>152</v>
      </c>
      <c r="E39" s="54" t="s">
        <v>69</v>
      </c>
      <c r="F39" s="54" t="s">
        <v>178</v>
      </c>
      <c r="G39" s="54" t="s">
        <v>195</v>
      </c>
      <c r="H39" s="54" t="s">
        <v>196</v>
      </c>
      <c r="I39" s="54" t="s">
        <v>197</v>
      </c>
      <c r="J39" s="54" t="s">
        <v>198</v>
      </c>
      <c r="M39"/>
      <c r="O39" s="54" t="s">
        <v>152</v>
      </c>
      <c r="P39" s="54" t="s">
        <v>69</v>
      </c>
      <c r="Q39" s="54" t="s">
        <v>178</v>
      </c>
      <c r="R39" s="54" t="s">
        <v>195</v>
      </c>
      <c r="S39" s="54" t="s">
        <v>196</v>
      </c>
      <c r="T39" s="54" t="s">
        <v>197</v>
      </c>
      <c r="U39" s="54" t="s">
        <v>198</v>
      </c>
    </row>
    <row r="40" spans="4:22" ht="20.100000000000001" customHeight="1" x14ac:dyDescent="0.25">
      <c r="D40" s="55" t="str">
        <f>'Input - Dairy'!$D$54</f>
        <v>Milking shed</v>
      </c>
      <c r="E40" s="55" t="str">
        <f>'Input - Dairy'!$D$67</f>
        <v>Anaerobic lagoon</v>
      </c>
      <c r="F40" s="55">
        <f>'4.3.1.3-4 Direct N20'!F236</f>
        <v>212.24813314524795</v>
      </c>
      <c r="G40" s="55">
        <f>'4.3.1.3-4 Direct N20'!G236</f>
        <v>182.35790267782079</v>
      </c>
      <c r="H40" s="55">
        <f>'4.3.1.3-4 Direct N20'!H236</f>
        <v>72.631224123843424</v>
      </c>
      <c r="I40" s="55">
        <f>'4.3.1.3-4 Direct N20'!I236</f>
        <v>229.23109573986844</v>
      </c>
      <c r="J40" s="55">
        <f>'4.3.1.3-4 Direct N20'!J236</f>
        <v>95.962857079055411</v>
      </c>
      <c r="K40" s="2" t="s">
        <v>135</v>
      </c>
      <c r="M40"/>
      <c r="O40" s="55" t="str">
        <f>'Input - Dairy'!$D$54</f>
        <v>Milking shed</v>
      </c>
      <c r="P40" s="55" t="str">
        <f>'Input - Dairy'!$D$67</f>
        <v>Anaerobic lagoon</v>
      </c>
      <c r="Q40" s="55">
        <f>'4.3.1.3-4 Direct N20'!P236</f>
        <v>212.24813314524795</v>
      </c>
      <c r="R40" s="55">
        <f>'4.3.1.3-4 Direct N20'!Q236</f>
        <v>182.35790267782079</v>
      </c>
      <c r="S40" s="55">
        <f>'4.3.1.3-4 Direct N20'!R236</f>
        <v>72.631224123843424</v>
      </c>
      <c r="T40" s="55">
        <f>'4.3.1.3-4 Direct N20'!S236</f>
        <v>229.23109573986844</v>
      </c>
      <c r="U40" s="55">
        <f>'4.3.1.3-4 Direct N20'!T236</f>
        <v>95.962857079055411</v>
      </c>
      <c r="V40" s="2" t="s">
        <v>135</v>
      </c>
    </row>
    <row r="41" spans="4:22" ht="20.100000000000001" customHeight="1" x14ac:dyDescent="0.25">
      <c r="D41" s="55" t="str">
        <f>'Input - Dairy'!$D$54</f>
        <v>Milking shed</v>
      </c>
      <c r="E41" s="55" t="str">
        <f>'Input - Dairy'!$D$72</f>
        <v>Sump and dispersal system</v>
      </c>
      <c r="F41" s="55">
        <f>'4.3.1.3-4 Direct N20'!F237</f>
        <v>212.24813314524795</v>
      </c>
      <c r="G41" s="55">
        <f>'4.3.1.3-4 Direct N20'!G237</f>
        <v>182.35790267782079</v>
      </c>
      <c r="H41" s="55">
        <f>'4.3.1.3-4 Direct N20'!H237</f>
        <v>72.631224123843424</v>
      </c>
      <c r="I41" s="55">
        <f>'4.3.1.3-4 Direct N20'!I237</f>
        <v>229.23109573986844</v>
      </c>
      <c r="J41" s="55">
        <f>'4.3.1.3-4 Direct N20'!J237</f>
        <v>95.962857079055411</v>
      </c>
      <c r="K41" s="2" t="s">
        <v>135</v>
      </c>
      <c r="M41"/>
      <c r="O41" s="55" t="str">
        <f>'Input - Dairy'!$D$54</f>
        <v>Milking shed</v>
      </c>
      <c r="P41" s="55" t="str">
        <f>'Input - Dairy'!$D$72</f>
        <v>Sump and dispersal system</v>
      </c>
      <c r="Q41" s="55">
        <f>'4.3.1.3-4 Direct N20'!P237</f>
        <v>212.24813314524795</v>
      </c>
      <c r="R41" s="55">
        <f>'4.3.1.3-4 Direct N20'!Q237</f>
        <v>182.35790267782079</v>
      </c>
      <c r="S41" s="55">
        <f>'4.3.1.3-4 Direct N20'!R237</f>
        <v>72.631224123843424</v>
      </c>
      <c r="T41" s="55">
        <f>'4.3.1.3-4 Direct N20'!S237</f>
        <v>229.23109573986844</v>
      </c>
      <c r="U41" s="55">
        <f>'4.3.1.3-4 Direct N20'!T237</f>
        <v>95.962857079055411</v>
      </c>
      <c r="V41" s="2" t="s">
        <v>135</v>
      </c>
    </row>
    <row r="42" spans="4:22" ht="20.100000000000001" customHeight="1" x14ac:dyDescent="0.25">
      <c r="D42" s="55" t="str">
        <f>'Input - Dairy'!$D$54</f>
        <v>Milking shed</v>
      </c>
      <c r="E42" s="55" t="str">
        <f>'Input - Dairy'!$D$77</f>
        <v>Drains to paddock</v>
      </c>
      <c r="F42" s="55">
        <f>'4.3.1.3-4 Direct N20'!F238</f>
        <v>212.24813314524795</v>
      </c>
      <c r="G42" s="55">
        <f>'4.3.1.3-4 Direct N20'!G238</f>
        <v>182.35790267782079</v>
      </c>
      <c r="H42" s="55">
        <f>'4.3.1.3-4 Direct N20'!H238</f>
        <v>72.631224123843424</v>
      </c>
      <c r="I42" s="55">
        <f>'4.3.1.3-4 Direct N20'!I238</f>
        <v>229.23109573986844</v>
      </c>
      <c r="J42" s="55">
        <f>'4.3.1.3-4 Direct N20'!J238</f>
        <v>95.962857079055411</v>
      </c>
      <c r="K42" s="2" t="s">
        <v>135</v>
      </c>
      <c r="M42"/>
      <c r="O42" s="55" t="str">
        <f>'Input - Dairy'!$D$54</f>
        <v>Milking shed</v>
      </c>
      <c r="P42" s="55" t="str">
        <f>'Input - Dairy'!$D$77</f>
        <v>Drains to paddock</v>
      </c>
      <c r="Q42" s="55">
        <f>'4.3.1.3-4 Direct N20'!P238</f>
        <v>212.24813314524795</v>
      </c>
      <c r="R42" s="55">
        <f>'4.3.1.3-4 Direct N20'!Q238</f>
        <v>182.35790267782079</v>
      </c>
      <c r="S42" s="55">
        <f>'4.3.1.3-4 Direct N20'!R238</f>
        <v>72.631224123843424</v>
      </c>
      <c r="T42" s="55">
        <f>'4.3.1.3-4 Direct N20'!S238</f>
        <v>229.23109573986844</v>
      </c>
      <c r="U42" s="55">
        <f>'4.3.1.3-4 Direct N20'!T238</f>
        <v>95.962857079055411</v>
      </c>
      <c r="V42" s="2" t="s">
        <v>135</v>
      </c>
    </row>
    <row r="43" spans="4:22" ht="20.100000000000001" customHeight="1" x14ac:dyDescent="0.25">
      <c r="D43" s="55" t="str">
        <f>'Input - Dairy'!$D$54</f>
        <v>Milking shed</v>
      </c>
      <c r="E43" s="55" t="str">
        <f>'Input - Dairy'!$D$82</f>
        <v>Solid storage</v>
      </c>
      <c r="F43" s="55">
        <f>'4.3.1.3-4 Direct N20'!F239</f>
        <v>424.49626629049584</v>
      </c>
      <c r="G43" s="55">
        <f>'4.3.1.3-4 Direct N20'!G239</f>
        <v>364.71580535564152</v>
      </c>
      <c r="H43" s="55">
        <f>'4.3.1.3-4 Direct N20'!H239</f>
        <v>145.26244824768682</v>
      </c>
      <c r="I43" s="55">
        <f>'4.3.1.3-4 Direct N20'!I239</f>
        <v>458.46219147973682</v>
      </c>
      <c r="J43" s="55">
        <f>'4.3.1.3-4 Direct N20'!J239</f>
        <v>191.92571415811079</v>
      </c>
      <c r="K43" s="2" t="s">
        <v>135</v>
      </c>
      <c r="M43"/>
      <c r="O43" s="55" t="str">
        <f>'Input - Dairy'!$D$54</f>
        <v>Milking shed</v>
      </c>
      <c r="P43" s="55" t="str">
        <f>'Input - Dairy'!$D$82</f>
        <v>Solid storage</v>
      </c>
      <c r="Q43" s="55">
        <f>'4.3.1.3-4 Direct N20'!P239</f>
        <v>424.49626629049584</v>
      </c>
      <c r="R43" s="55">
        <f>'4.3.1.3-4 Direct N20'!Q239</f>
        <v>364.71580535564152</v>
      </c>
      <c r="S43" s="55">
        <f>'4.3.1.3-4 Direct N20'!R239</f>
        <v>145.26244824768682</v>
      </c>
      <c r="T43" s="55">
        <f>'4.3.1.3-4 Direct N20'!S239</f>
        <v>458.46219147973682</v>
      </c>
      <c r="U43" s="55">
        <f>'4.3.1.3-4 Direct N20'!T239</f>
        <v>191.92571415811079</v>
      </c>
      <c r="V43" s="2" t="s">
        <v>135</v>
      </c>
    </row>
    <row r="44" spans="4:22" ht="20.100000000000001" customHeight="1" x14ac:dyDescent="0.25">
      <c r="D44" s="55" t="str">
        <f>'Input - Dairy'!$D$55</f>
        <v>Feed pad</v>
      </c>
      <c r="E44" s="55" t="str">
        <f>'Input - Dairy'!$D$101</f>
        <v>Anaerobic lagoon</v>
      </c>
      <c r="F44" s="55">
        <f>'4.3.1.3-4 Direct N20'!F240</f>
        <v>858.64017499668478</v>
      </c>
      <c r="G44" s="55">
        <f>'4.3.1.3-4 Direct N20'!G240</f>
        <v>737.72060628754764</v>
      </c>
      <c r="H44" s="55">
        <f>'4.3.1.3-4 Direct N20'!H240</f>
        <v>293.82631577373019</v>
      </c>
      <c r="I44" s="55">
        <f>'4.3.1.3-4 Direct N20'!I240</f>
        <v>927.34397822037681</v>
      </c>
      <c r="J44" s="55">
        <f>'4.3.1.3-4 Direct N20'!J240</f>
        <v>388.21337636526954</v>
      </c>
      <c r="K44" s="2" t="s">
        <v>135</v>
      </c>
      <c r="M44"/>
      <c r="O44" s="55" t="str">
        <f>'Input - Dairy'!$D$55</f>
        <v>Feed pad</v>
      </c>
      <c r="P44" s="55" t="str">
        <f>'Input - Dairy'!$D$101</f>
        <v>Anaerobic lagoon</v>
      </c>
      <c r="Q44" s="55">
        <f>'4.3.1.3-4 Direct N20'!P240</f>
        <v>858.64017499668478</v>
      </c>
      <c r="R44" s="55">
        <f>'4.3.1.3-4 Direct N20'!Q240</f>
        <v>737.72060628754764</v>
      </c>
      <c r="S44" s="55">
        <f>'4.3.1.3-4 Direct N20'!R240</f>
        <v>293.82631577373019</v>
      </c>
      <c r="T44" s="55">
        <f>'4.3.1.3-4 Direct N20'!S240</f>
        <v>927.34397822037681</v>
      </c>
      <c r="U44" s="55">
        <f>'4.3.1.3-4 Direct N20'!T240</f>
        <v>388.21337636526954</v>
      </c>
      <c r="V44" s="2" t="s">
        <v>135</v>
      </c>
    </row>
    <row r="45" spans="4:22" ht="20.100000000000001" customHeight="1" x14ac:dyDescent="0.25">
      <c r="D45" s="55" t="str">
        <f>'Input - Dairy'!$D$55</f>
        <v>Feed pad</v>
      </c>
      <c r="E45" s="55" t="str">
        <f>'Input - Dairy'!$D$106</f>
        <v>Sump and dispersal system</v>
      </c>
      <c r="F45" s="55">
        <f>'4.3.1.3-4 Direct N20'!F241</f>
        <v>686.91213999734782</v>
      </c>
      <c r="G45" s="55">
        <f>'4.3.1.3-4 Direct N20'!G241</f>
        <v>590.17648503003818</v>
      </c>
      <c r="H45" s="55">
        <f>'4.3.1.3-4 Direct N20'!H241</f>
        <v>235.06105261898415</v>
      </c>
      <c r="I45" s="55">
        <f>'4.3.1.3-4 Direct N20'!I241</f>
        <v>741.87518257630143</v>
      </c>
      <c r="J45" s="55">
        <f>'4.3.1.3-4 Direct N20'!J241</f>
        <v>310.57070109221564</v>
      </c>
      <c r="K45" s="2" t="s">
        <v>135</v>
      </c>
      <c r="M45"/>
      <c r="O45" s="55" t="str">
        <f>'Input - Dairy'!$D$55</f>
        <v>Feed pad</v>
      </c>
      <c r="P45" s="55" t="str">
        <f>'Input - Dairy'!$D$106</f>
        <v>Sump and dispersal system</v>
      </c>
      <c r="Q45" s="55">
        <f>'4.3.1.3-4 Direct N20'!P241</f>
        <v>686.91213999734782</v>
      </c>
      <c r="R45" s="55">
        <f>'4.3.1.3-4 Direct N20'!Q241</f>
        <v>590.17648503003818</v>
      </c>
      <c r="S45" s="55">
        <f>'4.3.1.3-4 Direct N20'!R241</f>
        <v>235.06105261898415</v>
      </c>
      <c r="T45" s="55">
        <f>'4.3.1.3-4 Direct N20'!S241</f>
        <v>741.87518257630143</v>
      </c>
      <c r="U45" s="55">
        <f>'4.3.1.3-4 Direct N20'!T241</f>
        <v>310.57070109221564</v>
      </c>
      <c r="V45" s="2" t="s">
        <v>135</v>
      </c>
    </row>
    <row r="46" spans="4:22" ht="20.100000000000001" customHeight="1" x14ac:dyDescent="0.25">
      <c r="D46" s="55" t="str">
        <f>'Input - Dairy'!$D$55</f>
        <v>Feed pad</v>
      </c>
      <c r="E46" s="55" t="str">
        <f>'Input - Dairy'!$D$111</f>
        <v>Drains to paddock</v>
      </c>
      <c r="F46" s="55">
        <f>'4.3.1.3-4 Direct N20'!F242</f>
        <v>686.91213999734782</v>
      </c>
      <c r="G46" s="55">
        <f>'4.3.1.3-4 Direct N20'!G242</f>
        <v>590.17648503003818</v>
      </c>
      <c r="H46" s="55">
        <f>'4.3.1.3-4 Direct N20'!H242</f>
        <v>235.06105261898415</v>
      </c>
      <c r="I46" s="55">
        <f>'4.3.1.3-4 Direct N20'!I242</f>
        <v>741.87518257630143</v>
      </c>
      <c r="J46" s="55">
        <f>'4.3.1.3-4 Direct N20'!J242</f>
        <v>310.57070109221564</v>
      </c>
      <c r="K46" s="2" t="s">
        <v>135</v>
      </c>
      <c r="M46"/>
      <c r="O46" s="55" t="str">
        <f>'Input - Dairy'!$D$55</f>
        <v>Feed pad</v>
      </c>
      <c r="P46" s="55" t="str">
        <f>'Input - Dairy'!$D$111</f>
        <v>Drains to paddock</v>
      </c>
      <c r="Q46" s="55">
        <f>'4.3.1.3-4 Direct N20'!P242</f>
        <v>686.91213999734782</v>
      </c>
      <c r="R46" s="55">
        <f>'4.3.1.3-4 Direct N20'!Q242</f>
        <v>590.17648503003818</v>
      </c>
      <c r="S46" s="55">
        <f>'4.3.1.3-4 Direct N20'!R242</f>
        <v>235.06105261898415</v>
      </c>
      <c r="T46" s="55">
        <f>'4.3.1.3-4 Direct N20'!S242</f>
        <v>741.87518257630143</v>
      </c>
      <c r="U46" s="55">
        <f>'4.3.1.3-4 Direct N20'!T242</f>
        <v>310.57070109221564</v>
      </c>
      <c r="V46" s="2" t="s">
        <v>135</v>
      </c>
    </row>
    <row r="47" spans="4:22" ht="20.100000000000001" customHeight="1" x14ac:dyDescent="0.25">
      <c r="D47" s="55" t="str">
        <f>'Input - Dairy'!$D$55</f>
        <v>Feed pad</v>
      </c>
      <c r="E47" s="55" t="str">
        <f>'Input - Dairy'!$D$116</f>
        <v>Solid storage</v>
      </c>
      <c r="F47" s="55">
        <f>'4.3.1.3-4 Direct N20'!F243</f>
        <v>1202.0962449953586</v>
      </c>
      <c r="G47" s="55">
        <f>'4.3.1.3-4 Direct N20'!G243</f>
        <v>1032.8088488025667</v>
      </c>
      <c r="H47" s="55">
        <f>'4.3.1.3-4 Direct N20'!H243</f>
        <v>411.35684208322226</v>
      </c>
      <c r="I47" s="55">
        <f>'4.3.1.3-4 Direct N20'!I243</f>
        <v>1298.2815695085274</v>
      </c>
      <c r="J47" s="55">
        <f>'4.3.1.3-4 Direct N20'!J243</f>
        <v>543.49872691137739</v>
      </c>
      <c r="K47" s="2" t="s">
        <v>135</v>
      </c>
      <c r="M47"/>
      <c r="O47" s="55" t="str">
        <f>'Input - Dairy'!$D$55</f>
        <v>Feed pad</v>
      </c>
      <c r="P47" s="55" t="str">
        <f>'Input - Dairy'!$D$116</f>
        <v>Solid storage</v>
      </c>
      <c r="Q47" s="55">
        <f>'4.3.1.3-4 Direct N20'!P243</f>
        <v>1202.0962449953586</v>
      </c>
      <c r="R47" s="55">
        <f>'4.3.1.3-4 Direct N20'!Q243</f>
        <v>1032.8088488025667</v>
      </c>
      <c r="S47" s="55">
        <f>'4.3.1.3-4 Direct N20'!R243</f>
        <v>411.35684208322226</v>
      </c>
      <c r="T47" s="55">
        <f>'4.3.1.3-4 Direct N20'!S243</f>
        <v>1298.2815695085274</v>
      </c>
      <c r="U47" s="55">
        <f>'4.3.1.3-4 Direct N20'!T243</f>
        <v>543.49872691137739</v>
      </c>
      <c r="V47" s="2" t="s">
        <v>135</v>
      </c>
    </row>
    <row r="48" spans="4:22" ht="20.100000000000001" customHeight="1" x14ac:dyDescent="0.25"/>
    <row r="49" spans="4:22" ht="20.100000000000001" customHeight="1" x14ac:dyDescent="0.25">
      <c r="D49" s="104" t="s">
        <v>420</v>
      </c>
      <c r="O49" s="104" t="s">
        <v>418</v>
      </c>
    </row>
    <row r="50" spans="4:22" ht="20.100000000000001" customHeight="1" x14ac:dyDescent="0.25">
      <c r="D50" s="103" t="s">
        <v>421</v>
      </c>
      <c r="O50" s="103" t="s">
        <v>419</v>
      </c>
    </row>
    <row r="51" spans="4:22" ht="20.100000000000001" customHeight="1" x14ac:dyDescent="0.25">
      <c r="D51" s="54" t="s">
        <v>152</v>
      </c>
      <c r="E51" s="54" t="s">
        <v>69</v>
      </c>
      <c r="F51" s="54" t="s">
        <v>178</v>
      </c>
      <c r="G51" s="54" t="s">
        <v>195</v>
      </c>
      <c r="H51" s="54" t="s">
        <v>196</v>
      </c>
      <c r="I51" s="54" t="s">
        <v>197</v>
      </c>
      <c r="J51" s="54" t="s">
        <v>198</v>
      </c>
      <c r="O51" s="54" t="s">
        <v>152</v>
      </c>
      <c r="P51" s="54" t="s">
        <v>69</v>
      </c>
      <c r="Q51" s="54" t="s">
        <v>178</v>
      </c>
      <c r="R51" s="54" t="s">
        <v>195</v>
      </c>
      <c r="S51" s="54" t="s">
        <v>196</v>
      </c>
      <c r="T51" s="54" t="s">
        <v>197</v>
      </c>
      <c r="U51" s="54" t="s">
        <v>198</v>
      </c>
    </row>
    <row r="52" spans="4:22" ht="20.100000000000001" customHeight="1" x14ac:dyDescent="0.25">
      <c r="D52" s="55" t="str">
        <f>'Input - Dairy'!$D$54</f>
        <v>Milking shed</v>
      </c>
      <c r="E52" s="55" t="str">
        <f>'Input - Dairy'!$D$67</f>
        <v>Anaerobic lagoon</v>
      </c>
      <c r="F52" s="55">
        <v>0</v>
      </c>
      <c r="G52" s="55">
        <v>0</v>
      </c>
      <c r="H52" s="55">
        <v>0</v>
      </c>
      <c r="I52" s="55">
        <v>0</v>
      </c>
      <c r="J52" s="55">
        <v>0</v>
      </c>
      <c r="K52" s="2" t="s">
        <v>135</v>
      </c>
      <c r="O52" s="55" t="str">
        <f>'Input - Dairy'!$D$54</f>
        <v>Milking shed</v>
      </c>
      <c r="P52" s="55" t="str">
        <f>'Input - Dairy'!$D$67</f>
        <v>Anaerobic lagoon</v>
      </c>
      <c r="Q52" s="55">
        <v>0</v>
      </c>
      <c r="R52" s="55">
        <v>0</v>
      </c>
      <c r="S52" s="55">
        <v>0</v>
      </c>
      <c r="T52" s="55">
        <v>0</v>
      </c>
      <c r="U52" s="55">
        <v>0</v>
      </c>
      <c r="V52" s="2" t="s">
        <v>135</v>
      </c>
    </row>
    <row r="53" spans="4:22" ht="20.100000000000001" customHeight="1" x14ac:dyDescent="0.25">
      <c r="D53" s="55" t="str">
        <f>'Input - Dairy'!$D$54</f>
        <v>Milking shed</v>
      </c>
      <c r="E53" s="55" t="str">
        <f>'Input - Dairy'!$D$72</f>
        <v>Sump and dispersal system</v>
      </c>
      <c r="F53" s="55">
        <v>0</v>
      </c>
      <c r="G53" s="55">
        <v>0</v>
      </c>
      <c r="H53" s="55">
        <v>0</v>
      </c>
      <c r="I53" s="55">
        <v>0</v>
      </c>
      <c r="J53" s="55">
        <v>0</v>
      </c>
      <c r="K53" s="2" t="s">
        <v>135</v>
      </c>
      <c r="O53" s="55" t="str">
        <f>'Input - Dairy'!$D$54</f>
        <v>Milking shed</v>
      </c>
      <c r="P53" s="55" t="str">
        <f>'Input - Dairy'!$D$72</f>
        <v>Sump and dispersal system</v>
      </c>
      <c r="Q53" s="55">
        <v>0</v>
      </c>
      <c r="R53" s="55">
        <v>0</v>
      </c>
      <c r="S53" s="55">
        <v>0</v>
      </c>
      <c r="T53" s="55">
        <v>0</v>
      </c>
      <c r="U53" s="55">
        <v>0</v>
      </c>
      <c r="V53" s="2" t="s">
        <v>135</v>
      </c>
    </row>
    <row r="54" spans="4:22" ht="20.100000000000001" customHeight="1" x14ac:dyDescent="0.25">
      <c r="D54" s="55" t="str">
        <f>'Input - Dairy'!$D$54</f>
        <v>Milking shed</v>
      </c>
      <c r="E54" s="55" t="str">
        <f>'Input - Dairy'!$D$77</f>
        <v>Drains to paddock</v>
      </c>
      <c r="F54" s="55">
        <v>0</v>
      </c>
      <c r="G54" s="55">
        <v>0</v>
      </c>
      <c r="H54" s="55">
        <v>0</v>
      </c>
      <c r="I54" s="55">
        <v>0</v>
      </c>
      <c r="J54" s="55">
        <v>0</v>
      </c>
      <c r="K54" s="2" t="s">
        <v>135</v>
      </c>
      <c r="O54" s="55" t="str">
        <f>'Input - Dairy'!$D$54</f>
        <v>Milking shed</v>
      </c>
      <c r="P54" s="55" t="str">
        <f>'Input - Dairy'!$D$77</f>
        <v>Drains to paddock</v>
      </c>
      <c r="Q54" s="55">
        <v>0</v>
      </c>
      <c r="R54" s="55">
        <v>0</v>
      </c>
      <c r="S54" s="55">
        <v>0</v>
      </c>
      <c r="T54" s="55">
        <v>0</v>
      </c>
      <c r="U54" s="55">
        <v>0</v>
      </c>
      <c r="V54" s="2" t="s">
        <v>135</v>
      </c>
    </row>
    <row r="55" spans="4:22" ht="20.100000000000001" customHeight="1" x14ac:dyDescent="0.25">
      <c r="D55" s="55" t="str">
        <f>'Input - Dairy'!$D$54</f>
        <v>Milking shed</v>
      </c>
      <c r="E55" s="55" t="str">
        <f>'Input - Dairy'!$D$82</f>
        <v>Solid storage</v>
      </c>
      <c r="F55" s="55">
        <f>'4.3.1.6-7 Leaching and runoff'!F29</f>
        <v>8.4899253258099172</v>
      </c>
      <c r="G55" s="55">
        <f>'4.3.1.6-7 Leaching and runoff'!G29</f>
        <v>7.2943161071128308</v>
      </c>
      <c r="H55" s="55">
        <f>'4.3.1.6-7 Leaching and runoff'!H29</f>
        <v>2.9052489649537363</v>
      </c>
      <c r="I55" s="55">
        <f>'4.3.1.6-7 Leaching and runoff'!I29</f>
        <v>9.1692438295947358</v>
      </c>
      <c r="J55" s="55">
        <f>'4.3.1.6-7 Leaching and runoff'!J29</f>
        <v>3.8385142831622159</v>
      </c>
      <c r="K55" s="2" t="s">
        <v>135</v>
      </c>
      <c r="O55" s="55" t="str">
        <f>'Input - Dairy'!$D$54</f>
        <v>Milking shed</v>
      </c>
      <c r="P55" s="55" t="str">
        <f>'Input - Dairy'!$D$82</f>
        <v>Solid storage</v>
      </c>
      <c r="Q55" s="55">
        <f>'4.3.1.6-7 Leaching and runoff'!Q29</f>
        <v>8.4899253258099172</v>
      </c>
      <c r="R55" s="55">
        <f>'4.3.1.6-7 Leaching and runoff'!R29</f>
        <v>7.2943161071128308</v>
      </c>
      <c r="S55" s="55">
        <f>'4.3.1.6-7 Leaching and runoff'!S29</f>
        <v>2.9052489649537363</v>
      </c>
      <c r="T55" s="55">
        <f>'4.3.1.6-7 Leaching and runoff'!T29</f>
        <v>9.1692438295947358</v>
      </c>
      <c r="U55" s="55">
        <f>'4.3.1.6-7 Leaching and runoff'!U29</f>
        <v>3.8385142831622159</v>
      </c>
      <c r="V55" s="2" t="s">
        <v>135</v>
      </c>
    </row>
    <row r="56" spans="4:22" ht="20.100000000000001" customHeight="1" x14ac:dyDescent="0.25">
      <c r="D56" s="55" t="str">
        <f>'Input - Dairy'!$D$55</f>
        <v>Feed pad</v>
      </c>
      <c r="E56" s="55" t="str">
        <f>'Input - Dairy'!$D$101</f>
        <v>Anaerobic lagoon</v>
      </c>
      <c r="F56" s="55">
        <v>0</v>
      </c>
      <c r="G56" s="55">
        <v>0</v>
      </c>
      <c r="H56" s="55">
        <v>0</v>
      </c>
      <c r="I56" s="55">
        <v>0</v>
      </c>
      <c r="J56" s="55">
        <v>0</v>
      </c>
      <c r="K56" s="2" t="s">
        <v>135</v>
      </c>
      <c r="O56" s="55" t="str">
        <f>'Input - Dairy'!$D$55</f>
        <v>Feed pad</v>
      </c>
      <c r="P56" s="55" t="str">
        <f>'Input - Dairy'!$D$101</f>
        <v>Anaerobic lagoon</v>
      </c>
      <c r="Q56" s="55">
        <v>0</v>
      </c>
      <c r="R56" s="55">
        <v>0</v>
      </c>
      <c r="S56" s="55">
        <v>0</v>
      </c>
      <c r="T56" s="55">
        <v>0</v>
      </c>
      <c r="U56" s="55">
        <v>0</v>
      </c>
      <c r="V56" s="2" t="s">
        <v>135</v>
      </c>
    </row>
    <row r="57" spans="4:22" ht="20.100000000000001" customHeight="1" x14ac:dyDescent="0.25">
      <c r="D57" s="55" t="str">
        <f>'Input - Dairy'!$D$55</f>
        <v>Feed pad</v>
      </c>
      <c r="E57" s="55" t="str">
        <f>'Input - Dairy'!$D$106</f>
        <v>Sump and dispersal system</v>
      </c>
      <c r="F57" s="55">
        <v>0</v>
      </c>
      <c r="G57" s="55">
        <v>0</v>
      </c>
      <c r="H57" s="55">
        <v>0</v>
      </c>
      <c r="I57" s="55">
        <v>0</v>
      </c>
      <c r="J57" s="55">
        <v>0</v>
      </c>
      <c r="K57" s="2" t="s">
        <v>135</v>
      </c>
      <c r="O57" s="55" t="str">
        <f>'Input - Dairy'!$D$55</f>
        <v>Feed pad</v>
      </c>
      <c r="P57" s="55" t="str">
        <f>'Input - Dairy'!$D$106</f>
        <v>Sump and dispersal system</v>
      </c>
      <c r="Q57" s="55">
        <v>0</v>
      </c>
      <c r="R57" s="55">
        <v>0</v>
      </c>
      <c r="S57" s="55">
        <v>0</v>
      </c>
      <c r="T57" s="55">
        <v>0</v>
      </c>
      <c r="U57" s="55">
        <v>0</v>
      </c>
      <c r="V57" s="2" t="s">
        <v>135</v>
      </c>
    </row>
    <row r="58" spans="4:22" ht="20.100000000000001" customHeight="1" x14ac:dyDescent="0.25">
      <c r="D58" s="55" t="str">
        <f>'Input - Dairy'!$D$55</f>
        <v>Feed pad</v>
      </c>
      <c r="E58" s="55" t="str">
        <f>'Input - Dairy'!$D$111</f>
        <v>Drains to paddock</v>
      </c>
      <c r="F58" s="55">
        <v>0</v>
      </c>
      <c r="G58" s="55">
        <v>0</v>
      </c>
      <c r="H58" s="55">
        <v>0</v>
      </c>
      <c r="I58" s="55">
        <v>0</v>
      </c>
      <c r="J58" s="55">
        <v>0</v>
      </c>
      <c r="K58" s="2" t="s">
        <v>135</v>
      </c>
      <c r="O58" s="55" t="str">
        <f>'Input - Dairy'!$D$55</f>
        <v>Feed pad</v>
      </c>
      <c r="P58" s="55" t="str">
        <f>'Input - Dairy'!$D$111</f>
        <v>Drains to paddock</v>
      </c>
      <c r="Q58" s="55">
        <v>0</v>
      </c>
      <c r="R58" s="55">
        <v>0</v>
      </c>
      <c r="S58" s="55">
        <v>0</v>
      </c>
      <c r="T58" s="55">
        <v>0</v>
      </c>
      <c r="U58" s="55">
        <v>0</v>
      </c>
      <c r="V58" s="2" t="s">
        <v>135</v>
      </c>
    </row>
    <row r="59" spans="4:22" ht="20.100000000000001" customHeight="1" x14ac:dyDescent="0.25">
      <c r="D59" s="55" t="str">
        <f>'Input - Dairy'!$D$55</f>
        <v>Feed pad</v>
      </c>
      <c r="E59" s="55" t="str">
        <f>'Input - Dairy'!$D$116</f>
        <v>Solid storage</v>
      </c>
      <c r="F59" s="55">
        <f>'4.3.1.6-7 Leaching and runoff'!F30</f>
        <v>24.041924899907173</v>
      </c>
      <c r="G59" s="55">
        <f>'4.3.1.6-7 Leaching and runoff'!G30</f>
        <v>20.656176976051334</v>
      </c>
      <c r="H59" s="55">
        <f>'4.3.1.6-7 Leaching and runoff'!H30</f>
        <v>8.2271368416644446</v>
      </c>
      <c r="I59" s="55">
        <f>'4.3.1.6-7 Leaching and runoff'!I30</f>
        <v>25.965631390170547</v>
      </c>
      <c r="J59" s="55">
        <f>'4.3.1.6-7 Leaching and runoff'!J30</f>
        <v>10.869974538227549</v>
      </c>
      <c r="K59" s="2" t="s">
        <v>135</v>
      </c>
      <c r="O59" s="55" t="str">
        <f>'Input - Dairy'!$D$55</f>
        <v>Feed pad</v>
      </c>
      <c r="P59" s="55" t="str">
        <f>'Input - Dairy'!$D$116</f>
        <v>Solid storage</v>
      </c>
      <c r="Q59" s="55">
        <f>'4.3.1.6-7 Leaching and runoff'!Q30</f>
        <v>24.041924899907173</v>
      </c>
      <c r="R59" s="55">
        <f>'4.3.1.6-7 Leaching and runoff'!R30</f>
        <v>20.656176976051334</v>
      </c>
      <c r="S59" s="55">
        <f>'4.3.1.6-7 Leaching and runoff'!S30</f>
        <v>8.2271368416644446</v>
      </c>
      <c r="T59" s="55">
        <f>'4.3.1.6-7 Leaching and runoff'!T30</f>
        <v>25.965631390170547</v>
      </c>
      <c r="U59" s="55">
        <f>'4.3.1.6-7 Leaching and runoff'!U30</f>
        <v>10.869974538227549</v>
      </c>
      <c r="V59" s="2" t="s">
        <v>135</v>
      </c>
    </row>
    <row r="60" spans="4:22" ht="20.100000000000001" customHeight="1" x14ac:dyDescent="0.25"/>
    <row r="61" spans="4:22" ht="20.100000000000001" customHeight="1" x14ac:dyDescent="0.25">
      <c r="D61" s="104" t="s">
        <v>360</v>
      </c>
    </row>
    <row r="62" spans="4:22" ht="20.100000000000001" customHeight="1" x14ac:dyDescent="0.25">
      <c r="D62" s="103" t="s">
        <v>361</v>
      </c>
    </row>
    <row r="63" spans="4:22" ht="20.100000000000001" customHeight="1" x14ac:dyDescent="0.25">
      <c r="D63" s="54" t="s">
        <v>152</v>
      </c>
      <c r="E63" s="54" t="s">
        <v>69</v>
      </c>
      <c r="F63" s="54" t="s">
        <v>178</v>
      </c>
      <c r="G63" s="54" t="s">
        <v>195</v>
      </c>
      <c r="H63" s="54" t="s">
        <v>196</v>
      </c>
      <c r="I63" s="54" t="s">
        <v>197</v>
      </c>
      <c r="J63" s="54" t="s">
        <v>198</v>
      </c>
    </row>
    <row r="64" spans="4:22" ht="20.100000000000001" customHeight="1" x14ac:dyDescent="0.25">
      <c r="D64" s="55" t="str">
        <f>'Input - Dairy'!$D$54</f>
        <v>Milking shed</v>
      </c>
      <c r="E64" s="55" t="str">
        <f>'Input - Dairy'!$D$67</f>
        <v>Anaerobic lagoon</v>
      </c>
      <c r="F64" s="55">
        <f>'Input - Dairy'!E138+'Input - Dairy'!E139</f>
        <v>0.75</v>
      </c>
      <c r="G64" s="55">
        <f>'Input - Dairy'!F138+'Input - Dairy'!F139</f>
        <v>0.75</v>
      </c>
      <c r="H64" s="55">
        <f>'Input - Dairy'!G138+'Input - Dairy'!G139</f>
        <v>0.75</v>
      </c>
      <c r="I64" s="55">
        <f>'Input - Dairy'!H138+'Input - Dairy'!H139</f>
        <v>0.75</v>
      </c>
      <c r="J64" s="55">
        <f>'Input - Dairy'!I138+'Input - Dairy'!I139</f>
        <v>0.75</v>
      </c>
      <c r="K64" s="2" t="e">
        <f>#REF!</f>
        <v>#REF!</v>
      </c>
    </row>
    <row r="65" spans="4:22" ht="20.100000000000001" customHeight="1" x14ac:dyDescent="0.25">
      <c r="D65" s="55" t="str">
        <f>'Input - Dairy'!$D$54</f>
        <v>Milking shed</v>
      </c>
      <c r="E65" s="55" t="str">
        <f>'Input - Dairy'!$D$72</f>
        <v>Sump and dispersal system</v>
      </c>
      <c r="F65" s="55">
        <f>'Input - Dairy'!E143+'Input - Dairy'!E144</f>
        <v>0.75</v>
      </c>
      <c r="G65" s="55">
        <f>'Input - Dairy'!F143+'Input - Dairy'!F144</f>
        <v>0.75</v>
      </c>
      <c r="H65" s="55">
        <f>'Input - Dairy'!G143+'Input - Dairy'!G144</f>
        <v>0.75</v>
      </c>
      <c r="I65" s="55">
        <f>'Input - Dairy'!H143+'Input - Dairy'!H144</f>
        <v>0.75</v>
      </c>
      <c r="J65" s="55">
        <f>'Input - Dairy'!I143+'Input - Dairy'!I144</f>
        <v>0.75</v>
      </c>
      <c r="K65" s="2" t="e">
        <f>#REF!</f>
        <v>#REF!</v>
      </c>
    </row>
    <row r="66" spans="4:22" ht="20.100000000000001" customHeight="1" x14ac:dyDescent="0.25">
      <c r="D66" s="55" t="str">
        <f>'Input - Dairy'!$D$54</f>
        <v>Milking shed</v>
      </c>
      <c r="E66" s="55" t="str">
        <f>'Input - Dairy'!$D$77</f>
        <v>Drains to paddock</v>
      </c>
      <c r="F66" s="55">
        <f>'Input - Dairy'!E148+'Input - Dairy'!E149</f>
        <v>0.75</v>
      </c>
      <c r="G66" s="55">
        <f>'Input - Dairy'!F148+'Input - Dairy'!F149</f>
        <v>0.75</v>
      </c>
      <c r="H66" s="55">
        <f>'Input - Dairy'!G148+'Input - Dairy'!G149</f>
        <v>0.75</v>
      </c>
      <c r="I66" s="55">
        <f>'Input - Dairy'!H148+'Input - Dairy'!H149</f>
        <v>0.75</v>
      </c>
      <c r="J66" s="55">
        <f>'Input - Dairy'!I148+'Input - Dairy'!I149</f>
        <v>0.75</v>
      </c>
      <c r="K66" s="2" t="e">
        <f>#REF!</f>
        <v>#REF!</v>
      </c>
    </row>
    <row r="67" spans="4:22" ht="20.100000000000001" customHeight="1" x14ac:dyDescent="0.25">
      <c r="D67" s="55" t="str">
        <f>'Input - Dairy'!$D$54</f>
        <v>Milking shed</v>
      </c>
      <c r="E67" s="55" t="str">
        <f>'Input - Dairy'!$D$82</f>
        <v>Solid storage</v>
      </c>
      <c r="F67" s="55">
        <f>'Input - Dairy'!E153+'Input - Dairy'!E154</f>
        <v>0.75</v>
      </c>
      <c r="G67" s="55">
        <f>'Input - Dairy'!F153+'Input - Dairy'!F154</f>
        <v>0.75</v>
      </c>
      <c r="H67" s="55">
        <f>'Input - Dairy'!G153+'Input - Dairy'!G154</f>
        <v>0.75</v>
      </c>
      <c r="I67" s="55">
        <f>'Input - Dairy'!H153+'Input - Dairy'!H154</f>
        <v>0.75</v>
      </c>
      <c r="J67" s="55">
        <f>'Input - Dairy'!I153+'Input - Dairy'!I154</f>
        <v>0.75</v>
      </c>
      <c r="K67" s="2" t="e">
        <f>#REF!</f>
        <v>#REF!</v>
      </c>
    </row>
    <row r="68" spans="4:22" ht="20.100000000000001" customHeight="1" x14ac:dyDescent="0.25">
      <c r="D68" s="55" t="str">
        <f>'Input - Dairy'!$D$55</f>
        <v>Feed pad</v>
      </c>
      <c r="E68" s="55" t="str">
        <f>'Input - Dairy'!$D$101</f>
        <v>Anaerobic lagoon</v>
      </c>
      <c r="F68" s="55">
        <f>'Input - Dairy'!E162+'Input - Dairy'!E163</f>
        <v>0.75</v>
      </c>
      <c r="G68" s="55">
        <f>'Input - Dairy'!F162+'Input - Dairy'!F163</f>
        <v>0.75</v>
      </c>
      <c r="H68" s="55">
        <f>'Input - Dairy'!G162+'Input - Dairy'!G163</f>
        <v>0.75</v>
      </c>
      <c r="I68" s="55">
        <f>'Input - Dairy'!H162+'Input - Dairy'!H163</f>
        <v>0.75</v>
      </c>
      <c r="J68" s="55">
        <f>'Input - Dairy'!I162+'Input - Dairy'!I163</f>
        <v>0.75</v>
      </c>
      <c r="K68" s="2" t="e">
        <f>#REF!</f>
        <v>#REF!</v>
      </c>
    </row>
    <row r="69" spans="4:22" ht="20.100000000000001" customHeight="1" x14ac:dyDescent="0.25">
      <c r="D69" s="55" t="str">
        <f>'Input - Dairy'!$D$55</f>
        <v>Feed pad</v>
      </c>
      <c r="E69" s="55" t="str">
        <f>'Input - Dairy'!$D$106</f>
        <v>Sump and dispersal system</v>
      </c>
      <c r="F69" s="55">
        <f>'Input - Dairy'!E167+'Input - Dairy'!E168</f>
        <v>0.75</v>
      </c>
      <c r="G69" s="55">
        <f>'Input - Dairy'!F167+'Input - Dairy'!F168</f>
        <v>0.75</v>
      </c>
      <c r="H69" s="55">
        <f>'Input - Dairy'!G167+'Input - Dairy'!G168</f>
        <v>0.75</v>
      </c>
      <c r="I69" s="55">
        <f>'Input - Dairy'!H167+'Input - Dairy'!H168</f>
        <v>0.75</v>
      </c>
      <c r="J69" s="55">
        <f>'Input - Dairy'!I167+'Input - Dairy'!I168</f>
        <v>0.75</v>
      </c>
      <c r="K69" s="2" t="e">
        <f>#REF!</f>
        <v>#REF!</v>
      </c>
    </row>
    <row r="70" spans="4:22" ht="20.100000000000001" customHeight="1" x14ac:dyDescent="0.25">
      <c r="D70" s="55" t="str">
        <f>'Input - Dairy'!$D$55</f>
        <v>Feed pad</v>
      </c>
      <c r="E70" s="55" t="str">
        <f>'Input - Dairy'!$D$111</f>
        <v>Drains to paddock</v>
      </c>
      <c r="F70" s="55">
        <f>'Input - Dairy'!E172+'Input - Dairy'!E173</f>
        <v>0.75</v>
      </c>
      <c r="G70" s="55">
        <f>'Input - Dairy'!F172+'Input - Dairy'!F173</f>
        <v>0.75</v>
      </c>
      <c r="H70" s="55">
        <f>'Input - Dairy'!G172+'Input - Dairy'!G173</f>
        <v>0.75</v>
      </c>
      <c r="I70" s="55">
        <f>'Input - Dairy'!H172+'Input - Dairy'!H173</f>
        <v>0.75</v>
      </c>
      <c r="J70" s="55">
        <f>'Input - Dairy'!I172+'Input - Dairy'!I173</f>
        <v>0.75</v>
      </c>
      <c r="K70" s="2" t="e">
        <f>#REF!</f>
        <v>#REF!</v>
      </c>
    </row>
    <row r="71" spans="4:22" ht="20.100000000000001" customHeight="1" x14ac:dyDescent="0.25">
      <c r="D71" s="55" t="str">
        <f>'Input - Dairy'!$D$55</f>
        <v>Feed pad</v>
      </c>
      <c r="E71" s="55" t="str">
        <f>'Input - Dairy'!$D$116</f>
        <v>Solid storage</v>
      </c>
      <c r="F71" s="55">
        <f>'Input - Dairy'!E177+'Input - Dairy'!E178</f>
        <v>0.75</v>
      </c>
      <c r="G71" s="55">
        <f>'Input - Dairy'!F177+'Input - Dairy'!F178</f>
        <v>0.75</v>
      </c>
      <c r="H71" s="55">
        <f>'Input - Dairy'!G177+'Input - Dairy'!G178</f>
        <v>0.75</v>
      </c>
      <c r="I71" s="55">
        <f>'Input - Dairy'!H177+'Input - Dairy'!H178</f>
        <v>0.75</v>
      </c>
      <c r="J71" s="55">
        <f>'Input - Dairy'!I177+'Input - Dairy'!I178</f>
        <v>0.75</v>
      </c>
      <c r="K71" s="2" t="e">
        <f>#REF!</f>
        <v>#REF!</v>
      </c>
    </row>
    <row r="72" spans="4:22" ht="20.100000000000001" customHeight="1" x14ac:dyDescent="0.25"/>
    <row r="73" spans="4:22" ht="20.100000000000001" customHeight="1" x14ac:dyDescent="0.25">
      <c r="D73" s="104" t="s">
        <v>362</v>
      </c>
      <c r="O73" s="104" t="s">
        <v>367</v>
      </c>
    </row>
    <row r="74" spans="4:22" ht="20.100000000000001" customHeight="1" x14ac:dyDescent="0.25">
      <c r="D74" s="103" t="s">
        <v>366</v>
      </c>
      <c r="O74" s="103" t="s">
        <v>368</v>
      </c>
    </row>
    <row r="75" spans="4:22" ht="20.100000000000001" customHeight="1" x14ac:dyDescent="0.25">
      <c r="D75" s="54" t="s">
        <v>152</v>
      </c>
      <c r="E75" s="54" t="s">
        <v>69</v>
      </c>
      <c r="F75" s="54" t="s">
        <v>178</v>
      </c>
      <c r="G75" s="54" t="s">
        <v>195</v>
      </c>
      <c r="H75" s="54" t="s">
        <v>196</v>
      </c>
      <c r="I75" s="54" t="s">
        <v>197</v>
      </c>
      <c r="J75" s="54" t="s">
        <v>198</v>
      </c>
      <c r="O75" s="54" t="s">
        <v>152</v>
      </c>
      <c r="P75" s="54" t="s">
        <v>69</v>
      </c>
      <c r="Q75" s="54" t="s">
        <v>178</v>
      </c>
      <c r="R75" s="54" t="s">
        <v>195</v>
      </c>
      <c r="S75" s="54" t="s">
        <v>196</v>
      </c>
      <c r="T75" s="54" t="s">
        <v>197</v>
      </c>
      <c r="U75" s="54" t="s">
        <v>198</v>
      </c>
    </row>
    <row r="76" spans="4:22" ht="20.100000000000001" customHeight="1" x14ac:dyDescent="0.25">
      <c r="D76" s="55" t="str">
        <f>'Input - Dairy'!$D$54</f>
        <v>Milking shed</v>
      </c>
      <c r="E76" s="55" t="str">
        <f>'Input - Dairy'!$D$67</f>
        <v>Anaerobic lagoon</v>
      </c>
      <c r="F76" s="55" cm="1">
        <f t="array" ref="F76">MMS_Dairy_ManureAppliedToSoils_Equations.VEERG_4_3_1_8__1_MassOfNitrogenAppliedToSoilsScope1(F40,_xlfn.XLOOKUP($E76,$D$22:$D$26,$E$22:$E$26),_xlfn.XLOOKUP($E76, $D$31:$D$35,$E$31:$E$35),F52,F64)</f>
        <v>103.47096490830837</v>
      </c>
      <c r="G76" s="55" cm="1">
        <f t="array" ref="G76">MMS_Dairy_ManureAppliedToSoils_Equations.VEERG_4_3_1_8__1_MassOfNitrogenAppliedToSoilsScope1(G40,_xlfn.XLOOKUP($E76,$D$22:$D$26,$E$22:$E$26),_xlfn.XLOOKUP($E76, $D$31:$D$35,$E$31:$E$35),G52,G64)</f>
        <v>88.899477555437642</v>
      </c>
      <c r="H76" s="55" cm="1">
        <f t="array" ref="H76">MMS_Dairy_ManureAppliedToSoils_Equations.VEERG_4_3_1_8__1_MassOfNitrogenAppliedToSoilsScope1(H40,_xlfn.XLOOKUP($E76,$D$22:$D$26,$E$22:$E$26),_xlfn.XLOOKUP($E76, $D$31:$D$35,$E$31:$E$35),H52,H64)</f>
        <v>35.407721760373668</v>
      </c>
      <c r="I76" s="55" cm="1">
        <f t="array" ref="I76">MMS_Dairy_ManureAppliedToSoils_Equations.VEERG_4_3_1_8__1_MassOfNitrogenAppliedToSoilsScope1(I40,_xlfn.XLOOKUP($E76,$D$22:$D$26,$E$22:$E$26),_xlfn.XLOOKUP($E76, $D$31:$D$35,$E$31:$E$35),I52,I64)</f>
        <v>111.75015917318586</v>
      </c>
      <c r="J76" s="55" cm="1">
        <f t="array" ref="J76">MMS_Dairy_ManureAppliedToSoils_Equations.VEERG_4_3_1_8__1_MassOfNitrogenAppliedToSoilsScope1(J40,_xlfn.XLOOKUP($E76,$D$22:$D$26,$E$22:$E$26),_xlfn.XLOOKUP($E76, $D$31:$D$35,$E$31:$E$35),J52,J64)</f>
        <v>46.78189282603951</v>
      </c>
      <c r="K76" s="2" t="str">
        <f t="shared" ref="K76:K83" si="0">$E$11</f>
        <v>kg N</v>
      </c>
      <c r="O76" s="55" t="str">
        <f>'Input - Dairy'!$D$54</f>
        <v>Milking shed</v>
      </c>
      <c r="P76" s="55" t="str">
        <f>'Input - Dairy'!$D$67</f>
        <v>Anaerobic lagoon</v>
      </c>
      <c r="Q76" s="55" cm="1">
        <f t="array" ref="Q76">MMS_Dairy_ManureAppliedToSoils_Equations.VEERG_4_3_1_8__1_MassOfNitrogenAppliedToSoilsScope1(Q40,_xlfn.XLOOKUP($P76,$D$22:$D$26,$E$22:$E$26),_xlfn.XLOOKUP($P76, $D$31:$D$35,$E$31:$E$35),Q52,F64)</f>
        <v>103.47096490830837</v>
      </c>
      <c r="R76" s="55" cm="1">
        <f t="array" ref="R76">MMS_Dairy_ManureAppliedToSoils_Equations.VEERG_4_3_1_8__1_MassOfNitrogenAppliedToSoilsScope1(R40,_xlfn.XLOOKUP($P76,$D$22:$D$26,$E$22:$E$26),_xlfn.XLOOKUP($P76, $D$31:$D$35,$E$31:$E$35),R52,G64)</f>
        <v>88.899477555437642</v>
      </c>
      <c r="S76" s="55" cm="1">
        <f t="array" ref="S76">MMS_Dairy_ManureAppliedToSoils_Equations.VEERG_4_3_1_8__1_MassOfNitrogenAppliedToSoilsScope1(S40,_xlfn.XLOOKUP($P76,$D$22:$D$26,$E$22:$E$26),_xlfn.XLOOKUP($P76, $D$31:$D$35,$E$31:$E$35),S52,H64)</f>
        <v>35.407721760373668</v>
      </c>
      <c r="T76" s="55" cm="1">
        <f t="array" ref="T76">MMS_Dairy_ManureAppliedToSoils_Equations.VEERG_4_3_1_8__1_MassOfNitrogenAppliedToSoilsScope1(T40,_xlfn.XLOOKUP($P76,$D$22:$D$26,$E$22:$E$26),_xlfn.XLOOKUP($P76, $D$31:$D$35,$E$31:$E$35),T52,I64)</f>
        <v>111.75015917318586</v>
      </c>
      <c r="U76" s="55" cm="1">
        <f t="array" ref="U76">MMS_Dairy_ManureAppliedToSoils_Equations.VEERG_4_3_1_8__1_MassOfNitrogenAppliedToSoilsScope1(U40,_xlfn.XLOOKUP($P76,$D$22:$D$26,$E$22:$E$26),_xlfn.XLOOKUP($P76, $D$31:$D$35,$E$31:$E$35),U52,J64)</f>
        <v>46.78189282603951</v>
      </c>
      <c r="V76" s="2" t="str">
        <f t="shared" ref="V76:V83" si="1">$E$11</f>
        <v>kg N</v>
      </c>
    </row>
    <row r="77" spans="4:22" ht="20.100000000000001" customHeight="1" x14ac:dyDescent="0.25">
      <c r="D77" s="55" t="str">
        <f>'Input - Dairy'!$D$54</f>
        <v>Milking shed</v>
      </c>
      <c r="E77" s="55" t="str">
        <f>'Input - Dairy'!$D$72</f>
        <v>Sump and dispersal system</v>
      </c>
      <c r="F77" s="55" cm="1">
        <f t="array" ref="F77">MMS_Dairy_ManureAppliedToSoils_Equations.VEERG_4_3_1_8__1_MassOfNitrogenAppliedToSoilsScope1(F41,_xlfn.XLOOKUP($E77,$D$22:$D$26,$E$22:$E$26),_xlfn.XLOOKUP($E77, $D$31:$D$35,$E$31:$E$35),F53,F65)</f>
        <v>148.04307286881044</v>
      </c>
      <c r="G77" s="55" cm="1">
        <f t="array" ref="G77">MMS_Dairy_ManureAppliedToSoils_Equations.VEERG_4_3_1_8__1_MassOfNitrogenAppliedToSoilsScope1(G41,_xlfn.XLOOKUP($E77,$D$22:$D$26,$E$22:$E$26),_xlfn.XLOOKUP($E77, $D$31:$D$35,$E$31:$E$35),G53,G65)</f>
        <v>127.19463711777999</v>
      </c>
      <c r="H77" s="55" cm="1">
        <f t="array" ref="H77">MMS_Dairy_ManureAppliedToSoils_Equations.VEERG_4_3_1_8__1_MassOfNitrogenAppliedToSoilsScope1(H41,_xlfn.XLOOKUP($E77,$D$22:$D$26,$E$22:$E$26),_xlfn.XLOOKUP($E77, $D$31:$D$35,$E$31:$E$35),H53,H65)</f>
        <v>50.660278826380789</v>
      </c>
      <c r="I77" s="55" cm="1">
        <f t="array" ref="I77">MMS_Dairy_ManureAppliedToSoils_Equations.VEERG_4_3_1_8__1_MassOfNitrogenAppliedToSoilsScope1(I41,_xlfn.XLOOKUP($E77,$D$22:$D$26,$E$22:$E$26),_xlfn.XLOOKUP($E77, $D$31:$D$35,$E$31:$E$35),I53,I65)</f>
        <v>159.88868927855822</v>
      </c>
      <c r="J77" s="55" cm="1">
        <f t="array" ref="J77">MMS_Dairy_ManureAppliedToSoils_Equations.VEERG_4_3_1_8__1_MassOfNitrogenAppliedToSoilsScope1(J41,_xlfn.XLOOKUP($E77,$D$22:$D$26,$E$22:$E$26),_xlfn.XLOOKUP($E77, $D$31:$D$35,$E$31:$E$35),J53,J65)</f>
        <v>66.934092812641154</v>
      </c>
      <c r="K77" s="2" t="str">
        <f t="shared" si="0"/>
        <v>kg N</v>
      </c>
      <c r="O77" s="55" t="str">
        <f>'Input - Dairy'!$D$54</f>
        <v>Milking shed</v>
      </c>
      <c r="P77" s="55" t="str">
        <f>'Input - Dairy'!$D$72</f>
        <v>Sump and dispersal system</v>
      </c>
      <c r="Q77" s="55" cm="1">
        <f t="array" ref="Q77">MMS_Dairy_ManureAppliedToSoils_Equations.VEERG_4_3_1_8__1_MassOfNitrogenAppliedToSoilsScope1(Q41,_xlfn.XLOOKUP($P77,$D$22:$D$26,$E$22:$E$26),_xlfn.XLOOKUP($P77, $D$31:$D$35,$E$31:$E$35),Q53,F65)</f>
        <v>148.04307286881044</v>
      </c>
      <c r="R77" s="55" cm="1">
        <f t="array" ref="R77">MMS_Dairy_ManureAppliedToSoils_Equations.VEERG_4_3_1_8__1_MassOfNitrogenAppliedToSoilsScope1(R41,_xlfn.XLOOKUP($P77,$D$22:$D$26,$E$22:$E$26),_xlfn.XLOOKUP($P77, $D$31:$D$35,$E$31:$E$35),R53,G65)</f>
        <v>127.19463711777999</v>
      </c>
      <c r="S77" s="55" cm="1">
        <f t="array" ref="S77">MMS_Dairy_ManureAppliedToSoils_Equations.VEERG_4_3_1_8__1_MassOfNitrogenAppliedToSoilsScope1(S41,_xlfn.XLOOKUP($P77,$D$22:$D$26,$E$22:$E$26),_xlfn.XLOOKUP($P77, $D$31:$D$35,$E$31:$E$35),S53,H65)</f>
        <v>50.660278826380789</v>
      </c>
      <c r="T77" s="55" cm="1">
        <f t="array" ref="T77">MMS_Dairy_ManureAppliedToSoils_Equations.VEERG_4_3_1_8__1_MassOfNitrogenAppliedToSoilsScope1(T41,_xlfn.XLOOKUP($P77,$D$22:$D$26,$E$22:$E$26),_xlfn.XLOOKUP($P77, $D$31:$D$35,$E$31:$E$35),T53,I65)</f>
        <v>159.88868927855822</v>
      </c>
      <c r="U77" s="55" cm="1">
        <f t="array" ref="U77">MMS_Dairy_ManureAppliedToSoils_Equations.VEERG_4_3_1_8__1_MassOfNitrogenAppliedToSoilsScope1(U41,_xlfn.XLOOKUP($P77,$D$22:$D$26,$E$22:$E$26),_xlfn.XLOOKUP($P77, $D$31:$D$35,$E$31:$E$35),U53,J65)</f>
        <v>66.934092812641154</v>
      </c>
      <c r="V77" s="2" t="str">
        <f t="shared" si="1"/>
        <v>kg N</v>
      </c>
    </row>
    <row r="78" spans="4:22" ht="20.100000000000001" customHeight="1" x14ac:dyDescent="0.25">
      <c r="D78" s="55" t="str">
        <f>'Input - Dairy'!$D$54</f>
        <v>Milking shed</v>
      </c>
      <c r="E78" s="55" t="str">
        <f>'Input - Dairy'!$D$77</f>
        <v>Drains to paddock</v>
      </c>
      <c r="F78" s="55" cm="1">
        <f t="array" ref="F78">MMS_Dairy_ManureAppliedToSoils_Equations.VEERG_4_3_1_8__1_MassOfNitrogenAppliedToSoilsScope1(F42,_xlfn.XLOOKUP($E78,$D$22:$D$26,$E$22:$E$26),_xlfn.XLOOKUP($E78, $D$31:$D$35,$E$31:$E$35),F54,F66)</f>
        <v>127.34887988714877</v>
      </c>
      <c r="G78" s="55" cm="1">
        <f t="array" ref="G78">MMS_Dairy_ManureAppliedToSoils_Equations.VEERG_4_3_1_8__1_MassOfNitrogenAppliedToSoilsScope1(G42,_xlfn.XLOOKUP($E78,$D$22:$D$26,$E$22:$E$26),_xlfn.XLOOKUP($E78, $D$31:$D$35,$E$31:$E$35),G54,G66)</f>
        <v>109.41474160669247</v>
      </c>
      <c r="H78" s="55" cm="1">
        <f t="array" ref="H78">MMS_Dairy_ManureAppliedToSoils_Equations.VEERG_4_3_1_8__1_MassOfNitrogenAppliedToSoilsScope1(H42,_xlfn.XLOOKUP($E78,$D$22:$D$26,$E$22:$E$26),_xlfn.XLOOKUP($E78, $D$31:$D$35,$E$31:$E$35),H54,H66)</f>
        <v>43.57873447430606</v>
      </c>
      <c r="I78" s="55" cm="1">
        <f t="array" ref="I78">MMS_Dairy_ManureAppliedToSoils_Equations.VEERG_4_3_1_8__1_MassOfNitrogenAppliedToSoilsScope1(I42,_xlfn.XLOOKUP($E78,$D$22:$D$26,$E$22:$E$26),_xlfn.XLOOKUP($E78, $D$31:$D$35,$E$31:$E$35),I54,I66)</f>
        <v>137.53865744392107</v>
      </c>
      <c r="J78" s="55" cm="1">
        <f t="array" ref="J78">MMS_Dairy_ManureAppliedToSoils_Equations.VEERG_4_3_1_8__1_MassOfNitrogenAppliedToSoilsScope1(J42,_xlfn.XLOOKUP($E78,$D$22:$D$26,$E$22:$E$26),_xlfn.XLOOKUP($E78, $D$31:$D$35,$E$31:$E$35),J54,J66)</f>
        <v>57.577714247433249</v>
      </c>
      <c r="K78" s="2" t="str">
        <f t="shared" si="0"/>
        <v>kg N</v>
      </c>
      <c r="O78" s="55" t="str">
        <f>'Input - Dairy'!$D$54</f>
        <v>Milking shed</v>
      </c>
      <c r="P78" s="55" t="str">
        <f>'Input - Dairy'!$D$77</f>
        <v>Drains to paddock</v>
      </c>
      <c r="Q78" s="55" cm="1">
        <f t="array" ref="Q78">MMS_Dairy_ManureAppliedToSoils_Equations.VEERG_4_3_1_8__1_MassOfNitrogenAppliedToSoilsScope1(Q42,_xlfn.XLOOKUP($P78,$D$22:$D$26,$E$22:$E$26),_xlfn.XLOOKUP($P78, $D$31:$D$35,$E$31:$E$35),Q54,F66)</f>
        <v>127.34887988714877</v>
      </c>
      <c r="R78" s="55" cm="1">
        <f t="array" ref="R78">MMS_Dairy_ManureAppliedToSoils_Equations.VEERG_4_3_1_8__1_MassOfNitrogenAppliedToSoilsScope1(R42,_xlfn.XLOOKUP($P78,$D$22:$D$26,$E$22:$E$26),_xlfn.XLOOKUP($P78, $D$31:$D$35,$E$31:$E$35),R54,G66)</f>
        <v>109.41474160669247</v>
      </c>
      <c r="S78" s="55" cm="1">
        <f t="array" ref="S78">MMS_Dairy_ManureAppliedToSoils_Equations.VEERG_4_3_1_8__1_MassOfNitrogenAppliedToSoilsScope1(S42,_xlfn.XLOOKUP($P78,$D$22:$D$26,$E$22:$E$26),_xlfn.XLOOKUP($P78, $D$31:$D$35,$E$31:$E$35),S54,H66)</f>
        <v>43.57873447430606</v>
      </c>
      <c r="T78" s="55" cm="1">
        <f t="array" ref="T78">MMS_Dairy_ManureAppliedToSoils_Equations.VEERG_4_3_1_8__1_MassOfNitrogenAppliedToSoilsScope1(T42,_xlfn.XLOOKUP($P78,$D$22:$D$26,$E$22:$E$26),_xlfn.XLOOKUP($P78, $D$31:$D$35,$E$31:$E$35),T54,I66)</f>
        <v>137.53865744392107</v>
      </c>
      <c r="U78" s="55" cm="1">
        <f t="array" ref="U78">MMS_Dairy_ManureAppliedToSoils_Equations.VEERG_4_3_1_8__1_MassOfNitrogenAppliedToSoilsScope1(U42,_xlfn.XLOOKUP($P78,$D$22:$D$26,$E$22:$E$26),_xlfn.XLOOKUP($P78, $D$31:$D$35,$E$31:$E$35),U54,J66)</f>
        <v>57.577714247433249</v>
      </c>
      <c r="V78" s="2" t="str">
        <f t="shared" si="1"/>
        <v>kg N</v>
      </c>
    </row>
    <row r="79" spans="4:22" ht="20.100000000000001" customHeight="1" x14ac:dyDescent="0.25">
      <c r="D79" s="55" t="str">
        <f>'Input - Dairy'!$D$54</f>
        <v>Milking shed</v>
      </c>
      <c r="E79" s="55" t="str">
        <f>'Input - Dairy'!$D$82</f>
        <v>Solid storage</v>
      </c>
      <c r="F79" s="55" cm="1">
        <f t="array" ref="F79">MMS_Dairy_ManureAppliedToSoils_Equations.VEERG_4_3_1_8__1_MassOfNitrogenAppliedToSoilsScope1(F43,_xlfn.XLOOKUP($E79,$D$22:$D$26,$E$22:$E$26),_xlfn.XLOOKUP($E79, $D$31:$D$35,$E$31:$E$35),F55,F67)</f>
        <v>214.90123480956356</v>
      </c>
      <c r="G79" s="55" cm="1">
        <f t="array" ref="G79">MMS_Dairy_ManureAppliedToSoils_Equations.VEERG_4_3_1_8__1_MassOfNitrogenAppliedToSoilsScope1(G43,_xlfn.XLOOKUP($E79,$D$22:$D$26,$E$22:$E$26),_xlfn.XLOOKUP($E79, $D$31:$D$35,$E$31:$E$35),G55,G67)</f>
        <v>184.63737646129354</v>
      </c>
      <c r="H79" s="55" cm="1">
        <f t="array" ref="H79">MMS_Dairy_ManureAppliedToSoils_Equations.VEERG_4_3_1_8__1_MassOfNitrogenAppliedToSoilsScope1(H43,_xlfn.XLOOKUP($E79,$D$22:$D$26,$E$22:$E$26),_xlfn.XLOOKUP($E79, $D$31:$D$35,$E$31:$E$35),H55,H67)</f>
        <v>73.539114425391446</v>
      </c>
      <c r="I79" s="55" cm="1">
        <f t="array" ref="I79">MMS_Dairy_ManureAppliedToSoils_Equations.VEERG_4_3_1_8__1_MassOfNitrogenAppliedToSoilsScope1(I43,_xlfn.XLOOKUP($E79,$D$22:$D$26,$E$22:$E$26),_xlfn.XLOOKUP($E79, $D$31:$D$35,$E$31:$E$35),I55,I67)</f>
        <v>232.09648443661678</v>
      </c>
      <c r="J79" s="55" cm="1">
        <f t="array" ref="J79">MMS_Dairy_ManureAppliedToSoils_Equations.VEERG_4_3_1_8__1_MassOfNitrogenAppliedToSoilsScope1(J43,_xlfn.XLOOKUP($E79,$D$22:$D$26,$E$22:$E$26),_xlfn.XLOOKUP($E79, $D$31:$D$35,$E$31:$E$35),J55,J67)</f>
        <v>97.162392792543585</v>
      </c>
      <c r="K79" s="2" t="str">
        <f t="shared" si="0"/>
        <v>kg N</v>
      </c>
      <c r="O79" s="55" t="str">
        <f>'Input - Dairy'!$D$54</f>
        <v>Milking shed</v>
      </c>
      <c r="P79" s="55" t="str">
        <f>'Input - Dairy'!$D$82</f>
        <v>Solid storage</v>
      </c>
      <c r="Q79" s="55" cm="1">
        <f t="array" ref="Q79">MMS_Dairy_ManureAppliedToSoils_Equations.VEERG_4_3_1_8__1_MassOfNitrogenAppliedToSoilsScope1(Q43,_xlfn.XLOOKUP($P79,$D$22:$D$26,$E$22:$E$26),_xlfn.XLOOKUP($P79, $D$31:$D$35,$E$31:$E$35),Q55,F67)</f>
        <v>214.90123480956356</v>
      </c>
      <c r="R79" s="55" cm="1">
        <f t="array" ref="R79">MMS_Dairy_ManureAppliedToSoils_Equations.VEERG_4_3_1_8__1_MassOfNitrogenAppliedToSoilsScope1(R43,_xlfn.XLOOKUP($P79,$D$22:$D$26,$E$22:$E$26),_xlfn.XLOOKUP($P79, $D$31:$D$35,$E$31:$E$35),R55,G67)</f>
        <v>184.63737646129354</v>
      </c>
      <c r="S79" s="55" cm="1">
        <f t="array" ref="S79">MMS_Dairy_ManureAppliedToSoils_Equations.VEERG_4_3_1_8__1_MassOfNitrogenAppliedToSoilsScope1(S43,_xlfn.XLOOKUP($P79,$D$22:$D$26,$E$22:$E$26),_xlfn.XLOOKUP($P79, $D$31:$D$35,$E$31:$E$35),S55,H67)</f>
        <v>73.539114425391446</v>
      </c>
      <c r="T79" s="55" cm="1">
        <f t="array" ref="T79">MMS_Dairy_ManureAppliedToSoils_Equations.VEERG_4_3_1_8__1_MassOfNitrogenAppliedToSoilsScope1(T43,_xlfn.XLOOKUP($P79,$D$22:$D$26,$E$22:$E$26),_xlfn.XLOOKUP($P79, $D$31:$D$35,$E$31:$E$35),T55,I67)</f>
        <v>232.09648443661678</v>
      </c>
      <c r="U79" s="55" cm="1">
        <f t="array" ref="U79">MMS_Dairy_ManureAppliedToSoils_Equations.VEERG_4_3_1_8__1_MassOfNitrogenAppliedToSoilsScope1(U43,_xlfn.XLOOKUP($P79,$D$22:$D$26,$E$22:$E$26),_xlfn.XLOOKUP($P79, $D$31:$D$35,$E$31:$E$35),U55,J67)</f>
        <v>97.162392792543585</v>
      </c>
      <c r="V79" s="2" t="str">
        <f t="shared" si="1"/>
        <v>kg N</v>
      </c>
    </row>
    <row r="80" spans="4:22" ht="20.100000000000001" customHeight="1" x14ac:dyDescent="0.25">
      <c r="D80" s="55" t="str">
        <f>'Input - Dairy'!$D$55</f>
        <v>Feed pad</v>
      </c>
      <c r="E80" s="55" t="str">
        <f>'Input - Dairy'!$D$101</f>
        <v>Anaerobic lagoon</v>
      </c>
      <c r="F80" s="55" cm="1">
        <f t="array" ref="F80">MMS_Dairy_ManureAppliedToSoils_Equations.VEERG_4_3_1_8__1_MassOfNitrogenAppliedToSoilsScope1(F44,_xlfn.XLOOKUP($E80,$D$22:$D$26,$E$22:$E$26),_xlfn.XLOOKUP($E80, $D$31:$D$35,$E$31:$E$35),F56,F68)</f>
        <v>418.58708531088382</v>
      </c>
      <c r="G80" s="55" cm="1">
        <f t="array" ref="G80">MMS_Dairy_ManureAppliedToSoils_Equations.VEERG_4_3_1_8__1_MassOfNitrogenAppliedToSoilsScope1(G44,_xlfn.XLOOKUP($E80,$D$22:$D$26,$E$22:$E$26),_xlfn.XLOOKUP($E80, $D$31:$D$35,$E$31:$E$35),G56,G68)</f>
        <v>359.63879556517946</v>
      </c>
      <c r="H80" s="55" cm="1">
        <f t="array" ref="H80">MMS_Dairy_ManureAppliedToSoils_Equations.VEERG_4_3_1_8__1_MassOfNitrogenAppliedToSoilsScope1(H44,_xlfn.XLOOKUP($E80,$D$22:$D$26,$E$22:$E$26),_xlfn.XLOOKUP($E80, $D$31:$D$35,$E$31:$E$35),H56,H68)</f>
        <v>143.24032893969348</v>
      </c>
      <c r="I80" s="55" cm="1">
        <f t="array" ref="I80">MMS_Dairy_ManureAppliedToSoils_Equations.VEERG_4_3_1_8__1_MassOfNitrogenAppliedToSoilsScope1(I44,_xlfn.XLOOKUP($E80,$D$22:$D$26,$E$22:$E$26),_xlfn.XLOOKUP($E80, $D$31:$D$35,$E$31:$E$35),I56,I68)</f>
        <v>452.08018938243373</v>
      </c>
      <c r="J80" s="55" cm="1">
        <f t="array" ref="J80">MMS_Dairy_ManureAppliedToSoils_Equations.VEERG_4_3_1_8__1_MassOfNitrogenAppliedToSoilsScope1(J44,_xlfn.XLOOKUP($E80,$D$22:$D$26,$E$22:$E$26),_xlfn.XLOOKUP($E80, $D$31:$D$35,$E$31:$E$35),J56,J68)</f>
        <v>189.25402097806892</v>
      </c>
      <c r="K80" s="2" t="str">
        <f t="shared" si="0"/>
        <v>kg N</v>
      </c>
      <c r="O80" s="55" t="str">
        <f>'Input - Dairy'!$D$55</f>
        <v>Feed pad</v>
      </c>
      <c r="P80" s="55" t="str">
        <f>'Input - Dairy'!$D$101</f>
        <v>Anaerobic lagoon</v>
      </c>
      <c r="Q80" s="55" cm="1">
        <f t="array" ref="Q80">MMS_Dairy_ManureAppliedToSoils_Equations.VEERG_4_3_1_8__1_MassOfNitrogenAppliedToSoilsScope1(Q44,_xlfn.XLOOKUP($P80,$D$22:$D$26,$E$22:$E$26),_xlfn.XLOOKUP($P80, $D$31:$D$35,$E$31:$E$35),Q56,F68)</f>
        <v>418.58708531088382</v>
      </c>
      <c r="R80" s="55" cm="1">
        <f t="array" ref="R80">MMS_Dairy_ManureAppliedToSoils_Equations.VEERG_4_3_1_8__1_MassOfNitrogenAppliedToSoilsScope1(R44,_xlfn.XLOOKUP($P80,$D$22:$D$26,$E$22:$E$26),_xlfn.XLOOKUP($P80, $D$31:$D$35,$E$31:$E$35),R56,G68)</f>
        <v>359.63879556517946</v>
      </c>
      <c r="S80" s="55" cm="1">
        <f t="array" ref="S80">MMS_Dairy_ManureAppliedToSoils_Equations.VEERG_4_3_1_8__1_MassOfNitrogenAppliedToSoilsScope1(S44,_xlfn.XLOOKUP($P80,$D$22:$D$26,$E$22:$E$26),_xlfn.XLOOKUP($P80, $D$31:$D$35,$E$31:$E$35),S56,H68)</f>
        <v>143.24032893969348</v>
      </c>
      <c r="T80" s="55" cm="1">
        <f t="array" ref="T80">MMS_Dairy_ManureAppliedToSoils_Equations.VEERG_4_3_1_8__1_MassOfNitrogenAppliedToSoilsScope1(T44,_xlfn.XLOOKUP($P80,$D$22:$D$26,$E$22:$E$26),_xlfn.XLOOKUP($P80, $D$31:$D$35,$E$31:$E$35),T56,I68)</f>
        <v>452.08018938243373</v>
      </c>
      <c r="U80" s="55" cm="1">
        <f t="array" ref="U80">MMS_Dairy_ManureAppliedToSoils_Equations.VEERG_4_3_1_8__1_MassOfNitrogenAppliedToSoilsScope1(U44,_xlfn.XLOOKUP($P80,$D$22:$D$26,$E$22:$E$26),_xlfn.XLOOKUP($P80, $D$31:$D$35,$E$31:$E$35),U56,J68)</f>
        <v>189.25402097806892</v>
      </c>
      <c r="V80" s="2" t="str">
        <f t="shared" si="1"/>
        <v>kg N</v>
      </c>
    </row>
    <row r="81" spans="3:23" ht="20.100000000000001" customHeight="1" x14ac:dyDescent="0.25">
      <c r="D81" s="55" t="str">
        <f>'Input - Dairy'!$D$55</f>
        <v>Feed pad</v>
      </c>
      <c r="E81" s="55" t="str">
        <f>'Input - Dairy'!$D$106</f>
        <v>Sump and dispersal system</v>
      </c>
      <c r="F81" s="55" cm="1">
        <f t="array" ref="F81">MMS_Dairy_ManureAppliedToSoils_Equations.VEERG_4_3_1_8__1_MassOfNitrogenAppliedToSoilsScope1(F45,_xlfn.XLOOKUP($E81,$D$22:$D$26,$E$22:$E$26),_xlfn.XLOOKUP($E81, $D$31:$D$35,$E$31:$E$35),F57,F69)</f>
        <v>479.12121764815004</v>
      </c>
      <c r="G81" s="55" cm="1">
        <f t="array" ref="G81">MMS_Dairy_ManureAppliedToSoils_Equations.VEERG_4_3_1_8__1_MassOfNitrogenAppliedToSoilsScope1(G45,_xlfn.XLOOKUP($E81,$D$22:$D$26,$E$22:$E$26),_xlfn.XLOOKUP($E81, $D$31:$D$35,$E$31:$E$35),G57,G69)</f>
        <v>411.64809830845161</v>
      </c>
      <c r="H81" s="55" cm="1">
        <f t="array" ref="H81">MMS_Dairy_ManureAppliedToSoils_Equations.VEERG_4_3_1_8__1_MassOfNitrogenAppliedToSoilsScope1(H45,_xlfn.XLOOKUP($E81,$D$22:$D$26,$E$22:$E$26),_xlfn.XLOOKUP($E81, $D$31:$D$35,$E$31:$E$35),H57,H69)</f>
        <v>163.95508420174144</v>
      </c>
      <c r="I81" s="55" cm="1">
        <f t="array" ref="I81">MMS_Dairy_ManureAppliedToSoils_Equations.VEERG_4_3_1_8__1_MassOfNitrogenAppliedToSoilsScope1(I45,_xlfn.XLOOKUP($E81,$D$22:$D$26,$E$22:$E$26),_xlfn.XLOOKUP($E81, $D$31:$D$35,$E$31:$E$35),I57,I69)</f>
        <v>517.45793984697025</v>
      </c>
      <c r="J81" s="55" cm="1">
        <f t="array" ref="J81">MMS_Dairy_ManureAppliedToSoils_Equations.VEERG_4_3_1_8__1_MassOfNitrogenAppliedToSoilsScope1(J45,_xlfn.XLOOKUP($E81,$D$22:$D$26,$E$22:$E$26),_xlfn.XLOOKUP($E81, $D$31:$D$35,$E$31:$E$35),J57,J69)</f>
        <v>216.62306401182042</v>
      </c>
      <c r="K81" s="2" t="str">
        <f t="shared" si="0"/>
        <v>kg N</v>
      </c>
      <c r="O81" s="55" t="str">
        <f>'Input - Dairy'!$D$55</f>
        <v>Feed pad</v>
      </c>
      <c r="P81" s="55" t="str">
        <f>'Input - Dairy'!$D$106</f>
        <v>Sump and dispersal system</v>
      </c>
      <c r="Q81" s="55" cm="1">
        <f t="array" ref="Q81">MMS_Dairy_ManureAppliedToSoils_Equations.VEERG_4_3_1_8__1_MassOfNitrogenAppliedToSoilsScope1(Q45,_xlfn.XLOOKUP($P81,$D$22:$D$26,$E$22:$E$26),_xlfn.XLOOKUP($P81, $D$31:$D$35,$E$31:$E$35),Q57,F69)</f>
        <v>479.12121764815004</v>
      </c>
      <c r="R81" s="55" cm="1">
        <f t="array" ref="R81">MMS_Dairy_ManureAppliedToSoils_Equations.VEERG_4_3_1_8__1_MassOfNitrogenAppliedToSoilsScope1(R45,_xlfn.XLOOKUP($P81,$D$22:$D$26,$E$22:$E$26),_xlfn.XLOOKUP($P81, $D$31:$D$35,$E$31:$E$35),R57,G69)</f>
        <v>411.64809830845161</v>
      </c>
      <c r="S81" s="55" cm="1">
        <f t="array" ref="S81">MMS_Dairy_ManureAppliedToSoils_Equations.VEERG_4_3_1_8__1_MassOfNitrogenAppliedToSoilsScope1(S45,_xlfn.XLOOKUP($P81,$D$22:$D$26,$E$22:$E$26),_xlfn.XLOOKUP($P81, $D$31:$D$35,$E$31:$E$35),S57,H69)</f>
        <v>163.95508420174144</v>
      </c>
      <c r="T81" s="55" cm="1">
        <f t="array" ref="T81">MMS_Dairy_ManureAppliedToSoils_Equations.VEERG_4_3_1_8__1_MassOfNitrogenAppliedToSoilsScope1(T45,_xlfn.XLOOKUP($P81,$D$22:$D$26,$E$22:$E$26),_xlfn.XLOOKUP($P81, $D$31:$D$35,$E$31:$E$35),T57,I69)</f>
        <v>517.45793984697025</v>
      </c>
      <c r="U81" s="55" cm="1">
        <f t="array" ref="U81">MMS_Dairy_ManureAppliedToSoils_Equations.VEERG_4_3_1_8__1_MassOfNitrogenAppliedToSoilsScope1(U45,_xlfn.XLOOKUP($P81,$D$22:$D$26,$E$22:$E$26),_xlfn.XLOOKUP($P81, $D$31:$D$35,$E$31:$E$35),U57,J69)</f>
        <v>216.62306401182042</v>
      </c>
      <c r="V81" s="2" t="str">
        <f t="shared" si="1"/>
        <v>kg N</v>
      </c>
    </row>
    <row r="82" spans="3:23" ht="20.100000000000001" customHeight="1" x14ac:dyDescent="0.25">
      <c r="D82" s="55" t="str">
        <f>'Input - Dairy'!$D$55</f>
        <v>Feed pad</v>
      </c>
      <c r="E82" s="55" t="str">
        <f>'Input - Dairy'!$D$111</f>
        <v>Drains to paddock</v>
      </c>
      <c r="F82" s="55" cm="1">
        <f t="array" ref="F82">MMS_Dairy_ManureAppliedToSoils_Equations.VEERG_4_3_1_8__1_MassOfNitrogenAppliedToSoilsScope1(F46,_xlfn.XLOOKUP($E82,$D$22:$D$26,$E$22:$E$26),_xlfn.XLOOKUP($E82, $D$31:$D$35,$E$31:$E$35),F58,F70)</f>
        <v>412.14728399840874</v>
      </c>
      <c r="G82" s="55" cm="1">
        <f t="array" ref="G82">MMS_Dairy_ManureAppliedToSoils_Equations.VEERG_4_3_1_8__1_MassOfNitrogenAppliedToSoilsScope1(G46,_xlfn.XLOOKUP($E82,$D$22:$D$26,$E$22:$E$26),_xlfn.XLOOKUP($E82, $D$31:$D$35,$E$31:$E$35),G58,G70)</f>
        <v>354.10589101802293</v>
      </c>
      <c r="H82" s="55" cm="1">
        <f t="array" ref="H82">MMS_Dairy_ManureAppliedToSoils_Equations.VEERG_4_3_1_8__1_MassOfNitrogenAppliedToSoilsScope1(H46,_xlfn.XLOOKUP($E82,$D$22:$D$26,$E$22:$E$26),_xlfn.XLOOKUP($E82, $D$31:$D$35,$E$31:$E$35),H58,H70)</f>
        <v>141.0366315713905</v>
      </c>
      <c r="I82" s="55" cm="1">
        <f t="array" ref="I82">MMS_Dairy_ManureAppliedToSoils_Equations.VEERG_4_3_1_8__1_MassOfNitrogenAppliedToSoilsScope1(I46,_xlfn.XLOOKUP($E82,$D$22:$D$26,$E$22:$E$26),_xlfn.XLOOKUP($E82, $D$31:$D$35,$E$31:$E$35),I58,I70)</f>
        <v>445.1251095457809</v>
      </c>
      <c r="J82" s="55" cm="1">
        <f t="array" ref="J82">MMS_Dairy_ManureAppliedToSoils_Equations.VEERG_4_3_1_8__1_MassOfNitrogenAppliedToSoilsScope1(J46,_xlfn.XLOOKUP($E82,$D$22:$D$26,$E$22:$E$26),_xlfn.XLOOKUP($E82, $D$31:$D$35,$E$31:$E$35),J58,J70)</f>
        <v>186.34242065532939</v>
      </c>
      <c r="K82" s="2" t="str">
        <f t="shared" si="0"/>
        <v>kg N</v>
      </c>
      <c r="O82" s="55" t="str">
        <f>'Input - Dairy'!$D$55</f>
        <v>Feed pad</v>
      </c>
      <c r="P82" s="55" t="str">
        <f>'Input - Dairy'!$D$111</f>
        <v>Drains to paddock</v>
      </c>
      <c r="Q82" s="55" cm="1">
        <f t="array" ref="Q82">MMS_Dairy_ManureAppliedToSoils_Equations.VEERG_4_3_1_8__1_MassOfNitrogenAppliedToSoilsScope1(Q46,_xlfn.XLOOKUP($P82,$D$22:$D$26,$E$22:$E$26),_xlfn.XLOOKUP($P82, $D$31:$D$35,$E$31:$E$35),Q58,F70)</f>
        <v>412.14728399840874</v>
      </c>
      <c r="R82" s="55" cm="1">
        <f t="array" ref="R82">MMS_Dairy_ManureAppliedToSoils_Equations.VEERG_4_3_1_8__1_MassOfNitrogenAppliedToSoilsScope1(R46,_xlfn.XLOOKUP($P82,$D$22:$D$26,$E$22:$E$26),_xlfn.XLOOKUP($P82, $D$31:$D$35,$E$31:$E$35),R58,G70)</f>
        <v>354.10589101802293</v>
      </c>
      <c r="S82" s="55" cm="1">
        <f t="array" ref="S82">MMS_Dairy_ManureAppliedToSoils_Equations.VEERG_4_3_1_8__1_MassOfNitrogenAppliedToSoilsScope1(S46,_xlfn.XLOOKUP($P82,$D$22:$D$26,$E$22:$E$26),_xlfn.XLOOKUP($P82, $D$31:$D$35,$E$31:$E$35),S58,H70)</f>
        <v>141.0366315713905</v>
      </c>
      <c r="T82" s="55" cm="1">
        <f t="array" ref="T82">MMS_Dairy_ManureAppliedToSoils_Equations.VEERG_4_3_1_8__1_MassOfNitrogenAppliedToSoilsScope1(T46,_xlfn.XLOOKUP($P82,$D$22:$D$26,$E$22:$E$26),_xlfn.XLOOKUP($P82, $D$31:$D$35,$E$31:$E$35),T58,I70)</f>
        <v>445.1251095457809</v>
      </c>
      <c r="U82" s="55" cm="1">
        <f t="array" ref="U82">MMS_Dairy_ManureAppliedToSoils_Equations.VEERG_4_3_1_8__1_MassOfNitrogenAppliedToSoilsScope1(U46,_xlfn.XLOOKUP($P82,$D$22:$D$26,$E$22:$E$26),_xlfn.XLOOKUP($P82, $D$31:$D$35,$E$31:$E$35),U58,J70)</f>
        <v>186.34242065532939</v>
      </c>
      <c r="V82" s="2" t="str">
        <f t="shared" si="1"/>
        <v>kg N</v>
      </c>
    </row>
    <row r="83" spans="3:23" ht="20.100000000000001" customHeight="1" x14ac:dyDescent="0.25">
      <c r="D83" s="55" t="str">
        <f>'Input - Dairy'!$D$55</f>
        <v>Feed pad</v>
      </c>
      <c r="E83" s="55" t="str">
        <f>'Input - Dairy'!$D$116</f>
        <v>Solid storage</v>
      </c>
      <c r="F83" s="55" cm="1">
        <f t="array" ref="F83">MMS_Dairy_ManureAppliedToSoils_Equations.VEERG_4_3_1_8__1_MassOfNitrogenAppliedToSoilsScope1(F47,_xlfn.XLOOKUP($E83,$D$22:$D$26,$E$22:$E$26),_xlfn.XLOOKUP($E83, $D$31:$D$35,$E$31:$E$35),F59,F71)</f>
        <v>608.56122402890037</v>
      </c>
      <c r="G83" s="55" cm="1">
        <f t="array" ref="G83">MMS_Dairy_ManureAppliedToSoils_Equations.VEERG_4_3_1_8__1_MassOfNitrogenAppliedToSoilsScope1(G47,_xlfn.XLOOKUP($E83,$D$22:$D$26,$E$22:$E$26),_xlfn.XLOOKUP($E83, $D$31:$D$35,$E$31:$E$35),G59,G71)</f>
        <v>522.85947970629945</v>
      </c>
      <c r="H83" s="55" cm="1">
        <f t="array" ref="H83">MMS_Dairy_ManureAppliedToSoils_Equations.VEERG_4_3_1_8__1_MassOfNitrogenAppliedToSoilsScope1(H47,_xlfn.XLOOKUP($E83,$D$22:$D$26,$E$22:$E$26),_xlfn.XLOOKUP($E83, $D$31:$D$35,$E$31:$E$35),H59,H71)</f>
        <v>208.24940130463128</v>
      </c>
      <c r="I83" s="55" cm="1">
        <f t="array" ref="I83">MMS_Dairy_ManureAppliedToSoils_Equations.VEERG_4_3_1_8__1_MassOfNitrogenAppliedToSoilsScope1(I47,_xlfn.XLOOKUP($E83,$D$22:$D$26,$E$22:$E$26),_xlfn.XLOOKUP($E83, $D$31:$D$35,$E$31:$E$35),I59,I71)</f>
        <v>657.25504456369208</v>
      </c>
      <c r="J83" s="55" cm="1">
        <f t="array" ref="J83">MMS_Dairy_ManureAppliedToSoils_Equations.VEERG_4_3_1_8__1_MassOfNitrogenAppliedToSoilsScope1(J47,_xlfn.XLOOKUP($E83,$D$22:$D$26,$E$22:$E$26),_xlfn.XLOOKUP($E83, $D$31:$D$35,$E$31:$E$35),J59,J71)</f>
        <v>275.14623049888485</v>
      </c>
      <c r="K83" s="2" t="str">
        <f t="shared" si="0"/>
        <v>kg N</v>
      </c>
      <c r="O83" s="55" t="str">
        <f>'Input - Dairy'!$D$55</f>
        <v>Feed pad</v>
      </c>
      <c r="P83" s="55" t="str">
        <f>'Input - Dairy'!$D$116</f>
        <v>Solid storage</v>
      </c>
      <c r="Q83" s="55" cm="1">
        <f t="array" ref="Q83">MMS_Dairy_ManureAppliedToSoils_Equations.VEERG_4_3_1_8__1_MassOfNitrogenAppliedToSoilsScope1(Q47,_xlfn.XLOOKUP($P83,$D$22:$D$26,$E$22:$E$26),_xlfn.XLOOKUP($P83, $D$31:$D$35,$E$31:$E$35),Q59,F71)</f>
        <v>608.56122402890037</v>
      </c>
      <c r="R83" s="55" cm="1">
        <f t="array" ref="R83">MMS_Dairy_ManureAppliedToSoils_Equations.VEERG_4_3_1_8__1_MassOfNitrogenAppliedToSoilsScope1(R47,_xlfn.XLOOKUP($P83,$D$22:$D$26,$E$22:$E$26),_xlfn.XLOOKUP($P83, $D$31:$D$35,$E$31:$E$35),R59,G71)</f>
        <v>522.85947970629945</v>
      </c>
      <c r="S83" s="55" cm="1">
        <f t="array" ref="S83">MMS_Dairy_ManureAppliedToSoils_Equations.VEERG_4_3_1_8__1_MassOfNitrogenAppliedToSoilsScope1(S47,_xlfn.XLOOKUP($P83,$D$22:$D$26,$E$22:$E$26),_xlfn.XLOOKUP($P83, $D$31:$D$35,$E$31:$E$35),S59,H71)</f>
        <v>208.24940130463128</v>
      </c>
      <c r="T83" s="55" cm="1">
        <f t="array" ref="T83">MMS_Dairy_ManureAppliedToSoils_Equations.VEERG_4_3_1_8__1_MassOfNitrogenAppliedToSoilsScope1(T47,_xlfn.XLOOKUP($P83,$D$22:$D$26,$E$22:$E$26),_xlfn.XLOOKUP($P83, $D$31:$D$35,$E$31:$E$35),T59,I71)</f>
        <v>657.25504456369208</v>
      </c>
      <c r="U83" s="55" cm="1">
        <f t="array" ref="U83">MMS_Dairy_ManureAppliedToSoils_Equations.VEERG_4_3_1_8__1_MassOfNitrogenAppliedToSoilsScope1(U47,_xlfn.XLOOKUP($P83,$D$22:$D$26,$E$22:$E$26),_xlfn.XLOOKUP($P83, $D$31:$D$35,$E$31:$E$35),U59,J71)</f>
        <v>275.14623049888485</v>
      </c>
      <c r="V83" s="2" t="str">
        <f t="shared" si="1"/>
        <v>kg N</v>
      </c>
    </row>
    <row r="84" spans="3:23" ht="20.100000000000001" customHeight="1" x14ac:dyDescent="0.25"/>
    <row r="85" spans="3:23" ht="20.100000000000001" customHeight="1" x14ac:dyDescent="0.25">
      <c r="D85" s="108" t="s">
        <v>136</v>
      </c>
      <c r="E85" s="109">
        <f>SUM(F76:J83)</f>
        <v>9379.260858797159</v>
      </c>
      <c r="F85" s="110" t="str">
        <f>$E$11</f>
        <v>kg N</v>
      </c>
    </row>
    <row r="86" spans="3:23" ht="20.100000000000001" customHeight="1" x14ac:dyDescent="0.25"/>
    <row r="87" spans="3:23" ht="20.100000000000001" customHeight="1" x14ac:dyDescent="0.25"/>
    <row r="88" spans="3:23" ht="20.100000000000001" customHeight="1" x14ac:dyDescent="0.25">
      <c r="C88" s="48"/>
      <c r="D88" s="48"/>
      <c r="E88" s="48"/>
      <c r="F88" s="48"/>
      <c r="G88" s="48"/>
      <c r="H88" s="48"/>
      <c r="I88" s="48"/>
      <c r="J88" s="48"/>
      <c r="K88" s="48"/>
      <c r="L88" s="48"/>
      <c r="N88" s="48"/>
      <c r="O88" s="48"/>
      <c r="P88" s="48"/>
      <c r="Q88" s="48"/>
      <c r="R88" s="48"/>
      <c r="S88" s="48"/>
      <c r="T88" s="48"/>
      <c r="U88" s="48"/>
      <c r="V88" s="48"/>
      <c r="W88" s="48"/>
    </row>
    <row r="89" spans="3:23" ht="20.100000000000001" customHeight="1" x14ac:dyDescent="0.25">
      <c r="D89" s="6" t="str" cm="1">
        <f t="array" ref="D89">MMS_Dairy_ManureAppliedToSoils_Equations.VEERG_4_3_1_8__2_MassOfNitrogenAppliedToSoilsScope3_Title()</f>
        <v>Mass of nitrogen from manure applied to soils for scope 3 emissions</v>
      </c>
    </row>
    <row r="90" spans="3:23" ht="20.100000000000001" customHeight="1" x14ac:dyDescent="0.25">
      <c r="D90" s="5" t="str" cm="1">
        <f t="array" ref="D90">MMS_Dairy_ManureAppliedToSoils_Equations.VEERG_4_3_1_8__2_MassOfNitrogenAppliedToSoilsScope3_Source()</f>
        <v>VEERG 2026: 4.3.1.8, Equation (2)</v>
      </c>
    </row>
    <row r="91" spans="3:23" ht="20.100000000000001" customHeight="1" x14ac:dyDescent="0.25">
      <c r="D91" s="13" t="s">
        <v>28</v>
      </c>
      <c r="E91" s="13" t="str" cm="1">
        <f t="array" aca="1" ref="E91" ca="1">Common_InputFunctions.Utility_DisplayFunctionName($F$106)</f>
        <v>=MMS_Dairy_ManureAppliedToSoils_Equations.VEERG_4_3_1_8__2_MassOfNitrogenAppliedToSoilsScope3</v>
      </c>
    </row>
    <row r="92" spans="3:23" ht="20.100000000000001" customHeight="1" x14ac:dyDescent="0.25"/>
    <row r="93" spans="3:23" ht="20.100000000000001" customHeight="1" x14ac:dyDescent="0.25">
      <c r="H93" s="114" t="s">
        <v>401</v>
      </c>
    </row>
    <row r="94" spans="3:23" ht="20.100000000000001" customHeight="1" x14ac:dyDescent="0.25">
      <c r="D94" s="56" t="s">
        <v>31</v>
      </c>
      <c r="E94" s="1" t="str" cm="1">
        <f t="array" ref="E94">MMS_Dairy_ManureAppliedToSoils_Equations.VEERG_4_3_1_8__2_MassOfNitrogenAppliedToSoilsScope3_Variable()</f>
        <v>MNSoil_scope3</v>
      </c>
    </row>
    <row r="95" spans="3:23" ht="20.100000000000001" customHeight="1" x14ac:dyDescent="0.25">
      <c r="D95" s="56" t="s">
        <v>21</v>
      </c>
      <c r="E95" s="57" t="str" cm="1">
        <f t="array" ref="E95">MMS_Dairy_ManureAppliedToSoils_Equations.VEERG_4_3_1_8__2_MassOfNitrogenAppliedToSoilsScope3_Unit()</f>
        <v>kg N</v>
      </c>
    </row>
    <row r="96" spans="3:23" ht="20.100000000000001" customHeight="1" x14ac:dyDescent="0.25"/>
    <row r="97" spans="4:22" ht="20.100000000000001" customHeight="1" x14ac:dyDescent="0.25">
      <c r="D97" s="115" t="str" cm="1">
        <f t="array" ref="D97:E101">MMS_Dairy_ManureAppliedToSoils_Equations.VEERG_4_3_1_8__2_MassOfNitrogenAppliedToSoilsScope3_Arguments()</f>
        <v>MN_jm</v>
      </c>
      <c r="E97" s="117" t="str">
        <v>total nitrogen in each MMS for dairy cattle classes (kg N)</v>
      </c>
      <c r="F97" s="140"/>
      <c r="G97" s="116"/>
      <c r="H97" s="115" t="str">
        <f>"See " &amp; D37</f>
        <v>See M1_Table_MN_j_m</v>
      </c>
    </row>
    <row r="98" spans="4:22" ht="20.100000000000001" customHeight="1" x14ac:dyDescent="0.25">
      <c r="D98" s="115" t="str">
        <v>EF_m</v>
      </c>
      <c r="E98" s="117" t="str">
        <v>emission factor for nitrous oxide emissions per MMS (kg N2O-N/kg N)</v>
      </c>
      <c r="F98" s="140"/>
      <c r="G98" s="116"/>
      <c r="H98" s="115" t="str">
        <f>"See " &amp; $D$19</f>
        <v>See Table_EF_m</v>
      </c>
    </row>
    <row r="99" spans="4:22" ht="20.100000000000001" customHeight="1" x14ac:dyDescent="0.25">
      <c r="D99" s="115" t="str">
        <v>FracGASM_m</v>
      </c>
      <c r="E99" s="117" t="str">
        <v>fraction of N volatilised from MMS</v>
      </c>
      <c r="F99" s="140"/>
      <c r="G99" s="116"/>
      <c r="H99" s="115" t="str">
        <f>"See " &amp; $D$28</f>
        <v>See Table_FracGASM_m</v>
      </c>
    </row>
    <row r="100" spans="4:22" ht="20.100000000000001" customHeight="1" x14ac:dyDescent="0.25">
      <c r="D100" s="115" t="str">
        <v>MNLeach_jm</v>
      </c>
      <c r="E100" s="117" t="str">
        <v>mass of N lost through leaching and runoff from each MMS (kg N)</v>
      </c>
      <c r="F100" s="140"/>
      <c r="G100" s="116"/>
      <c r="H100" s="115" t="str">
        <f>"See " &amp; D49</f>
        <v>See M1_Table_MN_leach_j_m</v>
      </c>
    </row>
    <row r="101" spans="4:22" ht="20.100000000000001" customHeight="1" x14ac:dyDescent="0.25">
      <c r="D101" s="115" t="str">
        <v>PF</v>
      </c>
      <c r="E101" s="117" t="str">
        <v>fraction of manure applied to soil within farm boundary</v>
      </c>
      <c r="F101" s="140"/>
      <c r="G101" s="116"/>
      <c r="H101" s="115" t="str">
        <f>"See " &amp; D61</f>
        <v>See Table_PF_scope</v>
      </c>
    </row>
    <row r="102" spans="4:22" ht="20.100000000000001" customHeight="1" x14ac:dyDescent="0.25"/>
    <row r="103" spans="4:22" ht="20.100000000000001" customHeight="1" x14ac:dyDescent="0.25">
      <c r="D103" s="104" t="s">
        <v>364</v>
      </c>
      <c r="O103" s="104" t="s">
        <v>370</v>
      </c>
    </row>
    <row r="104" spans="4:22" ht="20.100000000000001" customHeight="1" x14ac:dyDescent="0.25">
      <c r="D104" s="103" t="s">
        <v>365</v>
      </c>
      <c r="O104" s="103" t="s">
        <v>371</v>
      </c>
    </row>
    <row r="105" spans="4:22" ht="20.100000000000001" customHeight="1" x14ac:dyDescent="0.25">
      <c r="D105" s="54" t="s">
        <v>152</v>
      </c>
      <c r="E105" s="54" t="s">
        <v>69</v>
      </c>
      <c r="F105" s="54" t="s">
        <v>178</v>
      </c>
      <c r="G105" s="54" t="s">
        <v>195</v>
      </c>
      <c r="H105" s="54" t="s">
        <v>196</v>
      </c>
      <c r="I105" s="54" t="s">
        <v>197</v>
      </c>
      <c r="J105" s="54" t="s">
        <v>198</v>
      </c>
      <c r="O105" s="54" t="s">
        <v>152</v>
      </c>
      <c r="P105" s="54" t="s">
        <v>69</v>
      </c>
      <c r="Q105" s="54" t="s">
        <v>178</v>
      </c>
      <c r="R105" s="54" t="s">
        <v>195</v>
      </c>
      <c r="S105" s="54" t="s">
        <v>196</v>
      </c>
      <c r="T105" s="54" t="s">
        <v>197</v>
      </c>
      <c r="U105" s="54" t="s">
        <v>198</v>
      </c>
    </row>
    <row r="106" spans="4:22" ht="20.100000000000001" customHeight="1" x14ac:dyDescent="0.25">
      <c r="D106" s="55" t="str">
        <f>'Input - Dairy'!$D$54</f>
        <v>Milking shed</v>
      </c>
      <c r="E106" s="55" t="str">
        <f>'Input - Dairy'!$D$67</f>
        <v>Anaerobic lagoon</v>
      </c>
      <c r="F106" s="55" cm="1">
        <f t="array" ref="F106">MMS_Dairy_ManureAppliedToSoils_Equations.VEERG_4_3_1_8__2_MassOfNitrogenAppliedToSoilsScope3(F40, _xlfn.XLOOKUP($E106, $D$22:$D$26,$E$22:$E$26), _xlfn.XLOOKUP($E106,$D$31:$D$35,$E$31:$E$35),F52, F64)</f>
        <v>34.490321636102792</v>
      </c>
      <c r="G106" s="55" cm="1">
        <f t="array" ref="G106">MMS_Dairy_ManureAppliedToSoils_Equations.VEERG_4_3_1_8__2_MassOfNitrogenAppliedToSoilsScope3(G40, _xlfn.XLOOKUP($E106, $D$22:$D$26,$E$22:$E$26), _xlfn.XLOOKUP($E106,$D$31:$D$35,$E$31:$E$35),G52, G64)</f>
        <v>29.633159185145878</v>
      </c>
      <c r="H106" s="55" cm="1">
        <f t="array" ref="H106">MMS_Dairy_ManureAppliedToSoils_Equations.VEERG_4_3_1_8__2_MassOfNitrogenAppliedToSoilsScope3(H40, _xlfn.XLOOKUP($E106, $D$22:$D$26,$E$22:$E$26), _xlfn.XLOOKUP($E106,$D$31:$D$35,$E$31:$E$35),H52, H64)</f>
        <v>11.802573920124557</v>
      </c>
      <c r="I106" s="55" cm="1">
        <f t="array" ref="I106">MMS_Dairy_ManureAppliedToSoils_Equations.VEERG_4_3_1_8__2_MassOfNitrogenAppliedToSoilsScope3(I40, _xlfn.XLOOKUP($E106, $D$22:$D$26,$E$22:$E$26), _xlfn.XLOOKUP($E106,$D$31:$D$35,$E$31:$E$35),I52, I64)</f>
        <v>37.250053057728621</v>
      </c>
      <c r="J106" s="55" cm="1">
        <f t="array" ref="J106">MMS_Dairy_ManureAppliedToSoils_Equations.VEERG_4_3_1_8__2_MassOfNitrogenAppliedToSoilsScope3(J40, _xlfn.XLOOKUP($E106, $D$22:$D$26,$E$22:$E$26), _xlfn.XLOOKUP($E106,$D$31:$D$35,$E$31:$E$35),J52, J64)</f>
        <v>15.593964275346504</v>
      </c>
      <c r="K106" s="2" t="str">
        <f t="shared" ref="K106:K113" si="2">$E$95</f>
        <v>kg N</v>
      </c>
      <c r="O106" s="55" t="str">
        <f>'Input - Dairy'!$D$54</f>
        <v>Milking shed</v>
      </c>
      <c r="P106" s="55" t="str">
        <f>'Input - Dairy'!$D$67</f>
        <v>Anaerobic lagoon</v>
      </c>
      <c r="Q106" s="55" cm="1">
        <f t="array" ref="Q106">MMS_Dairy_ManureAppliedToSoils_Equations.VEERG_4_3_1_8__2_MassOfNitrogenAppliedToSoilsScope3(Q40, _xlfn.XLOOKUP($P106, $D$22:$D$26,$E$22:$E$26), _xlfn.XLOOKUP($P106,$D$31:$D$35,$E$31:$E$35),Q52, Q64)</f>
        <v>137.96128654441117</v>
      </c>
      <c r="R106" s="55" cm="1">
        <f t="array" ref="R106">MMS_Dairy_ManureAppliedToSoils_Equations.VEERG_4_3_1_8__2_MassOfNitrogenAppliedToSoilsScope3(R40, _xlfn.XLOOKUP($P106, $D$22:$D$26,$E$22:$E$26), _xlfn.XLOOKUP($P106,$D$31:$D$35,$E$31:$E$35),R52, R64)</f>
        <v>118.53263674058351</v>
      </c>
      <c r="S106" s="55" cm="1">
        <f t="array" ref="S106">MMS_Dairy_ManureAppliedToSoils_Equations.VEERG_4_3_1_8__2_MassOfNitrogenAppliedToSoilsScope3(S40, _xlfn.XLOOKUP($P106, $D$22:$D$26,$E$22:$E$26), _xlfn.XLOOKUP($P106,$D$31:$D$35,$E$31:$E$35),S52, S64)</f>
        <v>47.210295680498227</v>
      </c>
      <c r="T106" s="55" cm="1">
        <f t="array" ref="T106">MMS_Dairy_ManureAppliedToSoils_Equations.VEERG_4_3_1_8__2_MassOfNitrogenAppliedToSoilsScope3(T40, _xlfn.XLOOKUP($P106, $D$22:$D$26,$E$22:$E$26), _xlfn.XLOOKUP($P106,$D$31:$D$35,$E$31:$E$35),T52, T64)</f>
        <v>149.00021223091449</v>
      </c>
      <c r="U106" s="55" cm="1">
        <f t="array" ref="U106">MMS_Dairy_ManureAppliedToSoils_Equations.VEERG_4_3_1_8__2_MassOfNitrogenAppliedToSoilsScope3(U40, _xlfn.XLOOKUP($P106, $D$22:$D$26,$E$22:$E$26), _xlfn.XLOOKUP($P106,$D$31:$D$35,$E$31:$E$35),U52, U64)</f>
        <v>62.375857101386018</v>
      </c>
      <c r="V106" s="2" t="str">
        <f t="shared" ref="V106:V113" si="3">$E$95</f>
        <v>kg N</v>
      </c>
    </row>
    <row r="107" spans="4:22" ht="20.100000000000001" customHeight="1" x14ac:dyDescent="0.25">
      <c r="D107" s="55" t="str">
        <f>'Input - Dairy'!$D$54</f>
        <v>Milking shed</v>
      </c>
      <c r="E107" s="55" t="str">
        <f>'Input - Dairy'!$D$72</f>
        <v>Sump and dispersal system</v>
      </c>
      <c r="F107" s="55" cm="1">
        <f t="array" ref="F107">MMS_Dairy_ManureAppliedToSoils_Equations.VEERG_4_3_1_8__2_MassOfNitrogenAppliedToSoilsScope3(F41, _xlfn.XLOOKUP($E107, $D$22:$D$26,$E$22:$E$26), _xlfn.XLOOKUP($E107,$D$31:$D$35,$E$31:$E$35),F53, F65)</f>
        <v>49.347690956270142</v>
      </c>
      <c r="G107" s="55" cm="1">
        <f t="array" ref="G107">MMS_Dairy_ManureAppliedToSoils_Equations.VEERG_4_3_1_8__2_MassOfNitrogenAppliedToSoilsScope3(G41, _xlfn.XLOOKUP($E107, $D$22:$D$26,$E$22:$E$26), _xlfn.XLOOKUP($E107,$D$31:$D$35,$E$31:$E$35),G53, G65)</f>
        <v>42.398212372593328</v>
      </c>
      <c r="H107" s="55" cm="1">
        <f t="array" ref="H107">MMS_Dairy_ManureAppliedToSoils_Equations.VEERG_4_3_1_8__2_MassOfNitrogenAppliedToSoilsScope3(H41, _xlfn.XLOOKUP($E107, $D$22:$D$26,$E$22:$E$26), _xlfn.XLOOKUP($E107,$D$31:$D$35,$E$31:$E$35),H53, H65)</f>
        <v>16.886759608793596</v>
      </c>
      <c r="I107" s="55" cm="1">
        <f t="array" ref="I107">MMS_Dairy_ManureAppliedToSoils_Equations.VEERG_4_3_1_8__2_MassOfNitrogenAppliedToSoilsScope3(I41, _xlfn.XLOOKUP($E107, $D$22:$D$26,$E$22:$E$26), _xlfn.XLOOKUP($E107,$D$31:$D$35,$E$31:$E$35),I53, I65)</f>
        <v>53.296229759519406</v>
      </c>
      <c r="J107" s="55" cm="1">
        <f t="array" ref="J107">MMS_Dairy_ManureAppliedToSoils_Equations.VEERG_4_3_1_8__2_MassOfNitrogenAppliedToSoilsScope3(J41, _xlfn.XLOOKUP($E107, $D$22:$D$26,$E$22:$E$26), _xlfn.XLOOKUP($E107,$D$31:$D$35,$E$31:$E$35),J53, J65)</f>
        <v>22.311364270880382</v>
      </c>
      <c r="K107" s="2" t="str">
        <f t="shared" si="2"/>
        <v>kg N</v>
      </c>
      <c r="O107" s="55" t="str">
        <f>'Input - Dairy'!$D$54</f>
        <v>Milking shed</v>
      </c>
      <c r="P107" s="55" t="str">
        <f>'Input - Dairy'!$D$72</f>
        <v>Sump and dispersal system</v>
      </c>
      <c r="Q107" s="55" cm="1">
        <f t="array" ref="Q107">MMS_Dairy_ManureAppliedToSoils_Equations.VEERG_4_3_1_8__2_MassOfNitrogenAppliedToSoilsScope3(Q41, _xlfn.XLOOKUP($P107, $D$22:$D$26,$E$22:$E$26), _xlfn.XLOOKUP($P107,$D$31:$D$35,$E$31:$E$35),Q53, Q65)</f>
        <v>197.39076382508057</v>
      </c>
      <c r="R107" s="55" cm="1">
        <f t="array" ref="R107">MMS_Dairy_ManureAppliedToSoils_Equations.VEERG_4_3_1_8__2_MassOfNitrogenAppliedToSoilsScope3(R41, _xlfn.XLOOKUP($P107, $D$22:$D$26,$E$22:$E$26), _xlfn.XLOOKUP($P107,$D$31:$D$35,$E$31:$E$35),R53, R65)</f>
        <v>169.59284949037331</v>
      </c>
      <c r="S107" s="55" cm="1">
        <f t="array" ref="S107">MMS_Dairy_ManureAppliedToSoils_Equations.VEERG_4_3_1_8__2_MassOfNitrogenAppliedToSoilsScope3(S41, _xlfn.XLOOKUP($P107, $D$22:$D$26,$E$22:$E$26), _xlfn.XLOOKUP($P107,$D$31:$D$35,$E$31:$E$35),S53, S65)</f>
        <v>67.547038435174386</v>
      </c>
      <c r="T107" s="55" cm="1">
        <f t="array" ref="T107">MMS_Dairy_ManureAppliedToSoils_Equations.VEERG_4_3_1_8__2_MassOfNitrogenAppliedToSoilsScope3(T41, _xlfn.XLOOKUP($P107, $D$22:$D$26,$E$22:$E$26), _xlfn.XLOOKUP($P107,$D$31:$D$35,$E$31:$E$35),T53, T65)</f>
        <v>213.18491903807762</v>
      </c>
      <c r="U107" s="55" cm="1">
        <f t="array" ref="U107">MMS_Dairy_ManureAppliedToSoils_Equations.VEERG_4_3_1_8__2_MassOfNitrogenAppliedToSoilsScope3(U41, _xlfn.XLOOKUP($P107, $D$22:$D$26,$E$22:$E$26), _xlfn.XLOOKUP($P107,$D$31:$D$35,$E$31:$E$35),U53, U65)</f>
        <v>89.245457083521529</v>
      </c>
      <c r="V107" s="2" t="str">
        <f t="shared" si="3"/>
        <v>kg N</v>
      </c>
    </row>
    <row r="108" spans="4:22" ht="20.100000000000001" customHeight="1" x14ac:dyDescent="0.25">
      <c r="D108" s="55" t="str">
        <f>'Input - Dairy'!$D$54</f>
        <v>Milking shed</v>
      </c>
      <c r="E108" s="55" t="str">
        <f>'Input - Dairy'!$D$77</f>
        <v>Drains to paddock</v>
      </c>
      <c r="F108" s="55" cm="1">
        <f t="array" ref="F108">MMS_Dairy_ManureAppliedToSoils_Equations.VEERG_4_3_1_8__2_MassOfNitrogenAppliedToSoilsScope3(F42, _xlfn.XLOOKUP($E108, $D$22:$D$26,$E$22:$E$26), _xlfn.XLOOKUP($E108,$D$31:$D$35,$E$31:$E$35),F54, F66)</f>
        <v>42.44962662904959</v>
      </c>
      <c r="G108" s="55" cm="1">
        <f t="array" ref="G108">MMS_Dairy_ManureAppliedToSoils_Equations.VEERG_4_3_1_8__2_MassOfNitrogenAppliedToSoilsScope3(G42, _xlfn.XLOOKUP($E108, $D$22:$D$26,$E$22:$E$26), _xlfn.XLOOKUP($E108,$D$31:$D$35,$E$31:$E$35),G54, G66)</f>
        <v>36.471580535564158</v>
      </c>
      <c r="H108" s="55" cm="1">
        <f t="array" ref="H108">MMS_Dairy_ManureAppliedToSoils_Equations.VEERG_4_3_1_8__2_MassOfNitrogenAppliedToSoilsScope3(H42, _xlfn.XLOOKUP($E108, $D$22:$D$26,$E$22:$E$26), _xlfn.XLOOKUP($E108,$D$31:$D$35,$E$31:$E$35),H54, H66)</f>
        <v>14.526244824768686</v>
      </c>
      <c r="I108" s="55" cm="1">
        <f t="array" ref="I108">MMS_Dairy_ManureAppliedToSoils_Equations.VEERG_4_3_1_8__2_MassOfNitrogenAppliedToSoilsScope3(I42, _xlfn.XLOOKUP($E108, $D$22:$D$26,$E$22:$E$26), _xlfn.XLOOKUP($E108,$D$31:$D$35,$E$31:$E$35),I54, I66)</f>
        <v>45.846219147973692</v>
      </c>
      <c r="J108" s="55" cm="1">
        <f t="array" ref="J108">MMS_Dairy_ManureAppliedToSoils_Equations.VEERG_4_3_1_8__2_MassOfNitrogenAppliedToSoilsScope3(J42, _xlfn.XLOOKUP($E108, $D$22:$D$26,$E$22:$E$26), _xlfn.XLOOKUP($E108,$D$31:$D$35,$E$31:$E$35),J54, J66)</f>
        <v>19.192571415811084</v>
      </c>
      <c r="K108" s="2" t="str">
        <f t="shared" si="2"/>
        <v>kg N</v>
      </c>
      <c r="O108" s="55" t="str">
        <f>'Input - Dairy'!$D$54</f>
        <v>Milking shed</v>
      </c>
      <c r="P108" s="55" t="str">
        <f>'Input - Dairy'!$D$77</f>
        <v>Drains to paddock</v>
      </c>
      <c r="Q108" s="55" cm="1">
        <f t="array" ref="Q108">MMS_Dairy_ManureAppliedToSoils_Equations.VEERG_4_3_1_8__2_MassOfNitrogenAppliedToSoilsScope3(Q42, _xlfn.XLOOKUP($P108, $D$22:$D$26,$E$22:$E$26), _xlfn.XLOOKUP($P108,$D$31:$D$35,$E$31:$E$35),Q54, Q66)</f>
        <v>169.79850651619836</v>
      </c>
      <c r="R108" s="55" cm="1">
        <f t="array" ref="R108">MMS_Dairy_ManureAppliedToSoils_Equations.VEERG_4_3_1_8__2_MassOfNitrogenAppliedToSoilsScope3(R42, _xlfn.XLOOKUP($P108, $D$22:$D$26,$E$22:$E$26), _xlfn.XLOOKUP($P108,$D$31:$D$35,$E$31:$E$35),R54, R66)</f>
        <v>145.88632214225663</v>
      </c>
      <c r="S108" s="55" cm="1">
        <f t="array" ref="S108">MMS_Dairy_ManureAppliedToSoils_Equations.VEERG_4_3_1_8__2_MassOfNitrogenAppliedToSoilsScope3(S42, _xlfn.XLOOKUP($P108, $D$22:$D$26,$E$22:$E$26), _xlfn.XLOOKUP($P108,$D$31:$D$35,$E$31:$E$35),S54, S66)</f>
        <v>58.104979299074742</v>
      </c>
      <c r="T108" s="55" cm="1">
        <f t="array" ref="T108">MMS_Dairy_ManureAppliedToSoils_Equations.VEERG_4_3_1_8__2_MassOfNitrogenAppliedToSoilsScope3(T42, _xlfn.XLOOKUP($P108, $D$22:$D$26,$E$22:$E$26), _xlfn.XLOOKUP($P108,$D$31:$D$35,$E$31:$E$35),T54, T66)</f>
        <v>183.38487659189477</v>
      </c>
      <c r="U108" s="55" cm="1">
        <f t="array" ref="U108">MMS_Dairy_ManureAppliedToSoils_Equations.VEERG_4_3_1_8__2_MassOfNitrogenAppliedToSoilsScope3(U42, _xlfn.XLOOKUP($P108, $D$22:$D$26,$E$22:$E$26), _xlfn.XLOOKUP($P108,$D$31:$D$35,$E$31:$E$35),U54, U66)</f>
        <v>76.770285663244337</v>
      </c>
      <c r="V108" s="2" t="str">
        <f t="shared" si="3"/>
        <v>kg N</v>
      </c>
    </row>
    <row r="109" spans="4:22" ht="20.100000000000001" customHeight="1" x14ac:dyDescent="0.25">
      <c r="D109" s="55" t="str">
        <f>'Input - Dairy'!$D$54</f>
        <v>Milking shed</v>
      </c>
      <c r="E109" s="55" t="str">
        <f>'Input - Dairy'!$D$82</f>
        <v>Solid storage</v>
      </c>
      <c r="F109" s="55" cm="1">
        <f t="array" ref="F109">MMS_Dairy_ManureAppliedToSoils_Equations.VEERG_4_3_1_8__2_MassOfNitrogenAppliedToSoilsScope3(F43, _xlfn.XLOOKUP($E109, $D$22:$D$26,$E$22:$E$26), _xlfn.XLOOKUP($E109,$D$31:$D$35,$E$31:$E$35),F55, F67)</f>
        <v>71.633744936521182</v>
      </c>
      <c r="G109" s="55" cm="1">
        <f t="array" ref="G109">MMS_Dairy_ManureAppliedToSoils_Equations.VEERG_4_3_1_8__2_MassOfNitrogenAppliedToSoilsScope3(G43, _xlfn.XLOOKUP($E109, $D$22:$D$26,$E$22:$E$26), _xlfn.XLOOKUP($E109,$D$31:$D$35,$E$31:$E$35),G55, G67)</f>
        <v>61.545792153764516</v>
      </c>
      <c r="H109" s="55" cm="1">
        <f t="array" ref="H109">MMS_Dairy_ManureAppliedToSoils_Equations.VEERG_4_3_1_8__2_MassOfNitrogenAppliedToSoilsScope3(H43, _xlfn.XLOOKUP($E109, $D$22:$D$26,$E$22:$E$26), _xlfn.XLOOKUP($E109,$D$31:$D$35,$E$31:$E$35),H55, H67)</f>
        <v>24.51303814179715</v>
      </c>
      <c r="I109" s="55" cm="1">
        <f t="array" ref="I109">MMS_Dairy_ManureAppliedToSoils_Equations.VEERG_4_3_1_8__2_MassOfNitrogenAppliedToSoilsScope3(I43, _xlfn.XLOOKUP($E109, $D$22:$D$26,$E$22:$E$26), _xlfn.XLOOKUP($E109,$D$31:$D$35,$E$31:$E$35),I55, I67)</f>
        <v>77.365494812205597</v>
      </c>
      <c r="J109" s="55" cm="1">
        <f t="array" ref="J109">MMS_Dairy_ManureAppliedToSoils_Equations.VEERG_4_3_1_8__2_MassOfNitrogenAppliedToSoilsScope3(J43, _xlfn.XLOOKUP($E109, $D$22:$D$26,$E$22:$E$26), _xlfn.XLOOKUP($E109,$D$31:$D$35,$E$31:$E$35),J55, J67)</f>
        <v>32.387464264181197</v>
      </c>
      <c r="K109" s="2" t="str">
        <f t="shared" si="2"/>
        <v>kg N</v>
      </c>
      <c r="O109" s="55" t="str">
        <f>'Input - Dairy'!$D$54</f>
        <v>Milking shed</v>
      </c>
      <c r="P109" s="55" t="str">
        <f>'Input - Dairy'!$D$82</f>
        <v>Solid storage</v>
      </c>
      <c r="Q109" s="55" cm="1">
        <f t="array" ref="Q109">MMS_Dairy_ManureAppliedToSoils_Equations.VEERG_4_3_1_8__2_MassOfNitrogenAppliedToSoilsScope3(Q43, _xlfn.XLOOKUP($P109, $D$22:$D$26,$E$22:$E$26), _xlfn.XLOOKUP($P109,$D$31:$D$35,$E$31:$E$35),Q55, Q67)</f>
        <v>286.53497974608473</v>
      </c>
      <c r="R109" s="55" cm="1">
        <f t="array" ref="R109">MMS_Dairy_ManureAppliedToSoils_Equations.VEERG_4_3_1_8__2_MassOfNitrogenAppliedToSoilsScope3(R43, _xlfn.XLOOKUP($P109, $D$22:$D$26,$E$22:$E$26), _xlfn.XLOOKUP($P109,$D$31:$D$35,$E$31:$E$35),R55, R67)</f>
        <v>246.18316861505807</v>
      </c>
      <c r="S109" s="55" cm="1">
        <f t="array" ref="S109">MMS_Dairy_ManureAppliedToSoils_Equations.VEERG_4_3_1_8__2_MassOfNitrogenAppliedToSoilsScope3(S43, _xlfn.XLOOKUP($P109, $D$22:$D$26,$E$22:$E$26), _xlfn.XLOOKUP($P109,$D$31:$D$35,$E$31:$E$35),S55, S67)</f>
        <v>98.0521525671886</v>
      </c>
      <c r="T109" s="55" cm="1">
        <f t="array" ref="T109">MMS_Dairy_ManureAppliedToSoils_Equations.VEERG_4_3_1_8__2_MassOfNitrogenAppliedToSoilsScope3(T43, _xlfn.XLOOKUP($P109, $D$22:$D$26,$E$22:$E$26), _xlfn.XLOOKUP($P109,$D$31:$D$35,$E$31:$E$35),T55, T67)</f>
        <v>309.46197924882239</v>
      </c>
      <c r="U109" s="55" cm="1">
        <f t="array" ref="U109">MMS_Dairy_ManureAppliedToSoils_Equations.VEERG_4_3_1_8__2_MassOfNitrogenAppliedToSoilsScope3(U43, _xlfn.XLOOKUP($P109, $D$22:$D$26,$E$22:$E$26), _xlfn.XLOOKUP($P109,$D$31:$D$35,$E$31:$E$35),U55, U67)</f>
        <v>129.54985705672479</v>
      </c>
      <c r="V109" s="2" t="str">
        <f t="shared" si="3"/>
        <v>kg N</v>
      </c>
    </row>
    <row r="110" spans="4:22" ht="20.100000000000001" customHeight="1" x14ac:dyDescent="0.25">
      <c r="D110" s="55" t="str">
        <f>'Input - Dairy'!$D$55</f>
        <v>Feed pad</v>
      </c>
      <c r="E110" s="55" t="str">
        <f>'Input - Dairy'!$D$101</f>
        <v>Anaerobic lagoon</v>
      </c>
      <c r="F110" s="55" cm="1">
        <f t="array" ref="F110">MMS_Dairy_ManureAppliedToSoils_Equations.VEERG_4_3_1_8__2_MassOfNitrogenAppliedToSoilsScope3(F44, _xlfn.XLOOKUP($E110, $D$22:$D$26,$E$22:$E$26), _xlfn.XLOOKUP($E110,$D$31:$D$35,$E$31:$E$35),F56, F68)</f>
        <v>139.52902843696128</v>
      </c>
      <c r="G110" s="55" cm="1">
        <f t="array" ref="G110">MMS_Dairy_ManureAppliedToSoils_Equations.VEERG_4_3_1_8__2_MassOfNitrogenAppliedToSoilsScope3(G44, _xlfn.XLOOKUP($E110, $D$22:$D$26,$E$22:$E$26), _xlfn.XLOOKUP($E110,$D$31:$D$35,$E$31:$E$35),G56, G68)</f>
        <v>119.87959852172649</v>
      </c>
      <c r="H110" s="55" cm="1">
        <f t="array" ref="H110">MMS_Dairy_ManureAppliedToSoils_Equations.VEERG_4_3_1_8__2_MassOfNitrogenAppliedToSoilsScope3(H44, _xlfn.XLOOKUP($E110, $D$22:$D$26,$E$22:$E$26), _xlfn.XLOOKUP($E110,$D$31:$D$35,$E$31:$E$35),H56, H68)</f>
        <v>47.746776313231159</v>
      </c>
      <c r="I110" s="55" cm="1">
        <f t="array" ref="I110">MMS_Dairy_ManureAppliedToSoils_Equations.VEERG_4_3_1_8__2_MassOfNitrogenAppliedToSoilsScope3(I44, _xlfn.XLOOKUP($E110, $D$22:$D$26,$E$22:$E$26), _xlfn.XLOOKUP($E110,$D$31:$D$35,$E$31:$E$35),I56, I68)</f>
        <v>150.69339646081124</v>
      </c>
      <c r="J110" s="55" cm="1">
        <f t="array" ref="J110">MMS_Dairy_ManureAppliedToSoils_Equations.VEERG_4_3_1_8__2_MassOfNitrogenAppliedToSoilsScope3(J44, _xlfn.XLOOKUP($E110, $D$22:$D$26,$E$22:$E$26), _xlfn.XLOOKUP($E110,$D$31:$D$35,$E$31:$E$35),J56, J68)</f>
        <v>63.084673659356305</v>
      </c>
      <c r="K110" s="2" t="str">
        <f t="shared" si="2"/>
        <v>kg N</v>
      </c>
      <c r="O110" s="55" t="str">
        <f>'Input - Dairy'!$D$55</f>
        <v>Feed pad</v>
      </c>
      <c r="P110" s="55" t="str">
        <f>'Input - Dairy'!$D$101</f>
        <v>Anaerobic lagoon</v>
      </c>
      <c r="Q110" s="55" cm="1">
        <f t="array" ref="Q110">MMS_Dairy_ManureAppliedToSoils_Equations.VEERG_4_3_1_8__2_MassOfNitrogenAppliedToSoilsScope3(Q44, _xlfn.XLOOKUP($P110, $D$22:$D$26,$E$22:$E$26), _xlfn.XLOOKUP($P110,$D$31:$D$35,$E$31:$E$35),Q56, Q68)</f>
        <v>558.11611374784513</v>
      </c>
      <c r="R110" s="55" cm="1">
        <f t="array" ref="R110">MMS_Dairy_ManureAppliedToSoils_Equations.VEERG_4_3_1_8__2_MassOfNitrogenAppliedToSoilsScope3(R44, _xlfn.XLOOKUP($P110, $D$22:$D$26,$E$22:$E$26), _xlfn.XLOOKUP($P110,$D$31:$D$35,$E$31:$E$35),R56, R68)</f>
        <v>479.51839408690597</v>
      </c>
      <c r="S110" s="55" cm="1">
        <f t="array" ref="S110">MMS_Dairy_ManureAppliedToSoils_Equations.VEERG_4_3_1_8__2_MassOfNitrogenAppliedToSoilsScope3(S44, _xlfn.XLOOKUP($P110, $D$22:$D$26,$E$22:$E$26), _xlfn.XLOOKUP($P110,$D$31:$D$35,$E$31:$E$35),S56, S68)</f>
        <v>190.98710525292464</v>
      </c>
      <c r="T110" s="55" cm="1">
        <f t="array" ref="T110">MMS_Dairy_ManureAppliedToSoils_Equations.VEERG_4_3_1_8__2_MassOfNitrogenAppliedToSoilsScope3(T44, _xlfn.XLOOKUP($P110, $D$22:$D$26,$E$22:$E$26), _xlfn.XLOOKUP($P110,$D$31:$D$35,$E$31:$E$35),T56, T68)</f>
        <v>602.77358584324497</v>
      </c>
      <c r="U110" s="55" cm="1">
        <f t="array" ref="U110">MMS_Dairy_ManureAppliedToSoils_Equations.VEERG_4_3_1_8__2_MassOfNitrogenAppliedToSoilsScope3(U44, _xlfn.XLOOKUP($P110, $D$22:$D$26,$E$22:$E$26), _xlfn.XLOOKUP($P110,$D$31:$D$35,$E$31:$E$35),U56, U68)</f>
        <v>252.33869463742522</v>
      </c>
      <c r="V110" s="2" t="str">
        <f t="shared" si="3"/>
        <v>kg N</v>
      </c>
    </row>
    <row r="111" spans="4:22" ht="20.100000000000001" customHeight="1" x14ac:dyDescent="0.25">
      <c r="D111" s="55" t="str">
        <f>'Input - Dairy'!$D$55</f>
        <v>Feed pad</v>
      </c>
      <c r="E111" s="55" t="str">
        <f>'Input - Dairy'!$D$106</f>
        <v>Sump and dispersal system</v>
      </c>
      <c r="F111" s="55" cm="1">
        <f t="array" ref="F111">MMS_Dairy_ManureAppliedToSoils_Equations.VEERG_4_3_1_8__2_MassOfNitrogenAppliedToSoilsScope3(F45, _xlfn.XLOOKUP($E111, $D$22:$D$26,$E$22:$E$26), _xlfn.XLOOKUP($E111,$D$31:$D$35,$E$31:$E$35),F57, F69)</f>
        <v>159.70707254938335</v>
      </c>
      <c r="G111" s="55" cm="1">
        <f t="array" ref="G111">MMS_Dairy_ManureAppliedToSoils_Equations.VEERG_4_3_1_8__2_MassOfNitrogenAppliedToSoilsScope3(G45, _xlfn.XLOOKUP($E111, $D$22:$D$26,$E$22:$E$26), _xlfn.XLOOKUP($E111,$D$31:$D$35,$E$31:$E$35),G57, G69)</f>
        <v>137.21603276948386</v>
      </c>
      <c r="H111" s="55" cm="1">
        <f t="array" ref="H111">MMS_Dairy_ManureAppliedToSoils_Equations.VEERG_4_3_1_8__2_MassOfNitrogenAppliedToSoilsScope3(H45, _xlfn.XLOOKUP($E111, $D$22:$D$26,$E$22:$E$26), _xlfn.XLOOKUP($E111,$D$31:$D$35,$E$31:$E$35),H57, H69)</f>
        <v>54.651694733913814</v>
      </c>
      <c r="I111" s="55" cm="1">
        <f t="array" ref="I111">MMS_Dairy_ManureAppliedToSoils_Equations.VEERG_4_3_1_8__2_MassOfNitrogenAppliedToSoilsScope3(I45, _xlfn.XLOOKUP($E111, $D$22:$D$26,$E$22:$E$26), _xlfn.XLOOKUP($E111,$D$31:$D$35,$E$31:$E$35),I57, I69)</f>
        <v>172.48597994899006</v>
      </c>
      <c r="J111" s="55" cm="1">
        <f t="array" ref="J111">MMS_Dairy_ManureAppliedToSoils_Equations.VEERG_4_3_1_8__2_MassOfNitrogenAppliedToSoilsScope3(J45, _xlfn.XLOOKUP($E111, $D$22:$D$26,$E$22:$E$26), _xlfn.XLOOKUP($E111,$D$31:$D$35,$E$31:$E$35),J57, J69)</f>
        <v>72.207688003940135</v>
      </c>
      <c r="K111" s="2" t="str">
        <f t="shared" si="2"/>
        <v>kg N</v>
      </c>
      <c r="O111" s="55" t="str">
        <f>'Input - Dairy'!$D$55</f>
        <v>Feed pad</v>
      </c>
      <c r="P111" s="55" t="str">
        <f>'Input - Dairy'!$D$106</f>
        <v>Sump and dispersal system</v>
      </c>
      <c r="Q111" s="55" cm="1">
        <f t="array" ref="Q111">MMS_Dairy_ManureAppliedToSoils_Equations.VEERG_4_3_1_8__2_MassOfNitrogenAppliedToSoilsScope3(Q45, _xlfn.XLOOKUP($P111, $D$22:$D$26,$E$22:$E$26), _xlfn.XLOOKUP($P111,$D$31:$D$35,$E$31:$E$35),Q57, Q69)</f>
        <v>638.82829019753342</v>
      </c>
      <c r="R111" s="55" cm="1">
        <f t="array" ref="R111">MMS_Dairy_ManureAppliedToSoils_Equations.VEERG_4_3_1_8__2_MassOfNitrogenAppliedToSoilsScope3(R45, _xlfn.XLOOKUP($P111, $D$22:$D$26,$E$22:$E$26), _xlfn.XLOOKUP($P111,$D$31:$D$35,$E$31:$E$35),R57, R69)</f>
        <v>548.86413107793544</v>
      </c>
      <c r="S111" s="55" cm="1">
        <f t="array" ref="S111">MMS_Dairy_ManureAppliedToSoils_Equations.VEERG_4_3_1_8__2_MassOfNitrogenAppliedToSoilsScope3(S45, _xlfn.XLOOKUP($P111, $D$22:$D$26,$E$22:$E$26), _xlfn.XLOOKUP($P111,$D$31:$D$35,$E$31:$E$35),S57, S69)</f>
        <v>218.60677893565526</v>
      </c>
      <c r="T111" s="55" cm="1">
        <f t="array" ref="T111">MMS_Dairy_ManureAppliedToSoils_Equations.VEERG_4_3_1_8__2_MassOfNitrogenAppliedToSoilsScope3(T45, _xlfn.XLOOKUP($P111, $D$22:$D$26,$E$22:$E$26), _xlfn.XLOOKUP($P111,$D$31:$D$35,$E$31:$E$35),T57, T69)</f>
        <v>689.94391979596026</v>
      </c>
      <c r="U111" s="55" cm="1">
        <f t="array" ref="U111">MMS_Dairy_ManureAppliedToSoils_Equations.VEERG_4_3_1_8__2_MassOfNitrogenAppliedToSoilsScope3(U45, _xlfn.XLOOKUP($P111, $D$22:$D$26,$E$22:$E$26), _xlfn.XLOOKUP($P111,$D$31:$D$35,$E$31:$E$35),U57, U69)</f>
        <v>288.83075201576054</v>
      </c>
      <c r="V111" s="2" t="str">
        <f t="shared" si="3"/>
        <v>kg N</v>
      </c>
    </row>
    <row r="112" spans="4:22" ht="20.100000000000001" customHeight="1" x14ac:dyDescent="0.25">
      <c r="D112" s="55" t="str">
        <f>'Input - Dairy'!$D$55</f>
        <v>Feed pad</v>
      </c>
      <c r="E112" s="55" t="str">
        <f>'Input - Dairy'!$D$111</f>
        <v>Drains to paddock</v>
      </c>
      <c r="F112" s="55" cm="1">
        <f t="array" ref="F112">MMS_Dairy_ManureAppliedToSoils_Equations.VEERG_4_3_1_8__2_MassOfNitrogenAppliedToSoilsScope3(F46, _xlfn.XLOOKUP($E112, $D$22:$D$26,$E$22:$E$26), _xlfn.XLOOKUP($E112,$D$31:$D$35,$E$31:$E$35),F58, F70)</f>
        <v>137.38242799946957</v>
      </c>
      <c r="G112" s="55" cm="1">
        <f t="array" ref="G112">MMS_Dairy_ManureAppliedToSoils_Equations.VEERG_4_3_1_8__2_MassOfNitrogenAppliedToSoilsScope3(G46, _xlfn.XLOOKUP($E112, $D$22:$D$26,$E$22:$E$26), _xlfn.XLOOKUP($E112,$D$31:$D$35,$E$31:$E$35),G58, G70)</f>
        <v>118.03529700600764</v>
      </c>
      <c r="H112" s="55" cm="1">
        <f t="array" ref="H112">MMS_Dairy_ManureAppliedToSoils_Equations.VEERG_4_3_1_8__2_MassOfNitrogenAppliedToSoilsScope3(H46, _xlfn.XLOOKUP($E112, $D$22:$D$26,$E$22:$E$26), _xlfn.XLOOKUP($E112,$D$31:$D$35,$E$31:$E$35),H58, H70)</f>
        <v>47.012210523796831</v>
      </c>
      <c r="I112" s="55" cm="1">
        <f t="array" ref="I112">MMS_Dairy_ManureAppliedToSoils_Equations.VEERG_4_3_1_8__2_MassOfNitrogenAppliedToSoilsScope3(I46, _xlfn.XLOOKUP($E112, $D$22:$D$26,$E$22:$E$26), _xlfn.XLOOKUP($E112,$D$31:$D$35,$E$31:$E$35),I58, I70)</f>
        <v>148.37503651526029</v>
      </c>
      <c r="J112" s="55" cm="1">
        <f t="array" ref="J112">MMS_Dairy_ManureAppliedToSoils_Equations.VEERG_4_3_1_8__2_MassOfNitrogenAppliedToSoilsScope3(J46, _xlfn.XLOOKUP($E112, $D$22:$D$26,$E$22:$E$26), _xlfn.XLOOKUP($E112,$D$31:$D$35,$E$31:$E$35),J58, J70)</f>
        <v>62.114140218443133</v>
      </c>
      <c r="K112" s="2" t="str">
        <f t="shared" si="2"/>
        <v>kg N</v>
      </c>
      <c r="O112" s="55" t="str">
        <f>'Input - Dairy'!$D$55</f>
        <v>Feed pad</v>
      </c>
      <c r="P112" s="55" t="str">
        <f>'Input - Dairy'!$D$111</f>
        <v>Drains to paddock</v>
      </c>
      <c r="Q112" s="55" cm="1">
        <f t="array" ref="Q112">MMS_Dairy_ManureAppliedToSoils_Equations.VEERG_4_3_1_8__2_MassOfNitrogenAppliedToSoilsScope3(Q46, _xlfn.XLOOKUP($P112, $D$22:$D$26,$E$22:$E$26), _xlfn.XLOOKUP($P112,$D$31:$D$35,$E$31:$E$35),Q58, Q70)</f>
        <v>549.52971199787828</v>
      </c>
      <c r="R112" s="55" cm="1">
        <f t="array" ref="R112">MMS_Dairy_ManureAppliedToSoils_Equations.VEERG_4_3_1_8__2_MassOfNitrogenAppliedToSoilsScope3(R46, _xlfn.XLOOKUP($P112, $D$22:$D$26,$E$22:$E$26), _xlfn.XLOOKUP($P112,$D$31:$D$35,$E$31:$E$35),R58, R70)</f>
        <v>472.14118802403055</v>
      </c>
      <c r="S112" s="55" cm="1">
        <f t="array" ref="S112">MMS_Dairy_ManureAppliedToSoils_Equations.VEERG_4_3_1_8__2_MassOfNitrogenAppliedToSoilsScope3(S46, _xlfn.XLOOKUP($P112, $D$22:$D$26,$E$22:$E$26), _xlfn.XLOOKUP($P112,$D$31:$D$35,$E$31:$E$35),S58, S70)</f>
        <v>188.04884209518733</v>
      </c>
      <c r="T112" s="55" cm="1">
        <f t="array" ref="T112">MMS_Dairy_ManureAppliedToSoils_Equations.VEERG_4_3_1_8__2_MassOfNitrogenAppliedToSoilsScope3(T46, _xlfn.XLOOKUP($P112, $D$22:$D$26,$E$22:$E$26), _xlfn.XLOOKUP($P112,$D$31:$D$35,$E$31:$E$35),T58, T70)</f>
        <v>593.50014606104116</v>
      </c>
      <c r="U112" s="55" cm="1">
        <f t="array" ref="U112">MMS_Dairy_ManureAppliedToSoils_Equations.VEERG_4_3_1_8__2_MassOfNitrogenAppliedToSoilsScope3(U46, _xlfn.XLOOKUP($P112, $D$22:$D$26,$E$22:$E$26), _xlfn.XLOOKUP($P112,$D$31:$D$35,$E$31:$E$35),U58, U70)</f>
        <v>248.45656087377253</v>
      </c>
      <c r="V112" s="2" t="str">
        <f t="shared" si="3"/>
        <v>kg N</v>
      </c>
    </row>
    <row r="113" spans="3:23" ht="20.100000000000001" customHeight="1" x14ac:dyDescent="0.25">
      <c r="D113" s="55" t="str">
        <f>'Input - Dairy'!$D$55</f>
        <v>Feed pad</v>
      </c>
      <c r="E113" s="55" t="str">
        <f>'Input - Dairy'!$D$116</f>
        <v>Solid storage</v>
      </c>
      <c r="F113" s="55" cm="1">
        <f t="array" ref="F113">MMS_Dairy_ManureAppliedToSoils_Equations.VEERG_4_3_1_8__2_MassOfNitrogenAppliedToSoilsScope3(F47, _xlfn.XLOOKUP($E113, $D$22:$D$26,$E$22:$E$26), _xlfn.XLOOKUP($E113,$D$31:$D$35,$E$31:$E$35),F59, F71)</f>
        <v>202.85374134296677</v>
      </c>
      <c r="G113" s="55" cm="1">
        <f t="array" ref="G113">MMS_Dairy_ManureAppliedToSoils_Equations.VEERG_4_3_1_8__2_MassOfNitrogenAppliedToSoilsScope3(G47, _xlfn.XLOOKUP($E113, $D$22:$D$26,$E$22:$E$26), _xlfn.XLOOKUP($E113,$D$31:$D$35,$E$31:$E$35),G59, G71)</f>
        <v>174.28649323543314</v>
      </c>
      <c r="H113" s="55" cm="1">
        <f t="array" ref="H113">MMS_Dairy_ManureAppliedToSoils_Equations.VEERG_4_3_1_8__2_MassOfNitrogenAppliedToSoilsScope3(H47, _xlfn.XLOOKUP($E113, $D$22:$D$26,$E$22:$E$26), _xlfn.XLOOKUP($E113,$D$31:$D$35,$E$31:$E$35),H59, H71)</f>
        <v>69.416467101543759</v>
      </c>
      <c r="I113" s="55" cm="1">
        <f t="array" ref="I113">MMS_Dairy_ManureAppliedToSoils_Equations.VEERG_4_3_1_8__2_MassOfNitrogenAppliedToSoilsScope3(I47, _xlfn.XLOOKUP($E113, $D$22:$D$26,$E$22:$E$26), _xlfn.XLOOKUP($E113,$D$31:$D$35,$E$31:$E$35),I59, I71)</f>
        <v>219.08501485456401</v>
      </c>
      <c r="J113" s="55" cm="1">
        <f t="array" ref="J113">MMS_Dairy_ManureAppliedToSoils_Equations.VEERG_4_3_1_8__2_MassOfNitrogenAppliedToSoilsScope3(J47, _xlfn.XLOOKUP($E113, $D$22:$D$26,$E$22:$E$26), _xlfn.XLOOKUP($E113,$D$31:$D$35,$E$31:$E$35),J59, J71)</f>
        <v>91.715410166294944</v>
      </c>
      <c r="K113" s="2" t="str">
        <f t="shared" si="2"/>
        <v>kg N</v>
      </c>
      <c r="O113" s="55" t="str">
        <f>'Input - Dairy'!$D$55</f>
        <v>Feed pad</v>
      </c>
      <c r="P113" s="55" t="str">
        <f>'Input - Dairy'!$D$116</f>
        <v>Solid storage</v>
      </c>
      <c r="Q113" s="55" cm="1">
        <f t="array" ref="Q113">MMS_Dairy_ManureAppliedToSoils_Equations.VEERG_4_3_1_8__2_MassOfNitrogenAppliedToSoilsScope3(Q47, _xlfn.XLOOKUP($P113, $D$22:$D$26,$E$22:$E$26), _xlfn.XLOOKUP($P113,$D$31:$D$35,$E$31:$E$35),Q59, Q71)</f>
        <v>811.41496537186708</v>
      </c>
      <c r="R113" s="55" cm="1">
        <f t="array" ref="R113">MMS_Dairy_ManureAppliedToSoils_Equations.VEERG_4_3_1_8__2_MassOfNitrogenAppliedToSoilsScope3(R47, _xlfn.XLOOKUP($P113, $D$22:$D$26,$E$22:$E$26), _xlfn.XLOOKUP($P113,$D$31:$D$35,$E$31:$E$35),R59, R71)</f>
        <v>697.14597294173257</v>
      </c>
      <c r="S113" s="55" cm="1">
        <f t="array" ref="S113">MMS_Dairy_ManureAppliedToSoils_Equations.VEERG_4_3_1_8__2_MassOfNitrogenAppliedToSoilsScope3(S47, _xlfn.XLOOKUP($P113, $D$22:$D$26,$E$22:$E$26), _xlfn.XLOOKUP($P113,$D$31:$D$35,$E$31:$E$35),S59, S71)</f>
        <v>277.66586840617504</v>
      </c>
      <c r="T113" s="55" cm="1">
        <f t="array" ref="T113">MMS_Dairy_ManureAppliedToSoils_Equations.VEERG_4_3_1_8__2_MassOfNitrogenAppliedToSoilsScope3(T47, _xlfn.XLOOKUP($P113, $D$22:$D$26,$E$22:$E$26), _xlfn.XLOOKUP($P113,$D$31:$D$35,$E$31:$E$35),T59, T71)</f>
        <v>876.34005941825603</v>
      </c>
      <c r="U113" s="55" cm="1">
        <f t="array" ref="U113">MMS_Dairy_ManureAppliedToSoils_Equations.VEERG_4_3_1_8__2_MassOfNitrogenAppliedToSoilsScope3(U47, _xlfn.XLOOKUP($P113, $D$22:$D$26,$E$22:$E$26), _xlfn.XLOOKUP($P113,$D$31:$D$35,$E$31:$E$35),U59, U71)</f>
        <v>366.86164066517978</v>
      </c>
      <c r="V113" s="2" t="str">
        <f t="shared" si="3"/>
        <v>kg N</v>
      </c>
    </row>
    <row r="114" spans="3:23" ht="20.100000000000001" customHeight="1" x14ac:dyDescent="0.25"/>
    <row r="115" spans="3:23" ht="20.100000000000001" customHeight="1" x14ac:dyDescent="0.25">
      <c r="D115" s="108" t="s">
        <v>369</v>
      </c>
      <c r="E115" s="109">
        <f>SUM(F106:J113)</f>
        <v>3126.4202862657203</v>
      </c>
      <c r="F115" s="110" t="str">
        <f>$E$11</f>
        <v>kg N</v>
      </c>
      <c r="O115" s="108" t="s">
        <v>369</v>
      </c>
      <c r="P115" s="109">
        <f>SUM(Q106:U113)</f>
        <v>12505.681145062881</v>
      </c>
      <c r="Q115" s="110" t="str">
        <f>$E$11</f>
        <v>kg N</v>
      </c>
    </row>
    <row r="116" spans="3:23" ht="20.100000000000001" customHeight="1" x14ac:dyDescent="0.25"/>
    <row r="117" spans="3:23" ht="20.100000000000001" customHeight="1" x14ac:dyDescent="0.25"/>
    <row r="118" spans="3:23" ht="20.100000000000001" customHeight="1" x14ac:dyDescent="0.25">
      <c r="C118" s="48"/>
      <c r="D118" s="48"/>
      <c r="E118" s="48"/>
      <c r="F118" s="48"/>
      <c r="G118" s="48"/>
      <c r="H118" s="48"/>
      <c r="I118" s="48"/>
      <c r="J118" s="48"/>
      <c r="K118" s="48"/>
      <c r="L118" s="48"/>
      <c r="N118" s="48"/>
      <c r="O118" s="48"/>
      <c r="P118" s="48"/>
      <c r="Q118" s="48"/>
      <c r="R118" s="48"/>
      <c r="S118" s="48"/>
      <c r="T118" s="48"/>
      <c r="U118" s="48"/>
      <c r="V118" s="48"/>
      <c r="W118" s="48"/>
    </row>
    <row r="119" spans="3:23" ht="20.100000000000001" customHeight="1" x14ac:dyDescent="0.25">
      <c r="D119" s="118" t="str">
        <f>"Below are applications of " &amp; D6 &amp; " that are applied to the following contexts:"</f>
        <v>Below are applications of VEERG 2026: 4.3.1.8, Equation (1) that are applied to the following contexts:</v>
      </c>
      <c r="E119" s="95"/>
      <c r="F119" s="95"/>
      <c r="G119" s="95"/>
      <c r="H119" s="91"/>
    </row>
    <row r="120" spans="3:23" ht="20.100000000000001" customHeight="1" x14ac:dyDescent="0.25">
      <c r="D120" s="97" t="s">
        <v>416</v>
      </c>
      <c r="E120" s="94"/>
      <c r="F120" s="94"/>
      <c r="G120" s="94"/>
      <c r="H120" s="92"/>
    </row>
    <row r="121" spans="3:23" ht="20.100000000000001" customHeight="1" x14ac:dyDescent="0.25"/>
    <row r="122" spans="3:23" ht="20.100000000000001" customHeight="1" x14ac:dyDescent="0.25">
      <c r="D122" s="6" t="s">
        <v>415</v>
      </c>
    </row>
    <row r="123" spans="3:23" ht="20.100000000000001" customHeight="1" x14ac:dyDescent="0.25"/>
    <row r="124" spans="3:23" ht="20.100000000000001" customHeight="1" x14ac:dyDescent="0.25">
      <c r="D124" s="104" t="s">
        <v>138</v>
      </c>
    </row>
    <row r="125" spans="3:23" ht="20.100000000000001" customHeight="1" x14ac:dyDescent="0.25">
      <c r="D125" s="103" t="s">
        <v>139</v>
      </c>
    </row>
    <row r="126" spans="3:23" ht="20.100000000000001" customHeight="1" x14ac:dyDescent="0.25">
      <c r="D126" s="54" t="s">
        <v>152</v>
      </c>
      <c r="E126" s="54" t="s">
        <v>69</v>
      </c>
      <c r="F126" s="54" t="s">
        <v>178</v>
      </c>
      <c r="G126" s="54" t="s">
        <v>195</v>
      </c>
      <c r="H126" s="54" t="s">
        <v>196</v>
      </c>
      <c r="I126" s="54" t="s">
        <v>197</v>
      </c>
      <c r="J126" s="54" t="s">
        <v>198</v>
      </c>
    </row>
    <row r="127" spans="3:23" ht="20.100000000000001" customHeight="1" x14ac:dyDescent="0.25">
      <c r="D127" s="55" t="str">
        <f>'Input - Dairy'!$D$54</f>
        <v>Milking shed</v>
      </c>
      <c r="E127" s="55" t="str">
        <f>'Input - Dairy'!$D$67</f>
        <v>Anaerobic lagoon</v>
      </c>
      <c r="F127" s="55">
        <f>'Input - Dairy'!E137</f>
        <v>0.25</v>
      </c>
      <c r="G127" s="55">
        <f>'Input - Dairy'!F137</f>
        <v>0.25</v>
      </c>
      <c r="H127" s="55">
        <f>'Input - Dairy'!G137</f>
        <v>0.25</v>
      </c>
      <c r="I127" s="55">
        <f>'Input - Dairy'!H137</f>
        <v>0.25</v>
      </c>
      <c r="J127" s="55">
        <f>'Input - Dairy'!I137</f>
        <v>0.25</v>
      </c>
      <c r="K127" s="2" t="s">
        <v>101</v>
      </c>
    </row>
    <row r="128" spans="3:23" ht="20.100000000000001" customHeight="1" x14ac:dyDescent="0.25">
      <c r="D128" s="55" t="str">
        <f>'Input - Dairy'!$D$54</f>
        <v>Milking shed</v>
      </c>
      <c r="E128" s="55" t="str">
        <f>'Input - Dairy'!$D$72</f>
        <v>Sump and dispersal system</v>
      </c>
      <c r="F128" s="55">
        <f>'Input - Dairy'!E142</f>
        <v>0.25</v>
      </c>
      <c r="G128" s="55">
        <f>'Input - Dairy'!F142</f>
        <v>0.25</v>
      </c>
      <c r="H128" s="55">
        <f>'Input - Dairy'!G142</f>
        <v>0.25</v>
      </c>
      <c r="I128" s="55">
        <f>'Input - Dairy'!H142</f>
        <v>0.25</v>
      </c>
      <c r="J128" s="55">
        <f>'Input - Dairy'!I142</f>
        <v>0.25</v>
      </c>
      <c r="K128" s="2" t="s">
        <v>101</v>
      </c>
    </row>
    <row r="129" spans="4:22" ht="20.100000000000001" customHeight="1" x14ac:dyDescent="0.25">
      <c r="D129" s="55" t="str">
        <f>'Input - Dairy'!$D$54</f>
        <v>Milking shed</v>
      </c>
      <c r="E129" s="55" t="str">
        <f>'Input - Dairy'!$D$77</f>
        <v>Drains to paddock</v>
      </c>
      <c r="F129" s="55">
        <f>'Input - Dairy'!E147</f>
        <v>0.25</v>
      </c>
      <c r="G129" s="55">
        <f>'Input - Dairy'!F147</f>
        <v>0.25</v>
      </c>
      <c r="H129" s="55">
        <f>'Input - Dairy'!G147</f>
        <v>0.25</v>
      </c>
      <c r="I129" s="55">
        <f>'Input - Dairy'!H147</f>
        <v>0.25</v>
      </c>
      <c r="J129" s="55">
        <f>'Input - Dairy'!I147</f>
        <v>0.25</v>
      </c>
      <c r="K129" s="2" t="s">
        <v>101</v>
      </c>
    </row>
    <row r="130" spans="4:22" ht="20.100000000000001" customHeight="1" x14ac:dyDescent="0.25">
      <c r="D130" s="55" t="str">
        <f>'Input - Dairy'!$D$54</f>
        <v>Milking shed</v>
      </c>
      <c r="E130" s="55" t="str">
        <f>'Input - Dairy'!$D$82</f>
        <v>Solid storage</v>
      </c>
      <c r="F130" s="55">
        <f>'Input - Dairy'!E152</f>
        <v>0.25</v>
      </c>
      <c r="G130" s="55">
        <f>'Input - Dairy'!F152</f>
        <v>0.25</v>
      </c>
      <c r="H130" s="55">
        <f>'Input - Dairy'!G152</f>
        <v>0.25</v>
      </c>
      <c r="I130" s="55">
        <f>'Input - Dairy'!H152</f>
        <v>0.25</v>
      </c>
      <c r="J130" s="55">
        <f>'Input - Dairy'!I152</f>
        <v>0.25</v>
      </c>
      <c r="K130" s="2" t="s">
        <v>101</v>
      </c>
    </row>
    <row r="131" spans="4:22" ht="20.100000000000001" customHeight="1" x14ac:dyDescent="0.25">
      <c r="D131" s="55" t="str">
        <f>'Input - Dairy'!$D$55</f>
        <v>Feed pad</v>
      </c>
      <c r="E131" s="55" t="str">
        <f>'Input - Dairy'!$D$101</f>
        <v>Anaerobic lagoon</v>
      </c>
      <c r="F131" s="55">
        <f>'Input - Dairy'!E161</f>
        <v>0.25</v>
      </c>
      <c r="G131" s="55">
        <f>'Input - Dairy'!F161</f>
        <v>0.25</v>
      </c>
      <c r="H131" s="55">
        <f>'Input - Dairy'!G161</f>
        <v>0.25</v>
      </c>
      <c r="I131" s="55">
        <f>'Input - Dairy'!H161</f>
        <v>0.25</v>
      </c>
      <c r="J131" s="55">
        <f>'Input - Dairy'!I161</f>
        <v>0.25</v>
      </c>
      <c r="K131" s="2" t="s">
        <v>101</v>
      </c>
    </row>
    <row r="132" spans="4:22" ht="20.100000000000001" customHeight="1" x14ac:dyDescent="0.25">
      <c r="D132" s="55" t="str">
        <f>'Input - Dairy'!$D$55</f>
        <v>Feed pad</v>
      </c>
      <c r="E132" s="55" t="str">
        <f>'Input - Dairy'!$D$106</f>
        <v>Sump and dispersal system</v>
      </c>
      <c r="F132" s="55">
        <f>'Input - Dairy'!E166</f>
        <v>0.25</v>
      </c>
      <c r="G132" s="55">
        <f>'Input - Dairy'!F166</f>
        <v>0.25</v>
      </c>
      <c r="H132" s="55">
        <f>'Input - Dairy'!G166</f>
        <v>0.25</v>
      </c>
      <c r="I132" s="55">
        <f>'Input - Dairy'!H166</f>
        <v>0.25</v>
      </c>
      <c r="J132" s="55">
        <f>'Input - Dairy'!I166</f>
        <v>0.25</v>
      </c>
      <c r="K132" s="2" t="s">
        <v>101</v>
      </c>
    </row>
    <row r="133" spans="4:22" ht="20.100000000000001" customHeight="1" x14ac:dyDescent="0.25">
      <c r="D133" s="55" t="str">
        <f>'Input - Dairy'!$D$55</f>
        <v>Feed pad</v>
      </c>
      <c r="E133" s="55" t="str">
        <f>'Input - Dairy'!$D$111</f>
        <v>Drains to paddock</v>
      </c>
      <c r="F133" s="55">
        <f>'Input - Dairy'!E171</f>
        <v>0.25</v>
      </c>
      <c r="G133" s="55">
        <f>'Input - Dairy'!F171</f>
        <v>0.25</v>
      </c>
      <c r="H133" s="55">
        <f>'Input - Dairy'!G171</f>
        <v>0.25</v>
      </c>
      <c r="I133" s="55">
        <f>'Input - Dairy'!H171</f>
        <v>0.25</v>
      </c>
      <c r="J133" s="55">
        <f>'Input - Dairy'!I171</f>
        <v>0.25</v>
      </c>
      <c r="K133" s="2" t="s">
        <v>101</v>
      </c>
    </row>
    <row r="134" spans="4:22" ht="20.100000000000001" customHeight="1" x14ac:dyDescent="0.25">
      <c r="D134" s="55" t="str">
        <f>'Input - Dairy'!$D$55</f>
        <v>Feed pad</v>
      </c>
      <c r="E134" s="55" t="str">
        <f>'Input - Dairy'!$D$116</f>
        <v>Solid storage</v>
      </c>
      <c r="F134" s="55">
        <f>'Input - Dairy'!E176</f>
        <v>0.25</v>
      </c>
      <c r="G134" s="55">
        <f>'Input - Dairy'!F176</f>
        <v>0.25</v>
      </c>
      <c r="H134" s="55">
        <f>'Input - Dairy'!G176</f>
        <v>0.25</v>
      </c>
      <c r="I134" s="55">
        <f>'Input - Dairy'!H176</f>
        <v>0.25</v>
      </c>
      <c r="J134" s="55">
        <f>'Input - Dairy'!I176</f>
        <v>0.25</v>
      </c>
      <c r="K134" s="2" t="s">
        <v>101</v>
      </c>
    </row>
    <row r="135" spans="4:22" ht="20.100000000000001" customHeight="1" x14ac:dyDescent="0.25"/>
    <row r="136" spans="4:22" ht="20.100000000000001" customHeight="1" x14ac:dyDescent="0.25">
      <c r="D136" s="104" t="s">
        <v>140</v>
      </c>
      <c r="O136" s="104" t="s">
        <v>141</v>
      </c>
    </row>
    <row r="137" spans="4:22" ht="20.100000000000001" customHeight="1" x14ac:dyDescent="0.25">
      <c r="D137" s="103" t="s">
        <v>143</v>
      </c>
      <c r="O137" s="103" t="s">
        <v>142</v>
      </c>
    </row>
    <row r="138" spans="4:22" ht="20.100000000000001" customHeight="1" x14ac:dyDescent="0.25">
      <c r="D138" s="54" t="s">
        <v>152</v>
      </c>
      <c r="E138" s="54" t="s">
        <v>69</v>
      </c>
      <c r="F138" s="54" t="s">
        <v>178</v>
      </c>
      <c r="G138" s="54" t="s">
        <v>195</v>
      </c>
      <c r="H138" s="54" t="s">
        <v>196</v>
      </c>
      <c r="I138" s="54" t="s">
        <v>197</v>
      </c>
      <c r="J138" s="54" t="s">
        <v>198</v>
      </c>
      <c r="O138" s="54" t="s">
        <v>152</v>
      </c>
      <c r="P138" s="54" t="s">
        <v>69</v>
      </c>
      <c r="Q138" s="54" t="s">
        <v>178</v>
      </c>
      <c r="R138" s="54" t="s">
        <v>195</v>
      </c>
      <c r="S138" s="54" t="s">
        <v>196</v>
      </c>
      <c r="T138" s="54" t="s">
        <v>197</v>
      </c>
      <c r="U138" s="54" t="s">
        <v>198</v>
      </c>
    </row>
    <row r="139" spans="4:22" ht="20.100000000000001" customHeight="1" x14ac:dyDescent="0.25">
      <c r="D139" s="55" t="str">
        <f>'Input - Dairy'!$D$54</f>
        <v>Milking shed</v>
      </c>
      <c r="E139" s="55" t="str">
        <f>'Input - Dairy'!$D$67</f>
        <v>Anaerobic lagoon</v>
      </c>
      <c r="F139" s="55" cm="1">
        <f t="array" ref="F139">MMS_Dairy_ManureAppliedToSoils_Equations.VEERG_4_3_1_8__1_MassOfNitrogenAppliedToSoilsScope1(F40,_xlfn.XLOOKUP($E139,$D$22:$D$26,$E$22:$E$26),_xlfn.XLOOKUP($E139,$D$31:$D$35,$E$31:$E$35),F52,F127)</f>
        <v>34.490321636102792</v>
      </c>
      <c r="G139" s="55" cm="1">
        <f t="array" ref="G139">MMS_Dairy_ManureAppliedToSoils_Equations.VEERG_4_3_1_8__1_MassOfNitrogenAppliedToSoilsScope1(G40,_xlfn.XLOOKUP($E139,$D$22:$D$26,$E$22:$E$26),_xlfn.XLOOKUP($E139,$D$31:$D$35,$E$31:$E$35),G52,G127)</f>
        <v>29.633159185145878</v>
      </c>
      <c r="H139" s="55" cm="1">
        <f t="array" ref="H139">MMS_Dairy_ManureAppliedToSoils_Equations.VEERG_4_3_1_8__1_MassOfNitrogenAppliedToSoilsScope1(H40,_xlfn.XLOOKUP($E139,$D$22:$D$26,$E$22:$E$26),_xlfn.XLOOKUP($E139,$D$31:$D$35,$E$31:$E$35),H52,H127)</f>
        <v>11.802573920124557</v>
      </c>
      <c r="I139" s="55" cm="1">
        <f t="array" ref="I139">MMS_Dairy_ManureAppliedToSoils_Equations.VEERG_4_3_1_8__1_MassOfNitrogenAppliedToSoilsScope1(I40,_xlfn.XLOOKUP($E139,$D$22:$D$26,$E$22:$E$26),_xlfn.XLOOKUP($E139,$D$31:$D$35,$E$31:$E$35),I52,I127)</f>
        <v>37.250053057728621</v>
      </c>
      <c r="J139" s="55" cm="1">
        <f t="array" ref="J139">MMS_Dairy_ManureAppliedToSoils_Equations.VEERG_4_3_1_8__1_MassOfNitrogenAppliedToSoilsScope1(J40,_xlfn.XLOOKUP($E139,$D$22:$D$26,$E$22:$E$26),_xlfn.XLOOKUP($E139,$D$31:$D$35,$E$31:$E$35),J52,J127)</f>
        <v>15.593964275346504</v>
      </c>
      <c r="K139" s="2" t="str">
        <f t="shared" ref="K139:K146" si="4">$E$95</f>
        <v>kg N</v>
      </c>
      <c r="O139" s="55" t="str">
        <f>'Input - Dairy'!$D$54</f>
        <v>Milking shed</v>
      </c>
      <c r="P139" s="55" t="str">
        <f>'Input - Dairy'!$D$67</f>
        <v>Anaerobic lagoon</v>
      </c>
      <c r="Q139" s="55" cm="1">
        <f t="array" ref="Q139">MMS_Dairy_ManureAppliedToSoils_Equations.VEERG_4_3_1_8__1_MassOfNitrogenAppliedToSoilsScope1(Q40,_xlfn.XLOOKUP($P139,$D$22:$D$26,$E$22:$E$26),_xlfn.XLOOKUP($P139,$D$31:$D$35,$E$31:$E$35),Q52,F127)</f>
        <v>34.490321636102792</v>
      </c>
      <c r="R139" s="55" cm="1">
        <f t="array" ref="R139">MMS_Dairy_ManureAppliedToSoils_Equations.VEERG_4_3_1_8__1_MassOfNitrogenAppliedToSoilsScope1(R40,_xlfn.XLOOKUP($P139,$D$22:$D$26,$E$22:$E$26),_xlfn.XLOOKUP($P139,$D$31:$D$35,$E$31:$E$35),R52,G127)</f>
        <v>29.633159185145878</v>
      </c>
      <c r="S139" s="55" cm="1">
        <f t="array" ref="S139">MMS_Dairy_ManureAppliedToSoils_Equations.VEERG_4_3_1_8__1_MassOfNitrogenAppliedToSoilsScope1(S40,_xlfn.XLOOKUP($P139,$D$22:$D$26,$E$22:$E$26),_xlfn.XLOOKUP($P139,$D$31:$D$35,$E$31:$E$35),S52,H127)</f>
        <v>11.802573920124557</v>
      </c>
      <c r="T139" s="55" cm="1">
        <f t="array" ref="T139">MMS_Dairy_ManureAppliedToSoils_Equations.VEERG_4_3_1_8__1_MassOfNitrogenAppliedToSoilsScope1(T40,_xlfn.XLOOKUP($P139,$D$22:$D$26,$E$22:$E$26),_xlfn.XLOOKUP($P139,$D$31:$D$35,$E$31:$E$35),T52,I127)</f>
        <v>37.250053057728621</v>
      </c>
      <c r="U139" s="55" cm="1">
        <f t="array" ref="U139">MMS_Dairy_ManureAppliedToSoils_Equations.VEERG_4_3_1_8__1_MassOfNitrogenAppliedToSoilsScope1(U40,_xlfn.XLOOKUP($P139,$D$22:$D$26,$E$22:$E$26),_xlfn.XLOOKUP($P139,$D$31:$D$35,$E$31:$E$35),U52,J127)</f>
        <v>15.593964275346504</v>
      </c>
      <c r="V139" s="2" t="str">
        <f t="shared" ref="V139:V146" si="5">$E$95</f>
        <v>kg N</v>
      </c>
    </row>
    <row r="140" spans="4:22" ht="20.100000000000001" customHeight="1" x14ac:dyDescent="0.25">
      <c r="D140" s="55" t="str">
        <f>'Input - Dairy'!$D$54</f>
        <v>Milking shed</v>
      </c>
      <c r="E140" s="55" t="str">
        <f>'Input - Dairy'!$D$72</f>
        <v>Sump and dispersal system</v>
      </c>
      <c r="F140" s="55" cm="1">
        <f t="array" ref="F140">MMS_Dairy_ManureAppliedToSoils_Equations.VEERG_4_3_1_8__1_MassOfNitrogenAppliedToSoilsScope1(F41,_xlfn.XLOOKUP($E140,$D$22:$D$26,$E$22:$E$26),_xlfn.XLOOKUP($E140,$D$31:$D$35,$E$31:$E$35),F53,F128)</f>
        <v>49.347690956270142</v>
      </c>
      <c r="G140" s="55" cm="1">
        <f t="array" ref="G140">MMS_Dairy_ManureAppliedToSoils_Equations.VEERG_4_3_1_8__1_MassOfNitrogenAppliedToSoilsScope1(G41,_xlfn.XLOOKUP($E140,$D$22:$D$26,$E$22:$E$26),_xlfn.XLOOKUP($E140,$D$31:$D$35,$E$31:$E$35),G53,G128)</f>
        <v>42.398212372593328</v>
      </c>
      <c r="H140" s="55" cm="1">
        <f t="array" ref="H140">MMS_Dairy_ManureAppliedToSoils_Equations.VEERG_4_3_1_8__1_MassOfNitrogenAppliedToSoilsScope1(H41,_xlfn.XLOOKUP($E140,$D$22:$D$26,$E$22:$E$26),_xlfn.XLOOKUP($E140,$D$31:$D$35,$E$31:$E$35),H53,H128)</f>
        <v>16.886759608793596</v>
      </c>
      <c r="I140" s="55" cm="1">
        <f t="array" ref="I140">MMS_Dairy_ManureAppliedToSoils_Equations.VEERG_4_3_1_8__1_MassOfNitrogenAppliedToSoilsScope1(I41,_xlfn.XLOOKUP($E140,$D$22:$D$26,$E$22:$E$26),_xlfn.XLOOKUP($E140,$D$31:$D$35,$E$31:$E$35),I53,I128)</f>
        <v>53.296229759519406</v>
      </c>
      <c r="J140" s="55" cm="1">
        <f t="array" ref="J140">MMS_Dairy_ManureAppliedToSoils_Equations.VEERG_4_3_1_8__1_MassOfNitrogenAppliedToSoilsScope1(J41,_xlfn.XLOOKUP($E140,$D$22:$D$26,$E$22:$E$26),_xlfn.XLOOKUP($E140,$D$31:$D$35,$E$31:$E$35),J53,J128)</f>
        <v>22.311364270880382</v>
      </c>
      <c r="K140" s="2" t="str">
        <f t="shared" si="4"/>
        <v>kg N</v>
      </c>
      <c r="O140" s="55" t="str">
        <f>'Input - Dairy'!$D$54</f>
        <v>Milking shed</v>
      </c>
      <c r="P140" s="55" t="str">
        <f>'Input - Dairy'!$D$72</f>
        <v>Sump and dispersal system</v>
      </c>
      <c r="Q140" s="55" cm="1">
        <f t="array" ref="Q140">MMS_Dairy_ManureAppliedToSoils_Equations.VEERG_4_3_1_8__1_MassOfNitrogenAppliedToSoilsScope1(Q41,_xlfn.XLOOKUP($P140,$D$22:$D$26,$E$22:$E$26),_xlfn.XLOOKUP($P140,$D$31:$D$35,$E$31:$E$35),Q53,F128)</f>
        <v>49.347690956270142</v>
      </c>
      <c r="R140" s="55" cm="1">
        <f t="array" ref="R140">MMS_Dairy_ManureAppliedToSoils_Equations.VEERG_4_3_1_8__1_MassOfNitrogenAppliedToSoilsScope1(R41,_xlfn.XLOOKUP($P140,$D$22:$D$26,$E$22:$E$26),_xlfn.XLOOKUP($P140,$D$31:$D$35,$E$31:$E$35),R53,G128)</f>
        <v>42.398212372593328</v>
      </c>
      <c r="S140" s="55" cm="1">
        <f t="array" ref="S140">MMS_Dairy_ManureAppliedToSoils_Equations.VEERG_4_3_1_8__1_MassOfNitrogenAppliedToSoilsScope1(S41,_xlfn.XLOOKUP($P140,$D$22:$D$26,$E$22:$E$26),_xlfn.XLOOKUP($P140,$D$31:$D$35,$E$31:$E$35),S53,H128)</f>
        <v>16.886759608793596</v>
      </c>
      <c r="T140" s="55" cm="1">
        <f t="array" ref="T140">MMS_Dairy_ManureAppliedToSoils_Equations.VEERG_4_3_1_8__1_MassOfNitrogenAppliedToSoilsScope1(T41,_xlfn.XLOOKUP($P140,$D$22:$D$26,$E$22:$E$26),_xlfn.XLOOKUP($P140,$D$31:$D$35,$E$31:$E$35),T53,I128)</f>
        <v>53.296229759519406</v>
      </c>
      <c r="U140" s="55" cm="1">
        <f t="array" ref="U140">MMS_Dairy_ManureAppliedToSoils_Equations.VEERG_4_3_1_8__1_MassOfNitrogenAppliedToSoilsScope1(U41,_xlfn.XLOOKUP($P140,$D$22:$D$26,$E$22:$E$26),_xlfn.XLOOKUP($P140,$D$31:$D$35,$E$31:$E$35),U53,J128)</f>
        <v>22.311364270880382</v>
      </c>
      <c r="V140" s="2" t="str">
        <f t="shared" si="5"/>
        <v>kg N</v>
      </c>
    </row>
    <row r="141" spans="4:22" ht="20.100000000000001" customHeight="1" x14ac:dyDescent="0.25">
      <c r="D141" s="55" t="str">
        <f>'Input - Dairy'!$D$54</f>
        <v>Milking shed</v>
      </c>
      <c r="E141" s="55" t="str">
        <f>'Input - Dairy'!$D$77</f>
        <v>Drains to paddock</v>
      </c>
      <c r="F141" s="55" cm="1">
        <f t="array" ref="F141">MMS_Dairy_ManureAppliedToSoils_Equations.VEERG_4_3_1_8__1_MassOfNitrogenAppliedToSoilsScope1(F42,_xlfn.XLOOKUP($E141,$D$22:$D$26,$E$22:$E$26),_xlfn.XLOOKUP($E141,$D$31:$D$35,$E$31:$E$35),F54,F129)</f>
        <v>42.44962662904959</v>
      </c>
      <c r="G141" s="55" cm="1">
        <f t="array" ref="G141">MMS_Dairy_ManureAppliedToSoils_Equations.VEERG_4_3_1_8__1_MassOfNitrogenAppliedToSoilsScope1(G42,_xlfn.XLOOKUP($E141,$D$22:$D$26,$E$22:$E$26),_xlfn.XLOOKUP($E141,$D$31:$D$35,$E$31:$E$35),G54,G129)</f>
        <v>36.471580535564158</v>
      </c>
      <c r="H141" s="55" cm="1">
        <f t="array" ref="H141">MMS_Dairy_ManureAppliedToSoils_Equations.VEERG_4_3_1_8__1_MassOfNitrogenAppliedToSoilsScope1(H42,_xlfn.XLOOKUP($E141,$D$22:$D$26,$E$22:$E$26),_xlfn.XLOOKUP($E141,$D$31:$D$35,$E$31:$E$35),H54,H129)</f>
        <v>14.526244824768686</v>
      </c>
      <c r="I141" s="55" cm="1">
        <f t="array" ref="I141">MMS_Dairy_ManureAppliedToSoils_Equations.VEERG_4_3_1_8__1_MassOfNitrogenAppliedToSoilsScope1(I42,_xlfn.XLOOKUP($E141,$D$22:$D$26,$E$22:$E$26),_xlfn.XLOOKUP($E141,$D$31:$D$35,$E$31:$E$35),I54,I129)</f>
        <v>45.846219147973692</v>
      </c>
      <c r="J141" s="55" cm="1">
        <f t="array" ref="J141">MMS_Dairy_ManureAppliedToSoils_Equations.VEERG_4_3_1_8__1_MassOfNitrogenAppliedToSoilsScope1(J42,_xlfn.XLOOKUP($E141,$D$22:$D$26,$E$22:$E$26),_xlfn.XLOOKUP($E141,$D$31:$D$35,$E$31:$E$35),J54,J129)</f>
        <v>19.192571415811084</v>
      </c>
      <c r="K141" s="2" t="str">
        <f t="shared" si="4"/>
        <v>kg N</v>
      </c>
      <c r="O141" s="55" t="str">
        <f>'Input - Dairy'!$D$54</f>
        <v>Milking shed</v>
      </c>
      <c r="P141" s="55" t="str">
        <f>'Input - Dairy'!$D$77</f>
        <v>Drains to paddock</v>
      </c>
      <c r="Q141" s="55" cm="1">
        <f t="array" ref="Q141">MMS_Dairy_ManureAppliedToSoils_Equations.VEERG_4_3_1_8__1_MassOfNitrogenAppliedToSoilsScope1(Q42,_xlfn.XLOOKUP($P141,$D$22:$D$26,$E$22:$E$26),_xlfn.XLOOKUP($P141,$D$31:$D$35,$E$31:$E$35),Q54,F129)</f>
        <v>42.44962662904959</v>
      </c>
      <c r="R141" s="55" cm="1">
        <f t="array" ref="R141">MMS_Dairy_ManureAppliedToSoils_Equations.VEERG_4_3_1_8__1_MassOfNitrogenAppliedToSoilsScope1(R42,_xlfn.XLOOKUP($P141,$D$22:$D$26,$E$22:$E$26),_xlfn.XLOOKUP($P141,$D$31:$D$35,$E$31:$E$35),R54,G129)</f>
        <v>36.471580535564158</v>
      </c>
      <c r="S141" s="55" cm="1">
        <f t="array" ref="S141">MMS_Dairy_ManureAppliedToSoils_Equations.VEERG_4_3_1_8__1_MassOfNitrogenAppliedToSoilsScope1(S42,_xlfn.XLOOKUP($P141,$D$22:$D$26,$E$22:$E$26),_xlfn.XLOOKUP($P141,$D$31:$D$35,$E$31:$E$35),S54,H129)</f>
        <v>14.526244824768686</v>
      </c>
      <c r="T141" s="55" cm="1">
        <f t="array" ref="T141">MMS_Dairy_ManureAppliedToSoils_Equations.VEERG_4_3_1_8__1_MassOfNitrogenAppliedToSoilsScope1(T42,_xlfn.XLOOKUP($P141,$D$22:$D$26,$E$22:$E$26),_xlfn.XLOOKUP($P141,$D$31:$D$35,$E$31:$E$35),T54,I129)</f>
        <v>45.846219147973692</v>
      </c>
      <c r="U141" s="55" cm="1">
        <f t="array" ref="U141">MMS_Dairy_ManureAppliedToSoils_Equations.VEERG_4_3_1_8__1_MassOfNitrogenAppliedToSoilsScope1(U42,_xlfn.XLOOKUP($P141,$D$22:$D$26,$E$22:$E$26),_xlfn.XLOOKUP($P141,$D$31:$D$35,$E$31:$E$35),U54,J129)</f>
        <v>19.192571415811084</v>
      </c>
      <c r="V141" s="2" t="str">
        <f t="shared" si="5"/>
        <v>kg N</v>
      </c>
    </row>
    <row r="142" spans="4:22" ht="20.100000000000001" customHeight="1" x14ac:dyDescent="0.25">
      <c r="D142" s="55" t="str">
        <f>'Input - Dairy'!$D$54</f>
        <v>Milking shed</v>
      </c>
      <c r="E142" s="55" t="str">
        <f>'Input - Dairy'!$D$82</f>
        <v>Solid storage</v>
      </c>
      <c r="F142" s="55" cm="1">
        <f t="array" ref="F142">MMS_Dairy_ManureAppliedToSoils_Equations.VEERG_4_3_1_8__1_MassOfNitrogenAppliedToSoilsScope1(F43,_xlfn.XLOOKUP($E142,$D$22:$D$26,$E$22:$E$26),_xlfn.XLOOKUP($E142,$D$31:$D$35,$E$31:$E$35),F55,F130)</f>
        <v>71.633744936521182</v>
      </c>
      <c r="G142" s="55" cm="1">
        <f t="array" ref="G142">MMS_Dairy_ManureAppliedToSoils_Equations.VEERG_4_3_1_8__1_MassOfNitrogenAppliedToSoilsScope1(G43,_xlfn.XLOOKUP($E142,$D$22:$D$26,$E$22:$E$26),_xlfn.XLOOKUP($E142,$D$31:$D$35,$E$31:$E$35),G55,G130)</f>
        <v>61.545792153764516</v>
      </c>
      <c r="H142" s="55" cm="1">
        <f t="array" ref="H142">MMS_Dairy_ManureAppliedToSoils_Equations.VEERG_4_3_1_8__1_MassOfNitrogenAppliedToSoilsScope1(H43,_xlfn.XLOOKUP($E142,$D$22:$D$26,$E$22:$E$26),_xlfn.XLOOKUP($E142,$D$31:$D$35,$E$31:$E$35),H55,H130)</f>
        <v>24.51303814179715</v>
      </c>
      <c r="I142" s="55" cm="1">
        <f t="array" ref="I142">MMS_Dairy_ManureAppliedToSoils_Equations.VEERG_4_3_1_8__1_MassOfNitrogenAppliedToSoilsScope1(I43,_xlfn.XLOOKUP($E142,$D$22:$D$26,$E$22:$E$26),_xlfn.XLOOKUP($E142,$D$31:$D$35,$E$31:$E$35),I55,I130)</f>
        <v>77.365494812205597</v>
      </c>
      <c r="J142" s="55" cm="1">
        <f t="array" ref="J142">MMS_Dairy_ManureAppliedToSoils_Equations.VEERG_4_3_1_8__1_MassOfNitrogenAppliedToSoilsScope1(J43,_xlfn.XLOOKUP($E142,$D$22:$D$26,$E$22:$E$26),_xlfn.XLOOKUP($E142,$D$31:$D$35,$E$31:$E$35),J55,J130)</f>
        <v>32.387464264181197</v>
      </c>
      <c r="K142" s="2" t="str">
        <f t="shared" si="4"/>
        <v>kg N</v>
      </c>
      <c r="O142" s="55" t="str">
        <f>'Input - Dairy'!$D$54</f>
        <v>Milking shed</v>
      </c>
      <c r="P142" s="55" t="str">
        <f>'Input - Dairy'!$D$82</f>
        <v>Solid storage</v>
      </c>
      <c r="Q142" s="55" cm="1">
        <f t="array" ref="Q142">MMS_Dairy_ManureAppliedToSoils_Equations.VEERG_4_3_1_8__1_MassOfNitrogenAppliedToSoilsScope1(Q43,_xlfn.XLOOKUP($P142,$D$22:$D$26,$E$22:$E$26),_xlfn.XLOOKUP($P142,$D$31:$D$35,$E$31:$E$35),Q55,F130)</f>
        <v>71.633744936521182</v>
      </c>
      <c r="R142" s="55" cm="1">
        <f t="array" ref="R142">MMS_Dairy_ManureAppliedToSoils_Equations.VEERG_4_3_1_8__1_MassOfNitrogenAppliedToSoilsScope1(R43,_xlfn.XLOOKUP($P142,$D$22:$D$26,$E$22:$E$26),_xlfn.XLOOKUP($P142,$D$31:$D$35,$E$31:$E$35),R55,G130)</f>
        <v>61.545792153764516</v>
      </c>
      <c r="S142" s="55" cm="1">
        <f t="array" ref="S142">MMS_Dairy_ManureAppliedToSoils_Equations.VEERG_4_3_1_8__1_MassOfNitrogenAppliedToSoilsScope1(S43,_xlfn.XLOOKUP($P142,$D$22:$D$26,$E$22:$E$26),_xlfn.XLOOKUP($P142,$D$31:$D$35,$E$31:$E$35),S55,H130)</f>
        <v>24.51303814179715</v>
      </c>
      <c r="T142" s="55" cm="1">
        <f t="array" ref="T142">MMS_Dairy_ManureAppliedToSoils_Equations.VEERG_4_3_1_8__1_MassOfNitrogenAppliedToSoilsScope1(T43,_xlfn.XLOOKUP($P142,$D$22:$D$26,$E$22:$E$26),_xlfn.XLOOKUP($P142,$D$31:$D$35,$E$31:$E$35),T55,I130)</f>
        <v>77.365494812205597</v>
      </c>
      <c r="U142" s="55" cm="1">
        <f t="array" ref="U142">MMS_Dairy_ManureAppliedToSoils_Equations.VEERG_4_3_1_8__1_MassOfNitrogenAppliedToSoilsScope1(U43,_xlfn.XLOOKUP($P142,$D$22:$D$26,$E$22:$E$26),_xlfn.XLOOKUP($P142,$D$31:$D$35,$E$31:$E$35),U55,J130)</f>
        <v>32.387464264181197</v>
      </c>
      <c r="V142" s="2" t="str">
        <f t="shared" si="5"/>
        <v>kg N</v>
      </c>
    </row>
    <row r="143" spans="4:22" ht="20.100000000000001" customHeight="1" x14ac:dyDescent="0.25">
      <c r="D143" s="55" t="str">
        <f>'Input - Dairy'!$D$55</f>
        <v>Feed pad</v>
      </c>
      <c r="E143" s="55" t="str">
        <f>'Input - Dairy'!$D$101</f>
        <v>Anaerobic lagoon</v>
      </c>
      <c r="F143" s="55" cm="1">
        <f t="array" ref="F143">MMS_Dairy_ManureAppliedToSoils_Equations.VEERG_4_3_1_8__1_MassOfNitrogenAppliedToSoilsScope1(F44,_xlfn.XLOOKUP($E143,$D$22:$D$26,$E$22:$E$26),_xlfn.XLOOKUP($E143,$D$31:$D$35,$E$31:$E$35),F56,F131)</f>
        <v>139.52902843696128</v>
      </c>
      <c r="G143" s="55" cm="1">
        <f t="array" ref="G143">MMS_Dairy_ManureAppliedToSoils_Equations.VEERG_4_3_1_8__1_MassOfNitrogenAppliedToSoilsScope1(G44,_xlfn.XLOOKUP($E143,$D$22:$D$26,$E$22:$E$26),_xlfn.XLOOKUP($E143,$D$31:$D$35,$E$31:$E$35),G56,G131)</f>
        <v>119.87959852172649</v>
      </c>
      <c r="H143" s="55" cm="1">
        <f t="array" ref="H143">MMS_Dairy_ManureAppliedToSoils_Equations.VEERG_4_3_1_8__1_MassOfNitrogenAppliedToSoilsScope1(H44,_xlfn.XLOOKUP($E143,$D$22:$D$26,$E$22:$E$26),_xlfn.XLOOKUP($E143,$D$31:$D$35,$E$31:$E$35),H56,H131)</f>
        <v>47.746776313231159</v>
      </c>
      <c r="I143" s="55" cm="1">
        <f t="array" ref="I143">MMS_Dairy_ManureAppliedToSoils_Equations.VEERG_4_3_1_8__1_MassOfNitrogenAppliedToSoilsScope1(I44,_xlfn.XLOOKUP($E143,$D$22:$D$26,$E$22:$E$26),_xlfn.XLOOKUP($E143,$D$31:$D$35,$E$31:$E$35),I56,I131)</f>
        <v>150.69339646081124</v>
      </c>
      <c r="J143" s="55" cm="1">
        <f t="array" ref="J143">MMS_Dairy_ManureAppliedToSoils_Equations.VEERG_4_3_1_8__1_MassOfNitrogenAppliedToSoilsScope1(J44,_xlfn.XLOOKUP($E143,$D$22:$D$26,$E$22:$E$26),_xlfn.XLOOKUP($E143,$D$31:$D$35,$E$31:$E$35),J56,J131)</f>
        <v>63.084673659356305</v>
      </c>
      <c r="K143" s="2" t="str">
        <f t="shared" si="4"/>
        <v>kg N</v>
      </c>
      <c r="O143" s="55" t="str">
        <f>'Input - Dairy'!$D$55</f>
        <v>Feed pad</v>
      </c>
      <c r="P143" s="55" t="str">
        <f>'Input - Dairy'!$D$101</f>
        <v>Anaerobic lagoon</v>
      </c>
      <c r="Q143" s="55" cm="1">
        <f t="array" ref="Q143">MMS_Dairy_ManureAppliedToSoils_Equations.VEERG_4_3_1_8__1_MassOfNitrogenAppliedToSoilsScope1(Q44,_xlfn.XLOOKUP($P143,$D$22:$D$26,$E$22:$E$26),_xlfn.XLOOKUP($P143,$D$31:$D$35,$E$31:$E$35),Q56,F131)</f>
        <v>139.52902843696128</v>
      </c>
      <c r="R143" s="55" cm="1">
        <f t="array" ref="R143">MMS_Dairy_ManureAppliedToSoils_Equations.VEERG_4_3_1_8__1_MassOfNitrogenAppliedToSoilsScope1(R44,_xlfn.XLOOKUP($P143,$D$22:$D$26,$E$22:$E$26),_xlfn.XLOOKUP($P143,$D$31:$D$35,$E$31:$E$35),R56,G131)</f>
        <v>119.87959852172649</v>
      </c>
      <c r="S143" s="55" cm="1">
        <f t="array" ref="S143">MMS_Dairy_ManureAppliedToSoils_Equations.VEERG_4_3_1_8__1_MassOfNitrogenAppliedToSoilsScope1(S44,_xlfn.XLOOKUP($P143,$D$22:$D$26,$E$22:$E$26),_xlfn.XLOOKUP($P143,$D$31:$D$35,$E$31:$E$35),S56,H131)</f>
        <v>47.746776313231159</v>
      </c>
      <c r="T143" s="55" cm="1">
        <f t="array" ref="T143">MMS_Dairy_ManureAppliedToSoils_Equations.VEERG_4_3_1_8__1_MassOfNitrogenAppliedToSoilsScope1(T44,_xlfn.XLOOKUP($P143,$D$22:$D$26,$E$22:$E$26),_xlfn.XLOOKUP($P143,$D$31:$D$35,$E$31:$E$35),T56,I131)</f>
        <v>150.69339646081124</v>
      </c>
      <c r="U143" s="55" cm="1">
        <f t="array" ref="U143">MMS_Dairy_ManureAppliedToSoils_Equations.VEERG_4_3_1_8__1_MassOfNitrogenAppliedToSoilsScope1(U44,_xlfn.XLOOKUP($P143,$D$22:$D$26,$E$22:$E$26),_xlfn.XLOOKUP($P143,$D$31:$D$35,$E$31:$E$35),U56,J131)</f>
        <v>63.084673659356305</v>
      </c>
      <c r="V143" s="2" t="str">
        <f t="shared" si="5"/>
        <v>kg N</v>
      </c>
    </row>
    <row r="144" spans="4:22" ht="20.100000000000001" customHeight="1" x14ac:dyDescent="0.25">
      <c r="D144" s="55" t="str">
        <f>'Input - Dairy'!$D$55</f>
        <v>Feed pad</v>
      </c>
      <c r="E144" s="55" t="str">
        <f>'Input - Dairy'!$D$106</f>
        <v>Sump and dispersal system</v>
      </c>
      <c r="F144" s="55" cm="1">
        <f t="array" ref="F144">MMS_Dairy_ManureAppliedToSoils_Equations.VEERG_4_3_1_8__1_MassOfNitrogenAppliedToSoilsScope1(F45,_xlfn.XLOOKUP($E144,$D$22:$D$26,$E$22:$E$26),_xlfn.XLOOKUP($E144,$D$31:$D$35,$E$31:$E$35),F57,F132)</f>
        <v>159.70707254938335</v>
      </c>
      <c r="G144" s="55" cm="1">
        <f t="array" ref="G144">MMS_Dairy_ManureAppliedToSoils_Equations.VEERG_4_3_1_8__1_MassOfNitrogenAppliedToSoilsScope1(G45,_xlfn.XLOOKUP($E144,$D$22:$D$26,$E$22:$E$26),_xlfn.XLOOKUP($E144,$D$31:$D$35,$E$31:$E$35),G57,G132)</f>
        <v>137.21603276948386</v>
      </c>
      <c r="H144" s="55" cm="1">
        <f t="array" ref="H144">MMS_Dairy_ManureAppliedToSoils_Equations.VEERG_4_3_1_8__1_MassOfNitrogenAppliedToSoilsScope1(H45,_xlfn.XLOOKUP($E144,$D$22:$D$26,$E$22:$E$26),_xlfn.XLOOKUP($E144,$D$31:$D$35,$E$31:$E$35),H57,H132)</f>
        <v>54.651694733913814</v>
      </c>
      <c r="I144" s="55" cm="1">
        <f t="array" ref="I144">MMS_Dairy_ManureAppliedToSoils_Equations.VEERG_4_3_1_8__1_MassOfNitrogenAppliedToSoilsScope1(I45,_xlfn.XLOOKUP($E144,$D$22:$D$26,$E$22:$E$26),_xlfn.XLOOKUP($E144,$D$31:$D$35,$E$31:$E$35),I57,I132)</f>
        <v>172.48597994899006</v>
      </c>
      <c r="J144" s="55" cm="1">
        <f t="array" ref="J144">MMS_Dairy_ManureAppliedToSoils_Equations.VEERG_4_3_1_8__1_MassOfNitrogenAppliedToSoilsScope1(J45,_xlfn.XLOOKUP($E144,$D$22:$D$26,$E$22:$E$26),_xlfn.XLOOKUP($E144,$D$31:$D$35,$E$31:$E$35),J57,J132)</f>
        <v>72.207688003940135</v>
      </c>
      <c r="K144" s="2" t="str">
        <f t="shared" si="4"/>
        <v>kg N</v>
      </c>
      <c r="O144" s="55" t="str">
        <f>'Input - Dairy'!$D$55</f>
        <v>Feed pad</v>
      </c>
      <c r="P144" s="55" t="str">
        <f>'Input - Dairy'!$D$106</f>
        <v>Sump and dispersal system</v>
      </c>
      <c r="Q144" s="55" cm="1">
        <f t="array" ref="Q144">MMS_Dairy_ManureAppliedToSoils_Equations.VEERG_4_3_1_8__1_MassOfNitrogenAppliedToSoilsScope1(Q45,_xlfn.XLOOKUP($P144,$D$22:$D$26,$E$22:$E$26),_xlfn.XLOOKUP($P144,$D$31:$D$35,$E$31:$E$35),Q57,F132)</f>
        <v>159.70707254938335</v>
      </c>
      <c r="R144" s="55" cm="1">
        <f t="array" ref="R144">MMS_Dairy_ManureAppliedToSoils_Equations.VEERG_4_3_1_8__1_MassOfNitrogenAppliedToSoilsScope1(R45,_xlfn.XLOOKUP($P144,$D$22:$D$26,$E$22:$E$26),_xlfn.XLOOKUP($P144,$D$31:$D$35,$E$31:$E$35),R57,G132)</f>
        <v>137.21603276948386</v>
      </c>
      <c r="S144" s="55" cm="1">
        <f t="array" ref="S144">MMS_Dairy_ManureAppliedToSoils_Equations.VEERG_4_3_1_8__1_MassOfNitrogenAppliedToSoilsScope1(S45,_xlfn.XLOOKUP($P144,$D$22:$D$26,$E$22:$E$26),_xlfn.XLOOKUP($P144,$D$31:$D$35,$E$31:$E$35),S57,H132)</f>
        <v>54.651694733913814</v>
      </c>
      <c r="T144" s="55" cm="1">
        <f t="array" ref="T144">MMS_Dairy_ManureAppliedToSoils_Equations.VEERG_4_3_1_8__1_MassOfNitrogenAppliedToSoilsScope1(T45,_xlfn.XLOOKUP($P144,$D$22:$D$26,$E$22:$E$26),_xlfn.XLOOKUP($P144,$D$31:$D$35,$E$31:$E$35),T57,I132)</f>
        <v>172.48597994899006</v>
      </c>
      <c r="U144" s="55" cm="1">
        <f t="array" ref="U144">MMS_Dairy_ManureAppliedToSoils_Equations.VEERG_4_3_1_8__1_MassOfNitrogenAppliedToSoilsScope1(U45,_xlfn.XLOOKUP($P144,$D$22:$D$26,$E$22:$E$26),_xlfn.XLOOKUP($P144,$D$31:$D$35,$E$31:$E$35),U57,J132)</f>
        <v>72.207688003940135</v>
      </c>
      <c r="V144" s="2" t="str">
        <f t="shared" si="5"/>
        <v>kg N</v>
      </c>
    </row>
    <row r="145" spans="4:22" ht="20.100000000000001" customHeight="1" x14ac:dyDescent="0.25">
      <c r="D145" s="55" t="str">
        <f>'Input - Dairy'!$D$55</f>
        <v>Feed pad</v>
      </c>
      <c r="E145" s="55" t="str">
        <f>'Input - Dairy'!$D$111</f>
        <v>Drains to paddock</v>
      </c>
      <c r="F145" s="55" cm="1">
        <f t="array" ref="F145">MMS_Dairy_ManureAppliedToSoils_Equations.VEERG_4_3_1_8__1_MassOfNitrogenAppliedToSoilsScope1(F46,_xlfn.XLOOKUP($E145,$D$22:$D$26,$E$22:$E$26),_xlfn.XLOOKUP($E145,$D$31:$D$35,$E$31:$E$35),F58,F133)</f>
        <v>137.38242799946957</v>
      </c>
      <c r="G145" s="55" cm="1">
        <f t="array" ref="G145">MMS_Dairy_ManureAppliedToSoils_Equations.VEERG_4_3_1_8__1_MassOfNitrogenAppliedToSoilsScope1(G46,_xlfn.XLOOKUP($E145,$D$22:$D$26,$E$22:$E$26),_xlfn.XLOOKUP($E145,$D$31:$D$35,$E$31:$E$35),G58,G133)</f>
        <v>118.03529700600764</v>
      </c>
      <c r="H145" s="55" cm="1">
        <f t="array" ref="H145">MMS_Dairy_ManureAppliedToSoils_Equations.VEERG_4_3_1_8__1_MassOfNitrogenAppliedToSoilsScope1(H46,_xlfn.XLOOKUP($E145,$D$22:$D$26,$E$22:$E$26),_xlfn.XLOOKUP($E145,$D$31:$D$35,$E$31:$E$35),H58,H133)</f>
        <v>47.012210523796831</v>
      </c>
      <c r="I145" s="55" cm="1">
        <f t="array" ref="I145">MMS_Dairy_ManureAppliedToSoils_Equations.VEERG_4_3_1_8__1_MassOfNitrogenAppliedToSoilsScope1(I46,_xlfn.XLOOKUP($E145,$D$22:$D$26,$E$22:$E$26),_xlfn.XLOOKUP($E145,$D$31:$D$35,$E$31:$E$35),I58,I133)</f>
        <v>148.37503651526029</v>
      </c>
      <c r="J145" s="55" cm="1">
        <f t="array" ref="J145">MMS_Dairy_ManureAppliedToSoils_Equations.VEERG_4_3_1_8__1_MassOfNitrogenAppliedToSoilsScope1(J46,_xlfn.XLOOKUP($E145,$D$22:$D$26,$E$22:$E$26),_xlfn.XLOOKUP($E145,$D$31:$D$35,$E$31:$E$35),J58,J133)</f>
        <v>62.114140218443133</v>
      </c>
      <c r="K145" s="2" t="str">
        <f t="shared" si="4"/>
        <v>kg N</v>
      </c>
      <c r="O145" s="55" t="str">
        <f>'Input - Dairy'!$D$55</f>
        <v>Feed pad</v>
      </c>
      <c r="P145" s="55" t="str">
        <f>'Input - Dairy'!$D$111</f>
        <v>Drains to paddock</v>
      </c>
      <c r="Q145" s="55" cm="1">
        <f t="array" ref="Q145">MMS_Dairy_ManureAppliedToSoils_Equations.VEERG_4_3_1_8__1_MassOfNitrogenAppliedToSoilsScope1(Q46,_xlfn.XLOOKUP($P145,$D$22:$D$26,$E$22:$E$26),_xlfn.XLOOKUP($P145,$D$31:$D$35,$E$31:$E$35),Q58,F133)</f>
        <v>137.38242799946957</v>
      </c>
      <c r="R145" s="55" cm="1">
        <f t="array" ref="R145">MMS_Dairy_ManureAppliedToSoils_Equations.VEERG_4_3_1_8__1_MassOfNitrogenAppliedToSoilsScope1(R46,_xlfn.XLOOKUP($P145,$D$22:$D$26,$E$22:$E$26),_xlfn.XLOOKUP($P145,$D$31:$D$35,$E$31:$E$35),R58,G133)</f>
        <v>118.03529700600764</v>
      </c>
      <c r="S145" s="55" cm="1">
        <f t="array" ref="S145">MMS_Dairy_ManureAppliedToSoils_Equations.VEERG_4_3_1_8__1_MassOfNitrogenAppliedToSoilsScope1(S46,_xlfn.XLOOKUP($P145,$D$22:$D$26,$E$22:$E$26),_xlfn.XLOOKUP($P145,$D$31:$D$35,$E$31:$E$35),S58,H133)</f>
        <v>47.012210523796831</v>
      </c>
      <c r="T145" s="55" cm="1">
        <f t="array" ref="T145">MMS_Dairy_ManureAppliedToSoils_Equations.VEERG_4_3_1_8__1_MassOfNitrogenAppliedToSoilsScope1(T46,_xlfn.XLOOKUP($P145,$D$22:$D$26,$E$22:$E$26),_xlfn.XLOOKUP($P145,$D$31:$D$35,$E$31:$E$35),T58,I133)</f>
        <v>148.37503651526029</v>
      </c>
      <c r="U145" s="55" cm="1">
        <f t="array" ref="U145">MMS_Dairy_ManureAppliedToSoils_Equations.VEERG_4_3_1_8__1_MassOfNitrogenAppliedToSoilsScope1(U46,_xlfn.XLOOKUP($P145,$D$22:$D$26,$E$22:$E$26),_xlfn.XLOOKUP($P145,$D$31:$D$35,$E$31:$E$35),U58,J133)</f>
        <v>62.114140218443133</v>
      </c>
      <c r="V145" s="2" t="str">
        <f t="shared" si="5"/>
        <v>kg N</v>
      </c>
    </row>
    <row r="146" spans="4:22" ht="20.100000000000001" customHeight="1" x14ac:dyDescent="0.25">
      <c r="D146" s="55" t="str">
        <f>'Input - Dairy'!$D$55</f>
        <v>Feed pad</v>
      </c>
      <c r="E146" s="55" t="str">
        <f>'Input - Dairy'!$D$116</f>
        <v>Solid storage</v>
      </c>
      <c r="F146" s="55" cm="1">
        <f t="array" ref="F146">MMS_Dairy_ManureAppliedToSoils_Equations.VEERG_4_3_1_8__1_MassOfNitrogenAppliedToSoilsScope1(F47,_xlfn.XLOOKUP($E146,$D$22:$D$26,$E$22:$E$26),_xlfn.XLOOKUP($E146,$D$31:$D$35,$E$31:$E$35),F59,F134)</f>
        <v>202.85374134296677</v>
      </c>
      <c r="G146" s="55" cm="1">
        <f t="array" ref="G146">MMS_Dairy_ManureAppliedToSoils_Equations.VEERG_4_3_1_8__1_MassOfNitrogenAppliedToSoilsScope1(G47,_xlfn.XLOOKUP($E146,$D$22:$D$26,$E$22:$E$26),_xlfn.XLOOKUP($E146,$D$31:$D$35,$E$31:$E$35),G59,G134)</f>
        <v>174.28649323543314</v>
      </c>
      <c r="H146" s="55" cm="1">
        <f t="array" ref="H146">MMS_Dairy_ManureAppliedToSoils_Equations.VEERG_4_3_1_8__1_MassOfNitrogenAppliedToSoilsScope1(H47,_xlfn.XLOOKUP($E146,$D$22:$D$26,$E$22:$E$26),_xlfn.XLOOKUP($E146,$D$31:$D$35,$E$31:$E$35),H59,H134)</f>
        <v>69.416467101543759</v>
      </c>
      <c r="I146" s="55" cm="1">
        <f t="array" ref="I146">MMS_Dairy_ManureAppliedToSoils_Equations.VEERG_4_3_1_8__1_MassOfNitrogenAppliedToSoilsScope1(I47,_xlfn.XLOOKUP($E146,$D$22:$D$26,$E$22:$E$26),_xlfn.XLOOKUP($E146,$D$31:$D$35,$E$31:$E$35),I59,I134)</f>
        <v>219.08501485456401</v>
      </c>
      <c r="J146" s="55" cm="1">
        <f t="array" ref="J146">MMS_Dairy_ManureAppliedToSoils_Equations.VEERG_4_3_1_8__1_MassOfNitrogenAppliedToSoilsScope1(J47,_xlfn.XLOOKUP($E146,$D$22:$D$26,$E$22:$E$26),_xlfn.XLOOKUP($E146,$D$31:$D$35,$E$31:$E$35),J59,J134)</f>
        <v>91.715410166294944</v>
      </c>
      <c r="K146" s="2" t="str">
        <f t="shared" si="4"/>
        <v>kg N</v>
      </c>
      <c r="O146" s="55" t="str">
        <f>'Input - Dairy'!$D$55</f>
        <v>Feed pad</v>
      </c>
      <c r="P146" s="55" t="str">
        <f>'Input - Dairy'!$D$116</f>
        <v>Solid storage</v>
      </c>
      <c r="Q146" s="55" cm="1">
        <f t="array" ref="Q146">MMS_Dairy_ManureAppliedToSoils_Equations.VEERG_4_3_1_8__1_MassOfNitrogenAppliedToSoilsScope1(Q47,_xlfn.XLOOKUP($P146,$D$22:$D$26,$E$22:$E$26),_xlfn.XLOOKUP($P146,$D$31:$D$35,$E$31:$E$35),Q59,F134)</f>
        <v>202.85374134296677</v>
      </c>
      <c r="R146" s="55" cm="1">
        <f t="array" ref="R146">MMS_Dairy_ManureAppliedToSoils_Equations.VEERG_4_3_1_8__1_MassOfNitrogenAppliedToSoilsScope1(R47,_xlfn.XLOOKUP($P146,$D$22:$D$26,$E$22:$E$26),_xlfn.XLOOKUP($P146,$D$31:$D$35,$E$31:$E$35),R59,G134)</f>
        <v>174.28649323543314</v>
      </c>
      <c r="S146" s="55" cm="1">
        <f t="array" ref="S146">MMS_Dairy_ManureAppliedToSoils_Equations.VEERG_4_3_1_8__1_MassOfNitrogenAppliedToSoilsScope1(S47,_xlfn.XLOOKUP($P146,$D$22:$D$26,$E$22:$E$26),_xlfn.XLOOKUP($P146,$D$31:$D$35,$E$31:$E$35),S59,H134)</f>
        <v>69.416467101543759</v>
      </c>
      <c r="T146" s="55" cm="1">
        <f t="array" ref="T146">MMS_Dairy_ManureAppliedToSoils_Equations.VEERG_4_3_1_8__1_MassOfNitrogenAppliedToSoilsScope1(T47,_xlfn.XLOOKUP($P146,$D$22:$D$26,$E$22:$E$26),_xlfn.XLOOKUP($P146,$D$31:$D$35,$E$31:$E$35),T59,I134)</f>
        <v>219.08501485456401</v>
      </c>
      <c r="U146" s="55" cm="1">
        <f t="array" ref="U146">MMS_Dairy_ManureAppliedToSoils_Equations.VEERG_4_3_1_8__1_MassOfNitrogenAppliedToSoilsScope1(U47,_xlfn.XLOOKUP($P146,$D$22:$D$26,$E$22:$E$26),_xlfn.XLOOKUP($P146,$D$31:$D$35,$E$31:$E$35),U59,J134)</f>
        <v>91.715410166294944</v>
      </c>
      <c r="V146" s="2" t="str">
        <f t="shared" si="5"/>
        <v>kg N</v>
      </c>
    </row>
    <row r="147" spans="4:22" ht="20.100000000000001" customHeight="1" x14ac:dyDescent="0.25"/>
    <row r="148" spans="4:22" ht="20.100000000000001" customHeight="1" x14ac:dyDescent="0.25">
      <c r="D148" s="108" t="s">
        <v>144</v>
      </c>
      <c r="E148" s="109">
        <f>SUM(F139:J146)</f>
        <v>3126.4202862657203</v>
      </c>
      <c r="F148" s="110" t="str">
        <f>$E$95</f>
        <v>kg N</v>
      </c>
      <c r="O148" s="108" t="s">
        <v>144</v>
      </c>
      <c r="P148" s="109">
        <f>SUM(Q139:U146)</f>
        <v>3126.4202862657203</v>
      </c>
      <c r="Q148" s="110" t="str">
        <f>$E$95</f>
        <v>kg N</v>
      </c>
    </row>
    <row r="149" spans="4:22" ht="20.100000000000001" customHeight="1" x14ac:dyDescent="0.25"/>
    <row r="150" spans="4:22" ht="20.100000000000001" customHeight="1" x14ac:dyDescent="0.25"/>
    <row r="151" spans="4:22" ht="20.100000000000001" customHeight="1" x14ac:dyDescent="0.25"/>
    <row r="152" spans="4:22" ht="20.100000000000001" customHeight="1" x14ac:dyDescent="0.25"/>
    <row r="153" spans="4:22" ht="20.100000000000001" customHeight="1" x14ac:dyDescent="0.25"/>
    <row r="154" spans="4:22" ht="20.100000000000001" customHeight="1" x14ac:dyDescent="0.25"/>
    <row r="155" spans="4:22" ht="20.100000000000001" customHeight="1" x14ac:dyDescent="0.25"/>
    <row r="156" spans="4:22" ht="20.100000000000001" customHeight="1" x14ac:dyDescent="0.25"/>
    <row r="157" spans="4:22" ht="20.100000000000001" customHeight="1" x14ac:dyDescent="0.25"/>
    <row r="158" spans="4:22" ht="20.100000000000001" customHeight="1" x14ac:dyDescent="0.25"/>
    <row r="159" spans="4:22" ht="20.100000000000001" customHeight="1" x14ac:dyDescent="0.25"/>
    <row r="160" spans="4:22"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sheetData>
  <dataValidations count="1">
    <dataValidation operator="equal" allowBlank="1" showInputMessage="1" showErrorMessage="1" sqref="E25 E22 E34 E31 P76 P79 E64 E67 E76 E79 E106 E109 P106 P109 E175 E178 E187 E190 P187 P190 E127 E130 E139 E142 P139 P142 E55 E52 P52 P55 E43 E40 P43 P40" xr:uid="{3CE1B7AD-39BD-4423-96DF-3D6853CFDB0B}"/>
  </dataValidation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D4E5F-2570-481F-B379-68CEB1558D7A}">
  <dimension ref="A1:W165"/>
  <sheetViews>
    <sheetView showGridLines="0" workbookViewId="0">
      <selection activeCell="A14" sqref="A1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59"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374</v>
      </c>
      <c r="M1" s="59"/>
    </row>
    <row r="2" spans="1:23" s="9" customFormat="1" ht="20.100000000000001" customHeight="1" x14ac:dyDescent="0.25">
      <c r="M2" s="59"/>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HYPERLINK("#'Results'!A1", "Results")</f>
        <v>Results</v>
      </c>
    </row>
    <row r="5" spans="1:23" ht="20.100000000000001" customHeight="1" x14ac:dyDescent="0.25">
      <c r="A5" s="16"/>
      <c r="D5" s="6" t="str" cm="1">
        <f t="array" ref="D5">MMS_Dairy_N2ODirect_Equations.VEERG_4_3_1_3__2_TotalNitrogenInEachMMS_Title()</f>
        <v>Total nitrogen in each MMS</v>
      </c>
    </row>
    <row r="6" spans="1:23" ht="20.100000000000001" customHeight="1" x14ac:dyDescent="0.25">
      <c r="A6" s="20" t="s">
        <v>3</v>
      </c>
      <c r="D6" s="5" t="str" cm="1">
        <f t="array" ref="D6">MMS_Dairy_N2ODirect_Equations.VEERG_4_3_1_3__2_TotalNitrogenInEachMMS_Source()</f>
        <v>VEERG 2026: 4.3.1.3, Equation (2)</v>
      </c>
    </row>
    <row r="7" spans="1:23" ht="20.100000000000001" customHeight="1" x14ac:dyDescent="0.25">
      <c r="A7" s="17" t="str">
        <f>HYPERLINK("#'Input - Site'!A1", "Site")</f>
        <v>Site</v>
      </c>
      <c r="D7" s="13" t="s">
        <v>28</v>
      </c>
      <c r="E7" s="13" t="str" cm="1">
        <f t="array" aca="1" ref="E7" ca="1">Common_InputFunctions.Utility_DisplayFunctionName(F31)</f>
        <v>=MMS_Dairy_N2ODirect_Equations.VEERG_4_3_1_3__2_TotalNitrogenInEachMMS</v>
      </c>
    </row>
    <row r="8" spans="1:23" ht="20.100000000000001" customHeight="1" x14ac:dyDescent="0.25">
      <c r="A8" s="17" t="str">
        <f>HYPERLINK("#'Input - Dairy'!A1", "Dairy")</f>
        <v>Dairy</v>
      </c>
    </row>
    <row r="9" spans="1:23" ht="20.100000000000001" customHeight="1" x14ac:dyDescent="0.25">
      <c r="A9" s="17"/>
      <c r="D9" s="6"/>
    </row>
    <row r="10" spans="1:23" ht="20.100000000000001" customHeight="1" x14ac:dyDescent="0.25">
      <c r="A10" s="19" t="s">
        <v>78</v>
      </c>
      <c r="D10" s="56" t="s">
        <v>31</v>
      </c>
      <c r="E10" s="1" t="str" cm="1">
        <f t="array" ref="E10">MMS_Dairy_N2ODirect_Equations.VEERG_4_3_1_3__2_TotalNitrogenInEachMMS_Variable()</f>
        <v>MN_jm</v>
      </c>
    </row>
    <row r="11" spans="1:23" ht="20.100000000000001" customHeight="1" x14ac:dyDescent="0.25">
      <c r="A11" s="17" t="str">
        <f>HYPERLINK("#'4.3.1.1-2 Methane'!A1", "4.3.1.1-2 Methane")</f>
        <v>4.3.1.1-2 Methane</v>
      </c>
      <c r="D11" s="56" t="s">
        <v>21</v>
      </c>
      <c r="E11" s="57" t="str" cm="1">
        <f t="array" ref="E11">MMS_Dairy_N2ODirect_Equations.VEERG_4_3_1_3__2_TotalNitrogenInEachMMS_Unit()</f>
        <v>kg N</v>
      </c>
    </row>
    <row r="12" spans="1:23" ht="20.100000000000001" customHeight="1" x14ac:dyDescent="0.25">
      <c r="A12" s="17" t="str">
        <f>HYPERLINK("#'4.3.1.3-4 Direct N20'!A1", "4.3.1.3-4 Direct N2O")</f>
        <v>4.3.1.3-4 Direct N2O</v>
      </c>
    </row>
    <row r="13" spans="1:23" ht="20.100000000000001" customHeight="1" x14ac:dyDescent="0.25">
      <c r="A13" s="17" t="str">
        <f>HYPERLINK("#'4.3.1.5 Atmos Deposition'!A1", "4.3.1.5 Atmospheric deposition")</f>
        <v>4.3.1.5 Atmospheric deposition</v>
      </c>
      <c r="D13" s="115" t="str" cm="1">
        <f t="array" ref="D13:E14">MMS_Dairy_N2ODirect_Equations.VEERG_4_3_1_3__2_TotalNitrogenInEachMMS_Arguments()</f>
        <v>AE_j</v>
      </c>
      <c r="E13" s="117" t="str">
        <v>total nitrogen excreted by each dairy class (kg N)</v>
      </c>
      <c r="F13" s="116"/>
      <c r="G13" s="115" t="str">
        <f>"See " &amp; D16</f>
        <v>See M1_Table_AE_j</v>
      </c>
    </row>
    <row r="14" spans="1:23" ht="20.100000000000001" customHeight="1" x14ac:dyDescent="0.25">
      <c r="A14" s="17" t="str">
        <f>HYPERLINK("#'4.3.1.6-7 Leaching and runoff'!A1", "4.3.1.6-7 Leaching and runoff")</f>
        <v>4.3.1.6-7 Leaching and runoff</v>
      </c>
      <c r="D14" s="115" t="str">
        <v>MMS_jm</v>
      </c>
      <c r="E14" s="117" t="str">
        <v>manure management system fraction for class j and system m</v>
      </c>
      <c r="F14" s="116"/>
      <c r="G14" s="115" t="str">
        <f>"See " &amp; D22</f>
        <v>See M1_Table_MMS_j_m-14</v>
      </c>
    </row>
    <row r="15" spans="1:23" ht="20.100000000000001" customHeight="1" x14ac:dyDescent="0.25">
      <c r="A15" s="17" t="str">
        <f>HYPERLINK("#'4.3.1.8 Manure applied to soils'!A1", "4.3.1.8 Manure applied to soils")</f>
        <v>4.3.1.8 Manure applied to soils</v>
      </c>
    </row>
    <row r="16" spans="1:23" ht="20.100000000000001" customHeight="1" x14ac:dyDescent="0.25">
      <c r="A16" s="22" t="str">
        <f>HYPERLINK("#'4.3.1.9 Soil direct N2O'!A1", "4.3.1.9 Soil direct N2O")</f>
        <v>4.3.1.9 Soil direct N2O</v>
      </c>
      <c r="D16" s="104" t="s">
        <v>125</v>
      </c>
    </row>
    <row r="17" spans="1:22" ht="20.100000000000001" customHeight="1" x14ac:dyDescent="0.25">
      <c r="A17" s="17" t="str">
        <f>HYPERLINK("#'4.3.1.10-11 Soil Atmos Dep'!A1", "4.3.1.10-11 Soil atm. deposition")</f>
        <v>4.3.1.10-11 Soil atm. deposition</v>
      </c>
      <c r="D17" s="103" t="s">
        <v>377</v>
      </c>
    </row>
    <row r="18" spans="1:22" ht="20.100000000000001" customHeight="1" x14ac:dyDescent="0.25">
      <c r="A18" s="17" t="str">
        <f>HYPERLINK("#'4.3.1.12-13 Soil leach runoff'!A1", "4.3.1.12-13 Soil leach &amp; runoff")</f>
        <v>4.3.1.12-13 Soil leach &amp; runoff</v>
      </c>
      <c r="D18" s="54" t="s">
        <v>178</v>
      </c>
      <c r="E18" s="54" t="s">
        <v>195</v>
      </c>
      <c r="F18" s="54" t="s">
        <v>196</v>
      </c>
      <c r="G18" s="54" t="s">
        <v>197</v>
      </c>
      <c r="H18" s="54" t="s">
        <v>198</v>
      </c>
    </row>
    <row r="19" spans="1:22" ht="20.100000000000001" customHeight="1" x14ac:dyDescent="0.25">
      <c r="A19" s="17"/>
      <c r="D19" s="55">
        <f>'4.3.1.3-4 Direct N20'!D169</f>
        <v>9647.642415693088</v>
      </c>
      <c r="E19" s="55">
        <f>'4.3.1.3-4 Direct N20'!E169</f>
        <v>8288.9955762645804</v>
      </c>
      <c r="F19" s="55">
        <f>'4.3.1.3-4 Direct N20'!F206</f>
        <v>3301.419278356519</v>
      </c>
      <c r="G19" s="55">
        <f>'4.3.1.3-4 Direct N20'!G169</f>
        <v>10419.59526090311</v>
      </c>
      <c r="H19" s="55">
        <f>'4.3.1.3-4 Direct N20'!H206</f>
        <v>4361.9480490479727</v>
      </c>
      <c r="I19" s="2" t="s">
        <v>135</v>
      </c>
    </row>
    <row r="20" spans="1:22" ht="20.100000000000001" customHeight="1" x14ac:dyDescent="0.25">
      <c r="A20" s="18" t="s">
        <v>4</v>
      </c>
    </row>
    <row r="21" spans="1:22" ht="20.100000000000001" customHeight="1" x14ac:dyDescent="0.25">
      <c r="A21" s="17" t="str">
        <f>HYPERLINK("#'Constants - Dairy'!A1", "Constants - Dairy")</f>
        <v>Constants - Dairy</v>
      </c>
    </row>
    <row r="22" spans="1:22" ht="20.100000000000001" customHeight="1" x14ac:dyDescent="0.25">
      <c r="A22" s="17" t="str">
        <f>HYPERLINK("#'Constants - Livestock'!A1", "Constants - Livestock")</f>
        <v>Constants - Livestock</v>
      </c>
      <c r="D22" s="104" t="s">
        <v>375</v>
      </c>
      <c r="O22" s="104" t="s">
        <v>375</v>
      </c>
    </row>
    <row r="23" spans="1:22" ht="20.100000000000001" customHeight="1" x14ac:dyDescent="0.25">
      <c r="A23" s="17" t="str">
        <f>HYPERLINK("#'Constants - Common'!A1", "Constants - Common")</f>
        <v>Constants - Common</v>
      </c>
      <c r="D23" s="103" t="s">
        <v>376</v>
      </c>
      <c r="O23" s="103" t="s">
        <v>376</v>
      </c>
    </row>
    <row r="24" spans="1:22" ht="20.100000000000001" customHeight="1" x14ac:dyDescent="0.25">
      <c r="A24" s="17" t="str">
        <f>HYPERLINK("#'Acknowledgements'!A1", "Acknowledgements")</f>
        <v>Acknowledgements</v>
      </c>
      <c r="D24" s="54" t="s">
        <v>152</v>
      </c>
      <c r="E24" s="54" t="s">
        <v>69</v>
      </c>
      <c r="F24" s="54" t="s">
        <v>178</v>
      </c>
      <c r="G24" s="54" t="s">
        <v>195</v>
      </c>
      <c r="H24" s="54" t="s">
        <v>196</v>
      </c>
      <c r="I24" s="54" t="s">
        <v>197</v>
      </c>
      <c r="J24" s="54" t="s">
        <v>198</v>
      </c>
      <c r="O24" s="54" t="s">
        <v>152</v>
      </c>
      <c r="P24" s="54" t="s">
        <v>69</v>
      </c>
      <c r="Q24" s="54" t="s">
        <v>178</v>
      </c>
      <c r="R24" s="54" t="s">
        <v>195</v>
      </c>
      <c r="S24" s="54" t="s">
        <v>196</v>
      </c>
      <c r="T24" s="54" t="s">
        <v>197</v>
      </c>
      <c r="U24" s="54" t="s">
        <v>198</v>
      </c>
    </row>
    <row r="25" spans="1:22" ht="20.100000000000001" customHeight="1" x14ac:dyDescent="0.25">
      <c r="D25" s="55" t="str">
        <f>'Input - Dairy'!$D$53</f>
        <v>Pasture</v>
      </c>
      <c r="E25" s="55" t="str">
        <f>'Constants - Livestock'!$E$27</f>
        <v>Pasture range and paddock</v>
      </c>
      <c r="F25" s="55">
        <f>'Input - Dairy'!E53</f>
        <v>0.53400000000000003</v>
      </c>
      <c r="G25" s="55">
        <f>'Input - Dairy'!F53</f>
        <v>0.53400000000000003</v>
      </c>
      <c r="H25" s="55">
        <f>'Input - Dairy'!G53</f>
        <v>0.53400000000000003</v>
      </c>
      <c r="I25" s="55">
        <f>'Input - Dairy'!H53</f>
        <v>0.53400000000000003</v>
      </c>
      <c r="J25" s="55">
        <f>'Input - Dairy'!I53</f>
        <v>0.53400000000000003</v>
      </c>
      <c r="K25" s="2" t="s">
        <v>101</v>
      </c>
      <c r="O25" s="55" t="str">
        <f>'Input - Dairy'!$D$53</f>
        <v>Pasture</v>
      </c>
      <c r="P25" s="55" t="str">
        <f>'Constants - Livestock'!$E$27</f>
        <v>Pasture range and paddock</v>
      </c>
      <c r="Q25" s="55">
        <f>'Input - Dairy'!E58</f>
        <v>0.53400000000000003</v>
      </c>
      <c r="R25" s="55">
        <f>'Input - Dairy'!F58</f>
        <v>0.53400000000000003</v>
      </c>
      <c r="S25" s="55">
        <f>'Input - Dairy'!G58</f>
        <v>0.53400000000000003</v>
      </c>
      <c r="T25" s="55">
        <f>'Input - Dairy'!H58</f>
        <v>0.53400000000000003</v>
      </c>
      <c r="U25" s="55">
        <f>'Input - Dairy'!I58</f>
        <v>0.53400000000000003</v>
      </c>
      <c r="V25" s="2" t="s">
        <v>101</v>
      </c>
    </row>
    <row r="26" spans="1:22" ht="20.100000000000001" customHeight="1" x14ac:dyDescent="0.25"/>
    <row r="27" spans="1:22" ht="20.100000000000001" customHeight="1" x14ac:dyDescent="0.25">
      <c r="Q27" s="138"/>
    </row>
    <row r="28" spans="1:22" ht="20.100000000000001" customHeight="1" x14ac:dyDescent="0.25">
      <c r="D28" s="104" t="s">
        <v>378</v>
      </c>
      <c r="O28" s="104" t="s">
        <v>380</v>
      </c>
    </row>
    <row r="29" spans="1:22" ht="20.100000000000001" customHeight="1" x14ac:dyDescent="0.25">
      <c r="D29" s="103" t="s">
        <v>379</v>
      </c>
      <c r="O29" s="103" t="s">
        <v>381</v>
      </c>
    </row>
    <row r="30" spans="1:22" ht="20.100000000000001" customHeight="1" x14ac:dyDescent="0.25">
      <c r="D30" s="54" t="s">
        <v>152</v>
      </c>
      <c r="E30" s="54" t="s">
        <v>69</v>
      </c>
      <c r="F30" s="54" t="s">
        <v>178</v>
      </c>
      <c r="G30" s="54" t="s">
        <v>195</v>
      </c>
      <c r="H30" s="54" t="s">
        <v>196</v>
      </c>
      <c r="I30" s="54" t="s">
        <v>197</v>
      </c>
      <c r="J30" s="54" t="s">
        <v>198</v>
      </c>
      <c r="O30" s="54" t="s">
        <v>152</v>
      </c>
      <c r="P30" s="54" t="s">
        <v>69</v>
      </c>
      <c r="Q30" s="54" t="s">
        <v>178</v>
      </c>
      <c r="R30" s="54" t="s">
        <v>195</v>
      </c>
      <c r="S30" s="54" t="s">
        <v>196</v>
      </c>
      <c r="T30" s="54" t="s">
        <v>197</v>
      </c>
      <c r="U30" s="54" t="s">
        <v>198</v>
      </c>
    </row>
    <row r="31" spans="1:22" ht="20.100000000000001" customHeight="1" x14ac:dyDescent="0.25">
      <c r="D31" s="55" t="str">
        <f>'Input - Dairy'!$D$53</f>
        <v>Pasture</v>
      </c>
      <c r="E31" s="55" t="str">
        <f>'Constants - Livestock'!$E$27</f>
        <v>Pasture range and paddock</v>
      </c>
      <c r="F31" s="55" cm="1">
        <f t="array" ref="F31">MMS_Dairy_N2ODirect_Equations.VEERG_4_3_1_3__2_TotalNitrogenInEachMMS(D19,F25)</f>
        <v>5151.8410499801093</v>
      </c>
      <c r="G31" s="55" cm="1">
        <f t="array" ref="G31">MMS_Dairy_N2ODirect_Equations.VEERG_4_3_1_3__2_TotalNitrogenInEachMMS(E19,G25)</f>
        <v>4426.3236377252861</v>
      </c>
      <c r="H31" s="55" cm="1">
        <f t="array" ref="H31">MMS_Dairy_N2ODirect_Equations.VEERG_4_3_1_3__2_TotalNitrogenInEachMMS(F19,H25)</f>
        <v>1762.9578946423812</v>
      </c>
      <c r="I31" s="55" cm="1">
        <f t="array" ref="I31">MMS_Dairy_N2ODirect_Equations.VEERG_4_3_1_3__2_TotalNitrogenInEachMMS(G19,I25)</f>
        <v>5564.0638693222609</v>
      </c>
      <c r="J31" s="55" cm="1">
        <f t="array" ref="J31">MMS_Dairy_N2ODirect_Equations.VEERG_4_3_1_3__2_TotalNitrogenInEachMMS(H19,J25)</f>
        <v>2329.2802581916176</v>
      </c>
      <c r="K31" s="2" t="str">
        <f>$E$11</f>
        <v>kg N</v>
      </c>
      <c r="O31" s="55" t="str">
        <f>'Input - Dairy'!$D$53</f>
        <v>Pasture</v>
      </c>
      <c r="P31" s="55" t="str">
        <f>'Constants - Livestock'!$E$27</f>
        <v>Pasture range and paddock</v>
      </c>
      <c r="Q31" s="55" cm="1">
        <f t="array" ref="Q31">MMS_Dairy_N2ODirect_Equations.VEERG_4_3_1_3__2_TotalNitrogenInEachMMS(D19,Q25)</f>
        <v>5151.8410499801093</v>
      </c>
      <c r="R31" s="55" cm="1">
        <f t="array" ref="R31">MMS_Dairy_N2ODirect_Equations.VEERG_4_3_1_3__2_TotalNitrogenInEachMMS(E19,R25)</f>
        <v>4426.3236377252861</v>
      </c>
      <c r="S31" s="55" cm="1">
        <f t="array" ref="S31">MMS_Dairy_N2ODirect_Equations.VEERG_4_3_1_3__2_TotalNitrogenInEachMMS(F19,S25)</f>
        <v>1762.9578946423812</v>
      </c>
      <c r="T31" s="55" cm="1">
        <f t="array" ref="T31">MMS_Dairy_N2ODirect_Equations.VEERG_4_3_1_3__2_TotalNitrogenInEachMMS(G19,T25)</f>
        <v>5564.0638693222609</v>
      </c>
      <c r="U31" s="55" cm="1">
        <f t="array" ref="U31">MMS_Dairy_N2ODirect_Equations.VEERG_4_3_1_3__2_TotalNitrogenInEachMMS(H19,U25)</f>
        <v>2329.2802581916176</v>
      </c>
      <c r="V31" s="2" t="str">
        <f>$E$11</f>
        <v>kg N</v>
      </c>
    </row>
    <row r="32" spans="1:22" ht="20.100000000000001" customHeight="1" x14ac:dyDescent="0.25"/>
    <row r="33" spans="3:23" ht="20.100000000000001" customHeight="1" x14ac:dyDescent="0.25"/>
    <row r="34" spans="3:23" ht="20.100000000000001" customHeight="1" x14ac:dyDescent="0.25">
      <c r="C34" s="48"/>
      <c r="D34" s="48"/>
      <c r="E34" s="48"/>
      <c r="F34" s="48"/>
      <c r="G34" s="48"/>
      <c r="H34" s="48"/>
      <c r="I34" s="48"/>
      <c r="J34" s="48"/>
      <c r="K34" s="48"/>
      <c r="L34" s="48"/>
      <c r="N34" s="48"/>
      <c r="O34" s="48"/>
      <c r="P34" s="48"/>
      <c r="Q34" s="48"/>
      <c r="R34" s="48"/>
      <c r="S34" s="48"/>
      <c r="T34" s="48"/>
      <c r="U34" s="48"/>
      <c r="V34" s="48"/>
      <c r="W34" s="48"/>
    </row>
    <row r="35" spans="3:23" ht="20.100000000000001" customHeight="1" x14ac:dyDescent="0.25">
      <c r="D35" s="6" t="str" cm="1">
        <f t="array" ref="D35">MMS_Dairy_Soil_N2ODirect_Equations.VEERG_4_3_1_9__1_DirectNitrousOxideEmissionsOnPasture_Title()</f>
        <v>Direct nitrous oxide emissions on pasture</v>
      </c>
    </row>
    <row r="36" spans="3:23" ht="20.100000000000001" customHeight="1" x14ac:dyDescent="0.25">
      <c r="D36" s="5" t="str" cm="1">
        <f t="array" ref="D36">MMS_Dairy_Soil_N2ODirect_Equations.VEERG_4_3_1_9__1_DirectNitrousOxideEmissionsOnPasture_Source()</f>
        <v>VEERG 2026: 4.3.1.9, Equation (1)</v>
      </c>
    </row>
    <row r="37" spans="3:23" ht="20.100000000000001" customHeight="1" x14ac:dyDescent="0.25">
      <c r="D37" s="13" t="s">
        <v>113</v>
      </c>
      <c r="E37" s="13" t="str" cm="1">
        <f t="array" aca="1" ref="E37" ca="1">Common_InputFunctions.Utility_DisplayFunctionName($F$51)</f>
        <v>=MMS_Dairy_Soil_N2ODirect_Equations.VEERG_4_3_1_9__1_DirectNitrousOxideEmissionsOnPasture</v>
      </c>
    </row>
    <row r="38" spans="3:23" ht="20.100000000000001" customHeight="1" x14ac:dyDescent="0.25"/>
    <row r="39" spans="3:23" ht="20.100000000000001" customHeight="1" x14ac:dyDescent="0.25"/>
    <row r="40" spans="3:23" ht="20.100000000000001" customHeight="1" x14ac:dyDescent="0.25">
      <c r="D40" s="56" t="s">
        <v>31</v>
      </c>
      <c r="E40" s="1" t="str" cm="1">
        <f t="array" ref="E40">MMS_Dairy_Soil_N2ODirect_Equations.VEERG_4_3_1_9__1_DirectNitrousOxideEmissionsOnPasture_Variable()</f>
        <v>E_N2Odir</v>
      </c>
    </row>
    <row r="41" spans="3:23" ht="20.100000000000001" customHeight="1" x14ac:dyDescent="0.25">
      <c r="D41" s="56" t="s">
        <v>21</v>
      </c>
      <c r="E41" s="57" t="str" cm="1">
        <f t="array" ref="E41">MMS_Dairy_Soil_N2ODirect_Equations.VEERG_4_3_1_9__1_DirectNitrousOxideEmissionsOnPasture_Unit()</f>
        <v>t N2O</v>
      </c>
    </row>
    <row r="42" spans="3:23" ht="20.100000000000001" customHeight="1" x14ac:dyDescent="0.25"/>
    <row r="43" spans="3:23" ht="20.100000000000001" customHeight="1" x14ac:dyDescent="0.25">
      <c r="D43" s="60" t="str" cm="1">
        <f t="array" ref="D43:E46">MMS_Dairy_Soil_N2ODirect_Equations.VEERG_4_3_1_9__1_DirectNitrousOxideEmissionsOnPasture_Arguments()</f>
        <v>MN_jm14</v>
      </c>
      <c r="E43" s="61" t="str">
        <v>mass of nitrogen excreted on pasture, range, and paddock for each dairy cattle class (kg N)</v>
      </c>
      <c r="F43" s="105"/>
      <c r="G43" s="62"/>
      <c r="H43" s="60" t="str">
        <f>"See " &amp; D28</f>
        <v>See M1_Table_MN_j_m-14</v>
      </c>
    </row>
    <row r="44" spans="3:23" ht="20.100000000000001" customHeight="1" x14ac:dyDescent="0.25">
      <c r="D44" s="60" t="str">
        <v>EF_PRP</v>
      </c>
      <c r="E44" s="61" t="str">
        <v>emission factor for nitrous oxide emissions for urine and dung deposited on PRP (kg N2O-N/kg N deposited)</v>
      </c>
      <c r="F44" s="105"/>
      <c r="G44" s="62"/>
      <c r="H44" s="60">
        <f>Common_InputFunctions.Utility_LookupValueInTable(H46, Table_SourceData_EFPastureRangeAndPaddock[Climate zone],Table_SourceData_EFPastureRangeAndPaddock[EFPRP])</f>
        <v>2E-3</v>
      </c>
    </row>
    <row r="45" spans="3:23" ht="20.100000000000001" customHeight="1" x14ac:dyDescent="0.25">
      <c r="D45" s="60" t="str">
        <v>C_N2O</v>
      </c>
      <c r="E45" s="61" t="str">
        <v>factor to convert elemental mass of N2O to molecular mass</v>
      </c>
      <c r="F45" s="105"/>
      <c r="G45" s="62"/>
      <c r="H45" s="60">
        <f>Common_InputFunctions.Utility_LookupValueInTableNumber("N2O",Table_GasToMolecularConversionFactor[Gas],Table_GasToMolecularConversionFactor[Conversion factor combined])</f>
        <v>1.5714285714285714</v>
      </c>
    </row>
    <row r="46" spans="3:23" ht="20.100000000000001" customHeight="1" x14ac:dyDescent="0.25">
      <c r="D46" s="60" t="str">
        <v>z</v>
      </c>
      <c r="E46" s="61" t="str">
        <v>Wet or dry climate zone</v>
      </c>
      <c r="F46" s="105"/>
      <c r="G46" s="62"/>
      <c r="H46" s="60" t="str">
        <f>'Input - Site'!$E$32</f>
        <v>Dry climate zone</v>
      </c>
    </row>
    <row r="47" spans="3:23" ht="20.100000000000001" customHeight="1" x14ac:dyDescent="0.25"/>
    <row r="48" spans="3:23" ht="20.100000000000001" customHeight="1" x14ac:dyDescent="0.25">
      <c r="D48" s="104" t="s">
        <v>127</v>
      </c>
      <c r="O48" s="104" t="s">
        <v>384</v>
      </c>
    </row>
    <row r="49" spans="4:22" ht="20.100000000000001" customHeight="1" x14ac:dyDescent="0.25">
      <c r="D49" s="103" t="s">
        <v>383</v>
      </c>
      <c r="O49" s="103" t="s">
        <v>385</v>
      </c>
    </row>
    <row r="50" spans="4:22" ht="20.100000000000001" customHeight="1" x14ac:dyDescent="0.25">
      <c r="D50" s="54" t="s">
        <v>152</v>
      </c>
      <c r="E50" s="54" t="s">
        <v>69</v>
      </c>
      <c r="F50" s="54" t="s">
        <v>178</v>
      </c>
      <c r="G50" s="54" t="s">
        <v>195</v>
      </c>
      <c r="H50" s="54" t="s">
        <v>196</v>
      </c>
      <c r="I50" s="54" t="s">
        <v>197</v>
      </c>
      <c r="J50" s="54" t="s">
        <v>198</v>
      </c>
      <c r="O50" s="54" t="s">
        <v>152</v>
      </c>
      <c r="P50" s="54" t="s">
        <v>69</v>
      </c>
      <c r="Q50" s="54" t="s">
        <v>178</v>
      </c>
      <c r="R50" s="54" t="s">
        <v>195</v>
      </c>
      <c r="S50" s="54" t="s">
        <v>196</v>
      </c>
      <c r="T50" s="54" t="s">
        <v>197</v>
      </c>
      <c r="U50" s="54" t="s">
        <v>198</v>
      </c>
    </row>
    <row r="51" spans="4:22" ht="20.100000000000001" customHeight="1" x14ac:dyDescent="0.25">
      <c r="D51" s="55" t="str">
        <f>'Input - Dairy'!$D$53</f>
        <v>Pasture</v>
      </c>
      <c r="E51" s="55" t="str">
        <f>'Constants - Livestock'!$E$27</f>
        <v>Pasture range and paddock</v>
      </c>
      <c r="F51" s="55" cm="1">
        <f t="array" ref="F51">MMS_Dairy_Soil_N2ODirect_Equations.VEERG_4_3_1_9__1_DirectNitrousOxideEmissionsOnPasture(F31,$H$44,$H$45)</f>
        <v>1.6191500442794628E-2</v>
      </c>
      <c r="G51" s="55" cm="1">
        <f t="array" ref="G51">MMS_Dairy_Soil_N2ODirect_Equations.VEERG_4_3_1_9__1_DirectNitrousOxideEmissionsOnPasture(G31,$H$44,$H$45)</f>
        <v>1.3911302861422326E-2</v>
      </c>
      <c r="H51" s="55" cm="1">
        <f t="array" ref="H51">MMS_Dairy_Soil_N2ODirect_Equations.VEERG_4_3_1_9__1_DirectNitrousOxideEmissionsOnPasture(H31,$H$44,$H$45)</f>
        <v>5.5407248117331984E-3</v>
      </c>
      <c r="I51" s="55" cm="1">
        <f t="array" ref="I51">MMS_Dairy_Soil_N2ODirect_Equations.VEERG_4_3_1_9__1_DirectNitrousOxideEmissionsOnPasture(I31,$H$44,$H$45)</f>
        <v>1.7487057875012819E-2</v>
      </c>
      <c r="J51" s="55" cm="1">
        <f t="array" ref="J51">MMS_Dairy_Soil_N2ODirect_Equations.VEERG_4_3_1_9__1_DirectNitrousOxideEmissionsOnPasture(J31,$H$44,$H$45)</f>
        <v>7.3205950971736563E-3</v>
      </c>
      <c r="K51" s="2" t="str">
        <f>$E$41</f>
        <v>t N2O</v>
      </c>
      <c r="O51" s="55" t="str">
        <f>'Input - Dairy'!$D$53</f>
        <v>Pasture</v>
      </c>
      <c r="P51" s="55" t="str">
        <f>'Constants - Livestock'!$E$27</f>
        <v>Pasture range and paddock</v>
      </c>
      <c r="Q51" s="55" cm="1">
        <f t="array" ref="Q51">MMS_Dairy_Soil_N2ODirect_Equations.VEERG_4_3_1_9__1_DirectNitrousOxideEmissionsOnPasture(Q31,$H$44,$H$45)</f>
        <v>1.6191500442794628E-2</v>
      </c>
      <c r="R51" s="55" cm="1">
        <f t="array" ref="R51">MMS_Dairy_Soil_N2ODirect_Equations.VEERG_4_3_1_9__1_DirectNitrousOxideEmissionsOnPasture(R31,$H$44,$H$45)</f>
        <v>1.3911302861422326E-2</v>
      </c>
      <c r="S51" s="55" cm="1">
        <f t="array" ref="S51">MMS_Dairy_Soil_N2ODirect_Equations.VEERG_4_3_1_9__1_DirectNitrousOxideEmissionsOnPasture(S31,$H$44,$H$45)</f>
        <v>5.5407248117331984E-3</v>
      </c>
      <c r="T51" s="55" cm="1">
        <f t="array" ref="T51">MMS_Dairy_Soil_N2ODirect_Equations.VEERG_4_3_1_9__1_DirectNitrousOxideEmissionsOnPasture(T31,$H$44,$H$45)</f>
        <v>1.7487057875012819E-2</v>
      </c>
      <c r="U51" s="55" cm="1">
        <f t="array" ref="U51">MMS_Dairy_Soil_N2ODirect_Equations.VEERG_4_3_1_9__1_DirectNitrousOxideEmissionsOnPasture(U31,$H$44,$H$45)</f>
        <v>7.3205950971736563E-3</v>
      </c>
      <c r="V51" s="2" t="str">
        <f>$E$41</f>
        <v>t N2O</v>
      </c>
    </row>
    <row r="52" spans="4:22" ht="20.100000000000001" customHeight="1" x14ac:dyDescent="0.25"/>
    <row r="53" spans="4:22" ht="20.100000000000001" customHeight="1" x14ac:dyDescent="0.25">
      <c r="D53" s="108" t="s">
        <v>126</v>
      </c>
      <c r="E53" s="109">
        <f>SUM(F51:J51)</f>
        <v>6.045118108813663E-2</v>
      </c>
      <c r="F53" s="110" t="str">
        <f>$E$41</f>
        <v>t N2O</v>
      </c>
      <c r="O53" s="108" t="s">
        <v>126</v>
      </c>
      <c r="P53" s="109">
        <f>SUM(Q51:U51)</f>
        <v>6.045118108813663E-2</v>
      </c>
      <c r="Q53" s="110" t="str">
        <f>$E$41</f>
        <v>t N2O</v>
      </c>
    </row>
    <row r="54" spans="4:22" ht="20.100000000000001" customHeight="1" x14ac:dyDescent="0.25"/>
    <row r="55" spans="4:22" ht="20.100000000000001" customHeight="1" x14ac:dyDescent="0.25">
      <c r="D55" s="60" t="str" cm="1">
        <f t="array" ref="D55:E56">Common_Equations.Common_ConvertN2OToCO2e_Arguments()</f>
        <v>EN2O</v>
      </c>
      <c r="E55" s="61" t="str">
        <v>Nitrous oxide emissions (t N2O)</v>
      </c>
      <c r="F55" s="111"/>
      <c r="G55" s="55">
        <f>E53</f>
        <v>6.045118108813663E-2</v>
      </c>
      <c r="O55" s="60" t="str" cm="1">
        <f t="array" ref="O55:P56">Common_Equations.Common_ConvertN2OToCO2e_Arguments()</f>
        <v>EN2O</v>
      </c>
      <c r="P55" s="61" t="str">
        <v>Nitrous oxide emissions (t N2O)</v>
      </c>
      <c r="Q55" s="111"/>
      <c r="R55" s="55">
        <f>P53</f>
        <v>6.045118108813663E-2</v>
      </c>
    </row>
    <row r="56" spans="4:22" ht="20.100000000000001" customHeight="1" x14ac:dyDescent="0.25">
      <c r="D56" s="60" t="str">
        <v>GWPN2O</v>
      </c>
      <c r="E56" s="61" t="str">
        <v>Global warming potential for nitrous oxide (t CO2-e / t N2O)</v>
      </c>
      <c r="F56" s="111"/>
      <c r="G56" s="55">
        <f>Common_InputFunctions.Utility_LookupValueInTableNumber("N2O",Table_GWPData[Gas],Table_GWPData[CO2-e factor])</f>
        <v>265</v>
      </c>
      <c r="O56" s="60" t="str">
        <v>GWPN2O</v>
      </c>
      <c r="P56" s="61" t="str">
        <v>Global warming potential for nitrous oxide (t CO2-e / t N2O)</v>
      </c>
      <c r="Q56" s="111"/>
      <c r="R56" s="55">
        <f>Common_InputFunctions.Utility_LookupValueInTableNumber("N2O",Table_GWPData[Gas],Table_GWPData[CO2-e factor])</f>
        <v>265</v>
      </c>
    </row>
    <row r="57" spans="4:22" ht="20.100000000000001" customHeight="1" x14ac:dyDescent="0.25"/>
    <row r="58" spans="4:22" ht="20.100000000000001" customHeight="1" x14ac:dyDescent="0.25">
      <c r="D58" s="48" t="s">
        <v>111</v>
      </c>
      <c r="E58" s="48" cm="1">
        <f t="array" ref="E58">Common_Equations.Common_ConvertN2OToCO2e(G55,G56)</f>
        <v>16.019562988356206</v>
      </c>
      <c r="F58" s="112" t="str" cm="1">
        <f t="array" ref="F58">Common_Equations.Common_ConvertN2OToCO2e_Unit()</f>
        <v>t CO2e</v>
      </c>
      <c r="O58" s="48" t="s">
        <v>111</v>
      </c>
      <c r="P58" s="48" cm="1">
        <f t="array" ref="P58">Common_Equations.Common_ConvertN2OToCO2e(R55,R56)</f>
        <v>16.019562988356206</v>
      </c>
      <c r="Q58" s="112" t="str" cm="1">
        <f t="array" ref="Q58">Common_Equations.Common_ConvertN2OToCO2e_Unit()</f>
        <v>t CO2e</v>
      </c>
    </row>
    <row r="59" spans="4:22" ht="20.100000000000001" customHeight="1" x14ac:dyDescent="0.25"/>
    <row r="60" spans="4:22" ht="20.100000000000001" customHeight="1" x14ac:dyDescent="0.25"/>
    <row r="61" spans="4:22" ht="20.100000000000001" customHeight="1" x14ac:dyDescent="0.25"/>
    <row r="62" spans="4:22" ht="20.100000000000001" customHeight="1" x14ac:dyDescent="0.25"/>
    <row r="63" spans="4:22" ht="20.100000000000001" customHeight="1" x14ac:dyDescent="0.25"/>
    <row r="64" spans="4: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5 E31 E34 P25 O34 P31 E51 P51" xr:uid="{C586A3D4-D021-4BB9-B9FF-F435DD98EA39}"/>
  </dataValidation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W165"/>
  <sheetViews>
    <sheetView showGridLines="0" workbookViewId="0">
      <selection activeCell="A4" sqref="A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393</v>
      </c>
    </row>
    <row r="2" spans="1:23" s="9" customFormat="1" ht="20.100000000000001" customHeight="1" x14ac:dyDescent="0.25"/>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HYPERLINK("#'Results'!A1", "Results")</f>
        <v>Results</v>
      </c>
    </row>
    <row r="5" spans="1:23" ht="20.100000000000001" customHeight="1" x14ac:dyDescent="0.25">
      <c r="A5" s="16"/>
      <c r="D5" s="6" t="str" cm="1">
        <f t="array" ref="D5">MMS_Dairy_Soil_AtmosphericDeposition_Equations.VEERG_4_3_1_10__2_MassOfNitrogenVolatilisedOnPasture_Title()</f>
        <v>Mass of nitrogen volatilised from urine and faeces deposited on pasture</v>
      </c>
    </row>
    <row r="6" spans="1:23" ht="20.100000000000001" customHeight="1" x14ac:dyDescent="0.25">
      <c r="A6" s="20" t="s">
        <v>3</v>
      </c>
      <c r="D6" s="5" t="str" cm="1">
        <f t="array" ref="D6">MMS_Dairy_Soil_AtmosphericDeposition_Equations.VEERG_4_3_1_10__2_MassOfNitrogenVolatilisedOnPasture_Source()</f>
        <v>VEERG 2026: 4.3.1.10, Equation (2)</v>
      </c>
    </row>
    <row r="7" spans="1:23" ht="20.100000000000001" customHeight="1" x14ac:dyDescent="0.25">
      <c r="A7" s="17" t="str">
        <f>HYPERLINK("#'Input - Site'!A1", "Site")</f>
        <v>Site</v>
      </c>
      <c r="D7" s="13" t="s">
        <v>28</v>
      </c>
      <c r="E7" s="13" t="str" cm="1">
        <f t="array" aca="1" ref="E7" ca="1">Common_InputFunctions.Utility_DisplayFunctionName(F24)</f>
        <v>=MMS_Dairy_Soil_AtmosphericDeposition_Equations.VEERG_4_3_1_10__2_MassOfNitrogenVolatilisedOnPasture</v>
      </c>
    </row>
    <row r="8" spans="1:23" ht="20.100000000000001" customHeight="1" x14ac:dyDescent="0.25">
      <c r="A8" s="17" t="str">
        <f>HYPERLINK("#'Input - Dairy'!A1", "Dairy")</f>
        <v>Dairy</v>
      </c>
    </row>
    <row r="9" spans="1:23" ht="20.100000000000001" customHeight="1" x14ac:dyDescent="0.25">
      <c r="A9" s="17"/>
    </row>
    <row r="10" spans="1:23" ht="20.100000000000001" customHeight="1" x14ac:dyDescent="0.25">
      <c r="A10" s="19" t="s">
        <v>78</v>
      </c>
      <c r="D10" s="56" t="s">
        <v>31</v>
      </c>
      <c r="E10" s="1" t="str" cm="1">
        <f t="array" ref="E10">MMS_Dairy_Soil_AtmosphericDeposition_Equations.VEERG_4_3_1_10__2_MassOfNitrogenVolatilisedOnPasture_Variable()</f>
        <v>M_vol_m14</v>
      </c>
    </row>
    <row r="11" spans="1:23" ht="20.100000000000001" customHeight="1" x14ac:dyDescent="0.25">
      <c r="A11" s="17" t="str">
        <f>HYPERLINK("#'4.3.1.1-2 Methane'!A1", "4.3.1.1-2 Methane")</f>
        <v>4.3.1.1-2 Methane</v>
      </c>
      <c r="D11" s="56" t="s">
        <v>21</v>
      </c>
      <c r="E11" s="57" t="str" cm="1">
        <f t="array" ref="E11">MMS_Dairy_Soil_AtmosphericDeposition_Equations.VEERG_4_3_1_10__2_MassOfNitrogenVolatilisedOnPasture_Unit()</f>
        <v>kg N</v>
      </c>
    </row>
    <row r="12" spans="1:23" ht="20.100000000000001" customHeight="1" x14ac:dyDescent="0.25">
      <c r="A12" s="17" t="str">
        <f>HYPERLINK("#'4.3.1.3-4 Direct N20'!A1", "4.3.1.3-4 Direct N2O")</f>
        <v>4.3.1.3-4 Direct N2O</v>
      </c>
    </row>
    <row r="13" spans="1:23" ht="20.100000000000001" customHeight="1" x14ac:dyDescent="0.25">
      <c r="A13" s="17" t="str">
        <f>HYPERLINK("#'4.3.1.5 Atmos Deposition'!A1", "4.3.1.5 Atmospheric deposition")</f>
        <v>4.3.1.5 Atmospheric deposition</v>
      </c>
      <c r="D13" s="60" t="str" cm="1">
        <f t="array" ref="D13:E14">MMS_Dairy_Soil_AtmosphericDeposition_Equations.VEERG_4_3_1_10__2_MassOfNitrogenVolatilisedOnPasture_Arguments()</f>
        <v>MN_jm14</v>
      </c>
      <c r="E13" s="61" t="str">
        <v>mass of nitrogen excreted on pasture, range and paddock for each dairy class (kg N)</v>
      </c>
      <c r="F13" s="105"/>
      <c r="G13" s="62"/>
      <c r="H13" s="60" t="str">
        <f>"See " &amp; D16</f>
        <v>See M1_Table_MN_j_m-14</v>
      </c>
    </row>
    <row r="14" spans="1:23" ht="20.100000000000001" customHeight="1" x14ac:dyDescent="0.25">
      <c r="A14" s="17" t="str">
        <f>HYPERLINK("#'4.3.1.6-7 Leaching and runoff'!A1", "4.3.1.6-7 Leaching and runoff")</f>
        <v>4.3.1.6-7 Leaching and runoff</v>
      </c>
      <c r="D14" s="60" t="str">
        <v>FracGASMsoil</v>
      </c>
      <c r="E14" s="61" t="str">
        <v>fraction of nitrogen volatilised from urine and faeces deposited on pasture ((kg NH3-N + NOx-N)/kg N)</v>
      </c>
      <c r="F14" s="105"/>
      <c r="G14" s="62"/>
      <c r="H14" s="60">
        <f>'Constants - Dairy'!$D$215</f>
        <v>0.21</v>
      </c>
    </row>
    <row r="15" spans="1:23" ht="20.100000000000001" customHeight="1" x14ac:dyDescent="0.25">
      <c r="A15" s="17" t="str">
        <f>HYPERLINK("#'4.3.1.8 Manure applied to soils'!A1", "4.3.1.8 Manure applied to soils")</f>
        <v>4.3.1.8 Manure applied to soils</v>
      </c>
    </row>
    <row r="16" spans="1:23" ht="20.100000000000001" customHeight="1" x14ac:dyDescent="0.25">
      <c r="A16" s="17" t="str">
        <f>HYPERLINK("#'4.3.1.9 Soil direct N2O'!A1", "4.3.1.9 Soil direct N2O")</f>
        <v>4.3.1.9 Soil direct N2O</v>
      </c>
      <c r="D16" s="104" t="s">
        <v>378</v>
      </c>
      <c r="M16" s="59"/>
      <c r="O16" s="104" t="s">
        <v>380</v>
      </c>
    </row>
    <row r="17" spans="1:23" ht="20.100000000000001" customHeight="1" x14ac:dyDescent="0.25">
      <c r="A17" s="22" t="str">
        <f>HYPERLINK("#'4.3.1.10-11 Soil Atmos Dep'!A1", "4.3.1.10-11 Soil atm. deposition")</f>
        <v>4.3.1.10-11 Soil atm. deposition</v>
      </c>
      <c r="D17" s="103" t="s">
        <v>379</v>
      </c>
      <c r="M17" s="59"/>
      <c r="O17" s="103" t="s">
        <v>381</v>
      </c>
    </row>
    <row r="18" spans="1:23" ht="20.100000000000001" customHeight="1" x14ac:dyDescent="0.25">
      <c r="A18" s="17" t="str">
        <f>HYPERLINK("#'4.3.1.12-13 Soil leach runoff'!A1", "4.3.1.12-13 Soil leach &amp; runoff")</f>
        <v>4.3.1.12-13 Soil leach &amp; runoff</v>
      </c>
      <c r="D18" s="54" t="s">
        <v>152</v>
      </c>
      <c r="E18" s="54" t="s">
        <v>69</v>
      </c>
      <c r="F18" s="54" t="s">
        <v>178</v>
      </c>
      <c r="G18" s="54" t="s">
        <v>195</v>
      </c>
      <c r="H18" s="54" t="s">
        <v>196</v>
      </c>
      <c r="I18" s="54" t="s">
        <v>197</v>
      </c>
      <c r="J18" s="54" t="s">
        <v>198</v>
      </c>
      <c r="M18" s="59"/>
      <c r="O18" s="54" t="s">
        <v>152</v>
      </c>
      <c r="P18" s="54" t="s">
        <v>69</v>
      </c>
      <c r="Q18" s="54" t="s">
        <v>178</v>
      </c>
      <c r="R18" s="54" t="s">
        <v>195</v>
      </c>
      <c r="S18" s="54" t="s">
        <v>196</v>
      </c>
      <c r="T18" s="54" t="s">
        <v>197</v>
      </c>
      <c r="U18" s="54" t="s">
        <v>198</v>
      </c>
    </row>
    <row r="19" spans="1:23" ht="20.100000000000001" customHeight="1" x14ac:dyDescent="0.25">
      <c r="A19" s="17"/>
      <c r="D19" s="55" t="str">
        <f>'Input - Dairy'!$D$53</f>
        <v>Pasture</v>
      </c>
      <c r="E19" s="55" t="str">
        <f>'Constants - Livestock'!$E$27</f>
        <v>Pasture range and paddock</v>
      </c>
      <c r="F19" s="55">
        <f>'4.3.1.9 Soil direct N2O'!$F$31</f>
        <v>5151.8410499801093</v>
      </c>
      <c r="G19" s="55">
        <f>'4.3.1.9 Soil direct N2O'!$G$31</f>
        <v>4426.3236377252861</v>
      </c>
      <c r="H19" s="55">
        <f>'4.3.1.9 Soil direct N2O'!$H$31</f>
        <v>1762.9578946423812</v>
      </c>
      <c r="I19" s="55">
        <f>'4.3.1.9 Soil direct N2O'!$I$31</f>
        <v>5564.0638693222609</v>
      </c>
      <c r="J19" s="55">
        <f>'4.3.1.9 Soil direct N2O'!$J$31</f>
        <v>2329.2802581916176</v>
      </c>
      <c r="K19" s="2" t="str">
        <f>$E$11</f>
        <v>kg N</v>
      </c>
      <c r="M19" s="59"/>
      <c r="O19" s="55" t="str">
        <f>'Input - Dairy'!$D$53</f>
        <v>Pasture</v>
      </c>
      <c r="P19" s="55" t="str">
        <f>'Constants - Livestock'!$E$27</f>
        <v>Pasture range and paddock</v>
      </c>
      <c r="Q19" s="55">
        <f>'4.3.1.9 Soil direct N2O'!$Q$31</f>
        <v>5151.8410499801093</v>
      </c>
      <c r="R19" s="55">
        <f>'4.3.1.9 Soil direct N2O'!$R$31</f>
        <v>4426.3236377252861</v>
      </c>
      <c r="S19" s="55">
        <f>'4.3.1.9 Soil direct N2O'!$S$31</f>
        <v>1762.9578946423812</v>
      </c>
      <c r="T19" s="55">
        <f>'4.3.1.9 Soil direct N2O'!$T$31</f>
        <v>5564.0638693222609</v>
      </c>
      <c r="U19" s="55">
        <f>'4.3.1.9 Soil direct N2O'!$U$31</f>
        <v>2329.2802581916176</v>
      </c>
      <c r="V19" s="2" t="str">
        <f>$E$11</f>
        <v>kg N</v>
      </c>
    </row>
    <row r="20" spans="1:23" ht="20.100000000000001" customHeight="1" x14ac:dyDescent="0.25">
      <c r="A20" s="18" t="s">
        <v>4</v>
      </c>
    </row>
    <row r="21" spans="1:23" ht="20.100000000000001" customHeight="1" x14ac:dyDescent="0.25">
      <c r="A21" s="17" t="str">
        <f>HYPERLINK("#'Constants - Dairy'!A1", "Constants - Dairy")</f>
        <v>Constants - Dairy</v>
      </c>
      <c r="D21" s="104" t="s">
        <v>386</v>
      </c>
      <c r="O21" s="104" t="s">
        <v>388</v>
      </c>
    </row>
    <row r="22" spans="1:23" ht="20.100000000000001" customHeight="1" x14ac:dyDescent="0.25">
      <c r="A22" s="17" t="str">
        <f>HYPERLINK("#'Constants - Livestock'!A1", "Constants - Livestock")</f>
        <v>Constants - Livestock</v>
      </c>
      <c r="D22" s="103" t="s">
        <v>387</v>
      </c>
      <c r="O22" s="103" t="s">
        <v>389</v>
      </c>
    </row>
    <row r="23" spans="1:23" ht="20.100000000000001" customHeight="1" x14ac:dyDescent="0.25">
      <c r="A23" s="17" t="str">
        <f>HYPERLINK("#'Constants - Common'!A1", "Constants - Common")</f>
        <v>Constants - Common</v>
      </c>
      <c r="D23" s="54" t="s">
        <v>152</v>
      </c>
      <c r="E23" s="54" t="s">
        <v>69</v>
      </c>
      <c r="F23" s="54" t="s">
        <v>178</v>
      </c>
      <c r="G23" s="54" t="s">
        <v>195</v>
      </c>
      <c r="H23" s="54" t="s">
        <v>196</v>
      </c>
      <c r="I23" s="54" t="s">
        <v>197</v>
      </c>
      <c r="J23" s="54" t="s">
        <v>198</v>
      </c>
      <c r="O23" s="54" t="s">
        <v>152</v>
      </c>
      <c r="P23" s="54" t="s">
        <v>69</v>
      </c>
      <c r="Q23" s="54" t="s">
        <v>178</v>
      </c>
      <c r="R23" s="54" t="s">
        <v>195</v>
      </c>
      <c r="S23" s="54" t="s">
        <v>196</v>
      </c>
      <c r="T23" s="54" t="s">
        <v>197</v>
      </c>
      <c r="U23" s="54" t="s">
        <v>198</v>
      </c>
    </row>
    <row r="24" spans="1:23" ht="20.100000000000001" customHeight="1" x14ac:dyDescent="0.25">
      <c r="A24" s="17" t="str">
        <f>HYPERLINK("#'Acknowledgements'!A1", "Acknowledgements")</f>
        <v>Acknowledgements</v>
      </c>
      <c r="D24" s="55" t="str">
        <f>'Input - Dairy'!$D$53</f>
        <v>Pasture</v>
      </c>
      <c r="E24" s="55" t="str">
        <f>'Constants - Livestock'!$E$27</f>
        <v>Pasture range and paddock</v>
      </c>
      <c r="F24" s="55" cm="1">
        <f t="array" ref="F24">MMS_Dairy_Soil_AtmosphericDeposition_Equations.VEERG_4_3_1_10__2_MassOfNitrogenVolatilisedOnPasture(F19,$H$14)</f>
        <v>1081.8866204958229</v>
      </c>
      <c r="G24" s="55" cm="1">
        <f t="array" ref="G24">MMS_Dairy_Soil_AtmosphericDeposition_Equations.VEERG_4_3_1_10__2_MassOfNitrogenVolatilisedOnPasture(G19,$H$14)</f>
        <v>929.52796392231005</v>
      </c>
      <c r="H24" s="55" cm="1">
        <f t="array" ref="H24">MMS_Dairy_Soil_AtmosphericDeposition_Equations.VEERG_4_3_1_10__2_MassOfNitrogenVolatilisedOnPasture(H19,$H$14)</f>
        <v>370.22115787490003</v>
      </c>
      <c r="I24" s="55" cm="1">
        <f t="array" ref="I24">MMS_Dairy_Soil_AtmosphericDeposition_Equations.VEERG_4_3_1_10__2_MassOfNitrogenVolatilisedOnPasture(I19,$H$14)</f>
        <v>1168.4534125576747</v>
      </c>
      <c r="J24" s="55" cm="1">
        <f t="array" ref="J24">MMS_Dairy_Soil_AtmosphericDeposition_Equations.VEERG_4_3_1_10__2_MassOfNitrogenVolatilisedOnPasture(J19,$H$14)</f>
        <v>489.14885422023968</v>
      </c>
      <c r="K24" s="2" t="str">
        <f>$E$11</f>
        <v>kg N</v>
      </c>
      <c r="O24" s="55" t="str">
        <f>'Input - Dairy'!$D$53</f>
        <v>Pasture</v>
      </c>
      <c r="P24" s="55" t="str">
        <f>'Constants - Livestock'!$E$27</f>
        <v>Pasture range and paddock</v>
      </c>
      <c r="Q24" s="55" cm="1">
        <f t="array" ref="Q24">MMS_Dairy_Soil_AtmosphericDeposition_Equations.VEERG_4_3_1_10__2_MassOfNitrogenVolatilisedOnPasture(Q19,$H$14)</f>
        <v>1081.8866204958229</v>
      </c>
      <c r="R24" s="55" cm="1">
        <f t="array" ref="R24">MMS_Dairy_Soil_AtmosphericDeposition_Equations.VEERG_4_3_1_10__2_MassOfNitrogenVolatilisedOnPasture(R19,$H$14)</f>
        <v>929.52796392231005</v>
      </c>
      <c r="S24" s="55" cm="1">
        <f t="array" ref="S24">MMS_Dairy_Soil_AtmosphericDeposition_Equations.VEERG_4_3_1_10__2_MassOfNitrogenVolatilisedOnPasture(S19,$H$14)</f>
        <v>370.22115787490003</v>
      </c>
      <c r="T24" s="55" cm="1">
        <f t="array" ref="T24">MMS_Dairy_Soil_AtmosphericDeposition_Equations.VEERG_4_3_1_10__2_MassOfNitrogenVolatilisedOnPasture(T19,$H$14)</f>
        <v>1168.4534125576747</v>
      </c>
      <c r="U24" s="55" cm="1">
        <f t="array" ref="U24">MMS_Dairy_Soil_AtmosphericDeposition_Equations.VEERG_4_3_1_10__2_MassOfNitrogenVolatilisedOnPasture(U19,$H$14)</f>
        <v>489.14885422023968</v>
      </c>
      <c r="V24" s="2" t="str">
        <f>$E$11</f>
        <v>kg N</v>
      </c>
    </row>
    <row r="25" spans="1:23" ht="20.100000000000001" customHeight="1" x14ac:dyDescent="0.25"/>
    <row r="26" spans="1:23" ht="20.100000000000001" customHeight="1" x14ac:dyDescent="0.25">
      <c r="D26" s="121" t="s">
        <v>400</v>
      </c>
      <c r="E26" s="48">
        <f>SUM(F24:J24)</f>
        <v>4039.2380090709476</v>
      </c>
      <c r="F26" s="112" t="str">
        <f>$E$11</f>
        <v>kg N</v>
      </c>
      <c r="O26" s="121" t="s">
        <v>400</v>
      </c>
      <c r="P26" s="48">
        <f>SUM(Q24:U24)</f>
        <v>4039.2380090709476</v>
      </c>
      <c r="Q26" s="112" t="str">
        <f>$E$11</f>
        <v>kg N</v>
      </c>
    </row>
    <row r="27" spans="1:23" ht="20.100000000000001" customHeight="1" x14ac:dyDescent="0.25"/>
    <row r="28" spans="1:23" ht="20.100000000000001" customHeight="1" x14ac:dyDescent="0.25"/>
    <row r="29" spans="1:23" ht="20.100000000000001" customHeight="1" x14ac:dyDescent="0.25">
      <c r="C29" s="48"/>
      <c r="D29" s="48"/>
      <c r="E29" s="48"/>
      <c r="F29" s="48"/>
      <c r="G29" s="48"/>
      <c r="H29" s="48"/>
      <c r="I29" s="48"/>
      <c r="J29" s="48"/>
      <c r="K29" s="48"/>
      <c r="L29" s="48"/>
      <c r="N29" s="48"/>
      <c r="O29" s="48"/>
      <c r="P29" s="48"/>
      <c r="Q29" s="48"/>
      <c r="R29" s="48"/>
      <c r="S29" s="48"/>
      <c r="T29" s="48"/>
      <c r="U29" s="48"/>
      <c r="V29" s="48"/>
      <c r="W29" s="48"/>
    </row>
    <row r="30" spans="1:23" ht="20.100000000000001" customHeight="1" x14ac:dyDescent="0.25">
      <c r="D30" s="6" t="str" cm="1">
        <f t="array" ref="D30">MMS_Dairy_Soil_AtmosphericDeposition_Equations.VEERG_4_3_1_10__1_AtmosphericDepositionEmissionsFromUrineAndDungOnPasture_Title()</f>
        <v>Atmospheric deposition emissions from urine and dung deposited on pasture</v>
      </c>
    </row>
    <row r="31" spans="1:23" ht="20.100000000000001" customHeight="1" x14ac:dyDescent="0.25">
      <c r="D31" s="5" t="str" cm="1">
        <f t="array" ref="D31">MMS_Dairy_Soil_AtmosphericDeposition_Equations.VEERG_4_3_1_10__1_AtmosphericDepositionEmissionsFromUrineAndDungOnPasture_Source()</f>
        <v>VEERG 2026: 4.3.1.10, Equation (1)</v>
      </c>
    </row>
    <row r="32" spans="1:23" ht="20.100000000000001" customHeight="1" x14ac:dyDescent="0.25">
      <c r="D32" s="13" t="s">
        <v>28</v>
      </c>
      <c r="E32" s="13" t="str" cm="1">
        <f t="array" aca="1" ref="E32" ca="1">Common_InputFunctions.Utility_DisplayFunctionName(E45)</f>
        <v>=MMS_Dairy_Soil_AtmosphericDeposition_Equations.VEERG_4_3_1_10__1_AtmosphericDepositionEmissionsFromUrineAndDungOnPasture</v>
      </c>
    </row>
    <row r="33" spans="4:19" ht="20.100000000000001" customHeight="1" x14ac:dyDescent="0.25"/>
    <row r="34" spans="4:19" ht="20.100000000000001" customHeight="1" x14ac:dyDescent="0.25"/>
    <row r="35" spans="4:19" ht="20.100000000000001" customHeight="1" x14ac:dyDescent="0.25">
      <c r="D35" s="56" t="s">
        <v>31</v>
      </c>
      <c r="E35" s="1" t="str" cm="1">
        <f t="array" ref="E35">MMS_Dairy_Soil_AtmosphericDeposition_Equations.VEERG_4_3_1_10__1_AtmosphericDepositionEmissionsFromUrineAndDungOnPasture_Variable()</f>
        <v>E_N2Oad</v>
      </c>
    </row>
    <row r="36" spans="4:19" ht="20.100000000000001" customHeight="1" x14ac:dyDescent="0.25">
      <c r="D36" s="56" t="s">
        <v>21</v>
      </c>
      <c r="E36" s="57" t="str" cm="1">
        <f t="array" ref="E36">MMS_Dairy_Soil_AtmosphericDeposition_Equations.VEERG_4_3_1_10__1_AtmosphericDepositionEmissionsFromUrineAndDungOnPasture_Unit()</f>
        <v>t N2O</v>
      </c>
    </row>
    <row r="37" spans="4:19" ht="20.100000000000001" customHeight="1" x14ac:dyDescent="0.25"/>
    <row r="38" spans="4:19" ht="20.100000000000001" customHeight="1" x14ac:dyDescent="0.25">
      <c r="D38" s="60" t="str" cm="1">
        <f t="array" ref="D38:E43">MMS_Dairy_Soil_AtmosphericDeposition_Equations.VEERG_4_3_1_10__1_AtmosphericDepositionEmissionsFromUrineAndDungOnPasture_Arguments()</f>
        <v>M_vol_m14</v>
      </c>
      <c r="E38" s="60" t="str">
        <v>mass of nitrogen volatilised from urine and faeces deposited on pasture (kg N)</v>
      </c>
      <c r="F38" s="61"/>
      <c r="G38" s="62"/>
      <c r="H38" s="60">
        <f>$E$26</f>
        <v>4039.2380090709476</v>
      </c>
      <c r="O38" s="60" t="str">
        <f>D38</f>
        <v>M_vol_m14</v>
      </c>
      <c r="P38" s="60" t="str">
        <f>E38</f>
        <v>mass of nitrogen volatilised from urine and faeces deposited on pasture (kg N)</v>
      </c>
      <c r="Q38" s="61"/>
      <c r="R38" s="62"/>
      <c r="S38" s="60">
        <f>$P$26</f>
        <v>4039.2380090709476</v>
      </c>
    </row>
    <row r="39" spans="4:19" ht="20.100000000000001" customHeight="1" x14ac:dyDescent="0.25">
      <c r="D39" s="60" t="str">
        <v>EF_N2O</v>
      </c>
      <c r="E39" s="60" t="str">
        <v>nitrous oxide emission factor for atmospheric deposition (kg N2O-N/kg N)</v>
      </c>
      <c r="F39" s="61"/>
      <c r="G39" s="62"/>
      <c r="H39" s="60">
        <f>Common_InputFunctions.Utility_LookupN2OEFFromProdIrrigationRainfall(H41,H42,H43,Table_SourceData_Common_EFN2O[Production system only],Table_SourceData_Common_EFN2O[Irrigation method],Table_SourceData_Common_EFN2O[Rainfall zone],Table_SourceData_Common_EFN2O[EFN2O])</f>
        <v>5.8999999999999999E-3</v>
      </c>
      <c r="O39" s="60"/>
      <c r="P39" s="61"/>
      <c r="Q39" s="105"/>
      <c r="R39" s="62"/>
      <c r="S39" s="60"/>
    </row>
    <row r="40" spans="4:19" ht="20.100000000000001" customHeight="1" x14ac:dyDescent="0.25">
      <c r="D40" s="60" t="str">
        <v>C_N2O</v>
      </c>
      <c r="E40" s="60" t="str">
        <v>factor to convert elemental mass of N2O to molecular mass</v>
      </c>
      <c r="F40" s="61"/>
      <c r="G40" s="62"/>
      <c r="H40" s="60">
        <f>Common_InputFunctions.Utility_LookupValueInTableNumber("N2O",Table_GasToMolecularConversionFactor[Gas],Table_GasToMolecularConversionFactor[Conversion factor combined])</f>
        <v>1.5714285714285714</v>
      </c>
      <c r="O40" s="60"/>
      <c r="P40" s="61"/>
      <c r="Q40" s="105"/>
      <c r="R40" s="62"/>
      <c r="S40" s="60"/>
    </row>
    <row r="41" spans="4:19" ht="20.100000000000001" customHeight="1" x14ac:dyDescent="0.25">
      <c r="D41" s="60" t="str">
        <v>j</v>
      </c>
      <c r="E41" s="61" t="str">
        <v>production system</v>
      </c>
      <c r="F41" s="105"/>
      <c r="G41" s="62"/>
      <c r="H41" s="60" t="str">
        <f>'Input - Dairy'!$E$183</f>
        <v>Pasture</v>
      </c>
      <c r="O41" s="60"/>
      <c r="P41" s="61"/>
      <c r="Q41" s="105"/>
      <c r="R41" s="62"/>
      <c r="S41" s="60"/>
    </row>
    <row r="42" spans="4:19" ht="20.100000000000001" customHeight="1" x14ac:dyDescent="0.25">
      <c r="D42" s="60" t="str">
        <v>ir</v>
      </c>
      <c r="E42" s="61" t="str">
        <v>irrigation method</v>
      </c>
      <c r="F42" s="105"/>
      <c r="G42" s="62"/>
      <c r="H42" s="60" t="str">
        <f>'Input - Dairy'!$E$184</f>
        <v>Sprinkler irrigation</v>
      </c>
      <c r="O42" s="60"/>
      <c r="P42" s="61"/>
      <c r="Q42" s="105"/>
      <c r="R42" s="62"/>
      <c r="S42" s="60"/>
    </row>
    <row r="43" spans="4:19" ht="20.100000000000001" customHeight="1" x14ac:dyDescent="0.25">
      <c r="D43" s="60" t="str">
        <v>r</v>
      </c>
      <c r="E43" s="61" t="str">
        <v>rainfall region</v>
      </c>
      <c r="F43" s="105"/>
      <c r="G43" s="62"/>
      <c r="H43" s="60" t="str">
        <f>'Input - Site'!$E$30</f>
        <v>High rainfall</v>
      </c>
      <c r="O43" s="60"/>
      <c r="P43" s="61"/>
      <c r="Q43" s="105"/>
      <c r="R43" s="62"/>
      <c r="S43" s="60"/>
    </row>
    <row r="44" spans="4:19" ht="20.100000000000001" customHeight="1" x14ac:dyDescent="0.25"/>
    <row r="45" spans="4:19" ht="20.100000000000001" customHeight="1" x14ac:dyDescent="0.25">
      <c r="D45" s="108" t="s">
        <v>159</v>
      </c>
      <c r="E45" s="109" cm="1">
        <f t="array" ref="E45">MMS_Dairy_Soil_AtmosphericDeposition_Equations.VEERG_4_3_1_10__1_AtmosphericDepositionEmissionsFromUrineAndDungOnPasture($H$38,$H$39,$H$40)</f>
        <v>3.7449506684100645E-2</v>
      </c>
      <c r="F45" s="110" t="str">
        <f>$E$36</f>
        <v>t N2O</v>
      </c>
      <c r="O45" s="108" t="s">
        <v>159</v>
      </c>
      <c r="P45" s="109" cm="1">
        <f t="array" ref="P45">MMS_Dairy_Soil_AtmosphericDeposition_Equations.VEERG_4_3_1_10__1_AtmosphericDepositionEmissionsFromUrineAndDungOnPasture($S$38,$H$39,$H$40)</f>
        <v>3.7449506684100645E-2</v>
      </c>
      <c r="Q45" s="110" t="str">
        <f>$E$36</f>
        <v>t N2O</v>
      </c>
    </row>
    <row r="46" spans="4:19" ht="20.100000000000001" customHeight="1" x14ac:dyDescent="0.25"/>
    <row r="47" spans="4:19" ht="20.100000000000001" customHeight="1" x14ac:dyDescent="0.25">
      <c r="D47" s="60" t="str" cm="1">
        <f t="array" ref="D47:E48">Common_Equations.Common_ConvertN2OToCO2e_Arguments()</f>
        <v>EN2O</v>
      </c>
      <c r="E47" s="61" t="str">
        <v>Nitrous oxide emissions (t N2O)</v>
      </c>
      <c r="F47" s="111"/>
      <c r="G47" s="55">
        <f>E45</f>
        <v>3.7449506684100645E-2</v>
      </c>
      <c r="O47" s="60" t="str" cm="1">
        <f t="array" ref="O47:P48">Common_Equations.Common_ConvertN2OToCO2e_Arguments()</f>
        <v>EN2O</v>
      </c>
      <c r="P47" s="61" t="str">
        <v>Nitrous oxide emissions (t N2O)</v>
      </c>
      <c r="Q47" s="111"/>
      <c r="R47" s="55">
        <f>P45</f>
        <v>3.7449506684100645E-2</v>
      </c>
    </row>
    <row r="48" spans="4:19" ht="20.100000000000001" customHeight="1" x14ac:dyDescent="0.25">
      <c r="D48" s="60" t="str">
        <v>GWPN2O</v>
      </c>
      <c r="E48" s="61" t="str">
        <v>Global warming potential for nitrous oxide (t CO2-e / t N2O)</v>
      </c>
      <c r="F48" s="111"/>
      <c r="G48" s="55">
        <f>Common_InputFunctions.Utility_LookupValueInTableNumber("N2O",Table_GWPData[Gas],Table_GWPData[CO2-e factor])</f>
        <v>265</v>
      </c>
      <c r="O48" s="60" t="str">
        <v>GWPN2O</v>
      </c>
      <c r="P48" s="61" t="str">
        <v>Global warming potential for nitrous oxide (t CO2-e / t N2O)</v>
      </c>
      <c r="Q48" s="111"/>
      <c r="R48" s="55">
        <f>Common_InputFunctions.Utility_LookupValueInTableNumber("N2O",Table_GWPData[Gas],Table_GWPData[CO2-e factor])</f>
        <v>265</v>
      </c>
    </row>
    <row r="49" spans="4:17" ht="20.100000000000001" customHeight="1" x14ac:dyDescent="0.25"/>
    <row r="50" spans="4:17" ht="20.100000000000001" customHeight="1" x14ac:dyDescent="0.25">
      <c r="D50" s="48" t="s">
        <v>111</v>
      </c>
      <c r="E50" s="48" cm="1">
        <f t="array" ref="E50">Common_Equations.Common_ConvertN2OToCO2e(G47,G48)</f>
        <v>9.9241192712866706</v>
      </c>
      <c r="F50" s="112" t="str" cm="1">
        <f t="array" ref="F50">Common_Equations.Common_ConvertN2OToCO2e_Unit()</f>
        <v>t CO2e</v>
      </c>
      <c r="O50" s="48" t="s">
        <v>111</v>
      </c>
      <c r="P50" s="48" cm="1">
        <f t="array" ref="P50">Common_Equations.Common_ConvertN2OToCO2e(R47,R48)</f>
        <v>9.9241192712866706</v>
      </c>
      <c r="Q50" s="112" t="str" cm="1">
        <f t="array" ref="Q50">Common_Equations.Common_ConvertN2OToCO2e_Unit()</f>
        <v>t CO2e</v>
      </c>
    </row>
    <row r="51" spans="4:17" ht="20.100000000000001" customHeight="1" x14ac:dyDescent="0.25"/>
    <row r="52" spans="4:17" ht="20.100000000000001" customHeight="1" x14ac:dyDescent="0.25"/>
    <row r="53" spans="4:17" ht="20.100000000000001" customHeight="1" x14ac:dyDescent="0.25"/>
    <row r="54" spans="4:17" ht="20.100000000000001" customHeight="1" x14ac:dyDescent="0.25"/>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row r="61" spans="4:17" ht="20.100000000000001" customHeight="1" x14ac:dyDescent="0.25"/>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P19 E24 P24" xr:uid="{27894986-D8F7-4ECC-BDC3-495A6C274A89}"/>
  </dataValidation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W165"/>
  <sheetViews>
    <sheetView showGridLines="0" topLeftCell="A15" workbookViewId="0">
      <selection activeCell="H14" sqref="H1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392</v>
      </c>
    </row>
    <row r="2" spans="1:23" s="9" customFormat="1" ht="20.100000000000001" customHeight="1" x14ac:dyDescent="0.25"/>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HYPERLINK("#'Results'!A1", "Results")</f>
        <v>Results</v>
      </c>
    </row>
    <row r="5" spans="1:23" ht="20.100000000000001" customHeight="1" x14ac:dyDescent="0.25">
      <c r="A5" s="16"/>
      <c r="D5" s="6" t="str" cm="1">
        <f t="array" ref="D5">MMS_Dairy_Soil_LeachingAndRunoff.VEERG_4_3_1_12__2_MassOfNitrogenLostToLeachingAndRunoffOnPasture_Title()</f>
        <v>Mass of nitrogen lost to leaching and runoff from urine and faeces on pasture</v>
      </c>
    </row>
    <row r="6" spans="1:23" ht="20.100000000000001" customHeight="1" x14ac:dyDescent="0.25">
      <c r="A6" s="20" t="s">
        <v>3</v>
      </c>
      <c r="D6" s="5" t="str" cm="1">
        <f t="array" ref="D6">MMS_Dairy_Soil_LeachingAndRunoff.VEERG_4_3_1_12__2_MassOfNitrogenLostToLeachingAndRunoffOnPasture_Source()</f>
        <v>VEERG 2026: 4.3.1.12, Equation (2)</v>
      </c>
    </row>
    <row r="7" spans="1:23" ht="20.100000000000001" customHeight="1" x14ac:dyDescent="0.25">
      <c r="A7" s="17" t="str">
        <f>HYPERLINK("#'Input - Site'!A1", "Site")</f>
        <v>Site</v>
      </c>
      <c r="D7" s="13" t="s">
        <v>28</v>
      </c>
      <c r="E7" s="13" t="str" cm="1">
        <f t="array" aca="1" ref="E7" ca="1">Common_InputFunctions.Utility_DisplayFunctionName($F$28)</f>
        <v>=MMS_Dairy_Soil_LeachingAndRunoff.VEERG_4_3_1_12__2_MassOfNitrogenLostToLeachingAndRunoffOnPasture</v>
      </c>
    </row>
    <row r="8" spans="1:23" ht="20.100000000000001" customHeight="1" x14ac:dyDescent="0.25">
      <c r="A8" s="17" t="str">
        <f>HYPERLINK("#'Input - Dairy'!A1", "Dairy")</f>
        <v>Dairy</v>
      </c>
      <c r="E8" s="1" t="s">
        <v>18</v>
      </c>
    </row>
    <row r="9" spans="1:23" ht="20.100000000000001" customHeight="1" x14ac:dyDescent="0.25">
      <c r="A9" s="17"/>
    </row>
    <row r="10" spans="1:23" ht="20.100000000000001" customHeight="1" x14ac:dyDescent="0.25">
      <c r="A10" s="19" t="s">
        <v>78</v>
      </c>
      <c r="D10" s="56" t="s">
        <v>31</v>
      </c>
      <c r="E10" s="1" t="str" cm="1">
        <f t="array" ref="E10">MMS_Dairy_Soil_LeachingAndRunoff.VEERG_4_3_1_12__2_MassOfNitrogenLostToLeachingAndRunoffOnPasture_Variable()</f>
        <v>M_leach_m14</v>
      </c>
    </row>
    <row r="11" spans="1:23" ht="20.100000000000001" customHeight="1" x14ac:dyDescent="0.25">
      <c r="A11" s="17" t="str">
        <f>HYPERLINK("#'4.3.1.1-2 Methane'!A1", "4.3.1.1-2 Methane")</f>
        <v>4.3.1.1-2 Methane</v>
      </c>
      <c r="D11" s="56" t="s">
        <v>21</v>
      </c>
      <c r="E11" s="57" t="str" cm="1">
        <f t="array" ref="E11">MMS_Dairy_Soil_LeachingAndRunoff.VEERG_4_3_1_12__2_MassOfNitrogenLostToLeachingAndRunoffOnPasture_Unit()</f>
        <v>kg N</v>
      </c>
    </row>
    <row r="12" spans="1:23" ht="20.100000000000001" customHeight="1" x14ac:dyDescent="0.25">
      <c r="A12" s="17" t="str">
        <f>HYPERLINK("#'4.3.1.3-4 Direct N20'!A1", "4.3.1.3-4 Direct N2O")</f>
        <v>4.3.1.3-4 Direct N2O</v>
      </c>
    </row>
    <row r="13" spans="1:23" ht="20.100000000000001" customHeight="1" x14ac:dyDescent="0.25">
      <c r="A13" s="17" t="str">
        <f>HYPERLINK("#'4.3.1.5 Atmos Deposition'!A1", "4.3.1.5 Atmospheric deposition")</f>
        <v>4.3.1.5 Atmospheric deposition</v>
      </c>
      <c r="D13" s="60" t="str" cm="1">
        <f t="array" ref="D13:E18">MMS_Dairy_Soil_LeachingAndRunoff.VEERG_4_3_1_12__2_MassOfNitrogenLostToLeachingAndRunoffOnPasture_Arguments()</f>
        <v>MN_jm14</v>
      </c>
      <c r="E13" s="61" t="str">
        <v>mass of nitrogen excreted on pasture, range and paddock for each dairy class (kg N)</v>
      </c>
      <c r="F13" s="105"/>
      <c r="G13" s="62"/>
      <c r="H13" s="60" t="str">
        <f>"See " &amp; D20</f>
        <v>See M1_Table_MN_j_m-14</v>
      </c>
    </row>
    <row r="14" spans="1:23" ht="20.100000000000001" customHeight="1" x14ac:dyDescent="0.25">
      <c r="A14" s="17" t="str">
        <f>HYPERLINK("#'4.3.1.6-7 Leaching and runoff'!A1", "4.3.1.6-7 Leaching and runoff")</f>
        <v>4.3.1.6-7 Leaching and runoff</v>
      </c>
      <c r="D14" s="60" t="str">
        <v>FracWet</v>
      </c>
      <c r="E14" s="61" t="str">
        <v>fraction of N available for leaching and runoff</v>
      </c>
      <c r="F14" s="105"/>
      <c r="G14" s="62"/>
      <c r="H14" s="60">
        <f>Common_InputFunctions.CommonCropping_GetFracWET(H16,H18,#REF!,#REF!,Table_SourceData_FracWETIrrigation[Irrigation type i],Table_SourceData_FracWETIrrigation[FracWET])</f>
        <v>1</v>
      </c>
    </row>
    <row r="15" spans="1:23" ht="20.100000000000001" customHeight="1" x14ac:dyDescent="0.25">
      <c r="A15" s="17" t="str">
        <f>HYPERLINK("#'4.3.1.8 Manure applied to soils'!A1", "4.3.1.8 Manure applied to soils")</f>
        <v>4.3.1.8 Manure applied to soils</v>
      </c>
      <c r="D15" s="60" t="str">
        <v>FracLEACH</v>
      </c>
      <c r="E15" s="61" t="str">
        <v>fraction of N lost through leaching and runoff</v>
      </c>
      <c r="F15" s="105"/>
      <c r="G15" s="62"/>
      <c r="H15" s="60">
        <f>'Constants - Dairy'!$D$209</f>
        <v>0.02</v>
      </c>
    </row>
    <row r="16" spans="1:23" ht="20.100000000000001" customHeight="1" x14ac:dyDescent="0.25">
      <c r="A16" s="17" t="str">
        <f>HYPERLINK("#'4.3.1.9 Soil direct N2O'!A1", "4.3.1.9 Soil direct N2O")</f>
        <v>4.3.1.9 Soil direct N2O</v>
      </c>
      <c r="D16" s="60" t="str">
        <v>z</v>
      </c>
      <c r="E16" s="61" t="str">
        <v>location in leaching zone</v>
      </c>
      <c r="F16" s="105"/>
      <c r="G16" s="62"/>
      <c r="H16" s="60" t="str">
        <f>'Input - Site'!$E$23</f>
        <v>NO - Not in leaching zone</v>
      </c>
    </row>
    <row r="17" spans="1:22" ht="20.100000000000001" customHeight="1" x14ac:dyDescent="0.25">
      <c r="A17" s="17" t="str">
        <f>HYPERLINK("#'4.3.1.10-11 Soil Atmos Dep'!A1", "4.3.1.10-11 Soil atm. deposition")</f>
        <v>4.3.1.10-11 Soil atm. deposition</v>
      </c>
      <c r="D17" s="60" t="str">
        <v>j</v>
      </c>
      <c r="E17" s="61" t="str">
        <v>production system</v>
      </c>
      <c r="F17" s="105"/>
      <c r="G17" s="62"/>
      <c r="H17" s="60" t="str">
        <f>'Input - Dairy'!$E$183</f>
        <v>Pasture</v>
      </c>
    </row>
    <row r="18" spans="1:22" ht="20.100000000000001" customHeight="1" x14ac:dyDescent="0.25">
      <c r="A18" s="22" t="str">
        <f>HYPERLINK("#'4.3.1.12-13 Soil leach runoff'!A1", "4.3.1.12-13 Soil leach &amp; runoff")</f>
        <v>4.3.1.12-13 Soil leach &amp; runoff</v>
      </c>
      <c r="D18" s="60" t="str">
        <v>ir</v>
      </c>
      <c r="E18" s="61" t="str">
        <v>irrigation method</v>
      </c>
      <c r="F18" s="105"/>
      <c r="G18" s="62"/>
      <c r="H18" s="60" t="str">
        <f>'Input - Dairy'!$E$184</f>
        <v>Sprinkler irrigation</v>
      </c>
    </row>
    <row r="19" spans="1:22" ht="20.100000000000001" customHeight="1" x14ac:dyDescent="0.25">
      <c r="A19" s="17"/>
    </row>
    <row r="20" spans="1:22" ht="20.100000000000001" customHeight="1" x14ac:dyDescent="0.25">
      <c r="A20" s="18" t="s">
        <v>4</v>
      </c>
      <c r="D20" s="104" t="s">
        <v>378</v>
      </c>
      <c r="M20" s="59"/>
      <c r="O20" s="104" t="s">
        <v>380</v>
      </c>
    </row>
    <row r="21" spans="1:22" ht="20.100000000000001" customHeight="1" x14ac:dyDescent="0.25">
      <c r="A21" s="17" t="str">
        <f>HYPERLINK("#'Constants - Dairy'!A1", "Constants - Dairy")</f>
        <v>Constants - Dairy</v>
      </c>
      <c r="D21" s="103" t="s">
        <v>379</v>
      </c>
      <c r="M21" s="59"/>
      <c r="O21" s="103" t="s">
        <v>381</v>
      </c>
    </row>
    <row r="22" spans="1:22" ht="20.100000000000001" customHeight="1" x14ac:dyDescent="0.25">
      <c r="A22" s="17" t="str">
        <f>HYPERLINK("#'Constants - Livestock'!A1", "Constants - Livestock")</f>
        <v>Constants - Livestock</v>
      </c>
      <c r="D22" s="54" t="s">
        <v>152</v>
      </c>
      <c r="E22" s="54" t="s">
        <v>69</v>
      </c>
      <c r="F22" s="54" t="s">
        <v>178</v>
      </c>
      <c r="G22" s="54" t="s">
        <v>195</v>
      </c>
      <c r="H22" s="54" t="s">
        <v>196</v>
      </c>
      <c r="I22" s="54" t="s">
        <v>197</v>
      </c>
      <c r="J22" s="54" t="s">
        <v>198</v>
      </c>
      <c r="M22" s="59"/>
      <c r="O22" s="54" t="s">
        <v>152</v>
      </c>
      <c r="P22" s="54" t="s">
        <v>69</v>
      </c>
      <c r="Q22" s="54" t="s">
        <v>178</v>
      </c>
      <c r="R22" s="54" t="s">
        <v>195</v>
      </c>
      <c r="S22" s="54" t="s">
        <v>196</v>
      </c>
      <c r="T22" s="54" t="s">
        <v>197</v>
      </c>
      <c r="U22" s="54" t="s">
        <v>198</v>
      </c>
    </row>
    <row r="23" spans="1:22" ht="20.100000000000001" customHeight="1" x14ac:dyDescent="0.25">
      <c r="A23" s="17" t="str">
        <f>HYPERLINK("#'Constants - Common'!A1", "Constants - Common")</f>
        <v>Constants - Common</v>
      </c>
      <c r="D23" s="55" t="str">
        <f>'Input - Dairy'!$D$53</f>
        <v>Pasture</v>
      </c>
      <c r="E23" s="55" t="str">
        <f>'Constants - Livestock'!$E$27</f>
        <v>Pasture range and paddock</v>
      </c>
      <c r="F23" s="55">
        <f>'4.3.1.9 Soil direct N2O'!$F$31</f>
        <v>5151.8410499801093</v>
      </c>
      <c r="G23" s="55">
        <f>'4.3.1.9 Soil direct N2O'!$G$31</f>
        <v>4426.3236377252861</v>
      </c>
      <c r="H23" s="55">
        <f>'4.3.1.9 Soil direct N2O'!$H$31</f>
        <v>1762.9578946423812</v>
      </c>
      <c r="I23" s="55">
        <f>'4.3.1.9 Soil direct N2O'!$I$31</f>
        <v>5564.0638693222609</v>
      </c>
      <c r="J23" s="55">
        <f>'4.3.1.9 Soil direct N2O'!$J$31</f>
        <v>2329.2802581916176</v>
      </c>
      <c r="K23" s="2" t="str">
        <f>$E$11</f>
        <v>kg N</v>
      </c>
      <c r="M23" s="59"/>
      <c r="O23" s="55" t="str">
        <f>'Input - Dairy'!$D$53</f>
        <v>Pasture</v>
      </c>
      <c r="P23" s="55" t="str">
        <f>'Constants - Livestock'!$E$27</f>
        <v>Pasture range and paddock</v>
      </c>
      <c r="Q23" s="55">
        <f>'4.3.1.9 Soil direct N2O'!$Q$31</f>
        <v>5151.8410499801093</v>
      </c>
      <c r="R23" s="55">
        <f>'4.3.1.9 Soil direct N2O'!$R$31</f>
        <v>4426.3236377252861</v>
      </c>
      <c r="S23" s="55">
        <f>'4.3.1.9 Soil direct N2O'!$S$31</f>
        <v>1762.9578946423812</v>
      </c>
      <c r="T23" s="55">
        <f>'4.3.1.9 Soil direct N2O'!$T$31</f>
        <v>5564.0638693222609</v>
      </c>
      <c r="U23" s="55">
        <f>'4.3.1.9 Soil direct N2O'!$U$31</f>
        <v>2329.2802581916176</v>
      </c>
      <c r="V23" s="2" t="str">
        <f>$E$11</f>
        <v>kg N</v>
      </c>
    </row>
    <row r="24" spans="1:22" ht="20.100000000000001" customHeight="1" x14ac:dyDescent="0.25">
      <c r="A24" s="17" t="str">
        <f>HYPERLINK("#'Acknowledgements'!A1", "Acknowledgements")</f>
        <v>Acknowledgements</v>
      </c>
    </row>
    <row r="25" spans="1:22" ht="20.100000000000001" customHeight="1" x14ac:dyDescent="0.25">
      <c r="D25" s="104" t="s">
        <v>394</v>
      </c>
      <c r="O25" s="104" t="s">
        <v>396</v>
      </c>
    </row>
    <row r="26" spans="1:22" ht="20.100000000000001" customHeight="1" x14ac:dyDescent="0.25">
      <c r="D26" s="103" t="s">
        <v>395</v>
      </c>
      <c r="O26" s="103" t="s">
        <v>397</v>
      </c>
    </row>
    <row r="27" spans="1:22" ht="20.100000000000001" customHeight="1" x14ac:dyDescent="0.25">
      <c r="D27" s="54" t="s">
        <v>152</v>
      </c>
      <c r="E27" s="54" t="s">
        <v>69</v>
      </c>
      <c r="F27" s="54" t="s">
        <v>178</v>
      </c>
      <c r="G27" s="54" t="s">
        <v>195</v>
      </c>
      <c r="H27" s="54" t="s">
        <v>196</v>
      </c>
      <c r="I27" s="54" t="s">
        <v>197</v>
      </c>
      <c r="J27" s="54" t="s">
        <v>198</v>
      </c>
      <c r="O27" s="54" t="s">
        <v>152</v>
      </c>
      <c r="P27" s="54" t="s">
        <v>69</v>
      </c>
      <c r="Q27" s="54" t="s">
        <v>178</v>
      </c>
      <c r="R27" s="54" t="s">
        <v>195</v>
      </c>
      <c r="S27" s="54" t="s">
        <v>196</v>
      </c>
      <c r="T27" s="54" t="s">
        <v>197</v>
      </c>
      <c r="U27" s="54" t="s">
        <v>198</v>
      </c>
    </row>
    <row r="28" spans="1:22" ht="20.100000000000001" customHeight="1" x14ac:dyDescent="0.25">
      <c r="D28" s="55" t="str">
        <f>'Input - Dairy'!$D$53</f>
        <v>Pasture</v>
      </c>
      <c r="E28" s="55" t="str">
        <f>'Constants - Livestock'!$E$27</f>
        <v>Pasture range and paddock</v>
      </c>
      <c r="F28" s="55" cm="1">
        <f t="array" ref="F28">MMS_Dairy_Soil_LeachingAndRunoff.VEERG_4_3_1_12__2_MassOfNitrogenLostToLeachingAndRunoffOnPasture(F23,$H$14,$H$15)</f>
        <v>103.03682099960218</v>
      </c>
      <c r="G28" s="55" cm="1">
        <f t="array" ref="G28">MMS_Dairy_Soil_LeachingAndRunoff.VEERG_4_3_1_12__2_MassOfNitrogenLostToLeachingAndRunoffOnPasture(G23,$H$14,$H$15)</f>
        <v>88.526472754505718</v>
      </c>
      <c r="H28" s="55" cm="1">
        <f t="array" ref="H28">MMS_Dairy_Soil_LeachingAndRunoff.VEERG_4_3_1_12__2_MassOfNitrogenLostToLeachingAndRunoffOnPasture(H23,$H$14,$H$15)</f>
        <v>35.259157892847625</v>
      </c>
      <c r="I28" s="55" cm="1">
        <f t="array" ref="I28">MMS_Dairy_Soil_LeachingAndRunoff.VEERG_4_3_1_12__2_MassOfNitrogenLostToLeachingAndRunoffOnPasture(I23,$H$14,$H$15)</f>
        <v>111.28127738644523</v>
      </c>
      <c r="J28" s="55" cm="1">
        <f t="array" ref="J28">MMS_Dairy_Soil_LeachingAndRunoff.VEERG_4_3_1_12__2_MassOfNitrogenLostToLeachingAndRunoffOnPasture(J23,$H$14,$H$15)</f>
        <v>46.585605163832355</v>
      </c>
      <c r="K28" s="2" t="str">
        <f>$E$11</f>
        <v>kg N</v>
      </c>
      <c r="O28" s="55" t="str">
        <f>'Input - Dairy'!$D$53</f>
        <v>Pasture</v>
      </c>
      <c r="P28" s="55" t="str">
        <f>'Constants - Livestock'!$E$27</f>
        <v>Pasture range and paddock</v>
      </c>
      <c r="Q28" s="55" cm="1">
        <f t="array" ref="Q28">MMS_Dairy_Soil_LeachingAndRunoff.VEERG_4_3_1_12__2_MassOfNitrogenLostToLeachingAndRunoffOnPasture(Q23,$H$14,$H$15)</f>
        <v>103.03682099960218</v>
      </c>
      <c r="R28" s="55" cm="1">
        <f t="array" ref="R28">MMS_Dairy_Soil_LeachingAndRunoff.VEERG_4_3_1_12__2_MassOfNitrogenLostToLeachingAndRunoffOnPasture(R23,$H$14,$H$15)</f>
        <v>88.526472754505718</v>
      </c>
      <c r="S28" s="55" cm="1">
        <f t="array" ref="S28">MMS_Dairy_Soil_LeachingAndRunoff.VEERG_4_3_1_12__2_MassOfNitrogenLostToLeachingAndRunoffOnPasture(S23,$H$14,$H$15)</f>
        <v>35.259157892847625</v>
      </c>
      <c r="T28" s="55" cm="1">
        <f t="array" ref="T28">MMS_Dairy_Soil_LeachingAndRunoff.VEERG_4_3_1_12__2_MassOfNitrogenLostToLeachingAndRunoffOnPasture(T23,$H$14,$H$15)</f>
        <v>111.28127738644523</v>
      </c>
      <c r="U28" s="55" cm="1">
        <f t="array" ref="U28">MMS_Dairy_Soil_LeachingAndRunoff.VEERG_4_3_1_12__2_MassOfNitrogenLostToLeachingAndRunoffOnPasture(U23,$H$14,$H$15)</f>
        <v>46.585605163832355</v>
      </c>
      <c r="V28" s="2" t="str">
        <f>$E$11</f>
        <v>kg N</v>
      </c>
    </row>
    <row r="29" spans="1:22" ht="20.100000000000001" customHeight="1" x14ac:dyDescent="0.25"/>
    <row r="30" spans="1:22" ht="20.100000000000001" customHeight="1" x14ac:dyDescent="0.25">
      <c r="D30" s="121" t="s">
        <v>399</v>
      </c>
      <c r="E30" s="48">
        <f>SUM(F28:J28)</f>
        <v>384.68933419723317</v>
      </c>
      <c r="F30" s="112" t="str">
        <f>$E$11</f>
        <v>kg N</v>
      </c>
      <c r="O30" s="121" t="s">
        <v>399</v>
      </c>
      <c r="P30" s="48">
        <f>SUM(Q28:U28)</f>
        <v>384.68933419723317</v>
      </c>
      <c r="Q30" s="112" t="str">
        <f>$E$11</f>
        <v>kg N</v>
      </c>
    </row>
    <row r="31" spans="1:22" ht="20.100000000000001" customHeight="1" x14ac:dyDescent="0.25"/>
    <row r="32" spans="1:22" ht="20.100000000000001" customHeight="1" x14ac:dyDescent="0.25"/>
    <row r="33" spans="3:23" ht="20.100000000000001" customHeight="1" x14ac:dyDescent="0.25"/>
    <row r="34" spans="3:23" ht="20.100000000000001" customHeight="1" x14ac:dyDescent="0.25">
      <c r="C34" s="48"/>
      <c r="D34" s="48"/>
      <c r="E34" s="48"/>
      <c r="F34" s="48"/>
      <c r="G34" s="48"/>
      <c r="H34" s="48"/>
      <c r="I34" s="48"/>
      <c r="J34" s="48"/>
      <c r="K34" s="48"/>
      <c r="L34" s="48"/>
      <c r="N34" s="48"/>
      <c r="O34" s="48"/>
      <c r="P34" s="48"/>
      <c r="Q34" s="48"/>
      <c r="R34" s="48"/>
      <c r="S34" s="48"/>
      <c r="T34" s="48"/>
      <c r="U34" s="48"/>
      <c r="V34" s="48"/>
      <c r="W34" s="48"/>
    </row>
    <row r="35" spans="3:23" ht="20.100000000000001" customHeight="1" x14ac:dyDescent="0.25">
      <c r="D35" s="6" t="str" cm="1">
        <f t="array" ref="D35">MMS_Dairy_Soil_LeachingAndRunoff.VEERG_4_3_1_12__1_LeachingAndRunoffEmissionsFromUrineAndDungOnPasture_Title()</f>
        <v>Leaching and runoff emissions from urine and dung deposited on pasture</v>
      </c>
    </row>
    <row r="36" spans="3:23" ht="20.100000000000001" customHeight="1" x14ac:dyDescent="0.25">
      <c r="D36" s="5" t="str" cm="1">
        <f t="array" ref="D36">MMS_Dairy_Soil_LeachingAndRunoff.VEERG_4_3_1_12__1_LeachingAndRunoffEmissionsFromUrineAndDungOnPasture_Source()</f>
        <v>VEERG 2026: 4.3.1.12, Equation (1)</v>
      </c>
    </row>
    <row r="37" spans="3:23" ht="20.100000000000001" customHeight="1" x14ac:dyDescent="0.25">
      <c r="D37" s="13" t="s">
        <v>28</v>
      </c>
      <c r="E37" s="13" t="str" cm="1">
        <f t="array" aca="1" ref="E37" ca="1">Common_InputFunctions.Utility_DisplayFunctionName(E47)</f>
        <v>=MMS_Dairy_Soil_LeachingAndRunoff.VEERG_4_3_1_12__1_LeachingAndRunoffEmissionsFromUrineAndDungOnPasture</v>
      </c>
    </row>
    <row r="38" spans="3:23" ht="20.100000000000001" customHeight="1" x14ac:dyDescent="0.25"/>
    <row r="39" spans="3:23" ht="20.100000000000001" customHeight="1" x14ac:dyDescent="0.25"/>
    <row r="40" spans="3:23" ht="20.100000000000001" customHeight="1" x14ac:dyDescent="0.25">
      <c r="D40" s="56" t="s">
        <v>31</v>
      </c>
      <c r="E40" s="1" t="str" cm="1">
        <f t="array" ref="E40">MMS_Dairy_Soil_LeachingAndRunoff.VEERG_4_3_1_12__1_LeachingAndRunoffEmissionsFromUrineAndDungOnPasture_Variable()</f>
        <v>E_N2Oleach</v>
      </c>
    </row>
    <row r="41" spans="3:23" ht="20.100000000000001" customHeight="1" x14ac:dyDescent="0.25">
      <c r="D41" s="56" t="s">
        <v>21</v>
      </c>
      <c r="E41" s="57" t="str" cm="1">
        <f t="array" ref="E41">MMS_Dairy_Soil_LeachingAndRunoff.VEERG_4_3_1_12__1_LeachingAndRunoffEmissionsFromUrineAndDungOnPasture_Unit()</f>
        <v>t N2O</v>
      </c>
    </row>
    <row r="42" spans="3:23" ht="20.100000000000001" customHeight="1" x14ac:dyDescent="0.25"/>
    <row r="43" spans="3:23" ht="20.100000000000001" customHeight="1" x14ac:dyDescent="0.25">
      <c r="D43" s="115" t="str" cm="1">
        <f t="array" ref="D43:E45">MMS_Dairy_Soil_LeachingAndRunoff.VEERG_4_3_1_12__1_LeachingAndRunoffEmissionsFromUrineAndDungOnPasture_Arguments()</f>
        <v>M_leach_m14</v>
      </c>
      <c r="E43" s="117" t="str">
        <v>mass of nitrogen lost to leaching and runoff from urine and faeces deposited on pasture (kg N)</v>
      </c>
      <c r="F43" s="140"/>
      <c r="G43" s="116"/>
      <c r="H43" s="60">
        <f>$E$30</f>
        <v>384.68933419723317</v>
      </c>
      <c r="O43" s="115" t="str">
        <f>D43</f>
        <v>M_leach_m14</v>
      </c>
      <c r="P43" s="115" t="str">
        <f>E43</f>
        <v>mass of nitrogen lost to leaching and runoff from urine and faeces deposited on pasture (kg N)</v>
      </c>
      <c r="Q43" s="140"/>
      <c r="R43" s="116"/>
      <c r="S43" s="60">
        <f>$P$30</f>
        <v>384.68933419723317</v>
      </c>
    </row>
    <row r="44" spans="3:23" ht="20.100000000000001" customHeight="1" x14ac:dyDescent="0.25">
      <c r="D44" s="115" t="str">
        <v>EF_leach</v>
      </c>
      <c r="E44" s="117" t="str">
        <v>nitrous oxide emission factor for leaching and runoff (kg N2O-N/kg N)</v>
      </c>
      <c r="F44" s="140"/>
      <c r="G44" s="116"/>
      <c r="H44" s="60">
        <f>'Constants - Dairy'!$D$202</f>
        <v>1.0999999999999999E-2</v>
      </c>
      <c r="O44" s="115"/>
      <c r="P44" s="117"/>
      <c r="Q44" s="140"/>
      <c r="R44" s="116"/>
      <c r="S44" s="60"/>
    </row>
    <row r="45" spans="3:23" ht="20.100000000000001" customHeight="1" x14ac:dyDescent="0.25">
      <c r="D45" s="115" t="str">
        <v>C_N2O</v>
      </c>
      <c r="E45" s="117" t="str">
        <v>factor to convert elemental mass of N2O to molecular mass</v>
      </c>
      <c r="F45" s="140"/>
      <c r="G45" s="116"/>
      <c r="H45" s="60">
        <f>Common_InputFunctions.Utility_LookupValueInTableNumber("N2O",Table_GasToMolecularConversionFactor[Gas],Table_GasToMolecularConversionFactor[Conversion factor combined])</f>
        <v>1.5714285714285714</v>
      </c>
      <c r="O45" s="115"/>
      <c r="P45" s="117"/>
      <c r="Q45" s="140"/>
      <c r="R45" s="116"/>
      <c r="S45" s="60"/>
    </row>
    <row r="46" spans="3:23" ht="20.100000000000001" customHeight="1" x14ac:dyDescent="0.25"/>
    <row r="47" spans="3:23" ht="20.100000000000001" customHeight="1" x14ac:dyDescent="0.25">
      <c r="D47" s="108" t="s">
        <v>398</v>
      </c>
      <c r="E47" s="109" cm="1">
        <f t="array" ref="E47">MMS_Dairy_Soil_LeachingAndRunoff.VEERG_4_3_1_12__1_LeachingAndRunoffEmissionsFromUrineAndDungOnPasture($H$43,$H$44,$H$45)</f>
        <v>6.64962991969503E-3</v>
      </c>
      <c r="F47" s="110" t="str">
        <f>$E$41</f>
        <v>t N2O</v>
      </c>
      <c r="O47" s="108" t="s">
        <v>398</v>
      </c>
      <c r="P47" s="109" cm="1">
        <f t="array" ref="P47">MMS_Dairy_Soil_LeachingAndRunoff.VEERG_4_3_1_12__1_LeachingAndRunoffEmissionsFromUrineAndDungOnPasture($S$43,$H$44,$H$45)</f>
        <v>6.64962991969503E-3</v>
      </c>
      <c r="Q47" s="110" t="str">
        <f>$E$41</f>
        <v>t N2O</v>
      </c>
    </row>
    <row r="48" spans="3:23" ht="20.100000000000001" customHeight="1" x14ac:dyDescent="0.25"/>
    <row r="49" spans="4:18" ht="20.100000000000001" customHeight="1" x14ac:dyDescent="0.25">
      <c r="D49" s="60" t="str" cm="1">
        <f t="array" ref="D49:E50">Common_Equations.Common_ConvertN2OToCO2e_Arguments()</f>
        <v>EN2O</v>
      </c>
      <c r="E49" s="61" t="str">
        <v>Nitrous oxide emissions (t N2O)</v>
      </c>
      <c r="F49" s="111"/>
      <c r="G49" s="55">
        <f>E47</f>
        <v>6.64962991969503E-3</v>
      </c>
      <c r="O49" s="60" t="str" cm="1">
        <f t="array" ref="O49:P50">Common_Equations.Common_ConvertN2OToCO2e_Arguments()</f>
        <v>EN2O</v>
      </c>
      <c r="P49" s="61" t="str">
        <v>Nitrous oxide emissions (t N2O)</v>
      </c>
      <c r="Q49" s="111"/>
      <c r="R49" s="55">
        <f>P47</f>
        <v>6.64962991969503E-3</v>
      </c>
    </row>
    <row r="50" spans="4:18" ht="20.100000000000001" customHeight="1" x14ac:dyDescent="0.25">
      <c r="D50" s="60" t="str">
        <v>GWPN2O</v>
      </c>
      <c r="E50" s="61" t="str">
        <v>Global warming potential for nitrous oxide (t CO2-e / t N2O)</v>
      </c>
      <c r="F50" s="111"/>
      <c r="G50" s="55">
        <f>Common_InputFunctions.Utility_LookupValueInTableNumber("N2O",Table_GWPData[Gas],Table_GWPData[CO2-e factor])</f>
        <v>265</v>
      </c>
      <c r="O50" s="60" t="str">
        <v>GWPN2O</v>
      </c>
      <c r="P50" s="61" t="str">
        <v>Global warming potential for nitrous oxide (t CO2-e / t N2O)</v>
      </c>
      <c r="Q50" s="111"/>
      <c r="R50" s="55">
        <f>Common_InputFunctions.Utility_LookupValueInTableNumber("N2O",Table_GWPData[Gas],Table_GWPData[CO2-e factor])</f>
        <v>265</v>
      </c>
    </row>
    <row r="51" spans="4:18" ht="20.100000000000001" customHeight="1" x14ac:dyDescent="0.25"/>
    <row r="52" spans="4:18" ht="20.100000000000001" customHeight="1" x14ac:dyDescent="0.25">
      <c r="D52" s="48" t="s">
        <v>111</v>
      </c>
      <c r="E52" s="48" cm="1">
        <f t="array" ref="E52">Common_Equations.Common_ConvertN2OToCO2e(G49,G50)</f>
        <v>1.7621519287191829</v>
      </c>
      <c r="F52" s="112" t="str" cm="1">
        <f t="array" ref="F52">Common_Equations.Common_ConvertN2OToCO2e_Unit()</f>
        <v>t CO2e</v>
      </c>
      <c r="O52" s="48" t="s">
        <v>111</v>
      </c>
      <c r="P52" s="48" cm="1">
        <f t="array" ref="P52">Common_Equations.Common_ConvertN2OToCO2e(R49,R50)</f>
        <v>1.7621519287191829</v>
      </c>
      <c r="Q52" s="112" t="str" cm="1">
        <f t="array" ref="Q52">Common_Equations.Common_ConvertN2OToCO2e_Unit()</f>
        <v>t CO2e</v>
      </c>
    </row>
    <row r="53" spans="4:18" ht="20.100000000000001" customHeight="1" x14ac:dyDescent="0.25"/>
    <row r="54" spans="4:18" ht="20.100000000000001" customHeight="1" x14ac:dyDescent="0.25"/>
    <row r="55" spans="4:18" ht="20.100000000000001" customHeight="1" x14ac:dyDescent="0.25"/>
    <row r="56" spans="4:18" ht="20.100000000000001" customHeight="1" x14ac:dyDescent="0.25"/>
    <row r="57" spans="4:18" ht="20.100000000000001" customHeight="1" x14ac:dyDescent="0.25"/>
    <row r="58" spans="4:18" ht="20.100000000000001" customHeight="1" x14ac:dyDescent="0.25"/>
    <row r="59" spans="4:18" ht="20.100000000000001" customHeight="1" x14ac:dyDescent="0.25"/>
    <row r="60" spans="4:18" ht="20.100000000000001" customHeight="1" x14ac:dyDescent="0.25"/>
    <row r="61" spans="4:18" ht="20.100000000000001" customHeight="1" x14ac:dyDescent="0.25"/>
    <row r="62" spans="4:18" ht="20.100000000000001" customHeight="1" x14ac:dyDescent="0.25"/>
    <row r="63" spans="4:18" ht="20.100000000000001" customHeight="1" x14ac:dyDescent="0.25"/>
    <row r="64" spans="4: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P23 E28 P28" xr:uid="{FFC3CBA3-2876-48FD-90FB-22BFDC268162}"/>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2" zoomScale="85" zoomScaleNormal="85" workbookViewId="0">
      <selection activeCell="G5" sqref="G5:J12"/>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115</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4"/>
    </row>
    <row r="5" spans="1:21" ht="20.100000000000001" customHeight="1" x14ac:dyDescent="0.25">
      <c r="A5" s="16"/>
      <c r="D5" s="6" t="s">
        <v>175</v>
      </c>
      <c r="G5" s="6" t="s">
        <v>176</v>
      </c>
      <c r="J5" s="6" t="s">
        <v>153</v>
      </c>
      <c r="M5" s="1"/>
    </row>
    <row r="6" spans="1:21" ht="20.100000000000001" customHeight="1" x14ac:dyDescent="0.25">
      <c r="A6" s="20" t="s">
        <v>3</v>
      </c>
      <c r="M6" s="1"/>
    </row>
    <row r="7" spans="1:21" ht="20.100000000000001" customHeight="1" x14ac:dyDescent="0.25">
      <c r="A7" s="17" t="str">
        <f>HYPERLINK("#'Input - Site'!A1", "Site")</f>
        <v>Site</v>
      </c>
      <c r="D7" s="102" t="s">
        <v>69</v>
      </c>
      <c r="E7" s="39" t="s">
        <v>83</v>
      </c>
      <c r="G7" s="39" t="s">
        <v>152</v>
      </c>
      <c r="J7" s="39" t="s">
        <v>150</v>
      </c>
      <c r="M7" s="1"/>
    </row>
    <row r="8" spans="1:21" ht="20.100000000000001" customHeight="1" x14ac:dyDescent="0.25">
      <c r="A8" s="17" t="str">
        <f>HYPERLINK("#'Input - Dairy'!A1", "Dairy")</f>
        <v>Dairy</v>
      </c>
      <c r="D8" s="39" t="str">
        <f>'Constants - Livestock'!$E$10</f>
        <v>Anaerobic lagoon</v>
      </c>
      <c r="E8" s="39" t="str">
        <f>'Constants - Livestock'!$F$10</f>
        <v>Anaerobic lagoon (m=1)</v>
      </c>
      <c r="G8" s="39" t="str">
        <f>'Constants - Common'!$F$187</f>
        <v>Pasture</v>
      </c>
      <c r="J8" s="39" t="s">
        <v>154</v>
      </c>
      <c r="M8" s="1"/>
    </row>
    <row r="9" spans="1:21" ht="20.100000000000001" customHeight="1" x14ac:dyDescent="0.25">
      <c r="A9" s="17"/>
      <c r="D9" s="39" t="str">
        <f>'Constants - Livestock'!$E$13</f>
        <v>Sump and dispersal system</v>
      </c>
      <c r="E9" s="39" t="str">
        <f>'Constants - Livestock'!$F$13</f>
        <v>Sump and dispersal system (m=3a)</v>
      </c>
      <c r="G9" s="1" t="str">
        <f>'Constants - Common'!$F$188</f>
        <v>Crop</v>
      </c>
      <c r="J9" s="39" t="s">
        <v>155</v>
      </c>
      <c r="M9" s="1"/>
    </row>
    <row r="10" spans="1:21" ht="20.100000000000001" customHeight="1" x14ac:dyDescent="0.25">
      <c r="A10" s="19" t="s">
        <v>78</v>
      </c>
      <c r="D10" s="39" t="str">
        <f>'Constants - Livestock'!$E$14</f>
        <v>Drains to paddock</v>
      </c>
      <c r="E10" s="39" t="str">
        <f>'Constants - Livestock'!$F$14</f>
        <v>Drains to paddock (m=3b)</v>
      </c>
      <c r="J10" s="1" t="s">
        <v>156</v>
      </c>
      <c r="M10" s="1"/>
    </row>
    <row r="11" spans="1:21" ht="20.100000000000001" customHeight="1" x14ac:dyDescent="0.25">
      <c r="A11" s="17" t="str">
        <f>HYPERLINK("#'4.3.1.1-2 Methane'!A1", "4.3.1.1-2 Methane")</f>
        <v>4.3.1.1-2 Methane</v>
      </c>
      <c r="D11" s="39" t="str">
        <f>'Constants - Livestock'!$E$15</f>
        <v>Solid storage</v>
      </c>
      <c r="E11" s="39" t="str">
        <f>'Constants - Livestock'!$F$15</f>
        <v>Solid storage (m=4)</v>
      </c>
      <c r="J11" s="1" t="s">
        <v>157</v>
      </c>
      <c r="M11" s="1"/>
    </row>
    <row r="12" spans="1:21" ht="20.100000000000001" customHeight="1" x14ac:dyDescent="0.25">
      <c r="A12" s="17" t="str">
        <f>HYPERLINK("#'4.3.1.3-4 Direct N20'!A1", "4.3.1.3-4 Direct N2O")</f>
        <v>4.3.1.3-4 Direct N2O</v>
      </c>
      <c r="J12" s="1" t="s">
        <v>158</v>
      </c>
      <c r="M12" s="1"/>
    </row>
    <row r="13" spans="1:21" ht="20.100000000000001" customHeight="1" x14ac:dyDescent="0.25">
      <c r="A13" s="17" t="str">
        <f>HYPERLINK("#'4.3.1.5 Atmos Deposition'!A1", "4.3.1.5 Atmospheric deposition")</f>
        <v>4.3.1.5 Atmospheric deposition</v>
      </c>
      <c r="M13" s="1"/>
    </row>
    <row r="14" spans="1:21" ht="20.100000000000001" customHeight="1" x14ac:dyDescent="0.25">
      <c r="A14" s="17" t="str">
        <f>HYPERLINK("#'4.3.1.6-7 Leaching and runoff'!A1", "4.3.1.6-7 Leaching and runoff")</f>
        <v>4.3.1.6-7 Leaching and runoff</v>
      </c>
      <c r="M14" s="1"/>
    </row>
    <row r="15" spans="1:21" ht="20.100000000000001" customHeight="1" x14ac:dyDescent="0.25">
      <c r="A15" s="17" t="str">
        <f>HYPERLINK("#'4.3.1.8 Manure applied to soils'!A1", "4.3.1.8 Manure applied to soils")</f>
        <v>4.3.1.8 Manure applied to soils</v>
      </c>
      <c r="M15" s="1"/>
    </row>
    <row r="16" spans="1:21" ht="20.100000000000001" customHeight="1" x14ac:dyDescent="0.25">
      <c r="A16" s="17" t="str">
        <f>HYPERLINK("#'4.3.1.9 Soil direct N2O'!A1", "4.3.1.9 Soil direct N2O")</f>
        <v>4.3.1.9 Soil direct N2O</v>
      </c>
      <c r="D16" s="6" t="str" cm="1">
        <f t="array" ref="D16">SourceData_Dairy.SourceData_Dairy_LiveweightCowsAndHeifers_Title()</f>
        <v>Table A.1.3.1: Dairy cattle - Liveweight (kg) - Cows and Heifers (Wj)</v>
      </c>
      <c r="M16" s="1"/>
    </row>
    <row r="17" spans="1:13" ht="20.100000000000001" customHeight="1" x14ac:dyDescent="0.25">
      <c r="A17" s="17" t="str">
        <f>HYPERLINK("#'4.3.1.10-11 Soil Atmos Dep'!A1", "4.3.1.10-11 Soil atm. deposition")</f>
        <v>4.3.1.10-11 Soil atm. deposition</v>
      </c>
      <c r="D17" s="5" t="str" cm="1">
        <f t="array" ref="D17">SourceData_Dairy.SourceData_Dairy_LiveweightCowsAndHeifers_Source()</f>
        <v>VEERG 2026: Table A.1.3.1</v>
      </c>
      <c r="M17" s="1"/>
    </row>
    <row r="18" spans="1:13" ht="20.100000000000001" customHeight="1" x14ac:dyDescent="0.25">
      <c r="A18" s="17" t="str">
        <f>HYPERLINK("#'4.3.1.12-13 Soil leach runoff'!A1", "4.3.1.12-13 Soil leach &amp; runoff")</f>
        <v>4.3.1.12-13 Soil leach &amp; runoff</v>
      </c>
      <c r="D18" s="1" t="str" cm="1">
        <f t="array" ref="D18">SourceData_Dairy.SourceData_Dairy_LiveweightCowsAndHeifers_Variable()</f>
        <v>Wj</v>
      </c>
      <c r="M18" s="1"/>
    </row>
    <row r="19" spans="1:13" ht="20.100000000000001" customHeight="1" x14ac:dyDescent="0.25">
      <c r="A19" s="17"/>
      <c r="D19" s="57" t="str" cm="1">
        <f t="array" ref="D19">SourceData_Dairy.SourceData_Dairy_LiveweightCowsAndHeifers_Unit()</f>
        <v>kg</v>
      </c>
      <c r="M19" s="1"/>
    </row>
    <row r="20" spans="1:13" ht="20.100000000000001" customHeight="1" x14ac:dyDescent="0.25">
      <c r="A20" s="18" t="s">
        <v>4</v>
      </c>
      <c r="D20" s="58"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72" t="str">
        <f>HYPERLINK("#'Constants - Dairy'!A1", "Constants - Dairy")</f>
        <v>Constants - Dairy</v>
      </c>
      <c r="D21" s="39" t="s">
        <v>177</v>
      </c>
      <c r="E21" s="39" t="s">
        <v>178</v>
      </c>
      <c r="F21" s="39" t="s">
        <v>179</v>
      </c>
      <c r="G21" s="39" t="s">
        <v>180</v>
      </c>
      <c r="M21" s="1"/>
    </row>
    <row r="22" spans="1:13" ht="20.100000000000001" customHeight="1" x14ac:dyDescent="0.25">
      <c r="A22" s="17" t="str">
        <f>HYPERLINK("#'Constants - Livestock'!A1", "Constants - Livestock")</f>
        <v>Constants - Livestock</v>
      </c>
      <c r="D22" s="39" t="str" cm="1">
        <f t="array" ref="D22">Common_InputFunctions.Utility_DisplayArrayInTable(SourceData_Dairy.SourceData_Dairy_LiveweightCowsAndHeifers_Data(), Table_SourceData_Dairy_WjCowsHeifers[[#Headers],[Breed]], 0)</f>
        <v>Medium Friesian</v>
      </c>
      <c r="E22" s="39" cm="1">
        <f t="array" ref="E22">Common_InputFunctions.Utility_DisplayArrayInTable(SourceData_Dairy.SourceData_Dairy_LiveweightCowsAndHeifers_Data(), Table_SourceData_Dairy_WjCowsHeifers[[#Headers],[Breed]], 0)</f>
        <v>550</v>
      </c>
      <c r="F22" s="39" cm="1">
        <f t="array" ref="F22">Common_InputFunctions.Utility_DisplayArrayInTable(SourceData_Dairy.SourceData_Dairy_LiveweightCowsAndHeifers_Data(), Table_SourceData_Dairy_WjCowsHeifers[[#Headers],[Breed]], 0)</f>
        <v>380</v>
      </c>
      <c r="G22" s="39" cm="1">
        <f t="array" ref="G22">Common_InputFunctions.Utility_DisplayArrayInTable(SourceData_Dairy.SourceData_Dairy_LiveweightCowsAndHeifers_Data(), Table_SourceData_Dairy_WjCowsHeifers[[#Headers],[Breed]], 0)</f>
        <v>155</v>
      </c>
      <c r="M22" s="1"/>
    </row>
    <row r="23" spans="1:13" ht="20.100000000000001" customHeight="1" x14ac:dyDescent="0.25">
      <c r="A23" s="17" t="str">
        <f>HYPERLINK("#'Constants - Common'!A1", "Constants - Common")</f>
        <v>Constants - Common</v>
      </c>
      <c r="D23" s="39" t="str" cm="1">
        <f t="array" ref="D23">Common_InputFunctions.Utility_DisplayArrayInTable(SourceData_Dairy.SourceData_Dairy_LiveweightCowsAndHeifers_Data(), Table_SourceData_Dairy_WjCowsHeifers[[#Headers],[Breed]], 0)</f>
        <v>Large Friesian</v>
      </c>
      <c r="E23" s="39" cm="1">
        <f t="array" ref="E23">Common_InputFunctions.Utility_DisplayArrayInTable(SourceData_Dairy.SourceData_Dairy_LiveweightCowsAndHeifers_Data(), Table_SourceData_Dairy_WjCowsHeifers[[#Headers],[Breed]], 0)</f>
        <v>600</v>
      </c>
      <c r="F23" s="39" cm="1">
        <f t="array" ref="F23">Common_InputFunctions.Utility_DisplayArrayInTable(SourceData_Dairy.SourceData_Dairy_LiveweightCowsAndHeifers_Data(), Table_SourceData_Dairy_WjCowsHeifers[[#Headers],[Breed]], 0)</f>
        <v>415</v>
      </c>
      <c r="G23" s="39" cm="1">
        <f t="array" ref="G23">Common_InputFunctions.Utility_DisplayArrayInTable(SourceData_Dairy.SourceData_Dairy_LiveweightCowsAndHeifers_Data(), Table_SourceData_Dairy_WjCowsHeifers[[#Headers],[Breed]], 0)</f>
        <v>170</v>
      </c>
      <c r="M23" s="1"/>
    </row>
    <row r="24" spans="1:13" ht="20.100000000000001" customHeight="1" x14ac:dyDescent="0.25">
      <c r="A24" s="17" t="str">
        <f>HYPERLINK("#'Acknowledgements'!A1", "Acknowledgements")</f>
        <v>Acknowledgements</v>
      </c>
      <c r="D24" s="39" t="str" cm="1">
        <f t="array" ref="D24">Common_InputFunctions.Utility_DisplayArrayInTable(SourceData_Dairy.SourceData_Dairy_LiveweightCowsAndHeifers_Data(), Table_SourceData_Dairy_WjCowsHeifers[[#Headers],[Breed]], 0)</f>
        <v>Holstein-Friesian</v>
      </c>
      <c r="E24" s="39" cm="1">
        <f t="array" ref="E24">Common_InputFunctions.Utility_DisplayArrayInTable(SourceData_Dairy.SourceData_Dairy_LiveweightCowsAndHeifers_Data(), Table_SourceData_Dairy_WjCowsHeifers[[#Headers],[Breed]], 0)</f>
        <v>650</v>
      </c>
      <c r="F24" s="39" cm="1">
        <f t="array" ref="F24">Common_InputFunctions.Utility_DisplayArrayInTable(SourceData_Dairy.SourceData_Dairy_LiveweightCowsAndHeifers_Data(), Table_SourceData_Dairy_WjCowsHeifers[[#Headers],[Breed]], 0)</f>
        <v>450</v>
      </c>
      <c r="G24" s="39" cm="1">
        <f t="array" ref="G24">Common_InputFunctions.Utility_DisplayArrayInTable(SourceData_Dairy.SourceData_Dairy_LiveweightCowsAndHeifers_Data(), Table_SourceData_Dairy_WjCowsHeifers[[#Headers],[Breed]], 0)</f>
        <v>185</v>
      </c>
      <c r="M24" s="1"/>
    </row>
    <row r="25" spans="1:13" ht="20.100000000000001" customHeight="1" x14ac:dyDescent="0.25">
      <c r="D25" s="39" t="str" cm="1">
        <f t="array" ref="D25">Common_InputFunctions.Utility_DisplayArrayInTable(SourceData_Dairy.SourceData_Dairy_LiveweightCowsAndHeifers_Data(), Table_SourceData_Dairy_WjCowsHeifers[[#Headers],[Breed]], 0)</f>
        <v>Friesian crossbred</v>
      </c>
      <c r="E25" s="39" cm="1">
        <f t="array" ref="E25">Common_InputFunctions.Utility_DisplayArrayInTable(SourceData_Dairy.SourceData_Dairy_LiveweightCowsAndHeifers_Data(), Table_SourceData_Dairy_WjCowsHeifers[[#Headers],[Breed]], 0)</f>
        <v>500</v>
      </c>
      <c r="F25" s="39" cm="1">
        <f t="array" ref="F25">Common_InputFunctions.Utility_DisplayArrayInTable(SourceData_Dairy.SourceData_Dairy_LiveweightCowsAndHeifers_Data(), Table_SourceData_Dairy_WjCowsHeifers[[#Headers],[Breed]], 0)</f>
        <v>350</v>
      </c>
      <c r="G25" s="39" cm="1">
        <f t="array" ref="G25">Common_InputFunctions.Utility_DisplayArrayInTable(SourceData_Dairy.SourceData_Dairy_LiveweightCowsAndHeifers_Data(), Table_SourceData_Dairy_WjCowsHeifers[[#Headers],[Breed]], 0)</f>
        <v>145</v>
      </c>
      <c r="M25" s="1"/>
    </row>
    <row r="26" spans="1:13" ht="20.100000000000001" customHeight="1" x14ac:dyDescent="0.25">
      <c r="D26" s="39" t="str" cm="1">
        <f t="array" ref="D26">Common_InputFunctions.Utility_DisplayArrayInTable(SourceData_Dairy.SourceData_Dairy_LiveweightCowsAndHeifers_Data(), Table_SourceData_Dairy_WjCowsHeifers[[#Headers],[Breed]], 0)</f>
        <v>Jersey</v>
      </c>
      <c r="E26" s="39" cm="1">
        <f t="array" ref="E26">Common_InputFunctions.Utility_DisplayArrayInTable(SourceData_Dairy.SourceData_Dairy_LiveweightCowsAndHeifers_Data(), Table_SourceData_Dairy_WjCowsHeifers[[#Headers],[Breed]], 0)</f>
        <v>400</v>
      </c>
      <c r="F26" s="39" cm="1">
        <f t="array" ref="F26">Common_InputFunctions.Utility_DisplayArrayInTable(SourceData_Dairy.SourceData_Dairy_LiveweightCowsAndHeifers_Data(), Table_SourceData_Dairy_WjCowsHeifers[[#Headers],[Breed]], 0)</f>
        <v>275</v>
      </c>
      <c r="G26" s="39" cm="1">
        <f t="array" ref="G26">Common_InputFunctions.Utility_DisplayArrayInTable(SourceData_Dairy.SourceData_Dairy_LiveweightCowsAndHeifers_Data(), Table_SourceData_Dairy_WjCowsHeifers[[#Headers],[Breed]], 0)</f>
        <v>115</v>
      </c>
      <c r="M26" s="1"/>
    </row>
    <row r="27" spans="1:13" ht="20.100000000000001" customHeight="1" x14ac:dyDescent="0.25">
      <c r="D27" s="39" t="str" cm="1">
        <f t="array" ref="D27">Common_InputFunctions.Utility_DisplayArrayInTable(SourceData_Dairy.SourceData_Dairy_LiveweightCowsAndHeifers_Data(), Table_SourceData_Dairy_WjCowsHeifers[[#Headers],[Breed]], 0)</f>
        <v>Jersey crossbred</v>
      </c>
      <c r="E27" s="39" cm="1">
        <f t="array" ref="E27">Common_InputFunctions.Utility_DisplayArrayInTable(SourceData_Dairy.SourceData_Dairy_LiveweightCowsAndHeifers_Data(), Table_SourceData_Dairy_WjCowsHeifers[[#Headers],[Breed]], 0)</f>
        <v>450</v>
      </c>
      <c r="F27" s="39" cm="1">
        <f t="array" ref="F27">Common_InputFunctions.Utility_DisplayArrayInTable(SourceData_Dairy.SourceData_Dairy_LiveweightCowsAndHeifers_Data(), Table_SourceData_Dairy_WjCowsHeifers[[#Headers],[Breed]], 0)</f>
        <v>315</v>
      </c>
      <c r="G27" s="39" cm="1">
        <f t="array" ref="G27">Common_InputFunctions.Utility_DisplayArrayInTable(SourceData_Dairy.SourceData_Dairy_LiveweightCowsAndHeifers_Data(), Table_SourceData_Dairy_WjCowsHeifers[[#Headers],[Breed]], 0)</f>
        <v>130</v>
      </c>
      <c r="M27" s="1"/>
    </row>
    <row r="28" spans="1:13" ht="20.100000000000001" customHeight="1" x14ac:dyDescent="0.25">
      <c r="D28" s="39" t="str" cm="1">
        <f t="array" ref="D28">Common_InputFunctions.Utility_DisplayArrayInTable(SourceData_Dairy.SourceData_Dairy_LiveweightCowsAndHeifers_Data(), Table_SourceData_Dairy_WjCowsHeifers[[#Headers],[Breed]], 0)</f>
        <v>Ayrshire</v>
      </c>
      <c r="E28" s="39" cm="1">
        <f t="array" ref="E28">Common_InputFunctions.Utility_DisplayArrayInTable(SourceData_Dairy.SourceData_Dairy_LiveweightCowsAndHeifers_Data(), Table_SourceData_Dairy_WjCowsHeifers[[#Headers],[Breed]], 0)</f>
        <v>540</v>
      </c>
      <c r="F28" s="39" cm="1">
        <f t="array" ref="F28">Common_InputFunctions.Utility_DisplayArrayInTable(SourceData_Dairy.SourceData_Dairy_LiveweightCowsAndHeifers_Data(), Table_SourceData_Dairy_WjCowsHeifers[[#Headers],[Breed]], 0)</f>
        <v>375</v>
      </c>
      <c r="G28" s="39" cm="1">
        <f t="array" ref="G28">Common_InputFunctions.Utility_DisplayArrayInTable(SourceData_Dairy.SourceData_Dairy_LiveweightCowsAndHeifers_Data(), Table_SourceData_Dairy_WjCowsHeifers[[#Headers],[Breed]], 0)</f>
        <v>150</v>
      </c>
      <c r="M28" s="1"/>
    </row>
    <row r="29" spans="1:13" ht="20.100000000000001" customHeight="1" x14ac:dyDescent="0.25">
      <c r="D29" s="39" t="str" cm="1">
        <f t="array" ref="D29">Common_InputFunctions.Utility_DisplayArrayInTable(SourceData_Dairy.SourceData_Dairy_LiveweightCowsAndHeifers_Data(), Table_SourceData_Dairy_WjCowsHeifers[[#Headers],[Breed]], 0)</f>
        <v>Guernsey</v>
      </c>
      <c r="E29" s="39" cm="1">
        <f t="array" ref="E29">Common_InputFunctions.Utility_DisplayArrayInTable(SourceData_Dairy.SourceData_Dairy_LiveweightCowsAndHeifers_Data(), Table_SourceData_Dairy_WjCowsHeifers[[#Headers],[Breed]], 0)</f>
        <v>480</v>
      </c>
      <c r="F29" s="39" cm="1">
        <f t="array" ref="F29">Common_InputFunctions.Utility_DisplayArrayInTable(SourceData_Dairy.SourceData_Dairy_LiveweightCowsAndHeifers_Data(), Table_SourceData_Dairy_WjCowsHeifers[[#Headers],[Breed]], 0)</f>
        <v>335</v>
      </c>
      <c r="G29" s="39"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9" t="str" cm="1">
        <f t="array" ref="D30">Common_InputFunctions.Utility_DisplayArrayInTable(SourceData_Dairy.SourceData_Dairy_LiveweightCowsAndHeifers_Data(), Table_SourceData_Dairy_WjCowsHeifers[[#Headers],[Breed]], 0)</f>
        <v>Brown Swiss</v>
      </c>
      <c r="E30" s="39" cm="1">
        <f t="array" ref="E30">Common_InputFunctions.Utility_DisplayArrayInTable(SourceData_Dairy.SourceData_Dairy_LiveweightCowsAndHeifers_Data(), Table_SourceData_Dairy_WjCowsHeifers[[#Headers],[Breed]], 0)</f>
        <v>600</v>
      </c>
      <c r="F30" s="39" cm="1">
        <f t="array" ref="F30">Common_InputFunctions.Utility_DisplayArrayInTable(SourceData_Dairy.SourceData_Dairy_LiveweightCowsAndHeifers_Data(), Table_SourceData_Dairy_WjCowsHeifers[[#Headers],[Breed]], 0)</f>
        <v>415</v>
      </c>
      <c r="G30" s="39"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9" t="str" cm="1">
        <f t="array" ref="D31">Common_InputFunctions.Utility_DisplayArrayInTable(SourceData_Dairy.SourceData_Dairy_LiveweightCowsAndHeifers_Data(), Table_SourceData_Dairy_WjCowsHeifers[[#Headers],[Breed]], 0)</f>
        <v>Illawarra/Aussie Red</v>
      </c>
      <c r="E31" s="39" cm="1">
        <f t="array" ref="E31">Common_InputFunctions.Utility_DisplayArrayInTable(SourceData_Dairy.SourceData_Dairy_LiveweightCowsAndHeifers_Data(), Table_SourceData_Dairy_WjCowsHeifers[[#Headers],[Breed]], 0)</f>
        <v>550</v>
      </c>
      <c r="F31" s="39" cm="1">
        <f t="array" ref="F31">Common_InputFunctions.Utility_DisplayArrayInTable(SourceData_Dairy.SourceData_Dairy_LiveweightCowsAndHeifers_Data(), Table_SourceData_Dairy_WjCowsHeifers[[#Headers],[Breed]], 0)</f>
        <v>375</v>
      </c>
      <c r="G31" s="39"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7" t="str" cm="1">
        <f t="array" ref="D37">SourceData_Dairy.SourceData_Dairy_LiveweightBulls_Unit()</f>
        <v>kg</v>
      </c>
      <c r="M37" s="1"/>
    </row>
    <row r="38" spans="4:13" ht="20.100000000000001" customHeight="1" x14ac:dyDescent="0.25">
      <c r="D38" s="39" t="s">
        <v>177</v>
      </c>
      <c r="E38" s="39" t="s">
        <v>182</v>
      </c>
      <c r="F38" s="39" t="s">
        <v>181</v>
      </c>
      <c r="M38" s="1"/>
    </row>
    <row r="39" spans="4:13" ht="20.100000000000001" customHeight="1" x14ac:dyDescent="0.25">
      <c r="D39" s="39" t="str" cm="1">
        <f t="array" ref="D39">Common_InputFunctions.Utility_DisplayArrayInTable(SourceData_Dairy.SourceData_Dairy_LiveweightBulls_Data(), Table_SourceData_Dairy_WjBulls[[#Headers],[Breed]], 0)</f>
        <v>All breeds</v>
      </c>
      <c r="E39" s="39" cm="1">
        <f t="array" ref="E39">Common_InputFunctions.Utility_DisplayArrayInTable(SourceData_Dairy.SourceData_Dairy_LiveweightBulls_Data(), Table_SourceData_Dairy_WjBulls[[#Headers],[Breed]], 0)</f>
        <v>600</v>
      </c>
      <c r="F39" s="39"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7" t="str" cm="1">
        <f t="array" ref="D45">SourceData_Dairy.SourceData_Dairy_LiveweightGain_Unit()</f>
        <v>kg</v>
      </c>
      <c r="M45" s="1"/>
    </row>
    <row r="46" spans="4:13" ht="20.100000000000001" customHeight="1" x14ac:dyDescent="0.25">
      <c r="D46" s="39" t="s">
        <v>178</v>
      </c>
      <c r="E46" s="39" t="s">
        <v>179</v>
      </c>
      <c r="F46" s="39" t="s">
        <v>180</v>
      </c>
      <c r="G46" s="39" t="s">
        <v>182</v>
      </c>
      <c r="H46" s="39" t="s">
        <v>181</v>
      </c>
      <c r="M46" s="1"/>
    </row>
    <row r="47" spans="4:13" ht="20.100000000000001" customHeight="1" x14ac:dyDescent="0.25">
      <c r="D47" s="39" cm="1">
        <f t="array" ref="D47">Common_InputFunctions.Utility_DisplayArrayInTable(SourceData_Dairy.SourceData_Dairy_LiveweightGain_Data(), Table_SourceData_Dairy_LWGj[[#Headers],[Milking cows]], 0)</f>
        <v>1.6E-2</v>
      </c>
      <c r="E47" s="39" cm="1">
        <f t="array" ref="E47">Common_InputFunctions.Utility_DisplayArrayInTable(SourceData_Dairy.SourceData_Dairy_LiveweightGain_Data(), Table_SourceData_Dairy_LWGj[[#Headers],[Milking cows]], 0)</f>
        <v>0.6</v>
      </c>
      <c r="F47" s="39" cm="1">
        <f t="array" ref="F47">Common_InputFunctions.Utility_DisplayArrayInTable(SourceData_Dairy.SourceData_Dairy_LiveweightGain_Data(), Table_SourceData_Dairy_LWGj[[#Headers],[Milking cows]], 0)</f>
        <v>0.56999999999999995</v>
      </c>
      <c r="G47" s="39" cm="1">
        <f t="array" ref="G47">Common_InputFunctions.Utility_DisplayArrayInTable(SourceData_Dairy.SourceData_Dairy_LiveweightGain_Data(), Table_SourceData_Dairy_LWGj[[#Headers],[Milking cows]], 0)</f>
        <v>0.1</v>
      </c>
      <c r="H47" s="39"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SourceData_Dairy.SourceData_Dairy_ReferenceWeights_Title()</f>
        <v>Table A.1.3.4: Dairy cattle - Reference weights (kg) (WRj)</v>
      </c>
      <c r="M50" s="1"/>
    </row>
    <row r="51" spans="4:13" ht="20.100000000000001" customHeight="1" x14ac:dyDescent="0.25">
      <c r="D51" s="5" t="str" cm="1">
        <f t="array" ref="D51">SourceData_Dairy.SourceData_Dairy_ReferenceWeights_Source()</f>
        <v>VEERG 2026: Table A.1.3.4</v>
      </c>
      <c r="M51" s="1"/>
    </row>
    <row r="52" spans="4:13" ht="20.100000000000001" customHeight="1" x14ac:dyDescent="0.25">
      <c r="D52" s="1" t="str" cm="1">
        <f t="array" ref="D52">SourceData_Dairy.SourceData_Dairy_ReferenceWeights_Variable()</f>
        <v>WRj</v>
      </c>
      <c r="M52" s="1"/>
    </row>
    <row r="53" spans="4:13" ht="20.100000000000001" customHeight="1" x14ac:dyDescent="0.25">
      <c r="D53" s="57" t="str" cm="1">
        <f t="array" ref="D53">SourceData_Dairy.SourceData_Dairy_ReferenceWeights_Unit()</f>
        <v>kg</v>
      </c>
      <c r="M53" s="1"/>
    </row>
    <row r="54" spans="4:13" ht="20.100000000000001" customHeight="1" x14ac:dyDescent="0.25">
      <c r="D54" s="128" t="s">
        <v>178</v>
      </c>
      <c r="E54" s="128" t="s">
        <v>179</v>
      </c>
      <c r="F54" s="128" t="s">
        <v>180</v>
      </c>
      <c r="G54" s="128" t="s">
        <v>182</v>
      </c>
      <c r="H54" s="128" t="s">
        <v>181</v>
      </c>
      <c r="M54" s="1"/>
    </row>
    <row r="55" spans="4:13" ht="20.100000000000001" customHeight="1" x14ac:dyDescent="0.25">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4:13" ht="20.100000000000001" customHeight="1" x14ac:dyDescent="0.25">
      <c r="M56" s="1"/>
    </row>
    <row r="57" spans="4:13" ht="20.100000000000001" customHeight="1" x14ac:dyDescent="0.25">
      <c r="M57" s="1"/>
    </row>
    <row r="58" spans="4:13" ht="20.100000000000001" customHeight="1" x14ac:dyDescent="0.25">
      <c r="D58" s="6" t="str" cm="1">
        <f t="array" ref="D58">SourceData_Dairy.SourceData_Dairy_PreWeanedCalves_Title()</f>
        <v>Table A.1.3.5: Dairy cattle - Data for pre - weaned calves</v>
      </c>
      <c r="M58" s="1"/>
    </row>
    <row r="59" spans="4:13" ht="20.100000000000001" customHeight="1" x14ac:dyDescent="0.25">
      <c r="D59" s="5" t="str" cm="1">
        <f t="array" ref="D59">SourceData_Dairy.SourceData_Dairy_PreWeanedCalves_Source()</f>
        <v>VEERG 2026: Table A.1.3.5</v>
      </c>
      <c r="M59" s="1"/>
    </row>
    <row r="60" spans="4:13" ht="20.100000000000001" customHeight="1" x14ac:dyDescent="0.25">
      <c r="D60" s="1" t="str" cm="1">
        <f t="array" ref="D60">SourceData_Dairy.SourceData_Dairy_PreWeanedCalves_Variable()</f>
        <v>VSj=3,5; NPWj=3,5</v>
      </c>
      <c r="M60" s="1"/>
    </row>
    <row r="61" spans="4:13" ht="20.100000000000001" customHeight="1" x14ac:dyDescent="0.25">
      <c r="D61" s="57" t="str" cm="1">
        <f t="array" ref="D61">SourceData_Dairy.SourceData_Dairy_PreWeanedCalves_Unit()</f>
        <v>kg/day</v>
      </c>
      <c r="M61" s="1"/>
    </row>
    <row r="62" spans="4:13" ht="20.100000000000001" customHeight="1" x14ac:dyDescent="0.25">
      <c r="D62" s="39" t="s">
        <v>183</v>
      </c>
      <c r="E62" s="39" t="s">
        <v>184</v>
      </c>
      <c r="F62" s="39" t="s">
        <v>185</v>
      </c>
      <c r="G62" s="39" t="s">
        <v>186</v>
      </c>
      <c r="M62" s="1"/>
    </row>
    <row r="63" spans="4:13" ht="20.100000000000001" customHeight="1" x14ac:dyDescent="0.25">
      <c r="D63" s="39" t="str" cm="1">
        <f t="array" ref="D63">Common_InputFunctions.Utility_DisplayArrayInTable(SourceData_Dairy.SourceData_Dairy_PreWeanedCalves_Data(), Table_SourceData_Dairy_DataPreWeaned[[#Headers],[Animal class j]], -1)</f>
        <v>Heifers&lt;1</v>
      </c>
      <c r="E63" s="39" cm="1">
        <f t="array" ref="E63">Common_InputFunctions.Utility_DisplayArrayInTable(SourceData_Dairy.SourceData_Dairy_PreWeanedCalves_Data(), Table_SourceData_Dairy_DataPreWeaned[[#Headers],[Animal class j]], -1)</f>
        <v>1.7600000000000001E-2</v>
      </c>
      <c r="F63" s="39" cm="1">
        <f t="array" ref="F63">Common_InputFunctions.Utility_DisplayArrayInTable(SourceData_Dairy.SourceData_Dairy_PreWeanedCalves_Data(), Table_SourceData_Dairy_DataPreWeaned[[#Headers],[Animal class j]], -1)</f>
        <v>0.26850000000000002</v>
      </c>
      <c r="G63" s="39" cm="1">
        <f t="array" ref="G63">Common_InputFunctions.Utility_DisplayArrayInTable(SourceData_Dairy.SourceData_Dairy_PreWeanedCalves_Data(), Table_SourceData_Dairy_DataPreWeaned[[#Headers],[Animal class j]], -1)</f>
        <v>1.37E-2</v>
      </c>
      <c r="M63" s="1"/>
    </row>
    <row r="64" spans="4:13" ht="20.100000000000001" customHeight="1" x14ac:dyDescent="0.25">
      <c r="D64" s="39" t="str" cm="1">
        <f t="array" ref="D64">Common_InputFunctions.Utility_DisplayArrayInTable(SourceData_Dairy.SourceData_Dairy_PreWeanedCalves_Data(), Table_SourceData_Dairy_DataPreWeaned[[#Headers],[Animal class j]], -1)</f>
        <v>Bulls&lt;1</v>
      </c>
      <c r="E64" s="39" cm="1">
        <f t="array" ref="E64">Common_InputFunctions.Utility_DisplayArrayInTable(SourceData_Dairy.SourceData_Dairy_PreWeanedCalves_Data(), Table_SourceData_Dairy_DataPreWeaned[[#Headers],[Animal class j]], -1)</f>
        <v>2.0400000000000001E-2</v>
      </c>
      <c r="F64" s="39" cm="1">
        <f t="array" ref="F64">Common_InputFunctions.Utility_DisplayArrayInTable(SourceData_Dairy.SourceData_Dairy_PreWeanedCalves_Data(), Table_SourceData_Dairy_DataPreWeaned[[#Headers],[Animal class j]], -1)</f>
        <v>0.30030000000000001</v>
      </c>
      <c r="G64" s="39" cm="1">
        <f t="array" ref="G64">Common_InputFunctions.Utility_DisplayArrayInTable(SourceData_Dairy.SourceData_Dairy_PreWeanedCalves_Data(), Table_SourceData_Dairy_DataPreWeaned[[#Headers],[Animal class j]], -1)</f>
        <v>9.1999999999999998E-3</v>
      </c>
      <c r="M64" s="1"/>
    </row>
    <row r="65" spans="4:22" ht="20.100000000000001" customHeight="1" x14ac:dyDescent="0.25">
      <c r="M65" s="1"/>
    </row>
    <row r="66" spans="4:22" ht="20.100000000000001" customHeight="1" x14ac:dyDescent="0.25">
      <c r="M66" s="1"/>
    </row>
    <row r="67" spans="4:22" ht="20.100000000000001" customHeight="1" x14ac:dyDescent="0.25">
      <c r="D67" s="6" t="str" cm="1">
        <f t="array" ref="D67">SourceData_Dairy.SourceData_Dairy_MCF_Title()</f>
        <v>Table A.1.3.6: Dairy cattle - Dairy cattle - MCFs (fraction) (MCFjm)</v>
      </c>
      <c r="M67" s="1"/>
    </row>
    <row r="68" spans="4:22" ht="20.100000000000001" customHeight="1" x14ac:dyDescent="0.25">
      <c r="D68" s="5" t="str" cm="1">
        <f t="array" ref="D68">SourceData_Dairy.SourceData_Dairy_MCF_Source()</f>
        <v>VEERG 2026: Table A.1.3.6</v>
      </c>
      <c r="M68" s="1"/>
    </row>
    <row r="69" spans="4:22" ht="20.100000000000001" customHeight="1" x14ac:dyDescent="0.25">
      <c r="D69" s="1" t="str" cm="1">
        <f t="array" ref="D69">SourceData_Dairy.SourceData_Dairy_MCF_Variable()</f>
        <v>MCFjm</v>
      </c>
      <c r="M69" s="1"/>
    </row>
    <row r="70" spans="4:22" ht="20.100000000000001" customHeight="1" x14ac:dyDescent="0.25">
      <c r="D70" s="57" t="str" cm="1">
        <f t="array" ref="D70">SourceData_Dairy.SourceData_Dairy_MCF_Unit()</f>
        <v>fraction</v>
      </c>
      <c r="M70" s="1"/>
    </row>
    <row r="71" spans="4:22" ht="20.100000000000001" customHeight="1" x14ac:dyDescent="0.25">
      <c r="D71" s="58" t="str" cm="1">
        <f t="array" ref="D71">SourceData_Dairy.SourceData_Dairy_MCF_Variation()</f>
        <v>VARIATION OF SOURCE: Added 'NIR reference' column to aid lookup</v>
      </c>
      <c r="M71" s="1"/>
      <c r="V71" s="1"/>
    </row>
    <row r="72" spans="4:22" ht="20.100000000000001" customHeight="1" x14ac:dyDescent="0.25">
      <c r="D72" s="39" t="s">
        <v>102</v>
      </c>
      <c r="E72" s="39" t="s">
        <v>84</v>
      </c>
      <c r="F72" s="39" t="s">
        <v>85</v>
      </c>
      <c r="G72" s="39" t="s">
        <v>86</v>
      </c>
      <c r="H72" s="39" t="s">
        <v>87</v>
      </c>
      <c r="I72" s="39" t="s">
        <v>88</v>
      </c>
      <c r="J72" s="39" t="s">
        <v>89</v>
      </c>
      <c r="K72" s="39" t="s">
        <v>90</v>
      </c>
      <c r="L72" s="39" t="s">
        <v>91</v>
      </c>
      <c r="M72" s="39" t="s">
        <v>194</v>
      </c>
      <c r="V72" s="1"/>
    </row>
    <row r="73" spans="4:22" ht="20.100000000000001" customHeight="1" x14ac:dyDescent="0.25">
      <c r="D73" s="39" t="str" cm="1">
        <f t="array" ref="D73">Common_InputFunctions.Utility_DisplayArrayInTable(SourceData_Dairy.SourceData_Dairy_MCF_Data(), Table_SourceData_Dairy_MCFjm[[#Headers],[MMS m]], 0)</f>
        <v>Pasture</v>
      </c>
      <c r="E73" s="39" cm="1">
        <f t="array" ref="E73">Common_InputFunctions.Utility_DisplayArrayInTable(SourceData_Dairy.SourceData_Dairy_MCF_Data(), Table_SourceData_Dairy_MCFjm[[#Headers],[MMS m]], 0)</f>
        <v>0.01</v>
      </c>
      <c r="F73" s="39" cm="1">
        <f t="array" ref="F73">Common_InputFunctions.Utility_DisplayArrayInTable(SourceData_Dairy.SourceData_Dairy_MCF_Data(), Table_SourceData_Dairy_MCFjm[[#Headers],[MMS m]], 0)</f>
        <v>0.01</v>
      </c>
      <c r="G73" s="39" cm="1">
        <f t="array" ref="G73">Common_InputFunctions.Utility_DisplayArrayInTable(SourceData_Dairy.SourceData_Dairy_MCF_Data(), Table_SourceData_Dairy_MCFjm[[#Headers],[MMS m]], 0)</f>
        <v>0.02</v>
      </c>
      <c r="H73" s="39" cm="1">
        <f t="array" ref="H73">Common_InputFunctions.Utility_DisplayArrayInTable(SourceData_Dairy.SourceData_Dairy_MCF_Data(), Table_SourceData_Dairy_MCFjm[[#Headers],[MMS m]], 0)</f>
        <v>0.01</v>
      </c>
      <c r="I73" s="39" cm="1">
        <f t="array" ref="I73">Common_InputFunctions.Utility_DisplayArrayInTable(SourceData_Dairy.SourceData_Dairy_MCF_Data(), Table_SourceData_Dairy_MCFjm[[#Headers],[MMS m]], 0)</f>
        <v>0.01</v>
      </c>
      <c r="J73" s="39" cm="1">
        <f t="array" ref="J73">Common_InputFunctions.Utility_DisplayArrayInTable(SourceData_Dairy.SourceData_Dairy_MCF_Data(), Table_SourceData_Dairy_MCFjm[[#Headers],[MMS m]], 0)</f>
        <v>0.01</v>
      </c>
      <c r="K73" s="39" cm="1">
        <f t="array" ref="K73">Common_InputFunctions.Utility_DisplayArrayInTable(SourceData_Dairy.SourceData_Dairy_MCF_Data(), Table_SourceData_Dairy_MCFjm[[#Headers],[MMS m]], 0)</f>
        <v>0.01</v>
      </c>
      <c r="L73" s="39" cm="1">
        <f t="array" ref="L73">Common_InputFunctions.Utility_DisplayArrayInTable(SourceData_Dairy.SourceData_Dairy_MCF_Data(), Table_SourceData_Dairy_MCFjm[[#Headers],[MMS m]], 0)</f>
        <v>0.01</v>
      </c>
      <c r="M73" s="39" t="str" cm="1">
        <f t="array" ref="M73">Common_InputFunctions.Utility_DisplayArrayInTable(SourceData_Dairy.SourceData_Dairy_MCF_Data(), Table_SourceData_Dairy_MCFjm[[#Headers],[MMS m]], 0)</f>
        <v>Pasture range and paddock</v>
      </c>
      <c r="V73" s="1"/>
    </row>
    <row r="74" spans="4:22" ht="20.100000000000001" customHeight="1" x14ac:dyDescent="0.25">
      <c r="D74" s="1" t="str" cm="1">
        <f t="array" ref="D74">Common_InputFunctions.Utility_DisplayArrayInTable(SourceData_Dairy.SourceData_Dairy_MCF_Data(), Table_SourceData_Dairy_MCFjm[[#Headers],[MMS m]], 0)</f>
        <v>Anaerobic lagoon</v>
      </c>
      <c r="E74" s="39" cm="1">
        <f t="array" ref="E74">Common_InputFunctions.Utility_DisplayArrayInTable(SourceData_Dairy.SourceData_Dairy_MCF_Data(), Table_SourceData_Dairy_MCFjm[[#Headers],[MMS m]], 0)</f>
        <v>0.72</v>
      </c>
      <c r="F74" s="39" cm="1">
        <f t="array" ref="F74">Common_InputFunctions.Utility_DisplayArrayInTable(SourceData_Dairy.SourceData_Dairy_MCF_Data(), Table_SourceData_Dairy_MCFjm[[#Headers],[MMS m]], 0)</f>
        <v>0.76</v>
      </c>
      <c r="G74" s="39" cm="1">
        <f t="array" ref="G74">Common_InputFunctions.Utility_DisplayArrayInTable(SourceData_Dairy.SourceData_Dairy_MCF_Data(), Table_SourceData_Dairy_MCFjm[[#Headers],[MMS m]], 0)</f>
        <v>0.8</v>
      </c>
      <c r="H74" s="39" cm="1">
        <f t="array" ref="H74">Common_InputFunctions.Utility_DisplayArrayInTable(SourceData_Dairy.SourceData_Dairy_MCF_Data(), Table_SourceData_Dairy_MCFjm[[#Headers],[MMS m]], 0)</f>
        <v>0.78</v>
      </c>
      <c r="I74" s="39" cm="1">
        <f t="array" ref="I74">Common_InputFunctions.Utility_DisplayArrayInTable(SourceData_Dairy.SourceData_Dairy_MCF_Data(), Table_SourceData_Dairy_MCFjm[[#Headers],[MMS m]], 0)</f>
        <v>0.74</v>
      </c>
      <c r="J74" s="39" cm="1">
        <f t="array" ref="J74">Common_InputFunctions.Utility_DisplayArrayInTable(SourceData_Dairy.SourceData_Dairy_MCF_Data(), Table_SourceData_Dairy_MCFjm[[#Headers],[MMS m]], 0)</f>
        <v>0.69</v>
      </c>
      <c r="K74" s="39" cm="1">
        <f t="array" ref="K74">Common_InputFunctions.Utility_DisplayArrayInTable(SourceData_Dairy.SourceData_Dairy_MCF_Data(), Table_SourceData_Dairy_MCFjm[[#Headers],[MMS m]], 0)</f>
        <v>0.73</v>
      </c>
      <c r="L74" s="39" cm="1">
        <f t="array" ref="L74">Common_InputFunctions.Utility_DisplayArrayInTable(SourceData_Dairy.SourceData_Dairy_MCF_Data(), Table_SourceData_Dairy_MCFjm[[#Headers],[MMS m]], 0)</f>
        <v>0.76</v>
      </c>
      <c r="M74" s="39" t="str" cm="1">
        <f t="array" ref="M74">Common_InputFunctions.Utility_DisplayArrayInTable(SourceData_Dairy.SourceData_Dairy_MCF_Data(), Table_SourceData_Dairy_MCFjm[[#Headers],[MMS m]], 0)</f>
        <v>Anaerobic lagoon</v>
      </c>
      <c r="V74" s="1"/>
    </row>
    <row r="75" spans="4:22" ht="20.100000000000001" customHeight="1" x14ac:dyDescent="0.25">
      <c r="D75" s="1" t="str" cm="1">
        <f t="array" ref="D75">Common_InputFunctions.Utility_DisplayArrayInTable(SourceData_Dairy.SourceData_Dairy_MCF_Data(), Table_SourceData_Dairy_MCFjm[[#Headers],[MMS m]], 0)</f>
        <v>Daily spread - Sump and dispersal systems</v>
      </c>
      <c r="E75" s="39" cm="1">
        <f t="array" ref="E75">Common_InputFunctions.Utility_DisplayArrayInTable(SourceData_Dairy.SourceData_Dairy_MCF_Data(), Table_SourceData_Dairy_MCFjm[[#Headers],[MMS m]], 0)</f>
        <v>5.0000000000000001E-3</v>
      </c>
      <c r="F75" s="39" cm="1">
        <f t="array" ref="F75">Common_InputFunctions.Utility_DisplayArrayInTable(SourceData_Dairy.SourceData_Dairy_MCF_Data(), Table_SourceData_Dairy_MCFjm[[#Headers],[MMS m]], 0)</f>
        <v>5.0000000000000001E-3</v>
      </c>
      <c r="G75" s="39" cm="1">
        <f t="array" ref="G75">Common_InputFunctions.Utility_DisplayArrayInTable(SourceData_Dairy.SourceData_Dairy_MCF_Data(), Table_SourceData_Dairy_MCFjm[[#Headers],[MMS m]], 0)</f>
        <v>0.01</v>
      </c>
      <c r="H75" s="39" cm="1">
        <f t="array" ref="H75">Common_InputFunctions.Utility_DisplayArrayInTable(SourceData_Dairy.SourceData_Dairy_MCF_Data(), Table_SourceData_Dairy_MCFjm[[#Headers],[MMS m]], 0)</f>
        <v>5.0000000000000001E-3</v>
      </c>
      <c r="I75" s="39" cm="1">
        <f t="array" ref="I75">Common_InputFunctions.Utility_DisplayArrayInTable(SourceData_Dairy.SourceData_Dairy_MCF_Data(), Table_SourceData_Dairy_MCFjm[[#Headers],[MMS m]], 0)</f>
        <v>5.0000000000000001E-3</v>
      </c>
      <c r="J75" s="39" cm="1">
        <f t="array" ref="J75">Common_InputFunctions.Utility_DisplayArrayInTable(SourceData_Dairy.SourceData_Dairy_MCF_Data(), Table_SourceData_Dairy_MCFjm[[#Headers],[MMS m]], 0)</f>
        <v>1E-3</v>
      </c>
      <c r="K75" s="39" cm="1">
        <f t="array" ref="K75">Common_InputFunctions.Utility_DisplayArrayInTable(SourceData_Dairy.SourceData_Dairy_MCF_Data(), Table_SourceData_Dairy_MCFjm[[#Headers],[MMS m]], 0)</f>
        <v>5.0000000000000001E-3</v>
      </c>
      <c r="L75" s="39" cm="1">
        <f t="array" ref="L75">Common_InputFunctions.Utility_DisplayArrayInTable(SourceData_Dairy.SourceData_Dairy_MCF_Data(), Table_SourceData_Dairy_MCFjm[[#Headers],[MMS m]], 0)</f>
        <v>5.0000000000000001E-3</v>
      </c>
      <c r="M75" s="39" t="str" cm="1">
        <f t="array" ref="M75">Common_InputFunctions.Utility_DisplayArrayInTable(SourceData_Dairy.SourceData_Dairy_MCF_Data(), Table_SourceData_Dairy_MCFjm[[#Headers],[MMS m]], 0)</f>
        <v>Sump and dispersal system</v>
      </c>
      <c r="V75" s="1"/>
    </row>
    <row r="76" spans="4:22" ht="20.100000000000001" customHeight="1" x14ac:dyDescent="0.25">
      <c r="D76" s="1" t="str" cm="1">
        <f t="array" ref="D76">Common_InputFunctions.Utility_DisplayArrayInTable(SourceData_Dairy.SourceData_Dairy_MCF_Data(), Table_SourceData_Dairy_MCFjm[[#Headers],[MMS m]], 0)</f>
        <v>Daily spread - Drains to paddocks (a)</v>
      </c>
      <c r="E76" s="39" cm="1">
        <f t="array" ref="E76">Common_InputFunctions.Utility_DisplayArrayInTable(SourceData_Dairy.SourceData_Dairy_MCF_Data(), Table_SourceData_Dairy_MCFjm[[#Headers],[MMS m]], 0)</f>
        <v>0.15</v>
      </c>
      <c r="F76" s="39" cm="1">
        <f t="array" ref="F76">Common_InputFunctions.Utility_DisplayArrayInTable(SourceData_Dairy.SourceData_Dairy_MCF_Data(), Table_SourceData_Dairy_MCFjm[[#Headers],[MMS m]], 0)</f>
        <v>0.18</v>
      </c>
      <c r="G76" s="39" cm="1">
        <f t="array" ref="G76">Common_InputFunctions.Utility_DisplayArrayInTable(SourceData_Dairy.SourceData_Dairy_MCF_Data(), Table_SourceData_Dairy_MCFjm[[#Headers],[MMS m]], 0)</f>
        <v>0.5</v>
      </c>
      <c r="H76" s="39" cm="1">
        <f t="array" ref="H76">Common_InputFunctions.Utility_DisplayArrayInTable(SourceData_Dairy.SourceData_Dairy_MCF_Data(), Table_SourceData_Dairy_MCFjm[[#Headers],[MMS m]], 0)</f>
        <v>0.24</v>
      </c>
      <c r="I76" s="39" cm="1">
        <f t="array" ref="I76">Common_InputFunctions.Utility_DisplayArrayInTable(SourceData_Dairy.SourceData_Dairy_MCF_Data(), Table_SourceData_Dairy_MCFjm[[#Headers],[MMS m]], 0)</f>
        <v>0.17</v>
      </c>
      <c r="J76" s="39" cm="1">
        <f t="array" ref="J76">Common_InputFunctions.Utility_DisplayArrayInTable(SourceData_Dairy.SourceData_Dairy_MCF_Data(), Table_SourceData_Dairy_MCFjm[[#Headers],[MMS m]], 0)</f>
        <v>0.13</v>
      </c>
      <c r="K76" s="39" cm="1">
        <f t="array" ref="K76">Common_InputFunctions.Utility_DisplayArrayInTable(SourceData_Dairy.SourceData_Dairy_MCF_Data(), Table_SourceData_Dairy_MCFjm[[#Headers],[MMS m]], 0)</f>
        <v>0.17</v>
      </c>
      <c r="L76" s="39" cm="1">
        <f t="array" ref="L76">Common_InputFunctions.Utility_DisplayArrayInTable(SourceData_Dairy.SourceData_Dairy_MCF_Data(), Table_SourceData_Dairy_MCFjm[[#Headers],[MMS m]], 0)</f>
        <v>0.18</v>
      </c>
      <c r="M76" s="39" t="str" cm="1">
        <f t="array" ref="M76">Common_InputFunctions.Utility_DisplayArrayInTable(SourceData_Dairy.SourceData_Dairy_MCF_Data(), Table_SourceData_Dairy_MCFjm[[#Headers],[MMS m]], 0)</f>
        <v>Drains to paddock</v>
      </c>
      <c r="V76" s="1"/>
    </row>
    <row r="77" spans="4:22" ht="20.100000000000001" customHeight="1" x14ac:dyDescent="0.25">
      <c r="D77" s="1" t="str" cm="1">
        <f t="array" ref="D77">Common_InputFunctions.Utility_DisplayArrayInTable(SourceData_Dairy.SourceData_Dairy_MCF_Data(), Table_SourceData_Dairy_MCFjm[[#Headers],[MMS m]], 0)</f>
        <v>Solid Storage</v>
      </c>
      <c r="E77" s="39" cm="1">
        <f t="array" ref="E77">Common_InputFunctions.Utility_DisplayArrayInTable(SourceData_Dairy.SourceData_Dairy_MCF_Data(), Table_SourceData_Dairy_MCFjm[[#Headers],[MMS m]], 0)</f>
        <v>0.02</v>
      </c>
      <c r="F77" s="39" cm="1">
        <f t="array" ref="F77">Common_InputFunctions.Utility_DisplayArrayInTable(SourceData_Dairy.SourceData_Dairy_MCF_Data(), Table_SourceData_Dairy_MCFjm[[#Headers],[MMS m]], 0)</f>
        <v>0.02</v>
      </c>
      <c r="G77" s="39" cm="1">
        <f t="array" ref="G77">Common_InputFunctions.Utility_DisplayArrayInTable(SourceData_Dairy.SourceData_Dairy_MCF_Data(), Table_SourceData_Dairy_MCFjm[[#Headers],[MMS m]], 0)</f>
        <v>0.02</v>
      </c>
      <c r="H77" s="39" cm="1">
        <f t="array" ref="H77">Common_InputFunctions.Utility_DisplayArrayInTable(SourceData_Dairy.SourceData_Dairy_MCF_Data(), Table_SourceData_Dairy_MCFjm[[#Headers],[MMS m]], 0)</f>
        <v>0.02</v>
      </c>
      <c r="I77" s="39" cm="1">
        <f t="array" ref="I77">Common_InputFunctions.Utility_DisplayArrayInTable(SourceData_Dairy.SourceData_Dairy_MCF_Data(), Table_SourceData_Dairy_MCFjm[[#Headers],[MMS m]], 0)</f>
        <v>0.02</v>
      </c>
      <c r="J77" s="39" cm="1">
        <f t="array" ref="J77">Common_InputFunctions.Utility_DisplayArrayInTable(SourceData_Dairy.SourceData_Dairy_MCF_Data(), Table_SourceData_Dairy_MCFjm[[#Headers],[MMS m]], 0)</f>
        <v>0.02</v>
      </c>
      <c r="K77" s="39" cm="1">
        <f t="array" ref="K77">Common_InputFunctions.Utility_DisplayArrayInTable(SourceData_Dairy.SourceData_Dairy_MCF_Data(), Table_SourceData_Dairy_MCFjm[[#Headers],[MMS m]], 0)</f>
        <v>0.02</v>
      </c>
      <c r="L77" s="39" cm="1">
        <f t="array" ref="L77">Common_InputFunctions.Utility_DisplayArrayInTable(SourceData_Dairy.SourceData_Dairy_MCF_Data(), Table_SourceData_Dairy_MCFjm[[#Headers],[MMS m]], 0)</f>
        <v>0.02</v>
      </c>
      <c r="M77" s="39" t="str" cm="1">
        <f t="array" ref="M77">Common_InputFunctions.Utility_DisplayArrayInTable(SourceData_Dairy.SourceData_Dairy_MCF_Data(), Table_SourceData_Dairy_MCFjm[[#Headers],[MMS m]], 0)</f>
        <v>Solid storage</v>
      </c>
      <c r="V77" s="1"/>
    </row>
    <row r="78" spans="4:22" ht="20.100000000000001" customHeight="1" x14ac:dyDescent="0.25">
      <c r="D78" s="1" t="str" cm="1">
        <f t="array" ref="D78">Common_InputFunctions.Utility_DisplayArrayInTable(SourceData_Dairy.SourceData_Dairy_MCF_Data(), Table_SourceData_Dairy_MCFjm[[#Headers],[MMS m]], 0)</f>
        <v>Direct Application to soil</v>
      </c>
      <c r="E78" s="39" cm="1">
        <f t="array" ref="E78">Common_InputFunctions.Utility_DisplayArrayInTable(SourceData_Dairy.SourceData_Dairy_MCF_Data(), Table_SourceData_Dairy_MCFjm[[#Headers],[MMS m]], 0)</f>
        <v>0</v>
      </c>
      <c r="F78" s="39" cm="1">
        <f t="array" ref="F78">Common_InputFunctions.Utility_DisplayArrayInTable(SourceData_Dairy.SourceData_Dairy_MCF_Data(), Table_SourceData_Dairy_MCFjm[[#Headers],[MMS m]], 0)</f>
        <v>0</v>
      </c>
      <c r="G78" s="39" cm="1">
        <f t="array" ref="G78">Common_InputFunctions.Utility_DisplayArrayInTable(SourceData_Dairy.SourceData_Dairy_MCF_Data(), Table_SourceData_Dairy_MCFjm[[#Headers],[MMS m]], 0)</f>
        <v>0</v>
      </c>
      <c r="H78" s="39" cm="1">
        <f t="array" ref="H78">Common_InputFunctions.Utility_DisplayArrayInTable(SourceData_Dairy.SourceData_Dairy_MCF_Data(), Table_SourceData_Dairy_MCFjm[[#Headers],[MMS m]], 0)</f>
        <v>0</v>
      </c>
      <c r="I78" s="39" cm="1">
        <f t="array" ref="I78">Common_InputFunctions.Utility_DisplayArrayInTable(SourceData_Dairy.SourceData_Dairy_MCF_Data(), Table_SourceData_Dairy_MCFjm[[#Headers],[MMS m]], 0)</f>
        <v>0</v>
      </c>
      <c r="J78" s="39" cm="1">
        <f t="array" ref="J78">Common_InputFunctions.Utility_DisplayArrayInTable(SourceData_Dairy.SourceData_Dairy_MCF_Data(), Table_SourceData_Dairy_MCFjm[[#Headers],[MMS m]], 0)</f>
        <v>0</v>
      </c>
      <c r="K78" s="39" cm="1">
        <f t="array" ref="K78">Common_InputFunctions.Utility_DisplayArrayInTable(SourceData_Dairy.SourceData_Dairy_MCF_Data(), Table_SourceData_Dairy_MCFjm[[#Headers],[MMS m]], 0)</f>
        <v>0</v>
      </c>
      <c r="L78" s="39" cm="1">
        <f t="array" ref="L78">Common_InputFunctions.Utility_DisplayArrayInTable(SourceData_Dairy.SourceData_Dairy_MCF_Data(), Table_SourceData_Dairy_MCFjm[[#Headers],[MMS m]], 0)</f>
        <v>0</v>
      </c>
      <c r="M78" s="39" t="str" cm="1">
        <f t="array" ref="M78">Common_InputFunctions.Utility_DisplayArrayInTable(SourceData_Dairy.SourceData_Dairy_MCF_Data(), Table_SourceData_Dairy_MCFjm[[#Headers],[MMS m]], 0)</f>
        <v>Direct application</v>
      </c>
    </row>
    <row r="79" spans="4:22" ht="20.100000000000001" customHeight="1" x14ac:dyDescent="0.25">
      <c r="M79" s="1"/>
    </row>
    <row r="80" spans="4: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7" t="str" cm="1">
        <f t="array" ref="D84">SourceData_Dairy.SourceData_Dairy_NitrousOxideEFsAndFracGASM_Unit()</f>
        <v>kg N2O-N/kg N excreted</v>
      </c>
      <c r="M84" s="1"/>
    </row>
    <row r="85" spans="4:22" ht="20.100000000000001" customHeight="1" x14ac:dyDescent="0.25">
      <c r="D85" s="58" t="str" cm="1">
        <f t="array" ref="D85">SourceData_Dairy.SourceData_Dairy_NitrousOxideEFsAndFracGASM_Variation()</f>
        <v>VARIATION OF SOURCE: Added 'NIR reference' column to aid lookup</v>
      </c>
      <c r="M85" s="1"/>
      <c r="V85" s="1"/>
    </row>
    <row r="86" spans="4:22" ht="20.100000000000001" customHeight="1" x14ac:dyDescent="0.25">
      <c r="D86" s="39" t="s">
        <v>102</v>
      </c>
      <c r="E86" s="39" t="s">
        <v>187</v>
      </c>
      <c r="F86" s="39" t="s">
        <v>188</v>
      </c>
      <c r="G86" s="39" t="s">
        <v>194</v>
      </c>
      <c r="M86" s="1"/>
      <c r="V86" s="1"/>
    </row>
    <row r="87" spans="4:22" ht="20.100000000000001" customHeight="1" x14ac:dyDescent="0.25">
      <c r="D87" s="39" t="str" cm="1">
        <f t="array" ref="D87">Common_InputFunctions.Utility_DisplayArrayInTable(SourceData_Dairy.SourceData_Dairy_NitrousOxideEFsAndFracGASM_Data(), Table_SourceData_Dairy_EFmFracGASM[[#Headers],[MMS m]], 0)</f>
        <v>M=14 Pasture</v>
      </c>
      <c r="E87" s="39" cm="1">
        <f t="array" ref="E87">Common_InputFunctions.Utility_DisplayArrayInTable(SourceData_Dairy.SourceData_Dairy_NitrousOxideEFsAndFracGASM_Data(), Table_SourceData_Dairy_EFmFracGASM[[#Headers],[MMS m]], 0)</f>
        <v>0</v>
      </c>
      <c r="F87" s="39" cm="1">
        <f t="array" ref="F87">Common_InputFunctions.Utility_DisplayArrayInTable(SourceData_Dairy.SourceData_Dairy_NitrousOxideEFsAndFracGASM_Data(), Table_SourceData_Dairy_EFmFracGASM[[#Headers],[MMS m]], 0)</f>
        <v>0</v>
      </c>
      <c r="G87" s="39"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9" cm="1">
        <f t="array" ref="E88">Common_InputFunctions.Utility_DisplayArrayInTable(SourceData_Dairy.SourceData_Dairy_NitrousOxideEFsAndFracGASM_Data(), Table_SourceData_Dairy_EFmFracGASM[[#Headers],[MMS m]], 0)</f>
        <v>0</v>
      </c>
      <c r="F88" s="39" cm="1">
        <f t="array" ref="F88">Common_InputFunctions.Utility_DisplayArrayInTable(SourceData_Dairy.SourceData_Dairy_NitrousOxideEFsAndFracGASM_Data(), Table_SourceData_Dairy_EFmFracGASM[[#Headers],[MMS m]], 0)</f>
        <v>0.35</v>
      </c>
      <c r="G88" s="39"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9" cm="1">
        <f t="array" ref="E89">Common_InputFunctions.Utility_DisplayArrayInTable(SourceData_Dairy.SourceData_Dairy_NitrousOxideEFsAndFracGASM_Data(), Table_SourceData_Dairy_EFmFracGASM[[#Headers],[MMS m]], 0)</f>
        <v>0</v>
      </c>
      <c r="F89" s="39" cm="1">
        <f t="array" ref="F89">Common_InputFunctions.Utility_DisplayArrayInTable(SourceData_Dairy.SourceData_Dairy_NitrousOxideEFsAndFracGASM_Data(), Table_SourceData_Dairy_EFmFracGASM[[#Headers],[MMS m]], 0)</f>
        <v>7.0000000000000007E-2</v>
      </c>
      <c r="G89" s="39"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9" cm="1">
        <f t="array" ref="E90">Common_InputFunctions.Utility_DisplayArrayInTable(SourceData_Dairy.SourceData_Dairy_NitrousOxideEFsAndFracGASM_Data(), Table_SourceData_Dairy_EFmFracGASM[[#Headers],[MMS m]], 0)</f>
        <v>0</v>
      </c>
      <c r="F90" s="39" cm="1">
        <f t="array" ref="F90">Common_InputFunctions.Utility_DisplayArrayInTable(SourceData_Dairy.SourceData_Dairy_NitrousOxideEFsAndFracGASM_Data(), Table_SourceData_Dairy_EFmFracGASM[[#Headers],[MMS m]], 0)</f>
        <v>0.2</v>
      </c>
      <c r="G90" s="39"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9" cm="1">
        <f t="array" ref="E91">Common_InputFunctions.Utility_DisplayArrayInTable(SourceData_Dairy.SourceData_Dairy_NitrousOxideEFsAndFracGASM_Data(), Table_SourceData_Dairy_EFmFracGASM[[#Headers],[MMS m]], 0)</f>
        <v>5.0000000000000001E-3</v>
      </c>
      <c r="F91" s="39" cm="1">
        <f t="array" ref="F91">Common_InputFunctions.Utility_DisplayArrayInTable(SourceData_Dairy.SourceData_Dairy_NitrousOxideEFsAndFracGASM_Data(), Table_SourceData_Dairy_EFmFracGASM[[#Headers],[MMS m]], 0)</f>
        <v>0.3</v>
      </c>
      <c r="G91" s="39"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4:13" ht="20.100000000000001" customHeight="1" x14ac:dyDescent="0.25">
      <c r="D97" s="57" t="str" cm="1">
        <f t="array" ref="D97">SourceData_Dairy.SourceData_Dairy_MethaneProductionPreWeanedCalves_Unit()</f>
        <v>kg CH4/head/day</v>
      </c>
      <c r="M97" s="1"/>
    </row>
    <row r="98" spans="4:13" ht="20.100000000000001" customHeight="1" x14ac:dyDescent="0.25">
      <c r="D98" s="39" t="s">
        <v>183</v>
      </c>
      <c r="E98" s="39" t="s">
        <v>189</v>
      </c>
      <c r="M98" s="1"/>
    </row>
    <row r="99" spans="4:13" ht="20.100000000000001" customHeight="1" x14ac:dyDescent="0.25">
      <c r="D99" s="39" t="str" cm="1">
        <f t="array" ref="D99">Common_InputFunctions.Utility_DisplayArrayInTable(SourceData_Dairy.SourceData_Dairy_MethaneProductionPreWeanedCalves_Data(), Table_SourceData_Dairy_MPWENTERIC[[#Headers],[Animal class j]], 0)</f>
        <v>Heifers &lt; 1 year</v>
      </c>
      <c r="E99" s="39" cm="1">
        <f t="array" ref="E99">Common_InputFunctions.Utility_DisplayArrayInTable(SourceData_Dairy.SourceData_Dairy_MethaneProductionPreWeanedCalves_Data(), Table_SourceData_Dairy_MPWENTERIC[[#Headers],[Animal class j]], 0)</f>
        <v>1.7600000000000001E-2</v>
      </c>
      <c r="M99" s="1"/>
    </row>
    <row r="100" spans="4: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9" cm="1">
        <f t="array" ref="E100">Common_InputFunctions.Utility_DisplayArrayInTable(SourceData_Dairy.SourceData_Dairy_MethaneProductionPreWeanedCalves_Data(), Table_SourceData_Dairy_MPWENTERIC[[#Headers],[Animal class j]], 0)</f>
        <v>2.0400000000000001E-2</v>
      </c>
      <c r="M100" s="1"/>
    </row>
    <row r="101" spans="4:13" ht="20.100000000000001" customHeight="1" x14ac:dyDescent="0.25">
      <c r="M101" s="1"/>
    </row>
    <row r="102" spans="4:13" ht="20.100000000000001" customHeight="1" x14ac:dyDescent="0.25">
      <c r="M102" s="1"/>
    </row>
    <row r="103" spans="4:13" ht="20.100000000000001" customHeight="1" x14ac:dyDescent="0.25">
      <c r="D103" s="6" t="str" cm="1">
        <f t="array" ref="D103">SourceData_Dairy.SourceData_Dairy_IncreasedMetabolicRateMilk_Title()</f>
        <v>Table A.1.3.9: Dairy cattle - Increased metabolic rate when producing milk (kg DM/head/day) (MRj)</v>
      </c>
      <c r="M103" s="1"/>
    </row>
    <row r="104" spans="4:13" ht="20.100000000000001" customHeight="1" x14ac:dyDescent="0.25">
      <c r="D104" s="5" t="str" cm="1">
        <f t="array" ref="D104">SourceData_Dairy.SourceData_Dairy_IncreasedMetabolicRateMilk_Source()</f>
        <v>VEERG 2026: Table A.1.3.9</v>
      </c>
      <c r="M104" s="1"/>
    </row>
    <row r="105" spans="4:13" ht="20.100000000000001" customHeight="1" x14ac:dyDescent="0.25">
      <c r="D105" s="1" t="str" cm="1">
        <f t="array" ref="D105">SourceData_Dairy.SourceData_Dairy_IncreasedMetabolicRateMilk_Variable()</f>
        <v>MRj</v>
      </c>
      <c r="M105" s="1"/>
    </row>
    <row r="106" spans="4:13" ht="20.100000000000001" customHeight="1" x14ac:dyDescent="0.25">
      <c r="D106" s="57" t="str" cm="1">
        <f t="array" ref="D106">SourceData_Dairy.SourceData_Dairy_IncreasedMetabolicRateMilk_Unit()</f>
        <v>kg DM/head/day</v>
      </c>
      <c r="M106" s="1"/>
    </row>
    <row r="107" spans="4:13" ht="20.100000000000001" customHeight="1" x14ac:dyDescent="0.25">
      <c r="D107" s="39" t="s">
        <v>183</v>
      </c>
      <c r="E107" s="39" t="s">
        <v>190</v>
      </c>
      <c r="M107" s="1"/>
    </row>
    <row r="108" spans="4:13" ht="20.100000000000001" customHeight="1" x14ac:dyDescent="0.25">
      <c r="D108" s="39" t="str" cm="1">
        <f t="array" ref="D108">Common_InputFunctions.Utility_DisplayArrayInTable(SourceData_Dairy.SourceData_Dairy_IncreasedMetabolicRateMilk_Data(), Table_SourceData_Dairy_MRj[[#Headers],[Animal class j]], 0)</f>
        <v>Milking cows, and house cows</v>
      </c>
      <c r="E108" s="39" cm="1">
        <f t="array" ref="E108">Common_InputFunctions.Utility_DisplayArrayInTable(SourceData_Dairy.SourceData_Dairy_IncreasedMetabolicRateMilk_Data(), Table_SourceData_Dairy_MRj[[#Headers],[Animal class j]], 0)</f>
        <v>1.1000000000000001</v>
      </c>
      <c r="M108" s="1"/>
    </row>
    <row r="109" spans="4: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9" cm="1">
        <f t="array" ref="E109">Common_InputFunctions.Utility_DisplayArrayInTable(SourceData_Dairy.SourceData_Dairy_IncreasedMetabolicRateMilk_Data(), Table_SourceData_Dairy_MRj[[#Headers],[Animal class j]], 0)</f>
        <v>1</v>
      </c>
      <c r="M109" s="1"/>
    </row>
    <row r="110" spans="4:13" ht="20.100000000000001" customHeight="1" x14ac:dyDescent="0.25">
      <c r="M110" s="1"/>
    </row>
    <row r="111" spans="4:13" ht="20.100000000000001" customHeight="1" x14ac:dyDescent="0.25">
      <c r="M111" s="1"/>
    </row>
    <row r="112" spans="4: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7" t="str" cm="1">
        <f t="array" ref="D115">SourceData_Dairy.SourceData_Dairy_FractionVolatileSolidsVoidedMMS_Unit()</f>
        <v>fraction</v>
      </c>
      <c r="M115" s="1"/>
      <c r="V115" s="1"/>
    </row>
    <row r="116" spans="4:22" ht="20.100000000000001" customHeight="1" x14ac:dyDescent="0.25">
      <c r="D116" s="39" t="s">
        <v>191</v>
      </c>
      <c r="E116" s="39" t="s">
        <v>151</v>
      </c>
      <c r="F116" s="39" t="s">
        <v>192</v>
      </c>
      <c r="G116" s="39" t="s">
        <v>193</v>
      </c>
      <c r="M116" s="1"/>
      <c r="V116" s="1"/>
    </row>
    <row r="117" spans="4:22" ht="20.100000000000001" customHeight="1" x14ac:dyDescent="0.25">
      <c r="D117" s="39" t="str" cm="1">
        <f t="array" ref="D117">Common_InputFunctions.Utility_DisplayArrayInTable(SourceData_Dairy.SourceData_Dairy_FractionVolatileSolidsVoidedMMS_Data(), Table_SourceData_Dairy_ProductionSystemTemplates[[#Headers],[Area]], 0)</f>
        <v>System 1: Grazed Only</v>
      </c>
      <c r="E117" s="39" cm="1">
        <f t="array" ref="E117">Common_InputFunctions.Utility_DisplayArrayInTable(SourceData_Dairy.SourceData_Dairy_FractionVolatileSolidsVoidedMMS_Data(), Table_SourceData_Dairy_ProductionSystemTemplates[[#Headers],[Area]], 0)</f>
        <v>0.89</v>
      </c>
      <c r="F117" s="39" cm="1">
        <f t="array" ref="F117">Common_InputFunctions.Utility_DisplayArrayInTable(SourceData_Dairy.SourceData_Dairy_FractionVolatileSolidsVoidedMMS_Data(), Table_SourceData_Dairy_ProductionSystemTemplates[[#Headers],[Area]], 0)</f>
        <v>0.11</v>
      </c>
      <c r="G117" s="39"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9" cm="1">
        <f t="array" ref="E118">Common_InputFunctions.Utility_DisplayArrayInTable(SourceData_Dairy.SourceData_Dairy_FractionVolatileSolidsVoidedMMS_Data(), Table_SourceData_Dairy_ProductionSystemTemplates[[#Headers],[Area]], 0)</f>
        <v>0.79</v>
      </c>
      <c r="F118" s="39" cm="1">
        <f t="array" ref="F118">Common_InputFunctions.Utility_DisplayArrayInTable(SourceData_Dairy.SourceData_Dairy_FractionVolatileSolidsVoidedMMS_Data(), Table_SourceData_Dairy_ProductionSystemTemplates[[#Headers],[Area]], 0)</f>
        <v>0.11</v>
      </c>
      <c r="G118" s="39"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9" cm="1">
        <f t="array" ref="E119">Common_InputFunctions.Utility_DisplayArrayInTable(SourceData_Dairy.SourceData_Dairy_FractionVolatileSolidsVoidedMMS_Data(), Table_SourceData_Dairy_ProductionSystemTemplates[[#Headers],[Area]], 0)</f>
        <v>0.53400000000000003</v>
      </c>
      <c r="F119" s="39" cm="1">
        <f t="array" ref="F119">Common_InputFunctions.Utility_DisplayArrayInTable(SourceData_Dairy.SourceData_Dairy_FractionVolatileSolidsVoidedMMS_Data(), Table_SourceData_Dairy_ProductionSystemTemplates[[#Headers],[Area]], 0)</f>
        <v>0.11</v>
      </c>
      <c r="G119" s="39"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9" cm="1">
        <f t="array" ref="E120">Common_InputFunctions.Utility_DisplayArrayInTable(SourceData_Dairy.SourceData_Dairy_FractionVolatileSolidsVoidedMMS_Data(), Table_SourceData_Dairy_ProductionSystemTemplates[[#Headers],[Area]], 0)</f>
        <v>0</v>
      </c>
      <c r="F120" s="39" cm="1">
        <f t="array" ref="F120">Common_InputFunctions.Utility_DisplayArrayInTable(SourceData_Dairy.SourceData_Dairy_FractionVolatileSolidsVoidedMMS_Data(), Table_SourceData_Dairy_ProductionSystemTemplates[[#Headers],[Area]], 0)</f>
        <v>0.11</v>
      </c>
      <c r="G120" s="39"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7" t="str" cm="1">
        <f t="array" ref="D126">SourceData_Dairy.SourceData_Dairy_EFNitrousOxidePerMMS_Unit()</f>
        <v>kg N2O-N/kg N</v>
      </c>
      <c r="M126" s="1"/>
      <c r="V126" s="1"/>
    </row>
    <row r="127" spans="4:22" ht="20.100000000000001" customHeight="1" x14ac:dyDescent="0.25">
      <c r="D127" s="58" t="str" cm="1">
        <f t="array" ref="D127">SourceData_Dairy.SourceData_Dairy_EFNitrousOxidePerMMS_Variation()</f>
        <v>VARIATION OF SOURCE: Added 'NIR reference' column to aid lookup</v>
      </c>
      <c r="M127" s="1"/>
      <c r="V127" s="1"/>
    </row>
    <row r="128" spans="4:22" ht="20.100000000000001" customHeight="1" x14ac:dyDescent="0.25">
      <c r="D128" s="39" t="s">
        <v>102</v>
      </c>
      <c r="E128" s="39" t="s">
        <v>187</v>
      </c>
      <c r="F128" s="39" t="s">
        <v>194</v>
      </c>
      <c r="G128" s="114" t="s">
        <v>210</v>
      </c>
      <c r="M128" s="1"/>
      <c r="N128" s="24"/>
      <c r="V128" s="1"/>
    </row>
    <row r="129" spans="4:22" ht="20.100000000000001" customHeight="1" x14ac:dyDescent="0.25">
      <c r="D129" s="39" t="str" cm="1">
        <f t="array" ref="D129">Common_InputFunctions.Utility_DisplayArrayInTable(SourceData_Dairy.SourceData_Dairy_EFNitrousOxidePerMMS_Data(), Table_SourceData_Dairy_EFm[[#Headers],[MMS m]], 0)</f>
        <v>m=14 Pasture</v>
      </c>
      <c r="E129" s="39" cm="1">
        <f t="array" ref="E129">Common_InputFunctions.Utility_DisplayArrayInTable(SourceData_Dairy.SourceData_Dairy_EFNitrousOxidePerMMS_Data(), Table_SourceData_Dairy_EFm[[#Headers],[MMS m]], 0)</f>
        <v>0</v>
      </c>
      <c r="F129" s="39" t="str" cm="1">
        <f t="array" ref="F129">Common_InputFunctions.Utility_DisplayArrayInTable(SourceData_Dairy.SourceData_Dairy_EFNitrousOxidePerMMS_Data(), Table_SourceData_Dairy_EFm[[#Headers],[MMS m]], 0)</f>
        <v>Pasture range and paddock</v>
      </c>
      <c r="M129" s="1"/>
      <c r="N129" s="24"/>
      <c r="V129" s="1"/>
    </row>
    <row r="130" spans="4:22" ht="20.100000000000001" customHeight="1" x14ac:dyDescent="0.25">
      <c r="D130" s="1" t="str" cm="1">
        <f t="array" ref="D130">Common_InputFunctions.Utility_DisplayArrayInTable(SourceData_Dairy.SourceData_Dairy_EFNitrousOxidePerMMS_Data(), Table_SourceData_Dairy_EFm[[#Headers],[MMS m]], 0)</f>
        <v>m=1 Anerobic Lagoon</v>
      </c>
      <c r="E130" s="39" cm="1">
        <f t="array" ref="E130">Common_InputFunctions.Utility_DisplayArrayInTable(SourceData_Dairy.SourceData_Dairy_EFNitrousOxidePerMMS_Data(), Table_SourceData_Dairy_EFm[[#Headers],[MMS m]], 0)</f>
        <v>0</v>
      </c>
      <c r="F130" s="39" t="str" cm="1">
        <f t="array" ref="F130">Common_InputFunctions.Utility_DisplayArrayInTable(SourceData_Dairy.SourceData_Dairy_EFNitrousOxidePerMMS_Data(), Table_SourceData_Dairy_EFm[[#Headers],[MMS m]], 0)</f>
        <v>Anaerobic lagoon</v>
      </c>
      <c r="M130" s="1"/>
      <c r="N130" s="24"/>
      <c r="V130" s="1"/>
    </row>
    <row r="131" spans="4: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9" cm="1">
        <f t="array" ref="E131">Common_InputFunctions.Utility_DisplayArrayInTable(SourceData_Dairy.SourceData_Dairy_EFNitrousOxidePerMMS_Data(), Table_SourceData_Dairy_EFm[[#Headers],[MMS m]], 0)</f>
        <v>0</v>
      </c>
      <c r="F131" s="39" t="str" cm="1">
        <f t="array" ref="F131">Common_InputFunctions.Utility_DisplayArrayInTable(SourceData_Dairy.SourceData_Dairy_EFNitrousOxidePerMMS_Data(), Table_SourceData_Dairy_EFm[[#Headers],[MMS m]], 0)</f>
        <v>Sump and dispersal system</v>
      </c>
      <c r="M131" s="1"/>
      <c r="N131" s="24"/>
    </row>
    <row r="132" spans="4: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9" cm="1">
        <f t="array" ref="E132">Common_InputFunctions.Utility_DisplayArrayInTable(SourceData_Dairy.SourceData_Dairy_EFNitrousOxidePerMMS_Data(), Table_SourceData_Dairy_EFm[[#Headers],[MMS m]], 0)</f>
        <v>0</v>
      </c>
      <c r="F132" s="39" t="str" cm="1">
        <f t="array" ref="F132">Common_InputFunctions.Utility_DisplayArrayInTable(SourceData_Dairy.SourceData_Dairy_EFNitrousOxidePerMMS_Data(), Table_SourceData_Dairy_EFm[[#Headers],[MMS m]], 0)</f>
        <v>Drains to paddock</v>
      </c>
      <c r="M132" s="24"/>
    </row>
    <row r="133" spans="4:22" ht="20.100000000000001" customHeight="1" x14ac:dyDescent="0.25">
      <c r="D133" s="1" t="str" cm="1">
        <f t="array" ref="D133">Common_InputFunctions.Utility_DisplayArrayInTable(SourceData_Dairy.SourceData_Dairy_EFNitrousOxidePerMMS_Data(), Table_SourceData_Dairy_EFm[[#Headers],[MMS m]], 0)</f>
        <v>m=4 Solid Storage</v>
      </c>
      <c r="E133" s="39" cm="1">
        <f t="array" ref="E133">Common_InputFunctions.Utility_DisplayArrayInTable(SourceData_Dairy.SourceData_Dairy_EFNitrousOxidePerMMS_Data(), Table_SourceData_Dairy_EFm[[#Headers],[MMS m]], 0)</f>
        <v>5.0000000000000001E-3</v>
      </c>
      <c r="F133" s="39" t="str" cm="1">
        <f t="array" ref="F133">Common_InputFunctions.Utility_DisplayArrayInTable(SourceData_Dairy.SourceData_Dairy_EFNitrousOxidePerMMS_Data(), Table_SourceData_Dairy_EFm[[#Headers],[MMS m]], 0)</f>
        <v>Solid storage</v>
      </c>
      <c r="M133" s="24"/>
    </row>
    <row r="134" spans="4:22" ht="20.100000000000001" customHeight="1" x14ac:dyDescent="0.25">
      <c r="M134" s="24"/>
    </row>
    <row r="135" spans="4:22" ht="20.100000000000001" customHeight="1" x14ac:dyDescent="0.25">
      <c r="M135" s="24"/>
    </row>
    <row r="136" spans="4:22" ht="20.100000000000001" customHeight="1" x14ac:dyDescent="0.25">
      <c r="D136" s="6" t="str" cm="1">
        <f t="array" ref="D136">SourceData_Dairy.SourceData_Dairy_DurationOfStay_Title()</f>
        <v>Duration of stay for each dairy cattle input class</v>
      </c>
      <c r="M136" s="24"/>
    </row>
    <row r="137" spans="4:22" ht="20.100000000000001" customHeight="1" x14ac:dyDescent="0.25">
      <c r="D137" s="5" t="str" cm="1">
        <f t="array" ref="D137">SourceData_Dairy.SourceData_Dairy_DurationOfStay_Source()</f>
        <v>VEERG 2026: 4.3.2.2	DATA (METHOD 1 AND 2 OPTIONS)</v>
      </c>
      <c r="M137" s="24"/>
    </row>
    <row r="138" spans="4:22" ht="20.100000000000001" customHeight="1" x14ac:dyDescent="0.25">
      <c r="D138" s="1" t="str" cm="1">
        <f t="array" ref="D138">SourceData_Dairy.SourceData_Dairy_DurationOfStay_Variable()</f>
        <v>D</v>
      </c>
      <c r="M138" s="24"/>
    </row>
    <row r="139" spans="4:22" ht="20.100000000000001" customHeight="1" x14ac:dyDescent="0.25">
      <c r="D139" s="57" t="str" cm="1">
        <f t="array" ref="D139">SourceData_Dairy.SourceData_Dairy_DurationOfStay_Unit()</f>
        <v>days</v>
      </c>
      <c r="M139" s="24"/>
    </row>
    <row r="140" spans="4:22" ht="20.100000000000001" customHeight="1" x14ac:dyDescent="0.25">
      <c r="D140" s="58" t="str" cm="1">
        <f t="array" ref="D140">SourceData_Dairy.SourceData_Dairy_DurationOfStay_Variation()</f>
        <v>VARIATION OF SOURCE: Converted free text in document to table, matching livestock class names.</v>
      </c>
      <c r="M140" s="24"/>
    </row>
    <row r="141" spans="4:22" ht="20.100000000000001" customHeight="1" x14ac:dyDescent="0.25">
      <c r="D141" s="39" t="s">
        <v>183</v>
      </c>
      <c r="E141" s="39" t="s">
        <v>205</v>
      </c>
      <c r="F141" s="39" t="s">
        <v>206</v>
      </c>
      <c r="M141" s="24"/>
    </row>
    <row r="142" spans="4:22" ht="20.100000000000001" customHeight="1" x14ac:dyDescent="0.25">
      <c r="D142" s="39" t="str" cm="1">
        <f t="array" ref="D142">Common_InputFunctions.Utility_DisplayArrayInTable(SourceData_Dairy.SourceData_Dairy_DurationOfStay_Data(), Table_SourceData_Dairy_Duration[[#Headers],[Animal class j]], 0)</f>
        <v>Milking cows</v>
      </c>
      <c r="E142" s="39" cm="1">
        <f t="array" ref="E142">Common_InputFunctions.Utility_DisplayArrayInTable(SourceData_Dairy.SourceData_Dairy_DurationOfStay_Data(), Table_SourceData_Dairy_Duration[[#Headers],[Animal class j]], 0)</f>
        <v>365</v>
      </c>
      <c r="F142" s="39" cm="1">
        <f t="array" ref="F142">Common_InputFunctions.Utility_DisplayArrayInTable(SourceData_Dairy.SourceData_Dairy_DurationOfStay_Data(), Table_SourceData_Dairy_Duration[[#Headers],[Animal class j]], 0)</f>
        <v>0</v>
      </c>
      <c r="M142" s="24"/>
    </row>
    <row r="143" spans="4: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9" cm="1">
        <f t="array" ref="E143">Common_InputFunctions.Utility_DisplayArrayInTable(SourceData_Dairy.SourceData_Dairy_DurationOfStay_Data(), Table_SourceData_Dairy_Duration[[#Headers],[Animal class j]], 0)</f>
        <v>365</v>
      </c>
      <c r="F143" s="39" cm="1">
        <f t="array" ref="F143">Common_InputFunctions.Utility_DisplayArrayInTable(SourceData_Dairy.SourceData_Dairy_DurationOfStay_Data(), Table_SourceData_Dairy_Duration[[#Headers],[Animal class j]], 0)</f>
        <v>0</v>
      </c>
      <c r="M143" s="24"/>
    </row>
    <row r="144" spans="4: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9" cm="1">
        <f t="array" ref="E144">Common_InputFunctions.Utility_DisplayArrayInTable(SourceData_Dairy.SourceData_Dairy_DurationOfStay_Data(), Table_SourceData_Dairy_Duration[[#Headers],[Animal class j]], 0)</f>
        <v>281</v>
      </c>
      <c r="F144" s="39" cm="1">
        <f t="array" ref="F144">Common_InputFunctions.Utility_DisplayArrayInTable(SourceData_Dairy.SourceData_Dairy_DurationOfStay_Data(), Table_SourceData_Dairy_Duration[[#Headers],[Animal class j]], 0)</f>
        <v>84</v>
      </c>
      <c r="M144" s="24"/>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9" cm="1">
        <f t="array" ref="E145">Common_InputFunctions.Utility_DisplayArrayInTable(SourceData_Dairy.SourceData_Dairy_DurationOfStay_Data(), Table_SourceData_Dairy_Duration[[#Headers],[Animal class j]], 0)</f>
        <v>365</v>
      </c>
      <c r="F145" s="39" cm="1">
        <f t="array" ref="F145">Common_InputFunctions.Utility_DisplayArrayInTable(SourceData_Dairy.SourceData_Dairy_DurationOfStay_Data(), Table_SourceData_Dairy_Duration[[#Headers],[Animal class j]], 0)</f>
        <v>0</v>
      </c>
      <c r="M145" s="24"/>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9" cm="1">
        <f t="array" ref="E146">Common_InputFunctions.Utility_DisplayArrayInTable(SourceData_Dairy.SourceData_Dairy_DurationOfStay_Data(), Table_SourceData_Dairy_Duration[[#Headers],[Animal class j]], 0)</f>
        <v>281</v>
      </c>
      <c r="F146" s="39" cm="1">
        <f t="array" ref="F146">Common_InputFunctions.Utility_DisplayArrayInTable(SourceData_Dairy.SourceData_Dairy_DurationOfStay_Data(), Table_SourceData_Dairy_Duration[[#Headers],[Animal class j]], 0)</f>
        <v>84</v>
      </c>
      <c r="M146" s="24"/>
    </row>
    <row r="147" spans="4:13" ht="20.100000000000001" customHeight="1" x14ac:dyDescent="0.25">
      <c r="M147" s="24"/>
    </row>
    <row r="148" spans="4:13" ht="20.100000000000001" customHeight="1" x14ac:dyDescent="0.25">
      <c r="M148" s="24"/>
    </row>
    <row r="149" spans="4:13" ht="20.100000000000001" customHeight="1" x14ac:dyDescent="0.25">
      <c r="D149" s="6" t="str" cm="1">
        <f t="array" ref="D149">SourceData_Dairy.SourceData_Dairy_CrudeProtein_Title()</f>
        <v>Crude protein content of feed intake</v>
      </c>
      <c r="M149" s="24"/>
    </row>
    <row r="150" spans="4:13" ht="20.100000000000001" customHeight="1" x14ac:dyDescent="0.25">
      <c r="D150" s="5" t="str" cm="1">
        <f t="array" ref="D150">SourceData_Dairy.SourceData_Dairy_CrudeProtein_Source()</f>
        <v>VEERG 2026: 4.3.2.2	DATA (METHOD 1 AND 2 OPTIONS)</v>
      </c>
      <c r="M150" s="24"/>
    </row>
    <row r="151" spans="4:13" ht="20.100000000000001" customHeight="1" x14ac:dyDescent="0.25">
      <c r="D151" s="1" t="str" cm="1">
        <f t="array" ref="D151">SourceData_Dairy.SourceData_Dairy_CrudeProtein_Variable()</f>
        <v>CP</v>
      </c>
      <c r="M151" s="24"/>
    </row>
    <row r="152" spans="4:13" ht="20.100000000000001" customHeight="1" x14ac:dyDescent="0.25">
      <c r="D152" s="57" t="str" cm="1">
        <f t="array" ref="D152">SourceData_Dairy.SourceData_Dairy_CrudeProtein_Unit()</f>
        <v>fraction</v>
      </c>
      <c r="M152" s="24"/>
    </row>
    <row r="153" spans="4:13" ht="20.100000000000001" customHeight="1" x14ac:dyDescent="0.25">
      <c r="D153" s="56" cm="1">
        <f t="array" ref="D153">SourceData_Dairy.SourceData_Dairy_CrudeProtein_Data()</f>
        <v>0.2</v>
      </c>
      <c r="M153" s="24"/>
    </row>
    <row r="154" spans="4:13" ht="20.100000000000001" customHeight="1" x14ac:dyDescent="0.25">
      <c r="M154" s="24"/>
    </row>
    <row r="155" spans="4:13" ht="20.100000000000001" customHeight="1" x14ac:dyDescent="0.25">
      <c r="M155" s="24"/>
    </row>
    <row r="156" spans="4:13" ht="20.100000000000001" customHeight="1" x14ac:dyDescent="0.25">
      <c r="D156" s="6" t="str" cm="1">
        <f t="array" ref="D156">SourceData_Dairy.SourceData_Dairy_DryMatterDigestibility_Title()</f>
        <v>Dry matter digestibility</v>
      </c>
      <c r="M156" s="24"/>
    </row>
    <row r="157" spans="4:13" ht="20.100000000000001" customHeight="1" x14ac:dyDescent="0.25">
      <c r="D157" s="5" t="str" cm="1">
        <f t="array" ref="D157">SourceData_Dairy.SourceData_Dairy_DryMatterDigestibility_Source()</f>
        <v>VEERG 2026: 3.3.2.2	DATA (METHOD 1 AND 2 OPTIONS)</v>
      </c>
      <c r="M157" s="24"/>
    </row>
    <row r="158" spans="4:13" ht="20.100000000000001" customHeight="1" x14ac:dyDescent="0.25">
      <c r="D158" s="1" t="str" cm="1">
        <f t="array" ref="D158">SourceData_Dairy.SourceData_Dairy_DryMatterDigestibility_Variable()</f>
        <v>DMD</v>
      </c>
      <c r="M158" s="24"/>
    </row>
    <row r="159" spans="4:13" ht="20.100000000000001" customHeight="1" x14ac:dyDescent="0.25">
      <c r="D159" s="57" t="str" cm="1">
        <f t="array" ref="D159">SourceData_Dairy.SourceData_Dairy_DryMatterDigestibility_Unit()</f>
        <v>fraction</v>
      </c>
      <c r="M159" s="24"/>
    </row>
    <row r="160" spans="4:13" ht="20.100000000000001" customHeight="1" x14ac:dyDescent="0.25">
      <c r="D160" s="56" cm="1">
        <f t="array" ref="D160">SourceData_Dairy.SourceData_Dairy_DryMatterDigestibility_Data()</f>
        <v>0.75</v>
      </c>
      <c r="M160" s="24"/>
    </row>
    <row r="161" spans="4:13" ht="20.100000000000001" customHeight="1" x14ac:dyDescent="0.25">
      <c r="M161" s="24"/>
    </row>
    <row r="162" spans="4:13" ht="20.100000000000001" customHeight="1" x14ac:dyDescent="0.25">
      <c r="M162" s="24"/>
    </row>
    <row r="163" spans="4:13" ht="20.100000000000001" customHeight="1" x14ac:dyDescent="0.25">
      <c r="D163" s="6" t="str" cm="1">
        <f t="array" ref="D163">SourceData_Dairy.SourceData_Dairy_NetEnergy_Title()</f>
        <v>Net energy required for milk production</v>
      </c>
      <c r="M163" s="24"/>
    </row>
    <row r="164" spans="4:13" ht="20.100000000000001" customHeight="1" x14ac:dyDescent="0.25">
      <c r="D164" s="5" t="str" cm="1">
        <f t="array" ref="D164">SourceData_Dairy.SourceData_Dairy_NetEnergy_Source()</f>
        <v>VEERG 2026: 3.3.2.3 CONSTANTS</v>
      </c>
      <c r="M164" s="24"/>
    </row>
    <row r="165" spans="4:13" ht="20.100000000000001" customHeight="1" x14ac:dyDescent="0.25">
      <c r="D165" s="1" t="str" cm="1">
        <f t="array" ref="D165">SourceData_Dairy.SourceData_Dairy_NetEnergy_Variable()</f>
        <v>NE</v>
      </c>
      <c r="M165" s="24"/>
    </row>
    <row r="166" spans="4:13" x14ac:dyDescent="0.25">
      <c r="D166" s="57" t="str" cm="1">
        <f t="array" ref="D166">SourceData_Dairy.SourceData_Dairy_NetEnergy_Unit()</f>
        <v>MJ net energy / kg milk</v>
      </c>
      <c r="M166" s="24"/>
    </row>
    <row r="167" spans="4:13" x14ac:dyDescent="0.25">
      <c r="D167" s="56" cm="1">
        <f t="array" ref="D167">SourceData_Dairy.SourceData_Dairy_NetEnergy_Data()</f>
        <v>3.0539999999999998</v>
      </c>
      <c r="M167" s="24"/>
    </row>
    <row r="168" spans="4:13" x14ac:dyDescent="0.25">
      <c r="M168" s="24"/>
    </row>
    <row r="169" spans="4:13" x14ac:dyDescent="0.25">
      <c r="M169" s="24"/>
    </row>
    <row r="170" spans="4:13" ht="23.25" x14ac:dyDescent="0.25">
      <c r="D170" s="6" t="str" cm="1">
        <f t="array" ref="D170">SourceData_Dairy.SourceData_Dairy_GrossEnergyContent_Title()</f>
        <v>Gross energy content of feed dry matter</v>
      </c>
      <c r="M170" s="24"/>
    </row>
    <row r="171" spans="4:13" x14ac:dyDescent="0.25">
      <c r="D171" s="5" t="str" cm="1">
        <f t="array" ref="D171">SourceData_Dairy.SourceData_Dairy_GrossEnergyContent_Source()</f>
        <v>VEERG 2026: 3.3.2.3 CONSTANTS</v>
      </c>
      <c r="M171" s="24"/>
    </row>
    <row r="172" spans="4:13" x14ac:dyDescent="0.25">
      <c r="D172" s="1" t="str" cm="1">
        <f t="array" ref="D172">SourceData_Dairy.SourceData_Dairy_GrossEnergyContent_Variable()</f>
        <v>GEC</v>
      </c>
      <c r="M172" s="24"/>
    </row>
    <row r="173" spans="4:13" x14ac:dyDescent="0.25">
      <c r="D173" s="57" t="str" cm="1">
        <f t="array" ref="D173">SourceData_Dairy.SourceData_Dairy_GrossEnergyContent_Unit()</f>
        <v>MJ / kgDM</v>
      </c>
      <c r="M173" s="24"/>
    </row>
    <row r="174" spans="4:13" x14ac:dyDescent="0.25">
      <c r="D174" s="56" cm="1">
        <f t="array" ref="D174">SourceData_Dairy.SourceData_Dairy_GrossEnergyContent_Data()</f>
        <v>18.399999999999999</v>
      </c>
      <c r="M174" s="24"/>
    </row>
    <row r="175" spans="4:13" x14ac:dyDescent="0.25">
      <c r="M175" s="24"/>
    </row>
    <row r="176" spans="4:13" x14ac:dyDescent="0.25">
      <c r="M176" s="24"/>
    </row>
    <row r="177" spans="4:13" ht="23.25" x14ac:dyDescent="0.25">
      <c r="D177" s="6" t="str" cm="1">
        <f t="array" ref="D177">SourceData_Dairy.SourceData_Dairy_EfficiencyOfUseOfMetabolizableEnergy_Title()</f>
        <v>Efficiency of use of metabolizable energy for milk production</v>
      </c>
      <c r="M177" s="24"/>
    </row>
    <row r="178" spans="4:13" x14ac:dyDescent="0.25">
      <c r="D178" s="5" t="str" cm="1">
        <f t="array" ref="D178">SourceData_Dairy.SourceData_Dairy_EfficiencyOfUseOfMetabolizableEnergy_Source()</f>
        <v>VEERG 2026: 3.3.2.3 CONSTANTS</v>
      </c>
      <c r="M178" s="24"/>
    </row>
    <row r="179" spans="4:13" x14ac:dyDescent="0.25">
      <c r="D179" s="1" t="str" cm="1">
        <f t="array" ref="D179">SourceData_Dairy.SourceData_Dairy_EfficiencyOfUseOfMetabolizableEnergy_Variable()</f>
        <v>k</v>
      </c>
      <c r="M179" s="24"/>
    </row>
    <row r="180" spans="4:13" x14ac:dyDescent="0.25">
      <c r="D180" s="57" t="str" cm="1">
        <f t="array" ref="D180">SourceData_Dairy.SourceData_Dairy_EfficiencyOfUseOfMetabolizableEnergy_Unit()</f>
        <v>fraction</v>
      </c>
      <c r="M180" s="24"/>
    </row>
    <row r="181" spans="4:13" x14ac:dyDescent="0.25">
      <c r="D181" s="56" cm="1">
        <f t="array" ref="D181">SourceData_Dairy.SourceData_Dairy_EfficiencyOfUseOfMetabolizableEnergy_Data()</f>
        <v>0.6</v>
      </c>
      <c r="M181" s="24"/>
    </row>
    <row r="182" spans="4:13" x14ac:dyDescent="0.25">
      <c r="M182" s="24"/>
    </row>
    <row r="183" spans="4:13" x14ac:dyDescent="0.25">
      <c r="M183" s="24"/>
    </row>
    <row r="184" spans="4:13" ht="23.25" x14ac:dyDescent="0.25">
      <c r="D184" s="6" t="str" cm="1">
        <f t="array" ref="D184">SourceData_Dairy.SourceData_Dairy_AshContent_Title()</f>
        <v>Ash content of manure</v>
      </c>
      <c r="M184" s="24"/>
    </row>
    <row r="185" spans="4:13" x14ac:dyDescent="0.25">
      <c r="D185" s="5" t="str" cm="1">
        <f t="array" ref="D185">SourceData_Dairy.SourceData_Dairy_AshContent_Source()</f>
        <v>VEERG 2026: 4.3.2.3 CONSTANTS</v>
      </c>
      <c r="M185" s="24"/>
    </row>
    <row r="186" spans="4:13" x14ac:dyDescent="0.25">
      <c r="D186" s="1" t="str" cm="1">
        <f t="array" ref="D186">SourceData_Dairy.SourceData_Dairy_AshContent_Variable()</f>
        <v>A</v>
      </c>
      <c r="M186" s="24"/>
    </row>
    <row r="187" spans="4:13" x14ac:dyDescent="0.25">
      <c r="D187" s="57" t="str" cm="1">
        <f t="array" ref="D187">SourceData_Dairy.SourceData_Dairy_AshContent_Unit()</f>
        <v>fraction</v>
      </c>
      <c r="M187" s="24"/>
    </row>
    <row r="188" spans="4:13" x14ac:dyDescent="0.25">
      <c r="D188" s="56" cm="1">
        <f t="array" ref="D188">SourceData_Dairy.SourceData_Dairy_AshContent_Data()</f>
        <v>0.08</v>
      </c>
      <c r="M188" s="24"/>
    </row>
    <row r="189" spans="4:13" x14ac:dyDescent="0.25">
      <c r="M189" s="24"/>
    </row>
    <row r="190" spans="4:13" x14ac:dyDescent="0.25">
      <c r="M190" s="24"/>
    </row>
    <row r="191" spans="4:13" ht="23.25" x14ac:dyDescent="0.25">
      <c r="D191" s="6" t="str" cm="1">
        <f t="array" ref="D191">SourceData_Dairy.SourceData_Dairy_MethaneEmissionsPotential_Title()</f>
        <v>Methane emissions potential</v>
      </c>
      <c r="M191" s="24"/>
    </row>
    <row r="192" spans="4:13" x14ac:dyDescent="0.25">
      <c r="D192" s="5" t="str" cm="1">
        <f t="array" ref="D192">SourceData_Dairy.SourceData_Dairy_MethaneEmissionsPotential_Source()</f>
        <v>VEERG 2026: 4.3.2.3 CONSTANTS</v>
      </c>
      <c r="M192" s="24"/>
    </row>
    <row r="193" spans="4:13" x14ac:dyDescent="0.25">
      <c r="D193" s="1" t="str" cm="1">
        <f t="array" ref="D193">SourceData_Dairy.SourceData_Dairy_MethaneEmissionsPotential_Variable()</f>
        <v>B_o</v>
      </c>
      <c r="M193" s="24"/>
    </row>
    <row r="194" spans="4:13" x14ac:dyDescent="0.25">
      <c r="D194" s="57" t="str" cm="1">
        <f t="array" ref="D194">SourceData_Dairy.SourceData_Dairy_MethaneEmissionsPotential_Unit()</f>
        <v>m3 CH4/kgVS</v>
      </c>
      <c r="M194" s="24"/>
    </row>
    <row r="195" spans="4:13" x14ac:dyDescent="0.25">
      <c r="D195" s="56" cm="1">
        <f t="array" ref="D195">SourceData_Dairy.SourceData_Dairy_MethaneEmissionsPotential_Data()</f>
        <v>0.24</v>
      </c>
      <c r="M195" s="24"/>
    </row>
    <row r="196" spans="4:13" x14ac:dyDescent="0.25">
      <c r="M196" s="24"/>
    </row>
    <row r="197" spans="4:13" x14ac:dyDescent="0.25">
      <c r="M197" s="24"/>
    </row>
    <row r="198" spans="4:13" ht="23.25" x14ac:dyDescent="0.25">
      <c r="D198" s="6" t="str" cm="1">
        <f t="array" ref="D198">SourceData_Dairy.SourceData_Dairy_EmissionFactorForLeachingAndRunoff_Title()</f>
        <v>Emission factor for leaching and runoff</v>
      </c>
      <c r="M198" s="24"/>
    </row>
    <row r="199" spans="4:13" x14ac:dyDescent="0.25">
      <c r="D199" s="5" t="str" cm="1">
        <f t="array" ref="D199">SourceData_Dairy.SourceData_Dairy_EmissionFactorForLeachingAndRunoff_Source()</f>
        <v>VEERG 2026: 4.3.2.3 CONSTANTS</v>
      </c>
      <c r="M199" s="24"/>
    </row>
    <row r="200" spans="4:13" x14ac:dyDescent="0.25">
      <c r="D200" s="1" t="str" cm="1">
        <f t="array" ref="D200">SourceData_Dairy.SourceData_Dairy_EmissionFactorForLeachingAndRunoff_Variable()</f>
        <v>EF_leach</v>
      </c>
      <c r="M200" s="24"/>
    </row>
    <row r="201" spans="4:13" x14ac:dyDescent="0.25">
      <c r="D201" s="57" t="str" cm="1">
        <f t="array" ref="D201">SourceData_Dairy.SourceData_Dairy_EmissionFactorForLeachingAndRunoff_Unit()</f>
        <v>kg N2O-N/kg N</v>
      </c>
      <c r="M201" s="24"/>
    </row>
    <row r="202" spans="4:13" x14ac:dyDescent="0.25">
      <c r="D202" s="56" cm="1">
        <f t="array" ref="D202">SourceData_Dairy.SourceData_Dairy_EmissionFactorForLeachingAndRunoff_Data()</f>
        <v>1.0999999999999999E-2</v>
      </c>
      <c r="M202" s="24"/>
    </row>
    <row r="203" spans="4:13" x14ac:dyDescent="0.25">
      <c r="M203" s="24"/>
    </row>
    <row r="204" spans="4:13" x14ac:dyDescent="0.25">
      <c r="M204" s="24"/>
    </row>
    <row r="205" spans="4:13" ht="23.25" x14ac:dyDescent="0.25">
      <c r="D205" s="6" t="str" cm="1">
        <f t="array" ref="D205">SourceData_Dairy.SourceData_Dairy_FractionOfNitrogenLostThroughLeachingAndRunoff_Title()</f>
        <v>Fraction of N that is lost through leaching and runoff</v>
      </c>
      <c r="M205" s="24"/>
    </row>
    <row r="206" spans="4:13" x14ac:dyDescent="0.25">
      <c r="D206" s="5" t="str" cm="1">
        <f t="array" ref="D206">SourceData_Dairy.SourceData_Dairy_FractionOfNitrogenLostThroughLeachingAndRunoff_Source()</f>
        <v>VEERG 2026: 4.3.2.3 CONSTANTS</v>
      </c>
      <c r="M206" s="24"/>
    </row>
    <row r="207" spans="4:13" x14ac:dyDescent="0.25">
      <c r="D207" s="1" t="str" cm="1">
        <f t="array" ref="D207">SourceData_Dairy.SourceData_Dairy_FractionOfNitrogenLostThroughLeachingAndRunoff_Variable()</f>
        <v>Frac_LEACH_MS</v>
      </c>
      <c r="M207" s="24"/>
    </row>
    <row r="208" spans="4:13" x14ac:dyDescent="0.25">
      <c r="D208" s="57" t="str" cm="1">
        <f t="array" ref="D208">SourceData_Dairy.SourceData_Dairy_FractionOfNitrogenLostThroughLeachingAndRunoff_Unit()</f>
        <v>Dimensionless</v>
      </c>
      <c r="M208" s="24"/>
    </row>
    <row r="209" spans="4:13" x14ac:dyDescent="0.25">
      <c r="D209" s="56" cm="1">
        <f t="array" ref="D209">SourceData_Dairy.SourceData_Dairy_FractionOfNitrogenLostThroughLeachingAndRunoff_Data()</f>
        <v>0.02</v>
      </c>
      <c r="M209" s="24"/>
    </row>
    <row r="210" spans="4:13" x14ac:dyDescent="0.25">
      <c r="M210" s="24"/>
    </row>
    <row r="211" spans="4:13" ht="23.25" x14ac:dyDescent="0.25">
      <c r="D211" s="6" t="str" cm="1">
        <f t="array" ref="D211">SourceData_Dairy.SourceData_Dairy_FracGASMSoil_Title()</f>
        <v>Fraction of nitrogen volatilized from urine and faeces deposited on pasture</v>
      </c>
      <c r="M211" s="24"/>
    </row>
    <row r="212" spans="4:13" x14ac:dyDescent="0.25">
      <c r="D212" s="5" t="str" cm="1">
        <f t="array" ref="D212">SourceData_Dairy.SourceData_Dairy_FracGASMSoil_Source()</f>
        <v>VEERG 2026: 4.3.2.3 CONSTANTS</v>
      </c>
      <c r="M212" s="24"/>
    </row>
    <row r="213" spans="4:13" x14ac:dyDescent="0.25">
      <c r="D213" s="1" t="str" cm="1">
        <f t="array" ref="D213">SourceData_Dairy.SourceData_Dairy_FracGASMSoil_Variable()</f>
        <v>FracGASMsoil</v>
      </c>
      <c r="M213" s="24"/>
    </row>
    <row r="214" spans="4:13" x14ac:dyDescent="0.25">
      <c r="D214" s="57" t="str" cm="1">
        <f t="array" ref="D214">SourceData_Dairy.SourceData_Dairy_FracGASMSoil_Unit()</f>
        <v>(kg NH3-N + NOx-N)/kg N</v>
      </c>
      <c r="M214" s="24"/>
    </row>
    <row r="215" spans="4:13" x14ac:dyDescent="0.25">
      <c r="D215" s="56" cm="1">
        <f t="array" ref="D215">SourceData_Dairy.SourceData_Dairy_FracGASMSoil_Data()</f>
        <v>0.21</v>
      </c>
      <c r="M215" s="24"/>
    </row>
    <row r="216" spans="4:13" x14ac:dyDescent="0.25">
      <c r="M216" s="24"/>
    </row>
    <row r="217" spans="4:13" x14ac:dyDescent="0.25">
      <c r="M217" s="24"/>
    </row>
    <row r="218" spans="4:13" x14ac:dyDescent="0.25">
      <c r="M218" s="24"/>
    </row>
    <row r="219" spans="4:13" x14ac:dyDescent="0.25">
      <c r="M219" s="24"/>
    </row>
    <row r="220" spans="4:13" x14ac:dyDescent="0.25">
      <c r="M220" s="24"/>
    </row>
    <row r="221" spans="4:13" x14ac:dyDescent="0.25">
      <c r="M221" s="24"/>
    </row>
    <row r="222" spans="4:13" x14ac:dyDescent="0.25">
      <c r="M222" s="24"/>
    </row>
    <row r="223" spans="4:13" x14ac:dyDescent="0.25">
      <c r="M223" s="24"/>
    </row>
    <row r="224" spans="4:13" x14ac:dyDescent="0.25">
      <c r="M224" s="24"/>
    </row>
    <row r="225" spans="13:13" x14ac:dyDescent="0.25">
      <c r="M225" s="24"/>
    </row>
    <row r="226" spans="13:13" x14ac:dyDescent="0.25">
      <c r="M226" s="24"/>
    </row>
    <row r="227" spans="13:13" x14ac:dyDescent="0.25">
      <c r="M227" s="24"/>
    </row>
    <row r="228" spans="13:13" x14ac:dyDescent="0.25">
      <c r="M228" s="24"/>
    </row>
    <row r="229" spans="13:13" x14ac:dyDescent="0.25">
      <c r="M229" s="24"/>
    </row>
    <row r="230" spans="13:13" x14ac:dyDescent="0.25">
      <c r="M230" s="24"/>
    </row>
    <row r="231" spans="13:13" x14ac:dyDescent="0.25">
      <c r="M231" s="24"/>
    </row>
    <row r="232" spans="13:13" x14ac:dyDescent="0.25">
      <c r="M232" s="24"/>
    </row>
    <row r="233" spans="13:13" x14ac:dyDescent="0.25">
      <c r="M233" s="24"/>
    </row>
    <row r="234" spans="13:13" x14ac:dyDescent="0.25">
      <c r="M234" s="24"/>
    </row>
    <row r="235" spans="13:13" x14ac:dyDescent="0.25">
      <c r="M235" s="24"/>
    </row>
    <row r="236" spans="13:13" x14ac:dyDescent="0.25">
      <c r="M236" s="24"/>
    </row>
    <row r="237" spans="13:13" x14ac:dyDescent="0.25">
      <c r="M237" s="24"/>
    </row>
    <row r="238" spans="13:13" x14ac:dyDescent="0.25">
      <c r="M238" s="24"/>
    </row>
    <row r="239" spans="13:13" x14ac:dyDescent="0.25">
      <c r="M239" s="24"/>
    </row>
    <row r="240" spans="13: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831202-1887-4293-9408-079FA11C6DF6}">
  <dimension ref="A1:BY250"/>
  <sheetViews>
    <sheetView showGridLines="0" tabSelected="1" topLeftCell="A227" zoomScale="85" zoomScaleNormal="85" workbookViewId="0">
      <selection activeCell="G262" sqref="G26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79</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23</v>
      </c>
      <c r="E6" s="39" t="s">
        <v>24</v>
      </c>
      <c r="F6" s="39" t="s">
        <v>25</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26</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29</v>
      </c>
      <c r="E36" s="39" t="s">
        <v>30</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29</v>
      </c>
      <c r="E47" s="39" t="s">
        <v>32</v>
      </c>
      <c r="F47" s="39" t="s">
        <v>33</v>
      </c>
      <c r="G47" s="39" t="s">
        <v>34</v>
      </c>
      <c r="H47" s="39" t="s">
        <v>35</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8" t="str" cm="1">
        <f t="array" ref="D59:D61">"⚠️" &amp; Common_SourceData.Common_SourceData_WetAndDryZones_Variation()</f>
        <v>⚠️VARIATION OF SOURCE DATA:</v>
      </c>
    </row>
    <row r="60" spans="4:8" ht="20.100000000000001" customHeight="1" x14ac:dyDescent="0.25">
      <c r="D60" s="58" t="str">
        <v>⚠️Added warm / cool temperate moist / dry - low frost and high temp classes to accommodate climate scenarios excluded by VEERG criteria.</v>
      </c>
    </row>
    <row r="61" spans="4:8" ht="20.100000000000001" customHeight="1" x14ac:dyDescent="0.25">
      <c r="D61" s="58" t="str">
        <v>⚠️Fixed typo - Changed 'Fry' to 'Dry'.</v>
      </c>
    </row>
    <row r="62" spans="4:8" ht="20.100000000000001" customHeight="1" x14ac:dyDescent="0.25"/>
    <row r="63" spans="4:8" ht="20.100000000000001" customHeight="1" x14ac:dyDescent="0.25">
      <c r="D63" s="39" t="s">
        <v>10</v>
      </c>
      <c r="E63" s="39" t="s">
        <v>50</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8" t="str" cm="1">
        <f t="array" ref="D83:D87">"⚠️" &amp; Common_SourceData.Common_SourceData_ClimateZones_Variation()</f>
        <v>⚠️VARIATION OF SOURCE DATA:</v>
      </c>
    </row>
    <row r="84" spans="4:20" ht="20.100000000000001" customHeight="1" x14ac:dyDescent="0.25">
      <c r="D84" s="58" t="str">
        <v>⚠️Added warm / cool temperate moist / dry - low frost and high temp classes to accommodate climate scenarios excluded by VEERG criteria.</v>
      </c>
    </row>
    <row r="85" spans="4:20" ht="20.100000000000001" customHeight="1" x14ac:dyDescent="0.25">
      <c r="D85" s="58" t="str">
        <v>⚠️Fixed typo in MAT value for warm temperate dry - changed 10 to 11.</v>
      </c>
    </row>
    <row r="86" spans="4:20" ht="20.100000000000001" customHeight="1" x14ac:dyDescent="0.25">
      <c r="D86" s="58" t="str">
        <v>⚠️Added min and max columns for MAT, MAP, frost days per year, elevation, MAP:PET to calculate zones from real climate data.</v>
      </c>
    </row>
    <row r="87" spans="4:20" ht="20.100000000000001" customHeight="1" x14ac:dyDescent="0.25">
      <c r="D87" s="58" t="str">
        <v>⚠️GAF accepts rainfall as a proxy for precipitation.</v>
      </c>
    </row>
    <row r="88" spans="4:20" ht="20.100000000000001" customHeight="1" x14ac:dyDescent="0.25"/>
    <row r="89" spans="4:20" ht="20.100000000000001" customHeight="1" x14ac:dyDescent="0.25">
      <c r="D89" s="39" t="s">
        <v>10</v>
      </c>
      <c r="E89" s="39" t="s">
        <v>38</v>
      </c>
      <c r="F89" s="39" t="s">
        <v>39</v>
      </c>
      <c r="G89" s="39" t="s">
        <v>40</v>
      </c>
      <c r="H89" s="39" t="s">
        <v>41</v>
      </c>
      <c r="I89" s="39" t="s">
        <v>42</v>
      </c>
      <c r="J89" s="39" t="s">
        <v>43</v>
      </c>
      <c r="K89" s="39" t="s">
        <v>44</v>
      </c>
      <c r="L89" s="39" t="s">
        <v>45</v>
      </c>
      <c r="M89" s="39" t="s">
        <v>46</v>
      </c>
      <c r="N89" s="39" t="s">
        <v>47</v>
      </c>
      <c r="O89" s="39" t="s">
        <v>51</v>
      </c>
      <c r="P89" s="39" t="s">
        <v>48</v>
      </c>
      <c r="Q89" s="39" t="s">
        <v>52</v>
      </c>
      <c r="R89" s="39" t="s">
        <v>49</v>
      </c>
      <c r="S89" s="39" t="s">
        <v>53</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c r="D98" s="57" t="str" cm="1">
        <f t="array" ref="D98:D101">Common_SourceData.Common_SourceData_ClimateZones_Appendices()</f>
        <v>Note:</v>
      </c>
    </row>
    <row r="99" spans="4:20" ht="20.100000000000001" customHeight="1" x14ac:dyDescent="0.25">
      <c r="D99" s="57" t="str">
        <v>MAT = mean annual temperature</v>
      </c>
    </row>
    <row r="100" spans="4:20" ht="20.100000000000001" customHeight="1" x14ac:dyDescent="0.25">
      <c r="D100" s="57" t="str">
        <v>MAP = mean annual precipitation</v>
      </c>
    </row>
    <row r="101" spans="4:20" ht="20.100000000000001" customHeight="1" x14ac:dyDescent="0.25">
      <c r="D101" s="57" t="str">
        <v>PET = potential evapotranspiration</v>
      </c>
    </row>
    <row r="102" spans="4:20" ht="20.100000000000001" customHeight="1" x14ac:dyDescent="0.25">
      <c r="D102" s="57"/>
    </row>
    <row r="103" spans="4:20" ht="20.100000000000001" customHeight="1" x14ac:dyDescent="0.25"/>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8"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57</v>
      </c>
      <c r="E109" s="39" t="s">
        <v>38</v>
      </c>
      <c r="F109" s="39" t="s">
        <v>58</v>
      </c>
      <c r="G109" s="39" t="s">
        <v>59</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8"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60</v>
      </c>
      <c r="E119" s="39" t="s">
        <v>61</v>
      </c>
      <c r="F119" s="39" t="s">
        <v>45</v>
      </c>
      <c r="G119" s="39" t="s">
        <v>46</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67</v>
      </c>
      <c r="E127" s="39" t="s">
        <v>68</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95</v>
      </c>
      <c r="E134" t="s">
        <v>96</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8"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346</v>
      </c>
      <c r="E142" s="39" t="s">
        <v>96</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70</v>
      </c>
      <c r="E153" s="39" t="s">
        <v>71</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7"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7" t="str" cm="1">
        <f t="array" ref="D180">Common_SourceData.Common_SourceData_EFN2O_Unit()</f>
        <v>(kg N2O-N / kg N</v>
      </c>
    </row>
    <row r="181" spans="4:68" ht="20.100000000000001" customHeight="1" x14ac:dyDescent="0.25">
      <c r="D181" s="58" t="str" cm="1">
        <f t="array" ref="D181:D185">Common_SourceData.Common_SourceData_EFN2O_Variation()</f>
        <v>VARIATION OF SOURCE DATA:</v>
      </c>
    </row>
    <row r="182" spans="4:68" ht="20.100000000000001" customHeight="1" x14ac:dyDescent="0.25">
      <c r="D182" s="58" t="str">
        <v>Removed duplicate 'Aquaculture' row.</v>
      </c>
    </row>
    <row r="183" spans="4:68" ht="20.100000000000001" customHeight="1" x14ac:dyDescent="0.25">
      <c r="D183" s="58" t="str">
        <v>Removed asterisks to aid lookup.</v>
      </c>
    </row>
    <row r="184" spans="4:68" ht="20.100000000000001" customHeight="1" x14ac:dyDescent="0.25">
      <c r="D184" s="58" t="str">
        <v>Added 'production system only', 'rainfall zone' and 'irrigation method' columns to aid lookup.</v>
      </c>
    </row>
    <row r="185" spans="4:68" ht="20.100000000000001" customHeight="1" x14ac:dyDescent="0.25">
      <c r="D185" s="58" t="str">
        <v>Duplicated 'non-irrigated pasture' row with same EF for low and high rainfall zones to aid lookup.</v>
      </c>
    </row>
    <row r="186" spans="4:68" ht="20.100000000000001" customHeight="1" x14ac:dyDescent="0.25">
      <c r="D186" s="39" t="s">
        <v>147</v>
      </c>
      <c r="E186" s="39" t="s">
        <v>148</v>
      </c>
      <c r="F186" s="39" t="s">
        <v>149</v>
      </c>
      <c r="G186" s="39" t="s">
        <v>150</v>
      </c>
      <c r="H186" s="39" t="s">
        <v>37</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8" t="str" cm="1">
        <f t="array" ref="D204">Common_SourceData.Common_SourceData_EFPastureRangeAndPaddock_Variation()</f>
        <v>VARIATION FROM SOURCE DATA: Changed 'Dry climate zones' to singular 'Dry climate zone' to aid lookup.</v>
      </c>
    </row>
    <row r="205" spans="4:8" x14ac:dyDescent="0.25">
      <c r="D205" s="57" t="str" cm="1">
        <f t="array" ref="D205">Common_SourceData.Common_SourceData_EFPastureRangeAndPaddock_Unit()</f>
        <v>kg N2O - N / kg N</v>
      </c>
    </row>
    <row r="206" spans="4:8" x14ac:dyDescent="0.25">
      <c r="D206" s="39" t="s">
        <v>10</v>
      </c>
      <c r="E206" s="39" t="s">
        <v>382</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412</v>
      </c>
      <c r="E212" s="39" t="s">
        <v>413</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54</v>
      </c>
      <c r="E231" s="39" t="s">
        <v>422</v>
      </c>
      <c r="F231" s="38" t="s">
        <v>423</v>
      </c>
      <c r="G231" s="39" t="s">
        <v>424</v>
      </c>
      <c r="H231" s="39" t="s">
        <v>425</v>
      </c>
      <c r="I231" s="39" t="s">
        <v>426</v>
      </c>
      <c r="J231" s="39" t="s">
        <v>427</v>
      </c>
      <c r="K231" s="39" t="s">
        <v>428</v>
      </c>
      <c r="L231" s="39" t="s">
        <v>429</v>
      </c>
      <c r="M231" s="39" t="s">
        <v>430</v>
      </c>
      <c r="N231" s="39" t="s">
        <v>431</v>
      </c>
      <c r="O231" s="39" t="s">
        <v>432</v>
      </c>
      <c r="P231" s="39" t="s">
        <v>433</v>
      </c>
      <c r="Q231" s="39" t="s">
        <v>434</v>
      </c>
      <c r="R231" s="39" t="s">
        <v>435</v>
      </c>
      <c r="S231" s="39" t="s">
        <v>436</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sheetData>
  <pageMargins left="0.7" right="0.7" top="0.75" bottom="0.75" header="0.3" footer="0.3"/>
  <pageSetup paperSize="9" orientation="portrait" r:id="rId1"/>
  <tableParts count="1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22" sqref="A22"/>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8" t="e" vm="1">
        <v>#VALUE!</v>
      </c>
      <c r="C1" s="8" t="s">
        <v>81</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c r="A5" s="16"/>
    </row>
    <row r="6" spans="1:13" ht="20.100000000000001" customHeight="1" x14ac:dyDescent="0.25">
      <c r="A6" s="20" t="s">
        <v>3</v>
      </c>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7" t="str">
        <f>HYPERLINK("#'Input - Site'!A1", "Site")</f>
        <v>Site</v>
      </c>
      <c r="D7" s="3" t="str" cm="1">
        <f t="array" ref="D7">CommonLivestock_SourceData.SourceData_Livestock_Common_SymbolsMMS_Vairable()</f>
        <v>MMS</v>
      </c>
      <c r="E7" s="3"/>
      <c r="F7" s="3"/>
      <c r="G7" s="3"/>
      <c r="H7" s="3"/>
    </row>
    <row r="8" spans="1:13" ht="20.100000000000001" customHeight="1" x14ac:dyDescent="0.25">
      <c r="A8" s="17" t="str">
        <f>HYPERLINK("#'Input - Dairy'!A1", "Dairy")</f>
        <v>Dairy</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c r="D9" s="38" t="s">
        <v>82</v>
      </c>
      <c r="E9" s="39" t="s">
        <v>22</v>
      </c>
      <c r="F9" s="39" t="s">
        <v>83</v>
      </c>
      <c r="G9" s="3"/>
    </row>
    <row r="10" spans="1:13" ht="20.100000000000001" customHeight="1" x14ac:dyDescent="0.25">
      <c r="A10" s="19" t="s">
        <v>78</v>
      </c>
      <c r="D10" s="38" t="str" cm="1">
        <f t="array" ref="D10">Common_InputFunctions.Utility_DisplayArrayInTable(CommonLivestock_SourceData.SourceData_Livestock_Common_SymbolsMMS_Data(), Table_Data_MMSSymbols[[#Headers],[Symbol]], 0)</f>
        <v>1</v>
      </c>
      <c r="E10" s="38" t="str" cm="1">
        <f t="array" ref="E10">Common_InputFunctions.Utility_DisplayArrayInTable(CommonLivestock_SourceData.SourceData_Livestock_Common_SymbolsMMS_Data(), Table_Data_MMSSymbols[[#Headers],[Symbol]], 0)</f>
        <v>Anaerobic lagoon</v>
      </c>
      <c r="F10" s="38"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7" t="str">
        <f>HYPERLINK("#'4.3.1.1-2 Methane'!A1", "4.3.1.1-2 Methane")</f>
        <v>4.3.1.1-2 Methane</v>
      </c>
      <c r="D11" s="38" t="str" cm="1">
        <f t="array" ref="D11">Common_InputFunctions.Utility_DisplayArrayInTable(CommonLivestock_SourceData.SourceData_Livestock_Common_SymbolsMMS_Data(), Table_Data_MMSSymbols[[#Headers],[Symbol]], 0)</f>
        <v>2</v>
      </c>
      <c r="E11" s="38" t="str" cm="1">
        <f t="array" ref="E11">Common_InputFunctions.Utility_DisplayArrayInTable(CommonLivestock_SourceData.SourceData_Livestock_Common_SymbolsMMS_Data(), Table_Data_MMSSymbols[[#Headers],[Symbol]], 0)</f>
        <v>Liquid systems</v>
      </c>
      <c r="F11" s="38"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HYPERLINK("#'4.3.1.3-4 Direct N20'!A1", "4.3.1.3-4 Direct N2O")</f>
        <v>4.3.1.3-4 Direct N2O</v>
      </c>
      <c r="D12" s="39" t="str" cm="1">
        <f t="array" ref="D12">Common_InputFunctions.Utility_DisplayArrayInTable(CommonLivestock_SourceData.SourceData_Livestock_Common_SymbolsMMS_Data(), Table_Data_MMSSymbols[[#Headers],[Symbol]], 0)</f>
        <v>3</v>
      </c>
      <c r="E12" s="39" t="str" cm="1">
        <f t="array" ref="E12">Common_InputFunctions.Utility_DisplayArrayInTable(CommonLivestock_SourceData.SourceData_Livestock_Common_SymbolsMMS_Data(), Table_Data_MMSSymbols[[#Headers],[Symbol]], 0)</f>
        <v>Daily spread</v>
      </c>
      <c r="F12" s="39"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HYPERLINK("#'4.3.1.5 Atmos Deposition'!A1", "4.3.1.5 Atmospheric deposition")</f>
        <v>4.3.1.5 Atmospheric deposition</v>
      </c>
      <c r="D13" s="39" t="str" cm="1">
        <f t="array" ref="D13">Common_InputFunctions.Utility_DisplayArrayInTable(CommonLivestock_SourceData.SourceData_Livestock_Common_SymbolsMMS_Data(), Table_Data_MMSSymbols[[#Headers],[Symbol]], 0)</f>
        <v>3a</v>
      </c>
      <c r="E13" s="39" t="str" cm="1">
        <f t="array" ref="E13">Common_InputFunctions.Utility_DisplayArrayInTable(CommonLivestock_SourceData.SourceData_Livestock_Common_SymbolsMMS_Data(), Table_Data_MMSSymbols[[#Headers],[Symbol]], 0)</f>
        <v>Sump and dispersal system</v>
      </c>
      <c r="F13" s="39"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HYPERLINK("#'4.3.1.6-7 Leaching and runoff'!A1", "4.3.1.6-7 Leaching and runoff")</f>
        <v>4.3.1.6-7 Leaching and runoff</v>
      </c>
      <c r="D14" s="39" t="str" cm="1">
        <f t="array" ref="D14">Common_InputFunctions.Utility_DisplayArrayInTable(CommonLivestock_SourceData.SourceData_Livestock_Common_SymbolsMMS_Data(), Table_Data_MMSSymbols[[#Headers],[Symbol]], 0)</f>
        <v>3b</v>
      </c>
      <c r="E14" s="39" t="str" cm="1">
        <f t="array" ref="E14">Common_InputFunctions.Utility_DisplayArrayInTable(CommonLivestock_SourceData.SourceData_Livestock_Common_SymbolsMMS_Data(), Table_Data_MMSSymbols[[#Headers],[Symbol]], 0)</f>
        <v>Drains to paddock</v>
      </c>
      <c r="F14" s="39"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HYPERLINK("#'4.3.1.8 Manure applied to soils'!A1", "4.3.1.8 Manure applied to soils")</f>
        <v>4.3.1.8 Manure applied to soils</v>
      </c>
      <c r="D15" s="39" t="str" cm="1">
        <f t="array" ref="D15">Common_InputFunctions.Utility_DisplayArrayInTable(CommonLivestock_SourceData.SourceData_Livestock_Common_SymbolsMMS_Data(), Table_Data_MMSSymbols[[#Headers],[Symbol]], 0)</f>
        <v>4</v>
      </c>
      <c r="E15" s="39" t="str" cm="1">
        <f t="array" ref="E15">Common_InputFunctions.Utility_DisplayArrayInTable(CommonLivestock_SourceData.SourceData_Livestock_Common_SymbolsMMS_Data(), Table_Data_MMSSymbols[[#Headers],[Symbol]], 0)</f>
        <v>Solid storage</v>
      </c>
      <c r="F15" s="39"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HYPERLINK("#'4.3.1.9 Soil direct N2O'!A1", "4.3.1.9 Soil direct N2O")</f>
        <v>4.3.1.9 Soil direct N2O</v>
      </c>
      <c r="D16" s="39" t="str" cm="1">
        <f t="array" ref="D16">Common_InputFunctions.Utility_DisplayArrayInTable(CommonLivestock_SourceData.SourceData_Livestock_Common_SymbolsMMS_Data(), Table_Data_MMSSymbols[[#Headers],[Symbol]], 0)</f>
        <v>5</v>
      </c>
      <c r="E16" s="39" t="str" cm="1">
        <f t="array" ref="E16">Common_InputFunctions.Utility_DisplayArrayInTable(CommonLivestock_SourceData.SourceData_Livestock_Common_SymbolsMMS_Data(), Table_Data_MMSSymbols[[#Headers],[Symbol]], 0)</f>
        <v>Drylot (feed pad)</v>
      </c>
      <c r="F16" s="39"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HYPERLINK("#'4.3.1.10-11 Soil Atmos Dep'!A1", "4.3.1.10-11 Soil atm. deposition")</f>
        <v>4.3.1.10-11 Soil atm. deposition</v>
      </c>
      <c r="D17" s="39" t="str" cm="1">
        <f t="array" ref="D17">Common_InputFunctions.Utility_DisplayArrayInTable(CommonLivestock_SourceData.SourceData_Livestock_Common_SymbolsMMS_Data(), Table_Data_MMSSymbols[[#Headers],[Symbol]], 0)</f>
        <v>6</v>
      </c>
      <c r="E17" s="39" t="str" cm="1">
        <f t="array" ref="E17">Common_InputFunctions.Utility_DisplayArrayInTable(CommonLivestock_SourceData.SourceData_Livestock_Common_SymbolsMMS_Data(), Table_Data_MMSSymbols[[#Headers],[Symbol]], 0)</f>
        <v>Composting (passive windrow)</v>
      </c>
      <c r="F17" s="39"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HYPERLINK("#'4.3.1.12-13 Soil leach runoff'!A1", "4.3.1.12-13 Soil leach &amp; runoff")</f>
        <v>4.3.1.12-13 Soil leach &amp; runoff</v>
      </c>
      <c r="D18" s="39" t="str" cm="1">
        <f t="array" ref="D18">Common_InputFunctions.Utility_DisplayArrayInTable(CommonLivestock_SourceData.SourceData_Livestock_Common_SymbolsMMS_Data(), Table_Data_MMSSymbols[[#Headers],[Symbol]], 0)</f>
        <v>7</v>
      </c>
      <c r="E18" s="39" t="str" cm="1">
        <f t="array" ref="E18">Common_InputFunctions.Utility_DisplayArrayInTable(CommonLivestock_SourceData.SourceData_Livestock_Common_SymbolsMMS_Data(), Table_Data_MMSSymbols[[#Headers],[Symbol]], 0)</f>
        <v>Digester / covered lagoons</v>
      </c>
      <c r="F18" s="39"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c r="D19" s="39" t="str" cm="1">
        <f t="array" ref="D19">Common_InputFunctions.Utility_DisplayArrayInTable(CommonLivestock_SourceData.SourceData_Livestock_Common_SymbolsMMS_Data(), Table_Data_MMSSymbols[[#Headers],[Symbol]], 0)</f>
        <v>8</v>
      </c>
      <c r="E19" s="39" t="str" cm="1">
        <f t="array" ref="E19">Common_InputFunctions.Utility_DisplayArrayInTable(CommonLivestock_SourceData.SourceData_Livestock_Common_SymbolsMMS_Data(), Table_Data_MMSSymbols[[#Headers],[Symbol]], 0)</f>
        <v>Deep litter</v>
      </c>
      <c r="F19" s="39"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8" t="s">
        <v>4</v>
      </c>
      <c r="D20" s="39" t="str" cm="1">
        <f t="array" ref="D20">Common_InputFunctions.Utility_DisplayArrayInTable(CommonLivestock_SourceData.SourceData_Livestock_Common_SymbolsMMS_Data(), Table_Data_MMSSymbols[[#Headers],[Symbol]], 0)</f>
        <v>9</v>
      </c>
      <c r="E20" s="39" t="str" cm="1">
        <f t="array" ref="E20">Common_InputFunctions.Utility_DisplayArrayInTable(CommonLivestock_SourceData.SourceData_Livestock_Common_SymbolsMMS_Data(), Table_Data_MMSSymbols[[#Headers],[Symbol]], 0)</f>
        <v>Pit storage</v>
      </c>
      <c r="F20" s="39"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HYPERLINK("#'Constants - Dairy'!A1", "Constants - Dairy")</f>
        <v>Constants - Dairy</v>
      </c>
      <c r="D21" s="39" t="str" cm="1">
        <f t="array" ref="D21">Common_InputFunctions.Utility_DisplayArrayInTable(CommonLivestock_SourceData.SourceData_Livestock_Common_SymbolsMMS_Data(), Table_Data_MMSSymbols[[#Headers],[Symbol]], 0)</f>
        <v>10</v>
      </c>
      <c r="E21" s="39" t="str" cm="1">
        <f t="array" ref="E21">Common_InputFunctions.Utility_DisplayArrayInTable(CommonLivestock_SourceData.SourceData_Livestock_Common_SymbolsMMS_Data(), Table_Data_MMSSymbols[[#Headers],[Symbol]], 0)</f>
        <v>Poultry manure with bedding</v>
      </c>
      <c r="F21" s="39"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72" t="str">
        <f>HYPERLINK("#'Constants - Livestock'!A1", "Constants - Livestock")</f>
        <v>Constants - Livestock</v>
      </c>
      <c r="D22" s="39" t="str" cm="1">
        <f t="array" ref="D22">Common_InputFunctions.Utility_DisplayArrayInTable(CommonLivestock_SourceData.SourceData_Livestock_Common_SymbolsMMS_Data(), Table_Data_MMSSymbols[[#Headers],[Symbol]], 0)</f>
        <v>11</v>
      </c>
      <c r="E22" s="39" t="str" cm="1">
        <f t="array" ref="E22">Common_InputFunctions.Utility_DisplayArrayInTable(CommonLivestock_SourceData.SourceData_Livestock_Common_SymbolsMMS_Data(), Table_Data_MMSSymbols[[#Headers],[Symbol]], 0)</f>
        <v>Poultry manure without bedding</v>
      </c>
      <c r="F22" s="39"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t="str">
        <f>HYPERLINK("#'Constants - Common'!A1", "Constants - Common")</f>
        <v>Constants - Common</v>
      </c>
      <c r="D23" s="39" t="str" cm="1">
        <f t="array" ref="D23">Common_InputFunctions.Utility_DisplayArrayInTable(CommonLivestock_SourceData.SourceData_Livestock_Common_SymbolsMMS_Data(), Table_Data_MMSSymbols[[#Headers],[Symbol]], 0)</f>
        <v>11a</v>
      </c>
      <c r="E23" s="39" t="str" cm="1">
        <f t="array" ref="E23">Common_InputFunctions.Utility_DisplayArrayInTable(CommonLivestock_SourceData.SourceData_Livestock_Common_SymbolsMMS_Data(), Table_Data_MMSSymbols[[#Headers],[Symbol]], 0)</f>
        <v>Belt manure removal</v>
      </c>
      <c r="F23" s="39"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HYPERLINK("#'Acknowledgements'!A1", "Acknowledgements")</f>
        <v>Acknowledgements</v>
      </c>
      <c r="D24" s="39" t="str" cm="1">
        <f t="array" ref="D24">Common_InputFunctions.Utility_DisplayArrayInTable(CommonLivestock_SourceData.SourceData_Livestock_Common_SymbolsMMS_Data(), Table_Data_MMSSymbols[[#Headers],[Symbol]], 0)</f>
        <v>11b</v>
      </c>
      <c r="E24" s="39" t="str" cm="1">
        <f t="array" ref="E24">Common_InputFunctions.Utility_DisplayArrayInTable(CommonLivestock_SourceData.SourceData_Livestock_Common_SymbolsMMS_Data(), Table_Data_MMSSymbols[[#Headers],[Symbol]], 0)</f>
        <v>Manure stored in house</v>
      </c>
      <c r="F24" s="39"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9" t="str" cm="1">
        <f t="array" ref="D25">Common_InputFunctions.Utility_DisplayArrayInTable(CommonLivestock_SourceData.SourceData_Livestock_Common_SymbolsMMS_Data(), Table_Data_MMSSymbols[[#Headers],[Symbol]], 0)</f>
        <v>12</v>
      </c>
      <c r="E25" s="39" t="str" cm="1">
        <f t="array" ref="E25">Common_InputFunctions.Utility_DisplayArrayInTable(CommonLivestock_SourceData.SourceData_Livestock_Common_SymbolsMMS_Data(), Table_Data_MMSSymbols[[#Headers],[Symbol]], 0)</f>
        <v>Direct processing</v>
      </c>
      <c r="F25" s="39"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9" t="str" cm="1">
        <f t="array" ref="D26">Common_InputFunctions.Utility_DisplayArrayInTable(CommonLivestock_SourceData.SourceData_Livestock_Common_SymbolsMMS_Data(), Table_Data_MMSSymbols[[#Headers],[Symbol]], 0)</f>
        <v>13</v>
      </c>
      <c r="E26" s="39" t="str" cm="1">
        <f t="array" ref="E26">Common_InputFunctions.Utility_DisplayArrayInTable(CommonLivestock_SourceData.SourceData_Livestock_Common_SymbolsMMS_Data(), Table_Data_MMSSymbols[[#Headers],[Symbol]], 0)</f>
        <v>Direct application</v>
      </c>
      <c r="F26" s="39"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9" t="str" cm="1">
        <f t="array" ref="D27">Common_InputFunctions.Utility_DisplayArrayInTable(CommonLivestock_SourceData.SourceData_Livestock_Common_SymbolsMMS_Data(), Table_Data_MMSSymbols[[#Headers],[Symbol]], 0)</f>
        <v>14</v>
      </c>
      <c r="E27" s="39" t="str" cm="1">
        <f t="array" ref="E27">Common_InputFunctions.Utility_DisplayArrayInTable(CommonLivestock_SourceData.SourceData_Livestock_Common_SymbolsMMS_Data(), Table_Data_MMSSymbols[[#Headers],[Symbol]], 0)</f>
        <v>Pasture range and paddock</v>
      </c>
      <c r="F27" s="39"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414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70" t="s">
        <v>80</v>
      </c>
    </row>
    <row r="17" spans="1:1" ht="20.100000000000001" customHeight="1" x14ac:dyDescent="0.25">
      <c r="A17" s="70" t="s">
        <v>76</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78</v>
      </c>
    </row>
    <row r="22" spans="1:1" ht="20.100000000000001" customHeight="1" x14ac:dyDescent="0.25">
      <c r="A22" s="70" t="s">
        <v>1</v>
      </c>
    </row>
    <row r="23" spans="1:1" ht="20.100000000000001" customHeight="1" x14ac:dyDescent="0.25">
      <c r="A23" s="70" t="s">
        <v>77</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70" t="s">
        <v>80</v>
      </c>
    </row>
    <row r="32" spans="1:1" ht="20.100000000000001" customHeight="1" x14ac:dyDescent="0.25">
      <c r="A32" s="70" t="s">
        <v>76</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70" t="s">
        <v>2</v>
      </c>
    </row>
    <row r="41" spans="1:1" ht="20.100000000000001" customHeight="1" x14ac:dyDescent="0.25">
      <c r="A41" s="47"/>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FwAbgAgACAAIAAgAFgATABPAE8ASwBVAFAAKAAxACwAIAAoAEwAbwBvAGsAdQBwAEEAcgByAGEAeQAxAD0ATABvAG8AawB1AHAAVgBhAGwAdQBlADEAKQAqACgATABvAG8AawB1AHAAQQByAHIAYQB5ADIAPQBMAG8AbwBrAHUAcABWAGEAbAB1AGUAMgApACwAIABSAGUAdAB1AHIAbgBBAHIAcgBhAHkALAAgAFwAIgBcACI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FwAbgAgACAAIAAgAFgATABPAE8ASwBVAFAAKABMAG8AbwBrAHUAcABWAGEAbAB1AGUAMQAsACAATABvAG8AawB1AHAAQQByAHIAYQB5ADEALABcAG4AIAAgACAAIAAgACAAIAAgAFgATABPAE8ASwBVAFAAKABMAG8AbwBrAHUAcABWAGEAbAB1AGUAMgAsACAATABvAG8AawB1AHAAQQByAHIAYQB5ADIALAAgAFIAZQB0AHUAcgBuAEEAcgByAGEAe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FMAbwB1AHIAYwBlAEQAYQB0AGEAXwBEAGEAaQByAHkAIgAsACIAdABlAHgAdAAiADoAIgBcAG4ALwAqACAAXABuAC0ALQAtAC0ALQAtAC0ALQAtAC0ALQAtAC0ALQAtAC0ALQAtAC0ALQAtAC0ALQAtAC0ALQAtAC0ALQAtAC0ALQAtAC0ALQAtAC0ALQBcAG4AUwBvAHUAcgBjAGUARABhAHQAYQBfAEQAYQBpAHIAeQBfAEwAaQB2AGUAdwBlAGkAZwBoAHQAQwBvAHcAcwBBAG4AZABIAGUAaQBmAGUAcgBzAFwAbgBUAGEAYgBsAGUAIABBAC4AMQAuADMALgAxADoAIABEAGEAaQByAHkAIABjAGEAdAB0AGwAZQAgAC0AIABMAGkAdgBlAHcAZQBpAGcAaAB0ACAAKABrAGcAKQAgAC0AIABDAG8AdwBzACAAYQBuAGQAIABIAGUAaQBmAGUAcgBzACAAKABXAGoAKQBcAG4ALQAtAC0ALQAtAC0ALQAtAC0ALQAtAC0ALQAtAC0ALQAtAC0ALQAtAC0ALQAtAC0ALQAtAC0ALQAtAC0ALQAtAC0ALQAtAC0ALQAtAFwAbgAqAC8AXABuAFwAbgBTAG8AdQByAGMAZQBEAGEAdABhAF8ARABhAGkAcgB5AF8ATABpAHYAZQB3AGUAaQBnAGgAdABDAG8AdwBzAEEAbgBkAEgAZQBpAGYAZQByAHMAXwBUAGkAdABsAGUAXABuACAAIAA9AEwAQQBNAEIARABBACgAXAAiAFQAYQBiAGwAZQAgAEEALgAxAC4AMwAuADEAOgAgAEQAYQBpAHIAeQAgAGMAYQB0AHQAbABlACAALQAgAEwAaQB2AGUAdwBlAGkAZwBoAHQAIAAoAGsAZwApACAALQAgAEMAbwB3AHMAIABhAG4AZAAgAEgAZQBpAGYAZQByAHMAIAAoAFcAagApAFwAIgApADsAXABuAFwAbgBTAG8AdQByAGMAZQBEAGEAdABhAF8ARABhAGkAcgB5AF8ATABpAHYAZQB3AGUAaQBnAGgAdABDAG8AdwBzAEEAbgBkAEgAZQBpAGYAZQByAHMAXwBWAGEAcgBpAGEAYgBsAGUAXABuACAAIAA9AEwAQQBNAEIARABBACgAXAAiAFcAagBcACIAKQA7AFwAbgBcAG4AUwBvAHUAcgBjAGUARABhAHQAYQBfAEQAYQBpAHIAeQBfAEwAaQB2AGUAdwBlAGkAZwBoAHQAQwBvAHcAcwBBAG4AZABIAGUAaQBmAGUAcgBzAF8AVQBuAGkAdABcAG4AIAAgAD0ATABBAE0AQgBEAEEAKABcACIAawBnAFwAIgApADsAXABuAFwAbgBTAG8AdQByAGMAZQBEAGEAdABhAF8ARABhAGkAcgB5AF8ATABpAHYAZQB3AGUAaQBnAGgAdABDAG8AdwBzAEEAbgBkAEgAZQBpAGYAZQByAHMAXwBTAG8AdQByAGMAZQBcAG4AIAAgAD0ATABBAE0AQgBEAEEAKABcACIAVgBFAEUAUgBHACAAMgAwADIANgA6ACAAVABhAGIAbABlACAAQQAuADEALgAzAC4AMQBcACIAKQA7AFwAbgBcAG4AUwBvAHUAcgBjAGUARABhAHQAYQBfAEQAYQBpAHIAeQBfAEwAaQB2AGUAdwBlAGkAZwBoAHQAQwBvAHcAcwBBAG4AZABIAGUAaQBmAGUAcgBzAF8AVgBhAHIAaQBhAHQAaQBvAG4AXABuACAAIAA9AEwAQQBNAEIARABBACgAXAAiAFYAQQBSAEkAQQBUAEkATwBOACAATwBGACAAUwBPAFUAUgBDAEUAOgAgAEUAeABjAGwAdQBkAGUAZAAgAFwAdQAwADAAMgA3AFIAZQBmAGUAcgBlAG4AYwBlAFwAdQAwADAAMgA3ACwAIABhAHMAIAB0AGgAZQAgAHYAYQBsAHUAZQAgAGkAcwAgAGMAbwBuAHMAaQBzAHQAZQBuAHQAbAB5ACAAXAB1ADAAMAAyADcARABhAGkAcgB5ACAAQQB1AHMAdAByAGEAbABpAGEAIABbADEAXQBcAHUAMAAwADIANwAgAGEAbgBkACAAaQBzACAAbgBvAHQAIAB1AHMAZQBkACAAaQBuACAAYwBhAGwAYwB1AGwAYQB0AGkAbwBuAC4AXAAiACkAOwBcAG4AXABuAFMAbwB1AHIAYwBlAEQAYQB0AGEAXwBEAGEAaQByAHkAXwBMAGkAdgBlAHcAZQBpAGcAaAB0AEMAbwB3AHMAQQBuAGQASABlAGkAZgBlAHIAcwBfAEQAYQB0AGEAXABuACAAIAA9AEwAQQBNAEIARABBACgAXABuACAAIAAgACAATQBBAEsARQBBAFIAUgBBAFkAKAAxADEALAAgADQALABcAG4AIAAgACAAIAAgACAATABBAE0AQgBEAEEAKAByACwAYwAsAFwAbgAgACAAIAAgACAAIAAgACAASQBOAEQARQBYACgAewBcAG4AIAAgACAAIAAgACAAIAAgACAAIABcACIAQgByAGUAZQBkAFwAIgAsACAAXAAiAE0AaQBsAGsAaQBuAGcAIABDAG8AdwBzAFwAIgAsACAAXAAiAEgAZQBpAGYAZQByAHMAIABcAHUAMAAwADMAZQAxAFwAIgAsACAAXAAiAEgAZQBpAGYAZQByAHMAIABcAHUAMAAwADMAYwAxACAAKAB3AGUAYQBuAGUAZAApAFwAIgA7AFwAbgAgACAAIAAgACAAIAAgACAAIAAgAFwAIgBNAGUAZABpAHUAbQAgAEYAcgBpAGUAcwBpAGEAbgBcACIALAAgADUANQAwACwAIAAzADgAMAAsACAAMQA1ADUAOwBcAG4AIAAgACAAIAAgACAAIAAgACAAIABcACIATABhAHIAZwBlACAARgByAGkAZQBzAGkAYQBuAFwAIgAsACAANgAwADAALAAgADQAMQA1ACwAIAAxADcAMAA7AFwAbgAgACAAIAAgACAAIAAgACAAIAAgAFwAIgBIAG8AbABzAHQAZQBpAG4ALQBGAHIAaQBlAHMAaQBhAG4AXAAiACwAIAA2ADUAMAAsACAANAA1ADAALAAgADEAOAA1ADsAXABuACAAIAAgACAAIAAgACAAIAAgACAAXAAiAEYAcgBpAGUAcwBpAGEAbgAgAGMAcgBvAHMAcwBiAHIAZQBkAFwAIgAsACAANQAwADAALAAgADMANQAwACwAIAAxADQANQA7AFwAbgAgACAAIAAgACAAIAAgACAAIAAgAFwAIgBKAGUAcgBzAGUAeQBcACIALAAgADQAMAAwACwAIAAyADcANQAsACAAMQAxADUAOwBcAG4AIAAgACAAIAAgACAAIAAgACAAIABcACIASgBlAHIAcwBlAHkAIABjAHIAbwBzAHMAYgByAGUAZABcACIALAAgADQANQAwACwAIAAzADEANQAsACAAMQAzADAAOwBcAG4AIAAgACAAIAAgACAAIAAgACAAIABcACIAQQB5AHIAcwBoAGkAcgBlAFwAIgAsACAANQA0ADAALAAgADMANwA1ACwAIAAxADUAMAA7AFwAbgAgACAAIAAgACAAIAAgACAAIAAgAFwAIgBHAHUAZQByAG4AcwBlAHkAXAAiACwAIAA0ADgAMAAsACAAMwAzADUALAAgADEANAAwADsAXABuACAAIAAgACAAIAAgACAAIAAgACAAXAAiAEIAcgBvAHcAbgAgAFMAdwBpAHMAcwBcACIALAAgADYAMAAwACwAIAA0ADEANQAsACAAMQA3ADAAOwBcAG4AIAAgACAAIAAgACAAIAAgACAAIABcACIASQBsAGwAYQB3AGEAcgByAGEALwBBAHUAcwBzAGkAZQAgAFIAZQBkAFwAIgAsACAANQA1ADAALAAgADMANwA1ACwAIAAxADUAM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MAGkAdgBlAHcAZQBpAGcAaAB0AEIAdQBsAGwAcwBcAG4AVABhAGIAbABlACAAQQAuADEALgAzAC4AMgA6ACAARABhAGkAcgB5ACAAYwBhAHQAdABsAGUAIAAtACAATABpAHYAZQB3AGUAaQBnAGgAdAAgACgAawBnACkAIAAtACAAQgB1AGwAbABzACAAKABXAGoAKQBcAG4ALQAtAC0ALQAtAC0ALQAtAC0ALQAtAC0ALQAtAC0ALQAtAC0ALQAtAC0ALQAtAC0ALQAtAC0ALQAtAC0ALQAtAC0ALQAtAC0ALQAtAFwAbgAqAC8AXABuAFwAbgBTAG8AdQByAGMAZQBEAGEAdABhAF8ARABhAGkAcgB5AF8ATABpAHYAZQB3AGUAaQBnAGgAdABCAHUAbABsAHMAXwBUAGkAdABsAGUAXABuACAAIAA9AEwAQQBNAEIARABBACgAXAAiAFQAYQBiAGwAZQAgAEEALgAxAC4AMwAuADIAOgAgAEQAYQBpAHIAeQAgAGMAYQB0AHQAbABlACAALQAgAEwAaQB2AGUAdwBlAGkAZwBoAHQAIAAoAGsAZwApACAALQAgAEIAdQBsAGwAcwAgACgAVwBqACkAXAAiACkAOwBcAG4AXABuAFMAbwB1AHIAYwBlAEQAYQB0AGEAXwBEAGEAaQByAHkAXwBMAGkAdgBlAHcAZQBpAGcAaAB0AEIAdQBsAGwAcwBfAFYAYQByAGkAYQBiAGwAZQBcAG4AIAAgAD0ATABBAE0AQgBEAEEAKABcACIAVwBqAFwAIgApADsAXABuAFwAbgBTAG8AdQByAGMAZQBEAGEAdABhAF8ARABhAGkAcgB5AF8ATABpAHYAZQB3AGUAaQBnAGgAdABCAHUAbABsAHMAXwBVAG4AaQB0AFwAbgAgACAAPQBMAEEATQBCAEQAQQAoAFwAIgBrAGcAXAAiACkAOwBcAG4AXABuAFMAbwB1AHIAYwBlAEQAYQB0AGEAXwBEAGEAaQByAHkAXwBMAGkAdgBlAHcAZQBpAGcAaAB0AEIAdQBsAGwAcwBfAFMAbwB1AHIAYwBlAFwAbgAgACAAPQBMAEEATQBCAEQAQQAoAFwAIgBWAEUARQBSAEcAIAAyADAAMgA2ADoAIABUAGEAYgBsAGUAIABBAC4AMQAuADMALgAyAFwAIgApADsAXABuAFwAbgBTAG8AdQByAGMAZQBEAGEAdABhAF8ARABhAGkAcgB5AF8ATABpAHYAZQB3AGUAaQBnAGgAdABCAHUAbABsAHMAXwBWAGEAcgBpAGEAdABpAG8AbgBcAG4AIAAgAD0ATABBAE0AQgBEAEEAKABcACIAXAAiACkAOwBcAG4AXABuAFMAbwB1AHIAYwBlAEQAYQB0AGEAXwBEAGEAaQByAHkAXwBMAGkAdgBlAHcAZQBpAGcAaAB0AEIAdQBsAGwAcwBfAEQAYQB0AGEAXABuACAAIAA9AEwAQQBNAEIARABBACgAXABuACAAIAAgACAATQBBAEsARQBBAFIAUgBBAFkAKAAyACwAIAAzACwAXABuACAAIAAgACAAIAAgAEwAQQBNAEIARABBACgAcgAsAGMALABcAG4AIAAgACAAIAAgACAAIAAgAEkATgBEAEUAWAAoAHsAXABuACAAIAAgACAAIAAgACAAIAAgACAAXAAiAEIAcgBlAGUAZABcACIALAAgAFwAIgBCAHUAbABsAHMAIABcAHUAMAAwADMAZQAxAFwAIgAsACAAXAAiAEIAdQBsAGwAcwAgAFwAdQAwADAAMwBjADEAIAAoAHcAZQBhAG4AZQBkACkAXAAiADsAXABuACAAIAAgACAAIAAgACAAIAAgACAAXAAiAEEAbABsACAAYgByAGUAZQBkAHMAXAAiACwAIAA2ADAAMAAsACAAMgAyADU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MAGkAdgBlAHcAZQBpAGcAaAB0AEcAYQBpAG4AXABuAFQAYQBiAGwAZQAgAEEALgAxAC4AMwAuADMAOgAgAEQAYQBpAHIAeQAgAGMAYQB0AHQAbABlACAALQAgAEwAaQB2AGUAdwBlAGkAZwBoAHQAIABnAGEAaQBuACAAKABrAGcAKQAgACgATABXAEcAagApAFwAbgAtAC0ALQAtAC0ALQAtAC0ALQAtAC0ALQAtAC0ALQAtAC0ALQAtAC0ALQAtAC0ALQAtAC0ALQAtAC0ALQAtAC0ALQAtAC0ALQAtAC0AXABuACoALwBcAG4AXABuAFMAbwB1AHIAYwBlAEQAYQB0AGEAXwBEAGEAaQByAHkAXwBMAGkAdgBlAHcAZQBpAGcAaAB0AEcAYQBpAG4AXwBUAGkAdABsAGUAXABuACAAIAA9AEwAQQBNAEIARABBACgAXAAiAFQAYQBiAGwAZQAgAEEALgAxAC4AMwAuADMAOgAgAEQAYQBpAHIAeQAgAGMAYQB0AHQAbABlACAALQAgAEwAaQB2AGUAdwBlAGkAZwBoAHQAIABnAGEAaQBuACAAKABrAGcAKQAgACgATABXAEcAagApAFwAIgApADsAXABuAFwAbgBTAG8AdQByAGMAZQBEAGEAdABhAF8ARABhAGkAcgB5AF8ATABpAHYAZQB3AGUAaQBnAGgAdABHAGEAaQBuAF8AVgBhAHIAaQBhAGIAbABlAFwAbgAgACAAPQBMAEEATQBCAEQAQQAoAFwAIgBMAFcARwBqAFwAIgApADsAXABuAFwAbgBTAG8AdQByAGMAZQBEAGEAdABhAF8ARABhAGkAcgB5AF8ATABpAHYAZQB3AGUAaQBnAGgAdABHAGEAaQBuAF8AVQBuAGkAdABcAG4AIAAgAD0ATABBAE0AQgBEAEEAKABcACIAawBnAFwAIgApADsAXABuAFwAbgBTAG8AdQByAGMAZQBEAGEAdABhAF8ARABhAGkAcgB5AF8ATABpAHYAZQB3AGUAaQBnAGgAdABHAGEAaQBuAF8AUwBvAHUAcgBjAGUAXABuACAAIAA9AEwAQQBNAEIARABBACgAXAAiAFYARQBFAFIARwAgADIAMAAyADYAOgAgAFQAYQBiAGwAZQAgAEEALgAxAC4AMwAuADMAXAAiACkAOwBcAG4AXABuAFMAbwB1AHIAYwBlAEQAYQB0AGEAXwBEAGEAaQByAHkAXwBMAGkAdgBlAHcAZQBpAGcAaAB0AEcAYQBpAG4AXwBWAGEAcgBpAGEAdABpAG8AbgBcAG4AIAAgAD0ATABBAE0AQgBEAEEAKABcACIAXAAiACkAOwBcAG4AXABuAFMAbwB1AHIAYwBlAEQAYQB0AGEAXwBEAGEAaQByAHkAXwBMAGkAdgBlAHcAZQBpAGcAaAB0AEcAYQBpAG4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MAAuADAAMQA2ACwAIAAwAC4ANgAsACAAMAAuADUANwAsACAAMAAuADEALAAgADAALgA4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gBlAGYAZQByAGUAbgBjAGUAVwBlAGkAZwBoAHQAcwBcAG4AVABhAGIAbABlACAAQQAuADEALgAzAC4ANAA6ACAARABhAGkAcgB5ACAAYwBhAHQAdABsAGUAIAAtACAAUgBlAGYAZQByAGUAbgBjAGUAIAB3AGUAaQBnAGgAdABzACAAKABrAGcAKQAgACgAVwBSAGoAKQBcAG4ALQAtAC0ALQAtAC0ALQAtAC0ALQAtAC0ALQAtAC0ALQAtAC0ALQAtAC0ALQAtAC0ALQAtAC0ALQAtAC0ALQAtAC0ALQAtAC0ALQAtAFwAbgAqAC8AXABuAFwAbgBTAG8AdQByAGMAZQBEAGEAdABhAF8ARABhAGkAcgB5AF8AUgBlAGYAZQByAGUAbgBjAGUAVwBlAGkAZwBoAHQAcwBfAFQAaQB0AGwAZQBcAG4AIAAgAD0ATABBAE0AQgBEAEEAKABcACIAVABhAGIAbABlACAAQQAuADEALgAzAC4ANAA6ACAARABhAGkAcgB5ACAAYwBhAHQAdABsAGUAIAAtACAAUgBlAGYAZQByAGUAbgBjAGUAIAB3AGUAaQBnAGgAdABzACAAKABrAGcAKQAgACgAVwBSAGoAKQBcACIAKQA7AFwAbgBcAG4AUwBvAHUAcgBjAGUARABhAHQAYQBfAEQAYQBpAHIAeQBfAFIAZQBmAGUAcgBlAG4AYwBlAFcAZQBpAGcAaAB0AHMAXwBWAGEAcgBpAGEAYgBsAGUAXABuACAAIAA9AEwAQQBNAEIARABBACgAXAAiAFcAUgBqAFwAIgApADsAXABuAFwAbgBTAG8AdQByAGMAZQBEAGEAdABhAF8ARABhAGkAcgB5AF8AUgBlAGYAZQByAGUAbgBjAGUAVwBlAGkAZwBoAHQAcwBfAFUAbgBpAHQAXABuACAAIAA9AEwAQQBNAEIARABBACgAXAAiAGsAZwBcACIAKQA7AFwAbgBcAG4AUwBvAHUAcgBjAGUARABhAHQAYQBfAEQAYQBpAHIAeQBfAFIAZQBmAGUAcgBlAG4AYwBlAFcAZQBpAGcAaAB0AHMAXwBTAG8AdQByAGMAZQBcAG4AIAAgAD0ATABBAE0AQgBEAEEAKABcACIAVgBFAEUAUgBHACAAMgAwADIANgA6ACAAVABhAGIAbABlACAAQQAuADEALgAzAC4ANABcACIAKQA7AFwAbgBcAG4AUwBvAHUAcgBjAGUARABhAHQAYQBfAEQAYQBpAHIAeQBfAFIAZQBmAGUAcgBlAG4AYwBlAFcAZQBpAGcAaAB0AHMAXwBWAGEAcgBpAGEAdABpAG8AbgBcAG4AIAAgAD0ATABBAE0AQgBEAEEAKABcACIAXAAiACkAOwBcAG4AXABuAFMAbwB1AHIAYwBlAEQAYQB0AGEAXwBEAGEAaQByAHkAXwBSAGUAZgBlAHIAZQBuAGMAZQBXAGUAaQBnAGgAdABz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UAOQAwACwAIAA1ADkAMAAsACAANQA5ADAALAAgADcANwAwACwAIAA3ADc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AAcgBlAFcAZQBhAG4AZQBkAEMAYQBsAHYAZQBzAFwAbgBUAGEAYgBsAGUAIABBAC4AMQAuADMALgA1ADoAIABEAGEAaQByAHkAIABjAGEAdAB0AGwAZQAgAC0AIABEAGEAdABhACAAZgBvAHIAIABwAHIAZQAgAC0AIAB3AGUAYQBuAGUAZAAgAGMAYQBsAHYAZQBzAFwAbgAtAC0ALQAtAC0ALQAtAC0ALQAtAC0ALQAtAC0ALQAtAC0ALQAtAC0ALQAtAC0ALQAtAC0ALQAtAC0ALQAtAC0ALQAtAC0ALQAtAC0AXABuACoALwBcAG4AXABuAFMAbwB1AHIAYwBlAEQAYQB0AGEAXwBEAGEAaQByAHkAXwBQAHIAZQBXAGUAYQBuAGUAZABDAGEAbAB2AGUAcwBfAFQAaQB0AGwAZQBcAG4AIAAgAD0ATABBAE0AQgBEAEEAKABcACIAVABhAGIAbABlACAAQQAuADEALgAzAC4ANQA6ACAARABhAGkAcgB5ACAAYwBhAHQAdABsAGUAIAAtACAARABhAHQAYQAgAGYAbwByACAAcAByAGUAIAAtACAAdwBlAGEAbgBlAGQAIABjAGEAbAB2AGUAcwBcACIAKQA7AFwAbgBcAG4AUwBvAHUAcgBjAGUARABhAHQAYQBfAEQAYQBpAHIAeQBfAFAAcgBlAFcAZQBhAG4AZQBkAEMAYQBsAHYAZQBzAF8AVgBhAHIAaQBhAGIAbABlAFwAbgAgACAAPQBMAEEATQBCAEQAQQAoAFwAIgBWAFMAagA9ADMALAA1ADsAIABOAFAAVwBqAD0AMwAsADUAXAAiACkAOwBcAG4AXABuAFMAbwB1AHIAYwBlAEQAYQB0AGEAXwBEAGEAaQByAHkAXwBQAHIAZQBXAGUAYQBuAGUAZABDAGEAbAB2AGUAcwBfAFUAbgBpAHQAXABuACAAIAA9AEwAQQBNAEIARABBACgAXAAiAGsAZwAvAGQAYQB5AFwAIgApADsAXABuAFwAbgBTAG8AdQByAGMAZQBEAGEAdABhAF8ARABhAGkAcgB5AF8AUAByAGUAVwBlAGEAbgBlAGQAQwBhAGwAdgBlAHMAXwBTAG8AdQByAGMAZQBcAG4AIAAgAD0ATABBAE0AQgBEAEEAKABcACIAVgBFAEUAUgBHACAAMgAwADIANgA6ACAAVABhAGIAbABlACAAQQAuADEALgAzAC4ANQBcACIAKQA7AFwAbgBcAG4AUwBvAHUAcgBjAGUARABhAHQAYQBfAEQAYQBpAHIAeQBfAFAAcgBlAFcAZQBhAG4AZQBkAEMAYQBsAHYAZQBzAF8AVgBhAHIAaQBhAHQAaQBvAG4AXABuACAAIAA9AEwAQQBNAEIARABBACgAXAAiAFYAQQBSAEkAQQBUAEkATwBOACAATwBGACAAUwBPAFUAUgBDAEUAOgAgAEEAZABkAGUAZAAgAFwAdQAwADAAMgA3AEEAbgBpAG0AYQBsACAAYwBsAGEAcwBzACAAagBcAHUAMAAwADIANwAgAGMAbwBsAHUAbQBuACAAaABlAGEAZABlAHIAXAAiACkAOwBcAG4AXABuAFMAbwB1AHIAYwBlAEQAYQB0AGEAXwBEAGEAaQByAHkAXwBQAHIAZQBXAGUAYQBuAGUAZABDAGEAbAB2AGUAcwBfAEQAYQB0AGEAXABuACAAIAA9AEwAQQBNAEIARABBACgAXABuACAAIAAgACAATQBBAEsARQBBAFIAUgBBAFkAKAA0ACwAIAA0ACwAXABuACAAIAAgACAAIAAgAEwAQQBNAEIARABBACgAcgAsAGMALABcAG4AIAAgACAAIAAgACAAIAAgAEkATgBEAEUAWAAoAHsAXABuACAAIAAgACAAIAAgACAAIAAgACAAXAAiAEEAbgBpAG0AYQBsACAAYwBsAGEAcwBzACAAagBcACIALAAgAFwAIgBDAEgANAAgAHAAcgBvAGQAdQBjAHQAaQBvAG4AXAAiACwAIABcACIAVgBvAGwAYQB0AGkAbABlACAAcwBvAGwAaQBkAHMAIAAoAFYAUwBqAD0AMwAsADUAKQBcACIALAAgAFwAIgBOAGkAdAByAG8AZwBlAG4AIABFAHgAYwByAGUAdABlAGQAIAAoAE4AUABXAGoAPQAzACwANQApAFwAIgA7AFwAbgAgACAAIAAgACAAIAAgACAAIAAgAFwAIgBcACIALAAgAFwAIgAoAGsAZwAvAGQAYQB5ACkAXAAiACwAIABcACIAKABrAGcALwBkAGEAeQApAFwAIgAsACAAXAAiACgAawBnAC8AZABhAHkAKQBcACIAOwBcAG4AIAAgACAAIAAgACAAIAAgACAAIABcACIASABlAGkAZgBlAHIAcwBcAHUAMAAwADMAYwAxAFwAIgAsACAAMAAuADAAMQA3ADYALAAgADAALgAyADYAOAA1ACwAIAAwAC4AMAAxADMANwA7AFwAbgAgACAAIAAgACAAIAAgACAAIAAgAFwAIgBCAHUAbABsAHMAXAB1ADAAMAAzAGMAMQBcACIALAAgADAALgAwADIAMAA0ACwAIAAwAC4AMwAwADAAMwAsACAAMAAuADAAMAA5AD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NAEMARgBcAG4AVABhAGIAbABlACAAQQAuADEALgAzAC4ANgA6ACAARABhAGkAcgB5ACAAYwBhAHQAdABsAGUAIAAtACAARABhAGkAcgB5ACAAYwBhAHQAdABsAGUAIAAtACAATQBDAEYAcwAgACgAZgByAGEAYwB0AGkAbwBuACkAIAAoAE0AQwBGAGoAbQApAFwAbgAtAC0ALQAtAC0ALQAtAC0ALQAtAC0ALQAtAC0ALQAtAC0ALQAtAC0ALQAtAC0ALQAtAC0ALQAtAC0ALQAtAC0ALQAtAC0ALQAtAC0AXABuACoALwBcAG4AXABuAFMAbwB1AHIAYwBlAEQAYQB0AGEAXwBEAGEAaQByAHkAXwBNAEMARgBfAFQAaQB0AGwAZQBcAG4AIAAgAD0ATABBAE0AQgBEAEEAKABcACIAVABhAGIAbABlACAAQQAuADEALgAzAC4ANgA6ACAARABhAGkAcgB5ACAAYwBhAHQAdABsAGUAIAAtACAARABhAGkAcgB5ACAAYwBhAHQAdABsAGUAIAAtACAATQBDAEYAcwAgACgAZgByAGEAYwB0AGkAbwBuACkAIAAoAE0AQwBGAGoAbQApAFwAIgApADsAXABuAFwAbgBTAG8AdQByAGMAZQBEAGEAdABhAF8ARABhAGkAcgB5AF8ATQBDAEYAXwBWAGEAcgBpAGEAYgBsAGUAXABuACAAIAA9AEwAQQBNAEIARABBACgAXAAiAE0AQwBGAGoAbQBcACIAKQA7AFwAbgBcAG4AUwBvAHUAcgBjAGUARABhAHQAYQBfAEQAYQBpAHIAeQBfAE0AQwBGAF8AVQBuAGkAdABcAG4AIAAgAD0ATABBAE0AQgBEAEEAKABcACIAZgByAGEAYwB0AGkAbwBuAFwAIgApADsAXABuAFwAbgBTAG8AdQByAGMAZQBEAGEAdABhAF8ARABhAGkAcgB5AF8ATQBDAEYAXwBTAG8AdQByAGMAZQBcAG4AIAAgAD0ATABBAE0AQgBEAEEAKABcACIAVgBFAEUAUgBHACAAMgAwADIANgA6ACAAVABhAGIAbABlACAAQQAuADEALgAzAC4ANgBcACIAKQA7AFwAbgBcAG4AUwBvAHUAcgBjAGUARABhAHQAYQBfAEQAYQBpAHIAeQBfAE0AQwBG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NAEMARgBfAEQAYQB0AGEAXABuACAAIAA9AEwAQQBNAEIARABBACgAXABuACAAIAAgACAATQBBAEsARQBBAFIAUgBBAFkAKAA3ACwAIAAxADAALABcAG4AIAAgACAAIAAgACAATABBAE0AQgBEAEEAKAByACwAYwAsAFwAbgAgACAAIAAgACAAIAAgACAASQBOAEQARQBYACgAewBcAG4AIAAgACAAIAAgACAAIAAgACAAIABcACIATQBNAFMAIABtAFwAIgAsACAAXAAiAEEAQwBUAFwAIgAsACAAXAAiAE4AUwBXAFwAIgAsACAAXAAiAE4AVABcACIALAAgAFwAIgBRAEwARABcACIALAAgAFwAIgBTAEEAXAAiACwAIABcACIAVABBAFMAXAAiACwAIABcACIAVgBJAEMAXAAiACwAIABcACIAVwBBAFwAIgAsACAAXAAiAE4ASQBSACAAcgBlAGYAZQByAGUAbgBjAGUAXAAiADsAXABuACAAIAAgACAAIAAgACAAIAAgACAAXAAiAFAAYQBzAHQAdQByAGUAXAAiACwAIAAwAC4AMAAxACwAIAAwAC4AMAAxACwAIAAwAC4AMAAyACwAIAAwAC4AMAAxACwAIAAwAC4AMAAxACwAIAAwAC4AMAAxACwAIAAwAC4AMAAxACwAIAAwAC4AMAAxACwAIABcACIAUABhAHMAdAB1AHIAZQAgAHIAYQBuAGcAZQAgAGEAbgBkACAAcABhAGQAZABvAGMAawBcACIAOwBcAG4AIAAgACAAIAAgACAAIAAgACAAIABcACIAQQBuAGEAZQByAG8AYgBpAGMAIABsAGEAZwBvAG8AbgBcACIALAAgADAALgA3ADIALAAgADAALgA3ADYALAAgADAALgA4ACwAIAAwAC4ANwA4ACwAIAAwAC4ANwA0ACwAIAAwAC4ANgA5ACwAIAAwAC4ANwAzACwAIAAwAC4ANwA2ACwAIABcACIAQQBuAGEAZQByAG8AYgBpAGMAIABsAGEAZwBvAG8AbgBcACIAOwBcAG4AIAAgACAAIAAgACAAIAAgACAAIABcACIARABhAGkAbAB5ACAAcwBwAHIAZQBhAGQAIAAtACAAUwB1AG0AcAAgAGEAbgBkACAAZABpAHMAcABlAHIAcwBhAGwAIABzAHkAcwB0AGUAbQBzAFwAIgAsACAAMAAuADAAMAA1ACwAIAAwAC4AMAAwADUALAAgADAALgAwADEALAAgADAALgAwADAANQAsACAAMAAuADAAMAA1ACwAIAAwAC4AMAAwADEALAAgADAALgAwADAANQAsACAAMAAuADAAMAA1ACwAIABcACIAUwB1AG0AcAAgAGEAbgBkACAAZABpAHMAcABlAHIAcwBhAGwAIABzAHkAcwB0AGUAbQBcACIAOwBcAG4AIAAgACAAIAAgACAAIAAgACAAIABcACIARABhAGkAbAB5ACAAcwBwAHIAZQBhAGQAIAAtACAARAByAGEAaQBuAHMAIAB0AG8AIABwAGEAZABkAG8AYwBrAHMAIAAoAGEAKQBcACIALAAgADAALgAxADUALAAgADAALgAxADgALAAgADAALgA1ADAALAAgADAALgAyADQALAAgADAALgAxADcALAAgADAALgAxADMALAAgADAALgAxADcALAAgADAALgAxADgALAAgAFwAIgBEAHIAYQBpAG4AcwAgAHQAbwAgAHAAYQBkAGQAbwBjAGsAXAAiADsAXABuACAAIAAgACAAIAAgACAAIAAgACAAXAAiAFMAbwBsAGkAZAAgAFMAdABvAHIAYQBnAGUAXAAiACwAIAAwAC4AMAAyACwAIAAwAC4AMAAyACwAIAAwAC4AMAAyACwAIAAwAC4AMAAyACwAIAAwAC4AMAAyACwAIAAwAC4AMAAyACwAIAAwAC4AMAAyACwAIAAwAC4AMAAyACwAIABcACIAUwBvAGwAaQBkACAAcwB0AG8AcgBhAGcAZQBcACIAOw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4AaQB0AHIAbwB1AHMATwB4AGkAZABlAEUARgBzAEEAbgBkAEYAcgBhAGMARwBBAFMATQBcAG4AVABhAGIAbABlACAAQQAuADEALgAzAC4ANwA6ACAARABhAGkAcgB5ACAAYwBhAHQAdABsAGUAIAAtACAATgBpAHQAcgBvAHUAcwAgAG8AeABpAGQAZQAgAEUARgBzACAAYQBuAGQAIABmAHIAYQBjAHQAaQBvAG4AIABvAGYAIABOACAAdgBvAGwAYQB0AGkAbABpAHMAZQBkACAAYgB5ACAATQBNAFMAXABuAC0ALQAtAC0ALQAtAC0ALQAtAC0ALQAtAC0ALQAtAC0ALQAtAC0ALQAtAC0ALQAtAC0ALQAtAC0ALQAtAC0ALQAtAC0ALQAtAC0ALQBcAG4AKgAvAFwAbgBcAG4AUwBvAHUAcgBjAGUARABhAHQAYQBfAEQAYQBpAHIAeQBfAE4AaQB0AHIAbwB1AHMATwB4AGkAZABlAEUARgBzAEEAbgBkAEYAcgBhAGMARwBBAFMATQBfAFQAaQB0AGwAZQBcAG4AIAAgAD0ATABBAE0AQgBEAEEAKABcACIAVABhAGIAbABlACAAQQAuADEALgAzAC4ANwA6ACAARABhAGkAcgB5ACAAYwBhAHQAdABsAGUAIAAtACAATgBpAHQAcgBvAHUAcwAgAG8AeABpAGQAZQAgAEUARgBzACAAYQBuAGQAIABmAHIAYQBjAHQAaQBvAG4AIABvAGYAIABOACAAdgBvAGwAYQB0AGkAbABpAHMAZQBkACAAYgB5ACAATQBNAFMAXAAiACkAOwBcAG4AXABuAFMAbwB1AHIAYwBlAEQAYQB0AGEAXwBEAGEAaQByAHkAXwBOAGkAdAByAG8AdQBzAE8AeABpAGQAZQBFAEYAcwBBAG4AZABGAHIAYQBjAEcAQQBTAE0AXwBWAGEAcgBpAGEAYgBsAGUAXABuACAAIAA9AEwAQQBNAEIARABBACgAXAAiAEUARgBtADsAIABGAHIAYQBjAEcAQQBTAE0AbQBcACIAKQA7AFwAbgBcAG4AUwBvAHUAcgBjAGUARABhAHQAYQBfAEQAYQBpAHIAeQBfAE4AaQB0AHIAbwB1AHMATwB4AGkAZABlAEUARgBzAEEAbgBkAEYAcgBhAGMARwBBAFMATQBfAFUAbgBpAHQAXABuACAAIAA9AEwAQQBNAEIARABBACgAXAAiAGsAZwAgAE4AMgBPAC0ATgAvAGsAZwAgAE4AIABlAHgAYwByAGUAdABlAGQAXAAiACkAOwBcAG4AXABuAFMAbwB1AHIAYwBlAEQAYQB0AGEAXwBEAGEAaQByAHkAXwBOAGkAdAByAG8AdQBzAE8AeABpAGQAZQBFAEYAcwBBAG4AZABGAHIAYQBjAEcAQQBTAE0AXwBTAG8AdQByAGMAZQBcAG4AIAAgAD0ATABBAE0AQgBEAEEAKABcACIAVgBFAEUAUgBHACAAMgAwADIANgA6ACAAVABhAGIAbABlACAAQQAuADEALgAzAC4ANwBcACIAKQA7AFwAbgBcAG4AUwBvAHUAcgBjAGUARABhAHQAYQBfAEQAYQBpAHIAeQBfAE4AaQB0AHIAbwB1AHMATwB4AGkAZABlAEUARgBzAEEAbgBkAEYAcgBhAGMARwBBAFMATQ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gBpAHQAcgBvAHUAcwBPAHgAaQBkAGUARQBGAHMAQQBuAGQARgByAGEAYwBHAEEAUwBNAF8ARABhAHQAYQBcAG4AIAAgAD0ATABBAE0AQgBEAEEAKABcAG4AIAAgACAAIABNAEEASwBFAEEAUgBSAEEAWQAoADYALAAgADQALABcAG4AIAAgACAAIAAgACAATABBAE0AQgBEAEEAKAByACwAYwAsAFwAbgAgACAAIAAgACAAIAAgACAASQBOAEQARQBYACgAewBcAG4AIAAgACAAIAAgACAAIAAgACAAIABcACIATQBNAFMAIABtAFwAIgAsACAAXAAiAEUARgBtACAAKABrAGcAIABOADIATwAtAE4ALwBrAGcAIABOACAAZQB4AGMAcgBlAHQAZQBkACkAXAAiACwAIABcACIARgByAGEAYwBHAEEAUwBNAG0AIAAoAGsAZwAgAE4AMgBPAC0ATgAvAGsAZwAgAE4AIABlAHgAYwByAGUAdABlAGQAKQBcACIALAAgAFwAIgBOAEkAUgAgAHIAZQBmAGUAcgBlAG4AYwBlAFwAIgA7AFwAbgAgACAAIAAgACAAIAAgACAAIAAgAFwAIgBNAD0AMQA0ACAAUABhAHMAdAB1AHIAZQBcACIALAAgADAALAAgADAALAAgAFwAIgBQAGEAcwB0AHUAcgBlACAAcgBhAG4AZwBlACAAYQBuAGQAIABwAGEAZABkAG8AYwBrAFwAIgA7AFwAbgAgACAAIAAgACAAIAAgACAAIAAgAFwAIgBNAD0AMQAgAEEAbgBhAGUAcgBvAGIAaQBjACAAbABhAGcAbwBvAG4AXAAiACwAIAAwACwAIAAwAC4AMwA1ACwAIABcACIAQQBuAGEAZQByAG8AYgBpAGMAIABsAGEAZwBvAG8AbgBcACIAOwBcAG4AIAAgACAAIAAgACAAIAAgACAAIABcACIATQA9ADIAIABEAGEAaQBsAHkAIABTAHAAcgBlAGEAZAAgAC0AIABTAHUAbQBwACAAYQBuAGQAIABEAGkAcwBwAGUAcgBzAGEAbABcACIALAAgADAALAAgADAALgAwADcALAAgAFwAIgBTAHUAbQBwACAAYQBuAGQAIABkAGkAcwBwAGUAcgBzAGEAbAAgAHMAeQBzAHQAZQBtAFwAIgA7AFwAbgAgACAAIAAgACAAIAAgACAAIAAgAFwAIgBNAD0AMwAgAEQAYQBpAGwAeQAgAFMAcAByAGUAYQBkACAALQAgAEQAcgBhAGkAbgBzACAAdABvACAAUABhAGQAZABvAGMAawBcACIALAAgADAALAAgADAALgAyACwAIABcACIARAByAGEAaQBuAHMAIAB0AG8AIABwAGEAZABkAG8AYwBrAFwAIgA7AFwAbgAgACAAIAAgACAAIAAgACAAIAAgAFwAIgBNAD0AMwAgAFMAbwBsAGkAZAAgAFMAdABvAHIAYQBnAGUAXAAiACwAIAAwAC4AMAAwADUALAAgADAALgAzACwAIABcACIAUwBvAGwAaQBk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QBlAHQAaABhAG4AZQBQAHIAbwBkAHUAYwB0AGkAbwBuAFAAcgBlAFcAZQBhAG4AZQBkAEMAYQBsAHYAZQBzAFwAb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G4ALQAtAC0ALQAtAC0ALQAtAC0ALQAtAC0ALQAtAC0ALQAtAC0ALQAtAC0ALQAtAC0ALQAtAC0ALQAtAC0ALQAtAC0ALQAtAC0ALQAtAFwAbgAqAC8AXABuAFwAbgBTAG8AdQByAGMAZQBEAGEAdABhAF8ARABhAGkAcgB5AF8ATQBlAHQAaABhAG4AZQBQAHIAbwBkAHUAYwB0AGkAbwBuAFAAcgBlAFcAZQBhAG4AZQBkAEMAYQBsAHYAZQBzAF8AVABpAHQAbABlAFwAbgAgACAAPQBMAEEATQBCAEQAQQAoAFwAI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CIAKQA7AFwAbgBcAG4AUwBvAHUAcgBjAGUARABhAHQAYQBfAEQAYQBpAHIAeQBfAE0AZQB0AGgAYQBuAGUAUAByAG8AZAB1AGMAdABpAG8AbgBQAHIAZQBXAGUAYQBuAGUAZABDAGEAbAB2AGUAcwBfAFYAYQByAGkAYQBiAGwAZQBcAG4AIAAgAD0ATABBAE0AQgBEAEEAKABcACIATQBQAFcARQBOAFQARQBSAEkAQwAsAGoAPQAzACwANQBcACIAKQA7AFwAbgBcAG4AUwBvAHUAcgBjAGUARABhAHQAYQBfAEQAYQBpAHIAeQBfAE0AZQB0AGgAYQBuAGUAUAByAG8AZAB1AGMAdABpAG8AbgBQAHIAZQBXAGUAYQBuAGUAZABDAGEAbAB2AGUAcwBfAFUAbgBpAHQAXABuACAAIAA9AEwAQQBNAEIARABBACgAXAAiAGsAZwAgAEMASAA0AC8AaABlAGEAZAAvAGQAYQB5AFwAIgApADsAXABuAFwAbgBTAG8AdQByAGMAZQBEAGEAdABhAF8ARABhAGkAcgB5AF8ATQBlAHQAaABhAG4AZQBQAHIAbwBkAHUAYwB0AGkAbwBuAFAAcgBlAFcAZQBhAG4AZQBkAEMAYQBsAHYAZQBzAF8AUwBvAHUAcgBjAGUAXABuACAAIAA9AEwAQQBNAEIARABBACgAXAAiAFYARQBFAFIARwAgADIAMAAyADYAOgAgAFQAYQBiAGwAZQAgAEEALgAxAC4AMwAuADgAXAAiACkAOwBcAG4AXABuAFMAbwB1AHIAYwBlAEQAYQB0AGEAXwBEAGEAaQByAHkAXwBNAGUAdABoAGEAbgBlAFAAcgBvAGQAdQBjAHQAaQBvAG4AUAByAGUAVwBlAGEAbgBlAGQAQwBhAGwAdgBlAHMAXwBWAGEAcgBpAGEAdABpAG8AbgBcAG4AIAAgAD0ATABBAE0AQgBEAEEAKABcACIAXAAiACkAOwBcAG4AXABuAFMAbwB1AHIAYwBlAEQAYQB0AGEAXwBEAGEAaQByAHkAXwBNAGUAdABoAGEAbgBlAFAAcgBvAGQAdQBjAHQAaQBvAG4AUAByAGUAVwBlAGEAbgBlAGQAQwBhAGwAdgBlAHM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QAFcARQBOAFQARQBSAEkAQwBcACIAOwBcAG4AIAAgACAAIAAgACAAIAAgACAAIABcACIASABlAGkAZgBlAHIAcwAgAFwAdQAwADAAMwBjACAAMQAgAHkAZQBhAHIAXAAiACwAIAAwAC4AMAAxADcANgA7AFwAbgAgACAAIAAgACAAIAAgACAAIAAgAFwAIgBCAHUAbABsAHMAIABcAHUAMAAwADMAYwAgADEAIAB5AGUAYQByAFwAIgAsACAAMAAuADAAMgAwADQ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JAG4AYwByAGUAYQBzAGUAZABNAGUAdABhAGIAbwBsAGkAYwBSAGEAdABlAE0AaQBsAGsAXABuAFQAYQBiAGwAZQAgAEEALgAxAC4AMwAuADkAOgAgAEQAYQBpAHIAeQAgAGMAYQB0AHQAbABlACAALQAgAEkAbgBjAHIAZQBhAHMAZQBkACAAbQBlAHQAYQBiAG8AbABpAGMAIAByAGEAdABlACAAdwBoAGUAbgAgAHAAcgBvAGQAdQBjAGkAbgBnACAAbQBpAGwAawAgACgAawBnACAARABNAC8AaABlAGEAZAAvAGQAYQB5ACkAIAAoAE0AUgBqACkAXABuAC0ALQAtAC0ALQAtAC0ALQAtAC0ALQAtAC0ALQAtAC0ALQAtAC0ALQAtAC0ALQAtAC0ALQAtAC0ALQAtAC0ALQAtAC0ALQAtAC0ALQBcAG4AKgAvAFwAbgBcAG4AUwBvAHUAcgBjAGUARABhAHQAYQBfAEQAYQBpAHIAeQBfAEkAbgBjAHIAZQBhAHMAZQBkAE0AZQB0AGEAYgBvAGwAaQBjAFIAYQB0AGUATQBpAGwAawBfAFQAaQB0AGwAZQBcAG4AIAAgAD0ATABBAE0AQgBEAEEAKABcACIAVABhAGIAbABlACAAQQAuADEALgAzAC4AOQA6ACAARABhAGkAcgB5ACAAYwBhAHQAdABsAGUAIAAtACAASQBuAGMAcgBlAGEAcwBlAGQAIABtAGUAdABhAGIAbwBsAGkAYwAgAHIAYQB0AGUAIAB3AGgAZQBuACAAcAByAG8AZAB1AGMAaQBuAGcAIABtAGkAbABrACAAKABrAGcAIABEAE0ALwBoAGUAYQBkAC8AZABhAHkAKQAgACgATQBSAGoAKQBcACIAKQA7AFwAbgBcAG4AUwBvAHUAcgBjAGUARABhAHQAYQBfAEQAYQBpAHIAeQBfAEkAbgBjAHIAZQBhAHMAZQBkAE0AZQB0AGEAYgBvAGwAaQBjAFIAYQB0AGUATQBpAGwAawBfAFYAYQByAGkAYQBiAGwAZQBcAG4AIAAgAD0ATABBAE0AQgBEAEEAKABcACIATQBSAGoAXAAiACkAOwBcAG4AXABuAFMAbwB1AHIAYwBlAEQAYQB0AGEAXwBEAGEAaQByAHkAXwBJAG4AYwByAGUAYQBzAGUAZABNAGUAdABhAGIAbwBsAGkAYwBSAGEAdABlAE0AaQBsAGsAXwBVAG4AaQB0AFwAbgAgACAAPQBMAEEATQBCAEQAQQAoAFwAIgBrAGcAIABEAE0ALwBoAGUAYQBkAC8AZABhAHkAXAAiACkAOwBcAG4AXABuAFMAbwB1AHIAYwBlAEQAYQB0AGEAXwBEAGEAaQByAHkAXwBJAG4AYwByAGUAYQBzAGUAZABNAGUAdABhAGIAbwBsAGkAYwBSAGEAdABlAE0AaQBsAGsAXwBTAG8AdQByAGMAZQBcAG4AIAAgAD0ATABBAE0AQgBEAEEAKABcACIAVgBFAEUAUgBHACAAMgAwADIANgA6ACAAVABhAGIAbABlACAAQQAuADEALgAzAC4AOQBcACIAKQA7AFwAbgBcAG4AUwBvAHUAcgBjAGUARABhAHQAYQBfAEQAYQBpAHIAeQBfAEkAbgBjAHIAZQBhAHMAZQBkAE0AZQB0AGEAYgBvAGwAaQBjAFIAYQB0AGUATQBpAGwAawBfAFYAYQByAGkAYQB0AGkAbwBuAFwAbgAgACAAPQBMAEEATQBCAEQAQQAoAFwAIgBcACIAKQA7AFwAbgBcAG4AUwBvAHUAcgBjAGUARABhAHQAYQBfAEQAYQBpAHIAeQBfAEkAbgBjAHIAZQBhAHMAZQBkAE0AZQB0AGEAYgBvAGwAaQBjAFIAYQB0AGUATQBpAGwAa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IAagBcACIAOwBcAG4AIAAgACAAIAAgACAAIAAgACAAIABcACIATQBpAGwAawBpAG4AZwAgAGMAbwB3AHMALAAgAGEAbgBkACAAaABvAHUAcwBlACAAYwBvAHcAcwBcACIALAAgADEALgAxADsAXABuACAAIAAgACAAIAAgACAAIAAgACAAXAAiAEEAbABsACAAbwB0AGgAZQByACAAYwBhAHQAdABsAGUAIABjAGwAYQBzAHMAZQBzAFwAIgAsACAAMQAu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GAHIAYQBjAHQAaQBvAG4AVgBvAGwAYQB0AGkAbABlAFMAbwBsAGkAZABzAFYAbwBpAGQAZQBkAE0ATQBTAFwAb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G4ALQAtAC0ALQAtAC0ALQAtAC0ALQAtAC0ALQAtAC0ALQAtAC0ALQAtAC0ALQAtAC0ALQAtAC0ALQAtAC0ALQAtAC0ALQAtAC0ALQAtAFwAbgAqAC8AXABuAFwAbgBTAG8AdQByAGMAZQBEAGEAdABhAF8ARABhAGkAcgB5AF8ARgByAGEAYwB0AGkAbwBuAFYAbwBsAGEAdABpAGwAZQBTAG8AbABpAGQAcwBWAG8AaQBkAGUAZABNAE0AUwBfAFQAaQB0AGwAZQBcAG4AIAAgAD0ATABBAE0AQgBEAEEAKABcACI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AiACkAOwBcAG4AXABuAFMAbwB1AHIAYwBlAEQAYQB0AGEAXwBEAGEAaQByAHkAXwBGAHIAYQBjAHQAaQBvAG4AVgBvAGwAYQB0AGkAbABlAFMAbwBsAGkAZABzAFYAbwBpAGQAZQBkAE0ATQBTAF8AVgBhAHIAaQBhAGIAbABlAFwAbgAgACAAPQBMAEEATQBCAEQAQQAoAFwAIgBNAE0AUwBqAG0AXAAiACkAOwBcAG4AXABuAFMAbwB1AHIAYwBlAEQAYQB0AGEAXwBEAGEAaQByAHkAXwBGAHIAYQBjAHQAaQBvAG4AVgBvAGwAYQB0AGkAbABlAFMAbwBsAGkAZABzAFYAbwBpAGQAZQBkAE0ATQBTAF8AVQBuAGkAdABcAG4AIAAgAD0ATABBAE0AQgBEAEEAKABcACIAZgByAGEAYwB0AGkAbwBuAFwAIgApADsAXABuAFwAbgBTAG8AdQByAGMAZQBEAGEAdABhAF8ARABhAGkAcgB5AF8ARgByAGEAYwB0AGkAbwBuAFYAbwBsAGEAdABpAGwAZQBTAG8AbABpAGQAcwBWAG8AaQBkAGUAZABNAE0AUwBfAFMAbwB1AHIAYwBlAFwAbgAgACAAPQBMAEEATQBCAEQAQQAoAFwAIgBWAEUARQBSAEcAIAAyADAAMgA2ADoAIABUAGEAYgBsAGUAIABBAC4AMQAuADMALgAxADAAXAAiACkAOwBcAG4AXABuAFMAbwB1AHIAYwBlAEQAYQB0AGEAXwBEAGEAaQByAHkAXwBGAHIAYQBjAHQAaQBvAG4AVgBvAGwAYQB0AGkAbABlAFMAbwBsAGkAZABzAFYAbwBpAGQAZQBkAE0ATQBTAF8AVgBhAHIAaQBhAHQAaQBvAG4AXABuACAAIAA9AEwAQQBNAEIARABBACgAXAAiAFYAQQBSAEkAQQBUAEkATwBOACAATwBGACAAUwBPAFUAUgBDAEUAOgAgAEUAeABjAGwAdQBkAGUAZAAgAFwAdQAwADAAMgA3AEEAbgBuAHUAYQBsACAAZgByAGEAYwB0AGkAbwBuACAAbwBmACAAdABpAG0AZQAgAHMAcABlAG4AdAAgAHAAZQByACAAYQByAGUAYQBcAHUAMAAwADIAN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FwAdQAwADAAMwBjADEAMAAgAGgAcgAvAGQAYQB5ACAAZgBvAHIAIABcAHUAMAAwADMAYw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FAEYATgBpAHQAcgBvAHUAcwBPAHgAaQBkAGUAUABlAHIATQBNAFMAXwBEAGEAdABhAFwAbgAgACAAPQBMAEEATQBCAEQAQQAoAFwAbgAgACAAIAAgAE0AQQBLAEUAQQBSAFIAQQBZACgANgAsACAAMwAsAFwAbgAgACAAIAAgACAAIABMAEEATQBCAEQAQQAoAHIALABjACwAXABuACAAIAAgACAAIAAgACAAIABJAE4ARABFAFgAKAB7AFwAbgAgACAAIAAgACAAIAAgACAAIAAgAFwAIgBNAE0AUwAgAG0AXAAiACwAIABcACIARQBGAG0AXAAiACwAIABcACIATgBJAFIAIAByAGUAZgBlAHIAZQBuAGMAZQBcACIAOwBcAG4AIAAgACAAIAAgACAAIAAgACAAIABcACIAbQA9ADEANAAgAFAAYQBzAHQAdQByAGUAXAAiACwAIAAwACwAIABcACIAUABhAHMAdAB1AHIAZQAgAHIAYQBuAGcAZQAgAGEAbgBkACAAcABhAGQAZABvAGMAawBcACIAOwBcAG4AIAAgACAAIAAgACAAIAAgACAAIABcACIAbQA9ADEAIABBAG4AZQByAG8AYgBpAGMAIABMAGEAZwBvAG8AbgBcACIALAAgADAALAAgAFwAIgBBAG4AYQBlAHIAbwBiAGkAYwAgAGwAYQBnAG8AbwBuAFwAIgA7AFwAbgAgACAAIAAgACAAIAAgACAAIAAgAFwAIgBtAD0AMgAgAEQAYQBpAGwAeQAgAFMAcAByAGUAYQBkADoAIABTAHUAbQBwACAAYQBuAGQAIABkAGkAcwBwAGUAcgBzAGEAbABcACIALAAgADAALAAgAFwAIgBTAHUAbQBwACAAYQBuAGQAIABkAGkAcwBwAGUAcgBzAGEAbAAgAHMAeQBzAHQAZQBtAFwAIgA7AFwAbgAgACAAIAAgACAAIAAgACAAIAAgAFwAIgBtAD0AMwAgAEQAYQBpAGwAeQAgAFMAcAByAGUAYQBkADoAIABEAHIAYQBpAG4AcwAgAHQAbwAgAHAAYQBkAGQAbwBjAGsAcwBcACIALAAgADAALAAgAFwAIgBEAHIAYQBpAG4AcwAgAHQAbwAgAHAAYQBkAGQAbwBjAGsAXAAiADsAXABuACAAIAAgACAAIAAgACAAIAAgACAAXAAiAG0APQA0ACAAUwBvAGwAaQBkACAAUwB0AG8AcgBhAGcAZQBcACIALAAgADAALgAwADAANQAsACAAXAAiAFMAbwBsAGkAZAAgAHMAdABvAHIAYQBnAGU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EAGEAaQByAHkAXwBEAHUAcgBhAHQAaQBvAG4ATwBmAFMAdABhAHkAXABuAEQAdQByAGEAdABpAG8AbgAgAG8AZgAgAHMAdABhAHkAIABmAG8AcgAgAGUAYQBjAGgAIABkAGEAaQByAHkAIABjAGEAdAB0AGwAZQAgAGkAbgBwAHUAdAAgAGMAbABhAHMAcwBcAG4ALQAtAC0ALQAtAC0ALQAtAC0ALQAtAC0ALQAtAC0ALQAtAC0ALQAtAC0ALQAtAC0ALQAtAC0ALQAtAC0ALQAtAC0ALQAtAC0ALQAtAFwAbgAqAC8AXABuAFwAbgBTAG8AdQByAGMAZQBEAGEAdABhAF8ARABhAGkAcgB5AF8ARAB1AHIAYQB0AGkAbwBuAE8AZgBTAHQAYQB5AF8AVABpAHQAbABlAFwAbgAgACAAPQBMAEEATQBCAEQAQQAoAFwAIgBEAHUAcgBhAHQAaQBvAG4AIABvAGYAIABzAHQAYQB5ACAAZgBvAHIAIABlAGEAYwBoACAAZABhAGkAcgB5ACAAYwBhAHQAdABsAGUAIABpAG4AcAB1AHQAIABjAGwAYQBzAHMAXAAiACkAOwBcAG4AXABuAFMAbwB1AHIAYwBlAEQAYQB0AGEAXwBEAGEAaQByAHkAXwBEAHUAcgBhAHQAaQBvAG4ATwBmAFMAdABhAHkAXwBWAGEAcgBpAGEAYgBsAGUAXABuACAAIAA9AEwAQQBNAEIARABBACgAXAAiAEQAXAAiACkAOwBcAG4AXABuAFMAbwB1AHIAYwBlAEQAYQB0AGEAXwBEAGEAaQByAHkAXwBEAHUAcgBhAHQAaQBvAG4ATwBmAFMAdABhAHkAXwBVAG4AaQB0AFwAbgAgACAAPQBMAEEATQBCAEQAQQAoAFwAIgBkAGEAeQBzAFwAIgApADsAXABuAFwAbgBTAG8AdQByAGMAZQBEAGEAdABhAF8ARABhAGkAcgB5AF8ARAB1AHIAYQB0AGkAbwBuAE8AZgBTAHQAYQB5AF8AUwBvAHUAcgBjAGUAXABuACAAIAA9AEwAQQBNAEIARABBACgAXAAiAFYARQBFAFIARwAgADIAMAAyADYAOgAgADQALgAzAC4AMgAuADIAXAB0AEQAQQBUAEEAIAAoAE0ARQBUAEgATwBEACAAMQAgAEEATgBEACAAMgAgAE8AUABUAEkATwBOAFMAKQBcACIAKQA7AFwAbgBcAG4AUwBvAHUAcgBjAGUARABhAHQAYQBfAEQAYQBpAHIAeQBfAEQAdQByAGEAdABpAG8AbgBPAGYAUwB0AGEAeQBfAFYAYQByAGkAYQB0AGkAbwBuAFwAbgAgACAAPQBMAEEATQBCAEQAQQAoAFwAIgBWAEEAUgBJAEEAVABJAE8ATgAgAE8ARgAgAFMATwBVAFIAQwBFADoAIABDAG8AbgB2AGUAcgB0AGUAZAAgAGYAcgBlAGUAIAB0AGUAeAB0ACAAaQBuACAAZABvAGMAdQBtAGUAbgB0ACAAdABvACAAdABhAGIAbABlACwAIABtAGEAdABjAGgAaQBuAGcAIABsAGkAdgBlAHMAdABvAGMAawAgAGMAbABhAHMAcwAgAG4AYQBtAGUAcwAuAFwAIgApADsAXABuAFwAbgBTAG8AdQByAGMAZQBEAGEAdABhAF8ARABhAGkAcgB5AF8ARAB1AHIAYQB0AGkAbwBuAE8AZgBTAHQAYQB5AF8ARABhAHQAYQBcAG4AIAAgAD0ATABBAE0AQgBEAEEAKABcAG4AIAAgACAAIABNAEEASwBFAEEAUgBSAEEAWQAoADYALAAgADMALABcAG4AIAAgACAAIAAgACAATABBAE0AQgBEAEEAKAByACwAYwAsAFwAbgAgACAAIAAgACAAIAAgACAASQBOAEQARQBYACgAewBcAG4AIAAgACAAIAAgACAAIAAgACAAIABcACIAQQBuAGkAbQBhAGwAIABjAGwAYQBzAHMAIABqAFwAIgAsACAAXAAiAEQAdQByAGEAdABpAG8AbgAgACgAdwBlAGEAbgBlAGQAKQBcACIALAAgAFwAIgBEAHUAcgBhAHQAaQBvAG4AIAAoAHAAcgBlAC0AdwBlAGEAbgBlAGQAKQBcACIAOwBcAG4AIAAgACAAIAAgACAAIAAgACAAIABcACIATQBpAGwAawBpAG4AZwAgAGMAbwB3AHMAXAAiACwAIAAzADYANQAsACAAMAA7AFwAbgAgACAAIAAgACAAIAAgACAAIAAgAFwAIgBIAGUAaQBmAGUAcgBzACAAXAB1ADAAMAAzAGUAIAAxACAAeQBlAGEAcgBcACIALAAgADMANgA1ACwAIAAwADsAXABuACAAIAAgACAAIAAgACAAIAAgACAAXAAiAEgAZQBpAGYAZQByAHMAIABcAHUAMAAwADMAYwAgADEAIAB5AGUAYQByAFwAIgAsACAAMgA4ADEALAAgADgANAA7AFwAbgAgACAAIAAgACAAIAAgACAAIAAgAFwAIgBCAHUAbABsAHMAIABcAHUAMAAwADMAZQAgADEAIAB5AGUAYQByAFwAIgAsACAAMwA2ADUALAAgADAAOwBcAG4AIAAgACAAIAAgACAAIAAgACAAIABcACIAQgB1AGwAbABzACAAXAB1ADAAMAAzAGM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GAHIAYQBjAHQAaQBvAG4AIABvAGYAIABOACAAdABoAGEAdAAgAGkAcwAgAGwAbwBzAHQAIAB0AGgAcgBvAHUAZwBoACAAbABlAGEAYwBoAGkAbgBnACAAYQBuAGQAIAByAHUAbgBvAGYAZgAgACgAZABpAG0AZQBuAHMAaQBvAG4AbABlAHMAcw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8AVABpAHQAbABlAFwAbgAgACAAPQBMAEEATQBCAEQAQQAoAFwAIgBGAHIAYQBjAHQAaQBvAG4AIABvAGYAIABOACAAdABoAGEAdAAgAGkAcwAgAGwAbwBzAHQAIAB0AGgAcgBvAHUAZwBoACAAbABlAGEAYwBoAGkAbgBnACAAYQBuAGQAIAByAHUAbgBvAGYAZgBcACIAKQA7AFwAbgBcAG4AUwBvAHUAcgBjAGUARABhAHQAYQBfAEQAYQBpAHIAeQBfAEYAcgBhAGMAdABpAG8AbgBPAGYATgBpAHQAcgBvAGcAZQBuAEwAbwBzAHQAVABoAHIAbwB1AGcAaABMAGUAYQBjAGgAaQBuAGcAQQBuAGQAUgB1AG4AbwBmAGY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8AVQBuAGkAdABcAG4AIAAgAD0ATABBAE0AQgBEAEEAKABcACIARABpAG0AZQBuAHMAaQBvAG4AbABlAHMAcw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wADI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AiAH0ALAB7ACIAcABhAHQAaAAiADoAIgAvAHAAcgBvAGoAZQBjAHQAcwAvAE0ATQBTAF8ARABhAGkAcgB5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QAgAE0AZQB0AGgAbwBkACAAMQAgAC0AIABNAGEAbgB1AHIAZQAgAEEAdABtAG8AcwBwAGgAZQByAGkAYwAgAEQAZQBwAG8AcwBpAHQAaQBvAG4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NAE0AUwAsAGEAZAB9AD0ATQBOAF8AewBBAFQATQBPAFMAfQBcAFwAdABpAG0AZQBzACAARQBGAF8AewBOADIATwB9AFwAXAB0AGkAbQBlAHMAIABDAF8AewBOADIATwB9AFwAXAB0AGkAbQBlAHMAIAAxADAAXgB7AC0AMwB9AFwAbgBNAE4AXwBBAFQATQBPAFMAIAA9ACAAbQBhAHMAcwAgAG8AZgAgAE4AIAB2AG8AbABhAHQAaQBsAGkAcwBlAGQAIABmAHIAbwBtACAATQBNAFM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1AF8AXwAxAF8AQQBuAG4AdQBhAGwAQQB0AG0AbwBzAHAAaABlAHIAaQBjAEQAZQBwAG8AcwBpAHQAaQBvAG4ARQBtAGkAcwBzAGkAbwBuAHMARgByAG8AbQBNAE0AUwBcAG4AIAAgAD0ATABBAE0AQgBEAEEAKABcAG4AIAAgACAAIABNAE4AXwBBAFQATQBPAFMALAAgAEUARgBfAE4AMgBPACwAIABDAF8ATgAyAE8ALABcAG4AIAAgACAAIABNAE4AXwBBAFQATQBPAFMAIAAqACAARQBGAF8ATgAyAE8AIAAqACAAQwBfAE4AMgBPACAAKgAgADEAMAAgAF4AIAAtADMAXABuACAAIAApADsAXABuAFwAbgBWAEUARQBSAEcAXwA0AF8AMw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zAF8AMQBfADUAXwBfADEAXwBBAG4AbgB1AGEAbABBAHQAbQBvAHMAcABoAGUAcgBpAGMARABlAHAAbwBzAGkAdABpAG8AbgBFAG0AaQBzAHMAaQBvAG4AcwBGAHIAbwBtAE0ATQBTAF8AVgBhAHIAaQBhAGIAbABlAFwAbgAgACAAPQBMAEEATQBCAEQAQQAoAFwAIgBFAF8ATgAyAE8ATQBNAFMAYQBkAFwAIgApADsAXABuAFwAbgBWAEUARQBSAEcAXwA0AF8AMwBfADEAXwA1AF8AXwAxAF8AQQBuAG4AdQBhAGwAQQB0AG0AbwBzAHAAaABlAHIAaQBjAEQAZQBwAG8AcwBpAHQAaQBvAG4ARQBtAGkAcwBzAGkAbwBuAHMARgByAG8AbQBNAE0AUwBfAFUAbgBpAHQAXABuACAAIAA9AEwAQQBNAEIARABBACgAXAAiAHQAIABOADIATwBcACIAKQA7AFwAbgBcAG4AVgBFAEUAUgBHAF8ANABfADMAXwAxAF8ANQBfAF8AMQBfAEEAbgBuAHUAYQBsAEEAdABtAG8AcwBwAGgAZQByAGkAYwBEAGUAcABvAHMAaQB0AGkAbwBuAEUAbQBpAHMAcwBpAG8AbgBzAEYAcgBvAG0ATQBNAFMAXwBTAG8AdQByAGMAZQBcAG4AIAAgAD0ATABBAE0AQgBEAEEAKABcACIAVgBFAEUAUgBHACAAMgAwADIANgA6ACAANAAuADMALgAxAC4ANQAsACAARQBxAHUAYQB0AGkAbwBuACAAKAAxACkAXAAiACkAOwBcAG4AXABuAFYARQBFAFIARwBfADQAXwAzAF8AMQBfADUAXwBfADEAXwBBAG4AbgB1AGEAbABBAHQAbQBvAHMAcABoAGUAcgBpAGMARABlAHAAbwBzAGkAdABpAG8AbgBFAG0AaQBzAHMAaQBvAG4AcwBGAHIAbwBtAE0ATQBTAF8ATgBJAFIAUgBlAGYAZQByAGUAbgBjAGUAXABuACAAIAA9AEwAQQBNAEIARABBACgAXAAiAFwAIgApADsAXABuAFwAbgBWAEUARQBSAEcAXwA0AF8AMwBfADEAXwA1AF8AXwAxAF8AQQBuAG4AdQBhAGwAQQB0AG0AbwBzAHAAaABlAHIAaQBjAEQAZQBwAG8AcwBpAHQAaQBvAG4ARQBtAGkAcwBzAGkAbwBuAHMARgByAG8AbQBNAE0AUwBfAEwAYQB0AGUAeABFAHEAdQBhAHQAaQBvAG4AXABuACAAIAA9AEwAQQBNAEIARABBACgAXAAiAEUAXwB7AE4AMgBPACwATQBNAFMALABhAGQAfQA9AE0ATgBfAHsAQQBUAE0ATwBTAH0AXABcAHQAaQBtAGUAcwAgAEUARgBfAHsATgAyAE8AfQBcAFwAdABpAG0AZQBzACAAQwBfAHsATgAyAE8AfQBcAFwAdABpAG0AZQBzACAAMQAwAF4AewAtADMAfQBcACIAKQA7AFwAbgBcAG4AVgBFAEUAUgBHAF8ANABfADMAXwAxAF8ANQBfAF8AMQBfAEEAbgBuAHUAYQBsAEEAdABtAG8AcwBwAGgAZQByAGkAYwBEAGUAcABvAHMAaQB0AGkAbwBuAEUAbQBpAHMAcwBpAG8AbgBzAEYAcgBvAG0ATQBNAFMAXwBBAHIAZwB1AG0AZQBuAHQAcwBcAG4AIAAgAD0ATABBAE0AQgBEAEEAKABcAG4AIAAgACAAIABNAEEASwBFAEEAUgBSAEEAWQAoADYALAAgADIALABcAG4AIAAgACAAIAAgACAATABBAE0AQgBEAEEAKAByACwAYwAsAFwAbgAgACAAIAAgACAAIAAgACAASQBOAEQARQBYACgAewBcAG4AIAAgACAAIAAgACAAIAAgACAAIABcACIATQBOAF8AQQBUAE0ATwBTAFwAIgAsACAAXAAiAG0AYQBzAHMAIABvAGYAIABOACAAdgBvAGwAYQB0AGkAbABpAHMAZQBkACAAZgByAG8AbQAgAE0ATQBTACAAKABrAGcAIABOACkAXAAiADsAXABuACAAIAAgACAAIAAgACAAIAAgACAAXAAiAEUARgBfAE4AMgBPAFwAIgAsACAAXAAiAG4AaQB0AHIAbwB1AHMAIABvAHgAaQBkAGUAIABlAG0AaQBzAHMAaQBvAG4AIABmAGEAYwB0AG8AcgAgAGYAbwByACAAYQB0AG0AbwBzAHAAaABlAHIAaQBjACAAZABlAHAAbwBzAGkAdABpAG8AbgAgACgAawBnACAATgAyAE8ALQBOAC8AawBnACAATgApAFwAIgA7AFwAbgAgACAAIAAgACAAIAAgACAAIAAgAFwAIgBDAF8ATgAyAE8AXAAiACwAIABcACIAZgBhAGMAdABvAHIAIAB0AG8AIABjAG8AbgB2AGUAcgB0ACAAZQBsAGUAbQBlAG4AdABhAGwAIABtAGEAcwBzACAAbwBmACAATgAyAE8AIAB0AG8AIABtAG8AbABlAGMAdQBsAGEAcgAgAG0AYQBzAHMAXAAiADsAXABuACAAIAAgACAAIAAgACAAIAAgACAAXAAiAGoAXAAiACwAIABcACIAcAByAG8AZAB1AGMAdABpAG8AbgAgAHMAeQBzAHQAZQBtAFwAIgA7AFwAbgAgACAAIAAgACAAIAAgACAAIAAgAFwAIgBpAHIAXAAiACwAIABcACIAaQByAHIAaQBnAGEAdABpAG8AbgAgAG0AZQB0AGgAbwBkAFwAIgA7AFwAbgAgACAAIAAgACAAIAAgACAAIAAgAFwAIgByAFwAIgAsACAAXAAiAHIAYQBpAG4AZgBhAGwAbAAgAHIAZQBnAGkAbwBuAFwAIgBcAG4AIAAgACAAIAAgACAAIAAgAH0ALAAgAHIALAAgAGMAKQBcAG4AIAAgACAAIAAgACAAKQBcAG4AIAAgACAAIAApAFwAbgAgACAAKQA7AFwAbgBcAG4ALwAqAFwAbgAtAC0ALQAtAC0ALQAtAC0ALQAtAC0ALQAtAC0ALQAtAC0ALQAtAC0ALQAtAC0ALQAtAC0ALQAtAC0ALQAtAC0ALQAtAC0ALQAtAC0AXABuAFYARQBFAFIARwBfADQAXwAzAF8AMQBfADUAXwBfADIAXwBUAG8AdABhAGwATgBpAHQAcgBvAGcAZQBuAFYAbwBsAGEAdABpAGwAaQBzAGUAZABGAHIAbwBtAE0ATQBTAFwAbgBUAG8AdABhAGwAIABuAGkAdAByAG8AZwBlAG4AIAB2AG8AbABhAHQAaQBsAGkAcwBlAGQAIABmAHIAbwBtACAATQBNAFMAXABuAE0ATgBfAEEAVABNAE8AUwBcAG4AawBnACAATgBcAG4ATQBOAF8AewBBAFQATQBPAFMAfQA9AE0ATgBfAHsAagBtAH0AXABcAHQAaQBtAGUAcwAgAEYAcgBhAGMARwBBAFMATQBfAG0AXABuAE0ATgBfAGoAbQAgAD0AIAB0AG8AdABhAGwAIABuAGkAdAByAG8AZwBlAG4AIABpAG4AIABlAGEAYwBoACAATQBNAFMAIABmAG8AcgAgAGQAYQBpAHIAeQAgAGMAYQB0AHQAbABlACAAYwBsAGEAcwBzAGUAcwAgACgAawBnACAATgApAFwAbgBGAHIAYQBjAEcAQQBTAE0AXwBtACAAPQAgAGYAcgBhAGMAdABpAG8AbgAgAG8AZgAgAE4AIAB2AG8AbABhAHQAaQBsAGkAcwBlAGQAIABmAHIAbwBtACAATQBNAFMAIAAoAGYAcgBhAGMAdABpAG8AbgApAFwAbgAtAC0ALQAtAC0ALQAtAC0ALQAtAC0ALQAtAC0ALQAtAC0ALQAtAC0ALQAtAC0ALQAtAC0ALQAtAC0ALQAtAC0ALQAtAC0ALQAtAC0AXABuACoALwBcAG4AXABuAFYARQBFAFIARwBfADQAXwAzAF8AMQBfADUAXwBfADIAXwBUAG8AdABhAGwATgBpAHQAcgBvAGcAZQBuAFYAbwBsAGEAdABpAGwAaQBzAGUAZABGAHIAbwBtAE0ATQBTAFwAbgAgACAAPQBMAEEATQBCAEQAQQAoAFwAbgAgACAAIAAgAE0ATgBfAGoAbQAsACAARgByAGEAYwBHAEEAUwBNAF8AbQAsAFwAbgAgACAAIAAgAE0ATgBfAGoAbQAgACoAIABGAHIAYQBjAEcAQQBTAE0AXwBtAFwAbgAgACAAKQA7AFwAbgBcAG4AVgBFAEUAUgBHAF8ANABfADM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MAXwAxAF8ANQBfAF8AMgBfAFQAbwB0AGEAbABOAGkAdAByAG8AZwBlAG4AVgBvAGwAYQB0AGkAbABpAHMAZQBkAEYAcgBvAG0ATQBNAFMAXwBWAGEAcgBpAGEAYgBsAGUAXABuACAAIAA9AEwAQQBNAEIARABBACgAXAAiAE0ATgBfAEEAVABNAE8AUwBcACIAKQA7AFwAbgBcAG4AVgBFAEUAUgBHAF8ANABfADMAXwAxAF8ANQBfAF8AMgBfAFQAbwB0AGEAbABOAGkAdAByAG8AZwBlAG4AVgBvAGwAYQB0AGkAbABpAHMAZQBkAEYAcgBvAG0ATQBNAFMAXwBVAG4AaQB0AFwAbgAgACAAPQBMAEEATQBCAEQAQQAoAFwAIgBrAGcAIABOAFwAIgApADsAXABuAFwAbgBWAEUARQBSAEcAXwA0AF8AMwBfADEAXwA1AF8AXwAyAF8AVABvAHQAYQBsAE4AaQB0AHIAbwBnAGUAbgBWAG8AbABhAHQAaQBsAGkAcwBlAGQARgByAG8AbQBNAE0AUwBfAFMAbwB1AHIAYwBlAFwAbgAgACAAPQBMAEEATQBCAEQAQQAoAFwAIgBWAEUARQBSAEcAIAAyADAAMgA2ADoAIAA0AC4AMwAuADEALgA1ACwAIABFAHEAdQBhAHQAaQBvAG4AIAAoADIAKQBcACIAKQA7AFwAbgBcAG4AVgBFAEUAUgBHAF8ANABfADMAXwAxAF8ANQBfAF8AMgBfAFQAbwB0AGEAbABOAGkAdAByAG8AZwBlAG4AVgBvAGwAYQB0AGkAbABpAHMAZQBkAEYAcgBvAG0ATQBNAFMAXwBOAEkAUgBSAGUAZgBlAHIAZQBuAGMAZQBcAG4AIAAgAD0ATABBAE0AQgBEAEEAKABcACIAXAAiACkAOwBcAG4AXABuAFYARQBFAFIARwBfADQAXwAzAF8AMQBfADUAXwBfADIAXwBUAG8AdABhAGwATgBpAHQAcgBvAGcAZQBuAFYAbwBsAGEAdABpAGwAaQBzAGUAZABGAHIAbwBtAE0ATQBTAF8ATABhAHQAZQB4AEUAcQB1AGEAdABpAG8AbgBcAG4AIAAgAD0ATABBAE0AQgBEAEEAKABcACIATQBOAF8AewBBAFQATQBPAFMAfQA9AFwAXABzAHUAbQBcAFwAbgBvAGwAaQBtAGkAdABzAF8AewBqAH0AXABcAHMAdQBtAFwAXABuAG8AbABpAG0AaQB0AHMAXwB7AG0AfQAoAE0ATgBfAHsAagBtAH0AXABcAHQAaQBtAGUAcwAgAEYAcgBhAGMARwBBAFMATQBfAG0AKQBcACIAKQA7AFwAbgBcAG4AVgBFAEUAUgBHAF8ANABfADMAXwAxAF8ANQBfAF8AMgBfAFQAbwB0AGEAbABOAGkAdAByAG8AZwBlAG4AVgBvAGwAYQB0AGkAbABpAHMAZQBkAEYAcgBvAG0ATQBNAFMAXwBBAHIAZwB1AG0AZQBuAHQAcwBcAG4AIAAgAD0ATABBAE0AQgBEAEEAKABcAG4AIAAgACAAIABNAEEASwBFAEEAUgBSAEEAWQAoADIALAAgADI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CAAKABrAGcAIABOACkAXAAiADsAXABuACAAIAAgACAAIAAgACAAIAAgACAAXAAiAEYAcgBhAGMARwBBAFMATQBfAG0AXAAiACwAIABcACIAZgByAGEAYwB0AGkAbwBuACAAbwBmACAATgAgAHYAbwBsAGEAdABpAGwAaQBzAGUAZAAgAGYAcgBvAG0AIABNAE0AUwAgACgAZgByAGEAYwB0AGkAbwBuACkAXAAiAFwAbgAgACAAIAAgACAAIAAgACAAfQAsACAAcgAsACAAYwApAFwAbgAgACAAIAAgACAAIAApAFwAbgAgACAAIAAgACkAXABuACAAIAApADsAXABuACIAfQAsAHsAIgBwAGEAdABoACIAOgAiAC8AcAByAG8AagBlAGMAdABzAC8ATQBNAFMAXwBEAGEAaQ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AAgAE0AZQB0AGgAbwBkACAAMQAgAC0AIABNAGEAbgB1AHIAZQAgAEEAcABwAGwAaQBlAGQAIABUAG8AIABTAG8AaQBsAHM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4AF8AXwAxAF8ATQBhAHMAcwBPAGYATgBpAHQAcgBvAGcAZQBuAEEAcABwAGwAaQBlAGQAVABvAFMAbwBpAGwAcwBTAGMAbwBwAGUAMQBcAG4ATQBhAHMAcwAgAG8AZgAgAG4AaQB0AHIAbwBnAGUAbgAgAGYAcgBvAG0AIABtAGEAbgB1AHIAZQAgAGEAcABwAGwAaQBlAGQAIAB0AG8AIABzAG8AaQBsAHMAIABmAG8AcgAgAHMAYwBvAHAAZQAgADEAIABlAG0AaQBzAHMAaQBvAG4AcwBcAG4ATQBOAFMAbwBpAGwAXwBzAGMAbwBwAGUAMQBcAG4AawBnACAATgBcAG4ATQBOAFMAbwBpAGwAXwB7AHMAYwBvAHAAZQAxAH0APQAoAE0ATgBfAHsAagBtAH0AXABcAHQAaQBtAGUAcwAgACgAMQAtAEUARgBfAG0ALQBGAHIAYQBjAEcAQQBTAE0AXwBtACkALQBNAE4ATABlAGEAYwBoAF8AagBtACkAXABcAHQAaQBtAGUAcwAgAFAARgBfAHMAYwBvAHAAZ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XwBzAGMAbwBwAGU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xAF8ATQBhAHMAcwBPAGYATgBpAHQAcgBvAGcAZQBuAEEAcABwAGwAaQBlAGQAVABvAFMAbwBpAGwAcwBTAGMAbwBwAGUAMQBcAG4AIAAgAD0ATABBAE0AQgBEAEEAKABcAG4AIAAgACAAIABNAE4AXwBqAG0ALAAgAEUARgBfAG0ALAAgAEYAcgBhAGMARwBBAFMATQBfAG0ALAAgAE0ATgBMAGUAYQBjAGgAXwBqAG0ALAAgAFAARgBfAHMAYwBvAHAAZQAsAFwAbgAgACAAIAAgACgATQBOAF8AagBtACAAKgAgACgAMQAgAC0AIABFAEYAXwBtACAALQAgAEYAcgBhAGMARwBBAFMATQBfAG0AKQAgAC0AIABNAE4ATABlAGEAYwBoAF8AagBtACkAIAAqACAAUABGAF8AcwBjAG8AcABlAFwAbgAgACAAKQA7AFwAbgBcAG4AVgBFAEUAUgBHAF8ANABfADMAXwAxAF8AOABfAF8AMQBfAE0AYQBzAHMATwBmAE4AaQB0AHIAbwBnAGUAbgBBAHAAcABsAGkAZQBkAFQAbwBTAG8AaQBsAHMAUwBjAG8AcABlADEAXwBUAGkAdABsAGUAXABuACAAIAA9AEwAQQBNAEIARABBACgAXAAiAE0AYQBzAHMAIABvAGYAIABuAGkAdAByAG8AZwBlAG4AIABmAHIAbwBtACAAbQBhAG4AdQByAGUAIABhAHAAcABsAGkAZQBkACAAdABvACAAcwBvAGkAbABzACAAZgBvAHIAIABzAGMAbwBwAGUAIAAxACAAZQBtAGkAcwBzAGkAbwBuAHMAXAAiACkAOwBcAG4AXABuAFYARQBFAFIARwBfADQAXwAzAF8AMQBfADgAXwBfADEAXwBNAGEAcwBzAE8AZgBOAGkAdAByAG8AZwBlAG4AQQBwAHAAbABpAGUAZABUAG8AUwBvAGkAbABzAFMAYwBvAHAAZQAxAF8AVgBhAHIAaQBhAGIAbABlAFwAbgAgACAAPQBMAEEATQBCAEQAQQAoAFwAIgBNAE4AUwBvAGkAbABfAHMAYwBvAHAAZQAxAFwAIgApADsAXABuAFwAbgBWAEUARQBSAEcAXwA0AF8AMwBfADEAXwA4AF8AXwAxAF8ATQBhAHMAcwBPAGYATgBpAHQAcgBvAGcAZQBuAEEAcABwAGwAaQBlAGQAVABvAFMAbwBpAGwAcwBTAGMAbwBwAGUAMQBfAFUAbgBpAHQAXABuACAAIAA9AEwAQQBNAEIARABBACgAXAAiAGsAZwAgAE4AXAAiACkAOwBcAG4AXABuAFYARQBFAFIARwBfADQAXwAzAF8AMQBfADgAXwBfADEAXwBNAGEAcwBzAE8AZgBOAGkAdAByAG8AZwBlAG4AQQBwAHAAbABpAGUAZABUAG8AUwBvAGkAbABzAFMAYwBvAHAAZQAxAF8AUwBvAHUAcgBjAGUAXABuACAAIAA9AEwAQQBNAEIARABBACgAXAAiAFYARQBFAFIARwAgADIAMAAyADYAOgAgADQALgAzAC4AMQAuADgALAAgAEUAcQB1AGEAdABpAG8AbgAgACgAMQApAFwAIgApADsAXABuAFwAbgBWAEUARQBSAEcAXwA0AF8AMwBfADEAXwA4AF8AXwAxAF8ATQBhAHMAcwBPAGYATgBpAHQAcgBvAGcAZQBuAEEAcABwAGwAaQBlAGQAVABvAFMAbwBpAGwAcwBTAGMAbwBwAGUAMQBfAE4ASQBSAFIAZQBmAGUAcgBlAG4AYwBlAFwAbgAgACAAPQBMAEEATQBCAEQAQQAoAFwAIgBcACIAKQA7AFwAbgBcAG4AVgBFAEUAUgBHAF8ANABfADMAXwAxAF8AOABfAF8AMQBfAE0AYQBzAHMATwBmAE4AaQB0AHIAbwBnAGUAbgBBAHAAcABsAGkAZQBkAFQAbwBTAG8AaQBsAHMAUwBjAG8AcABlADEAXwBMAGEAdABlAHgARQBxAHUAYQB0AGkAbwBuAFwAbgAgACAAPQBMAEEATQBCAEQAQQAoAFwAIgBNAE4AUwBvAGkAbABfAHsAcwBjAG8AcABlADE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FAARgBcACIAKQA7AFwAbgBcAG4AVgBFAEUAUgBHAF8ANABfADMAXwAxAF8AOABfAF8AMQBfAE0AYQBzAHMATwBmAE4AaQB0AHIAbwBnAGUAbgBBAHAAcABsAGkAZQBkAFQAbwBTAG8AaQBsAHMAUwBjAG8AcABlADEAXwBBAHIAZwB1AG0AZQBuAHQAcwBcAG4AIAAgAD0ATABBAE0AQgBEAEEAKABcAG4AIAAgACAAIABNAEEASwBFAEEAUgBSAEEAWQAoADUALAAgADI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CAAKABrAGcAIABOACkAXAAiADsAXABuACAAIAAgACAAIAAgACAAIAAgACAAXAAiAEUARgBfAG0AXAAiACwAIABcACIAZQBtAGkAcwBzAGkAbwBuACAAZgBhAGMAdABvAHIAIABmAG8AcgAgAG4AaQB0AHIAbwB1AHMAIABvAHgAaQBkAGUAIABlAG0AaQBzAHMAaQBvAG4AcwAgAHAAZQByACAATQBNAFMAIAAoAGsAZwAgAE4AMgBPAC0ATgAvAGsAZwAgAE4AKQBcACIAOwBcAG4AIAAgACAAIAAgACAAIAAgACAAIABcACIARgByAGEAYwBHAEEAUwBNAF8AbQBcACIALAAgAFwAIgBmAHIAYQBjAHQAaQBvAG4AIABvAGYAIABOACAAdgBvAGwAYQB0AGkAbABpAHMAZQBkACAAZgByAG8AbQAgAE0ATQBTAFwAIgA7AFwAbgAgACAAIAAgACAAIAAgACAAIAAgAFwAIgBNAE4ATABlAGEAYwBoAF8AagBtAFwAIgAsACAAXAAiAG0AYQBzAHMAIABvAGYAIABOACAAbABvAHMAdAAgAHQAaAByAG8AdQBnAGgAIABsAGUAYQBjAGgAaQBuAGcAIABhAG4AZAAgAHIAdQBuAG8AZgBmACAAZgByAG8AbQAgAGUAYQBjAGgAIABNAE0AUwAgACgAawBnACAATgApAFwAIgA7AFwAbgAgACAAIAAgACAAIAAgACAAIAAgAFwAIgBQAEYAXwBzAGMAbwBwAGUAXAAiACwAIABcACIAZgByAGEAYwB0AGkAbwBuACAAbwBmACAAbQBhAG4AdQByAGUAIABhAHAAcABsAGkAZQBkACAAdABvACAAcwBvAGkAbAAgAHcAaQB0AGgAaQBuACAAZgBhAHIAbQAgAGIAbwB1AG4AZABhAHIAeQBcACIAXABuACAAIAAgACAAIAAgACAAIAB9ACwAIAByACwAIABjACkAXABuACAAIAAgACAAIAAgACkAXABuACAAIAAgACAAKQBcAG4AIAAgACkAOwBcAG4AXABuAC8AKgBcAG4ALQAtAC0ALQAtAC0ALQAtAC0ALQAtAC0ALQAtAC0ALQAtAC0ALQAtAC0ALQAtAC0ALQAtAC0ALQAtAC0ALQAtAC0ALQAtAC0ALQAtAFwAbgBWAEUARQBSAEcAXwA0AF8AMwBfADEAXwA4AF8AXwAyAF8ATQBhAHMAcwBPAGYATgBpAHQAcgBvAGcAZQBuAEEAcABwAGwAaQBlAGQAVABvAFMAbwBpAGwAcwBTAGMAbwBwAGUAMwBcAG4ATQBhAHMAcwAgAG8AZgAgAG4AaQB0AHIAbwBnAGUAbgAgAGYAcgBvAG0AIABtAGEAbgB1AHIAZQAgAGEAcABwAGwAaQBlAGQAIAB0AG8AIABzAG8AaQBsAHMAIABmAG8AcgAgAHMAYwBvAHAAZQAgADMAIABlAG0AaQBzAHMAaQBvAG4AcwBcAG4ATQBOAFMAbwBpAGwAXwBzAGMAbwBwAGUAMwBcAG4AawBnACAATgBcAG4ATQBOAFMAbwBpAGwAXwB7AHMAYwBvAHAAZQAzAH0APQAoAE0ATgBfAHsAagBtAH0AXABcAHQAaQBtAGUAcwAgACgAMQAtAEUARgBfAG0ALQBGAHIAYQBjAEcAQQBTAE0AXwBtACkALQBNAE4ATABlAGEAYwBoAF8AagBtACkAXABcAHQAaQBtAGUAcwAgACgAMQAtAFAARgApAFwAbgBNAE4AXwBqAG0AIAA9ACAAdABvAHQAYQBsACAAbgBpAHQAcgBvAGcAZQBuACAAaQBuACAAZQBhAGMAaAAgAE0ATQBTACAAZgBvAHIAIABkAGEAaQByAHkAIABjAGEAdAB0AGwAZQAgAGMAbABhAHMAcwBlAHMAIAAoAGsAZwAgAE4AKQBcAG4ARQBGAF8AbQAgAD0AIABlAG0AaQBzAHMAaQBvAG4AIABmAGEAYwB0AG8AcgAgAGYAbwByACAAbgBpAHQAcgBvAHUAcwAgAG8AeABpAGQAZQAgAGUAbQBpAHMAcwBpAG8AbgBzACAAcABlAHIAIABNAE0AUwAgACgAawBnACAATgAyAE8ALQBOAC8AawBnACAATgApAFwAbgBGAHIAYQBjAEcAQQBTAE0AXwBtACAAPQAgAGYAcgBhAGMAdABpAG8AbgAgAG8AZgAgAE4AIAB2AG8AbABhAHQAaQBsAGkAcwBlAGQAIABmAHIAbwBtACAATQBNAFMAXABuAE0ATgBMAGUAYQBjAGgAXwBqAG0AIAA9ACAAbQBhAHMAcwAgAG8AZgAgAE4AIABsAG8AcwB0ACAAdABoAHIAbwB1AGcAaAAgAGwAZQBhAGMAaABpAG4AZwAgAGEAbgBkACAAcgB1AG4AbwBmAGYAIABmAHIAbwBtACAAZQBhAGMAaAAgAE0ATQBTACAAKABrAGcAIABOACkAXABuAFAARgAgAD0AIABmAHIAYQBjAHQAaQBvAG4AIABvAGYAIABtAGEAbgB1AHIAZQAgAGEAcABwAGwAaQBlAGQAIAB0AG8AIABzAG8AaQBsACAAdwBpAHQAaABpAG4AIABmAGEAcgBtACAAYgBvAHUAbgBkAGEAcgB5AFwAbgAtAC0ALQAtAC0ALQAtAC0ALQAtAC0ALQAtAC0ALQAtAC0ALQAtAC0ALQAtAC0ALQAtAC0ALQAtAC0ALQAtAC0ALQAtAC0ALQAtAC0AXABuACoALwBcAG4AXABuAFYARQBFAFIARwBfADQAXwAzAF8AMQBfADgAXwBfADIAXwBNAGEAcwBzAE8AZgBOAGkAdAByAG8AZwBlAG4AQQBwAHAAbABpAGUAZABUAG8AUwBvAGkAbABzAFMAYwBvAHAAZQAzAFwAbgAgACAAPQBMAEEATQBCAEQAQQAoAFwAbgAgACAAIAAgAE0ATgBfAGoAbQAsACAARQBGAF8AbQAsACAARgByAGEAYwBHAEEAUwBNAF8AbQAsACAATQBOAEwAZQBhAGMAaABfAGoAbQAsACAAUABGACwAXABuACAAIAAgACAAKABNAE4AXwBqAG0AIAAqACAAKAAxACAALQAgAEUARgBfAG0AIAAtACAARgByAGEAYwBHAEEAUwBNAF8AbQApACAALQAgAE0ATgBMAGUAYQBjAGgAXwBqAG0AKQAgACoAIAAoADEAIAAtACAAUABGACkAXABuACAAIAApADsAXABuAFwAbgBWAEUARQBSAEcAXwA0AF8AMwBfADEAXwA4AF8AXwAyAF8ATQBhAHMAcwBPAGYATgBpAHQAcgBvAGcAZQBuAEEAcABwAGwAaQBlAGQAVABvAFMAbwBpAGwAcwBTAGMAbwBwAGUAMwBfAFQAaQB0AGwAZQBcAG4AIAAgAD0ATABBAE0AQgBEAEEAKABcACIATQBhAHMAcwAgAG8AZgAgAG4AaQB0AHIAbwBnAGUAbgAgAGYAcgBvAG0AIABtAGEAbgB1AHIAZQAgAGEAcABwAGwAaQBlAGQAIAB0AG8AIABzAG8AaQBsAHMAIABmAG8AcgAgAHMAYwBvAHAAZQAgADMAIABlAG0AaQBzAHMAaQBvAG4AcwBcACIAKQA7AFwAbgBcAG4AVgBFAEUAUgBHAF8ANABfADMAXwAxAF8AOABfAF8AMgBfAE0AYQBzAHMATwBmAE4AaQB0AHIAbwBnAGUAbgBBAHAAcABsAGkAZQBkAFQAbwBTAG8AaQBsAHMAUwBjAG8AcABlADMAXwBWAGEAcgBpAGEAYgBsAGUAXABuACAAIAA9AEwAQQBNAEIARABBACgAXAAiAE0ATgBTAG8AaQBsAF8AcwBjAG8AcABlADMAXAAiACkAOwBcAG4AXABuAFYARQBFAFIARwBfADQAXwAzAF8AMQBfADgAXwBfADIAXwBNAGEAcwBzAE8AZgBOAGkAdAByAG8AZwBlAG4AQQBwAHAAbABpAGUAZABUAG8AUwBvAGkAbABzAFMAYwBvAHAAZQAzAF8AVQBuAGkAdABcAG4AIAAgAD0ATABBAE0AQgBEAEEAKABcACIAawBnACAATgBcACIAKQA7AFwAbgBcAG4AVgBFAEUAUgBHAF8ANABfADMAXwAxAF8AOABfAF8AMgBfAE0AYQBzAHMATwBmAE4AaQB0AHIAbwBnAGUAbgBBAHAAcABsAGkAZQBkAFQAbwBTAG8AaQBsAHMAUwBjAG8AcABlADMAXwBTAG8AdQByAGMAZQBcAG4AIAAgAD0ATABBAE0AQgBEAEEAKABcACIAVgBFAEUAUgBHACAAMgAwADIANgA6ACAANAAuADMALgAxAC4AOAAsACAARQBxAHUAYQB0AGkAbwBuACAAKAAyACkAXAAiACkAOwBcAG4AXABuAFYARQBFAFIARwBfADQAXwAzAF8AMQBfADgAXwBfADIAXwBNAGEAcwBzAE8AZgBOAGkAdAByAG8AZwBlAG4AQQBwAHAAbABpAGUAZABUAG8AUwBvAGkAbABzAFMAYwBvAHAAZQAzAF8ATgBJAFIAUgBlAGYAZQByAGUAbgBjAGUAXABuACAAIAA9AEwAQQBNAEIARABBACgAXAAiAFwAIgApADsAXABuAFwAbgBWAEUARQBSAEcAXwA0AF8AMwBfADEAXwA4AF8AXwAyAF8ATQBhAHMAcwBPAGYATgBpAHQAcgBvAGcAZQBuAEEAcABwAGwAaQBlAGQAVABvAFMAbwBpAGwAcwBTAGMAbwBwAGUAMwBfAEwAYQB0AGUAeABFAHEAdQBhAHQAaQBvAG4AXABuACAAIAA9AEwAQQBNAEIARABBACgAXAAiAE0ATgBTAG8AaQBsAF8AewBzAGMAbwBwAGUAMwB9AD0AXABcAHMAdQBtAFwAXABuAG8AbABpAG0AaQB0AHMAXwB7AGoAfQBcAFwAcwB1AG0AXABcAG4AbwBsAGkAbQBpAHQAcwBfAHsAbQB9ACgATQBOAF8AewBqAG0APQAxAC0AMQAzAH0AXABcAHQAaQBtAGUAcwAgACgAMQAtAEUARgBfAHsAbQA9ADEALQAxADMAfQAtAEYAcgBhAGMARwBBAFMATQBfAHsAbQA9ADEALQAxADMAfQApAC0ATQBOAEwAZQBhAGMAaABfAHsAagBtAH0AKQBcAFwAdABpAG0AZQBzACAAKAAxAC0AUABGACkAXAAiACkAOwBcAG4AXABuAFYARQBFAFIARwBfADQAXwAzAF8AMQBfADgAXwBfADIAXwBNAGEAcwBzAE8AZgBOAGkAdAByAG8AZwBlAG4AQQBwAHAAbABpAGUAZABUAG8AUwBvAGkAbABzAFMAYwBvAHAAZQAzAF8AQQByAGcAdQBtAGUAbgB0AHMAXABuACAAIAA9AEwAQQBNAEIARABBACgAXABuACAAIAAgACAATQBBAEsARQBBAFIAUgBBAFkAKAA1ACwAIAAy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AgACgAawBnACAATgApAFwAIgA7AFwAbgAgACAAIAAgACAAIAAgACAAIAAgAFwAIgBFAEYAXwBtAFwAIgAsACAAXAAiAGUAbQBpAHMAcwBpAG8AbgAgAGYAYQBjAHQAbwByACAAZgBvAHIAIABuAGkAdAByAG8AdQBzACAAbwB4AGkAZABlACAAZQBtAGkAcwBzAGkAbwBuAHMAIABwAGUAcgAgAE0ATQBTACAAKABrAGcAIABOADIATwAtAE4ALwBrAGcAIABOACkAXAAiADsAXABuACAAIAAgACAAIAAgACAAIAAgACAAXAAiAEYAcgBhAGMARwBBAFMATQBfAG0AXAAiACwAIABcACIAZgByAGEAYwB0AGkAbwBuACAAbwBmACAATgAgAHYAbwBsAGEAdABpAGwAaQBzAGUAZAAgAGYAcgBvAG0AIABNAE0AUwBcACIAOwBcAG4AIAAgACAAIAAgACAAIAAgACAAIABcACIATQBOAEwAZQBhAGMAaABfAGoAbQBcACIALAAgAFwAIgBtAGEAcwBzACAAbwBmACAATgAgAGwAbwBzAHQAIAB0AGgAcgBvAHUAZwBoACAAbABlAGEAYwBoAGkAbgBnACAAYQBuAGQAIAByAHUAbgBvAGYAZgAgAGYAcgBvAG0AIABlAGEAYwBoACAATQBNAFMAIAAoAGsAZwAgAE4AKQBcACIAOwBcAG4AIAAgACAAIAAgACAAIAAgACAAIABcACIAUABGAFwAIgAsACAAXAAiAGYAcgBhAGMAdABpAG8AbgAgAG8AZgAgAG0AYQBuAHUAcgBlACAAYQBwAHAAbABpAGUAZAAgAHQAbwAgAHMAbwBpAGwAIAB3AGkAdABoAGkAbgAgAGYAYQByAG0AIABiAG8AdQBuAGQAYQByAHkAXAAiAFwAbgAgACAAIAAgACAAIAAgACAAfQAsACAAcgAsACAAYwApAFwAbgAgACAAIAAgACAAIAApAFwAbgAgACAAIAAgACkAXABuACAAIAApADsAXABuACIAfQAsAHsAIgBwAGEAdABoACIAOgAiAC8AcAByAG8AagBlAGMAdABzAC8ATQBNAFMAXwBEAGEAaQByAHk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IABNAGUAdABoAG8AZAAgADEAIAAtACAATQBhAG4AdQByAGUAIABNAGUAdABoAGEAbgBl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BfAF8AMQBfAFQAbwB0AGEAbABBAG4AbgB1AGEAbABNAGUAdABoAGEAbgBlAEYAcgBvAG0ATQBhAG4AdQByAGUATQBhAG4AYQBnAGUAbQBlAG4AdABcAG4AVABvAHQAYQBsACAAYQBuAG4AdQBhAGwAIABtAGUAdABoAGEAbgBlACAAcAByAG8AZAB1AGMAdABpAG8AbgAgAGYAcgBvAG0AIABtAGEAbgB1AHIAZQAgAG0AYQBuAGEAZwBlAG0AZQBuAHQAXABuAEUAXwBDAEgANABcAG4AdAAgAEMASAA0AFwAbgBFAF8AewBDAEgANAB9AD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fAHsAagA9ADMALAA1AH0AKQApAFwAXAB0AGkAbQBlAHMAIAAxADAAXgB7AC0AMwB9AFwAbgBOAF8AagAxADIANAAgAD0AIABuAHUAbQBiAGUAcgAgAG8AZgAgAGQAYQBpAHIAeQAgAGMAYQB0AHQAbABlACAAaQBuACAAYwBsAGEAcwBzAGUAcwAgAGoAPQAxACwAMgAsADQAXABuAE0AXwBqADEAMgA0AG0AIAA9ACAAbQBlAHQAaABhAG4AZQAgAHAAcgBvAGQAdQBjAHQAaQBvAG4AIABmAHIAbwBtACAAbQBhAG4AdQByAGUAIABvAGYAIAB3AGUAYQBuAGUAZAAgAGQAYQBpAHIAeQAgAGMAYQB0AHQAbABlACAAaQBuACAAYwBsAGEAcwBzAGUAcwAgAGoAPQAxACwAMgAsADQAIABpAG4AIABNAE0AUwAgAG0AIAAoAGsAZwAgAEMASAA0AC8AaABlAGEAZAAvAGQAYQB5ACkAXABuAEQAXwBqADEAMgA0ACAAPQAgAGQAdQByAGEAdABpAG8AbgAgAG8AZgAgAHMAdABhAHkAIABvAG4AIABmAGEAcgBtACAAZgBvAHIAIABjAGwAYQBzAHMAZQBzACAAagA9ADEALAAyACwANAAgACgAZABhAHkAcwApAFwAbgBOAF8AagAzADUAIAA9ACAAbgB1AG0AYgBlAHIAIABvAGYAIABkAGEAaQByAHkAIABjAGEAdAB0AGwAZQAgAGkAbgAgAGMAbABhAHMAcwBlAHMAIABqAD0AMwAsADUAXABuAE0AXwBqADMANQBtACAAPQAgAG0AZQB0AGgAYQBuAGUAIABwAHIAbwBkAHUAYwB0AGkAbwBuACAAZgByAG8AbQAgAG0AYQBuAHUAcgBlACAAbwBmACAAdwBlAGEAbgBlAGQAIABkAGEAaQByAHkAIABjAGEAdAB0AGwAZQAgAGkAbgAgAGMAbABhAHMAcwBlAHMAIABqAD0AMwAsADUAIABpAG4AIABNAE0AUwAgAG0AIAAoAGsAZwAgAEMASAA0AC8AaABlAGEAZAAvAGQAYQB5ACkAXABuAEQAXwBqADMANQAgAD0AIABkAHUAcgBhAHQAaQBvAG4AIABvAGYAIABzAHQAYQB5ACAAbwBuACAAZgBhAHIAbQAgAGYAbwByACAAYwBsAGEAcwBzAGUAcwAgAGoAPQAzACwANQAgACgAZABhAHkAcwApAFwAbgBNAFAAVwBfAG0AYQBuAHUAcgBlAF8AagAzADUAIAA9ACAAbQBlAHQAaABhAG4AZQAgAHAAcgBvAGQAdQBjAHQAaQBvAG4AIABmAHIAbwBtACAAbQBhAG4AdQByAGUAIABvAGY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0AF8AMwBfADEAXwAxAF8AXwAxAF8AVABvAHQAYQBsAEEAbgBuAHUAYQBsAE0AZQB0AGgAYQBuAGUARgByAG8AbQBNAGEAbgB1AHIAZQBNAGEAbgBhAGcAZQBtAGUAbgB0AFwAbgAgACAAPQBMAEEATQBCAEQAQQAoAFwAbgAgACAAIAAgAE4AXwBqADEAMgA0ACwAIABNAF8AagAxADIANABtACwAIABEAF8AagAxADIANAAsACAATgBfAGoAMwA1ACwAIABNAF8AagAzADUAbQAsACAARABfAGoAMwA1ACwAIABNAFAAVwBfAG0AYQBuAHUAcgBlAF8AagAzADUALABcAG4AIAAgACAAIAAoACgATgBfAGoAMQAyADQAIAAqACAATQBfAGoAMQAyADQAbQAgACoAIABEAF8AagAxADIANAApACAAKwAgACgATgBfAGoAMwA1ACAAKgAgAE0AXwBqADMANQBtACAAKgAgAEQAXwBqADMANQApACAAKwAgACgATgBfAGoAMwA1ACAAKgAgAE0AUABXAF8AbQBhAG4AdQByAGUAXwBqADMANQAgACoAIABEAF8AagAzADUAKQApACAAKgAgADEAMAAgAF4AIAAtADMAXABuACAAIAApADsAXABuAFwAbgBWAEUARQBSAEcAXwA0AF8AMwBfADEAXwAxAF8AXwAxAF8AVABvAHQAYQBsAEEAbgBuAHUAYQBsAE0AZQB0AGgAYQBuAGUARgByAG8AbQBNAGEAbgB1AHIAZQBNAGEAbgBhAGcAZQBtAGUAbgB0AFYAYQByAGkAYQB0AGkAbwBuAFwAbgAgACAAPQBMAEEATQBCAEQAQQAoAFwAbgAgACAAIAAgAE4AXwBqADEAMgA0ACwAIABNAF8AagAxADIANABtACwAIABEAF8AagAxADIANAAsACAATgBfAGoAMwA1ACwAIABNAF8AagAzADUAbQAsACAARABfAGoAMwA1ACwAIABNAFAAVwBfAG0AYQBuAHUAcgBlAF8AagAzADUALAAgAEQAUABXAF8AagAzADUALABcAG4AIAAgACAAIAAoACgATgBfAGoAMQAyADQAIAAqACAATQBfAGoAMQAyADQAbQAgACoAIABEAF8AagAxADIANAApACAAKwAgACgATgBfAGoAMwA1ACAAKgAgAE0AXwBqADMANQBtACAAKgAgAEQAXwBqADMANQApACAAKwAgACgATgBfAGoAMwA1ACAAKgAgAE0AUABXAF8AbQBhAG4AdQByAGUAXwBqADMANQAgACoAIABEAFAAVwBfAGoAMwA1ACkAKQAgACoAIAAxADAAIABeACAALQAzAFwAbgAgACAAKQA7AFwAbgBcAG4AXABuAFYARQBFAFIARwBfADQAXwAzAF8AMQBfADEAXwBfADEAXwBUAG8AdABhAGwAQQBuAG4AdQBhAGwATQBlAHQAaABhAG4AZQBGAHIAbwBtAE0AYQBuAHUAcgBlAE0AYQBuAGEAZwBlAG0AZQBuAHQAXwBUAGkAdABsAGUAXABuACAAIAA9AEwAQQBNAEIARABBACgAXAAiAFQAbwB0AGEAbAAgAGEAbgBuAHUAYQBsACAAbQBlAHQAaABhAG4AZQAgAHAAcgBvAGQAdQBjAHQAaQBvAG4AIABmAHIAbwBtACAAbQBhAG4AdQByAGUAIABtAGEAbgBhAGcAZQBtAGUAbgB0AFwAIgApADsAXABuAFwAbgBWAEUARQBSAEcAXwA0AF8AMwBfADEAXwAxAF8AXwAxAF8AVABvAHQAYQBsAEEAbgBuAHUAYQBsAE0AZQB0AGgAYQBuAGUARgByAG8AbQBNAGEAbgB1AHIAZQBNAGEAbgBhAGcAZQBtAGUAbgB0AF8AVgBhAHIAaQBhAGIAbABlAFwAbgAgACAAPQBMAEEATQBCAEQAQQAoAFwAIgBFAF8AQwBIADQAXAAiACkAOwBcAG4AXABuAFYARQBFAFIARwBfADQAXwAzAF8AMQBfADEAXwBfADEAXwBUAG8AdABhAGwAQQBuAG4AdQBhAGwATQBlAHQAaABhAG4AZQBGAHIAbwBtAE0AYQBuAHUAcgBlAE0AYQBuAGEAZwBlAG0AZQBuAHQAXwBVAG4AaQB0AFwAbgAgACAAPQBMAEEATQBCAEQAQQAoAFwAIgB0ACAAQwBIADQAXAAiACkAOwBcAG4AXABuAFYARQBFAFIARwBfADQAXwAzAF8AMQBfADEAXwBfADEAXwBUAG8AdABhAGwAQQBuAG4AdQBhAGwATQBlAHQAaABhAG4AZQBGAHIAbwBtAE0AYQBuAHUAcgBlAE0AYQBuAGEAZwBlAG0AZQBuAHQAXwBTAG8AdQByAGMAZQBcAG4AIAAgAD0ATABBAE0AQgBEAEEAKABcACIAVgBFAEUAUgBHACAAMgAwADIANgA6ACAANAAuADMALgAxAC4AMQAsACAARQBxAHUAYQB0AGkAbwBuACAAKAAxACkAXAAiACkAOwBcAG4AXABuAFYARQBFAFIARwBfADQAXwAzAF8AMQBfADEAXwBfADEAXwBUAG8AdABhAGwAQQBuAG4AdQBhAGwATQBlAHQAaABhAG4AZQBGAHIAbwBtAE0AYQBuAHUAcgBlAE0AYQBuAGEAZwBlAG0AZQBuAHQAXwBOAEkAUgBSAGUAZgBlAHIAZQBuAGMAZQBcAG4AIAAgAD0ATABBAE0AQgBEAEEAKABcACIAXAAiACkAOwBcAG4AXABuAFYARQBFAFIARwBfADQAXwAzAF8AMQBfADEAXwBfADEAXwBUAG8AdABhAGwAQQBuAG4AdQBhAGwATQBlAHQAaABhAG4AZQBGAHIAbwBtAE0AYQBuAHUAcgBlAE0AYQBuAGEAZwBlAG0AZQBuAHQAXwBMAGEAdABlAHgARQBxAHU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CIAKQA7AFwAbgBcAG4AVgBFAEUAUgBHAF8ANABfADMAXwAxAF8AMQBfAF8AMQBfAFQAbwB0AGEAbABBAG4AbgB1AGEAbABNAGUAdABoAGEAbgBlAEYAcgBvAG0ATQBhAG4AdQByAGUATQBhAG4AYQBnAGUAbQBlAG4AdABfAEwAYQB0AGUAeABFAHEAdQBhAHQAaQBvAG4AVgBhAHIAaQBhAHQAaQBvAG4AXABuACAAIAA9AEwAQQBNAEIARABBACgAXAAiAEUAXwB7AEMASAA0AH0APQBcAFwAcwB1AG0AXABcAG4AbwBsAGkAbQBpAHQAcwBfAHsAagB9AFwAXABzAHUAbQBcAFwAbgBvAGwAaQBtAGkAdABzAF8AewBtAH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QAFcAXwB7AGoAPQAzACwANQB9ACkAKQBcAFwAdABpAG0AZQBzACAAMQAwAF4AewAtADMAfQBcACIAKQA7AFwAbgBcAG4AVgBFAEUAUgBHAF8ANABfADMAXwAxAF8AMQBfAF8AMQBfAFQAbwB0AGEAbABBAG4AbgB1AGEAbABNAGUAdABoAGEAbgBlAEYAcgBvAG0ATQBhAG4AdQByAGUATQBhAG4AYQBnAGUAbQBlAG4AdABfAEEAcgBnAHUAbQBlAG4AdABzAFwAbgAgACAAPQBMAEEATQBCAEQAQQAoAFwAbgAgACAAIAAgAE0AQQBLAEUAQQBSAFIAQQBZACgAOAAsACAAMg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DsAXABuACAAIAAgACAAIAAgACAAIAAgACAAXAAiAE0AXwBqADEAMgA0AG0AXAAiACwAIABcACIAbQBlAHQAaABhAG4AZQAgAHAAcgBvAGQAdQBjAHQAaQBvAG4AIABmAHIAbwBtACAAbQBhAG4AdQByAGUAIABvAGYAIAB3AGUAYQBuAGUAZAAgAGQAYQBpAHIAeQAgAGMAYQB0AHQAbABlACAAaQBuACAAYwBsAGEAcwBzAGUAcwAgAGoAPQAxACwAMgAsADQAIABpAG4AIABNAE0AUwAgAG0AIAAoAGsAZwAgAEMASAA0AC8AaABlAGEAZAAvAGQAYQB5ACkAXAAiADsAXABuACAAIAAgACAAIAAgACAAIAAgACAAXAAiAEQAXwBqADEAMgA0AFwAIgAsACAAXAAiAGQAdQByAGEAdABpAG8AbgAgAG8AZgAgAHMAdABhAHkAIABvAG4AIABmAGEAcgBtACAAZgBvAHIAIABjAGwAYQBzAHMAZQBzACAAagA9ADEALAAyACwANAAgACgAZABhAHkAcwApAFwAIgA7AFwAbgAgACAAIAAgACAAIAAgACAAIAAgAFwAIgBOAF8AagAzADUAXAAiACwAIABcACIAbgB1AG0AYgBlAHIAIABvAGYAIABkAGEAaQByAHkAIABjAGEAdAB0AGwAZQAgAGkAbgAgAGMAbABhAHMAcwBlAHMAIABqAD0AMwAsADUAXAAiADsAXABuACAAIAAgACAAIAAgACAAIAAgACAAXAAiAE0AXwBqADMANQBtAFwAIgAsACAAXAAiAG0AZQB0AGgAYQBuAGUAIABwAHIAbwBkAHUAYwB0AGkAbwBuACAAZgByAG8AbQAgAG0AYQBuAHUAcgBlACAAbwBmACAAdwBlAGEAbgBlAGQAIABkAGEAaQByAHkAIABjAGEAdAB0AGwAZQAgAGkAbgAgAGMAbABhAHMAcwBlAHMAIABqAD0AMwAsADUAIABpAG4AIABNAE0AUwAgAG0AIAAoAGsAZwAgAEMASAA0AC8AaABlAGEAZAAvAGQAYQB5ACkAXAAiADsAXABuACAAIAAgACAAIAAgACAAIAAgACAAXAAiAEQAXwBqADMANQBcACIALAAgAFwAIgBkAHUAcgBhAHQAaQBvAG4AIABvAGYAIABzAHQAYQB5ACAAbwBuACAAZgBhAHIAbQAgAGYAbwByACAAYwBsAGEAcwBzAGUAcwAgAGoAPQAzACwANQAgACgAZABhAHkAcwApAFwAIgA7AFwAbgAgACAAIAAgACAAIAAgACAAIAAgAFwAIgBNAFAAVwBfAG0AYQBuAHUAcgBlAF8AagAzADUAXAAiACwAIABcACIAbQBlAHQAaABhAG4AZQAgAHAAcgBvAGQAdQBjAHQAaQBvAG4AIABmAHIAbwBtACAAbQBhAG4AdQByAGUAIABvAGYAIABwAHIAZQAtAHcAZQBhAG4AZQBkACAAaABlAGkAZgBlAHIAIABhAG4AZAAgAGIAdQBsAGwAIABjAGEAbAB2AGUAcwAgACgAawBnACAAQwBIADQALwBoAGUAYQBkAC8AZABhAHkAKQBcACIAOwBcAG4AIAAgACAAIAAgACAAIAAgACAAIABcACIARABQAFcAXwBqADMANQBcACIALAAgAFwAIgBkAHUAcgBhAHQAaQBvAG4AIABvAGYAIABzAHQAYQB5ACAAbwBuACAAZgBhAHIAbQAgAGYAbwByACAAcAByAGUALQB3AGUAYQBuAGUAZAAgAGgAZQBpAGYAZQByACAAYQBuAGQAIABiAHUAbABsACAAYwBhAGwAdgBlAHMAIAAoAGQAYQB5AHMAKQBcACIAXABuACAAIAAgACAAIAAgACAAIAB9ACwAIAByACwAIABjACkAXABuACAAIAAgACAAIAAgACkAXABuACAAIAAgACAAKQBcAG4AIAAgACkAOwBcAG4AXABuAFYARQBFAFIARwBfADQAXwAzAF8AMQBfADEAXwBfADEAXwBUAG8AdABhAGwAQQBuAG4AdQBhAGwATQBlAHQAaABhAG4AZQBGAHIAbwBtAE0AYQBuAHUAcgBlAE0AYQBuAGEAZwBlAG0AZQBuAHQAXwBWAGEAcgBpAGEAdABpAG8AbgBcAG4AIAAgAD0ATABBAE0AQgBEAEEAKABcACIAVgBBAFIASQBBAFQASQBPAE4AOgAgAFUAcwBlAGQAIABzAGUAcABhAHIAYQB0AGUAIAB2AGEAcgBpAGEAYgBsAGUAIABmAG8AcgAgAGQAdQByAGEAdABpAG8AbgAgAG8AZgAgAHMAdABhAHkAIABvAG4AIABmAGEAcgBtACAAZgBvAHIAIABwAHIAZQAtAHcAZQBhAG4AZQBkACAAaABlAGkAZgBlAHIAIABhAG4AZAAgAGIAdQBsAGwAIABjAGEAbAB2AGUAcwAuAFwAIgApADsAXABuAFwAbgAvACoAXABuAC0ALQAtAC0ALQAtAC0ALQAtAC0ALQAtAC0ALQAtAC0ALQAtAC0ALQAtAC0ALQAtAC0ALQAtAC0ALQAtAC0ALQAtAC0ALQAtAC0ALQBcAG4AVgBFAEUAUgBHAF8ANABfADMAXwAxAF8AMQBfAF8AMgBfAE0AZQB0AGgAYQBuAGUARgByAG8AbQBNAGEAbgB1AHIAZQBQAHIAbwBkAHUAYwB0AGkAbwBuAFwAbgBNAGUAdABoAGEAbgBlACAAZgByAG8AbQAgAG0AYQBuAHUAcgBlACAAcAByAG8AZAB1AGMAdABpAG8AbgAgAGYAcgBvAG0AIAB3AGUAYQBuAGUAZAAgAGQAYQBpAHIAeQAgAGMAYQB0AHQAbABlAFwAbgBNAF8AagBtAFwAbgBrAGcAIABDAEgANAAvAGgAZQBhAGQALwBkAGEAeQBcAG4ATQBfAHsAagBtAH0APQBWAFMAXwBqAFwAXAB0AGkAbQBlAHMAIABGAFYAUwBfAHsAagBtACwAVAA9ADEAfQBcAFwAdABpAG0AZQBzACAATQBDAEYAXwB7AGkAbQB9AFwAXAB0AGkAbQBlAHMAIABCAF8AbwBcAFwAdABpAG0AZQBzACAAXABcAHIAaABvAFwAbgBWAFMAXwBqACAAPQAgAGQAYQBpAGwAeQAgAHYAbwBsAGEAdABpAGwAZQAgAHMAbwBsAGkAZABzACAAcAByAG8AZAB1AGMAdABpAG8AbgAgAHAAZQByACAAaABlAGEAZAAgAGYAbwByACAAZABhAGkAcgB5ACAAYwBhAHQAdABsAGUAIAAoAGsAZwAvAGgAZQBhAGQALwBkAGEAeQApAFwAbgBGAFYAUwBfAGoAbQBUADEAIAA9ACAAZgByAGEAYwB0AGkAbwBuACAAbwBmACAAdwBhAHMAdABlACAAZgByAG8AbQAgAGUAYQBjAGgAIABjAGwAYQBzAHMAIABpAG4AIABlAGEAYwBoACAAbQBhAG4AYQBnAGUAbQBlAG4AdAAgAHMAeQBzAHQAZQBtAFwAbgBNAEMARgBfAGkAbQAgAD0AIABtAGUAdABoAGEAbgBlACAAYwBvAG4AdgBlAHIAcwBpAG8AbgAgAGYAYQBjAHQAbwByACAAZgBvAHIAIAB0AGUAbQBwAGUAcgBhAHQAdQByAGUAIAB6AG8AbgBlACAAYQBuAGQAIABNAE0AUwBcAG4AQgBfAG8AIAA9ACAAZQBtAGkAcwBzAGkAbwBuAHMAIABwAG8AdABlAG4AdABpAGEAbAAgACgAbQAzACAAQwBIADQALwBrAGcAVgBTACkAXABuAHIAaABvACAAPQAgAGQAZQBuAHMAaQB0AHkAIABvAGYAIABtAGUAdABoAGEAbgBlACAAKABrAGcALwBtADMAKQBcAG4ALQAtAC0ALQAtAC0ALQAtAC0ALQAtAC0ALQAtAC0ALQAtAC0ALQAtAC0ALQAtAC0ALQAtAC0ALQAtAC0ALQAtAC0ALQAtAC0ALQAtAFwAbgAqAC8AXABuAFwAbgBWAEUARQBSAEcAXwA0AF8AMwBfADEAXwAxAF8AXwAyAF8ATQBlAHQAaABhAG4AZQBGAHIAbwBtAE0AYQBuAHUAcgBlAFAAcgBvAGQAdQBjAHQAaQBvAG4AXABuACAAIAA9AEwAQQBNAEIARABBACgAXABuACAAIAAgACAAVgBTAF8AagAsACAARgBWAFMAXwBqAG0AVAAxACwAIABNAEMARgBfAGkAbQAsACAAQgBfAG8ALAAgAHIAaABvACwAXABuACAAIAAgACAAVgBTAF8AagAgACoAIABGAFYAUwBfAGoAbQBUADEAIAAqACAATQBDAEYAXwBpAG0AIAAqACAAQgBfAG8AIAAqACAAcgBoAG8AXABuACAAIAApADsAXABuAFwAbgBWAEUARQBSAEcAXwA0AF8AMwBfADEAXwAxAF8AXwAyAF8ATQBlAHQAaABhAG4AZQBGAHIAbwBtAE0AYQBuAHUAcgBlAFAAcgBvAGQAdQBjAHQAaQBvAG4AXwBUAGkAdABsAGUAXABuACAAIAA9AEwAQQBNAEIARABBACgAXAAiAE0AZQB0AGgAYQBuAGUAIABmAHIAbwBtACAAbQBhAG4AdQByAGUAIABwAHIAbwBkAHUAYwB0AGkAbwBuACAAZgByAG8AbQAgAHcAZQBhAG4AZQBkACAAZABhAGkAcgB5ACAAYwBhAHQAdABsAGUAXAAiACkAOwBcAG4AXABuAFYARQBFAFIARwBfADQAXwAzAF8AMQBfADEAXwBfADIAXwBNAGUAdABoAGEAbgBlAEYAcgBvAG0ATQBhAG4AdQByAGUAUAByAG8AZAB1AGMAdABpAG8AbgBfAFYAYQByAGkAYQBiAGwAZQBcAG4AIAAgAD0ATABBAE0AQgBEAEEAKABcACIATQBfAGoAbQBcACIAKQA7AFwAbgBcAG4AVgBFAEUAUgBHAF8ANABfADMAXwAxAF8AMQBfAF8AMgBfAE0AZQB0AGgAYQBuAGUARgByAG8AbQBNAGEAbgB1AHIAZQBQAHIAbwBkAHUAYwB0AGkAbwBuAF8AVQBuAGkAdABcAG4AIAAgAD0ATABBAE0AQgBEAEEAKABcACIAawBnACAAQwBIADQALwBoAGUAYQBkAC8AZABhAHkAXAAiACkAOwBcAG4AXABuAFYARQBFAFIARwBfADQAXwAzAF8AMQBfADEAXwBfADIAXwBNAGUAdABoAGEAbgBlAEYAcgBvAG0ATQBhAG4AdQByAGUAUAByAG8AZAB1AGMAdABpAG8AbgBfAFMAbwB1AHIAYwBlAFwAbgAgACAAPQBMAEEATQBCAEQAQQAoAFwAIgBWAEUARQBSAEcAIAAyADAAMgA2ADoAIAA0AC4AMwAuADEALgAxACwAIABFAHEAdQBhAHQAaQBvAG4AIAAoADIAKQBcACIAKQA7AFwAbgBcAG4AVgBFAEUAUgBHAF8ANABfADMAXwAxAF8AMQBfAF8AMgBfAE0AZQB0AGgAYQBuAGUARgByAG8AbQBNAGEAbgB1AHIAZQBQAHIAbwBkAHUAYwB0AGkAbwBuAF8ATgBJAFIAUgBlAGYAZQByAGUAbgBjAGUAXABuACAAIAA9AEwAQQBNAEIARABBACgAXAAiAFwAIgApADsAXABuAFwAbgBWAEUARQBSAEcAXwA0AF8AMwBfADEAXwAxAF8AXwAyAF8ATQBlAHQAaABhAG4AZQBGAHIAbwBtAE0AYQBuAHUAcgBlAFAAcgBvAGQAdQBjAHQAaQBvAG4AXwBMAGEAdABlAHgARQBxAHUAYQB0AGkAbwBuAFwAbgAgACAAPQBMAEEATQBCAEQAQQAoAFwAIgBNAF8AewBqAG0AfQA9AFYAUwBfAGoAXABcAHQAaQBtAGUAcwAgAEYAVgBTAF8AewBqAG0ALABUAD0AMQB9AFwAXAB0AGkAbQBlAHMAIABNAEMARgBfAHsAaQBtAH0AXABcAHQAaQBtAGUAcwAgAEIAXwBvAFwAXAB0AGkAbQBlAHMAIABcAFwAcgBoAG8AXAAiACkAOwBcAG4AXABuAFYARQBFAFIARwBfADQAXwAzAF8AMQBfADEAXwBfADIAXwBNAGUAdABoAGEAbgBlAEYAcgBvAG0ATQBhAG4AdQByAGUAUAByAG8AZAB1AGMAdABpAG8AbgBfAEEAcgBnAHUAbQBlAG4AdABzAFwAbgAgACAAPQBMAEEATQBCAEQAQQAoAFwAbgAgACAAIAAgAE0AQQBLAEUAQQBSAFIAQQBZACgANgAsACAAMgAsAFwAbgAgACAAIAAgACAAIABMAEEATQBCAEQAQQAoAHIALABjACwAXABuACAAIAAgACAAIAAgACAAIABJAE4ARABFAFgAKAB7AFwAbgAgACAAIAAgACAAIAAgACAAIAAgAFwAIgBWAFMAXwBqAFwAIgAsACAAXAAiAGQAYQBpAGwAeQAgAHYAbwBsAGEAdABpAGwAZQAgAHMAbwBsAGkAZABzACAAcAByAG8AZAB1AGMAdABpAG8AbgAgAHAAZQByACAAaABlAGEAZAAgAGYAbwByACAAZABhAGkAcgB5ACAAYwBhAHQAdABsAGUAIAAoAGsAZwAvAGgAZQBhAGQALwBkAGEAeQApAFwAIgA7AFwAbgAgACAAIAAgACAAIAAgACAAIAAgAFwAIgBGAFYAUwBfAGoAbQBUADEAXAAiACwAIABcACIAZgByAGEAYwB0AGkAbwBuACAAbwBmACAAdwBhAHMAdABlACAAZgByAG8AbQAgAGUAYQBjAGgAIABjAGwAYQBzAHMAIABpAG4AIABlAGEAYwBoACAAbQBhAG4AYQBnAGUAbQBlAG4AdAAgAHMAeQBzAHQAZQBtAFwAIgA7AFwAbgAgACAAIAAgACAAIAAgACAAIAAgAFwAIgBNAEMARgBfAGkAbQBcACIALAAgAFwAIgBtAGUAdABoAGEAbgBlACAAYwBvAG4AdgBlAHIAcwBpAG8AbgAgAGYAYQBjAHQAbwByACAAZgBvAHIAIAB0AGUAbQBwAGUAcgBhAHQAdQByAGUAIAB6AG8AbgBlACAAYQBuAGQAIABNAE0AUwBcACIAOwBcAG4AIAAgACAAIAAgACAAIAAgACAAIABcACIAQgBfAG8AXAAiACwAIABcACIAZQBtAGkAcwBzAGkAbwBuAHMAIABwAG8AdABlAG4AdABpAGEAbAAgACgAbQAzACAAQwBIADQALwBrAGcAVgBTACkAXAAiADsAXABuACAAIAAgACAAIAAgACAAIAAgACAAXAAiAHIAaABvAFwAIgAsACAAXAAiAGQAZQBuAHMAaQB0AHkAIABvAGYAIABtAGUAdABoAGEAbgBlACAAKABrAGcALwBtADMAKQBcACIAOwBcAG4AIAAgACAAIAAgACAAIAAgACAAIABcACIAaQBcACIALAAgAFwAIgBzAHQAYQB0AGU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MwBfAFYAbwBsAGEAdABpAGwAZQBTAG8AbABpAGQAcwBGAG8AcgBXAGUAYQBuAGUAZABEAGEAaQByAHkAQwBhAHQAdABsAGUAXABuAFYAbwBsAGEAdABpAGwAZQAgAHMAbwBsAGkAZABzACAAZgBvAHIAIAB3AGUAYQBuAGUAZAAgAGQAYQBpAHIAeQAgAGMAYQB0AHQAbABlAFwAbgBWAFMAXwBqAFwAbgBrAGcALwBoAGUAYQBkAC8AZABhAHkAXABuAFYAUwBfAGoAPQAoAEkAXwBqAFwAXAB0AGkAbQBlAHMAIAAoADEALQBEAE0ARABfAGoAKQArACgAMAAuADAANABcAFwAdABpAG0AZQBzACAASQBfAGoAKQApAFwAXAB0AGkAbQBlAHMAIAAoADEALQBBACkAXABuAEkAXwBqACAAPQAgAGQAcgB5ACAAbQBhAHQAdABlAHIAIABmAGUAZQBkACAAaQBuAHQAYQBrAGUAIAAoAGsAZwBEAE0ALwBoAGUAYQBkAC8AZABhAHkAKQBcAG4ARABNAEQAXwBqACAAPQAgAGQAcgB5ACAAbQBhAHQAdABlAHIAIABkAGkAZwBlAHMAdABpAGIAaQBsAGkAdAB5AFwAbgBBACAAPQAgAGEAcwBoACAAYwBvAG4AdABlAG4AdAAgAG8AZgAgAGYAZQBlAGQAIABpAG4AdABhAGsAZQBcAG4ALQAtAC0ALQAtAC0ALQAtAC0ALQAtAC0ALQAtAC0ALQAtAC0ALQAtAC0ALQAtAC0ALQAtAC0ALQAtAC0ALQAtAC0ALQAtAC0ALQAtAFwAbgAqAC8AXABuAFwAbgBWAEUARQBSAEcAXwA0AF8AMwBfADEAXwAxAF8AXwAzAF8AVgBvAGwAYQB0AGkAbABlAFMAbwBsAGkAZABzAEYAbwByAFcAZQBhAG4AZQBkAEQAYQBpAHIAeQBDAGEAdAB0AGwAZQBcAG4AIAAgAD0ATABBAE0AQgBEAEEAKABcAG4AIAAgACAAIABJAF8AagAsACAARABNAEQAXwBqACwAIABBACwAXABuACAAIAAgACAAKABJAF8AagAgACoAIAAoADEAIAAtACAARABNAEQAXwBqACkAIAArACAAKAAwAC4AMAA0ACAAKgAgAEkAXwBqACkAKQAgACoAIAAoADEAIAAtACAAQQApAFwAbgAgACAAKQA7AFwAbgBcAG4AVgBFAEUAUgBHAF8ANABfADMAXwAxAF8AMQBfAF8AMwBfAFYAbwBsAGEAdABpAGwAZQBTAG8AbABpAGQAcwBGAG8AcgBXAGUAYQBuAGUAZABEAGEAaQByAHkAQwBhAHQAdABsAGUAXwBUAGkAdABsAGUAXABuACAAIAA9AEwAQQBNAEIARABBACgAXAAiAFYAbwBsAGEAdABpAGwAZQAgAHMAbwBsAGkAZABzACAAZgBvAHIAIAB3AGUAYQBuAGUAZAAgAGQAYQBpAHIAeQAgAGMAYQB0AHQAbABlAFwAIgApADsAXABuAFwAbgBWAEUARQBSAEcAXwA0AF8AMwBfADEAXwAxAF8AXwAzAF8AVgBvAGwAYQB0AGkAbABlAFMAbwBsAGkAZABzAEYAbwByAFcAZQBhAG4AZQBkAEQAYQBpAHIAeQBDAGEAdAB0AGwAZQBfAFYAYQByAGkAYQBiAGwAZQBcAG4AIAAgAD0ATABBAE0AQgBEAEEAKABcACIAVgBTAF8AagBcACIAKQA7AFwAbgBcAG4AVgBFAEUAUgBHAF8ANABfADMAXwAxAF8AMQBfAF8AMwBfAFYAbwBsAGEAdABpAGwAZQBTAG8AbABpAGQAcwBGAG8AcgBXAGUAYQBuAGUAZABEAGEAaQByAHkAQwBhAHQAdABsAGUAXwBVAG4AaQB0AFwAbgAgACAAPQBMAEEATQBCAEQAQQAoAFwAIgBrAGcALwBoAGUAYQBkAC8AZABhAHkAXAAiACkAOwBcAG4AXABuAFYARQBFAFIARwBfADQAXwAzAF8AMQBfADEAXwBfADMAXwBWAG8AbABhAHQAaQBsAGUAUwBvAGwAaQBkAHMARgBvAHIAVwBlAGEAbgBlAGQARABhAGkAcgB5AEMAYQB0AHQAbABlAF8AUwBvAHUAcgBjAGUAXABuACAAIAA9AEwAQQBNAEIARABBACgAXAAiAFYARQBFAFIARwAgADIAMAAyADYAOgAgADQALgAzAC4AMQAuADEALAAgAEUAcQB1AGEAdABpAG8AbgAgACgAMwApAFwAIgApADsAXABuAFwAbgBWAEUARQBSAEcAXwA0AF8AMwBfADEAXwAxAF8AXwAzAF8AVgBvAGwAYQB0AGkAbABlAFMAbwBsAGkAZABzAEYAbwByAFcAZQBhAG4AZQBkAEQAYQBpAHIAeQBDAGEAdAB0AGwAZQBfAE4ASQBSAFIAZQBmAGUAcgBlAG4AYwBlAFwAbgAgACAAPQBMAEEATQBCAEQAQQAoAFwAIgBcACIAKQA7AFwAbgBcAG4AVgBFAEUAUgBHAF8ANABfADMAXwAxAF8AMQBfAF8AMwBfAFYAbwBsAGEAdABpAGwAZQBTAG8AbABpAGQAcwBGAG8AcgBXAGUAYQBuAGUAZABEAGEAaQByAHkAQwBhAHQAdABsAGUAXwBMAGEAdABlAHgARQBxAHUAYQB0AGkAbwBuAFwAbgAgACAAPQBMAEEATQBCAEQAQQAoAFwAIgBWAFMAXwBqAD0AKABJAF8AagBcAFwAdABpAG0AZQBzACAAKAAxAC0ARABNAEQAXwBqACkAKwAoADAALgAwADQAXABcAHQAaQBtAGUAcwAgAEkAXwBqACkAKQBcAFwAdABpAG0AZQBzACAAKAAxAC0AQQApAFwAIgApADsAXABuAFwAbgBWAEUARQBSAEcAXwA0AF8AMwBfADEAXwAxAF8AXwAzAF8AVgBvAGwAYQB0AGkAbABlAFMAbwBsAGkAZABzAEYAbwByAFcAZQBhAG4AZQBkAEQAYQBpAHIAeQBDAGEAdAB0AGwAZQBfAEEAcgBnAHUAbQBlAG4AdABzAFwAbgAgACAAPQBMAEEATQBCAEQAQQAoAFwAbgAgACAAIAAgAE0AQQBLAEUAQQBSAFIAQQBZACgAMwAsACAAMgAsAFwAbgAgACAAIAAgACAAIABMAEEATQBCAEQAQQAoAHIALABjACwAXABuACAAIAAgACAAIAAgACAAIABJAE4ARABFAFgAKAB7AFwAbgAgACAAIAAgACAAIAAgACAAIAAgAFwAIgBJAF8AagBcACIALAAgAFwAIgBkAHIAeQAgAG0AYQB0AHQAZQByACAAZgBlAGUAZAAgAGkAbgB0AGEAawBlACAAKABrAGcARABNAC8AaABlAGEAZAAvAGQAYQB5ACkAXAAiADsAXABuACAAIAAgACAAIAAgACAAIAAgACAAXAAiAEQATQBEAF8AagBcACIALAAgAFwAIgBkAHIAeQAgAG0AYQB0AHQAZQByACAAZABpAGcAZQBzAHQAaQBiAGkAbABpAHQAeQBcACIAOwBcAG4AIAAgACAAIAAgACAAIAAgACAAIABcACIAQQBcACIALAAgAFwAIgBhAHMAaAAgAGMAbwBuAHQAZQBuAHQAIABvAGYAIABmAGUAZQBkACAAaQBuAHQAYQBrAGU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ABfAEYAcgBhAGMAdABpAG8AbgBWAG8AbABhAHQAaQBsAGUAUwBvAGwAaQBkAHMATgBvAHQAUwBvAGwAaQBkAFMAdABvAHIAYQBnAGUAXABuAEYAcgBhAGMAdABpAG8AbgAgAG8AZgAgAHYAbwBsAGEAdABpAGwAZQAgAHMAbwBsAGkAZABzACAAaQBuACAAZQBhAGMAaAAgAHMAeQBzAHQAZQBtACAAbwB0AGgAZQByACAAdABoAGEAbgAgAHMAbwBsAGkAZAAgAHMAdABvAHIAYQBnAGUAXABuAEYAVgBTAF8AagBtAFwAbgBmAHIAYQBjAHQAaQBvAG4AXABuAEYAVgBTAF8AewBqAG0AfQA9AE0ATQBTAF8AewBqAG0AfQBcAFwAdABpAG0AZQBzACAAKAAxAC0AUwBTAF8AbQApAFwAbgBTAFMAXwBtACAAPQAgAGYAcgBhAGMAdABpAG8AbgAgAG8AZgAgAHYAbwBsAGEAdABpAGwAZQAgAHMAbwBsAGkAZABzACAAcwBlAHAAYQByAGEAdABlAGQAIAB0AG8AIABzAG8AbABpAGQAIABzAHQAbwByAGEAZwBlACAAZgBvAHIAIABlAGEAYwBoACAATQBNAFMAXABuAE0ATQBTAF8AagBtACAAPQAgAGYAcgBhAGMAdABpAG8AbgAgAG8AZgAgAG0AYQBuAHUAcgBlACAAdABvACAAZQBhAGMAaAAgAHAAcgBpAG0AYQByAHkAIABNAE0AUwAgAGYAbwByACAAZQBhAGMAaAAgAGMAbABhAHMAcwAgAHAAcgBpAG8AcgAgAHQAbwAgAHMAbwBsAGkAZAAgAHMAZQBwAGEAcgBhAHQAaQBvAG4AXABuAC0ALQAtAC0ALQAtAC0ALQAtAC0ALQAtAC0ALQAtAC0ALQAtAC0ALQAtAC0ALQAtAC0ALQAtAC0ALQAtAC0ALQAtAC0ALQAtAC0ALQBcAG4AKgAvAFwAbgBcAG4AVgBFAEUAUgBHAF8ANABfADMAXwAxAF8AMQBfAF8ANABfAEYAcgBhAGMAdABpAG8AbgBWAG8AbABhAHQAaQBsAGUAUwBvAGwAaQBkAHMATgBvAHQAUwBvAGwAaQBkAFMAdABvAHIAYQBnAGUAXABuACAAIAA9AEwAQQBNAEIARABBACgAXABuACAAIAAgACAATQBNAFMAXwBqAG0ALAAgAFMAUwBfAG0ALABcAG4AIAAgACAAIABNAE0AUwBfAGoAbQAgACoAIAAoADEAIAAtACAAUwBTAF8AbQApAFwAbgAgACAAKQA7AFwAbgBcAG4AVgBFAEUAUgBHAF8ANABfADMAXwAxAF8AMQBfAF8ANABfAEYAcgBhAGMAdABpAG8AbgBWAG8AbABhAHQAaQBsAGUAUwBvAGwAaQBkAHMATgBvAHQAUwBvAGwAaQBkAFMAdABvAHIAYQBnAGUAXwBUAGkAdABsAGUAXABuACAAIAA9AEwAQQBNAEIARABBACgAXAAiAEYAcgBhAGMAdABpAG8AbgAgAG8AZgAgAHYAbwBsAGEAdABpAGwAZQAgAHMAbwBsAGkAZABzACAAaQBuACAAZQBhAGMAaAAgAHMAeQBzAHQAZQBtACAAbwB0AGgAZQByACAAdABoAGEAbgAgAHMAbwBsAGkAZAAgAHMAdABvAHIAYQBnAGUAXAAiACkAOwBcAG4AXABuAFYARQBFAFIARwBfADQAXwAzAF8AMQBfADEAXwBfADQAXwBGAHIAYQBjAHQAaQBvAG4AVgBvAGwAYQB0AGkAbABlAFMAbwBsAGkAZABzAE4AbwB0AFMAbwBsAGkAZABTAHQAbwByAGEAZwBlAF8AVgBhAHIAaQBhAGIAbABlAFwAbgAgACAAPQBMAEEATQBCAEQAQQAoAFwAIgBGAFYAUwBfAGoAbQBcACIAKQA7AFwAbgBcAG4AVgBFAEUAUgBHAF8ANABfADMAXwAxAF8AMQBfAF8ANABfAEYAcgBhAGMAdABpAG8AbgBWAG8AbABhAHQAaQBsAGUAUwBvAGwAaQBkAHMATgBvAHQAUwBvAGwAaQBkAFMAdABvAHIAYQBnAGUAXwBVAG4AaQB0AFwAbgAgACAAPQBMAEEATQBCAEQAQQAoAFwAIgBmAHIAYQBjAHQAaQBvAG4AXAAiACkAOwBcAG4AXABuAFYARQBFAFIARwBfADQAXwAzAF8AMQBfADEAXwBfADQAXwBGAHIAYQBjAHQAaQBvAG4AVgBvAGwAYQB0AGkAbABlAFMAbwBsAGkAZABzAE4AbwB0AFMAbwBsAGkAZABTAHQAbwByAGEAZwBlAF8AUwBvAHUAcgBjAGUAXABuACAAIAA9AEwAQQBNAEIARABBACgAXAAiAFYARQBFAFIARwAgADIAMAAyADYAOgAgADQALgAzAC4AMQAuADEALAAgAEUAcQB1AGEAdABpAG8AbgAgACgANAApAFwAIgApADsAXABuAFwAbgBWAEUARQBSAEcAXwA0AF8AMwBfADEAXwAxAF8AXwA0AF8ARgByAGEAYwB0AGkAbwBuAFYAbwBsAGEAdABpAGwAZQBTAG8AbABpAGQAcwBOAG8AdABTAG8AbABpAGQAUwB0AG8AcgBhAGcAZQBfAE4ASQBSAFIAZQBmAGUAcgBlAG4AYwBlAFwAbgAgACAAPQBMAEEATQBCAEQAQQAoAFwAIgBcACIAKQA7AFwAbgBcAG4AVgBFAEUAUgBHAF8ANABfADMAXwAxAF8AMQBfAF8ANABfAEYAcgBhAGMAdABpAG8AbgBWAG8AbABhAHQAaQBsAGUAUwBvAGwAaQBkAHMATgBvAHQAUwBvAGwAaQBkAFMAdABvAHIAYQBnAGUAXwBMAGEAdABlAHgARQBxAHUAYQB0AGkAbwBuAFwAbgAgACAAPQBMAEEATQBCAEQAQQAoAFwAIgBGAFYAUwBfAHsAagBtAH0APQBNAE0AUwBfAHsAagBtAH0AXABcAHQAaQBtAGUAcwAgACgAMQAtAFMAUwBfAG0AKQBcACIAKQA7AFwAbgBcAG4AVgBFAEUAUgBHAF8ANABfADMAXwAxAF8AMQBfAF8ANABfAEYAcgBhAGMAdABpAG8AbgBWAG8AbABhAHQAaQBsAGUAUwBvAGwAaQBkAHMATgBvAHQAUwBvAGwAaQBkAFMAdABvAHIAYQBnAGUAXwBBAHIAZwB1AG0AZQBuAHQAcwBcAG4AIAAgAD0ATABBAE0AQgBEAEEAKABcAG4AIAAgACAAIABNAEEASwBFAEEAUgBSAEEAWQAoADIALAAgADIALABcAG4AIAAgACAAIAAgACAATABBAE0AQgBEAEEAKAByACwAYwAsAFwAbgAgACAAIAAgACAAIAAgACAASQBOAEQARQBYACgAewBcAG4AIAAgACAAIAAgACAAIAAgACAAIABcACIATQBNAFMAXwBqAG0AXAAiACwAIABcACIAZgByAGEAYwB0AGkAbwBuACAAbwBmACAAbQBhAG4AdQByAGUAIAB0AG8AIABlAGEAYwBoACAAcAByAGkAbQBhAHIAeQAgAE0ATQBTACAAZgBvAHIAIABlAGEAYwBoACAAYwBsAGEAcwBzACAAcAByAGkAbwByACAAdABvACAAcwBvAGwAaQBkACAAcwBlAHAAYQByAGEAdABpAG8AbgBcACIAOwBcAG4AIAAgACAAIAAgACAAIAAgACAAIABcACIAUwBTAF8AbQBcACIALAAgAFwAIgBmAHIAYQBjAHQAaQBvAG4AIABvAGYAIAB2AG8AbABhAHQAaQBsAGUAIABzAG8AbABpAGQAcwAgAHMAZQBwAGEAcgBhAHQAZQBkACAAdABvACAAcwBvAGwAaQBkACAAcwB0AG8AcgBhAGcAZQAgAGYAbwByACAAZQBhAGMAaAAgAE0ATQBT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UAXwBGAHIAYQBjAHQAaQBvAG4AVgBvAGwAYQB0AGkAbABlAFMAbwBsAGkAZABzAFMAbwBsAGkAZABTAHQAbwByAGEAZwBlAFwAbgBGAHIAYQBjAHQAaQBvAG4AIABvAGYAIAB2AG8AbABhAHQAaQBsAGUAIABzAG8AbABpAGQAcwAgAGkAbgAgAHMAbwBsAGkAZAAgAHMAdABvAHIAYQBnAGUAXABuAEYAVgBTAF8AagBtADQAXABuAGYAcgBhAGMAdABpAG8AbgBcAG4ARgBWAFMAXwB7AGoAbQA9ADQAfQA9AE0ATQBTAF8AewBqAG0APQA0AH0AKwAoAE0ATQBTAF8AewBqAG0APQAxACwANwAsADkAfQBcAFwAdABpAG0AZQBzACAAUwBTAF8AbQApAFwAbgBNAE0AUwBfAGoAbQA0ACAAPQAgAGYAcgBhAGMAdABpAG8AbgAgAG8AZgAgAHYAbwBsAGEAdABpAGwAZQAgAHMAbwBsAGkAZABzACAAaQBuACAAcwBvAGwAaQBkACAAcwB0AG8AcgBhAGcAZQAgAGIAZQBmAG8AcgBlACAAdAByAGEAbgBzAGYAZQByAFwAbgBNAE0AUwBfAGoAbQAxADcAOQAgAD0AIABmAHIAYQBjAHQAaQBvAG4AIABvAGYAIAB2AG8AbABhAHQAaQBsAGUAIABzAG8AbABpAGQAcwAgAGkAbgAgAE0ATQBTACAAbQA9ADEALAA3ACwAOQAgAGIAZQBmAG8AcgBlACAAdAByAGEAbgBzAGYAZQByAFwAbgBTAFMAXwBtACAAPQAgAGYAcgBhAGMAdABpAG8AbgAgAG8AZgAgAHYAbwBsAGEAdABpAGwAZQAgAHMAbwBsAGkAZABzACAAcwBlAHAAYQByAGEAdABlAGQAIAB0AG8AIABzAG8AbABpAGQAIABzAHQAbwByAGEAZwBlACAAZgBvAHIAIABlAGEAYwBoACAATQBNAFMAXABuAC0ALQAtAC0ALQAtAC0ALQAtAC0ALQAtAC0ALQAtAC0ALQAtAC0ALQAtAC0ALQAtAC0ALQAtAC0ALQAtAC0ALQAtAC0ALQAtAC0ALQBcAG4AKgAvAFwAbgBcAG4AVgBFAEUAUgBHAF8ANABfADMAXwAxAF8AMQBfAF8ANQBfAEYAcgBhAGMAdABpAG8AbgBWAG8AbABhAHQAaQBsAGUAUwBvAGwAaQBkAHMAUwBvAGwAaQBkAFMAdABvAHIAYQBnAGUAXABuACAAIAA9AEwAQQBNAEIARABBACgAXABuACAAIAAgACAATQBNAFMAXwBqAG0ANAAsACAATQBNAFMAXwBqAG0AMQA3ADkALAAgAFMAUwBfAG0ALABcAG4AIAAgACAAIABNAE0AUwBfAGoAbQA0ACAAKwAgACgATQBNAFMAXwBqAG0AMQA3ADkAIAAqACAAUwBTAF8AbQApAFwAbgAgACAAKQA7AFwAbgBcAG4AVgBFAEUAUgBHAF8ANABfADMAXwAxAF8AMQBfAF8ANQBfAEYAcgBhAGMAdABpAG8AbgBWAG8AbABhAHQAaQBsAGUAUwBvAGwAaQBkAHMAUwBvAGwAaQBkAFMAdABvAHIAYQBnAGUAVgBhAHIAaQBhAHQAaQBvAG4AXABuACAAIAA9AEwAQQBNAEIARABBACgAXABuACAAIAAgACAATQBNAFMAXwBqAG0ANAAsACAATQBNAFMAXwBqAG0AMQAsACAATQBNAFMAXwBqAG0ANwAsACAATQBNAFMAXwBqAG0AOQAsACAAUwBTAF8AbQAxACwAIABTAFMAXwBtADcALAAgAFMAUwBfAG0AOQAsAFwAbgAgACAAIAAgAE0ATQBTAF8AagBtADQAIAArACAAKABNAE0AUwBfAGoAbQAxACAAKgAgAFMAUwBfAG0AMQApACAAKwAgACgATQBNAFMAXwBqAG0ANwAgACoAIABTAFMAXwBtADcAKQAgACsAIAAoAE0ATQBTAF8AagBtADkAIAAqACAAUwBTAF8AbQA5ACkAXABuACAAIAApADsAXABuAFwAbgBcAG4AVgBFAEUAUgBHAF8ANABfADMAXwAxAF8AMQBfAF8ANQBfAEYAcgBhAGMAdABpAG8AbgBWAG8AbABhAHQAaQBsAGUAUwBvAGwAaQBkAHMAUwBvAGwAaQBkAFMAdABvAHIAYQBnAGUAXwBUAGkAdABsAGUAXABuACAAIAA9AEwAQQBNAEIARABBACgAXAAiAEYAcgBhAGMAdABpAG8AbgAgAG8AZgAgAHYAbwBsAGEAdABpAGwAZQAgAHMAbwBsAGkAZABzACAAaQBuACAAcwBvAGwAaQBkACAAcwB0AG8AcgBhAGcAZQBcACIAKQA7AFwAbgBcAG4AVgBFAEUAUgBHAF8ANABfADMAXwAxAF8AMQBfAF8ANQBfAEYAcgBhAGMAdABpAG8AbgBWAG8AbABhAHQAaQBsAGUAUwBvAGwAaQBkAHMAUwBvAGwAaQBkAFMAdABvAHIAYQBnAGUAXwBWAGEAcgBpAGEAYgBsAGUAXABuACAAIAA9AEwAQQBNAEIARABBACgAXAAiAEYAVgBTAF8AagBtADQAXAAiACkAOwBcAG4AXABuAFYARQBFAFIARwBfADQAXwAzAF8AMQBfADEAXwBfADUAXwBGAHIAYQBjAHQAaQBvAG4AVgBvAGwAYQB0AGkAbABlAFMAbwBsAGkAZABzAFMAbwBsAGkAZABTAHQAbwByAGEAZwBlAF8AVQBuAGkAdABcAG4AIAAgAD0ATABBAE0AQgBEAEEAKABcACIAZgByAGEAYwB0AGkAbwBuAFwAIgApADsAXABuAFwAbgBWAEUARQBSAEcAXwA0AF8AMwBfADEAXwAxAF8AXwA1AF8ARgByAGEAYwB0AGkAbwBuAFYAbwBsAGEAdABpAGwAZQBTAG8AbABpAGQAcwBTAG8AbABpAGQAUwB0AG8AcgBhAGcAZQBfAFMAbwB1AHIAYwBlAFwAbgAgACAAPQBMAEEATQBCAEQAQQAoAFwAIgBWAEUARQBSAEcAIAAyADAAMgA2ADoAIAA0AC4AMwAuADEALgAxACwAIABFAHEAdQBhAHQAaQBvAG4AIAAoADUAKQBcACIAKQA7AFwAbgBcAG4AVgBFAEUAUgBHAF8ANABfADMAXwAxAF8AMQBfAF8ANQBfAEYAcgBhAGMAdABpAG8AbgBWAG8AbABhAHQAaQBsAGUAUwBvAGwAaQBkAHMAUwBvAGwAaQBkAFMAdABvAHIAYQBnAGUAXwBOAEkAUgBSAGUAZgBlAHIAZQBuAGMAZQBcAG4AIAAgAD0ATABBAE0AQgBEAEEAKABcACIAXAAiACkAOwBcAG4AXABuAFYARQBFAFIARwBfADQAXwAzAF8AMQBfADEAXwBfADUAXwBGAHIAYQBjAHQAaQBvAG4AVgBvAGwAYQB0AGkAbABlAFMAbwBsAGkAZABzAFMAbwBsAGkAZABTAHQAbwByAGEAZwBlAF8ATABhAHQAZQB4AEUAcQB1AGEAdABpAG8AbgBcAG4AIAAgAD0ATABBAE0AQgBEAEEAKABcACIARgBWAFMAXwB7AGoAbQA9ADQAfQA9AE0ATQBTAF8AewBqAG0APQA0AH0AKwAoAE0ATQBTAF8AewBqAG0APQAxACwANwAsADkAfQBcAFwAdABpAG0AZQBzACAAUwBTAF8AbQApAFwAIgApADsAXABuAFwAbgBWAEUARQBSAEcAXwA0AF8AMwBfADEAXwAxAF8AXwA1AF8ARgByAGEAYwB0AGkAbwBuAFYAbwBsAGEAdABpAGwAZQBTAG8AbABpAGQAcwBTAG8AbABpAGQAUwB0AG8AcgBhAGcAZQBfAEwAYQB0AGUAeABFAHEAdQBhAHQAaQBvAG4AVgBhAHIAaQBhAHQAaQBvAG4AXABuACAAIAA9AEwAQQBNAEIARABBACgAXAAiAEYAVgBTAF8AewBqAG0APQA0AH0APQBNAE0AUwBfAHsAagBtAD0ANAB9ACsAKABNAE0AUwBfAHsAagBtAD0AMQB9AFwAXAB0AGkAbQBlAHMAIABTAFMAXwB7AG0APQAxAH0AKQArACgATQBNAFMAXwB7AGoAbQA9ADcAfQBcAFwAdABpAG0AZQBzACAAUwBTAF8AewBtAD0ANwB9ACkAKwAoAE0ATQBTAF8AewBqAG0APQA5AH0AXABcAHQAaQBtAGUAcwAgAFMAUwBfAHsAbQA9ADkAfQApAFwAIgApADsAXABuAFwAbgBWAEUARQBSAEcAXwA0AF8AMwBfADEAXwAxAF8AXwA1AF8ARgByAGEAYwB0AGkAbwBuAFYAbwBsAGEAdABpAGwAZQBTAG8AbABpAGQAcwBTAG8AbABpAGQAUwB0AG8AcgBhAGcAZQBfAEEAcgBnAHUAbQBlAG4AdABzAFwAbgAgACAAPQBMAEEATQBCAEQAQQAoAFwAbgAgACAAIAAgAE0AQQBLAEUAQQBSAFIAQQBZACgAMwAsACAAMgAsAFwAbgAgACAAIAAgACAAIABMAEEATQBCAEQAQQAoAHIALABjACwAXABuACAAIAAgACAAIAAgACAAIABJAE4ARABFAFgAKAB7AFwAbgAgACAAIAAgACAAIAAgACAAIAAgAFwAIgBNAE0AUwBfAGoAbQA0AFwAIgAsACAAXAAiAGYAcgBhAGMAdABpAG8AbgAgAG8AZgAgAHYAbwBsAGEAdABpAGwAZQAgAHMAbwBsAGkAZABzACAAaQBuACAAcwBvAGwAaQBkACAAcwB0AG8AcgBhAGcAZQAgAGIAZQBmAG8AcgBlACAAdAByAGEAbgBzAGYAZQByAFwAIgA7AFwAbgAgACAAIAAgACAAIAAgACAAIAAgAFwAIgBNAE0AUwBfAGoAbQAxADcAOQBcACIALAAgAFwAIgBmAHIAYQBjAHQAaQBvAG4AIABvAGYAIAB2AG8AbABhAHQAaQBsAGUAIABzAG8AbABpAGQAcwAgAGkAbgAgAE0ATQBTACAAbQA9ADEALAA3ACwAOQAgAGIAZQBmAG8AcgBlACAAdAByAGEAbgBzAGYAZQByAFwAIgA7AFwAbgAgACAAIAAgACAAIAAgACAAIAAgAFwAIgBTAFMAXwBtAFwAIgAsACAAXAAiAGYAcgBhAGMAdABpAG8AbgAgAG8AZgAgAHYAbwBsAGEAdABpAGwAZQAgAHMAbwBsAGkAZABzACAAcwBlAHAAYQByAGEAdABlAGQAIAB0AG8AIABzAG8AbABpAGQAIABzAHQAbwByAGEAZwBlACAAZgBvAHIAIABlAGEAYwBoACAATQBNAFMAXAAiAFwAbgAgACAAIAAgACAAIAAgACAAfQAsACAAcgAsACAAYwApAFwAbgAgACAAIAAgACAAIAApAFwAbgAgACAAIAAgACkAXABuACAAIAApADsAXABuAFwAbgBWAEUARQBSAEcAXwA0AF8AMwBfADEAXwAxAF8AXwA1AF8ARgByAGEAYwB0AGkAbwBuAFYAbwBsAGEAdABpAGwAZQBTAG8AbABpAGQAcwBTAG8AbABpAGQAUwB0AG8AcgBhAGcAZQBfAFYAYQByAGkAYQB0AGkAbwBuAFwAbgAgACAAPQBMAEEATQBCAEQAQQAoAFwAIgBVAHMAZQBkACAAcwBlAHAAYQByAGEAdABlACAAdgBhAHIAaQBhAGIAbABlAHMAIABmAG8AcgAgAE0ATQBTACAAYQBuAGQAIABTAFMAIABtACAAMQAsACAANwAgAGEAbgBkACAAOQAuAFwAIgApADsAXABuAFwAbgAiAH0ALAB7ACIAcABhAHQAaAAiADoAIgAvAHAAcgBvAGoAZQBjAHQAcwAvAE0ATQBTAF8ARABhAGkAcgB5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wAgAE0AZQB0AGgAbwBkACAAMQAgAC0AIABNAGEAbgB1AHIAZQAgAEQAaQByAGUAYwB0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E0ATgBfAHsAagBtAH0AXABcAHQAaQBtAGUAcwAgAEUARgBfAG0AXABcAHQAaQBtAGUAcwAgAEMAXwB7AE4AMgBPAH0AXABcAHQAaQBtAGUAcwAgADEAMABeAHsALQAzAH0AXABuAE0ATgBfAGoAbQAgAD0AIAB0AG8AdABhAGwAIABuAGkAdAByAG8AZwBlAG4AIABpAG4AIABlAGEAYwBoACAATQBNAFMAIABmAG8AcgAgAGQAYQBpAHIAeQAgAGMAYQB0AHQAbABlACAAYwBsAGEAcwBzAGUAcwAgACgAawBnACAATgApAFwAbgBFAEYAXwBtACAAPQAgAG4AaQB0AHIAbwB1AHMAIABvAHgAaQBkAGUAIABlAG0AaQBzAHMAaQBvAG4AIABmAGEAYwB0AG8AcgAgAGYAbwByACAAZQBhAGMAaAAgAE0ATQBT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MAXwBfADEAXwBUAG8AdABhAGwAQQBuAG4AdQBhAGwARABpAHIAZQBjAHQATgBpAHQAcgBvAHUAcwBPAHgAaQBkAGUARQBtAGkAcwBzAGkAbwBuAHMARgByAG8AbQBNAE0AUwBcAG4AIAAgAD0ATABBAE0AQgBEAEEAKABcAG4AIAAgACAAIABNAE4AXwBqAG0ALAAgAEUARgBfAG0ALAAgAEMAXwBOADIATwAsAFwAbgAgACAAIAAgAE0ATgBfAGoAbQAgACoAIABFAEYAXwBtACAAKgAgAEMAXwBOADIATwAgACoAIAAxADAAIABeACAALQAzAFwAbgAgACAAKQA7AFwAbgBcAG4AVgBFAEUAUgBHAF8ANABfADM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zAF8AMQBfADMAXwBfADEAXwBUAG8AdABhAGwAQQBuAG4AdQBhAGwARABpAHIAZQBjAHQATgBpAHQAcgBvAHUAcwBPAHgAaQBkAGUARQBtAGkAcwBzAGkAbwBuAHMARgByAG8AbQBNAE0AUwBfAFYAYQByAGkAYQBiAGwAZQBcAG4AIAAgAD0ATABBAE0AQgBEAEEAKABcACIARQBfAE4AMgBPAGQAaQByAFwAIgApADsAXABuAFwAbgBWAEUARQBSAEcAXwA0AF8AMwBfADEAXwAzAF8AXwAxAF8AVABvAHQAYQBsAEEAbgBuAHUAYQBsAEQAaQByAGUAYwB0AE4AaQB0AHIAbwB1AHMATwB4AGkAZABlAEUAbQBpAHMAcwBpAG8AbgBzAEYAcgBvAG0ATQBNAFMAXwBVAG4AaQB0AFwAbgAgACAAPQBMAEEATQBCAEQAQQAoAFwAIgB0ACAATgAyAE8AXAAiACkAOwBcAG4AXABuAFYARQBFAFIARwBfADQAXwAzAF8AMQBfADMAXwBfADEAXwBUAG8AdABhAGwAQQBuAG4AdQBhAGwARABpAHIAZQBjAHQATgBpAHQAcgBvAHUAcwBPAHgAaQBkAGUARQBtAGkAcwBzAGkAbwBuAHMARgByAG8AbQBNAE0AUwBfAFMAbwB1AHIAYwBlAFwAbgAgACAAPQBMAEEATQBCAEQAQQAoAFwAIgBWAEUARQBSAEcAIAAyADAAMgA2ADoAIAA0AC4AMwAuADEALgAzACwAIABFAHEAdQBhAHQAaQBvAG4AIAAoADEAKQBcACIAKQA7AFwAbgBcAG4AVgBFAEUAUgBHAF8ANABfADMAXwAxAF8AMwBfAF8AMQBfAFQAbwB0AGEAbABBAG4AbgB1AGEAbABEAGkAcgBlAGMAdABOAGkAdAByAG8AdQBzAE8AeABpAGQAZQBFAG0AaQBzAHMAaQBvAG4AcwBGAHIAbwBtAE0ATQBTAF8ATgBJAFIAUgBlAGYAZQByAGUAbgBjAGUAXABuACAAIAA9AEwAQQBNAEIARABBACgAXAAiAFwAIgApADsAXABuAFwAbgBWAEUARQBSAEcAXwA0AF8AMwBfADEAXwAzAF8AXwAxAF8AVABvAHQAYQBsAEEAbgBuAHUAYQBsAEQAaQByAGUAYwB0AE4AaQB0AHIAbwB1AHMATwB4AGkAZABlAEUAbQBpAHMAcwBpAG8AbgBzAEYAcgBvAG0ATQBNAFMAXwBMAGEAdABlAHgARQBxAHUAYQB0AGkAbwBuAFwAbgAgACAAPQBMAEEATQBCAEQAQQAoAFwAIgBFAF8AewBOADIATwAsAGQAaQByAH0APQBcAFwAcwB1AG0AXABcAG4AbwBsAGkAbQBpAHQAcwBfAHsAagB9AFwAXABzAHUAbQBcAFwAbgBvAGwAaQBtAGkAdABzAF8AewBtAH0AKABNAE4AXwB7AGoAbQB9AFwAXAB0AGkAbQBlAHMAIABFAEYAXwBtAFwAXAB0AGkAbQBlAHMAIABDAF8AewBOADIATwB9AFwAXAB0AGkAbQBlAHMAIAAxADAAXgB7AC0AMwB9ACkAXAAiACkAOwBcAG4AXABuAFYARQBFAFIARwBfADQAXwAzAF8AMQBfADMAXwBfADEAXwBUAG8AdABhAGwAQQBuAG4AdQBhAGwARABpAHIAZQBjAHQATgBpAHQAcgBvAHUAcwBPAHgAaQBkAGUARQBtAGkAcwBzAGkAbwBuAHMARgByAG8AbQBNAE0AUwBfAEEAcgBnAHUAbQBlAG4AdABzAFwAbgAgACAAPQBMAEEATQBCAEQAQQAoAFwAbgAgACAAIAAgAE0AQQBLAEUAQQBSAFIAQQBZACgAMwAsACAAMg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IAAoAGsAZwAgAE4AKQBcACIAOwBcAG4AIAAgACAAIAAgACAAIAAgACAAIABcACIARQBGAF8AbQBcACIALAAgAFwAIgBuAGkAdAByAG8AdQBzACAAbwB4AGkAZABlACAAZQBtAGkAcwBzAGkAbwBuACAAZgBhAGMAdABvAHIAIABmAG8AcgAgAGUAYQBjAGgAIABNAE0AUwAgACgAawBnACAATgAyAE8ALQBOAC8AawBnACAATgAgAGQAZQBwAG8AcwBpAHQAZQBkACkAXAAiADsAXABuACAAIAAgACAAIAAgACAAIAAgACAAXAAiAEMAXwBOADIATwBcACIALAAgAFwAIgBmAGEAYwB0AG8AcgAgAHQAbwAgAGMAbwBuAHYAZQByAHQAIABlAGwAZQBtAGUAbgB0AGEAbAAgAG0AYQBzAHMAIABvAGYAIABOADIATwAgAHQAbwAgAG0AbwBsAGUAYwB1AGwAYQByACAAbQBhAHMAcw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yAF8AVABvAHQAYQBsAE4AaQB0AHIAbwBnAGUAbgBJAG4ARQBhAGMAaABNAE0AUwBcAG4AVABvAHQAYQBsACAAbgBpAHQAcgBvAGcAZQBuACAAaQBuACAAZQBhAGMAaAAgAE0ATQBTAFwAbgBNAE4AXwBqAG0AXABuAGsAZwAgAE4AXABuAE0ATgBfAHsAagBtAH0APQBBAEUAXwBqAFwAXAB0AGkAbQBlAHMAIABNAE0AUwBfAHsAagBtAH0AXABuAEEARQBfAGoAIAA9ACAAdABvAHQAYQBsACAAbgBpAHQAcgBvAGcAZQBuACAAZQB4AGMAcgBlAHQAZQBkACAAYgB5ACAAZQBhAGMAaAAgAGQAYQBpAHIAeQAgAGMAbABhAHMAcwAgACgAawBnACAATgApAFwAbgBNAE0AUwBfAGoAbQAgAD0AIABtAGEAbgB1AHIAZQAgAG0AYQBuAGEAZwBlAG0AZQBuAHQAIABzAHkAcwB0AGUAbQAgAGYAcgBhAGMAdABpAG8AbgAgAGYAbwByACAAYwBsAGEAcwBzACAAagAgAGEAbgBkACAAcwB5AHMAdABlAG0AIABtAFwAbgAtAC0ALQAtAC0ALQAtAC0ALQAtAC0ALQAtAC0ALQAtAC0ALQAtAC0ALQAtAC0ALQAtAC0ALQAtAC0ALQAtAC0ALQAtAC0ALQAtAC0AXABuACoALwBcAG4AXABuAFYARQBFAFIARwBfADQAXwAzAF8AMQBfADMAXwBfADIAXwBUAG8AdABhAGwATgBpAHQAcgBvAGcAZQBuAEkAbgBFAGEAYwBoAE0ATQBTAFwAbgAgACAAPQBMAEEATQBCAEQAQQAoAFwAbgAgACAAIAAgAEEARQBfAGoALAAgAE0ATQBTAF8AagBtACwAXABuACAAIAAgACAAQQBFAF8AagAgACoAIABNAE0AUwBfAGoAbQBcAG4AIAAgACkAOwBcAG4AXABuAFYARQBFAFIARwBfADQAXwAzAF8AMQBfADMAXwBfADIAXwBUAG8AdABhAGwATgBpAHQAcgBvAGcAZQBuAEkAbgBFAGEAYwBoAE0ATQBTAF8AVABpAHQAbABlAFwAbgAgACAAPQBMAEEATQBCAEQAQQAoAFwAIgBUAG8AdABhAGwAIABuAGkAdAByAG8AZwBlAG4AIABpAG4AIABlAGEAYwBoACAATQBNAFMAXAAiACkAOwBcAG4AXABuAFYARQBFAFIARwBfADQAXwAzAF8AMQBfADMAXwBfADIAXwBUAG8AdABhAGwATgBpAHQAcgBvAGcAZQBuAEkAbgBFAGEAYwBoAE0ATQBTAF8AVgBhAHIAaQBhAGIAbABlAFwAbgAgACAAPQBMAEEATQBCAEQAQQAoAFwAIgBNAE4AXwBqAG0AXAAiACkAOwBcAG4AXABuAFYARQBFAFIARwBfADQAXwAzAF8AMQBfADMAXwBfADIAXwBUAG8AdABhAGwATgBpAHQAcgBvAGcAZQBuAEkAbgBFAGEAYwBoAE0ATQBTAF8AVQBuAGkAdABcAG4AIAAgAD0ATABBAE0AQgBEAEEAKABcACIAawBnACAATgBcACIAKQA7AFwAbgBcAG4AVgBFAEUAUgBHAF8ANABfADMAXwAxAF8AMwBfAF8AMgBfAFQAbwB0AGEAbABOAGkAdAByAG8AZwBlAG4ASQBuAEUAYQBjAGgATQBNAFMAXwBTAG8AdQByAGMAZQBcAG4AIAAgAD0ATABBAE0AQgBEAEEAKABcACIAVgBFAEUAUgBHACAAMgAwADIANgA6ACAANAAuADMALgAxAC4AMwAsACAARQBxAHUAYQB0AGkAbwBuACAAKAAyACkAXAAiACkAOwBcAG4AXABuAFYARQBFAFIARwBfADQAXwAzAF8AMQBfADMAXwBfADIAXwBUAG8AdABhAGwATgBpAHQAcgBvAGcAZQBuAEkAbgBFAGEAYwBoAE0ATQBTAF8ATgBJAFIAUgBlAGYAZQByAGUAbgBjAGUAXABuACAAIAA9AEwAQQBNAEIARABBACgAXAAiAFwAIgApADsAXABuAFwAbgBWAEUARQBSAEcAXwA0AF8AMwBfADEAXwAzAF8AXwAyAF8AVABvAHQAYQBsAE4AaQB0AHIAbwBnAGUAbgBJAG4ARQBhAGMAaABNAE0AUwBfAEwAYQB0AGUAeABFAHEAdQBhAHQAaQBvAG4AXABuACAAIAA9AEwAQQBNAEIARABBACgAXAAiAE0ATgBfAHsAagBtAH0APQBBAEUAXwBqAFwAXAB0AGkAbQBlAHMAIABNAE0AUwBfAHsAagBtAH0AXAAiACkAOwBcAG4AXABuAFYARQBFAFIARwBfADQAXwAzAF8AMQBfADMAXwBfADIAXwBUAG8AdABhAGwATgBpAHQAcgBvAGcAZQBuAEkAbgBFAGEAYwBoAE0ATQBTAF8AQQByAGcAdQBtAGUAbgB0AHMAXABuACAAIAA9AEwAQQBNAEIARABBACgAXABuACAAIAAgACAATQBBAEsARQBBAFIAUgBBAFkAKAAyACwAIAAyACwAXABuACAAIAAgACAAIAAgAEwAQQBNAEIARABBACgAcgAsAGMALABcAG4AIAAgACAAIAAgACAAIAAgAEkATgBEAEUAWAAoAHsAXABuACAAIAAgACAAIAAgACAAIAAgACAAXAAiAEEARQBfAGoAXAAiACwAIABcACIAdABvAHQAYQBsACAAbgBpAHQAcgBvAGcAZQBuACAAZQB4AGMAcgBlAHQAZQBkACAAYgB5ACAAZQBhAGMAaAAgAGQAYQBpAHIAeQAgAGMAbABhAHMAcwAgACgAawBnACAATgApAFwAIgA7AFwAbgAgACAAIAAgACAAIAAgACAAIAAgAFwAIgBNAE0AUwBfAGoAbQBcACIALAAgAFwAIgBtAGEAbgB1AHIAZQAgAG0AYQBuAGEAZwBlAG0AZQBuAHQAIABzAHkAcwB0AGUAbQAgAGYAcgBhAGMAdABpAG8AbgAgAGYAbwByACAAYwBsAGEAcwBzACAAagAgAGEAbgBkACAAcwB5AHMAdABlAG0AIABt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MAYQBfAFQAbwB0AGEAbABBAG4AbgB1AGEAbABOAGkAdAByAG8AZwBlAG4ARQB4AGMAcgBlAHQAZQBkAEcAcgBlAGEAdABlAHIAVABoAGEAbgBPAG4AZQBZAGUAYQByAFwAbgBUAG8AdABhAGwAIABhAG4AbgB1AGEAbAAgAG4AaQB0AHIAbwBnAGUAbgAgAGUAeABjAHIAZQB0AGUAZAAgAGIAeQAgAGQAYQBpAHIAeQAgAGMAYQB0AHQAbABlACAAXAB1ADAAMAAzAGUAMQAgAHkAZQBhAHIAIABvAGwAZABcAG4AQQBFAF8AagAxADIANABcAG4AawBnACAATgBcAG4AQQBFAF8AewBqAD0AMQAsADIALAA0AH0APQBOAF8AewBqAD0AMQAsADIALAA0AH0AXABcAHQAaQBtAGUAcwAgAE4ARQBfAHsAagA9ADEALAAyACwANAB9AFwAXAB0AGkAbQBlAHMAIAAzADYANQBcAG4ATgBfAGoAMQAyADQAIAA9ACAAbgB1AG0AYgBlAHIAIABvAGYAIABkAGEAaQByAHkAIABjAGEAdAB0AGwAZQAgAGkAbgAgAGMAbABhAHMAcwBlAHMAIABqAD0AMQAsADIALAA0AFwAbgBOAEUAXwBqADEAMgA0ACAAPQAgAG4AaQB0AHIAbwBnAGUAbgAgAGUAeABjAHIAZQB0AGUAZAAgAGIAeQAgAGQAYQBpAHIAeQAgAGMAYQB0AHQAbABlACAAXAB1ADAAMAAzAGUAMQAgAHkAZQBhAHIAIABvAGwAZAAgACgAawBnACAATgAvAGgAZQBhAGQALwBkAGEAeQApAFwAbgAtAC0ALQAtAC0ALQAtAC0ALQAtAC0ALQAtAC0ALQAtAC0ALQAtAC0ALQAtAC0ALQAtAC0ALQAtAC0ALQAtAC0ALQAtAC0ALQAtAC0AXABuACoALwBcAG4AXABuAFYARQBFAFIARwBfADQAXwAzAF8AMQBfADMAXwBfADMAYQBfAFQAbwB0AGEAbABBAG4AbgB1AGEAbABOAGkAdAByAG8AZwBlAG4ARQB4AGMAcgBlAHQAZQBkAEcAcgBlAGEAdABlAHIAVABoAGEAbgBPAG4AZQBZAGUAYQByAFwAbgAgACAAPQBMAEEATQBCAEQAQQAoAFwAbgAgACAAIAAgAE4AXwBqADEAMgA0ACwAIABOAEUAXwBqADEAMgA0ACwAXABuACAAIAAgACAATgBfAGoAMQAyADQAIAAqACAATgBFAF8AagAxADIANAAgACoAIAAzADYANQBcAG4AIAAgACkAOwBcAG4AXABuAFYARQBFAFIARwBfADQAXwAzAF8AMQBfADMAXwBfADMAYQBfAFQAbwB0AGEAbABBAG4AbgB1AGEAbABOAGkAdAByAG8AZwBlAG4ARQB4AGMAcgBlAHQAZQBkAEcAcgBlAGEAdABlAHIAVABoAGEAbgBPAG4AZQBZAGUAYQByAFYAYQByAGkAYQB0AGkAbwBuAFwAbgAgACAAPQBMAEEATQBCAEQAQQAoAFwAbgAgACAAIAAgAE4AXwBqADEAMgA0ACwAIABOAEUAXwBqADEAMgA0ACwAIABEAF8AagAxADIANAAsAFwAbgAgACAAIAAgAE4AXwBqADEAMgA0ACAAKgAgAE4ARQBfAGoAMQAyADQAIAAqACAARABfAGoAMQAyADQAXABuACAAIAApADsAXABuAFwAbgBWAEUARQBSAEcAXwA0AF8AMwBfADEAXwAzAF8AXwAzAGEAXwBUAG8AdABhAGwAQQBuAG4AdQBhAGwATgBpAHQAcgBvAGcAZQBuAEUAeABjAHIAZQB0AGUAZABHAHIAZQBhAHQAZQByAFQAaABhAG4ATwBuAGUAWQBlAGEAcgBfAFQAaQB0AGwAZQBcAG4AIAAgAD0ATABBAE0AQgBEAEEAKABcACIAVABvAHQAYQBsACAAYQBuAG4AdQBhAGwAIABuAGkAdAByAG8AZwBlAG4AIABlAHgAYwByAGUAdABlAGQAIABiAHkAIABkAGEAaQByAHkAIABjAGEAdAB0AGwAZQAgAGcAcgBlAGEAdABlAHIAIAB0AGgAYQBuACAAbwBuAGUAIAB5AGUAYQByACAAbwBsAGQAXAAiACkAOwBcAG4AXABuAFYARQBFAFIARwBfADQAXwAzAF8AMQBfADMAXwBfADMAYQBfAFQAbwB0AGEAbABBAG4AbgB1AGEAbABOAGkAdAByAG8AZwBlAG4ARQB4AGMAcgBlAHQAZQBkAEcAcgBlAGEAdABlAHIAVABoAGEAbgBPAG4AZQBZAGUAYQByAF8AVgBhAHIAaQBhAGIAbABlAFwAbgAgACAAPQBMAEEATQBCAEQAQQAoAFwAIgBBAEUAXwBqADEAMgA0AFwAIgApADsAXABuAFwAbgBWAEUARQBSAEcAXwA0AF8AMwBfADEAXwAzAF8AXwAzAGEAXwBUAG8AdABhAGwAQQBuAG4AdQBhAGwATgBpAHQAcgBvAGcAZQBuAEUAeABjAHIAZQB0AGUAZABHAHIAZQBhAHQAZQByAFQAaABhAG4ATwBuAGUAWQBlAGEAcgBfAFUAbgBpAHQAXABuACAAIAA9AEwAQQBNAEIARABBACgAXAAiAGsAZwAgAE4AXAAiACkAOwBcAG4AXABuAFYARQBFAFIARwBfADQAXwAzAF8AMQBfADMAXwBfADMAYQBfAFQAbwB0AGEAbABBAG4AbgB1AGEAbABOAGkAdAByAG8AZwBlAG4ARQB4AGMAcgBlAHQAZQBkAEcAcgBlAGEAdABlAHIAVABoAGEAbgBPAG4AZQBZAGUAYQByAF8AUwBvAHUAcgBjAGUAXABuACAAIAA9AEwAQQBNAEIARABBACgAXAAiAFYARQBFAFIARwAgADIAMAAyADYAOgAgADQALgAzAC4AMQAuADMALAAgAEUAcQB1AGEAdABpAG8AbgAgACgAMwBhACkAXAAiACkAOwBcAG4AXABuAFYARQBFAFIARwBfADQAXwAzAF8AMQBfADMAXwBfADMAYQBfAFQAbwB0AGEAbABBAG4AbgB1AGEAbABOAGkAdAByAG8AZwBlAG4ARQB4AGMAcgBlAHQAZQBkAEcAcgBlAGEAdABlAHIAVABoAGEAbgBPAG4AZQBZAGUAYQByAF8ATgBJAFIAUgBlAGYAZQByAGUAbgBjAGUAXABuACAAIAA9AEwAQQBNAEIARABBACgAXAAiAFwAIgApADsAXABuAFwAbgBWAEUARQBSAEcAXwA0AF8AMwBfADEAXwAzAF8AXwAzAGEAXwBUAG8AdABhAGwAQQBuAG4AdQBhAGwATgBpAHQAcgBvAGcAZQBuAEUAeABjAHIAZQB0AGUAZABHAHIAZQBhAHQAZQByAFQAaABhAG4ATwBuAGUAWQBlAGEAcgBfAEwAYQB0AGUAeABFAHEAdQBhAHQAaQBvAG4AXABuACAAIAA9AEwAQQBNAEIARABBACgAXAAiAEEARQBfAHsAagA9ADEALAAyACwANAB9AD0ATgBfAHsAagA9ADEALAAyACwANAB9AFwAXAB0AGkAbQBlAHMAIABOAEUAXwB7AGoAPQAxACwAMgAsADQAfQBcAFwAdABpAG0AZQBzACAAMwA2ADUAXAAiACkAOwBcAG4AXABuAFYARQBFAFIARwBfADQAXwAzAF8AMQBfADMAXwBfADMAYQBfAFQAbwB0AGEAbABBAG4AbgB1AGEAbABOAGkAdAByAG8AZwBlAG4ARQB4AGMAcgBlAHQAZQBkAEcAcgBlAGEAdABlAHIAVABoAGEAbgBPAG4AZQBZAGUAYQByAF8ATABhAHQAZQB4AEUAcQB1AGEAdABpAG8AbgBWAGEAcgBpAGEAdABpAG8AbgBcAG4AIAAgAD0ATABBAE0AQgBEAEEAKABcACIAQQBFAF8AewBqAD0AMQAsADIALAA0AH0APQBOAF8AewBqAD0AMQAsADIALAA0AH0AXABcAHQAaQBtAGUAcwAgAE4ARQBfAHsAagA9ADEALAAyACwANAB9AFwAXAB0AGkAbQBlAHMAIABEAF8AewBqAD0AMQAsADIALAA0AH0AXAAiACkAOwBcAG4AXABuAFYARQBFAFIARwBfADQAXwAzAF8AMQBfADMAXwBfADMAYQBfAFQAbwB0AGEAbABBAG4AbgB1AGEAbABOAGkAdAByAG8AZwBlAG4ARQB4AGMAcgBlAHQAZQBkAEcAcgBlAGEAdABlAHIAVABoAGEAbgBPAG4AZQBZAGUAYQByAF8AQQByAGcAdQBtAGUAbgB0AHMAXABuACAAIAA9AEwAQQBNAEIARABBACgAXABuACAAIAAgACAATQBBAEsARQBBAFIAUgBBAFkAKAAzACwAIAAy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OwBcAG4AIAAgACAAIAAgACAAIAAgACAAIABcACIATgBFAF8AagAxADIANABcACIALAAgAFwAIgBuAGkAdAByAG8AZwBlAG4AIABlAHgAYwByAGUAdABlAGQAIABiAHkAIABkAGEAaQByAHkAIABjAGEAdAB0AGwAZQAgAGcAcgBlAGEAdABlAHIAIAB0AGgAYQBuACAAbwBuAGUAIAB5AGUAYQByACAAbwBsAGQAIAAoAGsAZwAgAE4ALwBoAGUAYQBkAC8AZABhAHkAKQBcACIAOwBcAG4AIAAgACAAIAAgACAAIAAgACAAIABcACIARABfAGoAMQAyADQAXAAiACwAIABcACIAZAB1AHIAYQB0AGkAbwBuACAAbwBmACAAcwB0AGEAeQAgAG8AbgAgAGYAYQByAG0AIABmAG8AcgAgAGMAbABhAHMAcwBlAHMAIABqAD0AMQAsADIALAA0ACAAKABkAGEAeQBzACkAXAAiAFwAbgAgACAAIAAgACAAIAAgACAAfQAsACAAcgAsACAAYwApAFwAbgAgACAAIAAgACAAIAApAFwAbgAgACAAIAAgACkAXABuACAAIAApADsAXABuAFwAbgBWAEUARQBSAEcAXwA0AF8AMwBfADEAXwAzAF8AXwAzAGEAXwBUAG8AdABhAGwAQQBuAG4AdQBhAGwATgBpAHQAcgBvAGcAZQBuAEUAeABjAHIAZQB0AGUAZABHAHIAZQBhAHQAZQByAFQAaABhAG4ATwBuAGUAWQBlAGEAcgBfAFYAYQByAGkAYQB0AGkAbwBuAFwAbgAgACAAPQBMAEEATQBCAEQAQQAoAFwAIgBWAEEAUgBJAEEAVABJAE8ATgA6ACAAVQBzAGUAZAAgAEQAdQByAGEAdABpAG8AbgAgAHYAYQByAGkAYQBiAGwAZQBzACAAaQBuAHMAdABlAGEAZAAgAG8AZgAgAGgAYQByAGQALQBjAG8AZABlAGQAIAAzADYANQAgAHYAYQBsAHUAZQAuAFwAIgApADsAXABuAFwAbgAvACoAXABuAC0ALQAtAC0ALQAtAC0ALQAtAC0ALQAtAC0ALQAtAC0ALQAtAC0ALQAtAC0ALQAtAC0ALQAtAC0ALQAtAC0ALQAtAC0ALQAtAC0ALQBcAG4AVgBFAEUAUgBHAF8ANABfADMAXwAxAF8AMwBfAF8AMwBiAF8AVABvAHQAYQBsAEEAbgBuAHUAYQBsAE4AaQB0AHIAbwBnAGUAbgBFAHgAYwByAGUAdABlAGQATABlAHMAcwBUAGgAYQBuAE8AbgBlAFkAZQBhAHIAXABuAFQAbwB0AGEAbAAgAGEAbgBuAHUAYQBsACAAbgBpAHQAcgBvAGcAZQBuACAAZQB4AGMAcgBlAHQAZQBkACAAYgB5ACAAZABhAGkAcgB5ACAAYwBhAHQAdABsAGUAIABcAHUAMAAwADMAYwAxACAAeQBlAGEAcgAgAG8AbABkAFwAbgBBAEUAXwBqADMANQBcAG4AawBnACAATgBcAG4AQQBFAF8AewBqAD0AMwAsADUAfQA9ACgATgBfAHsAagA9ADMALAA1AH0AXABcAHQAaQBtAGUAcwAgAE4ARQBfAHsAagA9ADMALAA1AH0AXABcAHQAaQBtAGUAcwAgADIAOAAxACkAKwAoAE4AXwB7AGoAPQAzACwANQB9AFwAXAB0AGkAbQBlAHMAIABOAFAAVwBfAHsAagA9ADMALAA1AH0AXABcAHQAaQBtAGUAcwAgADgANAApAFwAbgBOAF8AagAzADUAIAA9ACAAbgB1AG0AYgBlAHIAIABvAGYAIABkAGEAaQByAHkAIABjAGEAdAB0AGwAZQAgAGkAbgAgAGMAbABhAHMAcwBlAHMAIABqAD0AMwAsADUAXABuAE4ARQBfAGoAMwA1ACAAPQAgAG4AaQB0AHIAbwBnAGUAbgAgAGUAeABjAHIAZQB0AGUAZAAgAGIAeQAgAHcAZQBhAG4AZQBkACAAZABhAGkAcgB5ACAAYwBhAHQAdABsAGUAIABcAHUAMAAwADMAYwAxACAAeQBlAGEAcgAgAG8AbABkACAAKABrAGcAIABOAC8AaABlAGEAZAAvAGQAYQB5ACkAXABuAE4AUABXAF8AagAzADUAIAA9ACAAbgBpAHQAcgBvAGcAZQBuACAAZQB4AGMAcgBlAHQAZQBkACAAYgB5ACAAcAByAGUALQB3AGUAYQBuAGUAZAAgAGMAYQBsAHYAZQBzACAAKABrAGcAIABOAC8AaABlAGEAZAAvAGQAYQB5ACkAXABuAC0ALQAtAC0ALQAtAC0ALQAtAC0ALQAtAC0ALQAtAC0ALQAtAC0ALQAtAC0ALQAtAC0ALQAtAC0ALQAtAC0ALQAtAC0ALQAtAC0ALQBcAG4AKgAvAFwAbgBcAG4AVgBFAEUAUgBHAF8ANABfADMAXwAxAF8AMwBfAF8AMwBiAF8AVABvAHQAYQBsAEEAbgBuAHUAYQBsAE4AaQB0AHIAbwBnAGUAbgBFAHgAYwByAGUAdABlAGQATABlAHMAcwBUAGgAYQBuAE8AbgBlAFkAZQBhAHIAXABuACAAIAA9AEwAQQBNAEIARABBACgAXABuACAAIAAgACAATgBfAGoAMwA1ACwAIABOAEUAXwBqADMANQAsACAATgBQAFcAXwBqADMANQAsAFwAbgAgACAAIAAgACgATgBfAGoAMwA1ACAAKgAgAE4ARQBfAGoAMwA1ACAAKgAgADIAOAAxACkAIAArACAAKABOAF8AagAzADUAIAAqACAATgBQAFcAXwBqADMANQAgACoAIAA4ADQAKQBcAG4AIAAgACkAOwBcAG4AXABuAFYARQBFAFIARwBfADQAXwAzAF8AMQBfADMAXwBfADMAYgBfAFQAbwB0AGEAbABBAG4AbgB1AGEAbABOAGkAdAByAG8AZwBlAG4ARQB4AGMAcgBlAHQAZQBkAEwAZQBzAHMAVABoAGEAbgBPAG4AZQBZAGUAYQByAFYAYQByAGkAYQB0AGkAbwBuAFwAbgAgACAAPQBMAEEATQBCAEQAQQAoAFwAbgAgACAAIAAgAE4AXwBqADMANQAsACAATgBFAF8AagAzADUALAAgAE4AUABXAF8AagAzADUALAAgAEQAXwBqADMANQAsACAARABQAFcAXwBqADMANQAsAFwAbgAgACAAIAAgACgATgBfAGoAMwA1ACAAKgAgAE4ARQBfAGoAMwA1ACAAKgAgAEQAXwBqADMANQApACAAKwAgACgATgBfAGoAMwA1ACAAKgAgAE4AUABXAF8AagAzADUAIAAqACAARABQAFcAXwBqADMANQApAFwAbgAgACAAKQA7AFwAbgBcAG4AVgBFAEUAUgBHAF8ANABfADMAXwAxAF8AMwBfAF8AMwBiAF8AVABvAHQAYQBsAEEAbgBuAHUAYQBsAE4AaQB0AHIAbwBnAGUAbgBFAHgAYwByAGUAdABlAGQATABlAHMAcwBUAGgAYQBuAE8AbgBlAFkAZQBhAHIAXwBUAGkAdABsAGUAXABuACAAIAA9AEwAQQBNAEIARABBACgAXAAiAFQAbwB0AGEAbAAgAGEAbgBuAHUAYQBsACAAbgBpAHQAcgBvAGcAZQBuACAAZQB4AGMAcgBlAHQAZQBkACAAYgB5ACAAZABhAGkAcgB5ACAAYwBhAHQAdABsAGUAIABsAGUAcwBzACAAdABoAGEAbgAgAG8AbgBlACAAeQBlAGEAcgAgAG8AbABkAFwAIgApADsAXABuAFwAbgBWAEUARQBSAEcAXwA0AF8AMwBfADEAXwAzAF8AXwAzAGIAXwBUAG8AdABhAGwAQQBuAG4AdQBhAGwATgBpAHQAcgBvAGcAZQBuAEUAeABjAHIAZQB0AGUAZABMAGUAcwBzAFQAaABhAG4ATwBuAGUAWQBlAGEAcgBfAFYAYQByAGkAYQBiAGwAZQBcAG4AIAAgAD0ATABBAE0AQgBEAEEAKABcACIAQQBFAF8AagAzADUAXAAiACkAOwBcAG4AXABuAFYARQBFAFIARwBfADQAXwAzAF8AMQBfADMAXwBfADMAYgBfAFQAbwB0AGEAbABBAG4AbgB1AGEAbABOAGkAdAByAG8AZwBlAG4ARQB4AGMAcgBlAHQAZQBkAEwAZQBzAHMAVABoAGEAbgBPAG4AZQBZAGUAYQByAF8AVQBuAGkAdABcAG4AIAAgAD0ATABBAE0AQgBEAEEAKABcACIAawBnACAATgBcACIAKQA7AFwAbgBcAG4AVgBFAEUAUgBHAF8ANABfADMAXwAxAF8AMwBfAF8AMwBiAF8AVABvAHQAYQBsAEEAbgBuAHUAYQBsAE4AaQB0AHIAbwBnAGUAbgBFAHgAYwByAGUAdABlAGQATABlAHMAcwBUAGgAYQBuAE8AbgBlAFkAZQBhAHIAXwBTAG8AdQByAGMAZQBcAG4AIAAgAD0ATABBAE0AQgBEAEEAKABcACIAVgBFAEUAUgBHACAAMgAwADIANgA6ACAANAAuADMALgAxAC4AMwAsACAARQBxAHUAYQB0AGkAbwBuACAAKAAzAGIAKQBcACIAKQA7AFwAbgBcAG4AVgBFAEUAUgBHAF8ANABfADMAXwAxAF8AMwBfAF8AMwBiAF8AVABvAHQAYQBsAEEAbgBuAHUAYQBsAE4AaQB0AHIAbwBnAGUAbgBFAHgAYwByAGUAdABlAGQATABlAHMAcwBUAGgAYQBuAE8AbgBlAFkAZQBhAHIAXwBOAEkAUgBSAGUAZgBlAHIAZQBuAGMAZQBcAG4AIAAgAD0ATABBAE0AQgBEAEEAKABcACIAXAAiACkAOwBcAG4AXABuAFYARQBFAFIARwBfADQAXwAzAF8AMQBfADMAXwBfADMAYgBfAFQAbwB0AGEAbABBAG4AbgB1AGEAbABOAGkAdAByAG8AZwBlAG4ARQB4AGMAcgBlAHQAZQBkAEwAZQBzAHMAVABoAGEAbgBPAG4AZQBZAGUAYQByAF8ATABhAHQAZQB4AEUAcQB1AGEAdABpAG8AbgBcAG4AIAAgAD0ATABBAE0AQgBEAEEAKABcACIAQQBFAF8AewBqAD0AMwAsADUAfQA9ACgATgBfAHsAagA9ADMALAA1AH0AXABcAHQAaQBtAGUAcwAgAE4ARQBfAHsAagA9ADMALAA1AH0AXABcAHQAaQBtAGUAcwAgADIAOAAxACkAKwAoAE4AXwB7AGoAPQAzACwANQB9AFwAXAB0AGkAbQBlAHMAIABOAFAAVwBfAHsAagA9ADMALAA1AH0AXABcAHQAaQBtAGUAcwAgADgANAApAFwAIgApADsAXABuAFwAbgBWAEUARQBSAEcAXwA0AF8AMwBfADEAXwAzAF8AXwAzAGIAXwBUAG8AdABhAGwAQQBuAG4AdQBhAGwATgBpAHQAcgBvAGcAZQBuAEUAeABjAHIAZQB0AGUAZABMAGUAcwBzAFQAaABhAG4ATwBuAGUAWQBlAGEAcgBfAEwAYQB0AGUAeABFAHEAdQBhAHQAaQBvAG4AVgBhAHIAaQBhAHQAaQBvAG4AXABuACAAIAA9AEwAQQBNAEIARABBACgAXAAiAEEARQBfAHsAagA9ADMALAA1AH0APQAoAE4AXwB7AGoAPQAzACwANQB9AFwAXAB0AGkAbQBlAHMAIABOAEUAXwB7AGoAPQAzACwANQB9AFwAXAB0AGkAbQBlAHMAIABEAF8AewBqAD0AMwAsADUAfQApACsAKABOAF8AewBqAD0AMwAsADUAfQBcAFwAdABpAG0AZQBzACAATgBQAFcAXwB7AGoAPQAzACwANQB9AFwAXAB0AGkAbQBlAHMAIABEAFAAVwBfAHsAagA9ADMALAA1AH0AKQBcACIAKQA7AFwAbgBcAG4AVgBFAEUAUgBHAF8ANABfADMAXwAxAF8AMwBfAF8AMwBiAF8AVABvAHQAYQBsAEEAbgBuAHUAYQBsAE4AaQB0AHIAbwBnAGUAbgBFAHgAYwByAGUAdABlAGQATABlAHMAcwBUAGgAYQBuAE8AbgBlAFkAZQBhAHIAXwBBAHIAZwB1AG0AZQBuAHQAcwBcAG4AIAAgAD0ATABBAE0AQgBEAEEAKABcAG4AIAAgACAAIABNAEEASwBFAEEAUgBSAEEAWQAoADUALAAgADIALABcAG4AIAAgACAAIAAgACAATABBAE0AQgBEAEEAKAByACwAYwAsAFwAbgAgACAAIAAgACAAIAAgACAASQBOAEQARQBYACgAewBcAG4AIAAgACAAIAAgACAAIAAgACAAIABcACIATgBfAGoAMwA1AFwAIgAsACAAXAAiAG4AdQBtAGIAZQByACAAbwBmACAAZABhAGkAcgB5ACAAYwBhAHQAdABsAGUAIABpAG4AIABjAGwAYQBzAHMAZQBzACAAagA9ADMALAA1AFwAIgA7AFwAbgAgACAAIAAgACAAIAAgACAAIAAgAFwAIgBOAEUAXwBqADMANQBcACIALAAgAFwAIgBuAGkAdAByAG8AZwBlAG4AIABlAHgAYwByAGUAdABlAGQAIABiAHkAIAB3AGUAYQBuAGUAZAAgAGQAYQBpAHIAeQAgAGMAYQB0AHQAbABlACAAbABlAHMAcwAgAHQAaABhAG4AIABvAG4AZQAgAHkAZQBhAHIAIABvAGwAZAAgACgAawBnACAATgAvAGgAZQBhAGQALwBkAGEAeQApAFwAIgA7AFwAbgAgACAAIAAgACAAIAAgACAAIAAgAFwAIgBOAFAAVwBfAGoAMwA1AFwAIgAsACAAXAAiAG4AaQB0AHIAbwBnAGUAbgAgAGUAeABjAHIAZQB0AGUAZAAgAGIAeQAgAHAAcgBlAC0AdwBlAGEAbgBlAGQAIABjAGEAbAB2AGUAcwAgACgAawBnACAATgAvAGgAZQBhAGQALwBkAGEAeQApAFwAIgA7AFwAbgAgACAAIAAgACAAIAAgACAAIAAgAFwAIgBEAF8AagAzADUAXAAiACwAIABcACIAZAB1AHIAYQB0AGkAbwBuACAAbwBmACAAcwB0AGEAeQAgAG8AbgAgAGYAYQByAG0AIABmAG8AcgAgAHcAZQBhAG4AZQBkACAAZABhAGkAcgB5ACAAYwBhAHQAdABsAGUAIABsAGUAcwBzACAAdABoAGEAbgAgAG8AbgBlACAAeQBlAGEAcgAgAG8AbABkACAAKABkAGEAeQBzACkAXAAiADsAXABuACAAIAAgACAAIAAgACAAIAAgACAAXAAiAEQAUABXAF8AagAzADUAXAAiACwAIABcACIAZAB1AHIAYQB0AGkAbwBuACAAbwBmACAAcwB0AGEAeQAgAG8AbgAgAGYAYQByAG0AIABmAG8AcgAgAHAAcgBlAC0AdwBlAGEAbgBlAGQAIABjAGEAbAB2AGUAcwAgACgAZABhAHkAcwApAFwAIgBcAG4AIAAgACAAIAAgACAAIAAgAH0ALAAgAHIALAAgAGMAKQBcAG4AIAAgACAAIAAgACAAKQBcAG4AIAAgACAAIAApAFwAbgAgACAAKQA7AFwAbgBcAG4AVgBFAEUAUgBHAF8ANABfADMAXwAxAF8AMwBfAF8AMwBiAF8AVABvAHQAYQBsAEEAbgBuAHUAYQBsAE4AaQB0AHIAbwBnAGUAbgBFAHgAYwByAGUAdABlAGQATABlAHMAcwBUAGgAYQBuAE8AbgBlAFkAZQBhAHIAXwBWAGEAcgBpAGEAdABpAG8AbgBcAG4AIAAgAD0ATABBAE0AQgBEAEEAKABcACIAVgBBAFIASQBBAFQASQBPAE4AOgAgAFUAcwBlAGQAIABEAHUAcgBhAHQAaQBvAG4AIAB2AGEAcgBpAGEAYgBsAGUAcwAgAGkAbgBzAHQAZQBhAGQAIABvAGYAIABoAGEAcgBkAC0AYwBvAGQAZQBkACAAMgA4ADEAIABhAG4AZAAgADgANAAgAHYAYQBsAHUAZQBzAC4AXAAiACkAOwBcAG4AXABuAC8AKgBcAG4ALQAtAC0ALQAtAC0ALQAtAC0ALQAtAC0ALQAtAC0ALQAtAC0ALQAtAC0ALQAtAC0ALQAtAC0ALQAtAC0ALQAtAC0ALQAtAC0ALQAtAFwAbgBWAEUARQBSAEcAXwA0AF8AMwBfADEAXwAzAF8AXwA0AF8ATgBpAHQAcgBvAGcAZQBuAEUAeABjAHIAZQB0AGUAZABCAHkARABhAGkAcgB5AEMAYQB0AHQAbABlAEcAcgBlAGEAdABlAHIAVABoAGEAbgBPAG4AZQBZAGUAYQByAFwAbgBOAGkAdAByAG8AZwBlAG4AIABlAHgAYwByAGUAdABlAGQAIABiAHkAIABkAGEAaQByAHkAIABjAGEAdAB0AGwAZQAgAFwAdQAwADAAMwBlADEAIAB5AGUAYQByACAAbwBsAGQAXABuAE4ARQBfAGoAXABuAGsAZwAgAE4ALwBoAGUAYQBkAC8AZABhAHkAXABuAE4ARQBfAGoAPQAoAEMAUABJAF8AagAvADYALgAyADUAKQAtAE4AUgBfAGoALQAoACgAMQAuADEAXABcAHQAaQBtAGUAcwAgADEAMABeAHsALQA0AH0AXABcAHQAaQBtAGUAcwAgAFcAXwBqAF4AewAwAC4ANwA1AH0AKQAvADYALgAyADUAKQBcAG4AQwBQAEkAXwBqACAAPQAgAGMAcgB1AGQAZQAgAHAAcgBvAHQAZQBpAG4AIABpAG4AdABhAGsAZQAgACgAawBnAC8AaABlAGEAZAAvAGQAYQB5ACkAXABuAE4AUgBfAGoAIAA9ACAAYQBtAG8AdQBuAHQAIABvAGYAIABuAGkAdAByAG8AZwBlAG4AIAByAGUAdABhAGkAbgBlAGQAIABiAHkAIAB0AGgAZQAgAGIAbwBkAHkAIAAoAGsAZwAgAE4ALwBoAGUAYQBkAC8AZABhAHkAKQBcAG4AVwBfAGoAIAA9ACAAbABpAHYAZQB3AGUAaQBnAGgAdAAgACgAawBnACkAXABuAC0ALQAtAC0ALQAtAC0ALQAtAC0ALQAtAC0ALQAtAC0ALQAtAC0ALQAtAC0ALQAtAC0ALQAtAC0ALQAtAC0ALQAtAC0ALQAtAC0ALQBcAG4AKgAvAFwAbgBcAG4AVgBFAEUAUgBHAF8ANABfADMAXwAxAF8AMwBfAF8ANABfAE4AaQB0AHIAbwBnAGUAbgBFAHgAYwByAGUAdABlAGQAQgB5AEQAYQBpAHIAeQBDAGEAdAB0AGwAZQBHAHIAZQBhAHQAZQByAFQAaABhAG4ATwBuAGUAWQBlAGEAcgBcAG4AIAAgAD0ATABBAE0AQgBEAEEAKABcAG4AIAAgACAAIABDAFAASQBfAGoALAAgAE4AUgBfAGoALAAgAFcAXwBqACwAXABuACAAIAAgACAAKABDAFAASQBfAGoAIAAvACAANgAuADIANQApACAALQAgAE4AUgBfAGoAIAAtACAAKAAoADEALgAxACAAKgAgADEAMAAgAF4AIAAtADQAIAAqACAAVwBfAGoAIABeACAAMAAuADcANQApACAALwAgADYALgAyADUAKQBcAG4AIAAgACkAOwBcAG4AXABuAFYARQBFAFIARwBfADQAXwAzAF8AMQBfADMAXwBfADQAXwBOAGkAdAByAG8AZwBlAG4ARQB4AGMAcgBlAHQAZQBkAEIAeQBEAGEAaQByAHkAQwBhAHQAdABsAGUARwByAGUAYQB0AGUAcgBUAGgAYQBuAE8AbgBlAFkAZQBhAHIAXwBUAGkAdABsAGUAXABuACAAIAA9AEwAQQBNAEIARABBACgAXAAiAE4AaQB0AHIAbwBnAGUAbgAgAGUAeABjAHIAZQB0AGUAZAAgAGIAeQAgAGQAYQBpAHIAeQAgAGMAYQB0AHQAbABlACAAZwByAGUAYQB0AGUAcgAgAHQAaABhAG4AIABvAG4AZQAgAHkAZQBhAHIAIABvAGwAZABcACIAKQA7AFwAbgBcAG4AVgBFAEUAUgBHAF8ANABfADMAXwAxAF8AMwBfAF8ANABfAE4AaQB0AHIAbwBnAGUAbgBFAHgAYwByAGUAdABlAGQAQgB5AEQAYQBpAHIAeQBDAGEAdAB0AGwAZQBHAHIAZQBhAHQAZQByAFQAaABhAG4ATwBuAGUAWQBlAGEAcgBfAFYAYQByAGkAYQBiAGwAZQBcAG4AIAAgAD0ATABBAE0AQgBEAEEAKABcACIATgBFAF8AagBcACIAKQA7AFwAbgBcAG4AVgBFAEUAUgBHAF8ANABfADMAXwAxAF8AMwBfAF8ANABfAE4AaQB0AHIAbwBnAGUAbgBFAHgAYwByAGUAdABlAGQAQgB5AEQAYQBpAHIAeQBDAGEAdAB0AGwAZQBHAHIAZQBhAHQAZQByAFQAaABhAG4ATwBuAGUAWQBlAGEAcgBfAFUAbgBpAHQAXABuACAAIAA9AEwAQQBNAEIARABBACgAXAAiAGsAZwAgAE4ALwBoAGUAYQBkAC8AZABhAHkAXAAiACkAOwBcAG4AXABuAFYARQBFAFIARwBfADQAXwAzAF8AMQBfADMAXwBfADQAXwBOAGkAdAByAG8AZwBlAG4ARQB4AGMAcgBlAHQAZQBkAEIAeQBEAGEAaQByAHkAQwBhAHQAdABsAGUARwByAGUAYQB0AGUAcgBUAGgAYQBuAE8AbgBlAFkAZQBhAHIAXwBTAG8AdQByAGMAZQBcAG4AIAAgAD0ATABBAE0AQgBEAEEAKABcACIAVgBFAEUAUgBHACAAMgAwADIANgA6ACAANAAuADMALgAxAC4AMwAsACAARQBxAHUAYQB0AGkAbwBuACAAKAA0ACkAXAAiACkAOwBcAG4AXABuAFYARQBFAFIARwBfADQAXwAzAF8AMQBfADMAXwBfADQAXwBOAGkAdAByAG8AZwBlAG4ARQB4AGMAcgBlAHQAZQBkAEIAeQBEAGEAaQByAHkAQwBhAHQAdABsAGUARwByAGUAYQB0AGUAcgBUAGgAYQBuAE8AbgBlAFkAZQBhAHIAXwBOAEkAUgBSAGUAZgBlAHIAZQBuAGMAZQBcAG4AIAAgAD0ATABBAE0AQgBEAEEAKABcACIAXAAiACkAOwBcAG4AXABuAFYARQBFAFIARwBfADQAXwAzAF8AMQBfADMAXwBfADQAXwBOAGkAdAByAG8AZwBlAG4ARQB4AGMAcgBlAHQAZQBkAEIAeQBEAGEAaQByAHkAQwBhAHQAdABsAGUARwByAGUAYQB0AGUAcgBUAGgAYQBuAE8AbgBlAFkAZQBhAHIAXwBMAGEAdABlAHgARQBxAHUAYQB0AGkAbwBuAFwAbgAgACAAPQBMAEEATQBCAEQAQQAoAFwAIgBOAEUAXwBqAD0AKABcAFwAZgByAGEAYwB7AEMAUABJAF8AagB9AHsANgAuADIANQB9ACkALQBOAFIAXwBqAC0AXABcAGwAZQBmAHQAWwBcAFwAZgByAGEAYwB7ADEALgAxAFwAXAB0AGkAbQBlAHMAMQAwAF4AewAtADQAfQAgAFwAXAB0AGkAbQBlAHMAIABXAF8AagBeAHsAMAAuADcANQB9AH0AewA2AC4AMgA1AH0AXABcAHIAaQBnAGgAdABdAFwAIgApADsAXABuAFwAbgBWAEUARQBSAEcAXwA0AF8AMwBfADEAXwAzAF8AXwA0AF8ATgBpAHQAcgBvAGcAZQBuAEUAeABjAHIAZQB0AGUAZABCAHkARABhAGkAcgB5AEMAYQB0AHQAbABlAEcAcgBlAGEAdABlAHIAVABoAGEAbgBPAG4AZQBZAGUAYQByAF8AQQByAGcAdQBtAGUAbgB0AHMAXABuACAAIAA9AEwAQQBNAEIARABBACgAXABuACAAIAAgACAATQBBAEsARQBBAFIAUgBBAFkAKAAzACwAIAAyACwAXABuACAAIAAgACAAIAAgAEwAQQBNAEIARABBACgAcgAsAGMALABcAG4AIAAgACAAIAAgACAAIAAgAEkATgBEAEUAWAAoAHsAXABuACAAIAAgACAAIAAgACAAIAAgACAAXAAiAEMAUABJAF8AagBcACIALAAgAFwAIgBjAHIAdQBkAGUAIABwAHIAbwB0AGUAaQBuACAAaQBuAHQAYQBrAGUAIAAoAGsAZwAvAGgAZQBhAGQALwBkAGEAeQApAFwAIgA7AFwAbgAgACAAIAAgACAAIAAgACAAIAAgAFwAIgBOAFIAXwBqAFwAIgAsACAAXAAiAGEAbQBvAHUAbgB0ACAAbwBmACAAbgBpAHQAcgBvAGcAZQBuACAAcgBlAHQAYQBpAG4AZQBkACAAYgB5ACAAdABoAGUAIABiAG8AZAB5ACAAKABrAGcAIABOAC8AaABlAGEAZAAvAGQAYQB5ACkAXAAiADsAXABuACAAIAAgACAAIAAgACAAIAAgACAAXAAiAFcAXwBqAFwAIgAsACAAXAAiAGwAaQB2AGUAdwBlAGkAZwBoAHQAIAAoAGsAZwAp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UAXwBDAHIAdQBkAGUAUAByAG8AdABlAGkAbgBJAG4AdABhAGsAZQBPAGYARABhAGkAcgB5AEMAYQB0AHQAbABlAFwAbgBDAHIAdQBkAGUAIABwAHIAbwB0AGUAaQBuACAAaQBuAHQAYQBrAGUAIABvAGYAIABkAGEAaQByAHkAIABjAGEAdAB0AGwAZQBcAG4AQwBQAEkAXwBqAFwAbgBrAGcALwBoAGUAYQBkAC8AZABhAHkAXABuAEMAUABJAF8AagA9AEkAXwBqAFwAXAB0AGkAbQBlAHMAIABDAFAAXwBqAFwAbgBJAF8AagAgAD0AIABkAHIAeQAgAG0AYQB0AHQAZQByACAAaQBuAHQAYQBrAGUAIAAoAGsAZwBEAE0ALwBoAGUAYQBkAC8AZABhAHkAKQBcAG4AQwBQAF8AagAgAD0AIABjAHIAdQBkAGUAIABwAHIAbwB0AGUAaQBuACAAYwBvAG4AdABlAG4AdAAgAG8AZgAgAGYAZQBlAGQAIABpAG4AdABhAGsAZQAgACgAZgByAGEAYwB0AGkAbwBuACkAXABuAC0ALQAtAC0ALQAtAC0ALQAtAC0ALQAtAC0ALQAtAC0ALQAtAC0ALQAtAC0ALQAtAC0ALQAtAC0ALQAtAC0ALQAtAC0ALQAtAC0ALQBcAG4AKgAvAFwAbgBcAG4AVgBFAEUAUgBHAF8ANABfADMAXwAxAF8AMwBfAF8ANQBfAEMAcgB1AGQAZQBQAHIAbwB0AGUAaQBuAEkAbgB0AGEAawBlAE8AZgBEAGEAaQByAHkAQwBhAHQAdABsAGUAXABuACAAIAA9AEwAQQBNAEIARABBACgAXABuACAAIAAgACAASQBfAGoALAAgAEMAUABfAGoALABcAG4AIAAgACAAIABJAF8AagAgACoAIABDAFAAXwBqAFwAbgAgACAAKQA7AFwAbgBcAG4AVgBFAEUAUgBHAF8ANABfADMAXwAxAF8AMwBfAF8ANQBfAEMAcgB1AGQAZQBQAHIAbwB0AGUAaQBuAEkAbgB0AGEAawBlAE8AZgBEAGEAaQByAHkAQwBhAHQAdABsAGUAXwBUAGkAdABsAGUAXABuACAAIAA9AEwAQQBNAEIARABBACgAXAAiAEMAcgB1AGQAZQAgAHAAcgBvAHQAZQBpAG4AIABpAG4AdABhAGsAZQAgAG8AZgAgAGQAYQBpAHIAeQAgAGMAYQB0AHQAbABlAFwAIgApADsAXABuAFwAbgBWAEUARQBSAEcAXwA0AF8AMwBfADEAXwAzAF8AXwA1AF8AQwByAHUAZABlAFAAcgBvAHQAZQBpAG4ASQBuAHQAYQBrAGUATwBmAEQAYQBpAHIAeQBDAGEAdAB0AGwAZQBfAFYAYQByAGkAYQBiAGwAZQBcAG4AIAAgAD0ATABBAE0AQgBEAEEAKABcACIAQwBQAEkAXwBqAFwAIgApADsAXABuAFwAbgBWAEUARQBSAEcAXwA0AF8AMwBfADEAXwAzAF8AXwA1AF8AQwByAHUAZABlAFAAcgBvAHQAZQBpAG4ASQBuAHQAYQBrAGUATwBmAEQAYQBpAHIAeQBDAGEAdAB0AGwAZQBfAFUAbgBpAHQAXABuACAAIAA9AEwAQQBNAEIARABBACgAXAAiAGsAZwAvAGgAZQBhAGQALwBkAGEAeQBcACIAKQA7AFwAbgBcAG4AVgBFAEUAUgBHAF8ANABfADMAXwAxAF8AMwBfAF8ANQBfAEMAcgB1AGQAZQBQAHIAbwB0AGUAaQBuAEkAbgB0AGEAawBlAE8AZgBEAGEAaQByAHkAQwBhAHQAdABsAGUAXwBTAG8AdQByAGMAZQBcAG4AIAAgAD0ATABBAE0AQgBEAEEAKABcACIAVgBFAEUAUgBHACAAMgAwADIANgA6ACAANAAuADMALgAxAC4AMwAsACAARQBxAHUAYQB0AGkAbwBuACAAKAA1ACkAXAAiACkAOwBcAG4AXABuAFYARQBFAFIARwBfADQAXwAzAF8AMQBfADMAXwBfADUAXwBDAHIAdQBkAGUAUAByAG8AdABlAGkAbgBJAG4AdABhAGsAZQBPAGYARABhAGkAcgB5AEMAYQB0AHQAbABlAF8ATgBJAFIAUgBlAGYAZQByAGUAbgBjAGUAXABuACAAIAA9AEwAQQBNAEIARABBACgAXAAiAFwAIgApADsAXABuAFwAbgBWAEUARQBSAEcAXwA0AF8AMwBfADEAXwAzAF8AXwA1AF8AQwByAHUAZABlAFAAcgBvAHQAZQBpAG4ASQBuAHQAYQBrAGUATwBmAEQAYQBpAHIAeQBDAGEAdAB0AGwAZQBfAEwAYQB0AGUAeABFAHEAdQBhAHQAaQBvAG4AXABuACAAIAA9AEwAQQBNAEIARABBACgAXAAiAEMAUABJAF8AagA9AEkAXwBqAFwAXAB0AGkAbQBlAHMAIABDAFAAXwBqAFwAIgApADsAXABuAFwAbgBWAEUARQBSAEcAXwA0AF8AMwBfADEAXwAzAF8AXwA1AF8AQwByAHUAZABlAFAAcgBvAHQAZQBpAG4ASQBuAHQAYQBrAGUATwBmAEQAYQBpAHIAeQBDAGEAdAB0AGwAZQBfAEEAcgBnAHUAbQBlAG4AdABzAFwAbgAgACAAPQBMAEEATQBCAEQAQQAoAFwAbgAgACAAIAAgAE0AQQBLAEUAQQBSAFIAQQBZACgAMgAsACAAMgAsAFwAbgAgACAAIAAgACAAIABMAEEATQBCAEQAQQAoAHIALABjACwAXABuACAAIAAgACAAIAAgACAAIABJAE4ARABFAFgAKAB7AFwAbgAgACAAIAAgACAAIAAgACAAIAAgAFwAIgBJAF8AagBcACIALAAgAFwAIgBkAHIAeQAgAG0AYQB0AHQAZQByACAAaQBuAHQAYQBrAGUAIAAoAGsAZwBEAE0ALwBoAGUAYQBkAC8AZABhAHkAKQBcACIAOwBcAG4AIAAgACAAIAAgACAAIAAgACAAIABcACIAQwBQAF8AagBcACIALAAgAFwAIgBjAHIAdQBkAGUAIABwAHIAbwB0AGUAaQBuACAAYwBvAG4AdABlAG4AdAAgAG8AZgAgAGYAZQBlAGQAIABpAG4AdABhAGsAZQAgACgAZgByAGEAYwB0AGkAbwBuACk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NgBfAE4AaQB0AHIAbwBnAGUAbgBSAGUAdABhAGkAbgBlAGQAQgB5AEIAbwBkAHkAXABuAEEAbQBvAHUAbgB0ACAAbwBmACAAbgBpAHQAcgBvAGcAZQBuACAAcgBlAHQAYQBpAG4AZQBkACAAYgB5ACAAdABoAGUAIABiAG8AZAB5AFwAbgBOAFIAXwBqAFwAbgBrAGcAIABOAC8AaABlAGEAZAAvAGQAYQB5AFwAbgBOAFIAXwBqAD0AKAAoACgAMAAuADAAMwAyAFwAXAB0AGkAbQBlAHMAIABNAFAAXwBqAFwAXAB0AGkAbQBlAHMAIAAxAC4AMAAzACkALwA2AC4AMwA4ACkAKwAoACgAMAAuADIAMQAyAC0AMAAuADAAMAA4AFwAXAB0AGkAbQBlAHMAIAAoAEwAXwBqAC0AMgApAC0AKAAoADAALgAxADQAMAAtADAALgAwADAAOABcAFwAdABpAG0AZQBzACAAKABMAF8AagAtADIAKQApAC8AKAAxACsARQBYAFAAKAAtADYAXABcAHQAaQBtAGUAcwAgACgAWgBfAGoALQAwAC4ANAApACkAKQApACkAXABcAHQAaQBtAGUAcwAgACgATABXAEcAXwBqAFwAXAB0AGkAbQBlAHMAIAAwAC4AOQAyACkAKQApAFwAXAB0AGkAbQBlAHMAIAAoADEALwA2AC4AMgA1ACkAXABuAE0AUABfAGoAIAA9ACAAbQBpAGwAawAgAHAAcgBvAGQAdQBjAHQAaQBvAG4AIAAoAEwALwBoAGUAYQBkAC8AZABhAHkAKQBcAG4ATABfAGoAIAA9ACAAaQBuAHQAYQBrAGUAIAByAGUAbABhAHQAaQB2AGUAIAB0AG8AIABtAGEAaQBuAHQAZQBuAGEAbgBjAGUAXABuAFoAXwBqACAAPQAgAHIAZQBsAGEAdABpAHYAZQAgAHMAaQB6AGUAXABuAEwAVwBHAF8AagAgAD0AIABsAGkAdgBlAHcAZQBpAGcAaAB0ACAAZwBhAGkAbgAgACgAawBnAC8AZABhAHkAKQBcAG4ALQAtAC0ALQAtAC0ALQAtAC0ALQAtAC0ALQAtAC0ALQAtAC0ALQAtAC0ALQAtAC0ALQAtAC0ALQAtAC0ALQAtAC0ALQAtAC0ALQAtAFwAbgAqAC8AXABuAFwAbgBWAEUARQBSAEcAXwA0AF8AMwBfADEAXwAzAF8AXwA2AF8ATgBpAHQAcgBvAGcAZQBuAFIAZQB0AGEAaQBuAGUAZABCAHkAQgBvAGQAeQBcAG4AIAAgAD0ATABBAE0AQgBEAEEAKABcAG4AIAAgACAAIABNAFAAXwBqACwAIABMAF8AagAsACAAWgBfAGoALAAgAEwAVwBHAF8AagAsAFwAbgAgACAAIAAgACgAKAAoADAALgAwADMAMgAgACoAIABNAFAAXwBqACAAKgAgADEALgAwADMAKQAgAC8AIAA2AC4AMwA4ACkAIAArACAAKAAoADAALgAyADEAMgAgAC0AIAAwAC4AMAAwADgAIAAqACAAKABMAF8AagAgAC0AIAAyACkAIAAtACAAKAAoADAALgAxADQAMAAgAC0AIAAwAC4AMAAwADgAIAAqACAAKABMAF8AagAgAC0AIAAyACkAKQAgAC8AIAAoADEAIAArACAARQBYAFAAKAAtADYAIAAqACAAKABaAF8AagAgAC0AIAAwAC4ANAApACkAKQApACkAIAAqACAAKABMAFcARwBfAGoAIAAqACAAMAAuADkAMgApACkAKQAgACoAIAAoADEAIAAvACAANgAuADIANQApAFwAbgAgACAAKQA7AFwAbgBcAG4AVgBFAEUAUgBHAF8ANABfADMAXwAxAF8AMwBfAF8ANgBfAE4AaQB0AHIAbwBnAGUAbgBSAGUAdABhAGkAbgBlAGQAQgB5AEIAbwBkAHkAXwBUAGkAdABsAGUAXABuACAAIAA9AEwAQQBNAEIARABBACgAXAAiAEEAbQBvAHUAbgB0ACAAbwBmACAAbgBpAHQAcgBvAGcAZQBuACAAcgBlAHQAYQBpAG4AZQBkACAAYgB5ACAAdABoAGUAIABiAG8AZAB5AFwAIgApADsAXABuAFwAbgBWAEUARQBSAEcAXwA0AF8AMwBfADEAXwAzAF8AXwA2AF8ATgBpAHQAcgBvAGcAZQBuAFIAZQB0AGEAaQBuAGUAZABCAHkAQgBvAGQAeQBfAFYAYQByAGkAYQBiAGwAZQBcAG4AIAAgAD0ATABBAE0AQgBEAEEAKABcACIATgBSAF8AagBcACIAKQA7AFwAbgBcAG4AVgBFAEUAUgBHAF8ANABfADMAXwAxAF8AMwBfAF8ANgBfAE4AaQB0AHIAbwBnAGUAbgBSAGUAdABhAGkAbgBlAGQAQgB5AEIAbwBkAHkAXwBVAG4AaQB0AFwAbgAgACAAPQBMAEEATQBCAEQAQQAoAFwAIgBrAGcAIABOAC8AaABlAGEAZAAvAGQAYQB5AFwAIgApADsAXABuAFwAbgBWAEUARQBSAEcAXwA0AF8AMwBfADEAXwAzAF8AXwA2AF8ATgBpAHQAcgBvAGcAZQBuAFIAZQB0AGEAaQBuAGUAZABCAHkAQgBvAGQAeQBfAFMAbwB1AHIAYwBlAFwAbgAgACAAPQBMAEEATQBCAEQAQQAoAFwAIgBWAEUARQBSAEcAIAAyADAAMgA2ADoAIAA0AC4AMwAuADEALgAzACwAIABFAHEAdQBhAHQAaQBvAG4AIAAoADYAKQBcACIAKQA7AFwAbgBcAG4AVgBFAEUAUgBHAF8ANABfADMAXwAxAF8AMwBfAF8ANgBfAE4AaQB0AHIAbwBnAGUAbgBSAGUAdABhAGkAbgBlAGQAQgB5AEIAbwBkAHkAXwBOAEkAUgBSAGUAZgBlAHIAZQBuAGMAZQBcAG4AIAAgAD0ATABBAE0AQgBEAEEAKABcACIAXAAiACkAOwBcAG4AXABuAFYARQBFAFIARwBfADQAXwAzAF8AMQBfADMAXwBfADYAXwBOAGkAdAByAG8AZwBlAG4AUgBlAHQAYQBpAG4AZQBkAEIAeQBCAG8AZAB5AF8ATABhAHQAZQB4AEUAcQB1AGEAdABpAG8AbgBcAG4AIAAgAD0ATABBAE0AQgBEAEEAKABcACIATgBSAF8AagA9AFwAXABsAGUAZgB0ACgAXABcAGYAcgBhAGMAewAwAC4AMAAzADIAIABcAFwAdABpAG0AZQBzACAATQBQAF8AagAgAFwAXAB0AGkAbQBlAHMAIAAxAC4AMAAzAH0AewA2AC4AMwA4AH0AXABcAHIAaQBnAGgAdAApACAAKwAgAFwAXABsAGUAZgB0AFwAXAB7AFwAXABsAGUAZgB0ACgAMAAuADIAMQAyAC0AMAAuADAAMAA4ACAAXABcAHQAaQBtAGUAcwAgACgATABfAGoAIAAtACAAMgApACAALQAgAFwAXABsAGUAZgB0AFsAXABcAGYAcgBhAGMAewAwAC4AMQA0ADAALQAwAC4AMAAwADgAXABcAHQAaQBtAGUAcwAoAEwAXwBqAC0AMgApAH0AewAxACsAZQBeAHsALQA2AFwAXAB0AGkAbQBlAHMAKABaAF8AagAtADAALgA0ACkAfQB9AFwAXAByAGkAZwBoAHQAXQBcAFwAcgBpAGcAaAB0ACkAIABcAFwAdABpAG0AZQBzACAAKABMAFcARwBfAGoAIABcAFwAdABpAG0AZQBzACAAMAAuADkAMgApAFwAXAByAGkAZwBoAHQAXABcAH0AIABcAFwAdABpAG0AZQBzACAAXABcAGYAcgBhAGMAewAxAH0AewA2AC4AMgA1AH0AXAAiACkAOwBcAG4AXABuAFYARQBFAFIARwBfADQAXwAzAF8AMQBfADMAXwBfADYAXwBOAGkAdAByAG8AZwBlAG4AUgBlAHQAYQBpAG4AZQBkAEIAeQBCAG8AZAB5AF8AQQByAGcAdQBtAGUAbgB0AHMAXABuACAAIAA9AEwAQQBNAEIARABBACgAXABuACAAIAAgACAATQBBAEsARQBBAFIAUgBBAFkAKAA0ACwAIAAyACwAXABuACAAIAAgACAAIAAgAEwAQQBNAEIARABBACgAcgAsAGMALABcAG4AIAAgACAAIAAgACAAIAAgAEkATgBEAEUAWAAoAHsAXABuACAAIAAgACAAIAAgACAAIAAgACAAXAAiAE0AUABfAGoAXAAiACwAIABcACIAbQBpAGwAawAgAHAAcgBvAGQAdQBjAHQAaQBvAG4AIAAoAEwALwBoAGUAYQBkAC8AZABhAHkAKQBcACIAOwBcAG4AIAAgACAAIAAgACAAIAAgACAAIABcACIATABfAGoAXAAiACwAIABcACIAaQBuAHQAYQBrAGUAIAByAGUAbABhAHQAaQB2AGUAIAB0AG8AIABtAGEAaQBuAHQAZQBuAGEAbgBjAGUAXAAiADsAXABuACAAIAAgACAAIAAgACAAIAAgACAAXAAiAFoAXwBqAFwAIgAsACAAXAAiAHIAZQBsAGEAdABpAHYAZQAgAHMAaQB6AGUAXAAiADsAXABuACAAIAAgACAAIAAgACAAIAAgACAAXAAiAEwAVwBHAF8AagBcACIALAAgAFwAIgBsAGkAdgBlAHcAZQBpAGcAaAB0ACAAZwBhAGkAbgAgACgAawBnAC8AZABhAHkAKQ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3AF8ASQBuAHQAYQBrAGUAUgBlAGwAYQB0AGkAdgBlAFQAbwBNAGEAaQBuAHQAZQBuAGEAbgBjAGUAXABuAEkAbgB0AGEAawBlACAAcgBlAGwAYQB0AGkAdgBlACAAdABvACAAbQBhAGkAbgB0AGUAbgBhAG4AYwBlAFwAbgBMAF8AagBcAG4AcgBhAHQAaQBvAFwAbgBMAF8AagA9AEkAXwBqAC8AKAAoADEALgAxADgANQArADAALgAwADAANAA1ADQAXABcAHQAaQBtAGUAcwAgAFcAXwBqAC0AMAAuADAAMAAwADAAMAAyADYAXABcAHQAaQBtAGUAcwAgAFcAXwBqAF4AMgApAF4AMgBcAFwAdABpAG0AZQBzACAATQBSAF8AagArAE0ASQBfAGoAKQBcAG4ASQBfAGoAIAA9ACAAZAByAHkAIABtAGEAdAB0AGUAcgAgAGkAbgB0AGEAawBlACAAKABrAGcARABNAC8AaABlAGEAZAAvAGQAYQB5ACkAXABuAFcAXwBqACAAPQAgAGwAaQB2AGUAdwBlAGkAZwBoAHQAIAAoAGsAZwApAFwAbgBNAFIAXwBqACAAPQAgAGkAbgBjAHIAZQBhAHMAZQAgAGkAbgAgAG0AZQB0AGEAYgBvAGwAaQBjACAAcgBhAHQAZQAgAHcAaABlAG4AIABwAHIAbwBkAHUAYwBpAG4AZwAgAG0AaQBsAGsAXABuAE0ASQBfAGoAIAA9ACAAYQBkAGQAaQB0AGkAbwBuAGEAbAAgAGkAbgB0AGEAawBlACAAcgBlAHEAdQBpAHIAZQBkACAAZgBvAHIAIABtAGkAbABrACAAcAByAG8AZAB1AGMAdABpAG8AbgAgACgAawBnAEQATQAvAGgAZQBhAGQALwBkAGEAeQApAFwAbgAtAC0ALQAtAC0ALQAtAC0ALQAtAC0ALQAtAC0ALQAtAC0ALQAtAC0ALQAtAC0ALQAtAC0ALQAtAC0ALQAtAC0ALQAtAC0ALQAtAC0AXABuACoALwBcAG4AXABuAFYARQBFAFIARwBfADQAXwAzAF8AMQBfADMAXwBfADcAXwBJAG4AdABhAGsAZQBSAGUAbABhAHQAaQB2AGUAVABvAE0AYQBpAG4AdABlAG4AYQBuAGMAZQBcAG4AIAAgAD0ATABBAE0AQgBEAEEAKABcAG4AIAAgACAAIABJAF8AagAsACAAVwBfAGoALAAgAE0AUgBfAGoALAAgAE0ASQBfAGoALABcAG4AIAAgACAAIABJAF8AagAgAC8AIAAoACgAKAAxAC4AMQA4ADUAIAArACAAMAAuADAAMAA0ADUANAAgACoAIABXAF8AagAgAC0AIAAwAC4AMAAwADAAMAAwADIANgAgACoAIABXAF8AagAgAF4AIAAyACkAIABeACAAMgAgACoAIABNAFIAXwBqACkAIAArACAATQBJAF8AagApAFwAbgAgACAAKQA7AFwAbgBcAG4AVgBFAEUAUgBHAF8ANABfADMAXwAxAF8AMwBfAF8ANwBfAEkAbgB0AGEAawBlAFIAZQBsAGEAdABpAHYAZQBUAG8ATQBhAGkAbgB0AGUAbgBhAG4AYwBlAF8AVABpAHQAbABlAFwAbgAgACAAPQBMAEEATQBCAEQAQQAoAFwAIgBJAG4AdABhAGsAZQAgAHIAZQBsAGEAdABpAHYAZQAgAHQAbwAgAG0AYQBpAG4AdABlAG4AYQBuAGMAZQBcACIAKQA7AFwAbgBcAG4AVgBFAEUAUgBHAF8ANABfADMAXwAxAF8AMwBfAF8ANwBfAEkAbgB0AGEAawBlAFIAZQBsAGEAdABpAHYAZQBUAG8ATQBhAGkAbgB0AGUAbgBhAG4AYwBlAF8AVgBhAHIAaQBhAGIAbABlAFwAbgAgACAAPQBMAEEATQBCAEQAQQAoAFwAIgBMAF8AagBcACIAKQA7AFwAbgBcAG4AVgBFAEUAUgBHAF8ANABfADMAXwAxAF8AMwBfAF8ANwBfAEkAbgB0AGEAawBlAFIAZQBsAGEAdABpAHYAZQBUAG8ATQBhAGkAbgB0AGUAbgBhAG4AYwBlAF8AVQBuAGkAdABcAG4AIAAgAD0ATABBAE0AQgBEAEEAKABcACIAcgBhAHQAaQBvAFwAIgApADsAXABuAFwAbgBWAEUARQBSAEcAXwA0AF8AMwBfADEAXwAzAF8AXwA3AF8ASQBuAHQAYQBrAGUAUgBlAGwAYQB0AGkAdgBlAFQAbwBNAGEAaQBuAHQAZQBuAGEAbgBjAGUAXwBTAG8AdQByAGMAZQBcAG4AIAAgAD0ATABBAE0AQgBEAEEAKABcACIAVgBFAEUAUgBHACAAMgAwADIANgA6ACAANAAuADMALgAxAC4AMwAsACAARQBxAHUAYQB0AGkAbwBuACAAKAA3ACkAXAAiACkAOwBcAG4AXABuAFYARQBFAFIARwBfADQAXwAzAF8AMQBfADMAXwBfADcAXwBJAG4AdABhAGsAZQBSAGUAbABhAHQAaQB2AGUAVABvAE0AYQBpAG4AdABlAG4AYQBuAGMAZQBfAE4ASQBSAFIAZQBmAGUAcgBlAG4AYwBlAFwAbgAgACAAPQBMAEEATQBCAEQAQQAoAFwAIgBcACIAKQA7AFwAbgBcAG4AVgBFAEUAUgBHAF8ANABfADMAXwAxAF8AMwBfAF8ANwBfAEkAbgB0AGEAawBlAFIAZQBsAGEAdABpAHYAZQBUAG8ATQBhAGkAbgB0AGUAbgBhAG4AYwBlAF8ATABhAHQAZQB4AEUAcQB1AGEAdABpAG8AbgBcAG4AIAAgAD0ATABBAE0AQgBEAEEAKABcACIATABfAGoAPQBcAFwAZgByAGEAYwB7AEkAXwBqAH0AewAoADEALgAxADgANQArADAALgAwADAANAA1ADQAXABcAHQAaQBtAGUAcwAgAFcAXwBqAC0AMAAuADAAMAAwADAAMAAyADYAXABcAHQAaQBtAGUAcwAgAFcAXwBqAF4AMgApAF4AMgBcAFwAdABpAG0AZQBzACAATQBSAF8AagArAE0ASQBfAGoAfQBcACIAKQA7AFwAbgBcAG4AVgBFAEUAUgBHAF8ANABfADMAXwAxAF8AMwBfAF8ANwBfAEkAbgB0AGEAawBlAFIAZQBsAGEAdABpAHYAZQBUAG8ATQBhAGkAbgB0AGUAbgBhAG4AYwBlAF8AQQByAGcAdQBtAGUAbgB0AHMAXABuACAAIAA9AEwAQQBNAEIARABBACgAXABuACAAIAAgACAATQBBAEsARQBBAFIAUgBBAFkAKAA0ACwAIAAyACwAXABuACAAIAAgACAAIAAgAEwAQQBNAEIARABBACgAcgAsAGMALABcAG4AIAAgACAAIAAgACAAIAAgAEkATgBEAEUAWAAoAHsAXABuACAAIAAgACAAIAAgACAAIAAgACAAXAAiAEkAXwBqAFwAIgAsACAAXAAiAGQAcgB5ACAAbQBhAHQAdABlAHIAIABpAG4AdABhAGsAZQAgACgAawBnAEQATQAvAGgAZQBhAGQALwBkAGEAeQApAFwAIgA7AFwAbgAgACAAIAAgACAAIAAgACAAIAAgAFwAIgBXAF8AagBcACIALAAgAFwAIgBsAGkAdgBlAHcAZQBpAGcAaAB0ACAAKABrAGcAKQBcACIAOwBcAG4AIAAgACAAIAAgACAAIAAgACAAIABcACIATQBSAF8AagBcACIALAAgAFwAIgBpAG4AYwByAGUAYQBzAGUAIABpAG4AIABtAGUAdABhAGIAbwBsAGkAYwAgAHIAYQB0AGUAIAB3AGgAZQBuACAAcAByAG8AZAB1AGMAaQBuAGcAIABtAGkAbABrAFwAIgA7AFwAbgAgACAAIAAgACAAIAAgACAAIAAgAFwAIgBNAEkAXwBqAFwAIgAsACAAXAAiAGEAZABkAGkAdABpAG8AbgBhAGwAIABpAG4AdABhAGsAZQAgAHIAZQBxAHUAaQByAGUAZAAgAGYAbwByACAAbQBpAGwAawAgAHAAcgBvAGQAdQBjAHQAaQBvAG4AIAAoAGsAZwBEAE0ALwBoAGUAYQBkAC8AZABhAHkAKQ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4AF8AUgBlAGwAYQB0AGkAdgBlAFMAaQB6AGUAXABuAFIAZQBsAGEAdABpAHYAZQAgAHMAaQB6AGUAXABuAFoAXwBqAFwAbgByAGEAdABpAG8AXABuAFoAXwBqAD0AVwBfAGoALwBXAFIAXwBqAFwAbgBXAF8AagAgAD0AIABsAGkAdgBlAHcAZQBpAGcAaAB0ACAAKABrAGcAKQBcAG4AVwBSAF8AagAgAD0AIAByAGUAZgBlAHIAZQBuAGMAZQAgAHcAZQBpAGcAaAB0ACAAKABrAGcAKQBcAG4ALQAtAC0ALQAtAC0ALQAtAC0ALQAtAC0ALQAtAC0ALQAtAC0ALQAtAC0ALQAtAC0ALQAtAC0ALQAtAC0ALQAtAC0ALQAtAC0ALQAtAFwAbgAqAC8AXABuAFwAbgBWAEUARQBSAEcAXwA0AF8AMwBfADEAXwAzAF8AXwA4AF8AUgBlAGwAYQB0AGkAdgBlAFMAaQB6AGUAXABuACAAIAA9AEwAQQBNAEIARABBACgAXABuACAAIAAgACAAVwBfAGoALAAgAFcAUgBfAGoALABcAG4AIAAgACAAIABXAF8AagAgAC8AIABXAFIAXwBqAFwAbgAgACAAKQA7AFwAbgBcAG4AVgBFAEUAUgBHAF8ANABfADMAXwAxAF8AMwBfAF8AOABfAFIAZQBsAGEAdABpAHYAZQBTAGkAegBlAF8AVABpAHQAbABlAFwAbgAgACAAPQBMAEEATQBCAEQAQQAoAFwAIgBSAGUAbABhAHQAaQB2AGUAIABzAGkAegBlAFwAIgApADsAXABuAFwAbgBWAEUARQBSAEcAXwA0AF8AMwBfADEAXwAzAF8AXwA4AF8AUgBlAGwAYQB0AGkAdgBlAFMAaQB6AGUAXwBWAGEAcgBpAGEAYgBsAGUAXABuACAAIAA9AEwAQQBNAEIARABBACgAXAAiAFoAXwBqAFwAIgApADsAXABuAFwAbgBWAEUARQBSAEcAXwA0AF8AMwBfADEAXwAzAF8AXwA4AF8AUgBlAGwAYQB0AGkAdgBlAFMAaQB6AGUAXwBVAG4AaQB0AFwAbgAgACAAPQBMAEEATQBCAEQAQQAoAFwAIgByAGEAdABpAG8AXAAiACkAOwBcAG4AXABuAFYARQBFAFIARwBfADQAXwAzAF8AMQBfADMAXwBfADgAXwBSAGUAbABhAHQAaQB2AGUAUwBpAHoAZQBfAFMAbwB1AHIAYwBlAFwAbgAgACAAPQBMAEEATQBCAEQAQQAoAFwAIgBWAEUARQBSAEcAIAAyADAAMgA2ADoAIAA0AC4AMwAuADEALgAzACwAIABFAHEAdQBhAHQAaQBvAG4AIAAoADgAKQBcACIAKQA7AFwAbgBcAG4AVgBFAEUAUgBHAF8ANABfADMAXwAxAF8AMwBfAF8AOABfAFIAZQBsAGEAdABpAHYAZQBTAGkAegBlAF8ATgBJAFIAUgBlAGYAZQByAGUAbgBjAGUAXABuACAAIAA9AEwAQQBNAEIARABBACgAXAAiAFwAIgApADsAXABuAFwAbgBWAEUARQBSAEcAXwA0AF8AMwBfADEAXwAzAF8AXwA4AF8AUgBlAGwAYQB0AGkAdgBlAFMAaQB6AGUAXwBMAGEAdABlAHgARQBxAHUAYQB0AGkAbwBuAFwAbgAgACAAPQBMAEEATQBCAEQAQQAoAFwAIgBaAF8AagA9AFwAXABmAHIAYQBjAHsAVwBfAGoAfQB7AFcAUgBfAGoAfQBcACIAKQA7AFwAbgBcAG4AVgBFAEUAUgBHAF8ANABfADMAXwAxAF8AMwBfAF8AOABfAFIAZQBsAGEAdABpAHYAZQBTAGkAegBlAF8AQQByAGcAdQBtAGUAbgB0AHMAXABuACAAIAA9AEwAQQBNAEIARABBACgAXABuACAAIAAgACAATQBBAEsARQBBAFIAUgBBAFkAKAAyACwAIAAyACwAXABuACAAIAAgACAAIAAgAEwAQQBNAEIARABBACgAcgAsAGMALABcAG4AIAAgACAAIAAgACAAIAAgAEkATgBEAEUAWAAoAHsAXABuACAAIAAgACAAIAAgACAAIAAgACAAXAAiAFcAXwBqAFwAIgAsACAAXAAiAGwAaQB2AGUAdwBlAGkAZwBoAHQAIAAoAGsAZwApAFwAIgA7AFwAbgAgACAAIAAgACAAIAAgACAAIAAgAFwAIgBXAFIAXwBqAFwAIgAsACAAXAAiAHIAZQBmAGUAcgBlAG4AYwBlACAAdwBlAGkAZwBoAHQAIAAoAGsAZwApAFwAIgBcAG4AIAAgACAAIAAgACAAIAAgAH0ALAAgAHIALAAgAGMAKQBcAG4AIAAgACAAIAAgACAAKQBcAG4AIAAgACAAIAApAFwAbgAgACAAKQA7AFwAbgAiAH0ALAB7ACIAcABhAHQAaAAiADoAIgAvAHAAcgBvAGoAZQBjAHQAcwAvAEUAbgB0AGUAcgBpAGMATQBlAHQAaABhAG4AZQBfAEQAYQBpAHIAeQBfAEUAcQB1AGEAdABpAG8AbgBzACIALAAiAHQAZQB4AHQAIgA6ACIALwAqAFwAbgA9AD0APQA9AD0APQA9AD0APQA9AD0APQA9AD0APQA9AD0APQA9AD0APQA9AD0APQA9AD0APQA9AD0APQA9AD0APQA9AD0APQA9AD0APQA9AD0APQA9AD0APQA9AD0APQA9AD0APQA9AD0APQA9AD0APQA9AD0APQA9AD0APQA9AD0APQA9AD0APQA9AD0APQA9AD0APQA9AFwAbgAzAC4AMwA6ACAARQBuAHQAZQByAGkAYwAgAE0AZQB0AGgAYQBuAGUAIAAtACAARABhAGkAcgB5ACAAQwBhAHQAdABsAGUAXABuAD0APQA9AD0APQA9AD0APQA9AD0APQA9AD0APQA9AD0APQA9AD0APQA9AD0APQA9AD0APQA9AD0APQA9AD0APQA9AD0APQA9AD0APQA9AD0APQA9AD0APQA9AD0APQA9AD0APQA9AD0APQA9AD0APQA9AD0APQA9AD0APQA9AD0APQA9AD0APQA9AD0APQA9AD0APQA9AD0AXABuADMALgAzAC4AMQAuADEAIABNAGUAdABoAG8AZAAgADEAIAAtACAARQBuAHQAZQByAGkAYwAgAEQAYQBpAHIAeQAgAEMAYQB0AHQAbA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M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kAGEAaQByAHkAIABjAGEAdAB0AGwAZQBcAG4ARQBfAGUAbgB0AGUAcgBpAGMAXABuAHQAIABDAEgANABcAG4ARQBfAHsAZQBuAHQAZQByAGkAYwB9AD0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bgBOAF8AagAxADIANAAgAD0AIABuAHUAbQBiAGUAcgAgAG8AZgAgAGQAYQBpAHIAeQAgAGMAYQB0AHQAbABlACAAaQBuACAAYwBsAGEAcwBzAGUAcwAgAGoAPQAxACwAMgAsADQAIAAoAGgAZQBhAGQAKQBcAG4ATQBfAGoAMQAyADQAIAA9ACAAZABhAGkAbAB5ACAAZQBuAHQAZQByAGkAYwAgAG0AZQB0AGgAYQBuAGUAIABwAHIAbwBkAHUAYwB0AGkAbwBuACAAZgBvAHIAIABjAGwAYQBzAHMAZQBzACAAagA9ADEALAAyACwANAAgACgAawBnACAAQwBIADQALwBoAGUAYQBkAC8AZABhAHkAKQBcAG4ARABfAGoAMQAyADQAIAA9ACAAZAB1AHIAYQB0AGkAbwBuACAAbwBmACAAcwB0AGEAeQAgAG8AbgAgAHQAaABlACAAZgBhAHIAbQAgAGYAbwByACAAYwBsAGEAcwBzAGUAcwAgAGoAPQAxACwAMgAsADQAIAAoAGQAYQB5AHMAKQBcAG4ATgBfAGoAMwA1ACAAPQAgAG4AdQBtAGIAZQByACAAbwBmACAAZABhAGkAcgB5ACAAYwBhAHQAdABsAGUAIABpAG4AIABjAGwAYQBzAHMAZQBzACAAagA9ADMALAA1ACAAKABoAGUAYQBkACkAXABuAE0AXwBqADMANQAgAD0AIABkAGEAaQBsAHkAIABlAG4AdABlAHIAaQBjACAAbQBlAHQAaABhAG4AZQAgAHAAcgBvAGQAdQBjAHQAaQBvAG4AIABmAG8AcgAgAGMAbABhAHMAcwBlAHMAIABqAD0AMwAsADUAIAAoAGsAZwAgAEMASAA0AC8AaABlAGEAZAAvAGQAYQB5ACkAXABuAEQAXwBqADMANQAgAD0AIABkAHUAcgBhAHQAaQBvAG4AIABvAGYAIABzAHQAYQB5ACAAbwBuACAAdABoAGUAIABmAGEAcgBtACAAZgBvAHIAIABjAGwAYQBzAHMAZQBzACAAagA9ADMALAA1ACAAKABkAGEAeQBzACkAXABuAE0AUABXAF8ARQBOAFQARQBSAEkAQwBfAGoAMwA1ACAAPQAgAGQAYQBpAGwAeQAgAG0AZQB0AGgAYQBuAGUAIABwAHIAbwBkAHUAYwB0AGkAbwBuACAAZgBvAHI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zAF8AMwBfADEAXwAxAF8AXwAxAF8AVABvAHQAYQBsAEEAbgBuAHUAYQBsAE0AZQB0AGgAYQBuAGUARgByAG8AbQBFAG4AdABlAHIAaQBjAEYAZQByAG0AZQBuAHQAYQB0AGkAbwBuAFwAbgAgACAAPQBMAEEATQBCAEQAQQAoAFwAbgAgACAAIAAgAE4AXwBqADEAMgA0ACwAIABNAF8AagAxADIANAAsACAARABfAGoAMQAyADQALAAgAE4AXwBqADMANQAsACAATQBfAGoAMwA1ACwAIABE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XwBqADMANQApACkAIAAqACAAMQAwACAAXgAgAC0AMwBcAG4AIAAgACkAOwBcAG4AXABuAFYARQBFAFIARwBfADMAXwAz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ABhAGkAcgB5ACAAYwBhAHQAdABsAGUAXAAiACkAOwBcAG4AXABuAFYARQBFAFIARwBfADMAXwAzAF8AMQBfADEAXwBfADEAXwBUAG8AdABhAGwAQQBuAG4AdQBhAGwATQBlAHQAaABhAG4AZQBGAHIAbwBtAEUAbgB0AGUAcgBpAGMARgBlAHIAbQBlAG4AdABhAHQAaQBvAG4AXwBWAGEAcgBpAGEAYgBsAGUAXABuACAAIAA9AEwAQQBNAEIARABBACgAXAAiAEUAXwBlAG4AdABlAHIAaQBjAFwAIgApADsAXABuAFwAbgBWAEUARQBSAEcAXwAzAF8AMwBfADEAXwAxAF8AXwAxAF8AVABvAHQAYQBsAEEAbgBuAHUAYQBsAE0AZQB0AGgAYQBuAGUARgByAG8AbQBFAG4AdABlAHIAaQBjAEYAZQByAG0AZQBuAHQAYQB0AGkAbwBuAF8AVQBuAGkAdABcAG4AIAAgAD0ATABBAE0AQgBEAEEAKABcACIAdAAgAEMASAA0AFwAIgApADsAXABuAFwAbgBWAEUARQBSAEcAXwAzAF8AMwBfADEAXwAxAF8AXwAxAF8AVABvAHQAYQBsAEEAbgBuAHUAYQBsAE0AZQB0AGgAYQBuAGUARgByAG8AbQBFAG4AdABlAHIAaQBjAEYAZQByAG0AZQBuAHQAYQB0AGkAbwBuAF8AUwBvAHUAcgBjAGUAXABuACAAIAA9AEwAQQBNAEIARABBACgAXAAiAFYARQBFAFIARwAgADIAMAAyADYAOgAgADMALgAzAC4AMQAuADEALAAgAEUAcQB1AGEAdABpAG8AbgAgACgAMQApAFwAIgApADsAXABuAFwAbgBWAEUARQBSAEcAXwAzAF8AMwBfADEAXwAxAF8AXwAxAF8AVABvAHQAYQBsAEEAbgBuAHUAYQBsAE0AZQB0AGgAYQBuAGUARgByAG8AbQBFAG4AdABlAHIAaQBjAEYAZQByAG0AZQBuAHQAYQB0AGkAbwBuAF8ATgBJAFIAUgBlAGYAZQByAGUAbgBjAGUAXABuACAAIAA9AEwAQQBNAEIARABBACgAXAAiAFwAIgApADsAXABuAFwAbgBWAEUARQBSAEcAXwAzAF8AMwBfADEAXwAxAF8AXwAxAF8AVABvAHQAYQBsAEEAbgBuAHUAYQBsAE0AZQB0AGgAYQBuAGUARgByAG8AbQBFAG4AdABlAHIAaQBjAEYAZQByAG0AZQBuAHQAYQB0AGkAbwBuAF8ATABhAHQAZQB4AEUAcQB1AGEAdABpAG8AbgBcAG4AIAAgAD0ATABBAE0AQgBEAEEAKABcACIARQBfAHsAZQBuAHQAZQByAGkAYwB9AD0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IgApADsAXABuAFwAbgBWAEUARQBSAEcAXwAzAF8AMwBfADEAXwAxAF8AXwAxAF8AVABvAHQAYQBsAEEAbgBuAHUAYQBsAE0AZQB0AGgAYQBuAGUARgByAG8AbQBFAG4AdABlAHIAaQBjAEYAZQByAG0AZQBuAHQAYQB0AGkAbwBuAF8AQQByAGcAdQBtAGUAbgB0AHMAXABuACAAIAA9AEwAQQBNAEIARABBACgAXABuACAAIAAgACAATQBBAEsARQBBAFIAUgBBAFkAKAA3ACwAIAAyACwAXABuACAAIAAgACAAIAAgAEwAQQBNAEIARABBACgAcgAsAGMALABcAG4AIAAgACAAIAAgACAAIAAgAEkATgBEAEUAWAAoAHsAXABuACAAIAAgACAAIAAgACAAIAAgACAAXAAiAE4AXwBqADEAMgA0AFwAIgAsACAAXAAiAG4AdQBtAGIAZQByACAAbwBmACAAZABhAGkAcgB5ACAAYwBhAHQAdABsAGUAIABpAG4AIABjAGwAYQBzAHMAZQBzACAAagA9ADEALAAyACwANAAgACgAaABlAGEAZAApAFwAIgA7AFwAbgAgACAAIAAgACAAIAAgACAAIAAgAFwAIgBNAF8AagAxADIANABcACIALAAgAFwAIgBkAGEAaQBsAHkAIABlAG4AdABlAHIAaQBjACAAbQBlAHQAaABhAG4AZQAgAHAAcgBvAGQAdQBjAHQAaQBvAG4AIABmAG8AcgAgAGMAbABhAHMAcwBlAHMAIABqAD0AMQAsADIALAA0ACAAKABrAGcAIABDAEgANAAvAGgAZQBhAGQALwBkAGEAeQApAFwAIgA7AFwAbgAgACAAIAAgACAAIAAgACAAIAAgAFwAIgBEAF8AagAxADIANABcACIALAAgAFwAIgBkAHUAcgBhAHQAaQBvAG4AIABvAGYAIABzAHQAYQB5ACAAbwBuACAAdABoAGUAIABmAGEAcgBtACAAZgBvAHIAIABjAGwAYQBzAHMAZQBzACAAagA9ADEALAAyACwANAAgACgAZABhAHkAcwApAFwAIgA7AFwAbgAgACAAIAAgACAAIAAgACAAIAAgAFwAIgBOAF8AagAzADUAXAAiACwAIABcACIAbgB1AG0AYgBlAHIAIABvAGYAIABkAGEAaQByAHkAIABjAGEAdAB0AGwAZQAgAGkAbgAgAGMAbABhAHMAcwBlAHMAIABqAD0AMwAsADUAIAAoAGgAZQBhAGQAKQBcACIAOwBcAG4AIAAgACAAIAAgACAAIAAgACAAIABcACIATQBfAGoAMwA1AFwAIgAsACAAXAAiAGQAYQBpAGwAeQAgAGUAbgB0AGUAcgBpAGMAIABtAGUAdABoAGEAbgBlACAAcAByAG8AZAB1AGMAdABpAG8AbgAgAGYAbwByACAAYwBsAGEAcwBzAGUAcwAgAGoAPQAzACwANQAgACgAawBnACAAQwBIADQALwBoAGUAYQBkAC8AZABhAHkAKQBcACIAOwBcAG4AIAAgACAAIAAgACAAIAAgACAAIABcACIARABfAGoAMwA1AFwAIgAsACAAXAAiAGQAdQByAGEAdABpAG8AbgAgAG8AZgAgAHMAdABhAHkAIABvAG4AIAB0AGgAZQAgAGYAYQByAG0AIABmAG8AcgAgAGMAbABhAHMAcwBlAHMAIABqAD0AMwAsADUAIAAoAGQAYQB5AHMAKQBcACIAOwBcAG4AIAAgACAAIAAgACAAIAAgACAAIABcACIATQBQAFcAXwBFAE4AVABFAFIASQBDAF8AagAzADUAXAAiACwAIABcACIAZABhAGkAbAB5ACAAbQBlAHQAaABhAG4AZQAgAHAAcgBvAGQAdQBjAHQAaQBvAG4AIABmAG8AcgAgAHAAcgBlAC0AdwBlAGEAbgBlAGQAIABoAGUAaQBmAGUAcgAgAGEAbgBkACAAYgB1AGwAbAAgAGMAYQBsAHYAZQBzACAAKABrAGcAIABDAEgANAAvAGgAZQBhAGQALwBkAGEAeQ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IAXwBEAGEAaQBsAHkARQBuAHQAZQByAGkAYwBNAGUAdABoAGEAbgBlAFAAcgBvAGQAdQBjAHQAaQBvAG4AXABuAEQAYQBpAGwAeQAgAHAAcgBvAGQAdQBjAHQAaQBvAG4AIABvAGYAIABlAG4AdABlAHIAaQBjACAAbQBlAHQAaABhAG4AZQBcAG4ATQBfAGoAXABuAGsAZwAgAEMASAA0AC8AaABlAGEAZAAvAGQAYQB5AFwAbgBNAF8AagA9ADIAMAAuADcAXABcAHQAaQBtAGUAcwAgAEkAXwBqAFwAXAB0AGkAbQBlAHMAIAAxADAAXgB7AC0AMwB9AFwAbgBJAF8AagAgAD0AIABkAHIAeQAgAG0AYQB0AHQAZQByACAAZgBlAGUAZAAgAGkAbgB0AGEAawBlACAAKABrAGcAIABEAE0ALwBoAGUAYQBkAC8AZABhAHkAKQBcAG4ALQAtAC0ALQAtAC0ALQAtAC0ALQAtAC0ALQAtAC0ALQAtAC0ALQAtAC0ALQAtAC0ALQAtAC0ALQAtAC0ALQAtAC0ALQAtAC0ALQAtAFwAbgAqAC8AXABuAFwAbgBWAEUARQBSAEcAXwAzAF8AMwBfADEAXwAxAF8AXwAyAF8ARABhAGkAbAB5AEUAbgB0AGUAcgBpAGMATQBlAHQAaABhAG4AZQBQAHIAbwBkAHUAYwB0AGkAbwBuAFwAbgAgACAAPQBMAEEATQBCAEQAQQAoAFwAbgAgACAAIAAgAEkAXwBqACwAXABuACAAIAAgACAAMgAwAC4ANwAgACoAIABJAF8AagAgACoAIAAxADAAIABeACAALQAzAFwAbgAgACAAKQA7AFwAbgBcAG4AVgBFAEUAUgBHAF8AMwBfADM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wBfADEAXwAxAF8AXwAyAF8ARABhAGkAbAB5AEUAbgB0AGUAcgBpAGMATQBlAHQAaABhAG4AZQBQAHIAbwBkAHUAYwB0AGkAbwBuAF8AVgBhAHIAaQBhAGIAbABlAFwAbgAgACAAPQBMAEEATQBCAEQAQQAoAFwAIgBNAF8AagBcACIAKQA7AFwAbgBcAG4AVgBFAEUAUgBHAF8AMwBfADMAXwAxAF8AMQBfAF8AMgBfAEQAYQBpAGwAeQBFAG4AdABlAHIAaQBjAE0AZQB0AGgAYQBuAGUAUAByAG8AZAB1AGMAdABpAG8AbgBfAFUAbgBpAHQAXABuACAAIAA9AEwAQQBNAEIARABBACgAXAAiAGsAZwAgAEMASAA0AC8AaABlAGEAZAAvAGQAYQB5AFwAIgApADsAXABuAFwAbgBWAEUARQBSAEcAXwAzAF8AMwBfADEAXwAxAF8AXwAyAF8ARABhAGkAbAB5AEUAbgB0AGUAcgBpAGMATQBlAHQAaABhAG4AZQBQAHIAbwBkAHUAYwB0AGkAbwBuAF8AUwBvAHUAcgBjAGUAXABuACAAIAA9AEwAQQBNAEIARABBACgAXAAiAFYARQBFAFIARwAgADIAMAAyADYAOgAgADMALgAzAC4AMQAuADEALAAgAEUAcQB1AGEAdABpAG8AbgAgACgAMgApAFwAIgApADsAXABuAFwAbgBWAEUARQBSAEcAXwAzAF8AMwBfADEAXwAxAF8AXwAyAF8ARABhAGkAbAB5AEUAbgB0AGUAcgBpAGMATQBlAHQAaABhAG4AZQBQAHIAbwBkAHUAYwB0AGkAbwBuAF8ATgBJAFIAUgBlAGYAZQByAGUAbgBjAGUAXABuACAAIAA9AEwAQQBNAEIARABBACgAXAAiAEMAaABhAHIAbQBsAGUAeQAgAGUAdAAgAGEAbAAuACAAKAAyADAAMQA1ACkAXAAiACkAOwBcAG4AXABuAFYARQBFAFIARwBfADMAXwAzAF8AMQBfADEAXwBfADIAXwBEAGEAaQBsAHkARQBuAHQAZQByAGkAYwBNAGUAdABoAGEAbgBlAFAAcgBvAGQAdQBjAHQAaQBvAG4AXwBMAGEAdABlAHgARQBxAHUAYQB0AGkAbwBuAFwAbgAgACAAPQBMAEEATQBCAEQAQQAoAFwAIgBNAF8AagA9ADIAMAAuADcAXABcAHQAaQBtAGUAcwAgAEkAXwBqAFwAXAB0AGkAbQBlAHMAIAAxADAAXgB7AC0AMwB9AFwAIgApADsAXABuAFwAbgBWAEUARQBSAEcAXwAzAF8AMwBfADEAXwAxAF8AXwAyAF8ARABhAGkAbAB5AEUAbgB0AGUAcgBpAGMATQBlAHQAaABhAG4AZQBQAHIAbwBkAHUAYwB0AGkAbwBuAF8AQQByAGcAdQBtAGUAbgB0AHMAXABuACAAIAA9AEwAQQBNAEIARABBACgAXABuACAAIAAgACAATQBBAEsARQBBAFIAUgBBAFkAKAAxACwAIAAyACwAXABuACAAIAAgACAAIAAgAEwAQQBNAEIARABBACgAcgAsAGMALABcAG4AIAAgACAAIAAgACAAIAAgAEkATgBEAEUAWAAoAHsAXABuACAAIAAgACAAIAAgACAAIAAgACAAXAAiAEkAXwBqAFwAIgAsACAAXAAiAGQAcgB5ACAAbQBhAHQAdABlAHIAIABmAGUAZQBkACAAaQBuAHQAYQBrAGUAIAAoAGsAZwAgAEQATQAvAGgAZQBhAGQALwBkAGEAeQ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MAXwBEAHIAeQBNAGEAdAB0AGUAcgBGAGUAZQBkAEkAbgB0AGEAawBlAFwAbgBGAGUAZQBkACAAaQBuAHQAYQBrAGUAIABiAGEAcwBlAGQAIABvAG4AIABNAGkAbgBzAG8AbgAgAGEAbgBkACAATQBjAEQAbwBuAGEAbABkACAAKAAxADkAOAA3ACkAXABuAEkAXwBqAFwAbgBrAGcAIABEAE0ALwBoAGUAYQBkAC8AZABhAHkAXABuAEkAXwBqAD0AKAAxAC4AMQA4ADUAKwAwAC4AMAAwADQANQA0AFwAXAB0AGkAbQBlAHMAIABXAF8AagAtADAALgAwADAAMAAwADAAMgA2AFwAXAB0AGkAbQBlAHMAIABXAF8AagBeADIAKwAwAC4AMwAxADUAXABcAHQAaQBtAGUAcwAgAEwAVwBHAF8AagApAF4AMgBcAFwAdABpAG0AZQBzACAATQBSAF8AagArAE0ASQBfAGoAXABuAFcAXwBqACAAPQAgAGwAaQB2AGUAdwBlAGkAZwBoAHQAIAAoAGsAZwApAFwAbgBMAFcARwBfAGoAIAA9ACAAbABpAHYAZQB3AGUAaQBnAGgAdAAgAGcAYQBpAG4AIAAoAGsAZwAvAGgAZQBhAGQALwBkAGEAeQApAFwAbgBNAFIAXwBqACAAPQAgAGkAbgBjAHIAZQBhAHMAZQAgAGkAbgAgAG0AZQB0AGEAYgBvAGwAaQBjACAAcgBhAHQAZQAgAHcAaABlAG4AIABwAHIAbwBkAHUAYwBpAG4AZwAgAG0AaQBsAGsAIAAoAGYAcgBhAGMAdABpAG8AbgApAFwAbgBNAEkAXwBqACAAPQAgAGEAZABkAGkAdABpAG8AbgBhAGwAIABpAG4AdABhAGsAZQAgAHIAZQBxAHUAaQByAGUAZAAgAGYAbwByACAAbQBpAGwAawAgAHAAcgBvAGQAdQBjAHQAaQBvAG4AIAAoAGsAZwAgAEQATQAvAGgAZQBhAGQALwBkAGEAeQApAFwAbgAtAC0ALQAtAC0ALQAtAC0ALQAtAC0ALQAtAC0ALQAtAC0ALQAtAC0ALQAtAC0ALQAtAC0ALQAtAC0ALQAtAC0ALQAtAC0ALQAtAC0AXABuACoALwBcAG4AXABuAFYARQBFAFIARwBfADMAXwAzAF8AMQBfADEAXwBfADMAXwBEAHIAeQBNAGEAdAB0AGUAcgBGAGUAZQBkAEkAbgB0AGEAawBlAFwAbgAgACAAPQBMAEEATQBCAEQAQQAoAFwAbgAgACAAIAAgAFcAXwBqACwAIABMAFcARwBfAGoALAAgAE0AUgBfAGoALAAgAE0ASQBfAGoALABcAG4AIAAgACAAIAAoADEALgAxADgANQAgACsAIAAwAC4AMAAwADQANQA0ACAAKgAgAFcAXwBqACAALQAgADAALgAwADAAMAAwADAAMgA2ACAAKgAgAFcAXwBqACAAXgAgADIAIAArACAAMAAuADMAMQA1ACAAKgAgAEwAVwBHAF8AagApACAAXgAgADIAIAAqACAATQBSAF8AagAgACsAIABNAEkAXwBqAFwAbgAgACAAKQA7AFwAbgBcAG4AVgBFAEUAUgBHAF8AMwBfADMAXwAxAF8AMQBfAF8AMwBfAEQAcgB5AE0AYQB0AHQAZQByAEYAZQBlAGQASQBuAHQAYQBrAGUAXwBUAGkAdABsAGUAXABuACAAIAA9AEwAQQBNAEIARABBACgAXAAiAEYAZQBlAGQAIABpAG4AdABhAGsAZQAgAGIAYQBzAGUAZAAgAG8AbgAgAE0AaQBuAHMAbwBuACAAYQBuAGQAIABNAGMARABvAG4AYQBsAGQAIAAoADEAOQA4ADcAKQBcACIAKQA7AFwAbgBcAG4AVgBFAEUAUgBHAF8AMwBfADMAXwAxAF8AMQBfAF8AMwBfAEQAcgB5AE0AYQB0AHQAZQByAEYAZQBlAGQASQBuAHQAYQBrAGUAXwBWAGEAcgBpAGEAYgBsAGUAXABuACAAIAA9AEwAQQBNAEIARABBACgAXAAiAEkAXwBqAFwAIgApADsAXABuAFwAbgBWAEUARQBSAEcAXwAzAF8AMwBfADEAXwAxAF8AXwAzAF8ARAByAHkATQBhAHQAdABlAHIARgBlAGUAZABJAG4AdABhAGsAZQBfAFUAbgBpAHQAXABuACAAIAA9AEwAQQBNAEIARABBACgAXAAiAGsAZwAgAEQATQAvAGgAZQBhAGQALwBkAGEAeQBcACIAKQA7AFwAbgBcAG4AVgBFAEUAUgBHAF8AMwBfADMAXwAxAF8AMQBfAF8AMwBfAEQAcgB5AE0AYQB0AHQAZQByAEYAZQBlAGQASQBuAHQAYQBrAGUAXwBTAG8AdQByAGMAZQBcAG4AIAAgAD0ATABBAE0AQgBEAEEAKABcACIAVgBFAEUAUgBHACAAMgAwADIANgA6ACAAMwAuADMALgAxAC4AMQAsACAARQBxAHUAYQB0AGkAbwBuACAAKAAzACkAXAAiACkAOwBcAG4AXABuAFYARQBFAFIARwBfADMAXwAzAF8AMQBfADEAXwBfADMAXwBEAHIAeQBNAGEAdAB0AGUAcgBGAGUAZQBkAEkAbgB0AGEAawBlAF8ATgBJAFIAUgBlAGYAZQByAGUAbgBjAGUAXABuACAAIAA9AEwAQQBNAEIARABBACgAXAAiAE0AaQBuAHMAbwBuACAAYQBuAGQAIABNAGMARABvAG4AYQBsAGQAIAAoADEAOQA4ADcAKQBcACIAKQA7AFwAbgBcAG4AVgBFAEUAUgBHAF8AMwBfADMAXwAxAF8AMQBfAF8AMwBfAEQAcgB5AE0AYQB0AHQAZQByAEYAZQBlAGQASQBuAHQAYQBrAGUAXwBMAGEAdABlAHgARQBxAHUAYQB0AGkAbwBuAFwAbgAgACAAPQBMAEEATQBCAEQAQQAoAFwAIgBJAF8AagA9ACgAMQAuADEAOAA1ACsAMAAuADAAMAA0ADUANABcAFwAdABpAG0AZQBzACAAVwBfAGoALQAwAC4AMAAwADAAMAAwADIANgBcAFwAdABpAG0AZQBzACAAVwBfAGoAXgAyACsAMAAuADMAMQA1AFwAXAB0AGkAbQBlAHMAIABMAFcARwBfAGoAKQBeADIAXABcAHQAaQBtAGUAcwAgAE0AUgBfAGoAKwBNAEkAXwBqAFwAIgApADsAXABuAFwAbgBWAEUARQBSAEcAXwAzAF8AMwBfADEAXwAxAF8AXwAzAF8ARAByAHkATQBhAHQAdABlAHIARgBlAGUAZABJAG4AdABhAGsAZQBfAEEAcgBnAHUAbQBlAG4AdABzAFwAbgAgACAAPQBMAEEATQBCAEQAQQAoAFwAbgAgACAAIAAgAE0AQQBLAEUAQQBSAFIAQQBZACgANAAsACAAMgAsAFwAbgAgACAAIAAgACAAIABMAEEATQBCAEQAQQAoAHIALABjACwAXABuACAAIAAgACAAIAAgACAAIABJAE4ARABFAFgAKAB7AFwAbgAgACAAIAAgACAAIAAgACAAIAAgAFwAIgBXAF8AagBcACIALAAgAFwAIgBsAGkAdgBlAHcAZQBpAGcAaAB0ACAAKABrAGcAKQBcACIAOwBcAG4AIAAgACAAIAAgACAAIAAgACAAIABcACIATABXAEcAXwBqAFwAIgAsACAAXAAiAGwAaQB2AGUAdwBlAGkAZwBoAHQAIABnAGEAaQBuACAAKABrAGcALwBoAGUAYQBkAC8AZABhAHkAKQBcACIAOwBcAG4AIAAgACAAIAAgACAAIAAgACAAIABcACIATQBSAF8AagBcACIALAAgAFwAIgBpAG4AYwByAGUAYQBzAGUAIABpAG4AIABtAGUAdABhAGIAbwBsAGkAYwAgAHIAYQB0AGUAIAB3AGgAZQBuACAAcAByAG8AZAB1AGMAaQBuAGcAIABtAGkAbABrACAAKABmAHIAYQBjAHQAaQBvAG4AKQBcACIAOwBcAG4AIAAgACAAIAAgACAAIAAgACAAIABcACIATQBJAF8AagBcACIALAAgAFwAIgBhAGQAZABpAHQAaQBvAG4AYQBsACAAaQBuAHQAYQBrAGUAIAByAGUAcQB1AGkAcgBlAGQAIABmAG8AcgAgAG0AaQBsAGsAIABwAHIAbwBkAHUAYwB0AGkAbwBuACAAKABrAGcAIABEAE0ALwBoAGUAYQBkAC8AZABhAHk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0AF8AQQBkAGQAaQB0AGkAbwBuAGEAbABJAG4AdABhAGsAZQBGAG8AcgBNAGkAbABrAFAAcgBvAGQAdQBjAHQAaQBvAG4AXABuAEEAZABkAGkAdABpAG8AbgBhAGwAIABpAG4AdABhAGsAZQAgAHIAZQBxAHUAaQByAGUAZAAgAGYAbwByACAAbQBpAGwAawAgAHAAcgBvAGQAdQBjAHQAaQBvAG4AXABuAE0ASQBfAGoAXABuAGsAZwAgAEQATQAvAGgAZQBhAGQALwBkAGEAeQBcAG4ATQBJAF8AagA9ACgATQBQAF8AagBcAFwAdABpAG0AZQBzACAAMQAuADAAMwBcAFwAdABpAG0AZQBzACAATgBFACkALwAoAEcARQBDAFwAXAB0AGkAbQBlAHMAIABrAFwAXAB0AGkAbQBlAHMAIABxAG0AXwBqACkAXABuAE0AUABfAGoAIAA9ACAAbQBpAGwAawAgAHAAcgBvAGQAdQBjAHQAaQBvAG4AIAAoAEwALwBoAGUAYQBkAC8AZABhAHkAKQBcAG4ATgBFACAAPQAgAG4AZQB0ACAAZQBuAGUAcgBnAHkAIAAoAE0ASgAgAG4AZQB0ACAAZQBuAGUAcgBnAHkALwBrAGcAIABtAGkAbABrACkAXABuAEcARQBDACAAPQAgAGcAcgBvAHMAcwAgAGUAbgBlAHIAZwB5ACAAYwBvAG4AdABlAG4AdAAgACgATQBKAC8AawBnAEQATQApAFwAbgBrACAAPQAgAGUAZgBmAGkAYwBpAGUAbgBjAHkAIABvAGYAIABtAGUAdABhAGIAbwBsAGkAegBhAGIAbABlACAAZQBuAGUAcgBnAHkAIAB1AHMAZQAgAGYAbwByACAAbQBpAGwAawAgAHAAcgBvAGQAdQBjAHQAaQBvAG4AIAAoAGYAcgBhAGMAdABpAG8AbgApAFwAbgBxAG0AXwBqACAAPQAgAG0AZQB0AGEAYgBvAGwAaQBzAGEAYgBpAGwAaQB0AHkAIABvAGYAIAB0AGgAZQAgAGQAaQBlAHQAIAAoAGYAcgBhAGMAdABpAG8AbgApAFwAbgAtAC0ALQAtAC0ALQAtAC0ALQAtAC0ALQAtAC0ALQAtAC0ALQAtAC0ALQAtAC0ALQAtAC0ALQAtAC0ALQAtAC0ALQAtAC0ALQAtAC0AXABuACoALwBcAG4AXABuAFYARQBFAFIARwBfADMAXwAzAF8AMQBfADEAXwBfADQAXwBBAGQAZABpAHQAaQBvAG4AYQBsAEkAbgB0AGEAawBlAEYAbwByAE0AaQBsAGsAUAByAG8AZAB1AGMAdABpAG8AbgBcAG4AIAAgAD0ATABBAE0AQgBEAEEAKABcAG4AIAAgACAAIABNAFAAXwBqACwAIABOAEUALAAgAEcARQBDACwAIABrACwAIABxAG0AXwBqACwAXABuACAAIAAgACAAKABNAFAAXwBqACAAKgAgADEALgAwADMAIAAqACAATgBFACkAIAAvACAAKABHAEUAQwAgACoAIABrACAAKgAgAHEAbQBfAGoAKQBcAG4AIAAgACkAOwBcAG4AXABuAFYARQBFAFIARwBfADMAXwAzAF8AMQBfADEAXwBfADQAXwBBAGQAZABpAHQAaQBvAG4AYQBsAEkAbgB0AGEAawBlAEYAbwByAE0AaQBsAGsAUAByAG8AZAB1AGMAdABpAG8AbgBfAFQAaQB0AGwAZQBcAG4AIAAgAD0ATABBAE0AQgBEAEEAKABcACIAQQBkAGQAaQB0AGkAbwBuAGEAbAAgAGkAbgB0AGEAawBlACAAcgBlAHEAdQBpAHIAZQBkACAAZgBvAHIAIABtAGkAbABrACAAcAByAG8AZAB1AGMAdABpAG8AbgBcACIAKQA7AFwAbgBcAG4AVgBFAEUAUgBHAF8AMwBfADMAXwAxAF8AMQBfAF8ANABfAEEAZABkAGkAdABpAG8AbgBhAGwASQBuAHQAYQBrAGUARgBvAHIATQBpAGwAawBQAHIAbwBkAHUAYwB0AGkAbwBuAF8AVgBhAHIAaQBhAGIAbABlAFwAbgAgACAAPQBMAEEATQBCAEQAQQAoAFwAIgBNAEkAXwBqAFwAIgApADsAXABuAFwAbgBWAEUARQBSAEcAXwAzAF8AMwBfADEAXwAxAF8AXwA0AF8AQQBkAGQAaQB0AGkAbwBuAGEAbABJAG4AdABhAGsAZQBGAG8AcgBNAGkAbABrAFAAcgBvAGQAdQBjAHQAaQBvAG4AXwBVAG4AaQB0AFwAbgAgACAAPQBMAEEATQBCAEQAQQAoAFwAIgBrAGcAIABEAE0ALwBoAGUAYQBkAC8AZABhAHkAXAAiACkAOwBcAG4AXABuAFYARQBFAFIARwBfADMAXwAzAF8AMQBfADEAXwBfADQAXwBBAGQAZABpAHQAaQBvAG4AYQBsAEkAbgB0AGEAawBlAEYAbwByAE0AaQBsAGsAUAByAG8AZAB1AGMAdABpAG8AbgBfAFMAbwB1AHIAYwBlAFwAbgAgACAAPQBMAEEATQBCAEQAQQAoAFwAIgBWAEUARQBSAEcAIAAyADAAMgA2ADoAIAAzAC4AMwAuADEALgAxACwAIABFAHEAdQBhAHQAaQBvAG4AIAAoADQAKQBcACIAKQA7AFwAbgBcAG4AVgBFAEUAUgBHAF8AMwBfADMAXwAxAF8AMQBfAF8ANABfAEEAZABkAGkAdABpAG8AbgBhAGwASQBuAHQAYQBrAGUARgBvAHIATQBpAGwAawBQAHIAbwBkAHUAYwB0AGkAbwBuAF8ATgBJAFIAUgBlAGYAZQByAGUAbgBjAGUAXABuACAAIAA9AEwAQQBNAEIARABBACgAXAAiAFwAIgApADsAXABuAFwAbgBWAEUARQBSAEcAXwAzAF8AMwBfADEAXwAxAF8AXwA0AF8AQQBkAGQAaQB0AGkAbwBuAGEAbABJAG4AdABhAGsAZQBGAG8AcgBNAGkAbABrAFAAcgBvAGQAdQBjAHQAaQBvAG4AXwBMAGEAdABlAHgARQBxAHUAYQB0AGkAbwBuAFwAbgAgACAAPQBMAEEATQBCAEQAQQAoAFwAIgBNAEkAXwBqAD0AXABcAGYAcgBhAGMAewBNAFAAXwBqAFwAXAB0AGkAbQBlAHMAIAAxAC4AMAAzAFwAXAB0AGkAbQBlAHMAIABOAEUAfQB7AEcARQBDAFwAXAB0AGkAbQBlAHMAIABrAFwAXAB0AGkAbQBlAHMAIABxAG0AXwBqAH0AXAAiACkAOwBcAG4AXABuAFYARQBFAFIARwBfADMAXwAzAF8AMQBfADEAXwBfADQAXwBBAGQAZABpAHQAaQBvAG4AYQBsAEkAbgB0AGEAawBlAEYAbwByAE0AaQBsAGsAUAByAG8AZAB1AGMAdABpAG8AbgBfAEEAcgBnAHUAbQBlAG4AdABzAFwAbgAgACAAPQBMAEEATQBCAEQAQQAoAFwAbgAgACAAIAAgAE0AQQBLAEUAQQBSAFIAQQBZACgANQAsACAAMgAsAFwAbgAgACAAIAAgACAAIABMAEEATQBCAEQAQQAoAHIALABjACwAXABuACAAIAAgACAAIAAgACAAIABJAE4ARABFAFgAKAB7AFwAbgAgACAAIAAgACAAIAAgACAAIAAgAFwAIgBNAFAAXwBqAFwAIgAsACAAXAAiAG0AaQBsAGsAIABwAHIAbwBkAHUAYwB0AGkAbwBuACAAKABMAC8AaABlAGEAZAAvAGQAYQB5ACkAXAAiADsAXABuACAAIAAgACAAIAAgACAAIAAgACAAXAAiAE4ARQBcACIALAAgAFwAIgBuAGUAdAAgAGUAbgBlAHIAZwB5ACAAKABNAEoAIABuAGUAdAAgAGUAbgBlAHIAZwB5AC8AawBnACAAbQBpAGwAawApAFwAIgA7AFwAbgAgACAAIAAgACAAIAAgACAAIAAgAFwAIgBHAEUAQwBcACIALAAgAFwAIgBnAHIAbwBzAHMAIABlAG4AZQByAGcAeQAgAGMAbwBuAHQAZQBuAHQAIAAoAE0ASgAvAGsAZwBEAE0AKQBcACIAOwBcAG4AIAAgACAAIAAgACAAIAAgACAAIABcACIAawBcACIALAAgAFwAIgBlAGYAZgBpAGMAaQBlAG4AYwB5ACAAbwBmACAAbQBlAHQAYQBiAG8AbABpAHoAYQBiAGwAZQAgAGUAbgBlAHIAZwB5ACAAdQBzAGUAIABmAG8AcgAgAG0AaQBsAGsAIABwAHIAbwBkAHUAYwB0AGkAbwBuACAAKABmAHIAYQBjAHQAaQBvAG4AKQBcACIAOwBcAG4AIAAgACAAIAAgACAAIAAgACAAIABcACIAcQBtAF8AagBcACIALAAgAFwAIgBtAGUAdABhAGIAbwBsAGkAcwBhAGIAaQBsAGkAdAB5ACAAbwBmACAAdABoAGUAIABkAGkAZQB0ACAAKABmAHIAYQBjAHQAaQBvAG4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1AF8ATQBpAGwAawBQAHIAbwBkAHUAYwB0AGkAbwBuAEYAcgBvAG0ATQBpAGwAawBTAG8AbABpAGQAcwBcAG4ATQBpAGwAawAgAHAAcgBvAGQAdQBjAHQAaQBvAG4AIABjAG8AbgB2AGUAcgB0AGUAZAAgAGYAcgBvAG0AIABtAGkAbABrACAAcwBvAGwAaQBkAHMAXABuAE0AUABfAGoAXABuAEwALwBoAGUAYQBkAC8AZABhAHkAXABuAE0AUABfAGoAPQBNAFMAXwBqAC8AKAAwAC4AMAAxAFwAXAB0AGkAbQBlAHMAIAAoAEYAQwBfAGoAKwBQAEMAXwBqACkAKQBcAG4ATQBTAF8AagAgAD0AIABkAGEAaQBsAHkAIABwAHIAbwBkAHUAYwB0AGkAbwBuACAAbwBmACAAbQBpAGwAawAgAHMAbwBsAGkAZABzACAAKABrAGcAIABNAFMALwBoAGUAYQBkAC8AZABhAHkAKQBcAG4ARgBDAF8AagAgAD0AIABmAGEAdAAgAGMAbwBuAHQAZQBuAHQAIABpAG4AIABmAGEAdAAgAGEAbgBkACAAcAByAG8AdABlAGkAbgAgAGMAbwByAHIAZQBjAHQAZQBkACAAbQBpAGwAawAgACgAcABlAHIAIABjAGUAbgB0ACkAXABuAFAAQwBfAGoAIAA9ACAAcAByAG8AdABlAGkAbgAgAGMAbwBuAHQAZQBuAHQAIABpAG4AIABmAGEAdAAgAGEAbgBkACAAcAByAG8AdABlAGkAbgAgAGMAbwByAHIAZQBjAHQAZQBkACAAbQBpAGwAawAgACgAcABlAHIAIABjAGUAbgB0ACkAXABuAC0ALQAtAC0ALQAtAC0ALQAtAC0ALQAtAC0ALQAtAC0ALQAtAC0ALQAtAC0ALQAtAC0ALQAtAC0ALQAtAC0ALQAtAC0ALQAtAC0ALQBcAG4AKgAvAFwAbgBcAG4AVgBFAEUAUgBHAF8AMwBfADMAXwAxAF8AMQBfAF8ANQBfAE0AaQBsAGsAUAByAG8AZAB1AGMAdABpAG8AbgBGAHIAbwBtAE0AaQBsAGsAUwBvAGwAaQBkAHMAXABuACAAIAA9AEwAQQBNAEIARABBACgAXABuACAAIAAgACAATQBTAF8AagAsACAARgBDAF8AagAsACAAUABDAF8AagAsAFwAbgAgACAAIAAgAE0AUwBfAGoAIAAvACAAKAAwAC4AMAAxACAAKgAgACgARgBDAF8AagAgACsAIABQAEMAXwBqACkAKQBcAG4AIAAgACkAOwBcAG4AXABuAFYARQBFAFIARwBfADMAXwAzAF8AMQBfADEAXwBfADUAXwBNAGkAbABrAFAAcgBvAGQAdQBjAHQAaQBvAG4ARgByAG8AbQBNAGkAbABrAFMAbwBsAGkAZABzAF8AVABpAHQAbABlAFwAbgAgACAAPQBMAEEATQBCAEQAQQAoAFwAIgBNAGkAbABrACAAcAByAG8AZAB1AGMAdABpAG8AbgAgAGMAbwBuAHYAZQByAHQAZQBkACAAZgByAG8AbQAgAG0AaQBsAGsAIABzAG8AbABpAGQAcwBcACIAKQA7AFwAbgBcAG4AVgBFAEUAUgBHAF8AMwBfADMAXwAxAF8AMQBfAF8ANQBfAE0AaQBsAGsAUAByAG8AZAB1AGMAdABpAG8AbgBGAHIAbwBtAE0AaQBsAGsAUwBvAGwAaQBkAHMAXwBWAGEAcgBpAGEAYgBsAGUAXABuACAAIAA9AEwAQQBNAEIARABBACgAXAAiAE0AUABfAGoAXAAiACkAOwBcAG4AXABuAFYARQBFAFIARwBfADMAXwAzAF8AMQBfADEAXwBfADUAXwBNAGkAbABrAFAAcgBvAGQAdQBjAHQAaQBvAG4ARgByAG8AbQBNAGkAbABrAFMAbwBsAGkAZABzAF8AVQBuAGkAdABcAG4AIAAgAD0ATABBAE0AQgBEAEEAKABcACIATAAvAGgAZQBhAGQALwBkAGEAeQBcACIAKQA7AFwAbgBcAG4AVgBFAEUAUgBHAF8AMwBfADMAXwAxAF8AMQBfAF8ANQBfAE0AaQBsAGsAUAByAG8AZAB1AGMAdABpAG8AbgBGAHIAbwBtAE0AaQBsAGsAUwBvAGwAaQBkAHMAXwBTAG8AdQByAGMAZQBcAG4AIAAgAD0ATABBAE0AQgBEAEEAKABcACIAVgBFAEUAUgBHACAAMgAwADIANgA6ACAAMwAuADMALgAxAC4AMQAsACAARQBxAHUAYQB0AGkAbwBuACAAKAA1ACkAXAAiACkAOwBcAG4AXABuAFYARQBFAFIARwBfADMAXwAzAF8AMQBfADEAXwBfADUAXwBNAGkAbABrAFAAcgBvAGQAdQBjAHQAaQBvAG4ARgByAG8AbQBNAGkAbABrAFMAbwBsAGkAZABzAF8ATgBJAFIAUgBlAGYAZQByAGUAbgBjAGUAXABuACAAIAA9AEwAQQBNAEIARABBACgAXAAiAFwAIgApADsAXABuAFwAbgBWAEUARQBSAEcAXwAzAF8AMwBfADEAXwAxAF8AXwA1AF8ATQBpAGwAawBQAHIAbwBkAHUAYwB0AGkAbwBuAEYAcgBvAG0ATQBpAGwAawBTAG8AbABpAGQAcwBfAEwAYQB0AGUAeABFAHEAdQBhAHQAaQBvAG4AXABuACAAIAA9AEwAQQBNAEIARABBACgAXAAiAE0AUABfAGoAPQBNAFMAXwBqAC8AKAAwAC4AMAAxAFwAXAB0AGkAbQBlAHMAIAAoAEYAQwBfAGoAKwBQAEMAXwBqACkAKQBcACIAKQA7AFwAbgBcAG4AVgBFAEUAUgBHAF8AMwBfADMAXwAxAF8AMQBfAF8ANQBfAE0AaQBsAGsAUAByAG8AZAB1AGMAdABpAG8AbgBGAHIAbwBtAE0AaQBsAGsAUwBvAGwAaQBkAHMAXwBBAHIAZwB1AG0AZQBuAHQAcwBcAG4AIAAgAD0ATABBAE0AQgBEAEEAKABcAG4AIAAgACAAIABNAEEASwBFAEEAUgBSAEEAWQAoADMALAAgADIALABcAG4AIAAgACAAIAAgACAATABBAE0AQgBEAEEAKAByACwAYwAsAFwAbgAgACAAIAAgACAAIAAgACAASQBOAEQARQBYACgAewBcAG4AIAAgACAAIAAgACAAIAAgACAAIABcACIATQBTAF8AagBcACIALAAgAFwAIgBkAGEAaQBsAHkAIABwAHIAbwBkAHUAYwB0AGkAbwBuACAAbwBmACAAbQBpAGwAawAgAHMAbwBsAGkAZABzACAAKABrAGcAIABNAFMALwBoAGUAYQBkAC8AZABhAHkAKQBcACIAOwBcAG4AIAAgACAAIAAgACAAIAAgACAAIABcACIARgBDAF8AagBcACIALAAgAFwAIgBmAGEAdAAgAGMAbwBuAHQAZQBuAHQAIABpAG4AIABmAGEAdAAgAGEAbgBkACAAcAByAG8AdABlAGkAbgAgAGMAbwByAHIAZQBjAHQAZQBkACAAbQBpAGwAawAgACgAcABlAHIAIABjAGUAbgB0ACkAXAAiADsAXABuACAAIAAgACAAIAAgACAAIAAgACAAXAAiAFAAQwBfAGoAXAAiACwAIABcACIAcAByAG8AdABlAGkAbgAgAGMAbwBuAHQAZQBuAHQAIABpAG4AIABmAGEAdAAgAGEAbgBkACAAcAByAG8AdABlAGkAbgAgAGMAbwByAHIAZQBjAHQAZQBkACAAbQBpAGwAawAgACgAcABlAHIAIABjAGUAbgB0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NgBfAE0AZQB0AGEAYgBvAGwAaQBzAGEAYgBpAGwAaQB0AHkATwBmAEQAaQBlAHQAXABuAE0AZQB0AGEAYgBvAGwAaQBzAGEAYgBpAGwAaQB0AHkAIABvAGYAIAB0AGgAZQAgAGQAaQBlAHQAIABiAGEAcwBlAGQAIABvAG4AIABNAGkAbgBzAG8AbgAgAGEAbgBkACAATQBjAEQAbwBuAGEAbABkACAAKAAxADkAOAA3ACkAXABuAHEAbQBfAGoAXABuAGYAcgBhAGMAdABpAG8AbgBcAG4AcQBtAF8AagA9ADAALgA3ADkANQBcAFwAdABpAG0AZQBzACAAKABEAE0ARABfAGoAXABcAHQAaQBtAGUAcwAgADEAMAAwACkALQAwAC4AMAAwADEANABcAG4ARABNAEQAXwBqACAAPQAgAGQAcgB5ACAAbQBhAHQAdABlAHIAIABkAGkAZwBlAHMAdABpAGIAaQBsAGkAdAB5ACAAZQB4AHAAcgBlAHMAcwBlAGQAIABhAHMAIABhACAAZgByAGEAYwB0AGkAbwBuAFwAbgAtAC0ALQAtAC0ALQAtAC0ALQAtAC0ALQAtAC0ALQAtAC0ALQAtAC0ALQAtAC0ALQAtAC0ALQAtAC0ALQAtAC0ALQAtAC0ALQAtAC0AXABuACoALwBcAG4AXABuAFYARQBFAFIARwBfADMAXwAzAF8AMQBfADEAXwBfADYAXwBNAGUAdABhAGIAbwBsAGkAcwBhAGIAaQBsAGkAdAB5AE8AZgBEAGkAZQB0AFwAbgAgACAAPQBMAEEATQBCAEQAQQAoAFwAbgAgACAAIAAgAEQATQBEAF8AagAsAFwAbgAgACAAIAAgADAALgA3ADkANQAgACoAIAAoAEQATQBEAF8AagAgACoAIAAxADAAMAApACAALQAgADAALgAwADAAMQA0AFwAbgAgACAAKQA7AFwAbgBcAG4AVgBFAEUAUgBHAF8AMwBfADMAXwAxAF8AMQBfAF8ANgBfAE0AZQB0AGEAYgBvAGwAaQBzAGEAYgBpAGwAaQB0AHkATwBmAEQAaQBlAHQAXwBUAGkAdABsAGUAXABuACAAIAA9AEwAQQBNAEIARABBACgAXAAiAE0AZQB0AGEAYgBvAGwAaQBzAGEAYgBpAGwAaQB0AHkAIABvAGYAIAB0AGgAZQAgAGQAaQBlAHQAIABiAGEAcwBlAGQAIABvAG4AIABNAGkAbgBzAG8AbgAgAGEAbgBkACAATQBjAEQAbwBuAGEAbABkACAAKAAxADkAOAA3ACkAXAAiACkAOwBcAG4AXABuAFYARQBFAFIARwBfADMAXwAzAF8AMQBfADEAXwBfADYAXwBNAGUAdABhAGIAbwBsAGkAcwBhAGIAaQBsAGkAdAB5AE8AZgBEAGkAZQB0AF8AVgBhAHIAaQBhAGIAbABlAFwAbgAgACAAPQBMAEEATQBCAEQAQQAoAFwAIgBxAG0AXwBqAFwAIgApADsAXABuAFwAbgBWAEUARQBSAEcAXwAzAF8AMwBfADEAXwAxAF8AXwA2AF8ATQBlAHQAYQBiAG8AbABpAHMAYQBiAGkAbABpAHQAeQBPAGYARABpAGUAdABfAFUAbgBpAHQAXABuACAAIAA9AEwAQQBNAEIARABBACgAXAAiAGYAcgBhAGMAdABpAG8AbgBcACIAKQA7AFwAbgBcAG4AVgBFAEUAUgBHAF8AMwBfADMAXwAxAF8AMQBfAF8ANgBfAE0AZQB0AGEAYgBvAGwAaQBzAGEAYgBpAGwAaQB0AHkATwBmAEQAaQBlAHQAXwBTAG8AdQByAGMAZQBcAG4AIAAgAD0ATABBAE0AQgBEAEEAKABcACIAVgBFAEUAUgBHACAAMgAwADIANgA6ACAAMwAuADMALgAxAC4AMQAsACAARQBxAHUAYQB0AGkAbwBuACAAKAA2ACkAXAAiACkAOwBcAG4AXABuAFYARQBFAFIARwBfADMAXwAzAF8AMQBfADEAXwBfADYAXwBNAGUAdABhAGIAbwBsAGkAcwBhAGIAaQBsAGkAdAB5AE8AZgBEAGkAZQB0AF8ATgBJAFIAUgBlAGYAZQByAGUAbgBjAGUAXABuACAAIAA9AEwAQQBNAEIARABBACgAXAAiAE0AaQBuAHMAbwBuACAAYQBuAGQAIABNAGMARABvAG4AYQBsAGQAIAAoADEAOQA4ADcAKQBcACIAKQA7AFwAbgBcAG4AVgBFAEUAUgBHAF8AMwBfADMAXwAxAF8AMQBfAF8ANgBfAE0AZQB0AGEAYgBvAGwAaQBzAGEAYgBpAGwAaQB0AHkATwBmAEQAaQBlAHQAXwBMAGEAdABlAHgARQBxAHUAYQB0AGkAbwBuAFwAbgAgACAAPQBMAEEATQBCAEQAQQAoAFwAIgBxAG0AXwBqAD0AMAAuADcAOQA1AFwAXAB0AGkAbQBlAHMAIAAoAEQATQBEAF8AagBcAFwAdABpAG0AZQBzACAAMQAwADAAKQAtADAALgAwADAAMQA0AFwAIgApADsAXABuAFwAbgBWAEUARQBSAEcAXwAzAF8AMwBfADEAXwAxAF8AXwA2AF8ATQBlAHQAYQBiAG8AbABpAHMAYQBiAGkAbABpAHQAeQBPAGYARABpAGUAdABfAEEAcgBnAHUAbQBlAG4AdABzAFwAbgAgACAAPQBMAEEATQBCAEQAQQAoAFwAbgAgACAAIAAgAE0AQQBLAEUAQQBSAFIAQQBZACgAMQAsACAAMgAsAFwAbgAgACAAIAAgACAAIABMAEEATQBCAEQAQQAoAHIALABjACwAXABuACAAIAAgACAAIAAgACAAIABJAE4ARABFAFgAKAB7AFwAbgAgACAAIAAgACAAIAAgACAAIAAgAFwAIgBEAE0ARABfAGoAXAAiACwAIABcACIAZAByAHkAIABtAGEAdAB0AGUAcgAgAGQAaQBnAGUAcwB0AGkAYgBpAGwAaQB0AHkAIABlAHgAcAByAGUAcwBzAGUAZAAgAGEAcwAgAGEAIABmAHIAYQBjAHQAaQBvAG4AXAAiAFwAbgAgACAAIAAgACAAIAAgACAAfQAsACAAcgAsACAAYwApAFwAbgAgACAAIAAgACAAIAApAFwAbgAgACAAIAAgACkAXABuACAAIAApADsAXABuAFwAbgAiAH0ALAB7ACIAcABhAHQAaAAiADoAIgAvAHAAcgBvAGoAZQBjAHQAcwAvAEkAbgBwAHUAdABGAHUAbgBjAHQAaQBvAG4AcwBfAEQAYQBpAHIAeQAiACwAIgB0AGUAeAB0ACIAOgAiAEMAYQBsAGMAdQBsAGEAdABlAEYAcgBhAGMAdABpAG8AbgBJAG4ATQBNAFMAQQBmAHQAZQByAFMAbwBsAGkAZABTAGUAcABhAHIAYQB0AGkAbwBuAFwAbgA9AEwAQQBNAEIARABBACgAXABuACAAIAAgACAAUAByAG8AZAB1AGMAdABpAG8AbgBTAHkAcwB0AGUAbQAsACAATQBNAFMARgByAGEAYwB0AGkAbwBuACwAIABGAHIAYQBjAHQAaQBvAG4AUwBlAHAAYQByAGEAdABlAGQALABcAG4AIAAgACAAIABQAHIAbwBkAHUAYwB0AGkAbwBuAFMAeQBzAHQAZQBtACAAKgAgACgATQBNAFMARgByAGEAYwB0AGkAbwBuAC0AKABNAE0AUwBGAHIAYQBjAHQAaQBvAG4AKgBGAHIAYQBjAHQAaQBvAG4AUwBlAHAAYQByAGEAdABlAGQAKQApAFwAbgApADsAXABuAFwAbgBDAGEAbABjAHUAbABhAHQAZQBGAHIAYQBjAHQAaQBvAG4ASQBuAFMAbwBsAGkAZABTAHQAbwByAGEAZwBlAFwAbgA9AEwAQQBNAEIARABBACgAXABuACAAIAAgACAAUAByAG8AZAB1AGMAdABpAG8AbgBTAHkAcwB0AGUAbQAsACAASQBuAGkAdABhAGwAUwBvAGwAaQBkAFMAdABvAHIAYQBnAGUARgByAGEAYwB0AGkAbwBuACwAXABuACAAIAAgACAATQBNAFMAMQBGAHIAYQBjAHQAaQBvAG4ALAAgAE0ATQBTADEAUwBlAHAAYQByAGEAdABlAGQALAAgAFwAbgAgACAAIAAgAE0ATQBTADIARgByAGEAYwB0AGkAbwBuACwAIABNAE0AUwAyAFMAZQBwAGEAcgBhAHQAZQBkACwAIABcAG4AIAAgACAAIABNAE0AUwAzAEYAcgBhAGMAdABpAG8AbgAsACAATQBNAFMAMwBTAGUAcABhAHIAYQB0AGUAZAAsAFwAbgAgACAAIAAgAFAAcgBvAGQAdQBjAHQAaQBvAG4AUwB5AHMAdABlAG0AIAAqACAAKABcAG4AIAAgACAAIAAgACAAIAAgAEkAbgBpAHQAYQBsAFMAbwBsAGkAZABTAHQAbwByAGEAZwBlAEYAcgBhAGMAdABpAG8AbgAgACsAXABuACAAIAAgACAAIAAgACAAIAAoAE0ATQBTADEARgByAGEAYwB0AGkAbwBuACAAKgAgAE0ATQBTADEAUwBlAHAAYQByAGEAdABlAGQAKQAgACsAXABuACAAIAAgACAAIAAgACAAIAAoAE0ATQBTADIARgByAGEAYwB0AGkAbwBuACAAKgAgAE0ATQBTADIAUwBlAHAAYQByAGEAdABlAGQAKQAgACsAXABuACAAIAAgACAAIAAgACAAIAAoAE0ATQBTADMARgByAGEAYwB0AGkAbwBuACAAKgAgAE0ATQBTADMAUwBlAHAAYQByAGEAdABlAGQAKQBcAG4AIAAgACAAIAApAFwAbgApADsAIgB9ACwAewAiAHAAYQB0AGgAIgA6ACIALwBwAHIAbwBqAGUAYwB0AHMALwBNAE0AUwBfAEQAYQBpAHIAe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2ACAATQBlAHQAaABvAGQAIAAxACAALQAgAE0AYQBuAHUAcgBlACAATABlAGEAYwBoAGkAbgBnACAAQQBuAGQAIABSAHUAbgBvAGYAZ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g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B9AFwAXAB0AGkAbQBlAHMAIABFAEYAXwB7AGwAZQBhAGMAaAB9AFwAXAB0AGkAbQBlAHMAIABDAF8AewBOADIATwB9AFwAXAB0AGkAbQBlAHMAIAAxADAAXgB7AC0AMwB9AFwAbgBNAE4ATABlAGEAYwBoAF8AagBtACAAPQAgAG0AYQBzAHMAIABvAGYAIABOACAAbABvAHMAdAAgAHQAaAByAG8AdQBnAGgAIABsAGUAYQBjAGgAaQBuAGcAIABhAG4AZAAgAHIAdQBuAG8AZgBmACAAZgByAG8AbQAgAGUAYQBjAGgAIABNAE0AUwAgACgAawBnACAATgApAFwAbgBFAEYAXwBsAGUAYQBjAGgAIAA9ACAAbgBpAHQAcgBvAHUAcwAgAG8AeABpAGQAZ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gBvAHIAIABNAGUAdABoAG8AZAAgADEALAAgAGUAbQBpAHMAcwBpAG8AbgBzACAAYQByAGUAIABlAHMAdABpAG0AYQB0AGUAZAAgAG8AbgBsAHkAIABmAG8AcgAgAHMAbwBsAGkAZAAgAHMAdABvAHIAYQBnAGUAIAAoAG0APQA0ACkALgBcAG4ALQAtAC0ALQAtAC0ALQAtAC0ALQAtAC0ALQAtAC0ALQAtAC0ALQAtAC0ALQAtAC0ALQAtAC0ALQAtAC0ALQAtAC0ALQAtAC0ALQAtAFwAbgAqAC8AXABuAFwAbgBWAEUARQBSAEcAXwA0AF8AMwBfADEAXwA2AF8AXwAxAF8AQQBuAG4AdQBhAGwARQBtAGkAcwBzAGkAbwBuAHMARgByAG8AbQBMAGUAYQBjAGgAaQBuAGcAQQBuAGQAUgB1AG4AbwBmAGYARgByAG8AbQBNAE0AUwBcAG4AIAAgAD0ATABBAE0AQgBEAEEAKABcAG4AIAAgACAAIABNAE4ATABlAGEAYwBoAF8AagBtACwAIABFAEYAXwBsAGUAYQBjAGgALAAgAEMAXwBOADIATwAsAFwAbgAgACAAIAAgACgATQBOAEwAZQBhAGMAaABfAGoAbQAgACoAIABFAEYAXwBsAGUAYQBjAGgAIAAqACAAQwBfAE4AMgBPACkAIAAqACAAMQAwACAAXgAgAC0AMwBcAG4AIAAgACkAOwBcAG4AXABuAFYARQBFAFIARwBfADQAXwAzAF8AMQBfADY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MwBfADEAXwA2AF8AXwAxAF8AQQBuAG4AdQBhAGwARQBtAGkAcwBzAGkAbwBuAHMARgByAG8AbQBMAGUAYQBjAGgAaQBuAGcAQQBuAGQAUgB1AG4AbwBmAGYARgByAG8AbQBNAE0AUwBfAFYAYQByAGkAYQBiAGwAZQBcAG4AIAAgAD0ATABBAE0AQgBEAEEAKABcACIARQBfAE4AMgBPAGwAZQBhAGMAaABcACIAKQA7AFwAbgBcAG4AVgBFAEUAUgBHAF8ANABfADMAXwAxAF8ANgBfAF8AMQBfAEEAbgBuAHUAYQBsAEUAbQBpAHMAcwBpAG8AbgBzAEYAcgBvAG0ATABlAGEAYwBoAGkAbgBnAEEAbgBkAFIAdQBuAG8AZgBmAEYAcgBvAG0ATQBNAFMAXwBVAG4AaQB0AFwAbgAgACAAPQBMAEEATQBCAEQAQQAoAFwAIgB0ACAATgAyAE8AXAAiACkAOwBcAG4AXABuAFYARQBFAFIARwBfADQAXwAzAF8AMQBfADYAXwBfADEAXwBBAG4AbgB1AGEAbABFAG0AaQBzAHMAaQBvAG4AcwBGAHIAbwBtAEwAZQBhAGMAaABpAG4AZwBBAG4AZABSAHUAbgBvAGYAZgBGAHIAbwBtAE0ATQBTAF8AUwBvAHUAcgBjAGUAXABuACAAIAA9AEwAQQBNAEIARABBACgAXAAiAFYARQBFAFIARwAgADIAMAAyADYAOgAgADQALgAzAC4AMQAuADYALAAgAEUAcQB1AGEAdABpAG8AbgAgACgAMQApAFwAIgApADsAXABuAFwAbgBWAEUARQBSAEcAXwA0AF8AMwBfADEAXwA2AF8AXwAxAF8AQQBuAG4AdQBhAGwARQBtAGkAcwBzAGkAbwBuAHMARgByAG8AbQBMAGUAYQBjAGgAaQBuAGcAQQBuAGQAUgB1AG4AbwBmAGYARgByAG8AbQBNAE0AUwBfAE4ASQBSAFIAZQBmAGUAcgBlAG4AYwBlAFwAbgAgACAAPQBMAEEATQBCAEQAQQAoAFwAIgBcACIAKQA7AFwAbgBcAG4AVgBFAEUAUgBHAF8ANABfADMAXwAxAF8ANgBfAF8AMQBfAEEAbgBuAHUAYQBsAEUAbQBpAHMAcwBpAG8AbgBzAEYAcgBvAG0ATABlAGEAYwBoAGkAbgBnAEEAbgBkAFIAdQBuAG8AZgBmAEYAcgBvAG0ATQBNAFMAXwBMAGEAdABlAHgARQBxAHUAYQB0AGkAbwBuAFwAbgAgACAAPQBMAEEATQBCAEQAQQAoAFwAIgBFAF8AewBOADIATwAsAGwAZQBhAGMAaAB9AD0AXABcAHMAdQBtAFwAXABuAG8AbABpAG0AaQB0AHMAXwB7AGoAfQBcAFwAcwB1AG0AXABcAG4AbwBsAGkAbQBpAHQAcwBfAHsAbQA9ADEALQAxADMAfQAoAE0ATgBMAGUAYQBjAGgAXwB7AGoAbQB9AFwAXAB0AGkAbQBlAHMAIABFAEYAXwB7AGwAZQBhAGMAaAB9AFwAXAB0AGkAbQBlAHMAIABDAF8AewBOADIATwB9ACkAXABcAHQAaQBtAGUAcwAgADEAMABeAHsALQAzAH0AXAAiACkAOwBcAG4AXABuAFYARQBFAFIARwBfADQAXwAzAF8AMQBfADYAXwBfADEAXwBBAG4AbgB1AGEAbABFAG0AaQBzAHMAaQBvAG4AcwBGAHIAbwBtAEwAZQBhAGMAaABpAG4AZwBBAG4AZABSAHUAbgBvAGYAZgBGAHIAbwBtAE0ATQBTAF8AQQByAGcAdQBtAGUAbgB0AHMAXABuACAAIAA9AEwAQQBNAEIARABBACgAXABuACAAIAAgACAATQBBAEsARQBBAFIAUgBBAFkAKAAzACwAIAAyACwAXABuACAAIAAgACAAIAAgAEwAQQBNAEIARABBACgAcgAsAGMALABcAG4AIAAgACAAIAAgACAAIAAgAEkATgBEAEUAWAAoAHsAXABuACAAIAAgACAAIAAgACAAIAAgACAAXAAiAE0ATgBMAGUAYQBjAGgAXwBqAG0AXAAiACwAIABcACIAbQBhAHMAcwAgAG8AZgAgAE4AIABsAG8AcwB0ACAAdABoAHIAbwB1AGcAaAAgAGwAZQBhAGMAaABpAG4AZwAgAGEAbgBkACAAcgB1AG4AbwBmAGYAXAAiADsAXABuACAAIAAgACAAIAAgACAAIAAgACAAXAAiAEUARgBfAGwAZQBhAGMAaABcACIALAAgAFwAIgBuAGkAdAByAG8AdQBzACAAbwB4AGkAZABlACAAZQBtAGkAcwBzAGkAbwBuACAAZgBhAGMAdABvAHIAIABmAG8AcgAgAGwAZQBhAGMAaABpAG4AZwAgAGEAbgBkACAAcgB1AG4AbwBmAGYAIAAoAGsAZwAgAE4AMgBPAC0ATgAvAGsAZwAgAE4AKQBcACIAOwBcAG4AIAAgACAAIAAgACAAIAAgACAAIABcACIAQwBfAE4AMgBPAFwAIgAsACAAXAAiAGYAYQBjAHQAbwByACAAdABvACAAYwBvAG4AdgBlAHIAdAAgAGUAbABlAG0AZQBuAHQAYQBsACAAbQBhAHMAcwAgAG8AZgAgAE4AMgBPACAAdABvACAAbQBvAGwAZQBjAHUAbABhAHIAIABtAGEAcwBzAFwAIgBcAG4AIAAgACAAIAAgACAAIAAgAH0ALAAgAHIALAAgAGMAKQBcAG4AIAAgACAAIAAgACAAKQBcAG4AIAAgACAAIAApAFwAbgAgACAAKQA7AFwAbgBcAG4ALwAqAFwAbgAtAC0ALQAtAC0ALQAtAC0ALQAtAC0ALQAtAC0ALQAtAC0ALQAtAC0ALQAtAC0ALQAtAC0ALQAtAC0ALQAtAC0ALQAtAC0ALQAtAC0AXABuAFYARQBFAFIARwBfADQAXwAzAF8AMQBfADYAXwBfADIAXwBNAGEAcwBzAE8AZgBOAGkAdAByAG8AZwBlAG4ATABvAHMAdABUAG8ATABlAGEAYwBoAGkAbgBnAEEAbgBkAFIAdQBuAG8AZgBmAEYAcgBvAG0AUwBvAGwAaQBkAFMAdABvAHIAYQBnAGUAXABuAE0AYQBzAHMAIABvAGYAIABuAGkAdAByAG8AZwBlAG4AIABsAG8AcwB0ACAAdABvACAAbABlAGEAYwBoAGkAbgBnACAAYQBuAGQAIAByAHUAbgBvAGYAZgAgAGYAcgBvAG0AIABzAG8AbABpAGQAIABzAHQAbwByAGEAZwBlACAAcwB5AHMAdABlAG0AcwBcAG4ATQBOAEwAZQBhAGMAaABfAGoAbQA0AFwAbgBrAGcAIABOAFwAbgBNAE4ATABlAGEAYwBoAF8AewBqAG0APQA0AH0APQBNAE4AXwB7AGoAbQA9ADQAfQBcAFwAdABpAG0AZQBzACAARgByAGEAYwBXAEUAVABfAGkAXABcAHQAaQBtAGUAcwAgAEYAcgBhAGMATABFAEEAQwBIAF8ATQBTAFwAbgBNAE4AXwBqAG0ANAAgAD0AIAB0AG8AdABhAGwAIABuAGkAdAByAG8AZwBlAG4AIABpAG4AIABzAG8AbABpAGQAIABzAHQAbwByAGEAZwBlACAAcwB5AHMAdABlAG0AIABtAD0ANAAgACgAawBnACAATgApAFwAbgBGAHIAYQBjAFcARQBUAF8AaQAgAD0AIABmAHIAYQBjAHQAaQBvAG4AIABvAGYAIABOACAAYQB2AGEAaQBsAGEAYgBsAGUAIABmAG8AcgAgAGwAZQBhAGMAaABpAG4AZwAgAGEAbgBkACAAcgB1AG4AbwBmAGYAXABuAEYAcgBhAGMATABFAEEAQwBIAF8ATQBT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NgBfAF8AMgBfAE0AYQBzAHMATwBmAE4AaQB0AHIAbwBnAGUAbgBMAG8AcwB0AFQAbwBMAGUAYQBjAGgAaQBuAGcAQQBuAGQAUgB1AG4AbwBmAGYARgByAG8AbQBTAG8AbABpAGQAUwB0AG8AcgBhAGcAZQBcAG4AIAAgAD0ATABBAE0AQgBEAEEAKABcAG4AIAAgACAAIABNAE4AXwBqAG0ANAAsACAARgByAGEAYwBXAEUAVABfAGkALAAgAEYAcgBhAGMATABFAEEAQwBIAF8ATQBTACwAXABuACAAIAAgACAATQBOAF8AagBtADQAIAAqACAARgByAGEAYwBXAEUAVABfAGkAIAAqACAARgByAGEAYwBMAEUAQQBDAEgAXwBNAFMAXABuACAAIAApADsAXABuAFwAbgBWAEUARQBSAEcAXwA0AF8AMwBfADEAXwA2AF8AXwAyAF8ATQBhAHMAcwBPAGYATgBpAHQAcgBvAGcAZQBuAEwAbwBzAHQAVABvAEwAZQBhAGMAaABpAG4AZwBBAG4AZABSAHUAbgBvAGYAZgBGAHIAbwBtAFMAbwBsAGkAZABTAHQAbwByAGEAZwBlAF8AVABpAHQAbABlAFwAbgAgACAAPQBMAEEATQBCAEQAQQAoAFwAIgBNAGEAcwBzACAAbwBmACAAbgBpAHQAcgBvAGcAZQBuACAAbABvAHMAdAAgAHQAbwAgAGwAZQBhAGMAaABpAG4AZwAgAGEAbgBkACAAcgB1AG4AbwBmAGYAIABmAHIAbwBtACAAcwBvAGwAaQBkACAAcwB0AG8AcgBhAGcAZQAgAHMAeQBzAHQAZQBtAHMAXAAiACkAOwBcAG4AXABuAFYARQBFAFIARwBfADQAXwAzAF8AMQBfADYAXwBfADIAXwBNAGEAcwBzAE8AZgBOAGkAdAByAG8AZwBlAG4ATABvAHMAdABUAG8ATABlAGEAYwBoAGkAbgBnAEEAbgBkAFIAdQBuAG8AZgBmAEYAcgBvAG0AUwBvAGwAaQBkAFMAdABvAHIAYQBnAGUAXwBWAGEAcgBpAGEAYgBsAGUAXABuACAAIAA9AEwAQQBNAEIARABBACgAXAAiAE0ATgBMAGUAYQBjAGgAXwBqAG0ANABcACIAKQA7AFwAbgBcAG4AVgBFAEUAUgBHAF8ANABfADMAXwAxAF8ANgBfAF8AMgBfAE0AYQBzAHMATwBmAE4AaQB0AHIAbwBnAGUAbgBMAG8AcwB0AFQAbwBMAGUAYQBjAGgAaQBuAGcAQQBuAGQAUgB1AG4AbwBmAGYARgByAG8AbQBTAG8AbABpAGQAUwB0AG8AcgBhAGcAZQBfAFUAbgBpAHQAXABuACAAIAA9AEwAQQBNAEIARABBACgAXAAiAGsAZwAgAE4AXAAiACkAOwBcAG4AXABuAFYARQBFAFIARwBfADQAXwAzAF8AMQBfADYAXwBfADIAXwBNAGEAcwBzAE8AZgBOAGkAdAByAG8AZwBlAG4ATABvAHMAdABUAG8ATABlAGEAYwBoAGkAbgBnAEEAbgBkAFIAdQBuAG8AZgBmAEYAcgBvAG0AUwBvAGwAaQBkAFMAdABvAHIAYQBnAGUAXwBTAG8AdQByAGMAZQBcAG4AIAAgAD0ATABBAE0AQgBEAEEAKABcACIAVgBFAEUAUgBHACAAMgAwADIANgA6ACAANAAuADMALgAxAC4ANgAsACAARQBxAHUAYQB0AGkAbwBuACAAKAAyACkAXAAiACkAOwBcAG4AXABuAFYARQBFAFIARwBfADQAXwAzAF8AMQBfADYAXwBfADIAXwBNAGEAcwBzAE8AZgBOAGkAdAByAG8AZwBlAG4ATABvAHMAdABUAG8ATABlAGEAYwBoAGkAbgBnAEEAbgBkAFIAdQBuAG8AZgBmAEYAcgBvAG0AUwBvAGwAaQBkAFMAdABvAHIAYQBnAGUAXwBOAEkAUgBSAGUAZgBlAHIAZQBuAGMAZQBcAG4AIAAgAD0ATABBAE0AQgBEAEEAKABcACIAXAAiACkAOwBcAG4AXABuAFYARQBFAFIARwBfADQAXwAzAF8AMQBfADYAXwBfADIAXwBNAGEAcwBzAE8AZgBOAGkAdAByAG8AZwBlAG4ATABvAHMAdABUAG8ATABlAGEAYwBoAGkAbgBnAEEAbgBkAFIAdQBuAG8AZgBmAEYAcgBvAG0AUwBvAGwAaQBkAFMAdABvAHIAYQBnAGUAXwBMAGEAdABlAHgARQBxAHUAYQB0AGkAbwBuAFwAbgAgACAAPQBMAEEATQBCAEQAQQAoAFwAIgBNAE4ATABlAGEAYwBoAF8AewBqAG0APQA0AH0APQBNAE4AXwB7AGoAbQA9ADQAfQBcAFwAdABpAG0AZQBzACAARgByAGEAYwBXAEUAVABfAGkAXABcAHQAaQBtAGUAcwAgAEYAcgBhAGMATABFAEEAQwBIAF8AewBNAFMAfQBcACIAKQA7AFwAbgBcAG4AVgBFAEUAUgBHAF8ANABfADMAXwAxAF8ANgBfAF8AMgBfAE0AYQBzAHMATwBmAE4AaQB0AHIAbwBnAGUAbgBMAG8AcwB0AFQAbwBMAGUAYQBjAGgAaQBuAGcAQQBuAGQAUgB1AG4AbwBmAGYARgByAG8AbQBTAG8AbABpAGQAUwB0AG8AcgBhAGcAZQBfAEEAcgBnAHUAbQBlAG4AdABzAFwAbgAgACAAPQBMAEEATQBCAEQAQQAoAFwAbgAgACAAIAAgAE0AQQBLAEUAQQBSAFIAQQBZACgANgAsACAAMgAsAFwAbgAgACAAIAAgACAAIABMAEEATQBCAEQAQQAoAHIALABjACwAXABuACAAIAAgACAAIAAgACAAIABJAE4ARABFAFgAKAB7AFwAbgAgACAAIAAgACAAIAAgACAAIAAgAFwAIgBNAE4AXwBqAG0ANABcACIALAAgAFwAIgB0AG8AdABhAGwAIABuAGkAdAByAG8AZwBlAG4AIABpAG4AIABzAG8AbABpAGQAIABzAHQAbwByAGEAZwBlACAAcwB5AHMAdABlAG0AIABtAD0ANAAgACgAawBnACAATgApAFwAIgA7AFwAbgAgACAAIAAgACAAIAAgACAAIAAgAFwAIgBGAHIAYQBjAFcARQBUAF8AaQBcACIALAAgAFwAIgBmAHIAYQBjAHQAaQBvAG4AIABvAGYAIABOACAAdABoAGEAdAAgAGkAcwAgAGEAdgBhAGkAbABhAGIAbABlACAAZgBvAHIAIABsAGUAYQBjAGgAaQBuAGcAIABhAG4AZAAgAHIAdQBuAG8AZgBmACAAZgByAG8AbQAgAHQAaABlACAAbABlAGEAYwBoAGkAbgBnACAAegBvAG4AZQAgAHoAIABhAG4AZAAgAGkAcgByAGkAZwBhAHQAaQBvAG4AIAB0AHkAcABlACAAaQByACAAKABkAGkAbQBlAG4AcwBpAG8AbgBsAGUAcwBzACkAXAAiADsAXABuACAAIAAgACAAIAAgACAAIAAgACAAXAAiAEYAcgBhAGMATABFAEEAQwBIAF8ATQBTAFwAIgAsACAAXAAiAGYAcgBhAGMAdABpAG8AbgAgAG8AZgAgAE4AIAB0AGgAYQB0ACAAaQBzACAAbABvAHMAdAAgAHQAaAByAG8AdQBnAGgAIABsAGUAYQBjAGgAaQBuAGcAIABhAG4AZAAgAHIAdQBuAG8AZgBmACAAKABkAGkAbQBlAG4AcwBpAG8AbgBsAGUAcwBzACkAXAAiADsAXABuACAAIAAgACAAIAAgACAAIAAgACAAXAAiAHoAXAAiACwAIABcACIAbABvAGMAYQB0AGkAbwBuACAAaQBuACAAbABlAGEAYwBoAGkAbgBnACAAegBvAG4AZQBcACIAOwBcAG4AIAAgACAAIAAgACAAIAAgACAAIABcACIAagBcACIALAAgAFwAIgBwAHIAbwBkAHUAYwB0AGkAbwBuACAAcwB5AHMAdABlAG0AXAAiADsAXABuACAAIAAgACAAIAAgACAAIAAgACAAXAAiAGkAcgBcACIALAAgAFwAIgBpAHIAcgBpAGcAYQB0AGkAbwBuACAAbQBlAHQAaABvAGQAXAAiAFwAbgAgACAAIAAgACAAIAAgACAAfQAsACAAcgAsACAAYwApAFwAbgAgACAAIAAgACAAIAApAFwAbgAgACAAIAAgACkAXABuACAAIAApADsAXABuACIAfQAsAHsAIgBwAGEAdABoACIAOgAiAC8AcAByAG8AagBlAGMAdABzAC8ATQBNAFMAXwBEAGEAaQByAHk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QAgAE0AZQB0AGgAbwBkACAAMQAgAC0AIABTAG8AaQBs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kAXwBfADEAXwBEAGkAcgBlAGMAdABOAGkAdAByAG8AdQBzAE8AeABpAGQAZQBFAG0AaQBzAHMAaQBvAG4AcwBPAG4AUABhAHMAdAB1AHIAZQBcAG4ARABpAHIAZQBjAHQAIABuAGkAdAByAG8AdQBzACAAbwB4AGkAZABlACAAZQBtAGkAcwBzAGkAbwBuAHMAIABvAG4AIABwAGEAcwB0AHUAcgBlAFwAbgBFAF8ATgAyAE8AZABpAHIAXABuAHQAIABOADIATwBcAG4ARQBfAHsATgAyAE8ALABkAGkAcgB9AD0ATQBOAF8AewBqAG0APQAxADQAfQBcAFwAdABpAG0AZQBzACAARQBGAF8AewBQAFIAUAB9AFwAXAB0AGkAbQBlAHMAIABDAF8AewBOADIATwB9AFwAXAB0AGkAbQBlAHMAIAAxADAAXgB7AC0AMwB9AFwAbgBNAE4AXwBqAG0AMQA0ACAAPQAgAG0AYQBzAHMAIABvAGYAIABuAGkAdAByAG8AZwBlAG4AIABlAHgAYwByAGUAdABlAGQAIABvAG4AIABwAGEAcwB0AHUAcgBlACwAIAByAGEAbgBnAGUALAAgAGEAbgBkACAAcABhAGQAZABvAGMAawAgAGYAbwByACAAZQBhAGMAaAAgAGQAYQBpAHIAeQAgAGMAYQB0AHQAbABlACAAYwBsAGEAcwBzACAAKABrAGcAIABOACkAXABuAEUARgBfAFAAUgBQACAAPQAgAGUAbQBpAHMAcwBpAG8AbgAgAGYAYQBjAHQAbwByACAAZgBvAHIAIABuAGkAdAByAG8AdQBzACAAbwB4AGkAZABlACAAZQBtAGkAcwBzAGkAbwBuAHMAIABmAG8AcgAgAHUAcgBpAG4AZQAgAGEAbgBkACAAZAB1AG4AZwAgAGQAZQBwAG8AcwBpAHQAZQBkACAAbwBuACAAUABSAFA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OQBfAF8AMQBfAEQAaQByAGUAYwB0AE4AaQB0AHIAbwB1AHMATwB4AGkAZABlAEUAbQBpAHMAcwBpAG8AbgBzAE8AbgBQAGEAcwB0AHUAcgBlAFwAbgAgACAAPQBMAEEATQBCAEQAQQAoAFwAbgAgACAAIAAgAE0ATgBfAGoAbQAxADQALAAgAEUARgBfAFAAUgBQACwAIABDAF8ATgAyAE8ALABcAG4AIAAgACAAIABNAE4AXwBqAG0AMQA0ACAAKgAgAEUARgBfAFAAUgBQACAAKgAgAEMAXwBOADIATwAgACoAIAAxADAAIABeACAALQAzAFwAbgAgACAAKQA7AFwAbgBcAG4AVgBFAEUAUgBHAF8ANABfADMAXwAxAF8AOQBfAF8AMQBfAEQAaQByAGUAYwB0AE4AaQB0AHIAbwB1AHMATwB4AGkAZABlAEUAbQBpAHMAcwBpAG8AbgBzAE8AbgBQAGEAcwB0AHUAcgBlAF8AVABpAHQAbABlAFwAbgAgACAAPQBMAEEATQBCAEQAQQAoAFwAIgBEAGkAcgBlAGMAdAAgAG4AaQB0AHIAbwB1AHMAIABvAHgAaQBkAGUAIABlAG0AaQBzAHMAaQBvAG4AcwAgAG8AbgAgAHAAYQBzAHQAdQByAGUAXAAiACkAOwBcAG4AXABuAFYARQBFAFIARwBfADQAXwAzAF8AMQBfADkAXwBfADEAXwBEAGkAcgBlAGMAdABOAGkAdAByAG8AdQBzAE8AeABpAGQAZQBFAG0AaQBzAHMAaQBvAG4AcwBPAG4AUABhAHMAdAB1AHIAZQBfAFYAYQByAGkAYQBiAGwAZQBcAG4AIAAgAD0ATABBAE0AQgBEAEEAKABcACIARQBfAE4AMgBPAGQAaQByAFwAIgApADsAXABuAFwAbgBWAEUARQBSAEcAXwA0AF8AMwBfADEAXwA5AF8AXwAxAF8ARABpAHIAZQBjAHQATgBpAHQAcgBvAHUAcwBPAHgAaQBkAGUARQBtAGkAcwBzAGkAbwBuAHMATwBuAFAAYQBzAHQAdQByAGUAXwBVAG4AaQB0AFwAbgAgACAAPQBMAEEATQBCAEQAQQAoAFwAIgB0ACAATgAyAE8AXAAiACkAOwBcAG4AXABuAFYARQBFAFIARwBfADQAXwAzAF8AMQBfADkAXwBfADEAXwBEAGkAcgBlAGMAdABOAGkAdAByAG8AdQBzAE8AeABpAGQAZQBFAG0AaQBzAHMAaQBvAG4AcwBPAG4AUABhAHMAdAB1AHIAZQBfAFMAbwB1AHIAYwBlAFwAbgAgACAAPQBMAEEATQBCAEQAQQAoAFwAIgBWAEUARQBSAEcAIAAyADAAMgA2ADoAIAA0AC4AMwAuADEALgA5ACwAIABFAHEAdQBhAHQAaQBvAG4AIAAoADEAKQBcACIAKQA7AFwAbgBcAG4AVgBFAEUAUgBHAF8ANABfADMAXwAxAF8AOQBfAF8AMQBfAEQAaQByAGUAYwB0AE4AaQB0AHIAbwB1AHMATwB4AGkAZABlAEUAbQBpAHMAcwBpAG8AbgBzAE8AbgBQAGEAcwB0AHUAcgBlAF8ATgBJAFIAUgBlAGYAZQByAGUAbgBjAGUAXABuACAAIAA9AEwAQQBNAEIARABBACgAXAAiAFwAIgApADsAXABuAFwAbgBWAEUARQBSAEcAXwA0AF8AMwBfADEAXwA5AF8AXwAxAF8ARABpAHIAZQBjAHQATgBpAHQAcgBvAHUAcwBPAHgAaQBkAGUARQBtAGkAcwBzAGkAbwBuAHMATwBuAFAAYQBzAHQAdQByAGUAXwBMAGEAdABlAHgARQBxAHUAYQB0AGkAbwBuAFwAbgAgACAAPQBMAEEATQBCAEQAQQAoAFwAIgBFAF8AewBOADIATwAsAGQAaQByAH0APQBcAFwAcwB1AG0AXABcAG4AbwBsAGkAbQBpAHQAcwBfAHsAagB9ACgATQBOAF8AewBqAG0APQAxADQAfQBcAFwAdABpAG0AZQBzACAARQBGAF8AewBQAFIAUAB9AFwAXAB0AGkAbQBlAHMAIABDAF8AewBOADIATwB9AFwAXAB0AGkAbQBlAHMAIAAxADAAXgB7AC0AMwB9ACkAXAAiACkAOwBcAG4AXABuAFYARQBFAFIARwBfADQAXwAzAF8AMQBfADkAXwBfADEAXwBEAGkAcgBlAGMAdABOAGkAdAByAG8AdQBzAE8AeABpAGQAZQBFAG0AaQBzAHMAaQBvAG4AcwBPAG4AUABhAHMAdAB1AHIAZQBfAEEAcgBnAHUAbQBlAG4AdABzAFwAbgAgACAAPQBMAEEATQBCAEQAQQAoAFwAbgAgACAAIAAgAE0AQQBLAEUAQQBSAFIAQQBZACgANAAsACAAMg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LAAgAGEAbgBkACAAcABhAGQAZABvAGMAawAgAGYAbwByACAAZQBhAGMAaAAgAGQAYQBpAHIAeQAgAGMAYQB0AHQAbABlACAAYwBsAGEAcwBzACAAKABrAGcAIABOACkAXAAiADsAXABuACAAIAAgACAAIAAgACAAIAAgACAAXAAiAEUARgBfAFAAUgBQAFwAIgAsACAAXAAiAGUAbQBpAHMAcwBpAG8AbgAgAGYAYQBjAHQAbwByACAAZgBvAHIAIABuAGkAdAByAG8AdQBzACAAbwB4AGkAZABlACAAZQBtAGkAcwBzAGkAbwBuAHMAIABmAG8AcgAgAHUAcgBpAG4AZQAgAGEAbgBkACAAZAB1AG4AZwAgAGQAZQBwAG8AcwBpAHQAZQBkACAAbwBuACAAUABSAFAAIAAoAGsAZwAgAE4AMgBPAC0ATgAvAGsAZwAgAE4AIABkAGUAcABvAHMAaQB0AGUAZAApAFwAIgA7AFwAbgAgACAAIAAgACAAIAAgACAAIAAgAFwAIgBDAF8ATgAyAE8AXAAiACwAIABcACIAZgBhAGMAdABvAHIAIAB0AG8AIABjAG8AbgB2AGUAcgB0ACAAZQBsAGUAbQBlAG4AdABhAGwAIABtAGEAcwBzACAAbwBmACAATgAyAE8AIAB0AG8AIABtAG8AbABlAGMAdQBsAGEAcgAgAG0AYQBzAHMAXAAiADsAXABuACAAIAAgACAAIAAgACAAIAAgACAAXAAiAHoAXAAiACwAXAAiAFcAZQB0ACAAbwByACAAZAByAHkAIABjAGwAaQBtAGEAdABlACAAegBvAG4AZQBcACIAXABuACAAIAAgACAAIAAgACAAIAB9ACwAIAByACwAIABjACkAXABuACAAIAAgACAAIAAgACkAXABuACAAIAAgACAAKQBcAG4AIAAgACkAOwBcAG4AIgB9ACwAewAiAHAAYQB0AGgAIgA6ACIALwBwAHIAbwBqAGUAYwB0AHMALwBNAE0AUwBfAEQAYQBpAHIAeQ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AAIABNAGUAdABoAG8AZAAgADEAIAAtACAAUwBvAGkAbAAgAEEAdABtAG8AcwBwAGgAZQByAGkAYwAgAEQAZQBwAG8AcwBpAHQAaQBvAG4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A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CwAbQA9ADEANAB9AFwAXAB0AGkAbQBlAHMAIABFAEYAXwB7AE4AMgBPAH0AXABcAHQAaQBtAGUAcwAgAEMAXwB7AE4AMgBPAH0AXABcAHQAaQBtAGUAcwAgADEAMABeAHsALQAzAH0AXABuAE0AXwB2AG8AbABfAG0AMQA0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EAMABfAF8AMQBfAEEAdABtAG8AcwBwAGgAZQByAGkAYwBEAGUAcABvAHMAaQB0AGkAbwBuAEUAbQBpAHMAcwBpAG8AbgBzAEYAcgBvAG0AVQByAGkAbgBlAEEAbgBkAEQAdQBuAGcATwBuAFAAYQBzAHQAdQByAGUAXABuACAAIAA9AEwAQQBNAEIARABBACgAXABuACAAIAAgACAATQBfAHYAbwBsAF8AbQAxADQALAAgAEUARgBfAE4AMgBPACwAIABDAF8ATgAyAE8ALABcAG4AIAAgACAAIABNAF8AdgBvAGwAXwBtADEANAAgACoAIABFAEYAXwBOADIATwAgACoAIABDAF8ATgAyAE8AIAAqACAAMQAwACAAXgAgAC0AMwBcAG4AIAAgACkAOwBcAG4AXABuAFYARQBFAFIARwBfADQAXwAzAF8AMQBfADEAMABfAF8AMQBfAEEAdABtAG8AcwBwAGgAZQByAGkAYwBEAGUAcABvAHMAaQB0AGkAbwBuAEUAbQBpAHMAcwBpAG8AbgBzAEYAcgBvAG0AVQByAGkAbgBlAEEAbgBkAEQAdQBuAGcATwBuAFAAYQBzAHQAdQByAGUAXwBUAGkAdABsAGUAXABuACAAIAA9AEwAQQBNAEIARABBACgAXAAiAEEAdABtAG8AcwBwAGgAZQByAGkAYwAgAGQAZQBwAG8AcwBpAHQAaQBvAG4AIABlAG0AaQBzAHMAaQBvAG4AcwAgAGYAcgBvAG0AIAB1AHIAaQBuAGUAIABhAG4AZAAgAGQAdQBuAGcAIABkAGUAcABvAHMAaQB0AGUAZAAgAG8AbgAgAHAAYQBzAHQAdQByAGUAXAAiACkAOwBcAG4AXABuAFYARQBFAFIARwBfADQAXwAzAF8AMQBfADEAMA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zAF8AMQBfADEAMABfAF8AMQBfAEEAdABtAG8AcwBwAGgAZQByAGkAYwBEAGUAcABvAHMAaQB0AGkAbwBuAEUAbQBpAHMAcwBpAG8AbgBzAEYAcgBvAG0AVQByAGkAbgBlAEEAbgBkAEQAdQBuAGcATwBuAFAAYQBzAHQAdQByAGUAXwBVAG4AaQB0AFwAbgAgACAAPQBMAEEATQBCAEQAQQAoAFwAIgB0ACAATgAyAE8AXAAiACkAOwBcAG4AXABuAFYARQBFAFIARwBfADQAXwAzAF8AMQBfADEAMABfAF8AMQBfAEEAdABtAG8AcwBwAGgAZQByAGkAYwBEAGUAcABvAHMAaQB0AGkAbwBuAEUAbQBpAHMAcwBpAG8AbgBzAEYAcgBvAG0AVQByAGkAbgBlAEEAbgBkAEQAdQBuAGcATwBuAFAAYQBzAHQAdQByAGUAXwBTAG8AdQByAGMAZQBcAG4AIAAgAD0ATABBAE0AQgBEAEEAKABcACIAVgBFAEUAUgBHACAAMgAwADIANgA6ACAANAAuADMALgAxAC4AMQAwACwAIABFAHEAdQBhAHQAaQBvAG4AIAAoADEAKQBcACIAKQA7AFwAbgBcAG4AVgBFAEUAUgBHAF8ANABfADMAXwAxAF8AMQAwAF8AXwAxAF8AQQB0AG0AbwBzAHAAaABlAHIAaQBjAEQAZQBwAG8AcwBpAHQAaQBvAG4ARQBtAGkAcwBzAGkAbwBuAHMARgByAG8AbQBVAHIAaQBuAGUAQQBuAGQARAB1AG4AZwBPAG4AUABhAHMAdAB1AHIAZQBfAE4ASQBSAFIAZQBmAGUAcgBlAG4AYwBlAFwAbgAgACAAPQBMAEEATQBCAEQAQQAoAFwAIgBcACIAKQA7AFwAbgBcAG4AVgBFAEUAUgBHAF8ANABfADMAXwAxAF8AMQAwAF8AXwAxAF8AQQB0AG0AbwBzAHAAaABlAHIAaQBjAEQAZQBwAG8AcwBpAHQAaQBvAG4ARQBtAGkAcwBzAGkAbwBuAHMARgByAG8AbQBVAHIAaQBuAGUAQQBuAGQARAB1AG4AZwBPAG4AUABhAHMAdAB1AHIAZQBfAEwAYQB0AGUAeABFAHEAdQBhAHQAaQBvAG4AXABuACAAIAA9AEwAQQBNAEIARABBACgAXAAiAEUAXwB7AE4AMgBPACwAYQBkAH0APQBNAF8AewB2AG8AbAAsAG0APQAxADQAfQBcAFwAdABpAG0AZQBzACAARQBGAF8AewBOADIATwB9AFwAXAB0AGkAbQBlAHMAIABDAF8AewBOADIATwB9AFwAXAB0AGkAbQBlAHMAIAAxADAAXgB7AC0AMwB9AFwAIgApADsAXABuAFwAbgBWAEUARQBSAEcAXwA0AF8AMwBfADEAXwAxADAAXwBfADEAXwBBAHQAbQBvAHMAcABoAGUAcgBpAGMARABlAHAAbwBzAGkAdABpAG8AbgBFAG0AaQBzAHMAaQBvAG4AcwBGAHIAbwBtAFUAcgBpAG4AZQBBAG4AZABEAHUAbgBnAE8AbgBQAGEAcwB0AHUAcgBlAF8AQQByAGcAdQBtAGUAbgB0AHMAXABuACAAIAA9AEwAQQBNAEIARABBACgAXABuACAAIAAgACAATQBBAEsARQBBAFIAUgBBAFkAKAA2ACwAIAAyACwAXABuACAAIAAgACAAIAAgAEwAQQBNAEIARABBACgAcgAsAGMALABcAG4AIAAgACAAIAAgACAAIAAgAEkATgBEAEUAWAAoAHsAXABuACAAIAAgACAAIAAgACAAIAAgACAAXAAiAE0AXwB2AG8AbABfAG0AMQA0AFwAIgAsACAAXAAiAG0AYQBzAHMAIABvAGYAIABuAGkAdAByAG8AZwBlAG4AIAB2AG8AbABhAHQAaQBsAGkAcwBlAGQAIABmAHIAbwBtACAAdQByAGkAbgBlACAAYQBuAGQAIABmAGEAZQBjAGUAcwAgAGQAZQBwAG8AcwBpAHQAZQBkACAAbwBuACAAcABhAHMAdAB1AHIAZQAgACgAawBnACAATgApAFwAIgA7AFwAbgAgACAAIAAgACAAIAAgACAAIAAgAFwAIgBFAEYAXwBOADIATwBcACIALAAgAFwAIgBuAGkAdAByAG8AdQBzACAAbwB4AGkAZABlACAAZQBtAGkAcwBzAGkAbwBuACAAZgBhAGMAdABvAHIAIABmAG8AcgAgAGEAdABtAG8AcwBwAGgAZQByAGkAYwAgAGQAZQBwAG8AcwBpAHQAaQBvAG4AIAAoAGsAZwAgAE4AMgBPAC0ATgAvAGsAZwAgAE4AKQBcACIAOwBcAG4AIAAgACAAIAAgACAAIAAgACAAIABcACIAQwBfAE4AMgBPAFwAIgAsACAAXAAiAGYAYQBjAHQAbwByACAAdABvACAAYwBvAG4AdgBlAHIAdAAgAGUAbABlAG0AZQBuAHQAYQBsACAAbQBhAHMAcwAgAG8AZgAgAE4AMgBPACAAdABvACAAbQBvAGwAZQBjAHUAbABhAHIAIABtAGEAcwBzAFwAIgA7AFwAbgAgACAAIAAgACAAIAAgACAAIAAgAFwAIgBqAFwAIgAsACAAXAAiAHAAcgBvAGQAdQBjAHQAaQBvAG4AIABzAHkAcwB0AGUAbQBcACIAOwBcAG4AIAAgACAAIAAgACAAIAAgACAAIABcACIAaQByAFwAIgAsACAAXAAiAGkAcgByAGkAZwBhAHQAaQBvAG4AIABtAGUAdABoAG8AZABcACIAOwBcAG4AIAAgACAAIAAgACAAIAAgACAAIABcACIAcgBcACIALAAgAFwAIgByAGEAaQBuAGYAYQBsAGwAIAByAGUAZwBpAG8AbgBcACIAXABuACAAIAAgACAAIAAgACAAIAB9ACwAIAByACwAIABjACkAXABuACAAIAAgACAAIAAgACkAXABuACAAIAAgACAAKQBcAG4AIAAgACkAOwBcAG4AXABuAC8AKgBcAG4ALQAtAC0ALQAtAC0ALQAtAC0ALQAtAC0ALQAtAC0ALQAtAC0ALQAtAC0ALQAtAC0ALQAtAC0ALQAtAC0ALQAtAC0ALQAtAC0ALQAtAFwAbgBWAEUARQBSAEcAXwA0AF8AMwBfADEAXwAxADAAXwBfADIAXwBNAGEAcwBzAE8AZgBOAGkAdAByAG8AZwBlAG4AVgBvAGwAYQB0AGkAbABpAHMAZQBkAE8AbgBQAGEAcwB0AHUAcgBlAFwAbgBNAGEAcwBzACAAbwBmACAAbgBpAHQAcgBvAGcAZQBuACAAdgBvAGwAYQB0AGkAbABpAHMAZQBkACAAZgByAG8AbQAgAHUAcgBpAG4AZQAgAGEAbgBkACAAZgBhAGUAYwBlAHMAIABkAGUAcABvAHMAaQB0AGUAZAAgAG8AbgAgAHAAYQBzAHQAdQByAGUAXABuAE0AXwB2AG8AbABfAG0AMQA0AFwAbgBrAGcAIABOAFwAbgBNAF8AewB2AG8AbAAsAG0APQAxADQAfQA9AE0ATgBfAHsAagBtAD0AMQA0AH0AXABcAHQAaQBtAGUAcwAgAEYAcgBhAGMARwBBAFMATQBzAG8AaQBsAFwAbgBNAE4AXwBqAG0AMQA0ACAAPQAgAG0AYQBzAHMAIABvAGYAIABuAGkAdAByAG8AZwBlAG4AIABlAHgAYwByAGUAdABlAGQAIABvAG4AIABwAGEAcwB0AHUAcgBlACwAIAByAGEAbgBnAGUAIABhAG4AZAAgAHAAYQBkAGQAbwBjAGsAIABmAG8AcgAgAGUAYQBjAGgAIABkAGEAaQByAHkAIABjAGwAYQBzAHMAIAAoAGsAZwAgAE4AKQBcAG4ARgByAGEAYwBHAEEAUwBNAHMAbwBpAGwAIAA9ACAAZgByAGEAYwB0AGkAbwBuACAAbwBmACAAbgBpAHQAcgBvAGcAZQBuACAAdgBvAGwAYQB0AGkAbABpAHMAZQBkACAAZgByAG8AbQAgAHUAcgBpAG4AZQAgAGEAbgBkACAAZgBhAGUAYwBlAHMAIABkAGUAcABvAHMAaQB0AGUAZAAgAG8AbgAgAHAAYQBzAHQAdQByAGUAIAAoACgAawBnACAATgBIADMALQBOACAAKwAgAE4ATwB4AC0ATgApAC8AawBnACAATgApAFwAbgAtAC0ALQAtAC0ALQAtAC0ALQAtAC0ALQAtAC0ALQAtAC0ALQAtAC0ALQAtAC0ALQAtAC0ALQAtAC0ALQAtAC0ALQAtAC0ALQAtAC0AXABuACoALwBcAG4AXABuAFYARQBFAFIARwBfADQAXwAzAF8AMQBfADEAMABfAF8AMgBfAE0AYQBzAHMATwBmAE4AaQB0AHIAbwBnAGUAbgBWAG8AbABhAHQAaQBsAGkAcwBlAGQATwBuAFAAYQBzAHQAdQByAGUAXABuACAAIAA9AEwAQQBNAEIARABBACgAXABuACAAIAAgACAATQBOAF8AagBtADEANAAsACAARgByAGEAYwBHAEEAUwBNAHMAbwBpAGwALABcAG4AIAAgACAAIABNAE4AXwBqAG0AMQA0ACAAKgAgAEYAcgBhAGMARwBBAFMATQBzAG8AaQBsAFwAbgAgACAAKQA7AFwAbgBcAG4AVgBFAEUAUgBHAF8ANABfADMAXwAxAF8AMQAwAF8AXwAyAF8ATQBhAHMAcwBPAGYATgBpAHQAcgBvAGcAZQBuAFYAbwBsAGEAdABpAGwAaQBzAGUAZABPAG4AUABhAHMAdAB1AHIAZQBfAFQAaQB0AGwAZQBcAG4AIAAgAD0ATABBAE0AQgBEAEEAKABcACIATQBhAHMAcwAgAG8AZgAgAG4AaQB0AHIAbwBnAGUAbgAgAHYAbwBsAGEAdABpAGwAaQBzAGUAZAAgAGYAcgBvAG0AIAB1AHIAaQBuAGUAIABhAG4AZAAgAGYAYQBlAGMAZQBzACAAZABlAHAAbwBzAGkAdABlAGQAIABvAG4AIABwAGEAcwB0AHUAcgBlAFwAIgApADsAXABuAFwAbgBWAEUARQBSAEcAXwA0AF8AMwBfADEAXwAxADAAXwBfADIAXwBNAGEAcwBzAE8AZgBOAGkAdAByAG8AZwBlAG4AVgBvAGwAYQB0AGkAbABpAHMAZQBkAE8AbgBQAGEAcwB0AHUAcgBlAF8AVgBhAHIAaQBhAGIAbABlAFwAbgAgACAAPQBMAEEATQBCAEQAQQAoAFwAIgBNAF8AdgBvAGwAXwBtADEANABcACIAKQA7AFwAbgBcAG4AVgBFAEUAUgBHAF8ANABfADMAXwAxAF8AMQAwAF8AXwAyAF8ATQBhAHMAcwBPAGYATgBpAHQAcgBvAGcAZQBuAFYAbwBsAGEAdABpAGwAaQBzAGUAZABPAG4AUABhAHMAdAB1AHIAZQBfAFUAbgBpAHQAXABuACAAIAA9AEwAQQBNAEIARABBACgAXAAiAGsAZwAgAE4AXAAiACkAOwBcAG4AXABuAFYARQBFAFIARwBfADQAXwAzAF8AMQBfADEAMABfAF8AMgBfAE0AYQBzAHMATwBmAE4AaQB0AHIAbwBnAGUAbgBWAG8AbABhAHQAaQBsAGkAcwBlAGQATwBuAFAAYQBzAHQAdQByAGUAXwBTAG8AdQByAGMAZQBcAG4AIAAgAD0ATABBAE0AQgBEAEEAKABcACIAVgBFAEUAUgBHACAAMgAwADIANgA6ACAANAAuADMALgAxAC4AMQAwACwAIABFAHEAdQBhAHQAaQBvAG4AIAAoADIAKQBcACIAKQA7AFwAbgBcAG4AVgBFAEUAUgBHAF8ANABfADMAXwAxAF8AMQAwAF8AXwAyAF8ATQBhAHMAcwBPAGYATgBpAHQAcgBvAGcAZQBuAFYAbwBsAGEAdABpAGwAaQBzAGUAZABPAG4AUABhAHMAdAB1AHIAZQBfAE4ASQBSAFIAZQBmAGUAcgBlAG4AYwBlAFwAbgAgACAAPQBMAEEATQBCAEQAQQAoAFwAIgBcACIAKQA7AFwAbgBcAG4AVgBFAEUAUgBHAF8ANABfADMAXwAxAF8AMQAwAF8AXwAyAF8ATQBhAHMAcwBPAGYATgBpAHQAcgBvAGcAZQBuAFYAbwBsAGEAdABpAGwAaQBzAGUAZABPAG4AUABhAHMAdAB1AHIAZQBfAEwAYQB0AGUAeABFAHEAdQBhAHQAaQBvAG4AXABuACAAIAA9AEwAQQBNAEIARABBACgAXAAiAE0AXwB7AHYAbwBsACwAbQA9ADEANAB9AD0AXABcAHMAdQBtAFwAXABuAG8AbABpAG0AaQB0AHMAXwB7AGoAfQAoAE0ATgBfAHsAagBtAD0AMQA0AH0AXABcAHQAaQBtAGUAcwAgAEYAcgBhAGMARwBBAFMATQBzAG8AaQBsACkAXAAiACkAOwBcAG4AXABuAFYARQBFAFIARwBfADQAXwAzAF8AMQBfADEAMABfAF8AMgBfAE0AYQBzAHMATwBmAE4AaQB0AHIAbwBnAGUAbgBWAG8AbABhAHQAaQBsAGkAcwBlAGQATwBuAFAAYQBzAHQAdQByAGUAXwBBAHIAZwB1AG0AZQBuAHQAcwBcAG4AIAAgAD0ATABBAE0AQgBEAEEAKABcAG4AIAAgACAAIABNAEEASwBFAEEAUgBSAEEAWQAoADIALAAgADI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CAAKABrAGcAIABO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XABuACAAIAAgACAAIAAgACAAIAB9ACwAIAByACwAIABjACkAXABuACAAIAAgACAAIAAgACkAXABuACAAIAAgACAAKQBcAG4AIAAgACkAOwBcAG4AIgB9ACwAewAiAHAAYQB0AGgAIgA6ACIALwBwAHIAbwBqAGUAYwB0AHMALwBNAE0AUwBfAEQAYQBpAHIAeQ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MgAgAE0AZQB0AGgAbwBkACAAMQAgAC0AIABTAG8AaQBsACAATABlAGEAYwBoAGkAbgBnACAAQQBuAGQAIABSAHUAbgBvAGYAZ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Ay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AsAG0APQAxADQAfQBcAFwAdABpAG0AZQBzACAARQBGAF8AewBsAGUAYQBjAGgAfQBcAFwAdABpAG0AZQBzACAAQwBfAHsATgAyAE8AfQBcAFwAdABpAG0AZQBzACAAMQAwAF4AewAtADMAfQBcAG4ATQBfAGwAZQBhAGMAaABfAG0AMQA0ACAAPQAgAG0AYQBzAHMAIABvAGYAIABuAGkAdAByAG8AZwBlAG4AIABsAG8AcwB0ACAAdABvACAAbABlAGEAYwBoAGkAbgBnACAAYQBuAGQAIAByAHUAbgBvAGYAZgAgAGYAcgBvAG0AIAB1AHIAaQBuAGUAIABhAG4AZAAgAGYAYQBlAGMAZQBzACAAZABlAHAAbwBzAGkAdABlAGQAIABvAG4AIABwAGEAcwB0AHUAcgBl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EAMgBfAF8AMQBfAEwAZQBhAGMAaABpAG4AZwBBAG4AZABSAHUAbgBvAGYAZgBFAG0AaQBzAHMAaQBvAG4AcwBGAHIAbwBtAFUAcgBpAG4AZQBBAG4AZABEAHUAbgBnAE8AbgBQAGEAcwB0AHUAcgBlAFwAbgAgACAAPQBMAEEATQBCAEQAQQAoAFwAbgAgACAAIAAgAE0AXwBsAGUAYQBjAGgAXwBtADEANAAsACAARQBGAF8AbABlAGEAYwBoACwAIABDAF8ATgAyAE8ALABcAG4AIAAgACAAIABNAF8AbABlAGEAYwBoAF8AbQAxADQAIAAqACAARQBGAF8AbABlAGEAYwBoACAAKgAgAEMAXwBOADIATwAgACoAIAAxADAAIABeACAALQAzAFwAbgAgACAAKQA7AFwAbgBcAG4AVgBFAEUAUgBHAF8ANABfADMAXwAxAF8AMQAy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zAF8AMQBfADEAMgBfAF8AMQBfAEwAZQBhAGMAaABpAG4AZwBBAG4AZABSAHUAbgBvAGYAZgBFAG0AaQBzAHMAaQBvAG4AcwBGAHIAbwBtAFUAcgBpAG4AZQBBAG4AZABEAHUAbgBnAE8AbgBQAGEAcwB0AHUAcgBlAF8AVgBhAHIAaQBhAGIAbABlAFwAbgAgACAAPQBMAEEATQBCAEQAQQAoAFwAIgBFAF8ATgAyAE8AbABlAGEAYwBoAFwAIgApADsAXABuAFwAbgBWAEUARQBSAEcAXwA0AF8AMwBfADEAXwAxADIAXwBfADEAXwBMAGUAYQBjAGgAaQBuAGcAQQBuAGQAUgB1AG4AbwBmAGYARQBtAGkAcwBzAGkAbwBuAHMARgByAG8AbQBVAHIAaQBuAGUAQQBuAGQARAB1AG4AZwBPAG4AUABhAHMAdAB1AHIAZQBfAFUAbgBpAHQAXABuACAAIAA9AEwAQQBNAEIARABBACgAXAAiAHQAIABOADIATwBcACIAKQA7AFwAbgBcAG4AVgBFAEUAUgBHAF8ANABfADMAXwAxAF8AMQAyAF8AXwAxAF8ATABlAGEAYwBoAGkAbgBnAEEAbgBkAFIAdQBuAG8AZgBmAEUAbQBpAHMAcwBpAG8AbgBzAEYAcgBvAG0AVQByAGkAbgBlAEEAbgBkAEQAdQBuAGcATwBuAFAAYQBzAHQAdQByAGUAXwBTAG8AdQByAGMAZQBcAG4AIAAgAD0ATABBAE0AQgBEAEEAKABcACIAVgBFAEUAUgBHACAAMgAwADIANgA6ACAANAAuADMALgAxAC4AMQAyACwAIABFAHEAdQBhAHQAaQBvAG4AIAAoADEAKQBcACIAKQA7AFwAbgBcAG4AVgBFAEUAUgBHAF8ANABfADMAXwAxAF8AMQAyAF8AXwAxAF8ATABlAGEAYwBoAGkAbgBnAEEAbgBkAFIAdQBuAG8AZgBmAEUAbQBpAHMAcwBpAG8AbgBzAEYAcgBvAG0AVQByAGkAbgBlAEEAbgBkAEQAdQBuAGcATwBuAFAAYQBzAHQAdQByAGUAXwBOAEkAUgBSAGUAZgBlAHIAZQBuAGMAZQBcAG4AIAAgAD0ATABBAE0AQgBEAEEAKABcACIAXAAiACkAOwBcAG4AXABuAFYARQBFAFIARwBfADQAXwAzAF8AMQBfADEAMg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AsAG0APQAxADQAfQBcAFwAdABpAG0AZQBzACAARQBGAF8AewBsAGUAYQBjAGgAfQBcAFwAdABpAG0AZQBzACAAQwBfAHsATgAyAE8AfQBcAFwAdABpAG0AZQBzACAAMQAwAF4AewAtADMAfQBcACIAKQA7AFwAbgBcAG4AVgBFAEUAUgBHAF8ANABfADMAXwAxAF8AMQAyAF8AXwAxAF8ATABlAGEAYwBoAGkAbgBnAEEAbgBkAFIAdQBuAG8AZgBmAEUAbQBpAHMAcwBpAG8AbgBzAEYAcgBvAG0AVQByAGkAbgBlAEEAbgBkAEQAdQBuAGcATwBuAFAAYQBzAHQAdQByAGUAXwBBAHIAZwB1AG0AZQBuAHQAcwBcAG4AIAAgAD0ATABBAE0AQgBEAEEAKABcAG4AIAAgACAAIABNAEEASwBFAEEAUgBSAEEAWQAoADMALAAgADIALABcAG4AIAAgACAAIAAgACAATABBAE0AQgBEAEEAKAByACwAYwAsAFwAbgAgACAAIAAgACAAIAAgACAASQBOAEQARQBYACgAewBcAG4AIAAgACAAIAAgACAAIAAgACAAIABcACIATQBfAGwAZQBhAGMAaABfAG0AMQA0AFwAIgAsACAAXAAiAG0AYQBzAHMAIABvAGYAIABuAGkAdAByAG8AZwBlAG4AIABsAG8AcwB0ACAAdABvACAAbABlAGEAYwBoAGkAbgBnACAAYQBuAGQAIAByAHUAbgBvAGYAZgAgAGYAcgBvAG0AIAB1AHIAaQBuAGUAIABhAG4AZAAgAGYAYQBlAGMAZQBzACAAZABlAHAAbwBzAGkAdABlAGQAIABvAG4AIABwAGEAcwB0AHUAcgBlACAAKABrAGcAIABOACkAXAAiADsAXABuACAAIAAgACAAIAAgACAAIAAgACAAXAAiAEUARgBfAGwAZQBhAGMAaABcACIALAAgAFwAIgBuAGkAdAByAG8AdQBzACAAbwB4AGkAZABlACAAZQBtAGkAcwBzAGkAbwBuACAAZgBhAGMAdABvAHIAIABmAG8AcgAgAGwAZQBhAGMAaABpAG4AZwAgAGEAbgBkACAAcgB1AG4AbwBmAGYAIAAoAGsAZwAgAE4AMgBPAC0ATgAvAGsAZwAgAE4AKQBcACIAOwBcAG4AIAAgACAAIAAgACAAIAAgACAAIABcACIAQwBfAE4AMgBPAFwAIgAsACAAXAAiAGYAYQBjAHQAbwByACAAdABvACAAYwBvAG4AdgBlAHIAdAAgAGUAbABlAG0AZQBuAHQAYQBsACAAbQBhAHMAcwAgAG8AZgAgAE4AMgBPACAAdABvACAAbQBvAGwAZQBjAHUAbABhAHIAIABtAGEAcwBzAFwAIgBcAG4AIAAgACAAIAAgACAAIAAgAH0ALAAgAHIALAAgAGMAKQBcAG4AIAAgACAAIAAgACAAKQBcAG4AIAAgACAAIAApAFwAbgAgACAAKQA7AFwAbgBcAG4ALwAqAFwAbgAtAC0ALQAtAC0ALQAtAC0ALQAtAC0ALQAtAC0ALQAtAC0ALQAtAC0ALQAtAC0ALQAtAC0ALQAtAC0ALQAtAC0ALQAtAC0ALQAtAC0AXABuAFYARQBFAFIARwBfADQAXwAzAF8AMQBfADEAMgBfAF8AMgBfAE0AYQBzAHMATwBmAE4AaQB0AHIAbwBnAGUAbgBMAG8AcwB0AFQAbwBMAGUAYQBjAGgAaQBuAGcAQQBuAGQAUgB1AG4AbwBmAGYATwBuAFAAYQBzAHQAdQByAGUAXABuAE0AYQBzAHMAIABvAGYAIABuAGkAdAByAG8AZwBlAG4AIABsAG8AcwB0ACAAdABvACAAbABlAGEAYwBoAGkAbgBnACAAYQBuAGQAIAByAHUAbgBvAGYAZgAgAGYAcgBvAG0AIAB1AHIAaQBuAGUAIABhAG4AZAAgAGYAYQBlAGMAZQBzACAAbwBuACAAcABhAHMAdAB1AHIAZQBcAG4ATQBfAGwAZQBhAGMAaABfAG0AMQA0AFwAbgBrAGcAIABOAFwAbgBNAF8AewBsAGUAYQBjAGgALABtAD0AMQA0AH0APQBNAE4AXwB7AGoAbQA9ADEANAB9AFwAXAB0AGkAbQBlAHMAIABGAHIAYQBjAFcAZQB0AFwAXAB0AGkAbQBlAHMAIABGAHIAYQBjAEwARQBBAEMASABcAG4ATQBOAF8AagBtADEANAAgAD0AIABtAGEAcwBzACAAbwBmACAAbgBpAHQAcgBvAGcAZQBuACAAZQB4AGMAcgBlAHQAZQBkACAAbwBuACAAcABhAHMAdAB1AHIAZQAsACAAcgBhAG4AZwBlACAAYQBuAGQAIABwAGEAZABkAG8AYwBrACAAZgBvAHIAIABlAGEAYwBoACAAZABhAGkAcgB5ACAAYwBsAGEAcwBzACAAKABrAGcAIABOACkAXABuAEYAcgBhAGMAVwBlAHQAIAA9ACAAZgByAGEAYwB0AGkAbwBuACAAbwBmACAATgAgAGEAdgBhAGkAbABhAGIAbABlACAAZgBvAHIAIABsAGUAYQBjAGgAaQBuAGcAIABhAG4AZAAgAHIAdQBuAG8AZgBmAFwAbgBGAHIAYQBjAEwARQBBAEMASA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zAF8AMQBfADEAMgBfAF8AMgBfAE0AYQBzAHMATwBmAE4AaQB0AHIAbwBnAGUAbgBMAG8AcwB0AFQAbwBMAGUAYQBjAGgAaQBuAGcAQQBuAGQAUgB1AG4AbwBmAGYATwBuAFAAYQBzAHQAdQByAGUAXABuACAAIAA9AEwAQQBNAEIARABBACgAXABuACAAIAAgACAATQBOAF8AagBtADEANAAsACAARgByAGEAYwBXAGUAdAAsACAARgByAGEAYwBMAEUAQQBDAEgALABcAG4AIAAgACAAIABNAE4AXwBqAG0AMQA0ACAAKgAgAEYAcgBhAGMAVwBlAHQAIAAqACAARgByAGEAYwBMAEUAQQBDAEgAXABuACAAIAApADsAXABuAFwAbgBWAEUARQBSAEcAXwA0AF8AMwBfADEAXwAxADI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IABmAHIAbwBtACAAdQByAGkAbgBlACAAYQBuAGQAIABmAGEAZQBjAGUAcwAgAG8AbgAgAHAAYQBzAHQAdQByAGUAXAAiACkAOwBcAG4AXABuAFYARQBFAFIARwBfADQAXwAzAF8AMQBfADEAMgBfAF8AMgBfAE0AYQBzAHMATwBmAE4AaQB0AHIAbwBnAGUAbgBMAG8AcwB0AFQAbwBMAGUAYQBjAGgAaQBuAGcAQQBuAGQAUgB1AG4AbwBmAGYATwBuAFAAYQBzAHQAdQByAGUAXwBWAGEAcgBpAGEAYgBsAGUAXABuACAAIAA9AEwAQQBNAEIARABBACgAXAAiAE0AXwBsAGUAYQBjAGgAXwBtADEANABcACIAKQA7AFwAbgBcAG4AVgBFAEUAUgBHAF8ANABfADMAXwAxAF8AMQAyAF8AXwAyAF8ATQBhAHMAcwBPAGYATgBpAHQAcgBvAGcAZQBuAEwAbwBzAHQAVABvAEwAZQBhAGMAaABpAG4AZwBBAG4AZABSAHUAbgBvAGYAZgBPAG4AUABhAHMAdAB1AHIAZQBfAFUAbgBpAHQAXABuACAAIAA9AEwAQQBNAEIARABBACgAXAAiAGsAZwAgAE4AXAAiACkAOwBcAG4AXABuAFYARQBFAFIARwBfADQAXwAzAF8AMQBfADEAMgBfAF8AMgBfAE0AYQBzAHMATwBmAE4AaQB0AHIAbwBnAGUAbgBMAG8AcwB0AFQAbwBMAGUAYQBjAGgAaQBuAGcAQQBuAGQAUgB1AG4AbwBmAGYATwBuAFAAYQBzAHQAdQByAGUAXwBTAG8AdQByAGMAZQBcAG4AIAAgAD0ATABBAE0AQgBEAEEAKABcACIAVgBFAEUAUgBHACAAMgAwADIANgA6ACAANAAuADMALgAxAC4AMQAyACwAIABFAHEAdQBhAHQAaQBvAG4AIAAoADIAKQBcACIAKQA7AFwAbgBcAG4AVgBFAEUAUgBHAF8ANABfADMAXwAxAF8AMQAyAF8AXwAyAF8ATQBhAHMAcwBPAGYATgBpAHQAcgBvAGcAZQBuAEwAbwBzAHQAVABvAEwAZQBhAGMAaABpAG4AZwBBAG4AZABSAHUAbgBvAGYAZgBPAG4AUABhAHMAdAB1AHIAZQBfAE4ASQBSAFIAZQBmAGUAcgBlAG4AYwBlAFwAbgAgACAAPQBMAEEATQBCAEQAQQAoAFwAIgBcACIAKQA7AFwAbgBcAG4AVgBFAEUAUgBHAF8ANABfADMAXwAxAF8AMQAyAF8AXwAyAF8ATQBhAHMAcwBPAGYATgBpAHQAcgBvAGcAZQBuAEwAbwBzAHQAVABvAEwAZQBhAGMAaABpAG4AZwBBAG4AZABSAHUAbgBvAGYAZgBPAG4AUABhAHMAdAB1AHIAZQBfAEwAYQB0AGUAeABFAHEAdQBhAHQAaQBvAG4AXABuACAAIAA9AEwAQQBNAEIARABBACgAXAAiAE0AXwB7AGwAZQBhAGMAaAAsAG0APQAxADQAfQA9AFwAXABzAHUAbQBcAFwAbgBvAGwAaQBtAGkAdABzAF8AewBqAH0AKABNAE4AXwB7AGoAbQA9ADEANAB9AFwAXAB0AGkAbQBlAHMAIABGAHIAYQBjAFcAZQB0AFwAXAB0AGkAbQBlAHMAIABGAHIAYQBjAEwARQBBAEMASAApAFwAIgApADsAXABuAFwAbgBWAEUARQBSAEcAXwA0AF8AMwBfADEAXwAxADIAXwBfADIAXwBNAGEAcwBzAE8AZgBOAGkAdAByAG8AZwBlAG4ATABvAHMAdABUAG8ATABlAGEAYwBoAGkAbgBnAEEAbgBkAFIAdQBuAG8AZgBmAE8AbgBQAGEAcwB0AHUAcgBlAF8AQQByAGcAdQBtAGUAbgB0AHMAXABuACAAIAA9AEwAQQBNAEIARABBACgAXABuACAAIAAgACAATQBBAEsARQBBAFIAUgBBAFkAKAA2ACwAIAAy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AgACgAawBnACAATgApAFwAIgA7AFwAbgAgACAAIAAgACAAIAAgACAAIAAgAFwAIgBGAHIAYQBjAFcAZQB0AFwAIgAsACAAXAAiAGYAcgBhAGMAdABpAG8AbgAgAG8AZgAgAE4AIABhAHYAYQBpAGwAYQBiAGwAZQAgAGYAbwByACAAbABlAGEAYwBoAGkAbgBnACAAYQBuAGQAIAByAHUAbgBvAGYAZgBcACIAOwBcAG4AIAAgACAAIAAgACAAIAAgACAAIABcACIARgByAGEAYwBMAEUAQQBDAEgAXAAiACwAIABcACIAZgByAGEAYwB0AGkAbwBuACAAbwBmACAATgAgAGwAbwBzAHQAIAB0AGgAcgBvAHUAZwBoACAAbABlAGEAYwBoAGkAbgBnACAAYQBuAGQAIAByAHUAbgBvAGYAZgBcACIAOwBcAG4AIAAgACAAIAAgACAAIAAgACAAIABcACIAegBcACIALAAgAFwAIgBsAG8AYwBhAHQAaQBvAG4AIABpAG4AIABsAGUAYQBjAGgAaQBuAGcAIAB6AG8AbgBlAFwAIgA7AFwAbgAgACAAIAAgACAAIAAgACAAIAAgAFwAIgBqAFwAIgAsACAAXAAiAHAAcgBvAGQAdQBjAHQAaQBvAG4AIABzAHkAcwB0AGUAbQBcACIAOwBcAG4AIAAgACAAIAAgACAAIAAgACAAIABcACIAaQByAFwAIgAsACAAXAAiAGkAcgByAGkAZwBhAHQAaQBvAG4AIABtAGUAdABoAG8AZ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EAGEAaQByAHkALgBTAG8AdQByAGMAZQBEAGEAdABhAF8ARABhAGkAcgB5AF8ATABpAHYAZQB3AGUAaQBnAGgAdABDAG8AdwBzAEEAbgBkAEgAZQBpAGYAZQByAHMAXwBUAGkAdABsAGUAIgAsACIAUwBvAHUAcgBjAGUARABhAHQAYQBfAEQAYQBpAHIAeQAuAFMAbwB1AHIAYwBlAEQAYQB0AGEAXwBEAGEAaQByAHkAXwBMAGkAdgBlAHcAZQBpAGcAaAB0AEMAbwB3AHMAQQBuAGQASABlAGkAZgBlAHIAcwBfAFYAYQByAGkAYQBiAGwAZQAiACwAIgBTAG8AdQByAGMAZQBEAGEAdABhAF8ARABhAGkAcgB5AC4AUwBvAHUAcgBjAGUARABhAHQAYQBfAEQAYQBpAHIAeQBfAEwAaQB2AGUAdwBlAGkAZwBoAHQAQwBvAHcAcwBBAG4AZABIAGUAaQBmAGUAcgBzAF8AVQBuAGkAdAAiACwAIgBTAG8AdQByAGMAZQBEAGEAdABhAF8ARABhAGkAcgB5AC4AUwBvAHUAcgBjAGUARABhAHQAYQBfAEQAYQBpAHIAeQBfAEwAaQB2AGUAdwBlAGkAZwBoAHQAQwBvAHcAcwBBAG4AZABIAGUAaQBmAGUAcgBzAF8AUwBvAHUAcgBjAGUAIgAsACIAUwBvAHUAcgBjAGUARABhAHQAYQBfAEQAYQBpAHIAeQAuAFMAbwB1AHIAYwBlAEQAYQB0AGEAXwBEAGEAaQByAHkAXwBMAGkAdgBlAHcAZQBpAGcAaAB0AEMAbwB3AHMAQQBuAGQASABlAGkAZgBlAHIAcwBfAFYAYQByAGkAYQB0AGkAbwBuACIALAAiAFMAbwB1AHIAYwBlAEQAYQB0AGEAXwBEAGEAaQByAHkALgBTAG8AdQByAGMAZQBEAGEAdABhAF8ARABhAGkAcgB5AF8ATABpAHYAZQB3AGUAaQBnAGgAdABDAG8AdwBzAEEAbgBkAEgAZQBpAGYAZQByAHMAXwBEAGEAdABhACIALAAiAFMAbwB1AHIAYwBlAEQAYQB0AGEAXwBEAGEAaQByAHkALgBTAG8AdQByAGMAZQBEAGEAdABhAF8ARABhAGkAcgB5AF8ATABpAHYAZQB3AGUAaQBnAGgAdABCAHUAbABsAHMAXwBUAGkAdABsAGUAIgAsACIAUwBvAHUAcgBjAGUARABhAHQAYQBfAEQAYQBpAHIAeQAuAFMAbwB1AHIAYwBlAEQAYQB0AGEAXwBEAGEAaQByAHkAXwBMAGkAdgBlAHcAZQBpAGcAaAB0AEIAdQBsAGwAcwBfAFYAYQByAGkAYQBiAGwAZQAiACwAIgBTAG8AdQByAGMAZQBEAGEAdABhAF8ARABhAGkAcgB5AC4AUwBvAHUAcgBjAGUARABhAHQAYQBfAEQAYQBpAHIAeQBfAEwAaQB2AGUAdwBlAGkAZwBoAHQAQgB1AGwAbABzAF8AVQBuAGkAdAAiACwAIgBTAG8AdQByAGMAZQBEAGEAdABhAF8ARABhAGkAcgB5AC4AUwBvAHUAcgBjAGUARABhAHQAYQBfAEQAYQBpAHIAeQBfAEwAaQB2AGUAdwBlAGkAZwBoAHQAQgB1AGwAbABzAF8AUwBvAHUAcgBjAGUAIgAsACIAUwBvAHUAcgBjAGUARABhAHQAYQBfAEQAYQBpAHIAeQAuAFMAbwB1AHIAYwBlAEQAYQB0AGEAXwBEAGEAaQByAHkAXwBMAGkAdgBlAHcAZQBpAGcAaAB0AEIAdQBsAGwAcwBfAFYAYQByAGkAYQB0AGkAbwBuACIALAAiAFMAbwB1AHIAYwBlAEQAYQB0AGEAXwBEAGEAaQByAHkALgBTAG8AdQByAGMAZQBEAGEAdABhAF8ARABhAGkAcgB5AF8ATABpAHYAZQB3AGUAaQBnAGgAdABCAHUAbABsAHMAXwBEAGEAdABhACIALAAiAFMAbwB1AHIAYwBlAEQAYQB0AGEAXwBEAGEAaQByAHkALgBTAG8AdQByAGMAZQBEAGEAdABhAF8ARABhAGkAcgB5AF8ATABpAHYAZQB3AGUAaQBnAGgAdABHAGEAaQBuAF8AVABpAHQAbABlACIALAAiAFMAbwB1AHIAYwBlAEQAYQB0AGEAXwBEAGEAaQByAHkALgBTAG8AdQByAGMAZQBEAGEAdABhAF8ARABhAGkAcgB5AF8ATABpAHYAZQB3AGUAaQBnAGgAdABHAGEAaQBuAF8AVgBhAHIAaQBhAGIAbABlACIALAAiAFMAbwB1AHIAYwBlAEQAYQB0AGEAXwBEAGEAaQByAHkALgBTAG8AdQByAGMAZQBEAGEAdABhAF8ARABhAGkAcgB5AF8ATABpAHYAZQB3AGUAaQBnAGgAdABHAGEAaQBuAF8AVQBuAGkAdAAiACwAIgBTAG8AdQByAGMAZQBEAGEAdABhAF8ARABhAGkAcgB5AC4AUwBvAHUAcgBjAGUARABhAHQAYQBfAEQAYQBpAHIAeQBfAEwAaQB2AGUAdwBlAGkAZwBoAHQARwBhAGkAbgBfAFMAbwB1AHIAYwBlACIALAAiAFMAbwB1AHIAYwBlAEQAYQB0AGEAXwBEAGEAaQByAHkALgBTAG8AdQByAGMAZQBEAGEAdABhAF8ARABhAGkAcgB5AF8ATABpAHYAZQB3AGUAaQBnAGgAdABHAGEAaQBuAF8AVgBhAHIAaQBhAHQAaQBvAG4AIgAsACIAUwBvAHUAcgBjAGUARABhAHQAYQBfAEQAYQBpAHIAeQAuAFMAbwB1AHIAYwBlAEQAYQB0AGEAXwBEAGEAaQByAHkAXwBMAGkAdgBlAHcAZQBpAGcAaAB0AEcAYQBpAG4AXwBEAGEAdABhACIALAAiAFMAbwB1AHIAYwBlAEQAYQB0AGEAXwBEAGEAaQByAHkALgBTAG8AdQByAGMAZQBEAGEAdABhAF8ARABhAGkAcgB5AF8AUgBlAGYAZQByAGUAbgBjAGUAVwBlAGkAZwBoAHQAcwBfAFQAaQB0AGwAZQAiACwAIgBTAG8AdQByAGMAZQBEAGEAdABhAF8ARABhAGkAcgB5AC4AUwBvAHUAcgBjAGUARABhAHQAYQBfAEQAYQBpAHIAeQBfAFIAZQBmAGUAcgBlAG4AYwBlAFcAZQBpAGcAaAB0AHMAXwBWAGEAcgBpAGEAYgBsAGUAIgAsACIAUwBvAHUAcgBjAGUARABhAHQAYQBfAEQAYQBpAHIAeQAuAFMAbwB1AHIAYwBlAEQAYQB0AGEAXwBEAGEAaQByAHkAXwBSAGUAZgBlAHIAZQBuAGMAZQBXAGUAaQBnAGgAdABzAF8AVQBuAGkAdAAiACwAIgBTAG8AdQByAGMAZQBEAGEAdABhAF8ARABhAGkAcgB5AC4AUwBvAHUAcgBjAGUARABhAHQAYQBfAEQAYQBpAHIAeQBfAFIAZQBmAGUAcgBlAG4AYwBlAFcAZQBpAGcAaAB0AHMAXwBTAG8AdQByAGMAZQAiACwAIgBTAG8AdQByAGMAZQBEAGEAdABhAF8ARABhAGkAcgB5AC4AUwBvAHUAcgBjAGUARABhAHQAYQBfAEQAYQBpAHIAeQBfAFIAZQBmAGUAcgBlAG4AYwBlAFcAZQBpAGcAaAB0AHMAXwBWAGEAcgBpAGEAdABpAG8AbgAiACwAIgBTAG8AdQByAGMAZQBEAGEAdABhAF8ARABhAGkAcgB5AC4AUwBvAHUAcgBjAGUARABhAHQAYQBfAEQAYQBpAHIAeQBfAFIAZQBmAGUAcgBlAG4AYwBlAFcAZQBpAGcAaAB0AHMAXwBEAGEAdABhACIALAAiAFMAbwB1AHIAYwBlAEQAYQB0AGEAXwBEAGEAaQByAHkALgBTAG8AdQByAGMAZQBEAGEAdABhAF8ARABhAGkAcgB5AF8AUAByAGUAVwBlAGEAbgBlAGQAQwBhAGwAdgBlAHMAXwBUAGkAdABsAGUAIgAsACIAUwBvAHUAcgBjAGUARABhAHQAYQBfAEQAYQBpAHIAeQAuAFMAbwB1AHIAYwBlAEQAYQB0AGEAXwBEAGEAaQByAHkAXwBQAHIAZQBXAGUAYQBuAGUAZABDAGEAbAB2AGUAcwBfAFYAYQByAGkAYQBiAGwAZQAiACwAIgBTAG8AdQByAGMAZQBEAGEAdABhAF8ARABhAGkAcgB5AC4AUwBvAHUAcgBjAGUARABhAHQAYQBfAEQAYQBpAHIAeQBfAFAAcgBlAFcAZQBhAG4AZQBkAEMAYQBsAHYAZQBzAF8AVQBuAGkAdAAiACwAIgBTAG8AdQByAGMAZQBEAGEAdABhAF8ARABhAGkAcgB5AC4AUwBvAHUAcgBjAGUARABhAHQAYQBfAEQAYQBpAHIAeQBfAFAAcgBlAFcAZQBhAG4AZQBkAEMAYQBsAHYAZQBzAF8AUwBvAHUAcgBjAGUAIgAsACIAUwBvAHUAcgBjAGUARABhAHQAYQBfAEQAYQBpAHIAeQAuAFMAbwB1AHIAYwBlAEQAYQB0AGEAXwBEAGEAaQByAHkAXwBQAHIAZQBXAGUAYQBuAGUAZABDAGEAbAB2AGUAcwBfAFYAYQByAGkAYQB0AGkAbwBuACIALAAiAFMAbwB1AHIAYwBlAEQAYQB0AGEAXwBEAGEAaQByAHkALgBTAG8AdQByAGMAZQBEAGEAdABhAF8ARABhAGkAcgB5AF8AUAByAGUAVwBlAGEAbgBlAGQAQwBhAGwAdgBlAHMAXwBEAGEAdABhACIALAAiAFMAbwB1AHIAYwBlAEQAYQB0AGEAXwBEAGEAaQByAHkALgBTAG8AdQByAGMAZQBEAGEAdABhAF8ARABhAGkAcgB5AF8ATQBDAEYAXwBUAGkAdABsAGUAIgAsACIAUwBvAHUAcgBjAGUARABhAHQAYQBfAEQAYQBpAHIAeQAuAFMAbwB1AHIAYwBlAEQAYQB0AGEAXwBEAGEAaQByAHkAXwBNAEMARgBfAFYAYQByAGkAYQBiAGwAZQAiACwAIgBTAG8AdQByAGMAZQBEAGEAdABhAF8ARABhAGkAcgB5AC4AUwBvAHUAcgBjAGUARABhAHQAYQBfAEQAYQBpAHIAeQBfAE0AQwBGAF8AVQBuAGkAdAAiACwAIgBTAG8AdQByAGMAZQBEAGEAdABhAF8ARABhAGkAcgB5AC4AUwBvAHUAcgBjAGUARABhAHQAYQBfAEQAYQBpAHIAeQBfAE0AQwBGAF8AUwBvAHUAcgBjAGUAIgAsACIAUwBvAHUAcgBjAGUARABhAHQAYQBfAEQAYQBpAHIAeQAuAFMAbwB1AHIAYwBlAEQAYQB0AGEAXwBEAGEAaQByAHkAXwBNAEMARgBfAFYAYQByAGkAYQB0AGkAbwBuACIALAAiAFMAbwB1AHIAYwBlAEQAYQB0AGEAXwBEAGEAaQByAHkALgBTAG8AdQByAGMAZQBEAGEAdABhAF8ARABhAGkAcgB5AF8ATQBDAEYAXwBEAGEAdABhACIALAAiAFMAbwB1AHIAYwBlAEQAYQB0AGEAXwBEAGEAaQByAHkALgBTAG8AdQByAGMAZQBEAGEAdABhAF8ARABhAGkAcgB5AF8ATgBpAHQAcgBvAHUAcwBPAHgAaQBkAGUARQBGAHMAQQBuAGQARgByAGEAYwBHAEEAUwBNAF8AVABpAHQAbABlACIALAAiAFMAbwB1AHIAYwBlAEQAYQB0AGEAXwBEAGEAaQByAHkALgBTAG8AdQByAGMAZQBEAGEAdABhAF8ARABhAGkAcgB5AF8ATgBpAHQAcgBvAHUAcwBPAHgAaQBkAGUARQBGAHMAQQBuAGQARgByAGEAYwBHAEEAUwBNAF8AVgBhAHIAaQBhAGIAbABlACIALAAiAFMAbwB1AHIAYwBlAEQAYQB0AGEAXwBEAGEAaQByAHkALgBTAG8AdQByAGMAZQBEAGEAdABhAF8ARABhAGkAcgB5AF8ATgBpAHQAcgBvAHUAcwBPAHgAaQBkAGUARQBGAHMAQQBuAGQARgByAGEAYwBHAEEAUwBNAF8AVQBuAGkAdAAiACwAIgBTAG8AdQByAGMAZQBEAGEAdABhAF8ARABhAGkAcgB5AC4AUwBvAHUAcgBjAGUARABhAHQAYQBfAEQAYQBpAHIAeQBfAE4AaQB0AHIAbwB1AHMATwB4AGkAZABlAEUARgBzAEEAbgBkAEYAcgBhAGMARwBBAFMATQBfAFMAbwB1AHIAYwBlACIALAAiAFMAbwB1AHIAYwBlAEQAYQB0AGEAXwBEAGEAaQByAHkALgBTAG8AdQByAGMAZQBEAGEAdABhAF8ARABhAGkAcgB5AF8ATgBpAHQAcgBvAHUAcwBPAHgAaQBkAGUARQBGAHMAQQBuAGQARgByAGEAYwBHAEEAUwBNAF8AVgBhAHIAaQBhAHQAaQBvAG4AIgAsACIAUwBvAHUAcgBjAGUARABhAHQAYQBfAEQAYQBpAHIAeQAuAFMAbwB1AHIAYwBlAEQAYQB0AGEAXwBEAGEAaQByAHkAXwBOAGkAdAByAG8AdQBzAE8AeABpAGQAZQBFAEYAcwBBAG4AZABGAHIAYQBjAEcAQQBTAE0AXwBEAGEAdABhACIALAAiAFMAbwB1AHIAYwBlAEQAYQB0AGEAXwBEAGEAaQByAHkALgBTAG8AdQByAGMAZQBEAGEAdABhAF8ARABhAGkAcgB5AF8ATQBlAHQAaABhAG4AZQBQAHIAbwBkAHUAYwB0AGkAbwBuAFAAcgBlAFcAZQBhAG4AZQBkAEMAYQBsAHYAZQBzAF8AVABpAHQAbABlACIALAAiAFMAbwB1AHIAYwBlAEQAYQB0AGEAXwBEAGEAaQByAHkALgBTAG8AdQByAGMAZQBEAGEAdABhAF8ARABhAGkAcgB5AF8ATQBlAHQAaABhAG4AZQBQAHIAbwBkAHUAYwB0AGkAbwBuAFAAcgBlAFcAZQBhAG4AZQBkAEMAYQBsAHYAZQBzAF8AVgBhAHIAaQBhAGIAbABlACIALAAiAFMAbwB1AHIAYwBlAEQAYQB0AGEAXwBEAGEAaQByAHkALgBTAG8AdQByAGMAZQBEAGEAdABhAF8ARABhAGkAcgB5AF8ATQBlAHQAaABhAG4AZQBQAHIAbwBkAHUAYwB0AGkAbwBuAFAAcgBlAFcAZQBhAG4AZQBkAEMAYQBsAHYAZQBzAF8AVQBuAGkAdAAiACwAIgBTAG8AdQByAGMAZQBEAGEAdABhAF8ARABhAGkAcgB5AC4AUwBvAHUAcgBjAGUARABhAHQAYQBfAEQAYQBpAHIAeQBfAE0AZQB0AGgAYQBuAGUAUAByAG8AZAB1AGMAdABpAG8AbgBQAHIAZQBXAGUAYQBuAGUAZABDAGEAbAB2AGUAcwBfAFMAbwB1AHIAYwBlACIALAAiAFMAbwB1AHIAYwBlAEQAYQB0AGEAXwBEAGEAaQByAHkALgBTAG8AdQByAGMAZQBEAGEAdABhAF8ARABhAGkAcgB5AF8ATQBlAHQAaABhAG4AZQBQAHIAbwBkAHUAYwB0AGkAbwBuAFAAcgBlAFcAZQBhAG4AZQBkAEMAYQBsAHYAZQBzAF8AVgBhAHIAaQBhAHQAaQBvAG4AIgAsACIAUwBvAHUAcgBjAGUARABhAHQAYQBfAEQAYQBpAHIAeQAuAFMAbwB1AHIAYwBlAEQAYQB0AGEAXwBEAGEAaQByAHkAXwBNAGUAdABoAGEAbgBlAFAAcgBvAGQAdQBjAHQAaQBvAG4AUAByAGUAVwBlAGEAbgBlAGQAQwBhAGwAdgBlAHMAXwBEAGEAdABhACIALAAiAFMAbwB1AHIAYwBlAEQAYQB0AGEAXwBEAGEAaQByAHkALgBTAG8AdQByAGMAZQBEAGEAdABhAF8ARABhAGkAcgB5AF8ASQBuAGMAcgBlAGEAcwBlAGQATQBlAHQAYQBiAG8AbABpAGMAUgBhAHQAZQBNAGkAbABrAF8AVABpAHQAbABlACIALAAiAFMAbwB1AHIAYwBlAEQAYQB0AGEAXwBEAGEAaQByAHkALgBTAG8AdQByAGMAZQBEAGEAdABhAF8ARABhAGkAcgB5AF8ASQBuAGMAcgBlAGEAcwBlAGQATQBlAHQAYQBiAG8AbABpAGMAUgBhAHQAZQBNAGkAbABrAF8AVgBhAHIAaQBhAGIAbABlACIALAAiAFMAbwB1AHIAYwBlAEQAYQB0AGEAXwBEAGEAaQByAHkALgBTAG8AdQByAGMAZQBEAGEAdABhAF8ARABhAGkAcgB5AF8ASQBuAGMAcgBlAGEAcwBlAGQATQBlAHQAYQBiAG8AbABpAGMAUgBhAHQAZQBNAGkAbABrAF8AVQBuAGkAdAAiACwAIgBTAG8AdQByAGMAZQBEAGEAdABhAF8ARABhAGkAcgB5AC4AUwBvAHUAcgBjAGUARABhAHQAYQBfAEQAYQBpAHIAeQBfAEkAbgBjAHIAZQBhAHMAZQBkAE0AZQB0AGEAYgBvAGwAaQBjAFIAYQB0AGUATQBpAGwAawBfAFMAbwB1AHIAYwBlACIALAAiAFMAbwB1AHIAYwBlAEQAYQB0AGEAXwBEAGEAaQByAHkALgBTAG8AdQByAGMAZQBEAGEAdABhAF8ARABhAGkAcgB5AF8ASQBuAGMAcgBlAGEAcwBlAGQATQBlAHQAYQBiAG8AbABpAGMAUgBhAHQAZQBNAGkAbABrAF8AVgBhAHIAaQBhAHQAaQBvAG4AIgAsACIAUwBvAHUAcgBjAGUARABhAHQAYQBfAEQAYQBpAHIAeQAuAFMAbwB1AHIAYwBlAEQAYQB0AGEAXwBEAGEAaQByAHkAXwBJAG4AYwByAGUAYQBzAGUAZABNAGUAdABhAGIAbwBsAGkAYwBSAGEAdABlAE0AaQBsAGsAXwBEAGEAdABhACIALAAiAFMAbwB1AHIAYwBlAEQAYQB0AGEAXwBEAGEAaQByAHkALgBTAG8AdQByAGMAZQBEAGEAdABhAF8ARABhAGkAcgB5AF8ARgByAGEAYwB0AGkAbwBuAFYAbwBsAGEAdABpAGwAZQBTAG8AbABpAGQAcwBWAG8AaQBkAGUAZABNAE0AUwBfAFQAaQB0AGwAZQAiACwAIgBTAG8AdQByAGMAZQBEAGEAdABhAF8ARABhAGkAcgB5AC4AUwBvAHUAcgBjAGUARABhAHQAYQBfAEQAYQBpAHIAeQBfAEYAcgBhAGMAdABpAG8AbgBWAG8AbABhAHQAaQBsAGUAUwBvAGwAaQBkAHMAVgBvAGkAZABlAGQATQBNAFMAXwBWAGEAcgBpAGEAYgBsAGUAIgAsACIAUwBvAHUAcgBjAGUARABhAHQAYQBfAEQAYQBpAHIAeQAuAFMAbwB1AHIAYwBlAEQAYQB0AGEAXwBEAGEAaQByAHkAXwBGAHIAYQBjAHQAaQBvAG4AVgBvAGwAYQB0AGkAbABlAFMAbwBsAGkAZABzAFYAbwBpAGQAZQBkAE0ATQBTAF8AVQBuAGkAdAAiACwAIgBTAG8AdQByAGMAZQBEAGEAdABhAF8ARABhAGkAcgB5AC4AUwBvAHUAcgBjAGUARABhAHQAYQBfAEQAYQBpAHIAeQBfAEYAcgBhAGMAdABpAG8AbgBWAG8AbABhAHQAaQBsAGUAUwBvAGwAaQBkAHMAVgBvAGkAZABlAGQATQBNAFMAXwBTAG8AdQByAGMAZQAiACwAIgBTAG8AdQByAGMAZQBEAGEAdABhAF8ARABhAGkAcgB5AC4AUwBvAHUAcgBjAGUARABhAHQAYQBfAEQAYQBpAHIAeQBfAEYAcgBhAGMAdABpAG8AbgBWAG8AbABhAHQAaQBsAGUAUwBvAGwAaQBkAHMAVgBvAGkAZABlAGQATQBNAFMAXwBWAGEAcgBpAGEAdABpAG8AbgAiACwAIgBTAG8AdQByAGMAZQBEAGEAdABhAF8ARABhAGkAcgB5AC4AUwBvAHUAcgBjAGUARABhAHQAYQBfAEQAYQBpAHIAeQBfAEYAcgBhAGMAdABpAG8AbgBWAG8AbABhAHQAaQBsAGUAUwBvAGwAaQBkAHMAVgBvAGkAZABlAGQATQBNAFMAXwBEAGEAdABhACIALAAiAFMAbwB1AHIAYwBlAEQAYQB0AGEAXwBEAGEAaQByAHkALgBTAG8AdQByAGMAZQBEAGEAdABhAF8ARABhAGkAcgB5AF8ARQBGAE4AaQB0AHIAbwB1AHMATwB4AGkAZABlAFAAZQByAE0ATQBTAF8AVABpAHQAbABlACIALAAiAFMAbwB1AHIAYwBlAEQAYQB0AGEAXwBEAGEAaQByAHkALgBTAG8AdQByAGMAZQBEAGEAdABhAF8ARABhAGkAcgB5AF8ARQBGAE4AaQB0AHIAbwB1AHMATwB4AGkAZABlAFAAZQByAE0ATQBTAF8AVgBhAHIAaQBhAGIAbABlACIALAAiAFMAbwB1AHIAYwBlAEQAYQB0AGEAXwBEAGEAaQByAHkALgBTAG8AdQByAGMAZQBEAGEAdABhAF8ARABhAGkAcgB5AF8ARQBGAE4AaQB0AHIAbwB1AHMATwB4AGkAZABlAFAAZQByAE0ATQBTAF8AVQBuAGkAdAAiACwAIgBTAG8AdQByAGMAZQBEAGEAdABhAF8ARABhAGkAcgB5AC4AUwBvAHUAcgBjAGUARABhAHQAYQBfAEQAYQBpAHIAeQBfAEUARgBOAGkAdAByAG8AdQBzAE8AeABpAGQAZQBQAGUAcgBNAE0AUwBfAFMAbwB1AHIAYwBlACIALAAiAFMAbwB1AHIAYwBlAEQAYQB0AGEAXwBEAGEAaQByAHkALgBTAG8AdQByAGMAZQBEAGEAdABhAF8ARABhAGkAcgB5AF8ARQBGAE4AaQB0AHIAbwB1AHMATwB4AGkAZABlAFAAZQByAE0ATQBTAF8AVgBhAHIAaQBhAHQAaQBvAG4AIgAsACIAUwBvAHUAcgBjAGUARABhAHQAYQBfAEQAYQBpAHIAeQAuAFMAbwB1AHIAYwBlAEQAYQB0AGEAXwBEAGEAaQByAHkAXwBFAEYATgBpAHQAcgBvAHUAcwBPAHgAaQBkAGUAUABlAHIATQBNAFMAXwBEAGEAdABhACIALAAiAFMAbwB1AHIAYwBlAEQAYQB0AGEAXwBEAGEAaQByAHkALgBTAG8AdQByAGMAZQBEAGEAdABhAF8ARABhAGkAcgB5AF8ARAB1AHIAYQB0AGkAbwBuAE8AZgBTAHQAYQB5AF8AVABpAHQAbABlACIALAAiAFMAbwB1AHIAYwBlAEQAYQB0AGEAXwBEAGEAaQByAHkALgBTAG8AdQByAGMAZQBEAGEAdABhAF8ARABhAGkAcgB5AF8ARAB1AHIAYQB0AGkAbwBuAE8AZgBTAHQAYQB5AF8AVgBhAHIAaQBhAGIAbABlACIALAAiAFMAbwB1AHIAYwBlAEQAYQB0AGEAXwBEAGEAaQByAHkALgBTAG8AdQByAGMAZQBEAGEAdABhAF8ARABhAGkAcgB5AF8ARAB1AHIAYQB0AGkAbwBuAE8AZgBTAHQAYQB5AF8AVQBuAGkAdAAiACwAIgBTAG8AdQByAGMAZQBEAGEAdABhAF8ARABhAGkAcgB5AC4AUwBvAHUAcgBjAGUARABhAHQAYQBfAEQAYQBpAHIAeQBfAEQAdQByAGEAdABpAG8AbgBPAGYAUwB0AGEAeQBfAFMAbwB1AHIAYwBlACIALAAiAFMAbwB1AHIAYwBlAEQAYQB0AGEAXwBEAGEAaQByAHkALgBTAG8AdQByAGMAZQBEAGEAdABhAF8ARABhAGkAcgB5AF8ARAB1AHIAYQB0AGkAbwBuAE8AZgBTAHQAYQB5AF8AVgBhAHIAaQBhAHQAaQBvAG4AIgAsACIAUwBvAHUAcgBjAGUARABhAHQAYQBfAEQAYQBpAHIAeQAuAFMAbwB1AHIAYwBlAEQAYQB0AGEAXwBEAGEAaQByAHkAXwBEAHUAcgBhAHQAaQBvAG4ATwBmAFMAdABhAHkAXwBEAGEAdABhACIALAAiAFMAbwB1AHIAYwBlAEQAYQB0AGEAXwBEAGEAaQByAHkALgBTAG8AdQByAGMAZQBEAGEAdABhAF8ARABhAGkAcgB5AF8AQwByAHUAZABlAFAAcgBvAHQAZQBpAG4AXwBUAGkAdABsAGUAIgAsACIAUwBvAHUAcgBjAGUARABhAHQAYQBfAEQAYQBpAHIAeQAuAFMAbwB1AHIAYwBlAEQAYQB0AGEAXwBEAGEAaQByAHkAXwBDAHIAdQBkAGUAUAByAG8AdABlAGkAbgBfAFYAYQByAGkAYQBiAGwAZQAiACwAIgBTAG8AdQByAGMAZQBEAGEAdABhAF8ARABhAGkAcgB5AC4AUwBvAHUAcgBjAGUARABhAHQAYQBfAEQAYQBpAHIAeQBfAEMAcgB1AGQAZQBQAHIAbwB0AGUAaQBuAF8AVQBuAGkAdAAiACwAIgBTAG8AdQByAGMAZQBEAGEAdABhAF8ARABhAGkAcgB5AC4AUwBvAHUAcgBjAGUARABhAHQAYQBfAEQAYQBpAHIAeQBfAEMAcgB1AGQAZQBQAHIAbwB0AGUAaQBuAF8AUwBvAHUAcgBjAGUAIgAsACIAUwBvAHUAcgBjAGUARABhAHQAYQBfAEQAYQBpAHIAeQAuAFMAbwB1AHIAYwBlAEQAYQB0AGEAXwBEAGEAaQByAHkAXwBDAHIAdQBkAGUAUAByAG8AdABlAGkAbgBfAFYAYQByAGkAYQB0AGkAbwBuACIALAAiAFMAbwB1AHIAYwBlAEQAYQB0AGEAXwBEAGEAaQByAHkALgBTAG8AdQByAGMAZQBEAGEAdABhAF8ARABhAGkAcgB5AF8AQwByAHUAZABlAFAAcgBvAHQAZQBpAG4AXwBEAGEAdABhACIALAAiAFMAbwB1AHIAYwBlAEQAYQB0AGEAXwBEAGEAaQByAHkALgBTAG8AdQByAGMAZQBEAGEAdABhAF8ARABhAGkAcgB5AF8ARAByAHkATQBhAHQAdABlAHIARABpAGcAZQBzAHQAaQBiAGkAbABpAHQAeQBfAFQAaQB0AGwAZQAiACwAIgBTAG8AdQByAGMAZQBEAGEAdABhAF8ARABhAGkAcgB5AC4AUwBvAHUAcgBjAGUARABhAHQAYQBfAEQAYQBpAHIAeQBfAEQAcgB5AE0AYQB0AHQAZQByAEQAaQBnAGUAcwB0AGkAYgBpAGwAaQB0AHkAXwBWAGEAcgBpAGEAYgBsAGUAIgAsACIAUwBvAHUAcgBjAGUARABhAHQAYQBfAEQAYQBpAHIAeQAuAFMAbwB1AHIAYwBlAEQAYQB0AGEAXwBEAGEAaQByAHkAXwBEAHIAeQBNAGEAdAB0AGUAcgBEAGkAZwBlAHMAdABpAGIAaQBsAGkAdAB5AF8AVQBuAGkAdAAiACwAIgBTAG8AdQByAGMAZQBEAGEAdABhAF8ARABhAGkAcgB5AC4AUwBvAHUAcgBjAGUARABhAHQAYQBfAEQAYQBpAHIAeQBfAEQAcgB5AE0AYQB0AHQAZQByAEQAaQBnAGUAcwB0AGkAYgBpAGwAaQB0AHkAXwBTAG8AdQByAGMAZQAiACwAIgBTAG8AdQByAGMAZQBEAGEAdABhAF8ARABhAGkAcgB5AC4AUwBvAHUAcgBjAGUARABhAHQAYQBfAEQAYQBpAHIAeQBfAEQAcgB5AE0AYQB0AHQAZQByAEQAaQBnAGUAcwB0AGkAYgBpAGwAaQB0AHkAXwBWAGEAcgBpAGEAdABpAG8AbgAiACwAIgBTAG8AdQByAGMAZQBEAGEAdABhAF8ARABhAGkAcgB5AC4AUwBvAHUAcgBjAGUARABhAHQAYQBfAEQAYQBpAHIAeQBfAEQAcgB5AE0AYQB0AHQAZQByAEQAaQBnAGUAcwB0AGkAYgBpAGwAaQB0AHkAXwBEAGEAdABhACIALAAiAFMAbwB1AHIAYwBlAEQAYQB0AGEAXwBEAGEAaQByAHkALgBTAG8AdQByAGMAZQBEAGEAdABhAF8ARABhAGkAcgB5AF8ATgBlAHQARQBuAGUAcgBnAHkAXwBUAGkAdABsAGUAIgAsACIAUwBvAHUAcgBjAGUARABhAHQAYQBfAEQAYQBpAHIAeQAuAFMAbwB1AHIAYwBlAEQAYQB0AGEAXwBEAGEAaQByAHkAXwBOAGUAdABFAG4AZQByAGcAeQBfAFYAYQByAGkAYQBiAGwAZQAiACwAIgBTAG8AdQByAGMAZQBEAGEAdABhAF8ARABhAGkAcgB5AC4AUwBvAHUAcgBjAGUARABhAHQAYQBfAEQAYQBpAHIAeQBfAE4AZQB0AEUAbgBlAHIAZwB5AF8AVQBuAGkAdAAiACwAIgBTAG8AdQByAGMAZQBEAGEAdABhAF8ARABhAGkAcgB5AC4AUwBvAHUAcgBjAGUARABhAHQAYQBfAEQAYQBpAHIAeQBfAE4AZQB0AEUAbgBlAHIAZwB5AF8AUwBvAHUAcgBjAGUAIgAsACIAUwBvAHUAcgBjAGUARABhAHQAYQBfAEQAYQBpAHIAeQAuAFMAbwB1AHIAYwBlAEQAYQB0AGEAXwBEAGEAaQByAHkAXwBOAGUAdABFAG4AZQByAGcAeQBfAFYAYQByAGkAYQB0AGkAbwBuACIALAAiAFMAbwB1AHIAYwBlAEQAYQB0AGEAXwBEAGEAaQByAHkALgBTAG8AdQByAGMAZQBEAGEAdABhAF8ARABhAGkAcgB5AF8ATgBlAHQARQBuAGUAcgBnAHkAXwBEAGEAdABhACIALAAiAFMAbwB1AHIAYwBlAEQAYQB0AGEAXwBEAGEAaQByAHkALgBTAG8AdQByAGMAZQBEAGEAdABhAF8ARABhAGkAcgB5AF8ARwByAG8AcwBzAEUAbgBlAHIAZwB5AEMAbwBuAHQAZQBuAHQAXwBUAGkAdABsAGUAIgAsACIAUwBvAHUAcgBjAGUARABhAHQAYQBfAEQAYQBpAHIAeQAuAFMAbwB1AHIAYwBlAEQAYQB0AGEAXwBEAGEAaQByAHkAXwBHAHIAbwBzAHMARQBuAGUAcgBnAHkAQwBvAG4AdABlAG4AdABfAFYAYQByAGkAYQBiAGwAZQAiACwAIgBTAG8AdQByAGMAZQBEAGEAdABhAF8ARABhAGkAcgB5AC4AUwBvAHUAcgBjAGUARABhAHQAYQBfAEQAYQBpAHIAeQBfAEcAcgBvAHMAcwBFAG4AZQByAGcAeQBDAG8AbgB0AGUAbgB0AF8AVQBuAGkAdAAiACwAIgBTAG8AdQByAGMAZQBEAGEAdABhAF8ARABhAGkAcgB5AC4AUwBvAHUAcgBjAGUARABhAHQAYQBfAEQAYQBpAHIAeQBfAEcAcgBvAHMAcwBFAG4AZQByAGcAeQBDAG8AbgB0AGUAbgB0AF8AUwBvAHUAcgBjAGUAIgAsACIAUwBvAHUAcgBjAGUARABhAHQAYQBfAEQAYQBpAHIAeQAuAFMAbwB1AHIAYwBlAEQAYQB0AGEAXwBEAGEAaQByAHkAXwBHAHIAbwBzAHMARQBuAGUAcgBnAHkAQwBvAG4AdABlAG4AdABfAFYAYQByAGkAYQB0AGkAbwBuACIALAAiAFMAbwB1AHIAYwBlAEQAYQB0AGEAXwBEAGEAaQByAHkALgBTAG8AdQByAGMAZQBEAGEAdABhAF8ARABhAGkAcgB5AF8ARwByAG8AcwBzAEUAbgBlAHIAZwB5AEMAbwBuAHQAZQBuAHQAXwBEAGEAdABhACIALAAiAFMAbwB1AHIAYwBlAEQAYQB0AGEAXwBEAGEAaQByAHkALgBTAG8AdQByAGMAZQBEAGEAdABhAF8ARABhAGkAcgB5AF8ARQBmAGYAaQBjAGkAZQBuAGMAeQBPAGYAVQBzAGUATwBmAE0AZQB0AGEAYgBvAGwAaQB6AGEAYgBsAGUARQBuAGUAcgBnAHkAXwBUAGkAdABsAGUAIgAsACIAUwBvAHUAcgBjAGUARABhAHQAYQBfAEQAYQBpAHIAeQAuAFMAbwB1AHIAYwBlAEQAYQB0AGEAXwBEAGEAaQByAHkAXwBFAGYAZgBpAGMAaQBlAG4AYwB5AE8AZgBVAHMAZQBPAGYATQBlAHQAYQBiAG8AbABpAHoAYQBiAGwAZQBFAG4AZQByAGcAeQBfAFYAYQByAGkAYQBiAGwAZQAiACwAIgBTAG8AdQByAGMAZQBEAGEAdABhAF8ARABhAGkAcgB5AC4AUwBvAHUAcgBjAGUARABhAHQAYQBfAEQAYQBpAHIAeQBfAEUAZgBmAGkAYwBpAGUAbgBjAHkATwBmAFUAcwBlAE8AZgBNAGUAdABhAGIAbwBsAGkAegBhAGIAbABlAEUAbgBlAHIAZwB5AF8AVQBuAGkAdAAiACwAIgBTAG8AdQByAGMAZQBEAGEAdABhAF8ARABhAGkAcgB5AC4AUwBvAHUAcgBjAGUARABhAHQAYQBfAEQAYQBpAHIAeQBfAEUAZgBmAGkAYwBpAGUAbgBjAHkATwBmAFUAcwBlAE8AZgBNAGUAdABhAGIAbwBsAGkAegBhAGIAbABlAEUAbgBlAHIAZwB5AF8AUwBvAHUAcgBjAGUAIgAsACIAUwBvAHUAcgBjAGUARABhAHQAYQBfAEQAYQBpAHIAeQAuAFMAbwB1AHIAYwBlAEQAYQB0AGEAXwBEAGEAaQByAHkAXwBFAGYAZgBpAGMAaQBlAG4AYwB5AE8AZgBVAHMAZQBPAGYATQBlAHQAYQBiAG8AbABpAHoAYQBiAGwAZQBFAG4AZQByAGcAeQBfAFYAYQByAGkAYQB0AGkAbwBuACIALAAiAFMAbwB1AHIAYwBlAEQAYQB0AGEAXwBEAGEAaQByAHkALgBTAG8AdQByAGMAZQBEAGEAdABhAF8ARABhAGkAcgB5AF8ARQBmAGYAaQBjAGkAZQBuAGMAeQBPAGYAVQBzAGUATwBmAE0AZQB0AGEAYgBvAGwAaQB6AGEAYgBsAGUARQBuAGUAcgBnAHkAXwBEAGEAdABhACIALAAiAFMAbwB1AHIAYwBlAEQAYQB0AGEAXwBEAGEAaQByAHkALgBTAG8AdQByAGMAZQBEAGEAdABhAF8ARABhAGkAcgB5AF8AQQBzAGgAQwBvAG4AdABlAG4AdABfAFQAaQB0AGwAZQAiACwAIgBTAG8AdQByAGMAZQBEAGEAdABhAF8ARABhAGkAcgB5AC4AUwBvAHUAcgBjAGUARABhAHQAYQBfAEQAYQBpAHIAeQBfAEEAcwBoAEMAbwBuAHQAZQBuAHQAXwBWAGEAcgBpAGEAYgBsAGUAIgAsACIAUwBvAHUAcgBjAGUARABhAHQAYQBfAEQAYQBpAHIAeQAuAFMAbwB1AHIAYwBlAEQAYQB0AGEAXwBEAGEAaQByAHkAXwBBAHMAaABDAG8AbgB0AGUAbgB0AF8AVQBuAGkAdAAiACwAIgBTAG8AdQByAGMAZQBEAGEAdABhAF8ARABhAGkAcgB5AC4AUwBvAHUAcgBjAGUARABhAHQAYQBfAEQAYQBpAHIAeQBfAEEAcwBoAEMAbwBuAHQAZQBuAHQAXwBTAG8AdQByAGMAZQAiACwAIgBTAG8AdQByAGMAZQBEAGEAdABhAF8ARABhAGkAcgB5AC4AUwBvAHUAcgBjAGUARABhAHQAYQBfAEQAYQBpAHIAeQBfAEEAcwBoAEMAbwBuAHQAZQBuAHQAXwBWAGEAcgBpAGEAdABpAG8AbgAiACwAIgBTAG8AdQByAGMAZQBEAGEAdABhAF8ARABhAGkAcgB5AC4AUwBvAHUAcgBjAGUARABhAHQAYQBfAEQAYQBpAHIAeQBfAEEAcwBoAEMAbwBuAHQAZQBuAHQAXwBEAGEAdABhACIALAAiAFMAbwB1AHIAYwBlAEQAYQB0AGEAXwBEAGEAaQByAHkALgBTAG8AdQByAGMAZQBEAGEAdABhAF8ARABhAGkAcgB5AF8ATQBlAHQAaABhAG4AZQBFAG0AaQBzAHMAaQBvAG4AcwBQAG8AdABlAG4AdABpAGEAbABfAFQAaQB0AGwAZQAiACwAIgBTAG8AdQByAGMAZQBEAGEAdABhAF8ARABhAGkAcgB5AC4AUwBvAHUAcgBjAGUARABhAHQAYQBfAEQAYQBpAHIAeQBfAE0AZQB0AGgAYQBuAGUARQBtAGkAcwBzAGkAbwBuAHMAUABvAHQAZQBuAHQAaQBhAGwAXwBWAGEAcgBpAGEAYgBsAGUAIgAsACIAUwBvAHUAcgBjAGUARABhAHQAYQBfAEQAYQBpAHIAeQAuAFMAbwB1AHIAYwBlAEQAYQB0AGEAXwBEAGEAaQByAHkAXwBNAGUAdABoAGEAbgBlAEUAbQBpAHMAcwBpAG8AbgBzAFAAbwB0AGUAbgB0AGkAYQBsAF8AVQBuAGkAdAAiACwAIgBTAG8AdQByAGMAZQBEAGEAdABhAF8ARABhAGkAcgB5AC4AUwBvAHUAcgBjAGUARABhAHQAYQBfAEQAYQBpAHIAeQBfAE0AZQB0AGgAYQBuAGUARQBtAGkAcwBzAGkAbwBuAHMAUABvAHQAZQBuAHQAaQBhAGwAXwBTAG8AdQByAGMAZQAiACwAIgBTAG8AdQByAGMAZQBEAGEAdABhAF8ARABhAGkAcgB5AC4AUwBvAHUAcgBjAGUARABhAHQAYQBfAEQAYQBpAHIAeQBfAE0AZQB0AGgAYQBuAGUARQBtAGkAcwBzAGkAbwBuAHMAUABvAHQAZQBuAHQAaQBhAGwAXwBWAGEAcgBpAGEAdABpAG8AbgAiACwAIgBTAG8AdQByAGMAZQBEAGEAdABhAF8ARABhAGkAcgB5AC4AUwBvAHUAcgBjAGUARABhAHQAYQBfAEQAYQBpAHIAeQBfAE0AZQB0AGgAYQBuAGUARQBtAGkAcwBzAGkAbwBuAHMAUABvAHQAZQBuAHQAaQBhAGwAXwBEAGEAdABhACIALAAiAFMAbwB1AHIAYwBlAEQAYQB0AGEAXwBEAGEAaQByAHkALgBTAG8AdQByAGMAZQBEAGEAdABhAF8ARABhAGkAcgB5AF8ARQBtAGkAcwBzAGkAbwBuAEYAYQBjAHQAbwByAEYAbwByAEwAZQBhAGMAaABpAG4AZwBBAG4AZABSAHUAbgBvAGYAZgBfAFQAaQB0AGwAZQAiACwAIgBTAG8AdQByAGMAZQBEAGEAdABhAF8ARABhAGkAcgB5AC4AUwBvAHUAcgBjAGUARABhAHQAYQBfAEQAYQBpAHIAeQBfAEUAbQBpAHMAcwBpAG8AbgBGAGEAYwB0AG8AcgBGAG8AcgBMAGUAYQBjAGgAaQBuAGcAQQBuAGQAUgB1AG4AbwBmAGYAXwBWAGEAcgBpAGEAYgBsAGUAIgAsACIAUwBvAHUAcgBjAGUARABhAHQAYQBfAEQAYQBpAHIAeQAuAFMAbwB1AHIAYwBlAEQAYQB0AGEAXwBEAGEAaQByAHkAXwBFAG0AaQBzAHMAaQBvAG4ARgBhAGMAdABvAHIARgBvAHIATABlAGEAYwBoAGkAbgBnAEEAbgBkAFIAdQBuAG8AZgBmAF8AVQBuAGkAdAAiACwAIgBTAG8AdQByAGMAZQBEAGEAdABhAF8ARABhAGkAcgB5AC4AUwBvAHUAcgBjAGUARABhAHQAYQBfAEQAYQBpAHIAeQBfAEUAbQBpAHMAcwBpAG8AbgBGAGEAYwB0AG8AcgBGAG8AcgBMAGUAYQBjAGgAaQBuAGcAQQBuAGQAUgB1AG4AbwBmAGYAXwBTAG8AdQByAGMAZQAiACwAIgBTAG8AdQByAGMAZQBEAGEAdABhAF8ARABhAGkAcgB5AC4AUwBvAHUAcgBjAGUARABhAHQAYQBfAEQAYQBpAHIAeQBfAEUAbQBpAHMAcwBpAG8AbgBGAGEAYwB0AG8AcgBGAG8AcgBMAGUAYQBjAGgAaQBuAGcAQQBuAGQAUgB1AG4AbwBmAGYAXwBWAGEAcgBpAGEAdABpAG8AbgAiACwAIgBTAG8AdQByAGMAZQBEAGEAdABhAF8ARABhAGkAcgB5AC4AUwBvAHUAcgBjAGUARABhAHQAYQBfAEQAYQBpAHIAeQBfAEUAbQBpAHMAcwBpAG8AbgBGAGEAYwB0AG8AcgBGAG8AcgBMAGUAYQBjAGgAaQBuAGcAQQBuAGQAUgB1AG4AbwBmAGYAXwBEAGEAdABhACIALAAiAFMAbwB1AHIAYwBlAEQAYQB0AGEAXwBEAGEAaQByAHkALgBTAG8AdQByAGMAZQBEAGEAdABhAF8ARABhAGkAcgB5AF8ARgByAGEAYwB0AGkAbwBuAE8AZgBOAGkAdAByAG8AZwBlAG4ATABvAHMAdABUAGgAcgBvAHUAZwBoAEwAZQBhAGMAaABpAG4AZwBBAG4AZABSAHUAbgBvAGYAZgBfAFQAaQB0AGwAZQAiACwAIgBTAG8AdQByAGMAZQBEAGEAdABhAF8ARABhAGkAcgB5AC4AUwBvAHUAcgBjAGUARABhAHQAYQBfAEQAYQBpAHIAeQBfAEYAcgBhAGMAdABpAG8AbgBPAGYATgBpAHQAcgBvAGcAZQBuAEwAbwBzAHQAVABoAHIAbwB1AGcAaABMAGUAYQBjAGgAaQBuAGcAQQBuAGQAUgB1AG4AbwBmAGYAXwBWAGEAcgBpAGEAYgBsAGUAIgAsACIAUwBvAHUAcgBjAGUARABhAHQAYQBfAEQAYQBpAHIAeQAuAFMAbwB1AHIAYwBlAEQAYQB0AGEAXwBEAGEAaQByAHkAXwBGAHIAYQBjAHQAaQBvAG4ATwBmAE4AaQB0AHIAbwBnAGUAbgBMAG8AcwB0AFQAaAByAG8AdQBnAGgATABlAGEAYwBoAGkAbgBnAEEAbgBkAFIAdQBuAG8AZgBmAF8AVQBuAGkAdAAiACwAIgBTAG8AdQByAGMAZQBEAGEAdABhAF8ARABhAGkAcgB5AC4AUwBvAHUAcgBjAGUARABhAHQAYQBfAEQAYQBpAHIAeQBfAEYAcgBhAGMAdABpAG8AbgBPAGYATgBpAHQAcgBvAGcAZQBuAEwAbwBzAHQAVABoAHIAbwB1AGcAaABMAGUAYQBjAGgAaQBuAGcAQQBuAGQAUgB1AG4AbwBmAGYAXwBTAG8AdQByAGMAZQAiACwAIgBTAG8AdQByAGMAZQBEAGEAdABhAF8ARABhAGkAcgB5AC4AUwBvAHUAcgBjAGUARABhAHQAYQBfAEQAYQBpAHIAeQBfAEYAcgBhAGMAdABpAG8AbgBPAGYATgBpAHQAcgBvAGcAZQBuAEwAbwBzAHQAVABoAHIAbwB1AGcAaABMAGUAYQBjAGgAaQBuAGcAQQBuAGQAUgB1AG4AbwBmAGYAXwBWAGEAcgBpAGEAdABpAG8AbgAiACwAIgBTAG8AdQByAGMAZQBEAGEAdABhAF8ARABhAGkAcgB5AC4AUwBvAHUAcgBjAGUARABhAHQAYQBfAEQAYQBpAHIAeQBfAEYAcgBhAGMAdABpAG8AbgBPAGYATgBpAHQAcgBvAGcAZQBuAEwAbwBzAHQAVABoAHIAbwB1AGcAaABMAGUAYQBjAGgAaQBuAGcAQQBuAGQAUgB1AG4AbwBmAGYAXwBEAGEAdABhACIALAAiAFMAbwB1AHIAYwBlAEQAYQB0AGEAXwBEAGEAaQByAHkALgBTAG8AdQByAGMAZQBEAGEAdABhAF8ARABhAGkAcgB5AF8ARgByAGEAYwBHAEEAUwBNAFMAbwBpAGwAXwBUAGkAdABsAGUAIgAsACIAUwBvAHUAcgBjAGUARABhAHQAYQBfAEQAYQBpAHIAeQAuAFMAbwB1AHIAYwBlAEQAYQB0AGEAXwBEAGEAaQByAHkAXwBGAHIAYQBjAEcAQQBTAE0AUwBvAGkAbABfAFYAYQByAGkAYQBiAGwAZQAiACwAIgBTAG8AdQByAGMAZQBEAGEAdABhAF8ARABhAGkAcgB5AC4AUwBvAHUAcgBjAGUARABhAHQAYQBfAEQAYQBpAHIAeQBfAEYAcgBhAGMARwBBAFMATQBTAG8AaQBsAF8AVQBuAGkAdAAiACwAIgBTAG8AdQByAGMAZQBEAGEAdABhAF8ARABhAGkAcgB5AC4AUwBvAHUAcgBjAGUARABhAHQAYQBfAEQAYQBpAHIAeQBfAEYAcgBhAGMARwBBAFMATQBTAG8AaQBsAF8AUwBvAHUAcgBjAGUAIgAsACIAUwBvAHUAcgBjAGUARABhAHQAYQBfAEQAYQBpAHIAeQAuAFMAbwB1AHIAYwBlAEQAYQB0AGEAXwBEAGEAaQByAHkAXwBGAHIAYQBjAEcAQQBTAE0AUwBvAGkAbABfAFYAYQByAGkAYQB0AGkAbwBuACIALAAiAFMAbwB1AHIAYwBlAEQAYQB0AGEAXwBEAGEAaQByAHkALgBTAG8AdQByAGMAZQBEAGEAdABhAF8ARABhAGkAcgB5AF8ARgByAGEAYwBHAEEAUwBNAFMAbwBpAGwAXwBEAGEAdABh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VABpAHQAbA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VgBhAHIAaQBhAGIAbA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VQBuAGkAdA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FMAbwB1AHIAYw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TgBJAFIAUgBlAGYAZQByAGUAbgBjAGU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MAGEAdABlAHgARQBxAHUAYQB0AGkAbwBu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QQByAGcAdQBtAGUAbgB0AHMAIgAsACIATQBNAFMAXwBEAGEAaQByAHkAXwBBAHQAbQBvAHMAcABoAGUAcgBpAGMARABlAHAAbwBzAGkAdABpAG8AbgBfAEUAcQB1AGEAdABpAG8AbgBzAC4AVgBFAEUAUgBHAF8ANABfADMAXwAxAF8ANQBfAF8AMgBfAFQAbwB0AGEAbABOAGkAdAByAG8AZwBlAG4AVgBvAGwAYQB0AGkAbABpAHMAZQBkAEYAcgBvAG0ATQBNAFMAIgAsACIATQBNAFMAXwBEAGEAaQByAHkAXwBBAHQAbQBvAHMAcABoAGUAcgBpAGMARABlAHAAbwBzAGkAdABpAG8AbgBfAEUAcQB1AGEAdABpAG8AbgBzAC4AVgBFAEUAUgBHAF8ANABfADMAXwAxAF8ANQBfAF8AMgBfAFQAbwB0AGEAbABOAGkAdAByAG8AZwBlAG4AVgBvAGwAYQB0AGkAbABpAHMAZQBkAEYAcgBvAG0ATQBNAFMAXwBUAGkAdABsAGUAIgAsACIATQBNAFMAXwBEAGEAaQByAHkAXwBBAHQAbQBvAHMAcABoAGUAcgBpAGMARABlAHAAbwBzAGkAdABpAG8AbgBfAEUAcQB1AGEAdABpAG8AbgBzAC4AVgBFAEUAUgBHAF8ANABfADMAXwAxAF8ANQBfAF8AMgBfAFQAbwB0AGEAbABOAGkAdAByAG8AZwBlAG4AVgBvAGwAYQB0AGkAbABpAHMAZQBkAEYAcgBvAG0ATQBNAFMAXwBWAGEAcgBpAGEAYgBsAGUAIgAsACIATQBNAFMAXwBEAGEAaQByAHkAXwBBAHQAbQBvAHMAcABoAGUAcgBpAGMARABlAHAAbwBzAGkAdABpAG8AbgBfAEUAcQB1AGEAdABpAG8AbgBzAC4AVgBFAEUAUgBHAF8ANABfADMAXwAxAF8ANQBfAF8AMgBfAFQAbwB0AGEAbABOAGkAdAByAG8AZwBlAG4AVgBvAGwAYQB0AGkAbABpAHMAZQBkAEYAcgBvAG0ATQBNAFMAXwBVAG4AaQB0ACIALAAiAE0ATQBTAF8ARABhAGkAcgB5AF8AQQB0AG0AbwBzAHAAaABlAHIAaQBjAEQAZQBwAG8AcwBpAHQAaQBvAG4AXwBFAHEAdQBhAHQAaQBvAG4AcwAuAFYARQBFAFIARwBfADQAXwAzAF8AMQBfADUAXwBfADIAXwBUAG8AdABhAGwATgBpAHQAcgBvAGcAZQBuAFYAbwBsAGEAdABpAGwAaQBzAGUAZABGAHIAbwBtAE0ATQBTAF8AUwBvAHUAcgBjAGUAIgAsACIATQBNAFMAXwBEAGEAaQByAHkAXwBBAHQAbQBvAHMAcABoAGUAcgBpAGMARABlAHAAbwBzAGkAdABpAG8AbgBfAEUAcQB1AGEAdABpAG8AbgBzAC4AVgBFAEUAUgBHAF8ANABfADMAXwAxAF8ANQBfAF8AMgBfAFQAbwB0AGEAbABOAGkAdAByAG8AZwBlAG4AVgBvAGwAYQB0AGkAbABpAHMAZQBkAEYAcgBvAG0ATQBNAFMAXwBOAEkAUgBSAGUAZgBlAHIAZQBuAGMAZQAiACwAIgBNAE0AUwBfAEQAYQBpAHIAeQBfAEEAdABtAG8AcwBwAGgAZQByAGkAYwBEAGUAcABvAHMAaQB0AGkAbwBuAF8ARQBxAHUAYQB0AGkAbwBuAHMALgBWAEUARQBSAEcAXwA0AF8AMwBfADEAXwA1AF8AXwAyAF8AVABvAHQAYQBsAE4AaQB0AHIAbwBnAGUAbgBWAG8AbABhAHQAaQBsAGkAcwBlAGQARgByAG8AbQBNAE0AUwBfAEwAYQB0AGUAeABFAHEAdQBhAHQAaQBvAG4AIgAsACIATQBNAFMAXwBEAGEAaQByAHkAXwBBAHQAbQBvAHMAcABoAGUAcgBpAGMARABlAHAAbwBzAGkAdABpAG8AbgBfAEUAcQB1AGEAdABpAG8AbgBzAC4AVgBFAEUAUgBHAF8ANABfADMAXwAxAF8ANQBfAF8AMgBfAFQAbwB0AGEAbABOAGkAdAByAG8AZwBlAG4AVgBvAGwAYQB0AGkAbABpAHMAZQBkAEYAcgBvAG0ATQBNAFMAXwBBAHIAZwB1AG0AZQBuAHQAcwAiACwAIgBNAE0AUwBfAEQAYQBpAHIAeQBfAE0AYQBuAHUAcgBlAEEAcABwAGwAaQBlAGQAVABvAFMAbwBpAGwAcwBfAEUAcQB1AGEAdABpAG8AbgBzAC4AVgBFAEUAUgBHAF8ANABfADMAXwAxAF8AOABfAF8AMQBfAE0AYQBzAHMATwBmAE4AaQB0AHIAbwBnAGUAbgBBAHAAcABsAGkAZQBkAFQAbwBTAG8AaQBsAHMAUwBjAG8AcABlADEAIgAsACIATQBNAFMAXwBEAGEAaQByAHkAXwBNAGEAbgB1AHIAZQBBAHAAcABsAGkAZQBkAFQAbwBTAG8AaQBsAHMAXwBFAHEAdQBhAHQAaQBvAG4AcwAuAFYARQBFAFIARwBfADQAXwAzAF8AMQBfADgAXwBfADEAXwBNAGEAcwBzAE8AZgBOAGkAdAByAG8AZwBlAG4AQQBwAHAAbABpAGUAZABUAG8AUwBvAGkAbABzAFMAYwBvAHAAZQAxAF8AVABpAHQAbABlACIALAAiAE0ATQBTAF8ARABhAGkAcgB5AF8ATQBhAG4AdQByAGUAQQBwAHAAbABpAGUAZABUAG8AUwBvAGkAbABzAF8ARQBxAHUAYQB0AGkAbwBuAHMALgBWAEUARQBSAEcAXwA0AF8AMwBfADEAXwA4AF8AXwAxAF8ATQBhAHMAcwBPAGYATgBpAHQAcgBvAGcAZQBuAEEAcABwAGwAaQBlAGQAVABvAFMAbwBpAGwAcwBTAGMAbwBwAGUAMQBfAFYAYQByAGkAYQBiAGwAZQAiACwAIgBNAE0AUwBfAEQAYQBpAHIAeQBfAE0AYQBuAHUAcgBlAEEAcABwAGwAaQBlAGQAVABvAFMAbwBpAGwAcwBfAEUAcQB1AGEAdABpAG8AbgBzAC4AVgBFAEUAUgBHAF8ANABfADMAXwAxAF8AOABfAF8AMQBfAE0AYQBzAHMATwBmAE4AaQB0AHIAbwBnAGUAbgBBAHAAcABsAGkAZQBkAFQAbwBTAG8AaQBsAHMAUwBjAG8AcABlADEAXwBVAG4AaQB0ACIALAAiAE0ATQBTAF8ARABhAGkAcgB5AF8ATQBhAG4AdQByAGUAQQBwAHAAbABpAGUAZABUAG8AUwBvAGkAbABzAF8ARQBxAHUAYQB0AGkAbwBuAHMALgBWAEUARQBSAEcAXwA0AF8AMwBfADEAXwA4AF8AXwAxAF8ATQBhAHMAcwBPAGYATgBpAHQAcgBvAGcAZQBuAEEAcABwAGwAaQBlAGQAVABvAFMAbwBpAGwAcwBTAGMAbwBwAGUAMQBfAFMAbwB1AHIAYwBlACIALAAiAE0ATQBTAF8ARABhAGkAcgB5AF8ATQBhAG4AdQByAGUAQQBwAHAAbABpAGUAZABUAG8AUwBvAGkAbABzAF8ARQBxAHUAYQB0AGkAbwBuAHMALgBWAEUARQBSAEcAXwA0AF8AMwBfADEAXwA4AF8AXwAxAF8ATQBhAHMAcwBPAGYATgBpAHQAcgBvAGcAZQBuAEEAcABwAGwAaQBlAGQAVABvAFMAbwBpAGwAcwBTAGMAbwBwAGUAMQBfAE4ASQBSAFIAZQBmAGUAcgBlAG4AYwBlACIALAAiAE0ATQBTAF8ARABhAGkAcgB5AF8ATQBhAG4AdQByAGUAQQBwAHAAbABpAGUAZABUAG8AUwBvAGkAbABzAF8ARQBxAHUAYQB0AGkAbwBuAHMALgBWAEUARQBSAEcAXwA0AF8AMwBfADEAXwA4AF8AXwAxAF8ATQBhAHMAcwBPAGYATgBpAHQAcgBvAGcAZQBuAEEAcABwAGwAaQBlAGQAVABvAFMAbwBpAGwAcwBTAGMAbwBwAGUAMQBfAEwAYQB0AGUAeABFAHEAdQBhAHQAaQBvAG4AIgAsACIATQBNAFMAXwBEAGEAaQByAHkAXwBNAGEAbgB1AHIAZQBBAHAAcABsAGkAZQBkAFQAbwBTAG8AaQBsAHMAXwBFAHEAdQBhAHQAaQBvAG4AcwAuAFYARQBFAFIARwBfADQAXwAzAF8AMQBfADgAXwBfADEAXwBNAGEAcwBzAE8AZgBOAGkAdAByAG8AZwBlAG4AQQBwAHAAbABpAGUAZABUAG8AUwBvAGkAbABzAFMAYwBvAHAAZQAxAF8AQQByAGcAdQBtAGUAbgB0AHMAIgAsACIATQBNAFMAXwBEAGEAaQByAHkAXwBNAGEAbgB1AHIAZQBBAHAAcABsAGkAZQBkAFQAbwBTAG8AaQBsAHMAXwBFAHEAdQBhAHQAaQBvAG4AcwAuAFYARQBFAFIARwBfADQAXwAzAF8AMQBfADgAXwBfADIAXwBNAGEAcwBzAE8AZgBOAGkAdAByAG8AZwBlAG4AQQBwAHAAbABpAGUAZABUAG8AUwBvAGkAbABzAFMAYwBvAHAAZQAzACIALAAiAE0ATQBTAF8ARABhAGkAcgB5AF8ATQBhAG4AdQByAGUAQQBwAHAAbABpAGUAZABUAG8AUwBvAGkAbABzAF8ARQBxAHUAYQB0AGkAbwBuAHMALgBWAEUARQBSAEcAXwA0AF8AMwBfADEAXwA4AF8AXwAyAF8ATQBhAHMAcwBPAGYATgBpAHQAcgBvAGcAZQBuAEEAcABwAGwAaQBlAGQAVABvAFMAbwBpAGwAcwBTAGMAbwBwAGUAMwBfAFQAaQB0AGwAZQAiACwAIgBNAE0AUwBfAEQAYQBpAHIAeQBfAE0AYQBuAHUAcgBlAEEAcABwAGwAaQBlAGQAVABvAFMAbwBpAGwAcwBfAEUAcQB1AGEAdABpAG8AbgBzAC4AVgBFAEUAUgBHAF8ANABfADMAXwAxAF8AOABfAF8AMgBfAE0AYQBzAHMATwBmAE4AaQB0AHIAbwBnAGUAbgBBAHAAcABsAGkAZQBkAFQAbwBTAG8AaQBsAHMAUwBjAG8AcABlADMAXwBWAGEAcgBpAGEAYgBsAGUAIgAsACIATQBNAFMAXwBEAGEAaQByAHkAXwBNAGEAbgB1AHIAZQBBAHAAcABsAGkAZQBkAFQAbwBTAG8AaQBsAHMAXwBFAHEAdQBhAHQAaQBvAG4AcwAuAFYARQBFAFIARwBfADQAXwAzAF8AMQBfADgAXwBfADIAXwBNAGEAcwBzAE8AZgBOAGkAdAByAG8AZwBlAG4AQQBwAHAAbABpAGUAZABUAG8AUwBvAGkAbABzAFMAYwBvAHAAZQAzAF8AVQBuAGkAdAAiACwAIgBNAE0AUwBfAEQAYQBpAHIAeQBfAE0AYQBuAHUAcgBlAEEAcABwAGwAaQBlAGQAVABvAFMAbwBpAGwAcwBfAEUAcQB1AGEAdABpAG8AbgBzAC4AVgBFAEUAUgBHAF8ANABfADMAXwAxAF8AOABfAF8AMgBfAE0AYQBzAHMATwBmAE4AaQB0AHIAbwBnAGUAbgBBAHAAcABsAGkAZQBkAFQAbwBTAG8AaQBsAHMAUwBjAG8AcABlADMAXwBTAG8AdQByAGMAZQAiACwAIgBNAE0AUwBfAEQAYQBpAHIAeQBfAE0AYQBuAHUAcgBlAEEAcABwAGwAaQBlAGQAVABvAFMAbwBpAGwAcwBfAEUAcQB1AGEAdABpAG8AbgBzAC4AVgBFAEUAUgBHAF8ANABfADMAXwAxAF8AOABfAF8AMgBfAE0AYQBzAHMATwBmAE4AaQB0AHIAbwBnAGUAbgBBAHAAcABsAGkAZQBkAFQAbwBTAG8AaQBsAHMAUwBjAG8AcABlADMAXwBOAEkAUgBSAGUAZgBlAHIAZQBuAGMAZQAiACwAIgBNAE0AUwBfAEQAYQBpAHIAeQBfAE0AYQBuAHUAcgBlAEEAcABwAGwAaQBlAGQAVABvAFMAbwBpAGwAcwBfAEUAcQB1AGEAdABpAG8AbgBzAC4AVgBFAEUAUgBHAF8ANABfADMAXwAxAF8AOABfAF8AMgBfAE0AYQBzAHMATwBmAE4AaQB0AHIAbwBnAGUAbgBBAHAAcABsAGkAZQBkAFQAbwBTAG8AaQBsAHMAUwBjAG8AcABlADMAXwBMAGEAdABlAHgARQBxAHUAYQB0AGkAbwBuACIALAAiAE0ATQBTAF8ARABhAGkAcgB5AF8ATQBhAG4AdQByAGUAQQBwAHAAbABpAGUAZABUAG8AUwBvAGkAbABzAF8ARQBxAHUAYQB0AGkAbwBuAHMALgBWAEUARQBSAEcAXwA0AF8AMwBfADEAXwA4AF8AXwAyAF8ATQBhAHMAcwBPAGYATgBpAHQAcgBvAGcAZQBuAEEAcABwAGwAaQBlAGQAVABvAFMAbwBpAGwAcwBTAGMAbwBwAGUAMwBfAEEAcgBnAHUAbQBlAG4AdABzACIALAAiAE0ATQBTAF8ARABhAGkAcgB5AF8ATQBlAHQAaABhAG4AZQBfAEUAcQB1AGEAdABpAG8AbgBzAC4AVgBFAEUAUgBHAF8ANABfADMAXwAxAF8AMQBfAF8AMQBfAFQAbwB0AGEAbABBAG4AbgB1AGEAbABNAGUAdABoAGEAbgBlAEYAcgBvAG0ATQBhAG4AdQByAGUATQBhAG4AYQBnAGUAbQBlAG4AdAAiACwAIgBNAE0AUwBfAEQAYQBpAHIAeQBfAE0AZQB0AGgAYQBuAGUAXwBFAHEAdQBhAHQAaQBvAG4AcwAuAFYARQBFAFIARwBfADQAXwAzAF8AMQBfADEAXwBfADEAXwBUAG8AdABhAGwAQQBuAG4AdQBhAGwATQBlAHQAaABhAG4AZQBGAHIAbwBtAE0AYQBuAHUAcgBlAE0AYQBuAGEAZwBlAG0AZQBuAHQAVgBhAHIAaQBhAHQAaQBvAG4AIgAsACIATQBNAFMAXwBEAGEAaQByAHkAXwBNAGUAdABoAGEAbgBlAF8ARQBxAHUAYQB0AGkAbwBuAHMALgBWAEUARQBSAEcAXwA0AF8AMwBfADEAXwAxAF8AXwAxAF8AVABvAHQAYQBsAEEAbgBuAHUAYQBsAE0AZQB0AGgAYQBuAGUARgByAG8AbQBNAGEAbgB1AHIAZQBNAGEAbgBhAGcAZQBtAGUAbgB0AF8AVABpAHQAbABlACIALAAiAE0ATQBTAF8ARABhAGkAcgB5AF8ATQBlAHQAaABhAG4AZQBfAEUAcQB1AGEAdABpAG8AbgBzAC4AVgBFAEUAUgBHAF8ANABfADMAXwAxAF8AMQBfAF8AMQBfAFQAbwB0AGEAbABBAG4AbgB1AGEAbABNAGUAdABoAGEAbgBlAEYAcgBvAG0ATQBhAG4AdQByAGUATQBhAG4AYQBnAGUAbQBlAG4AdABfAFYAYQByAGkAYQBiAGwAZQAiACwAIgBNAE0AUwBfAEQAYQBpAHIAeQBfAE0AZQB0AGgAYQBuAGUAXwBFAHEAdQBhAHQAaQBvAG4AcwAuAFYARQBFAFIARwBfADQAXwAzAF8AMQBfADEAXwBfADEAXwBUAG8AdABhAGwAQQBuAG4AdQBhAGwATQBlAHQAaABhAG4AZQBGAHIAbwBtAE0AYQBuAHUAcgBlAE0AYQBuAGEAZwBlAG0AZQBuAHQAXwBVAG4AaQB0ACIALAAiAE0ATQBTAF8ARABhAGkAcgB5AF8ATQBlAHQAaABhAG4AZQBfAEUAcQB1AGEAdABpAG8AbgBzAC4AVgBFAEUAUgBHAF8ANABfADMAXwAxAF8AMQBfAF8AMQBfAFQAbwB0AGEAbABBAG4AbgB1AGEAbABNAGUAdABoAGEAbgBlAEYAcgBvAG0ATQBhAG4AdQByAGUATQBhAG4AYQBnAGUAbQBlAG4AdABfAFMAbwB1AHIAYwBlACIALAAiAE0ATQBTAF8ARABhAGkAcgB5AF8ATQBlAHQAaABhAG4AZQBfAEUAcQB1AGEAdABpAG8AbgBzAC4AVgBFAEUAUgBHAF8ANABfADMAXwAxAF8AMQBfAF8AMQBfAFQAbwB0AGEAbABBAG4AbgB1AGEAbABNAGUAdABoAGEAbgBlAEYAcgBvAG0ATQBhAG4AdQByAGUATQBhAG4AYQBnAGUAbQBlAG4AdABfAE4ASQBSAFIAZQBmAGUAcgBlAG4AYwBlACIALAAiAE0ATQBTAF8ARABhAGkAcgB5AF8ATQBlAHQAaABhAG4AZQBfAEUAcQB1AGEAdABpAG8AbgBzAC4AVgBFAEUAUgBHAF8ANABfADMAXwAxAF8AMQBfAF8AMQBfAFQAbwB0AGEAbABBAG4AbgB1AGEAbABNAGUAdABoAGEAbgBlAEYAcgBvAG0ATQBhAG4AdQByAGUATQBhAG4AYQBnAGUAbQBlAG4AdABfAEwAYQB0AGUAeABFAHEAdQBhAHQAaQBvAG4AIgAsACIATQBNAFMAXwBEAGEAaQByAHkAXwBNAGUAdABoAGEAbgBlAF8ARQBxAHUAYQB0AGkAbwBuAHMALgBWAEUARQBSAEcAXwA0AF8AMwBfADEAXwAxAF8AXwAxAF8AVABvAHQAYQBsAEEAbgBuAHUAYQBsAE0AZQB0AGgAYQBuAGUARgByAG8AbQBNAGEAbgB1AHIAZQBNAGEAbgBhAGcAZQBtAGUAbgB0AF8ATABhAHQAZQB4AEUAcQB1AGEAdABpAG8AbgBWAGEAcgBpAGEAdABpAG8AbgAiACwAIgBNAE0AUwBfAEQAYQBpAHIAeQBfAE0AZQB0AGgAYQBuAGUAXwBFAHEAdQBhAHQAaQBvAG4AcwAuAFYARQBFAFIARwBfADQAXwAzAF8AMQBfADEAXwBfADEAXwBUAG8AdABhAGwAQQBuAG4AdQBhAGwATQBlAHQAaABhAG4AZQBGAHIAbwBtAE0AYQBuAHUAcgBlAE0AYQBuAGEAZwBlAG0AZQBuAHQAXwBBAHIAZwB1AG0AZQBuAHQAcwAiACwAIgBNAE0AUwBfAEQAYQBpAHIAeQBfAE0AZQB0AGgAYQBuAGUAXwBFAHEAdQBhAHQAaQBvAG4AcwAuAFYARQBFAFIARwBfADQAXwAzAF8AMQBfADEAXwBfADEAXwBUAG8AdABhAGwAQQBuAG4AdQBhAGwATQBlAHQAaABhAG4AZQBGAHIAbwBtAE0AYQBuAHUAcgBlAE0AYQBuAGEAZwBlAG0AZQBuAHQAXwBWAGEAcgBpAGEAdABpAG8AbgAiACwAIgBNAE0AUwBfAEQAYQBpAHIAeQBfAE0AZQB0AGgAYQBuAGUAXwBFAHEAdQBhAHQAaQBvAG4AcwAuAFYARQBFAFIARwBfADQAXwAzAF8AMQBfADEAXwBfADIAXwBNAGUAdABoAGEAbgBlAEYAcgBvAG0ATQBhAG4AdQByAGUAUAByAG8AZAB1AGMAdABpAG8AbgAiACwAIgBNAE0AUwBfAEQAYQBpAHIAeQBfAE0AZQB0AGgAYQBuAGUAXwBFAHEAdQBhAHQAaQBvAG4AcwAuAFYARQBFAFIARwBfADQAXwAzAF8AMQBfADEAXwBfADIAXwBNAGUAdABoAGEAbgBlAEYAcgBvAG0ATQBhAG4AdQByAGUAUAByAG8AZAB1AGMAdABpAG8AbgBfAFQAaQB0AGwAZQAiACwAIgBNAE0AUwBfAEQAYQBpAHIAeQBfAE0AZQB0AGgAYQBuAGUAXwBFAHEAdQBhAHQAaQBvAG4AcwAuAFYARQBFAFIARwBfADQAXwAzAF8AMQBfADEAXwBfADIAXwBNAGUAdABoAGEAbgBlAEYAcgBvAG0ATQBhAG4AdQByAGUAUAByAG8AZAB1AGMAdABpAG8AbgBfAFYAYQByAGkAYQBiAGwAZQAiACwAIgBNAE0AUwBfAEQAYQBpAHIAeQBfAE0AZQB0AGgAYQBuAGUAXwBFAHEAdQBhAHQAaQBvAG4AcwAuAFYARQBFAFIARwBfADQAXwAzAF8AMQBfADEAXwBfADIAXwBNAGUAdABoAGEAbgBlAEYAcgBvAG0ATQBhAG4AdQByAGUAUAByAG8AZAB1AGMAdABpAG8AbgBfAFUAbgBpAHQAIgAsACIATQBNAFMAXwBEAGEAaQByAHkAXwBNAGUAdABoAGEAbgBlAF8ARQBxAHUAYQB0AGkAbwBuAHMALgBWAEUARQBSAEcAXwA0AF8AMwBfADEAXwAxAF8AXwAyAF8ATQBlAHQAaABhAG4AZQBGAHIAbwBtAE0AYQBuAHUAcgBlAFAAcgBvAGQAdQBjAHQAaQBvAG4AXwBTAG8AdQByAGMAZQAiACwAIgBNAE0AUwBfAEQAYQBpAHIAeQBfAE0AZQB0AGgAYQBuAGUAXwBFAHEAdQBhAHQAaQBvAG4AcwAuAFYARQBFAFIARwBfADQAXwAzAF8AMQBfADEAXwBfADIAXwBNAGUAdABoAGEAbgBlAEYAcgBvAG0ATQBhAG4AdQByAGUAUAByAG8AZAB1AGMAdABpAG8AbgBfAE4ASQBSAFIAZQBmAGUAcgBlAG4AYwBlACIALAAiAE0ATQBTAF8ARABhAGkAcgB5AF8ATQBlAHQAaABhAG4AZQBfAEUAcQB1AGEAdABpAG8AbgBzAC4AVgBFAEUAUgBHAF8ANABfADMAXwAxAF8AMQBfAF8AMgBfAE0AZQB0AGgAYQBuAGUARgByAG8AbQBNAGEAbgB1AHIAZQBQAHIAbwBkAHUAYwB0AGkAbwBuAF8ATABhAHQAZQB4AEUAcQB1AGEAdABpAG8AbgAiACwAIgBNAE0AUwBfAEQAYQBpAHIAeQBfAE0AZQB0AGgAYQBuAGUAXwBFAHEAdQBhAHQAaQBvAG4AcwAuAFYARQBFAFIARwBfADQAXwAzAF8AMQBfADEAXwBfADIAXwBNAGUAdABoAGEAbgBlAEYAcgBvAG0ATQBhAG4AdQByAGUAUAByAG8AZAB1AGMAdABpAG8AbgBfAEEAcgBnAHUAbQBlAG4AdABzACIALAAiAE0ATQBTAF8ARABhAGkAcgB5AF8ATQBlAHQAaABhAG4AZQBfAEUAcQB1AGEAdABpAG8AbgBzAC4AVgBFAEUAUgBHAF8ANABfADMAXwAxAF8AMQBfAF8AMwBfAFYAbwBsAGEAdABpAGwAZQBTAG8AbABpAGQAcwBGAG8AcgBXAGUAYQBuAGUAZABEAGEAaQByAHkAQwBhAHQAdABsAGUAIgAsACIATQBNAFMAXwBEAGEAaQByAHkAXwBNAGUAdABoAGEAbgBlAF8ARQBxAHUAYQB0AGkAbwBuAHMALgBWAEUARQBSAEcAXwA0AF8AMwBfADEAXwAxAF8AXwAzAF8AVgBvAGwAYQB0AGkAbABlAFMAbwBsAGkAZABzAEYAbwByAFcAZQBhAG4AZQBkAEQAYQBpAHIAeQBDAGEAdAB0AGwAZQBfAFQAaQB0AGwAZQAiACwAIgBNAE0AUwBfAEQAYQBpAHIAeQBfAE0AZQB0AGgAYQBuAGUAXwBFAHEAdQBhAHQAaQBvAG4AcwAuAFYARQBFAFIARwBfADQAXwAzAF8AMQBfADEAXwBfADMAXwBWAG8AbABhAHQAaQBsAGUAUwBvAGwAaQBkAHMARgBvAHIAVwBlAGEAbgBlAGQARABhAGkAcgB5AEMAYQB0AHQAbABlAF8AVgBhAHIAaQBhAGIAbABlACIALAAiAE0ATQBTAF8ARABhAGkAcgB5AF8ATQBlAHQAaABhAG4AZQBfAEUAcQB1AGEAdABpAG8AbgBzAC4AVgBFAEUAUgBHAF8ANABfADMAXwAxAF8AMQBfAF8AMwBfAFYAbwBsAGEAdABpAGwAZQBTAG8AbABpAGQAcwBGAG8AcgBXAGUAYQBuAGUAZABEAGEAaQByAHkAQwBhAHQAdABsAGUAXwBVAG4AaQB0ACIALAAiAE0ATQBTAF8ARABhAGkAcgB5AF8ATQBlAHQAaABhAG4AZQBfAEUAcQB1AGEAdABpAG8AbgBzAC4AVgBFAEUAUgBHAF8ANABfADMAXwAxAF8AMQBfAF8AMwBfAFYAbwBsAGEAdABpAGwAZQBTAG8AbABpAGQAcwBGAG8AcgBXAGUAYQBuAGUAZABEAGEAaQByAHkAQwBhAHQAdABsAGUAXwBTAG8AdQByAGMAZQAiACwAIgBNAE0AUwBfAEQAYQBpAHIAeQBfAE0AZQB0AGgAYQBuAGUAXwBFAHEAdQBhAHQAaQBvAG4AcwAuAFYARQBFAFIARwBfADQAXwAzAF8AMQBfADEAXwBfADMAXwBWAG8AbABhAHQAaQBsAGUAUwBvAGwAaQBkAHMARgBvAHIAVwBlAGEAbgBlAGQARABhAGkAcgB5AEMAYQB0AHQAbABlAF8ATgBJAFIAUgBlAGYAZQByAGUAbgBjAGUAIgAsACIATQBNAFMAXwBEAGEAaQByAHkAXwBNAGUAdABoAGEAbgBlAF8ARQBxAHUAYQB0AGkAbwBuAHMALgBWAEUARQBSAEcAXwA0AF8AMwBfADEAXwAxAF8AXwAzAF8AVgBvAGwAYQB0AGkAbABlAFMAbwBsAGkAZABzAEYAbwByAFcAZQBhAG4AZQBkAEQAYQBpAHIAeQBDAGEAdAB0AGwAZQBfAEwAYQB0AGUAeABFAHEAdQBhAHQAaQBvAG4AIgAsACIATQBNAFMAXwBEAGEAaQByAHkAXwBNAGUAdABoAGEAbgBlAF8ARQBxAHUAYQB0AGkAbwBuAHMALgBWAEUARQBSAEcAXwA0AF8AMwBfADEAXwAxAF8AXwAzAF8AVgBvAGwAYQB0AGkAbABlAFMAbwBsAGkAZABzAEYAbwByAFcAZQBhAG4AZQBkAEQAYQBpAHIAeQBDAGEAdAB0AGwAZQBfAEEAcgBnAHUAbQBlAG4AdABzACIALAAiAE0ATQBTAF8ARABhAGkAcgB5AF8ATQBlAHQAaABhAG4AZQBfAEUAcQB1AGEAdABpAG8AbgBzAC4AVgBFAEUAUgBHAF8ANABfADMAXwAxAF8AMQBfAF8ANABfAEYAcgBhAGMAdABpAG8AbgBWAG8AbABhAHQAaQBsAGUAUwBvAGwAaQBkAHMATgBvAHQAUwBvAGwAaQBkAFMAdABvAHIAYQBnAGUAIgAsACIATQBNAFMAXwBEAGEAaQByAHkAXwBNAGUAdABoAGEAbgBlAF8ARQBxAHUAYQB0AGkAbwBuAHMALgBWAEUARQBSAEcAXwA0AF8AMwBfADEAXwAxAF8AXwA0AF8ARgByAGEAYwB0AGkAbwBuAFYAbwBsAGEAdABpAGwAZQBTAG8AbABpAGQAcwBOAG8AdABTAG8AbABpAGQAUwB0AG8AcgBhAGcAZQBfAFQAaQB0AGwAZQAiACwAIgBNAE0AUwBfAEQAYQBpAHIAeQBfAE0AZQB0AGgAYQBuAGUAXwBFAHEAdQBhAHQAaQBvAG4AcwAuAFYARQBFAFIARwBfADQAXwAzAF8AMQBfADEAXwBfADQAXwBGAHIAYQBjAHQAaQBvAG4AVgBvAGwAYQB0AGkAbABlAFMAbwBsAGkAZABzAE4AbwB0AFMAbwBsAGkAZABTAHQAbwByAGEAZwBlAF8AVgBhAHIAaQBhAGIAbABlACIALAAiAE0ATQBTAF8ARABhAGkAcgB5AF8ATQBlAHQAaABhAG4AZQBfAEUAcQB1AGEAdABpAG8AbgBzAC4AVgBFAEUAUgBHAF8ANABfADMAXwAxAF8AMQBfAF8ANABfAEYAcgBhAGMAdABpAG8AbgBWAG8AbABhAHQAaQBsAGUAUwBvAGwAaQBkAHMATgBvAHQAUwBvAGwAaQBkAFMAdABvAHIAYQBnAGUAXwBVAG4AaQB0ACIALAAiAE0ATQBTAF8ARABhAGkAcgB5AF8ATQBlAHQAaABhAG4AZQBfAEUAcQB1AGEAdABpAG8AbgBzAC4AVgBFAEUAUgBHAF8ANABfADMAXwAxAF8AMQBfAF8ANABfAEYAcgBhAGMAdABpAG8AbgBWAG8AbABhAHQAaQBsAGUAUwBvAGwAaQBkAHMATgBvAHQAUwBvAGwAaQBkAFMAdABvAHIAYQBnAGUAXwBTAG8AdQByAGMAZQAiACwAIgBNAE0AUwBfAEQAYQBpAHIAeQBfAE0AZQB0AGgAYQBuAGUAXwBFAHEAdQBhAHQAaQBvAG4AcwAuAFYARQBFAFIARwBfADQAXwAzAF8AMQBfADEAXwBfADQAXwBGAHIAYQBjAHQAaQBvAG4AVgBvAGwAYQB0AGkAbABlAFMAbwBsAGkAZABzAE4AbwB0AFMAbwBsAGkAZABTAHQAbwByAGEAZwBlAF8ATgBJAFIAUgBlAGYAZQByAGUAbgBjAGUAIgAsACIATQBNAFMAXwBEAGEAaQByAHkAXwBNAGUAdABoAGEAbgBlAF8ARQBxAHUAYQB0AGkAbwBuAHMALgBWAEUARQBSAEcAXwA0AF8AMwBfADEAXwAxAF8AXwA0AF8ARgByAGEAYwB0AGkAbwBuAFYAbwBsAGEAdABpAGwAZQBTAG8AbABpAGQAcwBOAG8AdABTAG8AbABpAGQAUwB0AG8AcgBhAGcAZQBfAEwAYQB0AGUAeABFAHEAdQBhAHQAaQBvAG4AIgAsACIATQBNAFMAXwBEAGEAaQByAHkAXwBNAGUAdABoAGEAbgBlAF8ARQBxAHUAYQB0AGkAbwBuAHMALgBWAEUARQBSAEcAXwA0AF8AMwBfADEAXwAxAF8AXwA0AF8ARgByAGEAYwB0AGkAbwBuAFYAbwBsAGEAdABpAGwAZQBTAG8AbABpAGQAcwBOAG8AdABTAG8AbABpAGQAUwB0AG8AcgBhAGcAZQBfAEEAcgBnAHUAbQBlAG4AdABzACIALAAiAE0ATQBTAF8ARABhAGkAcgB5AF8ATQBlAHQAaABhAG4AZQBfAEUAcQB1AGEAdABpAG8AbgBzAC4AVgBFAEUAUgBHAF8ANABfADMAXwAxAF8AMQBfAF8ANQBfAEYAcgBhAGMAdABpAG8AbgBWAG8AbABhAHQAaQBsAGUAUwBvAGwAaQBkAHMAUwBvAGwAaQBkAFMAdABvAHIAYQBnAGUAIgAsACIATQBNAFMAXwBEAGEAaQByAHkAXwBNAGUAdABoAGEAbgBlAF8ARQBxAHUAYQB0AGkAbwBuAHMALgBWAEUARQBSAEcAXwA0AF8AMwBfADEAXwAxAF8AXwA1AF8ARgByAGEAYwB0AGkAbwBuAFYAbwBsAGEAdABpAGwAZQBTAG8AbABpAGQAcwBTAG8AbABpAGQAUwB0AG8AcgBhAGcAZQBWAGEAcgBpAGEAdABpAG8AbgAiACwAIgBNAE0AUwBfAEQAYQBpAHIAeQBfAE0AZQB0AGgAYQBuAGUAXwBFAHEAdQBhAHQAaQBvAG4AcwAuAFYARQBFAFIARwBfADQAXwAzAF8AMQBfADEAXwBfADUAXwBGAHIAYQBjAHQAaQBvAG4AVgBvAGwAYQB0AGkAbABlAFMAbwBsAGkAZABzAFMAbwBsAGkAZABTAHQAbwByAGEAZwBlAF8AVABpAHQAbABlACIALAAiAE0ATQBTAF8ARABhAGkAcgB5AF8ATQBlAHQAaABhAG4AZQBfAEUAcQB1AGEAdABpAG8AbgBzAC4AVgBFAEUAUgBHAF8ANABfADMAXwAxAF8AMQBfAF8ANQBfAEYAcgBhAGMAdABpAG8AbgBWAG8AbABhAHQAaQBsAGUAUwBvAGwAaQBkAHMAUwBvAGwAaQBkAFMAdABvAHIAYQBnAGUAXwBWAGEAcgBpAGEAYgBsAGUAIgAsACIATQBNAFMAXwBEAGEAaQByAHkAXwBNAGUAdABoAGEAbgBlAF8ARQBxAHUAYQB0AGkAbwBuAHMALgBWAEUARQBSAEcAXwA0AF8AMwBfADEAXwAxAF8AXwA1AF8ARgByAGEAYwB0AGkAbwBuAFYAbwBsAGEAdABpAGwAZQBTAG8AbABpAGQAcwBTAG8AbABpAGQAUwB0AG8AcgBhAGcAZQBfAFUAbgBpAHQAIgAsACIATQBNAFMAXwBEAGEAaQByAHkAXwBNAGUAdABoAGEAbgBlAF8ARQBxAHUAYQB0AGkAbwBuAHMALgBWAEUARQBSAEcAXwA0AF8AMwBfADEAXwAxAF8AXwA1AF8ARgByAGEAYwB0AGkAbwBuAFYAbwBsAGEAdABpAGwAZQBTAG8AbABpAGQAcwBTAG8AbABpAGQAUwB0AG8AcgBhAGcAZQBfAFMAbwB1AHIAYwBlACIALAAiAE0ATQBTAF8ARABhAGkAcgB5AF8ATQBlAHQAaABhAG4AZQBfAEUAcQB1AGEAdABpAG8AbgBzAC4AVgBFAEUAUgBHAF8ANABfADMAXwAxAF8AMQBfAF8ANQBfAEYAcgBhAGMAdABpAG8AbgBWAG8AbABhAHQAaQBsAGUAUwBvAGwAaQBkAHMAUwBvAGwAaQBkAFMAdABvAHIAYQBnAGUAXwBOAEkAUgBSAGUAZgBlAHIAZQBuAGMAZQAiACwAIgBNAE0AUwBfAEQAYQBpAHIAeQBfAE0AZQB0AGgAYQBuAGUAXwBFAHEAdQBhAHQAaQBvAG4AcwAuAFYARQBFAFIARwBfADQAXwAzAF8AMQBfADEAXwBfADUAXwBGAHIAYQBjAHQAaQBvAG4AVgBvAGwAYQB0AGkAbABlAFMAbwBsAGkAZABzAFMAbwBsAGkAZABTAHQAbwByAGEAZwBlAF8ATABhAHQAZQB4AEUAcQB1AGEAdABpAG8AbgAiACwAIgBNAE0AUwBfAEQAYQBpAHIAeQBfAE0AZQB0AGgAYQBuAGUAXwBFAHEAdQBhAHQAaQBvAG4AcwAuAFYARQBFAFIARwBfADQAXwAzAF8AMQBfADEAXwBfADUAXwBGAHIAYQBjAHQAaQBvAG4AVgBvAGwAYQB0AGkAbABlAFMAbwBsAGkAZABzAFMAbwBsAGkAZABTAHQAbwByAGEAZwBlAF8ATABhAHQAZQB4AEUAcQB1AGEAdABpAG8AbgBWAGEAcgBpAGEAdABpAG8AbgAiACwAIgBNAE0AUwBfAEQAYQBpAHIAeQBfAE0AZQB0AGgAYQBuAGUAXwBFAHEAdQBhAHQAaQBvAG4AcwAuAFYARQBFAFIARwBfADQAXwAzAF8AMQBfADEAXwBfADUAXwBGAHIAYQBjAHQAaQBvAG4AVgBvAGwAYQB0AGkAbABlAFMAbwBsAGkAZABzAFMAbwBsAGkAZABTAHQAbwByAGEAZwBlAF8AQQByAGcAdQBtAGUAbgB0AHMAIgAsACIATQBNAFMAXwBEAGEAaQByAHkAXwBNAGUAdABoAGEAbgBlAF8ARQBxAHUAYQB0AGkAbwBuAHMALgBWAEUARQBSAEcAXwA0AF8AMwBfADEAXwAxAF8AXwA1AF8ARgByAGEAYwB0AGkAbwBuAFYAbwBsAGEAdABpAGwAZQBTAG8AbABpAGQAcwBTAG8AbABpAGQAUwB0AG8AcgBhAGcAZQBfAFYAYQByAGkAYQB0AGkAbwBuACIALAAiAE0ATQBTAF8ARABhAGkAcgB5AF8ATgAyAE8ARABpAHIAZQBjAHQAXwBFAHEAdQBhAHQAaQBvAG4AcwAuAFYARQBFAFIARwBfADQAXwAzAF8AMQBfADMAXwBfADEAXwBUAG8AdABhAGwAQQBuAG4AdQBhAGwARABpAHIAZQBjAHQATgBpAHQAcgBvAHUAcwBPAHgAaQBkAGUARQBtAGkAcwBzAGkAbwBuAHMARgByAG8AbQBNAE0AUwAiACwAIgBNAE0AUwBfAEQAYQBpAHIAeQBfAE4AMgBPAEQAaQByAGUAYwB0AF8ARQBxAHUAYQB0AGkAbwBuAHMALgBWAEUARQBSAEcAXwA0AF8AMwBfADEAXwAzAF8AXwAxAF8AVABvAHQAYQBsAEEAbgBuAHUAYQBsAEQAaQByAGUAYwB0AE4AaQB0AHIAbwB1AHMATwB4AGkAZABlAEUAbQBpAHMAcwBpAG8AbgBzAEYAcgBvAG0ATQBNAFMAXwBUAGkAdABsAGUAIgAsACIATQBNAFMAXwBEAGEAaQByAHkAXwBOADIATwBEAGkAcgBlAGMAdABfAEUAcQB1AGEAdABpAG8AbgBzAC4AVgBFAEUAUgBHAF8ANABfADMAXwAxAF8AMwBfAF8AMQBfAFQAbwB0AGEAbABBAG4AbgB1AGEAbABEAGkAcgBlAGMAdABOAGkAdAByAG8AdQBzAE8AeABpAGQAZQBFAG0AaQBzAHMAaQBvAG4AcwBGAHIAbwBtAE0ATQBTAF8AVgBhAHIAaQBhAGIAbABlACIALAAiAE0ATQBTAF8ARABhAGkAcgB5AF8ATgAyAE8ARABpAHIAZQBjAHQAXwBFAHEAdQBhAHQAaQBvAG4AcwAuAFYARQBFAFIARwBfADQAXwAzAF8AMQBfADMAXwBfADEAXwBUAG8AdABhAGwAQQBuAG4AdQBhAGwARABpAHIAZQBjAHQATgBpAHQAcgBvAHUAcwBPAHgAaQBkAGUARQBtAGkAcwBzAGkAbwBuAHMARgByAG8AbQBNAE0AUwBfAFUAbgBpAHQAIgAsACIATQBNAFMAXwBEAGEAaQByAHkAXwBOADIATwBEAGkAcgBlAGMAdABfAEUAcQB1AGEAdABpAG8AbgBzAC4AVgBFAEUAUgBHAF8ANABfADMAXwAxAF8AMwBfAF8AMQBfAFQAbwB0AGEAbABBAG4AbgB1AGEAbABEAGkAcgBlAGMAdABOAGkAdAByAG8AdQBzAE8AeABpAGQAZQBFAG0AaQBzAHMAaQBvAG4AcwBGAHIAbwBtAE0ATQBTAF8AUwBvAHUAcgBjAGUAIgAsACIATQBNAFMAXwBEAGEAaQByAHkAXwBOADIATwBEAGkAcgBlAGMAdABfAEUAcQB1AGEAdABpAG8AbgBzAC4AVgBFAEUAUgBHAF8ANABfADMAXwAxAF8AMwBfAF8AMQBfAFQAbwB0AGEAbABBAG4AbgB1AGEAbABEAGkAcgBlAGMAdABOAGkAdAByAG8AdQBzAE8AeABpAGQAZQBFAG0AaQBzAHMAaQBvAG4AcwBGAHIAbwBtAE0ATQBTAF8ATgBJAFIAUgBlAGYAZQByAGUAbgBjAGUAIgAsACIATQBNAFMAXwBEAGEAaQByAHkAXwBOADIATwBEAGkAcgBlAGMAdABfAEUAcQB1AGEAdABpAG8AbgBzAC4AVgBFAEUAUgBHAF8ANABfADMAXwAxAF8AMwBfAF8AMQBfAFQAbwB0AGEAbABBAG4AbgB1AGEAbABEAGkAcgBlAGMAdABOAGkAdAByAG8AdQBzAE8AeABpAGQAZQBFAG0AaQBzAHMAaQBvAG4AcwBGAHIAbwBtAE0ATQBTAF8ATABhAHQAZQB4AEUAcQB1AGEAdABpAG8AbgAiACwAIgBNAE0AUwBfAEQAYQBpAHIAeQBfAE4AMgBPAEQAaQByAGUAYwB0AF8ARQBxAHUAYQB0AGkAbwBuAHMALgBWAEUARQBSAEcAXwA0AF8AMwBfADEAXwAzAF8AXwAxAF8AVABvAHQAYQBsAEEAbgBuAHUAYQBsAEQAaQByAGUAYwB0AE4AaQB0AHIAbwB1AHMATwB4AGkAZABlAEUAbQBpAHMAcwBpAG8AbgBzAEYAcgBvAG0ATQBNAFMAXwBBAHIAZwB1AG0AZQBuAHQAcwAiACwAIgBNAE0AUwBfAEQAYQBpAHIAeQBfAE4AMgBPAEQAaQByAGUAYwB0AF8ARQBxAHUAYQB0AGkAbwBuAHMALgBWAEUARQBSAEcAXwA0AF8AMwBfADEAXwAzAF8AXwAyAF8AVABvAHQAYQBsAE4AaQB0AHIAbwBnAGUAbgBJAG4ARQBhAGMAaABNAE0AUwAiACwAIgBNAE0AUwBfAEQAYQBpAHIAeQBfAE4AMgBPAEQAaQByAGUAYwB0AF8ARQBxAHUAYQB0AGkAbwBuAHMALgBWAEUARQBSAEcAXwA0AF8AMwBfADEAXwAzAF8AXwAyAF8AVABvAHQAYQBsAE4AaQB0AHIAbwBnAGUAbgBJAG4ARQBhAGMAaABNAE0AUwBfAFQAaQB0AGwAZQAiACwAIgBNAE0AUwBfAEQAYQBpAHIAeQBfAE4AMgBPAEQAaQByAGUAYwB0AF8ARQBxAHUAYQB0AGkAbwBuAHMALgBWAEUARQBSAEcAXwA0AF8AMwBfADEAXwAzAF8AXwAyAF8AVABvAHQAYQBsAE4AaQB0AHIAbwBnAGUAbgBJAG4ARQBhAGMAaABNAE0AUwBfAFYAYQByAGkAYQBiAGwAZQAiACwAIgBNAE0AUwBfAEQAYQBpAHIAeQBfAE4AMgBPAEQAaQByAGUAYwB0AF8ARQBxAHUAYQB0AGkAbwBuAHMALgBWAEUARQBSAEcAXwA0AF8AMwBfADEAXwAzAF8AXwAyAF8AVABvAHQAYQBsAE4AaQB0AHIAbwBnAGUAbgBJAG4ARQBhAGMAaABNAE0AUwBfAFUAbgBpAHQAIgAsACIATQBNAFMAXwBEAGEAaQByAHkAXwBOADIATwBEAGkAcgBlAGMAdABfAEUAcQB1AGEAdABpAG8AbgBzAC4AVgBFAEUAUgBHAF8ANABfADMAXwAxAF8AMwBfAF8AMgBfAFQAbwB0AGEAbABOAGkAdAByAG8AZwBlAG4ASQBuAEUAYQBjAGgATQBNAFMAXwBTAG8AdQByAGMAZQAiACwAIgBNAE0AUwBfAEQAYQBpAHIAeQBfAE4AMgBPAEQAaQByAGUAYwB0AF8ARQBxAHUAYQB0AGkAbwBuAHMALgBWAEUARQBSAEcAXwA0AF8AMwBfADEAXwAzAF8AXwAyAF8AVABvAHQAYQBsAE4AaQB0AHIAbwBnAGUAbgBJAG4ARQBhAGMAaABNAE0AUwBfAE4ASQBSAFIAZQBmAGUAcgBlAG4AYwBlACIALAAiAE0ATQBTAF8ARABhAGkAcgB5AF8ATgAyAE8ARABpAHIAZQBjAHQAXwBFAHEAdQBhAHQAaQBvAG4AcwAuAFYARQBFAFIARwBfADQAXwAzAF8AMQBfADMAXwBfADIAXwBUAG8AdABhAGwATgBpAHQAcgBvAGcAZQBuAEkAbgBFAGEAYwBoAE0ATQBTAF8ATABhAHQAZQB4AEUAcQB1AGEAdABpAG8AbgAiACwAIgBNAE0AUwBfAEQAYQBpAHIAeQBfAE4AMgBPAEQAaQByAGUAYwB0AF8ARQBxAHUAYQB0AGkAbwBuAHMALgBWAEUARQBSAEcAXwA0AF8AMwBfADEAXwAzAF8AXwAyAF8AVABvAHQAYQBsAE4AaQB0AHIAbwBnAGUAbgBJAG4ARQBhAGMAaABNAE0AUwBfAEEAcgBnAHUAbQBlAG4AdABzACIALAAiAE0ATQBTAF8ARABhAGkAcgB5AF8ATgAyAE8ARABpAHIAZQBjAHQAXwBFAHEAdQBhAHQAaQBvAG4AcwAuAFYARQBFAFIARwBfADQAXwAzAF8AMQBfADMAXwBfADMAYQBfAFQAbwB0AGEAbABBAG4AbgB1AGEAbABOAGkAdAByAG8AZwBlAG4ARQB4AGMAcgBlAHQAZQBkAEcAcgBlAGEAdABlAHIAVABoAGEAbgBPAG4AZQBZAGUAYQByACIALAAiAE0ATQBTAF8ARABhAGkAcgB5AF8ATgAyAE8ARABpAHIAZQBjAHQAXwBFAHEAdQBhAHQAaQBvAG4AcwAuAFYARQBFAFIARwBfADQAXwAzAF8AMQBfADMAXwBfADMAYQBfAFQAbwB0AGEAbABBAG4AbgB1AGEAbABOAGkAdAByAG8AZwBlAG4ARQB4AGMAcgBlAHQAZQBkAEcAcgBlAGEAdABlAHIAVABoAGEAbgBPAG4AZQBZAGUAYQByAFYAYQByAGkAYQB0AGkAbwBuACIALAAiAE0ATQBTAF8ARABhAGkAcgB5AF8ATgAyAE8ARABpAHIAZQBjAHQAXwBFAHEAdQBhAHQAaQBvAG4AcwAuAFYARQBFAFIARwBfADQAXwAzAF8AMQBfADMAXwBfADMAYQBfAFQAbwB0AGEAbABBAG4AbgB1AGEAbABOAGkAdAByAG8AZwBlAG4ARQB4AGMAcgBlAHQAZQBkAEcAcgBlAGEAdABlAHIAVABoAGEAbgBPAG4AZQBZAGUAYQByAF8AVABpAHQAbABlACIALAAiAE0ATQBTAF8ARABhAGkAcgB5AF8ATgAyAE8ARABpAHIAZQBjAHQAXwBFAHEAdQBhAHQAaQBvAG4AcwAuAFYARQBFAFIARwBfADQAXwAzAF8AMQBfADMAXwBfADMAYQBfAFQAbwB0AGEAbABBAG4AbgB1AGEAbABOAGkAdAByAG8AZwBlAG4ARQB4AGMAcgBlAHQAZQBkAEcAcgBlAGEAdABlAHIAVABoAGEAbgBPAG4AZQBZAGUAYQByAF8AVgBhAHIAaQBhAGIAbABlACIALAAiAE0ATQBTAF8ARABhAGkAcgB5AF8ATgAyAE8ARABpAHIAZQBjAHQAXwBFAHEAdQBhAHQAaQBvAG4AcwAuAFYARQBFAFIARwBfADQAXwAzAF8AMQBfADMAXwBfADMAYQBfAFQAbwB0AGEAbABBAG4AbgB1AGEAbABOAGkAdAByAG8AZwBlAG4ARQB4AGMAcgBlAHQAZQBkAEcAcgBlAGEAdABlAHIAVABoAGEAbgBPAG4AZQBZAGUAYQByAF8AVQBuAGkAdAAiACwAIgBNAE0AUwBfAEQAYQBpAHIAeQBfAE4AMgBPAEQAaQByAGUAYwB0AF8ARQBxAHUAYQB0AGkAbwBuAHMALgBWAEUARQBSAEcAXwA0AF8AMwBfADEAXwAzAF8AXwAzAGEAXwBUAG8AdABhAGwAQQBuAG4AdQBhAGwATgBpAHQAcgBvAGcAZQBuAEUAeABjAHIAZQB0AGUAZABHAHIAZQBhAHQAZQByAFQAaABhAG4ATwBuAGUAWQBlAGEAcgBfAFMAbwB1AHIAYwBlACIALAAiAE0ATQBTAF8ARABhAGkAcgB5AF8ATgAyAE8ARABpAHIAZQBjAHQAXwBFAHEAdQBhAHQAaQBvAG4AcwAuAFYARQBFAFIARwBfADQAXwAzAF8AMQBfADMAXwBfADMAYQBfAFQAbwB0AGEAbABBAG4AbgB1AGEAbABOAGkAdAByAG8AZwBlAG4ARQB4AGMAcgBlAHQAZQBkAEcAcgBlAGEAdABlAHIAVABoAGEAbgBPAG4AZQBZAGUAYQByAF8ATgBJAFIAUgBlAGYAZQByAGUAbgBjAGUAIgAsACIATQBNAFMAXwBEAGEAaQByAHkAXwBOADIATwBEAGkAcgBlAGMAdABfAEUAcQB1AGEAdABpAG8AbgBzAC4AVgBFAEUAUgBHAF8ANABfADMAXwAxAF8AMwBfAF8AMwBhAF8AVABvAHQAYQBsAEEAbgBuAHUAYQBsAE4AaQB0AHIAbwBnAGUAbgBFAHgAYwByAGUAdABlAGQARwByAGUAYQB0AGUAcgBUAGgAYQBuAE8AbgBlAFkAZQBhAHIAXwBMAGEAdABlAHgARQBxAHUAYQB0AGkAbwBuACIALAAiAE0ATQBTAF8ARABhAGkAcgB5AF8ATgAyAE8ARABpAHIAZQBjAHQAXwBFAHEAdQBhAHQAaQBvAG4AcwAuAFYARQBFAFIARwBfADQAXwAzAF8AMQBfADMAXwBfADMAYQBfAFQAbwB0AGEAbABBAG4AbgB1AGEAbABOAGkAdAByAG8AZwBlAG4ARQB4AGMAcgBlAHQAZQBkAEcAcgBlAGEAdABlAHIAVABoAGEAbgBPAG4AZQBZAGUAYQByAF8ATABhAHQAZQB4AEUAcQB1AGEAdABpAG8AbgBWAGEAcgBpAGEAdABpAG8AbgAiACwAIgBNAE0AUwBfAEQAYQBpAHIAeQBfAE4AMgBPAEQAaQByAGUAYwB0AF8ARQBxAHUAYQB0AGkAbwBuAHMALgBWAEUARQBSAEcAXwA0AF8AMwBfADEAXwAzAF8AXwAzAGEAXwBUAG8AdABhAGwAQQBuAG4AdQBhAGwATgBpAHQAcgBvAGcAZQBuAEUAeABjAHIAZQB0AGUAZABHAHIAZQBhAHQAZQByAFQAaABhAG4ATwBuAGUAWQBlAGEAcgBfAEEAcgBnAHUAbQBlAG4AdABzACIALAAiAE0ATQBTAF8ARABhAGkAcgB5AF8ATgAyAE8ARABpAHIAZQBjAHQAXwBFAHEAdQBhAHQAaQBvAG4AcwAuAFYARQBFAFIARwBfADQAXwAzAF8AMQBfADMAXwBfADMAYQBfAFQAbwB0AGEAbABBAG4AbgB1AGEAbABOAGkAdAByAG8AZwBlAG4ARQB4AGMAcgBlAHQAZQBkAEcAcgBlAGEAdABlAHIAVABoAGEAbgBPAG4AZQBZAGUAYQByAF8AVgBhAHIAaQBhAHQAaQBvAG4AIgAsACIATQBNAFMAXwBEAGEAaQByAHkAXwBOADIATwBEAGkAcgBlAGMAdABfAEUAcQB1AGEAdABpAG8AbgBzAC4AVgBFAEUAUgBHAF8ANABfADMAXwAxAF8AMwBfAF8AMwBiAF8AVABvAHQAYQBsAEEAbgBuAHUAYQBsAE4AaQB0AHIAbwBnAGUAbgBFAHgAYwByAGUAdABlAGQATABlAHMAcwBUAGgAYQBuAE8AbgBlAFkAZQBhAHIAIgAsACIATQBNAFMAXwBEAGEAaQByAHkAXwBOADIATwBEAGkAcgBlAGMAdABfAEUAcQB1AGEAdABpAG8AbgBzAC4AVgBFAEUAUgBHAF8ANABfADMAXwAxAF8AMwBfAF8AMwBiAF8AVABvAHQAYQBsAEEAbgBuAHUAYQBsAE4AaQB0AHIAbwBnAGUAbgBFAHgAYwByAGUAdABlAGQATABlAHMAcwBUAGgAYQBuAE8AbgBlAFkAZQBhAHIAVgBhAHIAaQBhAHQAaQBvAG4AIgAsACIATQBNAFMAXwBEAGEAaQByAHkAXwBOADIATwBEAGkAcgBlAGMAdABfAEUAcQB1AGEAdABpAG8AbgBzAC4AVgBFAEUAUgBHAF8ANABfADMAXwAxAF8AMwBfAF8AMwBiAF8AVABvAHQAYQBsAEEAbgBuAHUAYQBsAE4AaQB0AHIAbwBnAGUAbgBFAHgAYwByAGUAdABlAGQATABlAHMAcwBUAGgAYQBuAE8AbgBlAFkAZQBhAHIAXwBUAGkAdABsAGUAIgAsACIATQBNAFMAXwBEAGEAaQByAHkAXwBOADIATwBEAGkAcgBlAGMAdABfAEUAcQB1AGEAdABpAG8AbgBzAC4AVgBFAEUAUgBHAF8ANABfADMAXwAxAF8AMwBfAF8AMwBiAF8AVABvAHQAYQBsAEEAbgBuAHUAYQBsAE4AaQB0AHIAbwBnAGUAbgBFAHgAYwByAGUAdABlAGQATABlAHMAcwBUAGgAYQBuAE8AbgBlAFkAZQBhAHIAXwBWAGEAcgBpAGEAYgBsAGUAIgAsACIATQBNAFMAXwBEAGEAaQByAHkAXwBOADIATwBEAGkAcgBlAGMAdABfAEUAcQB1AGEAdABpAG8AbgBzAC4AVgBFAEUAUgBHAF8ANABfADMAXwAxAF8AMwBfAF8AMwBiAF8AVABvAHQAYQBsAEEAbgBuAHUAYQBsAE4AaQB0AHIAbwBnAGUAbgBFAHgAYwByAGUAdABlAGQATABlAHMAcwBUAGgAYQBuAE8AbgBlAFkAZQBhAHIAXwBVAG4AaQB0ACIALAAiAE0ATQBTAF8ARABhAGkAcgB5AF8ATgAyAE8ARABpAHIAZQBjAHQAXwBFAHEAdQBhAHQAaQBvAG4AcwAuAFYARQBFAFIARwBfADQAXwAzAF8AMQBfADMAXwBfADMAYgBfAFQAbwB0AGEAbABBAG4AbgB1AGEAbABOAGkAdAByAG8AZwBlAG4ARQB4AGMAcgBlAHQAZQBkAEwAZQBzAHMAVABoAGEAbgBPAG4AZQBZAGUAYQByAF8AUwBvAHUAcgBjAGUAIgAsACIATQBNAFMAXwBEAGEAaQByAHkAXwBOADIATwBEAGkAcgBlAGMAdABfAEUAcQB1AGEAdABpAG8AbgBzAC4AVgBFAEUAUgBHAF8ANABfADMAXwAxAF8AMwBfAF8AMwBiAF8AVABvAHQAYQBsAEEAbgBuAHUAYQBsAE4AaQB0AHIAbwBnAGUAbgBFAHgAYwByAGUAdABlAGQATABlAHMAcwBUAGgAYQBuAE8AbgBlAFkAZQBhAHIAXwBOAEkAUgBSAGUAZgBlAHIAZQBuAGMAZQAiACwAIgBNAE0AUwBfAEQAYQBpAHIAeQBfAE4AMgBPAEQAaQByAGUAYwB0AF8ARQBxAHUAYQB0AGkAbwBuAHMALgBWAEUARQBSAEcAXwA0AF8AMwBfADEAXwAzAF8AXwAzAGIAXwBUAG8AdABhAGwAQQBuAG4AdQBhAGwATgBpAHQAcgBvAGcAZQBuAEUAeABjAHIAZQB0AGUAZABMAGUAcwBzAFQAaABhAG4ATwBuAGUAWQBlAGEAcgBfAEwAYQB0AGUAeABFAHEAdQBhAHQAaQBvAG4AIgAsACIATQBNAFMAXwBEAGEAaQByAHkAXwBOADIATwBEAGkAcgBlAGMAdABfAEUAcQB1AGEAdABpAG8AbgBzAC4AVgBFAEUAUgBHAF8ANABfADMAXwAxAF8AMwBfAF8AMwBiAF8AVABvAHQAYQBsAEEAbgBuAHUAYQBsAE4AaQB0AHIAbwBnAGUAbgBFAHgAYwByAGUAdABlAGQATABlAHMAcwBUAGgAYQBuAE8AbgBlAFkAZQBhAHIAXwBMAGEAdABlAHgARQBxAHUAYQB0AGkAbwBuAFYAYQByAGkAYQB0AGkAbwBuACIALAAiAE0ATQBTAF8ARABhAGkAcgB5AF8ATgAyAE8ARABpAHIAZQBjAHQAXwBFAHEAdQBhAHQAaQBvAG4AcwAuAFYARQBFAFIARwBfADQAXwAzAF8AMQBfADMAXwBfADMAYgBfAFQAbwB0AGEAbABBAG4AbgB1AGEAbABOAGkAdAByAG8AZwBlAG4ARQB4AGMAcgBlAHQAZQBkAEwAZQBzAHMAVABoAGEAbgBPAG4AZQBZAGUAYQByAF8AQQByAGcAdQBtAGUAbgB0AHMAIgAsACIATQBNAFMAXwBEAGEAaQByAHkAXwBOADIATwBEAGkAcgBlAGMAdABfAEUAcQB1AGEAdABpAG8AbgBzAC4AVgBFAEUAUgBHAF8ANABfADMAXwAxAF8AMwBfAF8AMwBiAF8AVABvAHQAYQBsAEEAbgBuAHUAYQBsAE4AaQB0AHIAbwBnAGUAbgBFAHgAYwByAGUAdABlAGQATABlAHMAcwBUAGgAYQBuAE8AbgBlAFkAZQBhAHIAXwBWAGEAcgBpAGEAdABpAG8AbgAiACwAIgBNAE0AUwBfAEQAYQBpAHIAeQBfAE4AMgBPAEQAaQByAGUAYwB0AF8ARQBxAHUAYQB0AGkAbwBuAHMALgBWAEUARQBSAEcAXwA0AF8AMwBfADEAXwAzAF8AXwA0AF8ATgBpAHQAcgBvAGcAZQBuAEUAeABjAHIAZQB0AGUAZABCAHkARABhAGkAcgB5AEMAYQB0AHQAbABlAEcAcgBlAGEAdABlAHIAVABoAGEAbgBPAG4AZQBZAGUAYQByACIALAAiAE0ATQBTAF8ARABhAGkAcgB5AF8ATgAyAE8ARABpAHIAZQBjAHQAXwBFAHEAdQBhAHQAaQBvAG4AcwAuAFYARQBFAFIARwBfADQAXwAzAF8AMQBfADMAXwBfADQAXwBOAGkAdAByAG8AZwBlAG4ARQB4AGMAcgBlAHQAZQBkAEIAeQBEAGEAaQByAHkAQwBhAHQAdABsAGUARwByAGUAYQB0AGUAcgBUAGgAYQBuAE8AbgBlAFkAZQBhAHIAXwBUAGkAdABsAGUAIgAsACIATQBNAFMAXwBEAGEAaQByAHkAXwBOADIATwBEAGkAcgBlAGMAdABfAEUAcQB1AGEAdABpAG8AbgBzAC4AVgBFAEUAUgBHAF8ANABfADMAXwAxAF8AMwBfAF8ANABfAE4AaQB0AHIAbwBnAGUAbgBFAHgAYwByAGUAdABlAGQAQgB5AEQAYQBpAHIAeQBDAGEAdAB0AGwAZQBHAHIAZQBhAHQAZQByAFQAaABhAG4ATwBuAGUAWQBlAGEAcgBfAFYAYQByAGkAYQBiAGwAZQAiACwAIgBNAE0AUwBfAEQAYQBpAHIAeQBfAE4AMgBPAEQAaQByAGUAYwB0AF8ARQBxAHUAYQB0AGkAbwBuAHMALgBWAEUARQBSAEcAXwA0AF8AMwBfADEAXwAzAF8AXwA0AF8ATgBpAHQAcgBvAGcAZQBuAEUAeABjAHIAZQB0AGUAZABCAHkARABhAGkAcgB5AEMAYQB0AHQAbABlAEcAcgBlAGEAdABlAHIAVABoAGEAbgBPAG4AZQBZAGUAYQByAF8AVQBuAGkAdAAiACwAIgBNAE0AUwBfAEQAYQBpAHIAeQBfAE4AMgBPAEQAaQByAGUAYwB0AF8ARQBxAHUAYQB0AGkAbwBuAHMALgBWAEUARQBSAEcAXwA0AF8AMwBfADEAXwAzAF8AXwA0AF8ATgBpAHQAcgBvAGcAZQBuAEUAeABjAHIAZQB0AGUAZABCAHkARABhAGkAcgB5AEMAYQB0AHQAbABlAEcAcgBlAGEAdABlAHIAVABoAGEAbgBPAG4AZQBZAGUAYQByAF8AUwBvAHUAcgBjAGUAIgAsACIATQBNAFMAXwBEAGEAaQByAHkAXwBOADIATwBEAGkAcgBlAGMAdABfAEUAcQB1AGEAdABpAG8AbgBzAC4AVgBFAEUAUgBHAF8ANABfADMAXwAxAF8AMwBfAF8ANABfAE4AaQB0AHIAbwBnAGUAbgBFAHgAYwByAGUAdABlAGQAQgB5AEQAYQBpAHIAeQBDAGEAdAB0AGwAZQBHAHIAZQBhAHQAZQByAFQAaABhAG4ATwBuAGUAWQBlAGEAcgBfAE4ASQBSAFIAZQBmAGUAcgBlAG4AYwBlACIALAAiAE0ATQBTAF8ARABhAGkAcgB5AF8ATgAyAE8ARABpAHIAZQBjAHQAXwBFAHEAdQBhAHQAaQBvAG4AcwAuAFYARQBFAFIARwBfADQAXwAzAF8AMQBfADMAXwBfADQAXwBOAGkAdAByAG8AZwBlAG4ARQB4AGMAcgBlAHQAZQBkAEIAeQBEAGEAaQByAHkAQwBhAHQAdABsAGUARwByAGUAYQB0AGUAcgBUAGgAYQBuAE8AbgBlAFkAZQBhAHIAXwBMAGEAdABlAHgARQBxAHUAYQB0AGkAbwBuACIALAAiAE0ATQBTAF8ARABhAGkAcgB5AF8ATgAyAE8ARABpAHIAZQBjAHQAXwBFAHEAdQBhAHQAaQBvAG4AcwAuAFYARQBFAFIARwBfADQAXwAzAF8AMQBfADMAXwBfADQAXwBOAGkAdAByAG8AZwBlAG4ARQB4AGMAcgBlAHQAZQBkAEIAeQBEAGEAaQByAHkAQwBhAHQAdABsAGUARwByAGUAYQB0AGUAcgBUAGgAYQBuAE8AbgBlAFkAZQBhAHIAXwBBAHIAZwB1AG0AZQBuAHQAcwAiACwAIgBNAE0AUwBfAEQAYQBpAHIAeQBfAE4AMgBPAEQAaQByAGUAYwB0AF8ARQBxAHUAYQB0AGkAbwBuAHMALgBWAEUARQBSAEcAXwA0AF8AMwBfADEAXwAzAF8AXwA1AF8AQwByAHUAZABlAFAAcgBvAHQAZQBpAG4ASQBuAHQAYQBrAGUATwBmAEQAYQBpAHIAeQBDAGEAdAB0AGwAZQAiACwAIgBNAE0AUwBfAEQAYQBpAHIAeQBfAE4AMgBPAEQAaQByAGUAYwB0AF8ARQBxAHUAYQB0AGkAbwBuAHMALgBWAEUARQBSAEcAXwA0AF8AMwBfADEAXwAzAF8AXwA1AF8AQwByAHUAZABlAFAAcgBvAHQAZQBpAG4ASQBuAHQAYQBrAGUATwBmAEQAYQBpAHIAeQBDAGEAdAB0AGwAZQBfAFQAaQB0AGwAZQAiACwAIgBNAE0AUwBfAEQAYQBpAHIAeQBfAE4AMgBPAEQAaQByAGUAYwB0AF8ARQBxAHUAYQB0AGkAbwBuAHMALgBWAEUARQBSAEcAXwA0AF8AMwBfADEAXwAzAF8AXwA1AF8AQwByAHUAZABlAFAAcgBvAHQAZQBpAG4ASQBuAHQAYQBrAGUATwBmAEQAYQBpAHIAeQBDAGEAdAB0AGwAZQBfAFYAYQByAGkAYQBiAGwAZQAiACwAIgBNAE0AUwBfAEQAYQBpAHIAeQBfAE4AMgBPAEQAaQByAGUAYwB0AF8ARQBxAHUAYQB0AGkAbwBuAHMALgBWAEUARQBSAEcAXwA0AF8AMwBfADEAXwAzAF8AXwA1AF8AQwByAHUAZABlAFAAcgBvAHQAZQBpAG4ASQBuAHQAYQBrAGUATwBmAEQAYQBpAHIAeQBDAGEAdAB0AGwAZQBfAFUAbgBpAHQAIgAsACIATQBNAFMAXwBEAGEAaQByAHkAXwBOADIATwBEAGkAcgBlAGMAdABfAEUAcQB1AGEAdABpAG8AbgBzAC4AVgBFAEUAUgBHAF8ANABfADMAXwAxAF8AMwBfAF8ANQBfAEMAcgB1AGQAZQBQAHIAbwB0AGUAaQBuAEkAbgB0AGEAawBlAE8AZgBEAGEAaQByAHkAQwBhAHQAdABsAGUAXwBTAG8AdQByAGMAZQAiACwAIgBNAE0AUwBfAEQAYQBpAHIAeQBfAE4AMgBPAEQAaQByAGUAYwB0AF8ARQBxAHUAYQB0AGkAbwBuAHMALgBWAEUARQBSAEcAXwA0AF8AMwBfADEAXwAzAF8AXwA1AF8AQwByAHUAZABlAFAAcgBvAHQAZQBpAG4ASQBuAHQAYQBrAGUATwBmAEQAYQBpAHIAeQBDAGEAdAB0AGwAZQBfAE4ASQBSAFIAZQBmAGUAcgBlAG4AYwBlACIALAAiAE0ATQBTAF8ARABhAGkAcgB5AF8ATgAyAE8ARABpAHIAZQBjAHQAXwBFAHEAdQBhAHQAaQBvAG4AcwAuAFYARQBFAFIARwBfADQAXwAzAF8AMQBfADMAXwBfADUAXwBDAHIAdQBkAGUAUAByAG8AdABlAGkAbgBJAG4AdABhAGsAZQBPAGYARABhAGkAcgB5AEMAYQB0AHQAbABlAF8ATABhAHQAZQB4AEUAcQB1AGEAdABpAG8AbgAiACwAIgBNAE0AUwBfAEQAYQBpAHIAeQBfAE4AMgBPAEQAaQByAGUAYwB0AF8ARQBxAHUAYQB0AGkAbwBuAHMALgBWAEUARQBSAEcAXwA0AF8AMwBfADEAXwAzAF8AXwA1AF8AQwByAHUAZABlAFAAcgBvAHQAZQBpAG4ASQBuAHQAYQBrAGUATwBmAEQAYQBpAHIAeQBDAGEAdAB0AGwAZQBfAEEAcgBnAHUAbQBlAG4AdABzACIALAAiAE0ATQBTAF8ARABhAGkAcgB5AF8ATgAyAE8ARABpAHIAZQBjAHQAXwBFAHEAdQBhAHQAaQBvAG4AcwAuAFYARQBFAFIARwBfADQAXwAzAF8AMQBfADMAXwBfADYAXwBOAGkAdAByAG8AZwBlAG4AUgBlAHQAYQBpAG4AZQBkAEIAeQBCAG8AZAB5ACIALAAiAE0ATQBTAF8ARABhAGkAcgB5AF8ATgAyAE8ARABpAHIAZQBjAHQAXwBFAHEAdQBhAHQAaQBvAG4AcwAuAFYARQBFAFIARwBfADQAXwAzAF8AMQBfADMAXwBfADYAXwBOAGkAdAByAG8AZwBlAG4AUgBlAHQAYQBpAG4AZQBkAEIAeQBCAG8AZAB5AF8AVABpAHQAbABlACIALAAiAE0ATQBTAF8ARABhAGkAcgB5AF8ATgAyAE8ARABpAHIAZQBjAHQAXwBFAHEAdQBhAHQAaQBvAG4AcwAuAFYARQBFAFIARwBfADQAXwAzAF8AMQBfADMAXwBfADYAXwBOAGkAdAByAG8AZwBlAG4AUgBlAHQAYQBpAG4AZQBkAEIAeQBCAG8AZAB5AF8AVgBhAHIAaQBhAGIAbABlACIALAAiAE0ATQBTAF8ARABhAGkAcgB5AF8ATgAyAE8ARABpAHIAZQBjAHQAXwBFAHEAdQBhAHQAaQBvAG4AcwAuAFYARQBFAFIARwBfADQAXwAzAF8AMQBfADMAXwBfADYAXwBOAGkAdAByAG8AZwBlAG4AUgBlAHQAYQBpAG4AZQBkAEIAeQBCAG8AZAB5AF8AVQBuAGkAdAAiACwAIgBNAE0AUwBfAEQAYQBpAHIAeQBfAE4AMgBPAEQAaQByAGUAYwB0AF8ARQBxAHUAYQB0AGkAbwBuAHMALgBWAEUARQBSAEcAXwA0AF8AMwBfADEAXwAzAF8AXwA2AF8ATgBpAHQAcgBvAGcAZQBuAFIAZQB0AGEAaQBuAGUAZABCAHkAQgBvAGQAeQBfAFMAbwB1AHIAYwBlACIALAAiAE0ATQBTAF8ARABhAGkAcgB5AF8ATgAyAE8ARABpAHIAZQBjAHQAXwBFAHEAdQBhAHQAaQBvAG4AcwAuAFYARQBFAFIARwBfADQAXwAzAF8AMQBfADMAXwBfADYAXwBOAGkAdAByAG8AZwBlAG4AUgBlAHQAYQBpAG4AZQBkAEIAeQBCAG8AZAB5AF8ATgBJAFIAUgBlAGYAZQByAGUAbgBjAGUAIgAsACIATQBNAFMAXwBEAGEAaQByAHkAXwBOADIATwBEAGkAcgBlAGMAdABfAEUAcQB1AGEAdABpAG8AbgBzAC4AVgBFAEUAUgBHAF8ANABfADMAXwAxAF8AMwBfAF8ANgBfAE4AaQB0AHIAbwBnAGUAbgBSAGUAdABhAGkAbgBlAGQAQgB5AEIAbwBkAHkAXwBMAGEAdABlAHgARQBxAHUAYQB0AGkAbwBuACIALAAiAE0ATQBTAF8ARABhAGkAcgB5AF8ATgAyAE8ARABpAHIAZQBjAHQAXwBFAHEAdQBhAHQAaQBvAG4AcwAuAFYARQBFAFIARwBfADQAXwAzAF8AMQBfADMAXwBfADYAXwBOAGkAdAByAG8AZwBlAG4AUgBlAHQAYQBpAG4AZQBkAEIAeQBCAG8AZAB5AF8AQQByAGcAdQBtAGUAbgB0AHMAIgAsACIATQBNAFMAXwBEAGEAaQByAHkAXwBOADIATwBEAGkAcgBlAGMAdABfAEUAcQB1AGEAdABpAG8AbgBzAC4AVgBFAEUAUgBHAF8ANABfADMAXwAxAF8AMwBfAF8ANwBfAEkAbgB0AGEAawBlAFIAZQBsAGEAdABpAHYAZQBUAG8ATQBhAGkAbgB0AGUAbgBhAG4AYwBlACIALAAiAE0ATQBTAF8ARABhAGkAcgB5AF8ATgAyAE8ARABpAHIAZQBjAHQAXwBFAHEAdQBhAHQAaQBvAG4AcwAuAFYARQBFAFIARwBfADQAXwAzAF8AMQBfADMAXwBfADcAXwBJAG4AdABhAGsAZQBSAGUAbABhAHQAaQB2AGUAVABvAE0AYQBpAG4AdABlAG4AYQBuAGMAZQBfAFQAaQB0AGwAZQAiACwAIgBNAE0AUwBfAEQAYQBpAHIAeQBfAE4AMgBPAEQAaQByAGUAYwB0AF8ARQBxAHUAYQB0AGkAbwBuAHMALgBWAEUARQBSAEcAXwA0AF8AMwBfADEAXwAzAF8AXwA3AF8ASQBuAHQAYQBrAGUAUgBlAGwAYQB0AGkAdgBlAFQAbwBNAGEAaQBuAHQAZQBuAGEAbgBjAGUAXwBWAGEAcgBpAGEAYgBsAGUAIgAsACIATQBNAFMAXwBEAGEAaQByAHkAXwBOADIATwBEAGkAcgBlAGMAdABfAEUAcQB1AGEAdABpAG8AbgBzAC4AVgBFAEUAUgBHAF8ANABfADMAXwAxAF8AMwBfAF8ANwBfAEkAbgB0AGEAawBlAFIAZQBsAGEAdABpAHYAZQBUAG8ATQBhAGkAbgB0AGUAbgBhAG4AYwBlAF8AVQBuAGkAdAAiACwAIgBNAE0AUwBfAEQAYQBpAHIAeQBfAE4AMgBPAEQAaQByAGUAYwB0AF8ARQBxAHUAYQB0AGkAbwBuAHMALgBWAEUARQBSAEcAXwA0AF8AMwBfADEAXwAzAF8AXwA3AF8ASQBuAHQAYQBrAGUAUgBlAGwAYQB0AGkAdgBlAFQAbwBNAGEAaQBuAHQAZQBuAGEAbgBjAGUAXwBTAG8AdQByAGMAZQAiACwAIgBNAE0AUwBfAEQAYQBpAHIAeQBfAE4AMgBPAEQAaQByAGUAYwB0AF8ARQBxAHUAYQB0AGkAbwBuAHMALgBWAEUARQBSAEcAXwA0AF8AMwBfADEAXwAzAF8AXwA3AF8ASQBuAHQAYQBrAGUAUgBlAGwAYQB0AGkAdgBlAFQAbwBNAGEAaQBuAHQAZQBuAGEAbgBjAGUAXwBOAEkAUgBSAGUAZgBlAHIAZQBuAGMAZQAiACwAIgBNAE0AUwBfAEQAYQBpAHIAeQBfAE4AMgBPAEQAaQByAGUAYwB0AF8ARQBxAHUAYQB0AGkAbwBuAHMALgBWAEUARQBSAEcAXwA0AF8AMwBfADEAXwAzAF8AXwA3AF8ASQBuAHQAYQBrAGUAUgBlAGwAYQB0AGkAdgBlAFQAbwBNAGEAaQBuAHQAZQBuAGEAbgBjAGUAXwBMAGEAdABlAHgARQBxAHUAYQB0AGkAbwBuACIALAAiAE0ATQBTAF8ARABhAGkAcgB5AF8ATgAyAE8ARABpAHIAZQBjAHQAXwBFAHEAdQBhAHQAaQBvAG4AcwAuAFYARQBFAFIARwBfADQAXwAzAF8AMQBfADMAXwBfADcAXwBJAG4AdABhAGsAZQBSAGUAbABhAHQAaQB2AGUAVABvAE0AYQBpAG4AdABlAG4AYQBuAGMAZQBfAEEAcgBnAHUAbQBlAG4AdABzACIALAAiAE0ATQBTAF8ARABhAGkAcgB5AF8ATgAyAE8ARABpAHIAZQBjAHQAXwBFAHEAdQBhAHQAaQBvAG4AcwAuAFYARQBFAFIARwBfADQAXwAzAF8AMQBfADMAXwBfADgAXwBSAGUAbABhAHQAaQB2AGUAUwBpAHoAZQAiACwAIgBNAE0AUwBfAEQAYQBpAHIAeQBfAE4AMgBPAEQAaQByAGUAYwB0AF8ARQBxAHUAYQB0AGkAbwBuAHMALgBWAEUARQBSAEcAXwA0AF8AMwBfADEAXwAzAF8AXwA4AF8AUgBlAGwAYQB0AGkAdgBlAFMAaQB6AGUAXwBUAGkAdABsAGUAIgAsACIATQBNAFMAXwBEAGEAaQByAHkAXwBOADIATwBEAGkAcgBlAGMAdABfAEUAcQB1AGEAdABpAG8AbgBzAC4AVgBFAEUAUgBHAF8ANABfADMAXwAxAF8AMwBfAF8AOABfAFIAZQBsAGEAdABpAHYAZQBTAGkAegBlAF8AVgBhAHIAaQBhAGIAbABlACIALAAiAE0ATQBTAF8ARABhAGkAcgB5AF8ATgAyAE8ARABpAHIAZQBjAHQAXwBFAHEAdQBhAHQAaQBvAG4AcwAuAFYARQBFAFIARwBfADQAXwAzAF8AMQBfADMAXwBfADgAXwBSAGUAbABhAHQAaQB2AGUAUwBpAHoAZQBfAFUAbgBpAHQAIgAsACIATQBNAFMAXwBEAGEAaQByAHkAXwBOADIATwBEAGkAcgBlAGMAdABfAEUAcQB1AGEAdABpAG8AbgBzAC4AVgBFAEUAUgBHAF8ANABfADMAXwAxAF8AMwBfAF8AOABfAFIAZQBsAGEAdABpAHYAZQBTAGkAegBlAF8AUwBvAHUAcgBjAGUAIgAsACIATQBNAFMAXwBEAGEAaQByAHkAXwBOADIATwBEAGkAcgBlAGMAdABfAEUAcQB1AGEAdABpAG8AbgBzAC4AVgBFAEUAUgBHAF8ANABfADMAXwAxAF8AMwBfAF8AOABfAFIAZQBsAGEAdABpAHYAZQBTAGkAegBlAF8ATgBJAFIAUgBlAGYAZQByAGUAbgBjAGUAIgAsACIATQBNAFMAXwBEAGEAaQByAHkAXwBOADIATwBEAGkAcgBlAGMAdABfAEUAcQB1AGEAdABpAG8AbgBzAC4AVgBFAEUAUgBHAF8ANABfADMAXwAxAF8AMwBfAF8AOABfAFIAZQBsAGEAdABpAHYAZQBTAGkAegBlAF8ATABhAHQAZQB4AEUAcQB1AGEAdABpAG8AbgAiACwAIgBNAE0AUwBfAEQAYQBpAHIAeQBfAE4AMgBPAEQAaQByAGUAYwB0AF8ARQBxAHUAYQB0AGkAbwBuAHMALgBWAEUARQBSAEcAXwA0AF8AMwBfADEAXwAzAF8AXwA4AF8AUgBlAGwAYQB0AGkAdgBlAFMAaQB6AGUAXwBBAHIAZwB1AG0AZQBuAHQAcwAiACwAIgBFAG4AdABlAHIAaQBjAE0AZQB0AGgAYQBuAGUAXwBEAGEAaQByAHkAXwBFAHEAdQBhAHQAaQBvAG4AcwAuAFYARQBFAFIARwBfADMAXwAzAF8AMQBfADEAXwBfADEAXwBUAG8AdABhAGwAQQBuAG4AdQBhAGwATQBlAHQAaABhAG4AZQBGAHIAbwBtAEUAbgB0AGUAcgBpAGMARgBlAHIAbQBlAG4AdABhAHQAaQBvAG4AIgAsACIARQBuAHQAZQByAGkAYwBNAGUAdABoAGEAbgBlAF8ARABhAGkAcgB5AF8ARQBxAHUAYQB0AGkAbwBuAHMALgBWAEUARQBSAEcAXwAzAF8AMwBfADEAXwAxAF8AXwAxAF8AVABvAHQAYQBsAEEAbgBuAHUAYQBsAE0AZQB0AGgAYQBuAGUARgByAG8AbQBFAG4AdABlAHIAaQBjAEYAZQByAG0AZQBuAHQAYQB0AGkAbwBuAF8AVABpAHQAbABlACIALAAiAEUAbgB0AGUAcgBpAGMATQBlAHQAaABhAG4AZQBfAEQAYQBpAHIAeQBfAEUAcQB1AGEAdABpAG8AbgBzAC4AVgBFAEUAUgBHAF8AMwBfADMAXwAxAF8AMQBfAF8AMQBfAFQAbwB0AGEAbABBAG4AbgB1AGEAbABNAGUAdABoAGEAbgBlAEYAcgBvAG0ARQBuAHQAZQByAGkAYwBGAGUAcgBtAGUAbgB0AGEAdABpAG8AbgBfAFYAYQByAGkAYQBiAGwAZQAiACwAIgBFAG4AdABlAHIAaQBjAE0AZQB0AGgAYQBuAGUAXwBEAGEAaQByAHkAXwBFAHEAdQBhAHQAaQBvAG4AcwAuAFYARQBFAFIARwBfADMAXwAzAF8AMQBfADEAXwBfADEAXwBUAG8AdABhAGwAQQBuAG4AdQBhAGwATQBlAHQAaABhAG4AZQBGAHIAbwBtAEUAbgB0AGUAcgBpAGMARgBlAHIAbQBlAG4AdABhAHQAaQBvAG4AXwBVAG4AaQB0ACIALAAiAEUAbgB0AGUAcgBpAGMATQBlAHQAaABhAG4AZQBfAEQAYQBpAHIAeQBfAEUAcQB1AGEAdABpAG8AbgBzAC4AVgBFAEUAUgBHAF8AMwBfADMAXwAxAF8AMQBfAF8AMQBfAFQAbwB0AGEAbABBAG4AbgB1AGEAbABNAGUAdABoAGEAbgBlAEYAcgBvAG0ARQBuAHQAZQByAGkAYwBGAGUAcgBtAGUAbgB0AGEAdABpAG8AbgBfAFMAbwB1AHIAYwBlACIALAAiAEUAbgB0AGUAcgBpAGMATQBlAHQAaABhAG4AZQBfAEQAYQBpAHIAeQBfAEUAcQB1AGEAdABpAG8AbgBzAC4AVgBFAEUAUgBHAF8AMwBfADMAXwAxAF8AMQBfAF8AMQBfAFQAbwB0AGEAbABBAG4AbgB1AGEAbABNAGUAdABoAGEAbgBlAEYAcgBvAG0ARQBuAHQAZQByAGkAYwBGAGUAcgBtAGUAbgB0AGEAdABpAG8AbgBfAE4ASQBSAFIAZQBmAGUAcgBlAG4AYwBlACIALAAiAEUAbgB0AGUAcgBpAGMATQBlAHQAaABhAG4AZQBfAEQAYQBpAHIAeQBfAEUAcQB1AGEAdABpAG8AbgBzAC4AVgBFAEUAUgBHAF8AMwBfADMAXwAxAF8AMQBfAF8AMQBfAFQAbwB0AGEAbABBAG4AbgB1AGEAbABNAGUAdABoAGEAbgBlAEYAcgBvAG0ARQBuAHQAZQByAGkAYwBGAGUAcgBtAGUAbgB0AGEAdABpAG8AbgBfAEwAYQB0AGUAeABFAHEAdQBhAHQAaQBvAG4AIgAsACIARQBuAHQAZQByAGkAYwBNAGUAdABoAGEAbgBlAF8ARABhAGkAcgB5AF8ARQBxAHUAYQB0AGkAbwBuAHMALgBWAEUARQBSAEcAXwAzAF8AMwBfADEAXwAxAF8AXwAxAF8AVABvAHQAYQBsAEEAbgBuAHUAYQBsAE0AZQB0AGgAYQBuAGUARgByAG8AbQBFAG4AdABlAHIAaQBjAEYAZQByAG0AZQBuAHQAYQB0AGkAbwBuAF8AQQByAGcAdQBtAGUAbgB0AHMAIgAsACIARQBuAHQAZQByAGkAYwBNAGUAdABoAGEAbgBlAF8ARABhAGkAcgB5AF8ARQBxAHUAYQB0AGkAbwBuAHMALgBWAEUARQBSAEcAXwAzAF8AMwBfADEAXwAxAF8AXwAyAF8ARABhAGkAbAB5AEUAbgB0AGUAcgBpAGMATQBlAHQAaABhAG4AZQBQAHIAbwBkAHUAYwB0AGkAbwBuACIALAAiAEUAbgB0AGUAcgBpAGMATQBlAHQAaABhAG4AZQBfAEQAYQBpAHIAeQBfAEUAcQB1AGEAdABpAG8AbgBzAC4AVgBFAEUAUgBHAF8AMwBfADMAXwAxAF8AMQBfAF8AMgBfAEQAYQBpAGwAeQBFAG4AdABlAHIAaQBjAE0AZQB0AGgAYQBuAGUAUAByAG8AZAB1AGMAdABpAG8AbgBfAFQAaQB0AGwAZQAiACwAIgBFAG4AdABlAHIAaQBjAE0AZQB0AGgAYQBuAGUAXwBEAGEAaQByAHkAXwBFAHEAdQBhAHQAaQBvAG4AcwAuAFYARQBFAFIARwBfADMAXwAzAF8AMQBfADEAXwBfADIAXwBEAGEAaQBsAHkARQBuAHQAZQByAGkAYwBNAGUAdABoAGEAbgBlAFAAcgBvAGQAdQBjAHQAaQBvAG4AXwBWAGEAcgBpAGEAYgBsAGUAIgAsACIARQBuAHQAZQByAGkAYwBNAGUAdABoAGEAbgBlAF8ARABhAGkAcgB5AF8ARQBxAHUAYQB0AGkAbwBuAHMALgBWAEUARQBSAEcAXwAzAF8AMwBfADEAXwAxAF8AXwAyAF8ARABhAGkAbAB5AEUAbgB0AGUAcgBpAGMATQBlAHQAaABhAG4AZQBQAHIAbwBkAHUAYwB0AGkAbwBuAF8AVQBuAGkAdAAiACwAIgBFAG4AdABlAHIAaQBjAE0AZQB0AGgAYQBuAGUAXwBEAGEAaQByAHkAXwBFAHEAdQBhAHQAaQBvAG4AcwAuAFYARQBFAFIARwBfADMAXwAzAF8AMQBfADEAXwBfADIAXwBEAGEAaQBsAHkARQBuAHQAZQByAGkAYwBNAGUAdABoAGEAbgBlAFAAcgBvAGQAdQBjAHQAaQBvAG4AXwBTAG8AdQByAGMAZQAiACwAIgBFAG4AdABlAHIAaQBjAE0AZQB0AGgAYQBuAGUAXwBEAGEAaQByAHkAXwBFAHEAdQBhAHQAaQBvAG4AcwAuAFYARQBFAFIARwBfADMAXwAzAF8AMQBfADEAXwBfADIAXwBEAGEAaQBsAHkARQBuAHQAZQByAGkAYwBNAGUAdABoAGEAbgBlAFAAcgBvAGQAdQBjAHQAaQBvAG4AXwBOAEkAUgBSAGUAZgBlAHIAZQBuAGMAZQAiACwAIgBFAG4AdABlAHIAaQBjAE0AZQB0AGgAYQBuAGUAXwBEAGEAaQByAHkAXwBFAHEAdQBhAHQAaQBvAG4AcwAuAFYARQBFAFIARwBfADMAXwAzAF8AMQBfADEAXwBfADIAXwBEAGEAaQBsAHkARQBuAHQAZQByAGkAYwBNAGUAdABoAGEAbgBlAFAAcgBvAGQAdQBjAHQAaQBvAG4AXwBMAGEAdABlAHgARQBxAHUAYQB0AGkAbwBuACIALAAiAEUAbgB0AGUAcgBpAGMATQBlAHQAaABhAG4AZQBfAEQAYQBpAHIAeQBfAEUAcQB1AGEAdABpAG8AbgBzAC4AVgBFAEUAUgBHAF8AMwBfADMAXwAxAF8AMQBfAF8AMgBfAEQAYQBpAGwAeQBFAG4AdABlAHIAaQBjAE0AZQB0AGgAYQBuAGUAUAByAG8AZAB1AGMAdABpAG8AbgBfAEEAcgBnAHUAbQBlAG4AdABzACIALAAiAEUAbgB0AGUAcgBpAGMATQBlAHQAaABhAG4AZQBfAEQAYQBpAHIAeQBfAEUAcQB1AGEAdABpAG8AbgBzAC4AVgBFAEUAUgBHAF8AMwBfADMAXwAxAF8AMQBfAF8AMwBfAEQAcgB5AE0AYQB0AHQAZQByAEYAZQBlAGQASQBuAHQAYQBrAGUAIgAsACIARQBuAHQAZQByAGkAYwBNAGUAdABoAGEAbgBlAF8ARABhAGkAcgB5AF8ARQBxAHUAYQB0AGkAbwBuAHMALgBWAEUARQBSAEcAXwAzAF8AMwBfADEAXwAxAF8AXwAzAF8ARAByAHkATQBhAHQAdABlAHIARgBlAGUAZABJAG4AdABhAGsAZQBfAFQAaQB0AGwAZQAiACwAIgBFAG4AdABlAHIAaQBjAE0AZQB0AGgAYQBuAGUAXwBEAGEAaQByAHkAXwBFAHEAdQBhAHQAaQBvAG4AcwAuAFYARQBFAFIARwBfADMAXwAzAF8AMQBfADEAXwBfADMAXwBEAHIAeQBNAGEAdAB0AGUAcgBGAGUAZQBkAEkAbgB0AGEAawBlAF8AVgBhAHIAaQBhAGIAbABlACIALAAiAEUAbgB0AGUAcgBpAGMATQBlAHQAaABhAG4AZQBfAEQAYQBpAHIAeQBfAEUAcQB1AGEAdABpAG8AbgBzAC4AVgBFAEUAUgBHAF8AMwBfADMAXwAxAF8AMQBfAF8AMwBfAEQAcgB5AE0AYQB0AHQAZQByAEYAZQBlAGQASQBuAHQAYQBrAGUAXwBVAG4AaQB0ACIALAAiAEUAbgB0AGUAcgBpAGMATQBlAHQAaABhAG4AZQBfAEQAYQBpAHIAeQBfAEUAcQB1AGEAdABpAG8AbgBzAC4AVgBFAEUAUgBHAF8AMwBfADMAXwAxAF8AMQBfAF8AMwBfAEQAcgB5AE0AYQB0AHQAZQByAEYAZQBlAGQASQBuAHQAYQBrAGUAXwBTAG8AdQByAGMAZQAiACwAIgBFAG4AdABlAHIAaQBjAE0AZQB0AGgAYQBuAGUAXwBEAGEAaQByAHkAXwBFAHEAdQBhAHQAaQBvAG4AcwAuAFYARQBFAFIARwBfADMAXwAzAF8AMQBfADEAXwBfADMAXwBEAHIAeQBNAGEAdAB0AGUAcgBGAGUAZQBkAEkAbgB0AGEAawBlAF8ATgBJAFIAUgBlAGYAZQByAGUAbgBjAGUAIgAsACIARQBuAHQAZQByAGkAYwBNAGUAdABoAGEAbgBlAF8ARABhAGkAcgB5AF8ARQBxAHUAYQB0AGkAbwBuAHMALgBWAEUARQBSAEcAXwAzAF8AMwBfADEAXwAxAF8AXwAzAF8ARAByAHkATQBhAHQAdABlAHIARgBlAGUAZABJAG4AdABhAGsAZQBfAEwAYQB0AGUAeABFAHEAdQBhAHQAaQBvAG4AIgAsACIARQBuAHQAZQByAGkAYwBNAGUAdABoAGEAbgBlAF8ARABhAGkAcgB5AF8ARQBxAHUAYQB0AGkAbwBuAHMALgBWAEUARQBSAEcAXwAzAF8AMwBfADEAXwAxAF8AXwAzAF8ARAByAHkATQBhAHQAdABlAHIARgBlAGUAZABJAG4AdABhAGsAZQBfAEEAcgBnAHUAbQBlAG4AdABzACIALAAiAEUAbgB0AGUAcgBpAGMATQBlAHQAaABhAG4AZQBfAEQAYQBpAHIAeQBfAEUAcQB1AGEAdABpAG8AbgBzAC4AVgBFAEUAUgBHAF8AMwBfADMAXwAxAF8AMQBfAF8ANABfAEEAZABkAGkAdABpAG8AbgBhAGwASQBuAHQAYQBrAGUARgBvAHIATQBpAGwAawBQAHIAbwBkAHUAYwB0AGkAbwBuACIALAAiAEUAbgB0AGUAcgBpAGMATQBlAHQAaABhAG4AZQBfAEQAYQBpAHIAeQBfAEUAcQB1AGEAdABpAG8AbgBzAC4AVgBFAEUAUgBHAF8AMwBfADMAXwAxAF8AMQBfAF8ANABfAEEAZABkAGkAdABpAG8AbgBhAGwASQBuAHQAYQBrAGUARgBvAHIATQBpAGwAawBQAHIAbwBkAHUAYwB0AGkAbwBuAF8AVABpAHQAbABlACIALAAiAEUAbgB0AGUAcgBpAGMATQBlAHQAaABhAG4AZQBfAEQAYQBpAHIAeQBfAEUAcQB1AGEAdABpAG8AbgBzAC4AVgBFAEUAUgBHAF8AMwBfADMAXwAxAF8AMQBfAF8ANABfAEEAZABkAGkAdABpAG8AbgBhAGwASQBuAHQAYQBrAGUARgBvAHIATQBpAGwAawBQAHIAbwBkAHUAYwB0AGkAbwBuAF8AVgBhAHIAaQBhAGIAbABlACIALAAiAEUAbgB0AGUAcgBpAGMATQBlAHQAaABhAG4AZQBfAEQAYQBpAHIAeQBfAEUAcQB1AGEAdABpAG8AbgBzAC4AVgBFAEUAUgBHAF8AMwBfADMAXwAxAF8AMQBfAF8ANABfAEEAZABkAGkAdABpAG8AbgBhAGwASQBuAHQAYQBrAGUARgBvAHIATQBpAGwAawBQAHIAbwBkAHUAYwB0AGkAbwBuAF8AVQBuAGkAdAAiACwAIgBFAG4AdABlAHIAaQBjAE0AZQB0AGgAYQBuAGUAXwBEAGEAaQByAHkAXwBFAHEAdQBhAHQAaQBvAG4AcwAuAFYARQBFAFIARwBfADMAXwAzAF8AMQBfADEAXwBfADQAXwBBAGQAZABpAHQAaQBvAG4AYQBsAEkAbgB0AGEAawBlAEYAbwByAE0AaQBsAGsAUAByAG8AZAB1AGMAdABpAG8AbgBfAFMAbwB1AHIAYwBlACIALAAiAEUAbgB0AGUAcgBpAGMATQBlAHQAaABhAG4AZQBfAEQAYQBpAHIAeQBfAEUAcQB1AGEAdABpAG8AbgBzAC4AVgBFAEUAUgBHAF8AMwBfADMAXwAxAF8AMQBfAF8ANABfAEEAZABkAGkAdABpAG8AbgBhAGwASQBuAHQAYQBrAGUARgBvAHIATQBpAGwAawBQAHIAbwBkAHUAYwB0AGkAbwBuAF8ATgBJAFIAUgBlAGYAZQByAGUAbgBjAGUAIgAsACIARQBuAHQAZQByAGkAYwBNAGUAdABoAGEAbgBlAF8ARABhAGkAcgB5AF8ARQBxAHUAYQB0AGkAbwBuAHMALgBWAEUARQBSAEcAXwAzAF8AMwBfADEAXwAxAF8AXwA0AF8AQQBkAGQAaQB0AGkAbwBuAGEAbABJAG4AdABhAGsAZQBGAG8AcgBNAGkAbABrAFAAcgBvAGQAdQBjAHQAaQBvAG4AXwBMAGEAdABlAHgARQBxAHUAYQB0AGkAbwBuACIALAAiAEUAbgB0AGUAcgBpAGMATQBlAHQAaABhAG4AZQBfAEQAYQBpAHIAeQBfAEUAcQB1AGEAdABpAG8AbgBzAC4AVgBFAEUAUgBHAF8AMwBfADMAXwAxAF8AMQBfAF8ANABfAEEAZABkAGkAdABpAG8AbgBhAGwASQBuAHQAYQBrAGUARgBvAHIATQBpAGwAawBQAHIAbwBkAHUAYwB0AGkAbwBuAF8AQQByAGcAdQBtAGUAbgB0AHMAIgAsACIARQBuAHQAZQByAGkAYwBNAGUAdABoAGEAbgBlAF8ARABhAGkAcgB5AF8ARQBxAHUAYQB0AGkAbwBuAHMALgBWAEUARQBSAEcAXwAzAF8AMwBfADEAXwAxAF8AXwA1AF8ATQBpAGwAawBQAHIAbwBkAHUAYwB0AGkAbwBuAEYAcgBvAG0ATQBpAGwAawBTAG8AbABpAGQAcwAiACwAIgBFAG4AdABlAHIAaQBjAE0AZQB0AGgAYQBuAGUAXwBEAGEAaQByAHkAXwBFAHEAdQBhAHQAaQBvAG4AcwAuAFYARQBFAFIARwBfADMAXwAzAF8AMQBfADEAXwBfADUAXwBNAGkAbABrAFAAcgBvAGQAdQBjAHQAaQBvAG4ARgByAG8AbQBNAGkAbABrAFMAbwBsAGkAZABzAF8AVABpAHQAbABlACIALAAiAEUAbgB0AGUAcgBpAGMATQBlAHQAaABhAG4AZQBfAEQAYQBpAHIAeQBfAEUAcQB1AGEAdABpAG8AbgBzAC4AVgBFAEUAUgBHAF8AMwBfADMAXwAxAF8AMQBfAF8ANQBfAE0AaQBsAGsAUAByAG8AZAB1AGMAdABpAG8AbgBGAHIAbwBtAE0AaQBsAGsAUwBvAGwAaQBkAHMAXwBWAGEAcgBpAGEAYgBsAGUAIgAsACIARQBuAHQAZQByAGkAYwBNAGUAdABoAGEAbgBlAF8ARABhAGkAcgB5AF8ARQBxAHUAYQB0AGkAbwBuAHMALgBWAEUARQBSAEcAXwAzAF8AMwBfADEAXwAxAF8AXwA1AF8ATQBpAGwAawBQAHIAbwBkAHUAYwB0AGkAbwBuAEYAcgBvAG0ATQBpAGwAawBTAG8AbABpAGQAcwBfAFUAbgBpAHQAIgAsACIARQBuAHQAZQByAGkAYwBNAGUAdABoAGEAbgBlAF8ARABhAGkAcgB5AF8ARQBxAHUAYQB0AGkAbwBuAHMALgBWAEUARQBSAEcAXwAzAF8AMwBfADEAXwAxAF8AXwA1AF8ATQBpAGwAawBQAHIAbwBkAHUAYwB0AGkAbwBuAEYAcgBvAG0ATQBpAGwAawBTAG8AbABpAGQAcwBfAFMAbwB1AHIAYwBlACIALAAiAEUAbgB0AGUAcgBpAGMATQBlAHQAaABhAG4AZQBfAEQAYQBpAHIAeQBfAEUAcQB1AGEAdABpAG8AbgBzAC4AVgBFAEUAUgBHAF8AMwBfADMAXwAxAF8AMQBfAF8ANQBfAE0AaQBsAGsAUAByAG8AZAB1AGMAdABpAG8AbgBGAHIAbwBtAE0AaQBsAGsAUwBvAGwAaQBkAHMAXwBOAEkAUgBSAGUAZgBlAHIAZQBuAGMAZQAiACwAIgBFAG4AdABlAHIAaQBjAE0AZQB0AGgAYQBuAGUAXwBEAGEAaQByAHkAXwBFAHEAdQBhAHQAaQBvAG4AcwAuAFYARQBFAFIARwBfADMAXwAzAF8AMQBfADEAXwBfADUAXwBNAGkAbABrAFAAcgBvAGQAdQBjAHQAaQBvAG4ARgByAG8AbQBNAGkAbABrAFMAbwBsAGkAZABzAF8ATABhAHQAZQB4AEUAcQB1AGEAdABpAG8AbgAiACwAIgBFAG4AdABlAHIAaQBjAE0AZQB0AGgAYQBuAGUAXwBEAGEAaQByAHkAXwBFAHEAdQBhAHQAaQBvAG4AcwAuAFYARQBFAFIARwBfADMAXwAzAF8AMQBfADEAXwBfADUAXwBNAGkAbABrAFAAcgBvAGQAdQBjAHQAaQBvAG4ARgByAG8AbQBNAGkAbABrAFMAbwBsAGkAZABzAF8AQQByAGcAdQBtAGUAbgB0AHMAIgAsACIARQBuAHQAZQByAGkAYwBNAGUAdABoAGEAbgBlAF8ARABhAGkAcgB5AF8ARQBxAHUAYQB0AGkAbwBuAHMALgBWAEUARQBSAEcAXwAzAF8AMwBfADEAXwAxAF8AXwA2AF8ATQBlAHQAYQBiAG8AbABpAHMAYQBiAGkAbABpAHQAeQBPAGYARABpAGUAdAAiACwAIgBFAG4AdABlAHIAaQBjAE0AZQB0AGgAYQBuAGUAXwBEAGEAaQByAHkAXwBFAHEAdQBhAHQAaQBvAG4AcwAuAFYARQBFAFIARwBfADMAXwAzAF8AMQBfADEAXwBfADYAXwBNAGUAdABhAGIAbwBsAGkAcwBhAGIAaQBsAGkAdAB5AE8AZgBEAGkAZQB0AF8AVABpAHQAbABlACIALAAiAEUAbgB0AGUAcgBpAGMATQBlAHQAaABhAG4AZQBfAEQAYQBpAHIAeQBfAEUAcQB1AGEAdABpAG8AbgBzAC4AVgBFAEUAUgBHAF8AMwBfADMAXwAxAF8AMQBfAF8ANgBfAE0AZQB0AGEAYgBvAGwAaQBzAGEAYgBpAGwAaQB0AHkATwBmAEQAaQBlAHQAXwBWAGEAcgBpAGEAYgBsAGUAIgAsACIARQBuAHQAZQByAGkAYwBNAGUAdABoAGEAbgBlAF8ARABhAGkAcgB5AF8ARQBxAHUAYQB0AGkAbwBuAHMALgBWAEUARQBSAEcAXwAzAF8AMwBfADEAXwAxAF8AXwA2AF8ATQBlAHQAYQBiAG8AbABpAHMAYQBiAGkAbABpAHQAeQBPAGYARABpAGUAdABfAFUAbgBpAHQAIgAsACIARQBuAHQAZQByAGkAYwBNAGUAdABoAGEAbgBlAF8ARABhAGkAcgB5AF8ARQBxAHUAYQB0AGkAbwBuAHMALgBWAEUARQBSAEcAXwAzAF8AMwBfADEAXwAxAF8AXwA2AF8ATQBlAHQAYQBiAG8AbABpAHMAYQBiAGkAbABpAHQAeQBPAGYARABpAGUAdABfAFMAbwB1AHIAYwBlACIALAAiAEUAbgB0AGUAcgBpAGMATQBlAHQAaABhAG4AZQBfAEQAYQBpAHIAeQBfAEUAcQB1AGEAdABpAG8AbgBzAC4AVgBFAEUAUgBHAF8AMwBfADMAXwAxAF8AMQBfAF8ANgBfAE0AZQB0AGEAYgBvAGwAaQBzAGEAYgBpAGwAaQB0AHkATwBmAEQAaQBlAHQAXwBOAEkAUgBSAGUAZgBlAHIAZQBuAGMAZQAiACwAIgBFAG4AdABlAHIAaQBjAE0AZQB0AGgAYQBuAGUAXwBEAGEAaQByAHkAXwBFAHEAdQBhAHQAaQBvAG4AcwAuAFYARQBFAFIARwBfADMAXwAzAF8AMQBfADEAXwBfADYAXwBNAGUAdABhAGIAbwBsAGkAcwBhAGIAaQBsAGkAdAB5AE8AZgBEAGkAZQB0AF8ATABhAHQAZQB4AEUAcQB1AGEAdABpAG8AbgAiACwAIgBFAG4AdABlAHIAaQBjAE0AZQB0AGgAYQBuAGUAXwBEAGEAaQByAHkAXwBFAHEAdQBhAHQAaQBvAG4AcwAuAFYARQBFAFIARwBfADMAXwAzAF8AMQBfADEAXwBfADYAXwBNAGUAdABhAGIAbwBsAGkAcwBhAGIAaQBsAGkAdAB5AE8AZgBEAGkAZQB0AF8AQQByAGcAdQBtAGUAbgB0AHMAIgAsACIASQBuAHAAdQB0AEYAdQBuAGMAdABpAG8AbgBzAF8ARABhAGkAcgB5AC4AQwBhAGwAYwB1AGwAYQB0AGUARgByAGEAYwB0AGkAbwBuAEkAbgBNAE0AUwBBAGYAdABlAHIAUwBvAGwAaQBkAFMAZQBwAGEAcgBhAHQAaQBvAG4AIgAsACIASQBuAHAAdQB0AEYAdQBuAGMAdABpAG8AbgBzAF8ARABhAGkAcgB5AC4AQwBhAGwAYwB1AGwAYQB0AGUARgByAGEAYwB0AGkAbwBuAEkAbgBTAG8AbABpAGQAUwB0AG8AcgBhAGcAZQAiACwAIgBNAE0AUwBfAEQAYQBpAHIAeQBfAEwAZQBhAGMAaABpAG4AZwBBAG4AZABSAHUAbgBvAGYAZgBfAEUAcQB1AGEAdABpAG8AbgBzAC4AVgBFAEUAUgBHAF8ANABfADMAXwAxAF8ANgBfAF8AMQBfAEEAbgBuAHUAYQBsAEUAbQBpAHMAcwBpAG8AbgBzAEYAcgBvAG0ATABlAGEAYwBoAGkAbgBnAEEAbgBkAFIAdQBuAG8AZgBmAEYAcgBvAG0ATQBNAFMAIgAsACIATQBNAFMAXwBEAGEAaQByAHkAXwBMAGUAYQBjAGgAaQBuAGcAQQBuAGQAUgB1AG4AbwBmAGYAXwBFAHEAdQBhAHQAaQBvAG4AcwAuAFYARQBFAFIARwBfADQAXwAzAF8AMQBfADYAXwBfADEAXwBBAG4AbgB1AGEAbABFAG0AaQBzAHMAaQBvAG4AcwBGAHIAbwBtAEwAZQBhAGMAaABpAG4AZwBBAG4AZABSAHUAbgBvAGYAZgBGAHIAbwBtAE0ATQBTAF8AVABpAHQAbABlACIALAAiAE0ATQBTAF8ARABhAGkAcgB5AF8ATABlAGEAYwBoAGkAbgBnAEEAbgBkAFIAdQBuAG8AZgBmAF8ARQBxAHUAYQB0AGkAbwBuAHMALgBWAEUARQBSAEcAXwA0AF8AMwBfADEAXwA2AF8AXwAxAF8AQQBuAG4AdQBhAGwARQBtAGkAcwBzAGkAbwBuAHMARgByAG8AbQBMAGUAYQBjAGgAaQBuAGcAQQBuAGQAUgB1AG4AbwBmAGYARgByAG8AbQBNAE0AUwBfAFYAYQByAGkAYQBiAGwAZQAiACwAIgBNAE0AUwBfAEQAYQBpAHIAeQBfAEwAZQBhAGMAaABpAG4AZwBBAG4AZABSAHUAbgBvAGYAZgBfAEUAcQB1AGEAdABpAG8AbgBzAC4AVgBFAEUAUgBHAF8ANABfADMAXwAxAF8ANgBfAF8AMQBfAEEAbgBuAHUAYQBsAEUAbQBpAHMAcwBpAG8AbgBzAEYAcgBvAG0ATABlAGEAYwBoAGkAbgBnAEEAbgBkAFIAdQBuAG8AZgBmAEYAcgBvAG0ATQBNAFMAXwBVAG4AaQB0ACIALAAiAE0ATQBTAF8ARABhAGkAcgB5AF8ATABlAGEAYwBoAGkAbgBnAEEAbgBkAFIAdQBuAG8AZgBmAF8ARQBxAHUAYQB0AGkAbwBuAHMALgBWAEUARQBSAEcAXwA0AF8AMwBfADEAXwA2AF8AXwAxAF8AQQBuAG4AdQBhAGwARQBtAGkAcwBzAGkAbwBuAHMARgByAG8AbQBMAGUAYQBjAGgAaQBuAGcAQQBuAGQAUgB1AG4AbwBmAGYARgByAG8AbQBNAE0AUwBfAFMAbwB1AHIAYwBlACIALAAiAE0ATQBTAF8ARABhAGkAcgB5AF8ATABlAGEAYwBoAGkAbgBnAEEAbgBkAFIAdQBuAG8AZgBmAF8ARQBxAHUAYQB0AGkAbwBuAHMALgBWAEUARQBSAEcAXwA0AF8AMwBfADEAXwA2AF8AXwAxAF8AQQBuAG4AdQBhAGwARQBtAGkAcwBzAGkAbwBuAHMARgByAG8AbQBMAGUAYQBjAGgAaQBuAGcAQQBuAGQAUgB1AG4AbwBmAGYARgByAG8AbQBNAE0AUwBfAE4ASQBSAFIAZQBmAGUAcgBlAG4AYwBlACIALAAiAE0ATQBTAF8ARABhAGkAcgB5AF8ATABlAGEAYwBoAGkAbgBnAEEAbgBkAFIAdQBuAG8AZgBmAF8ARQBxAHUAYQB0AGkAbwBuAHMALgBWAEUARQBSAEcAXwA0AF8AMwBfADEAXwA2AF8AXwAxAF8AQQBuAG4AdQBhAGwARQBtAGkAcwBzAGkAbwBuAHMARgByAG8AbQBMAGUAYQBjAGgAaQBuAGcAQQBuAGQAUgB1AG4AbwBmAGYARgByAG8AbQBNAE0AUwBfAEwAYQB0AGUAeABFAHEAdQBhAHQAaQBvAG4AIgAsACIATQBNAFMAXwBEAGEAaQByAHkAXwBMAGUAYQBjAGgAaQBuAGcAQQBuAGQAUgB1AG4AbwBmAGYAXwBFAHEAdQBhAHQAaQBvAG4AcwAuAFYARQBFAFIARwBfADQAXwAzAF8AMQBfADYAXwBfADEAXwBBAG4AbgB1AGEAbABFAG0AaQBzAHMAaQBvAG4AcwBGAHIAbwBtAEwAZQBhAGMAaABpAG4AZwBBAG4AZABSAHUAbgBvAGYAZgBGAHIAbwBtAE0ATQBTAF8AQQByAGcAdQBtAGUAbgB0AHM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UAGkAdABsAGU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WAGEAcgBpAGEAYgBsAGU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VAG4AaQB0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UwBvAHUAcgBjAGU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OAEkAUgBSAGUAZgBlAHIAZQBuAGM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EwAYQB0AGUAeABFAHEAdQBhAHQAaQBvAG4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BAHIAZwB1AG0AZQBuAHQAcwAiACwAIgBNAE0AUwBfAEQAYQBpAHIAeQBfAFMAbwBpAGwAXwBOADIATwBEAGkAcgBlAGMAdABfAEUAcQB1AGEAdABpAG8AbgBzAC4AVgBFAEUAUgBHAF8ANABfADMAXwAxAF8AOQBfAF8AMQBfAEQAaQByAGUAYwB0AE4AaQB0AHIAbwB1AHMATwB4AGkAZABlAEUAbQBpAHMAcwBpAG8AbgBzAE8AbgBQAGEAcwB0AHUAcgBlACIALAAiAE0ATQBTAF8ARABhAGkAcgB5AF8AUwBvAGkAbABfAE4AMgBPAEQAaQByAGUAYwB0AF8ARQBxAHUAYQB0AGkAbwBuAHMALgBWAEUARQBSAEcAXwA0AF8AMwBfADEAXwA5AF8AXwAxAF8ARABpAHIAZQBjAHQATgBpAHQAcgBvAHUAcwBPAHgAaQBkAGUARQBtAGkAcwBzAGkAbwBuAHMATwBuAFAAYQBzAHQAdQByAGUAXwBUAGkAdABsAGUAIgAsACIATQBNAFMAXwBEAGEAaQByAHkAXwBTAG8AaQBsAF8ATgAyAE8ARABpAHIAZQBjAHQAXwBFAHEAdQBhAHQAaQBvAG4AcwAuAFYARQBFAFIARwBfADQAXwAzAF8AMQBfADkAXwBfADEAXwBEAGkAcgBlAGMAdABOAGkAdAByAG8AdQBzAE8AeABpAGQAZQBFAG0AaQBzAHMAaQBvAG4AcwBPAG4AUABhAHMAdAB1AHIAZQBfAFYAYQByAGkAYQBiAGwAZQAiACwAIgBNAE0AUwBfAEQAYQBpAHIAeQBfAFMAbwBpAGwAXwBOADIATwBEAGkAcgBlAGMAdABfAEUAcQB1AGEAdABpAG8AbgBzAC4AVgBFAEUAUgBHAF8ANABfADMAXwAxAF8AOQBfAF8AMQBfAEQAaQByAGUAYwB0AE4AaQB0AHIAbwB1AHMATwB4AGkAZABlAEUAbQBpAHMAcwBpAG8AbgBzAE8AbgBQAGEAcwB0AHUAcgBlAF8AVQBuAGkAdAAiACwAIgBNAE0AUwBfAEQAYQBpAHIAeQBfAFMAbwBpAGwAXwBOADIATwBEAGkAcgBlAGMAdABfAEUAcQB1AGEAdABpAG8AbgBzAC4AVgBFAEUAUgBHAF8ANABfADMAXwAxAF8AOQBfAF8AMQBfAEQAaQByAGUAYwB0AE4AaQB0AHIAbwB1AHMATwB4AGkAZABlAEUAbQBpAHMAcwBpAG8AbgBzAE8AbgBQAGEAcwB0AHUAcgBlAF8AUwBvAHUAcgBjAGUAIgAsACIATQBNAFMAXwBEAGEAaQByAHkAXwBTAG8AaQBsAF8ATgAyAE8ARABpAHIAZQBjAHQAXwBFAHEAdQBhAHQAaQBvAG4AcwAuAFYARQBFAFIARwBfADQAXwAzAF8AMQBfADkAXwBfADEAXwBEAGkAcgBlAGMAdABOAGkAdAByAG8AdQBzAE8AeABpAGQAZQBFAG0AaQBzAHMAaQBvAG4AcwBPAG4AUABhAHMAdAB1AHIAZQBfAE4ASQBSAFIAZQBmAGUAcgBlAG4AYwBlACIALAAiAE0ATQBTAF8ARABhAGkAcgB5AF8AUwBvAGkAbABfAE4AMgBPAEQAaQByAGUAYwB0AF8ARQBxAHUAYQB0AGkAbwBuAHMALgBWAEUARQBSAEcAXwA0AF8AMwBfADEAXwA5AF8AXwAxAF8ARABpAHIAZQBjAHQATgBpAHQAcgBvAHUAcwBPAHgAaQBkAGUARQBtAGkAcwBzAGkAbwBuAHMATwBuAFAAYQBzAHQAdQByAGUAXwBMAGEAdABlAHgARQBxAHUAYQB0AGkAbwBuACIALAAiAE0ATQBTAF8ARABhAGkAcgB5AF8AUwBvAGkAbABfAE4AMgBPAEQAaQByAGUAYwB0AF8ARQBxAHUAYQB0AGkAbwBuAHMALgBWAEUARQBSAEcAXwA0AF8AMwBfADEAXwA5AF8AXwAxAF8ARABpAHIAZQBjAHQATgBpAHQAcgBvAHUAcwBPAHgAaQBkAGUARQBtAGkAcwBzAGkAbwBuAHMATwBuAFAAYQBzAHQAdQByAGUAXwBBAHIAZwB1AG0AZQBuAHQAcw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FQAaQB0AGwAZQ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FYAYQByAGkAYQBiAGwAZQ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FUAbgBpAHQ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TAG8AdQByAGMAZQ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E4ASQBSAFIAZQBmAGUAcgBlAG4AYw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TABhAHQAZQB4AEUAcQB1AGEAdABpAG8Abg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EEAcgBnAHUAbQBlAG4AdABzACIALAAiAE0ATQBTAF8ARABhAGkAcgB5AF8AUwBvAGkAbABfAEEAdABtAG8AcwBwAGgAZQByAGkAYwBEAGUAcABvAHMAaQB0AGkAbwBuAF8ARQBxAHUAYQB0AGkAbwBuAHMALgBWAEUARQBSAEcAXwA0AF8AMwBfADEAXwAxADAAXwBfADIAXwBNAGEAcwBzAE8AZgBOAGkAdAByAG8AZwBlAG4AVgBvAGwAYQB0AGkAbABpAHMAZQBkAE8AbgBQAGEAcwB0AHUAcgBlACIALAAiAE0ATQBTAF8ARABhAGkAcgB5AF8AUwBvAGkAbABfAEEAdABtAG8AcwBwAGgAZQByAGkAYwBEAGUAcABvAHMAaQB0AGkAbwBuAF8ARQBxAHUAYQB0AGkAbwBuAHMALgBWAEUARQBSAEcAXwA0AF8AMwBfADEAXwAxADAAXwBfADIAXwBNAGEAcwBzAE8AZgBOAGkAdAByAG8AZwBlAG4AVgBvAGwAYQB0AGkAbABpAHMAZQBkAE8AbgBQAGEAcwB0AHUAcgBlAF8AVABpAHQAbABlACIALAAiAE0ATQBTAF8ARABhAGkAcgB5AF8AUwBvAGkAbABfAEEAdABtAG8AcwBwAGgAZQByAGkAYwBEAGUAcABvAHMAaQB0AGkAbwBuAF8ARQBxAHUAYQB0AGkAbwBuAHMALgBWAEUARQBSAEcAXwA0AF8AMwBfADEAXwAxADAAXwBfADIAXwBNAGEAcwBzAE8AZgBOAGkAdAByAG8AZwBlAG4AVgBvAGwAYQB0AGkAbABpAHMAZQBkAE8AbgBQAGEAcwB0AHUAcgBlAF8AVgBhAHIAaQBhAGIAbABlACIALAAiAE0ATQBTAF8ARABhAGkAcgB5AF8AUwBvAGkAbABfAEEAdABtAG8AcwBwAGgAZQByAGkAYwBEAGUAcABvAHMAaQB0AGkAbwBuAF8ARQBxAHUAYQB0AGkAbwBuAHMALgBWAEUARQBSAEcAXwA0AF8AMwBfADEAXwAxADAAXwBfADIAXwBNAGEAcwBzAE8AZgBOAGkAdAByAG8AZwBlAG4AVgBvAGwAYQB0AGkAbABpAHMAZQBkAE8AbgBQAGEAcwB0AHUAcgBlAF8AVQBuAGkAdAAiACwAIgBNAE0AUwBfAEQAYQBpAHIAeQBfAFMAbwBpAGwAXwBBAHQAbQBvAHMAcABoAGUAcgBpAGMARABlAHAAbwBzAGkAdABpAG8AbgBfAEUAcQB1AGEAdABpAG8AbgBzAC4AVgBFAEUAUgBHAF8ANABfADMAXwAxAF8AMQAwAF8AXwAyAF8ATQBhAHMAcwBPAGYATgBpAHQAcgBvAGcAZQBuAFYAbwBsAGEAdABpAGwAaQBzAGUAZABPAG4AUABhAHMAdAB1AHIAZQBfAFMAbwB1AHIAYwBlACIALAAiAE0ATQBTAF8ARABhAGkAcgB5AF8AUwBvAGkAbABfAEEAdABtAG8AcwBwAGgAZQByAGkAYwBEAGUAcABvAHMAaQB0AGkAbwBuAF8ARQBxAHUAYQB0AGkAbwBuAHMALgBWAEUARQBSAEcAXwA0AF8AMwBfADEAXwAxADAAXwBfADIAXwBNAGEAcwBzAE8AZgBOAGkAdAByAG8AZwBlAG4AVgBvAGwAYQB0AGkAbABpAHMAZQBkAE8AbgBQAGEAcwB0AHUAcgBlAF8ATgBJAFIAUgBlAGYAZQByAGUAbgBjAGUAIgAsACIATQBNAFMAXwBEAGEAaQByAHkAXwBTAG8AaQBsAF8AQQB0AG0AbwBzAHAAaABlAHIAaQBjAEQAZQBwAG8AcwBpAHQAaQBvAG4AXwBFAHEAdQBhAHQAaQBvAG4AcwAuAFYARQBFAFIARwBfADQAXwAzAF8AMQBfADEAMABfAF8AMgBfAE0AYQBzAHMATwBmAE4AaQB0AHIAbwBnAGUAbgBWAG8AbABhAHQAaQBsAGkAcwBlAGQATwBuAFAAYQBzAHQAdQByAGUAXwBMAGEAdABlAHgARQBxAHUAYQB0AGkAbwBuACIALAAiAE0ATQBTAF8ARABhAGkAcgB5AF8AUwBvAGkAbABfAEEAdABtAG8AcwBwAGgAZQByAGkAYwBEAGUAcABvAHMAaQB0AGkAbwBuAF8ARQBxAHUAYQB0AGkAbwBuAHMALgBWAEUARQBSAEcAXwA0AF8AMwBfADEAXwAxADAAXwBfADIAXwBNAGEAcwBzAE8AZgBOAGkAdAByAG8AZwBlAG4AVgBvAGwAYQB0AGkAbABpAHMAZQBkAE8AbgBQAGEAcwB0AHUAcgBlAF8AQQByAGcAdQBtAGUAbgB0AHM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UAGkAdABsAGU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WAGEAcgBpAGEAYgBsAGU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VAG4AaQB0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UwBvAHUAcgBjAGU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OAEkAUgBSAGUAZgBlAHIAZQBuAGM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EwAYQB0AGUAeABFAHEAdQBhAHQAaQBvAG4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BAHIAZwB1AG0AZQBuAHQAcwAiACwAIgBNAE0AUwBfAEQAYQBpAHIAeQBfAFMAbwBpAGwAXwBMAGUAYQBjAGgAaQBuAGcAQQBuAGQAUgB1AG4AbwBmAGYALgBWAEUARQBSAEcAXwA0AF8AMwBfADEAXwAxADIAXwBfADIAXwBNAGEAcwBzAE8AZgBOAGkAdAByAG8AZwBlAG4ATABvAHMAdABUAG8ATABlAGEAYwBoAGkAbgBnAEEAbgBkAFIAdQBuAG8AZgBmAE8AbgBQAGEAcwB0AHUAcgBlACIALAAiAE0ATQBTAF8ARABhAGkAcgB5AF8AUwBvAGkAbABfAEwAZQBhAGMAaABpAG4AZwBBAG4AZABSAHUAbgBvAGYAZgAuAFYARQBFAFIARwBfADQAXwAzAF8AMQBfADEAMgBfAF8AMgBfAE0AYQBzAHMATwBmAE4AaQB0AHIAbwBnAGUAbgBMAG8AcwB0AFQAbwBMAGUAYQBjAGgAaQBuAGcAQQBuAGQAUgB1AG4AbwBmAGYATwBuAFAAYQBzAHQAdQByAGUAXwBUAGkAdABsAGUAIgAsACIATQBNAFMAXwBEAGEAaQByAHkAXwBTAG8AaQBsAF8ATABlAGEAYwBoAGkAbgBnAEEAbgBkAFIAdQBuAG8AZgBmAC4AVgBFAEUAUgBHAF8ANABfADMAXwAxAF8AMQAyAF8AXwAyAF8ATQBhAHMAcwBPAGYATgBpAHQAcgBvAGcAZQBuAEwAbwBzAHQAVABvAEwAZQBhAGMAaABpAG4AZwBBAG4AZABSAHUAbgBvAGYAZgBPAG4AUABhAHMAdAB1AHIAZQBfAFYAYQByAGkAYQBiAGwAZQAiACwAIgBNAE0AUwBfAEQAYQBpAHIAeQBfAFMAbwBpAGwAXwBMAGUAYQBjAGgAaQBuAGcAQQBuAGQAUgB1AG4AbwBmAGYALgBWAEUARQBSAEcAXwA0AF8AMwBfADEAXwAxADIAXwBfADIAXwBNAGEAcwBzAE8AZgBOAGkAdAByAG8AZwBlAG4ATABvAHMAdABUAG8ATABlAGEAYwBoAGkAbgBnAEEAbgBkAFIAdQBuAG8AZgBmAE8AbgBQAGEAcwB0AHUAcgBlAF8AVQBuAGkAdAAiACwAIgBNAE0AUwBfAEQAYQBpAHIAeQBfAFMAbwBpAGwAXwBMAGUAYQBjAGgAaQBuAGcAQQBuAGQAUgB1AG4AbwBmAGYALgBWAEUARQBSAEcAXwA0AF8AMwBfADEAXwAxADIAXwBfADIAXwBNAGEAcwBzAE8AZgBOAGkAdAByAG8AZwBlAG4ATABvAHMAdABUAG8ATABlAGEAYwBoAGkAbgBnAEEAbgBkAFIAdQBuAG8AZgBmAE8AbgBQAGEAcwB0AHUAcgBlAF8AUwBvAHUAcgBjAGUAIgAsACIATQBNAFMAXwBEAGEAaQByAHkAXwBTAG8AaQBsAF8ATABlAGEAYwBoAGkAbgBnAEEAbgBkAFIAdQBuAG8AZgBmAC4AVgBFAEUAUgBHAF8ANABfADMAXwAxAF8AMQAyAF8AXwAyAF8ATQBhAHMAcwBPAGYATgBpAHQAcgBvAGcAZQBuAEwAbwBzAHQAVABvAEwAZQBhAGMAaABpAG4AZwBBAG4AZABSAHUAbgBvAGYAZgBPAG4AUABhAHMAdAB1AHIAZQBfAE4ASQBSAFIAZQBmAGUAcgBlAG4AYwBlACIALAAiAE0ATQBTAF8ARABhAGkAcgB5AF8AUwBvAGkAbABfAEwAZQBhAGMAaABpAG4AZwBBAG4AZABSAHUAbgBvAGYAZgAuAFYARQBFAFIARwBfADQAXwAzAF8AMQBfADEAMgBfAF8AMgBfAE0AYQBzAHMATwBmAE4AaQB0AHIAbwBnAGUAbgBMAG8AcwB0AFQAbwBMAGUAYQBjAGgAaQBuAGcAQQBuAGQAUgB1AG4AbwBmAGYATwBuAFAAYQBzAHQAdQByAGUAXwBMAGEAdABlAHgARQBxAHUAYQB0AGkAbwBuACIALAAiAE0ATQBTAF8ARABhAGkAcgB5AF8AUwBvAGkAbABfAEwAZQBhAGMAaABpAG4AZwBBAG4AZABSAHUAbgBvAGYAZgAuAFYARQBFAFIARwBfADQAXwAzAF8AMQBfADEAMgBfAF8AMgBfAE0AYQBzAHMATwBmAE4AaQB0AHIAbwBnAGUAbgBMAG8AcwB0AFQAbwBMAGUAYQBjAGgAaQBuAGcAQQBuAGQAUgB1AG4AbwBmAGYATwBuAFAAYQBzAHQAdQByAGU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Home</vt:lpstr>
      <vt:lpstr>Results</vt:lpstr>
      <vt:lpstr>Input - Site</vt:lpstr>
      <vt:lpstr>Input - Dairy</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Constants - Dairy</vt:lpstr>
      <vt:lpstr>Constants - Common</vt:lpstr>
      <vt:lpstr>Constants - Livestock</vt:lpstr>
      <vt:lpstr>Acknowledgements</vt:lpstr>
      <vt:lpstr>Tab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2026-04-23T01:33:03Z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