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0165C50-DB74-4849-8E1C-58B36942D6EA}" xr6:coauthVersionLast="47" xr6:coauthVersionMax="47" xr10:uidLastSave="{00000000-0000-0000-0000-000000000000}"/>
  <bookViews>
    <workbookView xWindow="75" yWindow="300" windowWidth="38235" windowHeight="20505" activeTab="4" xr2:uid="{992023F3-CAB7-4E5B-A348-08D563A0EF40}"/>
  </bookViews>
  <sheets>
    <sheet name="Home" sheetId="71" r:id="rId1"/>
    <sheet name="Results" sheetId="13" r:id="rId2"/>
    <sheet name="Input - Site" sheetId="15" r:id="rId3"/>
    <sheet name="Input - Dairy" sheetId="70" r:id="rId4"/>
    <sheet name="4.3.1.1-2 Methane" sheetId="69" r:id="rId5"/>
    <sheet name="4.3.1.3-4 Direct N20" sheetId="76" r:id="rId6"/>
    <sheet name="4.3.1.5 Atmos deposition" sheetId="82" r:id="rId7"/>
    <sheet name="4.3.1.6-7 Leaching and runoff" sheetId="95" r:id="rId8"/>
    <sheet name="4.3.1.8 Manure applied to soils" sheetId="81" r:id="rId9"/>
    <sheet name="4.3.1.9 Soil direct N2O" sheetId="96" r:id="rId10"/>
    <sheet name="4.3.1.10-11 Soil Atmos Dep" sheetId="97" r:id="rId11"/>
    <sheet name="4.3.1.12-13 Soil leach runoff" sheetId="98" r:id="rId12"/>
    <sheet name="Constants - Dairy" sheetId="79" r:id="rId13"/>
    <sheet name="Constants - Common" sheetId="104" r:id="rId14"/>
    <sheet name="Constants - Livestock" sheetId="43" r:id="rId15"/>
    <sheet name="Acknowledgements" sheetId="72" r:id="rId16"/>
    <sheet name="Tab template" sheetId="74" r:id="rId1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_xlfn.LAMBDA(_xlfn.MAKEARRAY(7,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classes j=3,5","kg CH4/head/day","Calculated from 3.3.1.1 (2)";"D_j35","duration of stay on the farm for classes j=3,5","days","Input";"MPW_ENTERIC_j35","daily methane production for pre-weaned heifer and bull calves","kg CH4/head/day","Constant"}, _xlpm.r, _xlpm.c))))</definedName>
    <definedName name="EntericMethane_Dairy_Equations.VEERG_3_3_1_1__1_TotalAnnualMethaneFromEntericFermentation_LatexEquation">_xlfn.LAMBDA("E_{enteric}=((N_{j=1,2,4}\times M_{j=1,2,4}\times D_{j=1,2,4})+(N_{j=3,5}\times M_{j=3,5}\times D_{j=3,5})+(N_{j=3,5}\times MPW_{ENTERIC,j=3,5}\times D_{j=3,5}))\times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_xlfn.LAMBDA("Minson and McDonald (1987)")</definedName>
    <definedName name="EntericMethane_Dairy_Equations.VEERG_3_3_1_1__3_DryMatterFeedIntake_Source">_xlfn.LAMBDA("VEERG 2026: 3.3.1.1, Equation (3)")</definedName>
    <definedName name="EntericMethane_Dairy_Equations.VEERG_3_3_1_1__3_DryMatterFeedIntake_Title">_xlfn.LAMBDA("Feed intake based on Minson and McDonald (1987)")</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_xlfn.LAMBDA(_xlfn.MAKEARRAY(5, 4, _xlfn.LAMBDA(_xlpm.r,_xlpm.c, INDEX({"MP_j","milk production","L/head/day","Input";"NE","net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_xlfn.LAMBDA(_xlfn.MAKEARRAY(3, 4, _xlfn.LAMBDA(_xlpm.r,_xlpm.c, INDEX({"MS_j","daily production of milk solids","kg MS/head/day","Input";"FC_j","fat content in fat and protein corrected milk","per cent","XXXX";"PC_j","protein content in fat and protein corrected milk","per cent","XXXX"}, _xlpm.r, _xlpm.c))))</definedName>
    <definedName name="EntericMethane_Dairy_Equations.VEERG_3_3_1_1__5_MilkProductionFromMilkSolids_LatexEquation">_xlfn.LAMBDA("MP_j=MS_j/(0.01\times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_xlfn.LAMBDA("Minson and McDonald (1987)")</definedName>
    <definedName name="EntericMethane_Dairy_Equations.VEERG_3_3_1_1__6_MetabolisabilityOfDiet_Source">_xlfn.LAMBDA("VEERG 2026: 3.3.1.1, Equation (6)")</definedName>
    <definedName name="EntericMethane_Dairy_Equations.VEERG_3_3_1_1__6_MetabolisabilityOfDiet_Title">_xlfn.LAMBDA("Metabolisability of the diet based on Minson and McDonald (1987)")</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2, _xlfn.LAMBDA(_xlpm.r,_xlpm.c, INDEX({"MN_ATMOS","mass of N volatilised from MMS (kg N)";"EF_N2O","nitrous oxide emission factor for atmospheric deposition (kg N2O-N/kg N)";"C_N2O","factor to convert elemental mass of N2O to molecular mass";"j","production system";"ir","irrigation method";"r","rainfall region"},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2, _xlfn.LAMBDA(_xlpm.r,_xlpm.c, INDEX({"MN_jm","total nitrogen in each MMS for dairy cattle classes (kg N)";"FracGASM_m","fraction of N volatilised from MMS (fraction)"},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2, _xlfn.LAMBDA(_xlpm.r,_xlpm.c, INDEX({"MNLeach_jm","mass of N lost through leaching and runoff";"EF_leach","nitrous oxide emission factor for leaching and runoff (kg N2O-N/kg N)";"C_N2O","factor to convert elemental mass of N2O to molecular mass"},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2, _xlfn.LAMBDA(_xlpm.r,_xlpm.c, INDEX({"MN_jm4","total nitrogen in solid storage system m=4 (kg N)";"FracWET_i","fraction of N that is available for leaching and runoff from the leaching zone z and irrigation type ir (dimensionless)";"FracLEACH_MS","fraction of N that is lost through leaching and runoff (dimensionless)";"z","location in leaching zone";"j","production system";"ir","irrigation method"},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N)";"PF_scope","fraction of manure applied to soil within farm boundary"},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N)";"PF","fraction of manure applied to soil within farm boundary"},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2, _xlfn.LAMBDA(_xlpm.r,_xlpm.c, INDEX({"N_j124","number of dairy cattle in classes j=1,2,4";"M_j124m","methane production from manure of weaned dairy cattle in classes j=1,2,4 in MMS m (kg CH4/head/day)";"D_j124","duration of stay on farm for classes j=1,2,4 (days)";"N_j35","number of dairy cattle in classes j=3,5";"M_j35m","methane production from manure of weaned dairy cattle in classes j=3,5 in MMS m (kg CH4/head/day)";"D_j35","duration of stay on farm for classes j=3,5 (days)";"MPW_manure_j35","methane production from manure of pre-weaned heifer and bull calves (kg CH4/head/day)";"DPW_j35","duration of stay on farm for pre-weaned heifer and bull calves (days)"},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2, _xlfn.LAMBDA(_xlpm.r,_xlpm.c, INDEX({"VS_j","daily volatile solids production per head for dairy cattle (kg/head/day)";"FVS_jmT1","fraction of waste from each class in each management system";"MCF_im","methane conversion factor for temperature zone and MMS";"B_o","emissions potential (m3 CH4/kgVS)";"rho","density of methane (kg/m3)";"i","state"},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2, _xlfn.LAMBDA(_xlpm.r,_xlpm.c, INDEX({"I_j","dry matter feed intake (kgDM/head/day)";"DMD_j","dry matter digestibility";"A","ash content of feed intake"},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2, _xlfn.LAMBDA(_xlpm.r,_xlpm.c, INDEX({"MMS_jm","fraction of manure to each primary MMS for each class prior to solid separation";"SS_m","fraction of volatile solids separated to solid storage for each MMS"},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2, _xlfn.LAMBDA(_xlpm.r,_xlpm.c, INDEX({"MMS_jm4","fraction of volatile solids in solid storage before transfer";"MMS_jm179","fraction of volatile solids in MMS m=1,7,9 before transfer";"SS_m","fraction of volatile solids separated to solid storage for each MMS"},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2, _xlfn.LAMBDA(_xlpm.r,_xlpm.c, INDEX({"MN_jm","total nitrogen in each MMS for dairy cattle classes (kg N)";"EF_m","nitrous oxide emission factor for each MMS (kg N2O-N/kg N deposited)";"C_N2O","factor to convert elemental mass of N2O to molecular mass"},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2, _xlfn.LAMBDA(_xlpm.r,_xlpm.c, INDEX({"AE_j","total nitrogen excreted by each dairy class (kg N)";"MMS_jm","manure management system fraction for class j and system m"},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2, _xlfn.LAMBDA(_xlpm.r,_xlpm.c, INDEX({"N_j124","number of dairy cattle in classes j=1,2,4";"NE_j124","nitrogen excreted by dairy cattle greater than one year old (kg N/head/day)";"D_j124","duration of stay on farm for classes j=1,2,4 (days)"},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2, _xlfn.LAMBDA(_xlpm.r,_xlpm.c, INDEX({"N_j35","number of dairy cattle in classes j=3,5";"NE_j35","nitrogen excreted by weaned dairy cattle less than one year old (kg N/head/day)";"NPW_j35","nitrogen excreted by pre-weaned calves (kg N/head/day)";"D_j35","duration of stay on farm for weaned dairy cattle less than one year old (days)";"DPW_j35","duration of stay on farm for pre-weaned calves (days)"},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2, _xlfn.LAMBDA(_xlpm.r,_xlpm.c, INDEX({"CPI_j","crude protein intake (kg/head/day)";"NR_j","amount of nitrogen retained by the body (kg N/head/day)";"W_j","liveweight (kg)"},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2, _xlfn.LAMBDA(_xlpm.r,_xlpm.c, INDEX({"I_j","dry matter intake (kgDM/head/day)";"CP_j","crude protein content of feed intake (fraction)"},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_xlfn.LAMBDA(_xlfn.MAKEARRAY(4, 2, _xlfn.LAMBDA(_xlpm.r,_xlpm.c, INDEX({"MP_j","milk production (L/head/day)";"L_j","intake relative to maintenance";"Z_j","relative size";"LWG_j","liveweight gain (kg/day)"},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2, _xlfn.LAMBDA(_xlpm.r,_xlpm.c, INDEX({"I_j","dry matter intake (kgDM/head/day)";"W_j","liveweight (kg)";"MR_j","increase in metabolic rate when producing milk";"MI_j","additional intake required for milk production (kgDM/head/day)"},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2, _xlfn.LAMBDA(_xlpm.r,_xlpm.c, INDEX({"W_j","liveweight (kg)";"WR_j","reference weight (kg)"},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2, _xlfn.LAMBDA(_xlpm.r,_xlpm.c, INDEX({"M_vol_m14","mass of nitrogen volatilised from urine and faeces deposited on pasture (kg N)";"EF_N2O","nitrous oxide emission factor for atmospheric deposition (kg N2O-N/kg N)";"C_N2O","factor to convert elemental mass of N2O to molecular mass";"j","production system";"ir","irrigation method";"r","rainfall region"},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2, _xlfn.LAMBDA(_xlpm.r,_xlpm.c, INDEX({"MN_jm14","mass of nitrogen excreted on pasture, range and paddock for each dairy class (kg N)";"FracGASMsoil","fraction of nitrogen volatilised from urine and faeces deposited on pasture ((kg NH3-N + NOx-N)/kg N)"},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2, _xlfn.LAMBDA(_xlpm.r,_xlpm.c, INDEX({"M_leach_m14","mass of nitrogen lost to leaching and runoff from urine and faeces deposited on pasture (kg N)";"EF_leach","nitrous oxide emission factor for leaching and runoff (kg N2O-N/kg N)";"C_N2O","factor to convert elemental mass of N2O to molecular mass"},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2, _xlfn.LAMBDA(_xlpm.r,_xlpm.c, INDEX({"MN_jm14","mass of nitrogen excreted on pasture, range and paddock for each dairy class (kg N)";"FracWet","fraction of N available for leaching and runoff";"FracLEACH","fraction of N lost through leaching and runoff";"z","location in leaching zone";"j","production system";"ir","irrigation method"},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2, _xlfn.LAMBDA(_xlpm.r,_xlpm.c, INDEX({"MN_jm14","mass of nitrogen excreted on pasture, range, and paddock for each dairy cattle class (kg N)";"EF_PRP","emission factor for nitrous oxide emissions for urine and dung deposited on PRP (kg N2O-N/kg N deposited)";"C_N2O","factor to convert elemental mass of N2O to molecular mass";"z","Wet or dry climate zone"},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(kg DM/head/day) (MRj)")</definedName>
    <definedName name="SourceData_Dairy.SourceData_Dairy_IncreasedMetabolicRateMilk_Unit">_xlfn.LAMBDA("kg DM/head/day")</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9" i="69" l="1" a="1"/>
  <c r="I39" i="69" s="1"/>
  <c r="G35" i="69" a="1"/>
  <c r="G35" i="69" s="1"/>
  <c r="D35" i="69" a="1"/>
  <c r="D35" i="69" s="1"/>
  <c r="G13" i="69" l="1" a="1"/>
  <c r="G13" i="69" s="1"/>
  <c r="D13" i="69" a="1"/>
  <c r="D13" i="69" s="1"/>
  <c r="G9" i="79"/>
  <c r="G8" i="79"/>
  <c r="R190" i="69"/>
  <c r="G189" i="69"/>
  <c r="H44" i="96"/>
  <c r="H14" i="98"/>
  <c r="H14" i="95"/>
  <c r="H39" i="97"/>
  <c r="G62" i="82"/>
  <c r="E30" i="15"/>
  <c r="E33" i="15"/>
  <c r="E32" i="15"/>
  <c r="E31" i="15"/>
  <c r="H45" i="98"/>
  <c r="H40" i="97"/>
  <c r="H45" i="96"/>
  <c r="G44" i="95"/>
  <c r="G63" i="82"/>
  <c r="G257" i="76"/>
  <c r="R50" i="98"/>
  <c r="G50" i="98"/>
  <c r="R48" i="97"/>
  <c r="G48" i="97"/>
  <c r="R56" i="96"/>
  <c r="G56" i="96"/>
  <c r="R55" i="95"/>
  <c r="G55" i="95"/>
  <c r="R71" i="82"/>
  <c r="G71" i="82"/>
  <c r="Q283" i="76"/>
  <c r="G283" i="76"/>
  <c r="G267" i="69"/>
  <c r="R191" i="69"/>
  <c r="G190"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H100" i="81"/>
  <c r="H97" i="81"/>
  <c r="G16" i="81"/>
  <c r="G13" i="8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H54" i="104" l="1"/>
  <c r="H52" i="104"/>
  <c r="H49" i="104"/>
  <c r="H50" i="104"/>
  <c r="H53" i="104"/>
  <c r="H48" i="104"/>
  <c r="H51" i="104"/>
  <c r="O146" i="81"/>
  <c r="D146" i="81"/>
  <c r="O145" i="81"/>
  <c r="D145" i="81"/>
  <c r="O144" i="81"/>
  <c r="D144" i="81"/>
  <c r="O143" i="81"/>
  <c r="D143" i="81"/>
  <c r="O142" i="81"/>
  <c r="D142" i="81"/>
  <c r="O141" i="81"/>
  <c r="D141" i="81"/>
  <c r="O140" i="81"/>
  <c r="D140" i="81"/>
  <c r="O139" i="81"/>
  <c r="D139" i="81"/>
  <c r="J134" i="81"/>
  <c r="I134" i="81"/>
  <c r="H134" i="81"/>
  <c r="G134" i="81"/>
  <c r="F134" i="81"/>
  <c r="D134" i="81"/>
  <c r="J133" i="81"/>
  <c r="I133" i="81"/>
  <c r="H133" i="81"/>
  <c r="G133" i="81"/>
  <c r="F133" i="81"/>
  <c r="D133" i="81"/>
  <c r="J132" i="81"/>
  <c r="I132" i="81"/>
  <c r="H132" i="81"/>
  <c r="G132" i="81"/>
  <c r="F132" i="81"/>
  <c r="D132" i="81"/>
  <c r="J131" i="81"/>
  <c r="I131" i="81"/>
  <c r="H131" i="81"/>
  <c r="G131" i="81"/>
  <c r="F131" i="81"/>
  <c r="D131" i="81"/>
  <c r="J130" i="81"/>
  <c r="I130" i="81"/>
  <c r="H130" i="81"/>
  <c r="G130" i="81"/>
  <c r="F130" i="81"/>
  <c r="D130" i="81"/>
  <c r="J129" i="81"/>
  <c r="I129" i="81"/>
  <c r="H129" i="81"/>
  <c r="G129" i="81"/>
  <c r="F129" i="81"/>
  <c r="D129" i="81"/>
  <c r="J128" i="81"/>
  <c r="I128" i="81"/>
  <c r="H128" i="81"/>
  <c r="G128" i="81"/>
  <c r="F128" i="81"/>
  <c r="D128" i="81"/>
  <c r="J127" i="81"/>
  <c r="I127" i="81"/>
  <c r="H127" i="81"/>
  <c r="G127" i="81"/>
  <c r="F127" i="81"/>
  <c r="D127" i="81"/>
  <c r="J71" i="81"/>
  <c r="I71" i="81"/>
  <c r="H71" i="81"/>
  <c r="G71" i="81"/>
  <c r="F71" i="81"/>
  <c r="J70" i="81"/>
  <c r="I70" i="81"/>
  <c r="H70" i="81"/>
  <c r="G70" i="81"/>
  <c r="F70" i="81"/>
  <c r="J69" i="81"/>
  <c r="I69" i="81"/>
  <c r="H69" i="81"/>
  <c r="G69" i="81"/>
  <c r="F69" i="81"/>
  <c r="J68" i="81"/>
  <c r="I68" i="81"/>
  <c r="H68" i="81"/>
  <c r="G68" i="81"/>
  <c r="F68" i="81"/>
  <c r="J67" i="81"/>
  <c r="I67" i="81"/>
  <c r="H67" i="81"/>
  <c r="G67" i="81"/>
  <c r="F67" i="81"/>
  <c r="J66" i="81"/>
  <c r="I66" i="81"/>
  <c r="H66" i="81"/>
  <c r="G66" i="81"/>
  <c r="F66" i="81"/>
  <c r="J65" i="81"/>
  <c r="I65" i="81"/>
  <c r="H65" i="81"/>
  <c r="G65" i="81"/>
  <c r="F65" i="81"/>
  <c r="J64" i="81"/>
  <c r="I64" i="81"/>
  <c r="H64" i="81"/>
  <c r="G64" i="81"/>
  <c r="F64" i="81"/>
  <c r="R188" i="69" l="1"/>
  <c r="R187" i="69"/>
  <c r="R186" i="69"/>
  <c r="O186" i="69" a="1"/>
  <c r="O186" i="69" s="1"/>
  <c r="A24" i="43"/>
  <c r="A23" i="43"/>
  <c r="A22" i="43"/>
  <c r="A21" i="43"/>
  <c r="A18" i="43"/>
  <c r="A17" i="43"/>
  <c r="A16" i="43"/>
  <c r="A15" i="43"/>
  <c r="A14" i="43"/>
  <c r="A13" i="43"/>
  <c r="A12" i="43"/>
  <c r="A11" i="43"/>
  <c r="A8" i="43"/>
  <c r="A7" i="43"/>
  <c r="A4" i="43"/>
  <c r="A3" i="43"/>
  <c r="A24" i="79"/>
  <c r="A23" i="79"/>
  <c r="A22" i="79"/>
  <c r="A21" i="79"/>
  <c r="A18" i="79"/>
  <c r="A17" i="79"/>
  <c r="A16" i="79"/>
  <c r="A15" i="79"/>
  <c r="A14" i="79"/>
  <c r="A13" i="79"/>
  <c r="A12" i="79"/>
  <c r="A11" i="79"/>
  <c r="A8" i="79"/>
  <c r="A7" i="79"/>
  <c r="A4" i="79"/>
  <c r="A3" i="79"/>
  <c r="A24" i="98"/>
  <c r="A23" i="98"/>
  <c r="A22" i="98"/>
  <c r="A21" i="98"/>
  <c r="A18" i="98"/>
  <c r="A17" i="98"/>
  <c r="A16" i="98"/>
  <c r="A15" i="98"/>
  <c r="A14" i="98"/>
  <c r="A13" i="98"/>
  <c r="A12" i="98"/>
  <c r="A11" i="98"/>
  <c r="A8" i="98"/>
  <c r="A7" i="98"/>
  <c r="A4" i="98"/>
  <c r="A3" i="98"/>
  <c r="A24" i="97"/>
  <c r="A23" i="97"/>
  <c r="A22" i="97"/>
  <c r="A21" i="97"/>
  <c r="A18" i="97"/>
  <c r="A17" i="97"/>
  <c r="A16" i="97"/>
  <c r="A15" i="97"/>
  <c r="A14" i="97"/>
  <c r="A13" i="97"/>
  <c r="A12" i="97"/>
  <c r="A11" i="97"/>
  <c r="A8" i="97"/>
  <c r="A7" i="97"/>
  <c r="A4" i="97"/>
  <c r="A3" i="97"/>
  <c r="A24" i="96"/>
  <c r="A23" i="96"/>
  <c r="A22" i="96"/>
  <c r="A21" i="96"/>
  <c r="A18" i="96"/>
  <c r="A17" i="96"/>
  <c r="A16" i="96"/>
  <c r="A15" i="96"/>
  <c r="A14" i="96"/>
  <c r="A13" i="96"/>
  <c r="A12" i="96"/>
  <c r="A11" i="96"/>
  <c r="A8" i="96"/>
  <c r="A7" i="96"/>
  <c r="A4" i="96"/>
  <c r="A3" i="96"/>
  <c r="A24" i="81"/>
  <c r="A23" i="81"/>
  <c r="A22" i="81"/>
  <c r="A21" i="81"/>
  <c r="A18" i="81"/>
  <c r="A17" i="81"/>
  <c r="A16" i="81"/>
  <c r="A15" i="81"/>
  <c r="A14" i="81"/>
  <c r="A13" i="81"/>
  <c r="A12" i="81"/>
  <c r="A11" i="81"/>
  <c r="A8" i="81"/>
  <c r="A7" i="81"/>
  <c r="A4" i="81"/>
  <c r="A3" i="81"/>
  <c r="A24" i="95"/>
  <c r="A23" i="95"/>
  <c r="A22" i="95"/>
  <c r="A21" i="95"/>
  <c r="A18" i="95"/>
  <c r="A17" i="95"/>
  <c r="A16" i="95"/>
  <c r="A15" i="95"/>
  <c r="A14" i="95"/>
  <c r="A13" i="95"/>
  <c r="A12" i="95"/>
  <c r="A11" i="95"/>
  <c r="A8" i="95"/>
  <c r="A7" i="95"/>
  <c r="A4" i="95"/>
  <c r="A3" i="95"/>
  <c r="A24" i="82"/>
  <c r="A23" i="82"/>
  <c r="A22" i="82"/>
  <c r="A21" i="82"/>
  <c r="A18" i="82"/>
  <c r="A17" i="82"/>
  <c r="A16" i="82"/>
  <c r="A15" i="82"/>
  <c r="A14" i="82"/>
  <c r="A13" i="82"/>
  <c r="A12" i="82"/>
  <c r="A11" i="82"/>
  <c r="A8" i="82"/>
  <c r="A7" i="82"/>
  <c r="A4" i="82"/>
  <c r="A3" i="82"/>
  <c r="A24" i="76"/>
  <c r="A23" i="76"/>
  <c r="A22" i="76"/>
  <c r="A21" i="76"/>
  <c r="A18" i="76"/>
  <c r="A17" i="76"/>
  <c r="A16" i="76"/>
  <c r="A15" i="76"/>
  <c r="A14" i="76"/>
  <c r="A13" i="76"/>
  <c r="A12" i="76"/>
  <c r="A11" i="76"/>
  <c r="A8" i="76"/>
  <c r="A7" i="76"/>
  <c r="A4" i="76"/>
  <c r="A3" i="76"/>
  <c r="A24" i="69"/>
  <c r="A23" i="69"/>
  <c r="A22" i="69"/>
  <c r="A21" i="69"/>
  <c r="A18" i="69"/>
  <c r="A17" i="69"/>
  <c r="A16" i="69"/>
  <c r="A15" i="69"/>
  <c r="A14" i="69"/>
  <c r="A13" i="69"/>
  <c r="A12" i="69"/>
  <c r="A11" i="69"/>
  <c r="A8" i="69"/>
  <c r="A7" i="69"/>
  <c r="A4" i="69"/>
  <c r="A3" i="69"/>
  <c r="A24" i="70"/>
  <c r="A23" i="70"/>
  <c r="A22" i="70"/>
  <c r="A21" i="70"/>
  <c r="A18" i="70"/>
  <c r="A17" i="70"/>
  <c r="A16" i="70"/>
  <c r="A15" i="70"/>
  <c r="A14" i="70"/>
  <c r="A13" i="70"/>
  <c r="A12" i="70"/>
  <c r="A11" i="70"/>
  <c r="A8" i="70"/>
  <c r="A7" i="70"/>
  <c r="A4" i="70"/>
  <c r="A3" i="70"/>
  <c r="A24" i="15"/>
  <c r="A23" i="15"/>
  <c r="A22" i="15"/>
  <c r="A21" i="15"/>
  <c r="A18" i="15"/>
  <c r="A17" i="15"/>
  <c r="A16" i="15"/>
  <c r="A15" i="15"/>
  <c r="A14" i="15"/>
  <c r="A13" i="15"/>
  <c r="A12" i="15"/>
  <c r="A11" i="15"/>
  <c r="A8" i="15"/>
  <c r="A7" i="15"/>
  <c r="A4" i="15"/>
  <c r="A3" i="15"/>
  <c r="A18" i="13"/>
  <c r="A17" i="13"/>
  <c r="A21" i="13"/>
  <c r="A16" i="13"/>
  <c r="A14" i="13"/>
  <c r="A15" i="13"/>
  <c r="A13" i="13"/>
  <c r="A12" i="13"/>
  <c r="A8" i="13"/>
  <c r="A11" i="13"/>
  <c r="D214" i="69" a="1"/>
  <c r="D214" i="69" s="1"/>
  <c r="Q52" i="98" a="1"/>
  <c r="Q52" i="98" s="1"/>
  <c r="O49" i="98" a="1"/>
  <c r="O49" i="98" s="1"/>
  <c r="F52" i="98" a="1"/>
  <c r="F52" i="98" s="1"/>
  <c r="J13" i="13" s="1"/>
  <c r="D49" i="98" a="1"/>
  <c r="D49" i="98" s="1"/>
  <c r="D35" i="98" a="1"/>
  <c r="D35" i="98" s="1"/>
  <c r="D43" i="98" a="1"/>
  <c r="D43" i="98" s="1"/>
  <c r="O43" i="98" s="1"/>
  <c r="E41" i="98" a="1"/>
  <c r="E41" i="98" s="1"/>
  <c r="F47" i="98" s="1"/>
  <c r="G13" i="13" s="1"/>
  <c r="E40" i="98" a="1"/>
  <c r="E40" i="98" s="1"/>
  <c r="D36" i="98" a="1"/>
  <c r="D36" i="98" s="1"/>
  <c r="O28" i="98"/>
  <c r="D28" i="98"/>
  <c r="H18" i="98"/>
  <c r="H17" i="98"/>
  <c r="H16" i="98"/>
  <c r="H13" i="98"/>
  <c r="O23" i="98"/>
  <c r="D23" i="98"/>
  <c r="D13" i="98" a="1"/>
  <c r="D13" i="98" s="1"/>
  <c r="E11" i="98" a="1"/>
  <c r="E11" i="98" s="1"/>
  <c r="V23" i="98" s="1"/>
  <c r="E10" i="98" a="1"/>
  <c r="E10" i="98" s="1"/>
  <c r="D6" i="98" a="1"/>
  <c r="D6" i="98" s="1"/>
  <c r="D5" i="98" a="1"/>
  <c r="D5" i="98" s="1"/>
  <c r="Q50" i="97" a="1"/>
  <c r="Q50" i="97" s="1"/>
  <c r="O47" i="97" a="1"/>
  <c r="O47" i="97" s="1"/>
  <c r="F50" i="97" a="1"/>
  <c r="F50" i="97" s="1"/>
  <c r="J12" i="13" s="1"/>
  <c r="D47" i="97" a="1"/>
  <c r="D47" i="97" s="1"/>
  <c r="H42" i="97"/>
  <c r="H41" i="97"/>
  <c r="D38" i="97" a="1"/>
  <c r="D38" i="97" s="1"/>
  <c r="O38" i="97" s="1"/>
  <c r="E36" i="97" a="1"/>
  <c r="E36" i="97" s="1"/>
  <c r="F45" i="97" s="1"/>
  <c r="G12" i="13" s="1"/>
  <c r="E35" i="97" a="1"/>
  <c r="E35" i="97" s="1"/>
  <c r="D31" i="97" a="1"/>
  <c r="D31" i="97" s="1"/>
  <c r="D30" i="97" a="1"/>
  <c r="D30" i="97" s="1"/>
  <c r="O24" i="97"/>
  <c r="D24" i="97"/>
  <c r="D215" i="79" a="1"/>
  <c r="D215" i="79" s="1"/>
  <c r="H14" i="97" s="1"/>
  <c r="D214" i="79" a="1"/>
  <c r="D214" i="79" s="1"/>
  <c r="D213" i="79" a="1"/>
  <c r="D213" i="79" s="1"/>
  <c r="D212" i="79" a="1"/>
  <c r="D212" i="79" s="1"/>
  <c r="D211" i="79" a="1"/>
  <c r="D211" i="79" s="1"/>
  <c r="H13" i="97"/>
  <c r="O19" i="97"/>
  <c r="D19" i="97"/>
  <c r="D13" i="97" a="1"/>
  <c r="D13" i="97" s="1"/>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H43" i="96"/>
  <c r="G13" i="96"/>
  <c r="O31" i="96"/>
  <c r="D31" i="96"/>
  <c r="O25" i="96"/>
  <c r="D25" i="96"/>
  <c r="G14" i="96"/>
  <c r="D13" i="96" a="1"/>
  <c r="D13" i="96" s="1"/>
  <c r="E11" i="96" a="1"/>
  <c r="E11" i="96" s="1"/>
  <c r="K31" i="96" s="1"/>
  <c r="E10" i="96" a="1"/>
  <c r="E10" i="96" s="1"/>
  <c r="D6" i="96" a="1"/>
  <c r="D6" i="96" s="1"/>
  <c r="D5" i="96" a="1"/>
  <c r="D5" i="96" s="1"/>
  <c r="D43" i="96" a="1"/>
  <c r="D43" i="96" s="1"/>
  <c r="E41" i="96" a="1"/>
  <c r="E41" i="96" s="1"/>
  <c r="Q53" i="96" s="1"/>
  <c r="E40" i="96" a="1"/>
  <c r="E40" i="96" s="1"/>
  <c r="D133" i="70"/>
  <c r="D157" i="70"/>
  <c r="O113" i="81"/>
  <c r="O112" i="81"/>
  <c r="O111" i="81"/>
  <c r="O110" i="81"/>
  <c r="O109" i="81"/>
  <c r="O108" i="81"/>
  <c r="O107" i="81"/>
  <c r="O106" i="81"/>
  <c r="D113" i="81"/>
  <c r="D112" i="81"/>
  <c r="D111" i="81"/>
  <c r="D110" i="81"/>
  <c r="D109" i="81"/>
  <c r="D108" i="81"/>
  <c r="D107" i="81"/>
  <c r="D106" i="81"/>
  <c r="H101" i="81"/>
  <c r="H99" i="81"/>
  <c r="H98" i="81"/>
  <c r="D97" i="81" a="1"/>
  <c r="D97" i="81" s="1"/>
  <c r="E95" i="81" a="1"/>
  <c r="E95" i="81" s="1"/>
  <c r="E94" i="81" a="1"/>
  <c r="E94" i="81" s="1"/>
  <c r="D90" i="81" a="1"/>
  <c r="D90" i="81" s="1"/>
  <c r="D89" i="81" a="1"/>
  <c r="D89" i="81" s="1"/>
  <c r="O83" i="81"/>
  <c r="O82" i="81"/>
  <c r="O81" i="81"/>
  <c r="O80" i="81"/>
  <c r="O79" i="81"/>
  <c r="O78" i="81"/>
  <c r="O77" i="81"/>
  <c r="O76" i="81"/>
  <c r="D83" i="81"/>
  <c r="D82" i="81"/>
  <c r="D81" i="81"/>
  <c r="D80" i="81"/>
  <c r="D79" i="81"/>
  <c r="D78" i="81"/>
  <c r="D77" i="81"/>
  <c r="D76" i="81"/>
  <c r="G17" i="81"/>
  <c r="D71" i="81"/>
  <c r="D70" i="81"/>
  <c r="D69" i="81"/>
  <c r="D68" i="81"/>
  <c r="D67" i="81"/>
  <c r="D66" i="81"/>
  <c r="D65" i="81"/>
  <c r="D64" i="81"/>
  <c r="G15" i="81"/>
  <c r="G14" i="81"/>
  <c r="K69" i="81"/>
  <c r="D13" i="81" a="1"/>
  <c r="D13" i="81" s="1"/>
  <c r="E11" i="81" a="1"/>
  <c r="E11" i="81" s="1"/>
  <c r="V78" i="81" s="1"/>
  <c r="E10" i="81" a="1"/>
  <c r="E10" i="81" s="1"/>
  <c r="D6" i="81" a="1"/>
  <c r="D6" i="81" s="1"/>
  <c r="D119" i="81" s="1"/>
  <c r="D5" i="81" a="1"/>
  <c r="D5" i="81" s="1"/>
  <c r="D209" i="79" a="1"/>
  <c r="D209" i="79" s="1"/>
  <c r="H15" i="95" s="1"/>
  <c r="D208" i="79" a="1"/>
  <c r="D208" i="79" s="1"/>
  <c r="D207" i="79" a="1"/>
  <c r="D207" i="79" s="1"/>
  <c r="D206" i="79" a="1"/>
  <c r="D206" i="79" s="1"/>
  <c r="D205" i="79" a="1"/>
  <c r="D205" i="79" s="1"/>
  <c r="D202" i="79" a="1"/>
  <c r="D202" i="79" s="1"/>
  <c r="G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G42" i="95"/>
  <c r="E40" i="95" a="1"/>
  <c r="E40" i="95" s="1"/>
  <c r="K49" i="95" s="1"/>
  <c r="E39" i="95" a="1"/>
  <c r="E39" i="95" s="1"/>
  <c r="D35" i="95" a="1"/>
  <c r="D35" i="95" s="1"/>
  <c r="D42" i="95" a="1"/>
  <c r="D42" i="95" s="1"/>
  <c r="D34" i="95" a="1"/>
  <c r="D34" i="95" s="1"/>
  <c r="O30" i="95"/>
  <c r="O29" i="95"/>
  <c r="O24" i="95"/>
  <c r="O23" i="95"/>
  <c r="D30" i="95"/>
  <c r="D29" i="95"/>
  <c r="D24" i="95"/>
  <c r="D23" i="95"/>
  <c r="E91" i="81" a="1"/>
  <c r="E7" i="81" a="1"/>
  <c r="E7" i="97" a="1"/>
  <c r="E36" i="95" a="1"/>
  <c r="E7" i="96" a="1"/>
  <c r="E37" i="98" a="1"/>
  <c r="E37" i="96" a="1"/>
  <c r="E55" i="82" a="1"/>
  <c r="E7" i="98" a="1"/>
  <c r="E32" i="97" a="1"/>
  <c r="E7" i="95" a="1"/>
  <c r="F148" i="81" l="1"/>
  <c r="K142" i="81"/>
  <c r="V146" i="81"/>
  <c r="V139" i="81"/>
  <c r="K144" i="81"/>
  <c r="V141" i="81"/>
  <c r="K140" i="81"/>
  <c r="K146" i="81"/>
  <c r="K139" i="81"/>
  <c r="V145" i="81"/>
  <c r="V144" i="81"/>
  <c r="V143" i="81"/>
  <c r="K141" i="81"/>
  <c r="K143" i="81"/>
  <c r="K145" i="81"/>
  <c r="Q148" i="81"/>
  <c r="V140" i="81"/>
  <c r="V142" i="81"/>
  <c r="P43" i="98"/>
  <c r="Q47" i="98"/>
  <c r="P38" i="97"/>
  <c r="H15" i="98"/>
  <c r="K28" i="98"/>
  <c r="K111" i="81"/>
  <c r="V28" i="98"/>
  <c r="H44" i="98"/>
  <c r="F30" i="98"/>
  <c r="F26" i="97"/>
  <c r="Q45" i="97"/>
  <c r="Q30" i="98"/>
  <c r="V50" i="95"/>
  <c r="Q26" i="97"/>
  <c r="E55" i="82"/>
  <c r="E37" i="98"/>
  <c r="E32" i="97"/>
  <c r="E7" i="98"/>
  <c r="K23" i="98"/>
  <c r="V24" i="97"/>
  <c r="K51" i="96"/>
  <c r="K110" i="81"/>
  <c r="V51" i="96"/>
  <c r="K24" i="97"/>
  <c r="E7" i="97"/>
  <c r="K19" i="97"/>
  <c r="V106" i="81"/>
  <c r="V108" i="81"/>
  <c r="V31" i="96"/>
  <c r="V109" i="81"/>
  <c r="K67" i="81"/>
  <c r="V110" i="81"/>
  <c r="K65" i="81"/>
  <c r="F53" i="96"/>
  <c r="G11" i="13" s="1"/>
  <c r="K70" i="81"/>
  <c r="K66" i="81"/>
  <c r="K71" i="81"/>
  <c r="K64" i="81"/>
  <c r="E37" i="96"/>
  <c r="E7" i="96"/>
  <c r="V49" i="95"/>
  <c r="K50" i="95"/>
  <c r="Q52" i="95"/>
  <c r="F52" i="95"/>
  <c r="G10" i="13" s="1"/>
  <c r="K82" i="81"/>
  <c r="V79" i="81"/>
  <c r="V77" i="81"/>
  <c r="Q115" i="81"/>
  <c r="F85" i="81"/>
  <c r="V76" i="81"/>
  <c r="F115" i="81"/>
  <c r="K83" i="81"/>
  <c r="K81" i="81"/>
  <c r="K80" i="81"/>
  <c r="K79" i="81"/>
  <c r="K78" i="81"/>
  <c r="V83" i="81"/>
  <c r="K77" i="81"/>
  <c r="V82" i="81"/>
  <c r="K76" i="81"/>
  <c r="V81" i="81"/>
  <c r="V80" i="81"/>
  <c r="K68" i="81"/>
  <c r="K106" i="81"/>
  <c r="V112" i="81"/>
  <c r="K107" i="81"/>
  <c r="V113" i="81"/>
  <c r="K108" i="81"/>
  <c r="K109" i="81"/>
  <c r="K112" i="81"/>
  <c r="K113" i="81"/>
  <c r="V107" i="81"/>
  <c r="V111" i="81"/>
  <c r="E91" i="81"/>
  <c r="E7" i="81"/>
  <c r="E36" i="95"/>
  <c r="E7" i="95"/>
  <c r="H18" i="95" l="1"/>
  <c r="H17" i="95"/>
  <c r="G64" i="82"/>
  <c r="G65" i="82"/>
  <c r="H16" i="95"/>
  <c r="H13" i="95"/>
  <c r="D6" i="95" a="1"/>
  <c r="D6" i="95" s="1"/>
  <c r="E11" i="95" a="1"/>
  <c r="E11" i="95" s="1"/>
  <c r="E10" i="95" a="1"/>
  <c r="E10" i="95" s="1"/>
  <c r="D13" i="95" a="1"/>
  <c r="D13" i="95" s="1"/>
  <c r="D5" i="95" a="1"/>
  <c r="D5" i="95" s="1"/>
  <c r="Q73" i="82" a="1"/>
  <c r="Q73" i="82" s="1"/>
  <c r="O70" i="82" a="1"/>
  <c r="O70" i="82" s="1"/>
  <c r="F73" i="82" a="1"/>
  <c r="F73" i="82" s="1"/>
  <c r="J9" i="13" s="1"/>
  <c r="D70" i="82" a="1"/>
  <c r="D70" i="82" s="1"/>
  <c r="E59" i="82" a="1"/>
  <c r="E59" i="82" s="1"/>
  <c r="F68" i="82" s="1"/>
  <c r="G9" i="13" s="1"/>
  <c r="E58" i="82" a="1"/>
  <c r="E58" i="82" s="1"/>
  <c r="D54" i="82" a="1"/>
  <c r="D54" i="82" s="1"/>
  <c r="D61" i="82" a="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G14" i="82"/>
  <c r="G13" i="82"/>
  <c r="D26" i="82"/>
  <c r="D25" i="82"/>
  <c r="D24" i="82"/>
  <c r="D23" i="82"/>
  <c r="D22" i="82"/>
  <c r="D21" i="82"/>
  <c r="D20" i="82"/>
  <c r="D19" i="82"/>
  <c r="D6" i="82" a="1"/>
  <c r="D6" i="82" s="1"/>
  <c r="E11" i="82" a="1"/>
  <c r="E11" i="82" s="1"/>
  <c r="E10" i="82" a="1"/>
  <c r="E10" i="82" s="1"/>
  <c r="D13" i="82" a="1"/>
  <c r="D13" i="82" s="1"/>
  <c r="D5" i="82" a="1"/>
  <c r="D5" i="82" s="1"/>
  <c r="P285" i="76" a="1"/>
  <c r="P285" i="76" s="1"/>
  <c r="N282" i="76" a="1"/>
  <c r="N282" i="76" s="1"/>
  <c r="N278" i="76"/>
  <c r="N277" i="76"/>
  <c r="N276" i="76"/>
  <c r="N275" i="76"/>
  <c r="N274" i="76"/>
  <c r="N273" i="76"/>
  <c r="N272" i="76"/>
  <c r="N271" i="76"/>
  <c r="F285" i="76" a="1"/>
  <c r="F285" i="76" s="1"/>
  <c r="D282" i="76" a="1"/>
  <c r="D282" i="76" s="1"/>
  <c r="D278" i="76"/>
  <c r="D277" i="76"/>
  <c r="D276" i="76"/>
  <c r="D275" i="76"/>
  <c r="D274" i="76"/>
  <c r="D273" i="76"/>
  <c r="D272" i="76"/>
  <c r="D271" i="76"/>
  <c r="G256" i="76"/>
  <c r="G255" i="76"/>
  <c r="E253" i="76" a="1"/>
  <c r="E253" i="76" s="1"/>
  <c r="P280" i="76" s="1"/>
  <c r="E252" i="76" a="1"/>
  <c r="E252" i="76" s="1"/>
  <c r="D248" i="76" a="1"/>
  <c r="D248" i="76" s="1"/>
  <c r="D255" i="76" a="1"/>
  <c r="D255" i="76" s="1"/>
  <c r="D247" i="76" a="1"/>
  <c r="D247" i="76" s="1"/>
  <c r="N243" i="76"/>
  <c r="N242" i="76"/>
  <c r="N241" i="76"/>
  <c r="N240" i="76"/>
  <c r="N239" i="76"/>
  <c r="N238" i="76"/>
  <c r="N237" i="76"/>
  <c r="N236" i="76"/>
  <c r="D243" i="76"/>
  <c r="D242" i="76"/>
  <c r="D241" i="76"/>
  <c r="D240" i="76"/>
  <c r="D239" i="76"/>
  <c r="D238" i="76"/>
  <c r="D237" i="76"/>
  <c r="D236" i="76"/>
  <c r="N231" i="76"/>
  <c r="N230" i="76"/>
  <c r="N229" i="76"/>
  <c r="N228" i="76"/>
  <c r="N227" i="76"/>
  <c r="N226" i="76"/>
  <c r="N225" i="76"/>
  <c r="N224" i="76"/>
  <c r="G219" i="76"/>
  <c r="D231" i="76"/>
  <c r="D230" i="76"/>
  <c r="D229" i="76"/>
  <c r="D228" i="76"/>
  <c r="D227" i="76"/>
  <c r="D226" i="76"/>
  <c r="D225" i="76"/>
  <c r="D224" i="76"/>
  <c r="G218" i="76"/>
  <c r="D218" i="76" a="1"/>
  <c r="D218" i="76" s="1"/>
  <c r="E216" i="76" a="1"/>
  <c r="E216" i="76" s="1"/>
  <c r="E215" i="76" a="1"/>
  <c r="E215" i="76" s="1"/>
  <c r="D211" i="76" a="1"/>
  <c r="D211" i="76" s="1"/>
  <c r="D210" i="76" a="1"/>
  <c r="D210" i="76" s="1"/>
  <c r="G184" i="76"/>
  <c r="G186" i="76"/>
  <c r="G185" i="76"/>
  <c r="G183" i="76"/>
  <c r="G182" i="76"/>
  <c r="D175" i="76" a="1"/>
  <c r="D175" i="76" s="1"/>
  <c r="E180" i="76" a="1"/>
  <c r="E180" i="76" s="1"/>
  <c r="E179" i="76" a="1"/>
  <c r="E179" i="76" s="1"/>
  <c r="D174" i="76" a="1"/>
  <c r="D174" i="76" s="1"/>
  <c r="D182" i="76" a="1"/>
  <c r="D182" i="76" s="1"/>
  <c r="D173" i="76" a="1"/>
  <c r="D173" i="76" s="1"/>
  <c r="G154" i="76"/>
  <c r="G152" i="76"/>
  <c r="H159" i="76"/>
  <c r="G159" i="76"/>
  <c r="F159" i="76"/>
  <c r="E159" i="76"/>
  <c r="D159" i="76"/>
  <c r="H235" i="69"/>
  <c r="G235" i="69"/>
  <c r="F235" i="69"/>
  <c r="E235" i="69"/>
  <c r="D235" i="69"/>
  <c r="G153" i="76"/>
  <c r="D145" i="76" a="1"/>
  <c r="D145" i="76" s="1"/>
  <c r="D152" i="76" a="1"/>
  <c r="D152" i="76" s="1"/>
  <c r="E150" i="76" a="1"/>
  <c r="E150" i="76" s="1"/>
  <c r="S169" i="76" s="1"/>
  <c r="E149" i="76" a="1"/>
  <c r="E149" i="76" s="1"/>
  <c r="D144" i="76" a="1"/>
  <c r="D144" i="76" s="1"/>
  <c r="D143" i="76" a="1"/>
  <c r="D143" i="76" s="1"/>
  <c r="G134" i="76"/>
  <c r="G133" i="76"/>
  <c r="G132" i="76"/>
  <c r="D132" i="76" a="1"/>
  <c r="D132" i="76" s="1"/>
  <c r="E130" i="76" a="1"/>
  <c r="E130" i="76" s="1"/>
  <c r="I139" i="76" s="1"/>
  <c r="E129" i="76" a="1"/>
  <c r="E129" i="76" s="1"/>
  <c r="D124" i="76" a="1"/>
  <c r="D124" i="76" s="1"/>
  <c r="D123" i="76" a="1"/>
  <c r="D123" i="76" s="1"/>
  <c r="R114" i="76"/>
  <c r="Q114" i="76"/>
  <c r="P114" i="76"/>
  <c r="O114" i="76"/>
  <c r="N114" i="76"/>
  <c r="G109" i="76"/>
  <c r="G108" i="76"/>
  <c r="D108" i="76" a="1"/>
  <c r="D108" i="76" s="1"/>
  <c r="E106" i="76" a="1"/>
  <c r="E106" i="76" s="1"/>
  <c r="S119" i="76" s="1"/>
  <c r="E105" i="76" a="1"/>
  <c r="E105" i="76" s="1"/>
  <c r="D101" i="76" a="1"/>
  <c r="D101" i="76" s="1"/>
  <c r="D100" i="76" a="1"/>
  <c r="D100" i="76" s="1"/>
  <c r="G81" i="76"/>
  <c r="G80" i="76"/>
  <c r="G79" i="76"/>
  <c r="G78" i="76"/>
  <c r="D86" i="76"/>
  <c r="D78" i="76" a="1"/>
  <c r="D78" i="76" s="1"/>
  <c r="E76" i="76" a="1"/>
  <c r="E76" i="76" s="1"/>
  <c r="I96" i="76" s="1"/>
  <c r="E75" i="76" a="1"/>
  <c r="E75" i="76" s="1"/>
  <c r="D70" i="76" a="1"/>
  <c r="D70" i="76" s="1"/>
  <c r="D69" i="76" a="1"/>
  <c r="D69" i="76" s="1"/>
  <c r="G45" i="76"/>
  <c r="G44" i="76"/>
  <c r="G42" i="76"/>
  <c r="G43" i="76"/>
  <c r="E40" i="76" a="1"/>
  <c r="E40" i="76" s="1"/>
  <c r="S65" i="76" s="1"/>
  <c r="E39" i="76" a="1"/>
  <c r="E39" i="76" s="1"/>
  <c r="D34" i="76" a="1"/>
  <c r="D34" i="76" s="1"/>
  <c r="D42" i="76" a="1"/>
  <c r="D42" i="76" s="1"/>
  <c r="D33" i="76" a="1"/>
  <c r="D33" i="76" s="1"/>
  <c r="F14" i="76"/>
  <c r="F13" i="76"/>
  <c r="D13" i="76" a="1"/>
  <c r="D13" i="76" s="1"/>
  <c r="E11" i="76" a="1"/>
  <c r="E11" i="76" s="1"/>
  <c r="I29" i="76" s="1"/>
  <c r="E10" i="76" a="1"/>
  <c r="E10" i="76" s="1"/>
  <c r="D6" i="76" a="1"/>
  <c r="D6" i="76" s="1"/>
  <c r="D5" i="76" a="1"/>
  <c r="D5" i="76" s="1"/>
  <c r="Q269" i="69" a="1"/>
  <c r="Q269" i="69" s="1"/>
  <c r="O266" i="69" a="1"/>
  <c r="O266" i="69" s="1"/>
  <c r="O262" i="69"/>
  <c r="O261" i="69"/>
  <c r="O260" i="69"/>
  <c r="O259" i="69"/>
  <c r="O258" i="69"/>
  <c r="O257" i="69"/>
  <c r="O256" i="69"/>
  <c r="O255" i="69"/>
  <c r="O210" i="69"/>
  <c r="O209" i="69"/>
  <c r="O208" i="69"/>
  <c r="O207" i="69"/>
  <c r="O206" i="69"/>
  <c r="O205" i="69"/>
  <c r="O204" i="69"/>
  <c r="O203" i="69"/>
  <c r="F269" i="69" a="1"/>
  <c r="F269" i="69" s="1"/>
  <c r="J7" i="13" s="1"/>
  <c r="D266" i="69" a="1"/>
  <c r="D266" i="69" s="1"/>
  <c r="D262" i="69"/>
  <c r="D261" i="69"/>
  <c r="D260" i="69"/>
  <c r="D259" i="69"/>
  <c r="D258" i="69"/>
  <c r="D257" i="69"/>
  <c r="D256" i="69"/>
  <c r="D255" i="69"/>
  <c r="H230" i="69"/>
  <c r="H229" i="69"/>
  <c r="H226" i="69"/>
  <c r="H227" i="69"/>
  <c r="H223" i="69"/>
  <c r="H224" i="69"/>
  <c r="H228" i="69"/>
  <c r="H225" i="69"/>
  <c r="D223" i="69" a="1"/>
  <c r="D223" i="69" s="1"/>
  <c r="E221" i="69" a="1"/>
  <c r="E221" i="69" s="1"/>
  <c r="Q264" i="69" s="1"/>
  <c r="E220" i="69" a="1"/>
  <c r="E220" i="69" s="1"/>
  <c r="D216" i="69" a="1"/>
  <c r="D216" i="69" s="1"/>
  <c r="D215" i="69" a="1"/>
  <c r="D215" i="69" s="1"/>
  <c r="G186" i="69"/>
  <c r="D210" i="69"/>
  <c r="D209" i="69"/>
  <c r="D208" i="69"/>
  <c r="D207" i="69"/>
  <c r="D206" i="69"/>
  <c r="D205" i="69"/>
  <c r="D204" i="69"/>
  <c r="D203" i="69"/>
  <c r="G187" i="69"/>
  <c r="D195" i="79" a="1"/>
  <c r="D195" i="79" s="1"/>
  <c r="D194" i="79" a="1"/>
  <c r="D194" i="79" s="1"/>
  <c r="D193" i="79" a="1"/>
  <c r="D193" i="79" s="1"/>
  <c r="D192" i="79" a="1"/>
  <c r="D192" i="79" s="1"/>
  <c r="D191" i="79" a="1"/>
  <c r="D191" i="79" s="1"/>
  <c r="G185" i="69"/>
  <c r="E182" i="69" a="1"/>
  <c r="E182" i="69" s="1"/>
  <c r="D178" i="69" a="1"/>
  <c r="D178" i="69" s="1"/>
  <c r="E183" i="69" a="1"/>
  <c r="E183" i="69" s="1"/>
  <c r="V210" i="69" s="1"/>
  <c r="D185" i="69" a="1"/>
  <c r="D185" i="69" s="1"/>
  <c r="D177" i="69" a="1"/>
  <c r="D177" i="69" s="1"/>
  <c r="O173" i="69"/>
  <c r="O172" i="69"/>
  <c r="O167" i="69"/>
  <c r="O166" i="69"/>
  <c r="D152" i="69" a="1"/>
  <c r="D152" i="69" s="1"/>
  <c r="D173" i="69"/>
  <c r="D172" i="69"/>
  <c r="G161" i="69"/>
  <c r="G159" i="69"/>
  <c r="D167" i="69"/>
  <c r="D166" i="69"/>
  <c r="G160" i="69"/>
  <c r="E157" i="69" a="1"/>
  <c r="E157" i="69" s="1"/>
  <c r="V173" i="69" s="1"/>
  <c r="E156" i="69" a="1"/>
  <c r="E156" i="69" s="1"/>
  <c r="D151" i="69" a="1"/>
  <c r="D151" i="69" s="1"/>
  <c r="D159" i="69" a="1"/>
  <c r="D159" i="69" s="1"/>
  <c r="D150" i="69" a="1"/>
  <c r="D150" i="69" s="1"/>
  <c r="O146" i="69"/>
  <c r="O145" i="69"/>
  <c r="O144" i="69"/>
  <c r="O143" i="69"/>
  <c r="O142" i="69"/>
  <c r="O141" i="69"/>
  <c r="D108" i="69" a="1"/>
  <c r="D108" i="69" s="1"/>
  <c r="D146" i="69"/>
  <c r="D145" i="69"/>
  <c r="D144" i="69"/>
  <c r="D143" i="69"/>
  <c r="D142" i="69"/>
  <c r="D141" i="69"/>
  <c r="Q136" i="69"/>
  <c r="Q135" i="69"/>
  <c r="Q134" i="69"/>
  <c r="Q133" i="69"/>
  <c r="Q132" i="69"/>
  <c r="Q131" i="69"/>
  <c r="O136" i="69"/>
  <c r="O135" i="69"/>
  <c r="O134" i="69"/>
  <c r="O133" i="69"/>
  <c r="O132" i="69"/>
  <c r="O131" i="69"/>
  <c r="O126" i="69"/>
  <c r="O125" i="69"/>
  <c r="O124" i="69"/>
  <c r="O123" i="69"/>
  <c r="O122" i="69"/>
  <c r="O121" i="69"/>
  <c r="G116" i="69"/>
  <c r="F136" i="69"/>
  <c r="F135" i="69"/>
  <c r="F134" i="69"/>
  <c r="F133" i="69"/>
  <c r="F132" i="69"/>
  <c r="F131" i="69"/>
  <c r="D136" i="69"/>
  <c r="D135" i="69"/>
  <c r="D134" i="69"/>
  <c r="D133" i="69"/>
  <c r="D132" i="69"/>
  <c r="D131" i="69"/>
  <c r="G115" i="69"/>
  <c r="D126" i="69"/>
  <c r="D125" i="69"/>
  <c r="D124" i="69"/>
  <c r="D123" i="69"/>
  <c r="D122" i="69"/>
  <c r="D121" i="69"/>
  <c r="E112" i="69" a="1"/>
  <c r="E112" i="69" s="1"/>
  <c r="E113" i="69" a="1"/>
  <c r="E113" i="69" s="1"/>
  <c r="K142" i="69" s="1"/>
  <c r="D115" i="69" a="1"/>
  <c r="D115" i="69" s="1"/>
  <c r="D107" i="69" a="1"/>
  <c r="D107" i="69" s="1"/>
  <c r="D188" i="79" a="1"/>
  <c r="D188" i="79" s="1"/>
  <c r="G98" i="69" s="1"/>
  <c r="D187" i="79" a="1"/>
  <c r="D187" i="79" s="1"/>
  <c r="D186" i="79" a="1"/>
  <c r="D186" i="79" s="1"/>
  <c r="D185" i="79" a="1"/>
  <c r="D185" i="79" s="1"/>
  <c r="D184" i="79" a="1"/>
  <c r="D184" i="79" s="1"/>
  <c r="G97" i="69"/>
  <c r="G96" i="69"/>
  <c r="G64" i="69"/>
  <c r="G63" i="69"/>
  <c r="I35" i="69"/>
  <c r="D44" i="69"/>
  <c r="D27" i="69" a="1"/>
  <c r="D27" i="69" s="1"/>
  <c r="S18" i="69"/>
  <c r="S23" i="69" s="1" a="1"/>
  <c r="S23" i="69" s="1"/>
  <c r="R18" i="69"/>
  <c r="R23" i="69" s="1" a="1"/>
  <c r="R23" i="69" s="1"/>
  <c r="Q18" i="69"/>
  <c r="Q23" i="69" s="1" a="1"/>
  <c r="Q23" i="69" s="1"/>
  <c r="P18" i="69"/>
  <c r="P23" i="69" s="1" a="1"/>
  <c r="P23" i="69" s="1"/>
  <c r="O18" i="69"/>
  <c r="O23" i="69" s="1" a="1"/>
  <c r="O23" i="69" s="1"/>
  <c r="I13" i="69"/>
  <c r="D6" i="69" a="1"/>
  <c r="D6" i="69" s="1"/>
  <c r="E10" i="69" a="1"/>
  <c r="E10" i="69" s="1"/>
  <c r="E11" i="69" a="1"/>
  <c r="E11" i="69" s="1"/>
  <c r="D5" i="69" a="1"/>
  <c r="D5" i="69" s="1"/>
  <c r="D28" i="69" a="1"/>
  <c r="D28" i="69" s="1"/>
  <c r="D181" i="79" a="1"/>
  <c r="D181" i="79" s="1"/>
  <c r="I38" i="69" s="1"/>
  <c r="D180" i="79" a="1"/>
  <c r="D180" i="79" s="1"/>
  <c r="D179" i="79" a="1"/>
  <c r="D179" i="79" s="1"/>
  <c r="D178" i="79" a="1"/>
  <c r="D178" i="79" s="1"/>
  <c r="D177" i="79" a="1"/>
  <c r="D177" i="79" s="1"/>
  <c r="D174" i="79" a="1"/>
  <c r="D174" i="79" s="1"/>
  <c r="I37" i="69" s="1"/>
  <c r="D173" i="79" a="1"/>
  <c r="D173" i="79" s="1"/>
  <c r="D172" i="79" a="1"/>
  <c r="D172" i="79" s="1"/>
  <c r="D171" i="79" a="1"/>
  <c r="D171" i="79" s="1"/>
  <c r="D170" i="79" a="1"/>
  <c r="D170" i="79" s="1"/>
  <c r="D167" i="79" a="1"/>
  <c r="D167" i="79" s="1"/>
  <c r="I36" i="69" s="1"/>
  <c r="D166" i="79" a="1"/>
  <c r="D166" i="79" s="1"/>
  <c r="D165" i="79" a="1"/>
  <c r="D165" i="79" s="1"/>
  <c r="D164" i="79" a="1"/>
  <c r="D164" i="79" s="1"/>
  <c r="D163" i="79" a="1"/>
  <c r="D163" i="79" s="1"/>
  <c r="E32" i="69" a="1"/>
  <c r="E32" i="69" s="1"/>
  <c r="E33" i="69" a="1"/>
  <c r="E33" i="69" s="1"/>
  <c r="T49" i="69" s="1"/>
  <c r="G62" i="69"/>
  <c r="G61" i="69"/>
  <c r="D54" i="69" a="1"/>
  <c r="D54" i="69" s="1"/>
  <c r="E58" i="69" a="1"/>
  <c r="E58" i="69" s="1"/>
  <c r="E59" i="69" a="1"/>
  <c r="E59" i="69" s="1"/>
  <c r="I84" i="69" s="1"/>
  <c r="I50" i="76" s="1"/>
  <c r="D61" i="69" a="1"/>
  <c r="D61" i="69" s="1"/>
  <c r="D53" i="69" a="1"/>
  <c r="D53" i="69" s="1"/>
  <c r="D160" i="79" a="1"/>
  <c r="D160" i="79" s="1"/>
  <c r="E36"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7" i="70" s="1"/>
  <c r="E114" i="76" s="1"/>
  <c r="D149" i="79" a="1"/>
  <c r="D149" i="79" s="1"/>
  <c r="D89" i="69" a="1"/>
  <c r="D89" i="69" s="1"/>
  <c r="E93" i="69" a="1"/>
  <c r="E93" i="69" s="1"/>
  <c r="E94" i="69" a="1"/>
  <c r="E94" i="69" s="1"/>
  <c r="I103" i="69" s="1"/>
  <c r="D96" i="69" a="1"/>
  <c r="D96" i="69" s="1"/>
  <c r="D88" i="69" a="1"/>
  <c r="D88" i="69" s="1"/>
  <c r="I178" i="70"/>
  <c r="H178" i="70"/>
  <c r="G178" i="70"/>
  <c r="F178" i="70"/>
  <c r="E178" i="70"/>
  <c r="I173" i="70"/>
  <c r="H173" i="70"/>
  <c r="G173" i="70"/>
  <c r="F173" i="70"/>
  <c r="E173" i="70"/>
  <c r="I168" i="70"/>
  <c r="H168" i="70"/>
  <c r="G168" i="70"/>
  <c r="F168" i="70"/>
  <c r="E168" i="70"/>
  <c r="I163" i="70"/>
  <c r="H163" i="70"/>
  <c r="G163" i="70"/>
  <c r="F163" i="70"/>
  <c r="E163" i="70"/>
  <c r="E114" i="70"/>
  <c r="I126" i="70" s="1"/>
  <c r="E113" i="70"/>
  <c r="H119" i="70" s="1"/>
  <c r="E109" i="70"/>
  <c r="F125" i="70" s="1"/>
  <c r="E108" i="70"/>
  <c r="H118" i="70" s="1"/>
  <c r="E104" i="70"/>
  <c r="H124" i="70" s="1"/>
  <c r="E103" i="70"/>
  <c r="G117" i="70" s="1"/>
  <c r="D64" i="70"/>
  <c r="D98" i="70"/>
  <c r="I154" i="70"/>
  <c r="H154" i="70"/>
  <c r="G154" i="70"/>
  <c r="F154" i="70"/>
  <c r="E154" i="70"/>
  <c r="I92" i="70"/>
  <c r="H92" i="70"/>
  <c r="G92" i="70"/>
  <c r="F92" i="70"/>
  <c r="E92" i="70"/>
  <c r="I91" i="70"/>
  <c r="H91" i="70"/>
  <c r="G91" i="70"/>
  <c r="F91" i="70"/>
  <c r="E91" i="70"/>
  <c r="I90" i="70"/>
  <c r="H90" i="70"/>
  <c r="G90" i="70"/>
  <c r="F90" i="70"/>
  <c r="E90" i="70"/>
  <c r="I85" i="70"/>
  <c r="H85" i="70"/>
  <c r="G85" i="70"/>
  <c r="F85" i="70"/>
  <c r="E85" i="70"/>
  <c r="I84" i="70"/>
  <c r="H84" i="70"/>
  <c r="G84" i="70"/>
  <c r="F84" i="70"/>
  <c r="E84" i="70"/>
  <c r="I83" i="70"/>
  <c r="H83" i="70"/>
  <c r="G83" i="70"/>
  <c r="F83" i="70"/>
  <c r="E83" i="70"/>
  <c r="E179" i="69" a="1"/>
  <c r="E125" i="76" a="1"/>
  <c r="E176" i="76" a="1"/>
  <c r="E90" i="69" a="1"/>
  <c r="E7" i="69" a="1"/>
  <c r="E109" i="69" a="1"/>
  <c r="E217" i="69" a="1"/>
  <c r="E146" i="76" a="1"/>
  <c r="E55" i="69" a="1"/>
  <c r="E212" i="76" a="1"/>
  <c r="E7" i="82" a="1"/>
  <c r="E71" i="76" a="1"/>
  <c r="E102" i="76" a="1"/>
  <c r="E35" i="76" a="1"/>
  <c r="E7" i="76" a="1"/>
  <c r="E249" i="76" a="1"/>
  <c r="E29" i="69" a="1"/>
  <c r="E153" i="69" a="1"/>
  <c r="S139" i="76" l="1"/>
  <c r="F49" i="82"/>
  <c r="Q49" i="82"/>
  <c r="D61" i="82"/>
  <c r="O61" i="82" s="1"/>
  <c r="P61" i="82"/>
  <c r="G188" i="69"/>
  <c r="R189" i="69"/>
  <c r="K207" i="69"/>
  <c r="V206" i="69"/>
  <c r="S29" i="76"/>
  <c r="S206" i="76"/>
  <c r="I206" i="76"/>
  <c r="I169" i="76"/>
  <c r="K208" i="69"/>
  <c r="K209" i="69"/>
  <c r="K143" i="69"/>
  <c r="K210" i="69"/>
  <c r="V29" i="95"/>
  <c r="K30" i="95"/>
  <c r="K29" i="95"/>
  <c r="V30" i="95"/>
  <c r="K144" i="69"/>
  <c r="K145" i="69"/>
  <c r="S96" i="76"/>
  <c r="K146" i="69"/>
  <c r="I119" i="76"/>
  <c r="F280" i="76"/>
  <c r="G8" i="13" s="1"/>
  <c r="T84" i="69"/>
  <c r="S50" i="76" s="1"/>
  <c r="T103" i="69"/>
  <c r="I65" i="76"/>
  <c r="V143" i="69"/>
  <c r="F36" i="70"/>
  <c r="E18" i="69" s="1"/>
  <c r="E23" i="69" s="1" a="1"/>
  <c r="E23" i="69" s="1"/>
  <c r="E49" i="69" s="1" a="1"/>
  <c r="E49" i="69" s="1"/>
  <c r="E60" i="76" s="1"/>
  <c r="V172" i="69"/>
  <c r="K173" i="69"/>
  <c r="K172" i="69"/>
  <c r="G36" i="70"/>
  <c r="F18" i="69" s="1"/>
  <c r="F23" i="69" s="1" a="1"/>
  <c r="F23" i="69" s="1"/>
  <c r="F49" i="69" s="1" a="1"/>
  <c r="F49" i="69" s="1"/>
  <c r="F60" i="76" s="1"/>
  <c r="H36" i="70"/>
  <c r="G18" i="69" s="1"/>
  <c r="G23" i="69" s="1" a="1"/>
  <c r="G23" i="69" s="1"/>
  <c r="G49" i="69" s="1" a="1"/>
  <c r="G49" i="69" s="1"/>
  <c r="G60" i="76" s="1"/>
  <c r="G37" i="70"/>
  <c r="F114" i="76" s="1"/>
  <c r="I37" i="70"/>
  <c r="H114" i="76" s="1"/>
  <c r="H37" i="70"/>
  <c r="G114" i="76" s="1"/>
  <c r="E37" i="70"/>
  <c r="D114" i="76" s="1"/>
  <c r="I36" i="70"/>
  <c r="H18" i="69" s="1"/>
  <c r="H23" i="69" s="1" a="1"/>
  <c r="H23" i="69" s="1"/>
  <c r="H49" i="69" s="1" a="1"/>
  <c r="H49" i="69" s="1"/>
  <c r="H60" i="76" s="1"/>
  <c r="F264" i="69"/>
  <c r="G7" i="13" s="1"/>
  <c r="I23" i="69"/>
  <c r="T23" i="69"/>
  <c r="Q68" i="82"/>
  <c r="V207" i="69"/>
  <c r="V141" i="69"/>
  <c r="V203" i="69"/>
  <c r="V142" i="69"/>
  <c r="V208" i="69"/>
  <c r="V144" i="69"/>
  <c r="K203" i="69"/>
  <c r="V204" i="69"/>
  <c r="J8" i="13"/>
  <c r="V145" i="69"/>
  <c r="K204" i="69"/>
  <c r="V209" i="69"/>
  <c r="K141" i="69"/>
  <c r="V146" i="69"/>
  <c r="K205" i="69"/>
  <c r="K206" i="69"/>
  <c r="V205" i="69"/>
  <c r="E7" i="82"/>
  <c r="E249" i="76"/>
  <c r="E212" i="76"/>
  <c r="E176" i="76"/>
  <c r="E146" i="76"/>
  <c r="E125" i="76"/>
  <c r="E102" i="76"/>
  <c r="E71" i="76"/>
  <c r="E35" i="76"/>
  <c r="E7" i="76"/>
  <c r="E217" i="69"/>
  <c r="E179" i="69"/>
  <c r="E153" i="69"/>
  <c r="E109" i="69"/>
  <c r="E55" i="69"/>
  <c r="E90" i="69"/>
  <c r="R49" i="69" a="1"/>
  <c r="R49" i="69" s="1"/>
  <c r="P49" i="69" a="1"/>
  <c r="P49" i="69" s="1"/>
  <c r="S49" i="69" a="1"/>
  <c r="S49" i="69" s="1"/>
  <c r="I49" i="69"/>
  <c r="I60" i="76" s="1"/>
  <c r="D49" i="69" a="1"/>
  <c r="D49" i="69" s="1"/>
  <c r="D60" i="76" s="1"/>
  <c r="O49" i="69" a="1"/>
  <c r="O49" i="69" s="1"/>
  <c r="Q49" i="69" a="1"/>
  <c r="Q49" i="69" s="1"/>
  <c r="E29" i="69"/>
  <c r="E7" i="69"/>
  <c r="F93" i="70"/>
  <c r="F95" i="70" s="1"/>
  <c r="I93" i="70"/>
  <c r="I95" i="70" s="1"/>
  <c r="E93" i="70"/>
  <c r="E95" i="70" s="1"/>
  <c r="G93" i="70"/>
  <c r="G95" i="70" s="1"/>
  <c r="I86" i="70"/>
  <c r="I88" i="70" s="1"/>
  <c r="H93" i="70"/>
  <c r="H95" i="70" s="1"/>
  <c r="H117" i="70"/>
  <c r="H120" i="70" s="1"/>
  <c r="H122" i="70" s="1"/>
  <c r="I118" i="70"/>
  <c r="F119" i="70"/>
  <c r="I119" i="70"/>
  <c r="E126" i="70"/>
  <c r="F126" i="70"/>
  <c r="G126" i="70"/>
  <c r="F86" i="70"/>
  <c r="F88" i="70" s="1"/>
  <c r="E117" i="70"/>
  <c r="G86" i="70"/>
  <c r="G88" i="70" s="1"/>
  <c r="F117" i="70"/>
  <c r="E86" i="70"/>
  <c r="H86" i="70"/>
  <c r="H88" i="70" s="1"/>
  <c r="E88" i="70"/>
  <c r="E119" i="70"/>
  <c r="E125" i="70"/>
  <c r="G119" i="70"/>
  <c r="G125" i="70"/>
  <c r="H125" i="70"/>
  <c r="I117" i="70"/>
  <c r="H126" i="70"/>
  <c r="I125" i="70"/>
  <c r="E118" i="70"/>
  <c r="E124" i="70"/>
  <c r="I124" i="70"/>
  <c r="F118" i="70"/>
  <c r="F124" i="70"/>
  <c r="F127" i="70" s="1"/>
  <c r="F129" i="70" s="1"/>
  <c r="G118" i="70"/>
  <c r="G124" i="70"/>
  <c r="I120" i="70" l="1"/>
  <c r="I122" i="70" s="1"/>
  <c r="F120" i="70"/>
  <c r="F122" i="70" s="1"/>
  <c r="G120" i="70"/>
  <c r="G122" i="70" s="1"/>
  <c r="E127" i="70"/>
  <c r="E129" i="70" s="1"/>
  <c r="H127" i="70"/>
  <c r="H129" i="70" s="1"/>
  <c r="E120" i="70"/>
  <c r="E122" i="70" s="1"/>
  <c r="I127" i="70"/>
  <c r="I129" i="70" s="1"/>
  <c r="G127" i="70"/>
  <c r="G129" i="70" s="1"/>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5" i="70" a="1"/>
  <c r="F35" i="70" s="1"/>
  <c r="I40" i="70" a="1"/>
  <c r="I40" i="70" s="1"/>
  <c r="E35" i="70" a="1"/>
  <c r="E35" i="70" s="1"/>
  <c r="H40" i="70" a="1"/>
  <c r="H40" i="70" s="1"/>
  <c r="G40" i="70" a="1"/>
  <c r="G40" i="70" s="1"/>
  <c r="F40" i="70" a="1"/>
  <c r="F40" i="70" s="1"/>
  <c r="E40" i="70" a="1"/>
  <c r="E40" i="70" s="1"/>
  <c r="I35" i="70" a="1"/>
  <c r="I35" i="70" s="1"/>
  <c r="H35" i="70" a="1"/>
  <c r="H35" i="70" s="1"/>
  <c r="G35" i="70" a="1"/>
  <c r="G35"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1" i="76" l="1"/>
  <c r="Q201" i="76"/>
  <c r="G250" i="69"/>
  <c r="P196" i="76"/>
  <c r="Q240" i="69"/>
  <c r="G29" i="70"/>
  <c r="H240" i="69"/>
  <c r="H196" i="76"/>
  <c r="F201" i="76"/>
  <c r="F250" i="69"/>
  <c r="F240" i="69"/>
  <c r="F196" i="76"/>
  <c r="E164" i="76"/>
  <c r="E240" i="69"/>
  <c r="R196" i="76"/>
  <c r="S240" i="69"/>
  <c r="I29" i="70"/>
  <c r="D240" i="69"/>
  <c r="D164" i="76"/>
  <c r="D201" i="76"/>
  <c r="N201" i="76"/>
  <c r="D250" i="69"/>
  <c r="P240" i="69"/>
  <c r="F29" i="70"/>
  <c r="P250" i="69" s="1"/>
  <c r="O164" i="76"/>
  <c r="H201" i="76"/>
  <c r="H250" i="69"/>
  <c r="G240" i="69"/>
  <c r="G164" i="76"/>
  <c r="E201" i="76"/>
  <c r="E250" i="69"/>
  <c r="O201" i="76"/>
  <c r="Q164" i="76"/>
  <c r="R240" i="69"/>
  <c r="H29" i="70"/>
  <c r="R250" i="69" s="1"/>
  <c r="N164" i="76"/>
  <c r="O240" i="69"/>
  <c r="E29" i="70"/>
  <c r="O250" i="69" s="1"/>
  <c r="P201" i="76" l="1"/>
  <c r="Q250" i="69"/>
  <c r="S250" i="69"/>
  <c r="R201" i="76"/>
  <c r="I144" i="70" l="1"/>
  <c r="H144" i="70"/>
  <c r="I149" i="70"/>
  <c r="H149" i="70"/>
  <c r="I139" i="70"/>
  <c r="H139" i="70"/>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1" i="76" s="1"/>
  <c r="F64" i="79" a="1"/>
  <c r="F64" i="79" s="1"/>
  <c r="E64" i="79" a="1"/>
  <c r="E64" i="79" s="1"/>
  <c r="H245" i="69" s="1"/>
  <c r="D64" i="79" a="1"/>
  <c r="D64" i="79" s="1"/>
  <c r="G63" i="79" a="1"/>
  <c r="G63" i="79" s="1"/>
  <c r="F191" i="76" s="1"/>
  <c r="F63" i="79" a="1"/>
  <c r="F63" i="79" s="1"/>
  <c r="E63" i="79" a="1"/>
  <c r="E63" i="79" s="1"/>
  <c r="F245"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2" i="76" a="1"/>
  <c r="E262" i="76" s="1"/>
  <c r="E31" i="82" a="1"/>
  <c r="E31" i="82" s="1"/>
  <c r="D262" i="76" a="1"/>
  <c r="D262" i="76" s="1"/>
  <c r="D31" i="82" a="1"/>
  <c r="D31" i="82" s="1"/>
  <c r="F35" i="82"/>
  <c r="F34" i="82"/>
  <c r="F33" i="82"/>
  <c r="F32" i="82"/>
  <c r="F31" i="82"/>
  <c r="H55" i="76"/>
  <c r="G55" i="76"/>
  <c r="E55" i="76"/>
  <c r="F55" i="76"/>
  <c r="F79" i="69"/>
  <c r="E79" i="69"/>
  <c r="G79" i="69"/>
  <c r="H79" i="69"/>
  <c r="D7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60" i="70" a="1"/>
  <c r="G60" i="70" s="1"/>
  <c r="H55" i="70" a="1"/>
  <c r="H55" i="70" s="1"/>
  <c r="E60" i="70" a="1"/>
  <c r="E60" i="70" s="1"/>
  <c r="I59" i="70" a="1"/>
  <c r="I59" i="70" s="1"/>
  <c r="I53" i="70" a="1"/>
  <c r="I53" i="70" s="1"/>
  <c r="G58" i="70" a="1"/>
  <c r="G58" i="70" s="1"/>
  <c r="S25" i="96" s="1"/>
  <c r="H60" i="70" a="1"/>
  <c r="H60" i="70" s="1"/>
  <c r="F60" i="70" a="1"/>
  <c r="F60" i="70" s="1"/>
  <c r="G55" i="70" a="1"/>
  <c r="G55" i="70" s="1"/>
  <c r="F55" i="70" a="1"/>
  <c r="F55" i="70" s="1"/>
  <c r="E55" i="70" a="1"/>
  <c r="E55" i="70" s="1"/>
  <c r="E53" i="70" a="1"/>
  <c r="E53" i="70" s="1"/>
  <c r="F25" i="96" s="1"/>
  <c r="H59" i="70" a="1"/>
  <c r="H59" i="70" s="1"/>
  <c r="I54" i="70" a="1"/>
  <c r="I54" i="70" s="1"/>
  <c r="E59" i="70" a="1"/>
  <c r="E59" i="70" s="1"/>
  <c r="E54" i="70" a="1"/>
  <c r="E54" i="70" s="1"/>
  <c r="I55" i="70" a="1"/>
  <c r="I55" i="70" s="1"/>
  <c r="G59" i="70" a="1"/>
  <c r="G59" i="70" s="1"/>
  <c r="H54" i="70" a="1"/>
  <c r="H54" i="70" s="1"/>
  <c r="F54" i="70" a="1"/>
  <c r="F54" i="70" s="1"/>
  <c r="H58" i="70" a="1"/>
  <c r="H58" i="70" s="1"/>
  <c r="T25" i="96" s="1"/>
  <c r="F59" i="70" a="1"/>
  <c r="F59" i="70" s="1"/>
  <c r="G54" i="70" a="1"/>
  <c r="G54" i="70" s="1"/>
  <c r="I58" i="70" a="1"/>
  <c r="I58" i="70" s="1"/>
  <c r="U25" i="96" s="1"/>
  <c r="H53" i="70" a="1"/>
  <c r="H53" i="70" s="1"/>
  <c r="F58" i="70" a="1"/>
  <c r="F58" i="70" s="1"/>
  <c r="R25" i="96" s="1"/>
  <c r="G53" i="70" a="1"/>
  <c r="G53" i="70" s="1"/>
  <c r="I60" i="70" a="1"/>
  <c r="I60" i="70" s="1"/>
  <c r="E58" i="70" a="1"/>
  <c r="E58" i="70" s="1"/>
  <c r="Q25" i="96" s="1"/>
  <c r="F53" i="70" a="1"/>
  <c r="F53" i="70" s="1"/>
  <c r="E22" i="81" l="1"/>
  <c r="J166" i="69"/>
  <c r="J25" i="96"/>
  <c r="G166" i="69"/>
  <c r="G25" i="96"/>
  <c r="H166" i="69"/>
  <c r="H25" i="96"/>
  <c r="I166" i="69"/>
  <c r="I25" i="96"/>
  <c r="R224" i="76" a="1"/>
  <c r="R224" i="76" s="1"/>
  <c r="R226" i="76" a="1"/>
  <c r="R226" i="76" s="1"/>
  <c r="R227" i="76" a="1"/>
  <c r="R227" i="76" s="1"/>
  <c r="R225" i="76" a="1"/>
  <c r="R225" i="76" s="1"/>
  <c r="T226" i="76" a="1"/>
  <c r="T226" i="76" s="1"/>
  <c r="T224" i="76" a="1"/>
  <c r="T224" i="76" s="1"/>
  <c r="T225" i="76" a="1"/>
  <c r="T225" i="76" s="1"/>
  <c r="T227" i="76" a="1"/>
  <c r="T227" i="76" s="1"/>
  <c r="R74" i="69"/>
  <c r="Q91" i="76"/>
  <c r="J229" i="76" a="1"/>
  <c r="J229" i="76" s="1"/>
  <c r="J230" i="76" a="1"/>
  <c r="J230" i="76" s="1"/>
  <c r="J231" i="76" a="1"/>
  <c r="J231" i="76" s="1"/>
  <c r="J228" i="76" a="1"/>
  <c r="J228" i="76" s="1"/>
  <c r="P231" i="76" a="1"/>
  <c r="P231" i="76" s="1"/>
  <c r="P229" i="76" a="1"/>
  <c r="P229" i="76" s="1"/>
  <c r="P228" i="76" a="1"/>
  <c r="P228" i="76" s="1"/>
  <c r="P230" i="76" a="1"/>
  <c r="P230" i="76" s="1"/>
  <c r="G74" i="69"/>
  <c r="G91" i="76"/>
  <c r="F225" i="76" a="1"/>
  <c r="F225" i="76" s="1"/>
  <c r="F227" i="76" a="1"/>
  <c r="F227" i="76" s="1"/>
  <c r="F226" i="76" a="1"/>
  <c r="F226" i="76" s="1"/>
  <c r="F224" i="76" a="1"/>
  <c r="F224" i="76" s="1"/>
  <c r="I230" i="76" a="1"/>
  <c r="I230" i="76" s="1"/>
  <c r="I229" i="76" a="1"/>
  <c r="I229" i="76" s="1"/>
  <c r="I231" i="76" a="1"/>
  <c r="I231" i="76" s="1"/>
  <c r="I228" i="76" a="1"/>
  <c r="I228" i="76" s="1"/>
  <c r="F74" i="69"/>
  <c r="F91" i="76"/>
  <c r="P227" i="76" a="1"/>
  <c r="P227" i="76" s="1"/>
  <c r="P224" i="76" a="1"/>
  <c r="P224" i="76" s="1"/>
  <c r="P226" i="76" a="1"/>
  <c r="P226" i="76" s="1"/>
  <c r="P225" i="76" a="1"/>
  <c r="P225" i="76" s="1"/>
  <c r="R229" i="76" a="1"/>
  <c r="R229" i="76" s="1"/>
  <c r="R231" i="76" a="1"/>
  <c r="R231" i="76" s="1"/>
  <c r="R228" i="76" a="1"/>
  <c r="R228" i="76" s="1"/>
  <c r="R230" i="76" a="1"/>
  <c r="R230" i="76" s="1"/>
  <c r="Q74" i="69"/>
  <c r="P91" i="76"/>
  <c r="T231" i="76" a="1"/>
  <c r="T231" i="76" s="1"/>
  <c r="T228" i="76" a="1"/>
  <c r="T228" i="76" s="1"/>
  <c r="T230" i="76" a="1"/>
  <c r="T230" i="76" s="1"/>
  <c r="T229" i="76" a="1"/>
  <c r="T229" i="76" s="1"/>
  <c r="J227" i="76" a="1"/>
  <c r="J227" i="76" s="1"/>
  <c r="J224" i="76" a="1"/>
  <c r="J224" i="76" s="1"/>
  <c r="J226" i="76" a="1"/>
  <c r="J226" i="76" s="1"/>
  <c r="J225" i="76" a="1"/>
  <c r="J225" i="76" s="1"/>
  <c r="E74" i="69"/>
  <c r="E91" i="76"/>
  <c r="P69" i="69"/>
  <c r="O19" i="76"/>
  <c r="O29" i="76" s="1" a="1"/>
  <c r="O29" i="76" s="1"/>
  <c r="S224" i="76" a="1"/>
  <c r="S224" i="76" s="1"/>
  <c r="S226" i="76" a="1"/>
  <c r="S226" i="76" s="1"/>
  <c r="S225" i="76" a="1"/>
  <c r="S225" i="76" s="1"/>
  <c r="S227" i="76" a="1"/>
  <c r="S227" i="76" s="1"/>
  <c r="P74" i="69"/>
  <c r="O91" i="76"/>
  <c r="E69" i="69"/>
  <c r="E19" i="76"/>
  <c r="E29" i="76" s="1" a="1"/>
  <c r="E29" i="76" s="1"/>
  <c r="O74" i="69"/>
  <c r="N91" i="76"/>
  <c r="Q69" i="69"/>
  <c r="P19" i="76"/>
  <c r="P29" i="76" s="1" a="1"/>
  <c r="P29" i="76" s="1"/>
  <c r="F228" i="76" a="1"/>
  <c r="F228" i="76" s="1"/>
  <c r="F230" i="76" a="1"/>
  <c r="F230" i="76" s="1"/>
  <c r="F229" i="76" a="1"/>
  <c r="F229" i="76" s="1"/>
  <c r="F231" i="76" a="1"/>
  <c r="F231" i="76" s="1"/>
  <c r="D74" i="69"/>
  <c r="D91" i="76"/>
  <c r="F69" i="69"/>
  <c r="F19" i="76"/>
  <c r="F29" i="76" s="1" a="1"/>
  <c r="F29" i="76" s="1"/>
  <c r="G228" i="76" a="1"/>
  <c r="G228" i="76" s="1"/>
  <c r="G230" i="76" a="1"/>
  <c r="G230" i="76" s="1"/>
  <c r="G231" i="76" a="1"/>
  <c r="G231" i="76" s="1"/>
  <c r="G229" i="76" a="1"/>
  <c r="G229" i="76" s="1"/>
  <c r="H69" i="69"/>
  <c r="H19" i="76"/>
  <c r="H29" i="76" s="1" a="1"/>
  <c r="H29" i="76" s="1"/>
  <c r="O69" i="69"/>
  <c r="N19" i="76"/>
  <c r="N29" i="76" s="1" a="1"/>
  <c r="N29" i="76" s="1"/>
  <c r="H225" i="76" a="1"/>
  <c r="H225" i="76" s="1"/>
  <c r="H227" i="76" a="1"/>
  <c r="H227" i="76" s="1"/>
  <c r="H224" i="76" a="1"/>
  <c r="H224" i="76" s="1"/>
  <c r="H226" i="76" a="1"/>
  <c r="H226" i="76" s="1"/>
  <c r="H230" i="76" a="1"/>
  <c r="H230" i="76" s="1"/>
  <c r="H229" i="76" a="1"/>
  <c r="H229" i="76" s="1"/>
  <c r="H228" i="76" a="1"/>
  <c r="H228" i="76" s="1"/>
  <c r="H231" i="76" a="1"/>
  <c r="H231" i="76" s="1"/>
  <c r="S69" i="69"/>
  <c r="R19" i="76"/>
  <c r="R29" i="76" s="1" a="1"/>
  <c r="R29" i="76" s="1"/>
  <c r="D69" i="69"/>
  <c r="D19" i="76"/>
  <c r="D29" i="76" s="1" a="1"/>
  <c r="D29" i="76" s="1"/>
  <c r="Q224" i="76" a="1"/>
  <c r="Q224" i="76" s="1"/>
  <c r="Q226" i="76" a="1"/>
  <c r="Q226" i="76" s="1"/>
  <c r="Q227" i="76" a="1"/>
  <c r="Q227" i="76" s="1"/>
  <c r="Q225" i="76" a="1"/>
  <c r="Q225" i="76" s="1"/>
  <c r="Q229" i="76" a="1"/>
  <c r="Q229" i="76" s="1"/>
  <c r="Q231" i="76" a="1"/>
  <c r="Q231" i="76" s="1"/>
  <c r="Q228" i="76" a="1"/>
  <c r="Q228" i="76" s="1"/>
  <c r="Q230" i="76" a="1"/>
  <c r="Q230" i="76" s="1"/>
  <c r="G69" i="69"/>
  <c r="G19" i="76"/>
  <c r="G29" i="76" s="1" a="1"/>
  <c r="G29" i="76" s="1"/>
  <c r="S229" i="76" a="1"/>
  <c r="S229" i="76" s="1"/>
  <c r="S231" i="76" a="1"/>
  <c r="S231" i="76" s="1"/>
  <c r="S228" i="76" a="1"/>
  <c r="S228" i="76" s="1"/>
  <c r="S230" i="76" a="1"/>
  <c r="S230" i="76" s="1"/>
  <c r="R69" i="69"/>
  <c r="R84" i="69" s="1" a="1"/>
  <c r="R84" i="69" s="1"/>
  <c r="Q19" i="76"/>
  <c r="Q29" i="76" s="1" a="1"/>
  <c r="Q29" i="76" s="1"/>
  <c r="G225" i="76" a="1"/>
  <c r="G225" i="76" s="1"/>
  <c r="G227" i="76" a="1"/>
  <c r="G227" i="76" s="1"/>
  <c r="G224" i="76" a="1"/>
  <c r="G224" i="76" s="1"/>
  <c r="G226" i="76" a="1"/>
  <c r="G226" i="76" s="1"/>
  <c r="H74" i="69"/>
  <c r="H91" i="76"/>
  <c r="I225" i="76" a="1"/>
  <c r="I225" i="76" s="1"/>
  <c r="I227" i="76" a="1"/>
  <c r="I227" i="76" s="1"/>
  <c r="I224" i="76" a="1"/>
  <c r="I224" i="76" s="1"/>
  <c r="I226" i="76" a="1"/>
  <c r="I226" i="76" s="1"/>
  <c r="S74" i="69"/>
  <c r="R91" i="76"/>
  <c r="J124" i="69"/>
  <c r="J144" i="69" s="1" a="1"/>
  <c r="J144" i="69" s="1"/>
  <c r="J126" i="69"/>
  <c r="J146" i="69" s="1" a="1"/>
  <c r="J146" i="69" s="1"/>
  <c r="J125" i="69"/>
  <c r="J145" i="69" s="1" a="1"/>
  <c r="J145" i="69" s="1"/>
  <c r="J167" i="69"/>
  <c r="Q124" i="69"/>
  <c r="Q144" i="69" s="1" a="1"/>
  <c r="Q144" i="69" s="1"/>
  <c r="Q125" i="69"/>
  <c r="Q145" i="69" s="1" a="1"/>
  <c r="Q145" i="69" s="1"/>
  <c r="Q126" i="69"/>
  <c r="Q146" i="69" s="1" a="1"/>
  <c r="Q146" i="69" s="1"/>
  <c r="Q167" i="69"/>
  <c r="S126" i="69"/>
  <c r="S146" i="69" s="1" a="1"/>
  <c r="S146" i="69" s="1"/>
  <c r="S125" i="69"/>
  <c r="S145" i="69" s="1" a="1"/>
  <c r="S145" i="69" s="1"/>
  <c r="S124" i="69"/>
  <c r="S144" i="69" s="1" a="1"/>
  <c r="S144" i="69" s="1"/>
  <c r="S167" i="69"/>
  <c r="T166" i="69"/>
  <c r="T123" i="69"/>
  <c r="T143" i="69" s="1" a="1"/>
  <c r="T143" i="69" s="1"/>
  <c r="T122" i="69"/>
  <c r="T142" i="69" s="1" a="1"/>
  <c r="T142" i="69" s="1"/>
  <c r="T121" i="69"/>
  <c r="T141" i="69" s="1" a="1"/>
  <c r="T141" i="69" s="1"/>
  <c r="F166" i="69"/>
  <c r="F123" i="69"/>
  <c r="F143" i="69" s="1" a="1"/>
  <c r="F143" i="69" s="1"/>
  <c r="F122" i="69"/>
  <c r="F142" i="69" s="1" a="1"/>
  <c r="F142" i="69" s="1"/>
  <c r="F121" i="69"/>
  <c r="F141" i="69" s="1" a="1"/>
  <c r="F141" i="69" s="1"/>
  <c r="U126" i="69"/>
  <c r="U146" i="69" s="1" a="1"/>
  <c r="U146" i="69" s="1"/>
  <c r="U125" i="69"/>
  <c r="U145" i="69" s="1" a="1"/>
  <c r="U145" i="69" s="1"/>
  <c r="U124" i="69"/>
  <c r="U144" i="69" s="1" a="1"/>
  <c r="U144" i="69" s="1"/>
  <c r="U167" i="69"/>
  <c r="F125" i="69"/>
  <c r="F145" i="69" s="1" a="1"/>
  <c r="F145" i="69" s="1"/>
  <c r="F167" i="69"/>
  <c r="F124" i="69"/>
  <c r="F144" i="69" s="1" a="1"/>
  <c r="F144" i="69" s="1"/>
  <c r="F126" i="69"/>
  <c r="F146" i="69" s="1" a="1"/>
  <c r="F146" i="69" s="1"/>
  <c r="H124" i="69"/>
  <c r="H144" i="69" s="1" a="1"/>
  <c r="H144" i="69" s="1"/>
  <c r="H167" i="69"/>
  <c r="H126" i="69"/>
  <c r="H146" i="69" s="1" a="1"/>
  <c r="H146" i="69" s="1"/>
  <c r="H125" i="69"/>
  <c r="H145" i="69" s="1" a="1"/>
  <c r="H145" i="69" s="1"/>
  <c r="J123" i="69"/>
  <c r="J143" i="69" s="1" a="1"/>
  <c r="J143" i="69" s="1"/>
  <c r="J122" i="69"/>
  <c r="J142" i="69" s="1" a="1"/>
  <c r="J142" i="69" s="1"/>
  <c r="J121" i="69"/>
  <c r="J141" i="69" s="1" a="1"/>
  <c r="J141" i="69" s="1"/>
  <c r="G124" i="69"/>
  <c r="G144" i="69" s="1" a="1"/>
  <c r="G144" i="69" s="1"/>
  <c r="G167" i="69"/>
  <c r="G126" i="69"/>
  <c r="G146" i="69" s="1" a="1"/>
  <c r="G146" i="69" s="1"/>
  <c r="G125" i="69"/>
  <c r="G145" i="69" s="1" a="1"/>
  <c r="G145" i="69" s="1"/>
  <c r="H121" i="69"/>
  <c r="H141" i="69" s="1" a="1"/>
  <c r="H141" i="69" s="1"/>
  <c r="H123" i="69"/>
  <c r="H143" i="69" s="1" a="1"/>
  <c r="H143" i="69" s="1"/>
  <c r="H122" i="69"/>
  <c r="H142" i="69" s="1" a="1"/>
  <c r="H142" i="69" s="1"/>
  <c r="R121" i="69"/>
  <c r="R141" i="69" s="1" a="1"/>
  <c r="R141" i="69" s="1"/>
  <c r="R166" i="69"/>
  <c r="R123" i="69"/>
  <c r="R143" i="69" s="1" a="1"/>
  <c r="R143" i="69" s="1"/>
  <c r="R122" i="69"/>
  <c r="R142" i="69" s="1" a="1"/>
  <c r="R142" i="69" s="1"/>
  <c r="T167" i="69"/>
  <c r="T125" i="69"/>
  <c r="T145" i="69" s="1" a="1"/>
  <c r="T145" i="69" s="1"/>
  <c r="T124" i="69"/>
  <c r="T144" i="69" s="1" a="1"/>
  <c r="T144" i="69" s="1"/>
  <c r="T126" i="69"/>
  <c r="T146" i="69" s="1" a="1"/>
  <c r="T146" i="69" s="1"/>
  <c r="I167" i="69"/>
  <c r="I126" i="69"/>
  <c r="I146" i="69" s="1" a="1"/>
  <c r="I146" i="69" s="1"/>
  <c r="I125" i="69"/>
  <c r="I145" i="69" s="1" a="1"/>
  <c r="I145" i="69" s="1"/>
  <c r="I124" i="69"/>
  <c r="I144" i="69" s="1" a="1"/>
  <c r="I144" i="69" s="1"/>
  <c r="G123" i="69"/>
  <c r="G143" i="69" s="1" a="1"/>
  <c r="G143" i="69" s="1"/>
  <c r="G122" i="69"/>
  <c r="G142" i="69" s="1" a="1"/>
  <c r="G142" i="69" s="1"/>
  <c r="G121" i="69"/>
  <c r="G141" i="69" s="1" a="1"/>
  <c r="G141" i="69" s="1"/>
  <c r="Q166" i="69"/>
  <c r="Q122" i="69"/>
  <c r="Q142" i="69" s="1" a="1"/>
  <c r="Q142" i="69" s="1"/>
  <c r="Q123" i="69"/>
  <c r="Q143" i="69" s="1" a="1"/>
  <c r="Q143" i="69" s="1"/>
  <c r="Q121" i="69"/>
  <c r="Q141" i="69" s="1" a="1"/>
  <c r="Q141" i="69" s="1"/>
  <c r="R124" i="69"/>
  <c r="R144" i="69" s="1" a="1"/>
  <c r="R144" i="69" s="1"/>
  <c r="R126" i="69"/>
  <c r="R146" i="69" s="1" a="1"/>
  <c r="R146" i="69" s="1"/>
  <c r="R125" i="69"/>
  <c r="R145" i="69" s="1" a="1"/>
  <c r="R145" i="69" s="1"/>
  <c r="R167" i="69"/>
  <c r="I121" i="69"/>
  <c r="I141" i="69" s="1" a="1"/>
  <c r="I141" i="69" s="1"/>
  <c r="I123" i="69"/>
  <c r="I143" i="69" s="1" a="1"/>
  <c r="I143" i="69" s="1"/>
  <c r="I122" i="69"/>
  <c r="I142" i="69" s="1" a="1"/>
  <c r="I142" i="69" s="1"/>
  <c r="S121" i="69"/>
  <c r="S141" i="69" s="1" a="1"/>
  <c r="S141" i="69" s="1"/>
  <c r="S166" i="69"/>
  <c r="S123" i="69"/>
  <c r="S143" i="69" s="1" a="1"/>
  <c r="S143" i="69" s="1"/>
  <c r="S122" i="69"/>
  <c r="S142" i="69" s="1" a="1"/>
  <c r="S142" i="69" s="1"/>
  <c r="U166" i="69"/>
  <c r="U122" i="69"/>
  <c r="U142" i="69" s="1" a="1"/>
  <c r="U142" i="69" s="1"/>
  <c r="U121" i="69"/>
  <c r="U141" i="69" s="1" a="1"/>
  <c r="U141" i="69" s="1"/>
  <c r="U123" i="69"/>
  <c r="U143" i="69" s="1" a="1"/>
  <c r="U143" i="69" s="1"/>
  <c r="H46" i="96"/>
  <c r="G149" i="70"/>
  <c r="F149" i="70"/>
  <c r="E149" i="70"/>
  <c r="D84" i="69" l="1" a="1"/>
  <c r="D84" i="69" s="1"/>
  <c r="D103" i="69" s="1" a="1"/>
  <c r="D103" i="69" s="1"/>
  <c r="G84" i="69" a="1"/>
  <c r="G84" i="69" s="1"/>
  <c r="G50" i="76" s="1"/>
  <c r="F84" i="69" a="1"/>
  <c r="F84" i="69" s="1"/>
  <c r="F103" i="69" s="1" a="1"/>
  <c r="F103" i="69" s="1"/>
  <c r="E84" i="69" a="1"/>
  <c r="E84" i="69" s="1"/>
  <c r="E103" i="69" s="1" a="1"/>
  <c r="E103" i="69" s="1"/>
  <c r="H84" i="69" a="1"/>
  <c r="H84" i="69" s="1"/>
  <c r="H103" i="69" s="1" a="1"/>
  <c r="H103" i="69" s="1"/>
  <c r="H43" i="97"/>
  <c r="G66" i="82"/>
  <c r="Q84" i="69" a="1"/>
  <c r="Q84" i="69" s="1"/>
  <c r="P50" i="76" s="1"/>
  <c r="P84" i="69" a="1"/>
  <c r="P84" i="69" s="1"/>
  <c r="O50" i="76" s="1"/>
  <c r="S84" i="69" a="1"/>
  <c r="S84" i="69" s="1"/>
  <c r="S103" i="69" s="1" a="1"/>
  <c r="S103" i="69" s="1"/>
  <c r="O84" i="69" a="1"/>
  <c r="O84" i="69" s="1"/>
  <c r="O103" i="69" s="1" a="1"/>
  <c r="O103" i="69" s="1"/>
  <c r="R173" i="69" a="1"/>
  <c r="R173" i="69" s="1"/>
  <c r="G173" i="69" a="1"/>
  <c r="G173" i="69" s="1"/>
  <c r="Q173" i="69" a="1"/>
  <c r="Q173" i="69" s="1"/>
  <c r="J173" i="69" a="1"/>
  <c r="J173" i="69" s="1"/>
  <c r="S172" i="69" a="1"/>
  <c r="S172" i="69" s="1"/>
  <c r="F173" i="69" a="1"/>
  <c r="F173" i="69" s="1"/>
  <c r="U173" i="69" a="1"/>
  <c r="U173" i="69" s="1"/>
  <c r="I173" i="69" a="1"/>
  <c r="I173" i="69" s="1"/>
  <c r="R103" i="69" a="1"/>
  <c r="R103" i="69" s="1"/>
  <c r="Q50" i="76"/>
  <c r="T173" i="69" a="1"/>
  <c r="T173" i="69" s="1"/>
  <c r="G172" i="69" a="1"/>
  <c r="G172" i="69" s="1"/>
  <c r="S173" i="69" a="1"/>
  <c r="S173" i="69" s="1"/>
  <c r="H172" i="69" a="1"/>
  <c r="H172" i="69" s="1"/>
  <c r="U172" i="69" a="1"/>
  <c r="U172" i="69" s="1"/>
  <c r="Q172" i="69" a="1"/>
  <c r="Q172" i="69" s="1"/>
  <c r="R172" i="69" a="1"/>
  <c r="R172" i="69" s="1"/>
  <c r="H173" i="69" a="1"/>
  <c r="H173" i="69" s="1"/>
  <c r="F172" i="69" a="1"/>
  <c r="F172" i="69" s="1"/>
  <c r="J172" i="69" a="1"/>
  <c r="J172" i="69" s="1"/>
  <c r="T172" i="69" a="1"/>
  <c r="T172" i="69" s="1"/>
  <c r="I172" i="69" a="1"/>
  <c r="I172" i="69" s="1"/>
  <c r="F50" i="76" l="1"/>
  <c r="G103" i="69" a="1"/>
  <c r="G103" i="69" s="1"/>
  <c r="D50" i="76"/>
  <c r="D119" i="76" s="1" a="1"/>
  <c r="D119" i="76" s="1"/>
  <c r="H50" i="76"/>
  <c r="H65" i="76" s="1" a="1"/>
  <c r="H65" i="76" s="1"/>
  <c r="H96" i="76" s="1" a="1"/>
  <c r="H96" i="76" s="1"/>
  <c r="R50" i="76"/>
  <c r="R119" i="76" s="1" a="1"/>
  <c r="R119" i="76" s="1"/>
  <c r="Q103" i="69" a="1"/>
  <c r="Q103" i="69" s="1"/>
  <c r="E50" i="76"/>
  <c r="E65" i="76" s="1" a="1"/>
  <c r="E65" i="76" s="1"/>
  <c r="E96" i="76" s="1" a="1"/>
  <c r="E96" i="76" s="1"/>
  <c r="P103" i="69" a="1"/>
  <c r="P103" i="69" s="1"/>
  <c r="N50" i="76"/>
  <c r="N65" i="76" s="1" a="1"/>
  <c r="N65" i="76" s="1"/>
  <c r="N96" i="76" s="1" a="1"/>
  <c r="N96" i="76" s="1"/>
  <c r="P65" i="76" a="1"/>
  <c r="P65" i="76" s="1"/>
  <c r="P96" i="76" s="1" a="1"/>
  <c r="P96" i="76" s="1"/>
  <c r="P119" i="76" a="1"/>
  <c r="P119" i="76" s="1"/>
  <c r="N119" i="76" a="1"/>
  <c r="N119" i="76" s="1"/>
  <c r="Q65" i="76" a="1"/>
  <c r="Q65" i="76" s="1"/>
  <c r="Q96" i="76" s="1" a="1"/>
  <c r="Q96" i="76" s="1"/>
  <c r="Q119" i="76" a="1"/>
  <c r="Q119" i="76" s="1"/>
  <c r="G119" i="76" a="1"/>
  <c r="G119" i="76" s="1"/>
  <c r="G65" i="76" a="1"/>
  <c r="G65" i="76" s="1"/>
  <c r="G96" i="76" s="1" a="1"/>
  <c r="G96" i="76" s="1"/>
  <c r="O65" i="76" a="1"/>
  <c r="O65" i="76" s="1"/>
  <c r="O96" i="76" s="1" a="1"/>
  <c r="O96" i="76" s="1"/>
  <c r="O119" i="76" a="1"/>
  <c r="O119" i="76" s="1"/>
  <c r="F119" i="76" a="1"/>
  <c r="F119" i="76" s="1"/>
  <c r="F65" i="76" a="1"/>
  <c r="F65" i="76" s="1"/>
  <c r="F96" i="76" s="1" a="1"/>
  <c r="F96" i="76" s="1"/>
  <c r="A39" i="74"/>
  <c r="A38" i="74"/>
  <c r="A37" i="74"/>
  <c r="A36" i="74"/>
  <c r="A33" i="74"/>
  <c r="A30" i="74"/>
  <c r="A29" i="74"/>
  <c r="A28" i="74"/>
  <c r="A27" i="74"/>
  <c r="A26" i="74"/>
  <c r="A25" i="74"/>
  <c r="A24" i="74"/>
  <c r="A19" i="74"/>
  <c r="A18" i="74"/>
  <c r="A15" i="74"/>
  <c r="A14" i="74"/>
  <c r="A13" i="74"/>
  <c r="A12" i="74"/>
  <c r="A11" i="74"/>
  <c r="A10" i="74"/>
  <c r="A9" i="74"/>
  <c r="A8" i="74"/>
  <c r="A7" i="74"/>
  <c r="A4" i="74"/>
  <c r="D65" i="76" l="1" a="1"/>
  <c r="D65" i="76" s="1"/>
  <c r="D96" i="76" s="1" a="1"/>
  <c r="D96" i="76" s="1"/>
  <c r="D139" i="76" s="1" a="1"/>
  <c r="D139" i="76" s="1"/>
  <c r="D206" i="76" s="1" a="1"/>
  <c r="D206" i="76" s="1"/>
  <c r="E119" i="76" a="1"/>
  <c r="E119" i="76" s="1"/>
  <c r="H119" i="76" a="1"/>
  <c r="H119" i="76" s="1"/>
  <c r="H139" i="76" s="1" a="1"/>
  <c r="H139" i="76" s="1"/>
  <c r="F139" i="76" a="1"/>
  <c r="F139" i="76" s="1"/>
  <c r="F206" i="76" s="1" a="1"/>
  <c r="F206" i="76" s="1"/>
  <c r="F19" i="96" s="1"/>
  <c r="R65" i="76" a="1"/>
  <c r="R65" i="76" s="1"/>
  <c r="R96" i="76" s="1" a="1"/>
  <c r="R96" i="76" s="1"/>
  <c r="R139" i="76" s="1" a="1"/>
  <c r="R139" i="76" s="1"/>
  <c r="R169" i="76" s="1" a="1"/>
  <c r="R169" i="76" s="1"/>
  <c r="Q139" i="76" a="1"/>
  <c r="Q139" i="76" s="1"/>
  <c r="Q169" i="76" s="1" a="1"/>
  <c r="Q169" i="76" s="1"/>
  <c r="G139" i="76" a="1"/>
  <c r="G139" i="76" s="1"/>
  <c r="G206" i="76" s="1" a="1"/>
  <c r="G206" i="76" s="1"/>
  <c r="E139" i="76" a="1"/>
  <c r="E139" i="76" s="1"/>
  <c r="N139" i="76" a="1"/>
  <c r="N139" i="76" s="1"/>
  <c r="O139" i="76" a="1"/>
  <c r="O139" i="76" s="1"/>
  <c r="P139" i="76" a="1"/>
  <c r="P139" i="76" s="1"/>
  <c r="G139" i="70"/>
  <c r="F139" i="70"/>
  <c r="E139" i="70"/>
  <c r="G144" i="70"/>
  <c r="F144" i="70"/>
  <c r="E144" i="70"/>
  <c r="G169" i="76" l="1" a="1"/>
  <c r="G169" i="76" s="1"/>
  <c r="G19" i="96" s="1"/>
  <c r="H169" i="76" a="1"/>
  <c r="H169" i="76" s="1"/>
  <c r="H206" i="76" a="1"/>
  <c r="H206" i="76" s="1"/>
  <c r="H19" i="96" s="1"/>
  <c r="U31" i="96" s="1" a="1"/>
  <c r="U31" i="96" s="1"/>
  <c r="F169" i="76" a="1"/>
  <c r="F169" i="76" s="1"/>
  <c r="D169" i="76" a="1"/>
  <c r="D169" i="76" s="1"/>
  <c r="D19" i="96" s="1"/>
  <c r="Q31" i="96" s="1" a="1"/>
  <c r="Q31" i="96" s="1"/>
  <c r="R206" i="76" a="1"/>
  <c r="R206" i="76" s="1"/>
  <c r="T236" i="76" s="1" a="1"/>
  <c r="T236" i="76" s="1"/>
  <c r="U40" i="81" s="1"/>
  <c r="T31" i="96" a="1"/>
  <c r="T31" i="96" s="1"/>
  <c r="I31" i="96" a="1"/>
  <c r="I31" i="96" s="1"/>
  <c r="S31" i="96" a="1"/>
  <c r="S31" i="96" s="1"/>
  <c r="H31" i="96" a="1"/>
  <c r="H31" i="96" s="1"/>
  <c r="Q206" i="76" a="1"/>
  <c r="Q206" i="76" s="1"/>
  <c r="J241" i="76" a="1"/>
  <c r="J241" i="76" s="1"/>
  <c r="J45" i="81" s="1"/>
  <c r="H243" i="76" a="1"/>
  <c r="H243" i="76" s="1"/>
  <c r="H47" i="81" s="1"/>
  <c r="H242" i="76" a="1"/>
  <c r="H242" i="76" s="1"/>
  <c r="H46" i="81" s="1"/>
  <c r="H241" i="76" a="1"/>
  <c r="H241" i="76" s="1"/>
  <c r="H45" i="81" s="1"/>
  <c r="H239" i="76" a="1"/>
  <c r="H239" i="76" s="1"/>
  <c r="H43" i="81" s="1"/>
  <c r="H237" i="76" a="1"/>
  <c r="H237" i="76" s="1"/>
  <c r="H41" i="81" s="1"/>
  <c r="H236" i="76" a="1"/>
  <c r="H236" i="76" s="1"/>
  <c r="H40" i="81" s="1"/>
  <c r="H240" i="76" a="1"/>
  <c r="H240" i="76" s="1"/>
  <c r="H44" i="81" s="1"/>
  <c r="H238" i="76" a="1"/>
  <c r="H238" i="76" s="1"/>
  <c r="H42" i="81" s="1"/>
  <c r="S243" i="76" a="1"/>
  <c r="S243" i="76" s="1"/>
  <c r="T47" i="81" s="1"/>
  <c r="S241" i="76" a="1"/>
  <c r="S241" i="76" s="1"/>
  <c r="T45" i="81" s="1"/>
  <c r="S236" i="76" a="1"/>
  <c r="S236" i="76" s="1"/>
  <c r="T40" i="81" s="1"/>
  <c r="S239" i="76" a="1"/>
  <c r="S239" i="76" s="1"/>
  <c r="T43" i="81" s="1"/>
  <c r="S238" i="76" a="1"/>
  <c r="S238" i="76" s="1"/>
  <c r="T42" i="81" s="1"/>
  <c r="S240" i="76" a="1"/>
  <c r="S240" i="76" s="1"/>
  <c r="T44" i="81" s="1"/>
  <c r="S237" i="76" a="1"/>
  <c r="S237" i="76" s="1"/>
  <c r="T41" i="81" s="1"/>
  <c r="S242" i="76" a="1"/>
  <c r="S242" i="76" s="1"/>
  <c r="T46" i="81" s="1"/>
  <c r="I243" i="76" a="1"/>
  <c r="I243" i="76" s="1"/>
  <c r="I47" i="81" s="1"/>
  <c r="I242" i="76" a="1"/>
  <c r="I242" i="76" s="1"/>
  <c r="I46" i="81" s="1"/>
  <c r="I241" i="76" a="1"/>
  <c r="I241" i="76" s="1"/>
  <c r="I45" i="81" s="1"/>
  <c r="I240" i="76" a="1"/>
  <c r="I240" i="76" s="1"/>
  <c r="I44" i="81" s="1"/>
  <c r="I239" i="76" a="1"/>
  <c r="I239" i="76" s="1"/>
  <c r="I43" i="81" s="1"/>
  <c r="I238" i="76" a="1"/>
  <c r="I238" i="76" s="1"/>
  <c r="I42" i="81" s="1"/>
  <c r="I237" i="76" a="1"/>
  <c r="I237" i="76" s="1"/>
  <c r="I41" i="81" s="1"/>
  <c r="I236" i="76" a="1"/>
  <c r="I236" i="76" s="1"/>
  <c r="I40" i="81" s="1"/>
  <c r="O169" i="76" a="1"/>
  <c r="O169" i="76" s="1"/>
  <c r="O206" i="76" a="1"/>
  <c r="O206" i="76" s="1"/>
  <c r="E169" i="76" a="1"/>
  <c r="E169" i="76" s="1"/>
  <c r="E19" i="96" s="1"/>
  <c r="E206" i="76" a="1"/>
  <c r="E206" i="76" s="1"/>
  <c r="N169" i="76" a="1"/>
  <c r="N169" i="76" s="1"/>
  <c r="N206" i="76" a="1"/>
  <c r="N206" i="76" s="1"/>
  <c r="P169" i="76" a="1"/>
  <c r="P169" i="76" s="1"/>
  <c r="P206" i="76" a="1"/>
  <c r="P206" i="76" s="1"/>
  <c r="F243" i="76" l="1" a="1"/>
  <c r="F243" i="76" s="1"/>
  <c r="F47" i="81" s="1"/>
  <c r="J239" i="76" a="1"/>
  <c r="J239" i="76" s="1"/>
  <c r="J43" i="81" s="1"/>
  <c r="F237" i="76" a="1"/>
  <c r="F237" i="76" s="1"/>
  <c r="F41" i="81" s="1"/>
  <c r="F239" i="76" a="1"/>
  <c r="F239" i="76" s="1"/>
  <c r="F43" i="81" s="1"/>
  <c r="T239" i="76" a="1"/>
  <c r="T239" i="76" s="1"/>
  <c r="U43" i="81" s="1"/>
  <c r="F238" i="76" a="1"/>
  <c r="F238" i="76" s="1"/>
  <c r="F42" i="81" s="1"/>
  <c r="T240" i="76" a="1"/>
  <c r="T240" i="76" s="1"/>
  <c r="U44" i="81" s="1"/>
  <c r="T238" i="76" a="1"/>
  <c r="T238" i="76" s="1"/>
  <c r="U42" i="81" s="1"/>
  <c r="T243" i="76" a="1"/>
  <c r="T243" i="76" s="1"/>
  <c r="U47" i="81" s="1"/>
  <c r="J236" i="76" a="1"/>
  <c r="J236" i="76" s="1"/>
  <c r="F31" i="96" a="1"/>
  <c r="F31" i="96" s="1"/>
  <c r="F23" i="98" s="1"/>
  <c r="F28" i="98" s="1" a="1"/>
  <c r="F28" i="98" s="1"/>
  <c r="J242" i="76" a="1"/>
  <c r="J242" i="76" s="1"/>
  <c r="J25" i="82" s="1"/>
  <c r="J46" i="82" s="1" a="1"/>
  <c r="J46" i="82" s="1"/>
  <c r="T242" i="76" a="1"/>
  <c r="T242" i="76" s="1"/>
  <c r="U46" i="81" s="1"/>
  <c r="J31" i="96" a="1"/>
  <c r="J31" i="96" s="1"/>
  <c r="J51" i="96" s="1" a="1"/>
  <c r="J51" i="96" s="1"/>
  <c r="T241" i="76" a="1"/>
  <c r="T241" i="76" s="1"/>
  <c r="T276" i="76" s="1" a="1"/>
  <c r="T276" i="76" s="1"/>
  <c r="J243" i="76" a="1"/>
  <c r="J243" i="76" s="1"/>
  <c r="J240" i="76" a="1"/>
  <c r="J240" i="76" s="1"/>
  <c r="J238" i="76" a="1"/>
  <c r="J238" i="76" s="1"/>
  <c r="F236" i="76" a="1"/>
  <c r="F236" i="76" s="1"/>
  <c r="J237" i="76" a="1"/>
  <c r="J237" i="76" s="1"/>
  <c r="J41" i="81" s="1"/>
  <c r="F240" i="76" a="1"/>
  <c r="F240" i="76" s="1"/>
  <c r="F241" i="76" a="1"/>
  <c r="F241" i="76" s="1"/>
  <c r="F45" i="81" s="1"/>
  <c r="F242" i="76" a="1"/>
  <c r="F242" i="76" s="1"/>
  <c r="F277" i="76" s="1" a="1"/>
  <c r="F277" i="76" s="1"/>
  <c r="T237" i="76" a="1"/>
  <c r="T237" i="76" s="1"/>
  <c r="U41" i="81" s="1"/>
  <c r="H23" i="98"/>
  <c r="H28" i="98" s="1" a="1"/>
  <c r="H28" i="98" s="1"/>
  <c r="H19" i="97"/>
  <c r="H24" i="97" s="1" a="1"/>
  <c r="H24" i="97" s="1"/>
  <c r="S23" i="98"/>
  <c r="S28" i="98" s="1" a="1"/>
  <c r="S28" i="98" s="1"/>
  <c r="S19" i="97"/>
  <c r="S24" i="97" s="1" a="1"/>
  <c r="S24" i="97" s="1"/>
  <c r="Q23" i="98"/>
  <c r="Q28" i="98" s="1" a="1"/>
  <c r="Q28" i="98" s="1"/>
  <c r="Q19" i="97"/>
  <c r="Q24" i="97" s="1" a="1"/>
  <c r="Q24" i="97" s="1"/>
  <c r="U23" i="98"/>
  <c r="U28" i="98" s="1" a="1"/>
  <c r="U28" i="98" s="1"/>
  <c r="U19" i="97"/>
  <c r="U24" i="97" s="1" a="1"/>
  <c r="U24" i="97" s="1"/>
  <c r="I19" i="97"/>
  <c r="I24" i="97" s="1" a="1"/>
  <c r="I24" i="97" s="1"/>
  <c r="I23" i="98"/>
  <c r="I28" i="98" s="1" a="1"/>
  <c r="I28" i="98" s="1"/>
  <c r="T23" i="98"/>
  <c r="T28" i="98" s="1" a="1"/>
  <c r="T28" i="98" s="1"/>
  <c r="T19" i="97"/>
  <c r="T24" i="97" s="1" a="1"/>
  <c r="T24" i="97" s="1"/>
  <c r="H51" i="96" a="1"/>
  <c r="H51" i="96" s="1"/>
  <c r="S51" i="96" a="1"/>
  <c r="S51" i="96" s="1"/>
  <c r="Q51" i="96" a="1"/>
  <c r="Q51" i="96" s="1"/>
  <c r="U51" i="96" a="1"/>
  <c r="U51" i="96" s="1"/>
  <c r="I51" i="96" a="1"/>
  <c r="I51" i="96" s="1"/>
  <c r="T51" i="96" a="1"/>
  <c r="T51" i="96" s="1"/>
  <c r="R31" i="96" a="1"/>
  <c r="R3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U23" i="95"/>
  <c r="U29" i="95" s="1" a="1"/>
  <c r="U29" i="95" s="1"/>
  <c r="U22" i="82"/>
  <c r="U43" i="82" s="1" a="1"/>
  <c r="U43" i="82" s="1"/>
  <c r="T23" i="82"/>
  <c r="T44" i="82" s="1" a="1"/>
  <c r="T44" i="82" s="1"/>
  <c r="F20" i="82"/>
  <c r="F41" i="82" s="1" a="1"/>
  <c r="F41" i="82" s="1"/>
  <c r="U19" i="82"/>
  <c r="U40" i="82" s="1" a="1"/>
  <c r="U40" i="82" s="1"/>
  <c r="T19" i="82"/>
  <c r="T40" i="82" s="1" a="1"/>
  <c r="T40" i="82" s="1"/>
  <c r="I24" i="95"/>
  <c r="I30" i="95" s="1" a="1"/>
  <c r="I30" i="95" s="1"/>
  <c r="I26" i="82"/>
  <c r="I47" i="82" s="1" a="1"/>
  <c r="I47" i="82" s="1"/>
  <c r="F23" i="95"/>
  <c r="F29" i="95" s="1" a="1"/>
  <c r="F29" i="95" s="1"/>
  <c r="F22" i="82"/>
  <c r="F43" i="82" s="1" a="1"/>
  <c r="F43" i="82" s="1"/>
  <c r="I20" i="82"/>
  <c r="I41" i="82" s="1" a="1"/>
  <c r="I41" i="82" s="1"/>
  <c r="T24" i="95"/>
  <c r="T30" i="95" s="1" a="1"/>
  <c r="T30" i="95" s="1"/>
  <c r="T26" i="82"/>
  <c r="T47" i="82" s="1" a="1"/>
  <c r="T47" i="82" s="1"/>
  <c r="J24" i="82"/>
  <c r="J45" i="82" s="1" a="1"/>
  <c r="J45" i="82" s="1"/>
  <c r="I21" i="82"/>
  <c r="I42" i="82" s="1" a="1"/>
  <c r="I42" i="82" s="1"/>
  <c r="H21" i="82"/>
  <c r="H42" i="82" s="1" a="1"/>
  <c r="H42" i="82" s="1"/>
  <c r="T21" i="82"/>
  <c r="T42" i="82" s="1" a="1"/>
  <c r="T42" i="82" s="1"/>
  <c r="T24" i="82"/>
  <c r="T45" i="82" s="1" a="1"/>
  <c r="T45" i="82" s="1"/>
  <c r="I23" i="95"/>
  <c r="I29" i="95" s="1" a="1"/>
  <c r="I29" i="95" s="1"/>
  <c r="I22" i="82"/>
  <c r="I43" i="82" s="1" a="1"/>
  <c r="I43" i="82" s="1"/>
  <c r="H23" i="82"/>
  <c r="H44" i="82" s="1" a="1"/>
  <c r="H44" i="82" s="1"/>
  <c r="F24" i="95"/>
  <c r="F30" i="95" s="1" a="1"/>
  <c r="F30" i="95" s="1"/>
  <c r="F26" i="82"/>
  <c r="F47" i="82" s="1" a="1"/>
  <c r="F47" i="82" s="1"/>
  <c r="H19" i="82"/>
  <c r="H40" i="82" s="1" a="1"/>
  <c r="H40" i="82" s="1"/>
  <c r="U23" i="82"/>
  <c r="U44" i="82" s="1" a="1"/>
  <c r="U44" i="82" s="1"/>
  <c r="I19" i="82"/>
  <c r="I40" i="82" s="1" a="1"/>
  <c r="I40" i="82" s="1"/>
  <c r="I23" i="82"/>
  <c r="I44" i="82" s="1" a="1"/>
  <c r="I44" i="82" s="1"/>
  <c r="I24" i="82"/>
  <c r="I45" i="82" s="1" a="1"/>
  <c r="I45" i="82" s="1"/>
  <c r="H20" i="82"/>
  <c r="H41" i="82" s="1" a="1"/>
  <c r="H41" i="82" s="1"/>
  <c r="U21" i="82"/>
  <c r="U42" i="82" s="1" a="1"/>
  <c r="U42" i="82" s="1"/>
  <c r="J23" i="95"/>
  <c r="J29" i="95" s="1" a="1"/>
  <c r="J29" i="95" s="1"/>
  <c r="J22" i="82"/>
  <c r="J43" i="82" s="1" a="1"/>
  <c r="J43" i="82" s="1"/>
  <c r="T23" i="95"/>
  <c r="T29" i="95" s="1" a="1"/>
  <c r="T29" i="95" s="1"/>
  <c r="T22" i="82"/>
  <c r="T43" i="82" s="1" a="1"/>
  <c r="T43" i="82" s="1"/>
  <c r="I25" i="82"/>
  <c r="I46" i="82" s="1" a="1"/>
  <c r="I46" i="82" s="1"/>
  <c r="H23" i="95"/>
  <c r="H29" i="95" s="1" a="1"/>
  <c r="H29" i="95" s="1"/>
  <c r="H22" i="82"/>
  <c r="H43" i="82" s="1" a="1"/>
  <c r="H43" i="82" s="1"/>
  <c r="I277" i="76" a="1"/>
  <c r="I277" i="76" s="1"/>
  <c r="H274" i="76" a="1"/>
  <c r="H274" i="76" s="1"/>
  <c r="I278" i="76" a="1"/>
  <c r="I278" i="76" s="1"/>
  <c r="H276" i="76" a="1"/>
  <c r="H276" i="76" s="1"/>
  <c r="F274" i="76" a="1"/>
  <c r="F274" i="76" s="1"/>
  <c r="H277" i="76" a="1"/>
  <c r="H277" i="76" s="1"/>
  <c r="P240" i="76" a="1"/>
  <c r="P240" i="76" s="1"/>
  <c r="Q44" i="81" s="1"/>
  <c r="P238" i="76" a="1"/>
  <c r="P238" i="76" s="1"/>
  <c r="Q42" i="81" s="1"/>
  <c r="P243" i="76" a="1"/>
  <c r="P243" i="76" s="1"/>
  <c r="Q47" i="81" s="1"/>
  <c r="P241" i="76" a="1"/>
  <c r="P241" i="76" s="1"/>
  <c r="Q45" i="81" s="1"/>
  <c r="P236" i="76" a="1"/>
  <c r="P236" i="76" s="1"/>
  <c r="Q40" i="81" s="1"/>
  <c r="P239" i="76" a="1"/>
  <c r="P239" i="76" s="1"/>
  <c r="Q43" i="81" s="1"/>
  <c r="P242" i="76" a="1"/>
  <c r="P242" i="76" s="1"/>
  <c r="Q46" i="81" s="1"/>
  <c r="P237" i="76" a="1"/>
  <c r="P237" i="76" s="1"/>
  <c r="Q41" i="81" s="1"/>
  <c r="S275" i="76" a="1"/>
  <c r="S275" i="76" s="1"/>
  <c r="F272" i="76" a="1"/>
  <c r="F272" i="76" s="1"/>
  <c r="S276" i="76" a="1"/>
  <c r="S276" i="76" s="1"/>
  <c r="S277" i="76" a="1"/>
  <c r="S277" i="76" s="1"/>
  <c r="H278" i="76" a="1"/>
  <c r="H278" i="76" s="1"/>
  <c r="S278" i="76" a="1"/>
  <c r="S278" i="76" s="1"/>
  <c r="J276" i="76" a="1"/>
  <c r="J276" i="76" s="1"/>
  <c r="I273" i="76" a="1"/>
  <c r="I273" i="76" s="1"/>
  <c r="H273" i="76" a="1"/>
  <c r="H273" i="76" s="1"/>
  <c r="S273" i="76" a="1"/>
  <c r="S273" i="76" s="1"/>
  <c r="S271" i="76" a="1"/>
  <c r="S271" i="76" s="1"/>
  <c r="I272" i="76" a="1"/>
  <c r="I272" i="76" s="1"/>
  <c r="F278" i="76" a="1"/>
  <c r="F278" i="76" s="1"/>
  <c r="G238" i="76" a="1"/>
  <c r="G238" i="76" s="1"/>
  <c r="G42" i="81" s="1"/>
  <c r="G237" i="76" a="1"/>
  <c r="G237" i="76" s="1"/>
  <c r="G41" i="81" s="1"/>
  <c r="G236" i="76" a="1"/>
  <c r="G236" i="76" s="1"/>
  <c r="G40" i="81" s="1"/>
  <c r="G243" i="76" a="1"/>
  <c r="G243" i="76" s="1"/>
  <c r="G47" i="81" s="1"/>
  <c r="G240" i="76" a="1"/>
  <c r="G240" i="76" s="1"/>
  <c r="G44" i="81" s="1"/>
  <c r="G239" i="76" a="1"/>
  <c r="G239" i="76" s="1"/>
  <c r="G43" i="81" s="1"/>
  <c r="G241" i="76" a="1"/>
  <c r="G241" i="76" s="1"/>
  <c r="G45" i="81" s="1"/>
  <c r="G242" i="76" a="1"/>
  <c r="G242" i="76" s="1"/>
  <c r="G46" i="81" s="1"/>
  <c r="I271" i="76" a="1"/>
  <c r="I271" i="76" s="1"/>
  <c r="I274" i="76" a="1"/>
  <c r="I274" i="76" s="1"/>
  <c r="I275" i="76" a="1"/>
  <c r="I275" i="76" s="1"/>
  <c r="T275" i="76" a="1"/>
  <c r="T275" i="76" s="1"/>
  <c r="J273" i="76" a="1"/>
  <c r="J273" i="76" s="1"/>
  <c r="S272" i="76" a="1"/>
  <c r="S272" i="76" s="1"/>
  <c r="T274" i="76" a="1"/>
  <c r="T274" i="76" s="1"/>
  <c r="T271" i="76" a="1"/>
  <c r="T271" i="76" s="1"/>
  <c r="S274" i="76" a="1"/>
  <c r="S274" i="76" s="1"/>
  <c r="Q243" i="76" a="1"/>
  <c r="Q243" i="76" s="1"/>
  <c r="R47" i="81" s="1"/>
  <c r="Q238" i="76" a="1"/>
  <c r="Q238" i="76" s="1"/>
  <c r="R42" i="81" s="1"/>
  <c r="Q241" i="76" a="1"/>
  <c r="Q241" i="76" s="1"/>
  <c r="R45" i="81" s="1"/>
  <c r="Q236" i="76" a="1"/>
  <c r="Q236" i="76" s="1"/>
  <c r="R40" i="81" s="1"/>
  <c r="Q240" i="76" a="1"/>
  <c r="Q240" i="76" s="1"/>
  <c r="R44" i="81" s="1"/>
  <c r="Q242" i="76" a="1"/>
  <c r="Q242" i="76" s="1"/>
  <c r="R46" i="81" s="1"/>
  <c r="Q239" i="76" a="1"/>
  <c r="Q239" i="76" s="1"/>
  <c r="R43" i="81" s="1"/>
  <c r="Q237" i="76" a="1"/>
  <c r="Q237" i="76" s="1"/>
  <c r="R41" i="81" s="1"/>
  <c r="H275" i="76" a="1"/>
  <c r="H275" i="76" s="1"/>
  <c r="R243" i="76" a="1"/>
  <c r="R243" i="76" s="1"/>
  <c r="S47" i="81" s="1"/>
  <c r="R238" i="76" a="1"/>
  <c r="R238" i="76" s="1"/>
  <c r="S42" i="81" s="1"/>
  <c r="R241" i="76" a="1"/>
  <c r="R241" i="76" s="1"/>
  <c r="S45" i="81" s="1"/>
  <c r="R236" i="76" a="1"/>
  <c r="R236" i="76" s="1"/>
  <c r="S40" i="81" s="1"/>
  <c r="R239" i="76" a="1"/>
  <c r="R239" i="76" s="1"/>
  <c r="S43" i="81" s="1"/>
  <c r="R237" i="76" a="1"/>
  <c r="R237" i="76" s="1"/>
  <c r="S41" i="81" s="1"/>
  <c r="R240" i="76" a="1"/>
  <c r="R240" i="76" s="1"/>
  <c r="S44" i="81" s="1"/>
  <c r="R242" i="76" a="1"/>
  <c r="R242" i="76" s="1"/>
  <c r="S46" i="81" s="1"/>
  <c r="H271" i="76" a="1"/>
  <c r="H271" i="76" s="1"/>
  <c r="I276" i="76" a="1"/>
  <c r="I276" i="76" s="1"/>
  <c r="H272" i="76" a="1"/>
  <c r="H272" i="76" s="1"/>
  <c r="T273" i="76" a="1"/>
  <c r="T273" i="76" s="1"/>
  <c r="J274" i="76" a="1"/>
  <c r="J274" i="76" s="1"/>
  <c r="A24" i="13"/>
  <c r="A22" i="13"/>
  <c r="A23" i="13"/>
  <c r="A7" i="13"/>
  <c r="A4" i="13"/>
  <c r="A3" i="13"/>
  <c r="F273" i="76" l="1" a="1"/>
  <c r="F273" i="76" s="1"/>
  <c r="F21" i="82"/>
  <c r="F42" i="82" s="1" a="1"/>
  <c r="F42" i="82" s="1"/>
  <c r="T278" i="76" a="1"/>
  <c r="T278" i="76" s="1"/>
  <c r="T277" i="76" a="1"/>
  <c r="T277" i="76" s="1"/>
  <c r="U49" i="95" a="1"/>
  <c r="U49" i="95" s="1"/>
  <c r="U55" i="81"/>
  <c r="U26" i="82"/>
  <c r="U47" i="82" s="1" a="1"/>
  <c r="U47" i="82" s="1"/>
  <c r="U24" i="95"/>
  <c r="U30" i="95" s="1" a="1"/>
  <c r="U30" i="95" s="1"/>
  <c r="H50" i="95" a="1"/>
  <c r="H50" i="95" s="1"/>
  <c r="H59" i="81"/>
  <c r="F275" i="76" a="1"/>
  <c r="F275" i="76" s="1"/>
  <c r="F44" i="81"/>
  <c r="I49" i="95" a="1"/>
  <c r="I49" i="95" s="1"/>
  <c r="I55" i="81"/>
  <c r="J24" i="95"/>
  <c r="J30" i="95" s="1" a="1"/>
  <c r="J30" i="95" s="1"/>
  <c r="J47" i="81"/>
  <c r="J19" i="82"/>
  <c r="J40" i="82" s="1" a="1"/>
  <c r="J40" i="82" s="1"/>
  <c r="J40" i="81"/>
  <c r="F49" i="95" a="1"/>
  <c r="F49" i="95" s="1"/>
  <c r="F55" i="81"/>
  <c r="U25" i="82"/>
  <c r="U46" i="82" s="1" a="1"/>
  <c r="U46" i="82" s="1"/>
  <c r="T49" i="95" a="1"/>
  <c r="T49" i="95" s="1"/>
  <c r="T55" i="81"/>
  <c r="U24" i="82"/>
  <c r="U45" i="82" s="1" a="1"/>
  <c r="U45" i="82" s="1"/>
  <c r="U45" i="81"/>
  <c r="J49" i="95" a="1"/>
  <c r="J49" i="95" s="1"/>
  <c r="J55" i="81"/>
  <c r="J277" i="76" a="1"/>
  <c r="J277" i="76" s="1"/>
  <c r="J46" i="81"/>
  <c r="F25" i="82"/>
  <c r="F46" i="82" s="1" a="1"/>
  <c r="F46" i="82" s="1"/>
  <c r="F46" i="81"/>
  <c r="H49" i="95" a="1"/>
  <c r="H49" i="95" s="1"/>
  <c r="H55" i="81"/>
  <c r="F50" i="95" a="1"/>
  <c r="F50" i="95" s="1"/>
  <c r="F59" i="81"/>
  <c r="F271" i="76" a="1"/>
  <c r="F271" i="76" s="1"/>
  <c r="F40" i="81"/>
  <c r="I50" i="95" a="1"/>
  <c r="I50" i="95" s="1"/>
  <c r="I59" i="81"/>
  <c r="J21" i="82"/>
  <c r="J42" i="82" s="1" a="1"/>
  <c r="J42" i="82" s="1"/>
  <c r="J42" i="81"/>
  <c r="J271" i="76" a="1"/>
  <c r="J271" i="76" s="1"/>
  <c r="T50" i="95" a="1"/>
  <c r="T50" i="95" s="1"/>
  <c r="T59" i="81"/>
  <c r="J23" i="82"/>
  <c r="J44" i="82" s="1" a="1"/>
  <c r="J44" i="82" s="1"/>
  <c r="J44" i="81"/>
  <c r="J23" i="98"/>
  <c r="J28" i="98" s="1" a="1"/>
  <c r="J28" i="98" s="1"/>
  <c r="U20" i="82"/>
  <c r="U41" i="82" s="1" a="1"/>
  <c r="U41" i="82" s="1"/>
  <c r="J19" i="97"/>
  <c r="J24" i="97" s="1" a="1"/>
  <c r="J24" i="97" s="1"/>
  <c r="J278" i="76" a="1"/>
  <c r="J278" i="76" s="1"/>
  <c r="F19" i="82"/>
  <c r="F40" i="82" s="1" a="1"/>
  <c r="F40" i="82" s="1"/>
  <c r="J275" i="76" a="1"/>
  <c r="J275" i="76" s="1"/>
  <c r="F51" i="96" a="1"/>
  <c r="F51" i="96" s="1"/>
  <c r="F19" i="97"/>
  <c r="F24" i="97" s="1" a="1"/>
  <c r="F24" i="97" s="1"/>
  <c r="T272" i="76" a="1"/>
  <c r="T272" i="76" s="1"/>
  <c r="F276" i="76" a="1"/>
  <c r="F276" i="76" s="1"/>
  <c r="F24" i="82"/>
  <c r="F45" i="82" s="1" a="1"/>
  <c r="F45" i="82" s="1"/>
  <c r="J272" i="76" a="1"/>
  <c r="J272" i="76" s="1"/>
  <c r="F23" i="82"/>
  <c r="F44" i="82" s="1" a="1"/>
  <c r="F44" i="82" s="1"/>
  <c r="J20" i="82"/>
  <c r="J41" i="82" s="1" a="1"/>
  <c r="J41" i="82" s="1"/>
  <c r="J26" i="82"/>
  <c r="J47" i="82" s="1" a="1"/>
  <c r="J47" i="82" s="1"/>
  <c r="G23" i="98"/>
  <c r="G28" i="98" s="1" a="1"/>
  <c r="G28" i="98" s="1"/>
  <c r="G19" i="97"/>
  <c r="G24" i="97" s="1" a="1"/>
  <c r="G24" i="97" s="1"/>
  <c r="R23" i="98"/>
  <c r="R28" i="98" s="1" a="1"/>
  <c r="R28" i="98" s="1"/>
  <c r="P30" i="98" s="1"/>
  <c r="S43" i="98" s="1"/>
  <c r="P47" i="98" s="1" a="1"/>
  <c r="P47" i="98" s="1"/>
  <c r="R19" i="97"/>
  <c r="R24" i="97" s="1" a="1"/>
  <c r="R24" i="97" s="1"/>
  <c r="P26" i="97" s="1"/>
  <c r="S38" i="97" s="1"/>
  <c r="P45" i="97" s="1" a="1"/>
  <c r="P45" i="97" s="1"/>
  <c r="G51" i="96" a="1"/>
  <c r="G51" i="96" s="1"/>
  <c r="R51" i="96" a="1"/>
  <c r="R51" i="96" s="1"/>
  <c r="P53"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77" i="76" a="1"/>
  <c r="G277" i="76" s="1"/>
  <c r="R273" i="76" a="1"/>
  <c r="R273" i="76" s="1"/>
  <c r="P272" i="76" a="1"/>
  <c r="P272" i="76" s="1"/>
  <c r="P277" i="76" a="1"/>
  <c r="P277" i="76" s="1"/>
  <c r="P274" i="76" a="1"/>
  <c r="P274" i="76" s="1"/>
  <c r="R278" i="76" a="1"/>
  <c r="R278" i="76" s="1"/>
  <c r="P271" i="76" a="1"/>
  <c r="P271" i="76" s="1"/>
  <c r="Q277" i="76" a="1"/>
  <c r="Q277" i="76" s="1"/>
  <c r="G274" i="76" a="1"/>
  <c r="G274" i="76" s="1"/>
  <c r="P276" i="76" a="1"/>
  <c r="P276" i="76" s="1"/>
  <c r="P278" i="76" a="1"/>
  <c r="P278" i="76" s="1"/>
  <c r="P273" i="76" a="1"/>
  <c r="P273" i="76" s="1"/>
  <c r="Q272" i="76" a="1"/>
  <c r="Q272" i="76" s="1"/>
  <c r="Q274" i="76" a="1"/>
  <c r="Q274" i="76" s="1"/>
  <c r="G276" i="76" a="1"/>
  <c r="G276" i="76" s="1"/>
  <c r="G275" i="76" a="1"/>
  <c r="G275" i="76" s="1"/>
  <c r="R277" i="76" a="1"/>
  <c r="R277" i="76" s="1"/>
  <c r="Q271" i="76" a="1"/>
  <c r="Q271" i="76" s="1"/>
  <c r="G278" i="76" a="1"/>
  <c r="G278" i="76" s="1"/>
  <c r="R275" i="76" a="1"/>
  <c r="R275" i="76" s="1"/>
  <c r="Q276" i="76" a="1"/>
  <c r="Q276" i="76" s="1"/>
  <c r="G271" i="76" a="1"/>
  <c r="G271" i="76" s="1"/>
  <c r="P275" i="76" a="1"/>
  <c r="P275" i="76" s="1"/>
  <c r="Q275" i="76" a="1"/>
  <c r="Q275" i="76" s="1"/>
  <c r="R272" i="76" a="1"/>
  <c r="R272" i="76" s="1"/>
  <c r="R274" i="76" a="1"/>
  <c r="R274" i="76" s="1"/>
  <c r="G273" i="76" a="1"/>
  <c r="G273" i="76" s="1"/>
  <c r="R271" i="76" a="1"/>
  <c r="R271" i="76" s="1"/>
  <c r="Q273" i="76" a="1"/>
  <c r="Q273" i="76" s="1"/>
  <c r="G272" i="76" a="1"/>
  <c r="G272" i="76" s="1"/>
  <c r="Q278" i="76" a="1"/>
  <c r="Q278" i="76" s="1"/>
  <c r="R276" i="76" a="1"/>
  <c r="R276"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J50" i="95" l="1" a="1"/>
  <c r="J50" i="95" s="1"/>
  <c r="J59" i="81"/>
  <c r="G49" i="95" a="1"/>
  <c r="G49" i="95" s="1"/>
  <c r="G55" i="81"/>
  <c r="G50" i="95" a="1"/>
  <c r="G50" i="95" s="1"/>
  <c r="G59" i="81"/>
  <c r="R50" i="95" a="1"/>
  <c r="R50" i="95" s="1"/>
  <c r="R59" i="81"/>
  <c r="U50" i="95" a="1"/>
  <c r="U50" i="95" s="1"/>
  <c r="U59" i="81"/>
  <c r="S49" i="95" a="1"/>
  <c r="S49" i="95" s="1"/>
  <c r="S55" i="81"/>
  <c r="S50" i="95" a="1"/>
  <c r="S50" i="95" s="1"/>
  <c r="S59" i="81"/>
  <c r="Q50" i="95" a="1"/>
  <c r="Q50" i="95" s="1"/>
  <c r="Q59" i="81"/>
  <c r="R49" i="95" a="1"/>
  <c r="R49" i="95" s="1"/>
  <c r="R55" i="81"/>
  <c r="Q49" i="95" a="1"/>
  <c r="Q49" i="95" s="1"/>
  <c r="Q55" i="81"/>
  <c r="E30" i="98"/>
  <c r="H43" i="98" s="1"/>
  <c r="E47" i="98" s="1" a="1"/>
  <c r="E47" i="98" s="1"/>
  <c r="G49" i="98" s="1"/>
  <c r="E52" i="98" s="1" a="1"/>
  <c r="E52" i="98" s="1"/>
  <c r="H13" i="13" s="1"/>
  <c r="E26" i="97"/>
  <c r="H38" i="97" s="1"/>
  <c r="E45" i="97" s="1" a="1"/>
  <c r="E45" i="97" s="1"/>
  <c r="E12" i="13" s="1"/>
  <c r="E53" i="96"/>
  <c r="G55" i="96" s="1"/>
  <c r="E58" i="96" s="1" a="1"/>
  <c r="E58" i="96" s="1"/>
  <c r="H11" i="13" s="1"/>
  <c r="E28" i="98"/>
  <c r="P28" i="98"/>
  <c r="E23" i="98"/>
  <c r="P23" i="98"/>
  <c r="E49" i="82"/>
  <c r="R61" i="82" s="1"/>
  <c r="P68" i="82" s="1" a="1"/>
  <c r="P68" i="82" s="1"/>
  <c r="F9" i="13" s="1"/>
  <c r="F13" i="13"/>
  <c r="R49" i="98"/>
  <c r="P52" i="98" s="1" a="1"/>
  <c r="P52" i="98" s="1"/>
  <c r="I13" i="13" s="1"/>
  <c r="P49" i="82"/>
  <c r="R55" i="96"/>
  <c r="P58" i="96" s="1" a="1"/>
  <c r="P58" i="96" s="1"/>
  <c r="I11" i="13" s="1"/>
  <c r="F11" i="13"/>
  <c r="R47" i="97"/>
  <c r="P50" i="97" s="1" a="1"/>
  <c r="P50" i="97" s="1"/>
  <c r="I12" i="13" s="1"/>
  <c r="F12" i="13"/>
  <c r="P19" i="97"/>
  <c r="E19" i="97"/>
  <c r="P24" i="97"/>
  <c r="E24" i="97"/>
  <c r="P51" i="96"/>
  <c r="P25" i="96"/>
  <c r="E25" i="96"/>
  <c r="P31" i="96"/>
  <c r="E51" i="96"/>
  <c r="E31" i="96"/>
  <c r="D196" i="69"/>
  <c r="E196" i="69" s="1" a="1"/>
  <c r="E196" i="69" s="1"/>
  <c r="D72" i="70"/>
  <c r="D106" i="70"/>
  <c r="D197" i="69"/>
  <c r="E197" i="69" s="1" a="1"/>
  <c r="E197" i="69" s="1"/>
  <c r="D77" i="70"/>
  <c r="D111" i="70"/>
  <c r="D195" i="69"/>
  <c r="E195" i="69" s="1" a="1"/>
  <c r="E195" i="69" s="1"/>
  <c r="D67" i="70"/>
  <c r="D101" i="70"/>
  <c r="D198" i="69"/>
  <c r="E198" i="69" s="1" a="1"/>
  <c r="E198" i="69" s="1"/>
  <c r="D82" i="70"/>
  <c r="D116" i="70"/>
  <c r="E29" i="15"/>
  <c r="E52" i="95" l="1"/>
  <c r="G54" i="95" s="1"/>
  <c r="E57" i="95" s="1" a="1"/>
  <c r="E57" i="95" s="1"/>
  <c r="H10" i="13" s="1"/>
  <c r="P52" i="95"/>
  <c r="R54" i="95" s="1"/>
  <c r="P57" i="95" s="1" a="1"/>
  <c r="P57" i="95" s="1"/>
  <c r="I10"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55" i="81"/>
  <c r="P43" i="81"/>
  <c r="E43" i="81"/>
  <c r="P55" i="81"/>
  <c r="P142" i="81"/>
  <c r="E130" i="81"/>
  <c r="E142" i="81"/>
  <c r="P47" i="81"/>
  <c r="P59" i="81"/>
  <c r="E59" i="81"/>
  <c r="E47" i="81"/>
  <c r="P146" i="81"/>
  <c r="E134" i="81"/>
  <c r="E146" i="81"/>
  <c r="E13" i="13"/>
  <c r="G47" i="97"/>
  <c r="E50" i="97" s="1" a="1"/>
  <c r="E50" i="97" s="1"/>
  <c r="H12" i="13" s="1"/>
  <c r="E11" i="13"/>
  <c r="G61" i="82"/>
  <c r="E68" i="82" s="1" a="1"/>
  <c r="E68" i="82" s="1"/>
  <c r="E9" i="13" s="1"/>
  <c r="E10" i="13"/>
  <c r="E67" i="81"/>
  <c r="E23" i="95"/>
  <c r="E49" i="95"/>
  <c r="P29" i="95"/>
  <c r="P79" i="81"/>
  <c r="P109" i="81"/>
  <c r="E79" i="81"/>
  <c r="E109" i="81"/>
  <c r="P23" i="95"/>
  <c r="E29" i="95"/>
  <c r="P49" i="95"/>
  <c r="E68" i="81"/>
  <c r="P110" i="81"/>
  <c r="P80" i="81"/>
  <c r="E110" i="81"/>
  <c r="E80" i="81"/>
  <c r="E30" i="95"/>
  <c r="P83" i="81"/>
  <c r="P113" i="81"/>
  <c r="E83" i="81"/>
  <c r="E113" i="81"/>
  <c r="P30" i="95"/>
  <c r="E50" i="95"/>
  <c r="P24" i="95"/>
  <c r="E24" i="95"/>
  <c r="P50" i="95"/>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R70" i="82"/>
  <c r="P73" i="82" s="1" a="1"/>
  <c r="P73" i="82" s="1"/>
  <c r="I9" i="13" s="1"/>
  <c r="P261" i="69"/>
  <c r="E242" i="76"/>
  <c r="E46" i="82"/>
  <c r="P25" i="82"/>
  <c r="O277" i="76"/>
  <c r="E277" i="76"/>
  <c r="E261" i="69"/>
  <c r="P146" i="69"/>
  <c r="P209" i="69"/>
  <c r="E146" i="69"/>
  <c r="E209" i="69"/>
  <c r="O230" i="76"/>
  <c r="P46" i="82"/>
  <c r="E25" i="82"/>
  <c r="O242" i="76"/>
  <c r="E230" i="76"/>
  <c r="P126" i="69"/>
  <c r="E126" i="69"/>
  <c r="P136" i="69"/>
  <c r="E136" i="69"/>
  <c r="H205" i="69" a="1"/>
  <c r="H205" i="69" s="1"/>
  <c r="H257" i="69" s="1" a="1"/>
  <c r="H257" i="69" s="1"/>
  <c r="F209" i="69" a="1"/>
  <c r="F209" i="69" s="1"/>
  <c r="F261" i="69" s="1" a="1"/>
  <c r="F261" i="69" s="1"/>
  <c r="I205" i="69" a="1"/>
  <c r="I205" i="69" s="1"/>
  <c r="I257" i="69" s="1" a="1"/>
  <c r="I257" i="69" s="1"/>
  <c r="J209" i="69" a="1"/>
  <c r="J209" i="69" s="1"/>
  <c r="J261" i="69" s="1" a="1"/>
  <c r="J261" i="69" s="1"/>
  <c r="I209" i="69" a="1"/>
  <c r="I209" i="69" s="1"/>
  <c r="I261" i="69" s="1" a="1"/>
  <c r="I261" i="69" s="1"/>
  <c r="G209" i="69" a="1"/>
  <c r="G209" i="69" s="1"/>
  <c r="G261" i="69" s="1" a="1"/>
  <c r="G261" i="69" s="1"/>
  <c r="U209" i="69" a="1"/>
  <c r="U209" i="69" s="1"/>
  <c r="U261" i="69" s="1" a="1"/>
  <c r="U261" i="69" s="1"/>
  <c r="T205" i="69" a="1"/>
  <c r="T205" i="69" s="1"/>
  <c r="T257" i="69" s="1" a="1"/>
  <c r="T257" i="69" s="1"/>
  <c r="Q205" i="69" a="1"/>
  <c r="Q205" i="69" s="1"/>
  <c r="Q257" i="69" s="1" a="1"/>
  <c r="Q257" i="69" s="1"/>
  <c r="G205" i="69" a="1"/>
  <c r="G205" i="69" s="1"/>
  <c r="G257" i="69" s="1" a="1"/>
  <c r="G257" i="69" s="1"/>
  <c r="F205" i="69" a="1"/>
  <c r="F205" i="69" s="1"/>
  <c r="F257" i="69" s="1" a="1"/>
  <c r="F257" i="69" s="1"/>
  <c r="S205" i="69" a="1"/>
  <c r="S205" i="69" s="1"/>
  <c r="S257" i="69" s="1" a="1"/>
  <c r="S257" i="69" s="1"/>
  <c r="Q209" i="69" a="1"/>
  <c r="Q209" i="69" s="1"/>
  <c r="Q261" i="69" s="1" a="1"/>
  <c r="Q261" i="69" s="1"/>
  <c r="R209" i="69" a="1"/>
  <c r="R209" i="69" s="1"/>
  <c r="R261" i="69" s="1" a="1"/>
  <c r="R261" i="69" s="1"/>
  <c r="U205" i="69" a="1"/>
  <c r="U205" i="69" s="1"/>
  <c r="U257" i="69" s="1" a="1"/>
  <c r="U257" i="69" s="1"/>
  <c r="J205" i="69" a="1"/>
  <c r="J205" i="69" s="1"/>
  <c r="J257" i="69" s="1" a="1"/>
  <c r="J257" i="69" s="1"/>
  <c r="S209" i="69" a="1"/>
  <c r="S209" i="69" s="1"/>
  <c r="S261" i="69" s="1" a="1"/>
  <c r="S261" i="69" s="1"/>
  <c r="R205" i="69" a="1"/>
  <c r="R205" i="69" s="1"/>
  <c r="R257" i="69" s="1" a="1"/>
  <c r="R257" i="69" s="1"/>
  <c r="T209" i="69" a="1"/>
  <c r="T209" i="69" s="1"/>
  <c r="T261" i="69" s="1" a="1"/>
  <c r="T261" i="69" s="1"/>
  <c r="H209" i="69" a="1"/>
  <c r="H209" i="69" s="1"/>
  <c r="H261" i="69" s="1" a="1"/>
  <c r="H261" i="69" s="1"/>
  <c r="F207" i="69" a="1"/>
  <c r="F207" i="69" s="1"/>
  <c r="F259" i="69" s="1" a="1"/>
  <c r="F259" i="69" s="1"/>
  <c r="I203" i="69" a="1"/>
  <c r="I203" i="69" s="1"/>
  <c r="I255" i="69" s="1" a="1"/>
  <c r="I255" i="69" s="1"/>
  <c r="I207" i="69" a="1"/>
  <c r="I207" i="69" s="1"/>
  <c r="I259" i="69" s="1" a="1"/>
  <c r="I259" i="69" s="1"/>
  <c r="F203" i="69" a="1"/>
  <c r="F203" i="69" s="1"/>
  <c r="F255" i="69" s="1" a="1"/>
  <c r="F255" i="69" s="1"/>
  <c r="R203" i="69" a="1"/>
  <c r="R203" i="69" s="1"/>
  <c r="R255" i="69" s="1" a="1"/>
  <c r="R255" i="69" s="1"/>
  <c r="J207" i="69" a="1"/>
  <c r="J207" i="69" s="1"/>
  <c r="J259" i="69" s="1" a="1"/>
  <c r="J259" i="69" s="1"/>
  <c r="J203" i="69" a="1"/>
  <c r="J203" i="69" s="1"/>
  <c r="J255" i="69" s="1" a="1"/>
  <c r="J255" i="69" s="1"/>
  <c r="T207" i="69" a="1"/>
  <c r="T207" i="69" s="1"/>
  <c r="T259" i="69" s="1" a="1"/>
  <c r="T259" i="69" s="1"/>
  <c r="H207" i="69" a="1"/>
  <c r="H207" i="69" s="1"/>
  <c r="H259" i="69" s="1" a="1"/>
  <c r="H259" i="69" s="1"/>
  <c r="Q203" i="69" a="1"/>
  <c r="Q203" i="69" s="1"/>
  <c r="Q255" i="69" s="1" a="1"/>
  <c r="Q255" i="69" s="1"/>
  <c r="U207" i="69" a="1"/>
  <c r="U207" i="69" s="1"/>
  <c r="U259" i="69" s="1" a="1"/>
  <c r="U259" i="69" s="1"/>
  <c r="G207" i="69" a="1"/>
  <c r="G207" i="69" s="1"/>
  <c r="G259" i="69" s="1" a="1"/>
  <c r="G259" i="69" s="1"/>
  <c r="S207" i="69" a="1"/>
  <c r="S207" i="69" s="1"/>
  <c r="S259" i="69" s="1" a="1"/>
  <c r="S259" i="69" s="1"/>
  <c r="S203" i="69" a="1"/>
  <c r="S203" i="69" s="1"/>
  <c r="S255" i="69" s="1" a="1"/>
  <c r="S255" i="69" s="1"/>
  <c r="H203" i="69" a="1"/>
  <c r="H203" i="69" s="1"/>
  <c r="H255" i="69" s="1" a="1"/>
  <c r="H255" i="69" s="1"/>
  <c r="T203" i="69" a="1"/>
  <c r="T203" i="69" s="1"/>
  <c r="T255" i="69" s="1" a="1"/>
  <c r="T255" i="69" s="1"/>
  <c r="G203" i="69" a="1"/>
  <c r="G203" i="69" s="1"/>
  <c r="G255" i="69" s="1" a="1"/>
  <c r="G255" i="69" s="1"/>
  <c r="U203" i="69" a="1"/>
  <c r="U203" i="69" s="1"/>
  <c r="U255" i="69" s="1" a="1"/>
  <c r="U255" i="69" s="1"/>
  <c r="R207" i="69" a="1"/>
  <c r="R207" i="69" s="1"/>
  <c r="R259" i="69" s="1" a="1"/>
  <c r="R259" i="69" s="1"/>
  <c r="Q207" i="69" a="1"/>
  <c r="Q207" i="69" s="1"/>
  <c r="Q259" i="69" s="1" a="1"/>
  <c r="Q259" i="69" s="1"/>
  <c r="P45" i="82"/>
  <c r="E260" i="69"/>
  <c r="P260" i="69"/>
  <c r="E241" i="76"/>
  <c r="E45" i="82"/>
  <c r="P24" i="82"/>
  <c r="E276" i="76"/>
  <c r="O241" i="76"/>
  <c r="P208" i="69"/>
  <c r="E208" i="69"/>
  <c r="P145" i="69"/>
  <c r="O229" i="76"/>
  <c r="O276" i="76"/>
  <c r="E24" i="82"/>
  <c r="E229" i="76"/>
  <c r="P135" i="69"/>
  <c r="E135" i="69"/>
  <c r="E145" i="69"/>
  <c r="P125" i="69"/>
  <c r="E125" i="69"/>
  <c r="J208" i="69" a="1"/>
  <c r="J208" i="69" s="1"/>
  <c r="J260" i="69" s="1" a="1"/>
  <c r="J260" i="69" s="1"/>
  <c r="F204" i="69" a="1"/>
  <c r="F204" i="69" s="1"/>
  <c r="F256" i="69" s="1" a="1"/>
  <c r="F256" i="69" s="1"/>
  <c r="F208" i="69" a="1"/>
  <c r="F208" i="69" s="1"/>
  <c r="F260" i="69" s="1" a="1"/>
  <c r="F260" i="69" s="1"/>
  <c r="H208" i="69" a="1"/>
  <c r="H208" i="69" s="1"/>
  <c r="H260" i="69" s="1" a="1"/>
  <c r="H260" i="69" s="1"/>
  <c r="J204" i="69" a="1"/>
  <c r="J204" i="69" s="1"/>
  <c r="J256" i="69" s="1" a="1"/>
  <c r="J256" i="69" s="1"/>
  <c r="I208" i="69" a="1"/>
  <c r="I208" i="69" s="1"/>
  <c r="I260" i="69" s="1" a="1"/>
  <c r="I260" i="69" s="1"/>
  <c r="Q208" i="69" a="1"/>
  <c r="Q208" i="69" s="1"/>
  <c r="Q260" i="69" s="1" a="1"/>
  <c r="Q260" i="69" s="1"/>
  <c r="Q204" i="69" a="1"/>
  <c r="Q204" i="69" s="1"/>
  <c r="Q256" i="69" s="1" a="1"/>
  <c r="Q256" i="69" s="1"/>
  <c r="G208" i="69" a="1"/>
  <c r="G208" i="69" s="1"/>
  <c r="G260" i="69" s="1" a="1"/>
  <c r="G260" i="69" s="1"/>
  <c r="I204" i="69" a="1"/>
  <c r="I204" i="69" s="1"/>
  <c r="I256" i="69" s="1" a="1"/>
  <c r="I256" i="69" s="1"/>
  <c r="S208" i="69" a="1"/>
  <c r="S208" i="69" s="1"/>
  <c r="S260" i="69" s="1" a="1"/>
  <c r="S260" i="69" s="1"/>
  <c r="U204" i="69" a="1"/>
  <c r="U204" i="69" s="1"/>
  <c r="U256" i="69" s="1" a="1"/>
  <c r="U256" i="69" s="1"/>
  <c r="G204" i="69" a="1"/>
  <c r="G204" i="69" s="1"/>
  <c r="G256" i="69" s="1" a="1"/>
  <c r="G256" i="69" s="1"/>
  <c r="R204" i="69" a="1"/>
  <c r="R204" i="69" s="1"/>
  <c r="R256" i="69" s="1" a="1"/>
  <c r="R256" i="69" s="1"/>
  <c r="R208" i="69" a="1"/>
  <c r="R208" i="69" s="1"/>
  <c r="R260" i="69" s="1" a="1"/>
  <c r="R260" i="69" s="1"/>
  <c r="S204" i="69" a="1"/>
  <c r="S204" i="69" s="1"/>
  <c r="S256" i="69" s="1" a="1"/>
  <c r="S256" i="69" s="1"/>
  <c r="H204" i="69" a="1"/>
  <c r="H204" i="69" s="1"/>
  <c r="H256" i="69" s="1" a="1"/>
  <c r="H256" i="69" s="1"/>
  <c r="T204" i="69" a="1"/>
  <c r="T204" i="69" s="1"/>
  <c r="T256" i="69" s="1" a="1"/>
  <c r="T256" i="69" s="1"/>
  <c r="T208" i="69" a="1"/>
  <c r="T208" i="69" s="1"/>
  <c r="T260" i="69" s="1" a="1"/>
  <c r="T260" i="69" s="1"/>
  <c r="U208" i="69" a="1"/>
  <c r="U208" i="69" s="1"/>
  <c r="U260" i="69" s="1" a="1"/>
  <c r="U260" i="69" s="1"/>
  <c r="D109" i="70"/>
  <c r="P204" i="69"/>
  <c r="P132" i="69"/>
  <c r="P41" i="82"/>
  <c r="O225" i="76"/>
  <c r="E132" i="69"/>
  <c r="E122" i="69"/>
  <c r="E20" i="82"/>
  <c r="E225" i="76"/>
  <c r="O272" i="76"/>
  <c r="E41" i="82"/>
  <c r="P20" i="82"/>
  <c r="E272" i="76"/>
  <c r="O237" i="76"/>
  <c r="E256" i="69"/>
  <c r="E142" i="69"/>
  <c r="P122" i="69"/>
  <c r="E237" i="76"/>
  <c r="P142" i="69"/>
  <c r="E204" i="69"/>
  <c r="P256" i="69"/>
  <c r="D108" i="70"/>
  <c r="D84" i="70"/>
  <c r="D74" i="70"/>
  <c r="D165" i="70"/>
  <c r="D118" i="70"/>
  <c r="D91" i="70"/>
  <c r="D141" i="70"/>
  <c r="D125" i="70"/>
  <c r="D73" i="70"/>
  <c r="D107" i="70"/>
  <c r="D75" i="70"/>
  <c r="J210" i="69" a="1"/>
  <c r="J210" i="69" s="1"/>
  <c r="J262" i="69" s="1" a="1"/>
  <c r="J262" i="69" s="1"/>
  <c r="I206" i="69" a="1"/>
  <c r="I206" i="69" s="1"/>
  <c r="I258" i="69" s="1" a="1"/>
  <c r="I258" i="69" s="1"/>
  <c r="Q210" i="69" a="1"/>
  <c r="Q210" i="69" s="1"/>
  <c r="Q262" i="69" s="1" a="1"/>
  <c r="Q262" i="69" s="1"/>
  <c r="T206" i="69" a="1"/>
  <c r="T206" i="69" s="1"/>
  <c r="T258" i="69" s="1" a="1"/>
  <c r="T258" i="69" s="1"/>
  <c r="R206" i="69" a="1"/>
  <c r="R206" i="69" s="1"/>
  <c r="R258" i="69" s="1" a="1"/>
  <c r="R258" i="69" s="1"/>
  <c r="F210" i="69" a="1"/>
  <c r="F210" i="69" s="1"/>
  <c r="F262" i="69" s="1" a="1"/>
  <c r="F262" i="69" s="1"/>
  <c r="Q206" i="69" a="1"/>
  <c r="Q206" i="69" s="1"/>
  <c r="Q258" i="69" s="1" a="1"/>
  <c r="Q258" i="69" s="1"/>
  <c r="H206" i="69" a="1"/>
  <c r="H206" i="69" s="1"/>
  <c r="H258" i="69" s="1" a="1"/>
  <c r="H258" i="69" s="1"/>
  <c r="U206" i="69" a="1"/>
  <c r="U206" i="69" s="1"/>
  <c r="U258" i="69" s="1" a="1"/>
  <c r="U258" i="69" s="1"/>
  <c r="I210" i="69" a="1"/>
  <c r="I210" i="69" s="1"/>
  <c r="I262" i="69" s="1" a="1"/>
  <c r="I262" i="69" s="1"/>
  <c r="U210" i="69" a="1"/>
  <c r="U210" i="69" s="1"/>
  <c r="U262" i="69" s="1" a="1"/>
  <c r="U262" i="69" s="1"/>
  <c r="J206" i="69" a="1"/>
  <c r="J206" i="69" s="1"/>
  <c r="J258" i="69" s="1" a="1"/>
  <c r="J258" i="69" s="1"/>
  <c r="S210" i="69" a="1"/>
  <c r="S210" i="69" s="1"/>
  <c r="S262" i="69" s="1" a="1"/>
  <c r="S262" i="69" s="1"/>
  <c r="H210" i="69" a="1"/>
  <c r="H210" i="69" s="1"/>
  <c r="H262" i="69" s="1" a="1"/>
  <c r="H262" i="69" s="1"/>
  <c r="G210" i="69" a="1"/>
  <c r="G210" i="69" s="1"/>
  <c r="G262" i="69" s="1" a="1"/>
  <c r="G262" i="69" s="1"/>
  <c r="S206" i="69" a="1"/>
  <c r="S206" i="69" s="1"/>
  <c r="S258" i="69" s="1" a="1"/>
  <c r="S258" i="69" s="1"/>
  <c r="R210" i="69" a="1"/>
  <c r="R210" i="69" s="1"/>
  <c r="R262" i="69" s="1" a="1"/>
  <c r="R262" i="69" s="1"/>
  <c r="G206" i="69" a="1"/>
  <c r="G206" i="69" s="1"/>
  <c r="G258" i="69" s="1" a="1"/>
  <c r="G258" i="69" s="1"/>
  <c r="T210" i="69" a="1"/>
  <c r="T210" i="69" s="1"/>
  <c r="T262" i="69" s="1" a="1"/>
  <c r="T262" i="69" s="1"/>
  <c r="F206" i="69" a="1"/>
  <c r="F206" i="69" s="1"/>
  <c r="F258" i="69" s="1" a="1"/>
  <c r="F258" i="69" s="1"/>
  <c r="D160" i="70"/>
  <c r="E40" i="82"/>
  <c r="P19" i="82"/>
  <c r="E271" i="76"/>
  <c r="E255" i="69"/>
  <c r="P141" i="69"/>
  <c r="P121" i="69"/>
  <c r="P131" i="69"/>
  <c r="E121" i="69"/>
  <c r="O271" i="76"/>
  <c r="O224" i="76"/>
  <c r="E131" i="69"/>
  <c r="E19" i="82"/>
  <c r="E224" i="76"/>
  <c r="P40" i="82"/>
  <c r="E236" i="76"/>
  <c r="O236" i="76"/>
  <c r="E141" i="69"/>
  <c r="P203" i="69"/>
  <c r="P255" i="69"/>
  <c r="E203" i="69"/>
  <c r="D103" i="70"/>
  <c r="D102" i="70"/>
  <c r="D90" i="70"/>
  <c r="D117" i="70"/>
  <c r="D136" i="70"/>
  <c r="D70" i="70"/>
  <c r="D124" i="70"/>
  <c r="D104" i="70"/>
  <c r="D83" i="70"/>
  <c r="D69" i="70"/>
  <c r="D68" i="70"/>
  <c r="D78" i="70"/>
  <c r="O226" i="76"/>
  <c r="P205" i="69"/>
  <c r="O273" i="76"/>
  <c r="E133" i="69"/>
  <c r="E123" i="69"/>
  <c r="O238" i="76"/>
  <c r="E21" i="82"/>
  <c r="E226" i="76"/>
  <c r="P42" i="82"/>
  <c r="E238" i="76"/>
  <c r="E205" i="69"/>
  <c r="E42" i="82"/>
  <c r="P21" i="82"/>
  <c r="E273" i="76"/>
  <c r="E143" i="69"/>
  <c r="P123" i="69"/>
  <c r="P143" i="69"/>
  <c r="P133" i="69"/>
  <c r="P257" i="69"/>
  <c r="E257" i="69"/>
  <c r="D113" i="70"/>
  <c r="D146" i="70"/>
  <c r="D80" i="70"/>
  <c r="D85" i="70"/>
  <c r="D114" i="70"/>
  <c r="D126" i="70"/>
  <c r="D92" i="70"/>
  <c r="D119" i="70"/>
  <c r="D112" i="70"/>
  <c r="D79" i="70"/>
  <c r="D170" i="70"/>
  <c r="E23" i="82"/>
  <c r="E228" i="76"/>
  <c r="E134" i="69"/>
  <c r="O240" i="76"/>
  <c r="O275" i="76"/>
  <c r="P259" i="69"/>
  <c r="E240" i="76"/>
  <c r="E44" i="82"/>
  <c r="P23" i="82"/>
  <c r="E275" i="76"/>
  <c r="E259" i="69"/>
  <c r="P44" i="82"/>
  <c r="P144" i="69"/>
  <c r="P207" i="69"/>
  <c r="P134" i="69"/>
  <c r="O228" i="76"/>
  <c r="E207" i="69"/>
  <c r="E144" i="69"/>
  <c r="P124" i="69"/>
  <c r="E124" i="69"/>
  <c r="E47" i="82"/>
  <c r="P26" i="82"/>
  <c r="E278" i="76"/>
  <c r="P47" i="82"/>
  <c r="P210" i="69"/>
  <c r="E262" i="69"/>
  <c r="E173" i="69"/>
  <c r="O243" i="76"/>
  <c r="O231" i="76"/>
  <c r="E26" i="82"/>
  <c r="E231" i="76"/>
  <c r="E167" i="69"/>
  <c r="E243" i="76"/>
  <c r="P262" i="69"/>
  <c r="O278" i="76"/>
  <c r="P167" i="69"/>
  <c r="P173" i="69"/>
  <c r="E210" i="69"/>
  <c r="D151" i="70"/>
  <c r="P43" i="82"/>
  <c r="E22" i="82"/>
  <c r="E227" i="76"/>
  <c r="E172" i="69"/>
  <c r="P258" i="69"/>
  <c r="E239" i="76"/>
  <c r="E43" i="82"/>
  <c r="P22" i="82"/>
  <c r="E258" i="69"/>
  <c r="O274" i="76"/>
  <c r="O227" i="76"/>
  <c r="E274" i="76"/>
  <c r="E206" i="69"/>
  <c r="P206" i="69"/>
  <c r="E166" i="69"/>
  <c r="O239" i="76"/>
  <c r="P172" i="69"/>
  <c r="P166" i="69"/>
  <c r="D175" i="70"/>
  <c r="E13" i="15"/>
  <c r="F10" i="13" l="1"/>
  <c r="U107" i="81" a="1"/>
  <c r="U107" i="81" s="1"/>
  <c r="S107" i="81" a="1"/>
  <c r="S107" i="81" s="1"/>
  <c r="T107" i="81" a="1"/>
  <c r="T107" i="81" s="1"/>
  <c r="R107" i="81" a="1"/>
  <c r="R107" i="81" s="1"/>
  <c r="Q107" i="81" a="1"/>
  <c r="Q107" i="81" s="1"/>
  <c r="U111" i="81" a="1"/>
  <c r="U111" i="81" s="1"/>
  <c r="S111" i="81" a="1"/>
  <c r="S111" i="81" s="1"/>
  <c r="Q111" i="81" a="1"/>
  <c r="Q111" i="81" s="1"/>
  <c r="T111" i="81" a="1"/>
  <c r="T111" i="81" s="1"/>
  <c r="R111" i="81" a="1"/>
  <c r="R111" i="81" s="1"/>
  <c r="J78" i="81" a="1"/>
  <c r="J78" i="81" s="1"/>
  <c r="H78" i="81" a="1"/>
  <c r="H78" i="81" s="1"/>
  <c r="G78" i="81" a="1"/>
  <c r="G78" i="81" s="1"/>
  <c r="F78" i="81" a="1"/>
  <c r="F78" i="81" s="1"/>
  <c r="I78" i="81" a="1"/>
  <c r="I78" i="81" s="1"/>
  <c r="S81" i="81" a="1"/>
  <c r="S81" i="81" s="1"/>
  <c r="T81" i="81" a="1"/>
  <c r="T81" i="81" s="1"/>
  <c r="U81" i="81" a="1"/>
  <c r="U81" i="81" s="1"/>
  <c r="Q81" i="81" a="1"/>
  <c r="Q81" i="81" s="1"/>
  <c r="R81" i="81" a="1"/>
  <c r="R81" i="81" s="1"/>
  <c r="U113" i="81" a="1"/>
  <c r="U113" i="81" s="1"/>
  <c r="S113" i="81" a="1"/>
  <c r="S113" i="81" s="1"/>
  <c r="Q113" i="81" a="1"/>
  <c r="Q113" i="81" s="1"/>
  <c r="R113" i="81" a="1"/>
  <c r="R113" i="81" s="1"/>
  <c r="T113" i="81" a="1"/>
  <c r="T113" i="81" s="1"/>
  <c r="T78" i="81" a="1"/>
  <c r="T78" i="81" s="1"/>
  <c r="R78" i="81" a="1"/>
  <c r="R78" i="81" s="1"/>
  <c r="Q78" i="81" a="1"/>
  <c r="Q78" i="81" s="1"/>
  <c r="S78" i="81" a="1"/>
  <c r="S78" i="81" s="1"/>
  <c r="U78" i="81" a="1"/>
  <c r="U78" i="81" s="1"/>
  <c r="J76" i="81" a="1"/>
  <c r="J76" i="81" s="1"/>
  <c r="G76" i="81" a="1"/>
  <c r="G76" i="81" s="1"/>
  <c r="H76" i="81" a="1"/>
  <c r="H76" i="81" s="1"/>
  <c r="F76" i="81" a="1"/>
  <c r="F76" i="81" s="1"/>
  <c r="I76" i="81" a="1"/>
  <c r="I76" i="81" s="1"/>
  <c r="J108" i="81" a="1"/>
  <c r="J108" i="81" s="1"/>
  <c r="G108" i="81" a="1"/>
  <c r="G108" i="81" s="1"/>
  <c r="F108" i="81" a="1"/>
  <c r="F108" i="81" s="1"/>
  <c r="I108" i="81" a="1"/>
  <c r="I108" i="81" s="1"/>
  <c r="H108" i="81" a="1"/>
  <c r="H108" i="81" s="1"/>
  <c r="R106" i="81" a="1"/>
  <c r="R106" i="81" s="1"/>
  <c r="Q106" i="81" a="1"/>
  <c r="Q106" i="81" s="1"/>
  <c r="T106" i="81" a="1"/>
  <c r="T106" i="81" s="1"/>
  <c r="S106" i="81" a="1"/>
  <c r="S106" i="81" s="1"/>
  <c r="U106" i="81" a="1"/>
  <c r="U106" i="81" s="1"/>
  <c r="J110" i="81" a="1"/>
  <c r="J110" i="81" s="1"/>
  <c r="G110" i="81" a="1"/>
  <c r="G110" i="81" s="1"/>
  <c r="F110" i="81" a="1"/>
  <c r="F110" i="81" s="1"/>
  <c r="H110" i="81" a="1"/>
  <c r="H110" i="81" s="1"/>
  <c r="I110" i="81" a="1"/>
  <c r="I110" i="81" s="1"/>
  <c r="H142" i="81" a="1"/>
  <c r="H142" i="81" s="1"/>
  <c r="F142" i="81" a="1"/>
  <c r="F142" i="81" s="1"/>
  <c r="G142" i="81" a="1"/>
  <c r="G142" i="81" s="1"/>
  <c r="J142" i="81" a="1"/>
  <c r="J142" i="81" s="1"/>
  <c r="I142" i="81" a="1"/>
  <c r="I142" i="81" s="1"/>
  <c r="J144" i="81" a="1"/>
  <c r="J144" i="81" s="1"/>
  <c r="I144" i="81" a="1"/>
  <c r="I144" i="81" s="1"/>
  <c r="H144" i="81" a="1"/>
  <c r="H144" i="81" s="1"/>
  <c r="F144" i="81" a="1"/>
  <c r="F144" i="81" s="1"/>
  <c r="G144" i="81" a="1"/>
  <c r="G144" i="81" s="1"/>
  <c r="Q145" i="81" a="1"/>
  <c r="Q145" i="81" s="1"/>
  <c r="U145" i="81" a="1"/>
  <c r="U145" i="81" s="1"/>
  <c r="T145" i="81" a="1"/>
  <c r="T145" i="81" s="1"/>
  <c r="S145" i="81" a="1"/>
  <c r="S145" i="81" s="1"/>
  <c r="R145" i="81" a="1"/>
  <c r="R145" i="81" s="1"/>
  <c r="U143" i="81" a="1"/>
  <c r="U143" i="81" s="1"/>
  <c r="S143" i="81" a="1"/>
  <c r="S143" i="81" s="1"/>
  <c r="T143" i="81" a="1"/>
  <c r="T143" i="81" s="1"/>
  <c r="Q143" i="81" a="1"/>
  <c r="Q143" i="81" s="1"/>
  <c r="R143" i="81" a="1"/>
  <c r="R143" i="81" s="1"/>
  <c r="J146" i="81" a="1"/>
  <c r="J146" i="81" s="1"/>
  <c r="I146" i="81" a="1"/>
  <c r="I146" i="81" s="1"/>
  <c r="F146" i="81" a="1"/>
  <c r="F146" i="81" s="1"/>
  <c r="G146" i="81" a="1"/>
  <c r="G146" i="81" s="1"/>
  <c r="H146" i="81" a="1"/>
  <c r="H146" i="81" s="1"/>
  <c r="F80" i="81" a="1"/>
  <c r="F80" i="81" s="1"/>
  <c r="I80" i="81" a="1"/>
  <c r="I80" i="81" s="1"/>
  <c r="H80" i="81" a="1"/>
  <c r="H80" i="81" s="1"/>
  <c r="J80" i="81" a="1"/>
  <c r="J80" i="81" s="1"/>
  <c r="G80" i="81" a="1"/>
  <c r="G80" i="81" s="1"/>
  <c r="U112" i="81" a="1"/>
  <c r="U112" i="81" s="1"/>
  <c r="T112" i="81" a="1"/>
  <c r="T112" i="81" s="1"/>
  <c r="S112" i="81" a="1"/>
  <c r="S112" i="81" s="1"/>
  <c r="Q112" i="81" a="1"/>
  <c r="Q112" i="81" s="1"/>
  <c r="R112" i="81" a="1"/>
  <c r="R112" i="81" s="1"/>
  <c r="T76" i="81" a="1"/>
  <c r="T76" i="81" s="1"/>
  <c r="S76" i="81" a="1"/>
  <c r="S76" i="81" s="1"/>
  <c r="U76" i="81" a="1"/>
  <c r="U76" i="81" s="1"/>
  <c r="R76" i="81" a="1"/>
  <c r="R76" i="81" s="1"/>
  <c r="Q76" i="81" a="1"/>
  <c r="Q76" i="81" s="1"/>
  <c r="U80" i="81" a="1"/>
  <c r="U80" i="81" s="1"/>
  <c r="T80" i="81" a="1"/>
  <c r="T80" i="81" s="1"/>
  <c r="S80" i="81" a="1"/>
  <c r="S80" i="81" s="1"/>
  <c r="R80" i="81" a="1"/>
  <c r="R80" i="81" s="1"/>
  <c r="Q80" i="81" a="1"/>
  <c r="Q80" i="81" s="1"/>
  <c r="G143" i="81" a="1"/>
  <c r="G143" i="81" s="1"/>
  <c r="F143" i="81" a="1"/>
  <c r="F143" i="81" s="1"/>
  <c r="H143" i="81" a="1"/>
  <c r="H143" i="81" s="1"/>
  <c r="J143" i="81" a="1"/>
  <c r="J143" i="81" s="1"/>
  <c r="I143" i="81" a="1"/>
  <c r="I143" i="81" s="1"/>
  <c r="J111" i="81" a="1"/>
  <c r="J111" i="81" s="1"/>
  <c r="G111" i="81" a="1"/>
  <c r="G111" i="81" s="1"/>
  <c r="I111" i="81" a="1"/>
  <c r="I111" i="81" s="1"/>
  <c r="H111" i="81" a="1"/>
  <c r="H111" i="81" s="1"/>
  <c r="F111" i="81" a="1"/>
  <c r="F111" i="81" s="1"/>
  <c r="H79" i="81" a="1"/>
  <c r="H79" i="81" s="1"/>
  <c r="J79" i="81" a="1"/>
  <c r="J79" i="81" s="1"/>
  <c r="I79" i="81" a="1"/>
  <c r="I79" i="81" s="1"/>
  <c r="G79" i="81" a="1"/>
  <c r="G79" i="81" s="1"/>
  <c r="F79" i="81" a="1"/>
  <c r="F79" i="81" s="1"/>
  <c r="Q83" i="81" a="1"/>
  <c r="Q83" i="81" s="1"/>
  <c r="R83" i="81" a="1"/>
  <c r="R83" i="81" s="1"/>
  <c r="U83" i="81" a="1"/>
  <c r="U83" i="81" s="1"/>
  <c r="T83" i="81" a="1"/>
  <c r="T83" i="81" s="1"/>
  <c r="S83" i="81" a="1"/>
  <c r="S83" i="81" s="1"/>
  <c r="H82" i="81" a="1"/>
  <c r="H82" i="81" s="1"/>
  <c r="F82" i="81" a="1"/>
  <c r="F82" i="81" s="1"/>
  <c r="G82" i="81" a="1"/>
  <c r="G82" i="81" s="1"/>
  <c r="I82" i="81" a="1"/>
  <c r="I82" i="81" s="1"/>
  <c r="J82" i="81" a="1"/>
  <c r="J82" i="81" s="1"/>
  <c r="T110" i="81" a="1"/>
  <c r="T110" i="81" s="1"/>
  <c r="U110" i="81" a="1"/>
  <c r="U110" i="81" s="1"/>
  <c r="S110" i="81" a="1"/>
  <c r="S110" i="81" s="1"/>
  <c r="R110" i="81" a="1"/>
  <c r="R110" i="81" s="1"/>
  <c r="Q110" i="81" a="1"/>
  <c r="Q110" i="81" s="1"/>
  <c r="S142" i="81" a="1"/>
  <c r="S142" i="81" s="1"/>
  <c r="R142" i="81" a="1"/>
  <c r="R142" i="81" s="1"/>
  <c r="Q142" i="81" a="1"/>
  <c r="Q142" i="81" s="1"/>
  <c r="U142" i="81" a="1"/>
  <c r="U142" i="81" s="1"/>
  <c r="T142" i="81" a="1"/>
  <c r="T142" i="81" s="1"/>
  <c r="T144" i="81" a="1"/>
  <c r="T144" i="81" s="1"/>
  <c r="R144" i="81" a="1"/>
  <c r="R144" i="81" s="1"/>
  <c r="U144" i="81" a="1"/>
  <c r="U144" i="81" s="1"/>
  <c r="S144" i="81" a="1"/>
  <c r="S144" i="81" s="1"/>
  <c r="Q144" i="81" a="1"/>
  <c r="Q144" i="81" s="1"/>
  <c r="G145" i="81" a="1"/>
  <c r="G145" i="81" s="1"/>
  <c r="F145" i="81" a="1"/>
  <c r="F145" i="81" s="1"/>
  <c r="J145" i="81" a="1"/>
  <c r="J145" i="81" s="1"/>
  <c r="I145" i="81" a="1"/>
  <c r="I145" i="81" s="1"/>
  <c r="H145" i="81" a="1"/>
  <c r="H145" i="81" s="1"/>
  <c r="I107" i="81" a="1"/>
  <c r="I107" i="81" s="1"/>
  <c r="F107" i="81" a="1"/>
  <c r="F107" i="81" s="1"/>
  <c r="J107" i="81" a="1"/>
  <c r="J107" i="81" s="1"/>
  <c r="H107" i="81" a="1"/>
  <c r="H107" i="81" s="1"/>
  <c r="G107" i="81" a="1"/>
  <c r="G107" i="81" s="1"/>
  <c r="J113" i="81" a="1"/>
  <c r="J113" i="81" s="1"/>
  <c r="I113" i="81" a="1"/>
  <c r="I113" i="81" s="1"/>
  <c r="G113" i="81" a="1"/>
  <c r="G113" i="81" s="1"/>
  <c r="H113" i="81" a="1"/>
  <c r="H113" i="81" s="1"/>
  <c r="F113" i="81" a="1"/>
  <c r="F113" i="81" s="1"/>
  <c r="I139" i="81" a="1"/>
  <c r="I139" i="81" s="1"/>
  <c r="G139" i="81" a="1"/>
  <c r="G139" i="81" s="1"/>
  <c r="F139" i="81" a="1"/>
  <c r="F139" i="81" s="1"/>
  <c r="H139" i="81" a="1"/>
  <c r="H139" i="81" s="1"/>
  <c r="J139" i="81" a="1"/>
  <c r="J139" i="81" s="1"/>
  <c r="U79" i="81" a="1"/>
  <c r="U79" i="81" s="1"/>
  <c r="T79" i="81" a="1"/>
  <c r="T79" i="81" s="1"/>
  <c r="S79" i="81" a="1"/>
  <c r="S79" i="81" s="1"/>
  <c r="R79" i="81" a="1"/>
  <c r="R79" i="81" s="1"/>
  <c r="Q79" i="81" a="1"/>
  <c r="Q79" i="81" s="1"/>
  <c r="J106" i="81" a="1"/>
  <c r="J106" i="81" s="1"/>
  <c r="H106" i="81" a="1"/>
  <c r="H106" i="81" s="1"/>
  <c r="I106" i="81" a="1"/>
  <c r="I106" i="81" s="1"/>
  <c r="G106" i="81" a="1"/>
  <c r="G106" i="81" s="1"/>
  <c r="F106" i="81" a="1"/>
  <c r="F106" i="81" s="1"/>
  <c r="J140" i="81" a="1"/>
  <c r="J140" i="81" s="1"/>
  <c r="I140" i="81" a="1"/>
  <c r="I140" i="81" s="1"/>
  <c r="H140" i="81" a="1"/>
  <c r="H140" i="81" s="1"/>
  <c r="G140" i="81" a="1"/>
  <c r="G140" i="81" s="1"/>
  <c r="F140" i="81" a="1"/>
  <c r="F140" i="81" s="1"/>
  <c r="Q140" i="81" a="1"/>
  <c r="Q140" i="81" s="1"/>
  <c r="S140" i="81" a="1"/>
  <c r="S140" i="81" s="1"/>
  <c r="R140" i="81" a="1"/>
  <c r="R140" i="81" s="1"/>
  <c r="T140" i="81" a="1"/>
  <c r="T140" i="81" s="1"/>
  <c r="U140" i="81" a="1"/>
  <c r="U140" i="81" s="1"/>
  <c r="U141" i="81" a="1"/>
  <c r="U141" i="81" s="1"/>
  <c r="S141" i="81" a="1"/>
  <c r="S141" i="81" s="1"/>
  <c r="T141" i="81" a="1"/>
  <c r="T141" i="81" s="1"/>
  <c r="R141" i="81" a="1"/>
  <c r="R141" i="81" s="1"/>
  <c r="Q141" i="81" a="1"/>
  <c r="Q141" i="81" s="1"/>
  <c r="F112" i="81" a="1"/>
  <c r="F112" i="81" s="1"/>
  <c r="G112" i="81" a="1"/>
  <c r="G112" i="81" s="1"/>
  <c r="J112" i="81" a="1"/>
  <c r="J112" i="81" s="1"/>
  <c r="I112" i="81" a="1"/>
  <c r="I112" i="81" s="1"/>
  <c r="H112" i="81" a="1"/>
  <c r="H112" i="81" s="1"/>
  <c r="F109" i="81" a="1"/>
  <c r="F109" i="81" s="1"/>
  <c r="G109" i="81" a="1"/>
  <c r="G109" i="81" s="1"/>
  <c r="J109" i="81" a="1"/>
  <c r="J109" i="81" s="1"/>
  <c r="I109" i="81" a="1"/>
  <c r="I109" i="81" s="1"/>
  <c r="H109" i="81" a="1"/>
  <c r="H109" i="81" s="1"/>
  <c r="I141" i="81" a="1"/>
  <c r="I141" i="81" s="1"/>
  <c r="J141" i="81" a="1"/>
  <c r="J141" i="81" s="1"/>
  <c r="G141" i="81" a="1"/>
  <c r="G141" i="81" s="1"/>
  <c r="F141" i="81" a="1"/>
  <c r="F141" i="81" s="1"/>
  <c r="H141" i="81" a="1"/>
  <c r="H141" i="81" s="1"/>
  <c r="Q77" i="81" a="1"/>
  <c r="Q77" i="81" s="1"/>
  <c r="U77" i="81" a="1"/>
  <c r="U77" i="81" s="1"/>
  <c r="T77" i="81" a="1"/>
  <c r="T77" i="81" s="1"/>
  <c r="S77" i="81" a="1"/>
  <c r="S77" i="81" s="1"/>
  <c r="R77" i="81" a="1"/>
  <c r="R77" i="81" s="1"/>
  <c r="J83" i="81" a="1"/>
  <c r="J83" i="81" s="1"/>
  <c r="I83" i="81" a="1"/>
  <c r="I83" i="81" s="1"/>
  <c r="H83" i="81" a="1"/>
  <c r="H83" i="81" s="1"/>
  <c r="G83" i="81" a="1"/>
  <c r="G83" i="81" s="1"/>
  <c r="F83" i="81" a="1"/>
  <c r="F83" i="81" s="1"/>
  <c r="T146" i="81" a="1"/>
  <c r="T146" i="81" s="1"/>
  <c r="U146" i="81" a="1"/>
  <c r="U146" i="81" s="1"/>
  <c r="S146" i="81" a="1"/>
  <c r="S146" i="81" s="1"/>
  <c r="R146" i="81" a="1"/>
  <c r="R146" i="81" s="1"/>
  <c r="Q146" i="81" a="1"/>
  <c r="Q146" i="81" s="1"/>
  <c r="T139" i="81" a="1"/>
  <c r="T139" i="81" s="1"/>
  <c r="R139" i="81" a="1"/>
  <c r="R139" i="81" s="1"/>
  <c r="U139" i="81" a="1"/>
  <c r="U139" i="81" s="1"/>
  <c r="S139" i="81" a="1"/>
  <c r="S139" i="81" s="1"/>
  <c r="Q139" i="81" a="1"/>
  <c r="Q139" i="81" s="1"/>
  <c r="T82" i="81" a="1"/>
  <c r="T82" i="81" s="1"/>
  <c r="R82" i="81" a="1"/>
  <c r="R82" i="81" s="1"/>
  <c r="Q82" i="81" a="1"/>
  <c r="Q82" i="81" s="1"/>
  <c r="S82" i="81" a="1"/>
  <c r="S82" i="81" s="1"/>
  <c r="U82" i="81" a="1"/>
  <c r="U82" i="81" s="1"/>
  <c r="J81" i="81" a="1"/>
  <c r="J81" i="81" s="1"/>
  <c r="H81" i="81" a="1"/>
  <c r="H81" i="81" s="1"/>
  <c r="G81" i="81" a="1"/>
  <c r="G81" i="81" s="1"/>
  <c r="I81" i="81" a="1"/>
  <c r="I81" i="81" s="1"/>
  <c r="F81" i="81" a="1"/>
  <c r="F81" i="81" s="1"/>
  <c r="Q109" i="81" a="1"/>
  <c r="Q109" i="81" s="1"/>
  <c r="R109" i="81" a="1"/>
  <c r="R109" i="81" s="1"/>
  <c r="U109" i="81" a="1"/>
  <c r="U109" i="81" s="1"/>
  <c r="T109" i="81" a="1"/>
  <c r="T109" i="81" s="1"/>
  <c r="S109" i="81" a="1"/>
  <c r="S109" i="81" s="1"/>
  <c r="T108" i="81" a="1"/>
  <c r="T108" i="81" s="1"/>
  <c r="S108" i="81" a="1"/>
  <c r="S108" i="81" s="1"/>
  <c r="R108" i="81" a="1"/>
  <c r="R108" i="81" s="1"/>
  <c r="U108" i="81" a="1"/>
  <c r="U108" i="81" s="1"/>
  <c r="Q108" i="81" a="1"/>
  <c r="Q108" i="81" s="1"/>
  <c r="H77" i="81" a="1"/>
  <c r="H77" i="81" s="1"/>
  <c r="F77" i="81" a="1"/>
  <c r="F77" i="81" s="1"/>
  <c r="G77" i="81" a="1"/>
  <c r="G77" i="81" s="1"/>
  <c r="J77" i="81" a="1"/>
  <c r="J77" i="81" s="1"/>
  <c r="I77" i="81" a="1"/>
  <c r="I77" i="81" s="1"/>
  <c r="G70" i="82"/>
  <c r="E73" i="82" s="1" a="1"/>
  <c r="E73" i="82" s="1"/>
  <c r="H9" i="13" s="1"/>
  <c r="E280" i="76"/>
  <c r="P264" i="69"/>
  <c r="O280" i="76"/>
  <c r="F8" i="13" s="1"/>
  <c r="E264" i="69"/>
  <c r="E85" i="81" l="1"/>
  <c r="E20" i="13" s="1"/>
  <c r="P115" i="81"/>
  <c r="E115" i="81"/>
  <c r="E22" i="13" s="1"/>
  <c r="E148" i="81"/>
  <c r="E21" i="13" s="1"/>
  <c r="P148" i="81"/>
  <c r="E7" i="13"/>
  <c r="G266" i="69"/>
  <c r="E269" i="69" s="1" a="1"/>
  <c r="E269" i="69" s="1"/>
  <c r="H7" i="13" s="1"/>
  <c r="R266" i="69"/>
  <c r="P269" i="69" s="1" a="1"/>
  <c r="P269" i="69" s="1"/>
  <c r="I7" i="13" s="1"/>
  <c r="F7" i="13"/>
  <c r="Q282" i="76"/>
  <c r="O285" i="76" s="1" a="1"/>
  <c r="O285" i="76" s="1"/>
  <c r="I8" i="13" s="1"/>
  <c r="G282" i="76"/>
  <c r="E285" i="76" s="1" a="1"/>
  <c r="E285" i="76" s="1"/>
  <c r="H8" i="13" s="1"/>
  <c r="E8"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<sst xmlns="http://schemas.openxmlformats.org/spreadsheetml/2006/main" count="1720" uniqueCount="437">
  <si>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</si>
  <si>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</si>
  <si>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</si>
  <si>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</si>
  <si>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</si>
  <si>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</si>
  <si>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</si>
  <si>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</si>
  <si>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</si>
  <si>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</si>
  <si>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</si>
  <si>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</si>
  <si>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</si>
  <si>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</si>
  <si>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</si>
  <si>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</si>
  <si>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</si>
  <si>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</si>
  <si>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</si>
  <si>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</si>
  <si>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</si>
  <si>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</si>
  <si>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</si>
  <si>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</si>
  <si>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</si>
  <si>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</si>
  <si>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</si>
  <si>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</si>
  <si>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</si>
  <si>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</si>
  <si>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</si>
  <si>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</si>
  <si>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</si>
  <si>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</si>
  <si>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</si>
  <si>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</si>
  <si>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</si>
  <si>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</si>
  <si>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</si>
  <si>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</si>
  <si>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</si>
  <si>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</si>
  <si>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</si>
  <si>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</si>
  <si>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</si>
  <si>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</si>
  <si>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</si>
  <si>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</si>
  <si>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</si>
  <si>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</si>
  <si>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</si>
  <si>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</si>
  <si>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</si>
  <si>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</si>
  <si>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</si>
  <si>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</si>
  <si>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</si>
  <si>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</si>
  <si>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</si>
  <si>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</si>
  <si>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</si>
  <si>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</si>
  <si>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</si>
  <si>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</si>
  <si>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</si>
  <si>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</si>
  <si>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</si>
  <si>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</si>
  <si>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</si>
  <si>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</si>
  <si>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</si>
  <si>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</si>
  <si>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</si>
  <si>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</si>
  <si>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</si>
  <si>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</si>
  <si>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</si>
  <si>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</si>
  <si>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</si>
  <si>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</si>
  <si>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</si>
  <si>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</si>
  <si>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</si>
  <si>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</si>
  <si>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</si>
  <si>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</si>
  <si>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</si>
  <si>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</si>
  <si>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</si>
  <si>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</si>
  <si>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</si>
  <si>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</si>
  <si>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</si>
  <si>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</si>
  <si>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</si>
  <si>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</si>
  <si>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</si>
  <si>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</si>
  <si>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</si>
  <si>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</si>
  <si>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</si>
  <si>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</si>
  <si>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</si>
  <si>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</si>
  <si>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</si>
  <si>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</si>
  <si>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</si>
  <si>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</si>
  <si>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</si>
  <si>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</si>
  <si>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</si>
  <si>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</si>
  <si>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Sold as fertiliser</t>
  </si>
  <si>
    <t>Formula name</t>
  </si>
  <si>
    <t>Crude protein</t>
  </si>
  <si>
    <t>Source Data - Feedlot</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</si>
  <si>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</si>
  <si>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</si>
  <si>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</si>
  <si>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</si>
  <si>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</si>
  <si>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</si>
  <si>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</si>
  <si>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</si>
  <si>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</si>
  <si>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</si>
  <si>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</si>
  <si>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</si>
  <si>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</si>
  <si>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</si>
  <si>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</si>
  <si>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</si>
  <si>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</si>
  <si>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</si>
  <si>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</si>
  <si>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</si>
  <si>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</si>
  <si>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Deposited on farm soils as waste (Direct application MMS)</t>
  </si>
  <si>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</si>
  <si>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</si>
  <si>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</si>
  <si>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</si>
  <si>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</si>
  <si>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</si>
  <si>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</si>
  <si>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</si>
  <si>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</si>
  <si>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</si>
  <si>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</si>
  <si>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</si>
  <si>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</si>
  <si>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</si>
  <si>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</si>
  <si>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</si>
  <si>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</si>
  <si>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</si>
  <si>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</si>
  <si>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</si>
  <si>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</si>
  <si>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</si>
  <si>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</si>
  <si>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</si>
  <si>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</si>
  <si>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</si>
  <si>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</si>
  <si>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</si>
  <si>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</si>
  <si>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</si>
  <si>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</si>
  <si>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</si>
  <si>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</si>
  <si>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</si>
  <si>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</si>
  <si>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</si>
  <si>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</si>
  <si>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</si>
  <si>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</si>
  <si>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</si>
  <si>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</si>
  <si>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</si>
  <si>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</si>
  <si>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</si>
  <si>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</si>
  <si>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</si>
  <si>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</si>
  <si>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</si>
  <si>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</si>
  <si>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</si>
  <si>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</si>
  <si>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</si>
  <si>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</si>
  <si>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</si>
  <si>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</si>
  <si>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</si>
  <si>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</si>
  <si>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</si>
  <si>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</si>
  <si>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</si>
  <si>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</si>
  <si>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</si>
  <si>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</si>
  <si>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</si>
  <si>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</si>
  <si>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</si>
  <si>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litres/head/day</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</si>
  <si>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</si>
  <si>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</si>
  <si>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</si>
  <si>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</si>
  <si>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</si>
  <si>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</si>
  <si>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</si>
  <si>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</si>
  <si>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</si>
  <si>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Total manure sent to MMS (Must equal 100%)  (Method 1)</t>
  </si>
  <si>
    <t>Total percent sent to solid storage (Method 1)</t>
  </si>
  <si>
    <t>Total percent sent to solid storage (Method 2)</t>
  </si>
  <si>
    <t>Total manure sent to MMS (Must equal 100%)  (Method 2)</t>
  </si>
  <si>
    <t>Post treatment destinations</t>
  </si>
  <si>
    <t>Production systems</t>
  </si>
  <si>
    <t>No</t>
  </si>
  <si>
    <t>System 3: Pasture-grazed 3-9 months/year</t>
  </si>
  <si>
    <t>Applied to farm soils as fertiliser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</si>
  <si>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</si>
  <si>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</si>
  <si>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</si>
  <si>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</si>
  <si>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</si>
  <si>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</si>
  <si>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</si>
  <si>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</si>
  <si>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</si>
  <si>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</si>
  <si>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</si>
  <si>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</si>
  <si>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</si>
  <si>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</si>
  <si>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</si>
  <si>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</si>
  <si>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</si>
  <si>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</si>
  <si>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</si>
  <si>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</si>
  <si>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</si>
  <si>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</si>
  <si>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</si>
  <si>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</si>
  <si>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</si>
  <si>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</si>
  <si>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</si>
  <si>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</si>
  <si>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</si>
  <si>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</si>
  <si>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</si>
  <si>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</si>
  <si>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</si>
  <si>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</si>
  <si>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</si>
  <si>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</si>
  <si>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</si>
  <si>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</si>
  <si>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</si>
  <si>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</si>
  <si>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</si>
  <si>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</si>
  <si>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</si>
  <si>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</si>
  <si>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</si>
  <si>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</si>
  <si>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</si>
  <si>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</si>
  <si>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</si>
  <si>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</si>
  <si>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</si>
  <si>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</si>
  <si>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T subscript is redundant?</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</si>
  <si>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</si>
  <si>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</si>
  <si>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</si>
  <si>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</si>
  <si>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</si>
  <si>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</si>
  <si>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</si>
  <si>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</si>
  <si>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</si>
  <si>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</si>
  <si>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</si>
  <si>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</si>
  <si>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</si>
  <si>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</si>
  <si>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</si>
  <si>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</si>
  <si>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</si>
  <si>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</si>
  <si>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</si>
  <si>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Equation 5 includes MMS subscripts, this should too</t>
  </si>
  <si>
    <t>Methane production from manure management (Method 1)</t>
  </si>
  <si>
    <t>4.3.1.1-2 Manure Methane</t>
  </si>
  <si>
    <t>4.3.1.3-4 Manure Direct N2O</t>
  </si>
  <si>
    <t>Make method 2 MCF table and use</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</si>
  <si>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</si>
  <si>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</si>
  <si>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</si>
  <si>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</si>
  <si>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</si>
  <si>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</si>
  <si>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</si>
  <si>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</si>
  <si>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</si>
  <si>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</si>
  <si>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</si>
  <si>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</si>
  <si>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</si>
  <si>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</si>
  <si>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</si>
  <si>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</si>
  <si>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</si>
  <si>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</si>
  <si>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</si>
  <si>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</si>
  <si>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</si>
  <si>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</si>
  <si>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</si>
  <si>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</si>
  <si>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</si>
  <si>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</si>
  <si>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</si>
  <si>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</si>
  <si>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</si>
  <si>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</si>
  <si>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</si>
  <si>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</si>
  <si>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</si>
  <si>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</si>
  <si>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</si>
  <si>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</si>
  <si>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</si>
  <si>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</si>
  <si>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</si>
  <si>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</si>
  <si>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</si>
  <si>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</si>
  <si>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</si>
  <si>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</si>
  <si>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</si>
  <si>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There is no method 2 in VEERG doc, but there are method 2 flow-ons from direct N2O</t>
  </si>
  <si>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</si>
  <si>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</si>
  <si>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</si>
  <si>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</si>
  <si>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</si>
  <si>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</si>
  <si>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</si>
  <si>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</si>
  <si>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</si>
  <si>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</si>
  <si>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</si>
  <si>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</si>
  <si>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</si>
  <si>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</si>
  <si>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</si>
  <si>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</si>
  <si>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</si>
  <si>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has 'scope' subscript in arguments definition but not equation</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</si>
  <si>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</si>
  <si>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</si>
  <si>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</si>
  <si>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</si>
  <si>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</si>
  <si>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</si>
  <si>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</si>
  <si>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</si>
  <si>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</si>
  <si>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</si>
  <si>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</si>
  <si>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</si>
  <si>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</si>
  <si>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</si>
  <si>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</si>
  <si>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</si>
  <si>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</si>
  <si>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</si>
  <si>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</si>
  <si>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</si>
  <si>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</si>
  <si>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</si>
  <si>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</si>
  <si>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</si>
  <si>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</si>
  <si>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</si>
  <si>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</si>
  <si>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</si>
  <si>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</si>
  <si>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</si>
  <si>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</si>
  <si>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</si>
  <si>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</si>
  <si>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</si>
  <si>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</si>
  <si>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</si>
  <si>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</si>
  <si>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t>equation in document has FracGASMm-1-13, should be m=1-13</t>
  </si>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</sst>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
    <numFmt numFmtId="172" formatCode="0.0%"/>
  </numFmts>
  <fonts count="6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cellStyleXfs>
  <cellXfs count="15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9" fontId="2" fillId="0" borderId="2" xfId="14" applyFont="1" applyBorder="1" applyAlignment="1">
      <alignment horizontal="center" vertical="center"/>
    </xf>
    <xf numFmtId="0" fontId="38" fillId="14" borderId="0" xfId="5" applyFill="1">
      <alignment horizontal="left" vertical="center"/>
    </xf>
    <xf numFmtId="170" fontId="40" fillId="4" borderId="0" xfId="8" applyNumberFormat="1">
      <alignment horizontal="left" vertical="center"/>
    </xf>
    <xf numFmtId="170" fontId="35" fillId="4" borderId="2" xfId="55" applyNumberFormat="1">
      <alignment horizontal="center" vertical="center"/>
    </xf>
    <xf numFmtId="171" fontId="35" fillId="4" borderId="2" xfId="55" applyNumberFormat="1">
      <alignment horizontal="center" vertical="center"/>
    </xf>
    <xf numFmtId="0" fontId="62" fillId="4" borderId="0" xfId="8" applyFont="1">
      <alignment horizontal="left" vertical="center"/>
    </xf>
    <xf numFmtId="0" fontId="63" fillId="4" borderId="0" xfId="8" applyFont="1">
      <alignment horizontal="left" vertical="center"/>
    </xf>
    <xf numFmtId="172" fontId="40" fillId="4" borderId="0" xfId="8" applyNumberFormat="1">
      <alignment horizontal="left" vertical="center"/>
    </xf>
    <xf numFmtId="43" fontId="40" fillId="4" borderId="0" xfId="42" applyFont="1" applyFill="1" applyAlignment="1">
      <alignment horizontal="left" vertical="center"/>
    </xf>
    <xf numFmtId="0" fontId="35" fillId="14" borderId="2" xfId="55" applyFill="1" applyAlignment="1">
      <alignment horizontal="left" vertical="center"/>
    </xf>
    <xf numFmtId="0" fontId="35" fillId="4" borderId="19" xfId="55" applyBorder="1" applyAlignment="1">
      <alignment vertical="center"/>
    </xf>
    <xf numFmtId="0" fontId="35" fillId="14" borderId="7" xfId="55" applyFill="1" applyBorder="1" applyAlignment="1">
      <alignment horizontal="left" vertical="center"/>
    </xf>
    <xf numFmtId="0" fontId="35" fillId="14" borderId="6" xfId="55" applyFill="1" applyBorder="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cellXfs>
  <cellStyles count="69">
    <cellStyle name="Alert" xfId="62" xr:uid="{34EFE908-8095-4010-8F93-8CFE88055637}"/>
    <cellStyle name="Arguments" xfId="68" xr:uid="{FA757B97-4758-40CB-8A6E-0394BBFDA67B}"/>
    <cellStyle name="Arguments hyperlink" xfId="66" xr:uid="{33A5ECEB-99F2-4A12-BA97-44EC5955E5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10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4"/>
      <tableStyleElement type="headerRow" dxfId="103"/>
      <tableStyleElement type="totalRow" dxfId="102"/>
      <tableStyleElement type="firstColumn" dxfId="101"/>
      <tableStyleElement type="firstRowStripe" dxfId="100"/>
      <tableStyleElement type="secondRowStripe" dxfId="99"/>
    </tableStyle>
    <tableStyle name="Equation table" pivot="0" count="6" xr9:uid="{B247698E-E41D-4CCD-AA0A-C14817E9DE65}">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14287</xdr:colOff>
      <xdr:row>90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55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29</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109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153</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solidFill>
                    <a:srgbClr val="C44340"/>
                  </a:solidFill>
                  <a:latin typeface="Cambria Math" panose="02040503050406030204" pitchFamily="18" charset="0"/>
                </a:rPr>
                <a:t>Original equation:</a:t>
              </a:r>
              <a:r>
                <a:rPr lang="en-AU" sz="1100" b="0" i="0">
                  <a:latin typeface="Cambria Math" panose="02040503050406030204" pitchFamily="18" charset="0"/>
                </a:rPr>
                <a:t>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153</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179</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217</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217</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𝐸〗_𝐶𝐻4=∑10_𝑗▒∑10_𝑚▒((𝑁_(𝑗=1,2,4)×𝑀_(𝑗=1,2,4,𝑚)×𝐷_(𝑗=1,2,4) )+(𝑁_(𝑗=3,5)×𝑀_(𝑗=3,5,𝑚)×𝐷_(𝑗=3,5) )+(𝑁_(𝑗=3,5)×𝑀𝑃𝑊_(𝑚𝑎𝑛𝑢𝑟𝑒,𝑗=3,5)×𝐷_(𝑗=3,5)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9525</xdr:colOff>
      <xdr:row>71</xdr:row>
      <xdr:rowOff>90487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𝑁𝑅_𝑗=((0.032×𝑀𝑃_𝑗×1.03)/6.38)+{(0.212−0.008×(𝐿_𝑗−2)−[(0.140−0.008×(𝐿_𝑗−2))/(1+𝑒^(−6×(𝑍_𝑗−0.4) ) )])×(𝐿𝑊𝐺_𝑗×0.92)}×1/6.25</a:t>
              </a:r>
            </a:p>
          </xdr:txBody>
        </xdr:sp>
      </mc:Fallback>
    </mc:AlternateContent>
    <xdr:clientData/>
  </xdr:oneCellAnchor>
  <xdr:oneCellAnchor>
    <xdr:from>
      <xdr:col>3</xdr:col>
      <xdr:colOff>85725</xdr:colOff>
      <xdr:row>102</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125</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146</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146</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176</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176</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212</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249</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𝐸_(𝑁2𝑂,𝑑𝑖𝑟)=∑10_𝑗▒∑10_𝑚▒(𝑀𝑁_𝑗𝑚×𝐸𝐹_𝑚×𝐶_𝑁2𝑂×10^(−3) )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twoCellAnchor editAs="oneCell">
    <xdr:from>
      <xdr:col>6</xdr:col>
      <xdr:colOff>1983442</xdr:colOff>
      <xdr:row>93</xdr:row>
      <xdr:rowOff>44824</xdr:rowOff>
    </xdr:from>
    <xdr:to>
      <xdr:col>9</xdr:col>
      <xdr:colOff>1728210</xdr:colOff>
      <xdr:row>95</xdr:row>
      <xdr:rowOff>94766</xdr:rowOff>
    </xdr:to>
    <xdr:pic>
      <xdr:nvPicPr>
        <xdr:cNvPr id="9" name="Picture 8">
          <a:extLst>
            <a:ext uri="{FF2B5EF4-FFF2-40B4-BE49-F238E27FC236}">
              <a16:creationId xmlns:a16="http://schemas.microsoft.com/office/drawing/2014/main" id="{5C60F29D-4670-9430-0E3C-2B84B76E7BF1}"/>
            </a:ext>
          </a:extLst>
        </xdr:cNvPr>
        <xdr:cNvPicPr>
          <a:picLocks noChangeAspect="1"/>
        </xdr:cNvPicPr>
      </xdr:nvPicPr>
      <xdr:blipFill>
        <a:blip xmlns:r="http://schemas.openxmlformats.org/officeDocument/2006/relationships" r:embed="rId1"/>
        <a:stretch>
          <a:fillRect/>
        </a:stretch>
      </xdr:blipFill>
      <xdr:spPr>
        <a:xfrm>
          <a:off x="10813677" y="27297530"/>
          <a:ext cx="5896798" cy="54300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3</v>
    <v>8</v>
    <v>3</v>
    <v>1</v>
  </rv>
</rvData>
</file>

<file path=xl/richData/rdrichvaluestructure.xml><?xml version="1.0" encoding="utf-8"?>
<rvStructures xmlns="http://schemas.microsoft.com/office/spreadsheetml/2017/richdata" count="2">
  <s t="_localImage">
    <k n="_rvRel:LocalImageIdentifier" t="i"/>
    <k n="CalcOrigin" t="i"/>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7"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56"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55"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54"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53"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52"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51"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50"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49"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48"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47"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46"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45"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44"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43"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42"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41"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40"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39"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38"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37"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36"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35"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34"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33"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32"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31"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30"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29"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28"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2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2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2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24"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23"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22"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21"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7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7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7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7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7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7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15" sqref="I1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7" t="s">
        <v>335</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26" t="str">
        <f>HYPERLINK("#'Results'!A1", "Results")</f>
        <v>Results</v>
      </c>
      <c r="C4" s="24"/>
      <c r="D4" s="6" t="s">
        <v>5</v>
      </c>
      <c r="E4" s="26"/>
      <c r="F4" s="26"/>
      <c r="G4" s="26"/>
      <c r="H4" s="6"/>
      <c r="I4" s="6"/>
      <c r="J4" s="6"/>
      <c r="K4" s="27"/>
    </row>
    <row r="5" spans="1:11" ht="20.100000000000001" customHeight="1" x14ac:dyDescent="0.3">
      <c r="A5" s="16"/>
      <c r="C5" s="24"/>
      <c r="D5" s="28"/>
      <c r="E5" s="29"/>
      <c r="F5" s="29"/>
      <c r="G5" s="29"/>
      <c r="H5" s="26"/>
      <c r="I5" s="24"/>
      <c r="J5" s="24"/>
      <c r="K5" s="24"/>
    </row>
    <row r="6" spans="1:11" ht="20.100000000000001" customHeight="1" x14ac:dyDescent="0.25">
      <c r="A6" s="20" t="s">
        <v>3</v>
      </c>
      <c r="C6" s="24"/>
      <c r="D6" s="125" t="s">
        <v>145</v>
      </c>
      <c r="E6" s="125" t="s">
        <v>403</v>
      </c>
      <c r="F6" s="125" t="s">
        <v>404</v>
      </c>
      <c r="G6" s="125" t="s">
        <v>162</v>
      </c>
      <c r="H6" s="125" t="s">
        <v>409</v>
      </c>
      <c r="I6" s="125" t="s">
        <v>410</v>
      </c>
      <c r="J6" s="125" t="s">
        <v>163</v>
      </c>
      <c r="K6" s="24"/>
    </row>
    <row r="7" spans="1:11" ht="20.100000000000001" customHeight="1" x14ac:dyDescent="0.25">
      <c r="A7" s="17" t="str">
        <f>HYPERLINK("#'Input - Site'!A1", "Site")</f>
        <v>Site</v>
      </c>
      <c r="C7" s="24"/>
      <c r="D7" s="1" t="s">
        <v>405</v>
      </c>
      <c r="E7" s="120">
        <f>'4.3.1.1-2 Methane'!$E$264</f>
        <v>8.1869605415711497</v>
      </c>
      <c r="F7" s="120">
        <f>'4.3.1.1-2 Methane'!$P$264</f>
        <v>8.0754442628988556</v>
      </c>
      <c r="G7" s="57" t="str">
        <f>'4.3.1.1-2 Methane'!$F$264</f>
        <v>t CH4</v>
      </c>
      <c r="H7" s="120">
        <f>'4.3.1.1-2 Methane'!$E$269</f>
        <v>229.23489516399218</v>
      </c>
      <c r="I7" s="120">
        <f>'4.3.1.1-2 Methane'!$P$269</f>
        <v>0</v>
      </c>
      <c r="J7" s="57" t="str">
        <f>'4.3.1.1-2 Methane'!$F$269</f>
        <v>t CO2e</v>
      </c>
      <c r="K7" s="24"/>
    </row>
    <row r="8" spans="1:11" ht="20.100000000000001" customHeight="1" x14ac:dyDescent="0.25">
      <c r="A8" s="17" t="str">
        <f>HYPERLINK("#'Input - Dairy'!A1", "Dairy")</f>
        <v>Dairy</v>
      </c>
      <c r="C8" s="24"/>
      <c r="D8" s="1" t="s">
        <v>406</v>
      </c>
      <c r="E8" s="120">
        <f>'4.3.1.3-4 Direct N20'!$E$280</f>
        <v>1.7559968594126556E-2</v>
      </c>
      <c r="F8" s="120">
        <f>'4.3.1.3-4 Direct N20'!$O$280</f>
        <v>1.7559968594126556E-2</v>
      </c>
      <c r="G8" s="57" t="str">
        <f>'4.3.1.3-4 Direct N20'!$F$280</f>
        <v>t N2O</v>
      </c>
      <c r="H8" s="120">
        <f>'4.3.1.3-4 Direct N20'!$E$285</f>
        <v>4.6533916774435369</v>
      </c>
      <c r="I8" s="120">
        <f>'4.3.1.3-4 Direct N20'!$O$285</f>
        <v>4.6533916774435369</v>
      </c>
      <c r="J8" s="57" t="str">
        <f>'4.3.1.3-4 Direct N20'!$F$285</f>
        <v>t CO2e</v>
      </c>
      <c r="K8" s="24"/>
    </row>
    <row r="9" spans="1:11" ht="20.100000000000001" customHeight="1" x14ac:dyDescent="0.25">
      <c r="A9" s="17"/>
      <c r="C9" s="24"/>
      <c r="D9" s="1" t="s">
        <v>407</v>
      </c>
      <c r="E9" s="120">
        <f>'4.3.1.5 Atmos deposition'!$E$68</f>
        <v>3.8269027723897175E-2</v>
      </c>
      <c r="F9" s="120">
        <f>'4.3.1.5 Atmos deposition'!$P$68</f>
        <v>3.8269027723897175E-2</v>
      </c>
      <c r="G9" s="57" t="str">
        <f>'4.3.1.5 Atmos deposition'!$F$68</f>
        <v>t N2O</v>
      </c>
      <c r="H9" s="120">
        <f>'4.3.1.5 Atmos deposition'!$E$73</f>
        <v>10.141292346832751</v>
      </c>
      <c r="I9" s="120">
        <f>'4.3.1.5 Atmos deposition'!$P$73</f>
        <v>10.141292346832751</v>
      </c>
      <c r="J9" s="57" t="str">
        <f>'4.3.1.5 Atmos deposition'!$F$73</f>
        <v>t CO2e</v>
      </c>
      <c r="K9" s="24"/>
    </row>
    <row r="10" spans="1:11" ht="20.100000000000001" customHeight="1" x14ac:dyDescent="0.25">
      <c r="A10" s="19" t="s">
        <v>78</v>
      </c>
      <c r="C10" s="24"/>
      <c r="D10" s="1" t="s">
        <v>408</v>
      </c>
      <c r="E10" s="120">
        <f>'4.3.1.6-7 Leaching and runoff'!$E$52</f>
        <v>2.0994898959935987E-3</v>
      </c>
      <c r="F10" s="120">
        <f>'4.3.1.6-7 Leaching and runoff'!$P$52</f>
        <v>2.0994898959935987E-3</v>
      </c>
      <c r="G10" s="57" t="str">
        <f>'4.3.1.6-7 Leaching and runoff'!$F$52</f>
        <v>t N2O</v>
      </c>
      <c r="H10" s="120">
        <f>'4.3.1.6-7 Leaching and runoff'!$E$57</f>
        <v>0.55636482243830365</v>
      </c>
      <c r="I10" s="120">
        <f>'4.3.1.6-7 Leaching and runoff'!$P$57</f>
        <v>0.55636482243830365</v>
      </c>
      <c r="J10" s="57" t="str">
        <f>'4.3.1.6-7 Leaching and runoff'!$F$57</f>
        <v>t CO2e</v>
      </c>
      <c r="K10" s="24"/>
    </row>
    <row r="11" spans="1:11" ht="20.100000000000001" customHeight="1" x14ac:dyDescent="0.25">
      <c r="A11" s="17" t="str">
        <f>HYPERLINK("#'4.3.1.1-2 Methane'!A1", "4.3.1.1-2 Methane")</f>
        <v>4.3.1.1-2 Methane</v>
      </c>
      <c r="C11" s="24"/>
      <c r="D11" s="1" t="s">
        <v>374</v>
      </c>
      <c r="E11" s="120">
        <f>'4.3.1.9 Soil direct N2O'!$E$53</f>
        <v>6.045118108813663E-2</v>
      </c>
      <c r="F11" s="120">
        <f>'4.3.1.9 Soil direct N2O'!$P$53</f>
        <v>6.045118108813663E-2</v>
      </c>
      <c r="G11" s="57" t="str">
        <f>'4.3.1.9 Soil direct N2O'!$F$53</f>
        <v>t N2O</v>
      </c>
      <c r="H11" s="120">
        <f>'4.3.1.9 Soil direct N2O'!$E$58</f>
        <v>16.019562988356206</v>
      </c>
      <c r="I11" s="120">
        <f>'4.3.1.9 Soil direct N2O'!$P$58</f>
        <v>16.019562988356206</v>
      </c>
      <c r="J11" s="57" t="str">
        <f>'4.3.1.9 Soil direct N2O'!$F$58</f>
        <v>t CO2e</v>
      </c>
      <c r="K11" s="24"/>
    </row>
    <row r="12" spans="1:11" ht="20.100000000000001" customHeight="1" x14ac:dyDescent="0.25">
      <c r="A12" s="17" t="str">
        <f>HYPERLINK("#'4.3.1.3-4 Direct N20'!A1", "4.3.1.3-4 Direct N2O")</f>
        <v>4.3.1.3-4 Direct N2O</v>
      </c>
      <c r="C12" s="24"/>
      <c r="D12" s="1" t="s">
        <v>390</v>
      </c>
      <c r="E12" s="120">
        <f>'4.3.1.10-11 Soil Atmos Dep'!$E$45</f>
        <v>3.7449506684100645E-2</v>
      </c>
      <c r="F12" s="120">
        <f>'4.3.1.10-11 Soil Atmos Dep'!$P$45</f>
        <v>3.7449506684100645E-2</v>
      </c>
      <c r="G12" s="57" t="str">
        <f>'4.3.1.10-11 Soil Atmos Dep'!$F$45</f>
        <v>t N2O</v>
      </c>
      <c r="H12" s="120">
        <f>'4.3.1.10-11 Soil Atmos Dep'!$E$50</f>
        <v>9.9241192712866706</v>
      </c>
      <c r="I12" s="120">
        <f>'4.3.1.10-11 Soil Atmos Dep'!$P$50</f>
        <v>9.9241192712866706</v>
      </c>
      <c r="J12" s="57" t="str">
        <f>'4.3.1.10-11 Soil Atmos Dep'!$F$50</f>
        <v>t CO2e</v>
      </c>
      <c r="K12" s="24"/>
    </row>
    <row r="13" spans="1:11" ht="20.100000000000001" customHeight="1" x14ac:dyDescent="0.25">
      <c r="A13" s="17" t="str">
        <f>HYPERLINK("#'4.3.1.5 Atmos Deposition'!A1", "4.3.1.5 Atmospheric deposition")</f>
        <v>4.3.1.5 Atmospheric deposition</v>
      </c>
      <c r="C13" s="24"/>
      <c r="D13" s="1" t="s">
        <v>391</v>
      </c>
      <c r="E13" s="120">
        <f>'4.3.1.12-13 Soil leach runoff'!$E$47</f>
        <v>6.64962991969503E-3</v>
      </c>
      <c r="F13" s="120">
        <f>'4.3.1.12-13 Soil leach runoff'!$P$47</f>
        <v>6.64962991969503E-3</v>
      </c>
      <c r="G13" s="57" t="str">
        <f>'4.3.1.12-13 Soil leach runoff'!$F$47</f>
        <v>t N2O</v>
      </c>
      <c r="H13" s="120">
        <f>'4.3.1.12-13 Soil leach runoff'!$E$52</f>
        <v>1.7621519287191829</v>
      </c>
      <c r="I13" s="120">
        <f>'4.3.1.12-13 Soil leach runoff'!$P$52</f>
        <v>1.7621519287191829</v>
      </c>
      <c r="J13" s="57" t="str">
        <f>'4.3.1.12-13 Soil leach runoff'!$F$52</f>
        <v>t CO2e</v>
      </c>
      <c r="K13" s="24"/>
    </row>
    <row r="14" spans="1:11" ht="20.100000000000001" customHeight="1" x14ac:dyDescent="0.3">
      <c r="A14" s="17" t="str">
        <f>HYPERLINK("#'4.3.1.6-7 Leaching and runoff'!A1", "4.3.1.6-7 Leaching and runoff")</f>
        <v>4.3.1.6-7 Leaching and runoff</v>
      </c>
      <c r="C14" s="24"/>
      <c r="D14" s="31" t="s">
        <v>160</v>
      </c>
      <c r="E14" s="25"/>
      <c r="F14" s="25"/>
      <c r="G14" s="31"/>
      <c r="H14" s="122">
        <f>SUM(H7:H13)</f>
        <v>272.2917781990688</v>
      </c>
      <c r="I14" s="122">
        <f>SUM(I7:I13)</f>
        <v>43.056883035076652</v>
      </c>
      <c r="J14" s="112" t="s">
        <v>372</v>
      </c>
      <c r="K14" s="24"/>
    </row>
    <row r="15" spans="1:11" ht="20.100000000000001" customHeight="1" x14ac:dyDescent="0.25">
      <c r="A15" s="17" t="str">
        <f>HYPERLINK("#'4.3.1.8 Manure applied to soils'!A1", "4.3.1.8 Manure applied to soils")</f>
        <v>4.3.1.8 Manure applied to soils</v>
      </c>
      <c r="C15" s="24"/>
      <c r="D15" s="1"/>
      <c r="E15" s="1"/>
      <c r="F15" s="1"/>
      <c r="G15" s="26"/>
      <c r="H15" s="24"/>
      <c r="I15" s="1"/>
      <c r="J15" s="1"/>
      <c r="K15" s="24"/>
    </row>
    <row r="16" spans="1:11" ht="20.100000000000001" customHeight="1" x14ac:dyDescent="0.25">
      <c r="A16" s="17" t="str">
        <f>HYPERLINK("#'4.3.1.9 Soil direct N2O'!A1", "4.3.1.9 Soil direct N2O")</f>
        <v>4.3.1.9 Soil direct N2O</v>
      </c>
      <c r="C16" s="24"/>
      <c r="D16" s="51" t="s">
        <v>359</v>
      </c>
      <c r="E16" s="1"/>
      <c r="F16" s="1"/>
      <c r="G16" s="1"/>
      <c r="H16" s="26"/>
      <c r="I16" s="1"/>
      <c r="J16" s="1"/>
      <c r="K16" s="24"/>
    </row>
    <row r="17" spans="1:11" ht="20.100000000000001" customHeight="1" x14ac:dyDescent="0.25">
      <c r="A17" s="17" t="str">
        <f>HYPERLINK("#'4.3.1.10-11 Soil Atmos Dep'!A1", "4.3.1.10-11 Soil atm. deposition")</f>
        <v>4.3.1.10-11 Soil atm. deposition</v>
      </c>
      <c r="C17" s="24"/>
      <c r="D17" s="113" t="s">
        <v>168</v>
      </c>
      <c r="E17" s="1"/>
      <c r="F17" s="1"/>
      <c r="G17" s="1"/>
      <c r="H17" s="1"/>
      <c r="I17" s="1"/>
      <c r="J17" s="1"/>
      <c r="K17" s="24"/>
    </row>
    <row r="18" spans="1:11" ht="20.100000000000001" customHeight="1" x14ac:dyDescent="0.25">
      <c r="A18" s="17" t="str">
        <f>HYPERLINK("#'4.3.1.12-13 Soil leach runoff'!A1", "4.3.1.12-13 Soil leach &amp; runoff")</f>
        <v>4.3.1.12-13 Soil leach &amp; runoff</v>
      </c>
      <c r="C18" s="24"/>
      <c r="D18" s="123" t="s">
        <v>174</v>
      </c>
      <c r="E18" s="1"/>
      <c r="F18" s="1"/>
      <c r="G18" s="1"/>
      <c r="H18" s="1"/>
      <c r="I18" s="1"/>
      <c r="J18" s="1"/>
      <c r="K18" s="24"/>
    </row>
    <row r="19" spans="1:11" ht="20.100000000000001" customHeight="1" x14ac:dyDescent="0.25">
      <c r="A19" s="17"/>
      <c r="C19" s="24"/>
      <c r="D19" s="125" t="s">
        <v>169</v>
      </c>
      <c r="E19" s="125" t="s">
        <v>166</v>
      </c>
      <c r="F19" s="125" t="s">
        <v>167</v>
      </c>
      <c r="G19" s="125" t="s">
        <v>161</v>
      </c>
      <c r="H19" s="125" t="s">
        <v>173</v>
      </c>
      <c r="I19" s="1"/>
      <c r="J19" s="1"/>
      <c r="K19" s="24"/>
    </row>
    <row r="20" spans="1:11" ht="20.100000000000001" customHeight="1" x14ac:dyDescent="0.25">
      <c r="A20" s="18" t="s">
        <v>4</v>
      </c>
      <c r="C20" s="24"/>
      <c r="D20" s="1" t="s">
        <v>417</v>
      </c>
      <c r="E20" s="124">
        <f>'4.3.1.8 Manure applied to soils'!$E$85</f>
        <v>9379.260858797159</v>
      </c>
      <c r="F20" s="57" t="s">
        <v>135</v>
      </c>
      <c r="G20" s="1" t="s">
        <v>411</v>
      </c>
      <c r="H20" s="1" t="s">
        <v>172</v>
      </c>
      <c r="I20" s="1"/>
      <c r="J20" s="1"/>
      <c r="K20" s="24"/>
    </row>
    <row r="21" spans="1:11" ht="20.100000000000001" customHeight="1" x14ac:dyDescent="0.25">
      <c r="A21" s="17" t="str">
        <f>HYPERLINK("#'Constants - Dairy'!A1", "Constants - Dairy")</f>
        <v>Constants - Dairy</v>
      </c>
      <c r="C21" s="24"/>
      <c r="D21" s="1" t="s">
        <v>170</v>
      </c>
      <c r="E21" s="124">
        <f>'4.3.1.8 Manure applied to soils'!$E$148</f>
        <v>3126.4202862657203</v>
      </c>
      <c r="F21" s="57" t="s">
        <v>135</v>
      </c>
      <c r="G21" s="1" t="s">
        <v>411</v>
      </c>
      <c r="H21" s="1" t="s">
        <v>172</v>
      </c>
      <c r="I21" s="24"/>
      <c r="J21" s="1"/>
      <c r="K21" s="24"/>
    </row>
    <row r="22" spans="1:11" ht="20.100000000000001" customHeight="1" x14ac:dyDescent="0.25">
      <c r="A22" s="17" t="str">
        <f>HYPERLINK("#'Constants - Livestock'!A1", "Constants - Livestock")</f>
        <v>Constants - Livestock</v>
      </c>
      <c r="C22" s="24"/>
      <c r="D22" s="1" t="s">
        <v>164</v>
      </c>
      <c r="E22" s="124">
        <f>'4.3.1.8 Manure applied to soils'!$E$115</f>
        <v>3126.4202862657203</v>
      </c>
      <c r="F22" s="57" t="s">
        <v>135</v>
      </c>
      <c r="G22" s="1" t="s">
        <v>165</v>
      </c>
      <c r="H22" s="1" t="s">
        <v>171</v>
      </c>
      <c r="I22" s="24"/>
      <c r="J22" s="24"/>
      <c r="K22" s="24"/>
    </row>
    <row r="23" spans="1:11" ht="20.100000000000001" customHeight="1" x14ac:dyDescent="0.25">
      <c r="A23" s="17" t="str">
        <f>HYPERLINK("#'Constants - Common'!A1", "Constants - Common")</f>
        <v>Constants - Common</v>
      </c>
      <c r="C23" s="24"/>
      <c r="D23" s="1"/>
      <c r="E23" s="1"/>
      <c r="F23" s="1"/>
      <c r="G23" s="1"/>
      <c r="H23" s="1"/>
      <c r="I23" s="24"/>
      <c r="J23" s="24"/>
      <c r="K23" s="24"/>
    </row>
    <row r="24" spans="1:11" ht="20.100000000000001" customHeight="1" x14ac:dyDescent="0.25">
      <c r="A24" s="17" t="str">
        <f>HYPERLINK("#'Acknowledgements'!A1", "Acknowledgements")</f>
        <v>Acknowledgements</v>
      </c>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9"/>
      <c r="J38" s="119"/>
      <c r="K38" s="24"/>
    </row>
    <row r="39" spans="3:11" ht="20.100000000000001" customHeight="1" x14ac:dyDescent="0.25">
      <c r="C39" s="24"/>
      <c r="D39" s="1"/>
      <c r="E39" s="1"/>
      <c r="F39" s="1"/>
      <c r="G39" s="1"/>
      <c r="H39" s="1"/>
      <c r="I39" s="119"/>
      <c r="J39" s="119"/>
      <c r="K39" s="24"/>
    </row>
    <row r="40" spans="3:11" ht="20.100000000000001" customHeight="1" x14ac:dyDescent="0.25">
      <c r="C40" s="24"/>
      <c r="D40" s="1"/>
      <c r="E40" s="1"/>
      <c r="F40" s="1"/>
      <c r="G40" s="1"/>
      <c r="H40" s="1"/>
      <c r="I40" s="119"/>
      <c r="J40" s="119"/>
      <c r="K40" s="24"/>
    </row>
    <row r="41" spans="3:11" ht="20.100000000000001" customHeight="1" x14ac:dyDescent="0.25">
      <c r="C41" s="24"/>
      <c r="D41" s="1"/>
      <c r="E41" s="1"/>
      <c r="F41" s="1"/>
      <c r="G41" s="1"/>
      <c r="H41" s="1"/>
      <c r="I41" s="119"/>
      <c r="J41" s="119"/>
      <c r="K41" s="24"/>
    </row>
    <row r="42" spans="3:11" ht="20.100000000000001" customHeight="1" x14ac:dyDescent="0.25">
      <c r="C42" s="24"/>
      <c r="D42" s="1"/>
      <c r="E42" s="1"/>
      <c r="F42" s="1"/>
      <c r="G42" s="1"/>
      <c r="H42" s="1"/>
      <c r="I42" s="119"/>
      <c r="J42" s="119"/>
      <c r="K42" s="24"/>
    </row>
    <row r="43" spans="3:11" ht="20.100000000000001" customHeight="1" x14ac:dyDescent="0.25">
      <c r="C43" s="24"/>
      <c r="D43" s="1"/>
      <c r="E43" s="1"/>
      <c r="F43" s="1"/>
      <c r="G43" s="1"/>
      <c r="H43" s="1"/>
      <c r="I43" s="119"/>
      <c r="J43" s="119"/>
      <c r="K43" s="24"/>
    </row>
    <row r="44" spans="3:11" ht="20.100000000000001" customHeight="1" x14ac:dyDescent="0.25">
      <c r="C44" s="24"/>
      <c r="D44" s="1"/>
      <c r="E44" s="1"/>
      <c r="F44" s="1"/>
      <c r="G44" s="1"/>
      <c r="H44" s="1"/>
      <c r="I44" s="119"/>
      <c r="J44" s="119"/>
      <c r="K44" s="24"/>
    </row>
    <row r="45" spans="3:11" ht="20.100000000000001" customHeight="1" x14ac:dyDescent="0.25">
      <c r="C45" s="24"/>
      <c r="D45" s="1"/>
      <c r="E45" s="1"/>
      <c r="F45" s="1"/>
      <c r="G45" s="1"/>
      <c r="H45" s="1"/>
      <c r="I45" s="119"/>
      <c r="J45" s="119"/>
      <c r="K45" s="24"/>
    </row>
    <row r="46" spans="3:11" ht="20.100000000000001" customHeight="1" x14ac:dyDescent="0.25">
      <c r="C46" s="24"/>
      <c r="D46" s="1"/>
      <c r="E46" s="1"/>
      <c r="F46" s="1"/>
      <c r="G46" s="1"/>
      <c r="H46" s="1"/>
      <c r="I46" s="119"/>
      <c r="J46" s="119"/>
      <c r="K46" s="24"/>
    </row>
    <row r="47" spans="3:11" ht="20.100000000000001" customHeight="1" x14ac:dyDescent="0.25">
      <c r="C47" s="24"/>
      <c r="D47" s="1"/>
      <c r="E47" s="1"/>
      <c r="F47" s="1"/>
      <c r="G47" s="1"/>
      <c r="H47" s="1"/>
      <c r="I47" s="119"/>
      <c r="J47" s="119"/>
      <c r="K47" s="24"/>
    </row>
    <row r="48" spans="3:11" ht="20.100000000000001" customHeight="1" x14ac:dyDescent="0.25">
      <c r="C48" s="24"/>
      <c r="D48" s="1"/>
      <c r="E48" s="1"/>
      <c r="F48" s="1"/>
      <c r="G48" s="1"/>
      <c r="H48" s="1"/>
      <c r="I48" s="119"/>
      <c r="J48" s="119"/>
      <c r="K48" s="24"/>
    </row>
    <row r="49" spans="3:11" ht="20.100000000000001" customHeight="1" x14ac:dyDescent="0.25">
      <c r="C49" s="24"/>
      <c r="D49" s="1"/>
      <c r="E49" s="1"/>
      <c r="F49" s="1"/>
      <c r="G49" s="1"/>
      <c r="H49" s="119"/>
      <c r="I49" s="119"/>
      <c r="J49" s="119"/>
      <c r="K49" s="24"/>
    </row>
    <row r="50" spans="3:11" ht="20.100000000000001" customHeight="1" x14ac:dyDescent="0.25">
      <c r="C50" s="24"/>
      <c r="D50" s="1"/>
      <c r="E50" s="1"/>
      <c r="F50" s="1"/>
      <c r="G50" s="1"/>
      <c r="H50" s="119"/>
      <c r="I50" s="119"/>
      <c r="J50" s="119"/>
      <c r="K50" s="24"/>
    </row>
    <row r="51" spans="3:11" ht="20.100000000000001" customHeight="1" x14ac:dyDescent="0.25">
      <c r="C51" s="24"/>
      <c r="D51" s="1"/>
      <c r="E51" s="1"/>
      <c r="F51" s="1"/>
      <c r="G51" s="1"/>
      <c r="H51" s="119"/>
      <c r="I51" s="119"/>
      <c r="J51" s="119"/>
      <c r="K51" s="24"/>
    </row>
    <row r="52" spans="3:11" ht="20.100000000000001" customHeight="1" x14ac:dyDescent="0.25">
      <c r="C52" s="24"/>
      <c r="D52" s="1"/>
      <c r="E52" s="1"/>
      <c r="F52" s="1"/>
      <c r="G52" s="1"/>
      <c r="H52" s="119"/>
      <c r="I52" s="119"/>
      <c r="J52" s="119"/>
      <c r="K52" s="24"/>
    </row>
    <row r="53" spans="3:11" ht="20.100000000000001" customHeight="1" x14ac:dyDescent="0.25">
      <c r="C53" s="24"/>
      <c r="D53" s="1"/>
      <c r="E53" s="1"/>
      <c r="F53" s="1"/>
      <c r="G53" s="1"/>
      <c r="H53" s="119"/>
      <c r="I53" s="119"/>
      <c r="J53" s="119"/>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73"/>
      <c r="D4" s="73"/>
      <c r="E4" s="73"/>
      <c r="F4" s="73"/>
      <c r="G4" s="73"/>
      <c r="H4" s="73"/>
      <c r="I4" s="73"/>
      <c r="J4" s="73"/>
      <c r="K4" s="73"/>
    </row>
    <row r="5" spans="1:24" ht="20.100000000000001" customHeight="1" x14ac:dyDescent="0.25">
      <c r="D5" s="6" t="s">
        <v>15</v>
      </c>
      <c r="N5" s="43"/>
    </row>
    <row r="6" spans="1:24" ht="20.100000000000001" customHeight="1" x14ac:dyDescent="0.25">
      <c r="A6" s="20" t="s">
        <v>3</v>
      </c>
      <c r="D6" s="14"/>
      <c r="N6" s="44"/>
    </row>
    <row r="7" spans="1:24" ht="20.100000000000001" customHeight="1" x14ac:dyDescent="0.25">
      <c r="A7" s="21" t="str">
        <f>HYPERLINK("#'Input - Site'!A1", "Site")</f>
        <v>Site</v>
      </c>
      <c r="D7" s="1" t="s">
        <v>7</v>
      </c>
      <c r="E7" s="35" t="s">
        <v>6</v>
      </c>
      <c r="F7" s="2"/>
    </row>
    <row r="8" spans="1:24" ht="20.100000000000001" customHeight="1" x14ac:dyDescent="0.25">
      <c r="A8" s="17" t="str">
        <f>HYPERLINK("#'Input - Dairy'!A1", "Dairy")</f>
        <v>Dairy</v>
      </c>
      <c r="D8" s="10" t="s">
        <v>74</v>
      </c>
      <c r="E8" s="35" t="s">
        <v>75</v>
      </c>
    </row>
    <row r="9" spans="1:24" ht="20.100000000000001" customHeight="1" x14ac:dyDescent="0.25">
      <c r="A9" s="17"/>
      <c r="N9" s="45"/>
    </row>
    <row r="10" spans="1:24" ht="20.100000000000001" customHeight="1" x14ac:dyDescent="0.25">
      <c r="A10" s="19" t="s">
        <v>78</v>
      </c>
      <c r="D10" s="98" t="s">
        <v>92</v>
      </c>
      <c r="E10" s="96"/>
      <c r="F10" s="99"/>
      <c r="G10" s="93"/>
      <c r="N10" s="45"/>
    </row>
    <row r="11" spans="1:24" ht="20.100000000000001" customHeight="1" x14ac:dyDescent="0.25">
      <c r="A11" s="17" t="str">
        <f>HYPERLINK("#'4.3.1.1-2 Methane'!A1", "4.3.1.1-2 Methane")</f>
        <v>4.3.1.1-2 Methane</v>
      </c>
      <c r="N11" s="46"/>
    </row>
    <row r="12" spans="1:24" ht="20.100000000000001" customHeight="1" x14ac:dyDescent="0.25">
      <c r="A12" s="17" t="str">
        <f>HYPERLINK("#'4.3.1.3-4 Direct N20'!A1", "4.3.1.3-4 Direct N2O")</f>
        <v>4.3.1.3-4 Direct N2O</v>
      </c>
      <c r="D12" s="10" t="s">
        <v>98</v>
      </c>
      <c r="E12" s="67">
        <v>45292</v>
      </c>
      <c r="F12" s="2" t="s">
        <v>72</v>
      </c>
    </row>
    <row r="13" spans="1:24" ht="20.100000000000001" customHeight="1" x14ac:dyDescent="0.25">
      <c r="A13" s="17" t="str">
        <f>HYPERLINK("#'4.3.1.5 Atmos Deposition'!A1", "4.3.1.5 Atmospheric deposition")</f>
        <v>4.3.1.5 Atmospheric deposition</v>
      </c>
      <c r="D13" s="10" t="s">
        <v>99</v>
      </c>
      <c r="E13" s="74">
        <f>DATE(YEAR(E12)+1,MONTH(E12),DAY(E12))-1</f>
        <v>45657</v>
      </c>
      <c r="F13" s="2" t="s">
        <v>17</v>
      </c>
      <c r="N13" s="40"/>
      <c r="O13" s="40"/>
    </row>
    <row r="14" spans="1:24" ht="20.100000000000001" customHeight="1" x14ac:dyDescent="0.25">
      <c r="A14" s="17" t="str">
        <f>HYPERLINK("#'4.3.1.6-7 Leaching and runoff'!A1", "4.3.1.6-7 Leaching and runoff")</f>
        <v>4.3.1.6-7 Leaching and runoff</v>
      </c>
      <c r="N14" s="40"/>
      <c r="O14" s="40"/>
    </row>
    <row r="15" spans="1:24" ht="20.100000000000001" customHeight="1" x14ac:dyDescent="0.25">
      <c r="A15" s="17" t="str">
        <f>HYPERLINK("#'4.3.1.8 Manure applied to soils'!A1", "4.3.1.8 Manure applied to soils")</f>
        <v>4.3.1.8 Manure applied to soils</v>
      </c>
      <c r="N15" s="40"/>
      <c r="O15" s="40"/>
    </row>
    <row r="16" spans="1:24" ht="20.100000000000001" customHeight="1" x14ac:dyDescent="0.25">
      <c r="A16" s="17" t="str">
        <f>HYPERLINK("#'4.3.1.9 Soil direct N2O'!A1", "4.3.1.9 Soil direct N2O")</f>
        <v>4.3.1.9 Soil direct N2O</v>
      </c>
      <c r="D16" s="6" t="s">
        <v>14</v>
      </c>
      <c r="N16" s="40"/>
      <c r="O16" s="40"/>
    </row>
    <row r="17" spans="1:25" ht="20.100000000000001" customHeight="1" x14ac:dyDescent="0.25">
      <c r="A17" s="17" t="str">
        <f>HYPERLINK("#'4.3.1.10-11 Soil Atmos Dep'!A1", "4.3.1.10-11 Soil atm. deposition")</f>
        <v>4.3.1.10-11 Soil atm. deposition</v>
      </c>
    </row>
    <row r="18" spans="1:25" ht="20.100000000000001" customHeight="1" x14ac:dyDescent="0.25">
      <c r="A18" s="17" t="str">
        <f>HYPERLINK("#'4.3.1.12-13 Soil leach runoff'!A1", "4.3.1.12-13 Soil leach &amp; runoff")</f>
        <v>4.3.1.12-13 Soil leach &amp; runoff</v>
      </c>
      <c r="D18" s="100" t="s">
        <v>16</v>
      </c>
      <c r="E18" s="95"/>
      <c r="F18" s="95"/>
      <c r="G18" s="91"/>
    </row>
    <row r="19" spans="1:25" ht="20.100000000000001" customHeight="1" x14ac:dyDescent="0.25">
      <c r="A19" s="17"/>
      <c r="D19" s="97" t="s">
        <v>73</v>
      </c>
      <c r="E19" s="94"/>
      <c r="F19" s="94"/>
      <c r="G19" s="92"/>
      <c r="N19" s="43"/>
    </row>
    <row r="20" spans="1:25" ht="20.100000000000001" customHeight="1" x14ac:dyDescent="0.25">
      <c r="A20" s="18" t="s">
        <v>4</v>
      </c>
      <c r="D20" s="1"/>
      <c r="E20" s="33"/>
      <c r="F20" s="2"/>
      <c r="N20" s="44"/>
    </row>
    <row r="21" spans="1:25" ht="20.100000000000001" customHeight="1" x14ac:dyDescent="0.25">
      <c r="A21" s="17" t="str">
        <f>HYPERLINK("#'Constants - Dairy'!A1", "Constants - Dairy")</f>
        <v>Constants - Dairy</v>
      </c>
      <c r="D21" s="1" t="s">
        <v>8</v>
      </c>
      <c r="E21" s="42" t="s">
        <v>105</v>
      </c>
      <c r="F21" s="2" t="s">
        <v>11</v>
      </c>
    </row>
    <row r="22" spans="1:25" ht="20.100000000000001" customHeight="1" x14ac:dyDescent="0.25">
      <c r="A22" s="17" t="str">
        <f>HYPERLINK("#'Constants - Livestock'!A1", "Constants - Livestock")</f>
        <v>Constants - Livestock</v>
      </c>
      <c r="D22" s="1" t="s">
        <v>27</v>
      </c>
      <c r="E22" s="42" t="s">
        <v>36</v>
      </c>
      <c r="F22" s="2" t="s">
        <v>11</v>
      </c>
      <c r="G22" s="1"/>
    </row>
    <row r="23" spans="1:25" ht="20.100000000000001" customHeight="1" x14ac:dyDescent="0.25">
      <c r="A23" s="17" t="str">
        <f>HYPERLINK("#'Constants - Common'!A1", "Constants - Common")</f>
        <v>Constants - Common</v>
      </c>
      <c r="D23" s="1" t="s">
        <v>9</v>
      </c>
      <c r="E23" s="42" t="s">
        <v>97</v>
      </c>
      <c r="F23" s="2" t="s">
        <v>11</v>
      </c>
    </row>
    <row r="24" spans="1:25" ht="20.100000000000001" customHeight="1" x14ac:dyDescent="0.25">
      <c r="A24" s="17" t="str">
        <f>HYPERLINK("#'Acknowledgements'!A1", "Acknowledgements")</f>
        <v>Acknowledgements</v>
      </c>
      <c r="D24" s="1" t="s">
        <v>41</v>
      </c>
      <c r="E24" s="35">
        <v>307.7</v>
      </c>
      <c r="F24" s="2" t="s">
        <v>55</v>
      </c>
    </row>
    <row r="25" spans="1:25" ht="20.100000000000001" customHeight="1" x14ac:dyDescent="0.25">
      <c r="A25"/>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T184"/>
  <sheetViews>
    <sheetView showGridLines="0" topLeftCell="A62" workbookViewId="0">
      <selection activeCell="D24" sqref="D24"/>
    </sheetView>
  </sheetViews>
  <sheetFormatPr defaultRowHeight="15.75" x14ac:dyDescent="0.25"/>
  <cols>
    <col min="1" max="1" width="30.7109375" customWidth="1"/>
    <col min="2" max="2" width="4.7109375" customWidth="1"/>
    <col min="3" max="3" width="4.7109375" style="1" customWidth="1"/>
    <col min="4" max="4" width="79" style="1" customWidth="1"/>
    <col min="5" max="10" width="30.7109375" style="1" customWidth="1"/>
    <col min="11" max="11" width="4.7109375" style="1" customWidth="1"/>
    <col min="12" max="13" width="4.7109375" style="59" customWidth="1"/>
    <col min="14" max="19" width="30.7109375" style="59" customWidth="1"/>
    <col min="20" max="20" width="4.7109375" style="59" customWidth="1"/>
  </cols>
  <sheetData>
    <row r="1" spans="1:20" s="71" customFormat="1" ht="30" customHeight="1" x14ac:dyDescent="0.35">
      <c r="A1" s="71" t="e" vm="1">
        <v>#VALUE!</v>
      </c>
      <c r="C1" s="71" t="s">
        <v>199</v>
      </c>
      <c r="L1" s="59"/>
      <c r="M1" s="59"/>
      <c r="N1" s="59"/>
      <c r="O1" s="59"/>
      <c r="P1" s="59"/>
      <c r="Q1" s="59"/>
      <c r="R1" s="59"/>
      <c r="S1" s="59"/>
      <c r="T1" s="59"/>
    </row>
    <row r="2" spans="1:20" s="9" customFormat="1" ht="20.100000000000001" customHeight="1" x14ac:dyDescent="0.25">
      <c r="L2" s="59"/>
      <c r="M2" s="59"/>
      <c r="N2" s="59"/>
      <c r="O2" s="59"/>
      <c r="P2" s="59"/>
      <c r="Q2" s="59"/>
      <c r="R2" s="59"/>
      <c r="S2" s="59"/>
      <c r="T2" s="59"/>
    </row>
    <row r="3" spans="1:20" ht="20.100000000000001" customHeight="1" x14ac:dyDescent="0.25">
      <c r="A3" s="17" t="str">
        <f>HYPERLINK("#'Home'!A1", "Home")</f>
        <v>Home</v>
      </c>
      <c r="C3" s="15"/>
      <c r="D3" s="15"/>
      <c r="E3" s="15"/>
      <c r="F3" s="15"/>
      <c r="G3" s="15"/>
      <c r="H3" s="15"/>
      <c r="I3" s="15"/>
      <c r="J3" s="15"/>
      <c r="K3" s="15"/>
    </row>
    <row r="4" spans="1:20" ht="20.100000000000001" customHeight="1" x14ac:dyDescent="0.25">
      <c r="A4" s="17" t="str">
        <f>HYPERLINK("#'Results'!A1", "Results")</f>
        <v>Results</v>
      </c>
    </row>
    <row r="5" spans="1:20" ht="20.100000000000001" customHeight="1" x14ac:dyDescent="0.25">
      <c r="A5" s="16"/>
      <c r="D5" s="6" t="s">
        <v>106</v>
      </c>
      <c r="K5" s="3"/>
      <c r="O5" s="7"/>
    </row>
    <row r="6" spans="1:20" ht="20.100000000000001" customHeight="1" x14ac:dyDescent="0.25">
      <c r="A6" s="20" t="s">
        <v>3</v>
      </c>
      <c r="K6" s="3"/>
      <c r="O6" s="7"/>
    </row>
    <row r="7" spans="1:20" ht="20.100000000000001" customHeight="1" x14ac:dyDescent="0.25">
      <c r="A7" s="17" t="str">
        <f>HYPERLINK("#'Input - Site'!A1", "Site")</f>
        <v>Site</v>
      </c>
      <c r="D7" s="1" t="s">
        <v>177</v>
      </c>
      <c r="E7" s="42" t="s">
        <v>229</v>
      </c>
      <c r="F7" s="2" t="s">
        <v>11</v>
      </c>
      <c r="K7" s="3"/>
      <c r="O7" s="7"/>
    </row>
    <row r="8" spans="1:20" ht="20.100000000000001" customHeight="1" x14ac:dyDescent="0.25">
      <c r="A8" s="21" t="str">
        <f>HYPERLINK("#'Input - Dairy'!A1", "Dairy")</f>
        <v>Dairy</v>
      </c>
      <c r="K8" s="3"/>
      <c r="O8" s="7"/>
    </row>
    <row r="9" spans="1:20" ht="20.100000000000001" customHeight="1" x14ac:dyDescent="0.25">
      <c r="A9" s="17"/>
      <c r="D9" s="66"/>
      <c r="E9" s="41" t="s">
        <v>178</v>
      </c>
      <c r="F9" s="41" t="s">
        <v>195</v>
      </c>
      <c r="G9" s="41" t="s">
        <v>196</v>
      </c>
      <c r="H9" s="41" t="s">
        <v>197</v>
      </c>
      <c r="I9" s="41" t="s">
        <v>198</v>
      </c>
      <c r="O9" s="7"/>
    </row>
    <row r="10" spans="1:20" ht="20.100000000000001" customHeight="1" x14ac:dyDescent="0.25">
      <c r="A10" s="19" t="s">
        <v>78</v>
      </c>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O10" s="7"/>
    </row>
    <row r="11" spans="1:20" ht="20.100000000000001" customHeight="1" x14ac:dyDescent="0.25">
      <c r="A11" s="17" t="str">
        <f>HYPERLINK("#'4.3.1.1-2 Methane'!A1", "4.3.1.1-2 Methane")</f>
        <v>4.3.1.1-2 Methane</v>
      </c>
      <c r="O11" s="7"/>
    </row>
    <row r="12" spans="1:20" ht="20.100000000000001" customHeight="1" x14ac:dyDescent="0.25">
      <c r="A12" s="17" t="str">
        <f>HYPERLINK("#'4.3.1.3-4 Direct N20'!A1", "4.3.1.3-4 Direct N2O")</f>
        <v>4.3.1.3-4 Direct N2O</v>
      </c>
      <c r="D12" s="51" t="s">
        <v>226</v>
      </c>
      <c r="O12" s="7"/>
    </row>
    <row r="13" spans="1:20" ht="20.100000000000001" customHeight="1" x14ac:dyDescent="0.25">
      <c r="A13" s="17" t="str">
        <f>HYPERLINK("#'4.3.1.5 Atmos Deposition'!A1", "4.3.1.5 Atmospheric deposition")</f>
        <v>4.3.1.5 Atmospheric deposition</v>
      </c>
      <c r="D13" s="66" t="s">
        <v>212</v>
      </c>
      <c r="E13" s="41" t="s">
        <v>178</v>
      </c>
      <c r="F13" s="41" t="s">
        <v>195</v>
      </c>
      <c r="G13" s="41" t="s">
        <v>196</v>
      </c>
      <c r="H13" s="41" t="s">
        <v>197</v>
      </c>
      <c r="I13" s="41" t="s">
        <v>198</v>
      </c>
      <c r="O13" s="40"/>
    </row>
    <row r="14" spans="1:20" ht="20.100000000000001" customHeight="1" x14ac:dyDescent="0.25">
      <c r="A14" s="17" t="str">
        <f>HYPERLINK("#'4.3.1.6-7 Leaching and runoff'!A1", "4.3.1.6-7 Leaching and runoff")</f>
        <v>4.3.1.6-7 Leaching and runoff</v>
      </c>
      <c r="D14" s="1" t="s">
        <v>227</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200</v>
      </c>
      <c r="O14" s="40"/>
    </row>
    <row r="15" spans="1:20" ht="20.100000000000001" customHeight="1" x14ac:dyDescent="0.25">
      <c r="A15" s="17" t="str">
        <f>HYPERLINK("#'4.3.1.8 Manure applied to soils'!A1", "4.3.1.8 Manure applied to soils")</f>
        <v>4.3.1.8 Manure applied to soils</v>
      </c>
      <c r="D15" s="1" t="s">
        <v>228</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201</v>
      </c>
      <c r="O15" s="40"/>
    </row>
    <row r="16" spans="1:20" ht="20.100000000000001" customHeight="1" x14ac:dyDescent="0.25">
      <c r="A16" s="17" t="str">
        <f>HYPERLINK("#'4.3.1.9 Soil direct N2O'!A1", "4.3.1.9 Soil direct N2O")</f>
        <v>4.3.1.9 Soil direct N2O</v>
      </c>
      <c r="O16" s="40"/>
    </row>
    <row r="17" spans="1:15" ht="20.100000000000001" customHeight="1" x14ac:dyDescent="0.25">
      <c r="A17" s="17" t="str">
        <f>HYPERLINK("#'4.3.1.10-11 Soil Atmos Dep'!A1", "4.3.1.10-11 Soil atm. deposition")</f>
        <v>4.3.1.10-11 Soil atm. deposition</v>
      </c>
      <c r="D17" s="66" t="s">
        <v>211</v>
      </c>
      <c r="E17" s="41" t="s">
        <v>178</v>
      </c>
      <c r="F17" s="41" t="s">
        <v>195</v>
      </c>
      <c r="G17" s="41" t="s">
        <v>196</v>
      </c>
      <c r="H17" s="41" t="s">
        <v>197</v>
      </c>
      <c r="I17" s="41" t="s">
        <v>198</v>
      </c>
      <c r="O17" s="7"/>
    </row>
    <row r="18" spans="1:15" ht="20.100000000000001" customHeight="1" x14ac:dyDescent="0.25">
      <c r="A18" s="17" t="str">
        <f>HYPERLINK("#'4.3.1.12-13 Soil leach runoff'!A1", "4.3.1.12-13 Soil leach &amp; runoff")</f>
        <v>4.3.1.12-13 Soil leach &amp; runoff</v>
      </c>
      <c r="D18" s="1" t="s">
        <v>227</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200</v>
      </c>
      <c r="O18" s="7"/>
    </row>
    <row r="19" spans="1:15" ht="20.100000000000001" customHeight="1" x14ac:dyDescent="0.25">
      <c r="A19" s="17"/>
      <c r="D19" s="1" t="s">
        <v>228</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201</v>
      </c>
      <c r="O19" s="7"/>
    </row>
    <row r="20" spans="1:15" ht="20.100000000000001" customHeight="1" x14ac:dyDescent="0.25">
      <c r="A20" s="18" t="s">
        <v>4</v>
      </c>
      <c r="O20" s="7"/>
    </row>
    <row r="21" spans="1:15" ht="20.100000000000001" customHeight="1" x14ac:dyDescent="0.25">
      <c r="A21" s="17" t="str">
        <f>HYPERLINK("#'Constants - Dairy'!A1", "Constants - Dairy")</f>
        <v>Constants - Dairy</v>
      </c>
      <c r="D21" s="51" t="s">
        <v>107</v>
      </c>
      <c r="O21" s="7"/>
    </row>
    <row r="22" spans="1:15" ht="20.100000000000001" customHeight="1" x14ac:dyDescent="0.25">
      <c r="A22" s="17" t="str">
        <f>HYPERLINK("#'Constants - Livestock'!A1", "Constants - Livestock")</f>
        <v>Constants - Livestock</v>
      </c>
      <c r="O22" s="7"/>
    </row>
    <row r="23" spans="1:15" ht="20.100000000000001" customHeight="1" x14ac:dyDescent="0.25">
      <c r="A23" s="17" t="str">
        <f>HYPERLINK("#'Constants - Common'!A1", "Constants - Common")</f>
        <v>Constants - Common</v>
      </c>
      <c r="D23" s="66" t="s">
        <v>212</v>
      </c>
      <c r="E23" s="41" t="s">
        <v>178</v>
      </c>
      <c r="F23" s="41" t="s">
        <v>195</v>
      </c>
      <c r="G23" s="41" t="s">
        <v>196</v>
      </c>
      <c r="H23" s="41" t="s">
        <v>197</v>
      </c>
      <c r="I23" s="41" t="s">
        <v>198</v>
      </c>
      <c r="O23" s="7"/>
    </row>
    <row r="24" spans="1:15" ht="20.100000000000001" customHeight="1" x14ac:dyDescent="0.25">
      <c r="A24" s="17" t="str">
        <f>HYPERLINK("#'Acknowledgements'!A1", "Acknowledgements")</f>
        <v>Acknowledgements</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O24" s="7"/>
    </row>
    <row r="25" spans="1:15"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O25" s="7"/>
    </row>
    <row r="26" spans="1:15" ht="20.100000000000001" customHeight="1" x14ac:dyDescent="0.25">
      <c r="A26" s="17"/>
      <c r="O26" s="7"/>
    </row>
    <row r="27" spans="1:15" ht="20.100000000000001" customHeight="1" x14ac:dyDescent="0.25">
      <c r="A27" s="17"/>
      <c r="D27" s="66" t="s">
        <v>211</v>
      </c>
      <c r="E27" s="41" t="s">
        <v>178</v>
      </c>
      <c r="F27" s="41" t="s">
        <v>195</v>
      </c>
      <c r="G27" s="41" t="s">
        <v>196</v>
      </c>
      <c r="H27" s="41" t="s">
        <v>197</v>
      </c>
      <c r="I27" s="41" t="s">
        <v>198</v>
      </c>
      <c r="O27" s="7"/>
    </row>
    <row r="28" spans="1:15"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O28" s="7"/>
    </row>
    <row r="29" spans="1:15"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O29" s="7"/>
    </row>
    <row r="30" spans="1:15" ht="20.100000000000001" customHeight="1" x14ac:dyDescent="0.25">
      <c r="A30" s="17"/>
      <c r="O30" s="7"/>
    </row>
    <row r="31" spans="1:15" ht="20.100000000000001" customHeight="1" x14ac:dyDescent="0.25">
      <c r="A31" s="70"/>
      <c r="O31" s="7"/>
    </row>
    <row r="32" spans="1:15" ht="20.100000000000001" customHeight="1" x14ac:dyDescent="0.25">
      <c r="A32" s="70"/>
      <c r="D32" s="6" t="s">
        <v>224</v>
      </c>
      <c r="O32" s="7"/>
    </row>
    <row r="33" spans="1:15" ht="20.100000000000001" customHeight="1" x14ac:dyDescent="0.25">
      <c r="A33" s="17"/>
      <c r="D33" s="51"/>
      <c r="O33" s="7"/>
    </row>
    <row r="34" spans="1:15" ht="20.100000000000001" customHeight="1" x14ac:dyDescent="0.25">
      <c r="D34" s="66" t="s">
        <v>212</v>
      </c>
      <c r="E34" s="41" t="s">
        <v>178</v>
      </c>
      <c r="F34" s="41" t="s">
        <v>195</v>
      </c>
      <c r="G34" s="41" t="s">
        <v>196</v>
      </c>
      <c r="H34" s="41" t="s">
        <v>197</v>
      </c>
      <c r="I34" s="41" t="s">
        <v>198</v>
      </c>
      <c r="O34" s="7"/>
    </row>
    <row r="35" spans="1:15" ht="20.100000000000001" customHeight="1" x14ac:dyDescent="0.25">
      <c r="D35" s="1" t="s">
        <v>223</v>
      </c>
      <c r="E35" s="55" cm="1">
        <f t="array" ref="E35">Common_InputFunctions.Utility_LookupValueInTableNumber(E34,Table_SourceData_Dairy_Duration[Animal class j],Table_SourceData_Dairy_Duration[Duration (weaned)])</f>
        <v>365</v>
      </c>
      <c r="F35" s="55" cm="1">
        <f t="array" ref="F35">Common_InputFunctions.Utility_LookupValueInTableNumber(F34,Table_SourceData_Dairy_Duration[Animal class j],Table_SourceData_Dairy_Duration[Duration (weaned)])</f>
        <v>365</v>
      </c>
      <c r="G35" s="55" cm="1">
        <f t="array" ref="G35">Common_InputFunctions.Utility_LookupValueInTableNumber(G34,Table_SourceData_Dairy_Duration[Animal class j],Table_SourceData_Dairy_Duration[Duration (weaned)])</f>
        <v>281</v>
      </c>
      <c r="H35" s="55" cm="1">
        <f t="array" ref="H35">Common_InputFunctions.Utility_LookupValueInTableNumber(H34,Table_SourceData_Dairy_Duration[Animal class j],Table_SourceData_Dairy_Duration[Duration (weaned)])</f>
        <v>365</v>
      </c>
      <c r="I35" s="55" cm="1">
        <f t="array" ref="I35">Common_InputFunctions.Utility_LookupValueInTableNumber(I34,Table_SourceData_Dairy_Duration[Animal class j],Table_SourceData_Dairy_Duration[Duration (weaned)])</f>
        <v>281</v>
      </c>
      <c r="J35" s="2" t="s">
        <v>225</v>
      </c>
      <c r="O35" s="7"/>
    </row>
    <row r="36" spans="1:15"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O36" s="7"/>
    </row>
    <row r="37" spans="1:15" ht="20.100000000000001" customHeight="1" x14ac:dyDescent="0.25">
      <c r="D37" s="1" t="s">
        <v>114</v>
      </c>
      <c r="E37" s="55">
        <f>'Constants - Dairy'!$D$153</f>
        <v>0.2</v>
      </c>
      <c r="F37" s="55">
        <f>'Constants - Dairy'!$D$153</f>
        <v>0.2</v>
      </c>
      <c r="G37" s="55">
        <f>'Constants - Dairy'!$D$153</f>
        <v>0.2</v>
      </c>
      <c r="H37" s="55">
        <f>'Constants - Dairy'!$D$153</f>
        <v>0.2</v>
      </c>
      <c r="I37" s="55">
        <f>'Constants - Dairy'!$D$153</f>
        <v>0.2</v>
      </c>
      <c r="J37" s="2" t="s">
        <v>101</v>
      </c>
      <c r="O37" s="7"/>
    </row>
    <row r="38" spans="1:15" ht="20.100000000000001" customHeight="1" x14ac:dyDescent="0.25">
      <c r="O38" s="7"/>
    </row>
    <row r="39" spans="1:15" ht="20.100000000000001" customHeight="1" x14ac:dyDescent="0.25">
      <c r="A39" s="17"/>
      <c r="D39" s="66" t="s">
        <v>211</v>
      </c>
      <c r="E39" s="41" t="s">
        <v>178</v>
      </c>
      <c r="F39" s="41" t="s">
        <v>195</v>
      </c>
      <c r="G39" s="41" t="s">
        <v>196</v>
      </c>
      <c r="H39" s="41" t="s">
        <v>197</v>
      </c>
      <c r="I39" s="41" t="s">
        <v>198</v>
      </c>
      <c r="O39" s="7"/>
    </row>
    <row r="40" spans="1:15" ht="20.100000000000001" customHeight="1" x14ac:dyDescent="0.25">
      <c r="D40" s="1" t="s">
        <v>223</v>
      </c>
      <c r="E40" s="69" cm="1">
        <f t="array" ref="E40">Common_InputFunctions.Utility_LookupValueInTableNumber(E39,Table_SourceData_Dairy_Duration[Animal class j],Table_SourceData_Dairy_Duration[Duration (weaned)])</f>
        <v>365</v>
      </c>
      <c r="F40" s="69" cm="1">
        <f t="array" ref="F40">Common_InputFunctions.Utility_LookupValueInTableNumber(F39,Table_SourceData_Dairy_Duration[Animal class j],Table_SourceData_Dairy_Duration[Duration (weaned)])</f>
        <v>365</v>
      </c>
      <c r="G40" s="69" cm="1">
        <f t="array" ref="G40">Common_InputFunctions.Utility_LookupValueInTableNumber(G39,Table_SourceData_Dairy_Duration[Animal class j],Table_SourceData_Dairy_Duration[Duration (weaned)])</f>
        <v>281</v>
      </c>
      <c r="H40" s="69" cm="1">
        <f t="array" ref="H40">Common_InputFunctions.Utility_LookupValueInTableNumber(H39,Table_SourceData_Dairy_Duration[Animal class j],Table_SourceData_Dairy_Duration[Duration (weaned)])</f>
        <v>365</v>
      </c>
      <c r="I40" s="69" cm="1">
        <f t="array" ref="I40">Common_InputFunctions.Utility_LookupValueInTableNumber(I39,Table_SourceData_Dairy_Duration[Animal class j],Table_SourceData_Dairy_Duration[Duration (weaned)])</f>
        <v>281</v>
      </c>
      <c r="J40" s="2" t="s">
        <v>225</v>
      </c>
      <c r="O40" s="7"/>
    </row>
    <row r="41" spans="1:15" ht="20.100000000000001" customHeight="1" x14ac:dyDescent="0.25">
      <c r="A41" s="47"/>
      <c r="D41" s="1" t="s">
        <v>19</v>
      </c>
      <c r="E41" s="69">
        <v>0.75</v>
      </c>
      <c r="F41" s="69">
        <v>0.75</v>
      </c>
      <c r="G41" s="69">
        <v>0.75</v>
      </c>
      <c r="H41" s="69">
        <v>0.75</v>
      </c>
      <c r="I41" s="69">
        <v>0.75</v>
      </c>
      <c r="J41" s="2" t="s">
        <v>101</v>
      </c>
      <c r="O41" s="7"/>
    </row>
    <row r="42" spans="1:15" ht="20.100000000000001" customHeight="1" x14ac:dyDescent="0.25">
      <c r="D42" s="1" t="s">
        <v>114</v>
      </c>
      <c r="E42" s="69">
        <v>0.2</v>
      </c>
      <c r="F42" s="69">
        <v>0.2</v>
      </c>
      <c r="G42" s="69">
        <v>0.2</v>
      </c>
      <c r="H42" s="69">
        <v>0.2</v>
      </c>
      <c r="I42" s="69">
        <v>0.2</v>
      </c>
      <c r="J42" s="2" t="s">
        <v>101</v>
      </c>
      <c r="O42" s="7"/>
    </row>
    <row r="43" spans="1:15" ht="20.100000000000001" customHeight="1" x14ac:dyDescent="0.25">
      <c r="O43" s="7"/>
    </row>
    <row r="44" spans="1:15" ht="20.100000000000001" customHeight="1" x14ac:dyDescent="0.25">
      <c r="D44" s="6" t="s">
        <v>202</v>
      </c>
      <c r="E44" s="3"/>
      <c r="F44" s="3"/>
      <c r="G44" s="3"/>
      <c r="H44" s="3"/>
      <c r="I44" s="3"/>
      <c r="J44" s="3"/>
      <c r="O44" s="7"/>
    </row>
    <row r="45" spans="1:15" ht="20.100000000000001" customHeight="1" x14ac:dyDescent="0.25">
      <c r="E45" s="41" t="s">
        <v>178</v>
      </c>
      <c r="F45" s="6"/>
      <c r="G45" s="6"/>
      <c r="H45" s="6"/>
      <c r="I45" s="6"/>
      <c r="J45" s="129"/>
      <c r="O45" s="7"/>
    </row>
    <row r="46" spans="1:15" ht="20.100000000000001" customHeight="1" x14ac:dyDescent="0.25">
      <c r="D46" s="1" t="s">
        <v>203</v>
      </c>
      <c r="E46" s="69">
        <v>44</v>
      </c>
      <c r="F46" s="2" t="s">
        <v>204</v>
      </c>
      <c r="H46" s="3"/>
      <c r="I46" s="3"/>
      <c r="J46" s="3"/>
      <c r="O46" s="7"/>
    </row>
    <row r="47" spans="1:15" ht="20.100000000000001" customHeight="1" x14ac:dyDescent="0.25">
      <c r="O47" s="7"/>
    </row>
    <row r="48" spans="1:15" ht="20.100000000000001" customHeight="1" x14ac:dyDescent="0.25">
      <c r="D48" s="6" t="s">
        <v>219</v>
      </c>
      <c r="O48" s="7"/>
    </row>
    <row r="49" spans="4:15" ht="20.100000000000001" customHeight="1" x14ac:dyDescent="0.25">
      <c r="D49" s="51" t="s">
        <v>207</v>
      </c>
      <c r="O49" s="7"/>
    </row>
    <row r="50" spans="4:15" ht="20.100000000000001" customHeight="1" x14ac:dyDescent="0.25">
      <c r="D50" s="1" t="s">
        <v>209</v>
      </c>
      <c r="E50" s="42" t="s">
        <v>221</v>
      </c>
      <c r="F50" s="2" t="s">
        <v>11</v>
      </c>
      <c r="K50" s="3"/>
      <c r="O50" s="7"/>
    </row>
    <row r="51" spans="4:15" ht="20.100000000000001" customHeight="1" x14ac:dyDescent="0.25">
      <c r="K51" s="3"/>
      <c r="O51" s="7"/>
    </row>
    <row r="52" spans="4:15" ht="20.100000000000001" customHeight="1" x14ac:dyDescent="0.25">
      <c r="D52" s="66" t="s">
        <v>212</v>
      </c>
      <c r="E52" s="41" t="s">
        <v>178</v>
      </c>
      <c r="F52" s="41" t="s">
        <v>195</v>
      </c>
      <c r="G52" s="41" t="s">
        <v>196</v>
      </c>
      <c r="H52" s="41" t="s">
        <v>197</v>
      </c>
      <c r="I52" s="41" t="s">
        <v>198</v>
      </c>
      <c r="K52" s="3"/>
      <c r="O52" s="7"/>
    </row>
    <row r="53" spans="4:15" ht="20.100000000000001" customHeight="1" x14ac:dyDescent="0.25">
      <c r="D53" s="1" t="s">
        <v>151</v>
      </c>
      <c r="E53" s="101" cm="1">
        <f t="array" ref="E53">Common_InputFunctions.Utility_LookupValueInTableNumber($E$50, Table_SourceData_Dairy_ProductionSystemTemplates[Area],Table_SourceData_Dairy_ProductionSystemTemplates[Pasture])</f>
        <v>0.53400000000000003</v>
      </c>
      <c r="F53" s="101" cm="1">
        <f t="array" ref="F53">Common_InputFunctions.Utility_LookupValueInTableNumber($E$50, Table_SourceData_Dairy_ProductionSystemTemplates[Area],Table_SourceData_Dairy_ProductionSystemTemplates[Pasture])</f>
        <v>0.53400000000000003</v>
      </c>
      <c r="G53" s="101" cm="1">
        <f t="array" ref="G53">Common_InputFunctions.Utility_LookupValueInTableNumber($E$50, Table_SourceData_Dairy_ProductionSystemTemplates[Area],Table_SourceData_Dairy_ProductionSystemTemplates[Pasture])</f>
        <v>0.53400000000000003</v>
      </c>
      <c r="H53" s="101" cm="1">
        <f t="array" ref="H53">Common_InputFunctions.Utility_LookupValueInTableNumber($E$50, Table_SourceData_Dairy_ProductionSystemTemplates[Area],Table_SourceData_Dairy_ProductionSystemTemplates[Pasture])</f>
        <v>0.53400000000000003</v>
      </c>
      <c r="I53" s="101" cm="1">
        <f t="array" ref="I53">Common_InputFunctions.Utility_LookupValueInTableNumber($E$50, Table_SourceData_Dairy_ProductionSystemTemplates[Area],Table_SourceData_Dairy_ProductionSystemTemplates[Pasture])</f>
        <v>0.53400000000000003</v>
      </c>
      <c r="J53" s="2" t="s">
        <v>20</v>
      </c>
      <c r="K53" s="3"/>
      <c r="O53" s="7"/>
    </row>
    <row r="54" spans="4:15" ht="20.100000000000001" customHeight="1" x14ac:dyDescent="0.25">
      <c r="D54" s="1" t="s">
        <v>192</v>
      </c>
      <c r="E54" s="101" cm="1">
        <f t="array" ref="E54">Common_InputFunctions.Utility_LookupValueInTableNumber($E$50, Table_SourceData_Dairy_ProductionSystemTemplates[Area],Table_SourceData_Dairy_ProductionSystemTemplates[Milking shed])</f>
        <v>0.11</v>
      </c>
      <c r="F54" s="101" cm="1">
        <f t="array" ref="F54">Common_InputFunctions.Utility_LookupValueInTableNumber($E$50, Table_SourceData_Dairy_ProductionSystemTemplates[Area],Table_SourceData_Dairy_ProductionSystemTemplates[Milking shed])</f>
        <v>0.11</v>
      </c>
      <c r="G54" s="101" cm="1">
        <f t="array" ref="G54">Common_InputFunctions.Utility_LookupValueInTableNumber($E$50, Table_SourceData_Dairy_ProductionSystemTemplates[Area],Table_SourceData_Dairy_ProductionSystemTemplates[Milking shed])</f>
        <v>0.11</v>
      </c>
      <c r="H54" s="101" cm="1">
        <f t="array" ref="H54">Common_InputFunctions.Utility_LookupValueInTableNumber($E$50, Table_SourceData_Dairy_ProductionSystemTemplates[Area],Table_SourceData_Dairy_ProductionSystemTemplates[Milking shed])</f>
        <v>0.11</v>
      </c>
      <c r="I54" s="101" cm="1">
        <f t="array" ref="I54">Common_InputFunctions.Utility_LookupValueInTableNumber($E$50, Table_SourceData_Dairy_ProductionSystemTemplates[Area],Table_SourceData_Dairy_ProductionSystemTemplates[Milking shed])</f>
        <v>0.11</v>
      </c>
      <c r="J54" s="2" t="s">
        <v>20</v>
      </c>
      <c r="K54" s="3"/>
      <c r="O54" s="7"/>
    </row>
    <row r="55" spans="4:15" ht="20.100000000000001" customHeight="1" x14ac:dyDescent="0.25">
      <c r="D55" s="1" t="s">
        <v>208</v>
      </c>
      <c r="E55" s="101" cm="1">
        <f t="array" ref="E55">Common_InputFunctions.Utility_LookupValueInTableNumber($E$50, Table_SourceData_Dairy_ProductionSystemTemplates[Area],Table_SourceData_Dairy_ProductionSystemTemplates[Feedpad])</f>
        <v>0.35599999999999998</v>
      </c>
      <c r="F55" s="101" cm="1">
        <f t="array" ref="F55">Common_InputFunctions.Utility_LookupValueInTableNumber($E$50, Table_SourceData_Dairy_ProductionSystemTemplates[Area],Table_SourceData_Dairy_ProductionSystemTemplates[Feedpad])</f>
        <v>0.35599999999999998</v>
      </c>
      <c r="G55" s="101" cm="1">
        <f t="array" ref="G55">Common_InputFunctions.Utility_LookupValueInTableNumber($E$50, Table_SourceData_Dairy_ProductionSystemTemplates[Area],Table_SourceData_Dairy_ProductionSystemTemplates[Feedpad])</f>
        <v>0.35599999999999998</v>
      </c>
      <c r="H55" s="101" cm="1">
        <f t="array" ref="H55">Common_InputFunctions.Utility_LookupValueInTableNumber($E$50, Table_SourceData_Dairy_ProductionSystemTemplates[Area],Table_SourceData_Dairy_ProductionSystemTemplates[Feedpad])</f>
        <v>0.35599999999999998</v>
      </c>
      <c r="I55" s="101" cm="1">
        <f t="array" ref="I55">Common_InputFunctions.Utility_LookupValueInTableNumber($E$50, Table_SourceData_Dairy_ProductionSystemTemplates[Area],Table_SourceData_Dairy_ProductionSystemTemplates[Feedpad])</f>
        <v>0.35599999999999998</v>
      </c>
      <c r="J55" s="2" t="s">
        <v>20</v>
      </c>
      <c r="K55" s="3"/>
      <c r="O55" s="7"/>
    </row>
    <row r="56" spans="4:15" ht="20.100000000000001" customHeight="1" x14ac:dyDescent="0.25">
      <c r="K56" s="3"/>
      <c r="O56" s="7"/>
    </row>
    <row r="57" spans="4:15" ht="20.100000000000001" customHeight="1" x14ac:dyDescent="0.25">
      <c r="D57" s="66" t="s">
        <v>211</v>
      </c>
      <c r="E57" s="41" t="s">
        <v>178</v>
      </c>
      <c r="F57" s="41" t="s">
        <v>195</v>
      </c>
      <c r="G57" s="41" t="s">
        <v>196</v>
      </c>
      <c r="H57" s="41" t="s">
        <v>197</v>
      </c>
      <c r="I57" s="41" t="s">
        <v>198</v>
      </c>
      <c r="K57" s="3"/>
      <c r="O57" s="7"/>
    </row>
    <row r="58" spans="4:15" ht="20.100000000000001" customHeight="1" x14ac:dyDescent="0.25">
      <c r="D58" s="1" t="s">
        <v>151</v>
      </c>
      <c r="E58" s="130" cm="1">
        <f t="array" ref="E58">Common_InputFunctions.Utility_LookupValueInTableNumber($E$50, Table_SourceData_Dairy_ProductionSystemTemplates[Area],Table_SourceData_Dairy_ProductionSystemTemplates[Pasture])</f>
        <v>0.53400000000000003</v>
      </c>
      <c r="F58" s="130" cm="1">
        <f t="array" ref="F58">Common_InputFunctions.Utility_LookupValueInTableNumber($E$50, Table_SourceData_Dairy_ProductionSystemTemplates[Area],Table_SourceData_Dairy_ProductionSystemTemplates[Pasture])</f>
        <v>0.53400000000000003</v>
      </c>
      <c r="G58" s="130" cm="1">
        <f t="array" ref="G58">Common_InputFunctions.Utility_LookupValueInTableNumber($E$50, Table_SourceData_Dairy_ProductionSystemTemplates[Area],Table_SourceData_Dairy_ProductionSystemTemplates[Pasture])</f>
        <v>0.53400000000000003</v>
      </c>
      <c r="H58" s="130" cm="1">
        <f t="array" ref="H58">Common_InputFunctions.Utility_LookupValueInTableNumber($E$50, Table_SourceData_Dairy_ProductionSystemTemplates[Area],Table_SourceData_Dairy_ProductionSystemTemplates[Pasture])</f>
        <v>0.53400000000000003</v>
      </c>
      <c r="I58" s="130" cm="1">
        <f t="array" ref="I58">Common_InputFunctions.Utility_LookupValueInTableNumber($E$50, Table_SourceData_Dairy_ProductionSystemTemplates[Area],Table_SourceData_Dairy_ProductionSystemTemplates[Pasture])</f>
        <v>0.53400000000000003</v>
      </c>
      <c r="J58" s="2" t="s">
        <v>20</v>
      </c>
      <c r="K58" s="3"/>
      <c r="O58" s="7"/>
    </row>
    <row r="59" spans="4:15" ht="20.100000000000001" customHeight="1" x14ac:dyDescent="0.25">
      <c r="D59" s="1" t="s">
        <v>192</v>
      </c>
      <c r="E59" s="130" cm="1">
        <f t="array" ref="E59">Common_InputFunctions.Utility_LookupValueInTableNumber($E$50, Table_SourceData_Dairy_ProductionSystemTemplates[Area],Table_SourceData_Dairy_ProductionSystemTemplates[Milking shed])</f>
        <v>0.11</v>
      </c>
      <c r="F59" s="130" cm="1">
        <f t="array" ref="F59">Common_InputFunctions.Utility_LookupValueInTableNumber($E$50, Table_SourceData_Dairy_ProductionSystemTemplates[Area],Table_SourceData_Dairy_ProductionSystemTemplates[Milking shed])</f>
        <v>0.11</v>
      </c>
      <c r="G59" s="130" cm="1">
        <f t="array" ref="G59">Common_InputFunctions.Utility_LookupValueInTableNumber($E$50, Table_SourceData_Dairy_ProductionSystemTemplates[Area],Table_SourceData_Dairy_ProductionSystemTemplates[Milking shed])</f>
        <v>0.11</v>
      </c>
      <c r="H59" s="130" cm="1">
        <f t="array" ref="H59">Common_InputFunctions.Utility_LookupValueInTableNumber($E$50, Table_SourceData_Dairy_ProductionSystemTemplates[Area],Table_SourceData_Dairy_ProductionSystemTemplates[Milking shed])</f>
        <v>0.11</v>
      </c>
      <c r="I59" s="130" cm="1">
        <f t="array" ref="I59">Common_InputFunctions.Utility_LookupValueInTableNumber($E$50, Table_SourceData_Dairy_ProductionSystemTemplates[Area],Table_SourceData_Dairy_ProductionSystemTemplates[Milking shed])</f>
        <v>0.11</v>
      </c>
      <c r="J59" s="2" t="s">
        <v>20</v>
      </c>
      <c r="K59" s="3"/>
      <c r="O59" s="7"/>
    </row>
    <row r="60" spans="4:15" ht="20.100000000000001" customHeight="1" x14ac:dyDescent="0.25">
      <c r="D60" s="1" t="s">
        <v>208</v>
      </c>
      <c r="E60" s="130" cm="1">
        <f t="array" ref="E60">Common_InputFunctions.Utility_LookupValueInTableNumber($E$50, Table_SourceData_Dairy_ProductionSystemTemplates[Area],Table_SourceData_Dairy_ProductionSystemTemplates[Feedpad])</f>
        <v>0.35599999999999998</v>
      </c>
      <c r="F60" s="130" cm="1">
        <f t="array" ref="F60">Common_InputFunctions.Utility_LookupValueInTableNumber($E$50, Table_SourceData_Dairy_ProductionSystemTemplates[Area],Table_SourceData_Dairy_ProductionSystemTemplates[Feedpad])</f>
        <v>0.35599999999999998</v>
      </c>
      <c r="G60" s="130" cm="1">
        <f t="array" ref="G60">Common_InputFunctions.Utility_LookupValueInTableNumber($E$50, Table_SourceData_Dairy_ProductionSystemTemplates[Area],Table_SourceData_Dairy_ProductionSystemTemplates[Feedpad])</f>
        <v>0.35599999999999998</v>
      </c>
      <c r="H60" s="130" cm="1">
        <f t="array" ref="H60">Common_InputFunctions.Utility_LookupValueInTableNumber($E$50, Table_SourceData_Dairy_ProductionSystemTemplates[Area],Table_SourceData_Dairy_ProductionSystemTemplates[Feedpad])</f>
        <v>0.35599999999999998</v>
      </c>
      <c r="I60" s="130" cm="1">
        <f t="array" ref="I60">Common_InputFunctions.Utility_LookupValueInTableNumber($E$50, Table_SourceData_Dairy_ProductionSystemTemplates[Area],Table_SourceData_Dairy_ProductionSystemTemplates[Feedpad])</f>
        <v>0.35599999999999998</v>
      </c>
      <c r="J60" s="2" t="s">
        <v>20</v>
      </c>
      <c r="K60" s="3"/>
      <c r="O60" s="7"/>
    </row>
    <row r="61" spans="4:15" ht="20.100000000000001" customHeight="1" x14ac:dyDescent="0.25">
      <c r="E61" s="137"/>
      <c r="K61" s="3"/>
      <c r="O61" s="7"/>
    </row>
    <row r="62" spans="4:15" ht="20.100000000000001" customHeight="1" x14ac:dyDescent="0.25">
      <c r="K62" s="3"/>
      <c r="O62" s="7"/>
    </row>
    <row r="63" spans="4:15" ht="20.100000000000001" customHeight="1" x14ac:dyDescent="0.25">
      <c r="D63" s="6" t="s">
        <v>104</v>
      </c>
      <c r="F63" s="132"/>
      <c r="K63" s="3"/>
      <c r="O63" s="7"/>
    </row>
    <row r="64" spans="4:15" ht="20.100000000000001" customHeight="1" x14ac:dyDescent="0.25">
      <c r="D64" s="51" t="str">
        <f>"From " &amp; $D$54</f>
        <v>From Milking shed</v>
      </c>
      <c r="K64" s="3"/>
      <c r="O64" s="7"/>
    </row>
    <row r="65" spans="4:15" ht="20.100000000000001" customHeight="1" x14ac:dyDescent="0.25">
      <c r="K65" s="3"/>
      <c r="O65" s="7"/>
    </row>
    <row r="66" spans="4:15" ht="20.100000000000001" customHeight="1" x14ac:dyDescent="0.25">
      <c r="D66" s="66" t="s">
        <v>103</v>
      </c>
      <c r="E66" s="41" t="s">
        <v>178</v>
      </c>
      <c r="F66" s="41" t="s">
        <v>195</v>
      </c>
      <c r="G66" s="41" t="s">
        <v>196</v>
      </c>
      <c r="H66" s="41" t="s">
        <v>197</v>
      </c>
      <c r="I66" s="41" t="s">
        <v>198</v>
      </c>
      <c r="K66" s="3"/>
      <c r="O66" s="7"/>
    </row>
    <row r="67" spans="4:15" ht="20.100000000000001" customHeight="1" x14ac:dyDescent="0.25">
      <c r="D67" s="56" t="str">
        <f>'Constants - Dairy'!$D$8</f>
        <v>Anaerobic lagoon</v>
      </c>
      <c r="E67" s="49">
        <v>0.25</v>
      </c>
      <c r="F67" s="49">
        <v>0.25</v>
      </c>
      <c r="G67" s="49">
        <v>0.25</v>
      </c>
      <c r="H67" s="49">
        <v>0.25</v>
      </c>
      <c r="I67" s="49">
        <v>0.25</v>
      </c>
      <c r="J67" s="2" t="s">
        <v>20</v>
      </c>
      <c r="K67" s="3"/>
      <c r="O67" s="7"/>
    </row>
    <row r="68" spans="4:15" ht="20.100000000000001" customHeight="1" x14ac:dyDescent="0.25">
      <c r="D68" s="1" t="str">
        <f>"Were solids separated from " &amp; $D$67 &amp; "?"</f>
        <v>Were solids separated from Anaerobic lagoon?</v>
      </c>
      <c r="E68" s="42" t="s">
        <v>213</v>
      </c>
      <c r="F68" s="2" t="s">
        <v>11</v>
      </c>
      <c r="K68" s="3"/>
      <c r="O68" s="7"/>
    </row>
    <row r="69" spans="4:15" ht="20.100000000000001" customHeight="1" x14ac:dyDescent="0.25">
      <c r="D69" s="1" t="str">
        <f>"Percent solids separated from " &amp; $D$67 &amp; " (Method 1 - Do not edit)"</f>
        <v>Percent solids separated from Anaerobic lagoon (Method 1 - Do not edit)</v>
      </c>
      <c r="E69" s="101">
        <v>0.2</v>
      </c>
      <c r="F69" s="2" t="s">
        <v>20</v>
      </c>
      <c r="K69" s="3"/>
      <c r="O69" s="7"/>
    </row>
    <row r="70" spans="4:15" ht="20.100000000000001" customHeight="1" x14ac:dyDescent="0.25">
      <c r="D70" s="1" t="str">
        <f>"Percent solids separated from " &amp; $D$67 &amp; " (Method 2 - Edit if known)"</f>
        <v>Percent solids separated from Anaerobic lagoon (Method 2 - Edit if known)</v>
      </c>
      <c r="E70" s="49">
        <v>0.2</v>
      </c>
      <c r="F70" s="2" t="s">
        <v>20</v>
      </c>
      <c r="K70" s="3"/>
      <c r="O70" s="7"/>
    </row>
    <row r="71" spans="4:15" ht="20.100000000000001" customHeight="1" x14ac:dyDescent="0.25">
      <c r="K71" s="3"/>
      <c r="O71" s="7"/>
    </row>
    <row r="72" spans="4:15" ht="20.100000000000001" customHeight="1" x14ac:dyDescent="0.25">
      <c r="D72" s="56" t="str">
        <f>'Constants - Dairy'!$D$9</f>
        <v>Sump and dispersal system</v>
      </c>
      <c r="E72" s="49">
        <v>0.25</v>
      </c>
      <c r="F72" s="49">
        <v>0.25</v>
      </c>
      <c r="G72" s="49">
        <v>0.25</v>
      </c>
      <c r="H72" s="49">
        <v>0.25</v>
      </c>
      <c r="I72" s="49">
        <v>0.25</v>
      </c>
      <c r="J72" s="2" t="s">
        <v>20</v>
      </c>
      <c r="O72" s="7"/>
    </row>
    <row r="73" spans="4:15" ht="20.100000000000001" customHeight="1" x14ac:dyDescent="0.25">
      <c r="D73" s="1" t="str">
        <f>"Were solids separated from " &amp; $D$72 &amp; "?"</f>
        <v>Were solids separated from Sump and dispersal system?</v>
      </c>
      <c r="E73" s="42" t="s">
        <v>213</v>
      </c>
      <c r="F73" s="2" t="s">
        <v>11</v>
      </c>
      <c r="O73" s="7"/>
    </row>
    <row r="74" spans="4:15" ht="20.100000000000001" customHeight="1" x14ac:dyDescent="0.25">
      <c r="D74" s="1" t="str">
        <f>"Percent solids separated from " &amp; $D$72 &amp; " (Method 1 - Do not edit)"</f>
        <v>Percent solids separated from Sump and dispersal system (Method 1 - Do not edit)</v>
      </c>
      <c r="E74" s="101">
        <v>0.2</v>
      </c>
      <c r="F74" s="2" t="s">
        <v>20</v>
      </c>
      <c r="O74" s="7"/>
    </row>
    <row r="75" spans="4:15" ht="20.100000000000001" customHeight="1" x14ac:dyDescent="0.25">
      <c r="D75" s="1" t="str">
        <f>"Percent solids separated from " &amp; $D$72 &amp; " (Method 2 - Edit if known)"</f>
        <v>Percent solids separated from Sump and dispersal system (Method 2 - Edit if known)</v>
      </c>
      <c r="E75" s="49">
        <v>0.2</v>
      </c>
      <c r="F75" s="2" t="s">
        <v>20</v>
      </c>
      <c r="O75" s="7"/>
    </row>
    <row r="76" spans="4:15" ht="20.100000000000001" customHeight="1" x14ac:dyDescent="0.25">
      <c r="O76" s="7"/>
    </row>
    <row r="77" spans="4:15" ht="20.100000000000001" customHeight="1" x14ac:dyDescent="0.25">
      <c r="D77" s="56" t="str">
        <f>'Constants - Dairy'!$D$10</f>
        <v>Drains to paddock</v>
      </c>
      <c r="E77" s="49">
        <v>0.25</v>
      </c>
      <c r="F77" s="49">
        <v>0.25</v>
      </c>
      <c r="G77" s="49">
        <v>0.25</v>
      </c>
      <c r="H77" s="49">
        <v>0.25</v>
      </c>
      <c r="I77" s="49">
        <v>0.25</v>
      </c>
      <c r="J77" s="2" t="s">
        <v>20</v>
      </c>
      <c r="O77" s="7"/>
    </row>
    <row r="78" spans="4:15" ht="20.100000000000001" customHeight="1" x14ac:dyDescent="0.25">
      <c r="D78" s="1" t="str">
        <f>"Were solids separated from " &amp; $D$77 &amp; "?"</f>
        <v>Were solids separated from Drains to paddock?</v>
      </c>
      <c r="E78" s="42" t="s">
        <v>213</v>
      </c>
      <c r="F78" s="2" t="s">
        <v>11</v>
      </c>
      <c r="O78" s="7"/>
    </row>
    <row r="79" spans="4:15" ht="20.100000000000001" customHeight="1" x14ac:dyDescent="0.25">
      <c r="D79" s="1" t="str">
        <f>"Percent solids separated from " &amp; $D$77 &amp; " (Method 1 - Do not edit)"</f>
        <v>Percent solids separated from Drains to paddock (Method 1 - Do not edit)</v>
      </c>
      <c r="E79" s="101">
        <v>0.2</v>
      </c>
      <c r="F79" s="2" t="s">
        <v>20</v>
      </c>
      <c r="O79" s="7"/>
    </row>
    <row r="80" spans="4:15" ht="20.100000000000001" customHeight="1" x14ac:dyDescent="0.25">
      <c r="D80" s="1" t="str">
        <f>"Percent solids separated from " &amp; $D$77 &amp; " (Method 2 - Edit if known)"</f>
        <v>Percent solids separated from Drains to paddock (Method 2 - Edit if known)</v>
      </c>
      <c r="E80" s="49">
        <v>0.2</v>
      </c>
      <c r="F80" s="2" t="s">
        <v>20</v>
      </c>
      <c r="O80" s="7"/>
    </row>
    <row r="81" spans="4:15" ht="20.100000000000001" customHeight="1" x14ac:dyDescent="0.25">
      <c r="O81" s="7"/>
    </row>
    <row r="82" spans="4:15" ht="20.100000000000001" customHeight="1" x14ac:dyDescent="0.25">
      <c r="D82" s="56" t="str">
        <f>'Constants - Dairy'!$D$11</f>
        <v>Solid storage</v>
      </c>
      <c r="E82" s="49">
        <v>0.25</v>
      </c>
      <c r="F82" s="49">
        <v>0.25</v>
      </c>
      <c r="G82" s="49">
        <v>0.25</v>
      </c>
      <c r="H82" s="49">
        <v>0.25</v>
      </c>
      <c r="I82" s="49">
        <v>0.25</v>
      </c>
      <c r="J82" s="2" t="s">
        <v>20</v>
      </c>
      <c r="O82" s="7"/>
    </row>
    <row r="83" spans="4:15" ht="20.100000000000001" customHeight="1" x14ac:dyDescent="0.25">
      <c r="D83" s="1" t="str">
        <f>"Perecnt separated from " &amp; $D$67 &amp; " (Method 1)"</f>
        <v>Perecnt separated from Anaerobic lagoon (Method 1)</v>
      </c>
      <c r="E83" s="101">
        <f>E67*$E$69</f>
        <v>0.05</v>
      </c>
      <c r="F83" s="101">
        <f>F67*$E$69</f>
        <v>0.05</v>
      </c>
      <c r="G83" s="101">
        <f>G67*$E$69</f>
        <v>0.05</v>
      </c>
      <c r="H83" s="101">
        <f>H67*$E$69</f>
        <v>0.05</v>
      </c>
      <c r="I83" s="101">
        <f>I67*$E$69</f>
        <v>0.05</v>
      </c>
      <c r="J83" s="2" t="s">
        <v>20</v>
      </c>
      <c r="O83" s="7"/>
    </row>
    <row r="84" spans="4:15" ht="20.100000000000001" customHeight="1" x14ac:dyDescent="0.25">
      <c r="D84" s="1" t="str">
        <f>"Perecnt separated from " &amp; $D$72 &amp; " (Method 1)"</f>
        <v>Perecnt separated from Sump and dispersal system (Method 1)</v>
      </c>
      <c r="E84" s="101">
        <f>E72*$E$74</f>
        <v>0.05</v>
      </c>
      <c r="F84" s="101">
        <f>F72*$E$74</f>
        <v>0.05</v>
      </c>
      <c r="G84" s="101">
        <f>G72*$E$74</f>
        <v>0.05</v>
      </c>
      <c r="H84" s="101">
        <f>H72*$E$74</f>
        <v>0.05</v>
      </c>
      <c r="I84" s="101">
        <f>I72*$E$74</f>
        <v>0.05</v>
      </c>
      <c r="J84" s="2" t="s">
        <v>20</v>
      </c>
      <c r="O84" s="7"/>
    </row>
    <row r="85" spans="4:15" ht="20.100000000000001" customHeight="1" x14ac:dyDescent="0.25">
      <c r="D85" s="1" t="str">
        <f>"Perecnt separated from " &amp; $D$77 &amp; " (Method 1)"</f>
        <v>Perecnt separated from Drains to paddock (Method 1)</v>
      </c>
      <c r="E85" s="101">
        <f>E77*$E$79</f>
        <v>0.05</v>
      </c>
      <c r="F85" s="101">
        <f>F77*$E$79</f>
        <v>0.05</v>
      </c>
      <c r="G85" s="101">
        <f>G77*$E$79</f>
        <v>0.05</v>
      </c>
      <c r="H85" s="101">
        <f>H77*$E$79</f>
        <v>0.05</v>
      </c>
      <c r="I85" s="101">
        <f>I77*$E$79</f>
        <v>0.05</v>
      </c>
      <c r="J85" s="2" t="s">
        <v>20</v>
      </c>
      <c r="O85" s="7"/>
    </row>
    <row r="86" spans="4:15" ht="20.100000000000001" customHeight="1" x14ac:dyDescent="0.25">
      <c r="D86" s="1" t="s">
        <v>215</v>
      </c>
      <c r="E86" s="101">
        <f>E$82+SUM(E83:E85)</f>
        <v>0.4</v>
      </c>
      <c r="F86" s="101">
        <f>F$82+SUM(F83:F85)</f>
        <v>0.4</v>
      </c>
      <c r="G86" s="101">
        <f>G$82+SUM(G83:G85)</f>
        <v>0.4</v>
      </c>
      <c r="H86" s="101">
        <f>H$82+SUM(H83:H85)</f>
        <v>0.4</v>
      </c>
      <c r="I86" s="101">
        <f>I$82+SUM(I83:I85)</f>
        <v>0.4</v>
      </c>
      <c r="J86" s="2" t="s">
        <v>20</v>
      </c>
      <c r="O86" s="7"/>
    </row>
    <row r="87" spans="4:15" ht="20.100000000000001" customHeight="1" x14ac:dyDescent="0.25">
      <c r="O87" s="7"/>
    </row>
    <row r="88" spans="4:15" ht="20.100000000000001" customHeight="1" x14ac:dyDescent="0.25">
      <c r="D88" s="1" t="s">
        <v>214</v>
      </c>
      <c r="E88" s="101">
        <f>(E67-(E67*$E$69))+(E72-(E72*$E$74))+(E77-(E77*$E$79))+E86</f>
        <v>1</v>
      </c>
      <c r="F88" s="101">
        <f>(F67-(F67*$E$69))+(F72-(F72*$E$74))+(F77-(F77*$E$79))+F86</f>
        <v>1</v>
      </c>
      <c r="G88" s="101">
        <f>(G67-(G67*$E$69))+(G72-(G72*$E$74))+(G77-(G77*$E$79))+G86</f>
        <v>1</v>
      </c>
      <c r="H88" s="101">
        <f>(H67-(H67*$E$69))+(H72-(H72*$E$74))+(H77-(H77*$E$79))+H86</f>
        <v>1</v>
      </c>
      <c r="I88" s="101">
        <f>(I67-(I67*$E$69))+(I72-(I72*$E$74))+(I77-(I77*$E$79))+I86</f>
        <v>1</v>
      </c>
      <c r="J88" s="2" t="s">
        <v>20</v>
      </c>
      <c r="O88" s="7"/>
    </row>
    <row r="89" spans="4:15" ht="20.100000000000001" customHeight="1" x14ac:dyDescent="0.25">
      <c r="O89" s="7"/>
    </row>
    <row r="90" spans="4:15" ht="20.100000000000001" customHeight="1" x14ac:dyDescent="0.25">
      <c r="D90" s="1" t="str">
        <f>"Perecnt separated from " &amp; $D$67 &amp; " (Method 2)"</f>
        <v>Perecnt separated from Anaerobic lagoon (Method 2)</v>
      </c>
      <c r="E90" s="101">
        <f>E67*$E$70</f>
        <v>0.05</v>
      </c>
      <c r="F90" s="101">
        <f>F67*$E$70</f>
        <v>0.05</v>
      </c>
      <c r="G90" s="101">
        <f>G67*$E$70</f>
        <v>0.05</v>
      </c>
      <c r="H90" s="101">
        <f>H67*$E$70</f>
        <v>0.05</v>
      </c>
      <c r="I90" s="101">
        <f>I67*$E$70</f>
        <v>0.05</v>
      </c>
      <c r="J90" s="2" t="s">
        <v>20</v>
      </c>
      <c r="O90" s="7"/>
    </row>
    <row r="91" spans="4:15" ht="20.100000000000001" customHeight="1" x14ac:dyDescent="0.25">
      <c r="D91" s="1" t="str">
        <f>"Perecnt separated from " &amp; $D$72 &amp; " (Method 2)"</f>
        <v>Perecnt separated from Sump and dispersal system (Method 2)</v>
      </c>
      <c r="E91" s="101">
        <f>E72*$E$75</f>
        <v>0.05</v>
      </c>
      <c r="F91" s="101">
        <f>F72*$E$75</f>
        <v>0.05</v>
      </c>
      <c r="G91" s="101">
        <f>G72*$E$75</f>
        <v>0.05</v>
      </c>
      <c r="H91" s="101">
        <f>H72*$E$75</f>
        <v>0.05</v>
      </c>
      <c r="I91" s="101">
        <f>I72*$E$75</f>
        <v>0.05</v>
      </c>
      <c r="J91" s="2" t="s">
        <v>20</v>
      </c>
      <c r="O91" s="7"/>
    </row>
    <row r="92" spans="4:15" ht="20.100000000000001" customHeight="1" x14ac:dyDescent="0.25">
      <c r="D92" s="1" t="str">
        <f>"Perecnt separated from " &amp; $D$77 &amp; " (Method 2)"</f>
        <v>Perecnt separated from Drains to paddock (Method 2)</v>
      </c>
      <c r="E92" s="101">
        <f>E77*$E$80</f>
        <v>0.05</v>
      </c>
      <c r="F92" s="101">
        <f>F77*$E$80</f>
        <v>0.05</v>
      </c>
      <c r="G92" s="101">
        <f>G77*$E$80</f>
        <v>0.05</v>
      </c>
      <c r="H92" s="101">
        <f>H77*$E$80</f>
        <v>0.05</v>
      </c>
      <c r="I92" s="101">
        <f>I77*$E$80</f>
        <v>0.05</v>
      </c>
      <c r="J92" s="2" t="s">
        <v>20</v>
      </c>
      <c r="O92" s="7"/>
    </row>
    <row r="93" spans="4:15" ht="20.100000000000001" customHeight="1" x14ac:dyDescent="0.25">
      <c r="D93" s="1" t="s">
        <v>216</v>
      </c>
      <c r="E93" s="101">
        <f>E$82+SUM(E90:E92)</f>
        <v>0.4</v>
      </c>
      <c r="F93" s="101">
        <f>F$82+SUM(F90:F92)</f>
        <v>0.4</v>
      </c>
      <c r="G93" s="101">
        <f>G$82+SUM(G90:G92)</f>
        <v>0.4</v>
      </c>
      <c r="H93" s="101">
        <f>H$82+SUM(H90:H92)</f>
        <v>0.4</v>
      </c>
      <c r="I93" s="101">
        <f>I$82+SUM(I90:I92)</f>
        <v>0.4</v>
      </c>
      <c r="J93" s="2" t="s">
        <v>20</v>
      </c>
      <c r="O93" s="7"/>
    </row>
    <row r="94" spans="4:15" ht="20.100000000000001" customHeight="1" x14ac:dyDescent="0.25">
      <c r="O94" s="7"/>
    </row>
    <row r="95" spans="4:15" ht="20.100000000000001" customHeight="1" x14ac:dyDescent="0.25">
      <c r="D95" s="1" t="s">
        <v>217</v>
      </c>
      <c r="E95" s="101">
        <f>(E67-(E67*$E$70))+(E72-(E72*$E$75))+(E77-(E77*$E$80))+E93</f>
        <v>1</v>
      </c>
      <c r="F95" s="101">
        <f>(F67-(F67*$E$70))+(F72-(F72*$E$75))+(F77-(F77*$E$80))+F93</f>
        <v>1</v>
      </c>
      <c r="G95" s="101">
        <f>(G67-(G67*$E$70))+(G72-(G72*$E$75))+(G77-(G77*$E$80))+G93</f>
        <v>1</v>
      </c>
      <c r="H95" s="101">
        <f>(H67-(H67*$E$70))+(H72-(H72*$E$75))+(H77-(H77*$E$80))+H93</f>
        <v>1</v>
      </c>
      <c r="I95" s="101">
        <f>(I67-(I67*$E$70))+(I72-(I72*$E$75))+(I77-(I77*$E$80))+I93</f>
        <v>1</v>
      </c>
      <c r="J95" s="2" t="s">
        <v>20</v>
      </c>
      <c r="O95" s="7"/>
    </row>
    <row r="96" spans="4:15" ht="20.100000000000001" customHeight="1" x14ac:dyDescent="0.25">
      <c r="O96" s="7"/>
    </row>
    <row r="97" spans="4:15" ht="20.100000000000001" customHeight="1" x14ac:dyDescent="0.25">
      <c r="O97" s="7"/>
    </row>
    <row r="98" spans="4:15" ht="20.100000000000001" customHeight="1" x14ac:dyDescent="0.25">
      <c r="D98" s="51" t="str">
        <f>"From " &amp; $D$55</f>
        <v>From Feed pad</v>
      </c>
      <c r="O98" s="7"/>
    </row>
    <row r="99" spans="4:15" ht="20.100000000000001" customHeight="1" x14ac:dyDescent="0.25">
      <c r="O99" s="7"/>
    </row>
    <row r="100" spans="4:15" ht="20.100000000000001" customHeight="1" x14ac:dyDescent="0.25">
      <c r="D100" s="66" t="s">
        <v>103</v>
      </c>
      <c r="E100" s="41" t="s">
        <v>178</v>
      </c>
      <c r="F100" s="41" t="s">
        <v>195</v>
      </c>
      <c r="G100" s="41" t="s">
        <v>196</v>
      </c>
      <c r="H100" s="41" t="s">
        <v>197</v>
      </c>
      <c r="I100" s="41" t="s">
        <v>198</v>
      </c>
      <c r="O100" s="7"/>
    </row>
    <row r="101" spans="4:15" ht="20.100000000000001" customHeight="1" x14ac:dyDescent="0.25">
      <c r="D101" s="56" t="str">
        <f>'Constants - Dairy'!$D$8</f>
        <v>Anaerobic lagoon</v>
      </c>
      <c r="E101" s="49">
        <v>0.25</v>
      </c>
      <c r="F101" s="49">
        <v>0.25</v>
      </c>
      <c r="G101" s="49">
        <v>0.25</v>
      </c>
      <c r="H101" s="49">
        <v>0.25</v>
      </c>
      <c r="I101" s="49">
        <v>0.25</v>
      </c>
      <c r="J101" s="2" t="s">
        <v>20</v>
      </c>
      <c r="O101" s="7"/>
    </row>
    <row r="102" spans="4:15" ht="20.100000000000001" customHeight="1" x14ac:dyDescent="0.25">
      <c r="D102" s="1" t="str">
        <f>"Were solids separated from " &amp; $D$67 &amp; "?"</f>
        <v>Were solids separated from Anaerobic lagoon?</v>
      </c>
      <c r="E102" s="42" t="s">
        <v>220</v>
      </c>
      <c r="F102" s="2" t="s">
        <v>11</v>
      </c>
      <c r="O102" s="7"/>
    </row>
    <row r="103" spans="4:15" ht="20.100000000000001" customHeight="1" x14ac:dyDescent="0.25">
      <c r="D103" s="1" t="str">
        <f>"Percent solids separated from " &amp; $D$67 &amp; " (Method 1 - Do not edit)"</f>
        <v>Percent solids separated from Anaerobic lagoon (Method 1 - Do not edit)</v>
      </c>
      <c r="E103" s="101">
        <f>IF(E102="Yes", 20%, 0)</f>
        <v>0</v>
      </c>
      <c r="F103" s="2" t="s">
        <v>20</v>
      </c>
      <c r="O103" s="7"/>
    </row>
    <row r="104" spans="4:15" ht="20.100000000000001" customHeight="1" x14ac:dyDescent="0.25">
      <c r="D104" s="1" t="str">
        <f>"Percent solids separated from " &amp; $D$67 &amp; " (Method 2 - Edit if known)"</f>
        <v>Percent solids separated from Anaerobic lagoon (Method 2 - Edit if known)</v>
      </c>
      <c r="E104" s="49">
        <f>IF(E102="Yes", 20%, 0)</f>
        <v>0</v>
      </c>
      <c r="F104" s="2" t="s">
        <v>20</v>
      </c>
      <c r="O104" s="7"/>
    </row>
    <row r="105" spans="4:15" ht="20.100000000000001" customHeight="1" x14ac:dyDescent="0.25">
      <c r="O105" s="7"/>
    </row>
    <row r="106" spans="4:15" ht="20.100000000000001" customHeight="1" x14ac:dyDescent="0.25">
      <c r="D106" s="56" t="str">
        <f>'Constants - Dairy'!$D$9</f>
        <v>Sump and dispersal system</v>
      </c>
      <c r="E106" s="49">
        <v>0.25</v>
      </c>
      <c r="F106" s="49">
        <v>0.25</v>
      </c>
      <c r="G106" s="49">
        <v>0.25</v>
      </c>
      <c r="H106" s="49">
        <v>0.25</v>
      </c>
      <c r="I106" s="49">
        <v>0.25</v>
      </c>
      <c r="J106" s="2" t="s">
        <v>20</v>
      </c>
      <c r="O106" s="7"/>
    </row>
    <row r="107" spans="4:15" ht="20.100000000000001" customHeight="1" x14ac:dyDescent="0.25">
      <c r="D107" s="1" t="str">
        <f>"Were solids separated from " &amp; $D$72 &amp; "?"</f>
        <v>Were solids separated from Sump and dispersal system?</v>
      </c>
      <c r="E107" s="42" t="s">
        <v>213</v>
      </c>
      <c r="F107" s="2" t="s">
        <v>11</v>
      </c>
    </row>
    <row r="108" spans="4:15" ht="20.100000000000001" customHeight="1" x14ac:dyDescent="0.25">
      <c r="D108" s="1" t="str">
        <f>"Percent solids separated from " &amp; $D$72 &amp; " (Method 1 - Do not edit)"</f>
        <v>Percent solids separated from Sump and dispersal system (Method 1 - Do not edit)</v>
      </c>
      <c r="E108" s="101">
        <f>IF(E107="Yes", 20%, 0)</f>
        <v>0.2</v>
      </c>
      <c r="F108" s="2" t="s">
        <v>20</v>
      </c>
    </row>
    <row r="109" spans="4:15" ht="20.100000000000001" customHeight="1" x14ac:dyDescent="0.25">
      <c r="D109" s="1" t="str">
        <f>"Percent solids separated from " &amp; $D$72 &amp; " (Method 2 - Edit if known)"</f>
        <v>Percent solids separated from Sump and dispersal system (Method 2 - Edit if known)</v>
      </c>
      <c r="E109" s="49">
        <f>IF(E107="Yes", 20%, 0)</f>
        <v>0.2</v>
      </c>
      <c r="F109" s="2" t="s">
        <v>20</v>
      </c>
    </row>
    <row r="110" spans="4:15" ht="20.100000000000001" customHeight="1" x14ac:dyDescent="0.25"/>
    <row r="111" spans="4:15" ht="20.100000000000001" customHeight="1" x14ac:dyDescent="0.25">
      <c r="D111" s="56" t="str">
        <f>'Constants - Dairy'!$D$10</f>
        <v>Drains to paddock</v>
      </c>
      <c r="E111" s="49">
        <v>0.25</v>
      </c>
      <c r="F111" s="49">
        <v>0.25</v>
      </c>
      <c r="G111" s="49">
        <v>0.25</v>
      </c>
      <c r="H111" s="49">
        <v>0.25</v>
      </c>
      <c r="I111" s="49">
        <v>0.25</v>
      </c>
      <c r="J111" s="2" t="s">
        <v>20</v>
      </c>
    </row>
    <row r="112" spans="4:15" ht="20.100000000000001" customHeight="1" x14ac:dyDescent="0.25">
      <c r="D112" s="1" t="str">
        <f>"Were solids separated from " &amp; $D$77 &amp; "?"</f>
        <v>Were solids separated from Drains to paddock?</v>
      </c>
      <c r="E112" s="42" t="s">
        <v>213</v>
      </c>
      <c r="F112" s="2" t="s">
        <v>11</v>
      </c>
    </row>
    <row r="113" spans="4:10" ht="20.100000000000001" customHeight="1" x14ac:dyDescent="0.25">
      <c r="D113" s="1" t="str">
        <f>"Percent solids separated from " &amp; $D$77 &amp; " (Method 1 - Do not edit)"</f>
        <v>Percent solids separated from Drains to paddock (Method 1 - Do not edit)</v>
      </c>
      <c r="E113" s="101">
        <f>IF(E112="Yes", 20%, 0)</f>
        <v>0.2</v>
      </c>
      <c r="F113" s="2" t="s">
        <v>20</v>
      </c>
    </row>
    <row r="114" spans="4:10" ht="20.100000000000001" customHeight="1" x14ac:dyDescent="0.25">
      <c r="D114" s="1" t="str">
        <f>"Percent solids separated from " &amp; $D$77 &amp; " (Method 2 - Edit if known)"</f>
        <v>Percent solids separated from Drains to paddock (Method 2 - Edit if known)</v>
      </c>
      <c r="E114" s="49">
        <f>IF(E112="Yes", 20%, 0)</f>
        <v>0.2</v>
      </c>
      <c r="F114" s="2" t="s">
        <v>20</v>
      </c>
    </row>
    <row r="115" spans="4:10" ht="20.100000000000001" customHeight="1" x14ac:dyDescent="0.25"/>
    <row r="116" spans="4:10" ht="20.100000000000001" customHeight="1" x14ac:dyDescent="0.25">
      <c r="D116" s="56" t="str">
        <f>'Constants - Dairy'!$D$11</f>
        <v>Solid storage</v>
      </c>
      <c r="E116" s="49">
        <v>0.25</v>
      </c>
      <c r="F116" s="49">
        <v>0.25</v>
      </c>
      <c r="G116" s="49">
        <v>0.25</v>
      </c>
      <c r="H116" s="49">
        <v>0.25</v>
      </c>
      <c r="I116" s="49">
        <v>0.25</v>
      </c>
      <c r="J116" s="2" t="s">
        <v>20</v>
      </c>
    </row>
    <row r="117" spans="4:10" ht="20.100000000000001" customHeight="1" x14ac:dyDescent="0.25">
      <c r="D117" s="1" t="str">
        <f>"Perecnt separated from " &amp; $D$67 &amp; " (Method 1)"</f>
        <v>Perecnt separated from Anaerobic lagoon (Method 1)</v>
      </c>
      <c r="E117" s="101">
        <f>E101*$E$103</f>
        <v>0</v>
      </c>
      <c r="F117" s="101">
        <f>F101*$E$103</f>
        <v>0</v>
      </c>
      <c r="G117" s="101">
        <f>G101*$E$103</f>
        <v>0</v>
      </c>
      <c r="H117" s="101">
        <f>H101*$E$103</f>
        <v>0</v>
      </c>
      <c r="I117" s="101">
        <f>I101*$E$103</f>
        <v>0</v>
      </c>
      <c r="J117" s="2" t="s">
        <v>20</v>
      </c>
    </row>
    <row r="118" spans="4:10" ht="20.100000000000001" customHeight="1" x14ac:dyDescent="0.25">
      <c r="D118" s="1" t="str">
        <f>"Perecnt separated from " &amp; $D$72 &amp; " (Method 1)"</f>
        <v>Perecnt separated from Sump and dispersal system (Method 1)</v>
      </c>
      <c r="E118" s="101">
        <f>E106*$E$108</f>
        <v>0.05</v>
      </c>
      <c r="F118" s="101">
        <f>F106*$E$108</f>
        <v>0.05</v>
      </c>
      <c r="G118" s="101">
        <f>G106*$E$108</f>
        <v>0.05</v>
      </c>
      <c r="H118" s="101">
        <f>H106*$E$108</f>
        <v>0.05</v>
      </c>
      <c r="I118" s="101">
        <f>I106*$E$108</f>
        <v>0.05</v>
      </c>
      <c r="J118" s="2" t="s">
        <v>20</v>
      </c>
    </row>
    <row r="119" spans="4:10" ht="20.100000000000001" customHeight="1" x14ac:dyDescent="0.25">
      <c r="D119" s="1" t="str">
        <f>"Perecnt separated from " &amp; $D$77 &amp; " (Method 1)"</f>
        <v>Perecnt separated from Drains to paddock (Method 1)</v>
      </c>
      <c r="E119" s="101">
        <f>E111*$E$113</f>
        <v>0.05</v>
      </c>
      <c r="F119" s="101">
        <f>F111*$E$113</f>
        <v>0.05</v>
      </c>
      <c r="G119" s="101">
        <f>G111*$E$113</f>
        <v>0.05</v>
      </c>
      <c r="H119" s="101">
        <f>H111*$E$113</f>
        <v>0.05</v>
      </c>
      <c r="I119" s="101">
        <f>I111*$E$113</f>
        <v>0.05</v>
      </c>
      <c r="J119" s="2" t="s">
        <v>20</v>
      </c>
    </row>
    <row r="120" spans="4:10" ht="20.100000000000001" customHeight="1" x14ac:dyDescent="0.25">
      <c r="D120" s="1" t="s">
        <v>215</v>
      </c>
      <c r="E120" s="101">
        <f>E$116+SUM(E117:E119)</f>
        <v>0.35</v>
      </c>
      <c r="F120" s="101">
        <f>F$116+SUM(F117:F119)</f>
        <v>0.35</v>
      </c>
      <c r="G120" s="101">
        <f>G$116+SUM(G117:G119)</f>
        <v>0.35</v>
      </c>
      <c r="H120" s="101">
        <f>H$116+SUM(H117:H119)</f>
        <v>0.35</v>
      </c>
      <c r="I120" s="101">
        <f>I$116+SUM(I117:I119)</f>
        <v>0.35</v>
      </c>
      <c r="J120" s="2" t="s">
        <v>20</v>
      </c>
    </row>
    <row r="121" spans="4:10" ht="20.100000000000001" customHeight="1" x14ac:dyDescent="0.25"/>
    <row r="122" spans="4:10" ht="20.100000000000001" customHeight="1" x14ac:dyDescent="0.25">
      <c r="D122" s="1" t="s">
        <v>214</v>
      </c>
      <c r="E122" s="101">
        <f>(E101-(E101*$E$103))+(E106-(E106*$E$108))+(E111-(E111*$E$113))+E120</f>
        <v>1</v>
      </c>
      <c r="F122" s="101">
        <f>(F101-(F101*$E$103))+(F106-(F106*$E$108))+(F111-(F111*$E$113))+F120</f>
        <v>1</v>
      </c>
      <c r="G122" s="101">
        <f>(G101-(G101*$E$103))+(G106-(G106*$E$108))+(G111-(G111*$E$113))+G120</f>
        <v>1</v>
      </c>
      <c r="H122" s="101">
        <f>(H101-(H101*$E$103))+(H106-(H106*$E$108))+(H111-(H111*$E$113))+H120</f>
        <v>1</v>
      </c>
      <c r="I122" s="101">
        <f>(I101-(I101*$E$103))+(I106-(I106*$E$108))+(I111-(I111*$E$113))+I120</f>
        <v>1</v>
      </c>
      <c r="J122" s="2" t="s">
        <v>20</v>
      </c>
    </row>
    <row r="123" spans="4:10" ht="20.100000000000001" customHeight="1" x14ac:dyDescent="0.25"/>
    <row r="124" spans="4:10" ht="20.100000000000001" customHeight="1" x14ac:dyDescent="0.25">
      <c r="D124" s="1" t="str">
        <f>"Perecnt separated from " &amp; $D$67 &amp; " (Method 2)"</f>
        <v>Perecnt separated from Anaerobic lagoon (Method 2)</v>
      </c>
      <c r="E124" s="101">
        <f>E101*$E$104</f>
        <v>0</v>
      </c>
      <c r="F124" s="101">
        <f>F101*$E$104</f>
        <v>0</v>
      </c>
      <c r="G124" s="101">
        <f>G101*$E$104</f>
        <v>0</v>
      </c>
      <c r="H124" s="101">
        <f>H101*$E$104</f>
        <v>0</v>
      </c>
      <c r="I124" s="101">
        <f>I101*$E$104</f>
        <v>0</v>
      </c>
      <c r="J124" s="2" t="s">
        <v>20</v>
      </c>
    </row>
    <row r="125" spans="4:10" ht="20.100000000000001" customHeight="1" x14ac:dyDescent="0.25">
      <c r="D125" s="1" t="str">
        <f>"Perecnt separated from " &amp; $D$72 &amp; " (Method 2)"</f>
        <v>Perecnt separated from Sump and dispersal system (Method 2)</v>
      </c>
      <c r="E125" s="101">
        <f>E106*$E$109</f>
        <v>0.05</v>
      </c>
      <c r="F125" s="101">
        <f>F106*$E$109</f>
        <v>0.05</v>
      </c>
      <c r="G125" s="101">
        <f>G106*$E$109</f>
        <v>0.05</v>
      </c>
      <c r="H125" s="101">
        <f>H106*$E$109</f>
        <v>0.05</v>
      </c>
      <c r="I125" s="101">
        <f>I106*$E$109</f>
        <v>0.05</v>
      </c>
      <c r="J125" s="2" t="s">
        <v>20</v>
      </c>
    </row>
    <row r="126" spans="4:10" ht="20.100000000000001" customHeight="1" x14ac:dyDescent="0.25">
      <c r="D126" s="1" t="str">
        <f>"Perecnt separated from " &amp; $D$77 &amp; " (Method 2)"</f>
        <v>Perecnt separated from Drains to paddock (Method 2)</v>
      </c>
      <c r="E126" s="101">
        <f>E111*$E$114</f>
        <v>0.05</v>
      </c>
      <c r="F126" s="101">
        <f>F111*$E$114</f>
        <v>0.05</v>
      </c>
      <c r="G126" s="101">
        <f>G111*$E$114</f>
        <v>0.05</v>
      </c>
      <c r="H126" s="101">
        <f>H111*$E$114</f>
        <v>0.05</v>
      </c>
      <c r="I126" s="101">
        <f>I111*$E$114</f>
        <v>0.05</v>
      </c>
      <c r="J126" s="2" t="s">
        <v>20</v>
      </c>
    </row>
    <row r="127" spans="4:10" ht="20.100000000000001" customHeight="1" x14ac:dyDescent="0.25">
      <c r="D127" s="1" t="s">
        <v>216</v>
      </c>
      <c r="E127" s="101">
        <f>E$116+SUM(E124:E126)</f>
        <v>0.35</v>
      </c>
      <c r="F127" s="101">
        <f>F$116+SUM(F124:F126)</f>
        <v>0.35</v>
      </c>
      <c r="G127" s="101">
        <f>G$116+SUM(G124:G126)</f>
        <v>0.35</v>
      </c>
      <c r="H127" s="101">
        <f>H$116+SUM(H124:H126)</f>
        <v>0.35</v>
      </c>
      <c r="I127" s="101">
        <f>I$116+SUM(I124:I126)</f>
        <v>0.35</v>
      </c>
      <c r="J127" s="2" t="s">
        <v>20</v>
      </c>
    </row>
    <row r="128" spans="4:10" ht="20.100000000000001" customHeight="1" x14ac:dyDescent="0.25">
      <c r="E128" s="132"/>
      <c r="F128" s="132"/>
    </row>
    <row r="129" spans="4:10" ht="20.100000000000001" customHeight="1" x14ac:dyDescent="0.25">
      <c r="D129" s="1" t="s">
        <v>217</v>
      </c>
      <c r="E129" s="101">
        <f>(E101-(E101*$E$104))+(E106-(E106*$E$109))+(E111-(E111*$E$114))+E127</f>
        <v>1</v>
      </c>
      <c r="F129" s="101">
        <f>(F101-(F101*$E$104))+(F106-(F106*$E$109))+(F111-(F111*$E$114))+F127</f>
        <v>1</v>
      </c>
      <c r="G129" s="101">
        <f>(G101-(G101*$E$104))+(G106-(G106*$E$109))+(G111-(G111*$E$114))+G127</f>
        <v>1</v>
      </c>
      <c r="H129" s="101">
        <f>(H101-(H101*$E$104))+(H106-(H106*$E$109))+(H111-(H111*$E$114))+H127</f>
        <v>1</v>
      </c>
      <c r="I129" s="101">
        <f>(I101-(I101*$E$104))+(I106-(I106*$E$109))+(I111-(I111*$E$114))+I127</f>
        <v>1</v>
      </c>
      <c r="J129" s="2" t="s">
        <v>20</v>
      </c>
    </row>
    <row r="130" spans="4:10" ht="20.100000000000001" customHeight="1" x14ac:dyDescent="0.25"/>
    <row r="131" spans="4:10" ht="20.100000000000001" customHeight="1" x14ac:dyDescent="0.25"/>
    <row r="132" spans="4:10" ht="20.100000000000001" customHeight="1" x14ac:dyDescent="0.25">
      <c r="D132" s="6" t="s">
        <v>218</v>
      </c>
    </row>
    <row r="133" spans="4:10" ht="20.100000000000001" customHeight="1" x14ac:dyDescent="0.25">
      <c r="D133" s="51" t="str">
        <f>"From " &amp; $D$54</f>
        <v>From Milking shed</v>
      </c>
    </row>
    <row r="134" spans="4:10" ht="20.100000000000001" customHeight="1" x14ac:dyDescent="0.25"/>
    <row r="135" spans="4:10" ht="20.100000000000001" customHeight="1" x14ac:dyDescent="0.25">
      <c r="D135" s="66" t="s">
        <v>103</v>
      </c>
      <c r="E135" s="41" t="s">
        <v>178</v>
      </c>
      <c r="F135" s="41" t="s">
        <v>195</v>
      </c>
      <c r="G135" s="41" t="s">
        <v>196</v>
      </c>
      <c r="H135" s="41" t="s">
        <v>197</v>
      </c>
      <c r="I135" s="41" t="s">
        <v>198</v>
      </c>
    </row>
    <row r="136" spans="4:10" ht="20.100000000000001" customHeight="1" x14ac:dyDescent="0.25">
      <c r="D136" s="56" t="str">
        <f>"Sent from stage 1: " &amp; $D$67 &amp; " to:"</f>
        <v>Sent from stage 1: Anaerobic lagoon to:</v>
      </c>
      <c r="E136" s="58"/>
    </row>
    <row r="137" spans="4:10" ht="20.100000000000001" customHeight="1" x14ac:dyDescent="0.25">
      <c r="D137" s="1" t="s">
        <v>112</v>
      </c>
      <c r="E137" s="49">
        <v>0.25</v>
      </c>
      <c r="F137" s="49">
        <v>0.25</v>
      </c>
      <c r="G137" s="49">
        <v>0.25</v>
      </c>
      <c r="H137" s="49">
        <v>0.25</v>
      </c>
      <c r="I137" s="49">
        <v>0.25</v>
      </c>
      <c r="J137" s="2" t="s">
        <v>20</v>
      </c>
    </row>
    <row r="138" spans="4:10" ht="20.100000000000001" customHeight="1" x14ac:dyDescent="0.25">
      <c r="D138" s="1" t="s">
        <v>222</v>
      </c>
      <c r="E138" s="49">
        <v>0.25</v>
      </c>
      <c r="F138" s="49">
        <v>0.25</v>
      </c>
      <c r="G138" s="49">
        <v>0.25</v>
      </c>
      <c r="H138" s="49">
        <v>0.25</v>
      </c>
      <c r="I138" s="49">
        <v>0.25</v>
      </c>
      <c r="J138" s="2" t="s">
        <v>20</v>
      </c>
    </row>
    <row r="139" spans="4:10" ht="20.100000000000001" customHeight="1" x14ac:dyDescent="0.25">
      <c r="D139" s="1" t="s">
        <v>137</v>
      </c>
      <c r="E139" s="101">
        <f t="shared" ref="E139:I139" si="1">1-SUM(E137:E138)</f>
        <v>0.5</v>
      </c>
      <c r="F139" s="101">
        <f t="shared" si="1"/>
        <v>0.5</v>
      </c>
      <c r="G139" s="101">
        <f t="shared" si="1"/>
        <v>0.5</v>
      </c>
      <c r="H139" s="101">
        <f t="shared" si="1"/>
        <v>0.5</v>
      </c>
      <c r="I139" s="101">
        <f t="shared" si="1"/>
        <v>0.5</v>
      </c>
      <c r="J139" s="2" t="s">
        <v>20</v>
      </c>
    </row>
    <row r="140" spans="4:10" ht="20.100000000000001" customHeight="1" x14ac:dyDescent="0.25"/>
    <row r="141" spans="4:10" ht="20.100000000000001" customHeight="1" x14ac:dyDescent="0.25">
      <c r="D141" s="56" t="str">
        <f>"Sent from stage 1: " &amp; $D$72 &amp; " to:"</f>
        <v>Sent from stage 1: Sump and dispersal system to:</v>
      </c>
    </row>
    <row r="142" spans="4:10" ht="20.100000000000001" customHeight="1" x14ac:dyDescent="0.25">
      <c r="D142" s="1" t="s">
        <v>112</v>
      </c>
      <c r="E142" s="49">
        <v>0.25</v>
      </c>
      <c r="F142" s="49">
        <v>0.25</v>
      </c>
      <c r="G142" s="49">
        <v>0.25</v>
      </c>
      <c r="H142" s="49">
        <v>0.25</v>
      </c>
      <c r="I142" s="49">
        <v>0.25</v>
      </c>
      <c r="J142" s="2" t="s">
        <v>20</v>
      </c>
    </row>
    <row r="143" spans="4:10" ht="20.100000000000001" customHeight="1" x14ac:dyDescent="0.25">
      <c r="D143" s="1" t="s">
        <v>222</v>
      </c>
      <c r="E143" s="49">
        <v>0.25</v>
      </c>
      <c r="F143" s="49">
        <v>0.25</v>
      </c>
      <c r="G143" s="49">
        <v>0.25</v>
      </c>
      <c r="H143" s="49">
        <v>0.25</v>
      </c>
      <c r="I143" s="49">
        <v>0.25</v>
      </c>
      <c r="J143" s="2" t="s">
        <v>20</v>
      </c>
    </row>
    <row r="144" spans="4:10" ht="20.100000000000001" customHeight="1" x14ac:dyDescent="0.25">
      <c r="D144" s="1" t="s">
        <v>137</v>
      </c>
      <c r="E144" s="101">
        <f>1-SUM(E142:E143)</f>
        <v>0.5</v>
      </c>
      <c r="F144" s="101">
        <f t="shared" ref="F144:I144" si="2">1-SUM(F142:F143)</f>
        <v>0.5</v>
      </c>
      <c r="G144" s="101">
        <f t="shared" si="2"/>
        <v>0.5</v>
      </c>
      <c r="H144" s="101">
        <f t="shared" si="2"/>
        <v>0.5</v>
      </c>
      <c r="I144" s="101">
        <f t="shared" si="2"/>
        <v>0.5</v>
      </c>
      <c r="J144" s="2" t="s">
        <v>20</v>
      </c>
    </row>
    <row r="145" spans="4:10" ht="20.100000000000001" customHeight="1" x14ac:dyDescent="0.25"/>
    <row r="146" spans="4:10" ht="20.100000000000001" customHeight="1" x14ac:dyDescent="0.25">
      <c r="D146" s="56" t="str">
        <f>"Sent from stage 1: " &amp; $D$77 &amp; " to:"</f>
        <v>Sent from stage 1: Drains to paddock to:</v>
      </c>
    </row>
    <row r="147" spans="4:10" ht="20.100000000000001" customHeight="1" x14ac:dyDescent="0.25">
      <c r="D147" s="1" t="s">
        <v>112</v>
      </c>
      <c r="E147" s="49">
        <v>0.25</v>
      </c>
      <c r="F147" s="49">
        <v>0.25</v>
      </c>
      <c r="G147" s="49">
        <v>0.25</v>
      </c>
      <c r="H147" s="49">
        <v>0.25</v>
      </c>
      <c r="I147" s="49">
        <v>0.25</v>
      </c>
      <c r="J147" s="2" t="s">
        <v>20</v>
      </c>
    </row>
    <row r="148" spans="4:10" ht="20.100000000000001" customHeight="1" x14ac:dyDescent="0.25">
      <c r="D148" s="1" t="s">
        <v>222</v>
      </c>
      <c r="E148" s="49">
        <v>0.25</v>
      </c>
      <c r="F148" s="49">
        <v>0.25</v>
      </c>
      <c r="G148" s="49">
        <v>0.25</v>
      </c>
      <c r="H148" s="49">
        <v>0.25</v>
      </c>
      <c r="I148" s="49">
        <v>0.25</v>
      </c>
      <c r="J148" s="2" t="s">
        <v>20</v>
      </c>
    </row>
    <row r="149" spans="4:10" ht="20.100000000000001" customHeight="1" x14ac:dyDescent="0.25">
      <c r="D149" s="1" t="s">
        <v>137</v>
      </c>
      <c r="E149" s="101">
        <f>1-SUM(E147:E148)</f>
        <v>0.5</v>
      </c>
      <c r="F149" s="101">
        <f t="shared" ref="F149:I149" si="3">1-SUM(F147:F148)</f>
        <v>0.5</v>
      </c>
      <c r="G149" s="101">
        <f t="shared" si="3"/>
        <v>0.5</v>
      </c>
      <c r="H149" s="101">
        <f t="shared" si="3"/>
        <v>0.5</v>
      </c>
      <c r="I149" s="101">
        <f t="shared" si="3"/>
        <v>0.5</v>
      </c>
      <c r="J149" s="2" t="s">
        <v>20</v>
      </c>
    </row>
    <row r="150" spans="4:10" ht="20.100000000000001" customHeight="1" x14ac:dyDescent="0.25"/>
    <row r="151" spans="4:10" ht="20.100000000000001" customHeight="1" x14ac:dyDescent="0.25">
      <c r="D151" s="56" t="str">
        <f>"Sent from stage 1: " &amp; $D$82 &amp; " to:"</f>
        <v>Sent from stage 1: Solid storage to:</v>
      </c>
    </row>
    <row r="152" spans="4:10" ht="20.100000000000001" customHeight="1" x14ac:dyDescent="0.25">
      <c r="D152" s="1" t="s">
        <v>112</v>
      </c>
      <c r="E152" s="49">
        <v>0.25</v>
      </c>
      <c r="F152" s="49">
        <v>0.25</v>
      </c>
      <c r="G152" s="49">
        <v>0.25</v>
      </c>
      <c r="H152" s="49">
        <v>0.25</v>
      </c>
      <c r="I152" s="49">
        <v>0.25</v>
      </c>
      <c r="J152" s="2" t="s">
        <v>20</v>
      </c>
    </row>
    <row r="153" spans="4:10" ht="20.100000000000001" customHeight="1" x14ac:dyDescent="0.25">
      <c r="D153" s="1" t="s">
        <v>222</v>
      </c>
      <c r="E153" s="49">
        <v>0.25</v>
      </c>
      <c r="F153" s="49">
        <v>0.25</v>
      </c>
      <c r="G153" s="49">
        <v>0.25</v>
      </c>
      <c r="H153" s="49">
        <v>0.25</v>
      </c>
      <c r="I153" s="49">
        <v>0.25</v>
      </c>
      <c r="J153" s="2" t="s">
        <v>20</v>
      </c>
    </row>
    <row r="154" spans="4:10" ht="20.100000000000001" customHeight="1" x14ac:dyDescent="0.25">
      <c r="D154" s="1" t="s">
        <v>137</v>
      </c>
      <c r="E154" s="101">
        <f>1-SUM(E152:E153)</f>
        <v>0.5</v>
      </c>
      <c r="F154" s="101">
        <f t="shared" ref="F154:I154" si="4">1-SUM(F152:F153)</f>
        <v>0.5</v>
      </c>
      <c r="G154" s="101">
        <f t="shared" si="4"/>
        <v>0.5</v>
      </c>
      <c r="H154" s="101">
        <f t="shared" si="4"/>
        <v>0.5</v>
      </c>
      <c r="I154" s="101">
        <f t="shared" si="4"/>
        <v>0.5</v>
      </c>
      <c r="J154" s="2" t="s">
        <v>20</v>
      </c>
    </row>
    <row r="155" spans="4:10" ht="20.100000000000001" customHeight="1" x14ac:dyDescent="0.25"/>
    <row r="156" spans="4:10" ht="20.100000000000001" customHeight="1" x14ac:dyDescent="0.25">
      <c r="D156" s="113"/>
    </row>
    <row r="157" spans="4:10" ht="20.100000000000001" customHeight="1" x14ac:dyDescent="0.25">
      <c r="D157" s="51" t="str">
        <f>"From " &amp; $D$55</f>
        <v>From Feed pad</v>
      </c>
    </row>
    <row r="158" spans="4:10" ht="20.100000000000001" customHeight="1" x14ac:dyDescent="0.25"/>
    <row r="159" spans="4:10" ht="20.100000000000001" customHeight="1" x14ac:dyDescent="0.25">
      <c r="D159" s="66" t="s">
        <v>103</v>
      </c>
      <c r="E159" s="41" t="s">
        <v>178</v>
      </c>
      <c r="F159" s="41" t="s">
        <v>195</v>
      </c>
      <c r="G159" s="41" t="s">
        <v>196</v>
      </c>
      <c r="H159" s="41" t="s">
        <v>197</v>
      </c>
      <c r="I159" s="41" t="s">
        <v>198</v>
      </c>
    </row>
    <row r="160" spans="4:10" ht="20.100000000000001" customHeight="1" x14ac:dyDescent="0.25">
      <c r="D160" s="56" t="str">
        <f>"Sent from stage 1: " &amp; $D$67 &amp; " to:"</f>
        <v>Sent from stage 1: Anaerobic lagoon to:</v>
      </c>
      <c r="E160" s="58"/>
    </row>
    <row r="161" spans="4:10" ht="20.100000000000001" customHeight="1" x14ac:dyDescent="0.25">
      <c r="D161" s="1" t="s">
        <v>112</v>
      </c>
      <c r="E161" s="49">
        <v>0.25</v>
      </c>
      <c r="F161" s="49">
        <v>0.25</v>
      </c>
      <c r="G161" s="49">
        <v>0.25</v>
      </c>
      <c r="H161" s="49">
        <v>0.25</v>
      </c>
      <c r="I161" s="49">
        <v>0.25</v>
      </c>
      <c r="J161" s="2" t="s">
        <v>20</v>
      </c>
    </row>
    <row r="162" spans="4:10" ht="20.100000000000001" customHeight="1" x14ac:dyDescent="0.25">
      <c r="D162" s="1" t="s">
        <v>222</v>
      </c>
      <c r="E162" s="49">
        <v>0.25</v>
      </c>
      <c r="F162" s="49">
        <v>0.25</v>
      </c>
      <c r="G162" s="49">
        <v>0.25</v>
      </c>
      <c r="H162" s="49">
        <v>0.25</v>
      </c>
      <c r="I162" s="49">
        <v>0.25</v>
      </c>
      <c r="J162" s="2" t="s">
        <v>20</v>
      </c>
    </row>
    <row r="163" spans="4:10" ht="20.100000000000001" customHeight="1" x14ac:dyDescent="0.25">
      <c r="D163" s="1" t="s">
        <v>137</v>
      </c>
      <c r="E163" s="101">
        <f t="shared" ref="E163:I163" si="5">1-SUM(E161:E162)</f>
        <v>0.5</v>
      </c>
      <c r="F163" s="101">
        <f t="shared" si="5"/>
        <v>0.5</v>
      </c>
      <c r="G163" s="101">
        <f t="shared" si="5"/>
        <v>0.5</v>
      </c>
      <c r="H163" s="101">
        <f t="shared" si="5"/>
        <v>0.5</v>
      </c>
      <c r="I163" s="101">
        <f t="shared" si="5"/>
        <v>0.5</v>
      </c>
      <c r="J163" s="2" t="s">
        <v>20</v>
      </c>
    </row>
    <row r="164" spans="4:10" ht="20.100000000000001" customHeight="1" x14ac:dyDescent="0.25"/>
    <row r="165" spans="4:10" ht="20.100000000000001" customHeight="1" x14ac:dyDescent="0.25">
      <c r="D165" s="56" t="str">
        <f>"Sent from stage 1: " &amp; $D$72 &amp; " to:"</f>
        <v>Sent from stage 1: Sump and dispersal system to:</v>
      </c>
    </row>
    <row r="166" spans="4:10" x14ac:dyDescent="0.25">
      <c r="D166" s="1" t="s">
        <v>112</v>
      </c>
      <c r="E166" s="49">
        <v>0.25</v>
      </c>
      <c r="F166" s="49">
        <v>0.25</v>
      </c>
      <c r="G166" s="49">
        <v>0.25</v>
      </c>
      <c r="H166" s="49">
        <v>0.25</v>
      </c>
      <c r="I166" s="49">
        <v>0.25</v>
      </c>
      <c r="J166" s="2" t="s">
        <v>20</v>
      </c>
    </row>
    <row r="167" spans="4:10" x14ac:dyDescent="0.25">
      <c r="D167" s="1" t="s">
        <v>222</v>
      </c>
      <c r="E167" s="49">
        <v>0.25</v>
      </c>
      <c r="F167" s="49">
        <v>0.25</v>
      </c>
      <c r="G167" s="49">
        <v>0.25</v>
      </c>
      <c r="H167" s="49">
        <v>0.25</v>
      </c>
      <c r="I167" s="49">
        <v>0.25</v>
      </c>
      <c r="J167" s="2" t="s">
        <v>20</v>
      </c>
    </row>
    <row r="168" spans="4:10" x14ac:dyDescent="0.25">
      <c r="D168" s="1" t="s">
        <v>137</v>
      </c>
      <c r="E168" s="101">
        <f>1-SUM(E166:E167)</f>
        <v>0.5</v>
      </c>
      <c r="F168" s="101">
        <f t="shared" ref="F168:I168" si="6">1-SUM(F166:F167)</f>
        <v>0.5</v>
      </c>
      <c r="G168" s="101">
        <f t="shared" si="6"/>
        <v>0.5</v>
      </c>
      <c r="H168" s="101">
        <f t="shared" si="6"/>
        <v>0.5</v>
      </c>
      <c r="I168" s="101">
        <f t="shared" si="6"/>
        <v>0.5</v>
      </c>
      <c r="J168" s="2" t="s">
        <v>20</v>
      </c>
    </row>
    <row r="170" spans="4:10" x14ac:dyDescent="0.25">
      <c r="D170" s="56" t="str">
        <f>"Sent from stage 1: " &amp; $D$77 &amp; " to:"</f>
        <v>Sent from stage 1: Drains to paddock to:</v>
      </c>
    </row>
    <row r="171" spans="4:10" x14ac:dyDescent="0.25">
      <c r="D171" s="1" t="s">
        <v>112</v>
      </c>
      <c r="E171" s="49">
        <v>0.25</v>
      </c>
      <c r="F171" s="49">
        <v>0.25</v>
      </c>
      <c r="G171" s="49">
        <v>0.25</v>
      </c>
      <c r="H171" s="49">
        <v>0.25</v>
      </c>
      <c r="I171" s="49">
        <v>0.25</v>
      </c>
      <c r="J171" s="2" t="s">
        <v>20</v>
      </c>
    </row>
    <row r="172" spans="4:10" x14ac:dyDescent="0.25">
      <c r="D172" s="1" t="s">
        <v>222</v>
      </c>
      <c r="E172" s="49">
        <v>0.25</v>
      </c>
      <c r="F172" s="49">
        <v>0.25</v>
      </c>
      <c r="G172" s="49">
        <v>0.25</v>
      </c>
      <c r="H172" s="49">
        <v>0.25</v>
      </c>
      <c r="I172" s="49">
        <v>0.25</v>
      </c>
      <c r="J172" s="2" t="s">
        <v>20</v>
      </c>
    </row>
    <row r="173" spans="4:10" x14ac:dyDescent="0.25">
      <c r="D173" s="1" t="s">
        <v>137</v>
      </c>
      <c r="E173" s="101">
        <f>1-SUM(E171:E172)</f>
        <v>0.5</v>
      </c>
      <c r="F173" s="101">
        <f t="shared" ref="F173:I173" si="7">1-SUM(F171:F172)</f>
        <v>0.5</v>
      </c>
      <c r="G173" s="101">
        <f t="shared" si="7"/>
        <v>0.5</v>
      </c>
      <c r="H173" s="101">
        <f t="shared" si="7"/>
        <v>0.5</v>
      </c>
      <c r="I173" s="101">
        <f t="shared" si="7"/>
        <v>0.5</v>
      </c>
      <c r="J173" s="2" t="s">
        <v>20</v>
      </c>
    </row>
    <row r="175" spans="4:10" x14ac:dyDescent="0.25">
      <c r="D175" s="56" t="str">
        <f>"Sent from stage 1: " &amp; $D$82 &amp; " to:"</f>
        <v>Sent from stage 1: Solid storage to:</v>
      </c>
    </row>
    <row r="176" spans="4:10" x14ac:dyDescent="0.25">
      <c r="D176" s="1" t="s">
        <v>112</v>
      </c>
      <c r="E176" s="49">
        <v>0.25</v>
      </c>
      <c r="F176" s="49">
        <v>0.25</v>
      </c>
      <c r="G176" s="49">
        <v>0.25</v>
      </c>
      <c r="H176" s="49">
        <v>0.25</v>
      </c>
      <c r="I176" s="49">
        <v>0.25</v>
      </c>
      <c r="J176" s="2" t="s">
        <v>20</v>
      </c>
    </row>
    <row r="177" spans="4:10" x14ac:dyDescent="0.25">
      <c r="D177" s="1" t="s">
        <v>222</v>
      </c>
      <c r="E177" s="49">
        <v>0.25</v>
      </c>
      <c r="F177" s="49">
        <v>0.25</v>
      </c>
      <c r="G177" s="49">
        <v>0.25</v>
      </c>
      <c r="H177" s="49">
        <v>0.25</v>
      </c>
      <c r="I177" s="49">
        <v>0.25</v>
      </c>
      <c r="J177" s="2" t="s">
        <v>20</v>
      </c>
    </row>
    <row r="178" spans="4:10" x14ac:dyDescent="0.25">
      <c r="D178" s="1" t="s">
        <v>137</v>
      </c>
      <c r="E178" s="101">
        <f>1-SUM(E176:E177)</f>
        <v>0.5</v>
      </c>
      <c r="F178" s="101">
        <f t="shared" ref="F178:I178" si="8">1-SUM(F176:F177)</f>
        <v>0.5</v>
      </c>
      <c r="G178" s="101">
        <f t="shared" si="8"/>
        <v>0.5</v>
      </c>
      <c r="H178" s="101">
        <f t="shared" si="8"/>
        <v>0.5</v>
      </c>
      <c r="I178" s="101">
        <f t="shared" si="8"/>
        <v>0.5</v>
      </c>
      <c r="J178" s="2" t="s">
        <v>20</v>
      </c>
    </row>
    <row r="180" spans="4:10" x14ac:dyDescent="0.25">
      <c r="D180" s="113"/>
    </row>
    <row r="183" spans="4:10" x14ac:dyDescent="0.25">
      <c r="D183" s="1" t="s">
        <v>146</v>
      </c>
      <c r="E183" s="42" t="s">
        <v>151</v>
      </c>
      <c r="F183" s="2" t="s">
        <v>11</v>
      </c>
    </row>
    <row r="184" spans="4:10" x14ac:dyDescent="0.25">
      <c r="E184" s="42" t="s">
        <v>156</v>
      </c>
      <c r="F184" s="2" t="s">
        <v>11</v>
      </c>
    </row>
  </sheetData>
  <conditionalFormatting sqref="E10:J10 E24:J25 E28:J29 J67 J72 J77 J82:J86">
    <cfRule type="cellIs" dxfId="20" priority="30" operator="lessThan">
      <formula>0</formula>
    </cfRule>
  </conditionalFormatting>
  <conditionalFormatting sqref="E14:J15">
    <cfRule type="cellIs" dxfId="19" priority="2" operator="lessThan">
      <formula>0</formula>
    </cfRule>
  </conditionalFormatting>
  <conditionalFormatting sqref="E18:J19">
    <cfRule type="cellIs" dxfId="18" priority="1" operator="lessThan">
      <formula>0</formula>
    </cfRule>
  </conditionalFormatting>
  <conditionalFormatting sqref="E35:J37">
    <cfRule type="cellIs" dxfId="17" priority="6" operator="lessThan">
      <formula>0</formula>
    </cfRule>
  </conditionalFormatting>
  <conditionalFormatting sqref="E40:J42">
    <cfRule type="cellIs" dxfId="16" priority="3" operator="lessThan">
      <formula>0</formula>
    </cfRule>
  </conditionalFormatting>
  <conditionalFormatting sqref="F69:F70">
    <cfRule type="cellIs" dxfId="15" priority="21" operator="lessThan">
      <formula>0</formula>
    </cfRule>
  </conditionalFormatting>
  <conditionalFormatting sqref="F74:F75">
    <cfRule type="cellIs" dxfId="14" priority="20" operator="lessThan">
      <formula>0</formula>
    </cfRule>
  </conditionalFormatting>
  <conditionalFormatting sqref="F79:F80">
    <cfRule type="cellIs" dxfId="13" priority="19" operator="lessThan">
      <formula>0</formula>
    </cfRule>
  </conditionalFormatting>
  <conditionalFormatting sqref="F103:F104">
    <cfRule type="cellIs" dxfId="12" priority="13" operator="lessThan">
      <formula>0</formula>
    </cfRule>
  </conditionalFormatting>
  <conditionalFormatting sqref="F108:F109">
    <cfRule type="cellIs" dxfId="11" priority="12" operator="lessThan">
      <formula>0</formula>
    </cfRule>
  </conditionalFormatting>
  <conditionalFormatting sqref="F113:F114">
    <cfRule type="cellIs" dxfId="10" priority="11" operator="lessThan">
      <formula>0</formula>
    </cfRule>
  </conditionalFormatting>
  <conditionalFormatting sqref="J53:J55">
    <cfRule type="cellIs" dxfId="9" priority="24" operator="lessThan">
      <formula>0</formula>
    </cfRule>
  </conditionalFormatting>
  <conditionalFormatting sqref="J58:J60">
    <cfRule type="cellIs" dxfId="8" priority="23" operator="lessThan">
      <formula>0</formula>
    </cfRule>
  </conditionalFormatting>
  <conditionalFormatting sqref="J88">
    <cfRule type="cellIs" dxfId="7" priority="17" operator="lessThan">
      <formula>0</formula>
    </cfRule>
  </conditionalFormatting>
  <conditionalFormatting sqref="J90:J93">
    <cfRule type="cellIs" dxfId="6" priority="16" operator="lessThan">
      <formula>0</formula>
    </cfRule>
  </conditionalFormatting>
  <conditionalFormatting sqref="J95">
    <cfRule type="cellIs" dxfId="5" priority="15" operator="lessThan">
      <formula>0</formula>
    </cfRule>
  </conditionalFormatting>
  <conditionalFormatting sqref="J101 J106 J111 J116:J120">
    <cfRule type="cellIs" dxfId="4" priority="14" operator="lessThan">
      <formula>0</formula>
    </cfRule>
  </conditionalFormatting>
  <conditionalFormatting sqref="J122">
    <cfRule type="cellIs" dxfId="3" priority="10" operator="lessThan">
      <formula>0</formula>
    </cfRule>
  </conditionalFormatting>
  <conditionalFormatting sqref="J124:J127">
    <cfRule type="cellIs" dxfId="2" priority="9" operator="lessThan">
      <formula>0</formula>
    </cfRule>
  </conditionalFormatting>
  <conditionalFormatting sqref="J129">
    <cfRule type="cellIs" dxfId="1" priority="8" operator="lessThan">
      <formula>0</formula>
    </cfRule>
  </conditionalFormatting>
  <conditionalFormatting sqref="K43:M43">
    <cfRule type="cellIs" dxfId="0" priority="31" operator="lessThan">
      <formula>0</formula>
    </cfRule>
  </conditionalFormatting>
  <dataValidations count="6">
    <dataValidation type="list" allowBlank="1" showInputMessage="1" showErrorMessage="1" sqref="D96" xr:uid="{4E913AB3-F90B-4C35-BCE1-5DBB8FC05107}">
      <formula1>INDIRECT("Table_SourceData_PoultryMMSStage1[MMS]")</formula1>
    </dataValidation>
    <dataValidation type="list" allowBlank="1" showInputMessage="1" showErrorMessage="1" sqref="E183" xr:uid="{AF94BFC8-A9BD-4286-932B-111409BF1EB6}">
      <formula1>INDIRECT("Table_SourceData_Dairy_CropProdSystems[Production system]")</formula1>
    </dataValidation>
    <dataValidation type="list" allowBlank="1" showInputMessage="1" showErrorMessage="1" sqref="E184" xr:uid="{20E9D9A1-CABD-46A5-B149-02F06B30AA0E}">
      <formula1>INDIRECT("Table_SourceData_Dairy_IrrigationMethods[Irrigation method]")</formula1>
    </dataValidation>
    <dataValidation type="list" allowBlank="1" showInputMessage="1" showErrorMessage="1" sqref="E50" xr:uid="{9FB53635-991F-44AA-A123-E8ABEF9EE0A6}">
      <formula1>INDIRECT("Table_SourceData_Dairy_ProductionSystemTemplates[Area]")</formula1>
    </dataValidation>
    <dataValidation type="list" allowBlank="1" showInputMessage="1" showErrorMessage="1" sqref="E68 E73 E78 E112 E107 E102"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271"/>
  <sheetViews>
    <sheetView showGridLines="0" tabSelected="1" topLeftCell="A19" zoomScaleNormal="100" workbookViewId="0">
      <selection activeCell="I39" sqref="I3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297</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131" t="str" cm="1">
        <f t="array" ref="D5">EntericMethane_Dairy_Equations.VEERG_3_3_1_1__6_MetabolisabilityOfDiet_Title()</f>
        <v>Metabolisability of the diet based on Minson and McDonald (1987)</v>
      </c>
    </row>
    <row r="6" spans="1:23" ht="20.100000000000001" customHeight="1" x14ac:dyDescent="0.25">
      <c r="A6" s="20" t="s">
        <v>3</v>
      </c>
      <c r="D6" s="5" t="str" cm="1">
        <f t="array" ref="D6">EntericMethane_Dairy_Equations.VEERG_3_3_1_1__6_MetabolisabilityOfDiet_Source()</f>
        <v>VEERG 2026: 3.3.1.1, Equation (6)</v>
      </c>
    </row>
    <row r="7" spans="1:23" ht="20.100000000000001" customHeight="1" x14ac:dyDescent="0.25">
      <c r="A7" s="17" t="str">
        <f>HYPERLINK("#'Input - Site'!A1", "Site")</f>
        <v>Site</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EntericMethane_Dairy_Equations.VEERG_3_3_1_1__6_MetabolisabilityOfDiet_Variable()</f>
        <v>qm_j</v>
      </c>
    </row>
    <row r="11" spans="1:23" ht="20.100000000000001" customHeight="1" x14ac:dyDescent="0.25">
      <c r="A11" s="22" t="str">
        <f>HYPERLINK("#'4.3.1.1-2 Methane'!A1", "4.3.1.1-2 Methane")</f>
        <v>4.3.1.1-2 Methane</v>
      </c>
      <c r="D11" s="56" t="s">
        <v>21</v>
      </c>
      <c r="E11" s="57" t="str" cm="1">
        <f t="array" ref="E11">EntericMethane_Dairy_Equations.VEERG_3_3_1_1__6_MetabolisabilityOfDiet_Unit()</f>
        <v>fraction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48" t="str" cm="1">
        <f t="array" ref="D13:E13">_xlfn.CHOOSECOLS(EntericMethane_Dairy_Equations.VEERG_3_3_1_1__6_MetabolisabilityOfDiet_Arguments(), 1,2)</f>
        <v>DMD_j</v>
      </c>
      <c r="E13" s="148" t="str">
        <v>dry matter digestibility expressed as a fraction</v>
      </c>
      <c r="F13" s="148"/>
      <c r="G13" s="148" t="str" cm="1">
        <f t="array" ref="G13:H13">_xlfn.CHOOSECOLS(EntericMethane_Dairy_Equations.VEERG_3_3_1_1__6_MetabolisabilityOfDiet_Arguments(), 3,4)</f>
        <v>fraction</v>
      </c>
      <c r="H13" s="146" t="str">
        <v>Input</v>
      </c>
      <c r="I13" s="148" t="str">
        <f>"See " &amp; D15</f>
        <v>See M1_Table_DMD_j</v>
      </c>
    </row>
    <row r="14" spans="1:23" ht="20.100000000000001" customHeight="1" x14ac:dyDescent="0.25">
      <c r="A14" s="17" t="str">
        <f>HYPERLINK("#'4.3.1.6-7 Leaching and runoff'!A1", "4.3.1.6-7 Leaching and runoff")</f>
        <v>4.3.1.6-7 Leaching and runoff</v>
      </c>
    </row>
    <row r="15" spans="1:23" ht="20.100000000000001" customHeight="1" x14ac:dyDescent="0.25">
      <c r="A15" s="17" t="str">
        <f>HYPERLINK("#'4.3.1.8 Manure applied to soils'!A1", "4.3.1.8 Manure applied to soils")</f>
        <v>4.3.1.8 Manure applied to soils</v>
      </c>
      <c r="D15" s="104" t="s">
        <v>128</v>
      </c>
      <c r="O15" s="104" t="s">
        <v>131</v>
      </c>
    </row>
    <row r="16" spans="1:23" ht="20.100000000000001" customHeight="1" x14ac:dyDescent="0.25">
      <c r="A16" s="17" t="str">
        <f>HYPERLINK("#'4.3.1.9 Soil direct N2O'!A1", "4.3.1.9 Soil direct N2O")</f>
        <v>4.3.1.9 Soil direct N2O</v>
      </c>
      <c r="D16" s="103" t="s">
        <v>130</v>
      </c>
      <c r="O16" s="103" t="s">
        <v>251</v>
      </c>
    </row>
    <row r="17" spans="1:23" ht="20.100000000000001" customHeight="1" x14ac:dyDescent="0.25">
      <c r="A17" s="17" t="str">
        <f>HYPERLINK("#'4.3.1.10-11 Soil Atmos Dep'!A1", "4.3.1.10-11 Soil atm. deposition")</f>
        <v>4.3.1.10-11 Soil atm. deposition</v>
      </c>
      <c r="D17" s="41" t="s">
        <v>178</v>
      </c>
      <c r="E17" s="41" t="s">
        <v>195</v>
      </c>
      <c r="F17" s="41" t="s">
        <v>196</v>
      </c>
      <c r="G17" s="41" t="s">
        <v>197</v>
      </c>
      <c r="H17" s="41" t="s">
        <v>198</v>
      </c>
      <c r="O17" s="54" t="s">
        <v>178</v>
      </c>
      <c r="P17" s="54" t="s">
        <v>195</v>
      </c>
      <c r="Q17" s="54" t="s">
        <v>196</v>
      </c>
      <c r="R17" s="54" t="s">
        <v>197</v>
      </c>
      <c r="S17" s="54" t="s">
        <v>198</v>
      </c>
    </row>
    <row r="18" spans="1:23" ht="20.100000000000001" customHeight="1" x14ac:dyDescent="0.25">
      <c r="A18" s="17" t="str">
        <f>HYPERLINK("#'4.3.1.12-13 Soil leach runoff'!A1", "4.3.1.12-13 Soil leach &amp; runoff")</f>
        <v>4.3.1.12-13 Soil leach &amp; runoff</v>
      </c>
      <c r="D18" s="55">
        <f>'Input - Dairy'!$E$36</f>
        <v>0.75</v>
      </c>
      <c r="E18" s="55">
        <f>'Input - Dairy'!$F$36</f>
        <v>0.75</v>
      </c>
      <c r="F18" s="55">
        <f>'Input - Dairy'!$G$36</f>
        <v>0.75</v>
      </c>
      <c r="G18" s="55">
        <f>'Input - Dairy'!$H$36</f>
        <v>0.75</v>
      </c>
      <c r="H18" s="55">
        <f>'Input - Dairy'!$I$36</f>
        <v>0.75</v>
      </c>
      <c r="I18" s="2" t="s">
        <v>240</v>
      </c>
      <c r="J18" s="2"/>
      <c r="K18" s="2"/>
      <c r="O18" s="55">
        <f>'Input - Dairy'!$E$41</f>
        <v>0.75</v>
      </c>
      <c r="P18" s="55">
        <f>'Input - Dairy'!$F$41</f>
        <v>0.75</v>
      </c>
      <c r="Q18" s="55">
        <f>'Input - Dairy'!$G$41</f>
        <v>0.75</v>
      </c>
      <c r="R18" s="55">
        <f>'Input - Dairy'!$H$41</f>
        <v>0.75</v>
      </c>
      <c r="S18" s="55">
        <f>'Input - Dairy'!$I$41</f>
        <v>0.75</v>
      </c>
      <c r="T18" s="2" t="s">
        <v>240</v>
      </c>
      <c r="U18" s="2"/>
      <c r="V18" s="2"/>
    </row>
    <row r="19" spans="1:23" ht="20.100000000000001" customHeight="1" x14ac:dyDescent="0.25">
      <c r="A19" s="17"/>
    </row>
    <row r="20" spans="1:23" ht="20.100000000000001" customHeight="1" x14ac:dyDescent="0.25">
      <c r="A20" s="18" t="s">
        <v>4</v>
      </c>
      <c r="D20" s="104" t="s">
        <v>241</v>
      </c>
      <c r="O20" s="104" t="s">
        <v>243</v>
      </c>
    </row>
    <row r="21" spans="1:23" ht="20.100000000000001" customHeight="1" x14ac:dyDescent="0.25">
      <c r="A21" s="17" t="str">
        <f>HYPERLINK("#'Constants - Dairy'!A1", "Constants - Dairy")</f>
        <v>Constants - Dairy</v>
      </c>
      <c r="D21" s="103" t="s">
        <v>242</v>
      </c>
      <c r="O21" s="103" t="s">
        <v>244</v>
      </c>
    </row>
    <row r="22" spans="1:23" ht="20.100000000000001" customHeight="1" x14ac:dyDescent="0.25">
      <c r="A22" s="17" t="str">
        <f>HYPERLINK("#'Constants - Livestock'!A1", "Constants - Livestock")</f>
        <v>Constants - Livestock</v>
      </c>
      <c r="D22" s="54" t="s">
        <v>178</v>
      </c>
      <c r="E22" s="54" t="s">
        <v>195</v>
      </c>
      <c r="F22" s="54" t="s">
        <v>196</v>
      </c>
      <c r="G22" s="54" t="s">
        <v>197</v>
      </c>
      <c r="H22" s="54" t="s">
        <v>198</v>
      </c>
      <c r="O22" s="54" t="s">
        <v>178</v>
      </c>
      <c r="P22" s="54" t="s">
        <v>195</v>
      </c>
      <c r="Q22" s="54" t="s">
        <v>196</v>
      </c>
      <c r="R22" s="54" t="s">
        <v>197</v>
      </c>
      <c r="S22" s="54" t="s">
        <v>198</v>
      </c>
    </row>
    <row r="23" spans="1:23" ht="20.100000000000001" customHeight="1" x14ac:dyDescent="0.25">
      <c r="A23" s="17" t="str">
        <f>HYPERLINK("#'Constants - Common'!A1", "Constants - Common")</f>
        <v>Constants - Common</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HYPERLINK("#'Acknowledgements'!A1", "Acknowledgements")</f>
        <v>Acknowledgements</v>
      </c>
    </row>
    <row r="25" spans="1:23" ht="20.100000000000001" customHeight="1" x14ac:dyDescent="0.25"/>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EntericMethane_Dairy_Equations.VEERG_3_3_1_1__4_AdditionalIntakeForMilkProduction_Title()</f>
        <v>Additional intake required for milk production</v>
      </c>
    </row>
    <row r="28" spans="1:23" ht="20.100000000000001" customHeight="1" x14ac:dyDescent="0.25">
      <c r="D28" s="5" t="str" cm="1">
        <f t="array" ref="D28">EntericMethane_Dairy_Equations.VEERG_3_3_1_1__4_AdditionalIntakeForMilkProduction_Source()</f>
        <v>VEERG 2026: 3.3.1.1, Equation (4)</v>
      </c>
    </row>
    <row r="29" spans="1:23" ht="20.100000000000001" customHeight="1" x14ac:dyDescent="0.25">
      <c r="D29" s="13" t="s">
        <v>28</v>
      </c>
      <c r="E29" s="13" t="str" cm="1">
        <f t="array" aca="1" ref="E29" ca="1">Common_InputFunctions.Utility_DisplayFunctionName(D49)</f>
        <v>=EntericMethane_Dairy_Equations.VEERG_3_3_1_1__4_AdditionalIntakeForMilkProduction</v>
      </c>
    </row>
    <row r="30" spans="1:23" ht="20.100000000000001" customHeight="1" x14ac:dyDescent="0.25"/>
    <row r="31" spans="1:23" ht="20.100000000000001" customHeight="1" x14ac:dyDescent="0.25">
      <c r="D31" s="6"/>
    </row>
    <row r="32" spans="1:23" ht="20.100000000000001" customHeight="1" x14ac:dyDescent="0.25">
      <c r="D32" s="56" t="s">
        <v>31</v>
      </c>
      <c r="E32" s="1" t="str" cm="1">
        <f t="array" ref="E32">EntericMethane_Dairy_Equations.VEERG_3_3_1_1__4_AdditionalIntakeForMilkProduction_Variable()</f>
        <v>MI_j</v>
      </c>
    </row>
    <row r="33" spans="4:19" ht="20.100000000000001" customHeight="1" x14ac:dyDescent="0.25">
      <c r="D33" s="56" t="s">
        <v>21</v>
      </c>
      <c r="E33" s="57" t="str" cm="1">
        <f t="array" ref="E33">EntericMethane_Dairy_Equations.VEERG_3_3_1_1__4_AdditionalIntakeForMilkProduction_Unit()</f>
        <v>kg DM/head/day</v>
      </c>
    </row>
    <row r="34" spans="4:19" ht="20.100000000000001" customHeight="1" x14ac:dyDescent="0.25"/>
    <row r="35" spans="4:19" ht="20.100000000000001" customHeight="1" x14ac:dyDescent="0.25">
      <c r="D35" s="148" t="str" cm="1">
        <f t="array" ref="D35:E39">_xlfn.CHOOSECOLS(EntericMethane_Dairy_Equations.VEERG_3_3_1_1__4_AdditionalIntakeForMilkProduction_Arguments(), 1,2)</f>
        <v>MP_j</v>
      </c>
      <c r="E35" s="147" t="str">
        <v>milk production</v>
      </c>
      <c r="F35" s="149"/>
      <c r="G35" s="148" t="str" cm="1">
        <f t="array" ref="G35:H39">_xlfn.CHOOSECOLS(EntericMethane_Dairy_Equations.VEERG_3_3_1_1__4_AdditionalIntakeForMilkProduction_Arguments(), 3,4)</f>
        <v>L/head/day</v>
      </c>
      <c r="H35" s="146" t="str">
        <v>Input</v>
      </c>
      <c r="I35" s="60" t="str">
        <f>"See " &amp; D41</f>
        <v>See Table_MP_j</v>
      </c>
    </row>
    <row r="36" spans="4:19" ht="20.100000000000001" customHeight="1" x14ac:dyDescent="0.25">
      <c r="D36" s="148" t="str">
        <v>NE</v>
      </c>
      <c r="E36" s="147" t="str">
        <v>net energy</v>
      </c>
      <c r="F36" s="149"/>
      <c r="G36" s="148" t="str">
        <v>MJ net energy/kg milk</v>
      </c>
      <c r="H36" s="144" t="str">
        <v>Constant</v>
      </c>
      <c r="I36" s="148">
        <f>'Constants - Dairy'!$D$167</f>
        <v>3.0539999999999998</v>
      </c>
    </row>
    <row r="37" spans="4:19" ht="20.100000000000001" customHeight="1" x14ac:dyDescent="0.25">
      <c r="D37" s="148" t="str">
        <v>GEC</v>
      </c>
      <c r="E37" s="147" t="str">
        <v>gross energy content</v>
      </c>
      <c r="F37" s="149"/>
      <c r="G37" s="148" t="str">
        <v>MJ/kgDM</v>
      </c>
      <c r="H37" s="144" t="str">
        <v>Constant</v>
      </c>
      <c r="I37" s="148">
        <f>'Constants - Dairy'!$D$174</f>
        <v>18.399999999999999</v>
      </c>
    </row>
    <row r="38" spans="4:19" ht="20.100000000000001" customHeight="1" x14ac:dyDescent="0.25">
      <c r="D38" s="148" t="str">
        <v>k</v>
      </c>
      <c r="E38" s="147" t="str">
        <v>efficiency of metabolizable energy use for milk production</v>
      </c>
      <c r="F38" s="149"/>
      <c r="G38" s="148" t="str">
        <v>fraction</v>
      </c>
      <c r="H38" s="144" t="str">
        <v>Constant</v>
      </c>
      <c r="I38" s="148">
        <f>'Constants - Dairy'!$D$181</f>
        <v>0.6</v>
      </c>
    </row>
    <row r="39" spans="4:19" ht="20.100000000000001" customHeight="1" x14ac:dyDescent="0.25">
      <c r="D39" s="148" t="str">
        <v>qm_j</v>
      </c>
      <c r="E39" s="147" t="str">
        <v>metabolisability of the diet</v>
      </c>
      <c r="F39" s="149"/>
      <c r="G39" s="148" t="str">
        <v>fraction</v>
      </c>
      <c r="H39" s="144" t="str">
        <v>Calculated from 3.3.1.1 (6)</v>
      </c>
      <c r="I39" s="145" t="str" cm="1">
        <f t="array" aca="1" ref="I39" ca="1">HYPERLINK(Common_InputFunctions.Utility_SourceHyperlink($D$20), $D$20)</f>
        <v>M1_Table_qm_j</v>
      </c>
    </row>
    <row r="40" spans="4:19" ht="20.100000000000001" customHeight="1" x14ac:dyDescent="0.25"/>
    <row r="41" spans="4:19" ht="20.100000000000001" customHeight="1" x14ac:dyDescent="0.25">
      <c r="D41" s="104" t="s">
        <v>250</v>
      </c>
    </row>
    <row r="42" spans="4:19" ht="20.100000000000001" customHeight="1" x14ac:dyDescent="0.25">
      <c r="D42" s="103" t="s">
        <v>202</v>
      </c>
    </row>
    <row r="43" spans="4:19" ht="20.100000000000001" customHeight="1" x14ac:dyDescent="0.25">
      <c r="D43" s="54" t="s">
        <v>178</v>
      </c>
      <c r="E43" s="54" t="s">
        <v>195</v>
      </c>
      <c r="F43" s="54" t="s">
        <v>196</v>
      </c>
      <c r="G43" s="54" t="s">
        <v>197</v>
      </c>
      <c r="H43" s="54" t="s">
        <v>198</v>
      </c>
    </row>
    <row r="44" spans="4:19" ht="20.100000000000001" customHeight="1" x14ac:dyDescent="0.25">
      <c r="D44" s="55">
        <f>'Input - Dairy'!$E$46</f>
        <v>44</v>
      </c>
      <c r="E44" s="55">
        <v>0</v>
      </c>
      <c r="F44" s="55">
        <v>0</v>
      </c>
      <c r="G44" s="55">
        <v>0</v>
      </c>
      <c r="H44" s="55">
        <v>0</v>
      </c>
      <c r="I44" s="2" t="s">
        <v>247</v>
      </c>
      <c r="J44" s="2"/>
      <c r="K44" s="2"/>
    </row>
    <row r="45" spans="4:19" ht="20.100000000000001" customHeight="1" x14ac:dyDescent="0.25"/>
    <row r="46" spans="4:19" ht="20.100000000000001" customHeight="1" x14ac:dyDescent="0.25">
      <c r="D46" s="104" t="s">
        <v>245</v>
      </c>
      <c r="O46" s="104" t="s">
        <v>248</v>
      </c>
    </row>
    <row r="47" spans="4:19" ht="20.100000000000001" customHeight="1" x14ac:dyDescent="0.25">
      <c r="D47" s="103" t="s">
        <v>246</v>
      </c>
      <c r="O47" s="103" t="s">
        <v>249</v>
      </c>
    </row>
    <row r="48" spans="4:19" ht="20.100000000000001" customHeight="1" x14ac:dyDescent="0.25">
      <c r="D48" s="54" t="s">
        <v>178</v>
      </c>
      <c r="E48" s="54" t="s">
        <v>195</v>
      </c>
      <c r="F48" s="54" t="s">
        <v>196</v>
      </c>
      <c r="G48" s="54" t="s">
        <v>197</v>
      </c>
      <c r="H48" s="54" t="s">
        <v>198</v>
      </c>
      <c r="O48" s="54" t="s">
        <v>178</v>
      </c>
      <c r="P48" s="54" t="s">
        <v>195</v>
      </c>
      <c r="Q48" s="54" t="s">
        <v>196</v>
      </c>
      <c r="R48" s="54" t="s">
        <v>197</v>
      </c>
      <c r="S48" s="54" t="s">
        <v>198</v>
      </c>
    </row>
    <row r="49" spans="3:23" ht="20.100000000000001" customHeight="1" x14ac:dyDescent="0.25">
      <c r="D49" s="55" cm="1">
        <f t="array" ref="D49">EntericMethane_Dairy_Equations.VEERG_3_3_1_1__4_AdditionalIntakeForMilkProduction(D44, $I$36,$I$37,$I$38,D23)</f>
        <v>0.21026726504853488</v>
      </c>
      <c r="E49" s="55" cm="1">
        <f t="array" ref="E49">EntericMethane_Dairy_Equations.VEERG_3_3_1_1__4_AdditionalIntakeForMilkProduction(E44, $I$36,$I$37,$I$38,E23)</f>
        <v>0</v>
      </c>
      <c r="F49" s="55" cm="1">
        <f t="array" ref="F49">EntericMethane_Dairy_Equations.VEERG_3_3_1_1__4_AdditionalIntakeForMilkProduction(F44, $I$36,$I$37,$I$38,F23)</f>
        <v>0</v>
      </c>
      <c r="G49" s="55" cm="1">
        <f t="array" ref="G49">EntericMethane_Dairy_Equations.VEERG_3_3_1_1__4_AdditionalIntakeForMilkProduction(G44, $I$36,$I$37,$I$38,G23)</f>
        <v>0</v>
      </c>
      <c r="H49" s="55" cm="1">
        <f t="array" ref="H49">EntericMethane_Dairy_Equations.VEERG_3_3_1_1__4_AdditionalIntakeForMilkProduction(H44, $I$36,$I$37,$I$38,H23)</f>
        <v>0</v>
      </c>
      <c r="I49" s="2" t="str">
        <f>$E$33</f>
        <v>kg DM/head/day</v>
      </c>
      <c r="J49" s="2"/>
      <c r="K49" s="2"/>
      <c r="O49" s="55" cm="1">
        <f t="array" ref="O49">EntericMethane_Dairy_Equations.VEERG_3_3_1_1__4_AdditionalIntakeForMilkProduction(D44, $I$36,$I$37,$I$38,O23)</f>
        <v>0.21026726504853488</v>
      </c>
      <c r="P49" s="55" cm="1">
        <f t="array" ref="P49">EntericMethane_Dairy_Equations.VEERG_3_3_1_1__4_AdditionalIntakeForMilkProduction(E44, $I$36,$I$37,$I$38,P23)</f>
        <v>0</v>
      </c>
      <c r="Q49" s="55" cm="1">
        <f t="array" ref="Q49">EntericMethane_Dairy_Equations.VEERG_3_3_1_1__4_AdditionalIntakeForMilkProduction(F44, $I$36,$I$37,$I$38,Q23)</f>
        <v>0</v>
      </c>
      <c r="R49" s="55" cm="1">
        <f t="array" ref="R49">EntericMethane_Dairy_Equations.VEERG_3_3_1_1__4_AdditionalIntakeForMilkProduction(G44, $I$36,$I$37,$I$38,R23)</f>
        <v>0</v>
      </c>
      <c r="S49" s="55" cm="1">
        <f t="array" ref="S49">EntericMethane_Dairy_Equations.VEERG_3_3_1_1__4_AdditionalIntakeForMilkProduction(H44, $I$36,$I$37,$I$38,S23)</f>
        <v>0</v>
      </c>
      <c r="T49" s="2" t="str">
        <f>$E$33</f>
        <v>kg DM/head/day</v>
      </c>
      <c r="U49" s="2"/>
      <c r="V49" s="2"/>
    </row>
    <row r="50" spans="3:23" ht="20.100000000000001" customHeight="1" x14ac:dyDescent="0.25"/>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3:23" ht="20.100000000000001" customHeight="1" x14ac:dyDescent="0.25">
      <c r="D53" s="131" t="str" cm="1">
        <f t="array" ref="D53">EntericMethane_Dairy_Equations.VEERG_3_3_1_1__3_DryMatterFeedIntake_Title()</f>
        <v>Feed intake based on Minson and McDonald (1987)</v>
      </c>
    </row>
    <row r="54" spans="3:23" ht="20.100000000000001" customHeight="1" x14ac:dyDescent="0.25">
      <c r="D54" s="5" t="str" cm="1">
        <f t="array" ref="D54">EntericMethane_Dairy_Equations.VEERG_3_3_1_1__3_DryMatterFeedIntake_Source()</f>
        <v>VEERG 2026: 3.3.1.1, Equation (3)</v>
      </c>
    </row>
    <row r="55" spans="3:23" ht="20.100000000000001" customHeight="1" x14ac:dyDescent="0.25">
      <c r="D55" s="13" t="s">
        <v>28</v>
      </c>
      <c r="E55" s="13" t="str" cm="1">
        <f t="array" aca="1" ref="E55" ca="1">Common_InputFunctions.Utility_DisplayFunctionName(D84)</f>
        <v>=EntericMethane_Dairy_Equations.VEERG_3_3_1_1__3_DryMatterFeedIntake</v>
      </c>
    </row>
    <row r="56" spans="3:23" ht="20.100000000000001" customHeight="1" x14ac:dyDescent="0.25"/>
    <row r="57" spans="3:23" ht="20.100000000000001" customHeight="1" x14ac:dyDescent="0.25"/>
    <row r="58" spans="3:23" ht="20.100000000000001" customHeight="1" x14ac:dyDescent="0.25">
      <c r="D58" s="56" t="s">
        <v>31</v>
      </c>
      <c r="E58" s="1" t="str" cm="1">
        <f t="array" ref="E58">EntericMethane_Dairy_Equations.VEERG_3_3_1_1__3_DryMatterFeedIntake_Variable()</f>
        <v>I_j</v>
      </c>
    </row>
    <row r="59" spans="3:23" ht="20.100000000000001" customHeight="1" x14ac:dyDescent="0.25">
      <c r="D59" s="56" t="s">
        <v>21</v>
      </c>
      <c r="E59" s="57" t="str" cm="1">
        <f t="array" ref="E59">EntericMethane_Dairy_Equations.VEERG_3_3_1_1__3_DryMatterFeedIntake_Unit()</f>
        <v>kg DM/head/day</v>
      </c>
    </row>
    <row r="60" spans="3:23" ht="20.100000000000001" customHeight="1" x14ac:dyDescent="0.25"/>
    <row r="61" spans="3:23" ht="20.100000000000001" customHeight="1" x14ac:dyDescent="0.25">
      <c r="D61" s="60" t="e" cm="1" vm="2">
        <f t="array" aca="1" ref="D61" ca="1">EntericMethane_Dairy_Equations.VEERG_3_3_1_1__3_DryMatterFeedIntake_Arguments()</f>
        <v>#VALUE!</v>
      </c>
      <c r="E61" s="61"/>
      <c r="F61" s="62"/>
      <c r="G61" s="60" t="str">
        <f>"See " &amp; D66</f>
        <v>See M1_Table_W_j</v>
      </c>
    </row>
    <row r="62" spans="3:23" ht="20.100000000000001" customHeight="1" x14ac:dyDescent="0.25">
      <c r="D62" s="60"/>
      <c r="E62" s="61"/>
      <c r="F62" s="62"/>
      <c r="G62" s="60" t="str">
        <f>"See " &amp; D71</f>
        <v>See M1_Table_LWG_j</v>
      </c>
    </row>
    <row r="63" spans="3:23" ht="20.100000000000001" customHeight="1" x14ac:dyDescent="0.25">
      <c r="D63" s="60"/>
      <c r="E63" s="61"/>
      <c r="F63" s="62"/>
      <c r="G63" s="60" t="str">
        <f>"See " &amp; D76</f>
        <v>See Table_MR_j</v>
      </c>
    </row>
    <row r="64" spans="3:23" ht="20.100000000000001" customHeight="1" x14ac:dyDescent="0.25">
      <c r="D64" s="60"/>
      <c r="E64" s="61"/>
      <c r="F64" s="62"/>
      <c r="G64" s="60" t="str">
        <f>"See " &amp; D46</f>
        <v>See M1_Table_MI_j</v>
      </c>
    </row>
    <row r="65" spans="4:22" ht="20.100000000000001" customHeight="1" x14ac:dyDescent="0.25"/>
    <row r="66" spans="4:22" ht="20.100000000000001" customHeight="1" x14ac:dyDescent="0.25">
      <c r="D66" s="104" t="s">
        <v>230</v>
      </c>
      <c r="O66" s="104" t="s">
        <v>232</v>
      </c>
    </row>
    <row r="67" spans="4:22" ht="20.100000000000001" customHeight="1" x14ac:dyDescent="0.25">
      <c r="D67" s="103" t="s">
        <v>231</v>
      </c>
      <c r="O67" s="103" t="s">
        <v>233</v>
      </c>
    </row>
    <row r="68" spans="4:22" ht="20.100000000000001" customHeight="1" x14ac:dyDescent="0.25">
      <c r="D68" s="54" t="s">
        <v>178</v>
      </c>
      <c r="E68" s="54" t="s">
        <v>195</v>
      </c>
      <c r="F68" s="54" t="s">
        <v>196</v>
      </c>
      <c r="G68" s="54" t="s">
        <v>197</v>
      </c>
      <c r="H68" s="54" t="s">
        <v>198</v>
      </c>
      <c r="O68" s="54" t="s">
        <v>178</v>
      </c>
      <c r="P68" s="54" t="s">
        <v>195</v>
      </c>
      <c r="Q68" s="54" t="s">
        <v>196</v>
      </c>
      <c r="R68" s="54" t="s">
        <v>197</v>
      </c>
      <c r="S68" s="54" t="s">
        <v>198</v>
      </c>
    </row>
    <row r="69" spans="4:22" ht="20.100000000000001" customHeight="1" x14ac:dyDescent="0.25">
      <c r="D69" s="55">
        <f>'Input - Dairy'!$E$14</f>
        <v>550</v>
      </c>
      <c r="E69" s="55">
        <f>'Input - Dairy'!$F$14</f>
        <v>380</v>
      </c>
      <c r="F69" s="55">
        <f>'Input - Dairy'!$G$14</f>
        <v>155</v>
      </c>
      <c r="G69" s="55">
        <f>'Input - Dairy'!$H$14</f>
        <v>600</v>
      </c>
      <c r="H69" s="55">
        <f>'Input - Dairy'!$I$14</f>
        <v>225</v>
      </c>
      <c r="I69" s="2" t="s">
        <v>200</v>
      </c>
      <c r="J69" s="2"/>
      <c r="K69" s="2"/>
      <c r="O69" s="55">
        <f>'Input - Dairy'!$E$18</f>
        <v>550</v>
      </c>
      <c r="P69" s="55">
        <f>'Input - Dairy'!$F$18</f>
        <v>380</v>
      </c>
      <c r="Q69" s="55">
        <f>'Input - Dairy'!$G$18</f>
        <v>155</v>
      </c>
      <c r="R69" s="55">
        <f>'Input - Dairy'!$H$18</f>
        <v>600</v>
      </c>
      <c r="S69" s="55">
        <f>'Input - Dairy'!$I$18</f>
        <v>225</v>
      </c>
      <c r="T69" s="2" t="s">
        <v>200</v>
      </c>
      <c r="U69" s="2"/>
      <c r="V69" s="2"/>
    </row>
    <row r="70" spans="4:22" ht="20.100000000000001" customHeight="1" x14ac:dyDescent="0.25"/>
    <row r="71" spans="4:22" ht="20.100000000000001" customHeight="1" x14ac:dyDescent="0.25">
      <c r="D71" s="104" t="s">
        <v>234</v>
      </c>
      <c r="O71" s="104" t="s">
        <v>236</v>
      </c>
    </row>
    <row r="72" spans="4:22" ht="20.100000000000001" customHeight="1" x14ac:dyDescent="0.25">
      <c r="D72" s="103" t="s">
        <v>235</v>
      </c>
      <c r="O72" s="103" t="s">
        <v>237</v>
      </c>
    </row>
    <row r="73" spans="4:22" ht="20.100000000000001" customHeight="1" x14ac:dyDescent="0.25">
      <c r="D73" s="54" t="s">
        <v>178</v>
      </c>
      <c r="E73" s="54" t="s">
        <v>195</v>
      </c>
      <c r="F73" s="54" t="s">
        <v>196</v>
      </c>
      <c r="G73" s="54" t="s">
        <v>197</v>
      </c>
      <c r="H73" s="54" t="s">
        <v>198</v>
      </c>
      <c r="O73" s="54" t="s">
        <v>178</v>
      </c>
      <c r="P73" s="54" t="s">
        <v>195</v>
      </c>
      <c r="Q73" s="54" t="s">
        <v>196</v>
      </c>
      <c r="R73" s="54" t="s">
        <v>197</v>
      </c>
      <c r="S73" s="54" t="s">
        <v>198</v>
      </c>
    </row>
    <row r="74" spans="4:22" ht="20.100000000000001" customHeight="1" x14ac:dyDescent="0.25">
      <c r="D74" s="55">
        <f>'Input - Dairy'!$E$15</f>
        <v>1.6E-2</v>
      </c>
      <c r="E74" s="55">
        <f>'Input - Dairy'!$F$15</f>
        <v>0.6</v>
      </c>
      <c r="F74" s="55">
        <f>'Input - Dairy'!$G$15</f>
        <v>0.56999999999999995</v>
      </c>
      <c r="G74" s="55">
        <f>'Input - Dairy'!$H$15</f>
        <v>0.1</v>
      </c>
      <c r="H74" s="55">
        <f>'Input - Dairy'!$I$15</f>
        <v>0.8</v>
      </c>
      <c r="I74" s="2" t="s">
        <v>201</v>
      </c>
      <c r="J74" s="2"/>
      <c r="K74" s="2"/>
      <c r="O74" s="55">
        <f>'Input - Dairy'!$E$19</f>
        <v>1.6E-2</v>
      </c>
      <c r="P74" s="55">
        <f>'Input - Dairy'!$F$19</f>
        <v>0.6</v>
      </c>
      <c r="Q74" s="55">
        <f>'Input - Dairy'!$G$19</f>
        <v>0.56999999999999995</v>
      </c>
      <c r="R74" s="55">
        <f>'Input - Dairy'!$H$19</f>
        <v>0.1</v>
      </c>
      <c r="S74" s="55">
        <f>'Input - Dairy'!$I$19</f>
        <v>0.8</v>
      </c>
      <c r="T74" s="2" t="s">
        <v>201</v>
      </c>
      <c r="U74" s="2"/>
      <c r="V74" s="2"/>
    </row>
    <row r="75" spans="4:22" ht="20.100000000000001" customHeight="1" x14ac:dyDescent="0.25"/>
    <row r="76" spans="4:22" ht="20.100000000000001" customHeight="1" x14ac:dyDescent="0.25">
      <c r="D76" s="104" t="s">
        <v>238</v>
      </c>
    </row>
    <row r="77" spans="4:22" ht="20.100000000000001" customHeight="1" x14ac:dyDescent="0.25">
      <c r="D77" s="103" t="s">
        <v>239</v>
      </c>
    </row>
    <row r="78" spans="4:22" ht="20.100000000000001" customHeight="1" x14ac:dyDescent="0.25">
      <c r="D78" s="54" t="s">
        <v>178</v>
      </c>
      <c r="E78" s="54" t="s">
        <v>195</v>
      </c>
      <c r="F78" s="54" t="s">
        <v>196</v>
      </c>
      <c r="G78" s="54" t="s">
        <v>197</v>
      </c>
      <c r="H78" s="54" t="s">
        <v>198</v>
      </c>
    </row>
    <row r="79" spans="4:22" ht="20.100000000000001" customHeight="1" x14ac:dyDescent="0.25">
      <c r="D79" s="55">
        <f>'Constants - Dairy'!$E$108</f>
        <v>1.1000000000000001</v>
      </c>
      <c r="E79" s="55">
        <f>'Constants - Dairy'!$E$109</f>
        <v>1</v>
      </c>
      <c r="F79" s="55">
        <f>'Constants - Dairy'!$E$109</f>
        <v>1</v>
      </c>
      <c r="G79" s="55">
        <f>'Constants - Dairy'!$E$109</f>
        <v>1</v>
      </c>
      <c r="H79" s="55">
        <f>'Constants - Dairy'!$E$109</f>
        <v>1</v>
      </c>
      <c r="I79" s="2" t="s">
        <v>101</v>
      </c>
      <c r="J79" s="2"/>
      <c r="K79" s="2"/>
    </row>
    <row r="80" spans="4:22" ht="20.100000000000001" customHeight="1" x14ac:dyDescent="0.25"/>
    <row r="81" spans="3:23" ht="20.100000000000001" customHeight="1" x14ac:dyDescent="0.25">
      <c r="D81" s="104" t="s">
        <v>116</v>
      </c>
      <c r="O81" s="104" t="s">
        <v>118</v>
      </c>
    </row>
    <row r="82" spans="3:23" ht="20.100000000000001" customHeight="1" x14ac:dyDescent="0.25">
      <c r="D82" s="103" t="s">
        <v>253</v>
      </c>
      <c r="O82" s="103" t="s">
        <v>252</v>
      </c>
    </row>
    <row r="83" spans="3:23" ht="20.100000000000001" customHeight="1" x14ac:dyDescent="0.25">
      <c r="D83" s="54" t="s">
        <v>178</v>
      </c>
      <c r="E83" s="54" t="s">
        <v>195</v>
      </c>
      <c r="F83" s="54" t="s">
        <v>196</v>
      </c>
      <c r="G83" s="54" t="s">
        <v>197</v>
      </c>
      <c r="H83" s="54" t="s">
        <v>198</v>
      </c>
      <c r="O83" s="54" t="s">
        <v>178</v>
      </c>
      <c r="P83" s="54" t="s">
        <v>195</v>
      </c>
      <c r="Q83" s="54" t="s">
        <v>196</v>
      </c>
      <c r="R83" s="54" t="s">
        <v>197</v>
      </c>
      <c r="S83" s="54" t="s">
        <v>198</v>
      </c>
    </row>
    <row r="84" spans="3:23" ht="20.100000000000001" customHeight="1" x14ac:dyDescent="0.25">
      <c r="D84" s="55" cm="1">
        <f t="array" ref="D84">EntericMethane_Dairy_Equations.VEERG_3_3_1_1__3_DryMatterFeedIntake(D69,D74,D79,D49)</f>
        <v>9.4647127858085369</v>
      </c>
      <c r="E84" s="55" cm="1">
        <f t="array" ref="E84">EntericMethane_Dairy_Equations.VEERG_3_3_1_1__3_DryMatterFeedIntake(E69,E74,E79,E49)</f>
        <v>7.4188685375999972</v>
      </c>
      <c r="F84" s="55" cm="1">
        <f t="array" ref="F84">EntericMethane_Dairy_Equations.VEERG_3_3_1_1__3_DryMatterFeedIntake(F69,F74,F79,F49)</f>
        <v>4.0231734662249998</v>
      </c>
      <c r="G84" s="55" cm="1">
        <f t="array" ref="G84">EntericMethane_Dairy_Equations.VEERG_3_3_1_1__3_DryMatterFeedIntake(G69,G74,G79,G49)</f>
        <v>9.0270202499999979</v>
      </c>
      <c r="H84" s="55" cm="1">
        <f t="array" ref="H84">EntericMethane_Dairy_Equations.VEERG_3_3_1_1__3_DryMatterFeedIntake(H69,H74,H79,H49)</f>
        <v>5.4143472656250013</v>
      </c>
      <c r="I84" s="2" t="str">
        <f>$E$59</f>
        <v>kg DM/head/day</v>
      </c>
      <c r="J84" s="2"/>
      <c r="K84" s="2"/>
      <c r="O84" s="55" cm="1">
        <f t="array" ref="O84">EntericMethane_Dairy_Equations.VEERG_3_3_1_1__3_DryMatterFeedIntake(O69,O74,D79,O49)</f>
        <v>9.4647127858085369</v>
      </c>
      <c r="P84" s="55" cm="1">
        <f t="array" ref="P84">EntericMethane_Dairy_Equations.VEERG_3_3_1_1__3_DryMatterFeedIntake(P69,P74,E79,P49)</f>
        <v>7.4188685375999972</v>
      </c>
      <c r="Q84" s="55" cm="1">
        <f t="array" ref="Q84">EntericMethane_Dairy_Equations.VEERG_3_3_1_1__3_DryMatterFeedIntake(Q69,Q74,F79,Q49)</f>
        <v>4.0231734662249998</v>
      </c>
      <c r="R84" s="55" cm="1">
        <f t="array" ref="R84">EntericMethane_Dairy_Equations.VEERG_3_3_1_1__3_DryMatterFeedIntake(R69,R74,G79,R49)</f>
        <v>9.0270202499999979</v>
      </c>
      <c r="S84" s="55" cm="1">
        <f t="array" ref="S84">EntericMethane_Dairy_Equations.VEERG_3_3_1_1__3_DryMatterFeedIntake(S69,S74,H79,S49)</f>
        <v>5.4143472656250013</v>
      </c>
      <c r="T84" s="2" t="str">
        <f>$E$59</f>
        <v>kg DM/head/day</v>
      </c>
      <c r="U84" s="2"/>
      <c r="V84" s="2"/>
    </row>
    <row r="85" spans="3:23" ht="20.100000000000001" customHeight="1" x14ac:dyDescent="0.25"/>
    <row r="86" spans="3:23" ht="20.100000000000001" customHeight="1" x14ac:dyDescent="0.25"/>
    <row r="87" spans="3:23" ht="20.100000000000001" customHeight="1" x14ac:dyDescent="0.25">
      <c r="C87" s="48"/>
      <c r="D87" s="48"/>
      <c r="E87" s="48"/>
      <c r="F87" s="48"/>
      <c r="G87" s="48"/>
      <c r="H87" s="48"/>
      <c r="I87" s="48"/>
      <c r="J87" s="48"/>
      <c r="K87" s="48"/>
      <c r="L87" s="48"/>
      <c r="N87" s="48"/>
      <c r="O87" s="48"/>
      <c r="P87" s="48"/>
      <c r="Q87" s="48"/>
      <c r="R87" s="48"/>
      <c r="S87" s="48"/>
      <c r="T87" s="48"/>
      <c r="U87" s="48"/>
      <c r="V87" s="48"/>
      <c r="W87" s="48"/>
    </row>
    <row r="88" spans="3:23" ht="20.100000000000001" customHeight="1" x14ac:dyDescent="0.25">
      <c r="D88" s="6" t="str" cm="1">
        <f t="array" ref="D88">MMS_Dairy_Methane_Equations.VEERG_4_3_1_1__3_VolatileSolidsForWeanedDairyCattle_Title()</f>
        <v>Volatile solids for weaned dairy cattle</v>
      </c>
    </row>
    <row r="89" spans="3:23" ht="20.100000000000001" customHeight="1" x14ac:dyDescent="0.25">
      <c r="D89" s="5" t="str" cm="1">
        <f t="array" ref="D89">MMS_Dairy_Methane_Equations.VEERG_4_3_1_1__3_VolatileSolidsForWeanedDairyCattle_Source()</f>
        <v>VEERG 2026: 4.3.1.1, Equation (3)</v>
      </c>
    </row>
    <row r="90" spans="3:23" ht="20.100000000000001" customHeight="1" x14ac:dyDescent="0.25">
      <c r="D90" s="13" t="s">
        <v>28</v>
      </c>
      <c r="E90" s="13" t="str" cm="1">
        <f t="array" aca="1" ref="E90" ca="1">Common_InputFunctions.Utility_DisplayFunctionName(D103)</f>
        <v>=MMS_Dairy_Methane_Equations.VEERG_4_3_1_1__3_VolatileSolidsForWeanedDairyCattle</v>
      </c>
    </row>
    <row r="91" spans="3:23" ht="20.100000000000001" customHeight="1" x14ac:dyDescent="0.25"/>
    <row r="92" spans="3:23" ht="20.100000000000001" customHeight="1" x14ac:dyDescent="0.25"/>
    <row r="93" spans="3:23" ht="20.100000000000001" customHeight="1" x14ac:dyDescent="0.25">
      <c r="D93" s="56" t="s">
        <v>31</v>
      </c>
      <c r="E93" s="1" t="str" cm="1">
        <f t="array" ref="E93">MMS_Dairy_Methane_Equations.VEERG_4_3_1_1__3_VolatileSolidsForWeanedDairyCattle_Variable()</f>
        <v>VS_j</v>
      </c>
    </row>
    <row r="94" spans="3:23" ht="20.100000000000001" customHeight="1" x14ac:dyDescent="0.25">
      <c r="D94" s="56" t="s">
        <v>21</v>
      </c>
      <c r="E94" s="57" t="str" cm="1">
        <f t="array" ref="E94">MMS_Dairy_Methane_Equations.VEERG_4_3_1_1__3_VolatileSolidsForWeanedDairyCattle_Unit()</f>
        <v>kg/head/day</v>
      </c>
    </row>
    <row r="95" spans="3:23" ht="20.100000000000001" customHeight="1" x14ac:dyDescent="0.25"/>
    <row r="96" spans="3:23" ht="20.100000000000001" customHeight="1" x14ac:dyDescent="0.25">
      <c r="D96" s="115" t="str" cm="1">
        <f t="array" ref="D96:E98">MMS_Dairy_Methane_Equations.VEERG_4_3_1_1__3_VolatileSolidsForWeanedDairyCattle_Arguments()</f>
        <v>I_j</v>
      </c>
      <c r="E96" s="117" t="str">
        <v>dry matter feed intake (kgDM/head/day)</v>
      </c>
      <c r="F96" s="116"/>
      <c r="G96" s="115" t="str">
        <f>"See " &amp; D81</f>
        <v>See M1_Table_I_j</v>
      </c>
    </row>
    <row r="97" spans="3:23" ht="20.100000000000001" customHeight="1" x14ac:dyDescent="0.25">
      <c r="D97" s="115" t="str">
        <v>DMD_j</v>
      </c>
      <c r="E97" s="117" t="str">
        <v>dry matter digestibility</v>
      </c>
      <c r="F97" s="116"/>
      <c r="G97" s="115" t="str">
        <f>"See " &amp; D15</f>
        <v>See M1_Table_DMD_j</v>
      </c>
    </row>
    <row r="98" spans="3:23" ht="20.100000000000001" customHeight="1" x14ac:dyDescent="0.25">
      <c r="D98" s="115" t="str">
        <v>A</v>
      </c>
      <c r="E98" s="117" t="str">
        <v>ash content of feed intake</v>
      </c>
      <c r="F98" s="116"/>
      <c r="G98" s="60">
        <f>'Constants - Dairy'!$D$188</f>
        <v>0.08</v>
      </c>
    </row>
    <row r="99" spans="3:23" ht="20.100000000000001" customHeight="1" x14ac:dyDescent="0.25"/>
    <row r="100" spans="3:23" ht="20.100000000000001" customHeight="1" x14ac:dyDescent="0.25">
      <c r="D100" s="104" t="s">
        <v>129</v>
      </c>
      <c r="O100" s="104" t="s">
        <v>132</v>
      </c>
    </row>
    <row r="101" spans="3:23" ht="20.100000000000001" customHeight="1" x14ac:dyDescent="0.25">
      <c r="D101" s="103" t="s">
        <v>254</v>
      </c>
      <c r="O101" s="103" t="s">
        <v>255</v>
      </c>
    </row>
    <row r="102" spans="3:23" ht="20.100000000000001" customHeight="1" x14ac:dyDescent="0.25">
      <c r="D102" s="54" t="s">
        <v>178</v>
      </c>
      <c r="E102" s="54" t="s">
        <v>195</v>
      </c>
      <c r="F102" s="54" t="s">
        <v>196</v>
      </c>
      <c r="G102" s="54" t="s">
        <v>197</v>
      </c>
      <c r="H102" s="54" t="s">
        <v>198</v>
      </c>
      <c r="O102" s="54" t="s">
        <v>178</v>
      </c>
      <c r="P102" s="54" t="s">
        <v>195</v>
      </c>
      <c r="Q102" s="54" t="s">
        <v>196</v>
      </c>
      <c r="R102" s="54" t="s">
        <v>197</v>
      </c>
      <c r="S102" s="54" t="s">
        <v>198</v>
      </c>
    </row>
    <row r="103" spans="3:23" ht="20.100000000000001" customHeight="1" x14ac:dyDescent="0.25">
      <c r="D103" s="55" cm="1">
        <f t="array" ref="D103">MMS_Dairy_Methane_Equations.VEERG_4_3_1_1__3_VolatileSolidsForWeanedDairyCattle(D84,D18,$G$98)</f>
        <v>2.525185371253718</v>
      </c>
      <c r="E103" s="55" cm="1">
        <f t="array" ref="E103">MMS_Dairy_Methane_Equations.VEERG_4_3_1_1__3_VolatileSolidsForWeanedDairyCattle(E84,E18,$G$98)</f>
        <v>1.9793541258316791</v>
      </c>
      <c r="F103" s="55" cm="1">
        <f t="array" ref="F103">MMS_Dairy_Methane_Equations.VEERG_4_3_1_1__3_VolatileSolidsForWeanedDairyCattle(F84,F18,$G$98)</f>
        <v>1.07338268078883</v>
      </c>
      <c r="G103" s="55" cm="1">
        <f t="array" ref="G103">MMS_Dairy_Methane_Equations.VEERG_4_3_1_1__3_VolatileSolidsForWeanedDairyCattle(G84,G18,$G$98)</f>
        <v>2.4084090026999996</v>
      </c>
      <c r="H103" s="55" cm="1">
        <f t="array" ref="H103">MMS_Dairy_Methane_Equations.VEERG_4_3_1_1__3_VolatileSolidsForWeanedDairyCattle(H84,H18,$G$98)</f>
        <v>1.4445478504687506</v>
      </c>
      <c r="I103" s="2" t="str">
        <f>$E$94</f>
        <v>kg/head/day</v>
      </c>
      <c r="O103" s="55" cm="1">
        <f t="array" ref="O103">MMS_Dairy_Methane_Equations.VEERG_4_3_1_1__3_VolatileSolidsForWeanedDairyCattle(O84,O18,$G$98)</f>
        <v>2.525185371253718</v>
      </c>
      <c r="P103" s="55" cm="1">
        <f t="array" ref="P103">MMS_Dairy_Methane_Equations.VEERG_4_3_1_1__3_VolatileSolidsForWeanedDairyCattle(P84,P18,$G$98)</f>
        <v>1.9793541258316791</v>
      </c>
      <c r="Q103" s="55" cm="1">
        <f t="array" ref="Q103">MMS_Dairy_Methane_Equations.VEERG_4_3_1_1__3_VolatileSolidsForWeanedDairyCattle(Q84,Q18,$G$98)</f>
        <v>1.07338268078883</v>
      </c>
      <c r="R103" s="55" cm="1">
        <f t="array" ref="R103">MMS_Dairy_Methane_Equations.VEERG_4_3_1_1__3_VolatileSolidsForWeanedDairyCattle(R84,R18,$G$98)</f>
        <v>2.4084090026999996</v>
      </c>
      <c r="S103" s="55" cm="1">
        <f t="array" ref="S103">MMS_Dairy_Methane_Equations.VEERG_4_3_1_1__3_VolatileSolidsForWeanedDairyCattle(S84,S18,$G$98)</f>
        <v>1.4445478504687506</v>
      </c>
      <c r="T103" s="2" t="str">
        <f>$E$94</f>
        <v>kg/head/day</v>
      </c>
    </row>
    <row r="104" spans="3:23" ht="20.100000000000001" customHeight="1" x14ac:dyDescent="0.25"/>
    <row r="105" spans="3:23" ht="20.100000000000001" customHeight="1" x14ac:dyDescent="0.25"/>
    <row r="106" spans="3:23" ht="20.100000000000001" customHeight="1" x14ac:dyDescent="0.25">
      <c r="C106" s="48"/>
      <c r="D106" s="48"/>
      <c r="E106" s="48"/>
      <c r="F106" s="48"/>
      <c r="G106" s="48"/>
      <c r="H106" s="48"/>
      <c r="I106" s="48"/>
      <c r="J106" s="48"/>
      <c r="K106" s="48"/>
      <c r="L106" s="48"/>
      <c r="N106" s="48"/>
      <c r="O106" s="48"/>
      <c r="P106" s="48"/>
      <c r="Q106" s="48"/>
      <c r="R106" s="48"/>
      <c r="S106" s="48"/>
      <c r="T106" s="48"/>
      <c r="U106" s="48"/>
      <c r="V106" s="48"/>
      <c r="W106" s="48"/>
    </row>
    <row r="107" spans="3:23" ht="20.100000000000001" customHeight="1" x14ac:dyDescent="0.25">
      <c r="D107" s="6" t="str" cm="1">
        <f t="array" ref="D107">MMS_Dairy_Methane_Equations.VEERG_4_3_1_1__4_FractionVolatileSolidsNotSolidStorage_Title()</f>
        <v>Fraction of volatile solids in each system other than solid storage</v>
      </c>
    </row>
    <row r="108" spans="3:23" ht="20.100000000000001" customHeight="1" x14ac:dyDescent="0.25">
      <c r="D108" s="5" t="str" cm="1">
        <f t="array" ref="D108">MMS_Dairy_Methane_Equations.VEERG_4_3_1_1__4_FractionVolatileSolidsNotSolidStorage_Source()</f>
        <v>VEERG 2026: 4.3.1.1, Equation (4)</v>
      </c>
      <c r="E108" s="13"/>
    </row>
    <row r="109" spans="3:23" ht="20.100000000000001" customHeight="1" x14ac:dyDescent="0.25">
      <c r="D109" s="13" t="s">
        <v>28</v>
      </c>
      <c r="E109" s="13" t="str" cm="1">
        <f t="array" aca="1" ref="E109" ca="1">Common_InputFunctions.Utility_DisplayFunctionName(F141)</f>
        <v>=MMS_Dairy_Methane_Equations.VEERG_4_3_1_1__4_FractionVolatileSolidsNotSolidStorage</v>
      </c>
    </row>
    <row r="110" spans="3:23" ht="20.100000000000001" customHeight="1" x14ac:dyDescent="0.25">
      <c r="D110" s="6"/>
    </row>
    <row r="111" spans="3:23" ht="20.100000000000001" customHeight="1" x14ac:dyDescent="0.25">
      <c r="F111" s="114" t="s">
        <v>295</v>
      </c>
    </row>
    <row r="112" spans="3:23" ht="20.100000000000001" customHeight="1" x14ac:dyDescent="0.25">
      <c r="D112" s="56" t="s">
        <v>31</v>
      </c>
      <c r="E112" s="1" t="str" cm="1">
        <f t="array" ref="E112">MMS_Dairy_Methane_Equations.VEERG_4_3_1_1__4_FractionVolatileSolidsNotSolidStorage_Variable()</f>
        <v>FVS_jm</v>
      </c>
    </row>
    <row r="113" spans="4:22" ht="20.100000000000001" customHeight="1" x14ac:dyDescent="0.25">
      <c r="D113" s="56" t="s">
        <v>21</v>
      </c>
      <c r="E113" s="57" t="str" cm="1">
        <f t="array" ref="E113">MMS_Dairy_Methane_Equations.VEERG_4_3_1_1__4_FractionVolatileSolidsNotSolidStorage_Unit()</f>
        <v>fraction</v>
      </c>
    </row>
    <row r="114" spans="4:22" ht="20.100000000000001" customHeight="1" x14ac:dyDescent="0.25"/>
    <row r="115" spans="4:22" ht="20.100000000000001" customHeight="1" x14ac:dyDescent="0.25">
      <c r="D115" s="115" t="str" cm="1">
        <f t="array" ref="D115:E116">MMS_Dairy_Methane_Equations.VEERG_4_3_1_1__4_FractionVolatileSolidsNotSolidStorage_Arguments()</f>
        <v>MMS_jm</v>
      </c>
      <c r="E115" s="117" t="str">
        <v>fraction of manure to each primary MMS for each class prior to solid separation</v>
      </c>
      <c r="F115" s="116"/>
      <c r="G115" s="115" t="str">
        <f>"See " &amp; D118</f>
        <v>See M1_Table_MMS_j_m</v>
      </c>
    </row>
    <row r="116" spans="4:22" ht="20.100000000000001" customHeight="1" x14ac:dyDescent="0.25">
      <c r="D116" s="115" t="str">
        <v>SS_m</v>
      </c>
      <c r="E116" s="117" t="str">
        <v>fraction of volatile solids separated to solid storage for each MMS</v>
      </c>
      <c r="F116" s="116"/>
      <c r="G116" s="115" t="str">
        <f>"See " &amp; D128</f>
        <v>See M1_Table_SS_m</v>
      </c>
    </row>
    <row r="117" spans="4:22" ht="20.100000000000001" customHeight="1" x14ac:dyDescent="0.25"/>
    <row r="118" spans="4:22" ht="20.100000000000001" customHeight="1" x14ac:dyDescent="0.25">
      <c r="D118" s="104" t="s">
        <v>260</v>
      </c>
      <c r="O118" s="104" t="s">
        <v>262</v>
      </c>
    </row>
    <row r="119" spans="4:22" ht="20.100000000000001" customHeight="1" x14ac:dyDescent="0.25">
      <c r="D119" s="103" t="s">
        <v>261</v>
      </c>
      <c r="O119" s="103" t="s">
        <v>263</v>
      </c>
    </row>
    <row r="120" spans="4:22" ht="20.100000000000001" customHeight="1" x14ac:dyDescent="0.25">
      <c r="D120" s="54" t="s">
        <v>152</v>
      </c>
      <c r="E120" s="54" t="s">
        <v>69</v>
      </c>
      <c r="F120" s="54" t="s">
        <v>178</v>
      </c>
      <c r="G120" s="54" t="s">
        <v>195</v>
      </c>
      <c r="H120" s="54" t="s">
        <v>196</v>
      </c>
      <c r="I120" s="54" t="s">
        <v>197</v>
      </c>
      <c r="J120" s="54" t="s">
        <v>198</v>
      </c>
      <c r="O120" s="54" t="s">
        <v>152</v>
      </c>
      <c r="P120" s="54" t="s">
        <v>69</v>
      </c>
      <c r="Q120" s="54" t="s">
        <v>178</v>
      </c>
      <c r="R120" s="54" t="s">
        <v>195</v>
      </c>
      <c r="S120" s="54" t="s">
        <v>196</v>
      </c>
      <c r="T120" s="54" t="s">
        <v>197</v>
      </c>
      <c r="U120" s="54" t="s">
        <v>198</v>
      </c>
    </row>
    <row r="121" spans="4:22" ht="20.100000000000001" customHeight="1" x14ac:dyDescent="0.25">
      <c r="D121" s="55" t="str">
        <f>'Input - Dairy'!$D$54</f>
        <v>Milking shed</v>
      </c>
      <c r="E121" s="55" t="str">
        <f>'Input - Dairy'!$D$67</f>
        <v>Anaerobic lagoon</v>
      </c>
      <c r="F121" s="55">
        <f>'Input - Dairy'!E$54*'Input - Dairy'!E67</f>
        <v>2.75E-2</v>
      </c>
      <c r="G121" s="55">
        <f>'Input - Dairy'!F$54*'Input - Dairy'!F67</f>
        <v>2.75E-2</v>
      </c>
      <c r="H121" s="55">
        <f>'Input - Dairy'!G$54*'Input - Dairy'!G67</f>
        <v>2.75E-2</v>
      </c>
      <c r="I121" s="55">
        <f>'Input - Dairy'!H$54*'Input - Dairy'!H67</f>
        <v>2.75E-2</v>
      </c>
      <c r="J121" s="55">
        <f>'Input - Dairy'!I$54*'Input - Dairy'!I67</f>
        <v>2.75E-2</v>
      </c>
      <c r="K121" s="2" t="s">
        <v>101</v>
      </c>
      <c r="O121" s="55" t="str">
        <f>'Input - Dairy'!$D$54</f>
        <v>Milking shed</v>
      </c>
      <c r="P121" s="55" t="str">
        <f>'Input - Dairy'!$D$67</f>
        <v>Anaerobic lagoon</v>
      </c>
      <c r="Q121" s="55">
        <f>'Input - Dairy'!E$59*'Input - Dairy'!E67</f>
        <v>2.75E-2</v>
      </c>
      <c r="R121" s="55">
        <f>'Input - Dairy'!F$59*'Input - Dairy'!F67</f>
        <v>2.75E-2</v>
      </c>
      <c r="S121" s="55">
        <f>'Input - Dairy'!G$59*'Input - Dairy'!G67</f>
        <v>2.75E-2</v>
      </c>
      <c r="T121" s="55">
        <f>'Input - Dairy'!H$59*'Input - Dairy'!H67</f>
        <v>2.75E-2</v>
      </c>
      <c r="U121" s="55">
        <f>'Input - Dairy'!I$59*'Input - Dairy'!I67</f>
        <v>2.75E-2</v>
      </c>
      <c r="V121" s="2" t="s">
        <v>101</v>
      </c>
    </row>
    <row r="122" spans="4:22" ht="20.100000000000001" customHeight="1" x14ac:dyDescent="0.25">
      <c r="D122" s="55" t="str">
        <f>'Input - Dairy'!$D$54</f>
        <v>Milking shed</v>
      </c>
      <c r="E122" s="55" t="str">
        <f>'Input - Dairy'!$D$72</f>
        <v>Sump and dispersal system</v>
      </c>
      <c r="F122" s="55">
        <f>'Input - Dairy'!E$54*'Input - Dairy'!E72</f>
        <v>2.75E-2</v>
      </c>
      <c r="G122" s="55">
        <f>'Input - Dairy'!F$54*'Input - Dairy'!F72</f>
        <v>2.75E-2</v>
      </c>
      <c r="H122" s="55">
        <f>'Input - Dairy'!G$54*'Input - Dairy'!G72</f>
        <v>2.75E-2</v>
      </c>
      <c r="I122" s="55">
        <f>'Input - Dairy'!H$54*'Input - Dairy'!H72</f>
        <v>2.75E-2</v>
      </c>
      <c r="J122" s="55">
        <f>'Input - Dairy'!I$54*'Input - Dairy'!I72</f>
        <v>2.75E-2</v>
      </c>
      <c r="K122" s="2" t="s">
        <v>101</v>
      </c>
      <c r="O122" s="55" t="str">
        <f>'Input - Dairy'!$D$54</f>
        <v>Milking shed</v>
      </c>
      <c r="P122" s="55" t="str">
        <f>'Input - Dairy'!$D$72</f>
        <v>Sump and dispersal system</v>
      </c>
      <c r="Q122" s="55">
        <f>'Input - Dairy'!E$59*'Input - Dairy'!E72</f>
        <v>2.75E-2</v>
      </c>
      <c r="R122" s="55">
        <f>'Input - Dairy'!F$59*'Input - Dairy'!F72</f>
        <v>2.75E-2</v>
      </c>
      <c r="S122" s="55">
        <f>'Input - Dairy'!G$59*'Input - Dairy'!G72</f>
        <v>2.75E-2</v>
      </c>
      <c r="T122" s="55">
        <f>'Input - Dairy'!H$59*'Input - Dairy'!H72</f>
        <v>2.75E-2</v>
      </c>
      <c r="U122" s="55">
        <f>'Input - Dairy'!I$59*'Input - Dairy'!I72</f>
        <v>2.75E-2</v>
      </c>
      <c r="V122" s="2" t="s">
        <v>101</v>
      </c>
    </row>
    <row r="123" spans="4:22" ht="20.100000000000001" customHeight="1" x14ac:dyDescent="0.25">
      <c r="D123" s="55" t="str">
        <f>'Input - Dairy'!$D$54</f>
        <v>Milking shed</v>
      </c>
      <c r="E123" s="55" t="str">
        <f>'Input - Dairy'!$D$77</f>
        <v>Drains to paddock</v>
      </c>
      <c r="F123" s="55">
        <f>'Input - Dairy'!E$54*'Input - Dairy'!E77</f>
        <v>2.75E-2</v>
      </c>
      <c r="G123" s="55">
        <f>'Input - Dairy'!F$54*'Input - Dairy'!F77</f>
        <v>2.75E-2</v>
      </c>
      <c r="H123" s="55">
        <f>'Input - Dairy'!G$54*'Input - Dairy'!G77</f>
        <v>2.75E-2</v>
      </c>
      <c r="I123" s="55">
        <f>'Input - Dairy'!H$54*'Input - Dairy'!H77</f>
        <v>2.75E-2</v>
      </c>
      <c r="J123" s="55">
        <f>'Input - Dairy'!I$54*'Input - Dairy'!I77</f>
        <v>2.75E-2</v>
      </c>
      <c r="K123" s="2" t="s">
        <v>101</v>
      </c>
      <c r="O123" s="55" t="str">
        <f>'Input - Dairy'!$D$54</f>
        <v>Milking shed</v>
      </c>
      <c r="P123" s="55" t="str">
        <f>'Input - Dairy'!$D$77</f>
        <v>Drains to paddock</v>
      </c>
      <c r="Q123" s="55">
        <f>'Input - Dairy'!E$59*'Input - Dairy'!E77</f>
        <v>2.75E-2</v>
      </c>
      <c r="R123" s="55">
        <f>'Input - Dairy'!F$59*'Input - Dairy'!F77</f>
        <v>2.75E-2</v>
      </c>
      <c r="S123" s="55">
        <f>'Input - Dairy'!G$59*'Input - Dairy'!G77</f>
        <v>2.75E-2</v>
      </c>
      <c r="T123" s="55">
        <f>'Input - Dairy'!H$59*'Input - Dairy'!H77</f>
        <v>2.75E-2</v>
      </c>
      <c r="U123" s="55">
        <f>'Input - Dairy'!I$59*'Input - Dairy'!I77</f>
        <v>2.75E-2</v>
      </c>
      <c r="V123" s="2" t="s">
        <v>101</v>
      </c>
    </row>
    <row r="124" spans="4:22" ht="20.100000000000001" customHeight="1" x14ac:dyDescent="0.25">
      <c r="D124" s="55" t="str">
        <f>'Input - Dairy'!$D$55</f>
        <v>Feed pad</v>
      </c>
      <c r="E124" s="55" t="str">
        <f>'Input - Dairy'!$D$101</f>
        <v>Anaerobic lagoon</v>
      </c>
      <c r="F124" s="55">
        <f>'Input - Dairy'!E$55*'Input - Dairy'!E101</f>
        <v>8.8999999999999996E-2</v>
      </c>
      <c r="G124" s="55">
        <f>'Input - Dairy'!F$55*'Input - Dairy'!F101</f>
        <v>8.8999999999999996E-2</v>
      </c>
      <c r="H124" s="55">
        <f>'Input - Dairy'!G$55*'Input - Dairy'!G101</f>
        <v>8.8999999999999996E-2</v>
      </c>
      <c r="I124" s="55">
        <f>'Input - Dairy'!H$55*'Input - Dairy'!H101</f>
        <v>8.8999999999999996E-2</v>
      </c>
      <c r="J124" s="55">
        <f>'Input - Dairy'!I$55*'Input - Dairy'!I101</f>
        <v>8.8999999999999996E-2</v>
      </c>
      <c r="K124" s="2" t="s">
        <v>101</v>
      </c>
      <c r="O124" s="55" t="str">
        <f>'Input - Dairy'!$D$55</f>
        <v>Feed pad</v>
      </c>
      <c r="P124" s="55" t="str">
        <f>'Input - Dairy'!$D$101</f>
        <v>Anaerobic lagoon</v>
      </c>
      <c r="Q124" s="55">
        <f>'Input - Dairy'!E$60*'Input - Dairy'!E101</f>
        <v>8.8999999999999996E-2</v>
      </c>
      <c r="R124" s="55">
        <f>'Input - Dairy'!F$60*'Input - Dairy'!F101</f>
        <v>8.8999999999999996E-2</v>
      </c>
      <c r="S124" s="55">
        <f>'Input - Dairy'!G$60*'Input - Dairy'!G101</f>
        <v>8.8999999999999996E-2</v>
      </c>
      <c r="T124" s="55">
        <f>'Input - Dairy'!H$60*'Input - Dairy'!H101</f>
        <v>8.8999999999999996E-2</v>
      </c>
      <c r="U124" s="55">
        <f>'Input - Dairy'!I$60*'Input - Dairy'!I101</f>
        <v>8.8999999999999996E-2</v>
      </c>
      <c r="V124" s="2" t="s">
        <v>101</v>
      </c>
    </row>
    <row r="125" spans="4:22" ht="20.100000000000001" customHeight="1" x14ac:dyDescent="0.25">
      <c r="D125" s="55" t="str">
        <f>'Input - Dairy'!$D$55</f>
        <v>Feed pad</v>
      </c>
      <c r="E125" s="55" t="str">
        <f>'Input - Dairy'!$D$106</f>
        <v>Sump and dispersal system</v>
      </c>
      <c r="F125" s="55">
        <f>'Input - Dairy'!E$55*'Input - Dairy'!E106</f>
        <v>8.8999999999999996E-2</v>
      </c>
      <c r="G125" s="55">
        <f>'Input - Dairy'!F$55*'Input - Dairy'!F106</f>
        <v>8.8999999999999996E-2</v>
      </c>
      <c r="H125" s="55">
        <f>'Input - Dairy'!G$55*'Input - Dairy'!G106</f>
        <v>8.8999999999999996E-2</v>
      </c>
      <c r="I125" s="55">
        <f>'Input - Dairy'!H$55*'Input - Dairy'!H106</f>
        <v>8.8999999999999996E-2</v>
      </c>
      <c r="J125" s="55">
        <f>'Input - Dairy'!I$55*'Input - Dairy'!I106</f>
        <v>8.8999999999999996E-2</v>
      </c>
      <c r="K125" s="2" t="s">
        <v>101</v>
      </c>
      <c r="O125" s="55" t="str">
        <f>'Input - Dairy'!$D$55</f>
        <v>Feed pad</v>
      </c>
      <c r="P125" s="55" t="str">
        <f>'Input - Dairy'!$D$106</f>
        <v>Sump and dispersal system</v>
      </c>
      <c r="Q125" s="55">
        <f>'Input - Dairy'!E$60*'Input - Dairy'!E106</f>
        <v>8.8999999999999996E-2</v>
      </c>
      <c r="R125" s="55">
        <f>'Input - Dairy'!F$60*'Input - Dairy'!F106</f>
        <v>8.8999999999999996E-2</v>
      </c>
      <c r="S125" s="55">
        <f>'Input - Dairy'!G$60*'Input - Dairy'!G106</f>
        <v>8.8999999999999996E-2</v>
      </c>
      <c r="T125" s="55">
        <f>'Input - Dairy'!H$60*'Input - Dairy'!H106</f>
        <v>8.8999999999999996E-2</v>
      </c>
      <c r="U125" s="55">
        <f>'Input - Dairy'!I$60*'Input - Dairy'!I106</f>
        <v>8.8999999999999996E-2</v>
      </c>
      <c r="V125" s="2" t="s">
        <v>101</v>
      </c>
    </row>
    <row r="126" spans="4:22" ht="20.100000000000001" customHeight="1" x14ac:dyDescent="0.25">
      <c r="D126" s="55" t="str">
        <f>'Input - Dairy'!$D$55</f>
        <v>Feed pad</v>
      </c>
      <c r="E126" s="55" t="str">
        <f>'Input - Dairy'!$D$111</f>
        <v>Drains to paddock</v>
      </c>
      <c r="F126" s="55">
        <f>'Input - Dairy'!E$55*'Input - Dairy'!E111</f>
        <v>8.8999999999999996E-2</v>
      </c>
      <c r="G126" s="55">
        <f>'Input - Dairy'!F$55*'Input - Dairy'!F111</f>
        <v>8.8999999999999996E-2</v>
      </c>
      <c r="H126" s="55">
        <f>'Input - Dairy'!G$55*'Input - Dairy'!G111</f>
        <v>8.8999999999999996E-2</v>
      </c>
      <c r="I126" s="55">
        <f>'Input - Dairy'!H$55*'Input - Dairy'!H111</f>
        <v>8.8999999999999996E-2</v>
      </c>
      <c r="J126" s="55">
        <f>'Input - Dairy'!I$55*'Input - Dairy'!I111</f>
        <v>8.8999999999999996E-2</v>
      </c>
      <c r="K126" s="2" t="s">
        <v>101</v>
      </c>
      <c r="O126" s="55" t="str">
        <f>'Input - Dairy'!$D$55</f>
        <v>Feed pad</v>
      </c>
      <c r="P126" s="55" t="str">
        <f>'Input - Dairy'!$D$111</f>
        <v>Drains to paddock</v>
      </c>
      <c r="Q126" s="55">
        <f>'Input - Dairy'!E$60*'Input - Dairy'!E111</f>
        <v>8.8999999999999996E-2</v>
      </c>
      <c r="R126" s="55">
        <f>'Input - Dairy'!F$60*'Input - Dairy'!F111</f>
        <v>8.8999999999999996E-2</v>
      </c>
      <c r="S126" s="55">
        <f>'Input - Dairy'!G$60*'Input - Dairy'!G111</f>
        <v>8.8999999999999996E-2</v>
      </c>
      <c r="T126" s="55">
        <f>'Input - Dairy'!H$60*'Input - Dairy'!H111</f>
        <v>8.8999999999999996E-2</v>
      </c>
      <c r="U126" s="55">
        <f>'Input - Dairy'!I$60*'Input - Dairy'!I111</f>
        <v>8.8999999999999996E-2</v>
      </c>
      <c r="V126" s="2" t="s">
        <v>101</v>
      </c>
    </row>
    <row r="127" spans="4:22" ht="20.100000000000001" customHeight="1" x14ac:dyDescent="0.25"/>
    <row r="128" spans="4:22" ht="20.100000000000001" customHeight="1" x14ac:dyDescent="0.25">
      <c r="D128" s="104" t="s">
        <v>258</v>
      </c>
      <c r="O128" s="104" t="s">
        <v>264</v>
      </c>
    </row>
    <row r="129" spans="4:22" ht="20.100000000000001" customHeight="1" x14ac:dyDescent="0.25">
      <c r="D129" s="103" t="s">
        <v>267</v>
      </c>
      <c r="O129" s="103" t="s">
        <v>268</v>
      </c>
    </row>
    <row r="130" spans="4:22" ht="20.100000000000001" customHeight="1" x14ac:dyDescent="0.25">
      <c r="D130" s="54" t="s">
        <v>152</v>
      </c>
      <c r="E130" s="54" t="s">
        <v>69</v>
      </c>
      <c r="F130" s="54" t="s">
        <v>259</v>
      </c>
      <c r="O130" s="54" t="s">
        <v>152</v>
      </c>
      <c r="P130" s="54" t="s">
        <v>69</v>
      </c>
      <c r="Q130" s="54" t="s">
        <v>259</v>
      </c>
    </row>
    <row r="131" spans="4:22" ht="20.100000000000001" customHeight="1" x14ac:dyDescent="0.25">
      <c r="D131" s="55" t="str">
        <f>'Input - Dairy'!$D$54</f>
        <v>Milking shed</v>
      </c>
      <c r="E131" s="55" t="str">
        <f>'Input - Dairy'!$D$67</f>
        <v>Anaerobic lagoon</v>
      </c>
      <c r="F131" s="55">
        <f>'Input - Dairy'!$E$69</f>
        <v>0.2</v>
      </c>
      <c r="G131" s="2" t="s">
        <v>101</v>
      </c>
      <c r="O131" s="55" t="str">
        <f>'Input - Dairy'!$D$54</f>
        <v>Milking shed</v>
      </c>
      <c r="P131" s="55" t="str">
        <f>'Input - Dairy'!$D$67</f>
        <v>Anaerobic lagoon</v>
      </c>
      <c r="Q131" s="55">
        <f>'Input - Dairy'!$E$70</f>
        <v>0.2</v>
      </c>
      <c r="R131" s="2" t="s">
        <v>101</v>
      </c>
    </row>
    <row r="132" spans="4:22" ht="20.100000000000001" customHeight="1" x14ac:dyDescent="0.25">
      <c r="D132" s="55" t="str">
        <f>'Input - Dairy'!$D$54</f>
        <v>Milking shed</v>
      </c>
      <c r="E132" s="55" t="str">
        <f>'Input - Dairy'!$D$72</f>
        <v>Sump and dispersal system</v>
      </c>
      <c r="F132" s="55">
        <f>'Input - Dairy'!$E$74</f>
        <v>0.2</v>
      </c>
      <c r="G132" s="2" t="s">
        <v>101</v>
      </c>
      <c r="O132" s="55" t="str">
        <f>'Input - Dairy'!$D$54</f>
        <v>Milking shed</v>
      </c>
      <c r="P132" s="55" t="str">
        <f>'Input - Dairy'!$D$72</f>
        <v>Sump and dispersal system</v>
      </c>
      <c r="Q132" s="55">
        <f>'Input - Dairy'!$E$75</f>
        <v>0.2</v>
      </c>
      <c r="R132" s="2" t="s">
        <v>101</v>
      </c>
    </row>
    <row r="133" spans="4:22" ht="20.100000000000001" customHeight="1" x14ac:dyDescent="0.25">
      <c r="D133" s="55" t="str">
        <f>'Input - Dairy'!$D$54</f>
        <v>Milking shed</v>
      </c>
      <c r="E133" s="55" t="str">
        <f>'Input - Dairy'!$D$77</f>
        <v>Drains to paddock</v>
      </c>
      <c r="F133" s="55">
        <f>'Input - Dairy'!$E$79</f>
        <v>0.2</v>
      </c>
      <c r="G133" s="2" t="s">
        <v>101</v>
      </c>
      <c r="O133" s="55" t="str">
        <f>'Input - Dairy'!$D$54</f>
        <v>Milking shed</v>
      </c>
      <c r="P133" s="55" t="str">
        <f>'Input - Dairy'!$D$77</f>
        <v>Drains to paddock</v>
      </c>
      <c r="Q133" s="55">
        <f>'Input - Dairy'!$E$80</f>
        <v>0.2</v>
      </c>
      <c r="R133" s="2" t="s">
        <v>101</v>
      </c>
    </row>
    <row r="134" spans="4:22" ht="20.100000000000001" customHeight="1" x14ac:dyDescent="0.25">
      <c r="D134" s="55" t="str">
        <f>'Input - Dairy'!$D$55</f>
        <v>Feed pad</v>
      </c>
      <c r="E134" s="55" t="str">
        <f>'Input - Dairy'!$D$101</f>
        <v>Anaerobic lagoon</v>
      </c>
      <c r="F134" s="55">
        <f>'Input - Dairy'!$E$103</f>
        <v>0</v>
      </c>
      <c r="G134" s="2" t="s">
        <v>101</v>
      </c>
      <c r="O134" s="55" t="str">
        <f>'Input - Dairy'!$D$55</f>
        <v>Feed pad</v>
      </c>
      <c r="P134" s="55" t="str">
        <f>'Input - Dairy'!$D$101</f>
        <v>Anaerobic lagoon</v>
      </c>
      <c r="Q134" s="55">
        <f>'Input - Dairy'!$E$104</f>
        <v>0</v>
      </c>
      <c r="R134" s="2" t="s">
        <v>101</v>
      </c>
    </row>
    <row r="135" spans="4:22" ht="20.100000000000001" customHeight="1" x14ac:dyDescent="0.25">
      <c r="D135" s="55" t="str">
        <f>'Input - Dairy'!$D$55</f>
        <v>Feed pad</v>
      </c>
      <c r="E135" s="55" t="str">
        <f>'Input - Dairy'!$D$106</f>
        <v>Sump and dispersal system</v>
      </c>
      <c r="F135" s="55">
        <f>'Input - Dairy'!$E$108</f>
        <v>0.2</v>
      </c>
      <c r="G135" s="2" t="s">
        <v>101</v>
      </c>
      <c r="O135" s="55" t="str">
        <f>'Input - Dairy'!$D$55</f>
        <v>Feed pad</v>
      </c>
      <c r="P135" s="55" t="str">
        <f>'Input - Dairy'!$D$106</f>
        <v>Sump and dispersal system</v>
      </c>
      <c r="Q135" s="55">
        <f>'Input - Dairy'!$E$109</f>
        <v>0.2</v>
      </c>
      <c r="R135" s="2" t="s">
        <v>101</v>
      </c>
    </row>
    <row r="136" spans="4:22" ht="20.100000000000001" customHeight="1" x14ac:dyDescent="0.25">
      <c r="D136" s="55" t="str">
        <f>'Input - Dairy'!$D$55</f>
        <v>Feed pad</v>
      </c>
      <c r="E136" s="55" t="str">
        <f>'Input - Dairy'!$D$111</f>
        <v>Drains to paddock</v>
      </c>
      <c r="F136" s="55">
        <f>'Input - Dairy'!$E$113</f>
        <v>0.2</v>
      </c>
      <c r="G136" s="2" t="s">
        <v>101</v>
      </c>
      <c r="O136" s="55" t="str">
        <f>'Input - Dairy'!$D$55</f>
        <v>Feed pad</v>
      </c>
      <c r="P136" s="55" t="str">
        <f>'Input - Dairy'!$D$111</f>
        <v>Drains to paddock</v>
      </c>
      <c r="Q136" s="55">
        <f>'Input - Dairy'!$E$114</f>
        <v>0.2</v>
      </c>
      <c r="R136" s="2" t="s">
        <v>101</v>
      </c>
    </row>
    <row r="137" spans="4:22" ht="20.100000000000001" customHeight="1" x14ac:dyDescent="0.25"/>
    <row r="138" spans="4:22" ht="20.100000000000001" customHeight="1" x14ac:dyDescent="0.25">
      <c r="D138" s="104" t="s">
        <v>257</v>
      </c>
      <c r="O138" s="104" t="s">
        <v>257</v>
      </c>
    </row>
    <row r="139" spans="4:22" ht="20.100000000000001" customHeight="1" x14ac:dyDescent="0.25">
      <c r="D139" s="103" t="s">
        <v>256</v>
      </c>
      <c r="O139" s="103" t="s">
        <v>256</v>
      </c>
    </row>
    <row r="140" spans="4:22" ht="20.100000000000001" customHeight="1" x14ac:dyDescent="0.25">
      <c r="D140" s="54" t="s">
        <v>152</v>
      </c>
      <c r="E140" s="54" t="s">
        <v>69</v>
      </c>
      <c r="F140" s="54" t="s">
        <v>178</v>
      </c>
      <c r="G140" s="54" t="s">
        <v>195</v>
      </c>
      <c r="H140" s="54" t="s">
        <v>196</v>
      </c>
      <c r="I140" s="54" t="s">
        <v>197</v>
      </c>
      <c r="J140" s="54" t="s">
        <v>198</v>
      </c>
      <c r="O140" s="54" t="s">
        <v>152</v>
      </c>
      <c r="P140" s="54" t="s">
        <v>69</v>
      </c>
      <c r="Q140" s="54" t="s">
        <v>178</v>
      </c>
      <c r="R140" s="54" t="s">
        <v>195</v>
      </c>
      <c r="S140" s="54" t="s">
        <v>196</v>
      </c>
      <c r="T140" s="54" t="s">
        <v>197</v>
      </c>
      <c r="U140" s="54" t="s">
        <v>198</v>
      </c>
    </row>
    <row r="141" spans="4:22" ht="20.100000000000001" customHeight="1" x14ac:dyDescent="0.25">
      <c r="D141" s="55" t="str">
        <f>'Input - Dairy'!$D$54</f>
        <v>Milking shed</v>
      </c>
      <c r="E141" s="55" t="str">
        <f>'Input - Dairy'!$D$67</f>
        <v>Anaerobic lagoon</v>
      </c>
      <c r="F141" s="55" cm="1">
        <f t="array" ref="F141">MMS_Dairy_Methane_Equations.VEERG_4_3_1_1__4_FractionVolatileSolidsNotSolidStorage(F121,$F131)</f>
        <v>2.2000000000000002E-2</v>
      </c>
      <c r="G141" s="55" cm="1">
        <f t="array" ref="G141">MMS_Dairy_Methane_Equations.VEERG_4_3_1_1__4_FractionVolatileSolidsNotSolidStorage(G121,$F131)</f>
        <v>2.2000000000000002E-2</v>
      </c>
      <c r="H141" s="55" cm="1">
        <f t="array" ref="H141">MMS_Dairy_Methane_Equations.VEERG_4_3_1_1__4_FractionVolatileSolidsNotSolidStorage(H121,$F131)</f>
        <v>2.2000000000000002E-2</v>
      </c>
      <c r="I141" s="55" cm="1">
        <f t="array" ref="I141">MMS_Dairy_Methane_Equations.VEERG_4_3_1_1__4_FractionVolatileSolidsNotSolidStorage(I121,$F131)</f>
        <v>2.2000000000000002E-2</v>
      </c>
      <c r="J141" s="55" cm="1">
        <f t="array" ref="J141">MMS_Dairy_Methane_Equations.VEERG_4_3_1_1__4_FractionVolatileSolidsNotSolidStorage(J121,$F131)</f>
        <v>2.2000000000000002E-2</v>
      </c>
      <c r="K141" s="2" t="str">
        <f>$E$113</f>
        <v>fraction</v>
      </c>
      <c r="O141" s="55" t="str">
        <f>'Input - Dairy'!$D$54</f>
        <v>Milking shed</v>
      </c>
      <c r="P141" s="55" t="str">
        <f>'Input - Dairy'!$D$67</f>
        <v>Anaerobic lagoon</v>
      </c>
      <c r="Q141" s="55" cm="1">
        <f t="array" ref="Q141">MMS_Dairy_Methane_Equations.VEERG_4_3_1_1__4_FractionVolatileSolidsNotSolidStorage(Q121,$Q131)</f>
        <v>2.2000000000000002E-2</v>
      </c>
      <c r="R141" s="55" cm="1">
        <f t="array" ref="R141">MMS_Dairy_Methane_Equations.VEERG_4_3_1_1__4_FractionVolatileSolidsNotSolidStorage(R121,$Q131)</f>
        <v>2.2000000000000002E-2</v>
      </c>
      <c r="S141" s="55" cm="1">
        <f t="array" ref="S141">MMS_Dairy_Methane_Equations.VEERG_4_3_1_1__4_FractionVolatileSolidsNotSolidStorage(S121,$Q131)</f>
        <v>2.2000000000000002E-2</v>
      </c>
      <c r="T141" s="55" cm="1">
        <f t="array" ref="T141">MMS_Dairy_Methane_Equations.VEERG_4_3_1_1__4_FractionVolatileSolidsNotSolidStorage(T121,$Q131)</f>
        <v>2.2000000000000002E-2</v>
      </c>
      <c r="U141" s="55" cm="1">
        <f t="array" ref="U141">MMS_Dairy_Methane_Equations.VEERG_4_3_1_1__4_FractionVolatileSolidsNotSolidStorage(U121,$Q131)</f>
        <v>2.2000000000000002E-2</v>
      </c>
      <c r="V141" s="2" t="str">
        <f t="shared" ref="V141:V146" si="0">$E$113</f>
        <v>fraction</v>
      </c>
    </row>
    <row r="142" spans="4:22" ht="20.100000000000001" customHeight="1" x14ac:dyDescent="0.25">
      <c r="D142" s="55" t="str">
        <f>'Input - Dairy'!$D$54</f>
        <v>Milking shed</v>
      </c>
      <c r="E142" s="55" t="str">
        <f>'Input - Dairy'!$D$72</f>
        <v>Sump and dispersal system</v>
      </c>
      <c r="F142" s="55" cm="1">
        <f t="array" ref="F142">MMS_Dairy_Methane_Equations.VEERG_4_3_1_1__4_FractionVolatileSolidsNotSolidStorage(F122,$F132)</f>
        <v>2.2000000000000002E-2</v>
      </c>
      <c r="G142" s="55" cm="1">
        <f t="array" ref="G142">MMS_Dairy_Methane_Equations.VEERG_4_3_1_1__4_FractionVolatileSolidsNotSolidStorage(G122,$F132)</f>
        <v>2.2000000000000002E-2</v>
      </c>
      <c r="H142" s="55" cm="1">
        <f t="array" ref="H142">MMS_Dairy_Methane_Equations.VEERG_4_3_1_1__4_FractionVolatileSolidsNotSolidStorage(H122,$F132)</f>
        <v>2.2000000000000002E-2</v>
      </c>
      <c r="I142" s="55" cm="1">
        <f t="array" ref="I142">MMS_Dairy_Methane_Equations.VEERG_4_3_1_1__4_FractionVolatileSolidsNotSolidStorage(I122,$F132)</f>
        <v>2.2000000000000002E-2</v>
      </c>
      <c r="J142" s="55" cm="1">
        <f t="array" ref="J142">MMS_Dairy_Methane_Equations.VEERG_4_3_1_1__4_FractionVolatileSolidsNotSolidStorage(J122,$F132)</f>
        <v>2.2000000000000002E-2</v>
      </c>
      <c r="K142" s="2" t="str">
        <f t="shared" ref="K142:K146" si="1">$E$113</f>
        <v>fraction</v>
      </c>
      <c r="O142" s="55" t="str">
        <f>'Input - Dairy'!$D$54</f>
        <v>Milking shed</v>
      </c>
      <c r="P142" s="55" t="str">
        <f>'Input - Dairy'!$D$72</f>
        <v>Sump and dispersal system</v>
      </c>
      <c r="Q142" s="55" cm="1">
        <f t="array" ref="Q142">MMS_Dairy_Methane_Equations.VEERG_4_3_1_1__4_FractionVolatileSolidsNotSolidStorage(Q122,$Q132)</f>
        <v>2.2000000000000002E-2</v>
      </c>
      <c r="R142" s="55" cm="1">
        <f t="array" ref="R142">MMS_Dairy_Methane_Equations.VEERG_4_3_1_1__4_FractionVolatileSolidsNotSolidStorage(R122,$Q132)</f>
        <v>2.2000000000000002E-2</v>
      </c>
      <c r="S142" s="55" cm="1">
        <f t="array" ref="S142">MMS_Dairy_Methane_Equations.VEERG_4_3_1_1__4_FractionVolatileSolidsNotSolidStorage(S122,$Q132)</f>
        <v>2.2000000000000002E-2</v>
      </c>
      <c r="T142" s="55" cm="1">
        <f t="array" ref="T142">MMS_Dairy_Methane_Equations.VEERG_4_3_1_1__4_FractionVolatileSolidsNotSolidStorage(T122,$Q132)</f>
        <v>2.2000000000000002E-2</v>
      </c>
      <c r="U142" s="55" cm="1">
        <f t="array" ref="U142">MMS_Dairy_Methane_Equations.VEERG_4_3_1_1__4_FractionVolatileSolidsNotSolidStorage(U122,$Q132)</f>
        <v>2.2000000000000002E-2</v>
      </c>
      <c r="V142" s="2" t="str">
        <f t="shared" si="0"/>
        <v>fraction</v>
      </c>
    </row>
    <row r="143" spans="4:22" ht="20.100000000000001" customHeight="1" x14ac:dyDescent="0.25">
      <c r="D143" s="55" t="str">
        <f>'Input - Dairy'!$D$54</f>
        <v>Milking shed</v>
      </c>
      <c r="E143" s="55" t="str">
        <f>'Input - Dairy'!$D$77</f>
        <v>Drains to paddock</v>
      </c>
      <c r="F143" s="55" cm="1">
        <f t="array" ref="F143">MMS_Dairy_Methane_Equations.VEERG_4_3_1_1__4_FractionVolatileSolidsNotSolidStorage(F123,$F133)</f>
        <v>2.2000000000000002E-2</v>
      </c>
      <c r="G143" s="55" cm="1">
        <f t="array" ref="G143">MMS_Dairy_Methane_Equations.VEERG_4_3_1_1__4_FractionVolatileSolidsNotSolidStorage(G123,$F133)</f>
        <v>2.2000000000000002E-2</v>
      </c>
      <c r="H143" s="55" cm="1">
        <f t="array" ref="H143">MMS_Dairy_Methane_Equations.VEERG_4_3_1_1__4_FractionVolatileSolidsNotSolidStorage(H123,$F133)</f>
        <v>2.2000000000000002E-2</v>
      </c>
      <c r="I143" s="55" cm="1">
        <f t="array" ref="I143">MMS_Dairy_Methane_Equations.VEERG_4_3_1_1__4_FractionVolatileSolidsNotSolidStorage(I123,$F133)</f>
        <v>2.2000000000000002E-2</v>
      </c>
      <c r="J143" s="55" cm="1">
        <f t="array" ref="J143">MMS_Dairy_Methane_Equations.VEERG_4_3_1_1__4_FractionVolatileSolidsNotSolidStorage(J123,$F133)</f>
        <v>2.2000000000000002E-2</v>
      </c>
      <c r="K143" s="2" t="str">
        <f t="shared" si="1"/>
        <v>fraction</v>
      </c>
      <c r="O143" s="55" t="str">
        <f>'Input - Dairy'!$D$54</f>
        <v>Milking shed</v>
      </c>
      <c r="P143" s="55" t="str">
        <f>'Input - Dairy'!$D$77</f>
        <v>Drains to paddock</v>
      </c>
      <c r="Q143" s="55" cm="1">
        <f t="array" ref="Q143">MMS_Dairy_Methane_Equations.VEERG_4_3_1_1__4_FractionVolatileSolidsNotSolidStorage(Q123,$Q133)</f>
        <v>2.2000000000000002E-2</v>
      </c>
      <c r="R143" s="55" cm="1">
        <f t="array" ref="R143">MMS_Dairy_Methane_Equations.VEERG_4_3_1_1__4_FractionVolatileSolidsNotSolidStorage(R123,$Q133)</f>
        <v>2.2000000000000002E-2</v>
      </c>
      <c r="S143" s="55" cm="1">
        <f t="array" ref="S143">MMS_Dairy_Methane_Equations.VEERG_4_3_1_1__4_FractionVolatileSolidsNotSolidStorage(S123,$Q133)</f>
        <v>2.2000000000000002E-2</v>
      </c>
      <c r="T143" s="55" cm="1">
        <f t="array" ref="T143">MMS_Dairy_Methane_Equations.VEERG_4_3_1_1__4_FractionVolatileSolidsNotSolidStorage(T123,$Q133)</f>
        <v>2.2000000000000002E-2</v>
      </c>
      <c r="U143" s="55" cm="1">
        <f t="array" ref="U143">MMS_Dairy_Methane_Equations.VEERG_4_3_1_1__4_FractionVolatileSolidsNotSolidStorage(U123,$Q133)</f>
        <v>2.2000000000000002E-2</v>
      </c>
      <c r="V143" s="2" t="str">
        <f t="shared" si="0"/>
        <v>fraction</v>
      </c>
    </row>
    <row r="144" spans="4:22" ht="20.100000000000001" customHeight="1" x14ac:dyDescent="0.25">
      <c r="D144" s="55" t="str">
        <f>'Input - Dairy'!$D$55</f>
        <v>Feed pad</v>
      </c>
      <c r="E144" s="55" t="str">
        <f>'Input - Dairy'!$D$101</f>
        <v>Anaerobic lagoon</v>
      </c>
      <c r="F144" s="55" cm="1">
        <f t="array" ref="F144">MMS_Dairy_Methane_Equations.VEERG_4_3_1_1__4_FractionVolatileSolidsNotSolidStorage(F124,$F134)</f>
        <v>8.8999999999999996E-2</v>
      </c>
      <c r="G144" s="55" cm="1">
        <f t="array" ref="G144">MMS_Dairy_Methane_Equations.VEERG_4_3_1_1__4_FractionVolatileSolidsNotSolidStorage(G124,$F134)</f>
        <v>8.8999999999999996E-2</v>
      </c>
      <c r="H144" s="55" cm="1">
        <f t="array" ref="H144">MMS_Dairy_Methane_Equations.VEERG_4_3_1_1__4_FractionVolatileSolidsNotSolidStorage(H124,$F134)</f>
        <v>8.8999999999999996E-2</v>
      </c>
      <c r="I144" s="55" cm="1">
        <f t="array" ref="I144">MMS_Dairy_Methane_Equations.VEERG_4_3_1_1__4_FractionVolatileSolidsNotSolidStorage(I124,$F134)</f>
        <v>8.8999999999999996E-2</v>
      </c>
      <c r="J144" s="55" cm="1">
        <f t="array" ref="J144">MMS_Dairy_Methane_Equations.VEERG_4_3_1_1__4_FractionVolatileSolidsNotSolidStorage(J124,$F134)</f>
        <v>8.8999999999999996E-2</v>
      </c>
      <c r="K144" s="2" t="str">
        <f t="shared" si="1"/>
        <v>fraction</v>
      </c>
      <c r="O144" s="55" t="str">
        <f>'Input - Dairy'!$D$55</f>
        <v>Feed pad</v>
      </c>
      <c r="P144" s="55" t="str">
        <f>'Input - Dairy'!$D$101</f>
        <v>Anaerobic lagoon</v>
      </c>
      <c r="Q144" s="55" cm="1">
        <f t="array" ref="Q144">MMS_Dairy_Methane_Equations.VEERG_4_3_1_1__4_FractionVolatileSolidsNotSolidStorage(Q124,$Q134)</f>
        <v>8.8999999999999996E-2</v>
      </c>
      <c r="R144" s="55" cm="1">
        <f t="array" ref="R144">MMS_Dairy_Methane_Equations.VEERG_4_3_1_1__4_FractionVolatileSolidsNotSolidStorage(R124,$Q134)</f>
        <v>8.8999999999999996E-2</v>
      </c>
      <c r="S144" s="55" cm="1">
        <f t="array" ref="S144">MMS_Dairy_Methane_Equations.VEERG_4_3_1_1__4_FractionVolatileSolidsNotSolidStorage(S124,$Q134)</f>
        <v>8.8999999999999996E-2</v>
      </c>
      <c r="T144" s="55" cm="1">
        <f t="array" ref="T144">MMS_Dairy_Methane_Equations.VEERG_4_3_1_1__4_FractionVolatileSolidsNotSolidStorage(T124,$Q134)</f>
        <v>8.8999999999999996E-2</v>
      </c>
      <c r="U144" s="55" cm="1">
        <f t="array" ref="U144">MMS_Dairy_Methane_Equations.VEERG_4_3_1_1__4_FractionVolatileSolidsNotSolidStorage(U124,$Q134)</f>
        <v>8.8999999999999996E-2</v>
      </c>
      <c r="V144" s="2" t="str">
        <f t="shared" si="0"/>
        <v>fraction</v>
      </c>
    </row>
    <row r="145" spans="3:23" ht="20.100000000000001" customHeight="1" x14ac:dyDescent="0.25">
      <c r="D145" s="55" t="str">
        <f>'Input - Dairy'!$D$55</f>
        <v>Feed pad</v>
      </c>
      <c r="E145" s="55" t="str">
        <f>'Input - Dairy'!$D$106</f>
        <v>Sump and dispersal system</v>
      </c>
      <c r="F145" s="55" cm="1">
        <f t="array" ref="F145">MMS_Dairy_Methane_Equations.VEERG_4_3_1_1__4_FractionVolatileSolidsNotSolidStorage(F125,$F135)</f>
        <v>7.1199999999999999E-2</v>
      </c>
      <c r="G145" s="55" cm="1">
        <f t="array" ref="G145">MMS_Dairy_Methane_Equations.VEERG_4_3_1_1__4_FractionVolatileSolidsNotSolidStorage(G125,$F135)</f>
        <v>7.1199999999999999E-2</v>
      </c>
      <c r="H145" s="55" cm="1">
        <f t="array" ref="H145">MMS_Dairy_Methane_Equations.VEERG_4_3_1_1__4_FractionVolatileSolidsNotSolidStorage(H125,$F135)</f>
        <v>7.1199999999999999E-2</v>
      </c>
      <c r="I145" s="55" cm="1">
        <f t="array" ref="I145">MMS_Dairy_Methane_Equations.VEERG_4_3_1_1__4_FractionVolatileSolidsNotSolidStorage(I125,$F135)</f>
        <v>7.1199999999999999E-2</v>
      </c>
      <c r="J145" s="55" cm="1">
        <f t="array" ref="J145">MMS_Dairy_Methane_Equations.VEERG_4_3_1_1__4_FractionVolatileSolidsNotSolidStorage(J125,$F135)</f>
        <v>7.1199999999999999E-2</v>
      </c>
      <c r="K145" s="2" t="str">
        <f t="shared" si="1"/>
        <v>fraction</v>
      </c>
      <c r="O145" s="55" t="str">
        <f>'Input - Dairy'!$D$55</f>
        <v>Feed pad</v>
      </c>
      <c r="P145" s="55" t="str">
        <f>'Input - Dairy'!$D$106</f>
        <v>Sump and dispersal system</v>
      </c>
      <c r="Q145" s="55" cm="1">
        <f t="array" ref="Q145">MMS_Dairy_Methane_Equations.VEERG_4_3_1_1__4_FractionVolatileSolidsNotSolidStorage(Q125,$Q135)</f>
        <v>7.1199999999999999E-2</v>
      </c>
      <c r="R145" s="55" cm="1">
        <f t="array" ref="R145">MMS_Dairy_Methane_Equations.VEERG_4_3_1_1__4_FractionVolatileSolidsNotSolidStorage(R125,$Q135)</f>
        <v>7.1199999999999999E-2</v>
      </c>
      <c r="S145" s="55" cm="1">
        <f t="array" ref="S145">MMS_Dairy_Methane_Equations.VEERG_4_3_1_1__4_FractionVolatileSolidsNotSolidStorage(S125,$Q135)</f>
        <v>7.1199999999999999E-2</v>
      </c>
      <c r="T145" s="55" cm="1">
        <f t="array" ref="T145">MMS_Dairy_Methane_Equations.VEERG_4_3_1_1__4_FractionVolatileSolidsNotSolidStorage(T125,$Q135)</f>
        <v>7.1199999999999999E-2</v>
      </c>
      <c r="U145" s="55" cm="1">
        <f t="array" ref="U145">MMS_Dairy_Methane_Equations.VEERG_4_3_1_1__4_FractionVolatileSolidsNotSolidStorage(U125,$Q135)</f>
        <v>7.1199999999999999E-2</v>
      </c>
      <c r="V145" s="2" t="str">
        <f t="shared" si="0"/>
        <v>fraction</v>
      </c>
    </row>
    <row r="146" spans="3:23" ht="20.100000000000001" customHeight="1" x14ac:dyDescent="0.25">
      <c r="D146" s="55" t="str">
        <f>'Input - Dairy'!$D$55</f>
        <v>Feed pad</v>
      </c>
      <c r="E146" s="55" t="str">
        <f>'Input - Dairy'!$D$111</f>
        <v>Drains to paddock</v>
      </c>
      <c r="F146" s="55" cm="1">
        <f t="array" ref="F146">MMS_Dairy_Methane_Equations.VEERG_4_3_1_1__4_FractionVolatileSolidsNotSolidStorage(F126,$F136)</f>
        <v>7.1199999999999999E-2</v>
      </c>
      <c r="G146" s="55" cm="1">
        <f t="array" ref="G146">MMS_Dairy_Methane_Equations.VEERG_4_3_1_1__4_FractionVolatileSolidsNotSolidStorage(G126,$F136)</f>
        <v>7.1199999999999999E-2</v>
      </c>
      <c r="H146" s="55" cm="1">
        <f t="array" ref="H146">MMS_Dairy_Methane_Equations.VEERG_4_3_1_1__4_FractionVolatileSolidsNotSolidStorage(H126,$F136)</f>
        <v>7.1199999999999999E-2</v>
      </c>
      <c r="I146" s="55" cm="1">
        <f t="array" ref="I146">MMS_Dairy_Methane_Equations.VEERG_4_3_1_1__4_FractionVolatileSolidsNotSolidStorage(I126,$F136)</f>
        <v>7.1199999999999999E-2</v>
      </c>
      <c r="J146" s="55" cm="1">
        <f t="array" ref="J146">MMS_Dairy_Methane_Equations.VEERG_4_3_1_1__4_FractionVolatileSolidsNotSolidStorage(J126,$F136)</f>
        <v>7.1199999999999999E-2</v>
      </c>
      <c r="K146" s="2" t="str">
        <f t="shared" si="1"/>
        <v>fraction</v>
      </c>
      <c r="O146" s="55" t="str">
        <f>'Input - Dairy'!$D$55</f>
        <v>Feed pad</v>
      </c>
      <c r="P146" s="55" t="str">
        <f>'Input - Dairy'!$D$111</f>
        <v>Drains to paddock</v>
      </c>
      <c r="Q146" s="55" cm="1">
        <f t="array" ref="Q146">MMS_Dairy_Methane_Equations.VEERG_4_3_1_1__4_FractionVolatileSolidsNotSolidStorage(Q126,$Q136)</f>
        <v>7.1199999999999999E-2</v>
      </c>
      <c r="R146" s="55" cm="1">
        <f t="array" ref="R146">MMS_Dairy_Methane_Equations.VEERG_4_3_1_1__4_FractionVolatileSolidsNotSolidStorage(R126,$Q136)</f>
        <v>7.1199999999999999E-2</v>
      </c>
      <c r="S146" s="55" cm="1">
        <f t="array" ref="S146">MMS_Dairy_Methane_Equations.VEERG_4_3_1_1__4_FractionVolatileSolidsNotSolidStorage(S126,$Q136)</f>
        <v>7.1199999999999999E-2</v>
      </c>
      <c r="T146" s="55" cm="1">
        <f t="array" ref="T146">MMS_Dairy_Methane_Equations.VEERG_4_3_1_1__4_FractionVolatileSolidsNotSolidStorage(T126,$Q136)</f>
        <v>7.1199999999999999E-2</v>
      </c>
      <c r="U146" s="55" cm="1">
        <f t="array" ref="U146">MMS_Dairy_Methane_Equations.VEERG_4_3_1_1__4_FractionVolatileSolidsNotSolidStorage(U126,$Q136)</f>
        <v>7.1199999999999999E-2</v>
      </c>
      <c r="V146" s="2" t="str">
        <f t="shared" si="0"/>
        <v>fraction</v>
      </c>
    </row>
    <row r="147" spans="3:23" ht="20.100000000000001" customHeight="1" x14ac:dyDescent="0.25"/>
    <row r="148" spans="3:23" ht="20.100000000000001" customHeight="1" x14ac:dyDescent="0.25"/>
    <row r="149" spans="3:23" ht="20.100000000000001" customHeight="1" x14ac:dyDescent="0.25">
      <c r="C149" s="48"/>
      <c r="D149" s="48"/>
      <c r="E149" s="48"/>
      <c r="F149" s="48"/>
      <c r="G149" s="48"/>
      <c r="H149" s="48"/>
      <c r="I149" s="48"/>
      <c r="J149" s="48"/>
      <c r="K149" s="48"/>
      <c r="L149" s="48"/>
      <c r="N149" s="48"/>
      <c r="O149" s="48"/>
      <c r="P149" s="48"/>
      <c r="Q149" s="48"/>
      <c r="R149" s="48"/>
      <c r="S149" s="48"/>
      <c r="T149" s="48"/>
      <c r="U149" s="48"/>
      <c r="V149" s="48"/>
      <c r="W149" s="48"/>
    </row>
    <row r="150" spans="3:23" ht="20.100000000000001" customHeight="1" x14ac:dyDescent="0.25">
      <c r="D150" s="6" t="str" cm="1">
        <f t="array" ref="D150">MMS_Dairy_Methane_Equations.VEERG_4_3_1_1__5_FractionVolatileSolidsSolidStorage_Title()</f>
        <v>Fraction of volatile solids in solid storage</v>
      </c>
    </row>
    <row r="151" spans="3:23" ht="20.100000000000001" customHeight="1" x14ac:dyDescent="0.25">
      <c r="D151" s="5" t="str" cm="1">
        <f t="array" ref="D151">MMS_Dairy_Methane_Equations.VEERG_4_3_1_1__5_FractionVolatileSolidsSolidStorage_Source()</f>
        <v>VEERG 2026: 4.3.1.1, Equation (5)</v>
      </c>
    </row>
    <row r="152" spans="3:23" ht="20.100000000000001" customHeight="1" x14ac:dyDescent="0.25">
      <c r="D152" s="58" t="str" cm="1">
        <f t="array" ref="D152">MMS_Dairy_Methane_Equations.VEERG_4_3_1_1__5_FractionVolatileSolidsSolidStorage_Variation()</f>
        <v>Used separate variables for MMS and SS m 1, 7 and 9.</v>
      </c>
    </row>
    <row r="153" spans="3:23" ht="20.100000000000001" customHeight="1" x14ac:dyDescent="0.25">
      <c r="D153" s="13" t="s">
        <v>28</v>
      </c>
      <c r="E153" s="13" t="str" cm="1">
        <f t="array" aca="1" ref="E153" ca="1">Common_InputFunctions.Utility_DisplayFunctionName($F$172)</f>
        <v>=MMS_Dairy_Methane_Equations.VEERG_4_3_1_1__5_FractionVolatileSolidsSolidStorageVariation</v>
      </c>
    </row>
    <row r="154" spans="3:23" ht="20.100000000000001" customHeight="1" x14ac:dyDescent="0.25"/>
    <row r="155" spans="3:23" ht="20.100000000000001" customHeight="1" x14ac:dyDescent="0.25">
      <c r="D155" s="6"/>
    </row>
    <row r="156" spans="3:23" ht="20.100000000000001" customHeight="1" x14ac:dyDescent="0.25">
      <c r="D156" s="56" t="s">
        <v>31</v>
      </c>
      <c r="E156" s="1" t="str" cm="1">
        <f t="array" ref="E156">MMS_Dairy_Methane_Equations.VEERG_4_3_1_1__5_FractionVolatileSolidsSolidStorage_Variable()</f>
        <v>FVS_jm4</v>
      </c>
    </row>
    <row r="157" spans="3:23" ht="20.100000000000001" customHeight="1" x14ac:dyDescent="0.25">
      <c r="D157" s="56" t="s">
        <v>21</v>
      </c>
      <c r="E157" s="57" t="str" cm="1">
        <f t="array" ref="E157">MMS_Dairy_Methane_Equations.VEERG_4_3_1_1__5_FractionVolatileSolidsSolidStorage_Unit()</f>
        <v>fraction</v>
      </c>
    </row>
    <row r="158" spans="3:23" ht="20.100000000000001" customHeight="1" x14ac:dyDescent="0.25"/>
    <row r="159" spans="3:23" ht="20.100000000000001" customHeight="1" x14ac:dyDescent="0.25">
      <c r="D159" s="60" t="str" cm="1">
        <f t="array" ref="D159:E161">MMS_Dairy_Methane_Equations.VEERG_4_3_1_1__5_FractionVolatileSolidsSolidStorage_Arguments()</f>
        <v>MMS_jm4</v>
      </c>
      <c r="E159" s="61" t="str">
        <v>fraction of volatile solids in solid storage before transfer</v>
      </c>
      <c r="F159" s="62"/>
      <c r="G159" s="60" t="str">
        <f>"See " &amp; D163</f>
        <v>See M1_Table_MMS_j_m-4</v>
      </c>
    </row>
    <row r="160" spans="3:23" ht="20.100000000000001" customHeight="1" x14ac:dyDescent="0.25">
      <c r="D160" s="60" t="str">
        <v>MMS_jm179</v>
      </c>
      <c r="E160" s="61" t="str">
        <v>fraction of volatile solids in MMS m=1,7,9 before transfer</v>
      </c>
      <c r="F160" s="62"/>
      <c r="G160" s="60" t="str">
        <f>"See " &amp; D118</f>
        <v>See M1_Table_MMS_j_m</v>
      </c>
    </row>
    <row r="161" spans="3:23" ht="20.100000000000001" customHeight="1" x14ac:dyDescent="0.25">
      <c r="D161" s="60" t="str">
        <v>SS_m</v>
      </c>
      <c r="E161" s="61" t="str">
        <v>fraction of volatile solids separated to solid storage for each MMS</v>
      </c>
      <c r="F161" s="62"/>
      <c r="G161" s="60" t="str">
        <f>"See " &amp; D128</f>
        <v>See M1_Table_SS_m</v>
      </c>
    </row>
    <row r="162" spans="3:23" ht="20.100000000000001" customHeight="1" x14ac:dyDescent="0.25"/>
    <row r="163" spans="3:23" ht="20.100000000000001" customHeight="1" x14ac:dyDescent="0.25">
      <c r="D163" s="104" t="s">
        <v>265</v>
      </c>
      <c r="O163" s="104" t="s">
        <v>271</v>
      </c>
    </row>
    <row r="164" spans="3:23" ht="20.100000000000001" customHeight="1" x14ac:dyDescent="0.25">
      <c r="D164" s="103" t="s">
        <v>266</v>
      </c>
      <c r="O164" s="103" t="s">
        <v>272</v>
      </c>
    </row>
    <row r="165" spans="3:23" ht="20.100000000000001" customHeight="1" x14ac:dyDescent="0.25">
      <c r="D165" s="54" t="s">
        <v>152</v>
      </c>
      <c r="E165" s="54" t="s">
        <v>69</v>
      </c>
      <c r="F165" s="54" t="s">
        <v>178</v>
      </c>
      <c r="G165" s="54" t="s">
        <v>195</v>
      </c>
      <c r="H165" s="54" t="s">
        <v>196</v>
      </c>
      <c r="I165" s="54" t="s">
        <v>197</v>
      </c>
      <c r="J165" s="54" t="s">
        <v>198</v>
      </c>
      <c r="O165" s="54" t="s">
        <v>152</v>
      </c>
      <c r="P165" s="54" t="s">
        <v>69</v>
      </c>
      <c r="Q165" s="54" t="s">
        <v>178</v>
      </c>
      <c r="R165" s="54" t="s">
        <v>195</v>
      </c>
      <c r="S165" s="54" t="s">
        <v>196</v>
      </c>
      <c r="T165" s="54" t="s">
        <v>197</v>
      </c>
      <c r="U165" s="54" t="s">
        <v>198</v>
      </c>
    </row>
    <row r="166" spans="3:23" ht="20.100000000000001" customHeight="1" x14ac:dyDescent="0.25">
      <c r="D166" s="55" t="str">
        <f>'Input - Dairy'!$D$54</f>
        <v>Milking shed</v>
      </c>
      <c r="E166" s="55" t="str">
        <f>'Input - Dairy'!$D$82</f>
        <v>Solid storage</v>
      </c>
      <c r="F166" s="55">
        <f>'Input - Dairy'!E53*'Input - Dairy'!E82</f>
        <v>0.13350000000000001</v>
      </c>
      <c r="G166" s="55">
        <f>'Input - Dairy'!F53*'Input - Dairy'!F82</f>
        <v>0.13350000000000001</v>
      </c>
      <c r="H166" s="55">
        <f>'Input - Dairy'!G53*'Input - Dairy'!G82</f>
        <v>0.13350000000000001</v>
      </c>
      <c r="I166" s="55">
        <f>'Input - Dairy'!H53*'Input - Dairy'!H82</f>
        <v>0.13350000000000001</v>
      </c>
      <c r="J166" s="55">
        <f>'Input - Dairy'!I53*'Input - Dairy'!I82</f>
        <v>0.13350000000000001</v>
      </c>
      <c r="K166" s="2" t="s">
        <v>101</v>
      </c>
      <c r="O166" s="55" t="str">
        <f>'Input - Dairy'!$D$54</f>
        <v>Milking shed</v>
      </c>
      <c r="P166" s="55" t="str">
        <f>'Input - Dairy'!$D$82</f>
        <v>Solid storage</v>
      </c>
      <c r="Q166" s="133">
        <f>'Input - Dairy'!E59*'Input - Dairy'!E82</f>
        <v>2.75E-2</v>
      </c>
      <c r="R166" s="133">
        <f>'Input - Dairy'!F59*'Input - Dairy'!F82</f>
        <v>2.75E-2</v>
      </c>
      <c r="S166" s="133">
        <f>'Input - Dairy'!G59*'Input - Dairy'!G82</f>
        <v>2.75E-2</v>
      </c>
      <c r="T166" s="133">
        <f>'Input - Dairy'!H59*'Input - Dairy'!H82</f>
        <v>2.75E-2</v>
      </c>
      <c r="U166" s="133">
        <f>'Input - Dairy'!I59*'Input - Dairy'!I82</f>
        <v>2.75E-2</v>
      </c>
      <c r="V166" s="2" t="s">
        <v>101</v>
      </c>
    </row>
    <row r="167" spans="3:23" ht="20.100000000000001" customHeight="1" x14ac:dyDescent="0.25">
      <c r="D167" s="55" t="str">
        <f>'Input - Dairy'!$D$55</f>
        <v>Feed pad</v>
      </c>
      <c r="E167" s="55" t="str">
        <f>'Input - Dairy'!$D$116</f>
        <v>Solid storage</v>
      </c>
      <c r="F167" s="55">
        <f>'Input - Dairy'!E55*'Input - Dairy'!E116</f>
        <v>8.8999999999999996E-2</v>
      </c>
      <c r="G167" s="55">
        <f>'Input - Dairy'!F55*'Input - Dairy'!F116</f>
        <v>8.8999999999999996E-2</v>
      </c>
      <c r="H167" s="55">
        <f>'Input - Dairy'!G55*'Input - Dairy'!G116</f>
        <v>8.8999999999999996E-2</v>
      </c>
      <c r="I167" s="55">
        <f>'Input - Dairy'!H55*'Input - Dairy'!H116</f>
        <v>8.8999999999999996E-2</v>
      </c>
      <c r="J167" s="55">
        <f>'Input - Dairy'!I55*'Input - Dairy'!I116</f>
        <v>8.8999999999999996E-2</v>
      </c>
      <c r="K167" s="2" t="s">
        <v>101</v>
      </c>
      <c r="O167" s="55" t="str">
        <f>'Input - Dairy'!$D$55</f>
        <v>Feed pad</v>
      </c>
      <c r="P167" s="55" t="str">
        <f>'Input - Dairy'!$D$116</f>
        <v>Solid storage</v>
      </c>
      <c r="Q167" s="134">
        <f>'Input - Dairy'!E60*'Input - Dairy'!E116</f>
        <v>8.8999999999999996E-2</v>
      </c>
      <c r="R167" s="134">
        <f>'Input - Dairy'!F60*'Input - Dairy'!F116</f>
        <v>8.8999999999999996E-2</v>
      </c>
      <c r="S167" s="134">
        <f>'Input - Dairy'!G60*'Input - Dairy'!G116</f>
        <v>8.8999999999999996E-2</v>
      </c>
      <c r="T167" s="134">
        <f>'Input - Dairy'!H60*'Input - Dairy'!H116</f>
        <v>8.8999999999999996E-2</v>
      </c>
      <c r="U167" s="134">
        <f>'Input - Dairy'!I60*'Input - Dairy'!I116</f>
        <v>8.8999999999999996E-2</v>
      </c>
      <c r="V167" s="2" t="s">
        <v>101</v>
      </c>
    </row>
    <row r="168" spans="3:23" ht="20.100000000000001" customHeight="1" x14ac:dyDescent="0.25"/>
    <row r="169" spans="3:23" ht="20.100000000000001" customHeight="1" x14ac:dyDescent="0.25">
      <c r="D169" s="104" t="s">
        <v>269</v>
      </c>
      <c r="O169" s="104" t="s">
        <v>273</v>
      </c>
    </row>
    <row r="170" spans="3:23" ht="20.100000000000001" customHeight="1" x14ac:dyDescent="0.25">
      <c r="D170" s="103" t="s">
        <v>270</v>
      </c>
      <c r="O170" s="103" t="s">
        <v>274</v>
      </c>
    </row>
    <row r="171" spans="3:23" ht="20.100000000000001" customHeight="1" x14ac:dyDescent="0.25">
      <c r="D171" s="54" t="s">
        <v>152</v>
      </c>
      <c r="E171" s="54" t="s">
        <v>69</v>
      </c>
      <c r="F171" s="54" t="s">
        <v>178</v>
      </c>
      <c r="G171" s="54" t="s">
        <v>195</v>
      </c>
      <c r="H171" s="54" t="s">
        <v>196</v>
      </c>
      <c r="I171" s="54" t="s">
        <v>197</v>
      </c>
      <c r="J171" s="54" t="s">
        <v>198</v>
      </c>
      <c r="O171" s="54" t="s">
        <v>152</v>
      </c>
      <c r="P171" s="54" t="s">
        <v>69</v>
      </c>
      <c r="Q171" s="54" t="s">
        <v>178</v>
      </c>
      <c r="R171" s="54" t="s">
        <v>195</v>
      </c>
      <c r="S171" s="54" t="s">
        <v>196</v>
      </c>
      <c r="T171" s="54" t="s">
        <v>197</v>
      </c>
      <c r="U171" s="54" t="s">
        <v>198</v>
      </c>
    </row>
    <row r="172" spans="3:23" ht="20.100000000000001" customHeight="1" x14ac:dyDescent="0.25">
      <c r="D172" s="55" t="str">
        <f>'Input - Dairy'!$D$54</f>
        <v>Milking shed</v>
      </c>
      <c r="E172" s="55" t="str">
        <f>'Input - Dairy'!$D$82</f>
        <v>Solid storage</v>
      </c>
      <c r="F172" s="55" cm="1">
        <f t="array" ref="F172">MMS_Dairy_Methane_Equations.VEERG_4_3_1_1__5_FractionVolatileSolidsSolidStorageVariation(F166,F121,$F131,F122,$F132,F123,$F133)</f>
        <v>0.15000000000000002</v>
      </c>
      <c r="G172" s="55" cm="1">
        <f t="array" ref="G172">MMS_Dairy_Methane_Equations.VEERG_4_3_1_1__5_FractionVolatileSolidsSolidStorageVariation(G166,G121,$F131,G122,$F132,G123,$F133)</f>
        <v>0.15000000000000002</v>
      </c>
      <c r="H172" s="55" cm="1">
        <f t="array" ref="H172">MMS_Dairy_Methane_Equations.VEERG_4_3_1_1__5_FractionVolatileSolidsSolidStorageVariation(H166,H121,$F131,H122,$F132,H123,$F133)</f>
        <v>0.15000000000000002</v>
      </c>
      <c r="I172" s="55" cm="1">
        <f t="array" ref="I172">MMS_Dairy_Methane_Equations.VEERG_4_3_1_1__5_FractionVolatileSolidsSolidStorageVariation(I166,I121,$F131,I122,$F132,I123,$F133)</f>
        <v>0.15000000000000002</v>
      </c>
      <c r="J172" s="55" cm="1">
        <f t="array" ref="J172">MMS_Dairy_Methane_Equations.VEERG_4_3_1_1__5_FractionVolatileSolidsSolidStorageVariation(J166,J121,$F131,J122,$F132,J123,$F133)</f>
        <v>0.15000000000000002</v>
      </c>
      <c r="K172" s="2" t="str">
        <f>$E$157</f>
        <v>fraction</v>
      </c>
      <c r="O172" s="55" t="str">
        <f>'Input - Dairy'!$D$54</f>
        <v>Milking shed</v>
      </c>
      <c r="P172" s="55" t="str">
        <f>'Input - Dairy'!$D$82</f>
        <v>Solid storage</v>
      </c>
      <c r="Q172" s="55" cm="1">
        <f t="array" ref="Q172">MMS_Dairy_Methane_Equations.VEERG_4_3_1_1__5_FractionVolatileSolidsSolidStorageVariation(Q166,Q121,$Q131,Q122,$Q132,Q123,$Q133)</f>
        <v>4.3999999999999997E-2</v>
      </c>
      <c r="R172" s="55" cm="1">
        <f t="array" ref="R172">MMS_Dairy_Methane_Equations.VEERG_4_3_1_1__5_FractionVolatileSolidsSolidStorageVariation(R166,R121,$Q131,R122,$Q132,R123,$Q133)</f>
        <v>4.3999999999999997E-2</v>
      </c>
      <c r="S172" s="55" cm="1">
        <f t="array" ref="S172">MMS_Dairy_Methane_Equations.VEERG_4_3_1_1__5_FractionVolatileSolidsSolidStorageVariation(S166,S121,$Q131,S122,$Q132,S123,$Q133)</f>
        <v>4.3999999999999997E-2</v>
      </c>
      <c r="T172" s="55" cm="1">
        <f t="array" ref="T172">MMS_Dairy_Methane_Equations.VEERG_4_3_1_1__5_FractionVolatileSolidsSolidStorageVariation(T166,T121,$Q131,T122,$Q132,T123,$Q133)</f>
        <v>4.3999999999999997E-2</v>
      </c>
      <c r="U172" s="55" cm="1">
        <f t="array" ref="U172">MMS_Dairy_Methane_Equations.VEERG_4_3_1_1__5_FractionVolatileSolidsSolidStorageVariation(U166,U121,$Q131,U122,$Q132,U123,$Q133)</f>
        <v>4.3999999999999997E-2</v>
      </c>
      <c r="V172" s="2" t="str">
        <f t="shared" ref="V172:V173" si="2">$E$157</f>
        <v>fraction</v>
      </c>
    </row>
    <row r="173" spans="3:23" ht="20.100000000000001" customHeight="1" x14ac:dyDescent="0.25">
      <c r="D173" s="55" t="str">
        <f>'Input - Dairy'!$D$55</f>
        <v>Feed pad</v>
      </c>
      <c r="E173" s="55" t="str">
        <f>'Input - Dairy'!$D$116</f>
        <v>Solid storage</v>
      </c>
      <c r="F173" s="55" cm="1">
        <f t="array" ref="F173">MMS_Dairy_Methane_Equations.VEERG_4_3_1_1__5_FractionVolatileSolidsSolidStorageVariation(F167,F124,$F134,F125,$F135,F126,$F136)</f>
        <v>0.12459999999999999</v>
      </c>
      <c r="G173" s="55" cm="1">
        <f t="array" ref="G173">MMS_Dairy_Methane_Equations.VEERG_4_3_1_1__5_FractionVolatileSolidsSolidStorageVariation(G167,G124,$F134,G125,$F135,G126,$F136)</f>
        <v>0.12459999999999999</v>
      </c>
      <c r="H173" s="55" cm="1">
        <f t="array" ref="H173">MMS_Dairy_Methane_Equations.VEERG_4_3_1_1__5_FractionVolatileSolidsSolidStorageVariation(H167,H124,$F134,H125,$F135,H126,$F136)</f>
        <v>0.12459999999999999</v>
      </c>
      <c r="I173" s="55" cm="1">
        <f t="array" ref="I173">MMS_Dairy_Methane_Equations.VEERG_4_3_1_1__5_FractionVolatileSolidsSolidStorageVariation(I167,I124,$F134,I125,$F135,I126,$F136)</f>
        <v>0.12459999999999999</v>
      </c>
      <c r="J173" s="55" cm="1">
        <f t="array" ref="J173">MMS_Dairy_Methane_Equations.VEERG_4_3_1_1__5_FractionVolatileSolidsSolidStorageVariation(J167,J124,$F134,J125,$F135,J126,$F136)</f>
        <v>0.12459999999999999</v>
      </c>
      <c r="K173" s="2" t="str">
        <f>$E$157</f>
        <v>fraction</v>
      </c>
      <c r="O173" s="55" t="str">
        <f>'Input - Dairy'!$D$55</f>
        <v>Feed pad</v>
      </c>
      <c r="P173" s="55" t="str">
        <f>'Input - Dairy'!$D$116</f>
        <v>Solid storage</v>
      </c>
      <c r="Q173" s="55" cm="1">
        <f t="array" ref="Q173">MMS_Dairy_Methane_Equations.VEERG_4_3_1_1__5_FractionVolatileSolidsSolidStorageVariation(Q167,Q124,$Q134,Q125,$Q135,Q126,$Q136)</f>
        <v>0.12459999999999999</v>
      </c>
      <c r="R173" s="55" cm="1">
        <f t="array" ref="R173">MMS_Dairy_Methane_Equations.VEERG_4_3_1_1__5_FractionVolatileSolidsSolidStorageVariation(R167,R124,$Q134,R125,$Q135,R126,$Q136)</f>
        <v>0.12459999999999999</v>
      </c>
      <c r="S173" s="55" cm="1">
        <f t="array" ref="S173">MMS_Dairy_Methane_Equations.VEERG_4_3_1_1__5_FractionVolatileSolidsSolidStorageVariation(S167,S124,$Q134,S125,$Q135,S126,$Q136)</f>
        <v>0.12459999999999999</v>
      </c>
      <c r="T173" s="55" cm="1">
        <f t="array" ref="T173">MMS_Dairy_Methane_Equations.VEERG_4_3_1_1__5_FractionVolatileSolidsSolidStorageVariation(T167,T124,$Q134,T125,$Q135,T126,$Q136)</f>
        <v>0.12459999999999999</v>
      </c>
      <c r="U173" s="55" cm="1">
        <f t="array" ref="U173">MMS_Dairy_Methane_Equations.VEERG_4_3_1_1__5_FractionVolatileSolidsSolidStorageVariation(U167,U124,$Q134,U125,$Q135,U126,$Q136)</f>
        <v>0.12459999999999999</v>
      </c>
      <c r="V173" s="2" t="str">
        <f t="shared" si="2"/>
        <v>fraction</v>
      </c>
    </row>
    <row r="174" spans="3:23" ht="20.100000000000001" customHeight="1" x14ac:dyDescent="0.25"/>
    <row r="175" spans="3:23" ht="20.100000000000001" customHeight="1" x14ac:dyDescent="0.25"/>
    <row r="176" spans="3:23" ht="20.100000000000001" customHeight="1" x14ac:dyDescent="0.25">
      <c r="C176" s="48"/>
      <c r="D176" s="48"/>
      <c r="E176" s="48"/>
      <c r="F176" s="48"/>
      <c r="G176" s="48"/>
      <c r="H176" s="48"/>
      <c r="I176" s="48"/>
      <c r="J176" s="48"/>
      <c r="K176" s="48"/>
      <c r="L176" s="48"/>
      <c r="N176" s="48"/>
      <c r="O176" s="48"/>
      <c r="P176" s="48"/>
      <c r="Q176" s="48"/>
      <c r="R176" s="48"/>
      <c r="S176" s="48"/>
      <c r="T176" s="48"/>
      <c r="U176" s="48"/>
      <c r="V176" s="48"/>
      <c r="W176" s="48"/>
    </row>
    <row r="177" spans="4:18" ht="20.100000000000001" customHeight="1" x14ac:dyDescent="0.25">
      <c r="D177" s="6" t="str" cm="1">
        <f t="array" ref="D177">MMS_Dairy_Methane_Equations.VEERG_4_3_1_1__2_MethaneFromManureProduction_Title()</f>
        <v>Methane from manure production from weaned dairy cattle</v>
      </c>
    </row>
    <row r="178" spans="4:18" ht="20.100000000000001" customHeight="1" x14ac:dyDescent="0.25">
      <c r="D178" s="5" t="str" cm="1">
        <f t="array" ref="D178">MMS_Dairy_Methane_Equations.VEERG_4_3_1_1__2_MethaneFromManureProduction_Source()</f>
        <v>VEERG 2026: 4.3.1.1, Equation (2)</v>
      </c>
    </row>
    <row r="179" spans="4:18" ht="20.100000000000001" customHeight="1" x14ac:dyDescent="0.25">
      <c r="D179" s="13" t="s">
        <v>28</v>
      </c>
      <c r="E179" s="13" t="str" cm="1">
        <f t="array" aca="1" ref="E179" ca="1">Common_InputFunctions.Utility_DisplayFunctionName($F$203)</f>
        <v>=MMS_Dairy_Methane_Equations.VEERG_4_3_1_1__2_MethaneFromManureProduction</v>
      </c>
    </row>
    <row r="180" spans="4:18" ht="20.100000000000001" customHeight="1" x14ac:dyDescent="0.25"/>
    <row r="181" spans="4:18" ht="20.100000000000001" customHeight="1" x14ac:dyDescent="0.25">
      <c r="D181" s="6"/>
    </row>
    <row r="182" spans="4:18" ht="20.100000000000001" customHeight="1" x14ac:dyDescent="0.25">
      <c r="D182" s="56" t="s">
        <v>31</v>
      </c>
      <c r="E182" s="1" t="str" cm="1">
        <f t="array" ref="E182">MMS_Dairy_Methane_Equations.VEERG_4_3_1_1__2_MethaneFromManureProduction_Variable()</f>
        <v>M_jm</v>
      </c>
    </row>
    <row r="183" spans="4:18" ht="20.100000000000001" customHeight="1" x14ac:dyDescent="0.25">
      <c r="D183" s="56" t="s">
        <v>21</v>
      </c>
      <c r="E183" s="57" t="str" cm="1">
        <f t="array" ref="E183">MMS_Dairy_Methane_Equations.VEERG_4_3_1_1__2_MethaneFromManureProduction_Unit()</f>
        <v>kg CH4/head/day</v>
      </c>
    </row>
    <row r="184" spans="4:18" ht="20.100000000000001" customHeight="1" x14ac:dyDescent="0.25"/>
    <row r="185" spans="4:18" ht="20.100000000000001" customHeight="1" x14ac:dyDescent="0.25">
      <c r="D185" s="60" t="str" cm="1">
        <f t="array" ref="D185:E190">MMS_Dairy_Methane_Equations.VEERG_4_3_1_1__2_MethaneFromManureProduction_Arguments()</f>
        <v>VS_j</v>
      </c>
      <c r="E185" s="61" t="str">
        <v>daily volatile solids production per head for dairy cattle (kg/head/day)</v>
      </c>
      <c r="F185" s="62"/>
      <c r="G185" s="60" t="str">
        <f>"See " &amp; D100</f>
        <v>See M1_Table_VS_j</v>
      </c>
    </row>
    <row r="186" spans="4:18" ht="20.100000000000001" customHeight="1" x14ac:dyDescent="0.25">
      <c r="D186" s="60" t="str">
        <v>FVS_jmT1</v>
      </c>
      <c r="E186" s="61" t="str">
        <v>fraction of waste from each class in each management system</v>
      </c>
      <c r="F186" s="62"/>
      <c r="G186" s="60" t="str">
        <f>"See " &amp; D138 &amp; " and " &amp; D169</f>
        <v>See M1_Table_FVS_j_m and M1_Table_FVS_j_m-4</v>
      </c>
      <c r="H186" s="114" t="s">
        <v>275</v>
      </c>
      <c r="O186" s="139" t="str" cm="1">
        <f t="array" ref="O186:P191">MMS_Dairy_Methane_Equations.VEERG_4_3_1_1__2_MethaneFromManureProduction_Arguments()</f>
        <v>VS_j</v>
      </c>
      <c r="P186" s="141" t="str">
        <v>daily volatile solids production per head for dairy cattle (kg/head/day)</v>
      </c>
      <c r="Q186" s="142"/>
      <c r="R186" s="139" t="str">
        <f>"See " &amp; O101</f>
        <v>See Volatile solids for weaned cattle (Method 2)</v>
      </c>
    </row>
    <row r="187" spans="4:18" ht="20.100000000000001" customHeight="1" x14ac:dyDescent="0.25">
      <c r="D187" s="60" t="str">
        <v>MCF_im</v>
      </c>
      <c r="E187" s="61" t="str">
        <v>methane conversion factor for temperature zone and MMS</v>
      </c>
      <c r="F187" s="62"/>
      <c r="G187" s="60" t="str">
        <f>"See " &amp; D192</f>
        <v>See M1_Table_MCF_i_m</v>
      </c>
      <c r="H187" s="114" t="s">
        <v>299</v>
      </c>
      <c r="O187" s="139" t="str">
        <v>FVS_jmT1</v>
      </c>
      <c r="P187" s="141" t="str">
        <v>fraction of waste from each class in each management system</v>
      </c>
      <c r="Q187" s="142"/>
      <c r="R187" s="139" t="str">
        <f>"See " &amp; O139 &amp; " and " &amp; O170</f>
        <v>See Fraction volatile solids to MMS other than solid storage (Method 1) and Fraction volatile solids to in solid storage (Method 2)</v>
      </c>
    </row>
    <row r="188" spans="4:18" ht="20.100000000000001" customHeight="1" x14ac:dyDescent="0.25">
      <c r="D188" s="60" t="str">
        <v>B_o</v>
      </c>
      <c r="E188" s="61" t="str">
        <v>emissions potential (m3 CH4/kgVS)</v>
      </c>
      <c r="F188" s="62"/>
      <c r="G188" s="60">
        <f>'Constants - Dairy'!$D$195</f>
        <v>0.24</v>
      </c>
      <c r="O188" s="139" t="str">
        <v>MCF_im</v>
      </c>
      <c r="P188" s="141" t="str">
        <v>methane conversion factor for temperature zone and MMS</v>
      </c>
      <c r="Q188" s="142"/>
      <c r="R188" s="139" t="str">
        <f>"See " &amp; O193</f>
        <v xml:space="preserve">See </v>
      </c>
    </row>
    <row r="189" spans="4:18" ht="20.100000000000001" customHeight="1" x14ac:dyDescent="0.25">
      <c r="D189" s="60" t="str">
        <v>rho</v>
      </c>
      <c r="E189" s="61" t="str">
        <v>density of methane (kg/m3)</v>
      </c>
      <c r="F189" s="62"/>
      <c r="G189" s="60">
        <f>'Constants - Common'!$D$175</f>
        <v>0.6784</v>
      </c>
      <c r="O189" s="139" t="str">
        <v>B_o</v>
      </c>
      <c r="P189" s="141" t="str">
        <v>emissions potential (m3 CH4/kgVS)</v>
      </c>
      <c r="Q189" s="142"/>
      <c r="R189" s="139">
        <f>'Constants - Dairy'!$D$195</f>
        <v>0.24</v>
      </c>
    </row>
    <row r="190" spans="4:18" ht="20.100000000000001" customHeight="1" x14ac:dyDescent="0.25">
      <c r="D190" s="60" t="str">
        <v>i</v>
      </c>
      <c r="E190" s="61" t="str">
        <v>state</v>
      </c>
      <c r="F190" s="62"/>
      <c r="G190" s="60" t="str">
        <f>Common_InputFunctions.Utility_LookupValueInTable('Input - Site'!$E$21, Table_AustralianStates[Common Name],Table_AustralianStates[Abbreviation])</f>
        <v>NSW</v>
      </c>
      <c r="O190" s="139" t="str">
        <v>rho</v>
      </c>
      <c r="P190" s="141" t="str">
        <v>density of methane (kg/m3)</v>
      </c>
      <c r="Q190" s="142"/>
      <c r="R190" s="139">
        <f>'Constants - Common'!$D$175</f>
        <v>0.6784</v>
      </c>
    </row>
    <row r="191" spans="4:18" ht="20.100000000000001" customHeight="1" x14ac:dyDescent="0.25">
      <c r="O191" s="139" t="str">
        <v>i</v>
      </c>
      <c r="P191" s="141" t="str">
        <v>state</v>
      </c>
      <c r="Q191" s="142"/>
      <c r="R191" s="139" t="str">
        <f>Common_InputFunctions.Utility_LookupValueInTable('Input - Site'!$E$21, Table_AustralianStates[Common Name],Table_AustralianStates[Abbreviation])</f>
        <v>NSW</v>
      </c>
    </row>
    <row r="192" spans="4:18" ht="20.100000000000001" customHeight="1" x14ac:dyDescent="0.25">
      <c r="D192" s="135" t="s">
        <v>276</v>
      </c>
    </row>
    <row r="193" spans="4:22" ht="20.100000000000001" customHeight="1" x14ac:dyDescent="0.25">
      <c r="D193" s="136" t="s">
        <v>277</v>
      </c>
    </row>
    <row r="194" spans="4:22" ht="20.100000000000001" customHeight="1" x14ac:dyDescent="0.25">
      <c r="D194" s="54" t="s">
        <v>69</v>
      </c>
      <c r="E194" s="54" t="s">
        <v>100</v>
      </c>
    </row>
    <row r="195" spans="4:22" ht="20.100000000000001" customHeight="1" x14ac:dyDescent="0.25">
      <c r="D195" s="60" t="str">
        <f>'Constants - Dairy'!D8</f>
        <v>Anaerobic lagoon</v>
      </c>
      <c r="E195" s="55" cm="1">
        <f t="array" ref="E195">CommonLivestock_InputFunctions.Livestock_LookupMCFState(D195,Table_SourceData_Dairy_MCFjm[NIR reference],$G$190,Table_SourceData_Dairy_MCFjm[#Headers],Table_SourceData_Dairy_MCFjm[])</f>
        <v>0.76</v>
      </c>
    </row>
    <row r="196" spans="4:22" ht="20.100000000000001" customHeight="1" x14ac:dyDescent="0.25">
      <c r="D196" s="60" t="str">
        <f>'Constants - Dairy'!D9</f>
        <v>Sump and dispersal system</v>
      </c>
      <c r="E196" s="55" cm="1">
        <f t="array" ref="E196">CommonLivestock_InputFunctions.Livestock_LookupMCFState(D196,Table_SourceData_Dairy_MCFjm[NIR reference],$G$190,Table_SourceData_Dairy_MCFjm[#Headers],Table_SourceData_Dairy_MCFjm[])</f>
        <v>5.0000000000000001E-3</v>
      </c>
    </row>
    <row r="197" spans="4:22" ht="20.100000000000001" customHeight="1" x14ac:dyDescent="0.25">
      <c r="D197" s="60" t="str">
        <f>'Constants - Dairy'!D10</f>
        <v>Drains to paddock</v>
      </c>
      <c r="E197" s="55" cm="1">
        <f t="array" ref="E197">CommonLivestock_InputFunctions.Livestock_LookupMCFState(D197,Table_SourceData_Dairy_MCFjm[NIR reference],$G$190,Table_SourceData_Dairy_MCFjm[#Headers],Table_SourceData_Dairy_MCFjm[])</f>
        <v>0.18</v>
      </c>
    </row>
    <row r="198" spans="4:22" ht="20.100000000000001" customHeight="1" x14ac:dyDescent="0.25">
      <c r="D198" s="60" t="str">
        <f>'Constants - Dairy'!D11</f>
        <v>Solid storage</v>
      </c>
      <c r="E198" s="55" cm="1">
        <f t="array" ref="E198">CommonLivestock_InputFunctions.Livestock_LookupMCFState(D198,Table_SourceData_Dairy_MCFjm[NIR reference],$G$190,Table_SourceData_Dairy_MCFjm[#Headers],Table_SourceData_Dairy_MCFjm[])</f>
        <v>0.02</v>
      </c>
    </row>
    <row r="199" spans="4:22" ht="20.100000000000001" customHeight="1" x14ac:dyDescent="0.25"/>
    <row r="200" spans="4:22" ht="20.100000000000001" customHeight="1" x14ac:dyDescent="0.25">
      <c r="D200" s="135" t="s">
        <v>278</v>
      </c>
      <c r="O200" s="135" t="s">
        <v>292</v>
      </c>
    </row>
    <row r="201" spans="4:22" ht="20.100000000000001" customHeight="1" x14ac:dyDescent="0.25">
      <c r="D201" s="136" t="s">
        <v>294</v>
      </c>
      <c r="O201" s="136" t="s">
        <v>293</v>
      </c>
    </row>
    <row r="202" spans="4:22" ht="20.100000000000001" customHeight="1" x14ac:dyDescent="0.25">
      <c r="D202" s="54" t="s">
        <v>152</v>
      </c>
      <c r="E202" s="54" t="s">
        <v>69</v>
      </c>
      <c r="F202" s="54" t="s">
        <v>178</v>
      </c>
      <c r="G202" s="54" t="s">
        <v>195</v>
      </c>
      <c r="H202" s="54" t="s">
        <v>196</v>
      </c>
      <c r="I202" s="54" t="s">
        <v>197</v>
      </c>
      <c r="J202" s="54" t="s">
        <v>198</v>
      </c>
      <c r="O202" s="54" t="s">
        <v>152</v>
      </c>
      <c r="P202" s="54" t="s">
        <v>69</v>
      </c>
      <c r="Q202" s="54" t="s">
        <v>178</v>
      </c>
      <c r="R202" s="54" t="s">
        <v>195</v>
      </c>
      <c r="S202" s="54" t="s">
        <v>196</v>
      </c>
      <c r="T202" s="54" t="s">
        <v>197</v>
      </c>
      <c r="U202" s="54" t="s">
        <v>198</v>
      </c>
    </row>
    <row r="203" spans="4:22" ht="20.100000000000001" customHeight="1" x14ac:dyDescent="0.25">
      <c r="D203" s="55" t="str">
        <f>'Input - Dairy'!$D$54</f>
        <v>Milking shed</v>
      </c>
      <c r="E203" s="55" t="str">
        <f>'Input - Dairy'!$D$67</f>
        <v>Anaerobic lagoon</v>
      </c>
      <c r="F203" s="55" cm="1">
        <f t="array" ref="F203">MMS_Dairy_Methane_Equations.VEERG_4_3_1_1__2_MethaneFromManureProduction(D$103,F141,$E$195,$G$188,$G$189)</f>
        <v>6.8742705211090795E-3</v>
      </c>
      <c r="G203" s="55" cm="1">
        <f t="array" ref="G203">MMS_Dairy_Methane_Equations.VEERG_4_3_1_1__2_MethaneFromManureProduction(E$103,G141,$E$195,$G$188,$G$189)</f>
        <v>5.3883631169955861E-3</v>
      </c>
      <c r="H203" s="55" cm="1">
        <f t="array" ref="H203">MMS_Dairy_Methane_Equations.VEERG_4_3_1_1__2_MethaneFromManureProduction(F$103,H141,$E$195,$G$188,$G$189)</f>
        <v>2.922051982564853E-3</v>
      </c>
      <c r="I203" s="55" cm="1">
        <f t="array" ref="I203">MMS_Dairy_Methane_Equations.VEERG_4_3_1_1__2_MethaneFromManureProduction(G$103,I141,$E$195,$G$188,$G$189)</f>
        <v>6.556372137469845E-3</v>
      </c>
      <c r="J203" s="55" cm="1">
        <f t="array" ref="J203">MMS_Dairy_Methane_Equations.VEERG_4_3_1_1__2_MethaneFromManureProduction(H$103,J141,$E$195,$G$188,$G$189)</f>
        <v>3.9324688071825046E-3</v>
      </c>
      <c r="K203" s="2" t="str">
        <f>$E$183</f>
        <v>kg CH4/head/day</v>
      </c>
      <c r="O203" s="55" t="str">
        <f>'Input - Dairy'!$D$54</f>
        <v>Milking shed</v>
      </c>
      <c r="P203" s="55" t="str">
        <f>'Input - Dairy'!$D$67</f>
        <v>Anaerobic lagoon</v>
      </c>
      <c r="Q203" s="55" cm="1">
        <f t="array" ref="Q203">MMS_Dairy_Methane_Equations.VEERG_4_3_1_1__2_MethaneFromManureProduction(O$103,Q141,$E$195,$G$188,$G$189)</f>
        <v>6.8742705211090795E-3</v>
      </c>
      <c r="R203" s="55" cm="1">
        <f t="array" ref="R203">MMS_Dairy_Methane_Equations.VEERG_4_3_1_1__2_MethaneFromManureProduction(P$103,R141,$E$195,$G$188,$G$189)</f>
        <v>5.3883631169955861E-3</v>
      </c>
      <c r="S203" s="55" cm="1">
        <f t="array" ref="S203">MMS_Dairy_Methane_Equations.VEERG_4_3_1_1__2_MethaneFromManureProduction(Q$103,S141,$E$195,$G$188,$G$189)</f>
        <v>2.922051982564853E-3</v>
      </c>
      <c r="T203" s="55" cm="1">
        <f t="array" ref="T203">MMS_Dairy_Methane_Equations.VEERG_4_3_1_1__2_MethaneFromManureProduction(R$103,T141,$E$195,$G$188,$G$189)</f>
        <v>6.556372137469845E-3</v>
      </c>
      <c r="U203" s="55" cm="1">
        <f t="array" ref="U203">MMS_Dairy_Methane_Equations.VEERG_4_3_1_1__2_MethaneFromManureProduction(S$103,U141,$E$195,$G$188,$G$189)</f>
        <v>3.9324688071825046E-3</v>
      </c>
      <c r="V203" s="2" t="str">
        <f>$E$183</f>
        <v>kg CH4/head/day</v>
      </c>
    </row>
    <row r="204" spans="4:22" ht="20.100000000000001" customHeight="1" x14ac:dyDescent="0.25">
      <c r="D204" s="55" t="str">
        <f>'Input - Dairy'!$D$54</f>
        <v>Milking shed</v>
      </c>
      <c r="E204" s="55" t="str">
        <f>'Input - Dairy'!$D$72</f>
        <v>Sump and dispersal system</v>
      </c>
      <c r="F204" s="55" cm="1">
        <f t="array" ref="F204">MMS_Dairy_Methane_Equations.VEERG_4_3_1_1__2_MethaneFromManureProduction(D$103,F142,$E$196,$G$188,$G$189)</f>
        <v>4.5225463954664985E-5</v>
      </c>
      <c r="G204" s="55" cm="1">
        <f t="array" ref="G204">MMS_Dairy_Methane_Equations.VEERG_4_3_1_1__2_MethaneFromManureProduction(E$103,G142,$E$196,$G$188,$G$189)</f>
        <v>3.5449757348655176E-5</v>
      </c>
      <c r="H204" s="55" cm="1">
        <f t="array" ref="H204">MMS_Dairy_Methane_Equations.VEERG_4_3_1_1__2_MethaneFromManureProduction(F$103,H142,$E$196,$G$188,$G$189)</f>
        <v>1.9224026201084556E-5</v>
      </c>
      <c r="I204" s="55" cm="1">
        <f t="array" ref="I204">MMS_Dairy_Methane_Equations.VEERG_4_3_1_1__2_MethaneFromManureProduction(G$103,I142,$E$196,$G$188,$G$189)</f>
        <v>4.313402722019635E-5</v>
      </c>
      <c r="J204" s="55" cm="1">
        <f t="array" ref="J204">MMS_Dairy_Methane_Equations.VEERG_4_3_1_1__2_MethaneFromManureProduction(H$103,J142,$E$196,$G$188,$G$189)</f>
        <v>2.587150531041121E-5</v>
      </c>
      <c r="K204" s="2" t="str">
        <f t="shared" ref="K204:K210" si="3">$E$183</f>
        <v>kg CH4/head/day</v>
      </c>
      <c r="O204" s="55" t="str">
        <f>'Input - Dairy'!$D$54</f>
        <v>Milking shed</v>
      </c>
      <c r="P204" s="55" t="str">
        <f>'Input - Dairy'!$D$72</f>
        <v>Sump and dispersal system</v>
      </c>
      <c r="Q204" s="55" cm="1">
        <f t="array" ref="Q204">MMS_Dairy_Methane_Equations.VEERG_4_3_1_1__2_MethaneFromManureProduction(O$103,Q142,$E$196,$G$188,$G$189)</f>
        <v>4.5225463954664985E-5</v>
      </c>
      <c r="R204" s="55" cm="1">
        <f t="array" ref="R204">MMS_Dairy_Methane_Equations.VEERG_4_3_1_1__2_MethaneFromManureProduction(P$103,R142,$E$196,$G$188,$G$189)</f>
        <v>3.5449757348655176E-5</v>
      </c>
      <c r="S204" s="55" cm="1">
        <f t="array" ref="S204">MMS_Dairy_Methane_Equations.VEERG_4_3_1_1__2_MethaneFromManureProduction(Q$103,S142,$E$196,$G$188,$G$189)</f>
        <v>1.9224026201084556E-5</v>
      </c>
      <c r="T204" s="55" cm="1">
        <f t="array" ref="T204">MMS_Dairy_Methane_Equations.VEERG_4_3_1_1__2_MethaneFromManureProduction(R$103,T142,$E$196,$G$188,$G$189)</f>
        <v>4.313402722019635E-5</v>
      </c>
      <c r="U204" s="55" cm="1">
        <f t="array" ref="U204">MMS_Dairy_Methane_Equations.VEERG_4_3_1_1__2_MethaneFromManureProduction(S$103,U142,$E$196,$G$188,$G$189)</f>
        <v>2.587150531041121E-5</v>
      </c>
      <c r="V204" s="2" t="str">
        <f t="shared" ref="V204:V210" si="4">$E$183</f>
        <v>kg CH4/head/day</v>
      </c>
    </row>
    <row r="205" spans="4:22" ht="20.100000000000001" customHeight="1" x14ac:dyDescent="0.25">
      <c r="D205" s="55" t="str">
        <f>'Input - Dairy'!$D$54</f>
        <v>Milking shed</v>
      </c>
      <c r="E205" s="55" t="str">
        <f>'Input - Dairy'!$D$77</f>
        <v>Drains to paddock</v>
      </c>
      <c r="F205" s="55" cm="1">
        <f t="array" ref="F205">MMS_Dairy_Methane_Equations.VEERG_4_3_1_1__2_MethaneFromManureProduction(D$103,F143,$E$197,$G$188,$G$189)</f>
        <v>1.6281167023679398E-3</v>
      </c>
      <c r="G205" s="55" cm="1">
        <f t="array" ref="G205">MMS_Dairy_Methane_Equations.VEERG_4_3_1_1__2_MethaneFromManureProduction(E$103,G143,$E$197,$G$188,$G$189)</f>
        <v>1.2761912645515865E-3</v>
      </c>
      <c r="H205" s="55" cm="1">
        <f t="array" ref="H205">MMS_Dairy_Methane_Equations.VEERG_4_3_1_1__2_MethaneFromManureProduction(F$103,H143,$E$197,$G$188,$G$189)</f>
        <v>6.9206494323904399E-4</v>
      </c>
      <c r="I205" s="55" cm="1">
        <f t="array" ref="I205">MMS_Dairy_Methane_Equations.VEERG_4_3_1_1__2_MethaneFromManureProduction(G$103,I143,$E$197,$G$188,$G$189)</f>
        <v>1.5528249799270685E-3</v>
      </c>
      <c r="J205" s="55" cm="1">
        <f t="array" ref="J205">MMS_Dairy_Methane_Equations.VEERG_4_3_1_1__2_MethaneFromManureProduction(H$103,J143,$E$197,$G$188,$G$189)</f>
        <v>9.3137419117480342E-4</v>
      </c>
      <c r="K205" s="2" t="str">
        <f t="shared" si="3"/>
        <v>kg CH4/head/day</v>
      </c>
      <c r="O205" s="55" t="str">
        <f>'Input - Dairy'!$D$54</f>
        <v>Milking shed</v>
      </c>
      <c r="P205" s="55" t="str">
        <f>'Input - Dairy'!$D$77</f>
        <v>Drains to paddock</v>
      </c>
      <c r="Q205" s="55" cm="1">
        <f t="array" ref="Q205">MMS_Dairy_Methane_Equations.VEERG_4_3_1_1__2_MethaneFromManureProduction(O$103,Q143,$E$197,$G$188,$G$189)</f>
        <v>1.6281167023679398E-3</v>
      </c>
      <c r="R205" s="55" cm="1">
        <f t="array" ref="R205">MMS_Dairy_Methane_Equations.VEERG_4_3_1_1__2_MethaneFromManureProduction(P$103,R143,$E$197,$G$188,$G$189)</f>
        <v>1.2761912645515865E-3</v>
      </c>
      <c r="S205" s="55" cm="1">
        <f t="array" ref="S205">MMS_Dairy_Methane_Equations.VEERG_4_3_1_1__2_MethaneFromManureProduction(Q$103,S143,$E$197,$G$188,$G$189)</f>
        <v>6.9206494323904399E-4</v>
      </c>
      <c r="T205" s="55" cm="1">
        <f t="array" ref="T205">MMS_Dairy_Methane_Equations.VEERG_4_3_1_1__2_MethaneFromManureProduction(R$103,T143,$E$197,$G$188,$G$189)</f>
        <v>1.5528249799270685E-3</v>
      </c>
      <c r="U205" s="55" cm="1">
        <f t="array" ref="U205">MMS_Dairy_Methane_Equations.VEERG_4_3_1_1__2_MethaneFromManureProduction(S$103,U143,$E$197,$G$188,$G$189)</f>
        <v>9.3137419117480342E-4</v>
      </c>
      <c r="V205" s="2" t="str">
        <f t="shared" si="4"/>
        <v>kg CH4/head/day</v>
      </c>
    </row>
    <row r="206" spans="4:22" ht="20.100000000000001" customHeight="1" x14ac:dyDescent="0.25">
      <c r="D206" s="55" t="str">
        <f>'Input - Dairy'!$D$54</f>
        <v>Milking shed</v>
      </c>
      <c r="E206" s="55" t="str">
        <f>'Input - Dairy'!$D$82</f>
        <v>Solid storage</v>
      </c>
      <c r="F206" s="55" cm="1">
        <f t="array" ref="F206">MMS_Dairy_Methane_Equations.VEERG_4_3_1_1__2_MethaneFromManureProduction(D$103,F172,$E$198,$G$188,$G$189)</f>
        <v>1.2334217442181361E-3</v>
      </c>
      <c r="G206" s="55" cm="1">
        <f t="array" ref="G206">MMS_Dairy_Methane_Equations.VEERG_4_3_1_1__2_MethaneFromManureProduction(E$103,G172,$E$198,$G$188,$G$189)</f>
        <v>9.6681156405423207E-4</v>
      </c>
      <c r="H206" s="55" cm="1">
        <f t="array" ref="H206">MMS_Dairy_Methane_Equations.VEERG_4_3_1_1__2_MethaneFromManureProduction(F$103,H172,$E$198,$G$188,$G$189)</f>
        <v>5.2429162366594254E-4</v>
      </c>
      <c r="I206" s="55" cm="1">
        <f t="array" ref="I206">MMS_Dairy_Methane_Equations.VEERG_4_3_1_1__2_MethaneFromManureProduction(G$103,I172,$E$198,$G$188,$G$189)</f>
        <v>1.1763825605508097E-3</v>
      </c>
      <c r="J206" s="55" cm="1">
        <f t="array" ref="J206">MMS_Dairy_Methane_Equations.VEERG_4_3_1_1__2_MethaneFromManureProduction(H$103,J172,$E$198,$G$188,$G$189)</f>
        <v>7.055865084657604E-4</v>
      </c>
      <c r="K206" s="2" t="str">
        <f t="shared" si="3"/>
        <v>kg CH4/head/day</v>
      </c>
      <c r="O206" s="55" t="str">
        <f>'Input - Dairy'!$D$54</f>
        <v>Milking shed</v>
      </c>
      <c r="P206" s="55" t="str">
        <f>'Input - Dairy'!$D$82</f>
        <v>Solid storage</v>
      </c>
      <c r="Q206" s="55" cm="1">
        <f t="array" ref="Q206">MMS_Dairy_Methane_Equations.VEERG_4_3_1_1__2_MethaneFromManureProduction(O$103,Q172,$E$198,$G$188,$G$189)</f>
        <v>3.6180371163731982E-4</v>
      </c>
      <c r="R206" s="55" cm="1">
        <f t="array" ref="R206">MMS_Dairy_Methane_Equations.VEERG_4_3_1_1__2_MethaneFromManureProduction(P$103,R172,$E$198,$G$188,$G$189)</f>
        <v>2.8359805878924141E-4</v>
      </c>
      <c r="S206" s="55" cm="1">
        <f t="array" ref="S206">MMS_Dairy_Methane_Equations.VEERG_4_3_1_1__2_MethaneFromManureProduction(Q$103,S172,$E$198,$G$188,$G$189)</f>
        <v>1.5379220960867642E-4</v>
      </c>
      <c r="T206" s="55" cm="1">
        <f t="array" ref="T206">MMS_Dairy_Methane_Equations.VEERG_4_3_1_1__2_MethaneFromManureProduction(R$103,T172,$E$198,$G$188,$G$189)</f>
        <v>3.4507221776157069E-4</v>
      </c>
      <c r="U206" s="55" cm="1">
        <f t="array" ref="U206">MMS_Dairy_Methane_Equations.VEERG_4_3_1_1__2_MethaneFromManureProduction(S$103,U172,$E$198,$G$188,$G$189)</f>
        <v>2.0697204248328968E-4</v>
      </c>
      <c r="V206" s="2" t="str">
        <f t="shared" si="4"/>
        <v>kg CH4/head/day</v>
      </c>
    </row>
    <row r="207" spans="4:22" ht="20.100000000000001" customHeight="1" x14ac:dyDescent="0.25">
      <c r="D207" s="55" t="str">
        <f>'Input - Dairy'!$D$55</f>
        <v>Feed pad</v>
      </c>
      <c r="E207" s="55" t="str">
        <f>'Input - Dairy'!$D$101</f>
        <v>Anaerobic lagoon</v>
      </c>
      <c r="F207" s="55" cm="1">
        <f t="array" ref="F207">MMS_Dairy_Methane_Equations.VEERG_4_3_1_1__2_MethaneFromManureProduction(D$103,F144,$E$195,$G$188,$G$189)</f>
        <v>2.7809548926304904E-2</v>
      </c>
      <c r="G207" s="55" cm="1">
        <f t="array" ref="G207">MMS_Dairy_Methane_Equations.VEERG_4_3_1_1__2_MethaneFromManureProduction(E$103,G144,$E$195,$G$188,$G$189)</f>
        <v>2.1798378064209416E-2</v>
      </c>
      <c r="H207" s="55" cm="1">
        <f t="array" ref="H207">MMS_Dairy_Methane_Equations.VEERG_4_3_1_1__2_MethaneFromManureProduction(F$103,H144,$E$195,$G$188,$G$189)</f>
        <v>1.1821028474921448E-2</v>
      </c>
      <c r="I207" s="55" cm="1">
        <f t="array" ref="I207">MMS_Dairy_Methane_Equations.VEERG_4_3_1_1__2_MethaneFromManureProduction(G$103,I144,$E$195,$G$188,$G$189)</f>
        <v>2.6523505465218911E-2</v>
      </c>
      <c r="J207" s="55" cm="1">
        <f t="array" ref="J207">MMS_Dairy_Methane_Equations.VEERG_4_3_1_1__2_MethaneFromManureProduction(H$103,J144,$E$195,$G$188,$G$189)</f>
        <v>1.5908623810874673E-2</v>
      </c>
      <c r="K207" s="2" t="str">
        <f t="shared" si="3"/>
        <v>kg CH4/head/day</v>
      </c>
      <c r="O207" s="55" t="str">
        <f>'Input - Dairy'!$D$55</f>
        <v>Feed pad</v>
      </c>
      <c r="P207" s="55" t="str">
        <f>'Input - Dairy'!$D$101</f>
        <v>Anaerobic lagoon</v>
      </c>
      <c r="Q207" s="55" cm="1">
        <f t="array" ref="Q207">MMS_Dairy_Methane_Equations.VEERG_4_3_1_1__2_MethaneFromManureProduction(O$103,Q144,$E$195,$G$188,$G$189)</f>
        <v>2.7809548926304904E-2</v>
      </c>
      <c r="R207" s="55" cm="1">
        <f t="array" ref="R207">MMS_Dairy_Methane_Equations.VEERG_4_3_1_1__2_MethaneFromManureProduction(P$103,R144,$E$195,$G$188,$G$189)</f>
        <v>2.1798378064209416E-2</v>
      </c>
      <c r="S207" s="55" cm="1">
        <f t="array" ref="S207">MMS_Dairy_Methane_Equations.VEERG_4_3_1_1__2_MethaneFromManureProduction(Q$103,S144,$E$195,$G$188,$G$189)</f>
        <v>1.1821028474921448E-2</v>
      </c>
      <c r="T207" s="55" cm="1">
        <f t="array" ref="T207">MMS_Dairy_Methane_Equations.VEERG_4_3_1_1__2_MethaneFromManureProduction(R$103,T144,$E$195,$G$188,$G$189)</f>
        <v>2.6523505465218911E-2</v>
      </c>
      <c r="U207" s="55" cm="1">
        <f t="array" ref="U207">MMS_Dairy_Methane_Equations.VEERG_4_3_1_1__2_MethaneFromManureProduction(S$103,U144,$E$195,$G$188,$G$189)</f>
        <v>1.5908623810874673E-2</v>
      </c>
      <c r="V207" s="2" t="str">
        <f t="shared" si="4"/>
        <v>kg CH4/head/day</v>
      </c>
    </row>
    <row r="208" spans="4:22" ht="20.100000000000001" customHeight="1" x14ac:dyDescent="0.25">
      <c r="D208" s="55" t="str">
        <f>'Input - Dairy'!$D$55</f>
        <v>Feed pad</v>
      </c>
      <c r="E208" s="55" t="str">
        <f>'Input - Dairy'!$D$106</f>
        <v>Sump and dispersal system</v>
      </c>
      <c r="F208" s="55" cm="1">
        <f t="array" ref="F208">MMS_Dairy_Methane_Equations.VEERG_4_3_1_1__2_MethaneFromManureProduction(D$103,F145,$E$196,$G$188,$G$189)</f>
        <v>1.4636604698055217E-4</v>
      </c>
      <c r="G208" s="55" cm="1">
        <f t="array" ref="G208">MMS_Dairy_Methane_Equations.VEERG_4_3_1_1__2_MethaneFromManureProduction(E$103,G145,$E$196,$G$188,$G$189)</f>
        <v>1.1472830560110218E-4</v>
      </c>
      <c r="H208" s="55" cm="1">
        <f t="array" ref="H208">MMS_Dairy_Methane_Equations.VEERG_4_3_1_1__2_MethaneFromManureProduction(F$103,H145,$E$196,$G$188,$G$189)</f>
        <v>6.2215939341691832E-5</v>
      </c>
      <c r="I208" s="55" cm="1">
        <f t="array" ref="I208">MMS_Dairy_Methane_Equations.VEERG_4_3_1_1__2_MethaneFromManureProduction(G$103,I145,$E$196,$G$188,$G$189)</f>
        <v>1.3959739718536268E-4</v>
      </c>
      <c r="J208" s="55" cm="1">
        <f t="array" ref="J208">MMS_Dairy_Methane_Equations.VEERG_4_3_1_1__2_MethaneFromManureProduction(H$103,J145,$E$196,$G$188,$G$189)</f>
        <v>8.3729599004603552E-5</v>
      </c>
      <c r="K208" s="2" t="str">
        <f t="shared" si="3"/>
        <v>kg CH4/head/day</v>
      </c>
      <c r="O208" s="55" t="str">
        <f>'Input - Dairy'!$D$55</f>
        <v>Feed pad</v>
      </c>
      <c r="P208" s="55" t="str">
        <f>'Input - Dairy'!$D$106</f>
        <v>Sump and dispersal system</v>
      </c>
      <c r="Q208" s="55" cm="1">
        <f t="array" ref="Q208">MMS_Dairy_Methane_Equations.VEERG_4_3_1_1__2_MethaneFromManureProduction(O$103,Q145,$E$196,$G$188,$G$189)</f>
        <v>1.4636604698055217E-4</v>
      </c>
      <c r="R208" s="55" cm="1">
        <f t="array" ref="R208">MMS_Dairy_Methane_Equations.VEERG_4_3_1_1__2_MethaneFromManureProduction(P$103,R145,$E$196,$G$188,$G$189)</f>
        <v>1.1472830560110218E-4</v>
      </c>
      <c r="S208" s="55" cm="1">
        <f t="array" ref="S208">MMS_Dairy_Methane_Equations.VEERG_4_3_1_1__2_MethaneFromManureProduction(Q$103,S145,$E$196,$G$188,$G$189)</f>
        <v>6.2215939341691832E-5</v>
      </c>
      <c r="T208" s="55" cm="1">
        <f t="array" ref="T208">MMS_Dairy_Methane_Equations.VEERG_4_3_1_1__2_MethaneFromManureProduction(R$103,T145,$E$196,$G$188,$G$189)</f>
        <v>1.3959739718536268E-4</v>
      </c>
      <c r="U208" s="55" cm="1">
        <f t="array" ref="U208">MMS_Dairy_Methane_Equations.VEERG_4_3_1_1__2_MethaneFromManureProduction(S$103,U145,$E$196,$G$188,$G$189)</f>
        <v>8.3729599004603552E-5</v>
      </c>
      <c r="V208" s="2" t="str">
        <f t="shared" si="4"/>
        <v>kg CH4/head/day</v>
      </c>
    </row>
    <row r="209" spans="3:23" ht="20.100000000000001" customHeight="1" x14ac:dyDescent="0.25">
      <c r="D209" s="55" t="str">
        <f>'Input - Dairy'!$D$55</f>
        <v>Feed pad</v>
      </c>
      <c r="E209" s="55" t="str">
        <f>'Input - Dairy'!$D$111</f>
        <v>Drains to paddock</v>
      </c>
      <c r="F209" s="55" cm="1">
        <f t="array" ref="F209">MMS_Dairy_Methane_Equations.VEERG_4_3_1_1__2_MethaneFromManureProduction(D$103,F146,$E$197,$G$188,$G$189)</f>
        <v>5.2691776912998757E-3</v>
      </c>
      <c r="G209" s="55" cm="1">
        <f t="array" ref="G209">MMS_Dairy_Methane_Equations.VEERG_4_3_1_1__2_MethaneFromManureProduction(E$103,G146,$E$197,$G$188,$G$189)</f>
        <v>4.1302190016396789E-3</v>
      </c>
      <c r="H209" s="55" cm="1">
        <f t="array" ref="H209">MMS_Dairy_Methane_Equations.VEERG_4_3_1_1__2_MethaneFromManureProduction(F$103,H146,$E$197,$G$188,$G$189)</f>
        <v>2.2397738163009058E-3</v>
      </c>
      <c r="I209" s="55" cm="1">
        <f t="array" ref="I209">MMS_Dairy_Methane_Equations.VEERG_4_3_1_1__2_MethaneFromManureProduction(G$103,I146,$E$197,$G$188,$G$189)</f>
        <v>5.0255062986730567E-3</v>
      </c>
      <c r="J209" s="55" cm="1">
        <f t="array" ref="J209">MMS_Dairy_Methane_Equations.VEERG_4_3_1_1__2_MethaneFromManureProduction(H$103,J146,$E$197,$G$188,$G$189)</f>
        <v>3.0142655641657275E-3</v>
      </c>
      <c r="K209" s="2" t="str">
        <f t="shared" si="3"/>
        <v>kg CH4/head/day</v>
      </c>
      <c r="O209" s="55" t="str">
        <f>'Input - Dairy'!$D$55</f>
        <v>Feed pad</v>
      </c>
      <c r="P209" s="55" t="str">
        <f>'Input - Dairy'!$D$111</f>
        <v>Drains to paddock</v>
      </c>
      <c r="Q209" s="55" cm="1">
        <f t="array" ref="Q209">MMS_Dairy_Methane_Equations.VEERG_4_3_1_1__2_MethaneFromManureProduction(O$103,Q146,$E$197,$G$188,$G$189)</f>
        <v>5.2691776912998757E-3</v>
      </c>
      <c r="R209" s="55" cm="1">
        <f t="array" ref="R209">MMS_Dairy_Methane_Equations.VEERG_4_3_1_1__2_MethaneFromManureProduction(P$103,R146,$E$197,$G$188,$G$189)</f>
        <v>4.1302190016396789E-3</v>
      </c>
      <c r="S209" s="55" cm="1">
        <f t="array" ref="S209">MMS_Dairy_Methane_Equations.VEERG_4_3_1_1__2_MethaneFromManureProduction(Q$103,S146,$E$197,$G$188,$G$189)</f>
        <v>2.2397738163009058E-3</v>
      </c>
      <c r="T209" s="55" cm="1">
        <f t="array" ref="T209">MMS_Dairy_Methane_Equations.VEERG_4_3_1_1__2_MethaneFromManureProduction(R$103,T146,$E$197,$G$188,$G$189)</f>
        <v>5.0255062986730567E-3</v>
      </c>
      <c r="U209" s="55" cm="1">
        <f t="array" ref="U209">MMS_Dairy_Methane_Equations.VEERG_4_3_1_1__2_MethaneFromManureProduction(S$103,U146,$E$197,$G$188,$G$189)</f>
        <v>3.0142655641657275E-3</v>
      </c>
      <c r="V209" s="2" t="str">
        <f t="shared" si="4"/>
        <v>kg CH4/head/day</v>
      </c>
    </row>
    <row r="210" spans="3:23" ht="20.100000000000001" customHeight="1" x14ac:dyDescent="0.25">
      <c r="D210" s="55" t="str">
        <f>'Input - Dairy'!$D$55</f>
        <v>Feed pad</v>
      </c>
      <c r="E210" s="55" t="str">
        <f>'Input - Dairy'!$D$116</f>
        <v>Solid storage</v>
      </c>
      <c r="F210" s="55" cm="1">
        <f t="array" ref="F210">MMS_Dairy_Methane_Equations.VEERG_4_3_1_1__2_MethaneFromManureProduction(D$103,F173,$E$198,$G$188,$G$189)</f>
        <v>1.0245623288638649E-3</v>
      </c>
      <c r="G210" s="55" cm="1">
        <f t="array" ref="G210">MMS_Dairy_Methane_Equations.VEERG_4_3_1_1__2_MethaneFromManureProduction(E$103,G173,$E$198,$G$188,$G$189)</f>
        <v>8.0309813920771526E-4</v>
      </c>
      <c r="H210" s="55" cm="1">
        <f t="array" ref="H210">MMS_Dairy_Methane_Equations.VEERG_4_3_1_1__2_MethaneFromManureProduction(F$103,H173,$E$198,$G$188,$G$189)</f>
        <v>4.3551157539184287E-4</v>
      </c>
      <c r="I210" s="55" cm="1">
        <f t="array" ref="I210">MMS_Dairy_Methane_Equations.VEERG_4_3_1_1__2_MethaneFromManureProduction(G$103,I173,$E$198,$G$188,$G$189)</f>
        <v>9.7718178029753897E-4</v>
      </c>
      <c r="J210" s="55" cm="1">
        <f t="array" ref="J210">MMS_Dairy_Methane_Equations.VEERG_4_3_1_1__2_MethaneFromManureProduction(H$103,J173,$E$198,$G$188,$G$189)</f>
        <v>5.8610719303222485E-4</v>
      </c>
      <c r="K210" s="2" t="str">
        <f t="shared" si="3"/>
        <v>kg CH4/head/day</v>
      </c>
      <c r="O210" s="55" t="str">
        <f>'Input - Dairy'!$D$55</f>
        <v>Feed pad</v>
      </c>
      <c r="P210" s="55" t="str">
        <f>'Input - Dairy'!$D$116</f>
        <v>Solid storage</v>
      </c>
      <c r="Q210" s="55" cm="1">
        <f t="array" ref="Q210">MMS_Dairy_Methane_Equations.VEERG_4_3_1_1__2_MethaneFromManureProduction(O$103,Q173,$E$198,$G$188,$G$189)</f>
        <v>1.0245623288638649E-3</v>
      </c>
      <c r="R210" s="55" cm="1">
        <f t="array" ref="R210">MMS_Dairy_Methane_Equations.VEERG_4_3_1_1__2_MethaneFromManureProduction(P$103,R173,$E$198,$G$188,$G$189)</f>
        <v>8.0309813920771526E-4</v>
      </c>
      <c r="S210" s="55" cm="1">
        <f t="array" ref="S210">MMS_Dairy_Methane_Equations.VEERG_4_3_1_1__2_MethaneFromManureProduction(Q$103,S173,$E$198,$G$188,$G$189)</f>
        <v>4.3551157539184287E-4</v>
      </c>
      <c r="T210" s="55" cm="1">
        <f t="array" ref="T210">MMS_Dairy_Methane_Equations.VEERG_4_3_1_1__2_MethaneFromManureProduction(R$103,T173,$E$198,$G$188,$G$189)</f>
        <v>9.7718178029753897E-4</v>
      </c>
      <c r="U210" s="55" cm="1">
        <f t="array" ref="U210">MMS_Dairy_Methane_Equations.VEERG_4_3_1_1__2_MethaneFromManureProduction(S$103,U173,$E$198,$G$188,$G$189)</f>
        <v>5.8610719303222485E-4</v>
      </c>
      <c r="V210" s="2" t="str">
        <f t="shared" si="4"/>
        <v>kg CH4/head/day</v>
      </c>
    </row>
    <row r="211" spans="3:23" ht="20.100000000000001" customHeight="1" x14ac:dyDescent="0.25"/>
    <row r="212" spans="3:23" ht="20.100000000000001" customHeight="1" x14ac:dyDescent="0.25"/>
    <row r="213" spans="3:23" ht="20.100000000000001" customHeight="1" x14ac:dyDescent="0.25">
      <c r="C213" s="48"/>
      <c r="D213" s="48"/>
      <c r="E213" s="48"/>
      <c r="F213" s="48"/>
      <c r="G213" s="48"/>
      <c r="H213" s="48"/>
      <c r="I213" s="48"/>
      <c r="J213" s="48"/>
      <c r="K213" s="48"/>
      <c r="L213" s="48"/>
      <c r="N213" s="48"/>
      <c r="O213" s="48"/>
      <c r="P213" s="48"/>
      <c r="Q213" s="48"/>
      <c r="R213" s="48"/>
      <c r="S213" s="48"/>
      <c r="T213" s="48"/>
      <c r="U213" s="48"/>
      <c r="V213" s="48"/>
      <c r="W213" s="48"/>
    </row>
    <row r="214" spans="3:23" ht="20.100000000000001" customHeight="1" x14ac:dyDescent="0.25">
      <c r="D214" s="6" t="str" cm="1">
        <f t="array" ref="D214">MMS_Dairy_Methane_Equations.VEERG_4_3_1_1__1_TotalAnnualMethaneFromManureManagement_Title()</f>
        <v>Total annual methane production from manure management</v>
      </c>
    </row>
    <row r="215" spans="3:23" ht="20.100000000000001" customHeight="1" x14ac:dyDescent="0.25">
      <c r="D215" s="5" t="str" cm="1">
        <f t="array" ref="D215">MMS_Dairy_Methane_Equations.VEERG_4_3_1_1__1_TotalAnnualMethaneFromManureManagement_Source()</f>
        <v>VEERG 2026: 4.3.1.1, Equation (1)</v>
      </c>
    </row>
    <row r="216" spans="3:23" ht="20.100000000000001" customHeight="1" x14ac:dyDescent="0.25">
      <c r="D216" s="58" t="str" cm="1">
        <f t="array" ref="D216">MMS_Dairy_Methane_Equations.VEERG_4_3_1_1__1_TotalAnnualMethaneFromManureManagement_Variation()</f>
        <v>VARIATION: Used separate variable for duration of stay on farm for pre-weaned heifer and bull calves.</v>
      </c>
    </row>
    <row r="217" spans="3:23" ht="20.100000000000001" customHeight="1" x14ac:dyDescent="0.25">
      <c r="D217" s="13" t="s">
        <v>28</v>
      </c>
      <c r="E217" s="13" t="str" cm="1">
        <f t="array" aca="1" ref="E217" ca="1">Common_InputFunctions.Utility_DisplayFunctionName($F$255)</f>
        <v>=MMS_Dairy_Methane_Equations.VEERG_4_3_1_1__1_TotalAnnualMethaneFromManureManagementVariation</v>
      </c>
    </row>
    <row r="218" spans="3:23" ht="20.100000000000001" customHeight="1" x14ac:dyDescent="0.25">
      <c r="D218" s="6"/>
    </row>
    <row r="219" spans="3:23" ht="20.100000000000001" customHeight="1" x14ac:dyDescent="0.25">
      <c r="D219" s="6"/>
    </row>
    <row r="220" spans="3:23" ht="20.100000000000001" customHeight="1" x14ac:dyDescent="0.25">
      <c r="D220" s="56" t="s">
        <v>31</v>
      </c>
      <c r="E220" s="1" t="str" cm="1">
        <f t="array" ref="E220">MMS_Dairy_Methane_Equations.VEERG_4_3_1_1__1_TotalAnnualMethaneFromManureManagement_Variable()</f>
        <v>E_CH4</v>
      </c>
    </row>
    <row r="221" spans="3:23" ht="20.100000000000001" customHeight="1" x14ac:dyDescent="0.25">
      <c r="D221" s="56" t="s">
        <v>21</v>
      </c>
      <c r="E221" s="57" t="str" cm="1">
        <f t="array" ref="E221">MMS_Dairy_Methane_Equations.VEERG_4_3_1_1__1_TotalAnnualMethaneFromManureManagement_Unit()</f>
        <v>t CH4</v>
      </c>
    </row>
    <row r="222" spans="3:23" ht="20.100000000000001" customHeight="1" x14ac:dyDescent="0.25"/>
    <row r="223" spans="3:23" ht="20.100000000000001" customHeight="1" x14ac:dyDescent="0.25">
      <c r="D223" s="60" t="str" cm="1">
        <f t="array" ref="D223:E230">MMS_Dairy_Methane_Equations.VEERG_4_3_1_1__1_TotalAnnualMethaneFromManureManagement_Arguments()</f>
        <v>N_j124</v>
      </c>
      <c r="E223" s="61" t="str">
        <v>number of dairy cattle in classes j=1,2,4</v>
      </c>
      <c r="F223" s="105"/>
      <c r="G223" s="62"/>
      <c r="H223" s="60" t="str">
        <f>"See " &amp; $D$232</f>
        <v>See Table_N_j</v>
      </c>
    </row>
    <row r="224" spans="3:23" ht="20.100000000000001" customHeight="1" x14ac:dyDescent="0.25">
      <c r="D224" s="60" t="str">
        <v>M_j124m</v>
      </c>
      <c r="E224" s="61" t="str">
        <v>methane production from manure of weaned dairy cattle in classes j=1,2,4 in MMS m (kg CH4/head/day)</v>
      </c>
      <c r="F224" s="105"/>
      <c r="G224" s="62"/>
      <c r="H224" s="60" t="str">
        <f>"See " &amp; $D$200</f>
        <v>See M1_M_j_m</v>
      </c>
    </row>
    <row r="225" spans="4:20" ht="20.100000000000001" customHeight="1" x14ac:dyDescent="0.25">
      <c r="D225" s="60" t="str">
        <v>D_j124</v>
      </c>
      <c r="E225" s="61" t="str">
        <v>duration of stay on farm for classes j=1,2,4 (days)</v>
      </c>
      <c r="F225" s="105"/>
      <c r="G225" s="62"/>
      <c r="H225" s="60" t="str">
        <f>"See " &amp; $D$237</f>
        <v>See M1_Table_D_j</v>
      </c>
    </row>
    <row r="226" spans="4:20" ht="20.100000000000001" customHeight="1" x14ac:dyDescent="0.25">
      <c r="D226" s="60" t="str">
        <v>N_j35</v>
      </c>
      <c r="E226" s="61" t="str">
        <v>number of dairy cattle in classes j=3,5</v>
      </c>
      <c r="F226" s="105"/>
      <c r="G226" s="62"/>
      <c r="H226" s="60" t="str">
        <f>"See " &amp; $D$232</f>
        <v>See Table_N_j</v>
      </c>
    </row>
    <row r="227" spans="4:20" ht="20.100000000000001" customHeight="1" x14ac:dyDescent="0.25">
      <c r="D227" s="60" t="str">
        <v>M_j35m</v>
      </c>
      <c r="E227" s="61" t="str">
        <v>methane production from manure of weaned dairy cattle in classes j=3,5 in MMS m (kg CH4/head/day)</v>
      </c>
      <c r="F227" s="105"/>
      <c r="G227" s="62"/>
      <c r="H227" s="60" t="str">
        <f>"See " &amp; $D$200</f>
        <v>See M1_M_j_m</v>
      </c>
    </row>
    <row r="228" spans="4:20" ht="20.100000000000001" customHeight="1" x14ac:dyDescent="0.25">
      <c r="D228" s="60" t="str">
        <v>D_j35</v>
      </c>
      <c r="E228" s="61" t="str">
        <v>duration of stay on farm for classes j=3,5 (days)</v>
      </c>
      <c r="F228" s="105"/>
      <c r="G228" s="62"/>
      <c r="H228" s="60" t="str">
        <f>"See " &amp; $D$237</f>
        <v>See M1_Table_D_j</v>
      </c>
    </row>
    <row r="229" spans="4:20" ht="20.100000000000001" customHeight="1" x14ac:dyDescent="0.25">
      <c r="D229" s="60" t="str">
        <v>MPW_manure_j35</v>
      </c>
      <c r="E229" s="61" t="str">
        <v>methane production from manure of pre-weaned heifer and bull calves (kg CH4/head/day)</v>
      </c>
      <c r="F229" s="105"/>
      <c r="G229" s="62"/>
      <c r="H229" s="60" t="str">
        <f>"See " &amp; $D$242</f>
        <v>See Table_MPW_manure_j-3-5</v>
      </c>
    </row>
    <row r="230" spans="4:20" ht="20.100000000000001" customHeight="1" x14ac:dyDescent="0.25">
      <c r="D230" s="60" t="str">
        <v>DPW_j35</v>
      </c>
      <c r="E230" s="61" t="str">
        <v>duration of stay on farm for pre-weaned heifer and bull calves (days)</v>
      </c>
      <c r="F230" s="105"/>
      <c r="G230" s="62"/>
      <c r="H230" s="60" t="str">
        <f>"See " &amp; $D$247</f>
        <v>See M1_Table_DPW_j</v>
      </c>
    </row>
    <row r="231" spans="4:20" ht="20.100000000000001" customHeight="1" x14ac:dyDescent="0.25"/>
    <row r="232" spans="4:20" ht="20.100000000000001" customHeight="1" x14ac:dyDescent="0.25">
      <c r="D232" s="104" t="s">
        <v>109</v>
      </c>
    </row>
    <row r="233" spans="4:20" ht="20.100000000000001" customHeight="1" x14ac:dyDescent="0.25">
      <c r="D233" s="103" t="s">
        <v>279</v>
      </c>
    </row>
    <row r="234" spans="4:20" ht="20.100000000000001" customHeight="1" x14ac:dyDescent="0.25">
      <c r="D234" s="54" t="s">
        <v>178</v>
      </c>
      <c r="E234" s="54" t="s">
        <v>195</v>
      </c>
      <c r="F234" s="54" t="s">
        <v>196</v>
      </c>
      <c r="G234" s="54" t="s">
        <v>197</v>
      </c>
      <c r="H234" s="54" t="s">
        <v>198</v>
      </c>
    </row>
    <row r="235" spans="4:20" ht="20.100000000000001" customHeight="1" x14ac:dyDescent="0.25">
      <c r="D235" s="107">
        <f>'Input - Dairy'!$E$10</f>
        <v>100</v>
      </c>
      <c r="E235" s="107">
        <f>'Input - Dairy'!$F$10</f>
        <v>100</v>
      </c>
      <c r="F235" s="107">
        <f>'Input - Dairy'!$G$10</f>
        <v>100</v>
      </c>
      <c r="G235" s="107">
        <f>'Input - Dairy'!$H$10</f>
        <v>100</v>
      </c>
      <c r="H235" s="107">
        <f>'Input - Dairy'!$I$10</f>
        <v>100</v>
      </c>
      <c r="I235" s="2" t="s">
        <v>110</v>
      </c>
    </row>
    <row r="236" spans="4:20" ht="20.100000000000001" customHeight="1" x14ac:dyDescent="0.25"/>
    <row r="237" spans="4:20" ht="20.100000000000001" customHeight="1" x14ac:dyDescent="0.25">
      <c r="D237" s="104" t="s">
        <v>280</v>
      </c>
      <c r="O237" s="104" t="s">
        <v>290</v>
      </c>
    </row>
    <row r="238" spans="4:20" ht="20.100000000000001" customHeight="1" x14ac:dyDescent="0.25">
      <c r="D238" s="103" t="s">
        <v>288</v>
      </c>
      <c r="O238" s="103" t="s">
        <v>291</v>
      </c>
    </row>
    <row r="239" spans="4:20" ht="20.100000000000001" customHeight="1" x14ac:dyDescent="0.25">
      <c r="D239" s="54" t="s">
        <v>178</v>
      </c>
      <c r="E239" s="54" t="s">
        <v>195</v>
      </c>
      <c r="F239" s="54" t="s">
        <v>196</v>
      </c>
      <c r="G239" s="54" t="s">
        <v>197</v>
      </c>
      <c r="H239" s="54" t="s">
        <v>198</v>
      </c>
      <c r="O239" s="54" t="s">
        <v>178</v>
      </c>
      <c r="P239" s="54" t="s">
        <v>195</v>
      </c>
      <c r="Q239" s="54" t="s">
        <v>196</v>
      </c>
      <c r="R239" s="54" t="s">
        <v>197</v>
      </c>
      <c r="S239" s="54" t="s">
        <v>198</v>
      </c>
    </row>
    <row r="240" spans="4:20" ht="20.100000000000001" customHeight="1" x14ac:dyDescent="0.25">
      <c r="D240" s="55">
        <f>'Input - Dairy'!$E$24</f>
        <v>365</v>
      </c>
      <c r="E240" s="55">
        <f>'Input - Dairy'!$F$24</f>
        <v>365</v>
      </c>
      <c r="F240" s="55">
        <f>'Input - Dairy'!$G$24</f>
        <v>281</v>
      </c>
      <c r="G240" s="55">
        <f>'Input - Dairy'!$H$24</f>
        <v>365</v>
      </c>
      <c r="H240" s="55">
        <f>'Input - Dairy'!$I$24</f>
        <v>281</v>
      </c>
      <c r="I240" s="2" t="s">
        <v>56</v>
      </c>
      <c r="O240" s="55">
        <f>'Input - Dairy'!$E$28</f>
        <v>365</v>
      </c>
      <c r="P240" s="55">
        <f>'Input - Dairy'!$F$28</f>
        <v>365</v>
      </c>
      <c r="Q240" s="55">
        <f>'Input - Dairy'!$G$28</f>
        <v>281</v>
      </c>
      <c r="R240" s="55">
        <f>'Input - Dairy'!$H$28</f>
        <v>365</v>
      </c>
      <c r="S240" s="55">
        <f>'Input - Dairy'!$I$28</f>
        <v>281</v>
      </c>
      <c r="T240" s="2" t="s">
        <v>56</v>
      </c>
    </row>
    <row r="241" spans="4:21" ht="20.100000000000001" customHeight="1" x14ac:dyDescent="0.25"/>
    <row r="242" spans="4:21" ht="20.100000000000001" customHeight="1" x14ac:dyDescent="0.25">
      <c r="D242" s="104" t="s">
        <v>282</v>
      </c>
    </row>
    <row r="243" spans="4:21" ht="20.100000000000001" customHeight="1" x14ac:dyDescent="0.25">
      <c r="D243" s="103" t="s">
        <v>283</v>
      </c>
    </row>
    <row r="244" spans="4:21" ht="20.100000000000001" customHeight="1" x14ac:dyDescent="0.25">
      <c r="D244" s="54" t="s">
        <v>178</v>
      </c>
      <c r="E244" s="54" t="s">
        <v>195</v>
      </c>
      <c r="F244" s="54" t="s">
        <v>196</v>
      </c>
      <c r="G244" s="54" t="s">
        <v>197</v>
      </c>
      <c r="H244" s="54" t="s">
        <v>198</v>
      </c>
    </row>
    <row r="245" spans="4:21" ht="20.100000000000001" customHeight="1" x14ac:dyDescent="0.25">
      <c r="D245" s="55">
        <v>0</v>
      </c>
      <c r="E245" s="55">
        <v>0</v>
      </c>
      <c r="F245" s="55">
        <f>'Constants - Dairy'!$E$63</f>
        <v>1.7600000000000001E-2</v>
      </c>
      <c r="G245" s="55">
        <v>0</v>
      </c>
      <c r="H245" s="55">
        <f>'Constants - Dairy'!$E$64</f>
        <v>2.0400000000000001E-2</v>
      </c>
      <c r="I245" s="2" t="s">
        <v>285</v>
      </c>
    </row>
    <row r="246" spans="4:21" ht="20.100000000000001" customHeight="1" x14ac:dyDescent="0.25"/>
    <row r="247" spans="4:21" ht="20.100000000000001" customHeight="1" x14ac:dyDescent="0.25">
      <c r="D247" s="104" t="s">
        <v>281</v>
      </c>
      <c r="O247" s="104" t="s">
        <v>281</v>
      </c>
    </row>
    <row r="248" spans="4:21" ht="20.100000000000001" customHeight="1" x14ac:dyDescent="0.25">
      <c r="D248" s="103" t="s">
        <v>289</v>
      </c>
      <c r="O248" s="103" t="s">
        <v>289</v>
      </c>
    </row>
    <row r="249" spans="4:21" ht="20.100000000000001" customHeight="1" x14ac:dyDescent="0.25">
      <c r="D249" s="54" t="s">
        <v>178</v>
      </c>
      <c r="E249" s="54" t="s">
        <v>195</v>
      </c>
      <c r="F249" s="54" t="s">
        <v>196</v>
      </c>
      <c r="G249" s="54" t="s">
        <v>197</v>
      </c>
      <c r="H249" s="54" t="s">
        <v>198</v>
      </c>
      <c r="O249" s="54" t="s">
        <v>178</v>
      </c>
      <c r="P249" s="54" t="s">
        <v>195</v>
      </c>
      <c r="Q249" s="54" t="s">
        <v>196</v>
      </c>
      <c r="R249" s="54" t="s">
        <v>197</v>
      </c>
      <c r="S249" s="54" t="s">
        <v>198</v>
      </c>
    </row>
    <row r="250" spans="4:21" ht="20.100000000000001" customHeight="1" x14ac:dyDescent="0.25">
      <c r="D250" s="55">
        <f>'Input - Dairy'!$E$25</f>
        <v>0</v>
      </c>
      <c r="E250" s="55">
        <f>'Input - Dairy'!$F$25</f>
        <v>0</v>
      </c>
      <c r="F250" s="55">
        <f>'Input - Dairy'!$G$25</f>
        <v>84</v>
      </c>
      <c r="G250" s="55">
        <f>'Input - Dairy'!$H$25</f>
        <v>0</v>
      </c>
      <c r="H250" s="55">
        <f>'Input - Dairy'!$I$25</f>
        <v>84</v>
      </c>
      <c r="I250" s="2" t="s">
        <v>56</v>
      </c>
      <c r="O250" s="55">
        <f>'Input - Dairy'!$E$29</f>
        <v>0</v>
      </c>
      <c r="P250" s="55">
        <f>'Input - Dairy'!$F$29</f>
        <v>0</v>
      </c>
      <c r="Q250" s="55">
        <f>'Input - Dairy'!$G$29</f>
        <v>84</v>
      </c>
      <c r="R250" s="55">
        <f>'Input - Dairy'!$H$29</f>
        <v>0</v>
      </c>
      <c r="S250" s="55">
        <f>'Input - Dairy'!$I$29</f>
        <v>84</v>
      </c>
      <c r="T250" s="2" t="s">
        <v>56</v>
      </c>
    </row>
    <row r="251" spans="4:21" ht="20.100000000000001" customHeight="1" x14ac:dyDescent="0.25"/>
    <row r="252" spans="4:21" ht="20.100000000000001" customHeight="1" x14ac:dyDescent="0.25">
      <c r="D252" s="104" t="s">
        <v>284</v>
      </c>
      <c r="O252" s="104" t="s">
        <v>284</v>
      </c>
    </row>
    <row r="253" spans="4:21" ht="20.100000000000001" customHeight="1" x14ac:dyDescent="0.25">
      <c r="D253" s="103" t="s">
        <v>296</v>
      </c>
      <c r="O253" s="103" t="s">
        <v>296</v>
      </c>
    </row>
    <row r="254" spans="4:21" ht="20.100000000000001" customHeight="1" x14ac:dyDescent="0.25">
      <c r="D254" s="54" t="s">
        <v>152</v>
      </c>
      <c r="E254" s="54" t="s">
        <v>69</v>
      </c>
      <c r="F254" s="54" t="s">
        <v>178</v>
      </c>
      <c r="G254" s="54" t="s">
        <v>195</v>
      </c>
      <c r="H254" s="54" t="s">
        <v>196</v>
      </c>
      <c r="I254" s="54" t="s">
        <v>197</v>
      </c>
      <c r="J254" s="54" t="s">
        <v>198</v>
      </c>
      <c r="O254" s="54" t="s">
        <v>152</v>
      </c>
      <c r="P254" s="54" t="s">
        <v>69</v>
      </c>
      <c r="Q254" s="54" t="s">
        <v>178</v>
      </c>
      <c r="R254" s="54" t="s">
        <v>195</v>
      </c>
      <c r="S254" s="54" t="s">
        <v>196</v>
      </c>
      <c r="T254" s="54" t="s">
        <v>197</v>
      </c>
      <c r="U254" s="54" t="s">
        <v>198</v>
      </c>
    </row>
    <row r="255" spans="4:21" ht="20.100000000000001" customHeight="1" x14ac:dyDescent="0.25">
      <c r="D255" s="55" t="str">
        <f>'Input - Dairy'!$D$54</f>
        <v>Milking shed</v>
      </c>
      <c r="E255" s="55" t="str">
        <f>'Input - Dairy'!$D$67</f>
        <v>Anaerobic lagoon</v>
      </c>
      <c r="F255" s="55" cm="1">
        <f t="array" ref="F255">MMS_Dairy_Methane_Equations.VEERG_4_3_1_1__1_TotalAnnualMethaneFromManureManagementVariation(D$235,F203,D$240,0,0,0,0,0)</f>
        <v>0.2509108740204814</v>
      </c>
      <c r="G255" s="55" cm="1">
        <f t="array" ref="G255">MMS_Dairy_Methane_Equations.VEERG_4_3_1_1__1_TotalAnnualMethaneFromManureManagementVariation(E$235,G203,E$240,0,0,0,0,0)</f>
        <v>0.1966752537703389</v>
      </c>
      <c r="H255" s="55" cm="1">
        <f t="array" ref="H255">MMS_Dairy_Methane_Equations.VEERG_4_3_1_1__1_TotalAnnualMethaneFromManureManagementVariation(0,0,0,F$235,H203,F$240,F$245,F$250)</f>
        <v>0.22994966071007236</v>
      </c>
      <c r="I255" s="55" cm="1">
        <f t="array" ref="I255">MMS_Dairy_Methane_Equations.VEERG_4_3_1_1__1_TotalAnnualMethaneFromManureManagementVariation(G$235,I203,G$240,0,0,0,0,0)</f>
        <v>0.23930758301764934</v>
      </c>
      <c r="J255" s="55" cm="1">
        <f t="array" ref="J255">MMS_Dairy_Methane_Equations.VEERG_4_3_1_1__1_TotalAnnualMethaneFromManureManagementVariation(0,0,0,H$235,J203,H$240,H$245,H$250)</f>
        <v>0.28186237348182841</v>
      </c>
      <c r="O255" s="55" t="str">
        <f>'Input - Dairy'!$D$54</f>
        <v>Milking shed</v>
      </c>
      <c r="P255" s="55" t="str">
        <f>'Input - Dairy'!$D$67</f>
        <v>Anaerobic lagoon</v>
      </c>
      <c r="Q255" s="55" cm="1">
        <f t="array" ref="Q255">MMS_Dairy_Methane_Equations.VEERG_4_3_1_1__1_TotalAnnualMethaneFromManureManagementVariation(D$235,Q203,O$240,0,0,0,0,0)</f>
        <v>0.2509108740204814</v>
      </c>
      <c r="R255" s="55" cm="1">
        <f t="array" ref="R255">MMS_Dairy_Methane_Equations.VEERG_4_3_1_1__1_TotalAnnualMethaneFromManureManagementVariation(D$235,R203,P$240,0,0,0,0,0)</f>
        <v>0.1966752537703389</v>
      </c>
      <c r="S255" s="55" cm="1">
        <f t="array" ref="S255">MMS_Dairy_Methane_Equations.VEERG_4_3_1_1__1_TotalAnnualMethaneFromManureManagementVariation(0,0,0,F$235,S203,Q$240,F$245,Q$250)</f>
        <v>0.22994966071007236</v>
      </c>
      <c r="T255" s="55" cm="1">
        <f t="array" ref="T255">MMS_Dairy_Methane_Equations.VEERG_4_3_1_1__1_TotalAnnualMethaneFromManureManagementVariation(F$235,T203,R$240,0,0,0,0,0)</f>
        <v>0.23930758301764934</v>
      </c>
      <c r="U255" s="55" cm="1">
        <f t="array" ref="U255">MMS_Dairy_Methane_Equations.VEERG_4_3_1_1__1_TotalAnnualMethaneFromManureManagementVariation(0,0,0,H$235,U203,S$240,H$245,S$250)</f>
        <v>0.28186237348182841</v>
      </c>
    </row>
    <row r="256" spans="4:21" ht="20.100000000000001" customHeight="1" x14ac:dyDescent="0.25">
      <c r="D256" s="55" t="str">
        <f>'Input - Dairy'!$D$54</f>
        <v>Milking shed</v>
      </c>
      <c r="E256" s="55" t="str">
        <f>'Input - Dairy'!$D$72</f>
        <v>Sump and dispersal system</v>
      </c>
      <c r="F256" s="55" cm="1">
        <f t="array" ref="F256">MMS_Dairy_Methane_Equations.VEERG_4_3_1_1__1_TotalAnnualMethaneFromManureManagementVariation(D$235,F204,D$240,0,0,0,0,0)</f>
        <v>1.6507294343452721E-3</v>
      </c>
      <c r="G256" s="55" cm="1">
        <f t="array" ref="G256">MMS_Dairy_Methane_Equations.VEERG_4_3_1_1__1_TotalAnnualMethaneFromManureManagementVariation(E$235,G204,E$240,0,0,0,0,0)</f>
        <v>1.293916143225914E-3</v>
      </c>
      <c r="H256" s="55" cm="1">
        <f t="array" ref="H256">MMS_Dairy_Methane_Equations.VEERG_4_3_1_1__1_TotalAnnualMethaneFromManureManagementVariation(0,0,0,F$235,H204,F$240,F$245,F$250)</f>
        <v>0.14838019513625048</v>
      </c>
      <c r="I256" s="55" cm="1">
        <f t="array" ref="I256">MMS_Dairy_Methane_Equations.VEERG_4_3_1_1__1_TotalAnnualMethaneFromManureManagementVariation(G$235,I204,G$240,0,0,0,0,0)</f>
        <v>1.5743919935371669E-3</v>
      </c>
      <c r="J256" s="55" cm="1">
        <f t="array" ref="J256">MMS_Dairy_Methane_Equations.VEERG_4_3_1_1__1_TotalAnnualMethaneFromManureManagementVariation(0,0,0,H$235,J204,H$240,H$245,H$250)</f>
        <v>0.17208698929922259</v>
      </c>
      <c r="O256" s="55" t="str">
        <f>'Input - Dairy'!$D$54</f>
        <v>Milking shed</v>
      </c>
      <c r="P256" s="55" t="str">
        <f>'Input - Dairy'!$D$72</f>
        <v>Sump and dispersal system</v>
      </c>
      <c r="Q256" s="55" cm="1">
        <f t="array" ref="Q256">MMS_Dairy_Methane_Equations.VEERG_4_3_1_1__1_TotalAnnualMethaneFromManureManagementVariation(D$235,Q204,O$240,0,0,0,0,0)</f>
        <v>1.6507294343452721E-3</v>
      </c>
      <c r="R256" s="55" cm="1">
        <f t="array" ref="R256">MMS_Dairy_Methane_Equations.VEERG_4_3_1_1__1_TotalAnnualMethaneFromManureManagementVariation(D$235,R204,P$240,0,0,0,0,0)</f>
        <v>1.293916143225914E-3</v>
      </c>
      <c r="S256" s="55" cm="1">
        <f t="array" ref="S256">MMS_Dairy_Methane_Equations.VEERG_4_3_1_1__1_TotalAnnualMethaneFromManureManagementVariation(0,0,0,F$235,S204,Q$240,F$245,Q$250)</f>
        <v>0.14838019513625048</v>
      </c>
      <c r="T256" s="55" cm="1">
        <f t="array" ref="T256">MMS_Dairy_Methane_Equations.VEERG_4_3_1_1__1_TotalAnnualMethaneFromManureManagementVariation(F$235,T204,R$240,0,0,0,0,0)</f>
        <v>1.5743919935371669E-3</v>
      </c>
      <c r="U256" s="55" cm="1">
        <f t="array" ref="U256">MMS_Dairy_Methane_Equations.VEERG_4_3_1_1__1_TotalAnnualMethaneFromManureManagementVariation(0,0,0,H$235,U204,S$240,H$245,S$250)</f>
        <v>0.17208698929922259</v>
      </c>
    </row>
    <row r="257" spans="4:21" ht="20.100000000000001" customHeight="1" x14ac:dyDescent="0.25">
      <c r="D257" s="55" t="str">
        <f>'Input - Dairy'!$D$54</f>
        <v>Milking shed</v>
      </c>
      <c r="E257" s="55" t="str">
        <f>'Input - Dairy'!$D$77</f>
        <v>Drains to paddock</v>
      </c>
      <c r="F257" s="55" cm="1">
        <f t="array" ref="F257">MMS_Dairy_Methane_Equations.VEERG_4_3_1_1__1_TotalAnnualMethaneFromManureManagementVariation(D$235,F205,D$240,0,0,0,0,0)</f>
        <v>5.9426259636429807E-2</v>
      </c>
      <c r="G257" s="55" cm="1">
        <f t="array" ref="G257">MMS_Dairy_Methane_Equations.VEERG_4_3_1_1__1_TotalAnnualMethaneFromManureManagementVariation(E$235,G205,E$240,0,0,0,0,0)</f>
        <v>4.6580981156132899E-2</v>
      </c>
      <c r="H257" s="55" cm="1">
        <f t="array" ref="H257">MMS_Dairy_Methane_Equations.VEERG_4_3_1_1__1_TotalAnnualMethaneFromManureManagementVariation(0,0,0,F$235,H205,F$240,F$245,F$250)</f>
        <v>0.16728702490501715</v>
      </c>
      <c r="I257" s="55" cm="1">
        <f t="array" ref="I257">MMS_Dairy_Methane_Equations.VEERG_4_3_1_1__1_TotalAnnualMethaneFromManureManagementVariation(G$235,I205,G$240,0,0,0,0,0)</f>
        <v>5.6678111767338002E-2</v>
      </c>
      <c r="J257" s="55" cm="1">
        <f t="array" ref="J257">MMS_Dairy_Methane_Equations.VEERG_4_3_1_1__1_TotalAnnualMethaneFromManureManagementVariation(0,0,0,H$235,J205,H$240,H$245,H$250)</f>
        <v>0.197531614772012</v>
      </c>
      <c r="O257" s="55" t="str">
        <f>'Input - Dairy'!$D$54</f>
        <v>Milking shed</v>
      </c>
      <c r="P257" s="55" t="str">
        <f>'Input - Dairy'!$D$77</f>
        <v>Drains to paddock</v>
      </c>
      <c r="Q257" s="55" cm="1">
        <f t="array" ref="Q257">MMS_Dairy_Methane_Equations.VEERG_4_3_1_1__1_TotalAnnualMethaneFromManureManagementVariation(D$235,Q205,O$240,0,0,0,0,0)</f>
        <v>5.9426259636429807E-2</v>
      </c>
      <c r="R257" s="55" cm="1">
        <f t="array" ref="R257">MMS_Dairy_Methane_Equations.VEERG_4_3_1_1__1_TotalAnnualMethaneFromManureManagementVariation(D$235,R205,P$240,0,0,0,0,0)</f>
        <v>4.6580981156132899E-2</v>
      </c>
      <c r="S257" s="55" cm="1">
        <f t="array" ref="S257">MMS_Dairy_Methane_Equations.VEERG_4_3_1_1__1_TotalAnnualMethaneFromManureManagementVariation(0,0,0,F$235,S205,Q$240,F$245,Q$250)</f>
        <v>0.16728702490501715</v>
      </c>
      <c r="T257" s="55" cm="1">
        <f t="array" ref="T257">MMS_Dairy_Methane_Equations.VEERG_4_3_1_1__1_TotalAnnualMethaneFromManureManagementVariation(F$235,T205,R$240,0,0,0,0,0)</f>
        <v>5.6678111767338002E-2</v>
      </c>
      <c r="U257" s="55" cm="1">
        <f t="array" ref="U257">MMS_Dairy_Methane_Equations.VEERG_4_3_1_1__1_TotalAnnualMethaneFromManureManagementVariation(0,0,0,H$235,U205,S$240,H$245,S$250)</f>
        <v>0.197531614772012</v>
      </c>
    </row>
    <row r="258" spans="4:21" ht="20.100000000000001" customHeight="1" x14ac:dyDescent="0.25">
      <c r="D258" s="55" t="str">
        <f>'Input - Dairy'!$D$54</f>
        <v>Milking shed</v>
      </c>
      <c r="E258" s="55" t="str">
        <f>'Input - Dairy'!$D$82</f>
        <v>Solid storage</v>
      </c>
      <c r="F258" s="55" cm="1">
        <f t="array" ref="F258">MMS_Dairy_Methane_Equations.VEERG_4_3_1_1__1_TotalAnnualMethaneFromManureManagementVariation(D$235,F206,D$240,0,0,0,0,0)</f>
        <v>4.5019893663961967E-2</v>
      </c>
      <c r="G258" s="55" cm="1">
        <f t="array" ref="G258">MMS_Dairy_Methane_Equations.VEERG_4_3_1_1__1_TotalAnnualMethaneFromManureManagementVariation(E$235,G206,E$240,0,0,0,0,0)</f>
        <v>3.5288622087979477E-2</v>
      </c>
      <c r="H258" s="55" cm="1">
        <f t="array" ref="H258">MMS_Dairy_Methane_Equations.VEERG_4_3_1_1__1_TotalAnnualMethaneFromManureManagementVariation(0,0,0,F$235,H206,F$240,F$245,F$250)</f>
        <v>0.16257259462501297</v>
      </c>
      <c r="I258" s="55" cm="1">
        <f t="array" ref="I258">MMS_Dairy_Methane_Equations.VEERG_4_3_1_1__1_TotalAnnualMethaneFromManureManagementVariation(G$235,I206,G$240,0,0,0,0,0)</f>
        <v>4.2937963460104554E-2</v>
      </c>
      <c r="J258" s="55" cm="1">
        <f t="array" ref="J258">MMS_Dairy_Methane_Equations.VEERG_4_3_1_1__1_TotalAnnualMethaneFromManureManagementVariation(0,0,0,H$235,J206,H$240,H$245,H$250)</f>
        <v>0.19118698088788791</v>
      </c>
      <c r="O258" s="55" t="str">
        <f>'Input - Dairy'!$D$54</f>
        <v>Milking shed</v>
      </c>
      <c r="P258" s="55" t="str">
        <f>'Input - Dairy'!$D$82</f>
        <v>Solid storage</v>
      </c>
      <c r="Q258" s="55" cm="1">
        <f t="array" ref="Q258">MMS_Dairy_Methane_Equations.VEERG_4_3_1_1__1_TotalAnnualMethaneFromManureManagementVariation(D$235,Q206,O$240,0,0,0,0,0)</f>
        <v>1.3205835474762173E-2</v>
      </c>
      <c r="R258" s="55" cm="1">
        <f t="array" ref="R258">MMS_Dairy_Methane_Equations.VEERG_4_3_1_1__1_TotalAnnualMethaneFromManureManagementVariation(D$235,R206,P$240,0,0,0,0,0)</f>
        <v>1.0351329145807312E-2</v>
      </c>
      <c r="S258" s="55" cm="1">
        <f t="array" ref="S258">MMS_Dairy_Methane_Equations.VEERG_4_3_1_1__1_TotalAnnualMethaneFromManureManagementVariation(0,0,0,F$235,S206,Q$240,F$245,Q$250)</f>
        <v>0.15216156109000381</v>
      </c>
      <c r="T258" s="55" cm="1">
        <f t="array" ref="T258">MMS_Dairy_Methane_Equations.VEERG_4_3_1_1__1_TotalAnnualMethaneFromManureManagementVariation(F$235,T206,R$240,0,0,0,0,0)</f>
        <v>1.259513594829733E-2</v>
      </c>
      <c r="U258" s="55" cm="1">
        <f t="array" ref="U258">MMS_Dairy_Methane_Equations.VEERG_4_3_1_1__1_TotalAnnualMethaneFromManureManagementVariation(0,0,0,H$235,U206,S$240,H$245,S$250)</f>
        <v>0.17717591439378047</v>
      </c>
    </row>
    <row r="259" spans="4:21" ht="20.100000000000001" customHeight="1" x14ac:dyDescent="0.25">
      <c r="D259" s="55" t="str">
        <f>'Input - Dairy'!$D$55</f>
        <v>Feed pad</v>
      </c>
      <c r="E259" s="55" t="str">
        <f>'Input - Dairy'!$D$101</f>
        <v>Anaerobic lagoon</v>
      </c>
      <c r="F259" s="55" cm="1">
        <f t="array" ref="F259">MMS_Dairy_Methane_Equations.VEERG_4_3_1_1__1_TotalAnnualMethaneFromManureManagementVariation(D$235,F207,D$240,0,0,0,0,0)</f>
        <v>1.0150485358101291</v>
      </c>
      <c r="G259" s="55" cm="1">
        <f t="array" ref="G259">MMS_Dairy_Methane_Equations.VEERG_4_3_1_1__1_TotalAnnualMethaneFromManureManagementVariation(E$235,G207,E$240,0,0,0,0,0)</f>
        <v>0.79564079934364373</v>
      </c>
      <c r="H259" s="55" cm="1">
        <f t="array" ref="H259">MMS_Dairy_Methane_Equations.VEERG_4_3_1_1__1_TotalAnnualMethaneFromManureManagementVariation(0,0,0,F$235,H207,F$240,F$245,F$250)</f>
        <v>0.48001090014529268</v>
      </c>
      <c r="I259" s="55" cm="1">
        <f t="array" ref="I259">MMS_Dairy_Methane_Equations.VEERG_4_3_1_1__1_TotalAnnualMethaneFromManureManagementVariation(G$235,I207,G$240,0,0,0,0,0)</f>
        <v>0.96810794948049028</v>
      </c>
      <c r="J259" s="55" cm="1">
        <f t="array" ref="J259">MMS_Dairy_Methane_Equations.VEERG_4_3_1_1__1_TotalAnnualMethaneFromManureManagementVariation(0,0,0,H$235,J207,H$240,H$245,H$250)</f>
        <v>0.6183923290855784</v>
      </c>
      <c r="O259" s="55" t="str">
        <f>'Input - Dairy'!$D$55</f>
        <v>Feed pad</v>
      </c>
      <c r="P259" s="55" t="str">
        <f>'Input - Dairy'!$D$101</f>
        <v>Anaerobic lagoon</v>
      </c>
      <c r="Q259" s="55" cm="1">
        <f t="array" ref="Q259">MMS_Dairy_Methane_Equations.VEERG_4_3_1_1__1_TotalAnnualMethaneFromManureManagementVariation(D$235,Q207,O$240,0,0,0,0,0)</f>
        <v>1.0150485358101291</v>
      </c>
      <c r="R259" s="55" cm="1">
        <f t="array" ref="R259">MMS_Dairy_Methane_Equations.VEERG_4_3_1_1__1_TotalAnnualMethaneFromManureManagementVariation(D$235,R207,P$240,0,0,0,0,0)</f>
        <v>0.79564079934364373</v>
      </c>
      <c r="S259" s="55" cm="1">
        <f t="array" ref="S259">MMS_Dairy_Methane_Equations.VEERG_4_3_1_1__1_TotalAnnualMethaneFromManureManagementVariation(0,0,0,F$235,S207,Q$240,F$245,Q$250)</f>
        <v>0.48001090014529268</v>
      </c>
      <c r="T259" s="55" cm="1">
        <f t="array" ref="T259">MMS_Dairy_Methane_Equations.VEERG_4_3_1_1__1_TotalAnnualMethaneFromManureManagementVariation(F$235,T207,R$240,0,0,0,0,0)</f>
        <v>0.96810794948049028</v>
      </c>
      <c r="U259" s="55" cm="1">
        <f t="array" ref="U259">MMS_Dairy_Methane_Equations.VEERG_4_3_1_1__1_TotalAnnualMethaneFromManureManagementVariation(0,0,0,H$235,U207,S$240,H$245,S$250)</f>
        <v>0.6183923290855784</v>
      </c>
    </row>
    <row r="260" spans="4:21" ht="20.100000000000001" customHeight="1" x14ac:dyDescent="0.25">
      <c r="D260" s="55" t="str">
        <f>'Input - Dairy'!$D$55</f>
        <v>Feed pad</v>
      </c>
      <c r="E260" s="55" t="str">
        <f>'Input - Dairy'!$D$106</f>
        <v>Sump and dispersal system</v>
      </c>
      <c r="F260" s="55" cm="1">
        <f t="array" ref="F260">MMS_Dairy_Methane_Equations.VEERG_4_3_1_1__1_TotalAnnualMethaneFromManureManagementVariation(D$235,F208,D$240,0,0,0,0,0)</f>
        <v>5.3423607147901541E-3</v>
      </c>
      <c r="G260" s="55" cm="1">
        <f t="array" ref="G260">MMS_Dairy_Methane_Equations.VEERG_4_3_1_1__1_TotalAnnualMethaneFromManureManagementVariation(E$235,G208,E$240,0,0,0,0,0)</f>
        <v>4.1875831544402296E-3</v>
      </c>
      <c r="H260" s="55" cm="1">
        <f t="array" ref="H260">MMS_Dairy_Methane_Equations.VEERG_4_3_1_1__1_TotalAnnualMethaneFromManureManagementVariation(0,0,0,F$235,H208,F$240,F$245,F$250)</f>
        <v>0.14958826789550153</v>
      </c>
      <c r="I260" s="55" cm="1">
        <f t="array" ref="I260">MMS_Dairy_Methane_Equations.VEERG_4_3_1_1__1_TotalAnnualMethaneFromManureManagementVariation(G$235,I208,G$240,0,0,0,0,0)</f>
        <v>5.095304997265738E-3</v>
      </c>
      <c r="J260" s="55" cm="1">
        <f t="array" ref="J260">MMS_Dairy_Methane_Equations.VEERG_4_3_1_1__1_TotalAnnualMethaneFromManureManagementVariation(0,0,0,H$235,J208,H$240,H$245,H$250)</f>
        <v>0.17371280173202935</v>
      </c>
      <c r="O260" s="55" t="str">
        <f>'Input - Dairy'!$D$55</f>
        <v>Feed pad</v>
      </c>
      <c r="P260" s="55" t="str">
        <f>'Input - Dairy'!$D$106</f>
        <v>Sump and dispersal system</v>
      </c>
      <c r="Q260" s="55" cm="1">
        <f t="array" ref="Q260">MMS_Dairy_Methane_Equations.VEERG_4_3_1_1__1_TotalAnnualMethaneFromManureManagementVariation(D$235,Q208,O$240,0,0,0,0,0)</f>
        <v>5.3423607147901541E-3</v>
      </c>
      <c r="R260" s="55" cm="1">
        <f t="array" ref="R260">MMS_Dairy_Methane_Equations.VEERG_4_3_1_1__1_TotalAnnualMethaneFromManureManagementVariation(D$235,R208,P$240,0,0,0,0,0)</f>
        <v>4.1875831544402296E-3</v>
      </c>
      <c r="S260" s="55" cm="1">
        <f t="array" ref="S260">MMS_Dairy_Methane_Equations.VEERG_4_3_1_1__1_TotalAnnualMethaneFromManureManagementVariation(0,0,0,F$235,S208,Q$240,F$245,Q$250)</f>
        <v>0.14958826789550153</v>
      </c>
      <c r="T260" s="55" cm="1">
        <f t="array" ref="T260">MMS_Dairy_Methane_Equations.VEERG_4_3_1_1__1_TotalAnnualMethaneFromManureManagementVariation(F$235,T208,R$240,0,0,0,0,0)</f>
        <v>5.095304997265738E-3</v>
      </c>
      <c r="U260" s="55" cm="1">
        <f t="array" ref="U260">MMS_Dairy_Methane_Equations.VEERG_4_3_1_1__1_TotalAnnualMethaneFromManureManagementVariation(0,0,0,H$235,U208,S$240,H$245,S$250)</f>
        <v>0.17371280173202935</v>
      </c>
    </row>
    <row r="261" spans="4:21" ht="20.100000000000001" customHeight="1" x14ac:dyDescent="0.25">
      <c r="D261" s="55" t="str">
        <f>'Input - Dairy'!$D$55</f>
        <v>Feed pad</v>
      </c>
      <c r="E261" s="55" t="str">
        <f>'Input - Dairy'!$D$111</f>
        <v>Drains to paddock</v>
      </c>
      <c r="F261" s="55" cm="1">
        <f t="array" ref="F261">MMS_Dairy_Methane_Equations.VEERG_4_3_1_1__1_TotalAnnualMethaneFromManureManagementVariation(D$235,F209,D$240,0,0,0,0,0)</f>
        <v>0.19232498573244547</v>
      </c>
      <c r="G261" s="55" cm="1">
        <f t="array" ref="G261">MMS_Dairy_Methane_Equations.VEERG_4_3_1_1__1_TotalAnnualMethaneFromManureManagementVariation(E$235,G209,E$240,0,0,0,0,0)</f>
        <v>0.15075299355984828</v>
      </c>
      <c r="H261" s="55" cm="1">
        <f t="array" ref="H261">MMS_Dairy_Methane_Equations.VEERG_4_3_1_1__1_TotalAnnualMethaneFromManureManagementVariation(0,0,0,F$235,H209,F$240,F$245,F$250)</f>
        <v>0.21077764423805545</v>
      </c>
      <c r="I261" s="55" cm="1">
        <f t="array" ref="I261">MMS_Dairy_Methane_Equations.VEERG_4_3_1_1__1_TotalAnnualMethaneFromManureManagementVariation(G$235,I209,G$240,0,0,0,0,0)</f>
        <v>0.18343097990156659</v>
      </c>
      <c r="J261" s="55" cm="1">
        <f t="array" ref="J261">MMS_Dairy_Methane_Equations.VEERG_4_3_1_1__1_TotalAnnualMethaneFromManureManagementVariation(0,0,0,H$235,J209,H$240,H$245,H$250)</f>
        <v>0.25606086235305697</v>
      </c>
      <c r="O261" s="55" t="str">
        <f>'Input - Dairy'!$D$55</f>
        <v>Feed pad</v>
      </c>
      <c r="P261" s="55" t="str">
        <f>'Input - Dairy'!$D$111</f>
        <v>Drains to paddock</v>
      </c>
      <c r="Q261" s="55" cm="1">
        <f t="array" ref="Q261">MMS_Dairy_Methane_Equations.VEERG_4_3_1_1__1_TotalAnnualMethaneFromManureManagementVariation(D$235,Q209,O$240,0,0,0,0,0)</f>
        <v>0.19232498573244547</v>
      </c>
      <c r="R261" s="55" cm="1">
        <f t="array" ref="R261">MMS_Dairy_Methane_Equations.VEERG_4_3_1_1__1_TotalAnnualMethaneFromManureManagementVariation(D$235,R209,P$240,0,0,0,0,0)</f>
        <v>0.15075299355984828</v>
      </c>
      <c r="S261" s="55" cm="1">
        <f t="array" ref="S261">MMS_Dairy_Methane_Equations.VEERG_4_3_1_1__1_TotalAnnualMethaneFromManureManagementVariation(0,0,0,F$235,S209,Q$240,F$245,Q$250)</f>
        <v>0.21077764423805545</v>
      </c>
      <c r="T261" s="55" cm="1">
        <f t="array" ref="T261">MMS_Dairy_Methane_Equations.VEERG_4_3_1_1__1_TotalAnnualMethaneFromManureManagementVariation(F$235,T209,R$240,0,0,0,0,0)</f>
        <v>0.18343097990156659</v>
      </c>
      <c r="U261" s="55" cm="1">
        <f t="array" ref="U261">MMS_Dairy_Methane_Equations.VEERG_4_3_1_1__1_TotalAnnualMethaneFromManureManagementVariation(0,0,0,H$235,U209,S$240,H$245,S$250)</f>
        <v>0.25606086235305697</v>
      </c>
    </row>
    <row r="262" spans="4:21" ht="20.100000000000001" customHeight="1" x14ac:dyDescent="0.25">
      <c r="D262" s="55" t="str">
        <f>'Input - Dairy'!$D$55</f>
        <v>Feed pad</v>
      </c>
      <c r="E262" s="55" t="str">
        <f>'Input - Dairy'!$D$116</f>
        <v>Solid storage</v>
      </c>
      <c r="F262" s="55" cm="1">
        <f t="array" ref="F262">MMS_Dairy_Methane_Equations.VEERG_4_3_1_1__1_TotalAnnualMethaneFromManureManagementVariation(D$235,F210,D$240,0,0,0,0,0)</f>
        <v>3.7396525003531071E-2</v>
      </c>
      <c r="G262" s="55" cm="1">
        <f t="array" ref="G262">MMS_Dairy_Methane_Equations.VEERG_4_3_1_1__1_TotalAnnualMethaneFromManureManagementVariation(E$235,G210,E$240,0,0,0,0,0)</f>
        <v>2.9313082081081607E-2</v>
      </c>
      <c r="H262" s="55" cm="1">
        <f t="array" ref="H262">MMS_Dairy_Methane_Equations.VEERG_4_3_1_1__1_TotalAnnualMethaneFromManureManagementVariation(0,0,0,F$235,H210,F$240,F$245,F$250)</f>
        <v>0.16007787526851078</v>
      </c>
      <c r="I262" s="55" cm="1">
        <f t="array" ref="I262">MMS_Dairy_Methane_Equations.VEERG_4_3_1_1__1_TotalAnnualMethaneFromManureManagementVariation(G$235,I210,G$240,0,0,0,0,0)</f>
        <v>3.5667134980860167E-2</v>
      </c>
      <c r="J262" s="55" cm="1">
        <f t="array" ref="J262">MMS_Dairy_Methane_Equations.VEERG_4_3_1_1__1_TotalAnnualMethaneFromManureManagementVariation(0,0,0,H$235,J210,H$240,H$245,H$250)</f>
        <v>0.18782961212420554</v>
      </c>
      <c r="O262" s="55" t="str">
        <f>'Input - Dairy'!$D$55</f>
        <v>Feed pad</v>
      </c>
      <c r="P262" s="55" t="str">
        <f>'Input - Dairy'!$D$116</f>
        <v>Solid storage</v>
      </c>
      <c r="Q262" s="55" cm="1">
        <f t="array" ref="Q262">MMS_Dairy_Methane_Equations.VEERG_4_3_1_1__1_TotalAnnualMethaneFromManureManagementVariation(D$235,Q210,O$240,0,0,0,0,0)</f>
        <v>3.7396525003531071E-2</v>
      </c>
      <c r="R262" s="55" cm="1">
        <f t="array" ref="R262">MMS_Dairy_Methane_Equations.VEERG_4_3_1_1__1_TotalAnnualMethaneFromManureManagementVariation(D$235,R210,P$240,0,0,0,0,0)</f>
        <v>2.9313082081081607E-2</v>
      </c>
      <c r="S262" s="55" cm="1">
        <f t="array" ref="S262">MMS_Dairy_Methane_Equations.VEERG_4_3_1_1__1_TotalAnnualMethaneFromManureManagementVariation(0,0,0,F$235,S210,Q$240,F$245,Q$250)</f>
        <v>0.16007787526851078</v>
      </c>
      <c r="T262" s="55" cm="1">
        <f t="array" ref="T262">MMS_Dairy_Methane_Equations.VEERG_4_3_1_1__1_TotalAnnualMethaneFromManureManagementVariation(F$235,T210,R$240,0,0,0,0,0)</f>
        <v>3.5667134980860167E-2</v>
      </c>
      <c r="U262" s="55" cm="1">
        <f t="array" ref="U262">MMS_Dairy_Methane_Equations.VEERG_4_3_1_1__1_TotalAnnualMethaneFromManureManagementVariation(0,0,0,H$235,U210,S$240,H$245,S$250)</f>
        <v>0.18782961212420554</v>
      </c>
    </row>
    <row r="263" spans="4:21" ht="20.100000000000001" customHeight="1" x14ac:dyDescent="0.25"/>
    <row r="264" spans="4:21" ht="20.100000000000001" customHeight="1" x14ac:dyDescent="0.25">
      <c r="D264" s="108" t="s">
        <v>133</v>
      </c>
      <c r="E264" s="109">
        <f>SUM(F255:J262)</f>
        <v>8.1869605415711497</v>
      </c>
      <c r="F264" s="110" t="str">
        <f>$E$221</f>
        <v>t CH4</v>
      </c>
      <c r="O264" s="108" t="s">
        <v>133</v>
      </c>
      <c r="P264" s="109">
        <f>SUM(Q255:U262)</f>
        <v>8.0754442628988556</v>
      </c>
      <c r="Q264" s="110" t="str">
        <f>$E$221</f>
        <v>t CH4</v>
      </c>
    </row>
    <row r="265" spans="4:21" ht="20.100000000000001" customHeight="1" x14ac:dyDescent="0.25"/>
    <row r="266" spans="4:21" ht="20.100000000000001" customHeight="1" x14ac:dyDescent="0.25">
      <c r="D266" s="60" t="str" cm="1">
        <f t="array" ref="D266:E267">Common_Equations.Common_ConvertCH4ToCO2e_Arguments()</f>
        <v>ECH4</v>
      </c>
      <c r="E266" s="61" t="str">
        <v>Methane emissions (t CH4)</v>
      </c>
      <c r="F266" s="111"/>
      <c r="G266" s="55">
        <f>E264</f>
        <v>8.1869605415711497</v>
      </c>
      <c r="H266" s="2"/>
      <c r="O266" s="60" t="str" cm="1">
        <f t="array" ref="O266:P267">Common_Equations.Common_ConvertCH4ToCO2e_Arguments()</f>
        <v>ECH4</v>
      </c>
      <c r="P266" s="61" t="str">
        <v>Methane emissions (t CH4)</v>
      </c>
      <c r="Q266" s="111"/>
      <c r="R266" s="55">
        <f>P264</f>
        <v>8.0754442628988556</v>
      </c>
      <c r="S266" s="2" t="s">
        <v>287</v>
      </c>
    </row>
    <row r="267" spans="4:21" ht="20.100000000000001" customHeight="1" x14ac:dyDescent="0.25">
      <c r="D267" s="60" t="str">
        <v>GWPCH4</v>
      </c>
      <c r="E267" s="61" t="str">
        <v>Global warming potential for methane (t CO2-e / t CH4)</v>
      </c>
      <c r="F267" s="111"/>
      <c r="G267" s="55">
        <f>Common_InputFunctions.Utility_LookupValueInTableNumber("CH4",Table_GWPData[Gas],Table_GWPData[CO2-e factor])</f>
        <v>28</v>
      </c>
      <c r="O267" s="60" t="str">
        <v>GWPCH4</v>
      </c>
      <c r="P267" s="61" t="str">
        <v>Global warming potential for methane (t CO2-e / t CH4)</v>
      </c>
      <c r="Q267" s="111"/>
      <c r="R267" s="55">
        <v>0</v>
      </c>
    </row>
    <row r="268" spans="4:21" ht="20.100000000000001" customHeight="1" x14ac:dyDescent="0.25"/>
    <row r="269" spans="4:21" ht="20.100000000000001" customHeight="1" x14ac:dyDescent="0.25">
      <c r="D269" s="48" t="s">
        <v>134</v>
      </c>
      <c r="E269" s="48" cm="1">
        <f t="array" ref="E269">Common_Equations.Common_ConvertCH4ToCO2e(G266,G267)</f>
        <v>229.23489516399218</v>
      </c>
      <c r="F269" s="112" t="str" cm="1">
        <f t="array" ref="F269">Common_Equations.Common_ConvertN2OToCO2e_Unit()</f>
        <v>t CO2e</v>
      </c>
      <c r="O269" s="48" t="s">
        <v>134</v>
      </c>
      <c r="P269" s="48" cm="1">
        <f t="array" ref="P269">Common_Equations.Common_ConvertCH4ToCO2e(R266,R267)</f>
        <v>0</v>
      </c>
      <c r="Q269" s="112" t="str" cm="1">
        <f t="array" ref="Q269">Common_Equations.Common_ConvertN2OToCO2e_Unit()</f>
        <v>t CO2e</v>
      </c>
    </row>
    <row r="270" spans="4:21" ht="20.100000000000001" customHeight="1" x14ac:dyDescent="0.25"/>
    <row r="271" spans="4:21" ht="20.100000000000001" customHeight="1" x14ac:dyDescent="0.25"/>
  </sheetData>
  <dataValidations disablePrompts="1" count="1">
    <dataValidation operator="equal" allowBlank="1" showInputMessage="1" showErrorMessage="1" sqref="E116:G116 F132:F136 Q122:U126 D154:F154 P60:R60 E121:J121 F122:J126 E131:F131 Q132:Q136 P131:Q131 P121:U121 E141:J141 F142:J146 P141:U141 Q142:U146 E166:J166 F167:J167 E172:J172 F173:J173 Q173:U173 P166:U166 Q167:U167 P172:U172 E206 E203 E258 E255 P206 P203 P258 P255" xr:uid="{AF7BB680-B75F-4AE8-AA2D-EDF03FCB10D8}"/>
  </dataValidations>
  <pageMargins left="0.7" right="0.7" top="0.75" bottom="0.75" header="0.3" footer="0.3"/>
  <pageSetup paperSize="9" orientation="portrait" r:id="rId1"/>
  <ignoredErrors>
    <ignoredError sqref="H255 H256:H262 I255:I262 S255:S262" 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E212" zoomScaleNormal="100" workbookViewId="0">
      <selection activeCell="D233" sqref="D233:T2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298</v>
      </c>
    </row>
    <row r="2" spans="1:21" s="9" customFormat="1" ht="20.100000000000001" customHeight="1" x14ac:dyDescent="0.25"/>
    <row r="3" spans="1:21" ht="20.100000000000001" customHeight="1" x14ac:dyDescent="0.25">
      <c r="A3" s="17" t="str">
        <f>HYPERLINK("#'Home'!A1", "Home")</f>
        <v>Home</v>
      </c>
      <c r="C3" s="4"/>
      <c r="D3" s="4" t="s">
        <v>123</v>
      </c>
      <c r="E3" s="4"/>
      <c r="F3" s="4"/>
      <c r="G3" s="4"/>
      <c r="H3" s="4"/>
      <c r="I3" s="4"/>
      <c r="J3" s="4"/>
      <c r="K3" s="4"/>
      <c r="M3" s="4"/>
      <c r="N3" s="4" t="s">
        <v>124</v>
      </c>
      <c r="O3" s="4"/>
      <c r="P3" s="4"/>
      <c r="Q3" s="4"/>
      <c r="R3" s="4"/>
      <c r="S3" s="4"/>
      <c r="T3" s="4"/>
      <c r="U3" s="4"/>
    </row>
    <row r="4" spans="1:21" ht="20.100000000000001" customHeight="1" x14ac:dyDescent="0.25">
      <c r="A4" s="17" t="str">
        <f>HYPERLINK("#'Results'!A1", "Results")</f>
        <v>Results</v>
      </c>
    </row>
    <row r="5" spans="1:21" ht="20.100000000000001" customHeight="1" x14ac:dyDescent="0.25">
      <c r="A5" s="16"/>
      <c r="D5" s="6" t="str" cm="1">
        <f t="array" ref="D5">MMS_Dairy_N2ODirect_Equations.VEERG_4_3_1_3__8_RelativeSize_Title()</f>
        <v>Relative size</v>
      </c>
    </row>
    <row r="6" spans="1:21" ht="20.100000000000001" customHeight="1" x14ac:dyDescent="0.25">
      <c r="A6" s="20" t="s">
        <v>3</v>
      </c>
      <c r="D6" s="5" t="str" cm="1">
        <f t="array" ref="D6">MMS_Dairy_N2ODirect_Equations.VEERG_4_3_1_3__8_RelativeSize_Source()</f>
        <v>VEERG 2026: 4.3.1.3, Equation (8)</v>
      </c>
    </row>
    <row r="7" spans="1:21" ht="20.100000000000001" customHeight="1" x14ac:dyDescent="0.25">
      <c r="A7" s="17" t="str">
        <f>HYPERLINK("#'Input - Site'!A1", "Site")</f>
        <v>Site</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Dairy'!A1", "Dairy")</f>
        <v>Dairy</v>
      </c>
    </row>
    <row r="9" spans="1:21" ht="20.100000000000001" customHeight="1" x14ac:dyDescent="0.25">
      <c r="A9" s="17"/>
    </row>
    <row r="10" spans="1:21" ht="20.100000000000001" customHeight="1" x14ac:dyDescent="0.25">
      <c r="A10" s="19" t="s">
        <v>78</v>
      </c>
      <c r="D10" s="56" t="s">
        <v>31</v>
      </c>
      <c r="E10" s="1" t="str" cm="1">
        <f t="array" ref="E10">MMS_Dairy_N2ODirect_Equations.VEERG_4_3_1_3__8_RelativeSize_Variable()</f>
        <v>Z_j</v>
      </c>
    </row>
    <row r="11" spans="1:21" ht="20.100000000000001" customHeight="1" x14ac:dyDescent="0.25">
      <c r="A11" s="17" t="str">
        <f>HYPERLINK("#'4.3.1.1-2 Methane'!A1", "4.3.1.1-2 Methane")</f>
        <v>4.3.1.1-2 Methane</v>
      </c>
      <c r="D11" s="56" t="s">
        <v>21</v>
      </c>
      <c r="E11" s="57" t="str" cm="1">
        <f t="array" ref="E11">MMS_Dairy_N2ODirect_Equations.VEERG_4_3_1_3__8_RelativeSize_Unit()</f>
        <v>ratio</v>
      </c>
    </row>
    <row r="12" spans="1:21" ht="20.100000000000001" customHeight="1" x14ac:dyDescent="0.25">
      <c r="A12" s="22" t="str">
        <f>HYPERLINK("#'4.3.1.3-4 Direct N20'!A1", "4.3.1.3-4 Direct N2O")</f>
        <v>4.3.1.3-4 Direct N2O</v>
      </c>
    </row>
    <row r="13" spans="1:21" ht="20.100000000000001" customHeight="1" x14ac:dyDescent="0.25">
      <c r="A13" s="17" t="str">
        <f>HYPERLINK("#'4.3.1.5 Atmos Deposition'!A1", "4.3.1.5 Atmospheric deposition")</f>
        <v>4.3.1.5 Atmospheric deposition</v>
      </c>
      <c r="D13" s="60" t="str" cm="1">
        <f t="array" ref="D13:E14">MMS_Dairy_N2ODirect_Equations.VEERG_4_3_1_3__8_RelativeSize_Arguments()</f>
        <v>W_j</v>
      </c>
      <c r="E13" s="60" t="str">
        <v>liveweight (kg)</v>
      </c>
      <c r="F13" s="60" t="str">
        <f>"See " &amp; D16</f>
        <v>See M1_Table_W_j</v>
      </c>
    </row>
    <row r="14" spans="1:21" ht="20.100000000000001" customHeight="1" x14ac:dyDescent="0.25">
      <c r="A14" s="17" t="str">
        <f>HYPERLINK("#'4.3.1.6-7 Leaching and runoff'!A1", "4.3.1.6-7 Leaching and runoff")</f>
        <v>4.3.1.6-7 Leaching and runoff</v>
      </c>
      <c r="D14" s="60" t="str">
        <v>WR_j</v>
      </c>
      <c r="E14" s="60" t="str">
        <v>reference weight (kg)</v>
      </c>
      <c r="F14" s="60" t="str">
        <f>"See " &amp; D21</f>
        <v>See Table_WR_j</v>
      </c>
    </row>
    <row r="15" spans="1:21" ht="20.100000000000001" customHeight="1" x14ac:dyDescent="0.25">
      <c r="A15" s="17" t="str">
        <f>HYPERLINK("#'4.3.1.8 Manure applied to soils'!A1", "4.3.1.8 Manure applied to soils")</f>
        <v>4.3.1.8 Manure applied to soils</v>
      </c>
    </row>
    <row r="16" spans="1:21" ht="20.100000000000001" customHeight="1" x14ac:dyDescent="0.25">
      <c r="A16" s="17" t="str">
        <f>HYPERLINK("#'4.3.1.9 Soil direct N2O'!A1", "4.3.1.9 Soil direct N2O")</f>
        <v>4.3.1.9 Soil direct N2O</v>
      </c>
      <c r="D16" s="104" t="s">
        <v>230</v>
      </c>
      <c r="N16" s="104" t="s">
        <v>232</v>
      </c>
    </row>
    <row r="17" spans="1:21" ht="20.100000000000001" customHeight="1" x14ac:dyDescent="0.25">
      <c r="A17" s="17" t="str">
        <f>HYPERLINK("#'4.3.1.10-11 Soil Atmos Dep'!A1", "4.3.1.10-11 Soil atm. deposition")</f>
        <v>4.3.1.10-11 Soil atm. deposition</v>
      </c>
      <c r="D17" s="103" t="s">
        <v>231</v>
      </c>
      <c r="N17" s="103" t="s">
        <v>233</v>
      </c>
    </row>
    <row r="18" spans="1:21" ht="20.100000000000001" customHeight="1" x14ac:dyDescent="0.25">
      <c r="A18" s="17" t="str">
        <f>HYPERLINK("#'4.3.1.12-13 Soil leach runoff'!A1", "4.3.1.12-13 Soil leach &amp; runoff")</f>
        <v>4.3.1.12-13 Soil leach &amp; runoff</v>
      </c>
      <c r="D18" s="54" t="s">
        <v>178</v>
      </c>
      <c r="E18" s="54" t="s">
        <v>195</v>
      </c>
      <c r="F18" s="54" t="s">
        <v>196</v>
      </c>
      <c r="G18" s="54" t="s">
        <v>197</v>
      </c>
      <c r="H18" s="54" t="s">
        <v>198</v>
      </c>
      <c r="N18" s="54" t="s">
        <v>178</v>
      </c>
      <c r="O18" s="54" t="s">
        <v>195</v>
      </c>
      <c r="P18" s="54" t="s">
        <v>196</v>
      </c>
      <c r="Q18" s="54" t="s">
        <v>197</v>
      </c>
      <c r="R18" s="54" t="s">
        <v>198</v>
      </c>
    </row>
    <row r="19" spans="1:21" ht="20.100000000000001" customHeight="1" x14ac:dyDescent="0.25">
      <c r="A19" s="17"/>
      <c r="D19" s="55">
        <f>'Input - Dairy'!$E$14</f>
        <v>550</v>
      </c>
      <c r="E19" s="55">
        <f>'Input - Dairy'!$F$14</f>
        <v>380</v>
      </c>
      <c r="F19" s="55">
        <f>'Input - Dairy'!$G$14</f>
        <v>155</v>
      </c>
      <c r="G19" s="55">
        <f>'Input - Dairy'!$H$14</f>
        <v>600</v>
      </c>
      <c r="H19" s="55">
        <f>'Input - Dairy'!$I$14</f>
        <v>225</v>
      </c>
      <c r="I19" s="2" t="s">
        <v>200</v>
      </c>
      <c r="N19" s="55">
        <f>'Input - Dairy'!$E$18</f>
        <v>550</v>
      </c>
      <c r="O19" s="55">
        <f>'Input - Dairy'!$F$18</f>
        <v>380</v>
      </c>
      <c r="P19" s="55">
        <f>'Input - Dairy'!$G$18</f>
        <v>155</v>
      </c>
      <c r="Q19" s="55">
        <f>'Input - Dairy'!$H$18</f>
        <v>600</v>
      </c>
      <c r="R19" s="55">
        <f>'Input - Dairy'!$I$18</f>
        <v>225</v>
      </c>
      <c r="S19" s="2" t="s">
        <v>200</v>
      </c>
    </row>
    <row r="20" spans="1:21" ht="20.100000000000001" customHeight="1" x14ac:dyDescent="0.25">
      <c r="A20" s="18" t="s">
        <v>4</v>
      </c>
    </row>
    <row r="21" spans="1:21" ht="20.100000000000001" customHeight="1" x14ac:dyDescent="0.25">
      <c r="A21" s="17" t="str">
        <f>HYPERLINK("#'Constants - Dairy'!A1", "Constants - Dairy")</f>
        <v>Constants - Dairy</v>
      </c>
      <c r="D21" s="104" t="s">
        <v>300</v>
      </c>
    </row>
    <row r="22" spans="1:21" ht="20.100000000000001" customHeight="1" x14ac:dyDescent="0.25">
      <c r="A22" s="17" t="str">
        <f>HYPERLINK("#'Constants - Livestock'!A1", "Constants - Livestock")</f>
        <v>Constants - Livestock</v>
      </c>
      <c r="D22" s="103" t="s">
        <v>301</v>
      </c>
    </row>
    <row r="23" spans="1:21" ht="20.100000000000001" customHeight="1" x14ac:dyDescent="0.25">
      <c r="A23" s="17" t="str">
        <f>HYPERLINK("#'Constants - Common'!A1", "Constants - Common")</f>
        <v>Constants - Common</v>
      </c>
      <c r="D23" s="54" t="s">
        <v>178</v>
      </c>
      <c r="E23" s="54" t="s">
        <v>195</v>
      </c>
      <c r="F23" s="54" t="s">
        <v>196</v>
      </c>
      <c r="G23" s="54" t="s">
        <v>197</v>
      </c>
      <c r="H23" s="54" t="s">
        <v>198</v>
      </c>
    </row>
    <row r="24" spans="1:21" ht="20.100000000000001" customHeight="1" x14ac:dyDescent="0.25">
      <c r="A24" s="17" t="str">
        <f>HYPERLINK("#'Acknowledgements'!A1", "Acknowledgements")</f>
        <v>Acknowledgements</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200</v>
      </c>
    </row>
    <row r="25" spans="1:21" ht="20.100000000000001" customHeight="1" x14ac:dyDescent="0.25"/>
    <row r="26" spans="1:21" ht="20.100000000000001" customHeight="1" x14ac:dyDescent="0.25">
      <c r="D26" s="104" t="s">
        <v>302</v>
      </c>
      <c r="N26" s="104" t="s">
        <v>302</v>
      </c>
    </row>
    <row r="27" spans="1:21" ht="20.100000000000001" customHeight="1" x14ac:dyDescent="0.25">
      <c r="D27" s="103" t="s">
        <v>303</v>
      </c>
      <c r="N27" s="103" t="s">
        <v>303</v>
      </c>
    </row>
    <row r="28" spans="1:21" ht="20.100000000000001" customHeight="1" x14ac:dyDescent="0.25">
      <c r="D28" s="54" t="s">
        <v>178</v>
      </c>
      <c r="E28" s="54" t="s">
        <v>195</v>
      </c>
      <c r="F28" s="54" t="s">
        <v>196</v>
      </c>
      <c r="G28" s="54" t="s">
        <v>197</v>
      </c>
      <c r="H28" s="54" t="s">
        <v>198</v>
      </c>
      <c r="N28" s="54" t="s">
        <v>178</v>
      </c>
      <c r="O28" s="54" t="s">
        <v>195</v>
      </c>
      <c r="P28" s="54" t="s">
        <v>196</v>
      </c>
      <c r="Q28" s="54" t="s">
        <v>197</v>
      </c>
      <c r="R28" s="54" t="s">
        <v>198</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60" t="str" cm="1">
        <f t="array" ref="D42:E45">MMS_Dairy_N2ODirect_Equations.VEERG_4_3_1_3__7_IntakeRelativeToMaintenance_Arguments()</f>
        <v>I_j</v>
      </c>
      <c r="E42" s="61" t="str">
        <v>dry matter intake (kgDM/head/day)</v>
      </c>
      <c r="F42" s="62"/>
      <c r="G42" s="60" t="str">
        <f>"See " &amp; D47</f>
        <v>See M1_Table_I_j</v>
      </c>
    </row>
    <row r="43" spans="4:14" ht="20.100000000000001" customHeight="1" x14ac:dyDescent="0.25">
      <c r="D43" s="60" t="str">
        <v>W_j</v>
      </c>
      <c r="E43" s="61" t="str">
        <v>liveweight (kg)</v>
      </c>
      <c r="F43" s="62"/>
      <c r="G43" s="60" t="str">
        <f>"See " &amp; D16</f>
        <v>See M1_Table_W_j</v>
      </c>
    </row>
    <row r="44" spans="4:14" ht="20.100000000000001" customHeight="1" x14ac:dyDescent="0.25">
      <c r="D44" s="60" t="str">
        <v>MR_j</v>
      </c>
      <c r="E44" s="61" t="str">
        <v>increase in metabolic rate when producing milk</v>
      </c>
      <c r="F44" s="62"/>
      <c r="G44" s="60" t="str">
        <f>"See " &amp; D52</f>
        <v>See Table_MR_j</v>
      </c>
    </row>
    <row r="45" spans="4:14" ht="20.100000000000001" customHeight="1" x14ac:dyDescent="0.25">
      <c r="D45" s="60" t="str">
        <v>MI_j</v>
      </c>
      <c r="E45" s="61" t="str">
        <v>additional intake required for milk production (kgDM/head/day)</v>
      </c>
      <c r="F45" s="62"/>
      <c r="G45" s="60" t="str">
        <f>"See " &amp; D57</f>
        <v>See M1_Table_MI_j</v>
      </c>
    </row>
    <row r="46" spans="4:14" ht="20.100000000000001" customHeight="1" x14ac:dyDescent="0.25"/>
    <row r="47" spans="4:14" ht="20.100000000000001" customHeight="1" x14ac:dyDescent="0.25">
      <c r="D47" s="104" t="s">
        <v>116</v>
      </c>
      <c r="N47" s="104" t="s">
        <v>118</v>
      </c>
    </row>
    <row r="48" spans="4:14" ht="20.100000000000001" customHeight="1" x14ac:dyDescent="0.25">
      <c r="D48" s="103" t="s">
        <v>253</v>
      </c>
      <c r="N48" s="103" t="s">
        <v>252</v>
      </c>
    </row>
    <row r="49" spans="4:19" ht="20.100000000000001" customHeight="1" x14ac:dyDescent="0.25">
      <c r="D49" s="54" t="s">
        <v>178</v>
      </c>
      <c r="E49" s="54" t="s">
        <v>195</v>
      </c>
      <c r="F49" s="54" t="s">
        <v>196</v>
      </c>
      <c r="G49" s="54" t="s">
        <v>197</v>
      </c>
      <c r="H49" s="54" t="s">
        <v>198</v>
      </c>
      <c r="N49" s="54" t="s">
        <v>178</v>
      </c>
      <c r="O49" s="54" t="s">
        <v>195</v>
      </c>
      <c r="P49" s="54" t="s">
        <v>196</v>
      </c>
      <c r="Q49" s="54" t="s">
        <v>197</v>
      </c>
      <c r="R49" s="54" t="s">
        <v>198</v>
      </c>
    </row>
    <row r="50" spans="4:19" ht="20.100000000000001" customHeight="1" x14ac:dyDescent="0.25">
      <c r="D50" s="55">
        <f>'4.3.1.1-2 Methane'!D84</f>
        <v>9.4647127858085369</v>
      </c>
      <c r="E50" s="55">
        <f>'4.3.1.1-2 Methane'!E84</f>
        <v>7.4188685375999972</v>
      </c>
      <c r="F50" s="55">
        <f>'4.3.1.1-2 Methane'!F84</f>
        <v>4.0231734662249998</v>
      </c>
      <c r="G50" s="55">
        <f>'4.3.1.1-2 Methane'!G84</f>
        <v>9.0270202499999979</v>
      </c>
      <c r="H50" s="55">
        <f>'4.3.1.1-2 Methane'!H84</f>
        <v>5.4143472656250013</v>
      </c>
      <c r="I50" s="2" t="str">
        <f>'4.3.1.1-2 Methane'!I84</f>
        <v>kg DM/head/day</v>
      </c>
      <c r="N50" s="55">
        <f>'4.3.1.1-2 Methane'!O84</f>
        <v>9.4647127858085369</v>
      </c>
      <c r="O50" s="55">
        <f>'4.3.1.1-2 Methane'!P84</f>
        <v>7.4188685375999972</v>
      </c>
      <c r="P50" s="55">
        <f>'4.3.1.1-2 Methane'!Q84</f>
        <v>4.0231734662249998</v>
      </c>
      <c r="Q50" s="55">
        <f>'4.3.1.1-2 Methane'!R84</f>
        <v>9.0270202499999979</v>
      </c>
      <c r="R50" s="55">
        <f>'4.3.1.1-2 Methane'!S84</f>
        <v>5.4143472656250013</v>
      </c>
      <c r="S50" s="2" t="str">
        <f>'4.3.1.1-2 Methane'!T84</f>
        <v>kg DM/head/day</v>
      </c>
    </row>
    <row r="51" spans="4:19" ht="20.100000000000001" customHeight="1" x14ac:dyDescent="0.25"/>
    <row r="52" spans="4:19" ht="20.100000000000001" customHeight="1" x14ac:dyDescent="0.25">
      <c r="D52" s="104" t="s">
        <v>238</v>
      </c>
    </row>
    <row r="53" spans="4:19" ht="20.100000000000001" customHeight="1" x14ac:dyDescent="0.25">
      <c r="D53" s="103" t="s">
        <v>239</v>
      </c>
    </row>
    <row r="54" spans="4:19" ht="20.100000000000001" customHeight="1" x14ac:dyDescent="0.25">
      <c r="D54" s="54" t="s">
        <v>178</v>
      </c>
      <c r="E54" s="54" t="s">
        <v>195</v>
      </c>
      <c r="F54" s="54" t="s">
        <v>196</v>
      </c>
      <c r="G54" s="54" t="s">
        <v>197</v>
      </c>
      <c r="H54" s="54" t="s">
        <v>198</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
        <v>101</v>
      </c>
    </row>
    <row r="56" spans="4:19" ht="20.100000000000001" customHeight="1" x14ac:dyDescent="0.25"/>
    <row r="57" spans="4:19" ht="20.100000000000001" customHeight="1" x14ac:dyDescent="0.25">
      <c r="D57" s="104" t="s">
        <v>245</v>
      </c>
    </row>
    <row r="58" spans="4:19" ht="20.100000000000001" customHeight="1" x14ac:dyDescent="0.25">
      <c r="D58" s="103" t="s">
        <v>246</v>
      </c>
    </row>
    <row r="59" spans="4:19" ht="20.100000000000001" customHeight="1" x14ac:dyDescent="0.25">
      <c r="D59" s="54" t="s">
        <v>178</v>
      </c>
      <c r="E59" s="54" t="s">
        <v>195</v>
      </c>
      <c r="F59" s="54" t="s">
        <v>196</v>
      </c>
      <c r="G59" s="54" t="s">
        <v>197</v>
      </c>
      <c r="H59" s="54" t="s">
        <v>198</v>
      </c>
    </row>
    <row r="60" spans="4:19" ht="20.100000000000001" customHeight="1" x14ac:dyDescent="0.25">
      <c r="D60" s="55">
        <f>'4.3.1.1-2 Methane'!D49</f>
        <v>0.21026726504853488</v>
      </c>
      <c r="E60" s="55">
        <f>'4.3.1.1-2 Methane'!E49</f>
        <v>0</v>
      </c>
      <c r="F60" s="55">
        <f>'4.3.1.1-2 Methane'!F49</f>
        <v>0</v>
      </c>
      <c r="G60" s="55">
        <f>'4.3.1.1-2 Methane'!G49</f>
        <v>0</v>
      </c>
      <c r="H60" s="55">
        <f>'4.3.1.1-2 Methane'!H49</f>
        <v>0</v>
      </c>
      <c r="I60" s="2" t="str">
        <f>'4.3.1.1-2 Methane'!I49</f>
        <v>kg DM/head/day</v>
      </c>
    </row>
    <row r="61" spans="4:19" ht="20.100000000000001" customHeight="1" x14ac:dyDescent="0.25"/>
    <row r="62" spans="4:19" ht="20.100000000000001" customHeight="1" x14ac:dyDescent="0.25">
      <c r="D62" s="104" t="s">
        <v>304</v>
      </c>
      <c r="N62" s="104" t="s">
        <v>306</v>
      </c>
    </row>
    <row r="63" spans="4:19" ht="20.100000000000001" customHeight="1" x14ac:dyDescent="0.25">
      <c r="D63" s="103" t="s">
        <v>305</v>
      </c>
      <c r="N63" s="103" t="s">
        <v>307</v>
      </c>
    </row>
    <row r="64" spans="4:19" ht="20.100000000000001" customHeight="1" x14ac:dyDescent="0.25">
      <c r="D64" s="54" t="s">
        <v>178</v>
      </c>
      <c r="E64" s="54" t="s">
        <v>195</v>
      </c>
      <c r="F64" s="54" t="s">
        <v>196</v>
      </c>
      <c r="G64" s="54" t="s">
        <v>197</v>
      </c>
      <c r="H64" s="54" t="s">
        <v>198</v>
      </c>
      <c r="N64" s="54" t="s">
        <v>178</v>
      </c>
      <c r="O64" s="54" t="s">
        <v>195</v>
      </c>
      <c r="P64" s="54" t="s">
        <v>196</v>
      </c>
      <c r="Q64" s="54" t="s">
        <v>197</v>
      </c>
      <c r="R64" s="54" t="s">
        <v>198</v>
      </c>
    </row>
    <row r="65" spans="3:21" ht="20.100000000000001" customHeight="1" x14ac:dyDescent="0.25">
      <c r="D65" s="55" cm="1">
        <f t="array" ref="D65">MMS_Dairy_N2ODirect_Equations.VEERG_4_3_1_3__7_IntakeRelativeToMaintenance(D50,D19,D55,D60)</f>
        <v>1.0034066233551036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1.0034066233551036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8"/>
      <c r="D68" s="48"/>
      <c r="E68" s="48"/>
      <c r="F68" s="48"/>
      <c r="G68" s="48"/>
      <c r="H68" s="48"/>
      <c r="I68" s="48"/>
      <c r="J68" s="48"/>
      <c r="K68" s="48"/>
      <c r="M68" s="48"/>
      <c r="N68" s="48"/>
      <c r="O68" s="48"/>
      <c r="P68" s="48"/>
      <c r="Q68" s="48"/>
      <c r="R68" s="48"/>
      <c r="S68" s="48"/>
      <c r="T68" s="48"/>
      <c r="U68" s="48"/>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13" t="s">
        <v>28</v>
      </c>
      <c r="E71" s="13" t="str" cm="1">
        <f t="array" aca="1" ref="E71" ca="1">Common_InputFunctions.Utility_DisplayFunctionName(D96)</f>
        <v>=MMS_Dairy_N2ODirect_Equations.VEERG_4_3_1_3__6_NitrogenRetainedByBody</v>
      </c>
    </row>
    <row r="72" spans="3:21" ht="20.100000000000001" customHeight="1" x14ac:dyDescent="0.25"/>
    <row r="73" spans="3:21" ht="20.100000000000001" customHeight="1" x14ac:dyDescent="0.25"/>
    <row r="74" spans="3:21" ht="20.100000000000001" customHeight="1" x14ac:dyDescent="0.25"/>
    <row r="75" spans="3:21" ht="20.100000000000001" customHeight="1" x14ac:dyDescent="0.25">
      <c r="D75" s="56" t="s">
        <v>31</v>
      </c>
      <c r="E75" s="1" t="str" cm="1">
        <f t="array" ref="E75">MMS_Dairy_N2ODirect_Equations.VEERG_4_3_1_3__6_NitrogenRetainedByBody_Variable()</f>
        <v>NR_j</v>
      </c>
    </row>
    <row r="76" spans="3:21" ht="20.100000000000001" customHeight="1" x14ac:dyDescent="0.25">
      <c r="D76" s="56" t="s">
        <v>21</v>
      </c>
      <c r="E76" s="57" t="str" cm="1">
        <f t="array" ref="E76">MMS_Dairy_N2ODirect_Equations.VEERG_4_3_1_3__6_NitrogenRetainedByBody_Unit()</f>
        <v>kg N/head/day</v>
      </c>
    </row>
    <row r="77" spans="3:21" ht="20.100000000000001" customHeight="1" x14ac:dyDescent="0.25"/>
    <row r="78" spans="3:21" ht="20.100000000000001" customHeight="1" x14ac:dyDescent="0.25">
      <c r="D78" s="115" t="str" cm="1">
        <f t="array" ref="D78:E81">MMS_Dairy_N2ODirect_Equations.VEERG_4_3_1_3__6_NitrogenRetainedByBody_Arguments()</f>
        <v>MP_j</v>
      </c>
      <c r="E78" s="117" t="str">
        <v>milk production (L/head/day)</v>
      </c>
      <c r="F78" s="116"/>
      <c r="G78" s="115" t="str">
        <f>"See " &amp; D83</f>
        <v>See Table_MP_j</v>
      </c>
    </row>
    <row r="79" spans="3:21" ht="20.100000000000001" customHeight="1" x14ac:dyDescent="0.25">
      <c r="D79" s="115" t="str">
        <v>L_j</v>
      </c>
      <c r="E79" s="117" t="str">
        <v>intake relative to maintenance</v>
      </c>
      <c r="F79" s="116"/>
      <c r="G79" s="115" t="str">
        <f>"See " &amp; D62</f>
        <v>See M1_Table_L_j</v>
      </c>
    </row>
    <row r="80" spans="3:21" ht="20.100000000000001" customHeight="1" x14ac:dyDescent="0.25">
      <c r="D80" s="115" t="str">
        <v>Z_j</v>
      </c>
      <c r="E80" s="117" t="str">
        <v>relative size</v>
      </c>
      <c r="F80" s="116"/>
      <c r="G80" s="115" t="str">
        <f>"See " &amp; D26</f>
        <v>See M1_Table_Z_j</v>
      </c>
    </row>
    <row r="81" spans="4:19" ht="20.100000000000001" customHeight="1" x14ac:dyDescent="0.25">
      <c r="D81" s="115" t="str">
        <v>LWG_j</v>
      </c>
      <c r="E81" s="117" t="str">
        <v>liveweight gain (kg/day)</v>
      </c>
      <c r="F81" s="116"/>
      <c r="G81" s="115" t="str">
        <f>"See " &amp; D88</f>
        <v>See M1_Table_LWG_j</v>
      </c>
    </row>
    <row r="82" spans="4:19" ht="20.100000000000001" customHeight="1" x14ac:dyDescent="0.25"/>
    <row r="83" spans="4:19" ht="20.100000000000001" customHeight="1" x14ac:dyDescent="0.25">
      <c r="D83" s="104" t="s">
        <v>250</v>
      </c>
    </row>
    <row r="84" spans="4:19" ht="20.100000000000001" customHeight="1" x14ac:dyDescent="0.25">
      <c r="D84" s="103" t="s">
        <v>202</v>
      </c>
    </row>
    <row r="85" spans="4:19" ht="20.100000000000001" customHeight="1" x14ac:dyDescent="0.25">
      <c r="D85" s="54" t="s">
        <v>178</v>
      </c>
      <c r="E85" s="54" t="s">
        <v>195</v>
      </c>
      <c r="F85" s="54" t="s">
        <v>196</v>
      </c>
      <c r="G85" s="54" t="s">
        <v>197</v>
      </c>
      <c r="H85" s="54" t="s">
        <v>198</v>
      </c>
    </row>
    <row r="86" spans="4:19" ht="20.100000000000001" customHeight="1" x14ac:dyDescent="0.25">
      <c r="D86" s="55">
        <f>'Input - Dairy'!$E$46</f>
        <v>44</v>
      </c>
      <c r="E86" s="55">
        <v>0</v>
      </c>
      <c r="F86" s="55">
        <v>0</v>
      </c>
      <c r="G86" s="55">
        <v>0</v>
      </c>
      <c r="H86" s="55">
        <v>0</v>
      </c>
      <c r="I86" s="2" t="s">
        <v>247</v>
      </c>
    </row>
    <row r="87" spans="4:19" ht="20.100000000000001" customHeight="1" x14ac:dyDescent="0.25"/>
    <row r="88" spans="4:19" ht="20.100000000000001" customHeight="1" x14ac:dyDescent="0.25">
      <c r="D88" s="104" t="s">
        <v>234</v>
      </c>
      <c r="N88" s="104" t="s">
        <v>236</v>
      </c>
    </row>
    <row r="89" spans="4:19" ht="20.100000000000001" customHeight="1" x14ac:dyDescent="0.25">
      <c r="D89" s="103" t="s">
        <v>235</v>
      </c>
      <c r="N89" s="103" t="s">
        <v>237</v>
      </c>
    </row>
    <row r="90" spans="4:19" ht="20.100000000000001" customHeight="1" x14ac:dyDescent="0.25">
      <c r="D90" s="54" t="s">
        <v>178</v>
      </c>
      <c r="E90" s="54" t="s">
        <v>195</v>
      </c>
      <c r="F90" s="54" t="s">
        <v>196</v>
      </c>
      <c r="G90" s="54" t="s">
        <v>197</v>
      </c>
      <c r="H90" s="54" t="s">
        <v>198</v>
      </c>
      <c r="N90" s="54" t="s">
        <v>178</v>
      </c>
      <c r="O90" s="54" t="s">
        <v>195</v>
      </c>
      <c r="P90" s="54" t="s">
        <v>196</v>
      </c>
      <c r="Q90" s="54" t="s">
        <v>197</v>
      </c>
      <c r="R90" s="54" t="s">
        <v>198</v>
      </c>
    </row>
    <row r="91" spans="4:19" ht="20.100000000000001" customHeight="1" x14ac:dyDescent="0.25">
      <c r="D91" s="55">
        <f>'Input - Dairy'!$E$15</f>
        <v>1.6E-2</v>
      </c>
      <c r="E91" s="55">
        <f>'Input - Dairy'!$F$15</f>
        <v>0.6</v>
      </c>
      <c r="F91" s="55">
        <f>'Input - Dairy'!$G$15</f>
        <v>0.56999999999999995</v>
      </c>
      <c r="G91" s="55">
        <f>'Input - Dairy'!$H$15</f>
        <v>0.1</v>
      </c>
      <c r="H91" s="55">
        <f>'Input - Dairy'!$I$15</f>
        <v>0.8</v>
      </c>
      <c r="I91" s="2" t="s">
        <v>201</v>
      </c>
      <c r="N91" s="55">
        <f>'Input - Dairy'!$E$19</f>
        <v>1.6E-2</v>
      </c>
      <c r="O91" s="55">
        <f>'Input - Dairy'!$F$19</f>
        <v>0.6</v>
      </c>
      <c r="P91" s="55">
        <f>'Input - Dairy'!$G$19</f>
        <v>0.56999999999999995</v>
      </c>
      <c r="Q91" s="55">
        <f>'Input - Dairy'!$H$19</f>
        <v>0.1</v>
      </c>
      <c r="R91" s="55">
        <f>'Input - Dairy'!$I$19</f>
        <v>0.8</v>
      </c>
      <c r="S91" s="2" t="s">
        <v>201</v>
      </c>
    </row>
    <row r="92" spans="4:19" ht="20.100000000000001" customHeight="1" x14ac:dyDescent="0.25"/>
    <row r="93" spans="4:19" ht="20.100000000000001" customHeight="1" x14ac:dyDescent="0.25">
      <c r="D93" s="104" t="s">
        <v>119</v>
      </c>
      <c r="N93" s="104" t="s">
        <v>120</v>
      </c>
    </row>
    <row r="94" spans="4:19" ht="20.100000000000001" customHeight="1" x14ac:dyDescent="0.25">
      <c r="D94" s="103" t="s">
        <v>308</v>
      </c>
      <c r="N94" s="103" t="s">
        <v>309</v>
      </c>
    </row>
    <row r="95" spans="4:19" ht="20.100000000000001" customHeight="1" x14ac:dyDescent="0.25">
      <c r="D95" s="54" t="s">
        <v>178</v>
      </c>
      <c r="E95" s="54" t="s">
        <v>195</v>
      </c>
      <c r="F95" s="54" t="s">
        <v>196</v>
      </c>
      <c r="G95" s="54" t="s">
        <v>197</v>
      </c>
      <c r="H95" s="54" t="s">
        <v>198</v>
      </c>
      <c r="N95" s="54" t="s">
        <v>178</v>
      </c>
      <c r="O95" s="54" t="s">
        <v>195</v>
      </c>
      <c r="P95" s="54" t="s">
        <v>196</v>
      </c>
      <c r="Q95" s="54" t="s">
        <v>197</v>
      </c>
      <c r="R95" s="54" t="s">
        <v>198</v>
      </c>
    </row>
    <row r="96" spans="4:19" ht="20.100000000000001" customHeight="1" x14ac:dyDescent="0.25">
      <c r="D96" s="55" cm="1">
        <f t="array" ref="D96">MMS_Dairy_N2ODirect_Equations.VEERG_4_3_1_3__6_NitrogenRetainedByBody(D86,D65,D29,D91)</f>
        <v>3.6552968231573939E-2</v>
      </c>
      <c r="E96" s="55" cm="1">
        <f t="array" ref="E96">MMS_Dairy_N2ODirect_Equations.VEERG_4_3_1_3__6_NitrogenRetainedByBody(E86,E65,E29,E91)</f>
        <v>8.7932411900846184E-3</v>
      </c>
      <c r="F96" s="55" cm="1">
        <f t="array" ref="F96">MMS_Dairy_N2ODirect_Equations.VEERG_4_3_1_3__6_NitrogenRetainedByBody(F86,F65,F29,F91)</f>
        <v>1.4575548166167214E-2</v>
      </c>
      <c r="G96" s="55" cm="1">
        <f t="array" ref="G96">MMS_Dairy_N2ODirect_Equations.VEERG_4_3_1_3__6_NitrogenRetainedByBody(G86,G65,G29,G91)</f>
        <v>1.2626203146474683E-3</v>
      </c>
      <c r="H96" s="55" cm="1">
        <f t="array" ref="H96">MMS_Dairy_N2ODirect_Equations.VEERG_4_3_1_3__6_NitrogenRetainedByBody(H86,H65,H29,H91)</f>
        <v>1.9757354894894087E-2</v>
      </c>
      <c r="I96" s="2" t="str">
        <f>$E$76</f>
        <v>kg N/head/day</v>
      </c>
      <c r="N96" s="55" cm="1">
        <f t="array" ref="N96">MMS_Dairy_N2ODirect_Equations.VEERG_4_3_1_3__6_NitrogenRetainedByBody(D86,N65,N29,N91)</f>
        <v>3.6552968231573939E-2</v>
      </c>
      <c r="O96" s="55" cm="1">
        <f t="array" ref="O96">MMS_Dairy_N2ODirect_Equations.VEERG_4_3_1_3__6_NitrogenRetainedByBody(E86,O65,O29,O91)</f>
        <v>8.7932411900846184E-3</v>
      </c>
      <c r="P96" s="55" cm="1">
        <f t="array" ref="P96">MMS_Dairy_N2ODirect_Equations.VEERG_4_3_1_3__6_NitrogenRetainedByBody(F86,P65,P29,P91)</f>
        <v>1.4575548166167214E-2</v>
      </c>
      <c r="Q96" s="55" cm="1">
        <f t="array" ref="Q96">MMS_Dairy_N2ODirect_Equations.VEERG_4_3_1_3__6_NitrogenRetainedByBody(G86,Q65,Q29,Q91)</f>
        <v>1.2626203146474683E-3</v>
      </c>
      <c r="R96" s="55" cm="1">
        <f t="array" ref="R96">MMS_Dairy_N2ODirect_Equations.VEERG_4_3_1_3__6_NitrogenRetainedByBody(H86,R65,R29,R91)</f>
        <v>1.9757354894894087E-2</v>
      </c>
      <c r="S96" s="2" t="str">
        <f>$E$76</f>
        <v>kg N/head/day</v>
      </c>
    </row>
    <row r="97" spans="3:21" ht="20.100000000000001" customHeight="1" x14ac:dyDescent="0.25"/>
    <row r="98" spans="3:21" ht="20.100000000000001" customHeight="1" x14ac:dyDescent="0.25"/>
    <row r="99" spans="3:21" ht="20.100000000000001" customHeight="1" x14ac:dyDescent="0.25">
      <c r="C99" s="48"/>
      <c r="D99" s="48"/>
      <c r="E99" s="48"/>
      <c r="F99" s="48"/>
      <c r="G99" s="48"/>
      <c r="H99" s="48"/>
      <c r="I99" s="48"/>
      <c r="J99" s="48"/>
      <c r="K99" s="48"/>
      <c r="M99" s="48"/>
      <c r="N99" s="48"/>
      <c r="O99" s="48"/>
      <c r="P99" s="48"/>
      <c r="Q99" s="48"/>
      <c r="R99" s="48"/>
      <c r="S99" s="48"/>
      <c r="T99" s="48"/>
      <c r="U99" s="48"/>
    </row>
    <row r="100" spans="3:21" ht="20.100000000000001" customHeight="1" x14ac:dyDescent="0.25">
      <c r="D100" s="6" t="str" cm="1">
        <f t="array" ref="D100">MMS_Dairy_N2ODirect_Equations.VEERG_4_3_1_3__5_CrudeProteinIntakeOfDairyCattle_Title()</f>
        <v>Crude protein intake of dairy cattle</v>
      </c>
    </row>
    <row r="101" spans="3:21" ht="20.100000000000001" customHeight="1" x14ac:dyDescent="0.25">
      <c r="D101" s="5" t="str" cm="1">
        <f t="array" ref="D101">MMS_Dairy_N2ODirect_Equations.VEERG_4_3_1_3__5_CrudeProteinIntakeOfDairyCattle_Source()</f>
        <v>VEERG 2026: 4.3.1.3, Equation (5)</v>
      </c>
    </row>
    <row r="102" spans="3:21" ht="20.100000000000001" customHeight="1" x14ac:dyDescent="0.25">
      <c r="D102" s="13" t="s">
        <v>28</v>
      </c>
      <c r="E102" s="13" t="str" cm="1">
        <f t="array" aca="1" ref="E102" ca="1">Common_InputFunctions.Utility_DisplayFunctionName(D119)</f>
        <v>=MMS_Dairy_N2ODirect_Equations.VEERG_4_3_1_3__5_CrudeProteinIntakeOfDairyCattle</v>
      </c>
    </row>
    <row r="103" spans="3:21" ht="20.100000000000001" customHeight="1" x14ac:dyDescent="0.25"/>
    <row r="104" spans="3:21" ht="20.100000000000001" customHeight="1" x14ac:dyDescent="0.25">
      <c r="D104" s="6"/>
    </row>
    <row r="105" spans="3:21" ht="20.100000000000001" customHeight="1" x14ac:dyDescent="0.25">
      <c r="D105" s="56" t="s">
        <v>31</v>
      </c>
      <c r="E105" s="1" t="str" cm="1">
        <f t="array" ref="E105">MMS_Dairy_N2ODirect_Equations.VEERG_4_3_1_3__5_CrudeProteinIntakeOfDairyCattle_Variable()</f>
        <v>CPI_j</v>
      </c>
    </row>
    <row r="106" spans="3:21" ht="20.100000000000001" customHeight="1" x14ac:dyDescent="0.25">
      <c r="D106" s="56" t="s">
        <v>21</v>
      </c>
      <c r="E106" s="57" t="str" cm="1">
        <f t="array" ref="E106">MMS_Dairy_N2ODirect_Equations.VEERG_4_3_1_3__5_CrudeProteinIntakeOfDairyCattle_Unit()</f>
        <v>kg/head/day</v>
      </c>
    </row>
    <row r="107" spans="3:21" ht="20.100000000000001" customHeight="1" x14ac:dyDescent="0.25"/>
    <row r="108" spans="3:21" ht="20.100000000000001" customHeight="1" x14ac:dyDescent="0.25">
      <c r="D108" s="60" t="str" cm="1">
        <f t="array" ref="D108:E109">MMS_Dairy_N2ODirect_Equations.VEERG_4_3_1_3__5_CrudeProteinIntakeOfDairyCattle_Arguments()</f>
        <v>I_j</v>
      </c>
      <c r="E108" s="61" t="str">
        <v>dry matter intake (kgDM/head/day)</v>
      </c>
      <c r="F108" s="62"/>
      <c r="G108" s="60" t="str">
        <f>"See " &amp; D47</f>
        <v>See M1_Table_I_j</v>
      </c>
    </row>
    <row r="109" spans="3:21" ht="20.100000000000001" customHeight="1" x14ac:dyDescent="0.25">
      <c r="D109" s="60" t="str">
        <v>CP_j</v>
      </c>
      <c r="E109" s="61" t="str">
        <v>crude protein content of feed intake (fraction)</v>
      </c>
      <c r="F109" s="62"/>
      <c r="G109" s="60" t="str">
        <f>"See " &amp; D111</f>
        <v>See M1_Table_CP_j</v>
      </c>
    </row>
    <row r="110" spans="3:21" ht="20.100000000000001" customHeight="1" x14ac:dyDescent="0.25"/>
    <row r="111" spans="3:21" ht="20.100000000000001" customHeight="1" x14ac:dyDescent="0.25">
      <c r="D111" s="104" t="s">
        <v>117</v>
      </c>
      <c r="N111" s="104" t="s">
        <v>117</v>
      </c>
    </row>
    <row r="112" spans="3:21" ht="20.100000000000001" customHeight="1" x14ac:dyDescent="0.25">
      <c r="D112" s="103" t="s">
        <v>310</v>
      </c>
      <c r="N112" s="103" t="s">
        <v>310</v>
      </c>
    </row>
    <row r="113" spans="3:21" ht="20.100000000000001" customHeight="1" x14ac:dyDescent="0.25">
      <c r="D113" s="54" t="s">
        <v>178</v>
      </c>
      <c r="E113" s="54" t="s">
        <v>195</v>
      </c>
      <c r="F113" s="54" t="s">
        <v>196</v>
      </c>
      <c r="G113" s="54" t="s">
        <v>197</v>
      </c>
      <c r="H113" s="54" t="s">
        <v>198</v>
      </c>
      <c r="N113" s="54" t="s">
        <v>178</v>
      </c>
      <c r="O113" s="54" t="s">
        <v>195</v>
      </c>
      <c r="P113" s="54" t="s">
        <v>196</v>
      </c>
      <c r="Q113" s="54" t="s">
        <v>197</v>
      </c>
      <c r="R113" s="54" t="s">
        <v>198</v>
      </c>
    </row>
    <row r="114" spans="3:21" ht="20.100000000000001" customHeight="1" x14ac:dyDescent="0.25">
      <c r="D114" s="55">
        <f>'Input - Dairy'!E37</f>
        <v>0.2</v>
      </c>
      <c r="E114" s="55">
        <f>'Input - Dairy'!F37</f>
        <v>0.2</v>
      </c>
      <c r="F114" s="55">
        <f>'Input - Dairy'!G37</f>
        <v>0.2</v>
      </c>
      <c r="G114" s="55">
        <f>'Input - Dairy'!H37</f>
        <v>0.2</v>
      </c>
      <c r="H114" s="55">
        <f>'Input - Dairy'!I37</f>
        <v>0.2</v>
      </c>
      <c r="I114" s="2" t="s">
        <v>101</v>
      </c>
      <c r="N114" s="55">
        <f>'Input - Dairy'!E42</f>
        <v>0.2</v>
      </c>
      <c r="O114" s="55">
        <f>'Input - Dairy'!F42</f>
        <v>0.2</v>
      </c>
      <c r="P114" s="55">
        <f>'Input - Dairy'!G42</f>
        <v>0.2</v>
      </c>
      <c r="Q114" s="55">
        <f>'Input - Dairy'!H42</f>
        <v>0.2</v>
      </c>
      <c r="R114" s="55">
        <f>'Input - Dairy'!I42</f>
        <v>0.2</v>
      </c>
      <c r="S114" s="2" t="s">
        <v>101</v>
      </c>
    </row>
    <row r="115" spans="3:21" ht="20.100000000000001" customHeight="1" x14ac:dyDescent="0.25"/>
    <row r="116" spans="3:21" ht="20.100000000000001" customHeight="1" x14ac:dyDescent="0.25">
      <c r="D116" s="104" t="s">
        <v>311</v>
      </c>
      <c r="N116" s="104" t="s">
        <v>311</v>
      </c>
    </row>
    <row r="117" spans="3:21" ht="20.100000000000001" customHeight="1" x14ac:dyDescent="0.25">
      <c r="D117" s="103" t="s">
        <v>312</v>
      </c>
      <c r="N117" s="103" t="s">
        <v>312</v>
      </c>
    </row>
    <row r="118" spans="3:21" ht="20.100000000000001" customHeight="1" x14ac:dyDescent="0.25">
      <c r="D118" s="54" t="s">
        <v>178</v>
      </c>
      <c r="E118" s="54" t="s">
        <v>195</v>
      </c>
      <c r="F118" s="54" t="s">
        <v>196</v>
      </c>
      <c r="G118" s="54" t="s">
        <v>197</v>
      </c>
      <c r="H118" s="54" t="s">
        <v>198</v>
      </c>
      <c r="N118" s="54" t="s">
        <v>178</v>
      </c>
      <c r="O118" s="54" t="s">
        <v>195</v>
      </c>
      <c r="P118" s="54" t="s">
        <v>196</v>
      </c>
      <c r="Q118" s="54" t="s">
        <v>197</v>
      </c>
      <c r="R118" s="54" t="s">
        <v>198</v>
      </c>
    </row>
    <row r="119" spans="3:21" ht="20.100000000000001" customHeight="1" x14ac:dyDescent="0.25">
      <c r="D119" s="55" cm="1">
        <f t="array" ref="D119">MMS_Dairy_N2ODirect_Equations.VEERG_4_3_1_3__5_CrudeProteinIntakeOfDairyCattle(D50,D114)</f>
        <v>1.8929425571617076</v>
      </c>
      <c r="E119" s="55" cm="1">
        <f t="array" ref="E119">MMS_Dairy_N2ODirect_Equations.VEERG_4_3_1_3__5_CrudeProteinIntakeOfDairyCattle(E50,E114)</f>
        <v>1.4837737075199995</v>
      </c>
      <c r="F119" s="55" cm="1">
        <f t="array" ref="F119">MMS_Dairy_N2ODirect_Equations.VEERG_4_3_1_3__5_CrudeProteinIntakeOfDairyCattle(F50,F114)</f>
        <v>0.80463469324500003</v>
      </c>
      <c r="G119" s="55" cm="1">
        <f t="array" ref="G119">MMS_Dairy_N2ODirect_Equations.VEERG_4_3_1_3__5_CrudeProteinIntakeOfDairyCattle(G50,G114)</f>
        <v>1.8054040499999997</v>
      </c>
      <c r="H119" s="55" cm="1">
        <f t="array" ref="H119">MMS_Dairy_N2ODirect_Equations.VEERG_4_3_1_3__5_CrudeProteinIntakeOfDairyCattle(H50,H114)</f>
        <v>1.0828694531250003</v>
      </c>
      <c r="I119" s="2" t="str">
        <f>$E$106</f>
        <v>kg/head/day</v>
      </c>
      <c r="N119" s="55" cm="1">
        <f t="array" ref="N119">MMS_Dairy_N2ODirect_Equations.VEERG_4_3_1_3__5_CrudeProteinIntakeOfDairyCattle(N50,N114)</f>
        <v>1.8929425571617076</v>
      </c>
      <c r="O119" s="55" cm="1">
        <f t="array" ref="O119">MMS_Dairy_N2ODirect_Equations.VEERG_4_3_1_3__5_CrudeProteinIntakeOfDairyCattle(O50,O114)</f>
        <v>1.4837737075199995</v>
      </c>
      <c r="P119" s="55" cm="1">
        <f t="array" ref="P119">MMS_Dairy_N2ODirect_Equations.VEERG_4_3_1_3__5_CrudeProteinIntakeOfDairyCattle(P50,P114)</f>
        <v>0.80463469324500003</v>
      </c>
      <c r="Q119" s="55" cm="1">
        <f t="array" ref="Q119">MMS_Dairy_N2ODirect_Equations.VEERG_4_3_1_3__5_CrudeProteinIntakeOfDairyCattle(Q50,Q114)</f>
        <v>1.8054040499999997</v>
      </c>
      <c r="R119" s="55" cm="1">
        <f t="array" ref="R119">MMS_Dairy_N2ODirect_Equations.VEERG_4_3_1_3__5_CrudeProteinIntakeOfDairyCattle(R50,R114)</f>
        <v>1.0828694531250003</v>
      </c>
      <c r="S119" s="2" t="str">
        <f>$E$106</f>
        <v>kg/head/day</v>
      </c>
    </row>
    <row r="120" spans="3:21" ht="20.100000000000001" customHeight="1" x14ac:dyDescent="0.25"/>
    <row r="121" spans="3:21" ht="20.100000000000001" customHeight="1" x14ac:dyDescent="0.25"/>
    <row r="122" spans="3:21" ht="20.100000000000001" customHeight="1" x14ac:dyDescent="0.25">
      <c r="C122" s="48"/>
      <c r="D122" s="48"/>
      <c r="E122" s="48"/>
      <c r="F122" s="48"/>
      <c r="G122" s="48"/>
      <c r="H122" s="48"/>
      <c r="I122" s="48"/>
      <c r="J122" s="48"/>
      <c r="K122" s="48"/>
      <c r="M122" s="48"/>
      <c r="N122" s="48"/>
      <c r="O122" s="48"/>
      <c r="P122" s="48"/>
      <c r="Q122" s="48"/>
      <c r="R122" s="48"/>
      <c r="S122" s="48"/>
      <c r="T122" s="48"/>
      <c r="U122" s="48"/>
    </row>
    <row r="123" spans="3:21" ht="20.100000000000001" customHeight="1" x14ac:dyDescent="0.25">
      <c r="D123" s="6" t="str" cm="1">
        <f t="array" ref="D123">MMS_Dairy_N2ODirect_Equations.VEERG_4_3_1_3__4_NitrogenExcretedByDairyCattleGreaterThanOneYear_Title()</f>
        <v>Nitrogen excreted by dairy cattle greater than one year old</v>
      </c>
    </row>
    <row r="124" spans="3:21" ht="20.100000000000001" customHeight="1" x14ac:dyDescent="0.25">
      <c r="D124" s="5" t="str" cm="1">
        <f t="array" ref="D124">MMS_Dairy_N2ODirect_Equations.VEERG_4_3_1_3__4_NitrogenExcretedByDairyCattleGreaterThanOneYear_Source()</f>
        <v>VEERG 2026: 4.3.1.3, Equation (4)</v>
      </c>
    </row>
    <row r="125" spans="3:21" ht="20.100000000000001" customHeight="1" x14ac:dyDescent="0.25">
      <c r="D125" s="13" t="s">
        <v>28</v>
      </c>
      <c r="E125" s="13" t="str" cm="1">
        <f t="array" aca="1" ref="E125" ca="1">Common_InputFunctions.Utility_DisplayFunctionName(D139)</f>
        <v>=MMS_Dairy_N2ODirect_Equations.VEERG_4_3_1_3__4_NitrogenExcretedByDairyCattleGreaterThanOneYear</v>
      </c>
    </row>
    <row r="126" spans="3:21" ht="20.100000000000001" customHeight="1" x14ac:dyDescent="0.25"/>
    <row r="127" spans="3:21" ht="20.100000000000001" customHeight="1" x14ac:dyDescent="0.25">
      <c r="D127" s="6"/>
    </row>
    <row r="128" spans="3:21" ht="20.100000000000001" customHeight="1" x14ac:dyDescent="0.25"/>
    <row r="129" spans="3:21" ht="20.100000000000001" customHeight="1" x14ac:dyDescent="0.25">
      <c r="D129" s="56" t="s">
        <v>31</v>
      </c>
      <c r="E129" s="1" t="str" cm="1">
        <f t="array" ref="E129">MMS_Dairy_N2ODirect_Equations.VEERG_4_3_1_3__4_NitrogenExcretedByDairyCattleGreaterThanOneYear_Variable()</f>
        <v>NE_j</v>
      </c>
    </row>
    <row r="130" spans="3:21" ht="20.100000000000001" customHeight="1" x14ac:dyDescent="0.25">
      <c r="D130" s="56" t="s">
        <v>21</v>
      </c>
      <c r="E130" s="57" t="str" cm="1">
        <f t="array" ref="E130">MMS_Dairy_N2ODirect_Equations.VEERG_4_3_1_3__4_NitrogenExcretedByDairyCattleGreaterThanOneYear_Unit()</f>
        <v>kg N/head/day</v>
      </c>
    </row>
    <row r="131" spans="3:21" ht="20.100000000000001" customHeight="1" x14ac:dyDescent="0.25"/>
    <row r="132" spans="3:21" ht="20.100000000000001" customHeight="1" x14ac:dyDescent="0.25">
      <c r="D132" s="60" t="str" cm="1">
        <f t="array" ref="D132:E134">MMS_Dairy_N2ODirect_Equations.VEERG_4_3_1_3__4_NitrogenExcretedByDairyCattleGreaterThanOneYear_Arguments()</f>
        <v>CPI_j</v>
      </c>
      <c r="E132" s="61" t="str">
        <v>crude protein intake (kg/head/day)</v>
      </c>
      <c r="F132" s="62"/>
      <c r="G132" s="60" t="str">
        <f>"See " &amp;D116</f>
        <v>See M1_Table_CPI_j</v>
      </c>
    </row>
    <row r="133" spans="3:21" ht="20.100000000000001" customHeight="1" x14ac:dyDescent="0.25">
      <c r="D133" s="60" t="str">
        <v>NR_j</v>
      </c>
      <c r="E133" s="61" t="str">
        <v>amount of nitrogen retained by the body (kg N/head/day)</v>
      </c>
      <c r="F133" s="62"/>
      <c r="G133" s="60" t="str">
        <f>"See " &amp; D93</f>
        <v>See M1_Table_NR_j</v>
      </c>
    </row>
    <row r="134" spans="3:21" ht="20.100000000000001" customHeight="1" x14ac:dyDescent="0.25">
      <c r="D134" s="60" t="str">
        <v>W_j</v>
      </c>
      <c r="E134" s="61" t="str">
        <v>liveweight (kg)</v>
      </c>
      <c r="F134" s="62"/>
      <c r="G134" s="60" t="str">
        <f>"See " &amp; D16</f>
        <v>See M1_Table_W_j</v>
      </c>
    </row>
    <row r="135" spans="3:21" ht="20.100000000000001" customHeight="1" x14ac:dyDescent="0.25"/>
    <row r="136" spans="3:21" ht="20.100000000000001" customHeight="1" x14ac:dyDescent="0.25">
      <c r="D136" s="104" t="s">
        <v>121</v>
      </c>
      <c r="N136" s="104" t="s">
        <v>122</v>
      </c>
    </row>
    <row r="137" spans="3:21" ht="20.100000000000001" customHeight="1" x14ac:dyDescent="0.25">
      <c r="D137" s="103" t="s">
        <v>313</v>
      </c>
      <c r="N137" s="103" t="s">
        <v>314</v>
      </c>
    </row>
    <row r="138" spans="3:21" ht="20.100000000000001" customHeight="1" x14ac:dyDescent="0.25">
      <c r="D138" s="54" t="s">
        <v>178</v>
      </c>
      <c r="E138" s="54" t="s">
        <v>195</v>
      </c>
      <c r="F138" s="54" t="s">
        <v>196</v>
      </c>
      <c r="G138" s="54" t="s">
        <v>197</v>
      </c>
      <c r="H138" s="54" t="s">
        <v>198</v>
      </c>
      <c r="N138" s="54" t="s">
        <v>178</v>
      </c>
      <c r="O138" s="54" t="s">
        <v>195</v>
      </c>
      <c r="P138" s="54" t="s">
        <v>196</v>
      </c>
      <c r="Q138" s="54" t="s">
        <v>197</v>
      </c>
      <c r="R138" s="54" t="s">
        <v>198</v>
      </c>
    </row>
    <row r="139" spans="3:21" ht="20.100000000000001" customHeight="1" x14ac:dyDescent="0.25">
      <c r="D139" s="55" cm="1">
        <f t="array" ref="D139">MMS_Dairy_N2ODirect_Equations.VEERG_4_3_1_3__4_NitrogenExcretedByDairyCattleGreaterThanOneYear(D119,D96,D19)</f>
        <v>0.26431897029296131</v>
      </c>
      <c r="E139" s="55" cm="1">
        <f t="array" ref="E139">MMS_Dairy_N2ODirect_Equations.VEERG_4_3_1_3__4_NitrogenExcretedByDairyCattleGreaterThanOneYear(E119,E96,E19)</f>
        <v>0.22709576921272823</v>
      </c>
      <c r="F139" s="55" cm="1">
        <f t="array" ref="F139">MMS_Dairy_N2ODirect_Equations.VEERG_4_3_1_3__4_NitrogenExcretedByDairyCattleGreaterThanOneYear(F119,F96,F19)</f>
        <v>0.1133928568810149</v>
      </c>
      <c r="G139" s="55" cm="1">
        <f t="array" ref="G139">MMS_Dairy_N2ODirect_Equations.VEERG_4_3_1_3__4_NitrogenExcretedByDairyCattleGreaterThanOneYear(G119,G96,G19)</f>
        <v>0.28546836331241399</v>
      </c>
      <c r="H139" s="55" cm="1">
        <f t="array" ref="H139">MMS_Dairy_N2ODirect_Equations.VEERG_4_3_1_3__4_NitrogenExcretedByDairyCattleGreaterThanOneYear(H119,H96,H19)</f>
        <v>0.15247929000170721</v>
      </c>
      <c r="I139" s="2" t="str">
        <f>$E$130</f>
        <v>kg N/head/day</v>
      </c>
      <c r="N139" s="55" cm="1">
        <f t="array" ref="N139">MMS_Dairy_N2ODirect_Equations.VEERG_4_3_1_3__4_NitrogenExcretedByDairyCattleGreaterThanOneYear(N119,N96,N19)</f>
        <v>0.26431897029296131</v>
      </c>
      <c r="O139" s="55" cm="1">
        <f t="array" ref="O139">MMS_Dairy_N2ODirect_Equations.VEERG_4_3_1_3__4_NitrogenExcretedByDairyCattleGreaterThanOneYear(O119,O96,O19)</f>
        <v>0.22709576921272823</v>
      </c>
      <c r="P139" s="55" cm="1">
        <f t="array" ref="P139">MMS_Dairy_N2ODirect_Equations.VEERG_4_3_1_3__4_NitrogenExcretedByDairyCattleGreaterThanOneYear(P119,P96,P19)</f>
        <v>0.1133928568810149</v>
      </c>
      <c r="Q139" s="55" cm="1">
        <f t="array" ref="Q139">MMS_Dairy_N2ODirect_Equations.VEERG_4_3_1_3__4_NitrogenExcretedByDairyCattleGreaterThanOneYear(Q119,Q96,Q19)</f>
        <v>0.28546836331241399</v>
      </c>
      <c r="R139" s="55" cm="1">
        <f t="array" ref="R139">MMS_Dairy_N2ODirect_Equations.VEERG_4_3_1_3__4_NitrogenExcretedByDairyCattleGreaterThanOneYear(R119,R96,R19)</f>
        <v>0.15247929000170721</v>
      </c>
      <c r="S139" s="2" t="str">
        <f>$E$130</f>
        <v>kg N/head/day</v>
      </c>
    </row>
    <row r="140" spans="3:21" ht="20.100000000000001" customHeight="1" x14ac:dyDescent="0.25"/>
    <row r="141" spans="3:21" ht="20.100000000000001" customHeight="1" x14ac:dyDescent="0.25"/>
    <row r="142" spans="3:21" ht="20.100000000000001" customHeight="1" x14ac:dyDescent="0.25">
      <c r="C142" s="48"/>
      <c r="D142" s="48"/>
      <c r="E142" s="48"/>
      <c r="F142" s="48"/>
      <c r="G142" s="48"/>
      <c r="H142" s="48"/>
      <c r="I142" s="48"/>
      <c r="J142" s="48"/>
      <c r="K142" s="48"/>
      <c r="M142" s="48"/>
      <c r="N142" s="48"/>
      <c r="O142" s="48"/>
      <c r="P142" s="48"/>
      <c r="Q142" s="48"/>
      <c r="R142" s="48"/>
      <c r="S142" s="48"/>
      <c r="T142" s="48"/>
      <c r="U142" s="48"/>
    </row>
    <row r="143" spans="3:21" ht="20.100000000000001" customHeight="1" x14ac:dyDescent="0.25">
      <c r="D143" s="6" t="str" cm="1">
        <f t="array" ref="D143">MMS_Dairy_N2ODirect_Equations.VEERG_4_3_1_3__3a_TotalAnnualNitrogenExcretedGreaterThanOneYear_Title()</f>
        <v>Total annual nitrogen excreted by dairy cattle greater than one year old</v>
      </c>
    </row>
    <row r="144" spans="3:21" ht="20.100000000000001" customHeight="1" x14ac:dyDescent="0.25">
      <c r="D144" s="5" t="str" cm="1">
        <f t="array" ref="D144">MMS_Dairy_N2ODirect_Equations.VEERG_4_3_1_3__3a_TotalAnnualNitrogenExcretedGreaterThanOneYear_Source()</f>
        <v>VEERG 2026: 4.3.1.3, Equation (3a)</v>
      </c>
    </row>
    <row r="145" spans="4:9" ht="20.100000000000001" customHeight="1" x14ac:dyDescent="0.25">
      <c r="D145" s="58" t="str" cm="1">
        <f t="array" ref="D145">MMS_Dairy_N2ODirect_Equations.VEERG_4_3_1_3__3a_TotalAnnualNitrogenExcretedGreaterThanOneYear_Variation()</f>
        <v>VARIATION: Used Duration variables instead of hard-coded 365 value.</v>
      </c>
    </row>
    <row r="146" spans="4:9" ht="20.100000000000001" customHeight="1" x14ac:dyDescent="0.25">
      <c r="D146" s="13" t="s">
        <v>28</v>
      </c>
      <c r="E146" s="13" t="str" cm="1">
        <f t="array" aca="1" ref="E146" ca="1">Common_InputFunctions.Utility_DisplayFunctionName(D169)</f>
        <v>=MMS_Dairy_N2ODirect_Equations.VEERG_4_3_1_3__3a_TotalAnnualNitrogenExcretedGreaterThanOneYearVariation</v>
      </c>
    </row>
    <row r="147" spans="4:9" ht="20.100000000000001" customHeight="1" x14ac:dyDescent="0.25"/>
    <row r="148" spans="4:9" ht="20.100000000000001" customHeight="1" x14ac:dyDescent="0.25">
      <c r="D148" s="6"/>
    </row>
    <row r="149" spans="4:9" ht="20.100000000000001" customHeight="1" x14ac:dyDescent="0.25">
      <c r="D149" s="56" t="s">
        <v>31</v>
      </c>
      <c r="E149" s="1" t="str" cm="1">
        <f t="array" ref="E149">MMS_Dairy_N2ODirect_Equations.VEERG_4_3_1_3__3a_TotalAnnualNitrogenExcretedGreaterThanOneYear_Variable()</f>
        <v>AE_j124</v>
      </c>
    </row>
    <row r="150" spans="4:9" ht="20.100000000000001" customHeight="1" x14ac:dyDescent="0.25">
      <c r="D150" s="56" t="s">
        <v>21</v>
      </c>
      <c r="E150" s="57" t="str" cm="1">
        <f t="array" ref="E150">MMS_Dairy_N2ODirect_Equations.VEERG_4_3_1_3__3a_TotalAnnualNitrogenExcretedGreaterThanOneYear_Unit()</f>
        <v>kg N</v>
      </c>
    </row>
    <row r="151" spans="4:9" ht="20.100000000000001" customHeight="1" x14ac:dyDescent="0.25"/>
    <row r="152" spans="4:9" ht="20.100000000000001" customHeight="1" x14ac:dyDescent="0.25">
      <c r="D152" s="115" t="str" cm="1">
        <f t="array" ref="D152:E154">MMS_Dairy_N2ODirect_Equations.VEERG_4_3_1_3__3a_TotalAnnualNitrogenExcretedGreaterThanOneYear_Arguments()</f>
        <v>N_j124</v>
      </c>
      <c r="E152" s="117" t="str">
        <v>number of dairy cattle in classes j=1,2,4</v>
      </c>
      <c r="F152" s="116"/>
      <c r="G152" s="115" t="str">
        <f>"See " &amp; D156</f>
        <v>See Table_N_j</v>
      </c>
    </row>
    <row r="153" spans="4:9" ht="20.100000000000001" customHeight="1" x14ac:dyDescent="0.25">
      <c r="D153" s="115" t="str">
        <v>NE_j124</v>
      </c>
      <c r="E153" s="117" t="str">
        <v>nitrogen excreted by dairy cattle greater than one year old (kg N/head/day)</v>
      </c>
      <c r="F153" s="116"/>
      <c r="G153" s="115" t="str">
        <f>"See " &amp; D136</f>
        <v>See M1_Table_NE_j</v>
      </c>
    </row>
    <row r="154" spans="4:9" ht="20.100000000000001" customHeight="1" x14ac:dyDescent="0.25">
      <c r="D154" s="115" t="str">
        <v>D_j124</v>
      </c>
      <c r="E154" s="117" t="str">
        <v>duration of stay on farm for classes j=1,2,4 (days)</v>
      </c>
      <c r="F154" s="116"/>
      <c r="G154" s="115" t="str">
        <f>"See " &amp; D161</f>
        <v>See M1_Table_D_j-1-2-4</v>
      </c>
    </row>
    <row r="155" spans="4:9" ht="20.100000000000001" customHeight="1" x14ac:dyDescent="0.25"/>
    <row r="156" spans="4:9" ht="20.100000000000001" customHeight="1" x14ac:dyDescent="0.25">
      <c r="D156" s="104" t="s">
        <v>109</v>
      </c>
    </row>
    <row r="157" spans="4:9" ht="20.100000000000001" customHeight="1" x14ac:dyDescent="0.25">
      <c r="D157" s="103" t="s">
        <v>279</v>
      </c>
    </row>
    <row r="158" spans="4:9" ht="20.100000000000001" customHeight="1" x14ac:dyDescent="0.25">
      <c r="D158" s="54" t="s">
        <v>178</v>
      </c>
      <c r="E158" s="54" t="s">
        <v>195</v>
      </c>
      <c r="F158" s="54" t="s">
        <v>196</v>
      </c>
      <c r="G158" s="54" t="s">
        <v>197</v>
      </c>
      <c r="H158" s="54" t="s">
        <v>198</v>
      </c>
    </row>
    <row r="159" spans="4:9" ht="20.100000000000001" customHeight="1" x14ac:dyDescent="0.25">
      <c r="D159" s="107">
        <f>'Input - Dairy'!$E$10</f>
        <v>100</v>
      </c>
      <c r="E159" s="107">
        <f>'Input - Dairy'!$F$10</f>
        <v>100</v>
      </c>
      <c r="F159" s="107">
        <f>'Input - Dairy'!$G$10</f>
        <v>100</v>
      </c>
      <c r="G159" s="107">
        <f>'Input - Dairy'!$H$10</f>
        <v>100</v>
      </c>
      <c r="H159" s="107">
        <f>'Input - Dairy'!$I$10</f>
        <v>100</v>
      </c>
      <c r="I159" s="2" t="s">
        <v>110</v>
      </c>
    </row>
    <row r="160" spans="4:9" ht="20.100000000000001" customHeight="1" x14ac:dyDescent="0.25"/>
    <row r="161" spans="3:21" ht="20.100000000000001" customHeight="1" x14ac:dyDescent="0.25">
      <c r="D161" s="104" t="s">
        <v>286</v>
      </c>
      <c r="N161" s="104" t="s">
        <v>286</v>
      </c>
    </row>
    <row r="162" spans="3:21" ht="20.100000000000001" customHeight="1" x14ac:dyDescent="0.25">
      <c r="D162" s="103" t="s">
        <v>317</v>
      </c>
      <c r="N162" s="103" t="s">
        <v>318</v>
      </c>
    </row>
    <row r="163" spans="3:21" ht="20.100000000000001" customHeight="1" x14ac:dyDescent="0.25">
      <c r="D163" s="54" t="s">
        <v>178</v>
      </c>
      <c r="E163" s="54" t="s">
        <v>195</v>
      </c>
      <c r="F163" s="54" t="s">
        <v>196</v>
      </c>
      <c r="G163" s="54" t="s">
        <v>197</v>
      </c>
      <c r="H163" s="54" t="s">
        <v>198</v>
      </c>
      <c r="N163" s="54" t="s">
        <v>178</v>
      </c>
      <c r="O163" s="54" t="s">
        <v>195</v>
      </c>
      <c r="P163" s="54" t="s">
        <v>196</v>
      </c>
      <c r="Q163" s="54" t="s">
        <v>197</v>
      </c>
      <c r="R163" s="54" t="s">
        <v>198</v>
      </c>
    </row>
    <row r="164" spans="3:21" ht="20.100000000000001" customHeight="1" x14ac:dyDescent="0.25">
      <c r="D164" s="55">
        <f>'Input - Dairy'!$E$24</f>
        <v>365</v>
      </c>
      <c r="E164" s="55">
        <f>'Input - Dairy'!$F$24</f>
        <v>365</v>
      </c>
      <c r="F164" s="55">
        <v>0</v>
      </c>
      <c r="G164" s="55">
        <f>'Input - Dairy'!$H$24</f>
        <v>365</v>
      </c>
      <c r="H164" s="55">
        <v>0</v>
      </c>
      <c r="I164" s="2" t="s">
        <v>56</v>
      </c>
      <c r="N164" s="55">
        <f>'Input - Dairy'!E28</f>
        <v>365</v>
      </c>
      <c r="O164" s="55">
        <f>'Input - Dairy'!F28</f>
        <v>365</v>
      </c>
      <c r="P164" s="55">
        <v>0</v>
      </c>
      <c r="Q164" s="55">
        <f>'Input - Dairy'!H28</f>
        <v>365</v>
      </c>
      <c r="R164" s="55">
        <v>0</v>
      </c>
      <c r="S164" s="2" t="s">
        <v>56</v>
      </c>
    </row>
    <row r="165" spans="3:21" ht="20.100000000000001" customHeight="1" x14ac:dyDescent="0.25"/>
    <row r="166" spans="3:21" ht="20.100000000000001" customHeight="1" x14ac:dyDescent="0.25">
      <c r="D166" s="104" t="s">
        <v>315</v>
      </c>
      <c r="N166" s="104" t="s">
        <v>315</v>
      </c>
    </row>
    <row r="167" spans="3:21" ht="20.100000000000001" customHeight="1" x14ac:dyDescent="0.25">
      <c r="D167" s="103" t="s">
        <v>324</v>
      </c>
      <c r="N167" s="103" t="s">
        <v>316</v>
      </c>
    </row>
    <row r="168" spans="3:21" ht="20.100000000000001" customHeight="1" x14ac:dyDescent="0.25">
      <c r="D168" s="54" t="s">
        <v>178</v>
      </c>
      <c r="E168" s="54" t="s">
        <v>195</v>
      </c>
      <c r="F168" s="54" t="s">
        <v>196</v>
      </c>
      <c r="G168" s="54" t="s">
        <v>197</v>
      </c>
      <c r="H168" s="54" t="s">
        <v>198</v>
      </c>
      <c r="N168" s="54" t="s">
        <v>178</v>
      </c>
      <c r="O168" s="54" t="s">
        <v>195</v>
      </c>
      <c r="P168" s="54" t="s">
        <v>196</v>
      </c>
      <c r="Q168" s="54" t="s">
        <v>197</v>
      </c>
      <c r="R168" s="54" t="s">
        <v>198</v>
      </c>
    </row>
    <row r="169" spans="3:21" ht="20.100000000000001" customHeight="1" x14ac:dyDescent="0.25">
      <c r="D169" s="55" cm="1">
        <f t="array" ref="D169">MMS_Dairy_N2ODirect_Equations.VEERG_4_3_1_3__3a_TotalAnnualNitrogenExcretedGreaterThanOneYearVariation(D159,D139,D164)</f>
        <v>9647.642415693088</v>
      </c>
      <c r="E169" s="55" cm="1">
        <f t="array" ref="E169">MMS_Dairy_N2ODirect_Equations.VEERG_4_3_1_3__3a_TotalAnnualNitrogenExcretedGreaterThanOneYearVariation(E159,E139,E164)</f>
        <v>8288.9955762645804</v>
      </c>
      <c r="F169" s="55" cm="1">
        <f t="array" ref="F169">MMS_Dairy_N2ODirect_Equations.VEERG_4_3_1_3__3a_TotalAnnualNitrogenExcretedGreaterThanOneYearVariation(F159,F139,F164)</f>
        <v>0</v>
      </c>
      <c r="G169" s="55" cm="1">
        <f t="array" ref="G169">MMS_Dairy_N2ODirect_Equations.VEERG_4_3_1_3__3a_TotalAnnualNitrogenExcretedGreaterThanOneYearVariation(G159,G139,G164)</f>
        <v>10419.59526090311</v>
      </c>
      <c r="H169" s="55" cm="1">
        <f t="array" ref="H169">MMS_Dairy_N2ODirect_Equations.VEERG_4_3_1_3__3a_TotalAnnualNitrogenExcretedGreaterThanOneYearVariation(H159,H139,H164)</f>
        <v>0</v>
      </c>
      <c r="I169" s="2" t="str">
        <f>$E$150</f>
        <v>kg N</v>
      </c>
      <c r="N169" s="55" cm="1">
        <f t="array" ref="N169">MMS_Dairy_N2ODirect_Equations.VEERG_4_3_1_3__3a_TotalAnnualNitrogenExcretedGreaterThanOneYearVariation(D159,N139,N164)</f>
        <v>9647.642415693088</v>
      </c>
      <c r="O169" s="55" cm="1">
        <f t="array" ref="O169">MMS_Dairy_N2ODirect_Equations.VEERG_4_3_1_3__3a_TotalAnnualNitrogenExcretedGreaterThanOneYearVariation(E159,O139,O164)</f>
        <v>8288.9955762645804</v>
      </c>
      <c r="P169" s="55" cm="1">
        <f t="array" ref="P169">MMS_Dairy_N2ODirect_Equations.VEERG_4_3_1_3__3a_TotalAnnualNitrogenExcretedGreaterThanOneYearVariation(F159,P139,P164)</f>
        <v>0</v>
      </c>
      <c r="Q169" s="55" cm="1">
        <f t="array" ref="Q169">MMS_Dairy_N2ODirect_Equations.VEERG_4_3_1_3__3a_TotalAnnualNitrogenExcretedGreaterThanOneYearVariation(G159,Q139,Q164)</f>
        <v>10419.59526090311</v>
      </c>
      <c r="R169" s="55" cm="1">
        <f t="array" ref="R169">MMS_Dairy_N2ODirect_Equations.VEERG_4_3_1_3__3a_TotalAnnualNitrogenExcretedGreaterThanOneYearVariation(H159,R139,R164)</f>
        <v>0</v>
      </c>
      <c r="S169" s="2" t="str">
        <f>$E$150</f>
        <v>kg N</v>
      </c>
    </row>
    <row r="170" spans="3:21" ht="20.100000000000001" customHeight="1" x14ac:dyDescent="0.25"/>
    <row r="171" spans="3:21" ht="20.100000000000001" customHeight="1" x14ac:dyDescent="0.25"/>
    <row r="172" spans="3:21" ht="20.100000000000001" customHeight="1" x14ac:dyDescent="0.25">
      <c r="C172" s="48"/>
      <c r="D172" s="48"/>
      <c r="E172" s="48"/>
      <c r="F172" s="48"/>
      <c r="G172" s="48"/>
      <c r="H172" s="48"/>
      <c r="I172" s="48"/>
      <c r="J172" s="48"/>
      <c r="K172" s="48"/>
      <c r="M172" s="48"/>
      <c r="N172" s="48"/>
      <c r="O172" s="48"/>
      <c r="P172" s="48"/>
      <c r="Q172" s="48"/>
      <c r="R172" s="48"/>
      <c r="S172" s="48"/>
      <c r="T172" s="48"/>
      <c r="U172" s="48"/>
    </row>
    <row r="173" spans="3:21" ht="20.100000000000001" customHeight="1" x14ac:dyDescent="0.25">
      <c r="D173" s="6" t="str" cm="1">
        <f t="array" ref="D173">MMS_Dairy_N2ODirect_Equations.VEERG_4_3_1_3__3b_TotalAnnualNitrogenExcretedLessThanOneYear_Title()</f>
        <v>Total annual nitrogen excreted by dairy cattle less than one year old</v>
      </c>
    </row>
    <row r="174" spans="3:21" ht="20.100000000000001" customHeight="1" x14ac:dyDescent="0.25">
      <c r="D174" s="5" t="str" cm="1">
        <f t="array" ref="D174">MMS_Dairy_N2ODirect_Equations.VEERG_4_3_1_3__3b_TotalAnnualNitrogenExcretedLessThanOneYear_Source()</f>
        <v>VEERG 2026: 4.3.1.3, Equation (3b)</v>
      </c>
    </row>
    <row r="175" spans="3:21" ht="20.100000000000001" customHeight="1" x14ac:dyDescent="0.25">
      <c r="D175" s="58" t="str" cm="1">
        <f t="array" ref="D175">MMS_Dairy_N2ODirect_Equations.VEERG_4_3_1_3__3b_TotalAnnualNitrogenExcretedLessThanOneYear_Variation()</f>
        <v>VARIATION: Used Duration variables instead of hard-coded 281 and 84 values.</v>
      </c>
    </row>
    <row r="176" spans="3:21" ht="20.100000000000001" customHeight="1" x14ac:dyDescent="0.25">
      <c r="D176" s="13" t="s">
        <v>28</v>
      </c>
      <c r="E176" s="13" t="str" cm="1">
        <f t="array" aca="1" ref="E176" ca="1">Common_InputFunctions.Utility_DisplayFunctionName(D206)</f>
        <v>=MMS_Dairy_N2ODirect_Equations.VEERG_4_3_1_3__3b_TotalAnnualNitrogenExcretedLessThanOneYearVariation</v>
      </c>
    </row>
    <row r="177" spans="4:9" ht="20.100000000000001" customHeight="1" x14ac:dyDescent="0.25">
      <c r="D177" s="6"/>
    </row>
    <row r="178" spans="4:9" ht="20.100000000000001" customHeight="1" x14ac:dyDescent="0.25">
      <c r="D178" s="6"/>
    </row>
    <row r="179" spans="4:9" ht="20.100000000000001" customHeight="1" x14ac:dyDescent="0.25">
      <c r="D179" s="56" t="s">
        <v>31</v>
      </c>
      <c r="E179" s="1" t="str" cm="1">
        <f t="array" ref="E179">MMS_Dairy_N2ODirect_Equations.VEERG_4_3_1_3__3b_TotalAnnualNitrogenExcretedLessThanOneYear_Variable()</f>
        <v>AE_j35</v>
      </c>
    </row>
    <row r="180" spans="4:9" ht="20.100000000000001" customHeight="1" x14ac:dyDescent="0.25">
      <c r="D180" s="56" t="s">
        <v>21</v>
      </c>
      <c r="E180" s="57" t="str" cm="1">
        <f t="array" ref="E180">MMS_Dairy_N2ODirect_Equations.VEERG_4_3_1_3__3b_TotalAnnualNitrogenExcretedLessThanOneYear_Unit()</f>
        <v>kg N</v>
      </c>
    </row>
    <row r="181" spans="4:9" ht="20.100000000000001" customHeight="1" x14ac:dyDescent="0.25"/>
    <row r="182" spans="4:9" ht="20.100000000000001" customHeight="1" x14ac:dyDescent="0.25">
      <c r="D182" s="60" t="str" cm="1">
        <f t="array" ref="D182:E186">MMS_Dairy_N2ODirect_Equations.VEERG_4_3_1_3__3b_TotalAnnualNitrogenExcretedLessThanOneYear_Arguments()</f>
        <v>N_j35</v>
      </c>
      <c r="E182" s="61" t="str">
        <v>number of dairy cattle in classes j=3,5</v>
      </c>
      <c r="F182" s="62"/>
      <c r="G182" s="60" t="str">
        <f>"See " &amp; D156</f>
        <v>See Table_N_j</v>
      </c>
    </row>
    <row r="183" spans="4:9" ht="20.100000000000001" customHeight="1" x14ac:dyDescent="0.25">
      <c r="D183" s="60" t="str">
        <v>NE_j35</v>
      </c>
      <c r="E183" s="61" t="str">
        <v>nitrogen excreted by weaned dairy cattle less than one year old (kg N/head/day)</v>
      </c>
      <c r="F183" s="62"/>
      <c r="G183" s="60" t="str">
        <f>"See " &amp; D136</f>
        <v>See M1_Table_NE_j</v>
      </c>
    </row>
    <row r="184" spans="4:9" ht="20.100000000000001" customHeight="1" x14ac:dyDescent="0.25">
      <c r="D184" s="60" t="str">
        <v>NPW_j35</v>
      </c>
      <c r="E184" s="61" t="str">
        <v>nitrogen excreted by pre-weaned calves (kg N/head/day)</v>
      </c>
      <c r="F184" s="62"/>
      <c r="G184" s="60" t="str">
        <f>"See " &amp; D188</f>
        <v>See Table_NPW_j-3-5</v>
      </c>
    </row>
    <row r="185" spans="4:9" ht="20.100000000000001" customHeight="1" x14ac:dyDescent="0.25">
      <c r="D185" s="60" t="str">
        <v>D_j35</v>
      </c>
      <c r="E185" s="61" t="str">
        <v>duration of stay on farm for weaned dairy cattle less than one year old (days)</v>
      </c>
      <c r="F185" s="62"/>
      <c r="G185" s="60" t="str">
        <f>"See " &amp; D193</f>
        <v>See M1_Table_D_j-3-5</v>
      </c>
    </row>
    <row r="186" spans="4:9" ht="20.100000000000001" customHeight="1" x14ac:dyDescent="0.25">
      <c r="D186" s="60" t="str">
        <v>DPW_j35</v>
      </c>
      <c r="E186" s="61" t="str">
        <v>duration of stay on farm for pre-weaned calves (days)</v>
      </c>
      <c r="F186" s="62"/>
      <c r="G186" s="60" t="str">
        <f>"See " &amp; D198</f>
        <v>See M1_Table_DPW_j</v>
      </c>
    </row>
    <row r="187" spans="4:9" ht="20.100000000000001" customHeight="1" x14ac:dyDescent="0.25"/>
    <row r="188" spans="4:9" ht="20.100000000000001" customHeight="1" x14ac:dyDescent="0.25">
      <c r="D188" s="104" t="s">
        <v>321</v>
      </c>
    </row>
    <row r="189" spans="4:9" ht="20.100000000000001" customHeight="1" x14ac:dyDescent="0.25">
      <c r="D189" s="103" t="s">
        <v>322</v>
      </c>
    </row>
    <row r="190" spans="4:9" ht="20.100000000000001" customHeight="1" x14ac:dyDescent="0.25">
      <c r="D190" s="54" t="s">
        <v>178</v>
      </c>
      <c r="E190" s="54" t="s">
        <v>195</v>
      </c>
      <c r="F190" s="54" t="s">
        <v>196</v>
      </c>
      <c r="G190" s="54" t="s">
        <v>197</v>
      </c>
      <c r="H190" s="54" t="s">
        <v>198</v>
      </c>
    </row>
    <row r="191" spans="4:9" ht="20.100000000000001" customHeight="1" x14ac:dyDescent="0.25">
      <c r="D191" s="55">
        <v>0</v>
      </c>
      <c r="E191" s="55">
        <v>0</v>
      </c>
      <c r="F191" s="55">
        <f>'Constants - Dairy'!$G$63</f>
        <v>1.37E-2</v>
      </c>
      <c r="G191" s="55">
        <v>0</v>
      </c>
      <c r="H191" s="55">
        <f>'Constants - Dairy'!$G$64</f>
        <v>9.1999999999999998E-3</v>
      </c>
      <c r="I191" s="2" t="s">
        <v>285</v>
      </c>
    </row>
    <row r="192" spans="4:9" ht="20.100000000000001" customHeight="1" x14ac:dyDescent="0.25"/>
    <row r="193" spans="4:19" ht="20.100000000000001" customHeight="1" x14ac:dyDescent="0.25">
      <c r="D193" s="104" t="s">
        <v>319</v>
      </c>
      <c r="N193" s="104" t="s">
        <v>319</v>
      </c>
    </row>
    <row r="194" spans="4:19" ht="20.100000000000001" customHeight="1" x14ac:dyDescent="0.25">
      <c r="D194" s="103" t="s">
        <v>320</v>
      </c>
      <c r="N194" s="103" t="s">
        <v>320</v>
      </c>
    </row>
    <row r="195" spans="4:19" ht="20.100000000000001" customHeight="1" x14ac:dyDescent="0.25">
      <c r="D195" s="54" t="s">
        <v>178</v>
      </c>
      <c r="E195" s="54" t="s">
        <v>195</v>
      </c>
      <c r="F195" s="54" t="s">
        <v>196</v>
      </c>
      <c r="G195" s="54" t="s">
        <v>197</v>
      </c>
      <c r="H195" s="54" t="s">
        <v>198</v>
      </c>
      <c r="N195" s="54" t="s">
        <v>178</v>
      </c>
      <c r="O195" s="54" t="s">
        <v>195</v>
      </c>
      <c r="P195" s="54" t="s">
        <v>196</v>
      </c>
      <c r="Q195" s="54" t="s">
        <v>197</v>
      </c>
      <c r="R195" s="54" t="s">
        <v>198</v>
      </c>
    </row>
    <row r="196" spans="4:19" ht="20.100000000000001" customHeight="1" x14ac:dyDescent="0.25">
      <c r="D196" s="55">
        <v>0</v>
      </c>
      <c r="E196" s="55">
        <v>0</v>
      </c>
      <c r="F196" s="55">
        <f>'Input - Dairy'!$G$24</f>
        <v>281</v>
      </c>
      <c r="G196" s="55">
        <v>0</v>
      </c>
      <c r="H196" s="55">
        <f>'Input - Dairy'!$I$24</f>
        <v>281</v>
      </c>
      <c r="I196" s="2" t="s">
        <v>56</v>
      </c>
      <c r="N196" s="55">
        <v>0</v>
      </c>
      <c r="O196" s="55">
        <v>0</v>
      </c>
      <c r="P196" s="55">
        <f>'Input - Dairy'!G28</f>
        <v>281</v>
      </c>
      <c r="Q196" s="55">
        <v>0</v>
      </c>
      <c r="R196" s="55">
        <f>'Input - Dairy'!I28</f>
        <v>281</v>
      </c>
      <c r="S196" s="2" t="s">
        <v>56</v>
      </c>
    </row>
    <row r="197" spans="4:19" ht="20.100000000000001" customHeight="1" x14ac:dyDescent="0.25"/>
    <row r="198" spans="4:19" ht="20.100000000000001" customHeight="1" x14ac:dyDescent="0.25">
      <c r="D198" s="104" t="s">
        <v>281</v>
      </c>
      <c r="N198" s="104" t="s">
        <v>281</v>
      </c>
    </row>
    <row r="199" spans="4:19" ht="20.100000000000001" customHeight="1" x14ac:dyDescent="0.25">
      <c r="D199" s="103" t="s">
        <v>289</v>
      </c>
      <c r="N199" s="103" t="s">
        <v>289</v>
      </c>
    </row>
    <row r="200" spans="4:19" ht="20.100000000000001" customHeight="1" x14ac:dyDescent="0.25">
      <c r="D200" s="54" t="s">
        <v>178</v>
      </c>
      <c r="E200" s="54" t="s">
        <v>195</v>
      </c>
      <c r="F200" s="54" t="s">
        <v>196</v>
      </c>
      <c r="G200" s="54" t="s">
        <v>197</v>
      </c>
      <c r="H200" s="54" t="s">
        <v>198</v>
      </c>
      <c r="N200" s="54" t="s">
        <v>178</v>
      </c>
      <c r="O200" s="54" t="s">
        <v>195</v>
      </c>
      <c r="P200" s="54" t="s">
        <v>196</v>
      </c>
      <c r="Q200" s="54" t="s">
        <v>197</v>
      </c>
      <c r="R200" s="54" t="s">
        <v>198</v>
      </c>
    </row>
    <row r="201" spans="4:19" ht="20.100000000000001" customHeight="1" x14ac:dyDescent="0.25">
      <c r="D201" s="55">
        <f>'Input - Dairy'!$E$25</f>
        <v>0</v>
      </c>
      <c r="E201" s="55">
        <f>'Input - Dairy'!$F$25</f>
        <v>0</v>
      </c>
      <c r="F201" s="55">
        <f>'Input - Dairy'!$G$25</f>
        <v>84</v>
      </c>
      <c r="G201" s="55">
        <f>'Input - Dairy'!$H$25</f>
        <v>0</v>
      </c>
      <c r="H201" s="55">
        <f>'Input - Dairy'!$I$25</f>
        <v>84</v>
      </c>
      <c r="I201" s="2" t="s">
        <v>56</v>
      </c>
      <c r="N201" s="55">
        <f>'Input - Dairy'!$E$25</f>
        <v>0</v>
      </c>
      <c r="O201" s="55">
        <f>'Input - Dairy'!$F$25</f>
        <v>0</v>
      </c>
      <c r="P201" s="55">
        <f>'Input - Dairy'!G29</f>
        <v>84</v>
      </c>
      <c r="Q201" s="55">
        <f>'Input - Dairy'!$H$25</f>
        <v>0</v>
      </c>
      <c r="R201" s="55">
        <f>'Input - Dairy'!I29</f>
        <v>84</v>
      </c>
      <c r="S201" s="2" t="s">
        <v>56</v>
      </c>
    </row>
    <row r="202" spans="4:19" ht="20.100000000000001" customHeight="1" x14ac:dyDescent="0.25"/>
    <row r="203" spans="4:19" ht="20.100000000000001" customHeight="1" x14ac:dyDescent="0.25">
      <c r="D203" s="104" t="s">
        <v>125</v>
      </c>
      <c r="N203" s="104" t="s">
        <v>125</v>
      </c>
    </row>
    <row r="204" spans="4:19" ht="20.100000000000001" customHeight="1" x14ac:dyDescent="0.25">
      <c r="D204" s="103" t="s">
        <v>323</v>
      </c>
      <c r="N204" s="103" t="s">
        <v>323</v>
      </c>
    </row>
    <row r="205" spans="4:19" ht="20.100000000000001" customHeight="1" x14ac:dyDescent="0.25">
      <c r="D205" s="54" t="s">
        <v>178</v>
      </c>
      <c r="E205" s="54" t="s">
        <v>195</v>
      </c>
      <c r="F205" s="54" t="s">
        <v>196</v>
      </c>
      <c r="G205" s="54" t="s">
        <v>197</v>
      </c>
      <c r="H205" s="54" t="s">
        <v>198</v>
      </c>
      <c r="N205" s="54" t="s">
        <v>178</v>
      </c>
      <c r="O205" s="54" t="s">
        <v>195</v>
      </c>
      <c r="P205" s="54" t="s">
        <v>196</v>
      </c>
      <c r="Q205" s="54" t="s">
        <v>197</v>
      </c>
      <c r="R205" s="54" t="s">
        <v>198</v>
      </c>
    </row>
    <row r="206" spans="4:19" ht="20.100000000000001" customHeight="1" x14ac:dyDescent="0.25">
      <c r="D206" s="55" cm="1">
        <f t="array" ref="D206">MMS_Dairy_N2ODirect_Equations.VEERG_4_3_1_3__3b_TotalAnnualNitrogenExcretedLessThanOneYearVariation(D159,D139,D191,D196,D201)</f>
        <v>0</v>
      </c>
      <c r="E206" s="55" cm="1">
        <f t="array" ref="E206">MMS_Dairy_N2ODirect_Equations.VEERG_4_3_1_3__3b_TotalAnnualNitrogenExcretedLessThanOneYearVariation(E159,E139,E191,E196,E201)</f>
        <v>0</v>
      </c>
      <c r="F206" s="55" cm="1">
        <f t="array" ref="F206">MMS_Dairy_N2ODirect_Equations.VEERG_4_3_1_3__3b_TotalAnnualNitrogenExcretedLessThanOneYearVariation(F159,F139,F191,F196,F201)</f>
        <v>3301.419278356519</v>
      </c>
      <c r="G206" s="55" cm="1">
        <f t="array" ref="G206">MMS_Dairy_N2ODirect_Equations.VEERG_4_3_1_3__3b_TotalAnnualNitrogenExcretedLessThanOneYearVariation(G159,G139,G191,G196,G201)</f>
        <v>0</v>
      </c>
      <c r="H206" s="55" cm="1">
        <f t="array" ref="H206">MMS_Dairy_N2ODirect_Equations.VEERG_4_3_1_3__3b_TotalAnnualNitrogenExcretedLessThanOneYearVariation(H159,H139,H191,H196,H201)</f>
        <v>4361.9480490479727</v>
      </c>
      <c r="I206" s="2" t="str">
        <f>$E$180</f>
        <v>kg N</v>
      </c>
      <c r="N206" s="55" cm="1">
        <f t="array" ref="N206">MMS_Dairy_N2ODirect_Equations.VEERG_4_3_1_3__3b_TotalAnnualNitrogenExcretedLessThanOneYearVariation(D159,N139,D191,N196,N201)</f>
        <v>0</v>
      </c>
      <c r="O206" s="55" cm="1">
        <f t="array" ref="O206">MMS_Dairy_N2ODirect_Equations.VEERG_4_3_1_3__3b_TotalAnnualNitrogenExcretedLessThanOneYearVariation(E159,O139,E191,O196,O201)</f>
        <v>0</v>
      </c>
      <c r="P206" s="55" cm="1">
        <f t="array" ref="P206">MMS_Dairy_N2ODirect_Equations.VEERG_4_3_1_3__3b_TotalAnnualNitrogenExcretedLessThanOneYearVariation(F159,P139,F191,P196,P201)</f>
        <v>3301.419278356519</v>
      </c>
      <c r="Q206" s="55" cm="1">
        <f t="array" ref="Q206">MMS_Dairy_N2ODirect_Equations.VEERG_4_3_1_3__3b_TotalAnnualNitrogenExcretedLessThanOneYearVariation(G159,Q139,G191,Q196,Q201)</f>
        <v>0</v>
      </c>
      <c r="R206" s="55" cm="1">
        <f t="array" ref="R206">MMS_Dairy_N2ODirect_Equations.VEERG_4_3_1_3__3b_TotalAnnualNitrogenExcretedLessThanOneYearVariation(H159,R139,H191,R196,R201)</f>
        <v>4361.9480490479727</v>
      </c>
      <c r="S206" s="2" t="str">
        <f>$E$180</f>
        <v>kg N</v>
      </c>
    </row>
    <row r="207" spans="4:19" ht="20.100000000000001" customHeight="1" x14ac:dyDescent="0.25"/>
    <row r="208" spans="4:19" ht="20.100000000000001" customHeight="1" x14ac:dyDescent="0.25"/>
    <row r="209" spans="3:21" ht="20.100000000000001" customHeight="1" x14ac:dyDescent="0.25">
      <c r="C209" s="48"/>
      <c r="D209" s="48"/>
      <c r="E209" s="48"/>
      <c r="F209" s="48"/>
      <c r="G209" s="48"/>
      <c r="H209" s="48"/>
      <c r="I209" s="48"/>
      <c r="J209" s="48"/>
      <c r="K209" s="48"/>
      <c r="M209" s="48"/>
      <c r="N209" s="48"/>
      <c r="O209" s="48"/>
      <c r="P209" s="48"/>
      <c r="Q209" s="48"/>
      <c r="R209" s="48"/>
      <c r="S209" s="48"/>
      <c r="T209" s="48"/>
      <c r="U209" s="48"/>
    </row>
    <row r="210" spans="3:21" ht="20.100000000000001" customHeight="1" x14ac:dyDescent="0.25">
      <c r="D210" s="6" t="str" cm="1">
        <f t="array" ref="D210">MMS_Dairy_N2ODirect_Equations.VEERG_4_3_1_3__2_TotalNitrogenInEachMMS_Title()</f>
        <v>Total nitrogen in each MMS</v>
      </c>
    </row>
    <row r="211" spans="3:21" ht="20.100000000000001" customHeight="1" x14ac:dyDescent="0.25">
      <c r="D211" s="5" t="str" cm="1">
        <f t="array" ref="D211">MMS_Dairy_N2ODirect_Equations.VEERG_4_3_1_3__2_TotalNitrogenInEachMMS_Source()</f>
        <v>VEERG 2026: 4.3.1.3, Equation (2)</v>
      </c>
    </row>
    <row r="212" spans="3:21" ht="20.100000000000001" customHeight="1" x14ac:dyDescent="0.25">
      <c r="D212" s="13" t="s">
        <v>28</v>
      </c>
      <c r="E212" s="13" t="str" cm="1">
        <f t="array" aca="1" ref="E212" ca="1">Common_InputFunctions.Utility_DisplayFunctionName(F236)</f>
        <v>=MMS_Dairy_N2ODirect_Equations.VEERG_4_3_1_3__2_TotalNitrogenInEachMMS</v>
      </c>
    </row>
    <row r="213" spans="3:21" ht="20.100000000000001" customHeight="1" x14ac:dyDescent="0.25"/>
    <row r="214" spans="3:21" ht="20.100000000000001" customHeight="1" x14ac:dyDescent="0.25">
      <c r="D214" s="6"/>
    </row>
    <row r="215" spans="3:21" ht="20.100000000000001" customHeight="1" x14ac:dyDescent="0.25">
      <c r="D215" s="56" t="s">
        <v>31</v>
      </c>
      <c r="E215" s="1" t="str" cm="1">
        <f t="array" ref="E215">MMS_Dairy_N2ODirect_Equations.VEERG_4_3_1_3__2_TotalNitrogenInEachMMS_Variable()</f>
        <v>MN_jm</v>
      </c>
    </row>
    <row r="216" spans="3:21" ht="20.100000000000001" customHeight="1" x14ac:dyDescent="0.25">
      <c r="D216" s="56" t="s">
        <v>21</v>
      </c>
      <c r="E216" s="57" t="str" cm="1">
        <f t="array" ref="E216">MMS_Dairy_N2ODirect_Equations.VEERG_4_3_1_3__2_TotalNitrogenInEachMMS_Unit()</f>
        <v>kg N</v>
      </c>
    </row>
    <row r="217" spans="3:21" ht="20.100000000000001" customHeight="1" x14ac:dyDescent="0.25"/>
    <row r="218" spans="3:21" ht="20.100000000000001" customHeight="1" x14ac:dyDescent="0.25">
      <c r="D218" s="115" t="str" cm="1">
        <f t="array" ref="D218:E219">MMS_Dairy_N2ODirect_Equations.VEERG_4_3_1_3__2_TotalNitrogenInEachMMS_Arguments()</f>
        <v>AE_j</v>
      </c>
      <c r="E218" s="117" t="str">
        <v>total nitrogen excreted by each dairy class (kg N)</v>
      </c>
      <c r="F218" s="116"/>
      <c r="G218" s="115" t="str">
        <f>"See " &amp; D166 &amp; " and " &amp; D203</f>
        <v>See M1_Table_AE_j-1-2-4 and M1_Table_AE_j</v>
      </c>
    </row>
    <row r="219" spans="3:21" ht="20.100000000000001" customHeight="1" x14ac:dyDescent="0.25">
      <c r="D219" s="115" t="str">
        <v>MMS_jm</v>
      </c>
      <c r="E219" s="117" t="str">
        <v>manure management system fraction for class j and system m</v>
      </c>
      <c r="F219" s="116"/>
      <c r="G219" s="115" t="str">
        <f>"See " &amp; D221</f>
        <v>See M1_Table_MMS_j_m</v>
      </c>
    </row>
    <row r="220" spans="3:21" ht="20.100000000000001" customHeight="1" x14ac:dyDescent="0.25"/>
    <row r="221" spans="3:21" ht="20.100000000000001" customHeight="1" x14ac:dyDescent="0.25">
      <c r="D221" s="104" t="s">
        <v>260</v>
      </c>
      <c r="N221" s="104" t="s">
        <v>262</v>
      </c>
    </row>
    <row r="222" spans="3:21" ht="20.100000000000001" customHeight="1" x14ac:dyDescent="0.25">
      <c r="D222" s="103" t="s">
        <v>325</v>
      </c>
      <c r="N222" s="103" t="s">
        <v>326</v>
      </c>
    </row>
    <row r="223" spans="3:21" ht="20.100000000000001" customHeight="1" x14ac:dyDescent="0.25">
      <c r="D223" s="54" t="s">
        <v>152</v>
      </c>
      <c r="E223" s="54" t="s">
        <v>69</v>
      </c>
      <c r="F223" s="54" t="s">
        <v>178</v>
      </c>
      <c r="G223" s="54" t="s">
        <v>195</v>
      </c>
      <c r="H223" s="54" t="s">
        <v>196</v>
      </c>
      <c r="I223" s="54" t="s">
        <v>197</v>
      </c>
      <c r="J223" s="54" t="s">
        <v>198</v>
      </c>
      <c r="N223" s="54" t="s">
        <v>152</v>
      </c>
      <c r="O223" s="54" t="s">
        <v>69</v>
      </c>
      <c r="P223" s="54" t="s">
        <v>178</v>
      </c>
      <c r="Q223" s="54" t="s">
        <v>195</v>
      </c>
      <c r="R223" s="54" t="s">
        <v>196</v>
      </c>
      <c r="S223" s="54" t="s">
        <v>197</v>
      </c>
      <c r="T223" s="54" t="s">
        <v>198</v>
      </c>
    </row>
    <row r="224" spans="3:21" ht="20.100000000000001" customHeight="1" x14ac:dyDescent="0.25">
      <c r="D224" s="55" t="str">
        <f>'Input - Dairy'!$D$54</f>
        <v>Milking shed</v>
      </c>
      <c r="E224" s="55" t="str">
        <f>'Input - Dairy'!$D$67</f>
        <v>Anaerobic lagoon</v>
      </c>
      <c r="F224" s="55" cm="1">
        <f t="array" ref="F224">InputFunctions_Dairy.CalculateFractionInMMSAfterSolidSeparation('Input - Dairy'!E54,'Input - Dairy'!E67,'Input - Dairy'!$E$69)</f>
        <v>2.2000000000000002E-2</v>
      </c>
      <c r="G224" s="55" cm="1">
        <f t="array" ref="G224">InputFunctions_Dairy.CalculateFractionInMMSAfterSolidSeparation('Input - Dairy'!F54,'Input - Dairy'!F67,'Input - Dairy'!$E$69)</f>
        <v>2.2000000000000002E-2</v>
      </c>
      <c r="H224" s="55" cm="1">
        <f t="array" ref="H224">InputFunctions_Dairy.CalculateFractionInMMSAfterSolidSeparation('Input - Dairy'!G54,'Input - Dairy'!G67,'Input - Dairy'!$E$69)</f>
        <v>2.2000000000000002E-2</v>
      </c>
      <c r="I224" s="55" cm="1">
        <f t="array" ref="I224">InputFunctions_Dairy.CalculateFractionInMMSAfterSolidSeparation('Input - Dairy'!H54,'Input - Dairy'!H67,'Input - Dairy'!$E$69)</f>
        <v>2.2000000000000002E-2</v>
      </c>
      <c r="J224" s="55" cm="1">
        <f t="array" ref="J224">InputFunctions_Dairy.CalculateFractionInMMSAfterSolidSeparation('Input - Dairy'!I54,'Input - Dairy'!I67,'Input - Dairy'!$E$69)</f>
        <v>2.2000000000000002E-2</v>
      </c>
      <c r="N224" s="55" t="str">
        <f>'Input - Dairy'!$D$54</f>
        <v>Milking shed</v>
      </c>
      <c r="O224" s="55" t="str">
        <f>'Input - Dairy'!$D$67</f>
        <v>Anaerobic lagoon</v>
      </c>
      <c r="P224" s="55" cm="1">
        <f t="array" ref="P224">InputFunctions_Dairy.CalculateFractionInMMSAfterSolidSeparation('Input - Dairy'!E59,'Input - Dairy'!E67,'Input - Dairy'!$E$70)</f>
        <v>2.2000000000000002E-2</v>
      </c>
      <c r="Q224" s="55" cm="1">
        <f t="array" ref="Q224">InputFunctions_Dairy.CalculateFractionInMMSAfterSolidSeparation('Input - Dairy'!F59,'Input - Dairy'!F67,'Input - Dairy'!$E$70)</f>
        <v>2.2000000000000002E-2</v>
      </c>
      <c r="R224" s="55" cm="1">
        <f t="array" ref="R224">InputFunctions_Dairy.CalculateFractionInMMSAfterSolidSeparation('Input - Dairy'!G59,'Input - Dairy'!G67,'Input - Dairy'!$E$70)</f>
        <v>2.2000000000000002E-2</v>
      </c>
      <c r="S224" s="55" cm="1">
        <f t="array" ref="S224">InputFunctions_Dairy.CalculateFractionInMMSAfterSolidSeparation('Input - Dairy'!H59,'Input - Dairy'!H67,'Input - Dairy'!$E$70)</f>
        <v>2.2000000000000002E-2</v>
      </c>
      <c r="T224" s="55" cm="1">
        <f t="array" ref="T224">InputFunctions_Dairy.CalculateFractionInMMSAfterSolidSeparation('Input - Dairy'!I59,'Input - Dairy'!I67,'Input - Dairy'!$E$70)</f>
        <v>2.2000000000000002E-2</v>
      </c>
    </row>
    <row r="225" spans="4:20" ht="20.100000000000001" customHeight="1" x14ac:dyDescent="0.25">
      <c r="D225" s="55" t="str">
        <f>'Input - Dairy'!$D$54</f>
        <v>Milking shed</v>
      </c>
      <c r="E225" s="55" t="str">
        <f>'Input - Dairy'!$D$72</f>
        <v>Sump and dispersal system</v>
      </c>
      <c r="F225" s="55" cm="1">
        <f t="array" ref="F225">InputFunctions_Dairy.CalculateFractionInMMSAfterSolidSeparation('Input - Dairy'!E54,'Input - Dairy'!E72,'Input - Dairy'!$E$74)</f>
        <v>2.2000000000000002E-2</v>
      </c>
      <c r="G225" s="55" cm="1">
        <f t="array" ref="G225">InputFunctions_Dairy.CalculateFractionInMMSAfterSolidSeparation('Input - Dairy'!F54,'Input - Dairy'!F72,'Input - Dairy'!$E$74)</f>
        <v>2.2000000000000002E-2</v>
      </c>
      <c r="H225" s="55" cm="1">
        <f t="array" ref="H225">InputFunctions_Dairy.CalculateFractionInMMSAfterSolidSeparation('Input - Dairy'!G54,'Input - Dairy'!G72,'Input - Dairy'!$E$74)</f>
        <v>2.2000000000000002E-2</v>
      </c>
      <c r="I225" s="55" cm="1">
        <f t="array" ref="I225">InputFunctions_Dairy.CalculateFractionInMMSAfterSolidSeparation('Input - Dairy'!H54,'Input - Dairy'!H72,'Input - Dairy'!$E$74)</f>
        <v>2.2000000000000002E-2</v>
      </c>
      <c r="J225" s="55" cm="1">
        <f t="array" ref="J225">InputFunctions_Dairy.CalculateFractionInMMSAfterSolidSeparation('Input - Dairy'!I54,'Input - Dairy'!I72,'Input - Dairy'!$E$74)</f>
        <v>2.2000000000000002E-2</v>
      </c>
      <c r="N225" s="55" t="str">
        <f>'Input - Dairy'!$D$54</f>
        <v>Milking shed</v>
      </c>
      <c r="O225" s="55" t="str">
        <f>'Input - Dairy'!$D$72</f>
        <v>Sump and dispersal system</v>
      </c>
      <c r="P225" s="55" cm="1">
        <f t="array" ref="P225">InputFunctions_Dairy.CalculateFractionInMMSAfterSolidSeparation('Input - Dairy'!E59,'Input - Dairy'!E72,'Input - Dairy'!$E$75)</f>
        <v>2.2000000000000002E-2</v>
      </c>
      <c r="Q225" s="55" cm="1">
        <f t="array" ref="Q225">InputFunctions_Dairy.CalculateFractionInMMSAfterSolidSeparation('Input - Dairy'!F59,'Input - Dairy'!F72,'Input - Dairy'!$E$75)</f>
        <v>2.2000000000000002E-2</v>
      </c>
      <c r="R225" s="55" cm="1">
        <f t="array" ref="R225">InputFunctions_Dairy.CalculateFractionInMMSAfterSolidSeparation('Input - Dairy'!G59,'Input - Dairy'!G72,'Input - Dairy'!$E$75)</f>
        <v>2.2000000000000002E-2</v>
      </c>
      <c r="S225" s="55" cm="1">
        <f t="array" ref="S225">InputFunctions_Dairy.CalculateFractionInMMSAfterSolidSeparation('Input - Dairy'!H59,'Input - Dairy'!H72,'Input - Dairy'!$E$75)</f>
        <v>2.2000000000000002E-2</v>
      </c>
      <c r="T225" s="55" cm="1">
        <f t="array" ref="T225">InputFunctions_Dairy.CalculateFractionInMMSAfterSolidSeparation('Input - Dairy'!I59,'Input - Dairy'!I72,'Input - Dairy'!$E$75)</f>
        <v>2.2000000000000002E-2</v>
      </c>
    </row>
    <row r="226" spans="4:20" ht="20.100000000000001" customHeight="1" x14ac:dyDescent="0.25">
      <c r="D226" s="55" t="str">
        <f>'Input - Dairy'!$D$54</f>
        <v>Milking shed</v>
      </c>
      <c r="E226" s="55" t="str">
        <f>'Input - Dairy'!$D$77</f>
        <v>Drains to paddock</v>
      </c>
      <c r="F226" s="55" cm="1">
        <f t="array" ref="F226">InputFunctions_Dairy.CalculateFractionInMMSAfterSolidSeparation('Input - Dairy'!E54,'Input - Dairy'!E77,'Input - Dairy'!$E$79)</f>
        <v>2.2000000000000002E-2</v>
      </c>
      <c r="G226" s="55" cm="1">
        <f t="array" ref="G226">InputFunctions_Dairy.CalculateFractionInMMSAfterSolidSeparation('Input - Dairy'!F54,'Input - Dairy'!F77,'Input - Dairy'!$E$79)</f>
        <v>2.2000000000000002E-2</v>
      </c>
      <c r="H226" s="55" cm="1">
        <f t="array" ref="H226">InputFunctions_Dairy.CalculateFractionInMMSAfterSolidSeparation('Input - Dairy'!G54,'Input - Dairy'!G77,'Input - Dairy'!$E$79)</f>
        <v>2.2000000000000002E-2</v>
      </c>
      <c r="I226" s="55" cm="1">
        <f t="array" ref="I226">InputFunctions_Dairy.CalculateFractionInMMSAfterSolidSeparation('Input - Dairy'!H54,'Input - Dairy'!H77,'Input - Dairy'!$E$79)</f>
        <v>2.2000000000000002E-2</v>
      </c>
      <c r="J226" s="55" cm="1">
        <f t="array" ref="J226">InputFunctions_Dairy.CalculateFractionInMMSAfterSolidSeparation('Input - Dairy'!I54,'Input - Dairy'!I77,'Input - Dairy'!$E$79)</f>
        <v>2.2000000000000002E-2</v>
      </c>
      <c r="N226" s="55" t="str">
        <f>'Input - Dairy'!$D$54</f>
        <v>Milking shed</v>
      </c>
      <c r="O226" s="55" t="str">
        <f>'Input - Dairy'!$D$77</f>
        <v>Drains to paddock</v>
      </c>
      <c r="P226" s="55" cm="1">
        <f t="array" ref="P226">InputFunctions_Dairy.CalculateFractionInMMSAfterSolidSeparation('Input - Dairy'!E59,'Input - Dairy'!E77,'Input - Dairy'!$E$80)</f>
        <v>2.2000000000000002E-2</v>
      </c>
      <c r="Q226" s="55" cm="1">
        <f t="array" ref="Q226">InputFunctions_Dairy.CalculateFractionInMMSAfterSolidSeparation('Input - Dairy'!F59,'Input - Dairy'!F77,'Input - Dairy'!$E$80)</f>
        <v>2.2000000000000002E-2</v>
      </c>
      <c r="R226" s="55" cm="1">
        <f t="array" ref="R226">InputFunctions_Dairy.CalculateFractionInMMSAfterSolidSeparation('Input - Dairy'!G59,'Input - Dairy'!G77,'Input - Dairy'!$E$80)</f>
        <v>2.2000000000000002E-2</v>
      </c>
      <c r="S226" s="55" cm="1">
        <f t="array" ref="S226">InputFunctions_Dairy.CalculateFractionInMMSAfterSolidSeparation('Input - Dairy'!H59,'Input - Dairy'!H77,'Input - Dairy'!$E$80)</f>
        <v>2.2000000000000002E-2</v>
      </c>
      <c r="T226" s="55" cm="1">
        <f t="array" ref="T226">InputFunctions_Dairy.CalculateFractionInMMSAfterSolidSeparation('Input - Dairy'!I59,'Input - Dairy'!I77,'Input - Dairy'!$E$80)</f>
        <v>2.2000000000000002E-2</v>
      </c>
    </row>
    <row r="227" spans="4:20" ht="20.100000000000001" customHeight="1" x14ac:dyDescent="0.25">
      <c r="D227" s="55" t="str">
        <f>'Input - Dairy'!$D$54</f>
        <v>Milking shed</v>
      </c>
      <c r="E227" s="55" t="str">
        <f>'Input - Dairy'!$D$82</f>
        <v>Solid storage</v>
      </c>
      <c r="F227" s="55" cm="1">
        <f t="array" ref="F227">InputFunctions_Dairy.CalculateFractionInSolidStorage('Input - Dairy'!E54,'Input - Dairy'!E82,'Input - Dairy'!E67,'Input - Dairy'!$E$69,'Input - Dairy'!E72,'Input - Dairy'!$E$74,'Input - Dairy'!E77,'Input - Dairy'!$E$79)</f>
        <v>4.3999999999999997E-2</v>
      </c>
      <c r="G227" s="55" cm="1">
        <f t="array" ref="G227">InputFunctions_Dairy.CalculateFractionInSolidStorage('Input - Dairy'!F54,'Input - Dairy'!F82,'Input - Dairy'!F67,'Input - Dairy'!$E$69,'Input - Dairy'!F72,'Input - Dairy'!$E$74,'Input - Dairy'!F77,'Input - Dairy'!$E$79)</f>
        <v>4.3999999999999997E-2</v>
      </c>
      <c r="H227" s="55" cm="1">
        <f t="array" ref="H227">InputFunctions_Dairy.CalculateFractionInSolidStorage('Input - Dairy'!G54,'Input - Dairy'!G82,'Input - Dairy'!G67,'Input - Dairy'!$E$69,'Input - Dairy'!G72,'Input - Dairy'!$E$74,'Input - Dairy'!G77,'Input - Dairy'!$E$79)</f>
        <v>4.3999999999999997E-2</v>
      </c>
      <c r="I227" s="55" cm="1">
        <f t="array" ref="I227">InputFunctions_Dairy.CalculateFractionInSolidStorage('Input - Dairy'!H54,'Input - Dairy'!H82,'Input - Dairy'!H67,'Input - Dairy'!$E$69,'Input - Dairy'!H72,'Input - Dairy'!$E$74,'Input - Dairy'!H77,'Input - Dairy'!$E$79)</f>
        <v>4.3999999999999997E-2</v>
      </c>
      <c r="J227" s="55" cm="1">
        <f t="array" ref="J227">InputFunctions_Dairy.CalculateFractionInSolidStorage('Input - Dairy'!I54,'Input - Dairy'!I82,'Input - Dairy'!I67,'Input - Dairy'!$E$69,'Input - Dairy'!I72,'Input - Dairy'!$E$74,'Input - Dairy'!I77,'Input - Dairy'!$E$79)</f>
        <v>4.3999999999999997E-2</v>
      </c>
      <c r="N227" s="55" t="str">
        <f>'Input - Dairy'!$D$54</f>
        <v>Milking shed</v>
      </c>
      <c r="O227" s="55" t="str">
        <f>'Input - Dairy'!$D$82</f>
        <v>Solid storage</v>
      </c>
      <c r="P227" s="55" cm="1">
        <f t="array" ref="P227">InputFunctions_Dairy.CalculateFractionInSolidStorage('Input - Dairy'!E59,'Input - Dairy'!E82,'Input - Dairy'!E67,'Input - Dairy'!$E$70,'Input - Dairy'!E72,'Input - Dairy'!$E$75,'Input - Dairy'!E77,'Input - Dairy'!$E$80)</f>
        <v>4.3999999999999997E-2</v>
      </c>
      <c r="Q227" s="55" cm="1">
        <f t="array" ref="Q227">InputFunctions_Dairy.CalculateFractionInSolidStorage('Input - Dairy'!F59,'Input - Dairy'!F82,'Input - Dairy'!F67,'Input - Dairy'!$E$70,'Input - Dairy'!F72,'Input - Dairy'!$E$75,'Input - Dairy'!F77,'Input - Dairy'!$E$80)</f>
        <v>4.3999999999999997E-2</v>
      </c>
      <c r="R227" s="55" cm="1">
        <f t="array" ref="R227">InputFunctions_Dairy.CalculateFractionInSolidStorage('Input - Dairy'!G59,'Input - Dairy'!G82,'Input - Dairy'!G67,'Input - Dairy'!$E$70,'Input - Dairy'!G72,'Input - Dairy'!$E$75,'Input - Dairy'!G77,'Input - Dairy'!$E$80)</f>
        <v>4.3999999999999997E-2</v>
      </c>
      <c r="S227" s="55" cm="1">
        <f t="array" ref="S227">InputFunctions_Dairy.CalculateFractionInSolidStorage('Input - Dairy'!H59,'Input - Dairy'!H82,'Input - Dairy'!H67,'Input - Dairy'!$E$70,'Input - Dairy'!H72,'Input - Dairy'!$E$75,'Input - Dairy'!H77,'Input - Dairy'!$E$80)</f>
        <v>4.3999999999999997E-2</v>
      </c>
      <c r="T227" s="55" cm="1">
        <f t="array" ref="T227">InputFunctions_Dairy.CalculateFractionInSolidStorage('Input - Dairy'!I59,'Input - Dairy'!I82,'Input - Dairy'!I67,'Input - Dairy'!$E$70,'Input - Dairy'!I72,'Input - Dairy'!$E$75,'Input - Dairy'!I77,'Input - Dairy'!$E$80)</f>
        <v>4.3999999999999997E-2</v>
      </c>
    </row>
    <row r="228" spans="4:20" ht="20.100000000000001" customHeight="1" x14ac:dyDescent="0.25">
      <c r="D228" s="55" t="str">
        <f>'Input - Dairy'!$D$55</f>
        <v>Feed pad</v>
      </c>
      <c r="E228" s="55" t="str">
        <f>'Input - Dairy'!$D$101</f>
        <v>Anaerobic lagoon</v>
      </c>
      <c r="F228" s="55" cm="1">
        <f t="array" ref="F228">InputFunctions_Dairy.CalculateFractionInMMSAfterSolidSeparation('Input - Dairy'!E55,'Input - Dairy'!E101,'Input - Dairy'!$E$103)</f>
        <v>8.8999999999999996E-2</v>
      </c>
      <c r="G228" s="55" cm="1">
        <f t="array" ref="G228">InputFunctions_Dairy.CalculateFractionInMMSAfterSolidSeparation('Input - Dairy'!F55,'Input - Dairy'!F101,'Input - Dairy'!$E$103)</f>
        <v>8.8999999999999996E-2</v>
      </c>
      <c r="H228" s="55" cm="1">
        <f t="array" ref="H228">InputFunctions_Dairy.CalculateFractionInMMSAfterSolidSeparation('Input - Dairy'!G55,'Input - Dairy'!G101,'Input - Dairy'!$E$103)</f>
        <v>8.8999999999999996E-2</v>
      </c>
      <c r="I228" s="55" cm="1">
        <f t="array" ref="I228">InputFunctions_Dairy.CalculateFractionInMMSAfterSolidSeparation('Input - Dairy'!H55,'Input - Dairy'!H101,'Input - Dairy'!$E$103)</f>
        <v>8.8999999999999996E-2</v>
      </c>
      <c r="J228" s="55" cm="1">
        <f t="array" ref="J228">InputFunctions_Dairy.CalculateFractionInMMSAfterSolidSeparation('Input - Dairy'!I55,'Input - Dairy'!I101,'Input - Dairy'!$E$103)</f>
        <v>8.8999999999999996E-2</v>
      </c>
      <c r="N228" s="55" t="str">
        <f>'Input - Dairy'!$D$55</f>
        <v>Feed pad</v>
      </c>
      <c r="O228" s="55" t="str">
        <f>'Input - Dairy'!$D$101</f>
        <v>Anaerobic lagoon</v>
      </c>
      <c r="P228" s="55" cm="1">
        <f t="array" ref="P228">InputFunctions_Dairy.CalculateFractionInMMSAfterSolidSeparation('Input - Dairy'!E60,'Input - Dairy'!E101,'Input - Dairy'!$E$104)</f>
        <v>8.8999999999999996E-2</v>
      </c>
      <c r="Q228" s="55" cm="1">
        <f t="array" ref="Q228">InputFunctions_Dairy.CalculateFractionInMMSAfterSolidSeparation('Input - Dairy'!F60,'Input - Dairy'!F101,'Input - Dairy'!$E$104)</f>
        <v>8.8999999999999996E-2</v>
      </c>
      <c r="R228" s="55" cm="1">
        <f t="array" ref="R228">InputFunctions_Dairy.CalculateFractionInMMSAfterSolidSeparation('Input - Dairy'!G60,'Input - Dairy'!G101,'Input - Dairy'!$E$104)</f>
        <v>8.8999999999999996E-2</v>
      </c>
      <c r="S228" s="55" cm="1">
        <f t="array" ref="S228">InputFunctions_Dairy.CalculateFractionInMMSAfterSolidSeparation('Input - Dairy'!H60,'Input - Dairy'!H101,'Input - Dairy'!$E$104)</f>
        <v>8.8999999999999996E-2</v>
      </c>
      <c r="T228" s="55" cm="1">
        <f t="array" ref="T228">InputFunctions_Dairy.CalculateFractionInMMSAfterSolidSeparation('Input - Dairy'!I60,'Input - Dairy'!I101,'Input - Dairy'!$E$104)</f>
        <v>8.8999999999999996E-2</v>
      </c>
    </row>
    <row r="229" spans="4:20" ht="20.100000000000001" customHeight="1" x14ac:dyDescent="0.25">
      <c r="D229" s="55" t="str">
        <f>'Input - Dairy'!$D$55</f>
        <v>Feed pad</v>
      </c>
      <c r="E229" s="55" t="str">
        <f>'Input - Dairy'!$D$106</f>
        <v>Sump and dispersal system</v>
      </c>
      <c r="F229" s="55" cm="1">
        <f t="array" ref="F229">InputFunctions_Dairy.CalculateFractionInMMSAfterSolidSeparation('Input - Dairy'!E55,'Input - Dairy'!E106,'Input - Dairy'!$E$108)</f>
        <v>7.1199999999999999E-2</v>
      </c>
      <c r="G229" s="55" cm="1">
        <f t="array" ref="G229">InputFunctions_Dairy.CalculateFractionInMMSAfterSolidSeparation('Input - Dairy'!F55,'Input - Dairy'!F106,'Input - Dairy'!$E$108)</f>
        <v>7.1199999999999999E-2</v>
      </c>
      <c r="H229" s="55" cm="1">
        <f t="array" ref="H229">InputFunctions_Dairy.CalculateFractionInMMSAfterSolidSeparation('Input - Dairy'!G55,'Input - Dairy'!G106,'Input - Dairy'!$E$108)</f>
        <v>7.1199999999999999E-2</v>
      </c>
      <c r="I229" s="55" cm="1">
        <f t="array" ref="I229">InputFunctions_Dairy.CalculateFractionInMMSAfterSolidSeparation('Input - Dairy'!H55,'Input - Dairy'!H106,'Input - Dairy'!$E$108)</f>
        <v>7.1199999999999999E-2</v>
      </c>
      <c r="J229" s="55" cm="1">
        <f t="array" ref="J229">InputFunctions_Dairy.CalculateFractionInMMSAfterSolidSeparation('Input - Dairy'!I55,'Input - Dairy'!I106,'Input - Dairy'!$E$108)</f>
        <v>7.1199999999999999E-2</v>
      </c>
      <c r="N229" s="55" t="str">
        <f>'Input - Dairy'!$D$55</f>
        <v>Feed pad</v>
      </c>
      <c r="O229" s="55" t="str">
        <f>'Input - Dairy'!$D$106</f>
        <v>Sump and dispersal system</v>
      </c>
      <c r="P229" s="55" cm="1">
        <f t="array" ref="P229">InputFunctions_Dairy.CalculateFractionInMMSAfterSolidSeparation('Input - Dairy'!E60,'Input - Dairy'!E106,'Input - Dairy'!$E$109)</f>
        <v>7.1199999999999999E-2</v>
      </c>
      <c r="Q229" s="55" cm="1">
        <f t="array" ref="Q229">InputFunctions_Dairy.CalculateFractionInMMSAfterSolidSeparation('Input - Dairy'!F60,'Input - Dairy'!F106,'Input - Dairy'!$E$109)</f>
        <v>7.1199999999999999E-2</v>
      </c>
      <c r="R229" s="55" cm="1">
        <f t="array" ref="R229">InputFunctions_Dairy.CalculateFractionInMMSAfterSolidSeparation('Input - Dairy'!G60,'Input - Dairy'!G106,'Input - Dairy'!$E$109)</f>
        <v>7.1199999999999999E-2</v>
      </c>
      <c r="S229" s="55" cm="1">
        <f t="array" ref="S229">InputFunctions_Dairy.CalculateFractionInMMSAfterSolidSeparation('Input - Dairy'!H60,'Input - Dairy'!H106,'Input - Dairy'!$E$109)</f>
        <v>7.1199999999999999E-2</v>
      </c>
      <c r="T229" s="55" cm="1">
        <f t="array" ref="T229">InputFunctions_Dairy.CalculateFractionInMMSAfterSolidSeparation('Input - Dairy'!I60,'Input - Dairy'!I106,'Input - Dairy'!$E$109)</f>
        <v>7.1199999999999999E-2</v>
      </c>
    </row>
    <row r="230" spans="4:20" ht="20.100000000000001" customHeight="1" x14ac:dyDescent="0.25">
      <c r="D230" s="55" t="str">
        <f>'Input - Dairy'!$D$55</f>
        <v>Feed pad</v>
      </c>
      <c r="E230" s="55" t="str">
        <f>'Input - Dairy'!$D$111</f>
        <v>Drains to paddock</v>
      </c>
      <c r="F230" s="55" cm="1">
        <f t="array" ref="F230">InputFunctions_Dairy.CalculateFractionInMMSAfterSolidSeparation('Input - Dairy'!E55,'Input - Dairy'!E111,'Input - Dairy'!$E$113)</f>
        <v>7.1199999999999999E-2</v>
      </c>
      <c r="G230" s="55" cm="1">
        <f t="array" ref="G230">InputFunctions_Dairy.CalculateFractionInMMSAfterSolidSeparation('Input - Dairy'!F55,'Input - Dairy'!F111,'Input - Dairy'!$E$113)</f>
        <v>7.1199999999999999E-2</v>
      </c>
      <c r="H230" s="55" cm="1">
        <f t="array" ref="H230">InputFunctions_Dairy.CalculateFractionInMMSAfterSolidSeparation('Input - Dairy'!G55,'Input - Dairy'!G111,'Input - Dairy'!$E$113)</f>
        <v>7.1199999999999999E-2</v>
      </c>
      <c r="I230" s="55" cm="1">
        <f t="array" ref="I230">InputFunctions_Dairy.CalculateFractionInMMSAfterSolidSeparation('Input - Dairy'!H55,'Input - Dairy'!H111,'Input - Dairy'!$E$113)</f>
        <v>7.1199999999999999E-2</v>
      </c>
      <c r="J230" s="55" cm="1">
        <f t="array" ref="J230">InputFunctions_Dairy.CalculateFractionInMMSAfterSolidSeparation('Input - Dairy'!I55,'Input - Dairy'!I111,'Input - Dairy'!$E$113)</f>
        <v>7.1199999999999999E-2</v>
      </c>
      <c r="N230" s="55" t="str">
        <f>'Input - Dairy'!$D$55</f>
        <v>Feed pad</v>
      </c>
      <c r="O230" s="55" t="str">
        <f>'Input - Dairy'!$D$111</f>
        <v>Drains to paddock</v>
      </c>
      <c r="P230" s="55" cm="1">
        <f t="array" ref="P230">InputFunctions_Dairy.CalculateFractionInMMSAfterSolidSeparation('Input - Dairy'!E60,'Input - Dairy'!E111,'Input - Dairy'!$E$114)</f>
        <v>7.1199999999999999E-2</v>
      </c>
      <c r="Q230" s="55" cm="1">
        <f t="array" ref="Q230">InputFunctions_Dairy.CalculateFractionInMMSAfterSolidSeparation('Input - Dairy'!F60,'Input - Dairy'!F111,'Input - Dairy'!$E$114)</f>
        <v>7.1199999999999999E-2</v>
      </c>
      <c r="R230" s="55" cm="1">
        <f t="array" ref="R230">InputFunctions_Dairy.CalculateFractionInMMSAfterSolidSeparation('Input - Dairy'!G60,'Input - Dairy'!G111,'Input - Dairy'!$E$114)</f>
        <v>7.1199999999999999E-2</v>
      </c>
      <c r="S230" s="55" cm="1">
        <f t="array" ref="S230">InputFunctions_Dairy.CalculateFractionInMMSAfterSolidSeparation('Input - Dairy'!H60,'Input - Dairy'!H111,'Input - Dairy'!$E$114)</f>
        <v>7.1199999999999999E-2</v>
      </c>
      <c r="T230" s="55" cm="1">
        <f t="array" ref="T230">InputFunctions_Dairy.CalculateFractionInMMSAfterSolidSeparation('Input - Dairy'!I60,'Input - Dairy'!I111,'Input - Dairy'!$E$114)</f>
        <v>7.1199999999999999E-2</v>
      </c>
    </row>
    <row r="231" spans="4:20" ht="20.100000000000001" customHeight="1" x14ac:dyDescent="0.25">
      <c r="D231" s="55" t="str">
        <f>'Input - Dairy'!$D$55</f>
        <v>Feed pad</v>
      </c>
      <c r="E231" s="55" t="str">
        <f>'Input - Dairy'!$D$116</f>
        <v>Solid storage</v>
      </c>
      <c r="F231" s="55" cm="1">
        <f t="array" ref="F231">InputFunctions_Dairy.CalculateFractionInSolidStorage('Input - Dairy'!E55,'Input - Dairy'!E116,'Input - Dairy'!E101,'Input - Dairy'!$E$103,'Input - Dairy'!E106,'Input - Dairy'!$E$108,'Input - Dairy'!E111,'Input - Dairy'!$E$113)</f>
        <v>0.12459999999999999</v>
      </c>
      <c r="G231" s="55" cm="1">
        <f t="array" ref="G231">InputFunctions_Dairy.CalculateFractionInSolidStorage('Input - Dairy'!F55,'Input - Dairy'!F116,'Input - Dairy'!F101,'Input - Dairy'!$E$103,'Input - Dairy'!F106,'Input - Dairy'!$E$108,'Input - Dairy'!F111,'Input - Dairy'!$E$113)</f>
        <v>0.12459999999999999</v>
      </c>
      <c r="H231" s="55" cm="1">
        <f t="array" ref="H231">InputFunctions_Dairy.CalculateFractionInSolidStorage('Input - Dairy'!G55,'Input - Dairy'!G116,'Input - Dairy'!G101,'Input - Dairy'!$E$103,'Input - Dairy'!G106,'Input - Dairy'!$E$108,'Input - Dairy'!G111,'Input - Dairy'!$E$113)</f>
        <v>0.12459999999999999</v>
      </c>
      <c r="I231" s="55" cm="1">
        <f t="array" ref="I231">InputFunctions_Dairy.CalculateFractionInSolidStorage('Input - Dairy'!H55,'Input - Dairy'!H116,'Input - Dairy'!H101,'Input - Dairy'!$E$103,'Input - Dairy'!H106,'Input - Dairy'!$E$108,'Input - Dairy'!H111,'Input - Dairy'!$E$113)</f>
        <v>0.12459999999999999</v>
      </c>
      <c r="J231" s="55" cm="1">
        <f t="array" ref="J231">InputFunctions_Dairy.CalculateFractionInSolidStorage('Input - Dairy'!I55,'Input - Dairy'!I116,'Input - Dairy'!I101,'Input - Dairy'!$E$103,'Input - Dairy'!I106,'Input - Dairy'!$E$108,'Input - Dairy'!I111,'Input - Dairy'!$E$113)</f>
        <v>0.12459999999999999</v>
      </c>
      <c r="N231" s="55" t="str">
        <f>'Input - Dairy'!$D$55</f>
        <v>Feed pad</v>
      </c>
      <c r="O231" s="55" t="str">
        <f>'Input - Dairy'!$D$116</f>
        <v>Solid storage</v>
      </c>
      <c r="P231" s="55" cm="1">
        <f t="array" ref="P231">InputFunctions_Dairy.CalculateFractionInSolidStorage('Input - Dairy'!E60,'Input - Dairy'!E116,'Input - Dairy'!E101,'Input - Dairy'!$E$104, 'Input - Dairy'!E106,'Input - Dairy'!$E$109,'Input - Dairy'!E111,'Input - Dairy'!$E$114)</f>
        <v>0.12459999999999999</v>
      </c>
      <c r="Q231" s="55" cm="1">
        <f t="array" ref="Q231">InputFunctions_Dairy.CalculateFractionInSolidStorage('Input - Dairy'!F60,'Input - Dairy'!F116,'Input - Dairy'!F101,'Input - Dairy'!$E$104, 'Input - Dairy'!F106,'Input - Dairy'!$E$109,'Input - Dairy'!F111,'Input - Dairy'!$E$114)</f>
        <v>0.12459999999999999</v>
      </c>
      <c r="R231" s="55" cm="1">
        <f t="array" ref="R231">InputFunctions_Dairy.CalculateFractionInSolidStorage('Input - Dairy'!G60,'Input - Dairy'!G116,'Input - Dairy'!G101,'Input - Dairy'!$E$104, 'Input - Dairy'!G106,'Input - Dairy'!$E$109,'Input - Dairy'!G111,'Input - Dairy'!$E$114)</f>
        <v>0.12459999999999999</v>
      </c>
      <c r="S231" s="55" cm="1">
        <f t="array" ref="S231">InputFunctions_Dairy.CalculateFractionInSolidStorage('Input - Dairy'!H60,'Input - Dairy'!H116,'Input - Dairy'!H101,'Input - Dairy'!$E$104, 'Input - Dairy'!H106,'Input - Dairy'!$E$109,'Input - Dairy'!H111,'Input - Dairy'!$E$114)</f>
        <v>0.12459999999999999</v>
      </c>
      <c r="T231" s="55" cm="1">
        <f t="array" ref="T231">InputFunctions_Dairy.CalculateFractionInSolidStorage('Input - Dairy'!I60,'Input - Dairy'!I116,'Input - Dairy'!I101,'Input - Dairy'!$E$104, 'Input - Dairy'!I106,'Input - Dairy'!$E$109,'Input - Dairy'!I111,'Input - Dairy'!$E$114)</f>
        <v>0.12459999999999999</v>
      </c>
    </row>
    <row r="232" spans="4:20" ht="20.100000000000001" customHeight="1" x14ac:dyDescent="0.25">
      <c r="Q232" s="138"/>
    </row>
    <row r="233" spans="4:20" ht="20.100000000000001" customHeight="1" x14ac:dyDescent="0.25">
      <c r="D233" s="104" t="s">
        <v>327</v>
      </c>
      <c r="N233" s="104" t="s">
        <v>330</v>
      </c>
    </row>
    <row r="234" spans="4:20" ht="20.100000000000001" customHeight="1" x14ac:dyDescent="0.25">
      <c r="D234" s="103" t="s">
        <v>328</v>
      </c>
      <c r="N234" s="103" t="s">
        <v>329</v>
      </c>
    </row>
    <row r="235" spans="4:20" ht="20.100000000000001" customHeight="1" x14ac:dyDescent="0.25">
      <c r="D235" s="54" t="s">
        <v>152</v>
      </c>
      <c r="E235" s="54" t="s">
        <v>69</v>
      </c>
      <c r="F235" s="54" t="s">
        <v>178</v>
      </c>
      <c r="G235" s="54" t="s">
        <v>195</v>
      </c>
      <c r="H235" s="54" t="s">
        <v>196</v>
      </c>
      <c r="I235" s="54" t="s">
        <v>197</v>
      </c>
      <c r="J235" s="54" t="s">
        <v>198</v>
      </c>
      <c r="N235" s="54" t="s">
        <v>152</v>
      </c>
      <c r="O235" s="54" t="s">
        <v>69</v>
      </c>
      <c r="P235" s="54" t="s">
        <v>178</v>
      </c>
      <c r="Q235" s="54" t="s">
        <v>195</v>
      </c>
      <c r="R235" s="54" t="s">
        <v>196</v>
      </c>
      <c r="S235" s="54" t="s">
        <v>197</v>
      </c>
      <c r="T235" s="54" t="s">
        <v>198</v>
      </c>
    </row>
    <row r="236" spans="4:20" ht="20.100000000000001" customHeight="1" x14ac:dyDescent="0.25">
      <c r="D236" s="55" t="str">
        <f>'Input - Dairy'!$D$54</f>
        <v>Milking shed</v>
      </c>
      <c r="E236" s="55" t="str">
        <f>'Input - Dairy'!$D$67</f>
        <v>Anaerobic lagoon</v>
      </c>
      <c r="F236" s="55" cm="1">
        <f t="array" ref="F236">MMS_Dairy_N2ODirect_Equations.VEERG_4_3_1_3__2_TotalNitrogenInEachMMS(D$169,F224)</f>
        <v>212.24813314524795</v>
      </c>
      <c r="G236" s="55" cm="1">
        <f t="array" ref="G236">MMS_Dairy_N2ODirect_Equations.VEERG_4_3_1_3__2_TotalNitrogenInEachMMS(E$169,G224)</f>
        <v>182.35790267782079</v>
      </c>
      <c r="H236" s="55" cm="1">
        <f t="array" ref="H236">MMS_Dairy_N2ODirect_Equations.VEERG_4_3_1_3__2_TotalNitrogenInEachMMS(F$206,H224)</f>
        <v>72.631224123843424</v>
      </c>
      <c r="I236" s="55" cm="1">
        <f t="array" ref="I236">MMS_Dairy_N2ODirect_Equations.VEERG_4_3_1_3__2_TotalNitrogenInEachMMS(G$169,I224)</f>
        <v>229.23109573986844</v>
      </c>
      <c r="J236" s="55" cm="1">
        <f t="array" ref="J236">MMS_Dairy_N2ODirect_Equations.VEERG_4_3_1_3__2_TotalNitrogenInEachMMS(H$206,J224)</f>
        <v>95.962857079055411</v>
      </c>
      <c r="N236" s="55" t="str">
        <f>'Input - Dairy'!$D$54</f>
        <v>Milking shed</v>
      </c>
      <c r="O236" s="55" t="str">
        <f>'Input - Dairy'!$D$67</f>
        <v>Anaerobic lagoon</v>
      </c>
      <c r="P236" s="55" cm="1">
        <f t="array" ref="P236">MMS_Dairy_N2ODirect_Equations.VEERG_4_3_1_3__2_TotalNitrogenInEachMMS(N$169,P224)</f>
        <v>212.24813314524795</v>
      </c>
      <c r="Q236" s="55" cm="1">
        <f t="array" ref="Q236">MMS_Dairy_N2ODirect_Equations.VEERG_4_3_1_3__2_TotalNitrogenInEachMMS(O$169,Q224)</f>
        <v>182.35790267782079</v>
      </c>
      <c r="R236" s="55" cm="1">
        <f t="array" ref="R236">MMS_Dairy_N2ODirect_Equations.VEERG_4_3_1_3__2_TotalNitrogenInEachMMS(P$206,R224)</f>
        <v>72.631224123843424</v>
      </c>
      <c r="S236" s="55" cm="1">
        <f t="array" ref="S236">MMS_Dairy_N2ODirect_Equations.VEERG_4_3_1_3__2_TotalNitrogenInEachMMS(Q$169,S224)</f>
        <v>229.23109573986844</v>
      </c>
      <c r="T236" s="55" cm="1">
        <f t="array" ref="T236">MMS_Dairy_N2ODirect_Equations.VEERG_4_3_1_3__2_TotalNitrogenInEachMMS(R$206,T224)</f>
        <v>95.962857079055411</v>
      </c>
    </row>
    <row r="237" spans="4:20" ht="20.100000000000001" customHeight="1" x14ac:dyDescent="0.25">
      <c r="D237" s="55" t="str">
        <f>'Input - Dairy'!$D$54</f>
        <v>Milking shed</v>
      </c>
      <c r="E237" s="55" t="str">
        <f>'Input - Dairy'!$D$72</f>
        <v>Sump and dispersal system</v>
      </c>
      <c r="F237" s="55" cm="1">
        <f t="array" ref="F237">MMS_Dairy_N2ODirect_Equations.VEERG_4_3_1_3__2_TotalNitrogenInEachMMS(D$169,F225)</f>
        <v>212.24813314524795</v>
      </c>
      <c r="G237" s="55" cm="1">
        <f t="array" ref="G237">MMS_Dairy_N2ODirect_Equations.VEERG_4_3_1_3__2_TotalNitrogenInEachMMS(E$169,G225)</f>
        <v>182.35790267782079</v>
      </c>
      <c r="H237" s="55" cm="1">
        <f t="array" ref="H237">MMS_Dairy_N2ODirect_Equations.VEERG_4_3_1_3__2_TotalNitrogenInEachMMS(F$206,H225)</f>
        <v>72.631224123843424</v>
      </c>
      <c r="I237" s="55" cm="1">
        <f t="array" ref="I237">MMS_Dairy_N2ODirect_Equations.VEERG_4_3_1_3__2_TotalNitrogenInEachMMS(G$169,I225)</f>
        <v>229.23109573986844</v>
      </c>
      <c r="J237" s="55" cm="1">
        <f t="array" ref="J237">MMS_Dairy_N2ODirect_Equations.VEERG_4_3_1_3__2_TotalNitrogenInEachMMS(H$206,J225)</f>
        <v>95.962857079055411</v>
      </c>
      <c r="N237" s="55" t="str">
        <f>'Input - Dairy'!$D$54</f>
        <v>Milking shed</v>
      </c>
      <c r="O237" s="55" t="str">
        <f>'Input - Dairy'!$D$72</f>
        <v>Sump and dispersal system</v>
      </c>
      <c r="P237" s="55" cm="1">
        <f t="array" ref="P237">MMS_Dairy_N2ODirect_Equations.VEERG_4_3_1_3__2_TotalNitrogenInEachMMS(N$169,P225)</f>
        <v>212.24813314524795</v>
      </c>
      <c r="Q237" s="55" cm="1">
        <f t="array" ref="Q237">MMS_Dairy_N2ODirect_Equations.VEERG_4_3_1_3__2_TotalNitrogenInEachMMS(O$169,Q225)</f>
        <v>182.35790267782079</v>
      </c>
      <c r="R237" s="55" cm="1">
        <f t="array" ref="R237">MMS_Dairy_N2ODirect_Equations.VEERG_4_3_1_3__2_TotalNitrogenInEachMMS(P$206,R225)</f>
        <v>72.631224123843424</v>
      </c>
      <c r="S237" s="55" cm="1">
        <f t="array" ref="S237">MMS_Dairy_N2ODirect_Equations.VEERG_4_3_1_3__2_TotalNitrogenInEachMMS(Q$169,S225)</f>
        <v>229.23109573986844</v>
      </c>
      <c r="T237" s="55" cm="1">
        <f t="array" ref="T237">MMS_Dairy_N2ODirect_Equations.VEERG_4_3_1_3__2_TotalNitrogenInEachMMS(R$206,T225)</f>
        <v>95.962857079055411</v>
      </c>
    </row>
    <row r="238" spans="4:20" ht="20.100000000000001" customHeight="1" x14ac:dyDescent="0.25">
      <c r="D238" s="55" t="str">
        <f>'Input - Dairy'!$D$54</f>
        <v>Milking shed</v>
      </c>
      <c r="E238" s="55" t="str">
        <f>'Input - Dairy'!$D$77</f>
        <v>Drains to paddock</v>
      </c>
      <c r="F238" s="55" cm="1">
        <f t="array" ref="F238">MMS_Dairy_N2ODirect_Equations.VEERG_4_3_1_3__2_TotalNitrogenInEachMMS(D$169,F226)</f>
        <v>212.24813314524795</v>
      </c>
      <c r="G238" s="55" cm="1">
        <f t="array" ref="G238">MMS_Dairy_N2ODirect_Equations.VEERG_4_3_1_3__2_TotalNitrogenInEachMMS(E$169,G226)</f>
        <v>182.35790267782079</v>
      </c>
      <c r="H238" s="55" cm="1">
        <f t="array" ref="H238">MMS_Dairy_N2ODirect_Equations.VEERG_4_3_1_3__2_TotalNitrogenInEachMMS(F$206,H226)</f>
        <v>72.631224123843424</v>
      </c>
      <c r="I238" s="55" cm="1">
        <f t="array" ref="I238">MMS_Dairy_N2ODirect_Equations.VEERG_4_3_1_3__2_TotalNitrogenInEachMMS(G$169,I226)</f>
        <v>229.23109573986844</v>
      </c>
      <c r="J238" s="55" cm="1">
        <f t="array" ref="J238">MMS_Dairy_N2ODirect_Equations.VEERG_4_3_1_3__2_TotalNitrogenInEachMMS(H$206,J226)</f>
        <v>95.962857079055411</v>
      </c>
      <c r="N238" s="55" t="str">
        <f>'Input - Dairy'!$D$54</f>
        <v>Milking shed</v>
      </c>
      <c r="O238" s="55" t="str">
        <f>'Input - Dairy'!$D$77</f>
        <v>Drains to paddock</v>
      </c>
      <c r="P238" s="55" cm="1">
        <f t="array" ref="P238">MMS_Dairy_N2ODirect_Equations.VEERG_4_3_1_3__2_TotalNitrogenInEachMMS(N$169,P226)</f>
        <v>212.24813314524795</v>
      </c>
      <c r="Q238" s="55" cm="1">
        <f t="array" ref="Q238">MMS_Dairy_N2ODirect_Equations.VEERG_4_3_1_3__2_TotalNitrogenInEachMMS(O$169,Q226)</f>
        <v>182.35790267782079</v>
      </c>
      <c r="R238" s="55" cm="1">
        <f t="array" ref="R238">MMS_Dairy_N2ODirect_Equations.VEERG_4_3_1_3__2_TotalNitrogenInEachMMS(P$206,R226)</f>
        <v>72.631224123843424</v>
      </c>
      <c r="S238" s="55" cm="1">
        <f t="array" ref="S238">MMS_Dairy_N2ODirect_Equations.VEERG_4_3_1_3__2_TotalNitrogenInEachMMS(Q$169,S226)</f>
        <v>229.23109573986844</v>
      </c>
      <c r="T238" s="55" cm="1">
        <f t="array" ref="T238">MMS_Dairy_N2ODirect_Equations.VEERG_4_3_1_3__2_TotalNitrogenInEachMMS(R$206,T226)</f>
        <v>95.962857079055411</v>
      </c>
    </row>
    <row r="239" spans="4:20" ht="20.100000000000001" customHeight="1" x14ac:dyDescent="0.25">
      <c r="D239" s="55" t="str">
        <f>'Input - Dairy'!$D$54</f>
        <v>Milking shed</v>
      </c>
      <c r="E239" s="55" t="str">
        <f>'Input - Dairy'!$D$82</f>
        <v>Solid storage</v>
      </c>
      <c r="F239" s="55" cm="1">
        <f t="array" ref="F239">MMS_Dairy_N2ODirect_Equations.VEERG_4_3_1_3__2_TotalNitrogenInEachMMS(D$169,F227)</f>
        <v>424.49626629049584</v>
      </c>
      <c r="G239" s="55" cm="1">
        <f t="array" ref="G239">MMS_Dairy_N2ODirect_Equations.VEERG_4_3_1_3__2_TotalNitrogenInEachMMS(E$169,G227)</f>
        <v>364.71580535564152</v>
      </c>
      <c r="H239" s="55" cm="1">
        <f t="array" ref="H239">MMS_Dairy_N2ODirect_Equations.VEERG_4_3_1_3__2_TotalNitrogenInEachMMS(F$206,H227)</f>
        <v>145.26244824768682</v>
      </c>
      <c r="I239" s="55" cm="1">
        <f t="array" ref="I239">MMS_Dairy_N2ODirect_Equations.VEERG_4_3_1_3__2_TotalNitrogenInEachMMS(G$169,I227)</f>
        <v>458.46219147973682</v>
      </c>
      <c r="J239" s="55" cm="1">
        <f t="array" ref="J239">MMS_Dairy_N2ODirect_Equations.VEERG_4_3_1_3__2_TotalNitrogenInEachMMS(H$206,J227)</f>
        <v>191.92571415811079</v>
      </c>
      <c r="N239" s="55" t="str">
        <f>'Input - Dairy'!$D$54</f>
        <v>Milking shed</v>
      </c>
      <c r="O239" s="55" t="str">
        <f>'Input - Dairy'!$D$82</f>
        <v>Solid storage</v>
      </c>
      <c r="P239" s="55" cm="1">
        <f t="array" ref="P239">MMS_Dairy_N2ODirect_Equations.VEERG_4_3_1_3__2_TotalNitrogenInEachMMS(N$169,P227)</f>
        <v>424.49626629049584</v>
      </c>
      <c r="Q239" s="55" cm="1">
        <f t="array" ref="Q239">MMS_Dairy_N2ODirect_Equations.VEERG_4_3_1_3__2_TotalNitrogenInEachMMS(O$169,Q227)</f>
        <v>364.71580535564152</v>
      </c>
      <c r="R239" s="55" cm="1">
        <f t="array" ref="R239">MMS_Dairy_N2ODirect_Equations.VEERG_4_3_1_3__2_TotalNitrogenInEachMMS(P$206,R227)</f>
        <v>145.26244824768682</v>
      </c>
      <c r="S239" s="55" cm="1">
        <f t="array" ref="S239">MMS_Dairy_N2ODirect_Equations.VEERG_4_3_1_3__2_TotalNitrogenInEachMMS(Q$169,S227)</f>
        <v>458.46219147973682</v>
      </c>
      <c r="T239" s="55" cm="1">
        <f t="array" ref="T239">MMS_Dairy_N2ODirect_Equations.VEERG_4_3_1_3__2_TotalNitrogenInEachMMS(R$206,T227)</f>
        <v>191.92571415811079</v>
      </c>
    </row>
    <row r="240" spans="4:20" ht="20.100000000000001" customHeight="1" x14ac:dyDescent="0.25">
      <c r="D240" s="55" t="str">
        <f>'Input - Dairy'!$D$55</f>
        <v>Feed pad</v>
      </c>
      <c r="E240" s="55" t="str">
        <f>'Input - Dairy'!$D$101</f>
        <v>Anaerobic lagoon</v>
      </c>
      <c r="F240" s="55" cm="1">
        <f t="array" ref="F240">MMS_Dairy_N2ODirect_Equations.VEERG_4_3_1_3__2_TotalNitrogenInEachMMS(D$169,F228)</f>
        <v>858.64017499668478</v>
      </c>
      <c r="G240" s="55" cm="1">
        <f t="array" ref="G240">MMS_Dairy_N2ODirect_Equations.VEERG_4_3_1_3__2_TotalNitrogenInEachMMS(E$169,G228)</f>
        <v>737.72060628754764</v>
      </c>
      <c r="H240" s="55" cm="1">
        <f t="array" ref="H240">MMS_Dairy_N2ODirect_Equations.VEERG_4_3_1_3__2_TotalNitrogenInEachMMS(F$206,H228)</f>
        <v>293.82631577373019</v>
      </c>
      <c r="I240" s="55" cm="1">
        <f t="array" ref="I240">MMS_Dairy_N2ODirect_Equations.VEERG_4_3_1_3__2_TotalNitrogenInEachMMS(G$169,I228)</f>
        <v>927.34397822037681</v>
      </c>
      <c r="J240" s="55" cm="1">
        <f t="array" ref="J240">MMS_Dairy_N2ODirect_Equations.VEERG_4_3_1_3__2_TotalNitrogenInEachMMS(H$206,J228)</f>
        <v>388.21337636526954</v>
      </c>
      <c r="N240" s="55" t="str">
        <f>'Input - Dairy'!$D$55</f>
        <v>Feed pad</v>
      </c>
      <c r="O240" s="55" t="str">
        <f>'Input - Dairy'!$D$101</f>
        <v>Anaerobic lagoon</v>
      </c>
      <c r="P240" s="55" cm="1">
        <f t="array" ref="P240">MMS_Dairy_N2ODirect_Equations.VEERG_4_3_1_3__2_TotalNitrogenInEachMMS(N$169,P228)</f>
        <v>858.64017499668478</v>
      </c>
      <c r="Q240" s="55" cm="1">
        <f t="array" ref="Q240">MMS_Dairy_N2ODirect_Equations.VEERG_4_3_1_3__2_TotalNitrogenInEachMMS(O$169,Q228)</f>
        <v>737.72060628754764</v>
      </c>
      <c r="R240" s="55" cm="1">
        <f t="array" ref="R240">MMS_Dairy_N2ODirect_Equations.VEERG_4_3_1_3__2_TotalNitrogenInEachMMS(P$206,R228)</f>
        <v>293.82631577373019</v>
      </c>
      <c r="S240" s="55" cm="1">
        <f t="array" ref="S240">MMS_Dairy_N2ODirect_Equations.VEERG_4_3_1_3__2_TotalNitrogenInEachMMS(Q$169,S228)</f>
        <v>927.34397822037681</v>
      </c>
      <c r="T240" s="55" cm="1">
        <f t="array" ref="T240">MMS_Dairy_N2ODirect_Equations.VEERG_4_3_1_3__2_TotalNitrogenInEachMMS(R$206,T228)</f>
        <v>388.21337636526954</v>
      </c>
    </row>
    <row r="241" spans="3:21" ht="20.100000000000001" customHeight="1" x14ac:dyDescent="0.25">
      <c r="D241" s="55" t="str">
        <f>'Input - Dairy'!$D$55</f>
        <v>Feed pad</v>
      </c>
      <c r="E241" s="55" t="str">
        <f>'Input - Dairy'!$D$106</f>
        <v>Sump and dispersal system</v>
      </c>
      <c r="F241" s="55" cm="1">
        <f t="array" ref="F241">MMS_Dairy_N2ODirect_Equations.VEERG_4_3_1_3__2_TotalNitrogenInEachMMS(D$169,F229)</f>
        <v>686.91213999734782</v>
      </c>
      <c r="G241" s="55" cm="1">
        <f t="array" ref="G241">MMS_Dairy_N2ODirect_Equations.VEERG_4_3_1_3__2_TotalNitrogenInEachMMS(E$169,G229)</f>
        <v>590.17648503003818</v>
      </c>
      <c r="H241" s="55" cm="1">
        <f t="array" ref="H241">MMS_Dairy_N2ODirect_Equations.VEERG_4_3_1_3__2_TotalNitrogenInEachMMS(F$206,H229)</f>
        <v>235.06105261898415</v>
      </c>
      <c r="I241" s="55" cm="1">
        <f t="array" ref="I241">MMS_Dairy_N2ODirect_Equations.VEERG_4_3_1_3__2_TotalNitrogenInEachMMS(G$169,I229)</f>
        <v>741.87518257630143</v>
      </c>
      <c r="J241" s="55" cm="1">
        <f t="array" ref="J241">MMS_Dairy_N2ODirect_Equations.VEERG_4_3_1_3__2_TotalNitrogenInEachMMS(H$206,J229)</f>
        <v>310.57070109221564</v>
      </c>
      <c r="N241" s="55" t="str">
        <f>'Input - Dairy'!$D$55</f>
        <v>Feed pad</v>
      </c>
      <c r="O241" s="55" t="str">
        <f>'Input - Dairy'!$D$106</f>
        <v>Sump and dispersal system</v>
      </c>
      <c r="P241" s="55" cm="1">
        <f t="array" ref="P241">MMS_Dairy_N2ODirect_Equations.VEERG_4_3_1_3__2_TotalNitrogenInEachMMS(N$169,P229)</f>
        <v>686.91213999734782</v>
      </c>
      <c r="Q241" s="55" cm="1">
        <f t="array" ref="Q241">MMS_Dairy_N2ODirect_Equations.VEERG_4_3_1_3__2_TotalNitrogenInEachMMS(O$169,Q229)</f>
        <v>590.17648503003818</v>
      </c>
      <c r="R241" s="55" cm="1">
        <f t="array" ref="R241">MMS_Dairy_N2ODirect_Equations.VEERG_4_3_1_3__2_TotalNitrogenInEachMMS(P$206,R229)</f>
        <v>235.06105261898415</v>
      </c>
      <c r="S241" s="55" cm="1">
        <f t="array" ref="S241">MMS_Dairy_N2ODirect_Equations.VEERG_4_3_1_3__2_TotalNitrogenInEachMMS(Q$169,S229)</f>
        <v>741.87518257630143</v>
      </c>
      <c r="T241" s="55" cm="1">
        <f t="array" ref="T241">MMS_Dairy_N2ODirect_Equations.VEERG_4_3_1_3__2_TotalNitrogenInEachMMS(R$206,T229)</f>
        <v>310.57070109221564</v>
      </c>
    </row>
    <row r="242" spans="3:21" ht="20.100000000000001" customHeight="1" x14ac:dyDescent="0.25">
      <c r="D242" s="55" t="str">
        <f>'Input - Dairy'!$D$55</f>
        <v>Feed pad</v>
      </c>
      <c r="E242" s="55" t="str">
        <f>'Input - Dairy'!$D$111</f>
        <v>Drains to paddock</v>
      </c>
      <c r="F242" s="55" cm="1">
        <f t="array" ref="F242">MMS_Dairy_N2ODirect_Equations.VEERG_4_3_1_3__2_TotalNitrogenInEachMMS(D$169,F230)</f>
        <v>686.91213999734782</v>
      </c>
      <c r="G242" s="55" cm="1">
        <f t="array" ref="G242">MMS_Dairy_N2ODirect_Equations.VEERG_4_3_1_3__2_TotalNitrogenInEachMMS(E$169,G230)</f>
        <v>590.17648503003818</v>
      </c>
      <c r="H242" s="55" cm="1">
        <f t="array" ref="H242">MMS_Dairy_N2ODirect_Equations.VEERG_4_3_1_3__2_TotalNitrogenInEachMMS(F$206,H230)</f>
        <v>235.06105261898415</v>
      </c>
      <c r="I242" s="55" cm="1">
        <f t="array" ref="I242">MMS_Dairy_N2ODirect_Equations.VEERG_4_3_1_3__2_TotalNitrogenInEachMMS(G$169,I230)</f>
        <v>741.87518257630143</v>
      </c>
      <c r="J242" s="55" cm="1">
        <f t="array" ref="J242">MMS_Dairy_N2ODirect_Equations.VEERG_4_3_1_3__2_TotalNitrogenInEachMMS(H$206,J230)</f>
        <v>310.57070109221564</v>
      </c>
      <c r="N242" s="55" t="str">
        <f>'Input - Dairy'!$D$55</f>
        <v>Feed pad</v>
      </c>
      <c r="O242" s="55" t="str">
        <f>'Input - Dairy'!$D$111</f>
        <v>Drains to paddock</v>
      </c>
      <c r="P242" s="55" cm="1">
        <f t="array" ref="P242">MMS_Dairy_N2ODirect_Equations.VEERG_4_3_1_3__2_TotalNitrogenInEachMMS(N$169,P230)</f>
        <v>686.91213999734782</v>
      </c>
      <c r="Q242" s="55" cm="1">
        <f t="array" ref="Q242">MMS_Dairy_N2ODirect_Equations.VEERG_4_3_1_3__2_TotalNitrogenInEachMMS(O$169,Q230)</f>
        <v>590.17648503003818</v>
      </c>
      <c r="R242" s="55" cm="1">
        <f t="array" ref="R242">MMS_Dairy_N2ODirect_Equations.VEERG_4_3_1_3__2_TotalNitrogenInEachMMS(P$206,R230)</f>
        <v>235.06105261898415</v>
      </c>
      <c r="S242" s="55" cm="1">
        <f t="array" ref="S242">MMS_Dairy_N2ODirect_Equations.VEERG_4_3_1_3__2_TotalNitrogenInEachMMS(Q$169,S230)</f>
        <v>741.87518257630143</v>
      </c>
      <c r="T242" s="55" cm="1">
        <f t="array" ref="T242">MMS_Dairy_N2ODirect_Equations.VEERG_4_3_1_3__2_TotalNitrogenInEachMMS(R$206,T230)</f>
        <v>310.57070109221564</v>
      </c>
    </row>
    <row r="243" spans="3:21" ht="20.100000000000001" customHeight="1" x14ac:dyDescent="0.25">
      <c r="D243" s="55" t="str">
        <f>'Input - Dairy'!$D$55</f>
        <v>Feed pad</v>
      </c>
      <c r="E243" s="55" t="str">
        <f>'Input - Dairy'!$D$116</f>
        <v>Solid storage</v>
      </c>
      <c r="F243" s="55" cm="1">
        <f t="array" ref="F243">MMS_Dairy_N2ODirect_Equations.VEERG_4_3_1_3__2_TotalNitrogenInEachMMS(D$169,F231)</f>
        <v>1202.0962449953586</v>
      </c>
      <c r="G243" s="55" cm="1">
        <f t="array" ref="G243">MMS_Dairy_N2ODirect_Equations.VEERG_4_3_1_3__2_TotalNitrogenInEachMMS(E$169,G231)</f>
        <v>1032.8088488025667</v>
      </c>
      <c r="H243" s="55" cm="1">
        <f t="array" ref="H243">MMS_Dairy_N2ODirect_Equations.VEERG_4_3_1_3__2_TotalNitrogenInEachMMS(F$206,H231)</f>
        <v>411.35684208322226</v>
      </c>
      <c r="I243" s="55" cm="1">
        <f t="array" ref="I243">MMS_Dairy_N2ODirect_Equations.VEERG_4_3_1_3__2_TotalNitrogenInEachMMS(G$169,I231)</f>
        <v>1298.2815695085274</v>
      </c>
      <c r="J243" s="55" cm="1">
        <f t="array" ref="J243">MMS_Dairy_N2ODirect_Equations.VEERG_4_3_1_3__2_TotalNitrogenInEachMMS(H$206,J231)</f>
        <v>543.49872691137739</v>
      </c>
      <c r="N243" s="55" t="str">
        <f>'Input - Dairy'!$D$55</f>
        <v>Feed pad</v>
      </c>
      <c r="O243" s="55" t="str">
        <f>'Input - Dairy'!$D$116</f>
        <v>Solid storage</v>
      </c>
      <c r="P243" s="55" cm="1">
        <f t="array" ref="P243">MMS_Dairy_N2ODirect_Equations.VEERG_4_3_1_3__2_TotalNitrogenInEachMMS(N$169,P231)</f>
        <v>1202.0962449953586</v>
      </c>
      <c r="Q243" s="55" cm="1">
        <f t="array" ref="Q243">MMS_Dairy_N2ODirect_Equations.VEERG_4_3_1_3__2_TotalNitrogenInEachMMS(O$169,Q231)</f>
        <v>1032.8088488025667</v>
      </c>
      <c r="R243" s="55" cm="1">
        <f t="array" ref="R243">MMS_Dairy_N2ODirect_Equations.VEERG_4_3_1_3__2_TotalNitrogenInEachMMS(P$206,R231)</f>
        <v>411.35684208322226</v>
      </c>
      <c r="S243" s="55" cm="1">
        <f t="array" ref="S243">MMS_Dairy_N2ODirect_Equations.VEERG_4_3_1_3__2_TotalNitrogenInEachMMS(Q$169,S231)</f>
        <v>1298.2815695085274</v>
      </c>
      <c r="T243" s="55" cm="1">
        <f t="array" ref="T243">MMS_Dairy_N2ODirect_Equations.VEERG_4_3_1_3__2_TotalNitrogenInEachMMS(R$206,T231)</f>
        <v>543.49872691137739</v>
      </c>
    </row>
    <row r="244" spans="3:21" ht="20.100000000000001" customHeight="1" x14ac:dyDescent="0.25"/>
    <row r="245" spans="3:21" ht="20.100000000000001" customHeight="1" x14ac:dyDescent="0.25"/>
    <row r="246" spans="3:21" ht="20.100000000000001" customHeight="1" x14ac:dyDescent="0.25">
      <c r="C246" s="48"/>
      <c r="D246" s="48"/>
      <c r="E246" s="48"/>
      <c r="F246" s="48"/>
      <c r="G246" s="48"/>
      <c r="H246" s="48"/>
      <c r="I246" s="48"/>
      <c r="J246" s="48"/>
      <c r="K246" s="48"/>
      <c r="M246" s="48"/>
      <c r="N246" s="48"/>
      <c r="O246" s="48"/>
      <c r="P246" s="48"/>
      <c r="Q246" s="48"/>
      <c r="R246" s="48"/>
      <c r="S246" s="48"/>
      <c r="T246" s="48"/>
      <c r="U246" s="48"/>
    </row>
    <row r="247" spans="3:21" ht="20.100000000000001" customHeight="1" x14ac:dyDescent="0.25">
      <c r="D247" s="6" t="str" cm="1">
        <f t="array" ref="D247">MMS_Dairy_N2ODirect_Equations.VEERG_4_3_1_3__1_TotalAnnualDirectNitrousOxideEmissionsFromMMS_Title()</f>
        <v>Total annual direct nitrous oxide emissions from manure management systems</v>
      </c>
    </row>
    <row r="248" spans="3:21" ht="20.100000000000001" customHeight="1" x14ac:dyDescent="0.25">
      <c r="D248" s="5" t="str" cm="1">
        <f t="array" ref="D248">MMS_Dairy_N2ODirect_Equations.VEERG_4_3_1_3__1_TotalAnnualDirectNitrousOxideEmissionsFromMMS_Source()</f>
        <v>VEERG 2026: 4.3.1.3, Equation (1)</v>
      </c>
    </row>
    <row r="249" spans="3:21" ht="20.100000000000001" customHeight="1" x14ac:dyDescent="0.25">
      <c r="D249" s="13" t="s">
        <v>28</v>
      </c>
      <c r="E249" s="13" t="str" cm="1">
        <f t="array" aca="1" ref="E249" ca="1">Common_InputFunctions.Utility_DisplayFunctionName(F273)</f>
        <v>=MMS_Dairy_N2ODirect_Equations.VEERG_4_3_1_3__1_TotalAnnualDirectNitrousOxideEmissionsFromMMS</v>
      </c>
    </row>
    <row r="250" spans="3:21" ht="20.100000000000001" customHeight="1" x14ac:dyDescent="0.25"/>
    <row r="251" spans="3:21" ht="20.100000000000001" customHeight="1" x14ac:dyDescent="0.25">
      <c r="D251" s="6"/>
    </row>
    <row r="252" spans="3:21" ht="20.100000000000001" customHeight="1" x14ac:dyDescent="0.25">
      <c r="D252" s="56" t="s">
        <v>31</v>
      </c>
      <c r="E252" s="1" t="str" cm="1">
        <f t="array" ref="E252">MMS_Dairy_N2ODirect_Equations.VEERG_4_3_1_3__1_TotalAnnualDirectNitrousOxideEmissionsFromMMS_Variable()</f>
        <v>E_N2Odir</v>
      </c>
    </row>
    <row r="253" spans="3:21" ht="20.100000000000001" customHeight="1" x14ac:dyDescent="0.25">
      <c r="D253" s="56" t="s">
        <v>21</v>
      </c>
      <c r="E253" s="57" t="str" cm="1">
        <f t="array" ref="E253">MMS_Dairy_N2ODirect_Equations.VEERG_4_3_1_3__1_TotalAnnualDirectNitrousOxideEmissionsFromMMS_Unit()</f>
        <v>t N2O</v>
      </c>
    </row>
    <row r="254" spans="3:21" ht="20.100000000000001" customHeight="1" x14ac:dyDescent="0.25"/>
    <row r="255" spans="3:21" ht="20.100000000000001" customHeight="1" x14ac:dyDescent="0.25">
      <c r="D255" s="60" t="str" cm="1">
        <f t="array" ref="D255:E257">MMS_Dairy_N2ODirect_Equations.VEERG_4_3_1_3__1_TotalAnnualDirectNitrousOxideEmissionsFromMMS_Arguments()</f>
        <v>MN_jm</v>
      </c>
      <c r="E255" s="61" t="str">
        <v>total nitrogen in each MMS for dairy cattle classes (kg N)</v>
      </c>
      <c r="F255" s="62"/>
      <c r="G255" s="60" t="str">
        <f>"See " &amp; D233</f>
        <v>See M1_Table_MN_j_m</v>
      </c>
    </row>
    <row r="256" spans="3:21" ht="20.100000000000001" customHeight="1" x14ac:dyDescent="0.25">
      <c r="D256" s="60" t="str">
        <v>EF_m</v>
      </c>
      <c r="E256" s="61" t="str">
        <v>nitrous oxide emission factor for each MMS (kg N2O-N/kg N deposited)</v>
      </c>
      <c r="F256" s="62"/>
      <c r="G256" s="60" t="str">
        <f>"See " &amp; D259</f>
        <v>See Table_EF_m</v>
      </c>
    </row>
    <row r="257" spans="4:20" ht="20.100000000000001" customHeight="1" x14ac:dyDescent="0.25">
      <c r="D257" s="60" t="str">
        <v>C_N2O</v>
      </c>
      <c r="E257" s="61" t="str">
        <v>factor to convert elemental mass of N2O to molecular mass</v>
      </c>
      <c r="F257" s="62"/>
      <c r="G257" s="60">
        <f>Common_InputFunctions.Utility_LookupValueInTableNumber("N2O",Table_GasToMolecularConversionFactor[Gas],Table_GasToMolecularConversionFactor[Conversion factor combined])</f>
        <v>1.5714285714285714</v>
      </c>
    </row>
    <row r="258" spans="4:20" ht="20.100000000000001" customHeight="1" x14ac:dyDescent="0.25"/>
    <row r="259" spans="4:20" ht="20.100000000000001" customHeight="1" x14ac:dyDescent="0.25">
      <c r="D259" s="104" t="s">
        <v>331</v>
      </c>
    </row>
    <row r="260" spans="4:20" ht="20.100000000000001" customHeight="1" x14ac:dyDescent="0.25">
      <c r="D260" s="103" t="s">
        <v>332</v>
      </c>
    </row>
    <row r="261" spans="4:20" ht="20.100000000000001" customHeight="1" x14ac:dyDescent="0.25">
      <c r="D261" s="54" t="s">
        <v>69</v>
      </c>
      <c r="E261" s="54" t="s">
        <v>333</v>
      </c>
    </row>
    <row r="262" spans="4:20" ht="20.100000000000001" customHeight="1" x14ac:dyDescent="0.25">
      <c r="D262" s="55" t="str" cm="1">
        <f t="array" ref="D262:D266">Table_SourceData_Dairy_EFmFracGASM[NIR reference]</f>
        <v>Pasture range and paddock</v>
      </c>
      <c r="E262" s="55" cm="1">
        <f t="array" ref="E262:E266">Table_SourceData_Dairy_EFmFracGASM[EFm]</f>
        <v>0</v>
      </c>
    </row>
    <row r="263" spans="4:20" ht="20.100000000000001" customHeight="1" x14ac:dyDescent="0.25">
      <c r="D263" s="55" t="str">
        <v>Anaerobic lagoon</v>
      </c>
      <c r="E263" s="55">
        <v>0</v>
      </c>
    </row>
    <row r="264" spans="4:20" ht="20.100000000000001" customHeight="1" x14ac:dyDescent="0.25">
      <c r="D264" s="55" t="str">
        <v>Sump and dispersal system</v>
      </c>
      <c r="E264" s="55">
        <v>0</v>
      </c>
    </row>
    <row r="265" spans="4:20" ht="20.100000000000001" customHeight="1" x14ac:dyDescent="0.25">
      <c r="D265" s="55" t="str">
        <v>Drains to paddock</v>
      </c>
      <c r="E265" s="55">
        <v>0</v>
      </c>
    </row>
    <row r="266" spans="4:20" ht="20.100000000000001" customHeight="1" x14ac:dyDescent="0.25">
      <c r="D266" s="55" t="str">
        <v>Solid storage</v>
      </c>
      <c r="E266" s="55">
        <v>5.0000000000000001E-3</v>
      </c>
    </row>
    <row r="267" spans="4:20" ht="20.100000000000001" customHeight="1" x14ac:dyDescent="0.25"/>
    <row r="268" spans="4:20" ht="20.100000000000001" customHeight="1" x14ac:dyDescent="0.25">
      <c r="D268" s="104" t="s">
        <v>127</v>
      </c>
      <c r="N268" s="104" t="s">
        <v>127</v>
      </c>
    </row>
    <row r="269" spans="4:20" ht="20.100000000000001" customHeight="1" x14ac:dyDescent="0.25">
      <c r="D269" s="103" t="s">
        <v>334</v>
      </c>
      <c r="N269" s="103" t="s">
        <v>334</v>
      </c>
    </row>
    <row r="270" spans="4:20" ht="20.100000000000001" customHeight="1" x14ac:dyDescent="0.25">
      <c r="D270" s="54" t="s">
        <v>152</v>
      </c>
      <c r="E270" s="54" t="s">
        <v>69</v>
      </c>
      <c r="F270" s="54" t="s">
        <v>178</v>
      </c>
      <c r="G270" s="54" t="s">
        <v>195</v>
      </c>
      <c r="H270" s="54" t="s">
        <v>196</v>
      </c>
      <c r="I270" s="54" t="s">
        <v>197</v>
      </c>
      <c r="J270" s="54" t="s">
        <v>198</v>
      </c>
      <c r="N270" s="54" t="s">
        <v>152</v>
      </c>
      <c r="O270" s="54" t="s">
        <v>69</v>
      </c>
      <c r="P270" s="54" t="s">
        <v>178</v>
      </c>
      <c r="Q270" s="54" t="s">
        <v>195</v>
      </c>
      <c r="R270" s="54" t="s">
        <v>196</v>
      </c>
      <c r="S270" s="54" t="s">
        <v>197</v>
      </c>
      <c r="T270" s="54" t="s">
        <v>198</v>
      </c>
    </row>
    <row r="271" spans="4:20" ht="20.100000000000001" customHeight="1" x14ac:dyDescent="0.25">
      <c r="D271" s="55" t="str">
        <f>'Input - Dairy'!$D$54</f>
        <v>Milking shed</v>
      </c>
      <c r="E271" s="55" t="str">
        <f>'Input - Dairy'!$D$67</f>
        <v>Anaerobic lagoon</v>
      </c>
      <c r="F271" s="55" cm="1">
        <f t="array" ref="F271">MMS_Dairy_N2ODirect_Equations.VEERG_4_3_1_3__1_TotalAnnualDirectNitrousOxideEmissionsFromMMS(F236,$E263,$G$257)</f>
        <v>0</v>
      </c>
      <c r="G271" s="55" cm="1">
        <f t="array" ref="G271">MMS_Dairy_N2ODirect_Equations.VEERG_4_3_1_3__1_TotalAnnualDirectNitrousOxideEmissionsFromMMS(G236,$E263,$G$257)</f>
        <v>0</v>
      </c>
      <c r="H271" s="55" cm="1">
        <f t="array" ref="H271">MMS_Dairy_N2ODirect_Equations.VEERG_4_3_1_3__1_TotalAnnualDirectNitrousOxideEmissionsFromMMS(H236,$E263,$G$257)</f>
        <v>0</v>
      </c>
      <c r="I271" s="55" cm="1">
        <f t="array" ref="I271">MMS_Dairy_N2ODirect_Equations.VEERG_4_3_1_3__1_TotalAnnualDirectNitrousOxideEmissionsFromMMS(I236,$E263,$G$257)</f>
        <v>0</v>
      </c>
      <c r="J271" s="55" cm="1">
        <f t="array" ref="J271">MMS_Dairy_N2ODirect_Equations.VEERG_4_3_1_3__1_TotalAnnualDirectNitrousOxideEmissionsFromMMS(J236,$E263,$G$257)</f>
        <v>0</v>
      </c>
      <c r="N271" s="55" t="str">
        <f>'Input - Dairy'!$D$54</f>
        <v>Milking shed</v>
      </c>
      <c r="O271" s="55" t="str">
        <f>'Input - Dairy'!$D$67</f>
        <v>Anaerobic lagoon</v>
      </c>
      <c r="P271" s="55" cm="1">
        <f t="array" ref="P271">MMS_Dairy_N2ODirect_Equations.VEERG_4_3_1_3__1_TotalAnnualDirectNitrousOxideEmissionsFromMMS(P236,$E263,$G$257)</f>
        <v>0</v>
      </c>
      <c r="Q271" s="55" cm="1">
        <f t="array" ref="Q271">MMS_Dairy_N2ODirect_Equations.VEERG_4_3_1_3__1_TotalAnnualDirectNitrousOxideEmissionsFromMMS(Q236,$E263,$G$257)</f>
        <v>0</v>
      </c>
      <c r="R271" s="55" cm="1">
        <f t="array" ref="R271">MMS_Dairy_N2ODirect_Equations.VEERG_4_3_1_3__1_TotalAnnualDirectNitrousOxideEmissionsFromMMS(R236,$E263,$G$257)</f>
        <v>0</v>
      </c>
      <c r="S271" s="55" cm="1">
        <f t="array" ref="S271">MMS_Dairy_N2ODirect_Equations.VEERG_4_3_1_3__1_TotalAnnualDirectNitrousOxideEmissionsFromMMS(S236,$E263,$G$257)</f>
        <v>0</v>
      </c>
      <c r="T271" s="55" cm="1">
        <f t="array" ref="T271">MMS_Dairy_N2ODirect_Equations.VEERG_4_3_1_3__1_TotalAnnualDirectNitrousOxideEmissionsFromMMS(T236,$E263,$G$257)</f>
        <v>0</v>
      </c>
    </row>
    <row r="272" spans="4:20" ht="20.100000000000001" customHeight="1" x14ac:dyDescent="0.25">
      <c r="D272" s="55" t="str">
        <f>'Input - Dairy'!$D$54</f>
        <v>Milking shed</v>
      </c>
      <c r="E272" s="55" t="str">
        <f>'Input - Dairy'!$D$72</f>
        <v>Sump and dispersal system</v>
      </c>
      <c r="F272" s="55" cm="1">
        <f t="array" ref="F272">MMS_Dairy_N2ODirect_Equations.VEERG_4_3_1_3__1_TotalAnnualDirectNitrousOxideEmissionsFromMMS(F237,$E264,$G$257)</f>
        <v>0</v>
      </c>
      <c r="G272" s="55" cm="1">
        <f t="array" ref="G272">MMS_Dairy_N2ODirect_Equations.VEERG_4_3_1_3__1_TotalAnnualDirectNitrousOxideEmissionsFromMMS(G237,$E264,$G$257)</f>
        <v>0</v>
      </c>
      <c r="H272" s="55" cm="1">
        <f t="array" ref="H272">MMS_Dairy_N2ODirect_Equations.VEERG_4_3_1_3__1_TotalAnnualDirectNitrousOxideEmissionsFromMMS(H237,$E264,$G$257)</f>
        <v>0</v>
      </c>
      <c r="I272" s="55" cm="1">
        <f t="array" ref="I272">MMS_Dairy_N2ODirect_Equations.VEERG_4_3_1_3__1_TotalAnnualDirectNitrousOxideEmissionsFromMMS(I237,$E264,$G$257)</f>
        <v>0</v>
      </c>
      <c r="J272" s="55" cm="1">
        <f t="array" ref="J272">MMS_Dairy_N2ODirect_Equations.VEERG_4_3_1_3__1_TotalAnnualDirectNitrousOxideEmissionsFromMMS(J237,$E264,$G$257)</f>
        <v>0</v>
      </c>
      <c r="N272" s="55" t="str">
        <f>'Input - Dairy'!$D$54</f>
        <v>Milking shed</v>
      </c>
      <c r="O272" s="55" t="str">
        <f>'Input - Dairy'!$D$72</f>
        <v>Sump and dispersal system</v>
      </c>
      <c r="P272" s="55" cm="1">
        <f t="array" ref="P272">MMS_Dairy_N2ODirect_Equations.VEERG_4_3_1_3__1_TotalAnnualDirectNitrousOxideEmissionsFromMMS(P237,$E264,$G$257)</f>
        <v>0</v>
      </c>
      <c r="Q272" s="55" cm="1">
        <f t="array" ref="Q272">MMS_Dairy_N2ODirect_Equations.VEERG_4_3_1_3__1_TotalAnnualDirectNitrousOxideEmissionsFromMMS(Q237,$E264,$G$257)</f>
        <v>0</v>
      </c>
      <c r="R272" s="55" cm="1">
        <f t="array" ref="R272">MMS_Dairy_N2ODirect_Equations.VEERG_4_3_1_3__1_TotalAnnualDirectNitrousOxideEmissionsFromMMS(R237,$E264,$G$257)</f>
        <v>0</v>
      </c>
      <c r="S272" s="55" cm="1">
        <f t="array" ref="S272">MMS_Dairy_N2ODirect_Equations.VEERG_4_3_1_3__1_TotalAnnualDirectNitrousOxideEmissionsFromMMS(S237,$E264,$G$257)</f>
        <v>0</v>
      </c>
      <c r="T272" s="55" cm="1">
        <f t="array" ref="T272">MMS_Dairy_N2ODirect_Equations.VEERG_4_3_1_3__1_TotalAnnualDirectNitrousOxideEmissionsFromMMS(T237,$E264,$G$257)</f>
        <v>0</v>
      </c>
    </row>
    <row r="273" spans="4:20" ht="20.100000000000001" customHeight="1" x14ac:dyDescent="0.25">
      <c r="D273" s="55" t="str">
        <f>'Input - Dairy'!$D$54</f>
        <v>Milking shed</v>
      </c>
      <c r="E273" s="55" t="str">
        <f>'Input - Dairy'!$D$77</f>
        <v>Drains to paddock</v>
      </c>
      <c r="F273" s="55" cm="1">
        <f t="array" ref="F273">MMS_Dairy_N2ODirect_Equations.VEERG_4_3_1_3__1_TotalAnnualDirectNitrousOxideEmissionsFromMMS(F238,$E265,$G$257)</f>
        <v>0</v>
      </c>
      <c r="G273" s="55" cm="1">
        <f t="array" ref="G273">MMS_Dairy_N2ODirect_Equations.VEERG_4_3_1_3__1_TotalAnnualDirectNitrousOxideEmissionsFromMMS(G238,$E265,$G$257)</f>
        <v>0</v>
      </c>
      <c r="H273" s="55" cm="1">
        <f t="array" ref="H273">MMS_Dairy_N2ODirect_Equations.VEERG_4_3_1_3__1_TotalAnnualDirectNitrousOxideEmissionsFromMMS(H238,$E265,$G$257)</f>
        <v>0</v>
      </c>
      <c r="I273" s="55" cm="1">
        <f t="array" ref="I273">MMS_Dairy_N2ODirect_Equations.VEERG_4_3_1_3__1_TotalAnnualDirectNitrousOxideEmissionsFromMMS(I238,$E265,$G$257)</f>
        <v>0</v>
      </c>
      <c r="J273" s="55" cm="1">
        <f t="array" ref="J273">MMS_Dairy_N2ODirect_Equations.VEERG_4_3_1_3__1_TotalAnnualDirectNitrousOxideEmissionsFromMMS(J238,$E265,$G$257)</f>
        <v>0</v>
      </c>
      <c r="N273" s="55" t="str">
        <f>'Input - Dairy'!$D$54</f>
        <v>Milking shed</v>
      </c>
      <c r="O273" s="55" t="str">
        <f>'Input - Dairy'!$D$77</f>
        <v>Drains to paddock</v>
      </c>
      <c r="P273" s="55" cm="1">
        <f t="array" ref="P273">MMS_Dairy_N2ODirect_Equations.VEERG_4_3_1_3__1_TotalAnnualDirectNitrousOxideEmissionsFromMMS(P238,$E265,$G$257)</f>
        <v>0</v>
      </c>
      <c r="Q273" s="55" cm="1">
        <f t="array" ref="Q273">MMS_Dairy_N2ODirect_Equations.VEERG_4_3_1_3__1_TotalAnnualDirectNitrousOxideEmissionsFromMMS(Q238,$E265,$G$257)</f>
        <v>0</v>
      </c>
      <c r="R273" s="55" cm="1">
        <f t="array" ref="R273">MMS_Dairy_N2ODirect_Equations.VEERG_4_3_1_3__1_TotalAnnualDirectNitrousOxideEmissionsFromMMS(R238,$E265,$G$257)</f>
        <v>0</v>
      </c>
      <c r="S273" s="55" cm="1">
        <f t="array" ref="S273">MMS_Dairy_N2ODirect_Equations.VEERG_4_3_1_3__1_TotalAnnualDirectNitrousOxideEmissionsFromMMS(S238,$E265,$G$257)</f>
        <v>0</v>
      </c>
      <c r="T273" s="55" cm="1">
        <f t="array" ref="T273">MMS_Dairy_N2ODirect_Equations.VEERG_4_3_1_3__1_TotalAnnualDirectNitrousOxideEmissionsFromMMS(T238,$E265,$G$257)</f>
        <v>0</v>
      </c>
    </row>
    <row r="274" spans="4:20" ht="20.100000000000001" customHeight="1" x14ac:dyDescent="0.25">
      <c r="D274" s="55" t="str">
        <f>'Input - Dairy'!$D$54</f>
        <v>Milking shed</v>
      </c>
      <c r="E274" s="55" t="str">
        <f>'Input - Dairy'!$D$82</f>
        <v>Solid storage</v>
      </c>
      <c r="F274" s="55" cm="1">
        <f t="array" ref="F274">MMS_Dairy_N2ODirect_Equations.VEERG_4_3_1_3__1_TotalAnnualDirectNitrousOxideEmissionsFromMMS(F239,$E266,$G$257)</f>
        <v>3.3353278065681815E-3</v>
      </c>
      <c r="G274" s="55" cm="1">
        <f t="array" ref="G274">MMS_Dairy_N2ODirect_Equations.VEERG_4_3_1_3__1_TotalAnnualDirectNitrousOxideEmissionsFromMMS(G239,$E266,$G$257)</f>
        <v>2.8656241849371834E-3</v>
      </c>
      <c r="H274" s="55" cm="1">
        <f t="array" ref="H274">MMS_Dairy_N2ODirect_Equations.VEERG_4_3_1_3__1_TotalAnnualDirectNitrousOxideEmissionsFromMMS(H239,$E266,$G$257)</f>
        <v>1.1413478076603965E-3</v>
      </c>
      <c r="I274" s="55" cm="1">
        <f t="array" ref="I274">MMS_Dairy_N2ODirect_Equations.VEERG_4_3_1_3__1_TotalAnnualDirectNitrousOxideEmissionsFromMMS(I239,$E266,$G$257)</f>
        <v>3.6022029330550747E-3</v>
      </c>
      <c r="J274" s="55" cm="1">
        <f t="array" ref="J274">MMS_Dairy_N2ODirect_Equations.VEERG_4_3_1_3__1_TotalAnnualDirectNitrousOxideEmissionsFromMMS(J239,$E266,$G$257)</f>
        <v>1.5079877540994421E-3</v>
      </c>
      <c r="N274" s="55" t="str">
        <f>'Input - Dairy'!$D$54</f>
        <v>Milking shed</v>
      </c>
      <c r="O274" s="55" t="str">
        <f>'Input - Dairy'!$D$82</f>
        <v>Solid storage</v>
      </c>
      <c r="P274" s="55" cm="1">
        <f t="array" ref="P274">MMS_Dairy_N2ODirect_Equations.VEERG_4_3_1_3__1_TotalAnnualDirectNitrousOxideEmissionsFromMMS(P239,$E266,$G$257)</f>
        <v>3.3353278065681815E-3</v>
      </c>
      <c r="Q274" s="55" cm="1">
        <f t="array" ref="Q274">MMS_Dairy_N2ODirect_Equations.VEERG_4_3_1_3__1_TotalAnnualDirectNitrousOxideEmissionsFromMMS(Q239,$E266,$G$257)</f>
        <v>2.8656241849371834E-3</v>
      </c>
      <c r="R274" s="55" cm="1">
        <f t="array" ref="R274">MMS_Dairy_N2ODirect_Equations.VEERG_4_3_1_3__1_TotalAnnualDirectNitrousOxideEmissionsFromMMS(R239,$E266,$G$257)</f>
        <v>1.1413478076603965E-3</v>
      </c>
      <c r="S274" s="55" cm="1">
        <f t="array" ref="S274">MMS_Dairy_N2ODirect_Equations.VEERG_4_3_1_3__1_TotalAnnualDirectNitrousOxideEmissionsFromMMS(S239,$E266,$G$257)</f>
        <v>3.6022029330550747E-3</v>
      </c>
      <c r="T274" s="55" cm="1">
        <f t="array" ref="T274">MMS_Dairy_N2ODirect_Equations.VEERG_4_3_1_3__1_TotalAnnualDirectNitrousOxideEmissionsFromMMS(T239,$E266,$G$257)</f>
        <v>1.5079877540994421E-3</v>
      </c>
    </row>
    <row r="275" spans="4:20" ht="20.100000000000001" customHeight="1" x14ac:dyDescent="0.25">
      <c r="D275" s="55" t="str">
        <f>'Input - Dairy'!$D$55</f>
        <v>Feed pad</v>
      </c>
      <c r="E275" s="55" t="str">
        <f>'Input - Dairy'!$D$101</f>
        <v>Anaerobic lagoon</v>
      </c>
      <c r="F275" s="55" cm="1">
        <f t="array" ref="F275">MMS_Dairy_N2ODirect_Equations.VEERG_4_3_1_3__1_TotalAnnualDirectNitrousOxideEmissionsFromMMS(F240,$E263,$G$257)</f>
        <v>0</v>
      </c>
      <c r="G275" s="55" cm="1">
        <f t="array" ref="G275">MMS_Dairy_N2ODirect_Equations.VEERG_4_3_1_3__1_TotalAnnualDirectNitrousOxideEmissionsFromMMS(G240,$E263,$G$257)</f>
        <v>0</v>
      </c>
      <c r="H275" s="55" cm="1">
        <f t="array" ref="H275">MMS_Dairy_N2ODirect_Equations.VEERG_4_3_1_3__1_TotalAnnualDirectNitrousOxideEmissionsFromMMS(H240,$E263,$G$257)</f>
        <v>0</v>
      </c>
      <c r="I275" s="55" cm="1">
        <f t="array" ref="I275">MMS_Dairy_N2ODirect_Equations.VEERG_4_3_1_3__1_TotalAnnualDirectNitrousOxideEmissionsFromMMS(I240,$E263,$G$257)</f>
        <v>0</v>
      </c>
      <c r="J275" s="55" cm="1">
        <f t="array" ref="J275">MMS_Dairy_N2ODirect_Equations.VEERG_4_3_1_3__1_TotalAnnualDirectNitrousOxideEmissionsFromMMS(J240,$E263,$G$257)</f>
        <v>0</v>
      </c>
      <c r="N275" s="55" t="str">
        <f>'Input - Dairy'!$D$55</f>
        <v>Feed pad</v>
      </c>
      <c r="O275" s="55" t="str">
        <f>'Input - Dairy'!$D$101</f>
        <v>Anaerobic lagoon</v>
      </c>
      <c r="P275" s="55" cm="1">
        <f t="array" ref="P275">MMS_Dairy_N2ODirect_Equations.VEERG_4_3_1_3__1_TotalAnnualDirectNitrousOxideEmissionsFromMMS(P240,$E263,$G$257)</f>
        <v>0</v>
      </c>
      <c r="Q275" s="55" cm="1">
        <f t="array" ref="Q275">MMS_Dairy_N2ODirect_Equations.VEERG_4_3_1_3__1_TotalAnnualDirectNitrousOxideEmissionsFromMMS(Q240,$E263,$G$257)</f>
        <v>0</v>
      </c>
      <c r="R275" s="55" cm="1">
        <f t="array" ref="R275">MMS_Dairy_N2ODirect_Equations.VEERG_4_3_1_3__1_TotalAnnualDirectNitrousOxideEmissionsFromMMS(R240,$E263,$G$257)</f>
        <v>0</v>
      </c>
      <c r="S275" s="55" cm="1">
        <f t="array" ref="S275">MMS_Dairy_N2ODirect_Equations.VEERG_4_3_1_3__1_TotalAnnualDirectNitrousOxideEmissionsFromMMS(S240,$E263,$G$257)</f>
        <v>0</v>
      </c>
      <c r="T275" s="55" cm="1">
        <f t="array" ref="T275">MMS_Dairy_N2ODirect_Equations.VEERG_4_3_1_3__1_TotalAnnualDirectNitrousOxideEmissionsFromMMS(T240,$E263,$G$257)</f>
        <v>0</v>
      </c>
    </row>
    <row r="276" spans="4:20" ht="20.100000000000001" customHeight="1" x14ac:dyDescent="0.25">
      <c r="D276" s="55" t="str">
        <f>'Input - Dairy'!$D$55</f>
        <v>Feed pad</v>
      </c>
      <c r="E276" s="55" t="str">
        <f>'Input - Dairy'!$D$106</f>
        <v>Sump and dispersal system</v>
      </c>
      <c r="F276" s="55" cm="1">
        <f t="array" ref="F276">MMS_Dairy_N2ODirect_Equations.VEERG_4_3_1_3__1_TotalAnnualDirectNitrousOxideEmissionsFromMMS(F241,$E264,$G$257)</f>
        <v>0</v>
      </c>
      <c r="G276" s="55" cm="1">
        <f t="array" ref="G276">MMS_Dairy_N2ODirect_Equations.VEERG_4_3_1_3__1_TotalAnnualDirectNitrousOxideEmissionsFromMMS(G241,$E264,$G$257)</f>
        <v>0</v>
      </c>
      <c r="H276" s="55" cm="1">
        <f t="array" ref="H276">MMS_Dairy_N2ODirect_Equations.VEERG_4_3_1_3__1_TotalAnnualDirectNitrousOxideEmissionsFromMMS(H241,$E264,$G$257)</f>
        <v>0</v>
      </c>
      <c r="I276" s="55" cm="1">
        <f t="array" ref="I276">MMS_Dairy_N2ODirect_Equations.VEERG_4_3_1_3__1_TotalAnnualDirectNitrousOxideEmissionsFromMMS(I241,$E264,$G$257)</f>
        <v>0</v>
      </c>
      <c r="J276" s="55" cm="1">
        <f t="array" ref="J276">MMS_Dairy_N2ODirect_Equations.VEERG_4_3_1_3__1_TotalAnnualDirectNitrousOxideEmissionsFromMMS(J241,$E264,$G$257)</f>
        <v>0</v>
      </c>
      <c r="N276" s="55" t="str">
        <f>'Input - Dairy'!$D$55</f>
        <v>Feed pad</v>
      </c>
      <c r="O276" s="55" t="str">
        <f>'Input - Dairy'!$D$106</f>
        <v>Sump and dispersal system</v>
      </c>
      <c r="P276" s="55" cm="1">
        <f t="array" ref="P276">MMS_Dairy_N2ODirect_Equations.VEERG_4_3_1_3__1_TotalAnnualDirectNitrousOxideEmissionsFromMMS(P241,$E264,$G$257)</f>
        <v>0</v>
      </c>
      <c r="Q276" s="55" cm="1">
        <f t="array" ref="Q276">MMS_Dairy_N2ODirect_Equations.VEERG_4_3_1_3__1_TotalAnnualDirectNitrousOxideEmissionsFromMMS(Q241,$E264,$G$257)</f>
        <v>0</v>
      </c>
      <c r="R276" s="55" cm="1">
        <f t="array" ref="R276">MMS_Dairy_N2ODirect_Equations.VEERG_4_3_1_3__1_TotalAnnualDirectNitrousOxideEmissionsFromMMS(R241,$E264,$G$257)</f>
        <v>0</v>
      </c>
      <c r="S276" s="55" cm="1">
        <f t="array" ref="S276">MMS_Dairy_N2ODirect_Equations.VEERG_4_3_1_3__1_TotalAnnualDirectNitrousOxideEmissionsFromMMS(S241,$E264,$G$257)</f>
        <v>0</v>
      </c>
      <c r="T276" s="55" cm="1">
        <f t="array" ref="T276">MMS_Dairy_N2ODirect_Equations.VEERG_4_3_1_3__1_TotalAnnualDirectNitrousOxideEmissionsFromMMS(T241,$E264,$G$257)</f>
        <v>0</v>
      </c>
    </row>
    <row r="277" spans="4:20" ht="20.100000000000001" customHeight="1" x14ac:dyDescent="0.25">
      <c r="D277" s="55" t="str">
        <f>'Input - Dairy'!$D$55</f>
        <v>Feed pad</v>
      </c>
      <c r="E277" s="55" t="str">
        <f>'Input - Dairy'!$D$111</f>
        <v>Drains to paddock</v>
      </c>
      <c r="F277" s="55" cm="1">
        <f t="array" ref="F277">MMS_Dairy_N2ODirect_Equations.VEERG_4_3_1_3__1_TotalAnnualDirectNitrousOxideEmissionsFromMMS(F242,$E265,$G$257)</f>
        <v>0</v>
      </c>
      <c r="G277" s="55" cm="1">
        <f t="array" ref="G277">MMS_Dairy_N2ODirect_Equations.VEERG_4_3_1_3__1_TotalAnnualDirectNitrousOxideEmissionsFromMMS(G242,$E265,$G$257)</f>
        <v>0</v>
      </c>
      <c r="H277" s="55" cm="1">
        <f t="array" ref="H277">MMS_Dairy_N2ODirect_Equations.VEERG_4_3_1_3__1_TotalAnnualDirectNitrousOxideEmissionsFromMMS(H242,$E265,$G$257)</f>
        <v>0</v>
      </c>
      <c r="I277" s="55" cm="1">
        <f t="array" ref="I277">MMS_Dairy_N2ODirect_Equations.VEERG_4_3_1_3__1_TotalAnnualDirectNitrousOxideEmissionsFromMMS(I242,$E265,$G$257)</f>
        <v>0</v>
      </c>
      <c r="J277" s="55" cm="1">
        <f t="array" ref="J277">MMS_Dairy_N2ODirect_Equations.VEERG_4_3_1_3__1_TotalAnnualDirectNitrousOxideEmissionsFromMMS(J242,$E265,$G$257)</f>
        <v>0</v>
      </c>
      <c r="N277" s="55" t="str">
        <f>'Input - Dairy'!$D$55</f>
        <v>Feed pad</v>
      </c>
      <c r="O277" s="55" t="str">
        <f>'Input - Dairy'!$D$111</f>
        <v>Drains to paddock</v>
      </c>
      <c r="P277" s="55" cm="1">
        <f t="array" ref="P277">MMS_Dairy_N2ODirect_Equations.VEERG_4_3_1_3__1_TotalAnnualDirectNitrousOxideEmissionsFromMMS(P242,$E265,$G$257)</f>
        <v>0</v>
      </c>
      <c r="Q277" s="55" cm="1">
        <f t="array" ref="Q277">MMS_Dairy_N2ODirect_Equations.VEERG_4_3_1_3__1_TotalAnnualDirectNitrousOxideEmissionsFromMMS(Q242,$E265,$G$257)</f>
        <v>0</v>
      </c>
      <c r="R277" s="55" cm="1">
        <f t="array" ref="R277">MMS_Dairy_N2ODirect_Equations.VEERG_4_3_1_3__1_TotalAnnualDirectNitrousOxideEmissionsFromMMS(R242,$E265,$G$257)</f>
        <v>0</v>
      </c>
      <c r="S277" s="55" cm="1">
        <f t="array" ref="S277">MMS_Dairy_N2ODirect_Equations.VEERG_4_3_1_3__1_TotalAnnualDirectNitrousOxideEmissionsFromMMS(S242,$E265,$G$257)</f>
        <v>0</v>
      </c>
      <c r="T277" s="55" cm="1">
        <f t="array" ref="T277">MMS_Dairy_N2ODirect_Equations.VEERG_4_3_1_3__1_TotalAnnualDirectNitrousOxideEmissionsFromMMS(T242,$E265,$G$257)</f>
        <v>0</v>
      </c>
    </row>
    <row r="278" spans="4:20" ht="20.100000000000001" customHeight="1" x14ac:dyDescent="0.25">
      <c r="D278" s="55" t="str">
        <f>'Input - Dairy'!$D$55</f>
        <v>Feed pad</v>
      </c>
      <c r="E278" s="55" t="str">
        <f>'Input - Dairy'!$D$116</f>
        <v>Solid storage</v>
      </c>
      <c r="F278" s="55" cm="1">
        <f t="array" ref="F278">MMS_Dairy_N2ODirect_Equations.VEERG_4_3_1_3__1_TotalAnnualDirectNitrousOxideEmissionsFromMMS(F243,$E266,$G$257)</f>
        <v>9.4450419249635324E-3</v>
      </c>
      <c r="G278" s="55" cm="1">
        <f t="array" ref="G278">MMS_Dairy_N2ODirect_Equations.VEERG_4_3_1_3__1_TotalAnnualDirectNitrousOxideEmissionsFromMMS(G243,$E266,$G$257)</f>
        <v>8.1149266691630251E-3</v>
      </c>
      <c r="H278" s="55" cm="1">
        <f t="array" ref="H278">MMS_Dairy_N2ODirect_Equations.VEERG_4_3_1_3__1_TotalAnnualDirectNitrousOxideEmissionsFromMMS(H243,$E266,$G$257)</f>
        <v>3.2320894735110321E-3</v>
      </c>
      <c r="I278" s="55" cm="1">
        <f t="array" ref="I278">MMS_Dairy_N2ODirect_Equations.VEERG_4_3_1_3__1_TotalAnnualDirectNitrousOxideEmissionsFromMMS(I243,$E266,$G$257)</f>
        <v>1.0200783760424144E-2</v>
      </c>
      <c r="J278" s="55" cm="1">
        <f t="array" ref="J278">MMS_Dairy_N2ODirect_Equations.VEERG_4_3_1_3__1_TotalAnnualDirectNitrousOxideEmissionsFromMMS(J243,$E266,$G$257)</f>
        <v>4.2703471400179658E-3</v>
      </c>
      <c r="N278" s="55" t="str">
        <f>'Input - Dairy'!$D$55</f>
        <v>Feed pad</v>
      </c>
      <c r="O278" s="55" t="str">
        <f>'Input - Dairy'!$D$116</f>
        <v>Solid storage</v>
      </c>
      <c r="P278" s="55" cm="1">
        <f t="array" ref="P278">MMS_Dairy_N2ODirect_Equations.VEERG_4_3_1_3__1_TotalAnnualDirectNitrousOxideEmissionsFromMMS(P243,$E266,$G$257)</f>
        <v>9.4450419249635324E-3</v>
      </c>
      <c r="Q278" s="55" cm="1">
        <f t="array" ref="Q278">MMS_Dairy_N2ODirect_Equations.VEERG_4_3_1_3__1_TotalAnnualDirectNitrousOxideEmissionsFromMMS(Q243,$E266,$G$257)</f>
        <v>8.1149266691630251E-3</v>
      </c>
      <c r="R278" s="55" cm="1">
        <f t="array" ref="R278">MMS_Dairy_N2ODirect_Equations.VEERG_4_3_1_3__1_TotalAnnualDirectNitrousOxideEmissionsFromMMS(R243,$E266,$G$257)</f>
        <v>3.2320894735110321E-3</v>
      </c>
      <c r="S278" s="55" cm="1">
        <f t="array" ref="S278">MMS_Dairy_N2ODirect_Equations.VEERG_4_3_1_3__1_TotalAnnualDirectNitrousOxideEmissionsFromMMS(S243,$E266,$G$257)</f>
        <v>1.0200783760424144E-2</v>
      </c>
      <c r="T278" s="55" cm="1">
        <f t="array" ref="T278">MMS_Dairy_N2ODirect_Equations.VEERG_4_3_1_3__1_TotalAnnualDirectNitrousOxideEmissionsFromMMS(T243,$E266,$G$257)</f>
        <v>4.2703471400179658E-3</v>
      </c>
    </row>
    <row r="279" spans="4:20" ht="20.100000000000001" customHeight="1" x14ac:dyDescent="0.25"/>
    <row r="280" spans="4:20" ht="20.100000000000001" customHeight="1" x14ac:dyDescent="0.25">
      <c r="D280" s="108" t="s">
        <v>126</v>
      </c>
      <c r="E280" s="109">
        <f>SUM(E275:G278)</f>
        <v>1.7559968594126556E-2</v>
      </c>
      <c r="F280" s="110" t="str">
        <f>$E$253</f>
        <v>t N2O</v>
      </c>
      <c r="N280" s="108" t="s">
        <v>126</v>
      </c>
      <c r="O280" s="109">
        <f>SUM(O275:Q278)</f>
        <v>1.7559968594126556E-2</v>
      </c>
      <c r="P280" s="110" t="str">
        <f>$E$253</f>
        <v>t N2O</v>
      </c>
    </row>
    <row r="281" spans="4:20" ht="20.100000000000001" customHeight="1" x14ac:dyDescent="0.25"/>
    <row r="282" spans="4:20" ht="20.100000000000001" customHeight="1" x14ac:dyDescent="0.25">
      <c r="D282" s="60" t="str" cm="1">
        <f t="array" ref="D282:E283">Common_Equations.Common_ConvertN2OToCO2e_Arguments()</f>
        <v>EN2O</v>
      </c>
      <c r="E282" s="61" t="str">
        <v>Nitrous oxide emissions (t N2O)</v>
      </c>
      <c r="F282" s="111"/>
      <c r="G282" s="55">
        <f>$E$280</f>
        <v>1.7559968594126556E-2</v>
      </c>
      <c r="N282" s="60" t="str" cm="1">
        <f t="array" ref="N282:O283">Common_Equations.Common_ConvertN2OToCO2e_Arguments()</f>
        <v>EN2O</v>
      </c>
      <c r="O282" s="61" t="str">
        <v>Nitrous oxide emissions (t N2O)</v>
      </c>
      <c r="P282" s="111"/>
      <c r="Q282" s="55">
        <f>$E$280</f>
        <v>1.7559968594126556E-2</v>
      </c>
    </row>
    <row r="283" spans="4:20" ht="20.100000000000001" customHeight="1" x14ac:dyDescent="0.25">
      <c r="D283" s="60" t="str">
        <v>GWPN2O</v>
      </c>
      <c r="E283" s="61" t="str">
        <v>Global warming potential for nitrous oxide (t CO2-e / t N2O)</v>
      </c>
      <c r="F283" s="111"/>
      <c r="G283" s="55">
        <f>Common_InputFunctions.Utility_LookupValueInTableNumber("N2O",Table_GWPData[Gas],Table_GWPData[CO2-e factor])</f>
        <v>265</v>
      </c>
      <c r="N283" s="60" t="str">
        <v>GWPN2O</v>
      </c>
      <c r="O283" s="61" t="str">
        <v>Global warming potential for nitrous oxide (t CO2-e / t N2O)</v>
      </c>
      <c r="P283" s="111"/>
      <c r="Q283" s="55">
        <f>Common_InputFunctions.Utility_LookupValueInTableNumber("N2O",Table_GWPData[Gas],Table_GWPData[CO2-e factor])</f>
        <v>265</v>
      </c>
    </row>
    <row r="284" spans="4:20" ht="20.100000000000001" customHeight="1" x14ac:dyDescent="0.25"/>
    <row r="285" spans="4:20" ht="20.100000000000001" customHeight="1" x14ac:dyDescent="0.25">
      <c r="D285" s="48" t="s">
        <v>111</v>
      </c>
      <c r="E285" s="48" cm="1">
        <f t="array" ref="E285">Common_Equations.Common_ConvertN2OToCO2e(G282,G283)</f>
        <v>4.6533916774435369</v>
      </c>
      <c r="F285" s="112" t="str" cm="1">
        <f t="array" ref="F285">Common_Equations.Common_ConvertN2OToCO2e_Unit()</f>
        <v>t CO2e</v>
      </c>
      <c r="N285" s="48" t="s">
        <v>111</v>
      </c>
      <c r="O285" s="48" cm="1">
        <f t="array" ref="O285">Common_Equations.Common_ConvertN2OToCO2e(Q282,Q283)</f>
        <v>4.6533916774435369</v>
      </c>
      <c r="P285" s="112" t="str" cm="1">
        <f t="array" ref="P285">Common_Equations.Common_ConvertN2OToCO2e_Unit()</f>
        <v>t CO2e</v>
      </c>
    </row>
    <row r="286" spans="4:20" ht="20.100000000000001" customHeight="1" x14ac:dyDescent="0.25"/>
    <row r="287" spans="4:20" ht="20.100000000000001" customHeight="1" x14ac:dyDescent="0.25"/>
    <row r="288" spans="4:20"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O106:T106 F78 N83:P83 D79:E79 E101:J101 E73:F73 F106:J106 E227 E224 O227 O224 E239 E236 O239 O236 E265 E262 E274 E271 O274 O271" xr:uid="{CE18DC45-74F3-46B3-972B-5F44E5579A05}"/>
  </dataValidations>
  <pageMargins left="0.7" right="0.7" top="0.75" bottom="0.75" header="0.3" footer="0.3"/>
  <pageSetup paperSize="9" orientation="portrait" r:id="rId1"/>
  <ignoredErrors>
    <ignoredError sqref="H236:H243"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4" workbookViewId="0">
      <selection activeCell="D68" sqref="D68:G7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336</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MMS_Dairy_AtmosphericDeposition_Equations.VEERG_4_3_1_5__2_TotalNitrogenVolatilisedFromMMS_Title()</f>
        <v>Total nitrogen volatilised from MMS</v>
      </c>
      <c r="G5" s="114" t="s">
        <v>345</v>
      </c>
    </row>
    <row r="6" spans="1:23" ht="20.100000000000001" customHeight="1" x14ac:dyDescent="0.25">
      <c r="A6" s="20" t="s">
        <v>3</v>
      </c>
      <c r="D6" s="5" t="str" cm="1">
        <f t="array" ref="D6">MMS_Dairy_AtmosphericDeposition_Equations.VEERG_4_3_1_5__2_TotalNitrogenVolatilisedFromMMS_Source()</f>
        <v>VEERG 2026: 4.3.1.5, Equation (2)</v>
      </c>
    </row>
    <row r="7" spans="1:23" ht="20.100000000000001" customHeight="1" x14ac:dyDescent="0.25">
      <c r="A7" s="17" t="str">
        <f>HYPERLINK("#'Input - Site'!A1", "Site")</f>
        <v>Site</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MMS_Dairy_AtmosphericDeposition_Equations.VEERG_4_3_1_5__2_TotalNitrogenVolatilisedFromMMS_Variable()</f>
        <v>MN_ATMOS</v>
      </c>
    </row>
    <row r="11" spans="1:23" ht="20.100000000000001" customHeight="1" x14ac:dyDescent="0.25">
      <c r="A11" s="17" t="str">
        <f>HYPERLINK("#'4.3.1.1-2 Methane'!A1", "4.3.1.1-2 Methane")</f>
        <v>4.3.1.1-2 Methane</v>
      </c>
      <c r="D11" s="56" t="s">
        <v>21</v>
      </c>
      <c r="E11" s="57" t="str" cm="1">
        <f t="array" ref="E11">MMS_Dairy_AtmosphericDeposition_Equations.VEERG_4_3_1_5__2_TotalNitrogenVolatilisedFromMMS_Unit()</f>
        <v>kg N</v>
      </c>
    </row>
    <row r="12" spans="1:23" ht="20.100000000000001" customHeight="1" x14ac:dyDescent="0.25">
      <c r="A12" s="17" t="str">
        <f>HYPERLINK("#'4.3.1.3-4 Direct N20'!A1", "4.3.1.3-4 Direct N2O")</f>
        <v>4.3.1.3-4 Direct N2O</v>
      </c>
    </row>
    <row r="13" spans="1:23" ht="20.100000000000001" customHeight="1" x14ac:dyDescent="0.25">
      <c r="A13" s="22" t="str">
        <f>HYPERLINK("#'4.3.1.5 Atmos Deposition'!A1", "4.3.1.5 Atmospheric deposition")</f>
        <v>4.3.1.5 Atmospheric deposition</v>
      </c>
      <c r="D13" s="60" t="str" cm="1">
        <f t="array" ref="D13:E14">MMS_Dairy_AtmosphericDeposition_Equations.VEERG_4_3_1_5__2_TotalNitrogenVolatilisedFromMMS_Arguments()</f>
        <v>MN_jm</v>
      </c>
      <c r="E13" s="61" t="str">
        <v>total nitrogen in each MMS for dairy cattle classes (kg N)</v>
      </c>
      <c r="F13" s="62"/>
      <c r="G13" s="60" t="str">
        <f>"See " &amp; $D$16</f>
        <v>See M1_Table_MN_j_m</v>
      </c>
    </row>
    <row r="14" spans="1:23" ht="20.100000000000001" customHeight="1" x14ac:dyDescent="0.25">
      <c r="A14" s="17" t="str">
        <f>HYPERLINK("#'4.3.1.6-7 Leaching and runoff'!A1", "4.3.1.6-7 Leaching and runoff")</f>
        <v>4.3.1.6-7 Leaching and runoff</v>
      </c>
      <c r="D14" s="60" t="str">
        <v>FracGASM_m</v>
      </c>
      <c r="E14" s="61" t="str">
        <v>fraction of N volatilised from MMS (fraction)</v>
      </c>
      <c r="F14" s="62"/>
      <c r="G14" s="60" t="str">
        <f>"See " &amp; $D$28</f>
        <v>See Table_FracGASM_m</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327</v>
      </c>
      <c r="O16" s="104" t="s">
        <v>330</v>
      </c>
    </row>
    <row r="17" spans="1:22" ht="20.100000000000001" customHeight="1" x14ac:dyDescent="0.25">
      <c r="A17" s="17" t="str">
        <f>HYPERLINK("#'4.3.1.10-11 Soil Atmos Dep'!A1", "4.3.1.10-11 Soil atm. deposition")</f>
        <v>4.3.1.10-11 Soil atm. deposition</v>
      </c>
      <c r="D17" s="103" t="s">
        <v>328</v>
      </c>
      <c r="O17" s="103" t="s">
        <v>329</v>
      </c>
    </row>
    <row r="18" spans="1:22" ht="20.100000000000001" customHeight="1" x14ac:dyDescent="0.25">
      <c r="A18" s="17" t="str">
        <f>HYPERLINK("#'4.3.1.12-13 Soil leach runoff'!A1", "4.3.1.12-13 Soil leach &amp; runoff")</f>
        <v>4.3.1.12-13 Soil leach &amp; runoff</v>
      </c>
      <c r="D18" s="54" t="s">
        <v>152</v>
      </c>
      <c r="E18" s="54" t="s">
        <v>69</v>
      </c>
      <c r="F18" s="54" t="s">
        <v>178</v>
      </c>
      <c r="G18" s="54" t="s">
        <v>195</v>
      </c>
      <c r="H18" s="54" t="s">
        <v>196</v>
      </c>
      <c r="I18" s="54" t="s">
        <v>197</v>
      </c>
      <c r="J18" s="54" t="s">
        <v>198</v>
      </c>
      <c r="O18" s="54" t="s">
        <v>152</v>
      </c>
      <c r="P18" s="54" t="s">
        <v>69</v>
      </c>
      <c r="Q18" s="54" t="s">
        <v>178</v>
      </c>
      <c r="R18" s="54" t="s">
        <v>195</v>
      </c>
      <c r="S18" s="54" t="s">
        <v>196</v>
      </c>
      <c r="T18" s="54" t="s">
        <v>197</v>
      </c>
      <c r="U18" s="54" t="s">
        <v>198</v>
      </c>
    </row>
    <row r="19" spans="1:22" ht="20.100000000000001" customHeight="1" x14ac:dyDescent="0.25">
      <c r="A19" s="17"/>
      <c r="D19" s="55" t="str">
        <f>'Input - Dairy'!$D$54</f>
        <v>Milking shed</v>
      </c>
      <c r="E19" s="55" t="str">
        <f>'Input - Dairy'!$D$67</f>
        <v>Anaerobic lagoon</v>
      </c>
      <c r="F19" s="55">
        <f>'4.3.1.3-4 Direct N20'!$F$236</f>
        <v>212.24813314524795</v>
      </c>
      <c r="G19" s="55">
        <f>'4.3.1.3-4 Direct N20'!$G$236</f>
        <v>182.35790267782079</v>
      </c>
      <c r="H19" s="55">
        <f>'4.3.1.3-4 Direct N20'!$H$236</f>
        <v>72.631224123843424</v>
      </c>
      <c r="I19" s="55">
        <f>'4.3.1.3-4 Direct N20'!$I$236</f>
        <v>229.23109573986844</v>
      </c>
      <c r="J19" s="55">
        <f>'4.3.1.3-4 Direct N20'!$J$236</f>
        <v>95.962857079055411</v>
      </c>
      <c r="K19" s="2" t="s">
        <v>135</v>
      </c>
      <c r="O19" s="55" t="str">
        <f>'Input - Dairy'!$D$54</f>
        <v>Milking shed</v>
      </c>
      <c r="P19" s="55" t="str">
        <f>'Input - Dairy'!$D$67</f>
        <v>Anaerobic lagoon</v>
      </c>
      <c r="Q19" s="55">
        <f>'4.3.1.3-4 Direct N20'!$P$236</f>
        <v>212.24813314524795</v>
      </c>
      <c r="R19" s="55">
        <f>'4.3.1.3-4 Direct N20'!$Q$236</f>
        <v>182.35790267782079</v>
      </c>
      <c r="S19" s="55">
        <f>'4.3.1.3-4 Direct N20'!$R$236</f>
        <v>72.631224123843424</v>
      </c>
      <c r="T19" s="55">
        <f>'4.3.1.3-4 Direct N20'!$S$236</f>
        <v>229.23109573986844</v>
      </c>
      <c r="U19" s="55">
        <f>'4.3.1.3-4 Direct N20'!$T$236</f>
        <v>95.962857079055411</v>
      </c>
      <c r="V19" s="2" t="s">
        <v>135</v>
      </c>
    </row>
    <row r="20" spans="1:22" ht="20.100000000000001" customHeight="1" x14ac:dyDescent="0.25">
      <c r="A20" s="18" t="s">
        <v>4</v>
      </c>
      <c r="D20" s="55" t="str">
        <f>'Input - Dairy'!$D$54</f>
        <v>Milking shed</v>
      </c>
      <c r="E20" s="55" t="str">
        <f>'Input - Dairy'!$D$72</f>
        <v>Sump and dispersal system</v>
      </c>
      <c r="F20" s="55">
        <f>'4.3.1.3-4 Direct N20'!$F$237</f>
        <v>212.24813314524795</v>
      </c>
      <c r="G20" s="55">
        <f>'4.3.1.3-4 Direct N20'!$G$237</f>
        <v>182.35790267782079</v>
      </c>
      <c r="H20" s="55">
        <f>'4.3.1.3-4 Direct N20'!$H$237</f>
        <v>72.631224123843424</v>
      </c>
      <c r="I20" s="55">
        <f>'4.3.1.3-4 Direct N20'!$I$237</f>
        <v>229.23109573986844</v>
      </c>
      <c r="J20" s="55">
        <f>'4.3.1.3-4 Direct N20'!$J$237</f>
        <v>95.962857079055411</v>
      </c>
      <c r="K20" s="2" t="s">
        <v>135</v>
      </c>
      <c r="O20" s="55" t="str">
        <f>'Input - Dairy'!$D$54</f>
        <v>Milking shed</v>
      </c>
      <c r="P20" s="55" t="str">
        <f>'Input - Dairy'!$D$72</f>
        <v>Sump and dispersal system</v>
      </c>
      <c r="Q20" s="55">
        <f>'4.3.1.3-4 Direct N20'!$P$237</f>
        <v>212.24813314524795</v>
      </c>
      <c r="R20" s="55">
        <f>'4.3.1.3-4 Direct N20'!$Q$237</f>
        <v>182.35790267782079</v>
      </c>
      <c r="S20" s="55">
        <f>'4.3.1.3-4 Direct N20'!$R$237</f>
        <v>72.631224123843424</v>
      </c>
      <c r="T20" s="55">
        <f>'4.3.1.3-4 Direct N20'!$S$237</f>
        <v>229.23109573986844</v>
      </c>
      <c r="U20" s="55">
        <f>'4.3.1.3-4 Direct N20'!$T$237</f>
        <v>95.962857079055411</v>
      </c>
      <c r="V20" s="2" t="s">
        <v>135</v>
      </c>
    </row>
    <row r="21" spans="1:22" ht="20.100000000000001" customHeight="1" x14ac:dyDescent="0.25">
      <c r="A21" s="17" t="str">
        <f>HYPERLINK("#'Constants - Dairy'!A1", "Constants - Dairy")</f>
        <v>Constants - Dairy</v>
      </c>
      <c r="D21" s="55" t="str">
        <f>'Input - Dairy'!$D$54</f>
        <v>Milking shed</v>
      </c>
      <c r="E21" s="55" t="str">
        <f>'Input - Dairy'!$D$77</f>
        <v>Drains to paddock</v>
      </c>
      <c r="F21" s="55">
        <f>'4.3.1.3-4 Direct N20'!$F$238</f>
        <v>212.24813314524795</v>
      </c>
      <c r="G21" s="55">
        <f>'4.3.1.3-4 Direct N20'!$G$238</f>
        <v>182.35790267782079</v>
      </c>
      <c r="H21" s="55">
        <f>'4.3.1.3-4 Direct N20'!$H$238</f>
        <v>72.631224123843424</v>
      </c>
      <c r="I21" s="55">
        <f>'4.3.1.3-4 Direct N20'!$I$238</f>
        <v>229.23109573986844</v>
      </c>
      <c r="J21" s="55">
        <f>'4.3.1.3-4 Direct N20'!$J$238</f>
        <v>95.962857079055411</v>
      </c>
      <c r="K21" s="2" t="s">
        <v>135</v>
      </c>
      <c r="O21" s="55" t="str">
        <f>'Input - Dairy'!$D$54</f>
        <v>Milking shed</v>
      </c>
      <c r="P21" s="55" t="str">
        <f>'Input - Dairy'!$D$77</f>
        <v>Drains to paddock</v>
      </c>
      <c r="Q21" s="55">
        <f>'4.3.1.3-4 Direct N20'!$P$238</f>
        <v>212.24813314524795</v>
      </c>
      <c r="R21" s="55">
        <f>'4.3.1.3-4 Direct N20'!$Q$238</f>
        <v>182.35790267782079</v>
      </c>
      <c r="S21" s="55">
        <f>'4.3.1.3-4 Direct N20'!$R$238</f>
        <v>72.631224123843424</v>
      </c>
      <c r="T21" s="55">
        <f>'4.3.1.3-4 Direct N20'!$S$238</f>
        <v>229.23109573986844</v>
      </c>
      <c r="U21" s="55">
        <f>'4.3.1.3-4 Direct N20'!$T$238</f>
        <v>95.962857079055411</v>
      </c>
      <c r="V21" s="2" t="s">
        <v>135</v>
      </c>
    </row>
    <row r="22" spans="1:22" ht="20.100000000000001" customHeight="1" x14ac:dyDescent="0.25">
      <c r="A22" s="17" t="str">
        <f>HYPERLINK("#'Constants - Livestock'!A1", "Constants - Livestock")</f>
        <v>Constants - Livestock</v>
      </c>
      <c r="D22" s="55" t="str">
        <f>'Input - Dairy'!$D$54</f>
        <v>Milking shed</v>
      </c>
      <c r="E22" s="55" t="str">
        <f>'Input - Dairy'!$D$82</f>
        <v>Solid storage</v>
      </c>
      <c r="F22" s="55">
        <f>'4.3.1.3-4 Direct N20'!$F$239</f>
        <v>424.49626629049584</v>
      </c>
      <c r="G22" s="55">
        <f>'4.3.1.3-4 Direct N20'!$G$239</f>
        <v>364.71580535564152</v>
      </c>
      <c r="H22" s="55">
        <f>'4.3.1.3-4 Direct N20'!$H$239</f>
        <v>145.26244824768682</v>
      </c>
      <c r="I22" s="55">
        <f>'4.3.1.3-4 Direct N20'!$I$239</f>
        <v>458.46219147973682</v>
      </c>
      <c r="J22" s="55">
        <f>'4.3.1.3-4 Direct N20'!$J$239</f>
        <v>191.92571415811079</v>
      </c>
      <c r="K22" s="2" t="s">
        <v>135</v>
      </c>
      <c r="O22" s="55" t="str">
        <f>'Input - Dairy'!$D$54</f>
        <v>Milking shed</v>
      </c>
      <c r="P22" s="55" t="str">
        <f>'Input - Dairy'!$D$82</f>
        <v>Solid storage</v>
      </c>
      <c r="Q22" s="55">
        <f>'4.3.1.3-4 Direct N20'!$P$239</f>
        <v>424.49626629049584</v>
      </c>
      <c r="R22" s="55">
        <f>'4.3.1.3-4 Direct N20'!$Q$239</f>
        <v>364.71580535564152</v>
      </c>
      <c r="S22" s="55">
        <f>'4.3.1.3-4 Direct N20'!$R$239</f>
        <v>145.26244824768682</v>
      </c>
      <c r="T22" s="55">
        <f>'4.3.1.3-4 Direct N20'!$S$239</f>
        <v>458.46219147973682</v>
      </c>
      <c r="U22" s="55">
        <f>'4.3.1.3-4 Direct N20'!$T$239</f>
        <v>191.92571415811079</v>
      </c>
      <c r="V22" s="2" t="s">
        <v>135</v>
      </c>
    </row>
    <row r="23" spans="1:22" ht="20.100000000000001" customHeight="1" x14ac:dyDescent="0.25">
      <c r="A23" s="17" t="str">
        <f>HYPERLINK("#'Constants - Common'!A1", "Constants - Common")</f>
        <v>Constants - Common</v>
      </c>
      <c r="D23" s="55" t="str">
        <f>'Input - Dairy'!$D$55</f>
        <v>Feed pad</v>
      </c>
      <c r="E23" s="55" t="str">
        <f>'Input - Dairy'!$D$101</f>
        <v>Anaerobic lagoon</v>
      </c>
      <c r="F23" s="55">
        <f>'4.3.1.3-4 Direct N20'!$F$240</f>
        <v>858.64017499668478</v>
      </c>
      <c r="G23" s="55">
        <f>'4.3.1.3-4 Direct N20'!$G$240</f>
        <v>737.72060628754764</v>
      </c>
      <c r="H23" s="55">
        <f>'4.3.1.3-4 Direct N20'!$H$240</f>
        <v>293.82631577373019</v>
      </c>
      <c r="I23" s="55">
        <f>'4.3.1.3-4 Direct N20'!$I$240</f>
        <v>927.34397822037681</v>
      </c>
      <c r="J23" s="55">
        <f>'4.3.1.3-4 Direct N20'!$J$240</f>
        <v>388.21337636526954</v>
      </c>
      <c r="K23" s="2" t="s">
        <v>135</v>
      </c>
      <c r="O23" s="55" t="str">
        <f>'Input - Dairy'!$D$55</f>
        <v>Feed pad</v>
      </c>
      <c r="P23" s="55" t="str">
        <f>'Input - Dairy'!$D$101</f>
        <v>Anaerobic lagoon</v>
      </c>
      <c r="Q23" s="55">
        <f>'4.3.1.3-4 Direct N20'!$P$240</f>
        <v>858.64017499668478</v>
      </c>
      <c r="R23" s="55">
        <f>'4.3.1.3-4 Direct N20'!$Q$240</f>
        <v>737.72060628754764</v>
      </c>
      <c r="S23" s="55">
        <f>'4.3.1.3-4 Direct N20'!$R$240</f>
        <v>293.82631577373019</v>
      </c>
      <c r="T23" s="55">
        <f>'4.3.1.3-4 Direct N20'!$S$240</f>
        <v>927.34397822037681</v>
      </c>
      <c r="U23" s="55">
        <f>'4.3.1.3-4 Direct N20'!$T$240</f>
        <v>388.21337636526954</v>
      </c>
      <c r="V23" s="2" t="s">
        <v>135</v>
      </c>
    </row>
    <row r="24" spans="1:22" ht="20.100000000000001" customHeight="1" x14ac:dyDescent="0.25">
      <c r="A24" s="17" t="str">
        <f>HYPERLINK("#'Acknowledgements'!A1", "Acknowledgements")</f>
        <v>Acknowledgements</v>
      </c>
      <c r="D24" s="55" t="str">
        <f>'Input - Dairy'!$D$55</f>
        <v>Feed pad</v>
      </c>
      <c r="E24" s="55" t="str">
        <f>'Input - Dairy'!$D$106</f>
        <v>Sump and dispersal system</v>
      </c>
      <c r="F24" s="55">
        <f>'4.3.1.3-4 Direct N20'!$F$241</f>
        <v>686.91213999734782</v>
      </c>
      <c r="G24" s="55">
        <f>'4.3.1.3-4 Direct N20'!$G$241</f>
        <v>590.17648503003818</v>
      </c>
      <c r="H24" s="55">
        <f>'4.3.1.3-4 Direct N20'!$H$241</f>
        <v>235.06105261898415</v>
      </c>
      <c r="I24" s="55">
        <f>'4.3.1.3-4 Direct N20'!$I$241</f>
        <v>741.87518257630143</v>
      </c>
      <c r="J24" s="55">
        <f>'4.3.1.3-4 Direct N20'!$J$241</f>
        <v>310.57070109221564</v>
      </c>
      <c r="K24" s="2" t="s">
        <v>135</v>
      </c>
      <c r="O24" s="55" t="str">
        <f>'Input - Dairy'!$D$55</f>
        <v>Feed pad</v>
      </c>
      <c r="P24" s="55" t="str">
        <f>'Input - Dairy'!$D$106</f>
        <v>Sump and dispersal system</v>
      </c>
      <c r="Q24" s="55">
        <f>'4.3.1.3-4 Direct N20'!$P$241</f>
        <v>686.91213999734782</v>
      </c>
      <c r="R24" s="55">
        <f>'4.3.1.3-4 Direct N20'!$Q$241</f>
        <v>590.17648503003818</v>
      </c>
      <c r="S24" s="55">
        <f>'4.3.1.3-4 Direct N20'!$R$241</f>
        <v>235.06105261898415</v>
      </c>
      <c r="T24" s="55">
        <f>'4.3.1.3-4 Direct N20'!$S$241</f>
        <v>741.87518257630143</v>
      </c>
      <c r="U24" s="55">
        <f>'4.3.1.3-4 Direct N20'!$T$241</f>
        <v>310.57070109221564</v>
      </c>
      <c r="V24" s="2" t="s">
        <v>135</v>
      </c>
    </row>
    <row r="25" spans="1:22" ht="20.100000000000001" customHeight="1" x14ac:dyDescent="0.25">
      <c r="D25" s="55" t="str">
        <f>'Input - Dairy'!$D$55</f>
        <v>Feed pad</v>
      </c>
      <c r="E25" s="55" t="str">
        <f>'Input - Dairy'!$D$111</f>
        <v>Drains to paddock</v>
      </c>
      <c r="F25" s="55">
        <f>'4.3.1.3-4 Direct N20'!$F$242</f>
        <v>686.91213999734782</v>
      </c>
      <c r="G25" s="55">
        <f>'4.3.1.3-4 Direct N20'!$G$242</f>
        <v>590.17648503003818</v>
      </c>
      <c r="H25" s="55">
        <f>'4.3.1.3-4 Direct N20'!$H$242</f>
        <v>235.06105261898415</v>
      </c>
      <c r="I25" s="55">
        <f>'4.3.1.3-4 Direct N20'!$I$242</f>
        <v>741.87518257630143</v>
      </c>
      <c r="J25" s="55">
        <f>'4.3.1.3-4 Direct N20'!$J$242</f>
        <v>310.57070109221564</v>
      </c>
      <c r="K25" s="2" t="s">
        <v>135</v>
      </c>
      <c r="O25" s="55" t="str">
        <f>'Input - Dairy'!$D$55</f>
        <v>Feed pad</v>
      </c>
      <c r="P25" s="55" t="str">
        <f>'Input - Dairy'!$D$111</f>
        <v>Drains to paddock</v>
      </c>
      <c r="Q25" s="55">
        <f>'4.3.1.3-4 Direct N20'!$P$242</f>
        <v>686.91213999734782</v>
      </c>
      <c r="R25" s="55">
        <f>'4.3.1.3-4 Direct N20'!$Q$242</f>
        <v>590.17648503003818</v>
      </c>
      <c r="S25" s="55">
        <f>'4.3.1.3-4 Direct N20'!$R$242</f>
        <v>235.06105261898415</v>
      </c>
      <c r="T25" s="55">
        <f>'4.3.1.3-4 Direct N20'!$S$242</f>
        <v>741.87518257630143</v>
      </c>
      <c r="U25" s="55">
        <f>'4.3.1.3-4 Direct N20'!$T$242</f>
        <v>310.57070109221564</v>
      </c>
      <c r="V25" s="2" t="s">
        <v>135</v>
      </c>
    </row>
    <row r="26" spans="1:22" ht="20.100000000000001" customHeight="1" x14ac:dyDescent="0.25">
      <c r="D26" s="55" t="str">
        <f>'Input - Dairy'!$D$55</f>
        <v>Feed pad</v>
      </c>
      <c r="E26" s="55" t="str">
        <f>'Input - Dairy'!$D$116</f>
        <v>Solid storage</v>
      </c>
      <c r="F26" s="55">
        <f>'4.3.1.3-4 Direct N20'!$F$243</f>
        <v>1202.0962449953586</v>
      </c>
      <c r="G26" s="55">
        <f>'4.3.1.3-4 Direct N20'!$G$243</f>
        <v>1032.8088488025667</v>
      </c>
      <c r="H26" s="55">
        <f>'4.3.1.3-4 Direct N20'!$H$243</f>
        <v>411.35684208322226</v>
      </c>
      <c r="I26" s="55">
        <f>'4.3.1.3-4 Direct N20'!$I$243</f>
        <v>1298.2815695085274</v>
      </c>
      <c r="J26" s="55">
        <f>'4.3.1.3-4 Direct N20'!$J$243</f>
        <v>543.49872691137739</v>
      </c>
      <c r="K26" s="2" t="s">
        <v>135</v>
      </c>
      <c r="O26" s="55" t="str">
        <f>'Input - Dairy'!$D$55</f>
        <v>Feed pad</v>
      </c>
      <c r="P26" s="55" t="str">
        <f>'Input - Dairy'!$D$116</f>
        <v>Solid storage</v>
      </c>
      <c r="Q26" s="55">
        <f>'4.3.1.3-4 Direct N20'!$P$243</f>
        <v>1202.0962449953586</v>
      </c>
      <c r="R26" s="55">
        <f>'4.3.1.3-4 Direct N20'!$Q$243</f>
        <v>1032.8088488025667</v>
      </c>
      <c r="S26" s="55">
        <f>'4.3.1.3-4 Direct N20'!$R$243</f>
        <v>411.35684208322226</v>
      </c>
      <c r="T26" s="55">
        <f>'4.3.1.3-4 Direct N20'!$S$243</f>
        <v>1298.2815695085274</v>
      </c>
      <c r="U26" s="55">
        <f>'4.3.1.3-4 Direct N20'!$T$243</f>
        <v>543.49872691137739</v>
      </c>
      <c r="V26" s="2" t="s">
        <v>135</v>
      </c>
    </row>
    <row r="27" spans="1:22" ht="20.100000000000001" customHeight="1" x14ac:dyDescent="0.25"/>
    <row r="28" spans="1:22" ht="20.100000000000001" customHeight="1" x14ac:dyDescent="0.25">
      <c r="D28" s="104" t="s">
        <v>337</v>
      </c>
    </row>
    <row r="29" spans="1:22" ht="20.100000000000001" customHeight="1" x14ac:dyDescent="0.25">
      <c r="D29" s="103" t="s">
        <v>339</v>
      </c>
    </row>
    <row r="30" spans="1:22" ht="20.100000000000001" customHeight="1" x14ac:dyDescent="0.25">
      <c r="D30" s="54" t="s">
        <v>69</v>
      </c>
      <c r="E30" s="54" t="s">
        <v>338</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22"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340</v>
      </c>
      <c r="O37" s="104" t="s">
        <v>342</v>
      </c>
    </row>
    <row r="38" spans="4:22" ht="20.100000000000001" customHeight="1" x14ac:dyDescent="0.25">
      <c r="D38" s="103" t="s">
        <v>341</v>
      </c>
      <c r="O38" s="103" t="s">
        <v>343</v>
      </c>
    </row>
    <row r="39" spans="4:22" ht="20.100000000000001" customHeight="1" x14ac:dyDescent="0.25">
      <c r="D39" s="54" t="s">
        <v>152</v>
      </c>
      <c r="E39" s="54" t="s">
        <v>69</v>
      </c>
      <c r="F39" s="54" t="s">
        <v>178</v>
      </c>
      <c r="G39" s="54" t="s">
        <v>195</v>
      </c>
      <c r="H39" s="54" t="s">
        <v>196</v>
      </c>
      <c r="I39" s="54" t="s">
        <v>197</v>
      </c>
      <c r="J39" s="54" t="s">
        <v>198</v>
      </c>
      <c r="O39" s="54" t="s">
        <v>152</v>
      </c>
      <c r="P39" s="54" t="s">
        <v>69</v>
      </c>
      <c r="Q39" s="54" t="s">
        <v>178</v>
      </c>
      <c r="R39" s="54" t="s">
        <v>195</v>
      </c>
      <c r="S39" s="54" t="s">
        <v>196</v>
      </c>
      <c r="T39" s="54" t="s">
        <v>197</v>
      </c>
      <c r="U39" s="54" t="s">
        <v>198</v>
      </c>
    </row>
    <row r="40" spans="4:22" ht="20.100000000000001" customHeight="1" x14ac:dyDescent="0.25">
      <c r="D40" s="55" t="str">
        <f>'Input - Dairy'!$D$54</f>
        <v>Milking shed</v>
      </c>
      <c r="E40" s="55" t="str">
        <f>'Input - Dairy'!$D$67</f>
        <v>Anaerobic lagoon</v>
      </c>
      <c r="F40" s="55" cm="1">
        <f t="array" ref="F40">MMS_Dairy_AtmosphericDeposition_Equations.VEERG_4_3_1_5__2_TotalNitrogenVolatilisedFromMMS(F19,$E32)</f>
        <v>74.286846600836782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
        <v>135</v>
      </c>
      <c r="O40" s="55" t="str">
        <f>'Input - Dairy'!$D$54</f>
        <v>Milking shed</v>
      </c>
      <c r="P40" s="55" t="str">
        <f>'Input - Dairy'!$D$67</f>
        <v>Anaerobic lagoon</v>
      </c>
      <c r="Q40" s="55" cm="1">
        <f t="array" ref="Q40">MMS_Dairy_AtmosphericDeposition_Equations.VEERG_4_3_1_5__2_TotalNitrogenVolatilisedFromMMS(Q19,$E32)</f>
        <v>74.286846600836782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
        <v>135</v>
      </c>
    </row>
    <row r="41" spans="4:22" ht="20.100000000000001" customHeight="1" x14ac:dyDescent="0.25">
      <c r="D41" s="55" t="str">
        <f>'Input - Dairy'!$D$54</f>
        <v>Milking shed</v>
      </c>
      <c r="E41" s="55" t="str">
        <f>'Input - Dairy'!$D$72</f>
        <v>Sump and dispersal system</v>
      </c>
      <c r="F41" s="55" cm="1">
        <f t="array" ref="F41">MMS_Dairy_AtmosphericDeposition_Equations.VEERG_4_3_1_5__2_TotalNitrogenVolatilisedFromMMS(F20,$E33)</f>
        <v>14.857369320167358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t="s">
        <v>135</v>
      </c>
      <c r="O41" s="55" t="str">
        <f>'Input - Dairy'!$D$54</f>
        <v>Milking shed</v>
      </c>
      <c r="P41" s="55" t="str">
        <f>'Input - Dairy'!$D$72</f>
        <v>Sump and dispersal system</v>
      </c>
      <c r="Q41" s="55" cm="1">
        <f t="array" ref="Q41">MMS_Dairy_AtmosphericDeposition_Equations.VEERG_4_3_1_5__2_TotalNitrogenVolatilisedFromMMS(Q20,$E33)</f>
        <v>14.857369320167358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t="s">
        <v>135</v>
      </c>
    </row>
    <row r="42" spans="4:22" ht="20.100000000000001" customHeight="1" x14ac:dyDescent="0.25">
      <c r="D42" s="55" t="str">
        <f>'Input - Dairy'!$D$54</f>
        <v>Milking shed</v>
      </c>
      <c r="E42" s="55" t="str">
        <f>'Input - Dairy'!$D$77</f>
        <v>Drains to paddock</v>
      </c>
      <c r="F42" s="55" cm="1">
        <f t="array" ref="F42">MMS_Dairy_AtmosphericDeposition_Equations.VEERG_4_3_1_5__2_TotalNitrogenVolatilisedFromMMS(F21,$E34)</f>
        <v>42.44962662904959</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t="s">
        <v>135</v>
      </c>
      <c r="O42" s="55" t="str">
        <f>'Input - Dairy'!$D$54</f>
        <v>Milking shed</v>
      </c>
      <c r="P42" s="55" t="str">
        <f>'Input - Dairy'!$D$77</f>
        <v>Drains to paddock</v>
      </c>
      <c r="Q42" s="55" cm="1">
        <f t="array" ref="Q42">MMS_Dairy_AtmosphericDeposition_Equations.VEERG_4_3_1_5__2_TotalNitrogenVolatilisedFromMMS(Q21,$E34)</f>
        <v>42.44962662904959</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t="s">
        <v>135</v>
      </c>
    </row>
    <row r="43" spans="4:22" ht="20.100000000000001" customHeight="1" x14ac:dyDescent="0.25">
      <c r="D43" s="55" t="str">
        <f>'Input - Dairy'!$D$54</f>
        <v>Milking shed</v>
      </c>
      <c r="E43" s="55" t="str">
        <f>'Input - Dairy'!$D$82</f>
        <v>Solid storage</v>
      </c>
      <c r="F43" s="55" cm="1">
        <f t="array" ref="F43">MMS_Dairy_AtmosphericDeposition_Equations.VEERG_4_3_1_5__2_TotalNitrogenVolatilisedFromMMS(F22,$E35)</f>
        <v>127.34887988714874</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t="s">
        <v>135</v>
      </c>
      <c r="O43" s="55" t="str">
        <f>'Input - Dairy'!$D$54</f>
        <v>Milking shed</v>
      </c>
      <c r="P43" s="55" t="str">
        <f>'Input - Dairy'!$D$82</f>
        <v>Solid storage</v>
      </c>
      <c r="Q43" s="55" cm="1">
        <f t="array" ref="Q43">MMS_Dairy_AtmosphericDeposition_Equations.VEERG_4_3_1_5__2_TotalNitrogenVolatilisedFromMMS(Q22,$E35)</f>
        <v>127.34887988714874</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t="s">
        <v>135</v>
      </c>
    </row>
    <row r="44" spans="4:22" ht="20.100000000000001" customHeight="1" x14ac:dyDescent="0.25">
      <c r="D44" s="55" t="str">
        <f>'Input - Dairy'!$D$55</f>
        <v>Feed pad</v>
      </c>
      <c r="E44" s="55" t="str">
        <f>'Input - Dairy'!$D$101</f>
        <v>Anaerobic lagoon</v>
      </c>
      <c r="F44" s="55" cm="1">
        <f t="array" ref="F44">MMS_Dairy_AtmosphericDeposition_Equations.VEERG_4_3_1_5__2_TotalNitrogenVolatilisedFromMMS(F23, $E32)</f>
        <v>300.52406124883964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t="s">
        <v>135</v>
      </c>
      <c r="O44" s="55" t="str">
        <f>'Input - Dairy'!$D$55</f>
        <v>Feed pad</v>
      </c>
      <c r="P44" s="55" t="str">
        <f>'Input - Dairy'!$D$101</f>
        <v>Anaerobic lagoon</v>
      </c>
      <c r="Q44" s="55" cm="1">
        <f t="array" ref="Q44">MMS_Dairy_AtmosphericDeposition_Equations.VEERG_4_3_1_5__2_TotalNitrogenVolatilisedFromMMS(Q23, $E32)</f>
        <v>300.52406124883964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t="s">
        <v>135</v>
      </c>
    </row>
    <row r="45" spans="4:22" ht="20.100000000000001" customHeight="1" x14ac:dyDescent="0.25">
      <c r="D45" s="55" t="str">
        <f>'Input - Dairy'!$D$55</f>
        <v>Feed pad</v>
      </c>
      <c r="E45" s="55" t="str">
        <f>'Input - Dairy'!$D$106</f>
        <v>Sump and dispersal system</v>
      </c>
      <c r="F45" s="55" cm="1">
        <f t="array" ref="F45">MMS_Dairy_AtmosphericDeposition_Equations.VEERG_4_3_1_5__2_TotalNitrogenVolatilisedFromMMS(F24, $E33)</f>
        <v>48.083849799814352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t="s">
        <v>135</v>
      </c>
      <c r="O45" s="55" t="str">
        <f>'Input - Dairy'!$D$55</f>
        <v>Feed pad</v>
      </c>
      <c r="P45" s="55" t="str">
        <f>'Input - Dairy'!$D$106</f>
        <v>Sump and dispersal system</v>
      </c>
      <c r="Q45" s="55" cm="1">
        <f t="array" ref="Q45">MMS_Dairy_AtmosphericDeposition_Equations.VEERG_4_3_1_5__2_TotalNitrogenVolatilisedFromMMS(Q24, $E33)</f>
        <v>48.083849799814352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t="s">
        <v>135</v>
      </c>
    </row>
    <row r="46" spans="4:22" ht="20.100000000000001" customHeight="1" x14ac:dyDescent="0.25">
      <c r="D46" s="55" t="str">
        <f>'Input - Dairy'!$D$55</f>
        <v>Feed pad</v>
      </c>
      <c r="E46" s="55" t="str">
        <f>'Input - Dairy'!$D$111</f>
        <v>Drains to paddock</v>
      </c>
      <c r="F46" s="55" cm="1">
        <f t="array" ref="F46">MMS_Dairy_AtmosphericDeposition_Equations.VEERG_4_3_1_5__2_TotalNitrogenVolatilisedFromMMS(F25, $E34)</f>
        <v>137.38242799946957</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t="s">
        <v>135</v>
      </c>
      <c r="O46" s="55" t="str">
        <f>'Input - Dairy'!$D$55</f>
        <v>Feed pad</v>
      </c>
      <c r="P46" s="55" t="str">
        <f>'Input - Dairy'!$D$111</f>
        <v>Drains to paddock</v>
      </c>
      <c r="Q46" s="55" cm="1">
        <f t="array" ref="Q46">MMS_Dairy_AtmosphericDeposition_Equations.VEERG_4_3_1_5__2_TotalNitrogenVolatilisedFromMMS(Q25, $E34)</f>
        <v>137.38242799946957</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t="s">
        <v>135</v>
      </c>
    </row>
    <row r="47" spans="4:22" ht="20.100000000000001" customHeight="1" x14ac:dyDescent="0.25">
      <c r="D47" s="55" t="str">
        <f>'Input - Dairy'!$D$55</f>
        <v>Feed pad</v>
      </c>
      <c r="E47" s="55" t="str">
        <f>'Input - Dairy'!$D$116</f>
        <v>Solid storage</v>
      </c>
      <c r="F47" s="55" cm="1">
        <f t="array" ref="F47">MMS_Dairy_AtmosphericDeposition_Equations.VEERG_4_3_1_5__2_TotalNitrogenVolatilisedFromMMS(F26, $E35)</f>
        <v>360.62887349860756</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t="s">
        <v>135</v>
      </c>
      <c r="O47" s="55" t="str">
        <f>'Input - Dairy'!$D$55</f>
        <v>Feed pad</v>
      </c>
      <c r="P47" s="55" t="str">
        <f>'Input - Dairy'!$D$116</f>
        <v>Solid storage</v>
      </c>
      <c r="Q47" s="55" cm="1">
        <f t="array" ref="Q47">MMS_Dairy_AtmosphericDeposition_Equations.VEERG_4_3_1_5__2_TotalNitrogenVolatilisedFromMMS(Q26, $E35)</f>
        <v>360.62887349860756</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t="s">
        <v>135</v>
      </c>
    </row>
    <row r="48" spans="4:22" ht="20.100000000000001" customHeight="1" x14ac:dyDescent="0.25"/>
    <row r="49" spans="3:23" ht="20.100000000000001" customHeight="1" x14ac:dyDescent="0.25">
      <c r="D49" s="121" t="s">
        <v>402</v>
      </c>
      <c r="E49" s="48">
        <f>SUM(F40:J47)</f>
        <v>4127.6301088949185</v>
      </c>
      <c r="F49" s="112" t="str">
        <f>$E$11</f>
        <v>kg N</v>
      </c>
      <c r="O49" s="121" t="s">
        <v>402</v>
      </c>
      <c r="P49" s="48">
        <f>SUM(Q40:U47)</f>
        <v>4127.6301088949185</v>
      </c>
      <c r="Q49" s="112" t="str">
        <f>$E$11</f>
        <v>kg N</v>
      </c>
    </row>
    <row r="50" spans="3:23" ht="20.100000000000001" customHeight="1" x14ac:dyDescent="0.25">
      <c r="W50" s="48"/>
    </row>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row>
    <row r="58" spans="3:23" ht="20.100000000000001" customHeight="1" x14ac:dyDescent="0.25">
      <c r="D58" s="56" t="s">
        <v>31</v>
      </c>
      <c r="E58" s="1" t="str" cm="1">
        <f t="array" ref="E58">MMS_Dairy_AtmosphericDeposition_Equations.VEERG_4_3_1_5__1_AnnualAtmosphericDepositionEmissionsFromMMS_Variable()</f>
        <v>E_N2OMMSad</v>
      </c>
    </row>
    <row r="59" spans="3:23" ht="20.100000000000001" customHeight="1" x14ac:dyDescent="0.25">
      <c r="D59" s="56" t="s">
        <v>21</v>
      </c>
      <c r="E59" s="57"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60" t="str" cm="1">
        <f t="array" ref="D61:E66">MMS_Dairy_AtmosphericDeposition_Equations.VEERG_4_3_1_5__1_AnnualAtmosphericDepositionEmissionsFromMMS_Arguments()</f>
        <v>MN_ATMOS</v>
      </c>
      <c r="E61" s="61" t="str">
        <v>mass of N volatilised from MMS (kg N)</v>
      </c>
      <c r="F61" s="62"/>
      <c r="G61" s="60">
        <f>$E$49</f>
        <v>4127.6301088949185</v>
      </c>
      <c r="O61" s="60" t="str">
        <f>D61</f>
        <v>MN_ATMOS</v>
      </c>
      <c r="P61" s="61" t="str">
        <f>E61</f>
        <v>mass of N volatilised from MMS (kg N)</v>
      </c>
      <c r="Q61" s="62"/>
      <c r="R61" s="60">
        <f>$E$49</f>
        <v>4127.6301088949185</v>
      </c>
    </row>
    <row r="62" spans="3:23" ht="20.100000000000001" customHeight="1" x14ac:dyDescent="0.25">
      <c r="D62" s="60" t="str">
        <v>EF_N2O</v>
      </c>
      <c r="E62" s="61" t="str">
        <v>nitrous oxide emission factor for atmospheric deposition (kg N2O-N/kg N)</v>
      </c>
      <c r="F62" s="62"/>
      <c r="G62" s="60">
        <f>Common_InputFunctions.Utility_LookupN2OEFFromProdIrrigationRainfall(G64,G65,G66,Table_SourceData_Common_EFN2O[Production system only],Table_SourceData_Common_EFN2O[Irrigation method],Table_SourceData_Common_EFN2O[Rainfall zone],Table_SourceData_Common_EFN2O[EFN2O])</f>
        <v>5.8999999999999999E-3</v>
      </c>
      <c r="O62" s="60"/>
      <c r="P62" s="61"/>
      <c r="Q62" s="62"/>
      <c r="R62" s="60"/>
    </row>
    <row r="63" spans="3:23" ht="20.100000000000001" customHeight="1" x14ac:dyDescent="0.25">
      <c r="D63" s="60" t="str">
        <v>C_N2O</v>
      </c>
      <c r="E63" s="61" t="str">
        <v>factor to convert elemental mass of N2O to molecular mass</v>
      </c>
      <c r="F63" s="62"/>
      <c r="G63" s="60">
        <f>Common_InputFunctions.Utility_LookupValueInTableNumber("N2O",Table_GasToMolecularConversionFactor[Gas],Table_GasToMolecularConversionFactor[Conversion factor combined])</f>
        <v>1.5714285714285714</v>
      </c>
      <c r="O63" s="60"/>
      <c r="P63" s="61"/>
      <c r="Q63" s="62"/>
      <c r="R63" s="60"/>
    </row>
    <row r="64" spans="3:23" ht="20.100000000000001" customHeight="1" x14ac:dyDescent="0.25">
      <c r="D64" s="60" t="str">
        <v>j</v>
      </c>
      <c r="E64" s="61" t="str">
        <v>production system</v>
      </c>
      <c r="F64" s="62"/>
      <c r="G64" s="60" t="str">
        <f>'Input - Dairy'!$E$183</f>
        <v>Pasture</v>
      </c>
      <c r="O64" s="60"/>
      <c r="P64" s="61"/>
      <c r="Q64" s="62"/>
      <c r="R64" s="60"/>
    </row>
    <row r="65" spans="4:18" ht="20.100000000000001" customHeight="1" x14ac:dyDescent="0.25">
      <c r="D65" s="60" t="str">
        <v>ir</v>
      </c>
      <c r="E65" s="61" t="str">
        <v>irrigation method</v>
      </c>
      <c r="F65" s="62"/>
      <c r="G65" s="60" t="str">
        <f>'Input - Dairy'!$E$184</f>
        <v>Sprinkler irrigation</v>
      </c>
      <c r="O65" s="60"/>
      <c r="P65" s="61"/>
      <c r="Q65" s="62"/>
      <c r="R65" s="60"/>
    </row>
    <row r="66" spans="4:18" ht="20.100000000000001" customHeight="1" x14ac:dyDescent="0.25">
      <c r="D66" s="60" t="str">
        <v>r</v>
      </c>
      <c r="E66" s="61" t="str">
        <v>rainfall region</v>
      </c>
      <c r="F66" s="62"/>
      <c r="G66" s="60" t="str">
        <f>'Input - Site'!$E$30</f>
        <v>High rainfall</v>
      </c>
      <c r="O66" s="60"/>
      <c r="P66" s="61"/>
      <c r="Q66" s="62"/>
      <c r="R66" s="60"/>
    </row>
    <row r="67" spans="4:18" ht="20.100000000000001" customHeight="1" x14ac:dyDescent="0.25"/>
    <row r="68" spans="4:18" ht="20.100000000000001" customHeight="1" x14ac:dyDescent="0.25">
      <c r="D68" s="108" t="s">
        <v>344</v>
      </c>
      <c r="E68" s="109" cm="1">
        <f t="array" ref="E68">MMS_Dairy_AtmosphericDeposition_Equations.VEERG_4_3_1_5__1_AnnualAtmosphericDepositionEmissionsFromMMS($G$61,$G$62,$G$63)</f>
        <v>3.8269027723897175E-2</v>
      </c>
      <c r="F68" s="110" t="str">
        <f>$E$59</f>
        <v>t N2O</v>
      </c>
      <c r="O68" s="108" t="s">
        <v>344</v>
      </c>
      <c r="P68" s="109" cm="1">
        <f t="array" ref="P68">MMS_Dairy_AtmosphericDeposition_Equations.VEERG_4_3_1_5__1_AnnualAtmosphericDepositionEmissionsFromMMS($R$61,$G$62,$G$63)</f>
        <v>3.8269027723897175E-2</v>
      </c>
      <c r="Q68" s="110" t="str">
        <f>$E$59</f>
        <v>t N2O</v>
      </c>
    </row>
    <row r="69" spans="4:18" ht="20.100000000000001" customHeight="1" x14ac:dyDescent="0.25"/>
    <row r="70" spans="4:18" ht="20.100000000000001" customHeight="1" x14ac:dyDescent="0.25">
      <c r="D70" s="60" t="str" cm="1">
        <f t="array" ref="D70:E71">Common_Equations.Common_ConvertN2OToCO2e_Arguments()</f>
        <v>EN2O</v>
      </c>
      <c r="E70" s="61" t="str">
        <v>Nitrous oxide emissions (t N2O)</v>
      </c>
      <c r="F70" s="111"/>
      <c r="G70" s="55">
        <f>$E$68</f>
        <v>3.8269027723897175E-2</v>
      </c>
      <c r="O70" s="60" t="str" cm="1">
        <f t="array" ref="O70:P71">Common_Equations.Common_ConvertN2OToCO2e_Arguments()</f>
        <v>EN2O</v>
      </c>
      <c r="P70" s="61" t="str">
        <v>Nitrous oxide emissions (t N2O)</v>
      </c>
      <c r="Q70" s="111"/>
      <c r="R70" s="55">
        <f>P68</f>
        <v>3.8269027723897175E-2</v>
      </c>
    </row>
    <row r="71" spans="4: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4:18" ht="20.100000000000001" customHeight="1" x14ac:dyDescent="0.25"/>
    <row r="73" spans="4:18" ht="20.100000000000001" customHeight="1" x14ac:dyDescent="0.25">
      <c r="D73" s="48" t="s">
        <v>111</v>
      </c>
      <c r="E73" s="48" cm="1">
        <f t="array" ref="E73">Common_Equations.Common_ConvertN2OToCO2e(G70,G71)</f>
        <v>10.141292346832751</v>
      </c>
      <c r="F73" s="112" t="str" cm="1">
        <f t="array" ref="F73">Common_Equations.Common_ConvertN2OToCO2e_Unit()</f>
        <v>t CO2e</v>
      </c>
      <c r="O73" s="48" t="s">
        <v>111</v>
      </c>
      <c r="P73" s="48" cm="1">
        <f t="array" ref="P73">Common_Equations.Common_ConvertN2OToCO2e(R70,R71)</f>
        <v>10.141292346832751</v>
      </c>
      <c r="Q73" s="11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34 E31 E22 E19 P22 P19 E43 E40 P43 P40 E74 P74" xr:uid="{7FA3C31B-BFCF-4AA3-9A1C-D3DF345CD246}"/>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7" workbookViewId="0">
      <selection activeCell="O26" sqref="O26:V3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Dairy'!A1", "Dairy")</f>
        <v>Dairy</v>
      </c>
      <c r="G8" s="114" t="s">
        <v>345</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M1_Table_MN_j_m-4</v>
      </c>
    </row>
    <row r="14" spans="1:23" ht="20.100000000000001" customHeight="1" x14ac:dyDescent="0.25">
      <c r="A14" s="22"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347</v>
      </c>
      <c r="O20" s="104" t="s">
        <v>349</v>
      </c>
    </row>
    <row r="21" spans="1:22" ht="20.100000000000001" customHeight="1" x14ac:dyDescent="0.25">
      <c r="A21" s="17" t="str">
        <f>HYPERLINK("#'Constants - Dairy'!A1", "Constants - Dairy")</f>
        <v>Constants - Dairy</v>
      </c>
      <c r="D21" s="103" t="s">
        <v>348</v>
      </c>
      <c r="O21" s="103" t="s">
        <v>350</v>
      </c>
    </row>
    <row r="22" spans="1:22" ht="20.100000000000001" customHeight="1" x14ac:dyDescent="0.25">
      <c r="A22" s="17" t="str">
        <f>HYPERLINK("#'Constants - Livestock'!A1", "Constants - Livestock")</f>
        <v>Constants - Livestock</v>
      </c>
      <c r="D22" s="54" t="s">
        <v>152</v>
      </c>
      <c r="E22" s="54" t="s">
        <v>69</v>
      </c>
      <c r="F22" s="54" t="s">
        <v>178</v>
      </c>
      <c r="G22" s="54" t="s">
        <v>195</v>
      </c>
      <c r="H22" s="54" t="s">
        <v>196</v>
      </c>
      <c r="I22" s="54" t="s">
        <v>197</v>
      </c>
      <c r="J22" s="54" t="s">
        <v>198</v>
      </c>
      <c r="O22" s="54" t="s">
        <v>152</v>
      </c>
      <c r="P22" s="54" t="s">
        <v>69</v>
      </c>
      <c r="Q22" s="54" t="s">
        <v>178</v>
      </c>
      <c r="R22" s="54" t="s">
        <v>195</v>
      </c>
      <c r="S22" s="54" t="s">
        <v>196</v>
      </c>
      <c r="T22" s="54" t="s">
        <v>197</v>
      </c>
      <c r="U22" s="54" t="s">
        <v>198</v>
      </c>
    </row>
    <row r="23" spans="1:22" ht="20.100000000000001" customHeight="1" x14ac:dyDescent="0.25">
      <c r="A23" s="17" t="str">
        <f>HYPERLINK("#'Constants - Common'!A1", "Constants - Common")</f>
        <v>Constants - Common</v>
      </c>
      <c r="D23" s="55" t="str">
        <f>'Input - Dairy'!$D$54</f>
        <v>Milking shed</v>
      </c>
      <c r="E23" s="55" t="str">
        <f>'Input - Dairy'!$D$82</f>
        <v>Solid storage</v>
      </c>
      <c r="F23" s="55">
        <f>'4.3.1.3-4 Direct N20'!F239</f>
        <v>424.49626629049584</v>
      </c>
      <c r="G23" s="55">
        <f>'4.3.1.3-4 Direct N20'!G239</f>
        <v>364.71580535564152</v>
      </c>
      <c r="H23" s="55">
        <f>'4.3.1.3-4 Direct N20'!H239</f>
        <v>145.26244824768682</v>
      </c>
      <c r="I23" s="55">
        <f>'4.3.1.3-4 Direct N20'!I239</f>
        <v>458.46219147973682</v>
      </c>
      <c r="J23" s="55">
        <f>'4.3.1.3-4 Direct N20'!J239</f>
        <v>191.92571415811079</v>
      </c>
      <c r="K23" s="2" t="s">
        <v>135</v>
      </c>
      <c r="O23" s="55" t="str">
        <f>'Input - Dairy'!$D$54</f>
        <v>Milking shed</v>
      </c>
      <c r="P23" s="55" t="str">
        <f>'Input - Dairy'!$D$82</f>
        <v>Solid storage</v>
      </c>
      <c r="Q23" s="55">
        <f>'4.3.1.3-4 Direct N20'!P239</f>
        <v>424.49626629049584</v>
      </c>
      <c r="R23" s="55">
        <f>'4.3.1.3-4 Direct N20'!Q239</f>
        <v>364.71580535564152</v>
      </c>
      <c r="S23" s="55">
        <f>'4.3.1.3-4 Direct N20'!R239</f>
        <v>145.26244824768682</v>
      </c>
      <c r="T23" s="55">
        <f>'4.3.1.3-4 Direct N20'!S239</f>
        <v>458.46219147973682</v>
      </c>
      <c r="U23" s="55">
        <f>'4.3.1.3-4 Direct N20'!T239</f>
        <v>191.92571415811079</v>
      </c>
      <c r="V23" s="2" t="s">
        <v>135</v>
      </c>
    </row>
    <row r="24" spans="1:22" ht="20.100000000000001" customHeight="1" x14ac:dyDescent="0.25">
      <c r="A24" s="17" t="str">
        <f>HYPERLINK("#'Acknowledgements'!A1", "Acknowledgements")</f>
        <v>Acknowledgements</v>
      </c>
      <c r="D24" s="55" t="str">
        <f>'Input - Dairy'!$D$55</f>
        <v>Feed pad</v>
      </c>
      <c r="E24" s="55" t="str">
        <f>'Input - Dairy'!$D$116</f>
        <v>Solid storage</v>
      </c>
      <c r="F24" s="55">
        <f>'4.3.1.3-4 Direct N20'!F243</f>
        <v>1202.0962449953586</v>
      </c>
      <c r="G24" s="55">
        <f>'4.3.1.3-4 Direct N20'!G243</f>
        <v>1032.8088488025667</v>
      </c>
      <c r="H24" s="55">
        <f>'4.3.1.3-4 Direct N20'!H243</f>
        <v>411.35684208322226</v>
      </c>
      <c r="I24" s="55">
        <f>'4.3.1.3-4 Direct N20'!I243</f>
        <v>1298.2815695085274</v>
      </c>
      <c r="J24" s="55">
        <f>'4.3.1.3-4 Direct N20'!J243</f>
        <v>543.49872691137739</v>
      </c>
      <c r="K24" s="2" t="s">
        <v>135</v>
      </c>
      <c r="O24" s="55" t="str">
        <f>'Input - Dairy'!$D$55</f>
        <v>Feed pad</v>
      </c>
      <c r="P24" s="55" t="str">
        <f>'Input - Dairy'!$D$116</f>
        <v>Solid storage</v>
      </c>
      <c r="Q24" s="55">
        <f>'4.3.1.3-4 Direct N20'!P243</f>
        <v>1202.0962449953586</v>
      </c>
      <c r="R24" s="55">
        <f>'4.3.1.3-4 Direct N20'!Q243</f>
        <v>1032.8088488025667</v>
      </c>
      <c r="S24" s="55">
        <f>'4.3.1.3-4 Direct N20'!R243</f>
        <v>411.35684208322226</v>
      </c>
      <c r="T24" s="55">
        <f>'4.3.1.3-4 Direct N20'!S243</f>
        <v>1298.2815695085274</v>
      </c>
      <c r="U24" s="55">
        <f>'4.3.1.3-4 Direct N20'!T243</f>
        <v>543.49872691137739</v>
      </c>
      <c r="V24" s="2" t="s">
        <v>135</v>
      </c>
    </row>
    <row r="25" spans="1:22" ht="20.100000000000001" customHeight="1" x14ac:dyDescent="0.25"/>
    <row r="26" spans="1:22" ht="20.100000000000001" customHeight="1" x14ac:dyDescent="0.25">
      <c r="D26" s="104" t="s">
        <v>352</v>
      </c>
      <c r="O26" s="104" t="s">
        <v>353</v>
      </c>
    </row>
    <row r="27" spans="1:22" ht="20.100000000000001" customHeight="1" x14ac:dyDescent="0.25">
      <c r="D27" s="103" t="s">
        <v>351</v>
      </c>
      <c r="O27" s="103" t="s">
        <v>354</v>
      </c>
    </row>
    <row r="28" spans="1:22" ht="20.100000000000001" customHeight="1" x14ac:dyDescent="0.25">
      <c r="D28" s="54" t="s">
        <v>152</v>
      </c>
      <c r="E28" s="54" t="s">
        <v>69</v>
      </c>
      <c r="F28" s="54" t="s">
        <v>178</v>
      </c>
      <c r="G28" s="54" t="s">
        <v>195</v>
      </c>
      <c r="H28" s="54" t="s">
        <v>196</v>
      </c>
      <c r="I28" s="54" t="s">
        <v>197</v>
      </c>
      <c r="J28" s="54" t="s">
        <v>198</v>
      </c>
      <c r="O28" s="54" t="s">
        <v>152</v>
      </c>
      <c r="P28" s="54" t="s">
        <v>69</v>
      </c>
      <c r="Q28" s="54" t="s">
        <v>178</v>
      </c>
      <c r="R28" s="54" t="s">
        <v>195</v>
      </c>
      <c r="S28" s="54" t="s">
        <v>196</v>
      </c>
      <c r="T28" s="54" t="s">
        <v>197</v>
      </c>
      <c r="U28" s="54" t="s">
        <v>198</v>
      </c>
    </row>
    <row r="29" spans="1:22" ht="20.100000000000001" customHeight="1" x14ac:dyDescent="0.25">
      <c r="D29" s="55" t="str">
        <f>'Input - Dairy'!$D$54</f>
        <v>Milking shed</v>
      </c>
      <c r="E29" s="55" t="str">
        <f>'Input - Dairy'!$D$82</f>
        <v>Solid storage</v>
      </c>
      <c r="F29" s="55" cm="1">
        <f t="array" ref="F29">MMS_Dairy_LeachingAndRunoff_Equations.VEERG_4_3_1_6__2_MassOfNitrogenLostToLeachingAndRunoffFromSolidStorage(F23,$H$14,$H$15)</f>
        <v>8.4899253258099172</v>
      </c>
      <c r="G29" s="55" cm="1">
        <f t="array" ref="G29">MMS_Dairy_LeachingAndRunoff_Equations.VEERG_4_3_1_6__2_MassOfNitrogenLostToLeachingAndRunoffFromSolidStorage(G23,$H$14,$H$15)</f>
        <v>7.2943161071128308</v>
      </c>
      <c r="H29" s="55" cm="1">
        <f t="array" ref="H29">MMS_Dairy_LeachingAndRunoff_Equations.VEERG_4_3_1_6__2_MassOfNitrogenLostToLeachingAndRunoffFromSolidStorage(H23,$H$14,$H$15)</f>
        <v>2.9052489649537363</v>
      </c>
      <c r="I29" s="55" cm="1">
        <f t="array" ref="I29">MMS_Dairy_LeachingAndRunoff_Equations.VEERG_4_3_1_6__2_MassOfNitrogenLostToLeachingAndRunoffFromSolidStorage(I23,$H$14,$H$15)</f>
        <v>9.1692438295947358</v>
      </c>
      <c r="J29" s="55" cm="1">
        <f t="array" ref="J29">MMS_Dairy_LeachingAndRunoff_Equations.VEERG_4_3_1_6__2_MassOfNitrogenLostToLeachingAndRunoffFromSolidStorage(J23,$H$14,$H$15)</f>
        <v>3.8385142831622159</v>
      </c>
      <c r="K29" s="2" t="str">
        <f>$E$11</f>
        <v>kg N</v>
      </c>
      <c r="O29" s="55" t="str">
        <f>'Input - Dairy'!$D$54</f>
        <v>Milking shed</v>
      </c>
      <c r="P29" s="55" t="str">
        <f>'Input - Dairy'!$D$82</f>
        <v>Solid storage</v>
      </c>
      <c r="Q29" s="55" cm="1">
        <f t="array" ref="Q29">MMS_Dairy_LeachingAndRunoff_Equations.VEERG_4_3_1_6__2_MassOfNitrogenLostToLeachingAndRunoffFromSolidStorage(Q23,$H$14,$H$15)</f>
        <v>8.4899253258099172</v>
      </c>
      <c r="R29" s="55" cm="1">
        <f t="array" ref="R29">MMS_Dairy_LeachingAndRunoff_Equations.VEERG_4_3_1_6__2_MassOfNitrogenLostToLeachingAndRunoffFromSolidStorage(R23,$H$14,$H$15)</f>
        <v>7.2943161071128308</v>
      </c>
      <c r="S29" s="55" cm="1">
        <f t="array" ref="S29">MMS_Dairy_LeachingAndRunoff_Equations.VEERG_4_3_1_6__2_MassOfNitrogenLostToLeachingAndRunoffFromSolidStorage(S23,$H$14,$H$15)</f>
        <v>2.9052489649537363</v>
      </c>
      <c r="T29" s="55" cm="1">
        <f t="array" ref="T29">MMS_Dairy_LeachingAndRunoff_Equations.VEERG_4_3_1_6__2_MassOfNitrogenLostToLeachingAndRunoffFromSolidStorage(T23,$H$14,$H$15)</f>
        <v>9.1692438295947358</v>
      </c>
      <c r="U29" s="55" cm="1">
        <f t="array" ref="U29">MMS_Dairy_LeachingAndRunoff_Equations.VEERG_4_3_1_6__2_MassOfNitrogenLostToLeachingAndRunoffFromSolidStorage(U23,$H$14,$H$15)</f>
        <v>3.8385142831622159</v>
      </c>
      <c r="V29" s="2" t="str">
        <f t="shared" ref="V29:V30" si="0">$E$11</f>
        <v>kg N</v>
      </c>
    </row>
    <row r="30" spans="1:22" ht="20.100000000000001" customHeight="1" x14ac:dyDescent="0.25">
      <c r="D30" s="55" t="str">
        <f>'Input - Dairy'!$D$55</f>
        <v>Feed pad</v>
      </c>
      <c r="E30" s="55" t="str">
        <f>'Input - Dairy'!$D$116</f>
        <v>Solid storage</v>
      </c>
      <c r="F30" s="55" cm="1">
        <f t="array" ref="F30">MMS_Dairy_LeachingAndRunoff_Equations.VEERG_4_3_1_6__2_MassOfNitrogenLostToLeachingAndRunoffFromSolidStorage(F24,$H$14,$H$15)</f>
        <v>24.041924899907173</v>
      </c>
      <c r="G30" s="55" cm="1">
        <f t="array" ref="G30">MMS_Dairy_LeachingAndRunoff_Equations.VEERG_4_3_1_6__2_MassOfNitrogenLostToLeachingAndRunoffFromSolidStorage(G24,$H$14,$H$15)</f>
        <v>20.656176976051334</v>
      </c>
      <c r="H30" s="55" cm="1">
        <f t="array" ref="H30">MMS_Dairy_LeachingAndRunoff_Equations.VEERG_4_3_1_6__2_MassOfNitrogenLostToLeachingAndRunoffFromSolidStorage(H24,$H$14,$H$15)</f>
        <v>8.2271368416644446</v>
      </c>
      <c r="I30" s="55" cm="1">
        <f t="array" ref="I30">MMS_Dairy_LeachingAndRunoff_Equations.VEERG_4_3_1_6__2_MassOfNitrogenLostToLeachingAndRunoffFromSolidStorage(I24,$H$14,$H$15)</f>
        <v>25.965631390170547</v>
      </c>
      <c r="J30" s="55" cm="1">
        <f t="array" ref="J30">MMS_Dairy_LeachingAndRunoff_Equations.VEERG_4_3_1_6__2_MassOfNitrogenLostToLeachingAndRunoffFromSolidStorage(J24,$H$14,$H$15)</f>
        <v>10.869974538227549</v>
      </c>
      <c r="K30" s="2" t="str">
        <f>$E$11</f>
        <v>kg N</v>
      </c>
      <c r="O30" s="55" t="str">
        <f>'Input - Dairy'!$D$55</f>
        <v>Feed pad</v>
      </c>
      <c r="P30" s="55" t="str">
        <f>'Input - Dairy'!$D$116</f>
        <v>Solid storage</v>
      </c>
      <c r="Q30" s="55" cm="1">
        <f t="array" ref="Q30">MMS_Dairy_LeachingAndRunoff_Equations.VEERG_4_3_1_6__2_MassOfNitrogenLostToLeachingAndRunoffFromSolidStorage(Q24,$H$14,$H$15)</f>
        <v>24.041924899907173</v>
      </c>
      <c r="R30" s="55" cm="1">
        <f t="array" ref="R30">MMS_Dairy_LeachingAndRunoff_Equations.VEERG_4_3_1_6__2_MassOfNitrogenLostToLeachingAndRunoffFromSolidStorage(R24,$H$14,$H$15)</f>
        <v>20.656176976051334</v>
      </c>
      <c r="S30" s="55" cm="1">
        <f t="array" ref="S30">MMS_Dairy_LeachingAndRunoff_Equations.VEERG_4_3_1_6__2_MassOfNitrogenLostToLeachingAndRunoffFromSolidStorage(S24,$H$14,$H$15)</f>
        <v>8.2271368416644446</v>
      </c>
      <c r="T30" s="55" cm="1">
        <f t="array" ref="T30">MMS_Dairy_LeachingAndRunoff_Equations.VEERG_4_3_1_6__2_MassOfNitrogenLostToLeachingAndRunoffFromSolidStorage(T24,$H$14,$H$15)</f>
        <v>25.965631390170547</v>
      </c>
      <c r="U30" s="55" cm="1">
        <f t="array" ref="U30">MMS_Dairy_LeachingAndRunoff_Equations.VEERG_4_3_1_6__2_MassOfNitrogenLostToLeachingAndRunoffFromSolidStorage(U24,$H$14,$H$15)</f>
        <v>10.869974538227549</v>
      </c>
      <c r="V30" s="2" t="str">
        <f t="shared" si="0"/>
        <v>kg N</v>
      </c>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15" t="str" cm="1">
        <f t="array" ref="D42:E44">MMS_Dairy_LeachingAndRunoff_Equations.VEERG_4_3_1_6__1_AnnualEmissionsFromLeachingAndRunoffFromMMS_Arguments()</f>
        <v>MNLeach_jm</v>
      </c>
      <c r="E42" s="117" t="str">
        <v>mass of N lost through leaching and runoff</v>
      </c>
      <c r="F42" s="116"/>
      <c r="G42" s="115" t="str">
        <f>"See " &amp; D26</f>
        <v>See M1_Table_MN_leach_j_m-4</v>
      </c>
    </row>
    <row r="43" spans="3:23" ht="20.100000000000001" customHeight="1" x14ac:dyDescent="0.25">
      <c r="D43" s="115" t="str">
        <v>EF_leach</v>
      </c>
      <c r="E43" s="117" t="str">
        <v>nitrous oxide emission factor for leaching and runoff (kg N2O-N/kg N)</v>
      </c>
      <c r="F43" s="116"/>
      <c r="G43" s="60">
        <f>'Constants - Dairy'!$D$202</f>
        <v>1.0999999999999999E-2</v>
      </c>
    </row>
    <row r="44" spans="3:23" ht="20.100000000000001" customHeight="1" x14ac:dyDescent="0.25">
      <c r="D44" s="115" t="str">
        <v>C_N2O</v>
      </c>
      <c r="E44" s="117" t="str">
        <v>factor to convert elemental mass of N2O to molecular mass</v>
      </c>
      <c r="F44" s="116"/>
      <c r="G44" s="60">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355</v>
      </c>
      <c r="O46" s="104" t="s">
        <v>357</v>
      </c>
    </row>
    <row r="47" spans="3:23" ht="20.100000000000001" customHeight="1" x14ac:dyDescent="0.25">
      <c r="D47" s="103" t="s">
        <v>356</v>
      </c>
      <c r="O47" s="103" t="s">
        <v>358</v>
      </c>
    </row>
    <row r="48" spans="3:23" ht="20.100000000000001" customHeight="1" x14ac:dyDescent="0.25">
      <c r="D48" s="54" t="s">
        <v>152</v>
      </c>
      <c r="E48" s="54" t="s">
        <v>69</v>
      </c>
      <c r="F48" s="54" t="s">
        <v>178</v>
      </c>
      <c r="G48" s="54" t="s">
        <v>195</v>
      </c>
      <c r="H48" s="54" t="s">
        <v>196</v>
      </c>
      <c r="I48" s="54" t="s">
        <v>197</v>
      </c>
      <c r="J48" s="54" t="s">
        <v>198</v>
      </c>
      <c r="O48" s="54" t="s">
        <v>152</v>
      </c>
      <c r="P48" s="54" t="s">
        <v>69</v>
      </c>
      <c r="Q48" s="54" t="s">
        <v>178</v>
      </c>
      <c r="R48" s="54" t="s">
        <v>195</v>
      </c>
      <c r="S48" s="54" t="s">
        <v>196</v>
      </c>
      <c r="T48" s="54" t="s">
        <v>197</v>
      </c>
      <c r="U48" s="54" t="s">
        <v>198</v>
      </c>
    </row>
    <row r="49" spans="4:22" ht="20.100000000000001" customHeight="1" x14ac:dyDescent="0.25">
      <c r="D49" s="55" t="str">
        <f>'Input - Dairy'!$D$54</f>
        <v>Milking shed</v>
      </c>
      <c r="E49" s="55" t="str">
        <f>'Input - Dairy'!$D$82</f>
        <v>Solid storage</v>
      </c>
      <c r="F49" s="55" cm="1">
        <f t="array" ref="F49">MMS_Dairy_LeachingAndRunoff_Equations.VEERG_4_3_1_6__1_AnnualEmissionsFromLeachingAndRunoffFromMMS(F29,$G$43,$G$44)</f>
        <v>1.4675442348899997E-4</v>
      </c>
      <c r="G49" s="55" cm="1">
        <f t="array" ref="G49">MMS_Dairy_LeachingAndRunoff_Equations.VEERG_4_3_1_6__1_AnnualEmissionsFromLeachingAndRunoffFromMMS(G29,$G$43,$G$44)</f>
        <v>1.2608746413723606E-4</v>
      </c>
      <c r="H49" s="55" cm="1">
        <f t="array" ref="H49">MMS_Dairy_LeachingAndRunoff_Equations.VEERG_4_3_1_6__1_AnnualEmissionsFromLeachingAndRunoffFromMMS(H29,$G$43,$G$44)</f>
        <v>5.0219303537057436E-5</v>
      </c>
      <c r="I49" s="55" cm="1">
        <f t="array" ref="I49">MMS_Dairy_LeachingAndRunoff_Equations.VEERG_4_3_1_6__1_AnnualEmissionsFromLeachingAndRunoffFromMMS(I29,$G$43,$G$44)</f>
        <v>1.5849692905442329E-4</v>
      </c>
      <c r="J49" s="55" cm="1">
        <f t="array" ref="J49">MMS_Dairy_LeachingAndRunoff_Equations.VEERG_4_3_1_6__1_AnnualEmissionsFromLeachingAndRunoffFromMMS(J29,$G$43,$G$44)</f>
        <v>6.6351461180375439E-5</v>
      </c>
      <c r="K49" s="2" t="str">
        <f>$E$40</f>
        <v>t N2O</v>
      </c>
      <c r="O49" s="55" t="str">
        <f>'Input - Dairy'!$D$54</f>
        <v>Milking shed</v>
      </c>
      <c r="P49" s="55" t="str">
        <f>'Input - Dairy'!$D$82</f>
        <v>Solid storage</v>
      </c>
      <c r="Q49" s="55" cm="1">
        <f t="array" ref="Q49">MMS_Dairy_LeachingAndRunoff_Equations.VEERG_4_3_1_6__1_AnnualEmissionsFromLeachingAndRunoffFromMMS(Q29,$G$43,$G$44)</f>
        <v>1.4675442348899997E-4</v>
      </c>
      <c r="R49" s="55" cm="1">
        <f t="array" ref="R49">MMS_Dairy_LeachingAndRunoff_Equations.VEERG_4_3_1_6__1_AnnualEmissionsFromLeachingAndRunoffFromMMS(R29,$G$43,$G$44)</f>
        <v>1.2608746413723606E-4</v>
      </c>
      <c r="S49" s="55" cm="1">
        <f t="array" ref="S49">MMS_Dairy_LeachingAndRunoff_Equations.VEERG_4_3_1_6__1_AnnualEmissionsFromLeachingAndRunoffFromMMS(S29,$G$43,$G$44)</f>
        <v>5.0219303537057436E-5</v>
      </c>
      <c r="T49" s="55" cm="1">
        <f t="array" ref="T49">MMS_Dairy_LeachingAndRunoff_Equations.VEERG_4_3_1_6__1_AnnualEmissionsFromLeachingAndRunoffFromMMS(T29,$G$43,$G$44)</f>
        <v>1.5849692905442329E-4</v>
      </c>
      <c r="U49" s="55" cm="1">
        <f t="array" ref="U49">MMS_Dairy_LeachingAndRunoff_Equations.VEERG_4_3_1_6__1_AnnualEmissionsFromLeachingAndRunoffFromMMS(U29,$G$43,$G$44)</f>
        <v>6.6351461180375439E-5</v>
      </c>
      <c r="V49" s="2" t="str">
        <f>$E$40</f>
        <v>t N2O</v>
      </c>
    </row>
    <row r="50" spans="4:22" ht="20.100000000000001" customHeight="1" x14ac:dyDescent="0.25">
      <c r="D50" s="55" t="str">
        <f>'Input - Dairy'!$D$55</f>
        <v>Feed pad</v>
      </c>
      <c r="E50" s="55" t="str">
        <f>'Input - Dairy'!$D$116</f>
        <v>Solid storage</v>
      </c>
      <c r="F50" s="55" cm="1">
        <f t="array" ref="F50">MMS_Dairy_LeachingAndRunoff_Equations.VEERG_4_3_1_6__1_AnnualEmissionsFromLeachingAndRunoffFromMMS(F30,$G$43,$G$44)</f>
        <v>4.1558184469839537E-4</v>
      </c>
      <c r="G50" s="55" cm="1">
        <f t="array" ref="G50">MMS_Dairy_LeachingAndRunoff_Equations.VEERG_4_3_1_6__1_AnnualEmissionsFromLeachingAndRunoffFromMMS(G30,$G$43,$G$44)</f>
        <v>3.5705677344317308E-4</v>
      </c>
      <c r="H50" s="55" cm="1">
        <f t="array" ref="H50">MMS_Dairy_LeachingAndRunoff_Equations.VEERG_4_3_1_6__1_AnnualEmissionsFromLeachingAndRunoffFromMMS(H30,$G$43,$G$44)</f>
        <v>1.4221193683448539E-4</v>
      </c>
      <c r="I50" s="55" cm="1">
        <f t="array" ref="I50">MMS_Dairy_LeachingAndRunoff_Equations.VEERG_4_3_1_6__1_AnnualEmissionsFromLeachingAndRunoffFromMMS(I30,$G$43,$G$44)</f>
        <v>4.4883448545866232E-4</v>
      </c>
      <c r="J50" s="55" cm="1">
        <f t="array" ref="J50">MMS_Dairy_LeachingAndRunoff_Equations.VEERG_4_3_1_6__1_AnnualEmissionsFromLeachingAndRunoffFromMMS(J30,$G$43,$G$44)</f>
        <v>1.8789527416079047E-4</v>
      </c>
      <c r="K50" s="2" t="str">
        <f>$E$40</f>
        <v>t N2O</v>
      </c>
      <c r="O50" s="55" t="str">
        <f>'Input - Dairy'!$D$55</f>
        <v>Feed pad</v>
      </c>
      <c r="P50" s="55" t="str">
        <f>'Input - Dairy'!$D$116</f>
        <v>Solid storage</v>
      </c>
      <c r="Q50" s="55" cm="1">
        <f t="array" ref="Q50">MMS_Dairy_LeachingAndRunoff_Equations.VEERG_4_3_1_6__1_AnnualEmissionsFromLeachingAndRunoffFromMMS(Q30,$G$43,$G$44)</f>
        <v>4.1558184469839537E-4</v>
      </c>
      <c r="R50" s="55" cm="1">
        <f t="array" ref="R50">MMS_Dairy_LeachingAndRunoff_Equations.VEERG_4_3_1_6__1_AnnualEmissionsFromLeachingAndRunoffFromMMS(R30,$G$43,$G$44)</f>
        <v>3.5705677344317308E-4</v>
      </c>
      <c r="S50" s="55" cm="1">
        <f t="array" ref="S50">MMS_Dairy_LeachingAndRunoff_Equations.VEERG_4_3_1_6__1_AnnualEmissionsFromLeachingAndRunoffFromMMS(S30,$G$43,$G$44)</f>
        <v>1.4221193683448539E-4</v>
      </c>
      <c r="T50" s="55" cm="1">
        <f t="array" ref="T50">MMS_Dairy_LeachingAndRunoff_Equations.VEERG_4_3_1_6__1_AnnualEmissionsFromLeachingAndRunoffFromMMS(T30,$G$43,$G$44)</f>
        <v>4.4883448545866232E-4</v>
      </c>
      <c r="U50" s="55" cm="1">
        <f t="array" ref="U50">MMS_Dairy_LeachingAndRunoff_Equations.VEERG_4_3_1_6__1_AnnualEmissionsFromLeachingAndRunoffFromMMS(U30,$G$43,$G$44)</f>
        <v>1.8789527416079047E-4</v>
      </c>
      <c r="V50" s="2" t="str">
        <f>$E$40</f>
        <v>t N2O</v>
      </c>
    </row>
    <row r="51" spans="4:22" ht="20.100000000000001" customHeight="1" x14ac:dyDescent="0.25"/>
    <row r="52" spans="4:22" ht="20.100000000000001" customHeight="1" x14ac:dyDescent="0.25">
      <c r="D52" s="108" t="s">
        <v>344</v>
      </c>
      <c r="E52" s="109">
        <f>SUM(F49:J50)</f>
        <v>2.0994898959935987E-3</v>
      </c>
      <c r="F52" s="110" t="str">
        <f>$E$40</f>
        <v>t N2O</v>
      </c>
      <c r="O52" s="108" t="s">
        <v>344</v>
      </c>
      <c r="P52" s="109">
        <f>SUM(Q49:U50)</f>
        <v>2.0994898959935987E-3</v>
      </c>
      <c r="Q52" s="110" t="str">
        <f>$E$40</f>
        <v>t N2O</v>
      </c>
    </row>
    <row r="53" spans="4:22" ht="20.100000000000001" customHeight="1" x14ac:dyDescent="0.25"/>
    <row r="54" spans="4:22" ht="20.100000000000001" customHeight="1" x14ac:dyDescent="0.25">
      <c r="D54" s="60" t="str" cm="1">
        <f t="array" ref="D54:E55">Common_Equations.Common_ConvertN2OToCO2e_Arguments()</f>
        <v>EN2O</v>
      </c>
      <c r="E54" s="61" t="str">
        <v>Nitrous oxide emissions (t N2O)</v>
      </c>
      <c r="F54" s="111"/>
      <c r="G54" s="55">
        <f>E$52</f>
        <v>2.0994898959935987E-3</v>
      </c>
      <c r="O54" s="60" t="str" cm="1">
        <f t="array" ref="O54:P55">Common_Equations.Common_ConvertN2OToCO2e_Arguments()</f>
        <v>EN2O</v>
      </c>
      <c r="P54" s="61" t="str">
        <v>Nitrous oxide emissions (t N2O)</v>
      </c>
      <c r="Q54" s="111"/>
      <c r="R54" s="55">
        <f>P$52</f>
        <v>2.0994898959935987E-3</v>
      </c>
    </row>
    <row r="55" spans="4: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4:22" ht="20.100000000000001" customHeight="1" x14ac:dyDescent="0.25"/>
    <row r="57" spans="4:22" ht="20.100000000000001" customHeight="1" x14ac:dyDescent="0.25">
      <c r="D57" s="48" t="s">
        <v>111</v>
      </c>
      <c r="E57" s="48" cm="1">
        <f t="array" ref="E57">Common_Equations.Common_ConvertN2OToCO2e(G54,G55)</f>
        <v>0.55636482243830365</v>
      </c>
      <c r="F57" s="112" t="str" cm="1">
        <f t="array" ref="F57">Common_Equations.Common_ConvertN2OToCO2e_Unit()</f>
        <v>t CO2e</v>
      </c>
      <c r="O57" s="48" t="s">
        <v>111</v>
      </c>
      <c r="P57" s="48" cm="1">
        <f t="array" ref="P57">Common_Equations.Common_ConvertN2OToCO2e(R54,R55)</f>
        <v>0.55636482243830365</v>
      </c>
      <c r="Q57" s="112"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E29 P23 P29 E49 P49" xr:uid="{41AE1C4A-D10F-453D-9EBD-FABAB69A8FB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102" zoomScaleNormal="100" workbookViewId="0">
      <selection activeCell="O153" sqref="O1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3"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359</v>
      </c>
      <c r="M1" s="143"/>
    </row>
    <row r="2" spans="1:23" s="9" customFormat="1" ht="20.100000000000001" customHeight="1" x14ac:dyDescent="0.25">
      <c r="M2" s="143"/>
    </row>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20" t="s">
        <v>3</v>
      </c>
      <c r="D6" s="5" t="str" cm="1">
        <f t="array" ref="D6">MMS_Dairy_ManureAppliedToSoils_Equations.VEERG_4_3_1_8__1_MassOfNitrogenAppliedToSoilsScope1_Source()</f>
        <v>VEERG 2026: 4.3.1.8, Equation (1)</v>
      </c>
    </row>
    <row r="7" spans="1:23" ht="20.100000000000001" customHeight="1" x14ac:dyDescent="0.25">
      <c r="A7" s="17" t="str">
        <f>HYPERLINK("#'Input - Site'!A1", "Site")</f>
        <v>Site</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MMS_Dairy_ManureAppliedToSoils_Equations.VEERG_4_3_1_8__1_MassOfNitrogenAppliedToSoilsScope1_Variable()</f>
        <v>MNSoil_scope1</v>
      </c>
    </row>
    <row r="11" spans="1:23" ht="20.100000000000001" customHeight="1" x14ac:dyDescent="0.25">
      <c r="A11" s="17" t="str">
        <f>HYPERLINK("#'4.3.1.1-2 Methane'!A1", "4.3.1.1-2 Methane")</f>
        <v>4.3.1.1-2 Methane</v>
      </c>
      <c r="D11" s="56" t="s">
        <v>21</v>
      </c>
      <c r="E11" s="57" t="str" cm="1">
        <f t="array" ref="E11">MMS_Dairy_ManureAppliedToSoils_Equations.VEERG_4_3_1_8__1_MassOfNitrogenAppliedToSoilsScope1_Unit()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7">MMS_Dairy_ManureAppliedToSoils_Equations.VEERG_4_3_1_8__1_MassOfNitrogenAppliedToSoilsScope1_Arguments()</f>
        <v>MN_jm</v>
      </c>
      <c r="E13" s="117" t="str">
        <v>total nitrogen in each MMS for dairy cattle classes (kg N)</v>
      </c>
      <c r="F13" s="116"/>
      <c r="G13" s="115" t="str">
        <f>"See " &amp; D37</f>
        <v>See M1_Table_MN_j_m</v>
      </c>
    </row>
    <row r="14" spans="1:23" ht="20.100000000000001" customHeight="1" x14ac:dyDescent="0.25">
      <c r="A14" s="17" t="str">
        <f>HYPERLINK("#'4.3.1.6-7 Leaching and runoff'!A1", "4.3.1.6-7 Leaching and runoff")</f>
        <v>4.3.1.6-7 Leaching and runoff</v>
      </c>
      <c r="D14" s="115" t="str">
        <v>EF_m</v>
      </c>
      <c r="E14" s="117" t="str">
        <v>emission factor for nitrous oxide emissions per MMS (kg N2O-N/kg N)</v>
      </c>
      <c r="F14" s="116"/>
      <c r="G14" s="115" t="str">
        <f>"See " &amp; D19</f>
        <v>See Table_EF_m</v>
      </c>
    </row>
    <row r="15" spans="1:23" ht="20.100000000000001" customHeight="1" x14ac:dyDescent="0.25">
      <c r="A15" s="22" t="str">
        <f>HYPERLINK("#'4.3.1.8 Manure applied to soils'!A1", "4.3.1.8 Manure applied to soils")</f>
        <v>4.3.1.8 Manure applied to soils</v>
      </c>
      <c r="D15" s="115" t="str">
        <v>FracGASM_m</v>
      </c>
      <c r="E15" s="117" t="str">
        <v>fraction of N volatilised from MMS</v>
      </c>
      <c r="F15" s="116"/>
      <c r="G15" s="115" t="str">
        <f>"See " &amp; D28</f>
        <v>See Table_FracGASM_m</v>
      </c>
    </row>
    <row r="16" spans="1:23" ht="20.100000000000001" customHeight="1" x14ac:dyDescent="0.25">
      <c r="A16" s="17" t="str">
        <f>HYPERLINK("#'4.3.1.9 Soil direct N2O'!A1", "4.3.1.9 Soil direct N2O")</f>
        <v>4.3.1.9 Soil direct N2O</v>
      </c>
      <c r="D16" s="115" t="str">
        <v>MNLeach_jm</v>
      </c>
      <c r="E16" s="117" t="str">
        <v>mass of N lost through leaching and runoff from each MMS (kg N)</v>
      </c>
      <c r="F16" s="116"/>
      <c r="G16" s="115" t="str">
        <f>"See " &amp; D49</f>
        <v>See M1_Table_MN_leach_j_m</v>
      </c>
      <c r="H16" s="114"/>
    </row>
    <row r="17" spans="1:8" ht="20.100000000000001" customHeight="1" x14ac:dyDescent="0.25">
      <c r="A17" s="17" t="str">
        <f>HYPERLINK("#'4.3.1.10-11 Soil Atmos Dep'!A1", "4.3.1.10-11 Soil atm. deposition")</f>
        <v>4.3.1.10-11 Soil atm. deposition</v>
      </c>
      <c r="D17" s="115" t="str">
        <v>PF_scope</v>
      </c>
      <c r="E17" s="117" t="str">
        <v>fraction of manure applied to soil within farm boundary</v>
      </c>
      <c r="F17" s="116"/>
      <c r="G17" s="115" t="str">
        <f>"See " &amp; D61</f>
        <v>See Table_PF_scope</v>
      </c>
      <c r="H17" s="114" t="s">
        <v>363</v>
      </c>
    </row>
    <row r="18" spans="1:8" ht="20.100000000000001" customHeight="1" x14ac:dyDescent="0.25">
      <c r="A18" s="17" t="str">
        <f>HYPERLINK("#'4.3.1.12-13 Soil leach runoff'!A1", "4.3.1.12-13 Soil leach &amp; runoff")</f>
        <v>4.3.1.12-13 Soil leach &amp; runoff</v>
      </c>
    </row>
    <row r="19" spans="1:8" ht="20.100000000000001" customHeight="1" x14ac:dyDescent="0.25">
      <c r="A19" s="17"/>
      <c r="D19" s="104" t="s">
        <v>331</v>
      </c>
    </row>
    <row r="20" spans="1:8" ht="20.100000000000001" customHeight="1" x14ac:dyDescent="0.25">
      <c r="A20" s="18" t="s">
        <v>4</v>
      </c>
      <c r="D20" s="103" t="s">
        <v>332</v>
      </c>
    </row>
    <row r="21" spans="1:8" ht="20.100000000000001" customHeight="1" x14ac:dyDescent="0.25">
      <c r="A21" s="17" t="str">
        <f>HYPERLINK("#'Constants - Dairy'!A1", "Constants - Dairy")</f>
        <v>Constants - Dairy</v>
      </c>
      <c r="D21" s="54" t="s">
        <v>69</v>
      </c>
      <c r="E21" s="54" t="s">
        <v>333</v>
      </c>
    </row>
    <row r="22" spans="1:8" ht="20.100000000000001" customHeight="1" x14ac:dyDescent="0.25">
      <c r="A22" s="17" t="str">
        <f>HYPERLINK("#'Constants - Livestock'!A1", "Constants - Livestock")</f>
        <v>Constants - Livestock</v>
      </c>
      <c r="D22" s="55" t="str" cm="1">
        <f t="array" ref="D22:D26">Table_SourceData_Dairy_EFmFracGASM[NIR reference]</f>
        <v>Pasture range and paddock</v>
      </c>
      <c r="E22" s="55" cm="1">
        <f t="array" ref="E22:E26">Table_SourceData_Dairy_EFmFracGASM[EFm]</f>
        <v>0</v>
      </c>
    </row>
    <row r="23" spans="1:8" ht="20.100000000000001" customHeight="1" x14ac:dyDescent="0.25">
      <c r="A23" s="17" t="str">
        <f>HYPERLINK("#'Constants - Common'!A1", "Constants - Common")</f>
        <v>Constants - Common</v>
      </c>
      <c r="D23" s="55" t="str">
        <v>Anaerobic lagoon</v>
      </c>
      <c r="E23" s="55">
        <v>0</v>
      </c>
    </row>
    <row r="24" spans="1:8" ht="20.100000000000001" customHeight="1" x14ac:dyDescent="0.25">
      <c r="A24" s="17" t="str">
        <f>HYPERLINK("#'Acknowledgements'!A1", "Acknowledgements")</f>
        <v>Acknowledgements</v>
      </c>
      <c r="D24" s="55" t="str">
        <v>Sump and dispersal system</v>
      </c>
      <c r="E24" s="55">
        <v>0</v>
      </c>
    </row>
    <row r="25" spans="1:8" ht="20.100000000000001" customHeight="1" x14ac:dyDescent="0.25">
      <c r="D25" s="55" t="str">
        <v>Drains to paddock</v>
      </c>
      <c r="E25" s="55">
        <v>0</v>
      </c>
    </row>
    <row r="26" spans="1:8" ht="20.100000000000001" customHeight="1" x14ac:dyDescent="0.25">
      <c r="D26" s="55" t="str">
        <v>Solid storage</v>
      </c>
      <c r="E26" s="55">
        <v>5.0000000000000001E-3</v>
      </c>
    </row>
    <row r="27" spans="1:8" ht="20.100000000000001" customHeight="1" x14ac:dyDescent="0.25"/>
    <row r="28" spans="1:8" ht="20.100000000000001" customHeight="1" x14ac:dyDescent="0.25">
      <c r="D28" s="104" t="s">
        <v>337</v>
      </c>
    </row>
    <row r="29" spans="1:8" ht="20.100000000000001" customHeight="1" x14ac:dyDescent="0.25">
      <c r="D29" s="103" t="s">
        <v>339</v>
      </c>
    </row>
    <row r="30" spans="1:8" ht="20.100000000000001" customHeight="1" x14ac:dyDescent="0.25">
      <c r="D30" s="54" t="s">
        <v>69</v>
      </c>
      <c r="E30" s="54" t="s">
        <v>338</v>
      </c>
    </row>
    <row r="31" spans="1:8"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8"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327</v>
      </c>
      <c r="M37"/>
      <c r="O37" s="104" t="s">
        <v>330</v>
      </c>
    </row>
    <row r="38" spans="4:22" ht="20.100000000000001" customHeight="1" x14ac:dyDescent="0.25">
      <c r="D38" s="103" t="s">
        <v>328</v>
      </c>
      <c r="M38"/>
      <c r="O38" s="103" t="s">
        <v>329</v>
      </c>
    </row>
    <row r="39" spans="4:22" ht="20.100000000000001" customHeight="1" x14ac:dyDescent="0.25">
      <c r="D39" s="54" t="s">
        <v>152</v>
      </c>
      <c r="E39" s="54" t="s">
        <v>69</v>
      </c>
      <c r="F39" s="54" t="s">
        <v>178</v>
      </c>
      <c r="G39" s="54" t="s">
        <v>195</v>
      </c>
      <c r="H39" s="54" t="s">
        <v>196</v>
      </c>
      <c r="I39" s="54" t="s">
        <v>197</v>
      </c>
      <c r="J39" s="54" t="s">
        <v>198</v>
      </c>
      <c r="M39"/>
      <c r="O39" s="54" t="s">
        <v>152</v>
      </c>
      <c r="P39" s="54" t="s">
        <v>69</v>
      </c>
      <c r="Q39" s="54" t="s">
        <v>178</v>
      </c>
      <c r="R39" s="54" t="s">
        <v>195</v>
      </c>
      <c r="S39" s="54" t="s">
        <v>196</v>
      </c>
      <c r="T39" s="54" t="s">
        <v>197</v>
      </c>
      <c r="U39" s="54" t="s">
        <v>198</v>
      </c>
    </row>
    <row r="40" spans="4:22" ht="20.100000000000001" customHeight="1" x14ac:dyDescent="0.25">
      <c r="D40" s="55" t="str">
        <f>'Input - Dairy'!$D$54</f>
        <v>Milking shed</v>
      </c>
      <c r="E40" s="55" t="str">
        <f>'Input - Dairy'!$D$67</f>
        <v>Anaerobic lagoon</v>
      </c>
      <c r="F40" s="55">
        <f>'4.3.1.3-4 Direct N20'!F236</f>
        <v>212.24813314524795</v>
      </c>
      <c r="G40" s="55">
        <f>'4.3.1.3-4 Direct N20'!G236</f>
        <v>182.35790267782079</v>
      </c>
      <c r="H40" s="55">
        <f>'4.3.1.3-4 Direct N20'!H236</f>
        <v>72.631224123843424</v>
      </c>
      <c r="I40" s="55">
        <f>'4.3.1.3-4 Direct N20'!I236</f>
        <v>229.23109573986844</v>
      </c>
      <c r="J40" s="55">
        <f>'4.3.1.3-4 Direct N20'!J236</f>
        <v>95.962857079055411</v>
      </c>
      <c r="K40" s="2" t="s">
        <v>135</v>
      </c>
      <c r="M40"/>
      <c r="O40" s="55" t="str">
        <f>'Input - Dairy'!$D$54</f>
        <v>Milking shed</v>
      </c>
      <c r="P40" s="55" t="str">
        <f>'Input - Dairy'!$D$67</f>
        <v>Anaerobic lagoon</v>
      </c>
      <c r="Q40" s="55">
        <f>'4.3.1.3-4 Direct N20'!P236</f>
        <v>212.24813314524795</v>
      </c>
      <c r="R40" s="55">
        <f>'4.3.1.3-4 Direct N20'!Q236</f>
        <v>182.35790267782079</v>
      </c>
      <c r="S40" s="55">
        <f>'4.3.1.3-4 Direct N20'!R236</f>
        <v>72.631224123843424</v>
      </c>
      <c r="T40" s="55">
        <f>'4.3.1.3-4 Direct N20'!S236</f>
        <v>229.23109573986844</v>
      </c>
      <c r="U40" s="55">
        <f>'4.3.1.3-4 Direct N20'!T236</f>
        <v>95.962857079055411</v>
      </c>
      <c r="V40" s="2" t="s">
        <v>135</v>
      </c>
    </row>
    <row r="41" spans="4:22" ht="20.100000000000001" customHeight="1" x14ac:dyDescent="0.25">
      <c r="D41" s="55" t="str">
        <f>'Input - Dairy'!$D$54</f>
        <v>Milking shed</v>
      </c>
      <c r="E41" s="55" t="str">
        <f>'Input - Dairy'!$D$72</f>
        <v>Sump and dispersal system</v>
      </c>
      <c r="F41" s="55">
        <f>'4.3.1.3-4 Direct N20'!F237</f>
        <v>212.24813314524795</v>
      </c>
      <c r="G41" s="55">
        <f>'4.3.1.3-4 Direct N20'!G237</f>
        <v>182.35790267782079</v>
      </c>
      <c r="H41" s="55">
        <f>'4.3.1.3-4 Direct N20'!H237</f>
        <v>72.631224123843424</v>
      </c>
      <c r="I41" s="55">
        <f>'4.3.1.3-4 Direct N20'!I237</f>
        <v>229.23109573986844</v>
      </c>
      <c r="J41" s="55">
        <f>'4.3.1.3-4 Direct N20'!J237</f>
        <v>95.962857079055411</v>
      </c>
      <c r="K41" s="2" t="s">
        <v>135</v>
      </c>
      <c r="M41"/>
      <c r="O41" s="55" t="str">
        <f>'Input - Dairy'!$D$54</f>
        <v>Milking shed</v>
      </c>
      <c r="P41" s="55" t="str">
        <f>'Input - Dairy'!$D$72</f>
        <v>Sump and dispersal system</v>
      </c>
      <c r="Q41" s="55">
        <f>'4.3.1.3-4 Direct N20'!P237</f>
        <v>212.24813314524795</v>
      </c>
      <c r="R41" s="55">
        <f>'4.3.1.3-4 Direct N20'!Q237</f>
        <v>182.35790267782079</v>
      </c>
      <c r="S41" s="55">
        <f>'4.3.1.3-4 Direct N20'!R237</f>
        <v>72.631224123843424</v>
      </c>
      <c r="T41" s="55">
        <f>'4.3.1.3-4 Direct N20'!S237</f>
        <v>229.23109573986844</v>
      </c>
      <c r="U41" s="55">
        <f>'4.3.1.3-4 Direct N20'!T237</f>
        <v>95.962857079055411</v>
      </c>
      <c r="V41" s="2" t="s">
        <v>135</v>
      </c>
    </row>
    <row r="42" spans="4:22" ht="20.100000000000001" customHeight="1" x14ac:dyDescent="0.25">
      <c r="D42" s="55" t="str">
        <f>'Input - Dairy'!$D$54</f>
        <v>Milking shed</v>
      </c>
      <c r="E42" s="55" t="str">
        <f>'Input - Dairy'!$D$77</f>
        <v>Drains to paddock</v>
      </c>
      <c r="F42" s="55">
        <f>'4.3.1.3-4 Direct N20'!F238</f>
        <v>212.24813314524795</v>
      </c>
      <c r="G42" s="55">
        <f>'4.3.1.3-4 Direct N20'!G238</f>
        <v>182.35790267782079</v>
      </c>
      <c r="H42" s="55">
        <f>'4.3.1.3-4 Direct N20'!H238</f>
        <v>72.631224123843424</v>
      </c>
      <c r="I42" s="55">
        <f>'4.3.1.3-4 Direct N20'!I238</f>
        <v>229.23109573986844</v>
      </c>
      <c r="J42" s="55">
        <f>'4.3.1.3-4 Direct N20'!J238</f>
        <v>95.962857079055411</v>
      </c>
      <c r="K42" s="2" t="s">
        <v>135</v>
      </c>
      <c r="M42"/>
      <c r="O42" s="55" t="str">
        <f>'Input - Dairy'!$D$54</f>
        <v>Milking shed</v>
      </c>
      <c r="P42" s="55" t="str">
        <f>'Input - Dairy'!$D$77</f>
        <v>Drains to paddock</v>
      </c>
      <c r="Q42" s="55">
        <f>'4.3.1.3-4 Direct N20'!P238</f>
        <v>212.24813314524795</v>
      </c>
      <c r="R42" s="55">
        <f>'4.3.1.3-4 Direct N20'!Q238</f>
        <v>182.35790267782079</v>
      </c>
      <c r="S42" s="55">
        <f>'4.3.1.3-4 Direct N20'!R238</f>
        <v>72.631224123843424</v>
      </c>
      <c r="T42" s="55">
        <f>'4.3.1.3-4 Direct N20'!S238</f>
        <v>229.23109573986844</v>
      </c>
      <c r="U42" s="55">
        <f>'4.3.1.3-4 Direct N20'!T238</f>
        <v>95.962857079055411</v>
      </c>
      <c r="V42" s="2" t="s">
        <v>135</v>
      </c>
    </row>
    <row r="43" spans="4:22" ht="20.100000000000001" customHeight="1" x14ac:dyDescent="0.25">
      <c r="D43" s="55" t="str">
        <f>'Input - Dairy'!$D$54</f>
        <v>Milking shed</v>
      </c>
      <c r="E43" s="55" t="str">
        <f>'Input - Dairy'!$D$82</f>
        <v>Solid storage</v>
      </c>
      <c r="F43" s="55">
        <f>'4.3.1.3-4 Direct N20'!F239</f>
        <v>424.49626629049584</v>
      </c>
      <c r="G43" s="55">
        <f>'4.3.1.3-4 Direct N20'!G239</f>
        <v>364.71580535564152</v>
      </c>
      <c r="H43" s="55">
        <f>'4.3.1.3-4 Direct N20'!H239</f>
        <v>145.26244824768682</v>
      </c>
      <c r="I43" s="55">
        <f>'4.3.1.3-4 Direct N20'!I239</f>
        <v>458.46219147973682</v>
      </c>
      <c r="J43" s="55">
        <f>'4.3.1.3-4 Direct N20'!J239</f>
        <v>191.92571415811079</v>
      </c>
      <c r="K43" s="2" t="s">
        <v>135</v>
      </c>
      <c r="M43"/>
      <c r="O43" s="55" t="str">
        <f>'Input - Dairy'!$D$54</f>
        <v>Milking shed</v>
      </c>
      <c r="P43" s="55" t="str">
        <f>'Input - Dairy'!$D$82</f>
        <v>Solid storage</v>
      </c>
      <c r="Q43" s="55">
        <f>'4.3.1.3-4 Direct N20'!P239</f>
        <v>424.49626629049584</v>
      </c>
      <c r="R43" s="55">
        <f>'4.3.1.3-4 Direct N20'!Q239</f>
        <v>364.71580535564152</v>
      </c>
      <c r="S43" s="55">
        <f>'4.3.1.3-4 Direct N20'!R239</f>
        <v>145.26244824768682</v>
      </c>
      <c r="T43" s="55">
        <f>'4.3.1.3-4 Direct N20'!S239</f>
        <v>458.46219147973682</v>
      </c>
      <c r="U43" s="55">
        <f>'4.3.1.3-4 Direct N20'!T239</f>
        <v>191.92571415811079</v>
      </c>
      <c r="V43" s="2" t="s">
        <v>135</v>
      </c>
    </row>
    <row r="44" spans="4:22" ht="20.100000000000001" customHeight="1" x14ac:dyDescent="0.25">
      <c r="D44" s="55" t="str">
        <f>'Input - Dairy'!$D$55</f>
        <v>Feed pad</v>
      </c>
      <c r="E44" s="55" t="str">
        <f>'Input - Dairy'!$D$101</f>
        <v>Anaerobic lagoon</v>
      </c>
      <c r="F44" s="55">
        <f>'4.3.1.3-4 Direct N20'!F240</f>
        <v>858.64017499668478</v>
      </c>
      <c r="G44" s="55">
        <f>'4.3.1.3-4 Direct N20'!G240</f>
        <v>737.72060628754764</v>
      </c>
      <c r="H44" s="55">
        <f>'4.3.1.3-4 Direct N20'!H240</f>
        <v>293.82631577373019</v>
      </c>
      <c r="I44" s="55">
        <f>'4.3.1.3-4 Direct N20'!I240</f>
        <v>927.34397822037681</v>
      </c>
      <c r="J44" s="55">
        <f>'4.3.1.3-4 Direct N20'!J240</f>
        <v>388.21337636526954</v>
      </c>
      <c r="K44" s="2" t="s">
        <v>135</v>
      </c>
      <c r="M44"/>
      <c r="O44" s="55" t="str">
        <f>'Input - Dairy'!$D$55</f>
        <v>Feed pad</v>
      </c>
      <c r="P44" s="55" t="str">
        <f>'Input - Dairy'!$D$101</f>
        <v>Anaerobic lagoon</v>
      </c>
      <c r="Q44" s="55">
        <f>'4.3.1.3-4 Direct N20'!P240</f>
        <v>858.64017499668478</v>
      </c>
      <c r="R44" s="55">
        <f>'4.3.1.3-4 Direct N20'!Q240</f>
        <v>737.72060628754764</v>
      </c>
      <c r="S44" s="55">
        <f>'4.3.1.3-4 Direct N20'!R240</f>
        <v>293.82631577373019</v>
      </c>
      <c r="T44" s="55">
        <f>'4.3.1.3-4 Direct N20'!S240</f>
        <v>927.34397822037681</v>
      </c>
      <c r="U44" s="55">
        <f>'4.3.1.3-4 Direct N20'!T240</f>
        <v>388.21337636526954</v>
      </c>
      <c r="V44" s="2" t="s">
        <v>135</v>
      </c>
    </row>
    <row r="45" spans="4:22" ht="20.100000000000001" customHeight="1" x14ac:dyDescent="0.25">
      <c r="D45" s="55" t="str">
        <f>'Input - Dairy'!$D$55</f>
        <v>Feed pad</v>
      </c>
      <c r="E45" s="55" t="str">
        <f>'Input - Dairy'!$D$106</f>
        <v>Sump and dispersal system</v>
      </c>
      <c r="F45" s="55">
        <f>'4.3.1.3-4 Direct N20'!F241</f>
        <v>686.91213999734782</v>
      </c>
      <c r="G45" s="55">
        <f>'4.3.1.3-4 Direct N20'!G241</f>
        <v>590.17648503003818</v>
      </c>
      <c r="H45" s="55">
        <f>'4.3.1.3-4 Direct N20'!H241</f>
        <v>235.06105261898415</v>
      </c>
      <c r="I45" s="55">
        <f>'4.3.1.3-4 Direct N20'!I241</f>
        <v>741.87518257630143</v>
      </c>
      <c r="J45" s="55">
        <f>'4.3.1.3-4 Direct N20'!J241</f>
        <v>310.57070109221564</v>
      </c>
      <c r="K45" s="2" t="s">
        <v>135</v>
      </c>
      <c r="M45"/>
      <c r="O45" s="55" t="str">
        <f>'Input - Dairy'!$D$55</f>
        <v>Feed pad</v>
      </c>
      <c r="P45" s="55" t="str">
        <f>'Input - Dairy'!$D$106</f>
        <v>Sump and dispersal system</v>
      </c>
      <c r="Q45" s="55">
        <f>'4.3.1.3-4 Direct N20'!P241</f>
        <v>686.91213999734782</v>
      </c>
      <c r="R45" s="55">
        <f>'4.3.1.3-4 Direct N20'!Q241</f>
        <v>590.17648503003818</v>
      </c>
      <c r="S45" s="55">
        <f>'4.3.1.3-4 Direct N20'!R241</f>
        <v>235.06105261898415</v>
      </c>
      <c r="T45" s="55">
        <f>'4.3.1.3-4 Direct N20'!S241</f>
        <v>741.87518257630143</v>
      </c>
      <c r="U45" s="55">
        <f>'4.3.1.3-4 Direct N20'!T241</f>
        <v>310.57070109221564</v>
      </c>
      <c r="V45" s="2" t="s">
        <v>135</v>
      </c>
    </row>
    <row r="46" spans="4:22" ht="20.100000000000001" customHeight="1" x14ac:dyDescent="0.25">
      <c r="D46" s="55" t="str">
        <f>'Input - Dairy'!$D$55</f>
        <v>Feed pad</v>
      </c>
      <c r="E46" s="55" t="str">
        <f>'Input - Dairy'!$D$111</f>
        <v>Drains to paddock</v>
      </c>
      <c r="F46" s="55">
        <f>'4.3.1.3-4 Direct N20'!F242</f>
        <v>686.91213999734782</v>
      </c>
      <c r="G46" s="55">
        <f>'4.3.1.3-4 Direct N20'!G242</f>
        <v>590.17648503003818</v>
      </c>
      <c r="H46" s="55">
        <f>'4.3.1.3-4 Direct N20'!H242</f>
        <v>235.06105261898415</v>
      </c>
      <c r="I46" s="55">
        <f>'4.3.1.3-4 Direct N20'!I242</f>
        <v>741.87518257630143</v>
      </c>
      <c r="J46" s="55">
        <f>'4.3.1.3-4 Direct N20'!J242</f>
        <v>310.57070109221564</v>
      </c>
      <c r="K46" s="2" t="s">
        <v>135</v>
      </c>
      <c r="M46"/>
      <c r="O46" s="55" t="str">
        <f>'Input - Dairy'!$D$55</f>
        <v>Feed pad</v>
      </c>
      <c r="P46" s="55" t="str">
        <f>'Input - Dairy'!$D$111</f>
        <v>Drains to paddock</v>
      </c>
      <c r="Q46" s="55">
        <f>'4.3.1.3-4 Direct N20'!P242</f>
        <v>686.91213999734782</v>
      </c>
      <c r="R46" s="55">
        <f>'4.3.1.3-4 Direct N20'!Q242</f>
        <v>590.17648503003818</v>
      </c>
      <c r="S46" s="55">
        <f>'4.3.1.3-4 Direct N20'!R242</f>
        <v>235.06105261898415</v>
      </c>
      <c r="T46" s="55">
        <f>'4.3.1.3-4 Direct N20'!S242</f>
        <v>741.87518257630143</v>
      </c>
      <c r="U46" s="55">
        <f>'4.3.1.3-4 Direct N20'!T242</f>
        <v>310.57070109221564</v>
      </c>
      <c r="V46" s="2" t="s">
        <v>135</v>
      </c>
    </row>
    <row r="47" spans="4:22" ht="20.100000000000001" customHeight="1" x14ac:dyDescent="0.25">
      <c r="D47" s="55" t="str">
        <f>'Input - Dairy'!$D$55</f>
        <v>Feed pad</v>
      </c>
      <c r="E47" s="55" t="str">
        <f>'Input - Dairy'!$D$116</f>
        <v>Solid storage</v>
      </c>
      <c r="F47" s="55">
        <f>'4.3.1.3-4 Direct N20'!F243</f>
        <v>1202.0962449953586</v>
      </c>
      <c r="G47" s="55">
        <f>'4.3.1.3-4 Direct N20'!G243</f>
        <v>1032.8088488025667</v>
      </c>
      <c r="H47" s="55">
        <f>'4.3.1.3-4 Direct N20'!H243</f>
        <v>411.35684208322226</v>
      </c>
      <c r="I47" s="55">
        <f>'4.3.1.3-4 Direct N20'!I243</f>
        <v>1298.2815695085274</v>
      </c>
      <c r="J47" s="55">
        <f>'4.3.1.3-4 Direct N20'!J243</f>
        <v>543.49872691137739</v>
      </c>
      <c r="K47" s="2" t="s">
        <v>135</v>
      </c>
      <c r="M47"/>
      <c r="O47" s="55" t="str">
        <f>'Input - Dairy'!$D$55</f>
        <v>Feed pad</v>
      </c>
      <c r="P47" s="55" t="str">
        <f>'Input - Dairy'!$D$116</f>
        <v>Solid storage</v>
      </c>
      <c r="Q47" s="55">
        <f>'4.3.1.3-4 Direct N20'!P243</f>
        <v>1202.0962449953586</v>
      </c>
      <c r="R47" s="55">
        <f>'4.3.1.3-4 Direct N20'!Q243</f>
        <v>1032.8088488025667</v>
      </c>
      <c r="S47" s="55">
        <f>'4.3.1.3-4 Direct N20'!R243</f>
        <v>411.35684208322226</v>
      </c>
      <c r="T47" s="55">
        <f>'4.3.1.3-4 Direct N20'!S243</f>
        <v>1298.2815695085274</v>
      </c>
      <c r="U47" s="55">
        <f>'4.3.1.3-4 Direct N20'!T243</f>
        <v>543.49872691137739</v>
      </c>
      <c r="V47" s="2" t="s">
        <v>135</v>
      </c>
    </row>
    <row r="48" spans="4:22" ht="20.100000000000001" customHeight="1" x14ac:dyDescent="0.25"/>
    <row r="49" spans="4:22" ht="20.100000000000001" customHeight="1" x14ac:dyDescent="0.25">
      <c r="D49" s="104" t="s">
        <v>420</v>
      </c>
      <c r="O49" s="104" t="s">
        <v>418</v>
      </c>
    </row>
    <row r="50" spans="4:22" ht="20.100000000000001" customHeight="1" x14ac:dyDescent="0.25">
      <c r="D50" s="103" t="s">
        <v>421</v>
      </c>
      <c r="O50" s="103" t="s">
        <v>419</v>
      </c>
    </row>
    <row r="51" spans="4:22" ht="20.100000000000001" customHeight="1" x14ac:dyDescent="0.25">
      <c r="D51" s="54" t="s">
        <v>152</v>
      </c>
      <c r="E51" s="54" t="s">
        <v>69</v>
      </c>
      <c r="F51" s="54" t="s">
        <v>178</v>
      </c>
      <c r="G51" s="54" t="s">
        <v>195</v>
      </c>
      <c r="H51" s="54" t="s">
        <v>196</v>
      </c>
      <c r="I51" s="54" t="s">
        <v>197</v>
      </c>
      <c r="J51" s="54" t="s">
        <v>198</v>
      </c>
      <c r="O51" s="54" t="s">
        <v>152</v>
      </c>
      <c r="P51" s="54" t="s">
        <v>69</v>
      </c>
      <c r="Q51" s="54" t="s">
        <v>178</v>
      </c>
      <c r="R51" s="54" t="s">
        <v>195</v>
      </c>
      <c r="S51" s="54" t="s">
        <v>196</v>
      </c>
      <c r="T51" s="54" t="s">
        <v>197</v>
      </c>
      <c r="U51" s="54" t="s">
        <v>198</v>
      </c>
    </row>
    <row r="52" spans="4:22" ht="20.100000000000001" customHeight="1" x14ac:dyDescent="0.25">
      <c r="D52" s="55" t="str">
        <f>'Input - Dairy'!$D$54</f>
        <v>Milking shed</v>
      </c>
      <c r="E52" s="55" t="str">
        <f>'Input - Dairy'!$D$67</f>
        <v>Anaerobic lagoon</v>
      </c>
      <c r="F52" s="55">
        <v>0</v>
      </c>
      <c r="G52" s="55">
        <v>0</v>
      </c>
      <c r="H52" s="55">
        <v>0</v>
      </c>
      <c r="I52" s="55">
        <v>0</v>
      </c>
      <c r="J52" s="55">
        <v>0</v>
      </c>
      <c r="K52" s="2" t="s">
        <v>135</v>
      </c>
      <c r="O52" s="55" t="str">
        <f>'Input - Dairy'!$D$54</f>
        <v>Milking shed</v>
      </c>
      <c r="P52" s="55" t="str">
        <f>'Input - Dairy'!$D$67</f>
        <v>Anaerobic lagoon</v>
      </c>
      <c r="Q52" s="55">
        <v>0</v>
      </c>
      <c r="R52" s="55">
        <v>0</v>
      </c>
      <c r="S52" s="55">
        <v>0</v>
      </c>
      <c r="T52" s="55">
        <v>0</v>
      </c>
      <c r="U52" s="55">
        <v>0</v>
      </c>
      <c r="V52" s="2" t="s">
        <v>135</v>
      </c>
    </row>
    <row r="53" spans="4:22" ht="20.100000000000001" customHeight="1" x14ac:dyDescent="0.25">
      <c r="D53" s="55" t="str">
        <f>'Input - Dairy'!$D$54</f>
        <v>Milking shed</v>
      </c>
      <c r="E53" s="55" t="str">
        <f>'Input - Dairy'!$D$72</f>
        <v>Sump and dispersal system</v>
      </c>
      <c r="F53" s="55">
        <v>0</v>
      </c>
      <c r="G53" s="55">
        <v>0</v>
      </c>
      <c r="H53" s="55">
        <v>0</v>
      </c>
      <c r="I53" s="55">
        <v>0</v>
      </c>
      <c r="J53" s="55">
        <v>0</v>
      </c>
      <c r="K53" s="2" t="s">
        <v>135</v>
      </c>
      <c r="O53" s="55" t="str">
        <f>'Input - Dairy'!$D$54</f>
        <v>Milking shed</v>
      </c>
      <c r="P53" s="55" t="str">
        <f>'Input - Dairy'!$D$72</f>
        <v>Sump and dispersal system</v>
      </c>
      <c r="Q53" s="55">
        <v>0</v>
      </c>
      <c r="R53" s="55">
        <v>0</v>
      </c>
      <c r="S53" s="55">
        <v>0</v>
      </c>
      <c r="T53" s="55">
        <v>0</v>
      </c>
      <c r="U53" s="55">
        <v>0</v>
      </c>
      <c r="V53" s="2" t="s">
        <v>135</v>
      </c>
    </row>
    <row r="54" spans="4:22" ht="20.100000000000001" customHeight="1" x14ac:dyDescent="0.25">
      <c r="D54" s="55" t="str">
        <f>'Input - Dairy'!$D$54</f>
        <v>Milking shed</v>
      </c>
      <c r="E54" s="55" t="str">
        <f>'Input - Dairy'!$D$77</f>
        <v>Drains to paddock</v>
      </c>
      <c r="F54" s="55">
        <v>0</v>
      </c>
      <c r="G54" s="55">
        <v>0</v>
      </c>
      <c r="H54" s="55">
        <v>0</v>
      </c>
      <c r="I54" s="55">
        <v>0</v>
      </c>
      <c r="J54" s="55">
        <v>0</v>
      </c>
      <c r="K54" s="2" t="s">
        <v>135</v>
      </c>
      <c r="O54" s="55" t="str">
        <f>'Input - Dairy'!$D$54</f>
        <v>Milking shed</v>
      </c>
      <c r="P54" s="55" t="str">
        <f>'Input - Dairy'!$D$77</f>
        <v>Drains to paddock</v>
      </c>
      <c r="Q54" s="55">
        <v>0</v>
      </c>
      <c r="R54" s="55">
        <v>0</v>
      </c>
      <c r="S54" s="55">
        <v>0</v>
      </c>
      <c r="T54" s="55">
        <v>0</v>
      </c>
      <c r="U54" s="55">
        <v>0</v>
      </c>
      <c r="V54" s="2" t="s">
        <v>135</v>
      </c>
    </row>
    <row r="55" spans="4:22" ht="20.100000000000001" customHeight="1" x14ac:dyDescent="0.25">
      <c r="D55" s="55" t="str">
        <f>'Input - Dairy'!$D$54</f>
        <v>Milking shed</v>
      </c>
      <c r="E55" s="55" t="str">
        <f>'Input - Dairy'!$D$82</f>
        <v>Solid storage</v>
      </c>
      <c r="F55" s="55">
        <f>'4.3.1.6-7 Leaching and runoff'!F29</f>
        <v>8.4899253258099172</v>
      </c>
      <c r="G55" s="55">
        <f>'4.3.1.6-7 Leaching and runoff'!G29</f>
        <v>7.2943161071128308</v>
      </c>
      <c r="H55" s="55">
        <f>'4.3.1.6-7 Leaching and runoff'!H29</f>
        <v>2.9052489649537363</v>
      </c>
      <c r="I55" s="55">
        <f>'4.3.1.6-7 Leaching and runoff'!I29</f>
        <v>9.1692438295947358</v>
      </c>
      <c r="J55" s="55">
        <f>'4.3.1.6-7 Leaching and runoff'!J29</f>
        <v>3.8385142831622159</v>
      </c>
      <c r="K55" s="2" t="s">
        <v>135</v>
      </c>
      <c r="O55" s="55" t="str">
        <f>'Input - Dairy'!$D$54</f>
        <v>Milking shed</v>
      </c>
      <c r="P55" s="55" t="str">
        <f>'Input - Dairy'!$D$82</f>
        <v>Solid storage</v>
      </c>
      <c r="Q55" s="55">
        <f>'4.3.1.6-7 Leaching and runoff'!Q29</f>
        <v>8.4899253258099172</v>
      </c>
      <c r="R55" s="55">
        <f>'4.3.1.6-7 Leaching and runoff'!R29</f>
        <v>7.2943161071128308</v>
      </c>
      <c r="S55" s="55">
        <f>'4.3.1.6-7 Leaching and runoff'!S29</f>
        <v>2.9052489649537363</v>
      </c>
      <c r="T55" s="55">
        <f>'4.3.1.6-7 Leaching and runoff'!T29</f>
        <v>9.1692438295947358</v>
      </c>
      <c r="U55" s="55">
        <f>'4.3.1.6-7 Leaching and runoff'!U29</f>
        <v>3.8385142831622159</v>
      </c>
      <c r="V55" s="2" t="s">
        <v>135</v>
      </c>
    </row>
    <row r="56" spans="4:22" ht="20.100000000000001" customHeight="1" x14ac:dyDescent="0.25">
      <c r="D56" s="55" t="str">
        <f>'Input - Dairy'!$D$55</f>
        <v>Feed pad</v>
      </c>
      <c r="E56" s="55" t="str">
        <f>'Input - Dairy'!$D$101</f>
        <v>Anaerobic lagoon</v>
      </c>
      <c r="F56" s="55">
        <v>0</v>
      </c>
      <c r="G56" s="55">
        <v>0</v>
      </c>
      <c r="H56" s="55">
        <v>0</v>
      </c>
      <c r="I56" s="55">
        <v>0</v>
      </c>
      <c r="J56" s="55">
        <v>0</v>
      </c>
      <c r="K56" s="2" t="s">
        <v>135</v>
      </c>
      <c r="O56" s="55" t="str">
        <f>'Input - Dairy'!$D$55</f>
        <v>Feed pad</v>
      </c>
      <c r="P56" s="55" t="str">
        <f>'Input - Dairy'!$D$101</f>
        <v>Anaerobic lagoon</v>
      </c>
      <c r="Q56" s="55">
        <v>0</v>
      </c>
      <c r="R56" s="55">
        <v>0</v>
      </c>
      <c r="S56" s="55">
        <v>0</v>
      </c>
      <c r="T56" s="55">
        <v>0</v>
      </c>
      <c r="U56" s="55">
        <v>0</v>
      </c>
      <c r="V56" s="2" t="s">
        <v>135</v>
      </c>
    </row>
    <row r="57" spans="4:22" ht="20.100000000000001" customHeight="1" x14ac:dyDescent="0.25">
      <c r="D57" s="55" t="str">
        <f>'Input - Dairy'!$D$55</f>
        <v>Feed pad</v>
      </c>
      <c r="E57" s="55" t="str">
        <f>'Input - Dairy'!$D$106</f>
        <v>Sump and dispersal system</v>
      </c>
      <c r="F57" s="55">
        <v>0</v>
      </c>
      <c r="G57" s="55">
        <v>0</v>
      </c>
      <c r="H57" s="55">
        <v>0</v>
      </c>
      <c r="I57" s="55">
        <v>0</v>
      </c>
      <c r="J57" s="55">
        <v>0</v>
      </c>
      <c r="K57" s="2" t="s">
        <v>135</v>
      </c>
      <c r="O57" s="55" t="str">
        <f>'Input - Dairy'!$D$55</f>
        <v>Feed pad</v>
      </c>
      <c r="P57" s="55" t="str">
        <f>'Input - Dairy'!$D$106</f>
        <v>Sump and dispersal system</v>
      </c>
      <c r="Q57" s="55">
        <v>0</v>
      </c>
      <c r="R57" s="55">
        <v>0</v>
      </c>
      <c r="S57" s="55">
        <v>0</v>
      </c>
      <c r="T57" s="55">
        <v>0</v>
      </c>
      <c r="U57" s="55">
        <v>0</v>
      </c>
      <c r="V57" s="2" t="s">
        <v>135</v>
      </c>
    </row>
    <row r="58" spans="4:22" ht="20.100000000000001" customHeight="1" x14ac:dyDescent="0.25">
      <c r="D58" s="55" t="str">
        <f>'Input - Dairy'!$D$55</f>
        <v>Feed pad</v>
      </c>
      <c r="E58" s="55" t="str">
        <f>'Input - Dairy'!$D$111</f>
        <v>Drains to paddock</v>
      </c>
      <c r="F58" s="55">
        <v>0</v>
      </c>
      <c r="G58" s="55">
        <v>0</v>
      </c>
      <c r="H58" s="55">
        <v>0</v>
      </c>
      <c r="I58" s="55">
        <v>0</v>
      </c>
      <c r="J58" s="55">
        <v>0</v>
      </c>
      <c r="K58" s="2" t="s">
        <v>135</v>
      </c>
      <c r="O58" s="55" t="str">
        <f>'Input - Dairy'!$D$55</f>
        <v>Feed pad</v>
      </c>
      <c r="P58" s="55" t="str">
        <f>'Input - Dairy'!$D$111</f>
        <v>Drains to paddock</v>
      </c>
      <c r="Q58" s="55">
        <v>0</v>
      </c>
      <c r="R58" s="55">
        <v>0</v>
      </c>
      <c r="S58" s="55">
        <v>0</v>
      </c>
      <c r="T58" s="55">
        <v>0</v>
      </c>
      <c r="U58" s="55">
        <v>0</v>
      </c>
      <c r="V58" s="2" t="s">
        <v>135</v>
      </c>
    </row>
    <row r="59" spans="4:22" ht="20.100000000000001" customHeight="1" x14ac:dyDescent="0.25">
      <c r="D59" s="55" t="str">
        <f>'Input - Dairy'!$D$55</f>
        <v>Feed pad</v>
      </c>
      <c r="E59" s="55" t="str">
        <f>'Input - Dairy'!$D$116</f>
        <v>Solid storage</v>
      </c>
      <c r="F59" s="55">
        <f>'4.3.1.6-7 Leaching and runoff'!F30</f>
        <v>24.041924899907173</v>
      </c>
      <c r="G59" s="55">
        <f>'4.3.1.6-7 Leaching and runoff'!G30</f>
        <v>20.656176976051334</v>
      </c>
      <c r="H59" s="55">
        <f>'4.3.1.6-7 Leaching and runoff'!H30</f>
        <v>8.2271368416644446</v>
      </c>
      <c r="I59" s="55">
        <f>'4.3.1.6-7 Leaching and runoff'!I30</f>
        <v>25.965631390170547</v>
      </c>
      <c r="J59" s="55">
        <f>'4.3.1.6-7 Leaching and runoff'!J30</f>
        <v>10.869974538227549</v>
      </c>
      <c r="K59" s="2" t="s">
        <v>135</v>
      </c>
      <c r="O59" s="55" t="str">
        <f>'Input - Dairy'!$D$55</f>
        <v>Feed pad</v>
      </c>
      <c r="P59" s="55" t="str">
        <f>'Input - Dairy'!$D$116</f>
        <v>Solid storage</v>
      </c>
      <c r="Q59" s="55">
        <f>'4.3.1.6-7 Leaching and runoff'!Q30</f>
        <v>24.041924899907173</v>
      </c>
      <c r="R59" s="55">
        <f>'4.3.1.6-7 Leaching and runoff'!R30</f>
        <v>20.656176976051334</v>
      </c>
      <c r="S59" s="55">
        <f>'4.3.1.6-7 Leaching and runoff'!S30</f>
        <v>8.2271368416644446</v>
      </c>
      <c r="T59" s="55">
        <f>'4.3.1.6-7 Leaching and runoff'!T30</f>
        <v>25.965631390170547</v>
      </c>
      <c r="U59" s="55">
        <f>'4.3.1.6-7 Leaching and runoff'!U30</f>
        <v>10.869974538227549</v>
      </c>
      <c r="V59" s="2" t="s">
        <v>135</v>
      </c>
    </row>
    <row r="60" spans="4:22" ht="20.100000000000001" customHeight="1" x14ac:dyDescent="0.25"/>
    <row r="61" spans="4:22" ht="20.100000000000001" customHeight="1" x14ac:dyDescent="0.25">
      <c r="D61" s="104" t="s">
        <v>360</v>
      </c>
    </row>
    <row r="62" spans="4:22" ht="20.100000000000001" customHeight="1" x14ac:dyDescent="0.25">
      <c r="D62" s="103" t="s">
        <v>361</v>
      </c>
    </row>
    <row r="63" spans="4:22" ht="20.100000000000001" customHeight="1" x14ac:dyDescent="0.25">
      <c r="D63" s="54" t="s">
        <v>152</v>
      </c>
      <c r="E63" s="54" t="s">
        <v>69</v>
      </c>
      <c r="F63" s="54" t="s">
        <v>178</v>
      </c>
      <c r="G63" s="54" t="s">
        <v>195</v>
      </c>
      <c r="H63" s="54" t="s">
        <v>196</v>
      </c>
      <c r="I63" s="54" t="s">
        <v>197</v>
      </c>
      <c r="J63" s="54" t="s">
        <v>198</v>
      </c>
    </row>
    <row r="64" spans="4:22" ht="20.100000000000001" customHeight="1" x14ac:dyDescent="0.25">
      <c r="D64" s="55" t="str">
        <f>'Input - Dairy'!$D$54</f>
        <v>Milking shed</v>
      </c>
      <c r="E64" s="55" t="str">
        <f>'Input - Dairy'!$D$67</f>
        <v>Anaerobic lagoon</v>
      </c>
      <c r="F64" s="55">
        <f>'Input - Dairy'!E138+'Input - Dairy'!E139</f>
        <v>0.75</v>
      </c>
      <c r="G64" s="55">
        <f>'Input - Dairy'!F138+'Input - Dairy'!F139</f>
        <v>0.75</v>
      </c>
      <c r="H64" s="55">
        <f>'Input - Dairy'!G138+'Input - Dairy'!G139</f>
        <v>0.75</v>
      </c>
      <c r="I64" s="55">
        <f>'Input - Dairy'!H138+'Input - Dairy'!H139</f>
        <v>0.75</v>
      </c>
      <c r="J64" s="55">
        <f>'Input - Dairy'!I138+'Input - Dairy'!I139</f>
        <v>0.75</v>
      </c>
      <c r="K64" s="2" t="e">
        <f>#REF!</f>
        <v>#REF!</v>
      </c>
    </row>
    <row r="65" spans="4:22" ht="20.100000000000001" customHeight="1" x14ac:dyDescent="0.25">
      <c r="D65" s="55" t="str">
        <f>'Input - Dairy'!$D$54</f>
        <v>Milking shed</v>
      </c>
      <c r="E65" s="55" t="str">
        <f>'Input - Dairy'!$D$72</f>
        <v>Sump and dispersal system</v>
      </c>
      <c r="F65" s="55">
        <f>'Input - Dairy'!E143+'Input - Dairy'!E144</f>
        <v>0.75</v>
      </c>
      <c r="G65" s="55">
        <f>'Input - Dairy'!F143+'Input - Dairy'!F144</f>
        <v>0.75</v>
      </c>
      <c r="H65" s="55">
        <f>'Input - Dairy'!G143+'Input - Dairy'!G144</f>
        <v>0.75</v>
      </c>
      <c r="I65" s="55">
        <f>'Input - Dairy'!H143+'Input - Dairy'!H144</f>
        <v>0.75</v>
      </c>
      <c r="J65" s="55">
        <f>'Input - Dairy'!I143+'Input - Dairy'!I144</f>
        <v>0.75</v>
      </c>
      <c r="K65" s="2" t="e">
        <f>#REF!</f>
        <v>#REF!</v>
      </c>
    </row>
    <row r="66" spans="4:22" ht="20.100000000000001" customHeight="1" x14ac:dyDescent="0.25">
      <c r="D66" s="55" t="str">
        <f>'Input - Dairy'!$D$54</f>
        <v>Milking shed</v>
      </c>
      <c r="E66" s="55" t="str">
        <f>'Input - Dairy'!$D$77</f>
        <v>Drains to paddock</v>
      </c>
      <c r="F66" s="55">
        <f>'Input - Dairy'!E148+'Input - Dairy'!E149</f>
        <v>0.75</v>
      </c>
      <c r="G66" s="55">
        <f>'Input - Dairy'!F148+'Input - Dairy'!F149</f>
        <v>0.75</v>
      </c>
      <c r="H66" s="55">
        <f>'Input - Dairy'!G148+'Input - Dairy'!G149</f>
        <v>0.75</v>
      </c>
      <c r="I66" s="55">
        <f>'Input - Dairy'!H148+'Input - Dairy'!H149</f>
        <v>0.75</v>
      </c>
      <c r="J66" s="55">
        <f>'Input - Dairy'!I148+'Input - Dairy'!I149</f>
        <v>0.75</v>
      </c>
      <c r="K66" s="2" t="e">
        <f>#REF!</f>
        <v>#REF!</v>
      </c>
    </row>
    <row r="67" spans="4:22" ht="20.100000000000001" customHeight="1" x14ac:dyDescent="0.25">
      <c r="D67" s="55" t="str">
        <f>'Input - Dairy'!$D$54</f>
        <v>Milking shed</v>
      </c>
      <c r="E67" s="55" t="str">
        <f>'Input - Dairy'!$D$82</f>
        <v>Solid storage</v>
      </c>
      <c r="F67" s="55">
        <f>'Input - Dairy'!E153+'Input - Dairy'!E154</f>
        <v>0.75</v>
      </c>
      <c r="G67" s="55">
        <f>'Input - Dairy'!F153+'Input - Dairy'!F154</f>
        <v>0.75</v>
      </c>
      <c r="H67" s="55">
        <f>'Input - Dairy'!G153+'Input - Dairy'!G154</f>
        <v>0.75</v>
      </c>
      <c r="I67" s="55">
        <f>'Input - Dairy'!H153+'Input - Dairy'!H154</f>
        <v>0.75</v>
      </c>
      <c r="J67" s="55">
        <f>'Input - Dairy'!I153+'Input - Dairy'!I154</f>
        <v>0.75</v>
      </c>
      <c r="K67" s="2" t="e">
        <f>#REF!</f>
        <v>#REF!</v>
      </c>
    </row>
    <row r="68" spans="4:22" ht="20.100000000000001" customHeight="1" x14ac:dyDescent="0.25">
      <c r="D68" s="55" t="str">
        <f>'Input - Dairy'!$D$55</f>
        <v>Feed pad</v>
      </c>
      <c r="E68" s="55" t="str">
        <f>'Input - Dairy'!$D$101</f>
        <v>Anaerobic lagoon</v>
      </c>
      <c r="F68" s="55">
        <f>'Input - Dairy'!E162+'Input - Dairy'!E163</f>
        <v>0.75</v>
      </c>
      <c r="G68" s="55">
        <f>'Input - Dairy'!F162+'Input - Dairy'!F163</f>
        <v>0.75</v>
      </c>
      <c r="H68" s="55">
        <f>'Input - Dairy'!G162+'Input - Dairy'!G163</f>
        <v>0.75</v>
      </c>
      <c r="I68" s="55">
        <f>'Input - Dairy'!H162+'Input - Dairy'!H163</f>
        <v>0.75</v>
      </c>
      <c r="J68" s="55">
        <f>'Input - Dairy'!I162+'Input - Dairy'!I163</f>
        <v>0.75</v>
      </c>
      <c r="K68" s="2" t="e">
        <f>#REF!</f>
        <v>#REF!</v>
      </c>
    </row>
    <row r="69" spans="4:22" ht="20.100000000000001" customHeight="1" x14ac:dyDescent="0.25">
      <c r="D69" s="55" t="str">
        <f>'Input - Dairy'!$D$55</f>
        <v>Feed pad</v>
      </c>
      <c r="E69" s="55" t="str">
        <f>'Input - Dairy'!$D$106</f>
        <v>Sump and dispersal system</v>
      </c>
      <c r="F69" s="55">
        <f>'Input - Dairy'!E167+'Input - Dairy'!E168</f>
        <v>0.75</v>
      </c>
      <c r="G69" s="55">
        <f>'Input - Dairy'!F167+'Input - Dairy'!F168</f>
        <v>0.75</v>
      </c>
      <c r="H69" s="55">
        <f>'Input - Dairy'!G167+'Input - Dairy'!G168</f>
        <v>0.75</v>
      </c>
      <c r="I69" s="55">
        <f>'Input - Dairy'!H167+'Input - Dairy'!H168</f>
        <v>0.75</v>
      </c>
      <c r="J69" s="55">
        <f>'Input - Dairy'!I167+'Input - Dairy'!I168</f>
        <v>0.75</v>
      </c>
      <c r="K69" s="2" t="e">
        <f>#REF!</f>
        <v>#REF!</v>
      </c>
    </row>
    <row r="70" spans="4:22" ht="20.100000000000001" customHeight="1" x14ac:dyDescent="0.25">
      <c r="D70" s="55" t="str">
        <f>'Input - Dairy'!$D$55</f>
        <v>Feed pad</v>
      </c>
      <c r="E70" s="55" t="str">
        <f>'Input - Dairy'!$D$111</f>
        <v>Drains to paddock</v>
      </c>
      <c r="F70" s="55">
        <f>'Input - Dairy'!E172+'Input - Dairy'!E173</f>
        <v>0.75</v>
      </c>
      <c r="G70" s="55">
        <f>'Input - Dairy'!F172+'Input - Dairy'!F173</f>
        <v>0.75</v>
      </c>
      <c r="H70" s="55">
        <f>'Input - Dairy'!G172+'Input - Dairy'!G173</f>
        <v>0.75</v>
      </c>
      <c r="I70" s="55">
        <f>'Input - Dairy'!H172+'Input - Dairy'!H173</f>
        <v>0.75</v>
      </c>
      <c r="J70" s="55">
        <f>'Input - Dairy'!I172+'Input - Dairy'!I173</f>
        <v>0.75</v>
      </c>
      <c r="K70" s="2" t="e">
        <f>#REF!</f>
        <v>#REF!</v>
      </c>
    </row>
    <row r="71" spans="4:22" ht="20.100000000000001" customHeight="1" x14ac:dyDescent="0.25">
      <c r="D71" s="55" t="str">
        <f>'Input - Dairy'!$D$55</f>
        <v>Feed pad</v>
      </c>
      <c r="E71" s="55" t="str">
        <f>'Input - Dairy'!$D$116</f>
        <v>Solid storage</v>
      </c>
      <c r="F71" s="55">
        <f>'Input - Dairy'!E177+'Input - Dairy'!E178</f>
        <v>0.75</v>
      </c>
      <c r="G71" s="55">
        <f>'Input - Dairy'!F177+'Input - Dairy'!F178</f>
        <v>0.75</v>
      </c>
      <c r="H71" s="55">
        <f>'Input - Dairy'!G177+'Input - Dairy'!G178</f>
        <v>0.75</v>
      </c>
      <c r="I71" s="55">
        <f>'Input - Dairy'!H177+'Input - Dairy'!H178</f>
        <v>0.75</v>
      </c>
      <c r="J71" s="55">
        <f>'Input - Dairy'!I177+'Input - Dairy'!I178</f>
        <v>0.75</v>
      </c>
      <c r="K71" s="2" t="e">
        <f>#REF!</f>
        <v>#REF!</v>
      </c>
    </row>
    <row r="72" spans="4:22" ht="20.100000000000001" customHeight="1" x14ac:dyDescent="0.25"/>
    <row r="73" spans="4:22" ht="20.100000000000001" customHeight="1" x14ac:dyDescent="0.25">
      <c r="D73" s="104" t="s">
        <v>362</v>
      </c>
      <c r="O73" s="104" t="s">
        <v>367</v>
      </c>
    </row>
    <row r="74" spans="4:22" ht="20.100000000000001" customHeight="1" x14ac:dyDescent="0.25">
      <c r="D74" s="103" t="s">
        <v>366</v>
      </c>
      <c r="O74" s="103" t="s">
        <v>368</v>
      </c>
    </row>
    <row r="75" spans="4:22" ht="20.100000000000001" customHeight="1" x14ac:dyDescent="0.25">
      <c r="D75" s="54" t="s">
        <v>152</v>
      </c>
      <c r="E75" s="54" t="s">
        <v>69</v>
      </c>
      <c r="F75" s="54" t="s">
        <v>178</v>
      </c>
      <c r="G75" s="54" t="s">
        <v>195</v>
      </c>
      <c r="H75" s="54" t="s">
        <v>196</v>
      </c>
      <c r="I75" s="54" t="s">
        <v>197</v>
      </c>
      <c r="J75" s="54" t="s">
        <v>198</v>
      </c>
      <c r="O75" s="54" t="s">
        <v>152</v>
      </c>
      <c r="P75" s="54" t="s">
        <v>69</v>
      </c>
      <c r="Q75" s="54" t="s">
        <v>178</v>
      </c>
      <c r="R75" s="54" t="s">
        <v>195</v>
      </c>
      <c r="S75" s="54" t="s">
        <v>196</v>
      </c>
      <c r="T75" s="54" t="s">
        <v>197</v>
      </c>
      <c r="U75" s="54" t="s">
        <v>198</v>
      </c>
    </row>
    <row r="76" spans="4:22" ht="20.100000000000001" customHeight="1" x14ac:dyDescent="0.25">
      <c r="D76" s="55" t="str">
        <f>'Input - Dairy'!$D$54</f>
        <v>Milking shed</v>
      </c>
      <c r="E76" s="55" t="str">
        <f>'Input - Dairy'!$D$67</f>
        <v>Anaerobic lagoon</v>
      </c>
      <c r="F76" s="55" cm="1">
        <f t="array" ref="F76">MMS_Dairy_ManureAppliedToSoils_Equations.VEERG_4_3_1_8__1_MassOfNitrogenAppliedToSoilsScope1(F40,_xlfn.XLOOKUP($E76,$D$22:$D$26,$E$22:$E$26),_xlfn.XLOOKUP($E76, $D$31:$D$35,$E$31:$E$35),F52,F64)</f>
        <v>103.47096490830837</v>
      </c>
      <c r="G76" s="55" cm="1">
        <f t="array" ref="G76">MMS_Dairy_ManureAppliedToSoils_Equations.VEERG_4_3_1_8__1_MassOfNitrogenAppliedToSoilsScope1(G40,_xlfn.XLOOKUP($E76,$D$22:$D$26,$E$22:$E$26),_xlfn.XLOOKUP($E76, $D$31:$D$35,$E$31:$E$35),G52,G64)</f>
        <v>88.899477555437642</v>
      </c>
      <c r="H76" s="55" cm="1">
        <f t="array" ref="H76">MMS_Dairy_ManureAppliedToSoils_Equations.VEERG_4_3_1_8__1_MassOfNitrogenAppliedToSoilsScope1(H40,_xlfn.XLOOKUP($E76,$D$22:$D$26,$E$22:$E$26),_xlfn.XLOOKUP($E76, $D$31:$D$35,$E$31:$E$35),H52,H64)</f>
        <v>35.407721760373668</v>
      </c>
      <c r="I76" s="55" cm="1">
        <f t="array" ref="I76">MMS_Dairy_ManureAppliedToSoils_Equations.VEERG_4_3_1_8__1_MassOfNitrogenAppliedToSoilsScope1(I40,_xlfn.XLOOKUP($E76,$D$22:$D$26,$E$22:$E$26),_xlfn.XLOOKUP($E76, $D$31:$D$35,$E$31:$E$35),I52,I64)</f>
        <v>111.75015917318586</v>
      </c>
      <c r="J76" s="55" cm="1">
        <f t="array" ref="J76">MMS_Dairy_ManureAppliedToSoils_Equations.VEERG_4_3_1_8__1_MassOfNitrogenAppliedToSoilsScope1(J40,_xlfn.XLOOKUP($E76,$D$22:$D$26,$E$22:$E$26),_xlfn.XLOOKUP($E76, $D$31:$D$35,$E$31:$E$35),J52,J64)</f>
        <v>46.78189282603951</v>
      </c>
      <c r="K76" s="2" t="str">
        <f t="shared" ref="K76:K83" si="0">$E$11</f>
        <v>kg N</v>
      </c>
      <c r="O76" s="55" t="str">
        <f>'Input - Dairy'!$D$54</f>
        <v>Milking shed</v>
      </c>
      <c r="P76" s="55" t="str">
        <f>'Input - Dairy'!$D$67</f>
        <v>Anaerobic lagoon</v>
      </c>
      <c r="Q76" s="55" cm="1">
        <f t="array" ref="Q76">MMS_Dairy_ManureAppliedToSoils_Equations.VEERG_4_3_1_8__1_MassOfNitrogenAppliedToSoilsScope1(Q40,_xlfn.XLOOKUP($P76,$D$22:$D$26,$E$22:$E$26),_xlfn.XLOOKUP($P76, $D$31:$D$35,$E$31:$E$35),Q52,F64)</f>
        <v>103.47096490830837</v>
      </c>
      <c r="R76" s="55" cm="1">
        <f t="array" ref="R76">MMS_Dairy_ManureAppliedToSoils_Equations.VEERG_4_3_1_8__1_MassOfNitrogenAppliedToSoilsScope1(R40,_xlfn.XLOOKUP($P76,$D$22:$D$26,$E$22:$E$26),_xlfn.XLOOKUP($P76, $D$31:$D$35,$E$31:$E$35),R52,G64)</f>
        <v>88.899477555437642</v>
      </c>
      <c r="S76" s="55" cm="1">
        <f t="array" ref="S76">MMS_Dairy_ManureAppliedToSoils_Equations.VEERG_4_3_1_8__1_MassOfNitrogenAppliedToSoilsScope1(S40,_xlfn.XLOOKUP($P76,$D$22:$D$26,$E$22:$E$26),_xlfn.XLOOKUP($P76, $D$31:$D$35,$E$31:$E$35),S52,H64)</f>
        <v>35.407721760373668</v>
      </c>
      <c r="T76" s="55" cm="1">
        <f t="array" ref="T76">MMS_Dairy_ManureAppliedToSoils_Equations.VEERG_4_3_1_8__1_MassOfNitrogenAppliedToSoilsScope1(T40,_xlfn.XLOOKUP($P76,$D$22:$D$26,$E$22:$E$26),_xlfn.XLOOKUP($P76, $D$31:$D$35,$E$31:$E$35),T52,I64)</f>
        <v>111.75015917318586</v>
      </c>
      <c r="U76" s="55" cm="1">
        <f t="array" ref="U76">MMS_Dairy_ManureAppliedToSoils_Equations.VEERG_4_3_1_8__1_MassOfNitrogenAppliedToSoilsScope1(U40,_xlfn.XLOOKUP($P76,$D$22:$D$26,$E$22:$E$26),_xlfn.XLOOKUP($P76, $D$31:$D$35,$E$31:$E$35),U52,J64)</f>
        <v>46.78189282603951</v>
      </c>
      <c r="V76" s="2" t="str">
        <f t="shared" ref="V76:V83" si="1">$E$11</f>
        <v>kg N</v>
      </c>
    </row>
    <row r="77" spans="4:22" ht="20.100000000000001" customHeight="1" x14ac:dyDescent="0.25">
      <c r="D77" s="55" t="str">
        <f>'Input - Dairy'!$D$54</f>
        <v>Milking shed</v>
      </c>
      <c r="E77" s="55" t="str">
        <f>'Input - Dairy'!$D$72</f>
        <v>Sump and dispersal system</v>
      </c>
      <c r="F77" s="55" cm="1">
        <f t="array" ref="F77">MMS_Dairy_ManureAppliedToSoils_Equations.VEERG_4_3_1_8__1_MassOfNitrogenAppliedToSoilsScope1(F41,_xlfn.XLOOKUP($E77,$D$22:$D$26,$E$22:$E$26),_xlfn.XLOOKUP($E77, $D$31:$D$35,$E$31:$E$35),F53,F65)</f>
        <v>148.04307286881044</v>
      </c>
      <c r="G77" s="55" cm="1">
        <f t="array" ref="G77">MMS_Dairy_ManureAppliedToSoils_Equations.VEERG_4_3_1_8__1_MassOfNitrogenAppliedToSoilsScope1(G41,_xlfn.XLOOKUP($E77,$D$22:$D$26,$E$22:$E$26),_xlfn.XLOOKUP($E77, $D$31:$D$35,$E$31:$E$35),G53,G65)</f>
        <v>127.19463711777999</v>
      </c>
      <c r="H77" s="55" cm="1">
        <f t="array" ref="H77">MMS_Dairy_ManureAppliedToSoils_Equations.VEERG_4_3_1_8__1_MassOfNitrogenAppliedToSoilsScope1(H41,_xlfn.XLOOKUP($E77,$D$22:$D$26,$E$22:$E$26),_xlfn.XLOOKUP($E77, $D$31:$D$35,$E$31:$E$35),H53,H65)</f>
        <v>50.660278826380789</v>
      </c>
      <c r="I77" s="55" cm="1">
        <f t="array" ref="I77">MMS_Dairy_ManureAppliedToSoils_Equations.VEERG_4_3_1_8__1_MassOfNitrogenAppliedToSoilsScope1(I41,_xlfn.XLOOKUP($E77,$D$22:$D$26,$E$22:$E$26),_xlfn.XLOOKUP($E77, $D$31:$D$35,$E$31:$E$35),I53,I65)</f>
        <v>159.88868927855822</v>
      </c>
      <c r="J77" s="55" cm="1">
        <f t="array" ref="J77">MMS_Dairy_ManureAppliedToSoils_Equations.VEERG_4_3_1_8__1_MassOfNitrogenAppliedToSoilsScope1(J41,_xlfn.XLOOKUP($E77,$D$22:$D$26,$E$22:$E$26),_xlfn.XLOOKUP($E77, $D$31:$D$35,$E$31:$E$35),J53,J65)</f>
        <v>66.934092812641154</v>
      </c>
      <c r="K77" s="2" t="str">
        <f t="shared" si="0"/>
        <v>kg N</v>
      </c>
      <c r="O77" s="55" t="str">
        <f>'Input - Dairy'!$D$54</f>
        <v>Milking shed</v>
      </c>
      <c r="P77" s="55" t="str">
        <f>'Input - Dairy'!$D$72</f>
        <v>Sump and dispersal system</v>
      </c>
      <c r="Q77" s="55" cm="1">
        <f t="array" ref="Q77">MMS_Dairy_ManureAppliedToSoils_Equations.VEERG_4_3_1_8__1_MassOfNitrogenAppliedToSoilsScope1(Q41,_xlfn.XLOOKUP($P77,$D$22:$D$26,$E$22:$E$26),_xlfn.XLOOKUP($P77, $D$31:$D$35,$E$31:$E$35),Q53,F65)</f>
        <v>148.04307286881044</v>
      </c>
      <c r="R77" s="55" cm="1">
        <f t="array" ref="R77">MMS_Dairy_ManureAppliedToSoils_Equations.VEERG_4_3_1_8__1_MassOfNitrogenAppliedToSoilsScope1(R41,_xlfn.XLOOKUP($P77,$D$22:$D$26,$E$22:$E$26),_xlfn.XLOOKUP($P77, $D$31:$D$35,$E$31:$E$35),R53,G65)</f>
        <v>127.19463711777999</v>
      </c>
      <c r="S77" s="55" cm="1">
        <f t="array" ref="S77">MMS_Dairy_ManureAppliedToSoils_Equations.VEERG_4_3_1_8__1_MassOfNitrogenAppliedToSoilsScope1(S41,_xlfn.XLOOKUP($P77,$D$22:$D$26,$E$22:$E$26),_xlfn.XLOOKUP($P77, $D$31:$D$35,$E$31:$E$35),S53,H65)</f>
        <v>50.660278826380789</v>
      </c>
      <c r="T77" s="55" cm="1">
        <f t="array" ref="T77">MMS_Dairy_ManureAppliedToSoils_Equations.VEERG_4_3_1_8__1_MassOfNitrogenAppliedToSoilsScope1(T41,_xlfn.XLOOKUP($P77,$D$22:$D$26,$E$22:$E$26),_xlfn.XLOOKUP($P77, $D$31:$D$35,$E$31:$E$35),T53,I65)</f>
        <v>159.88868927855822</v>
      </c>
      <c r="U77" s="55" cm="1">
        <f t="array" ref="U77">MMS_Dairy_ManureAppliedToSoils_Equations.VEERG_4_3_1_8__1_MassOfNitrogenAppliedToSoilsScope1(U41,_xlfn.XLOOKUP($P77,$D$22:$D$26,$E$22:$E$26),_xlfn.XLOOKUP($P77, $D$31:$D$35,$E$31:$E$35),U53,J65)</f>
        <v>66.934092812641154</v>
      </c>
      <c r="V77" s="2" t="str">
        <f t="shared" si="1"/>
        <v>kg N</v>
      </c>
    </row>
    <row r="78" spans="4:22" ht="20.100000000000001" customHeight="1" x14ac:dyDescent="0.25">
      <c r="D78" s="55" t="str">
        <f>'Input - Dairy'!$D$54</f>
        <v>Milking shed</v>
      </c>
      <c r="E78" s="55" t="str">
        <f>'Input - Dairy'!$D$77</f>
        <v>Drains to paddock</v>
      </c>
      <c r="F78" s="55" cm="1">
        <f t="array" ref="F78">MMS_Dairy_ManureAppliedToSoils_Equations.VEERG_4_3_1_8__1_MassOfNitrogenAppliedToSoilsScope1(F42,_xlfn.XLOOKUP($E78,$D$22:$D$26,$E$22:$E$26),_xlfn.XLOOKUP($E78, $D$31:$D$35,$E$31:$E$35),F54,F66)</f>
        <v>127.34887988714877</v>
      </c>
      <c r="G78" s="55" cm="1">
        <f t="array" ref="G78">MMS_Dairy_ManureAppliedToSoils_Equations.VEERG_4_3_1_8__1_MassOfNitrogenAppliedToSoilsScope1(G42,_xlfn.XLOOKUP($E78,$D$22:$D$26,$E$22:$E$26),_xlfn.XLOOKUP($E78, $D$31:$D$35,$E$31:$E$35),G54,G66)</f>
        <v>109.41474160669247</v>
      </c>
      <c r="H78" s="55" cm="1">
        <f t="array" ref="H78">MMS_Dairy_ManureAppliedToSoils_Equations.VEERG_4_3_1_8__1_MassOfNitrogenAppliedToSoilsScope1(H42,_xlfn.XLOOKUP($E78,$D$22:$D$26,$E$22:$E$26),_xlfn.XLOOKUP($E78, $D$31:$D$35,$E$31:$E$35),H54,H66)</f>
        <v>43.57873447430606</v>
      </c>
      <c r="I78" s="55" cm="1">
        <f t="array" ref="I78">MMS_Dairy_ManureAppliedToSoils_Equations.VEERG_4_3_1_8__1_MassOfNitrogenAppliedToSoilsScope1(I42,_xlfn.XLOOKUP($E78,$D$22:$D$26,$E$22:$E$26),_xlfn.XLOOKUP($E78, $D$31:$D$35,$E$31:$E$35),I54,I66)</f>
        <v>137.53865744392107</v>
      </c>
      <c r="J78" s="55" cm="1">
        <f t="array" ref="J78">MMS_Dairy_ManureAppliedToSoils_Equations.VEERG_4_3_1_8__1_MassOfNitrogenAppliedToSoilsScope1(J42,_xlfn.XLOOKUP($E78,$D$22:$D$26,$E$22:$E$26),_xlfn.XLOOKUP($E78, $D$31:$D$35,$E$31:$E$35),J54,J66)</f>
        <v>57.577714247433249</v>
      </c>
      <c r="K78" s="2" t="str">
        <f t="shared" si="0"/>
        <v>kg N</v>
      </c>
      <c r="O78" s="55" t="str">
        <f>'Input - Dairy'!$D$54</f>
        <v>Milking shed</v>
      </c>
      <c r="P78" s="55" t="str">
        <f>'Input - Dairy'!$D$77</f>
        <v>Drains to paddock</v>
      </c>
      <c r="Q78" s="55" cm="1">
        <f t="array" ref="Q78">MMS_Dairy_ManureAppliedToSoils_Equations.VEERG_4_3_1_8__1_MassOfNitrogenAppliedToSoilsScope1(Q42,_xlfn.XLOOKUP($P78,$D$22:$D$26,$E$22:$E$26),_xlfn.XLOOKUP($P78, $D$31:$D$35,$E$31:$E$35),Q54,F66)</f>
        <v>127.34887988714877</v>
      </c>
      <c r="R78" s="55" cm="1">
        <f t="array" ref="R78">MMS_Dairy_ManureAppliedToSoils_Equations.VEERG_4_3_1_8__1_MassOfNitrogenAppliedToSoilsScope1(R42,_xlfn.XLOOKUP($P78,$D$22:$D$26,$E$22:$E$26),_xlfn.XLOOKUP($P78, $D$31:$D$35,$E$31:$E$35),R54,G66)</f>
        <v>109.41474160669247</v>
      </c>
      <c r="S78" s="55" cm="1">
        <f t="array" ref="S78">MMS_Dairy_ManureAppliedToSoils_Equations.VEERG_4_3_1_8__1_MassOfNitrogenAppliedToSoilsScope1(S42,_xlfn.XLOOKUP($P78,$D$22:$D$26,$E$22:$E$26),_xlfn.XLOOKUP($P78, $D$31:$D$35,$E$31:$E$35),S54,H66)</f>
        <v>43.57873447430606</v>
      </c>
      <c r="T78" s="55" cm="1">
        <f t="array" ref="T78">MMS_Dairy_ManureAppliedToSoils_Equations.VEERG_4_3_1_8__1_MassOfNitrogenAppliedToSoilsScope1(T42,_xlfn.XLOOKUP($P78,$D$22:$D$26,$E$22:$E$26),_xlfn.XLOOKUP($P78, $D$31:$D$35,$E$31:$E$35),T54,I66)</f>
        <v>137.53865744392107</v>
      </c>
      <c r="U78" s="55" cm="1">
        <f t="array" ref="U78">MMS_Dairy_ManureAppliedToSoils_Equations.VEERG_4_3_1_8__1_MassOfNitrogenAppliedToSoilsScope1(U42,_xlfn.XLOOKUP($P78,$D$22:$D$26,$E$22:$E$26),_xlfn.XLOOKUP($P78, $D$31:$D$35,$E$31:$E$35),U54,J66)</f>
        <v>57.577714247433249</v>
      </c>
      <c r="V78" s="2" t="str">
        <f t="shared" si="1"/>
        <v>kg N</v>
      </c>
    </row>
    <row r="79" spans="4:22" ht="20.100000000000001" customHeight="1" x14ac:dyDescent="0.25">
      <c r="D79" s="55" t="str">
        <f>'Input - Dairy'!$D$54</f>
        <v>Milking shed</v>
      </c>
      <c r="E79" s="55" t="str">
        <f>'Input - Dairy'!$D$82</f>
        <v>Solid storage</v>
      </c>
      <c r="F79" s="55" cm="1">
        <f t="array" ref="F79">MMS_Dairy_ManureAppliedToSoils_Equations.VEERG_4_3_1_8__1_MassOfNitrogenAppliedToSoilsScope1(F43,_xlfn.XLOOKUP($E79,$D$22:$D$26,$E$22:$E$26),_xlfn.XLOOKUP($E79, $D$31:$D$35,$E$31:$E$35),F55,F67)</f>
        <v>214.90123480956356</v>
      </c>
      <c r="G79" s="55" cm="1">
        <f t="array" ref="G79">MMS_Dairy_ManureAppliedToSoils_Equations.VEERG_4_3_1_8__1_MassOfNitrogenAppliedToSoilsScope1(G43,_xlfn.XLOOKUP($E79,$D$22:$D$26,$E$22:$E$26),_xlfn.XLOOKUP($E79, $D$31:$D$35,$E$31:$E$35),G55,G67)</f>
        <v>184.63737646129354</v>
      </c>
      <c r="H79" s="55" cm="1">
        <f t="array" ref="H79">MMS_Dairy_ManureAppliedToSoils_Equations.VEERG_4_3_1_8__1_MassOfNitrogenAppliedToSoilsScope1(H43,_xlfn.XLOOKUP($E79,$D$22:$D$26,$E$22:$E$26),_xlfn.XLOOKUP($E79, $D$31:$D$35,$E$31:$E$35),H55,H67)</f>
        <v>73.539114425391446</v>
      </c>
      <c r="I79" s="55" cm="1">
        <f t="array" ref="I79">MMS_Dairy_ManureAppliedToSoils_Equations.VEERG_4_3_1_8__1_MassOfNitrogenAppliedToSoilsScope1(I43,_xlfn.XLOOKUP($E79,$D$22:$D$26,$E$22:$E$26),_xlfn.XLOOKUP($E79, $D$31:$D$35,$E$31:$E$35),I55,I67)</f>
        <v>232.09648443661678</v>
      </c>
      <c r="J79" s="55" cm="1">
        <f t="array" ref="J79">MMS_Dairy_ManureAppliedToSoils_Equations.VEERG_4_3_1_8__1_MassOfNitrogenAppliedToSoilsScope1(J43,_xlfn.XLOOKUP($E79,$D$22:$D$26,$E$22:$E$26),_xlfn.XLOOKUP($E79, $D$31:$D$35,$E$31:$E$35),J55,J67)</f>
        <v>97.162392792543585</v>
      </c>
      <c r="K79" s="2" t="str">
        <f t="shared" si="0"/>
        <v>kg N</v>
      </c>
      <c r="O79" s="55" t="str">
        <f>'Input - Dairy'!$D$54</f>
        <v>Milking shed</v>
      </c>
      <c r="P79" s="55" t="str">
        <f>'Input - Dairy'!$D$82</f>
        <v>Solid storage</v>
      </c>
      <c r="Q79" s="55" cm="1">
        <f t="array" ref="Q79">MMS_Dairy_ManureAppliedToSoils_Equations.VEERG_4_3_1_8__1_MassOfNitrogenAppliedToSoilsScope1(Q43,_xlfn.XLOOKUP($P79,$D$22:$D$26,$E$22:$E$26),_xlfn.XLOOKUP($P79, $D$31:$D$35,$E$31:$E$35),Q55,F67)</f>
        <v>214.90123480956356</v>
      </c>
      <c r="R79" s="55" cm="1">
        <f t="array" ref="R79">MMS_Dairy_ManureAppliedToSoils_Equations.VEERG_4_3_1_8__1_MassOfNitrogenAppliedToSoilsScope1(R43,_xlfn.XLOOKUP($P79,$D$22:$D$26,$E$22:$E$26),_xlfn.XLOOKUP($P79, $D$31:$D$35,$E$31:$E$35),R55,G67)</f>
        <v>184.63737646129354</v>
      </c>
      <c r="S79" s="55" cm="1">
        <f t="array" ref="S79">MMS_Dairy_ManureAppliedToSoils_Equations.VEERG_4_3_1_8__1_MassOfNitrogenAppliedToSoilsScope1(S43,_xlfn.XLOOKUP($P79,$D$22:$D$26,$E$22:$E$26),_xlfn.XLOOKUP($P79, $D$31:$D$35,$E$31:$E$35),S55,H67)</f>
        <v>73.539114425391446</v>
      </c>
      <c r="T79" s="55" cm="1">
        <f t="array" ref="T79">MMS_Dairy_ManureAppliedToSoils_Equations.VEERG_4_3_1_8__1_MassOfNitrogenAppliedToSoilsScope1(T43,_xlfn.XLOOKUP($P79,$D$22:$D$26,$E$22:$E$26),_xlfn.XLOOKUP($P79, $D$31:$D$35,$E$31:$E$35),T55,I67)</f>
        <v>232.09648443661678</v>
      </c>
      <c r="U79" s="55" cm="1">
        <f t="array" ref="U79">MMS_Dairy_ManureAppliedToSoils_Equations.VEERG_4_3_1_8__1_MassOfNitrogenAppliedToSoilsScope1(U43,_xlfn.XLOOKUP($P79,$D$22:$D$26,$E$22:$E$26),_xlfn.XLOOKUP($P79, $D$31:$D$35,$E$31:$E$35),U55,J67)</f>
        <v>97.162392792543585</v>
      </c>
      <c r="V79" s="2" t="str">
        <f t="shared" si="1"/>
        <v>kg N</v>
      </c>
    </row>
    <row r="80" spans="4:22" ht="20.100000000000001" customHeight="1" x14ac:dyDescent="0.25">
      <c r="D80" s="55" t="str">
        <f>'Input - Dairy'!$D$55</f>
        <v>Feed pad</v>
      </c>
      <c r="E80" s="55" t="str">
        <f>'Input - Dairy'!$D$101</f>
        <v>Anaerobic lagoon</v>
      </c>
      <c r="F80" s="55" cm="1">
        <f t="array" ref="F80">MMS_Dairy_ManureAppliedToSoils_Equations.VEERG_4_3_1_8__1_MassOfNitrogenAppliedToSoilsScope1(F44,_xlfn.XLOOKUP($E80,$D$22:$D$26,$E$22:$E$26),_xlfn.XLOOKUP($E80, $D$31:$D$35,$E$31:$E$35),F56,F68)</f>
        <v>418.58708531088382</v>
      </c>
      <c r="G80" s="55" cm="1">
        <f t="array" ref="G80">MMS_Dairy_ManureAppliedToSoils_Equations.VEERG_4_3_1_8__1_MassOfNitrogenAppliedToSoilsScope1(G44,_xlfn.XLOOKUP($E80,$D$22:$D$26,$E$22:$E$26),_xlfn.XLOOKUP($E80, $D$31:$D$35,$E$31:$E$35),G56,G68)</f>
        <v>359.63879556517946</v>
      </c>
      <c r="H80" s="55" cm="1">
        <f t="array" ref="H80">MMS_Dairy_ManureAppliedToSoils_Equations.VEERG_4_3_1_8__1_MassOfNitrogenAppliedToSoilsScope1(H44,_xlfn.XLOOKUP($E80,$D$22:$D$26,$E$22:$E$26),_xlfn.XLOOKUP($E80, $D$31:$D$35,$E$31:$E$35),H56,H68)</f>
        <v>143.24032893969348</v>
      </c>
      <c r="I80" s="55" cm="1">
        <f t="array" ref="I80">MMS_Dairy_ManureAppliedToSoils_Equations.VEERG_4_3_1_8__1_MassOfNitrogenAppliedToSoilsScope1(I44,_xlfn.XLOOKUP($E80,$D$22:$D$26,$E$22:$E$26),_xlfn.XLOOKUP($E80, $D$31:$D$35,$E$31:$E$35),I56,I68)</f>
        <v>452.08018938243373</v>
      </c>
      <c r="J80" s="55" cm="1">
        <f t="array" ref="J80">MMS_Dairy_ManureAppliedToSoils_Equations.VEERG_4_3_1_8__1_MassOfNitrogenAppliedToSoilsScope1(J44,_xlfn.XLOOKUP($E80,$D$22:$D$26,$E$22:$E$26),_xlfn.XLOOKUP($E80, $D$31:$D$35,$E$31:$E$35),J56,J68)</f>
        <v>189.25402097806892</v>
      </c>
      <c r="K80" s="2" t="str">
        <f t="shared" si="0"/>
        <v>kg N</v>
      </c>
      <c r="O80" s="55" t="str">
        <f>'Input - Dairy'!$D$55</f>
        <v>Feed pad</v>
      </c>
      <c r="P80" s="55" t="str">
        <f>'Input - Dairy'!$D$101</f>
        <v>Anaerobic lagoon</v>
      </c>
      <c r="Q80" s="55" cm="1">
        <f t="array" ref="Q80">MMS_Dairy_ManureAppliedToSoils_Equations.VEERG_4_3_1_8__1_MassOfNitrogenAppliedToSoilsScope1(Q44,_xlfn.XLOOKUP($P80,$D$22:$D$26,$E$22:$E$26),_xlfn.XLOOKUP($P80, $D$31:$D$35,$E$31:$E$35),Q56,F68)</f>
        <v>418.58708531088382</v>
      </c>
      <c r="R80" s="55" cm="1">
        <f t="array" ref="R80">MMS_Dairy_ManureAppliedToSoils_Equations.VEERG_4_3_1_8__1_MassOfNitrogenAppliedToSoilsScope1(R44,_xlfn.XLOOKUP($P80,$D$22:$D$26,$E$22:$E$26),_xlfn.XLOOKUP($P80, $D$31:$D$35,$E$31:$E$35),R56,G68)</f>
        <v>359.63879556517946</v>
      </c>
      <c r="S80" s="55" cm="1">
        <f t="array" ref="S80">MMS_Dairy_ManureAppliedToSoils_Equations.VEERG_4_3_1_8__1_MassOfNitrogenAppliedToSoilsScope1(S44,_xlfn.XLOOKUP($P80,$D$22:$D$26,$E$22:$E$26),_xlfn.XLOOKUP($P80, $D$31:$D$35,$E$31:$E$35),S56,H68)</f>
        <v>143.24032893969348</v>
      </c>
      <c r="T80" s="55" cm="1">
        <f t="array" ref="T80">MMS_Dairy_ManureAppliedToSoils_Equations.VEERG_4_3_1_8__1_MassOfNitrogenAppliedToSoilsScope1(T44,_xlfn.XLOOKUP($P80,$D$22:$D$26,$E$22:$E$26),_xlfn.XLOOKUP($P80, $D$31:$D$35,$E$31:$E$35),T56,I68)</f>
        <v>452.08018938243373</v>
      </c>
      <c r="U80" s="55" cm="1">
        <f t="array" ref="U80">MMS_Dairy_ManureAppliedToSoils_Equations.VEERG_4_3_1_8__1_MassOfNitrogenAppliedToSoilsScope1(U44,_xlfn.XLOOKUP($P80,$D$22:$D$26,$E$22:$E$26),_xlfn.XLOOKUP($P80, $D$31:$D$35,$E$31:$E$35),U56,J68)</f>
        <v>189.25402097806892</v>
      </c>
      <c r="V80" s="2" t="str">
        <f t="shared" si="1"/>
        <v>kg N</v>
      </c>
    </row>
    <row r="81" spans="3:23" ht="20.100000000000001" customHeight="1" x14ac:dyDescent="0.25">
      <c r="D81" s="55" t="str">
        <f>'Input - Dairy'!$D$55</f>
        <v>Feed pad</v>
      </c>
      <c r="E81" s="55" t="str">
        <f>'Input - Dairy'!$D$106</f>
        <v>Sump and dispersal system</v>
      </c>
      <c r="F81" s="55" cm="1">
        <f t="array" ref="F81">MMS_Dairy_ManureAppliedToSoils_Equations.VEERG_4_3_1_8__1_MassOfNitrogenAppliedToSoilsScope1(F45,_xlfn.XLOOKUP($E81,$D$22:$D$26,$E$22:$E$26),_xlfn.XLOOKUP($E81, $D$31:$D$35,$E$31:$E$35),F57,F69)</f>
        <v>479.12121764815004</v>
      </c>
      <c r="G81" s="55" cm="1">
        <f t="array" ref="G81">MMS_Dairy_ManureAppliedToSoils_Equations.VEERG_4_3_1_8__1_MassOfNitrogenAppliedToSoilsScope1(G45,_xlfn.XLOOKUP($E81,$D$22:$D$26,$E$22:$E$26),_xlfn.XLOOKUP($E81, $D$31:$D$35,$E$31:$E$35),G57,G69)</f>
        <v>411.64809830845161</v>
      </c>
      <c r="H81" s="55" cm="1">
        <f t="array" ref="H81">MMS_Dairy_ManureAppliedToSoils_Equations.VEERG_4_3_1_8__1_MassOfNitrogenAppliedToSoilsScope1(H45,_xlfn.XLOOKUP($E81,$D$22:$D$26,$E$22:$E$26),_xlfn.XLOOKUP($E81, $D$31:$D$35,$E$31:$E$35),H57,H69)</f>
        <v>163.95508420174144</v>
      </c>
      <c r="I81" s="55" cm="1">
        <f t="array" ref="I81">MMS_Dairy_ManureAppliedToSoils_Equations.VEERG_4_3_1_8__1_MassOfNitrogenAppliedToSoilsScope1(I45,_xlfn.XLOOKUP($E81,$D$22:$D$26,$E$22:$E$26),_xlfn.XLOOKUP($E81, $D$31:$D$35,$E$31:$E$35),I57,I69)</f>
        <v>517.45793984697025</v>
      </c>
      <c r="J81" s="55" cm="1">
        <f t="array" ref="J81">MMS_Dairy_ManureAppliedToSoils_Equations.VEERG_4_3_1_8__1_MassOfNitrogenAppliedToSoilsScope1(J45,_xlfn.XLOOKUP($E81,$D$22:$D$26,$E$22:$E$26),_xlfn.XLOOKUP($E81, $D$31:$D$35,$E$31:$E$35),J57,J69)</f>
        <v>216.62306401182042</v>
      </c>
      <c r="K81" s="2" t="str">
        <f t="shared" si="0"/>
        <v>kg N</v>
      </c>
      <c r="O81" s="55" t="str">
        <f>'Input - Dairy'!$D$55</f>
        <v>Feed pad</v>
      </c>
      <c r="P81" s="55" t="str">
        <f>'Input - Dairy'!$D$106</f>
        <v>Sump and dispersal system</v>
      </c>
      <c r="Q81" s="55" cm="1">
        <f t="array" ref="Q81">MMS_Dairy_ManureAppliedToSoils_Equations.VEERG_4_3_1_8__1_MassOfNitrogenAppliedToSoilsScope1(Q45,_xlfn.XLOOKUP($P81,$D$22:$D$26,$E$22:$E$26),_xlfn.XLOOKUP($P81, $D$31:$D$35,$E$31:$E$35),Q57,F69)</f>
        <v>479.12121764815004</v>
      </c>
      <c r="R81" s="55" cm="1">
        <f t="array" ref="R81">MMS_Dairy_ManureAppliedToSoils_Equations.VEERG_4_3_1_8__1_MassOfNitrogenAppliedToSoilsScope1(R45,_xlfn.XLOOKUP($P81,$D$22:$D$26,$E$22:$E$26),_xlfn.XLOOKUP($P81, $D$31:$D$35,$E$31:$E$35),R57,G69)</f>
        <v>411.64809830845161</v>
      </c>
      <c r="S81" s="55" cm="1">
        <f t="array" ref="S81">MMS_Dairy_ManureAppliedToSoils_Equations.VEERG_4_3_1_8__1_MassOfNitrogenAppliedToSoilsScope1(S45,_xlfn.XLOOKUP($P81,$D$22:$D$26,$E$22:$E$26),_xlfn.XLOOKUP($P81, $D$31:$D$35,$E$31:$E$35),S57,H69)</f>
        <v>163.95508420174144</v>
      </c>
      <c r="T81" s="55" cm="1">
        <f t="array" ref="T81">MMS_Dairy_ManureAppliedToSoils_Equations.VEERG_4_3_1_8__1_MassOfNitrogenAppliedToSoilsScope1(T45,_xlfn.XLOOKUP($P81,$D$22:$D$26,$E$22:$E$26),_xlfn.XLOOKUP($P81, $D$31:$D$35,$E$31:$E$35),T57,I69)</f>
        <v>517.45793984697025</v>
      </c>
      <c r="U81" s="55" cm="1">
        <f t="array" ref="U81">MMS_Dairy_ManureAppliedToSoils_Equations.VEERG_4_3_1_8__1_MassOfNitrogenAppliedToSoilsScope1(U45,_xlfn.XLOOKUP($P81,$D$22:$D$26,$E$22:$E$26),_xlfn.XLOOKUP($P81, $D$31:$D$35,$E$31:$E$35),U57,J69)</f>
        <v>216.62306401182042</v>
      </c>
      <c r="V81" s="2" t="str">
        <f t="shared" si="1"/>
        <v>kg N</v>
      </c>
    </row>
    <row r="82" spans="3:23" ht="20.100000000000001" customHeight="1" x14ac:dyDescent="0.25">
      <c r="D82" s="55" t="str">
        <f>'Input - Dairy'!$D$55</f>
        <v>Feed pad</v>
      </c>
      <c r="E82" s="55" t="str">
        <f>'Input - Dairy'!$D$111</f>
        <v>Drains to paddock</v>
      </c>
      <c r="F82" s="55" cm="1">
        <f t="array" ref="F82">MMS_Dairy_ManureAppliedToSoils_Equations.VEERG_4_3_1_8__1_MassOfNitrogenAppliedToSoilsScope1(F46,_xlfn.XLOOKUP($E82,$D$22:$D$26,$E$22:$E$26),_xlfn.XLOOKUP($E82, $D$31:$D$35,$E$31:$E$35),F58,F70)</f>
        <v>412.14728399840874</v>
      </c>
      <c r="G82" s="55" cm="1">
        <f t="array" ref="G82">MMS_Dairy_ManureAppliedToSoils_Equations.VEERG_4_3_1_8__1_MassOfNitrogenAppliedToSoilsScope1(G46,_xlfn.XLOOKUP($E82,$D$22:$D$26,$E$22:$E$26),_xlfn.XLOOKUP($E82, $D$31:$D$35,$E$31:$E$35),G58,G70)</f>
        <v>354.10589101802293</v>
      </c>
      <c r="H82" s="55" cm="1">
        <f t="array" ref="H82">MMS_Dairy_ManureAppliedToSoils_Equations.VEERG_4_3_1_8__1_MassOfNitrogenAppliedToSoilsScope1(H46,_xlfn.XLOOKUP($E82,$D$22:$D$26,$E$22:$E$26),_xlfn.XLOOKUP($E82, $D$31:$D$35,$E$31:$E$35),H58,H70)</f>
        <v>141.0366315713905</v>
      </c>
      <c r="I82" s="55" cm="1">
        <f t="array" ref="I82">MMS_Dairy_ManureAppliedToSoils_Equations.VEERG_4_3_1_8__1_MassOfNitrogenAppliedToSoilsScope1(I46,_xlfn.XLOOKUP($E82,$D$22:$D$26,$E$22:$E$26),_xlfn.XLOOKUP($E82, $D$31:$D$35,$E$31:$E$35),I58,I70)</f>
        <v>445.1251095457809</v>
      </c>
      <c r="J82" s="55" cm="1">
        <f t="array" ref="J82">MMS_Dairy_ManureAppliedToSoils_Equations.VEERG_4_3_1_8__1_MassOfNitrogenAppliedToSoilsScope1(J46,_xlfn.XLOOKUP($E82,$D$22:$D$26,$E$22:$E$26),_xlfn.XLOOKUP($E82, $D$31:$D$35,$E$31:$E$35),J58,J70)</f>
        <v>186.34242065532939</v>
      </c>
      <c r="K82" s="2" t="str">
        <f t="shared" si="0"/>
        <v>kg N</v>
      </c>
      <c r="O82" s="55" t="str">
        <f>'Input - Dairy'!$D$55</f>
        <v>Feed pad</v>
      </c>
      <c r="P82" s="55" t="str">
        <f>'Input - Dairy'!$D$111</f>
        <v>Drains to paddock</v>
      </c>
      <c r="Q82" s="55" cm="1">
        <f t="array" ref="Q82">MMS_Dairy_ManureAppliedToSoils_Equations.VEERG_4_3_1_8__1_MassOfNitrogenAppliedToSoilsScope1(Q46,_xlfn.XLOOKUP($P82,$D$22:$D$26,$E$22:$E$26),_xlfn.XLOOKUP($P82, $D$31:$D$35,$E$31:$E$35),Q58,F70)</f>
        <v>412.14728399840874</v>
      </c>
      <c r="R82" s="55" cm="1">
        <f t="array" ref="R82">MMS_Dairy_ManureAppliedToSoils_Equations.VEERG_4_3_1_8__1_MassOfNitrogenAppliedToSoilsScope1(R46,_xlfn.XLOOKUP($P82,$D$22:$D$26,$E$22:$E$26),_xlfn.XLOOKUP($P82, $D$31:$D$35,$E$31:$E$35),R58,G70)</f>
        <v>354.10589101802293</v>
      </c>
      <c r="S82" s="55" cm="1">
        <f t="array" ref="S82">MMS_Dairy_ManureAppliedToSoils_Equations.VEERG_4_3_1_8__1_MassOfNitrogenAppliedToSoilsScope1(S46,_xlfn.XLOOKUP($P82,$D$22:$D$26,$E$22:$E$26),_xlfn.XLOOKUP($P82, $D$31:$D$35,$E$31:$E$35),S58,H70)</f>
        <v>141.0366315713905</v>
      </c>
      <c r="T82" s="55" cm="1">
        <f t="array" ref="T82">MMS_Dairy_ManureAppliedToSoils_Equations.VEERG_4_3_1_8__1_MassOfNitrogenAppliedToSoilsScope1(T46,_xlfn.XLOOKUP($P82,$D$22:$D$26,$E$22:$E$26),_xlfn.XLOOKUP($P82, $D$31:$D$35,$E$31:$E$35),T58,I70)</f>
        <v>445.1251095457809</v>
      </c>
      <c r="U82" s="55" cm="1">
        <f t="array" ref="U82">MMS_Dairy_ManureAppliedToSoils_Equations.VEERG_4_3_1_8__1_MassOfNitrogenAppliedToSoilsScope1(U46,_xlfn.XLOOKUP($P82,$D$22:$D$26,$E$22:$E$26),_xlfn.XLOOKUP($P82, $D$31:$D$35,$E$31:$E$35),U58,J70)</f>
        <v>186.34242065532939</v>
      </c>
      <c r="V82" s="2" t="str">
        <f t="shared" si="1"/>
        <v>kg N</v>
      </c>
    </row>
    <row r="83" spans="3:23" ht="20.100000000000001" customHeight="1" x14ac:dyDescent="0.25">
      <c r="D83" s="55" t="str">
        <f>'Input - Dairy'!$D$55</f>
        <v>Feed pad</v>
      </c>
      <c r="E83" s="55" t="str">
        <f>'Input - Dairy'!$D$116</f>
        <v>Solid storage</v>
      </c>
      <c r="F83" s="55" cm="1">
        <f t="array" ref="F83">MMS_Dairy_ManureAppliedToSoils_Equations.VEERG_4_3_1_8__1_MassOfNitrogenAppliedToSoilsScope1(F47,_xlfn.XLOOKUP($E83,$D$22:$D$26,$E$22:$E$26),_xlfn.XLOOKUP($E83, $D$31:$D$35,$E$31:$E$35),F59,F71)</f>
        <v>608.56122402890037</v>
      </c>
      <c r="G83" s="55" cm="1">
        <f t="array" ref="G83">MMS_Dairy_ManureAppliedToSoils_Equations.VEERG_4_3_1_8__1_MassOfNitrogenAppliedToSoilsScope1(G47,_xlfn.XLOOKUP($E83,$D$22:$D$26,$E$22:$E$26),_xlfn.XLOOKUP($E83, $D$31:$D$35,$E$31:$E$35),G59,G71)</f>
        <v>522.85947970629945</v>
      </c>
      <c r="H83" s="55" cm="1">
        <f t="array" ref="H83">MMS_Dairy_ManureAppliedToSoils_Equations.VEERG_4_3_1_8__1_MassOfNitrogenAppliedToSoilsScope1(H47,_xlfn.XLOOKUP($E83,$D$22:$D$26,$E$22:$E$26),_xlfn.XLOOKUP($E83, $D$31:$D$35,$E$31:$E$35),H59,H71)</f>
        <v>208.24940130463128</v>
      </c>
      <c r="I83" s="55" cm="1">
        <f t="array" ref="I83">MMS_Dairy_ManureAppliedToSoils_Equations.VEERG_4_3_1_8__1_MassOfNitrogenAppliedToSoilsScope1(I47,_xlfn.XLOOKUP($E83,$D$22:$D$26,$E$22:$E$26),_xlfn.XLOOKUP($E83, $D$31:$D$35,$E$31:$E$35),I59,I71)</f>
        <v>657.25504456369208</v>
      </c>
      <c r="J83" s="55" cm="1">
        <f t="array" ref="J83">MMS_Dairy_ManureAppliedToSoils_Equations.VEERG_4_3_1_8__1_MassOfNitrogenAppliedToSoilsScope1(J47,_xlfn.XLOOKUP($E83,$D$22:$D$26,$E$22:$E$26),_xlfn.XLOOKUP($E83, $D$31:$D$35,$E$31:$E$35),J59,J71)</f>
        <v>275.14623049888485</v>
      </c>
      <c r="K83" s="2" t="str">
        <f t="shared" si="0"/>
        <v>kg N</v>
      </c>
      <c r="O83" s="55" t="str">
        <f>'Input - Dairy'!$D$55</f>
        <v>Feed pad</v>
      </c>
      <c r="P83" s="55" t="str">
        <f>'Input - Dairy'!$D$116</f>
        <v>Solid storage</v>
      </c>
      <c r="Q83" s="55" cm="1">
        <f t="array" ref="Q83">MMS_Dairy_ManureAppliedToSoils_Equations.VEERG_4_3_1_8__1_MassOfNitrogenAppliedToSoilsScope1(Q47,_xlfn.XLOOKUP($P83,$D$22:$D$26,$E$22:$E$26),_xlfn.XLOOKUP($P83, $D$31:$D$35,$E$31:$E$35),Q59,F71)</f>
        <v>608.56122402890037</v>
      </c>
      <c r="R83" s="55" cm="1">
        <f t="array" ref="R83">MMS_Dairy_ManureAppliedToSoils_Equations.VEERG_4_3_1_8__1_MassOfNitrogenAppliedToSoilsScope1(R47,_xlfn.XLOOKUP($P83,$D$22:$D$26,$E$22:$E$26),_xlfn.XLOOKUP($P83, $D$31:$D$35,$E$31:$E$35),R59,G71)</f>
        <v>522.85947970629945</v>
      </c>
      <c r="S83" s="55" cm="1">
        <f t="array" ref="S83">MMS_Dairy_ManureAppliedToSoils_Equations.VEERG_4_3_1_8__1_MassOfNitrogenAppliedToSoilsScope1(S47,_xlfn.XLOOKUP($P83,$D$22:$D$26,$E$22:$E$26),_xlfn.XLOOKUP($P83, $D$31:$D$35,$E$31:$E$35),S59,H71)</f>
        <v>208.24940130463128</v>
      </c>
      <c r="T83" s="55" cm="1">
        <f t="array" ref="T83">MMS_Dairy_ManureAppliedToSoils_Equations.VEERG_4_3_1_8__1_MassOfNitrogenAppliedToSoilsScope1(T47,_xlfn.XLOOKUP($P83,$D$22:$D$26,$E$22:$E$26),_xlfn.XLOOKUP($P83, $D$31:$D$35,$E$31:$E$35),T59,I71)</f>
        <v>657.25504456369208</v>
      </c>
      <c r="U83" s="55" cm="1">
        <f t="array" ref="U83">MMS_Dairy_ManureAppliedToSoils_Equations.VEERG_4_3_1_8__1_MassOfNitrogenAppliedToSoilsScope1(U47,_xlfn.XLOOKUP($P83,$D$22:$D$26,$E$22:$E$26),_xlfn.XLOOKUP($P83, $D$31:$D$35,$E$31:$E$35),U59,J71)</f>
        <v>275.14623049888485</v>
      </c>
      <c r="V83" s="2" t="str">
        <f t="shared" si="1"/>
        <v>kg N</v>
      </c>
    </row>
    <row r="84" spans="3:23" ht="20.100000000000001" customHeight="1" x14ac:dyDescent="0.25"/>
    <row r="85" spans="3:23" ht="20.100000000000001" customHeight="1" x14ac:dyDescent="0.25">
      <c r="D85" s="108" t="s">
        <v>136</v>
      </c>
      <c r="E85" s="109">
        <f>SUM(F76:J83)</f>
        <v>9379.260858797159</v>
      </c>
      <c r="F85" s="110" t="str">
        <f>$E$11</f>
        <v>kg N</v>
      </c>
    </row>
    <row r="86" spans="3:23" ht="20.100000000000001" customHeight="1" x14ac:dyDescent="0.25"/>
    <row r="87" spans="3:23" ht="20.100000000000001" customHeight="1" x14ac:dyDescent="0.25"/>
    <row r="88" spans="3: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c r="H93" s="114" t="s">
        <v>401</v>
      </c>
    </row>
    <row r="94" spans="3:23" ht="20.100000000000001" customHeight="1" x14ac:dyDescent="0.25">
      <c r="D94" s="56" t="s">
        <v>31</v>
      </c>
      <c r="E94" s="1" t="str" cm="1">
        <f t="array" ref="E94">MMS_Dairy_ManureAppliedToSoils_Equations.VEERG_4_3_1_8__2_MassOfNitrogenAppliedToSoilsScope3_Variable()</f>
        <v>MNSoil_scope3</v>
      </c>
    </row>
    <row r="95" spans="3:23" ht="20.100000000000001" customHeight="1" x14ac:dyDescent="0.25">
      <c r="D95" s="56" t="s">
        <v>21</v>
      </c>
      <c r="E95" s="57"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15" t="str" cm="1">
        <f t="array" ref="D97:E101">MMS_Dairy_ManureAppliedToSoils_Equations.VEERG_4_3_1_8__2_MassOfNitrogenAppliedToSoilsScope3_Arguments()</f>
        <v>MN_jm</v>
      </c>
      <c r="E97" s="117" t="str">
        <v>total nitrogen in each MMS for dairy cattle classes (kg N)</v>
      </c>
      <c r="F97" s="140"/>
      <c r="G97" s="116"/>
      <c r="H97" s="115" t="str">
        <f>"See " &amp; D37</f>
        <v>See M1_Table_MN_j_m</v>
      </c>
    </row>
    <row r="98" spans="4:22" ht="20.100000000000001" customHeight="1" x14ac:dyDescent="0.25">
      <c r="D98" s="115" t="str">
        <v>EF_m</v>
      </c>
      <c r="E98" s="117" t="str">
        <v>emission factor for nitrous oxide emissions per MMS (kg N2O-N/kg N)</v>
      </c>
      <c r="F98" s="140"/>
      <c r="G98" s="116"/>
      <c r="H98" s="115" t="str">
        <f>"See " &amp; $D$19</f>
        <v>See Table_EF_m</v>
      </c>
    </row>
    <row r="99" spans="4:22" ht="20.100000000000001" customHeight="1" x14ac:dyDescent="0.25">
      <c r="D99" s="115" t="str">
        <v>FracGASM_m</v>
      </c>
      <c r="E99" s="117" t="str">
        <v>fraction of N volatilised from MMS</v>
      </c>
      <c r="F99" s="140"/>
      <c r="G99" s="116"/>
      <c r="H99" s="115" t="str">
        <f>"See " &amp; $D$28</f>
        <v>See Table_FracGASM_m</v>
      </c>
    </row>
    <row r="100" spans="4:22" ht="20.100000000000001" customHeight="1" x14ac:dyDescent="0.25">
      <c r="D100" s="115" t="str">
        <v>MNLeach_jm</v>
      </c>
      <c r="E100" s="117" t="str">
        <v>mass of N lost through leaching and runoff from each MMS (kg N)</v>
      </c>
      <c r="F100" s="140"/>
      <c r="G100" s="116"/>
      <c r="H100" s="115" t="str">
        <f>"See " &amp; D49</f>
        <v>See M1_Table_MN_leach_j_m</v>
      </c>
    </row>
    <row r="101" spans="4:22" ht="20.100000000000001" customHeight="1" x14ac:dyDescent="0.25">
      <c r="D101" s="115" t="str">
        <v>PF</v>
      </c>
      <c r="E101" s="117" t="str">
        <v>fraction of manure applied to soil within farm boundary</v>
      </c>
      <c r="F101" s="140"/>
      <c r="G101" s="116"/>
      <c r="H101" s="115" t="str">
        <f>"See " &amp; D61</f>
        <v>See Table_PF_scope</v>
      </c>
    </row>
    <row r="102" spans="4:22" ht="20.100000000000001" customHeight="1" x14ac:dyDescent="0.25"/>
    <row r="103" spans="4:22" ht="20.100000000000001" customHeight="1" x14ac:dyDescent="0.25">
      <c r="D103" s="104" t="s">
        <v>364</v>
      </c>
      <c r="O103" s="104" t="s">
        <v>370</v>
      </c>
    </row>
    <row r="104" spans="4:22" ht="20.100000000000001" customHeight="1" x14ac:dyDescent="0.25">
      <c r="D104" s="103" t="s">
        <v>365</v>
      </c>
      <c r="O104" s="103" t="s">
        <v>371</v>
      </c>
    </row>
    <row r="105" spans="4:22" ht="20.100000000000001" customHeight="1" x14ac:dyDescent="0.25">
      <c r="D105" s="54" t="s">
        <v>152</v>
      </c>
      <c r="E105" s="54" t="s">
        <v>69</v>
      </c>
      <c r="F105" s="54" t="s">
        <v>178</v>
      </c>
      <c r="G105" s="54" t="s">
        <v>195</v>
      </c>
      <c r="H105" s="54" t="s">
        <v>196</v>
      </c>
      <c r="I105" s="54" t="s">
        <v>197</v>
      </c>
      <c r="J105" s="54" t="s">
        <v>198</v>
      </c>
      <c r="O105" s="54" t="s">
        <v>152</v>
      </c>
      <c r="P105" s="54" t="s">
        <v>69</v>
      </c>
      <c r="Q105" s="54" t="s">
        <v>178</v>
      </c>
      <c r="R105" s="54" t="s">
        <v>195</v>
      </c>
      <c r="S105" s="54" t="s">
        <v>196</v>
      </c>
      <c r="T105" s="54" t="s">
        <v>197</v>
      </c>
      <c r="U105" s="54" t="s">
        <v>198</v>
      </c>
    </row>
    <row r="106" spans="4:22" ht="20.100000000000001" customHeight="1" x14ac:dyDescent="0.25">
      <c r="D106" s="55" t="str">
        <f>'Input - Dairy'!$D$54</f>
        <v>Milking shed</v>
      </c>
      <c r="E106" s="55" t="str">
        <f>'Input - Dairy'!$D$67</f>
        <v>Anaerobic lagoon</v>
      </c>
      <c r="F106" s="55" cm="1">
        <f t="array" ref="F106">MMS_Dairy_ManureAppliedToSoils_Equations.VEERG_4_3_1_8__2_MassOfNitrogenAppliedToSoilsScope3(F40, _xlfn.XLOOKUP($E106, $D$22:$D$26,$E$22:$E$26), _xlfn.XLOOKUP($E106,$D$31:$D$35,$E$31:$E$35),F52, F64)</f>
        <v>34.490321636102792</v>
      </c>
      <c r="G106" s="55" cm="1">
        <f t="array" ref="G106">MMS_Dairy_ManureAppliedToSoils_Equations.VEERG_4_3_1_8__2_MassOfNitrogenAppliedToSoilsScope3(G40, _xlfn.XLOOKUP($E106, $D$22:$D$26,$E$22:$E$26), _xlfn.XLOOKUP($E106,$D$31:$D$35,$E$31:$E$35),G52, G64)</f>
        <v>29.633159185145878</v>
      </c>
      <c r="H106" s="55" cm="1">
        <f t="array" ref="H106">MMS_Dairy_ManureAppliedToSoils_Equations.VEERG_4_3_1_8__2_MassOfNitrogenAppliedToSoilsScope3(H40, _xlfn.XLOOKUP($E106, $D$22:$D$26,$E$22:$E$26), _xlfn.XLOOKUP($E106,$D$31:$D$35,$E$31:$E$35),H52, H64)</f>
        <v>11.802573920124557</v>
      </c>
      <c r="I106" s="55" cm="1">
        <f t="array" ref="I106">MMS_Dairy_ManureAppliedToSoils_Equations.VEERG_4_3_1_8__2_MassOfNitrogenAppliedToSoilsScope3(I40, _xlfn.XLOOKUP($E106, $D$22:$D$26,$E$22:$E$26), _xlfn.XLOOKUP($E106,$D$31:$D$35,$E$31:$E$35),I52, I64)</f>
        <v>37.250053057728621</v>
      </c>
      <c r="J106" s="55" cm="1">
        <f t="array" ref="J106">MMS_Dairy_ManureAppliedToSoils_Equations.VEERG_4_3_1_8__2_MassOfNitrogenAppliedToSoilsScope3(J40, _xlfn.XLOOKUP($E106, $D$22:$D$26,$E$22:$E$26), _xlfn.XLOOKUP($E106,$D$31:$D$35,$E$31:$E$35),J52, J64)</f>
        <v>15.593964275346504</v>
      </c>
      <c r="K106" s="2" t="str">
        <f t="shared" ref="K106:K113" si="2">$E$95</f>
        <v>kg N</v>
      </c>
      <c r="O106" s="55" t="str">
        <f>'Input - Dairy'!$D$54</f>
        <v>Milking shed</v>
      </c>
      <c r="P106" s="55" t="str">
        <f>'Input - Dairy'!$D$67</f>
        <v>Anaerobic lagoon</v>
      </c>
      <c r="Q106" s="55" cm="1">
        <f t="array" ref="Q106">MMS_Dairy_ManureAppliedToSoils_Equations.VEERG_4_3_1_8__2_MassOfNitrogenAppliedToSoilsScope3(Q40, _xlfn.XLOOKUP($P106, $D$22:$D$26,$E$22:$E$26), _xlfn.XLOOKUP($P106,$D$31:$D$35,$E$31:$E$35),Q52, Q64)</f>
        <v>137.96128654441117</v>
      </c>
      <c r="R106" s="55" cm="1">
        <f t="array" ref="R106">MMS_Dairy_ManureAppliedToSoils_Equations.VEERG_4_3_1_8__2_MassOfNitrogenAppliedToSoilsScope3(R40, _xlfn.XLOOKUP($P106, $D$22:$D$26,$E$22:$E$26), _xlfn.XLOOKUP($P106,$D$31:$D$35,$E$31:$E$35),R52, R64)</f>
        <v>118.53263674058351</v>
      </c>
      <c r="S106" s="55" cm="1">
        <f t="array" ref="S106">MMS_Dairy_ManureAppliedToSoils_Equations.VEERG_4_3_1_8__2_MassOfNitrogenAppliedToSoilsScope3(S40, _xlfn.XLOOKUP($P106, $D$22:$D$26,$E$22:$E$26), _xlfn.XLOOKUP($P106,$D$31:$D$35,$E$31:$E$35),S52, S64)</f>
        <v>47.210295680498227</v>
      </c>
      <c r="T106" s="55" cm="1">
        <f t="array" ref="T106">MMS_Dairy_ManureAppliedToSoils_Equations.VEERG_4_3_1_8__2_MassOfNitrogenAppliedToSoilsScope3(T40, _xlfn.XLOOKUP($P106, $D$22:$D$26,$E$22:$E$26), _xlfn.XLOOKUP($P106,$D$31:$D$35,$E$31:$E$35),T52, T64)</f>
        <v>149.00021223091449</v>
      </c>
      <c r="U106" s="55" cm="1">
        <f t="array" ref="U106">MMS_Dairy_ManureAppliedToSoils_Equations.VEERG_4_3_1_8__2_MassOfNitrogenAppliedToSoilsScope3(U40, _xlfn.XLOOKUP($P106, $D$22:$D$26,$E$22:$E$26), _xlfn.XLOOKUP($P106,$D$31:$D$35,$E$31:$E$35),U52, U64)</f>
        <v>62.375857101386018</v>
      </c>
      <c r="V106" s="2" t="str">
        <f t="shared" ref="V106:V113" si="3">$E$95</f>
        <v>kg N</v>
      </c>
    </row>
    <row r="107" spans="4:22" ht="20.100000000000001" customHeight="1" x14ac:dyDescent="0.25">
      <c r="D107" s="55" t="str">
        <f>'Input - Dairy'!$D$54</f>
        <v>Milking shed</v>
      </c>
      <c r="E107" s="55" t="str">
        <f>'Input - Dairy'!$D$72</f>
        <v>Sump and dispersal system</v>
      </c>
      <c r="F107" s="55" cm="1">
        <f t="array" ref="F107">MMS_Dairy_ManureAppliedToSoils_Equations.VEERG_4_3_1_8__2_MassOfNitrogenAppliedToSoilsScope3(F41, _xlfn.XLOOKUP($E107, $D$22:$D$26,$E$22:$E$26), _xlfn.XLOOKUP($E107,$D$31:$D$35,$E$31:$E$35),F53, F65)</f>
        <v>49.347690956270142</v>
      </c>
      <c r="G107" s="55" cm="1">
        <f t="array" ref="G107">MMS_Dairy_ManureAppliedToSoils_Equations.VEERG_4_3_1_8__2_MassOfNitrogenAppliedToSoilsScope3(G41, _xlfn.XLOOKUP($E107, $D$22:$D$26,$E$22:$E$26), _xlfn.XLOOKUP($E107,$D$31:$D$35,$E$31:$E$35),G53, G65)</f>
        <v>42.398212372593328</v>
      </c>
      <c r="H107" s="55" cm="1">
        <f t="array" ref="H107">MMS_Dairy_ManureAppliedToSoils_Equations.VEERG_4_3_1_8__2_MassOfNitrogenAppliedToSoilsScope3(H41, _xlfn.XLOOKUP($E107, $D$22:$D$26,$E$22:$E$26), _xlfn.XLOOKUP($E107,$D$31:$D$35,$E$31:$E$35),H53, H65)</f>
        <v>16.886759608793596</v>
      </c>
      <c r="I107" s="55" cm="1">
        <f t="array" ref="I107">MMS_Dairy_ManureAppliedToSoils_Equations.VEERG_4_3_1_8__2_MassOfNitrogenAppliedToSoilsScope3(I41, _xlfn.XLOOKUP($E107, $D$22:$D$26,$E$22:$E$26), _xlfn.XLOOKUP($E107,$D$31:$D$35,$E$31:$E$35),I53, I65)</f>
        <v>53.296229759519406</v>
      </c>
      <c r="J107" s="55" cm="1">
        <f t="array" ref="J107">MMS_Dairy_ManureAppliedToSoils_Equations.VEERG_4_3_1_8__2_MassOfNitrogenAppliedToSoilsScope3(J41, _xlfn.XLOOKUP($E107, $D$22:$D$26,$E$22:$E$26), _xlfn.XLOOKUP($E107,$D$31:$D$35,$E$31:$E$35),J53, J65)</f>
        <v>22.311364270880382</v>
      </c>
      <c r="K107" s="2" t="str">
        <f t="shared" si="2"/>
        <v>kg N</v>
      </c>
      <c r="O107" s="55" t="str">
        <f>'Input - Dairy'!$D$54</f>
        <v>Milking shed</v>
      </c>
      <c r="P107" s="55" t="str">
        <f>'Input - Dairy'!$D$72</f>
        <v>Sump and dispersal system</v>
      </c>
      <c r="Q107" s="55" cm="1">
        <f t="array" ref="Q107">MMS_Dairy_ManureAppliedToSoils_Equations.VEERG_4_3_1_8__2_MassOfNitrogenAppliedToSoilsScope3(Q41, _xlfn.XLOOKUP($P107, $D$22:$D$26,$E$22:$E$26), _xlfn.XLOOKUP($P107,$D$31:$D$35,$E$31:$E$35),Q53, Q65)</f>
        <v>197.39076382508057</v>
      </c>
      <c r="R107" s="55" cm="1">
        <f t="array" ref="R107">MMS_Dairy_ManureAppliedToSoils_Equations.VEERG_4_3_1_8__2_MassOfNitrogenAppliedToSoilsScope3(R41, _xlfn.XLOOKUP($P107, $D$22:$D$26,$E$22:$E$26), _xlfn.XLOOKUP($P107,$D$31:$D$35,$E$31:$E$35),R53, R65)</f>
        <v>169.59284949037331</v>
      </c>
      <c r="S107" s="55" cm="1">
        <f t="array" ref="S107">MMS_Dairy_ManureAppliedToSoils_Equations.VEERG_4_3_1_8__2_MassOfNitrogenAppliedToSoilsScope3(S41, _xlfn.XLOOKUP($P107, $D$22:$D$26,$E$22:$E$26), _xlfn.XLOOKUP($P107,$D$31:$D$35,$E$31:$E$35),S53, S65)</f>
        <v>67.547038435174386</v>
      </c>
      <c r="T107" s="55" cm="1">
        <f t="array" ref="T107">MMS_Dairy_ManureAppliedToSoils_Equations.VEERG_4_3_1_8__2_MassOfNitrogenAppliedToSoilsScope3(T41, _xlfn.XLOOKUP($P107, $D$22:$D$26,$E$22:$E$26), _xlfn.XLOOKUP($P107,$D$31:$D$35,$E$31:$E$35),T53, T65)</f>
        <v>213.18491903807762</v>
      </c>
      <c r="U107" s="55" cm="1">
        <f t="array" ref="U107">MMS_Dairy_ManureAppliedToSoils_Equations.VEERG_4_3_1_8__2_MassOfNitrogenAppliedToSoilsScope3(U41, _xlfn.XLOOKUP($P107, $D$22:$D$26,$E$22:$E$26), _xlfn.XLOOKUP($P107,$D$31:$D$35,$E$31:$E$35),U53, U65)</f>
        <v>89.245457083521529</v>
      </c>
      <c r="V107" s="2" t="str">
        <f t="shared" si="3"/>
        <v>kg N</v>
      </c>
    </row>
    <row r="108" spans="4:22" ht="20.100000000000001" customHeight="1" x14ac:dyDescent="0.25">
      <c r="D108" s="55" t="str">
        <f>'Input - Dairy'!$D$54</f>
        <v>Milking shed</v>
      </c>
      <c r="E108" s="55" t="str">
        <f>'Input - Dairy'!$D$77</f>
        <v>Drains to paddock</v>
      </c>
      <c r="F108" s="55" cm="1">
        <f t="array" ref="F108">MMS_Dairy_ManureAppliedToSoils_Equations.VEERG_4_3_1_8__2_MassOfNitrogenAppliedToSoilsScope3(F42, _xlfn.XLOOKUP($E108, $D$22:$D$26,$E$22:$E$26), _xlfn.XLOOKUP($E108,$D$31:$D$35,$E$31:$E$35),F54, F66)</f>
        <v>42.44962662904959</v>
      </c>
      <c r="G108" s="55" cm="1">
        <f t="array" ref="G108">MMS_Dairy_ManureAppliedToSoils_Equations.VEERG_4_3_1_8__2_MassOfNitrogenAppliedToSoilsScope3(G42, _xlfn.XLOOKUP($E108, $D$22:$D$26,$E$22:$E$26), _xlfn.XLOOKUP($E108,$D$31:$D$35,$E$31:$E$35),G54, G66)</f>
        <v>36.471580535564158</v>
      </c>
      <c r="H108" s="55" cm="1">
        <f t="array" ref="H108">MMS_Dairy_ManureAppliedToSoils_Equations.VEERG_4_3_1_8__2_MassOfNitrogenAppliedToSoilsScope3(H42, _xlfn.XLOOKUP($E108, $D$22:$D$26,$E$22:$E$26), _xlfn.XLOOKUP($E108,$D$31:$D$35,$E$31:$E$35),H54, H66)</f>
        <v>14.526244824768686</v>
      </c>
      <c r="I108" s="55" cm="1">
        <f t="array" ref="I108">MMS_Dairy_ManureAppliedToSoils_Equations.VEERG_4_3_1_8__2_MassOfNitrogenAppliedToSoilsScope3(I42, _xlfn.XLOOKUP($E108, $D$22:$D$26,$E$22:$E$26), _xlfn.XLOOKUP($E108,$D$31:$D$35,$E$31:$E$35),I54, I66)</f>
        <v>45.846219147973692</v>
      </c>
      <c r="J108" s="55" cm="1">
        <f t="array" ref="J108">MMS_Dairy_ManureAppliedToSoils_Equations.VEERG_4_3_1_8__2_MassOfNitrogenAppliedToSoilsScope3(J42, _xlfn.XLOOKUP($E108, $D$22:$D$26,$E$22:$E$26), _xlfn.XLOOKUP($E108,$D$31:$D$35,$E$31:$E$35),J54, J66)</f>
        <v>19.192571415811084</v>
      </c>
      <c r="K108" s="2" t="str">
        <f t="shared" si="2"/>
        <v>kg N</v>
      </c>
      <c r="O108" s="55" t="str">
        <f>'Input - Dairy'!$D$54</f>
        <v>Milking shed</v>
      </c>
      <c r="P108" s="55" t="str">
        <f>'Input - Dairy'!$D$77</f>
        <v>Drains to paddock</v>
      </c>
      <c r="Q108" s="55" cm="1">
        <f t="array" ref="Q108">MMS_Dairy_ManureAppliedToSoils_Equations.VEERG_4_3_1_8__2_MassOfNitrogenAppliedToSoilsScope3(Q42, _xlfn.XLOOKUP($P108, $D$22:$D$26,$E$22:$E$26), _xlfn.XLOOKUP($P108,$D$31:$D$35,$E$31:$E$35),Q54, Q66)</f>
        <v>169.79850651619836</v>
      </c>
      <c r="R108" s="55" cm="1">
        <f t="array" ref="R108">MMS_Dairy_ManureAppliedToSoils_Equations.VEERG_4_3_1_8__2_MassOfNitrogenAppliedToSoilsScope3(R42, _xlfn.XLOOKUP($P108, $D$22:$D$26,$E$22:$E$26), _xlfn.XLOOKUP($P108,$D$31:$D$35,$E$31:$E$35),R54, R66)</f>
        <v>145.88632214225663</v>
      </c>
      <c r="S108" s="55" cm="1">
        <f t="array" ref="S108">MMS_Dairy_ManureAppliedToSoils_Equations.VEERG_4_3_1_8__2_MassOfNitrogenAppliedToSoilsScope3(S42, _xlfn.XLOOKUP($P108, $D$22:$D$26,$E$22:$E$26), _xlfn.XLOOKUP($P108,$D$31:$D$35,$E$31:$E$35),S54, S66)</f>
        <v>58.104979299074742</v>
      </c>
      <c r="T108" s="55" cm="1">
        <f t="array" ref="T108">MMS_Dairy_ManureAppliedToSoils_Equations.VEERG_4_3_1_8__2_MassOfNitrogenAppliedToSoilsScope3(T42, _xlfn.XLOOKUP($P108, $D$22:$D$26,$E$22:$E$26), _xlfn.XLOOKUP($P108,$D$31:$D$35,$E$31:$E$35),T54, T66)</f>
        <v>183.38487659189477</v>
      </c>
      <c r="U108" s="55" cm="1">
        <f t="array" ref="U108">MMS_Dairy_ManureAppliedToSoils_Equations.VEERG_4_3_1_8__2_MassOfNitrogenAppliedToSoilsScope3(U42, _xlfn.XLOOKUP($P108, $D$22:$D$26,$E$22:$E$26), _xlfn.XLOOKUP($P108,$D$31:$D$35,$E$31:$E$35),U54, U66)</f>
        <v>76.770285663244337</v>
      </c>
      <c r="V108" s="2" t="str">
        <f t="shared" si="3"/>
        <v>kg N</v>
      </c>
    </row>
    <row r="109" spans="4:22" ht="20.100000000000001" customHeight="1" x14ac:dyDescent="0.25">
      <c r="D109" s="55" t="str">
        <f>'Input - Dairy'!$D$54</f>
        <v>Milking shed</v>
      </c>
      <c r="E109" s="55" t="str">
        <f>'Input - Dairy'!$D$82</f>
        <v>Solid storage</v>
      </c>
      <c r="F109" s="55" cm="1">
        <f t="array" ref="F109">MMS_Dairy_ManureAppliedToSoils_Equations.VEERG_4_3_1_8__2_MassOfNitrogenAppliedToSoilsScope3(F43, _xlfn.XLOOKUP($E109, $D$22:$D$26,$E$22:$E$26), _xlfn.XLOOKUP($E109,$D$31:$D$35,$E$31:$E$35),F55, F67)</f>
        <v>71.633744936521182</v>
      </c>
      <c r="G109" s="55" cm="1">
        <f t="array" ref="G109">MMS_Dairy_ManureAppliedToSoils_Equations.VEERG_4_3_1_8__2_MassOfNitrogenAppliedToSoilsScope3(G43, _xlfn.XLOOKUP($E109, $D$22:$D$26,$E$22:$E$26), _xlfn.XLOOKUP($E109,$D$31:$D$35,$E$31:$E$35),G55, G67)</f>
        <v>61.545792153764516</v>
      </c>
      <c r="H109" s="55" cm="1">
        <f t="array" ref="H109">MMS_Dairy_ManureAppliedToSoils_Equations.VEERG_4_3_1_8__2_MassOfNitrogenAppliedToSoilsScope3(H43, _xlfn.XLOOKUP($E109, $D$22:$D$26,$E$22:$E$26), _xlfn.XLOOKUP($E109,$D$31:$D$35,$E$31:$E$35),H55, H67)</f>
        <v>24.51303814179715</v>
      </c>
      <c r="I109" s="55" cm="1">
        <f t="array" ref="I109">MMS_Dairy_ManureAppliedToSoils_Equations.VEERG_4_3_1_8__2_MassOfNitrogenAppliedToSoilsScope3(I43, _xlfn.XLOOKUP($E109, $D$22:$D$26,$E$22:$E$26), _xlfn.XLOOKUP($E109,$D$31:$D$35,$E$31:$E$35),I55, I67)</f>
        <v>77.365494812205597</v>
      </c>
      <c r="J109" s="55" cm="1">
        <f t="array" ref="J109">MMS_Dairy_ManureAppliedToSoils_Equations.VEERG_4_3_1_8__2_MassOfNitrogenAppliedToSoilsScope3(J43, _xlfn.XLOOKUP($E109, $D$22:$D$26,$E$22:$E$26), _xlfn.XLOOKUP($E109,$D$31:$D$35,$E$31:$E$35),J55, J67)</f>
        <v>32.387464264181197</v>
      </c>
      <c r="K109" s="2" t="str">
        <f t="shared" si="2"/>
        <v>kg N</v>
      </c>
      <c r="O109" s="55" t="str">
        <f>'Input - Dairy'!$D$54</f>
        <v>Milking shed</v>
      </c>
      <c r="P109" s="55" t="str">
        <f>'Input - Dairy'!$D$82</f>
        <v>Solid storage</v>
      </c>
      <c r="Q109" s="55" cm="1">
        <f t="array" ref="Q109">MMS_Dairy_ManureAppliedToSoils_Equations.VEERG_4_3_1_8__2_MassOfNitrogenAppliedToSoilsScope3(Q43, _xlfn.XLOOKUP($P109, $D$22:$D$26,$E$22:$E$26), _xlfn.XLOOKUP($P109,$D$31:$D$35,$E$31:$E$35),Q55, Q67)</f>
        <v>286.53497974608473</v>
      </c>
      <c r="R109" s="55" cm="1">
        <f t="array" ref="R109">MMS_Dairy_ManureAppliedToSoils_Equations.VEERG_4_3_1_8__2_MassOfNitrogenAppliedToSoilsScope3(R43, _xlfn.XLOOKUP($P109, $D$22:$D$26,$E$22:$E$26), _xlfn.XLOOKUP($P109,$D$31:$D$35,$E$31:$E$35),R55, R67)</f>
        <v>246.18316861505807</v>
      </c>
      <c r="S109" s="55" cm="1">
        <f t="array" ref="S109">MMS_Dairy_ManureAppliedToSoils_Equations.VEERG_4_3_1_8__2_MassOfNitrogenAppliedToSoilsScope3(S43, _xlfn.XLOOKUP($P109, $D$22:$D$26,$E$22:$E$26), _xlfn.XLOOKUP($P109,$D$31:$D$35,$E$31:$E$35),S55, S67)</f>
        <v>98.0521525671886</v>
      </c>
      <c r="T109" s="55" cm="1">
        <f t="array" ref="T109">MMS_Dairy_ManureAppliedToSoils_Equations.VEERG_4_3_1_8__2_MassOfNitrogenAppliedToSoilsScope3(T43, _xlfn.XLOOKUP($P109, $D$22:$D$26,$E$22:$E$26), _xlfn.XLOOKUP($P109,$D$31:$D$35,$E$31:$E$35),T55, T67)</f>
        <v>309.46197924882239</v>
      </c>
      <c r="U109" s="55" cm="1">
        <f t="array" ref="U109">MMS_Dairy_ManureAppliedToSoils_Equations.VEERG_4_3_1_8__2_MassOfNitrogenAppliedToSoilsScope3(U43, _xlfn.XLOOKUP($P109, $D$22:$D$26,$E$22:$E$26), _xlfn.XLOOKUP($P109,$D$31:$D$35,$E$31:$E$35),U55, U67)</f>
        <v>129.54985705672479</v>
      </c>
      <c r="V109" s="2" t="str">
        <f t="shared" si="3"/>
        <v>kg N</v>
      </c>
    </row>
    <row r="110" spans="4:22" ht="20.100000000000001" customHeight="1" x14ac:dyDescent="0.25">
      <c r="D110" s="55" t="str">
        <f>'Input - Dairy'!$D$55</f>
        <v>Feed pad</v>
      </c>
      <c r="E110" s="55" t="str">
        <f>'Input - Dairy'!$D$101</f>
        <v>Anaerobic lagoon</v>
      </c>
      <c r="F110" s="55" cm="1">
        <f t="array" ref="F110">MMS_Dairy_ManureAppliedToSoils_Equations.VEERG_4_3_1_8__2_MassOfNitrogenAppliedToSoilsScope3(F44, _xlfn.XLOOKUP($E110, $D$22:$D$26,$E$22:$E$26), _xlfn.XLOOKUP($E110,$D$31:$D$35,$E$31:$E$35),F56, F68)</f>
        <v>139.52902843696128</v>
      </c>
      <c r="G110" s="55" cm="1">
        <f t="array" ref="G110">MMS_Dairy_ManureAppliedToSoils_Equations.VEERG_4_3_1_8__2_MassOfNitrogenAppliedToSoilsScope3(G44, _xlfn.XLOOKUP($E110, $D$22:$D$26,$E$22:$E$26), _xlfn.XLOOKUP($E110,$D$31:$D$35,$E$31:$E$35),G56, G68)</f>
        <v>119.87959852172649</v>
      </c>
      <c r="H110" s="55" cm="1">
        <f t="array" ref="H110">MMS_Dairy_ManureAppliedToSoils_Equations.VEERG_4_3_1_8__2_MassOfNitrogenAppliedToSoilsScope3(H44, _xlfn.XLOOKUP($E110, $D$22:$D$26,$E$22:$E$26), _xlfn.XLOOKUP($E110,$D$31:$D$35,$E$31:$E$35),H56, H68)</f>
        <v>47.746776313231159</v>
      </c>
      <c r="I110" s="55" cm="1">
        <f t="array" ref="I110">MMS_Dairy_ManureAppliedToSoils_Equations.VEERG_4_3_1_8__2_MassOfNitrogenAppliedToSoilsScope3(I44, _xlfn.XLOOKUP($E110, $D$22:$D$26,$E$22:$E$26), _xlfn.XLOOKUP($E110,$D$31:$D$35,$E$31:$E$35),I56, I68)</f>
        <v>150.69339646081124</v>
      </c>
      <c r="J110" s="55" cm="1">
        <f t="array" ref="J110">MMS_Dairy_ManureAppliedToSoils_Equations.VEERG_4_3_1_8__2_MassOfNitrogenAppliedToSoilsScope3(J44, _xlfn.XLOOKUP($E110, $D$22:$D$26,$E$22:$E$26), _xlfn.XLOOKUP($E110,$D$31:$D$35,$E$31:$E$35),J56, J68)</f>
        <v>63.084673659356305</v>
      </c>
      <c r="K110" s="2" t="str">
        <f t="shared" si="2"/>
        <v>kg N</v>
      </c>
      <c r="O110" s="55" t="str">
        <f>'Input - Dairy'!$D$55</f>
        <v>Feed pad</v>
      </c>
      <c r="P110" s="55" t="str">
        <f>'Input - Dairy'!$D$101</f>
        <v>Anaerobic lagoon</v>
      </c>
      <c r="Q110" s="55" cm="1">
        <f t="array" ref="Q110">MMS_Dairy_ManureAppliedToSoils_Equations.VEERG_4_3_1_8__2_MassOfNitrogenAppliedToSoilsScope3(Q44, _xlfn.XLOOKUP($P110, $D$22:$D$26,$E$22:$E$26), _xlfn.XLOOKUP($P110,$D$31:$D$35,$E$31:$E$35),Q56, Q68)</f>
        <v>558.11611374784513</v>
      </c>
      <c r="R110" s="55" cm="1">
        <f t="array" ref="R110">MMS_Dairy_ManureAppliedToSoils_Equations.VEERG_4_3_1_8__2_MassOfNitrogenAppliedToSoilsScope3(R44, _xlfn.XLOOKUP($P110, $D$22:$D$26,$E$22:$E$26), _xlfn.XLOOKUP($P110,$D$31:$D$35,$E$31:$E$35),R56, R68)</f>
        <v>479.51839408690597</v>
      </c>
      <c r="S110" s="55" cm="1">
        <f t="array" ref="S110">MMS_Dairy_ManureAppliedToSoils_Equations.VEERG_4_3_1_8__2_MassOfNitrogenAppliedToSoilsScope3(S44, _xlfn.XLOOKUP($P110, $D$22:$D$26,$E$22:$E$26), _xlfn.XLOOKUP($P110,$D$31:$D$35,$E$31:$E$35),S56, S68)</f>
        <v>190.98710525292464</v>
      </c>
      <c r="T110" s="55" cm="1">
        <f t="array" ref="T110">MMS_Dairy_ManureAppliedToSoils_Equations.VEERG_4_3_1_8__2_MassOfNitrogenAppliedToSoilsScope3(T44, _xlfn.XLOOKUP($P110, $D$22:$D$26,$E$22:$E$26), _xlfn.XLOOKUP($P110,$D$31:$D$35,$E$31:$E$35),T56, T68)</f>
        <v>602.77358584324497</v>
      </c>
      <c r="U110" s="55" cm="1">
        <f t="array" ref="U110">MMS_Dairy_ManureAppliedToSoils_Equations.VEERG_4_3_1_8__2_MassOfNitrogenAppliedToSoilsScope3(U44, _xlfn.XLOOKUP($P110, $D$22:$D$26,$E$22:$E$26), _xlfn.XLOOKUP($P110,$D$31:$D$35,$E$31:$E$35),U56, U68)</f>
        <v>252.33869463742522</v>
      </c>
      <c r="V110" s="2" t="str">
        <f t="shared" si="3"/>
        <v>kg N</v>
      </c>
    </row>
    <row r="111" spans="4:22" ht="20.100000000000001" customHeight="1" x14ac:dyDescent="0.25">
      <c r="D111" s="55" t="str">
        <f>'Input - Dairy'!$D$55</f>
        <v>Feed pad</v>
      </c>
      <c r="E111" s="55" t="str">
        <f>'Input - Dairy'!$D$106</f>
        <v>Sump and dispersal system</v>
      </c>
      <c r="F111" s="55" cm="1">
        <f t="array" ref="F111">MMS_Dairy_ManureAppliedToSoils_Equations.VEERG_4_3_1_8__2_MassOfNitrogenAppliedToSoilsScope3(F45, _xlfn.XLOOKUP($E111, $D$22:$D$26,$E$22:$E$26), _xlfn.XLOOKUP($E111,$D$31:$D$35,$E$31:$E$35),F57, F69)</f>
        <v>159.70707254938335</v>
      </c>
      <c r="G111" s="55" cm="1">
        <f t="array" ref="G111">MMS_Dairy_ManureAppliedToSoils_Equations.VEERG_4_3_1_8__2_MassOfNitrogenAppliedToSoilsScope3(G45, _xlfn.XLOOKUP($E111, $D$22:$D$26,$E$22:$E$26), _xlfn.XLOOKUP($E111,$D$31:$D$35,$E$31:$E$35),G57, G69)</f>
        <v>137.21603276948386</v>
      </c>
      <c r="H111" s="55" cm="1">
        <f t="array" ref="H111">MMS_Dairy_ManureAppliedToSoils_Equations.VEERG_4_3_1_8__2_MassOfNitrogenAppliedToSoilsScope3(H45, _xlfn.XLOOKUP($E111, $D$22:$D$26,$E$22:$E$26), _xlfn.XLOOKUP($E111,$D$31:$D$35,$E$31:$E$35),H57, H69)</f>
        <v>54.651694733913814</v>
      </c>
      <c r="I111" s="55" cm="1">
        <f t="array" ref="I111">MMS_Dairy_ManureAppliedToSoils_Equations.VEERG_4_3_1_8__2_MassOfNitrogenAppliedToSoilsScope3(I45, _xlfn.XLOOKUP($E111, $D$22:$D$26,$E$22:$E$26), _xlfn.XLOOKUP($E111,$D$31:$D$35,$E$31:$E$35),I57, I69)</f>
        <v>172.48597994899006</v>
      </c>
      <c r="J111" s="55" cm="1">
        <f t="array" ref="J111">MMS_Dairy_ManureAppliedToSoils_Equations.VEERG_4_3_1_8__2_MassOfNitrogenAppliedToSoilsScope3(J45, _xlfn.XLOOKUP($E111, $D$22:$D$26,$E$22:$E$26), _xlfn.XLOOKUP($E111,$D$31:$D$35,$E$31:$E$35),J57, J69)</f>
        <v>72.207688003940135</v>
      </c>
      <c r="K111" s="2" t="str">
        <f t="shared" si="2"/>
        <v>kg N</v>
      </c>
      <c r="O111" s="55" t="str">
        <f>'Input - Dairy'!$D$55</f>
        <v>Feed pad</v>
      </c>
      <c r="P111" s="55" t="str">
        <f>'Input - Dairy'!$D$106</f>
        <v>Sump and dispersal system</v>
      </c>
      <c r="Q111" s="55" cm="1">
        <f t="array" ref="Q111">MMS_Dairy_ManureAppliedToSoils_Equations.VEERG_4_3_1_8__2_MassOfNitrogenAppliedToSoilsScope3(Q45, _xlfn.XLOOKUP($P111, $D$22:$D$26,$E$22:$E$26), _xlfn.XLOOKUP($P111,$D$31:$D$35,$E$31:$E$35),Q57, Q69)</f>
        <v>638.82829019753342</v>
      </c>
      <c r="R111" s="55" cm="1">
        <f t="array" ref="R111">MMS_Dairy_ManureAppliedToSoils_Equations.VEERG_4_3_1_8__2_MassOfNitrogenAppliedToSoilsScope3(R45, _xlfn.XLOOKUP($P111, $D$22:$D$26,$E$22:$E$26), _xlfn.XLOOKUP($P111,$D$31:$D$35,$E$31:$E$35),R57, R69)</f>
        <v>548.86413107793544</v>
      </c>
      <c r="S111" s="55" cm="1">
        <f t="array" ref="S111">MMS_Dairy_ManureAppliedToSoils_Equations.VEERG_4_3_1_8__2_MassOfNitrogenAppliedToSoilsScope3(S45, _xlfn.XLOOKUP($P111, $D$22:$D$26,$E$22:$E$26), _xlfn.XLOOKUP($P111,$D$31:$D$35,$E$31:$E$35),S57, S69)</f>
        <v>218.60677893565526</v>
      </c>
      <c r="T111" s="55" cm="1">
        <f t="array" ref="T111">MMS_Dairy_ManureAppliedToSoils_Equations.VEERG_4_3_1_8__2_MassOfNitrogenAppliedToSoilsScope3(T45, _xlfn.XLOOKUP($P111, $D$22:$D$26,$E$22:$E$26), _xlfn.XLOOKUP($P111,$D$31:$D$35,$E$31:$E$35),T57, T69)</f>
        <v>689.94391979596026</v>
      </c>
      <c r="U111" s="55" cm="1">
        <f t="array" ref="U111">MMS_Dairy_ManureAppliedToSoils_Equations.VEERG_4_3_1_8__2_MassOfNitrogenAppliedToSoilsScope3(U45, _xlfn.XLOOKUP($P111, $D$22:$D$26,$E$22:$E$26), _xlfn.XLOOKUP($P111,$D$31:$D$35,$E$31:$E$35),U57, U69)</f>
        <v>288.83075201576054</v>
      </c>
      <c r="V111" s="2" t="str">
        <f t="shared" si="3"/>
        <v>kg N</v>
      </c>
    </row>
    <row r="112" spans="4:22" ht="20.100000000000001" customHeight="1" x14ac:dyDescent="0.25">
      <c r="D112" s="55" t="str">
        <f>'Input - Dairy'!$D$55</f>
        <v>Feed pad</v>
      </c>
      <c r="E112" s="55" t="str">
        <f>'Input - Dairy'!$D$111</f>
        <v>Drains to paddock</v>
      </c>
      <c r="F112" s="55" cm="1">
        <f t="array" ref="F112">MMS_Dairy_ManureAppliedToSoils_Equations.VEERG_4_3_1_8__2_MassOfNitrogenAppliedToSoilsScope3(F46, _xlfn.XLOOKUP($E112, $D$22:$D$26,$E$22:$E$26), _xlfn.XLOOKUP($E112,$D$31:$D$35,$E$31:$E$35),F58, F70)</f>
        <v>137.38242799946957</v>
      </c>
      <c r="G112" s="55" cm="1">
        <f t="array" ref="G112">MMS_Dairy_ManureAppliedToSoils_Equations.VEERG_4_3_1_8__2_MassOfNitrogenAppliedToSoilsScope3(G46, _xlfn.XLOOKUP($E112, $D$22:$D$26,$E$22:$E$26), _xlfn.XLOOKUP($E112,$D$31:$D$35,$E$31:$E$35),G58, G70)</f>
        <v>118.03529700600764</v>
      </c>
      <c r="H112" s="55" cm="1">
        <f t="array" ref="H112">MMS_Dairy_ManureAppliedToSoils_Equations.VEERG_4_3_1_8__2_MassOfNitrogenAppliedToSoilsScope3(H46, _xlfn.XLOOKUP($E112, $D$22:$D$26,$E$22:$E$26), _xlfn.XLOOKUP($E112,$D$31:$D$35,$E$31:$E$35),H58, H70)</f>
        <v>47.012210523796831</v>
      </c>
      <c r="I112" s="55" cm="1">
        <f t="array" ref="I112">MMS_Dairy_ManureAppliedToSoils_Equations.VEERG_4_3_1_8__2_MassOfNitrogenAppliedToSoilsScope3(I46, _xlfn.XLOOKUP($E112, $D$22:$D$26,$E$22:$E$26), _xlfn.XLOOKUP($E112,$D$31:$D$35,$E$31:$E$35),I58, I70)</f>
        <v>148.37503651526029</v>
      </c>
      <c r="J112" s="55" cm="1">
        <f t="array" ref="J112">MMS_Dairy_ManureAppliedToSoils_Equations.VEERG_4_3_1_8__2_MassOfNitrogenAppliedToSoilsScope3(J46, _xlfn.XLOOKUP($E112, $D$22:$D$26,$E$22:$E$26), _xlfn.XLOOKUP($E112,$D$31:$D$35,$E$31:$E$35),J58, J70)</f>
        <v>62.114140218443133</v>
      </c>
      <c r="K112" s="2" t="str">
        <f t="shared" si="2"/>
        <v>kg N</v>
      </c>
      <c r="O112" s="55" t="str">
        <f>'Input - Dairy'!$D$55</f>
        <v>Feed pad</v>
      </c>
      <c r="P112" s="55" t="str">
        <f>'Input - Dairy'!$D$111</f>
        <v>Drains to paddock</v>
      </c>
      <c r="Q112" s="55" cm="1">
        <f t="array" ref="Q112">MMS_Dairy_ManureAppliedToSoils_Equations.VEERG_4_3_1_8__2_MassOfNitrogenAppliedToSoilsScope3(Q46, _xlfn.XLOOKUP($P112, $D$22:$D$26,$E$22:$E$26), _xlfn.XLOOKUP($P112,$D$31:$D$35,$E$31:$E$35),Q58, Q70)</f>
        <v>549.52971199787828</v>
      </c>
      <c r="R112" s="55" cm="1">
        <f t="array" ref="R112">MMS_Dairy_ManureAppliedToSoils_Equations.VEERG_4_3_1_8__2_MassOfNitrogenAppliedToSoilsScope3(R46, _xlfn.XLOOKUP($P112, $D$22:$D$26,$E$22:$E$26), _xlfn.XLOOKUP($P112,$D$31:$D$35,$E$31:$E$35),R58, R70)</f>
        <v>472.14118802403055</v>
      </c>
      <c r="S112" s="55" cm="1">
        <f t="array" ref="S112">MMS_Dairy_ManureAppliedToSoils_Equations.VEERG_4_3_1_8__2_MassOfNitrogenAppliedToSoilsScope3(S46, _xlfn.XLOOKUP($P112, $D$22:$D$26,$E$22:$E$26), _xlfn.XLOOKUP($P112,$D$31:$D$35,$E$31:$E$35),S58, S70)</f>
        <v>188.04884209518733</v>
      </c>
      <c r="T112" s="55" cm="1">
        <f t="array" ref="T112">MMS_Dairy_ManureAppliedToSoils_Equations.VEERG_4_3_1_8__2_MassOfNitrogenAppliedToSoilsScope3(T46, _xlfn.XLOOKUP($P112, $D$22:$D$26,$E$22:$E$26), _xlfn.XLOOKUP($P112,$D$31:$D$35,$E$31:$E$35),T58, T70)</f>
        <v>593.50014606104116</v>
      </c>
      <c r="U112" s="55" cm="1">
        <f t="array" ref="U112">MMS_Dairy_ManureAppliedToSoils_Equations.VEERG_4_3_1_8__2_MassOfNitrogenAppliedToSoilsScope3(U46, _xlfn.XLOOKUP($P112, $D$22:$D$26,$E$22:$E$26), _xlfn.XLOOKUP($P112,$D$31:$D$35,$E$31:$E$35),U58, U70)</f>
        <v>248.45656087377253</v>
      </c>
      <c r="V112" s="2" t="str">
        <f t="shared" si="3"/>
        <v>kg N</v>
      </c>
    </row>
    <row r="113" spans="3:23" ht="20.100000000000001" customHeight="1" x14ac:dyDescent="0.25">
      <c r="D113" s="55" t="str">
        <f>'Input - Dairy'!$D$55</f>
        <v>Feed pad</v>
      </c>
      <c r="E113" s="55" t="str">
        <f>'Input - Dairy'!$D$116</f>
        <v>Solid storage</v>
      </c>
      <c r="F113" s="55" cm="1">
        <f t="array" ref="F113">MMS_Dairy_ManureAppliedToSoils_Equations.VEERG_4_3_1_8__2_MassOfNitrogenAppliedToSoilsScope3(F47, _xlfn.XLOOKUP($E113, $D$22:$D$26,$E$22:$E$26), _xlfn.XLOOKUP($E113,$D$31:$D$35,$E$31:$E$35),F59, F71)</f>
        <v>202.85374134296677</v>
      </c>
      <c r="G113" s="55" cm="1">
        <f t="array" ref="G113">MMS_Dairy_ManureAppliedToSoils_Equations.VEERG_4_3_1_8__2_MassOfNitrogenAppliedToSoilsScope3(G47, _xlfn.XLOOKUP($E113, $D$22:$D$26,$E$22:$E$26), _xlfn.XLOOKUP($E113,$D$31:$D$35,$E$31:$E$35),G59, G71)</f>
        <v>174.28649323543314</v>
      </c>
      <c r="H113" s="55" cm="1">
        <f t="array" ref="H113">MMS_Dairy_ManureAppliedToSoils_Equations.VEERG_4_3_1_8__2_MassOfNitrogenAppliedToSoilsScope3(H47, _xlfn.XLOOKUP($E113, $D$22:$D$26,$E$22:$E$26), _xlfn.XLOOKUP($E113,$D$31:$D$35,$E$31:$E$35),H59, H71)</f>
        <v>69.416467101543759</v>
      </c>
      <c r="I113" s="55" cm="1">
        <f t="array" ref="I113">MMS_Dairy_ManureAppliedToSoils_Equations.VEERG_4_3_1_8__2_MassOfNitrogenAppliedToSoilsScope3(I47, _xlfn.XLOOKUP($E113, $D$22:$D$26,$E$22:$E$26), _xlfn.XLOOKUP($E113,$D$31:$D$35,$E$31:$E$35),I59, I71)</f>
        <v>219.08501485456401</v>
      </c>
      <c r="J113" s="55" cm="1">
        <f t="array" ref="J113">MMS_Dairy_ManureAppliedToSoils_Equations.VEERG_4_3_1_8__2_MassOfNitrogenAppliedToSoilsScope3(J47, _xlfn.XLOOKUP($E113, $D$22:$D$26,$E$22:$E$26), _xlfn.XLOOKUP($E113,$D$31:$D$35,$E$31:$E$35),J59, J71)</f>
        <v>91.715410166294944</v>
      </c>
      <c r="K113" s="2" t="str">
        <f t="shared" si="2"/>
        <v>kg N</v>
      </c>
      <c r="O113" s="55" t="str">
        <f>'Input - Dairy'!$D$55</f>
        <v>Feed pad</v>
      </c>
      <c r="P113" s="55" t="str">
        <f>'Input - Dairy'!$D$116</f>
        <v>Solid storage</v>
      </c>
      <c r="Q113" s="55" cm="1">
        <f t="array" ref="Q113">MMS_Dairy_ManureAppliedToSoils_Equations.VEERG_4_3_1_8__2_MassOfNitrogenAppliedToSoilsScope3(Q47, _xlfn.XLOOKUP($P113, $D$22:$D$26,$E$22:$E$26), _xlfn.XLOOKUP($P113,$D$31:$D$35,$E$31:$E$35),Q59, Q71)</f>
        <v>811.41496537186708</v>
      </c>
      <c r="R113" s="55" cm="1">
        <f t="array" ref="R113">MMS_Dairy_ManureAppliedToSoils_Equations.VEERG_4_3_1_8__2_MassOfNitrogenAppliedToSoilsScope3(R47, _xlfn.XLOOKUP($P113, $D$22:$D$26,$E$22:$E$26), _xlfn.XLOOKUP($P113,$D$31:$D$35,$E$31:$E$35),R59, R71)</f>
        <v>697.14597294173257</v>
      </c>
      <c r="S113" s="55" cm="1">
        <f t="array" ref="S113">MMS_Dairy_ManureAppliedToSoils_Equations.VEERG_4_3_1_8__2_MassOfNitrogenAppliedToSoilsScope3(S47, _xlfn.XLOOKUP($P113, $D$22:$D$26,$E$22:$E$26), _xlfn.XLOOKUP($P113,$D$31:$D$35,$E$31:$E$35),S59, S71)</f>
        <v>277.66586840617504</v>
      </c>
      <c r="T113" s="55" cm="1">
        <f t="array" ref="T113">MMS_Dairy_ManureAppliedToSoils_Equations.VEERG_4_3_1_8__2_MassOfNitrogenAppliedToSoilsScope3(T47, _xlfn.XLOOKUP($P113, $D$22:$D$26,$E$22:$E$26), _xlfn.XLOOKUP($P113,$D$31:$D$35,$E$31:$E$35),T59, T71)</f>
        <v>876.34005941825603</v>
      </c>
      <c r="U113" s="55" cm="1">
        <f t="array" ref="U113">MMS_Dairy_ManureAppliedToSoils_Equations.VEERG_4_3_1_8__2_MassOfNitrogenAppliedToSoilsScope3(U47, _xlfn.XLOOKUP($P113, $D$22:$D$26,$E$22:$E$26), _xlfn.XLOOKUP($P113,$D$31:$D$35,$E$31:$E$35),U59, U71)</f>
        <v>366.86164066517978</v>
      </c>
      <c r="V113" s="2" t="str">
        <f t="shared" si="3"/>
        <v>kg N</v>
      </c>
    </row>
    <row r="114" spans="3:23" ht="20.100000000000001" customHeight="1" x14ac:dyDescent="0.25"/>
    <row r="115" spans="3:23" ht="20.100000000000001" customHeight="1" x14ac:dyDescent="0.25">
      <c r="D115" s="108" t="s">
        <v>369</v>
      </c>
      <c r="E115" s="109">
        <f>SUM(F106:J113)</f>
        <v>3126.4202862657203</v>
      </c>
      <c r="F115" s="110" t="str">
        <f>$E$11</f>
        <v>kg N</v>
      </c>
      <c r="O115" s="108" t="s">
        <v>369</v>
      </c>
      <c r="P115" s="109">
        <f>SUM(Q106:U113)</f>
        <v>12505.681145062881</v>
      </c>
      <c r="Q115" s="110" t="str">
        <f>$E$11</f>
        <v>kg N</v>
      </c>
    </row>
    <row r="116" spans="3:23" ht="20.100000000000001" customHeight="1" x14ac:dyDescent="0.25"/>
    <row r="117" spans="3:23" ht="20.100000000000001" customHeight="1" x14ac:dyDescent="0.25"/>
    <row r="118" spans="3: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3:23" ht="20.100000000000001" customHeight="1" x14ac:dyDescent="0.25">
      <c r="D119" s="118" t="str">
        <f>"Below are applications of " &amp; D6 &amp; " that are applied to the following contexts:"</f>
        <v>Below are applications of VEERG 2026: 4.3.1.8, Equation (1) that are applied to the following contexts:</v>
      </c>
      <c r="E119" s="95"/>
      <c r="F119" s="95"/>
      <c r="G119" s="95"/>
      <c r="H119" s="91"/>
    </row>
    <row r="120" spans="3:23" ht="20.100000000000001" customHeight="1" x14ac:dyDescent="0.25">
      <c r="D120" s="97" t="s">
        <v>416</v>
      </c>
      <c r="E120" s="94"/>
      <c r="F120" s="94"/>
      <c r="G120" s="94"/>
      <c r="H120" s="92"/>
    </row>
    <row r="121" spans="3:23" ht="20.100000000000001" customHeight="1" x14ac:dyDescent="0.25"/>
    <row r="122" spans="3:23" ht="20.100000000000001" customHeight="1" x14ac:dyDescent="0.25">
      <c r="D122" s="6" t="s">
        <v>415</v>
      </c>
    </row>
    <row r="123" spans="3:23" ht="20.100000000000001" customHeight="1" x14ac:dyDescent="0.25"/>
    <row r="124" spans="3:23" ht="20.100000000000001" customHeight="1" x14ac:dyDescent="0.25">
      <c r="D124" s="104" t="s">
        <v>138</v>
      </c>
    </row>
    <row r="125" spans="3:23" ht="20.100000000000001" customHeight="1" x14ac:dyDescent="0.25">
      <c r="D125" s="103" t="s">
        <v>139</v>
      </c>
    </row>
    <row r="126" spans="3:23" ht="20.100000000000001" customHeight="1" x14ac:dyDescent="0.25">
      <c r="D126" s="54" t="s">
        <v>152</v>
      </c>
      <c r="E126" s="54" t="s">
        <v>69</v>
      </c>
      <c r="F126" s="54" t="s">
        <v>178</v>
      </c>
      <c r="G126" s="54" t="s">
        <v>195</v>
      </c>
      <c r="H126" s="54" t="s">
        <v>196</v>
      </c>
      <c r="I126" s="54" t="s">
        <v>197</v>
      </c>
      <c r="J126" s="54" t="s">
        <v>198</v>
      </c>
    </row>
    <row r="127" spans="3:23" ht="20.100000000000001" customHeight="1" x14ac:dyDescent="0.25">
      <c r="D127" s="55" t="str">
        <f>'Input - Dairy'!$D$54</f>
        <v>Milking shed</v>
      </c>
      <c r="E127" s="55" t="str">
        <f>'Input - Dairy'!$D$67</f>
        <v>Anaerobic lagoon</v>
      </c>
      <c r="F127" s="55">
        <f>'Input - Dairy'!E137</f>
        <v>0.25</v>
      </c>
      <c r="G127" s="55">
        <f>'Input - Dairy'!F137</f>
        <v>0.25</v>
      </c>
      <c r="H127" s="55">
        <f>'Input - Dairy'!G137</f>
        <v>0.25</v>
      </c>
      <c r="I127" s="55">
        <f>'Input - Dairy'!H137</f>
        <v>0.25</v>
      </c>
      <c r="J127" s="55">
        <f>'Input - Dairy'!I137</f>
        <v>0.25</v>
      </c>
      <c r="K127" s="2" t="s">
        <v>101</v>
      </c>
    </row>
    <row r="128" spans="3:23" ht="20.100000000000001" customHeight="1" x14ac:dyDescent="0.25">
      <c r="D128" s="55" t="str">
        <f>'Input - Dairy'!$D$54</f>
        <v>Milking shed</v>
      </c>
      <c r="E128" s="55" t="str">
        <f>'Input - Dairy'!$D$72</f>
        <v>Sump and dispersal system</v>
      </c>
      <c r="F128" s="55">
        <f>'Input - Dairy'!E142</f>
        <v>0.25</v>
      </c>
      <c r="G128" s="55">
        <f>'Input - Dairy'!F142</f>
        <v>0.25</v>
      </c>
      <c r="H128" s="55">
        <f>'Input - Dairy'!G142</f>
        <v>0.25</v>
      </c>
      <c r="I128" s="55">
        <f>'Input - Dairy'!H142</f>
        <v>0.25</v>
      </c>
      <c r="J128" s="55">
        <f>'Input - Dairy'!I142</f>
        <v>0.25</v>
      </c>
      <c r="K128" s="2" t="s">
        <v>101</v>
      </c>
    </row>
    <row r="129" spans="4:22" ht="20.100000000000001" customHeight="1" x14ac:dyDescent="0.25">
      <c r="D129" s="55" t="str">
        <f>'Input - Dairy'!$D$54</f>
        <v>Milking shed</v>
      </c>
      <c r="E129" s="55" t="str">
        <f>'Input - Dairy'!$D$77</f>
        <v>Drains to paddock</v>
      </c>
      <c r="F129" s="55">
        <f>'Input - Dairy'!E147</f>
        <v>0.25</v>
      </c>
      <c r="G129" s="55">
        <f>'Input - Dairy'!F147</f>
        <v>0.25</v>
      </c>
      <c r="H129" s="55">
        <f>'Input - Dairy'!G147</f>
        <v>0.25</v>
      </c>
      <c r="I129" s="55">
        <f>'Input - Dairy'!H147</f>
        <v>0.25</v>
      </c>
      <c r="J129" s="55">
        <f>'Input - Dairy'!I147</f>
        <v>0.25</v>
      </c>
      <c r="K129" s="2" t="s">
        <v>101</v>
      </c>
    </row>
    <row r="130" spans="4:22" ht="20.100000000000001" customHeight="1" x14ac:dyDescent="0.25">
      <c r="D130" s="55" t="str">
        <f>'Input - Dairy'!$D$54</f>
        <v>Milking shed</v>
      </c>
      <c r="E130" s="55" t="str">
        <f>'Input - Dairy'!$D$82</f>
        <v>Solid storage</v>
      </c>
      <c r="F130" s="55">
        <f>'Input - Dairy'!E152</f>
        <v>0.25</v>
      </c>
      <c r="G130" s="55">
        <f>'Input - Dairy'!F152</f>
        <v>0.25</v>
      </c>
      <c r="H130" s="55">
        <f>'Input - Dairy'!G152</f>
        <v>0.25</v>
      </c>
      <c r="I130" s="55">
        <f>'Input - Dairy'!H152</f>
        <v>0.25</v>
      </c>
      <c r="J130" s="55">
        <f>'Input - Dairy'!I152</f>
        <v>0.25</v>
      </c>
      <c r="K130" s="2" t="s">
        <v>101</v>
      </c>
    </row>
    <row r="131" spans="4:22" ht="20.100000000000001" customHeight="1" x14ac:dyDescent="0.25">
      <c r="D131" s="55" t="str">
        <f>'Input - Dairy'!$D$55</f>
        <v>Feed pad</v>
      </c>
      <c r="E131" s="55" t="str">
        <f>'Input - Dairy'!$D$101</f>
        <v>Anaerobic lagoon</v>
      </c>
      <c r="F131" s="55">
        <f>'Input - Dairy'!E161</f>
        <v>0.25</v>
      </c>
      <c r="G131" s="55">
        <f>'Input - Dairy'!F161</f>
        <v>0.25</v>
      </c>
      <c r="H131" s="55">
        <f>'Input - Dairy'!G161</f>
        <v>0.25</v>
      </c>
      <c r="I131" s="55">
        <f>'Input - Dairy'!H161</f>
        <v>0.25</v>
      </c>
      <c r="J131" s="55">
        <f>'Input - Dairy'!I161</f>
        <v>0.25</v>
      </c>
      <c r="K131" s="2" t="s">
        <v>101</v>
      </c>
    </row>
    <row r="132" spans="4:22" ht="20.100000000000001" customHeight="1" x14ac:dyDescent="0.25">
      <c r="D132" s="55" t="str">
        <f>'Input - Dairy'!$D$55</f>
        <v>Feed pad</v>
      </c>
      <c r="E132" s="55" t="str">
        <f>'Input - Dairy'!$D$106</f>
        <v>Sump and dispersal system</v>
      </c>
      <c r="F132" s="55">
        <f>'Input - Dairy'!E166</f>
        <v>0.25</v>
      </c>
      <c r="G132" s="55">
        <f>'Input - Dairy'!F166</f>
        <v>0.25</v>
      </c>
      <c r="H132" s="55">
        <f>'Input - Dairy'!G166</f>
        <v>0.25</v>
      </c>
      <c r="I132" s="55">
        <f>'Input - Dairy'!H166</f>
        <v>0.25</v>
      </c>
      <c r="J132" s="55">
        <f>'Input - Dairy'!I166</f>
        <v>0.25</v>
      </c>
      <c r="K132" s="2" t="s">
        <v>101</v>
      </c>
    </row>
    <row r="133" spans="4:22" ht="20.100000000000001" customHeight="1" x14ac:dyDescent="0.25">
      <c r="D133" s="55" t="str">
        <f>'Input - Dairy'!$D$55</f>
        <v>Feed pad</v>
      </c>
      <c r="E133" s="55" t="str">
        <f>'Input - Dairy'!$D$111</f>
        <v>Drains to paddock</v>
      </c>
      <c r="F133" s="55">
        <f>'Input - Dairy'!E171</f>
        <v>0.25</v>
      </c>
      <c r="G133" s="55">
        <f>'Input - Dairy'!F171</f>
        <v>0.25</v>
      </c>
      <c r="H133" s="55">
        <f>'Input - Dairy'!G171</f>
        <v>0.25</v>
      </c>
      <c r="I133" s="55">
        <f>'Input - Dairy'!H171</f>
        <v>0.25</v>
      </c>
      <c r="J133" s="55">
        <f>'Input - Dairy'!I171</f>
        <v>0.25</v>
      </c>
      <c r="K133" s="2" t="s">
        <v>101</v>
      </c>
    </row>
    <row r="134" spans="4:22" ht="20.100000000000001" customHeight="1" x14ac:dyDescent="0.25">
      <c r="D134" s="55" t="str">
        <f>'Input - Dairy'!$D$55</f>
        <v>Feed pad</v>
      </c>
      <c r="E134" s="55" t="str">
        <f>'Input - Dairy'!$D$116</f>
        <v>Solid storage</v>
      </c>
      <c r="F134" s="55">
        <f>'Input - Dairy'!E176</f>
        <v>0.25</v>
      </c>
      <c r="G134" s="55">
        <f>'Input - Dairy'!F176</f>
        <v>0.25</v>
      </c>
      <c r="H134" s="55">
        <f>'Input - Dairy'!G176</f>
        <v>0.25</v>
      </c>
      <c r="I134" s="55">
        <f>'Input - Dairy'!H176</f>
        <v>0.25</v>
      </c>
      <c r="J134" s="55">
        <f>'Input - Dairy'!I176</f>
        <v>0.25</v>
      </c>
      <c r="K134" s="2" t="s">
        <v>101</v>
      </c>
    </row>
    <row r="135" spans="4:22" ht="20.100000000000001" customHeight="1" x14ac:dyDescent="0.25"/>
    <row r="136" spans="4:22" ht="20.100000000000001" customHeight="1" x14ac:dyDescent="0.25">
      <c r="D136" s="104" t="s">
        <v>140</v>
      </c>
      <c r="O136" s="104" t="s">
        <v>141</v>
      </c>
    </row>
    <row r="137" spans="4:22" ht="20.100000000000001" customHeight="1" x14ac:dyDescent="0.25">
      <c r="D137" s="103" t="s">
        <v>143</v>
      </c>
      <c r="O137" s="103" t="s">
        <v>142</v>
      </c>
    </row>
    <row r="138" spans="4:22" ht="20.100000000000001" customHeight="1" x14ac:dyDescent="0.25">
      <c r="D138" s="54" t="s">
        <v>152</v>
      </c>
      <c r="E138" s="54" t="s">
        <v>69</v>
      </c>
      <c r="F138" s="54" t="s">
        <v>178</v>
      </c>
      <c r="G138" s="54" t="s">
        <v>195</v>
      </c>
      <c r="H138" s="54" t="s">
        <v>196</v>
      </c>
      <c r="I138" s="54" t="s">
        <v>197</v>
      </c>
      <c r="J138" s="54" t="s">
        <v>198</v>
      </c>
      <c r="O138" s="54" t="s">
        <v>152</v>
      </c>
      <c r="P138" s="54" t="s">
        <v>69</v>
      </c>
      <c r="Q138" s="54" t="s">
        <v>178</v>
      </c>
      <c r="R138" s="54" t="s">
        <v>195</v>
      </c>
      <c r="S138" s="54" t="s">
        <v>196</v>
      </c>
      <c r="T138" s="54" t="s">
        <v>197</v>
      </c>
      <c r="U138" s="54" t="s">
        <v>198</v>
      </c>
    </row>
    <row r="139" spans="4:22" ht="20.100000000000001" customHeight="1" x14ac:dyDescent="0.25">
      <c r="D139" s="55" t="str">
        <f>'Input - Dairy'!$D$54</f>
        <v>Milking shed</v>
      </c>
      <c r="E139" s="55" t="str">
        <f>'Input - Dairy'!$D$67</f>
        <v>Anaerobic lagoon</v>
      </c>
      <c r="F139" s="55" cm="1">
        <f t="array" ref="F139">MMS_Dairy_ManureAppliedToSoils_Equations.VEERG_4_3_1_8__1_MassOfNitrogenAppliedToSoilsScope1(F40,_xlfn.XLOOKUP($E139,$D$22:$D$26,$E$22:$E$26),_xlfn.XLOOKUP($E139,$D$31:$D$35,$E$31:$E$35),F52,F127)</f>
        <v>34.490321636102792</v>
      </c>
      <c r="G139" s="55" cm="1">
        <f t="array" ref="G139">MMS_Dairy_ManureAppliedToSoils_Equations.VEERG_4_3_1_8__1_MassOfNitrogenAppliedToSoilsScope1(G40,_xlfn.XLOOKUP($E139,$D$22:$D$26,$E$22:$E$26),_xlfn.XLOOKUP($E139,$D$31:$D$35,$E$31:$E$35),G52,G127)</f>
        <v>29.633159185145878</v>
      </c>
      <c r="H139" s="55" cm="1">
        <f t="array" ref="H139">MMS_Dairy_ManureAppliedToSoils_Equations.VEERG_4_3_1_8__1_MassOfNitrogenAppliedToSoilsScope1(H40,_xlfn.XLOOKUP($E139,$D$22:$D$26,$E$22:$E$26),_xlfn.XLOOKUP($E139,$D$31:$D$35,$E$31:$E$35),H52,H127)</f>
        <v>11.802573920124557</v>
      </c>
      <c r="I139" s="55" cm="1">
        <f t="array" ref="I139">MMS_Dairy_ManureAppliedToSoils_Equations.VEERG_4_3_1_8__1_MassOfNitrogenAppliedToSoilsScope1(I40,_xlfn.XLOOKUP($E139,$D$22:$D$26,$E$22:$E$26),_xlfn.XLOOKUP($E139,$D$31:$D$35,$E$31:$E$35),I52,I127)</f>
        <v>37.250053057728621</v>
      </c>
      <c r="J139" s="55" cm="1">
        <f t="array" ref="J139">MMS_Dairy_ManureAppliedToSoils_Equations.VEERG_4_3_1_8__1_MassOfNitrogenAppliedToSoilsScope1(J40,_xlfn.XLOOKUP($E139,$D$22:$D$26,$E$22:$E$26),_xlfn.XLOOKUP($E139,$D$31:$D$35,$E$31:$E$35),J52,J127)</f>
        <v>15.593964275346504</v>
      </c>
      <c r="K139" s="2" t="str">
        <f t="shared" ref="K139:K146" si="4">$E$95</f>
        <v>kg N</v>
      </c>
      <c r="O139" s="55" t="str">
        <f>'Input - Dairy'!$D$54</f>
        <v>Milking shed</v>
      </c>
      <c r="P139" s="55" t="str">
        <f>'Input - Dairy'!$D$67</f>
        <v>Anaerobic lagoon</v>
      </c>
      <c r="Q139" s="55" cm="1">
        <f t="array" ref="Q139">MMS_Dairy_ManureAppliedToSoils_Equations.VEERG_4_3_1_8__1_MassOfNitrogenAppliedToSoilsScope1(Q40,_xlfn.XLOOKUP($P139,$D$22:$D$26,$E$22:$E$26),_xlfn.XLOOKUP($P139,$D$31:$D$35,$E$31:$E$35),Q52,F127)</f>
        <v>34.490321636102792</v>
      </c>
      <c r="R139" s="55" cm="1">
        <f t="array" ref="R139">MMS_Dairy_ManureAppliedToSoils_Equations.VEERG_4_3_1_8__1_MassOfNitrogenAppliedToSoilsScope1(R40,_xlfn.XLOOKUP($P139,$D$22:$D$26,$E$22:$E$26),_xlfn.XLOOKUP($P139,$D$31:$D$35,$E$31:$E$35),R52,G127)</f>
        <v>29.633159185145878</v>
      </c>
      <c r="S139" s="55" cm="1">
        <f t="array" ref="S139">MMS_Dairy_ManureAppliedToSoils_Equations.VEERG_4_3_1_8__1_MassOfNitrogenAppliedToSoilsScope1(S40,_xlfn.XLOOKUP($P139,$D$22:$D$26,$E$22:$E$26),_xlfn.XLOOKUP($P139,$D$31:$D$35,$E$31:$E$35),S52,H127)</f>
        <v>11.802573920124557</v>
      </c>
      <c r="T139" s="55" cm="1">
        <f t="array" ref="T139">MMS_Dairy_ManureAppliedToSoils_Equations.VEERG_4_3_1_8__1_MassOfNitrogenAppliedToSoilsScope1(T40,_xlfn.XLOOKUP($P139,$D$22:$D$26,$E$22:$E$26),_xlfn.XLOOKUP($P139,$D$31:$D$35,$E$31:$E$35),T52,I127)</f>
        <v>37.250053057728621</v>
      </c>
      <c r="U139" s="55" cm="1">
        <f t="array" ref="U139">MMS_Dairy_ManureAppliedToSoils_Equations.VEERG_4_3_1_8__1_MassOfNitrogenAppliedToSoilsScope1(U40,_xlfn.XLOOKUP($P139,$D$22:$D$26,$E$22:$E$26),_xlfn.XLOOKUP($P139,$D$31:$D$35,$E$31:$E$35),U52,J127)</f>
        <v>15.593964275346504</v>
      </c>
      <c r="V139" s="2" t="str">
        <f t="shared" ref="V139:V146" si="5">$E$95</f>
        <v>kg N</v>
      </c>
    </row>
    <row r="140" spans="4:22" ht="20.100000000000001" customHeight="1" x14ac:dyDescent="0.25">
      <c r="D140" s="55" t="str">
        <f>'Input - Dairy'!$D$54</f>
        <v>Milking shed</v>
      </c>
      <c r="E140" s="55" t="str">
        <f>'Input - Dairy'!$D$72</f>
        <v>Sump and dispersal system</v>
      </c>
      <c r="F140" s="55" cm="1">
        <f t="array" ref="F140">MMS_Dairy_ManureAppliedToSoils_Equations.VEERG_4_3_1_8__1_MassOfNitrogenAppliedToSoilsScope1(F41,_xlfn.XLOOKUP($E140,$D$22:$D$26,$E$22:$E$26),_xlfn.XLOOKUP($E140,$D$31:$D$35,$E$31:$E$35),F53,F128)</f>
        <v>49.347690956270142</v>
      </c>
      <c r="G140" s="55" cm="1">
        <f t="array" ref="G140">MMS_Dairy_ManureAppliedToSoils_Equations.VEERG_4_3_1_8__1_MassOfNitrogenAppliedToSoilsScope1(G41,_xlfn.XLOOKUP($E140,$D$22:$D$26,$E$22:$E$26),_xlfn.XLOOKUP($E140,$D$31:$D$35,$E$31:$E$35),G53,G128)</f>
        <v>42.398212372593328</v>
      </c>
      <c r="H140" s="55" cm="1">
        <f t="array" ref="H140">MMS_Dairy_ManureAppliedToSoils_Equations.VEERG_4_3_1_8__1_MassOfNitrogenAppliedToSoilsScope1(H41,_xlfn.XLOOKUP($E140,$D$22:$D$26,$E$22:$E$26),_xlfn.XLOOKUP($E140,$D$31:$D$35,$E$31:$E$35),H53,H128)</f>
        <v>16.886759608793596</v>
      </c>
      <c r="I140" s="55" cm="1">
        <f t="array" ref="I140">MMS_Dairy_ManureAppliedToSoils_Equations.VEERG_4_3_1_8__1_MassOfNitrogenAppliedToSoilsScope1(I41,_xlfn.XLOOKUP($E140,$D$22:$D$26,$E$22:$E$26),_xlfn.XLOOKUP($E140,$D$31:$D$35,$E$31:$E$35),I53,I128)</f>
        <v>53.296229759519406</v>
      </c>
      <c r="J140" s="55" cm="1">
        <f t="array" ref="J140">MMS_Dairy_ManureAppliedToSoils_Equations.VEERG_4_3_1_8__1_MassOfNitrogenAppliedToSoilsScope1(J41,_xlfn.XLOOKUP($E140,$D$22:$D$26,$E$22:$E$26),_xlfn.XLOOKUP($E140,$D$31:$D$35,$E$31:$E$35),J53,J128)</f>
        <v>22.311364270880382</v>
      </c>
      <c r="K140" s="2" t="str">
        <f t="shared" si="4"/>
        <v>kg N</v>
      </c>
      <c r="O140" s="55" t="str">
        <f>'Input - Dairy'!$D$54</f>
        <v>Milking shed</v>
      </c>
      <c r="P140" s="55" t="str">
        <f>'Input - Dairy'!$D$72</f>
        <v>Sump and dispersal system</v>
      </c>
      <c r="Q140" s="55" cm="1">
        <f t="array" ref="Q140">MMS_Dairy_ManureAppliedToSoils_Equations.VEERG_4_3_1_8__1_MassOfNitrogenAppliedToSoilsScope1(Q41,_xlfn.XLOOKUP($P140,$D$22:$D$26,$E$22:$E$26),_xlfn.XLOOKUP($P140,$D$31:$D$35,$E$31:$E$35),Q53,F128)</f>
        <v>49.347690956270142</v>
      </c>
      <c r="R140" s="55" cm="1">
        <f t="array" ref="R140">MMS_Dairy_ManureAppliedToSoils_Equations.VEERG_4_3_1_8__1_MassOfNitrogenAppliedToSoilsScope1(R41,_xlfn.XLOOKUP($P140,$D$22:$D$26,$E$22:$E$26),_xlfn.XLOOKUP($P140,$D$31:$D$35,$E$31:$E$35),R53,G128)</f>
        <v>42.398212372593328</v>
      </c>
      <c r="S140" s="55" cm="1">
        <f t="array" ref="S140">MMS_Dairy_ManureAppliedToSoils_Equations.VEERG_4_3_1_8__1_MassOfNitrogenAppliedToSoilsScope1(S41,_xlfn.XLOOKUP($P140,$D$22:$D$26,$E$22:$E$26),_xlfn.XLOOKUP($P140,$D$31:$D$35,$E$31:$E$35),S53,H128)</f>
        <v>16.886759608793596</v>
      </c>
      <c r="T140" s="55" cm="1">
        <f t="array" ref="T140">MMS_Dairy_ManureAppliedToSoils_Equations.VEERG_4_3_1_8__1_MassOfNitrogenAppliedToSoilsScope1(T41,_xlfn.XLOOKUP($P140,$D$22:$D$26,$E$22:$E$26),_xlfn.XLOOKUP($P140,$D$31:$D$35,$E$31:$E$35),T53,I128)</f>
        <v>53.296229759519406</v>
      </c>
      <c r="U140" s="55" cm="1">
        <f t="array" ref="U140">MMS_Dairy_ManureAppliedToSoils_Equations.VEERG_4_3_1_8__1_MassOfNitrogenAppliedToSoilsScope1(U41,_xlfn.XLOOKUP($P140,$D$22:$D$26,$E$22:$E$26),_xlfn.XLOOKUP($P140,$D$31:$D$35,$E$31:$E$35),U53,J128)</f>
        <v>22.311364270880382</v>
      </c>
      <c r="V140" s="2" t="str">
        <f t="shared" si="5"/>
        <v>kg N</v>
      </c>
    </row>
    <row r="141" spans="4:22" ht="20.100000000000001" customHeight="1" x14ac:dyDescent="0.25">
      <c r="D141" s="55" t="str">
        <f>'Input - Dairy'!$D$54</f>
        <v>Milking shed</v>
      </c>
      <c r="E141" s="55" t="str">
        <f>'Input - Dairy'!$D$77</f>
        <v>Drains to paddock</v>
      </c>
      <c r="F141" s="55" cm="1">
        <f t="array" ref="F141">MMS_Dairy_ManureAppliedToSoils_Equations.VEERG_4_3_1_8__1_MassOfNitrogenAppliedToSoilsScope1(F42,_xlfn.XLOOKUP($E141,$D$22:$D$26,$E$22:$E$26),_xlfn.XLOOKUP($E141,$D$31:$D$35,$E$31:$E$35),F54,F129)</f>
        <v>42.44962662904959</v>
      </c>
      <c r="G141" s="55" cm="1">
        <f t="array" ref="G141">MMS_Dairy_ManureAppliedToSoils_Equations.VEERG_4_3_1_8__1_MassOfNitrogenAppliedToSoilsScope1(G42,_xlfn.XLOOKUP($E141,$D$22:$D$26,$E$22:$E$26),_xlfn.XLOOKUP($E141,$D$31:$D$35,$E$31:$E$35),G54,G129)</f>
        <v>36.471580535564158</v>
      </c>
      <c r="H141" s="55" cm="1">
        <f t="array" ref="H141">MMS_Dairy_ManureAppliedToSoils_Equations.VEERG_4_3_1_8__1_MassOfNitrogenAppliedToSoilsScope1(H42,_xlfn.XLOOKUP($E141,$D$22:$D$26,$E$22:$E$26),_xlfn.XLOOKUP($E141,$D$31:$D$35,$E$31:$E$35),H54,H129)</f>
        <v>14.526244824768686</v>
      </c>
      <c r="I141" s="55" cm="1">
        <f t="array" ref="I141">MMS_Dairy_ManureAppliedToSoils_Equations.VEERG_4_3_1_8__1_MassOfNitrogenAppliedToSoilsScope1(I42,_xlfn.XLOOKUP($E141,$D$22:$D$26,$E$22:$E$26),_xlfn.XLOOKUP($E141,$D$31:$D$35,$E$31:$E$35),I54,I129)</f>
        <v>45.846219147973692</v>
      </c>
      <c r="J141" s="55" cm="1">
        <f t="array" ref="J141">MMS_Dairy_ManureAppliedToSoils_Equations.VEERG_4_3_1_8__1_MassOfNitrogenAppliedToSoilsScope1(J42,_xlfn.XLOOKUP($E141,$D$22:$D$26,$E$22:$E$26),_xlfn.XLOOKUP($E141,$D$31:$D$35,$E$31:$E$35),J54,J129)</f>
        <v>19.192571415811084</v>
      </c>
      <c r="K141" s="2" t="str">
        <f t="shared" si="4"/>
        <v>kg N</v>
      </c>
      <c r="O141" s="55" t="str">
        <f>'Input - Dairy'!$D$54</f>
        <v>Milking shed</v>
      </c>
      <c r="P141" s="55" t="str">
        <f>'Input - Dairy'!$D$77</f>
        <v>Drains to paddock</v>
      </c>
      <c r="Q141" s="55" cm="1">
        <f t="array" ref="Q141">MMS_Dairy_ManureAppliedToSoils_Equations.VEERG_4_3_1_8__1_MassOfNitrogenAppliedToSoilsScope1(Q42,_xlfn.XLOOKUP($P141,$D$22:$D$26,$E$22:$E$26),_xlfn.XLOOKUP($P141,$D$31:$D$35,$E$31:$E$35),Q54,F129)</f>
        <v>42.44962662904959</v>
      </c>
      <c r="R141" s="55" cm="1">
        <f t="array" ref="R141">MMS_Dairy_ManureAppliedToSoils_Equations.VEERG_4_3_1_8__1_MassOfNitrogenAppliedToSoilsScope1(R42,_xlfn.XLOOKUP($P141,$D$22:$D$26,$E$22:$E$26),_xlfn.XLOOKUP($P141,$D$31:$D$35,$E$31:$E$35),R54,G129)</f>
        <v>36.471580535564158</v>
      </c>
      <c r="S141" s="55" cm="1">
        <f t="array" ref="S141">MMS_Dairy_ManureAppliedToSoils_Equations.VEERG_4_3_1_8__1_MassOfNitrogenAppliedToSoilsScope1(S42,_xlfn.XLOOKUP($P141,$D$22:$D$26,$E$22:$E$26),_xlfn.XLOOKUP($P141,$D$31:$D$35,$E$31:$E$35),S54,H129)</f>
        <v>14.526244824768686</v>
      </c>
      <c r="T141" s="55" cm="1">
        <f t="array" ref="T141">MMS_Dairy_ManureAppliedToSoils_Equations.VEERG_4_3_1_8__1_MassOfNitrogenAppliedToSoilsScope1(T42,_xlfn.XLOOKUP($P141,$D$22:$D$26,$E$22:$E$26),_xlfn.XLOOKUP($P141,$D$31:$D$35,$E$31:$E$35),T54,I129)</f>
        <v>45.846219147973692</v>
      </c>
      <c r="U141" s="55" cm="1">
        <f t="array" ref="U141">MMS_Dairy_ManureAppliedToSoils_Equations.VEERG_4_3_1_8__1_MassOfNitrogenAppliedToSoilsScope1(U42,_xlfn.XLOOKUP($P141,$D$22:$D$26,$E$22:$E$26),_xlfn.XLOOKUP($P141,$D$31:$D$35,$E$31:$E$35),U54,J129)</f>
        <v>19.192571415811084</v>
      </c>
      <c r="V141" s="2" t="str">
        <f t="shared" si="5"/>
        <v>kg N</v>
      </c>
    </row>
    <row r="142" spans="4:22" ht="20.100000000000001" customHeight="1" x14ac:dyDescent="0.25">
      <c r="D142" s="55" t="str">
        <f>'Input - Dairy'!$D$54</f>
        <v>Milking shed</v>
      </c>
      <c r="E142" s="55" t="str">
        <f>'Input - Dairy'!$D$82</f>
        <v>Solid storage</v>
      </c>
      <c r="F142" s="55" cm="1">
        <f t="array" ref="F142">MMS_Dairy_ManureAppliedToSoils_Equations.VEERG_4_3_1_8__1_MassOfNitrogenAppliedToSoilsScope1(F43,_xlfn.XLOOKUP($E142,$D$22:$D$26,$E$22:$E$26),_xlfn.XLOOKUP($E142,$D$31:$D$35,$E$31:$E$35),F55,F130)</f>
        <v>71.633744936521182</v>
      </c>
      <c r="G142" s="55" cm="1">
        <f t="array" ref="G142">MMS_Dairy_ManureAppliedToSoils_Equations.VEERG_4_3_1_8__1_MassOfNitrogenAppliedToSoilsScope1(G43,_xlfn.XLOOKUP($E142,$D$22:$D$26,$E$22:$E$26),_xlfn.XLOOKUP($E142,$D$31:$D$35,$E$31:$E$35),G55,G130)</f>
        <v>61.545792153764516</v>
      </c>
      <c r="H142" s="55" cm="1">
        <f t="array" ref="H142">MMS_Dairy_ManureAppliedToSoils_Equations.VEERG_4_3_1_8__1_MassOfNitrogenAppliedToSoilsScope1(H43,_xlfn.XLOOKUP($E142,$D$22:$D$26,$E$22:$E$26),_xlfn.XLOOKUP($E142,$D$31:$D$35,$E$31:$E$35),H55,H130)</f>
        <v>24.51303814179715</v>
      </c>
      <c r="I142" s="55" cm="1">
        <f t="array" ref="I142">MMS_Dairy_ManureAppliedToSoils_Equations.VEERG_4_3_1_8__1_MassOfNitrogenAppliedToSoilsScope1(I43,_xlfn.XLOOKUP($E142,$D$22:$D$26,$E$22:$E$26),_xlfn.XLOOKUP($E142,$D$31:$D$35,$E$31:$E$35),I55,I130)</f>
        <v>77.365494812205597</v>
      </c>
      <c r="J142" s="55" cm="1">
        <f t="array" ref="J142">MMS_Dairy_ManureAppliedToSoils_Equations.VEERG_4_3_1_8__1_MassOfNitrogenAppliedToSoilsScope1(J43,_xlfn.XLOOKUP($E142,$D$22:$D$26,$E$22:$E$26),_xlfn.XLOOKUP($E142,$D$31:$D$35,$E$31:$E$35),J55,J130)</f>
        <v>32.387464264181197</v>
      </c>
      <c r="K142" s="2" t="str">
        <f t="shared" si="4"/>
        <v>kg N</v>
      </c>
      <c r="O142" s="55" t="str">
        <f>'Input - Dairy'!$D$54</f>
        <v>Milking shed</v>
      </c>
      <c r="P142" s="55" t="str">
        <f>'Input - Dairy'!$D$82</f>
        <v>Solid storage</v>
      </c>
      <c r="Q142" s="55" cm="1">
        <f t="array" ref="Q142">MMS_Dairy_ManureAppliedToSoils_Equations.VEERG_4_3_1_8__1_MassOfNitrogenAppliedToSoilsScope1(Q43,_xlfn.XLOOKUP($P142,$D$22:$D$26,$E$22:$E$26),_xlfn.XLOOKUP($P142,$D$31:$D$35,$E$31:$E$35),Q55,F130)</f>
        <v>71.633744936521182</v>
      </c>
      <c r="R142" s="55" cm="1">
        <f t="array" ref="R142">MMS_Dairy_ManureAppliedToSoils_Equations.VEERG_4_3_1_8__1_MassOfNitrogenAppliedToSoilsScope1(R43,_xlfn.XLOOKUP($P142,$D$22:$D$26,$E$22:$E$26),_xlfn.XLOOKUP($P142,$D$31:$D$35,$E$31:$E$35),R55,G130)</f>
        <v>61.545792153764516</v>
      </c>
      <c r="S142" s="55" cm="1">
        <f t="array" ref="S142">MMS_Dairy_ManureAppliedToSoils_Equations.VEERG_4_3_1_8__1_MassOfNitrogenAppliedToSoilsScope1(S43,_xlfn.XLOOKUP($P142,$D$22:$D$26,$E$22:$E$26),_xlfn.XLOOKUP($P142,$D$31:$D$35,$E$31:$E$35),S55,H130)</f>
        <v>24.51303814179715</v>
      </c>
      <c r="T142" s="55" cm="1">
        <f t="array" ref="T142">MMS_Dairy_ManureAppliedToSoils_Equations.VEERG_4_3_1_8__1_MassOfNitrogenAppliedToSoilsScope1(T43,_xlfn.XLOOKUP($P142,$D$22:$D$26,$E$22:$E$26),_xlfn.XLOOKUP($P142,$D$31:$D$35,$E$31:$E$35),T55,I130)</f>
        <v>77.365494812205597</v>
      </c>
      <c r="U142" s="55" cm="1">
        <f t="array" ref="U142">MMS_Dairy_ManureAppliedToSoils_Equations.VEERG_4_3_1_8__1_MassOfNitrogenAppliedToSoilsScope1(U43,_xlfn.XLOOKUP($P142,$D$22:$D$26,$E$22:$E$26),_xlfn.XLOOKUP($P142,$D$31:$D$35,$E$31:$E$35),U55,J130)</f>
        <v>32.387464264181197</v>
      </c>
      <c r="V142" s="2" t="str">
        <f t="shared" si="5"/>
        <v>kg N</v>
      </c>
    </row>
    <row r="143" spans="4:22" ht="20.100000000000001" customHeight="1" x14ac:dyDescent="0.25">
      <c r="D143" s="55" t="str">
        <f>'Input - Dairy'!$D$55</f>
        <v>Feed pad</v>
      </c>
      <c r="E143" s="55" t="str">
        <f>'Input - Dairy'!$D$101</f>
        <v>Anaerobic lagoon</v>
      </c>
      <c r="F143" s="55" cm="1">
        <f t="array" ref="F143">MMS_Dairy_ManureAppliedToSoils_Equations.VEERG_4_3_1_8__1_MassOfNitrogenAppliedToSoilsScope1(F44,_xlfn.XLOOKUP($E143,$D$22:$D$26,$E$22:$E$26),_xlfn.XLOOKUP($E143,$D$31:$D$35,$E$31:$E$35),F56,F131)</f>
        <v>139.52902843696128</v>
      </c>
      <c r="G143" s="55" cm="1">
        <f t="array" ref="G143">MMS_Dairy_ManureAppliedToSoils_Equations.VEERG_4_3_1_8__1_MassOfNitrogenAppliedToSoilsScope1(G44,_xlfn.XLOOKUP($E143,$D$22:$D$26,$E$22:$E$26),_xlfn.XLOOKUP($E143,$D$31:$D$35,$E$31:$E$35),G56,G131)</f>
        <v>119.87959852172649</v>
      </c>
      <c r="H143" s="55" cm="1">
        <f t="array" ref="H143">MMS_Dairy_ManureAppliedToSoils_Equations.VEERG_4_3_1_8__1_MassOfNitrogenAppliedToSoilsScope1(H44,_xlfn.XLOOKUP($E143,$D$22:$D$26,$E$22:$E$26),_xlfn.XLOOKUP($E143,$D$31:$D$35,$E$31:$E$35),H56,H131)</f>
        <v>47.746776313231159</v>
      </c>
      <c r="I143" s="55" cm="1">
        <f t="array" ref="I143">MMS_Dairy_ManureAppliedToSoils_Equations.VEERG_4_3_1_8__1_MassOfNitrogenAppliedToSoilsScope1(I44,_xlfn.XLOOKUP($E143,$D$22:$D$26,$E$22:$E$26),_xlfn.XLOOKUP($E143,$D$31:$D$35,$E$31:$E$35),I56,I131)</f>
        <v>150.69339646081124</v>
      </c>
      <c r="J143" s="55" cm="1">
        <f t="array" ref="J143">MMS_Dairy_ManureAppliedToSoils_Equations.VEERG_4_3_1_8__1_MassOfNitrogenAppliedToSoilsScope1(J44,_xlfn.XLOOKUP($E143,$D$22:$D$26,$E$22:$E$26),_xlfn.XLOOKUP($E143,$D$31:$D$35,$E$31:$E$35),J56,J131)</f>
        <v>63.084673659356305</v>
      </c>
      <c r="K143" s="2" t="str">
        <f t="shared" si="4"/>
        <v>kg N</v>
      </c>
      <c r="O143" s="55" t="str">
        <f>'Input - Dairy'!$D$55</f>
        <v>Feed pad</v>
      </c>
      <c r="P143" s="55" t="str">
        <f>'Input - Dairy'!$D$101</f>
        <v>Anaerobic lagoon</v>
      </c>
      <c r="Q143" s="55" cm="1">
        <f t="array" ref="Q143">MMS_Dairy_ManureAppliedToSoils_Equations.VEERG_4_3_1_8__1_MassOfNitrogenAppliedToSoilsScope1(Q44,_xlfn.XLOOKUP($P143,$D$22:$D$26,$E$22:$E$26),_xlfn.XLOOKUP($P143,$D$31:$D$35,$E$31:$E$35),Q56,F131)</f>
        <v>139.52902843696128</v>
      </c>
      <c r="R143" s="55" cm="1">
        <f t="array" ref="R143">MMS_Dairy_ManureAppliedToSoils_Equations.VEERG_4_3_1_8__1_MassOfNitrogenAppliedToSoilsScope1(R44,_xlfn.XLOOKUP($P143,$D$22:$D$26,$E$22:$E$26),_xlfn.XLOOKUP($P143,$D$31:$D$35,$E$31:$E$35),R56,G131)</f>
        <v>119.87959852172649</v>
      </c>
      <c r="S143" s="55" cm="1">
        <f t="array" ref="S143">MMS_Dairy_ManureAppliedToSoils_Equations.VEERG_4_3_1_8__1_MassOfNitrogenAppliedToSoilsScope1(S44,_xlfn.XLOOKUP($P143,$D$22:$D$26,$E$22:$E$26),_xlfn.XLOOKUP($P143,$D$31:$D$35,$E$31:$E$35),S56,H131)</f>
        <v>47.746776313231159</v>
      </c>
      <c r="T143" s="55" cm="1">
        <f t="array" ref="T143">MMS_Dairy_ManureAppliedToSoils_Equations.VEERG_4_3_1_8__1_MassOfNitrogenAppliedToSoilsScope1(T44,_xlfn.XLOOKUP($P143,$D$22:$D$26,$E$22:$E$26),_xlfn.XLOOKUP($P143,$D$31:$D$35,$E$31:$E$35),T56,I131)</f>
        <v>150.69339646081124</v>
      </c>
      <c r="U143" s="55" cm="1">
        <f t="array" ref="U143">MMS_Dairy_ManureAppliedToSoils_Equations.VEERG_4_3_1_8__1_MassOfNitrogenAppliedToSoilsScope1(U44,_xlfn.XLOOKUP($P143,$D$22:$D$26,$E$22:$E$26),_xlfn.XLOOKUP($P143,$D$31:$D$35,$E$31:$E$35),U56,J131)</f>
        <v>63.084673659356305</v>
      </c>
      <c r="V143" s="2" t="str">
        <f t="shared" si="5"/>
        <v>kg N</v>
      </c>
    </row>
    <row r="144" spans="4:22" ht="20.100000000000001" customHeight="1" x14ac:dyDescent="0.25">
      <c r="D144" s="55" t="str">
        <f>'Input - Dairy'!$D$55</f>
        <v>Feed pad</v>
      </c>
      <c r="E144" s="55" t="str">
        <f>'Input - Dairy'!$D$106</f>
        <v>Sump and dispersal system</v>
      </c>
      <c r="F144" s="55" cm="1">
        <f t="array" ref="F144">MMS_Dairy_ManureAppliedToSoils_Equations.VEERG_4_3_1_8__1_MassOfNitrogenAppliedToSoilsScope1(F45,_xlfn.XLOOKUP($E144,$D$22:$D$26,$E$22:$E$26),_xlfn.XLOOKUP($E144,$D$31:$D$35,$E$31:$E$35),F57,F132)</f>
        <v>159.70707254938335</v>
      </c>
      <c r="G144" s="55" cm="1">
        <f t="array" ref="G144">MMS_Dairy_ManureAppliedToSoils_Equations.VEERG_4_3_1_8__1_MassOfNitrogenAppliedToSoilsScope1(G45,_xlfn.XLOOKUP($E144,$D$22:$D$26,$E$22:$E$26),_xlfn.XLOOKUP($E144,$D$31:$D$35,$E$31:$E$35),G57,G132)</f>
        <v>137.21603276948386</v>
      </c>
      <c r="H144" s="55" cm="1">
        <f t="array" ref="H144">MMS_Dairy_ManureAppliedToSoils_Equations.VEERG_4_3_1_8__1_MassOfNitrogenAppliedToSoilsScope1(H45,_xlfn.XLOOKUP($E144,$D$22:$D$26,$E$22:$E$26),_xlfn.XLOOKUP($E144,$D$31:$D$35,$E$31:$E$35),H57,H132)</f>
        <v>54.651694733913814</v>
      </c>
      <c r="I144" s="55" cm="1">
        <f t="array" ref="I144">MMS_Dairy_ManureAppliedToSoils_Equations.VEERG_4_3_1_8__1_MassOfNitrogenAppliedToSoilsScope1(I45,_xlfn.XLOOKUP($E144,$D$22:$D$26,$E$22:$E$26),_xlfn.XLOOKUP($E144,$D$31:$D$35,$E$31:$E$35),I57,I132)</f>
        <v>172.48597994899006</v>
      </c>
      <c r="J144" s="55" cm="1">
        <f t="array" ref="J144">MMS_Dairy_ManureAppliedToSoils_Equations.VEERG_4_3_1_8__1_MassOfNitrogenAppliedToSoilsScope1(J45,_xlfn.XLOOKUP($E144,$D$22:$D$26,$E$22:$E$26),_xlfn.XLOOKUP($E144,$D$31:$D$35,$E$31:$E$35),J57,J132)</f>
        <v>72.207688003940135</v>
      </c>
      <c r="K144" s="2" t="str">
        <f t="shared" si="4"/>
        <v>kg N</v>
      </c>
      <c r="O144" s="55" t="str">
        <f>'Input - Dairy'!$D$55</f>
        <v>Feed pad</v>
      </c>
      <c r="P144" s="55" t="str">
        <f>'Input - Dairy'!$D$106</f>
        <v>Sump and dispersal system</v>
      </c>
      <c r="Q144" s="55" cm="1">
        <f t="array" ref="Q144">MMS_Dairy_ManureAppliedToSoils_Equations.VEERG_4_3_1_8__1_MassOfNitrogenAppliedToSoilsScope1(Q45,_xlfn.XLOOKUP($P144,$D$22:$D$26,$E$22:$E$26),_xlfn.XLOOKUP($P144,$D$31:$D$35,$E$31:$E$35),Q57,F132)</f>
        <v>159.70707254938335</v>
      </c>
      <c r="R144" s="55" cm="1">
        <f t="array" ref="R144">MMS_Dairy_ManureAppliedToSoils_Equations.VEERG_4_3_1_8__1_MassOfNitrogenAppliedToSoilsScope1(R45,_xlfn.XLOOKUP($P144,$D$22:$D$26,$E$22:$E$26),_xlfn.XLOOKUP($P144,$D$31:$D$35,$E$31:$E$35),R57,G132)</f>
        <v>137.21603276948386</v>
      </c>
      <c r="S144" s="55" cm="1">
        <f t="array" ref="S144">MMS_Dairy_ManureAppliedToSoils_Equations.VEERG_4_3_1_8__1_MassOfNitrogenAppliedToSoilsScope1(S45,_xlfn.XLOOKUP($P144,$D$22:$D$26,$E$22:$E$26),_xlfn.XLOOKUP($P144,$D$31:$D$35,$E$31:$E$35),S57,H132)</f>
        <v>54.651694733913814</v>
      </c>
      <c r="T144" s="55" cm="1">
        <f t="array" ref="T144">MMS_Dairy_ManureAppliedToSoils_Equations.VEERG_4_3_1_8__1_MassOfNitrogenAppliedToSoilsScope1(T45,_xlfn.XLOOKUP($P144,$D$22:$D$26,$E$22:$E$26),_xlfn.XLOOKUP($P144,$D$31:$D$35,$E$31:$E$35),T57,I132)</f>
        <v>172.48597994899006</v>
      </c>
      <c r="U144" s="55" cm="1">
        <f t="array" ref="U144">MMS_Dairy_ManureAppliedToSoils_Equations.VEERG_4_3_1_8__1_MassOfNitrogenAppliedToSoilsScope1(U45,_xlfn.XLOOKUP($P144,$D$22:$D$26,$E$22:$E$26),_xlfn.XLOOKUP($P144,$D$31:$D$35,$E$31:$E$35),U57,J132)</f>
        <v>72.207688003940135</v>
      </c>
      <c r="V144" s="2" t="str">
        <f t="shared" si="5"/>
        <v>kg N</v>
      </c>
    </row>
    <row r="145" spans="4:22" ht="20.100000000000001" customHeight="1" x14ac:dyDescent="0.25">
      <c r="D145" s="55" t="str">
        <f>'Input - Dairy'!$D$55</f>
        <v>Feed pad</v>
      </c>
      <c r="E145" s="55" t="str">
        <f>'Input - Dairy'!$D$111</f>
        <v>Drains to paddock</v>
      </c>
      <c r="F145" s="55" cm="1">
        <f t="array" ref="F145">MMS_Dairy_ManureAppliedToSoils_Equations.VEERG_4_3_1_8__1_MassOfNitrogenAppliedToSoilsScope1(F46,_xlfn.XLOOKUP($E145,$D$22:$D$26,$E$22:$E$26),_xlfn.XLOOKUP($E145,$D$31:$D$35,$E$31:$E$35),F58,F133)</f>
        <v>137.38242799946957</v>
      </c>
      <c r="G145" s="55" cm="1">
        <f t="array" ref="G145">MMS_Dairy_ManureAppliedToSoils_Equations.VEERG_4_3_1_8__1_MassOfNitrogenAppliedToSoilsScope1(G46,_xlfn.XLOOKUP($E145,$D$22:$D$26,$E$22:$E$26),_xlfn.XLOOKUP($E145,$D$31:$D$35,$E$31:$E$35),G58,G133)</f>
        <v>118.03529700600764</v>
      </c>
      <c r="H145" s="55" cm="1">
        <f t="array" ref="H145">MMS_Dairy_ManureAppliedToSoils_Equations.VEERG_4_3_1_8__1_MassOfNitrogenAppliedToSoilsScope1(H46,_xlfn.XLOOKUP($E145,$D$22:$D$26,$E$22:$E$26),_xlfn.XLOOKUP($E145,$D$31:$D$35,$E$31:$E$35),H58,H133)</f>
        <v>47.012210523796831</v>
      </c>
      <c r="I145" s="55" cm="1">
        <f t="array" ref="I145">MMS_Dairy_ManureAppliedToSoils_Equations.VEERG_4_3_1_8__1_MassOfNitrogenAppliedToSoilsScope1(I46,_xlfn.XLOOKUP($E145,$D$22:$D$26,$E$22:$E$26),_xlfn.XLOOKUP($E145,$D$31:$D$35,$E$31:$E$35),I58,I133)</f>
        <v>148.37503651526029</v>
      </c>
      <c r="J145" s="55" cm="1">
        <f t="array" ref="J145">MMS_Dairy_ManureAppliedToSoils_Equations.VEERG_4_3_1_8__1_MassOfNitrogenAppliedToSoilsScope1(J46,_xlfn.XLOOKUP($E145,$D$22:$D$26,$E$22:$E$26),_xlfn.XLOOKUP($E145,$D$31:$D$35,$E$31:$E$35),J58,J133)</f>
        <v>62.114140218443133</v>
      </c>
      <c r="K145" s="2" t="str">
        <f t="shared" si="4"/>
        <v>kg N</v>
      </c>
      <c r="O145" s="55" t="str">
        <f>'Input - Dairy'!$D$55</f>
        <v>Feed pad</v>
      </c>
      <c r="P145" s="55" t="str">
        <f>'Input - Dairy'!$D$111</f>
        <v>Drains to paddock</v>
      </c>
      <c r="Q145" s="55" cm="1">
        <f t="array" ref="Q145">MMS_Dairy_ManureAppliedToSoils_Equations.VEERG_4_3_1_8__1_MassOfNitrogenAppliedToSoilsScope1(Q46,_xlfn.XLOOKUP($P145,$D$22:$D$26,$E$22:$E$26),_xlfn.XLOOKUP($P145,$D$31:$D$35,$E$31:$E$35),Q58,F133)</f>
        <v>137.38242799946957</v>
      </c>
      <c r="R145" s="55" cm="1">
        <f t="array" ref="R145">MMS_Dairy_ManureAppliedToSoils_Equations.VEERG_4_3_1_8__1_MassOfNitrogenAppliedToSoilsScope1(R46,_xlfn.XLOOKUP($P145,$D$22:$D$26,$E$22:$E$26),_xlfn.XLOOKUP($P145,$D$31:$D$35,$E$31:$E$35),R58,G133)</f>
        <v>118.03529700600764</v>
      </c>
      <c r="S145" s="55" cm="1">
        <f t="array" ref="S145">MMS_Dairy_ManureAppliedToSoils_Equations.VEERG_4_3_1_8__1_MassOfNitrogenAppliedToSoilsScope1(S46,_xlfn.XLOOKUP($P145,$D$22:$D$26,$E$22:$E$26),_xlfn.XLOOKUP($P145,$D$31:$D$35,$E$31:$E$35),S58,H133)</f>
        <v>47.012210523796831</v>
      </c>
      <c r="T145" s="55" cm="1">
        <f t="array" ref="T145">MMS_Dairy_ManureAppliedToSoils_Equations.VEERG_4_3_1_8__1_MassOfNitrogenAppliedToSoilsScope1(T46,_xlfn.XLOOKUP($P145,$D$22:$D$26,$E$22:$E$26),_xlfn.XLOOKUP($P145,$D$31:$D$35,$E$31:$E$35),T58,I133)</f>
        <v>148.37503651526029</v>
      </c>
      <c r="U145" s="55" cm="1">
        <f t="array" ref="U145">MMS_Dairy_ManureAppliedToSoils_Equations.VEERG_4_3_1_8__1_MassOfNitrogenAppliedToSoilsScope1(U46,_xlfn.XLOOKUP($P145,$D$22:$D$26,$E$22:$E$26),_xlfn.XLOOKUP($P145,$D$31:$D$35,$E$31:$E$35),U58,J133)</f>
        <v>62.114140218443133</v>
      </c>
      <c r="V145" s="2" t="str">
        <f t="shared" si="5"/>
        <v>kg N</v>
      </c>
    </row>
    <row r="146" spans="4:22" ht="20.100000000000001" customHeight="1" x14ac:dyDescent="0.25">
      <c r="D146" s="55" t="str">
        <f>'Input - Dairy'!$D$55</f>
        <v>Feed pad</v>
      </c>
      <c r="E146" s="55" t="str">
        <f>'Input - Dairy'!$D$116</f>
        <v>Solid storage</v>
      </c>
      <c r="F146" s="55" cm="1">
        <f t="array" ref="F146">MMS_Dairy_ManureAppliedToSoils_Equations.VEERG_4_3_1_8__1_MassOfNitrogenAppliedToSoilsScope1(F47,_xlfn.XLOOKUP($E146,$D$22:$D$26,$E$22:$E$26),_xlfn.XLOOKUP($E146,$D$31:$D$35,$E$31:$E$35),F59,F134)</f>
        <v>202.85374134296677</v>
      </c>
      <c r="G146" s="55" cm="1">
        <f t="array" ref="G146">MMS_Dairy_ManureAppliedToSoils_Equations.VEERG_4_3_1_8__1_MassOfNitrogenAppliedToSoilsScope1(G47,_xlfn.XLOOKUP($E146,$D$22:$D$26,$E$22:$E$26),_xlfn.XLOOKUP($E146,$D$31:$D$35,$E$31:$E$35),G59,G134)</f>
        <v>174.28649323543314</v>
      </c>
      <c r="H146" s="55" cm="1">
        <f t="array" ref="H146">MMS_Dairy_ManureAppliedToSoils_Equations.VEERG_4_3_1_8__1_MassOfNitrogenAppliedToSoilsScope1(H47,_xlfn.XLOOKUP($E146,$D$22:$D$26,$E$22:$E$26),_xlfn.XLOOKUP($E146,$D$31:$D$35,$E$31:$E$35),H59,H134)</f>
        <v>69.416467101543759</v>
      </c>
      <c r="I146" s="55" cm="1">
        <f t="array" ref="I146">MMS_Dairy_ManureAppliedToSoils_Equations.VEERG_4_3_1_8__1_MassOfNitrogenAppliedToSoilsScope1(I47,_xlfn.XLOOKUP($E146,$D$22:$D$26,$E$22:$E$26),_xlfn.XLOOKUP($E146,$D$31:$D$35,$E$31:$E$35),I59,I134)</f>
        <v>219.08501485456401</v>
      </c>
      <c r="J146" s="55" cm="1">
        <f t="array" ref="J146">MMS_Dairy_ManureAppliedToSoils_Equations.VEERG_4_3_1_8__1_MassOfNitrogenAppliedToSoilsScope1(J47,_xlfn.XLOOKUP($E146,$D$22:$D$26,$E$22:$E$26),_xlfn.XLOOKUP($E146,$D$31:$D$35,$E$31:$E$35),J59,J134)</f>
        <v>91.715410166294944</v>
      </c>
      <c r="K146" s="2" t="str">
        <f t="shared" si="4"/>
        <v>kg N</v>
      </c>
      <c r="O146" s="55" t="str">
        <f>'Input - Dairy'!$D$55</f>
        <v>Feed pad</v>
      </c>
      <c r="P146" s="55" t="str">
        <f>'Input - Dairy'!$D$116</f>
        <v>Solid storage</v>
      </c>
      <c r="Q146" s="55" cm="1">
        <f t="array" ref="Q146">MMS_Dairy_ManureAppliedToSoils_Equations.VEERG_4_3_1_8__1_MassOfNitrogenAppliedToSoilsScope1(Q47,_xlfn.XLOOKUP($P146,$D$22:$D$26,$E$22:$E$26),_xlfn.XLOOKUP($P146,$D$31:$D$35,$E$31:$E$35),Q59,F134)</f>
        <v>202.85374134296677</v>
      </c>
      <c r="R146" s="55" cm="1">
        <f t="array" ref="R146">MMS_Dairy_ManureAppliedToSoils_Equations.VEERG_4_3_1_8__1_MassOfNitrogenAppliedToSoilsScope1(R47,_xlfn.XLOOKUP($P146,$D$22:$D$26,$E$22:$E$26),_xlfn.XLOOKUP($P146,$D$31:$D$35,$E$31:$E$35),R59,G134)</f>
        <v>174.28649323543314</v>
      </c>
      <c r="S146" s="55" cm="1">
        <f t="array" ref="S146">MMS_Dairy_ManureAppliedToSoils_Equations.VEERG_4_3_1_8__1_MassOfNitrogenAppliedToSoilsScope1(S47,_xlfn.XLOOKUP($P146,$D$22:$D$26,$E$22:$E$26),_xlfn.XLOOKUP($P146,$D$31:$D$35,$E$31:$E$35),S59,H134)</f>
        <v>69.416467101543759</v>
      </c>
      <c r="T146" s="55" cm="1">
        <f t="array" ref="T146">MMS_Dairy_ManureAppliedToSoils_Equations.VEERG_4_3_1_8__1_MassOfNitrogenAppliedToSoilsScope1(T47,_xlfn.XLOOKUP($P146,$D$22:$D$26,$E$22:$E$26),_xlfn.XLOOKUP($P146,$D$31:$D$35,$E$31:$E$35),T59,I134)</f>
        <v>219.08501485456401</v>
      </c>
      <c r="U146" s="55" cm="1">
        <f t="array" ref="U146">MMS_Dairy_ManureAppliedToSoils_Equations.VEERG_4_3_1_8__1_MassOfNitrogenAppliedToSoilsScope1(U47,_xlfn.XLOOKUP($P146,$D$22:$D$26,$E$22:$E$26),_xlfn.XLOOKUP($P146,$D$31:$D$35,$E$31:$E$35),U59,J134)</f>
        <v>91.715410166294944</v>
      </c>
      <c r="V146" s="2" t="str">
        <f t="shared" si="5"/>
        <v>kg N</v>
      </c>
    </row>
    <row r="147" spans="4:22" ht="20.100000000000001" customHeight="1" x14ac:dyDescent="0.25"/>
    <row r="148" spans="4:22" ht="20.100000000000001" customHeight="1" x14ac:dyDescent="0.25">
      <c r="D148" s="108" t="s">
        <v>144</v>
      </c>
      <c r="E148" s="109">
        <f>SUM(F139:J146)</f>
        <v>3126.4202862657203</v>
      </c>
      <c r="F148" s="110" t="str">
        <f>$E$95</f>
        <v>kg N</v>
      </c>
      <c r="O148" s="108" t="s">
        <v>144</v>
      </c>
      <c r="P148" s="109">
        <f>SUM(Q139:U146)</f>
        <v>3126.4202862657203</v>
      </c>
      <c r="Q148" s="110"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79 E64 E67 E76 E79 E106 E109 P106 P109 E175 E178 E187 E190 P187 P190 E127 E130 E139 E142 P139 P142 E55 E52 P52 P55 E43 E40 P43 P40" xr:uid="{3CE1B7AD-39BD-4423-96DF-3D6853CFDB0B}"/>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MMS_Dairy_N2ODirect_Equations.VEERG_4_3_1_3__2_TotalNitrogenInEachMMS_Title()</f>
        <v>Total nitrogen in each MMS</v>
      </c>
    </row>
    <row r="6" spans="1:23" ht="20.100000000000001" customHeight="1" x14ac:dyDescent="0.25">
      <c r="A6" s="20" t="s">
        <v>3</v>
      </c>
      <c r="D6" s="5" t="str" cm="1">
        <f t="array" ref="D6">MMS_Dairy_N2ODirect_Equations.VEERG_4_3_1_3__2_TotalNitrogenInEachMMS_Source()</f>
        <v>VEERG 2026: 4.3.1.3, Equation (2)</v>
      </c>
    </row>
    <row r="7" spans="1:23" ht="20.100000000000001" customHeight="1" x14ac:dyDescent="0.25">
      <c r="A7" s="17" t="str">
        <f>HYPERLINK("#'Input - Site'!A1", "Site")</f>
        <v>Site</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Dairy'!A1", "Dairy")</f>
        <v>Dairy</v>
      </c>
    </row>
    <row r="9" spans="1:23" ht="20.100000000000001" customHeight="1" x14ac:dyDescent="0.25">
      <c r="A9" s="17"/>
      <c r="D9" s="6"/>
    </row>
    <row r="10" spans="1:23" ht="20.100000000000001" customHeight="1" x14ac:dyDescent="0.25">
      <c r="A10" s="19" t="s">
        <v>78</v>
      </c>
      <c r="D10" s="56" t="s">
        <v>31</v>
      </c>
      <c r="E10" s="1" t="str" cm="1">
        <f t="array" ref="E10">MMS_Dairy_N2ODirect_Equations.VEERG_4_3_1_3__2_TotalNitrogenInEachMMS_Variable()</f>
        <v>MN_jm</v>
      </c>
    </row>
    <row r="11" spans="1:23" ht="20.100000000000001" customHeight="1" x14ac:dyDescent="0.25">
      <c r="A11" s="17" t="str">
        <f>HYPERLINK("#'4.3.1.1-2 Methane'!A1", "4.3.1.1-2 Methane")</f>
        <v>4.3.1.1-2 Methane</v>
      </c>
      <c r="D11" s="56" t="s">
        <v>21</v>
      </c>
      <c r="E11" s="57" t="str" cm="1">
        <f t="array" ref="E11">MMS_Dairy_N2ODirect_Equations.VEERG_4_3_1_3__2_TotalNitrogenInEachMMS_Unit()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4">MMS_Dairy_N2ODirect_Equations.VEERG_4_3_1_3__2_TotalNitrogenInEachMMS_Arguments()</f>
        <v>AE_j</v>
      </c>
      <c r="E13" s="117" t="str">
        <v>total nitrogen excreted by each dairy class (kg N)</v>
      </c>
      <c r="F13" s="116"/>
      <c r="G13" s="115" t="str">
        <f>"See " &amp; D16</f>
        <v>See M1_Table_AE_j</v>
      </c>
    </row>
    <row r="14" spans="1:23" ht="20.100000000000001" customHeight="1" x14ac:dyDescent="0.25">
      <c r="A14" s="17" t="str">
        <f>HYPERLINK("#'4.3.1.6-7 Leaching and runoff'!A1", "4.3.1.6-7 Leaching and runoff")</f>
        <v>4.3.1.6-7 Leaching and runoff</v>
      </c>
      <c r="D14" s="115" t="str">
        <v>MMS_jm</v>
      </c>
      <c r="E14" s="117" t="str">
        <v>manure management system fraction for class j and system m</v>
      </c>
      <c r="F14" s="116"/>
      <c r="G14" s="115" t="str">
        <f>"See " &amp; D22</f>
        <v>See M1_Table_MMS_j_m-14</v>
      </c>
    </row>
    <row r="15" spans="1:23" ht="20.100000000000001" customHeight="1" x14ac:dyDescent="0.25">
      <c r="A15" s="17" t="str">
        <f>HYPERLINK("#'4.3.1.8 Manure applied to soils'!A1", "4.3.1.8 Manure applied to soils")</f>
        <v>4.3.1.8 Manure applied to soils</v>
      </c>
    </row>
    <row r="16" spans="1:23" ht="20.100000000000001" customHeight="1" x14ac:dyDescent="0.25">
      <c r="A16" s="22" t="str">
        <f>HYPERLINK("#'4.3.1.9 Soil direct N2O'!A1", "4.3.1.9 Soil direct N2O")</f>
        <v>4.3.1.9 Soil direct N2O</v>
      </c>
      <c r="D16" s="104" t="s">
        <v>125</v>
      </c>
    </row>
    <row r="17" spans="1:22" ht="20.100000000000001" customHeight="1" x14ac:dyDescent="0.25">
      <c r="A17" s="17" t="str">
        <f>HYPERLINK("#'4.3.1.10-11 Soil Atmos Dep'!A1", "4.3.1.10-11 Soil atm. deposition")</f>
        <v>4.3.1.10-11 Soil atm. deposition</v>
      </c>
      <c r="D17" s="103" t="s">
        <v>377</v>
      </c>
    </row>
    <row r="18" spans="1:22" ht="20.100000000000001" customHeight="1" x14ac:dyDescent="0.25">
      <c r="A18" s="17" t="str">
        <f>HYPERLINK("#'4.3.1.12-13 Soil leach runoff'!A1", "4.3.1.12-13 Soil leach &amp; runoff")</f>
        <v>4.3.1.12-13 Soil leach &amp; runoff</v>
      </c>
      <c r="D18" s="54" t="s">
        <v>178</v>
      </c>
      <c r="E18" s="54" t="s">
        <v>195</v>
      </c>
      <c r="F18" s="54" t="s">
        <v>196</v>
      </c>
      <c r="G18" s="54" t="s">
        <v>197</v>
      </c>
      <c r="H18" s="54" t="s">
        <v>198</v>
      </c>
    </row>
    <row r="19" spans="1:22" ht="20.100000000000001" customHeight="1" x14ac:dyDescent="0.25">
      <c r="A19" s="17"/>
      <c r="D19" s="55">
        <f>'4.3.1.3-4 Direct N20'!D169</f>
        <v>9647.642415693088</v>
      </c>
      <c r="E19" s="55">
        <f>'4.3.1.3-4 Direct N20'!E169</f>
        <v>8288.9955762645804</v>
      </c>
      <c r="F19" s="55">
        <f>'4.3.1.3-4 Direct N20'!F206</f>
        <v>3301.419278356519</v>
      </c>
      <c r="G19" s="55">
        <f>'4.3.1.3-4 Direct N20'!G169</f>
        <v>10419.59526090311</v>
      </c>
      <c r="H19" s="55">
        <f>'4.3.1.3-4 Direct N20'!H206</f>
        <v>4361.9480490479727</v>
      </c>
      <c r="I19" s="2" t="s">
        <v>135</v>
      </c>
    </row>
    <row r="20" spans="1:22" ht="20.100000000000001" customHeight="1" x14ac:dyDescent="0.25">
      <c r="A20" s="18" t="s">
        <v>4</v>
      </c>
    </row>
    <row r="21" spans="1:22" ht="20.100000000000001" customHeight="1" x14ac:dyDescent="0.25">
      <c r="A21" s="17" t="str">
        <f>HYPERLINK("#'Constants - Dairy'!A1", "Constants - Dairy")</f>
        <v>Constants - Dairy</v>
      </c>
    </row>
    <row r="22" spans="1:22" ht="20.100000000000001" customHeight="1" x14ac:dyDescent="0.25">
      <c r="A22" s="17" t="str">
        <f>HYPERLINK("#'Constants - Livestock'!A1", "Constants - Livestock")</f>
        <v>Constants - Livestock</v>
      </c>
      <c r="D22" s="104" t="s">
        <v>375</v>
      </c>
      <c r="O22" s="104" t="s">
        <v>375</v>
      </c>
    </row>
    <row r="23" spans="1:22" ht="20.100000000000001" customHeight="1" x14ac:dyDescent="0.25">
      <c r="A23" s="17" t="str">
        <f>HYPERLINK("#'Constants - Common'!A1", "Constants - Common")</f>
        <v>Constants - Common</v>
      </c>
      <c r="D23" s="103" t="s">
        <v>376</v>
      </c>
      <c r="O23" s="103" t="s">
        <v>376</v>
      </c>
    </row>
    <row r="24" spans="1:22" ht="20.100000000000001" customHeight="1" x14ac:dyDescent="0.25">
      <c r="A24" s="17" t="str">
        <f>HYPERLINK("#'Acknowledgements'!A1", "Acknowledgements")</f>
        <v>Acknowledgements</v>
      </c>
      <c r="D24" s="54" t="s">
        <v>152</v>
      </c>
      <c r="E24" s="54" t="s">
        <v>69</v>
      </c>
      <c r="F24" s="54" t="s">
        <v>178</v>
      </c>
      <c r="G24" s="54" t="s">
        <v>195</v>
      </c>
      <c r="H24" s="54" t="s">
        <v>196</v>
      </c>
      <c r="I24" s="54" t="s">
        <v>197</v>
      </c>
      <c r="J24" s="54" t="s">
        <v>198</v>
      </c>
      <c r="O24" s="54" t="s">
        <v>152</v>
      </c>
      <c r="P24" s="54" t="s">
        <v>69</v>
      </c>
      <c r="Q24" s="54" t="s">
        <v>178</v>
      </c>
      <c r="R24" s="54" t="s">
        <v>195</v>
      </c>
      <c r="S24" s="54" t="s">
        <v>196</v>
      </c>
      <c r="T24" s="54" t="s">
        <v>197</v>
      </c>
      <c r="U24" s="54" t="s">
        <v>198</v>
      </c>
    </row>
    <row r="25" spans="1:22" ht="20.100000000000001" customHeight="1" x14ac:dyDescent="0.25">
      <c r="D25" s="55" t="str">
        <f>'Input - Dairy'!$D$53</f>
        <v>Pasture</v>
      </c>
      <c r="E25" s="55" t="str">
        <f>'Constants - Livestock'!$E$27</f>
        <v>Pasture range and paddock</v>
      </c>
      <c r="F25" s="55">
        <f>'Input - Dairy'!E53</f>
        <v>0.53400000000000003</v>
      </c>
      <c r="G25" s="55">
        <f>'Input - Dairy'!F53</f>
        <v>0.53400000000000003</v>
      </c>
      <c r="H25" s="55">
        <f>'Input - Dairy'!G53</f>
        <v>0.53400000000000003</v>
      </c>
      <c r="I25" s="55">
        <f>'Input - Dairy'!H53</f>
        <v>0.53400000000000003</v>
      </c>
      <c r="J25" s="55">
        <f>'Input - Dairy'!I53</f>
        <v>0.53400000000000003</v>
      </c>
      <c r="K25" s="2" t="s">
        <v>101</v>
      </c>
      <c r="O25" s="55" t="str">
        <f>'Input - Dairy'!$D$53</f>
        <v>Pasture</v>
      </c>
      <c r="P25" s="55" t="str">
        <f>'Constants - Livestock'!$E$27</f>
        <v>Pasture range and paddock</v>
      </c>
      <c r="Q25" s="55">
        <f>'Input - Dairy'!E58</f>
        <v>0.53400000000000003</v>
      </c>
      <c r="R25" s="55">
        <f>'Input - Dairy'!F58</f>
        <v>0.53400000000000003</v>
      </c>
      <c r="S25" s="55">
        <f>'Input - Dairy'!G58</f>
        <v>0.53400000000000003</v>
      </c>
      <c r="T25" s="55">
        <f>'Input - Dairy'!H58</f>
        <v>0.53400000000000003</v>
      </c>
      <c r="U25" s="55">
        <f>'Input - Dairy'!I58</f>
        <v>0.53400000000000003</v>
      </c>
      <c r="V25" s="2" t="s">
        <v>101</v>
      </c>
    </row>
    <row r="26" spans="1:22" ht="20.100000000000001" customHeight="1" x14ac:dyDescent="0.25"/>
    <row r="27" spans="1:22" ht="20.100000000000001" customHeight="1" x14ac:dyDescent="0.25">
      <c r="Q27" s="138"/>
    </row>
    <row r="28" spans="1:22" ht="20.100000000000001" customHeight="1" x14ac:dyDescent="0.25">
      <c r="D28" s="104" t="s">
        <v>378</v>
      </c>
      <c r="O28" s="104" t="s">
        <v>380</v>
      </c>
    </row>
    <row r="29" spans="1:22" ht="20.100000000000001" customHeight="1" x14ac:dyDescent="0.25">
      <c r="D29" s="103" t="s">
        <v>379</v>
      </c>
      <c r="O29" s="103" t="s">
        <v>381</v>
      </c>
    </row>
    <row r="30" spans="1:22" ht="20.100000000000001" customHeight="1" x14ac:dyDescent="0.25">
      <c r="D30" s="54" t="s">
        <v>152</v>
      </c>
      <c r="E30" s="54" t="s">
        <v>69</v>
      </c>
      <c r="F30" s="54" t="s">
        <v>178</v>
      </c>
      <c r="G30" s="54" t="s">
        <v>195</v>
      </c>
      <c r="H30" s="54" t="s">
        <v>196</v>
      </c>
      <c r="I30" s="54" t="s">
        <v>197</v>
      </c>
      <c r="J30" s="54" t="s">
        <v>198</v>
      </c>
      <c r="O30" s="54" t="s">
        <v>152</v>
      </c>
      <c r="P30" s="54" t="s">
        <v>69</v>
      </c>
      <c r="Q30" s="54" t="s">
        <v>178</v>
      </c>
      <c r="R30" s="54" t="s">
        <v>195</v>
      </c>
      <c r="S30" s="54" t="s">
        <v>196</v>
      </c>
      <c r="T30" s="54" t="s">
        <v>197</v>
      </c>
      <c r="U30" s="54" t="s">
        <v>198</v>
      </c>
    </row>
    <row r="31" spans="1:22" ht="20.100000000000001" customHeight="1" x14ac:dyDescent="0.25">
      <c r="D31" s="55" t="str">
        <f>'Input - Dairy'!$D$53</f>
        <v>Pasture</v>
      </c>
      <c r="E31" s="55" t="str">
        <f>'Constants - Livestock'!$E$27</f>
        <v>Pasture range and paddock</v>
      </c>
      <c r="F31" s="55" cm="1">
        <f t="array" ref="F31">MMS_Dairy_N2ODirect_Equations.VEERG_4_3_1_3__2_TotalNitrogenInEachMMS(D19,F25)</f>
        <v>5151.8410499801093</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Dairy'!$D$53</f>
        <v>Pasture</v>
      </c>
      <c r="P31" s="55" t="str">
        <f>'Constants - Livestock'!$E$27</f>
        <v>Pasture range and paddock</v>
      </c>
      <c r="Q31" s="55" cm="1">
        <f t="array" ref="Q31">MMS_Dairy_N2ODirect_Equations.VEERG_4_3_1_3__2_TotalNitrogenInEachMMS(D19,Q25)</f>
        <v>5151.8410499801093</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113</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60" t="str" cm="1">
        <f t="array" ref="D43:E46">MMS_Dairy_Soil_N2ODirect_Equations.VEERG_4_3_1_9__1_DirectNitrousOxideEmissionsOnPasture_Arguments()</f>
        <v>MN_jm14</v>
      </c>
      <c r="E43" s="61" t="str">
        <v>mass of nitrogen excreted on pasture, range, and paddock for each dairy cattle class (kg N)</v>
      </c>
      <c r="F43" s="105"/>
      <c r="G43" s="62"/>
      <c r="H43" s="60" t="str">
        <f>"See " &amp; D28</f>
        <v>See M1_Table_MN_j_m-14</v>
      </c>
    </row>
    <row r="44" spans="3:23" ht="20.100000000000001" customHeight="1" x14ac:dyDescent="0.25">
      <c r="D44" s="60" t="str">
        <v>EF_PRP</v>
      </c>
      <c r="E44" s="61" t="str">
        <v>emission factor for nitrous oxide emissions for urine and dung deposited on PRP (kg N2O-N/kg N deposited)</v>
      </c>
      <c r="F44" s="105"/>
      <c r="G44" s="62"/>
      <c r="H44" s="60">
        <f>Common_InputFunctions.Utility_LookupValueInTable(H46, Table_SourceData_EFPastureRangeAndPaddock[Climate zone],Table_SourceData_EFPastureRangeAndPaddock[EFPRP])</f>
        <v>2E-3</v>
      </c>
    </row>
    <row r="45" spans="3:23" ht="20.100000000000001" customHeight="1" x14ac:dyDescent="0.25">
      <c r="D45" s="60" t="str">
        <v>C_N2O</v>
      </c>
      <c r="E45" s="61" t="str">
        <v>factor to convert elemental mass of N2O to molecular mass</v>
      </c>
      <c r="F45" s="105"/>
      <c r="G45" s="62"/>
      <c r="H45" s="60">
        <f>Common_InputFunctions.Utility_LookupValueInTableNumber("N2O",Table_GasToMolecularConversionFactor[Gas],Table_GasToMolecularConversionFactor[Conversion factor combined])</f>
        <v>1.5714285714285714</v>
      </c>
    </row>
    <row r="46" spans="3:23" ht="20.100000000000001" customHeight="1" x14ac:dyDescent="0.25">
      <c r="D46" s="60" t="str">
        <v>z</v>
      </c>
      <c r="E46" s="61" t="str">
        <v>Wet or dry climate zone</v>
      </c>
      <c r="F46" s="105"/>
      <c r="G46" s="62"/>
      <c r="H46" s="60" t="str">
        <f>'Input - Site'!$E$32</f>
        <v>Dry climate zone</v>
      </c>
    </row>
    <row r="47" spans="3:23" ht="20.100000000000001" customHeight="1" x14ac:dyDescent="0.25"/>
    <row r="48" spans="3:23" ht="20.100000000000001" customHeight="1" x14ac:dyDescent="0.25">
      <c r="D48" s="104" t="s">
        <v>127</v>
      </c>
      <c r="O48" s="104" t="s">
        <v>384</v>
      </c>
    </row>
    <row r="49" spans="4:22" ht="20.100000000000001" customHeight="1" x14ac:dyDescent="0.25">
      <c r="D49" s="103" t="s">
        <v>383</v>
      </c>
      <c r="O49" s="103" t="s">
        <v>385</v>
      </c>
    </row>
    <row r="50" spans="4:22" ht="20.100000000000001" customHeight="1" x14ac:dyDescent="0.25">
      <c r="D50" s="54" t="s">
        <v>152</v>
      </c>
      <c r="E50" s="54" t="s">
        <v>69</v>
      </c>
      <c r="F50" s="54" t="s">
        <v>178</v>
      </c>
      <c r="G50" s="54" t="s">
        <v>195</v>
      </c>
      <c r="H50" s="54" t="s">
        <v>196</v>
      </c>
      <c r="I50" s="54" t="s">
        <v>197</v>
      </c>
      <c r="J50" s="54" t="s">
        <v>198</v>
      </c>
      <c r="O50" s="54" t="s">
        <v>152</v>
      </c>
      <c r="P50" s="54" t="s">
        <v>69</v>
      </c>
      <c r="Q50" s="54" t="s">
        <v>178</v>
      </c>
      <c r="R50" s="54" t="s">
        <v>195</v>
      </c>
      <c r="S50" s="54" t="s">
        <v>196</v>
      </c>
      <c r="T50" s="54" t="s">
        <v>197</v>
      </c>
      <c r="U50" s="54" t="s">
        <v>198</v>
      </c>
    </row>
    <row r="51" spans="4:22" ht="20.100000000000001" customHeight="1" x14ac:dyDescent="0.25">
      <c r="D51" s="55" t="str">
        <f>'Input - Dairy'!$D$53</f>
        <v>Pasture</v>
      </c>
      <c r="E51" s="55" t="str">
        <f>'Constants - Livestock'!$E$27</f>
        <v>Pasture range and paddock</v>
      </c>
      <c r="F51" s="55" cm="1">
        <f t="array" ref="F51">MMS_Dairy_Soil_N2ODirect_Equations.VEERG_4_3_1_9__1_DirectNitrousOxideEmissionsOnPasture(F31,$H$44,$H$45)</f>
        <v>1.6191500442794628E-2</v>
      </c>
      <c r="G51" s="55" cm="1">
        <f t="array" ref="G51">MMS_Dairy_Soil_N2ODirect_Equations.VEERG_4_3_1_9__1_DirectNitrousOxideEmissionsOnPasture(G31,$H$44,$H$45)</f>
        <v>1.3911302861422326E-2</v>
      </c>
      <c r="H51" s="55" cm="1">
        <f t="array" ref="H51">MMS_Dairy_Soil_N2ODirect_Equations.VEERG_4_3_1_9__1_DirectNitrousOxideEmissionsOnPasture(H31,$H$44,$H$45)</f>
        <v>5.5407248117331984E-3</v>
      </c>
      <c r="I51" s="55" cm="1">
        <f t="array" ref="I51">MMS_Dairy_Soil_N2ODirect_Equations.VEERG_4_3_1_9__1_DirectNitrousOxideEmissionsOnPasture(I31,$H$44,$H$45)</f>
        <v>1.7487057875012819E-2</v>
      </c>
      <c r="J51" s="55" cm="1">
        <f t="array" ref="J51">MMS_Dairy_Soil_N2ODirect_Equations.VEERG_4_3_1_9__1_DirectNitrousOxideEmissionsOnPasture(J31,$H$44,$H$45)</f>
        <v>7.3205950971736563E-3</v>
      </c>
      <c r="K51" s="2" t="str">
        <f>$E$41</f>
        <v>t N2O</v>
      </c>
      <c r="O51" s="55" t="str">
        <f>'Input - Dairy'!$D$53</f>
        <v>Pasture</v>
      </c>
      <c r="P51" s="55" t="str">
        <f>'Constants - Livestock'!$E$27</f>
        <v>Pasture range and paddock</v>
      </c>
      <c r="Q51" s="55" cm="1">
        <f t="array" ref="Q51">MMS_Dairy_Soil_N2ODirect_Equations.VEERG_4_3_1_9__1_DirectNitrousOxideEmissionsOnPasture(Q31,$H$44,$H$45)</f>
        <v>1.6191500442794628E-2</v>
      </c>
      <c r="R51" s="55" cm="1">
        <f t="array" ref="R51">MMS_Dairy_Soil_N2ODirect_Equations.VEERG_4_3_1_9__1_DirectNitrousOxideEmissionsOnPasture(R31,$H$44,$H$45)</f>
        <v>1.3911302861422326E-2</v>
      </c>
      <c r="S51" s="55" cm="1">
        <f t="array" ref="S51">MMS_Dairy_Soil_N2ODirect_Equations.VEERG_4_3_1_9__1_DirectNitrousOxideEmissionsOnPasture(S31,$H$44,$H$45)</f>
        <v>5.5407248117331984E-3</v>
      </c>
      <c r="T51" s="55" cm="1">
        <f t="array" ref="T51">MMS_Dairy_Soil_N2ODirect_Equations.VEERG_4_3_1_9__1_DirectNitrousOxideEmissionsOnPasture(T31,$H$44,$H$45)</f>
        <v>1.7487057875012819E-2</v>
      </c>
      <c r="U51" s="55" cm="1">
        <f t="array" ref="U51">MMS_Dairy_Soil_N2ODirect_Equations.VEERG_4_3_1_9__1_DirectNitrousOxideEmissionsOnPasture(U31,$H$44,$H$45)</f>
        <v>7.3205950971736563E-3</v>
      </c>
      <c r="V51" s="2" t="str">
        <f>$E$41</f>
        <v>t N2O</v>
      </c>
    </row>
    <row r="52" spans="4:22" ht="20.100000000000001" customHeight="1" x14ac:dyDescent="0.25"/>
    <row r="53" spans="4:22" ht="20.100000000000001" customHeight="1" x14ac:dyDescent="0.25">
      <c r="D53" s="108" t="s">
        <v>126</v>
      </c>
      <c r="E53" s="109">
        <f>SUM(F51:J51)</f>
        <v>6.045118108813663E-2</v>
      </c>
      <c r="F53" s="110" t="str">
        <f>$E$41</f>
        <v>t N2O</v>
      </c>
      <c r="O53" s="108" t="s">
        <v>126</v>
      </c>
      <c r="P53" s="109">
        <f>SUM(Q51:U51)</f>
        <v>6.045118108813663E-2</v>
      </c>
      <c r="Q53" s="110" t="str">
        <f>$E$41</f>
        <v>t N2O</v>
      </c>
    </row>
    <row r="54" spans="4:22" ht="20.100000000000001" customHeight="1" x14ac:dyDescent="0.25"/>
    <row r="55" spans="4:22" ht="20.100000000000001" customHeight="1" x14ac:dyDescent="0.25">
      <c r="D55" s="60" t="str" cm="1">
        <f t="array" ref="D55:E56">Common_Equations.Common_ConvertN2OToCO2e_Arguments()</f>
        <v>EN2O</v>
      </c>
      <c r="E55" s="61" t="str">
        <v>Nitrous oxide emissions (t N2O)</v>
      </c>
      <c r="F55" s="111"/>
      <c r="G55" s="55">
        <f>E53</f>
        <v>6.045118108813663E-2</v>
      </c>
      <c r="O55" s="60" t="str" cm="1">
        <f t="array" ref="O55:P56">Common_Equations.Common_ConvertN2OToCO2e_Arguments()</f>
        <v>EN2O</v>
      </c>
      <c r="P55" s="61" t="str">
        <v>Nitrous oxide emissions (t N2O)</v>
      </c>
      <c r="Q55" s="111"/>
      <c r="R55" s="55">
        <f>P53</f>
        <v>6.045118108813663E-2</v>
      </c>
    </row>
    <row r="56" spans="4: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4:22" ht="20.100000000000001" customHeight="1" x14ac:dyDescent="0.25"/>
    <row r="58" spans="4:22" ht="20.100000000000001" customHeight="1" x14ac:dyDescent="0.25">
      <c r="D58" s="48" t="s">
        <v>111</v>
      </c>
      <c r="E58" s="48" cm="1">
        <f t="array" ref="E58">Common_Equations.Common_ConvertN2OToCO2e(G55,G56)</f>
        <v>16.019562988356206</v>
      </c>
      <c r="F58" s="112" t="str" cm="1">
        <f t="array" ref="F58">Common_Equations.Common_ConvertN2OToCO2e_Unit()</f>
        <v>t CO2e</v>
      </c>
      <c r="O58" s="48" t="s">
        <v>111</v>
      </c>
      <c r="P58" s="48" cm="1">
        <f t="array" ref="P58">Common_Equations.Common_ConvertN2OToCO2e(R55,R56)</f>
        <v>16.019562988356206</v>
      </c>
      <c r="Q58" s="112"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20" t="s">
        <v>3</v>
      </c>
      <c r="D6" s="5" t="str" cm="1">
        <f t="array" ref="D6">MMS_Dairy_Soil_AtmosphericDeposition_Equations.VEERG_4_3_1_10__2_MassOfNitrogenVolatilisedOnPasture_Source()</f>
        <v>VEERG 2026: 4.3.1.10, Equation (2)</v>
      </c>
    </row>
    <row r="7" spans="1:23" ht="20.100000000000001" customHeight="1" x14ac:dyDescent="0.25">
      <c r="A7" s="17" t="str">
        <f>HYPERLINK("#'Input - Site'!A1", "Site")</f>
        <v>Site</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MMS_Dairy_Soil_AtmosphericDeposition_Equations.VEERG_4_3_1_10__2_MassOfNitrogenVolatilisedOnPasture_Variable()</f>
        <v>M_vol_m14</v>
      </c>
    </row>
    <row r="11" spans="1:23" ht="20.100000000000001" customHeight="1" x14ac:dyDescent="0.25">
      <c r="A11" s="17" t="str">
        <f>HYPERLINK("#'4.3.1.1-2 Methane'!A1", "4.3.1.1-2 Methane")</f>
        <v>4.3.1.1-2 Methane</v>
      </c>
      <c r="D11" s="56" t="s">
        <v>21</v>
      </c>
      <c r="E11" s="57" t="str" cm="1">
        <f t="array" ref="E11">MMS_Dairy_Soil_AtmosphericDeposition_Equations.VEERG_4_3_1_10__2_MassOfNitrogenVolatilisedOnPasture_Unit()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4">MMS_Dairy_Soil_AtmosphericDeposition_Equations.VEERG_4_3_1_10__2_MassOfNitrogenVolatilisedOnPasture_Arguments()</f>
        <v>MN_jm14</v>
      </c>
      <c r="E13" s="61" t="str">
        <v>mass of nitrogen excreted on pasture, range and paddock for each dairy class (kg N)</v>
      </c>
      <c r="F13" s="105"/>
      <c r="G13" s="62"/>
      <c r="H13" s="60" t="str">
        <f>"See " &amp; D16</f>
        <v>See M1_Table_MN_j_m-14</v>
      </c>
    </row>
    <row r="14" spans="1:23" ht="20.100000000000001" customHeight="1" x14ac:dyDescent="0.25">
      <c r="A14" s="17" t="str">
        <f>HYPERLINK("#'4.3.1.6-7 Leaching and runoff'!A1", "4.3.1.6-7 Leaching and runoff")</f>
        <v>4.3.1.6-7 Leaching and runoff</v>
      </c>
      <c r="D14" s="60" t="str">
        <v>FracGASMsoil</v>
      </c>
      <c r="E14" s="61" t="str">
        <v>fraction of nitrogen volatilised from urine and faeces deposited on pasture ((kg NH3-N + NOx-N)/kg N)</v>
      </c>
      <c r="F14" s="105"/>
      <c r="G14" s="62"/>
      <c r="H14" s="60">
        <f>'Constants - Dairy'!$D$215</f>
        <v>0.21</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378</v>
      </c>
      <c r="M16" s="59"/>
      <c r="O16" s="104" t="s">
        <v>380</v>
      </c>
    </row>
    <row r="17" spans="1:23" ht="20.100000000000001" customHeight="1" x14ac:dyDescent="0.25">
      <c r="A17" s="22" t="str">
        <f>HYPERLINK("#'4.3.1.10-11 Soil Atmos Dep'!A1", "4.3.1.10-11 Soil atm. deposition")</f>
        <v>4.3.1.10-11 Soil atm. deposition</v>
      </c>
      <c r="D17" s="103" t="s">
        <v>379</v>
      </c>
      <c r="M17" s="59"/>
      <c r="O17" s="103" t="s">
        <v>381</v>
      </c>
    </row>
    <row r="18" spans="1:23" ht="20.100000000000001" customHeight="1" x14ac:dyDescent="0.25">
      <c r="A18" s="17" t="str">
        <f>HYPERLINK("#'4.3.1.12-13 Soil leach runoff'!A1", "4.3.1.12-13 Soil leach &amp; runoff")</f>
        <v>4.3.1.12-13 Soil leach &amp; runoff</v>
      </c>
      <c r="D18" s="54" t="s">
        <v>152</v>
      </c>
      <c r="E18" s="54" t="s">
        <v>69</v>
      </c>
      <c r="F18" s="54" t="s">
        <v>178</v>
      </c>
      <c r="G18" s="54" t="s">
        <v>195</v>
      </c>
      <c r="H18" s="54" t="s">
        <v>196</v>
      </c>
      <c r="I18" s="54" t="s">
        <v>197</v>
      </c>
      <c r="J18" s="54" t="s">
        <v>198</v>
      </c>
      <c r="M18" s="59"/>
      <c r="O18" s="54" t="s">
        <v>152</v>
      </c>
      <c r="P18" s="54" t="s">
        <v>69</v>
      </c>
      <c r="Q18" s="54" t="s">
        <v>178</v>
      </c>
      <c r="R18" s="54" t="s">
        <v>195</v>
      </c>
      <c r="S18" s="54" t="s">
        <v>196</v>
      </c>
      <c r="T18" s="54" t="s">
        <v>197</v>
      </c>
      <c r="U18" s="54" t="s">
        <v>198</v>
      </c>
    </row>
    <row r="19" spans="1:23" ht="20.100000000000001" customHeight="1" x14ac:dyDescent="0.25">
      <c r="A19" s="17"/>
      <c r="D19" s="55" t="str">
        <f>'Input - Dairy'!$D$53</f>
        <v>Pasture</v>
      </c>
      <c r="E19" s="55" t="str">
        <f>'Constants - Livestock'!$E$27</f>
        <v>Pasture range and paddock</v>
      </c>
      <c r="F19" s="55">
        <f>'4.3.1.9 Soil direct N2O'!$F$31</f>
        <v>5151.8410499801093</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Dairy'!$D$53</f>
        <v>Pasture</v>
      </c>
      <c r="P19" s="55" t="str">
        <f>'Constants - Livestock'!$E$27</f>
        <v>Pasture range and paddock</v>
      </c>
      <c r="Q19" s="55">
        <f>'4.3.1.9 Soil direct N2O'!$Q$31</f>
        <v>5151.8410499801093</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8" t="s">
        <v>4</v>
      </c>
    </row>
    <row r="21" spans="1:23" ht="20.100000000000001" customHeight="1" x14ac:dyDescent="0.25">
      <c r="A21" s="17" t="str">
        <f>HYPERLINK("#'Constants - Dairy'!A1", "Constants - Dairy")</f>
        <v>Constants - Dairy</v>
      </c>
      <c r="D21" s="104" t="s">
        <v>386</v>
      </c>
      <c r="O21" s="104" t="s">
        <v>388</v>
      </c>
    </row>
    <row r="22" spans="1:23" ht="20.100000000000001" customHeight="1" x14ac:dyDescent="0.25">
      <c r="A22" s="17" t="str">
        <f>HYPERLINK("#'Constants - Livestock'!A1", "Constants - Livestock")</f>
        <v>Constants - Livestock</v>
      </c>
      <c r="D22" s="103" t="s">
        <v>387</v>
      </c>
      <c r="O22" s="103" t="s">
        <v>389</v>
      </c>
    </row>
    <row r="23" spans="1:23" ht="20.100000000000001" customHeight="1" x14ac:dyDescent="0.25">
      <c r="A23" s="17" t="str">
        <f>HYPERLINK("#'Constants - Common'!A1", "Constants - Common")</f>
        <v>Constants - Common</v>
      </c>
      <c r="D23" s="54" t="s">
        <v>152</v>
      </c>
      <c r="E23" s="54" t="s">
        <v>69</v>
      </c>
      <c r="F23" s="54" t="s">
        <v>178</v>
      </c>
      <c r="G23" s="54" t="s">
        <v>195</v>
      </c>
      <c r="H23" s="54" t="s">
        <v>196</v>
      </c>
      <c r="I23" s="54" t="s">
        <v>197</v>
      </c>
      <c r="J23" s="54" t="s">
        <v>198</v>
      </c>
      <c r="O23" s="54" t="s">
        <v>152</v>
      </c>
      <c r="P23" s="54" t="s">
        <v>69</v>
      </c>
      <c r="Q23" s="54" t="s">
        <v>178</v>
      </c>
      <c r="R23" s="54" t="s">
        <v>195</v>
      </c>
      <c r="S23" s="54" t="s">
        <v>196</v>
      </c>
      <c r="T23" s="54" t="s">
        <v>197</v>
      </c>
      <c r="U23" s="54" t="s">
        <v>198</v>
      </c>
    </row>
    <row r="24" spans="1:23" ht="20.100000000000001" customHeight="1" x14ac:dyDescent="0.25">
      <c r="A24" s="17" t="str">
        <f>HYPERLINK("#'Acknowledgements'!A1", "Acknowledgements")</f>
        <v>Acknowledgements</v>
      </c>
      <c r="D24" s="55" t="str">
        <f>'Input - Dairy'!$D$53</f>
        <v>Pasture</v>
      </c>
      <c r="E24" s="55" t="str">
        <f>'Constants - Livestock'!$E$27</f>
        <v>Pasture range and paddock</v>
      </c>
      <c r="F24" s="55" cm="1">
        <f t="array" ref="F24">MMS_Dairy_Soil_AtmosphericDeposition_Equations.VEERG_4_3_1_10__2_MassOfNitrogenVolatilisedOnPasture(F19,$H$14)</f>
        <v>1081.8866204958229</v>
      </c>
      <c r="G24" s="55" cm="1">
        <f t="array" ref="G24">MMS_Dairy_Soil_AtmosphericDeposition_Equations.VEERG_4_3_1_10__2_MassOfNitrogenVolatilisedOnPasture(G19,$H$14)</f>
        <v>929.52796392231005</v>
      </c>
      <c r="H24" s="55" cm="1">
        <f t="array" ref="H24">MMS_Dairy_Soil_AtmosphericDeposition_Equations.VEERG_4_3_1_10__2_MassOfNitrogenVolatilisedOnPasture(H19,$H$14)</f>
        <v>370.22115787490003</v>
      </c>
      <c r="I24" s="55" cm="1">
        <f t="array" ref="I24">MMS_Dairy_Soil_AtmosphericDeposition_Equations.VEERG_4_3_1_10__2_MassOfNitrogenVolatilisedOnPasture(I19,$H$14)</f>
        <v>1168.4534125576747</v>
      </c>
      <c r="J24" s="55" cm="1">
        <f t="array" ref="J24">MMS_Dairy_Soil_AtmosphericDeposition_Equations.VEERG_4_3_1_10__2_MassOfNitrogenVolatilisedOnPasture(J19,$H$14)</f>
        <v>489.14885422023968</v>
      </c>
      <c r="K24" s="2" t="str">
        <f>$E$11</f>
        <v>kg N</v>
      </c>
      <c r="O24" s="55" t="str">
        <f>'Input - Dairy'!$D$53</f>
        <v>Pasture</v>
      </c>
      <c r="P24" s="55" t="str">
        <f>'Constants - Livestock'!$E$27</f>
        <v>Pasture range and paddock</v>
      </c>
      <c r="Q24" s="55" cm="1">
        <f t="array" ref="Q24">MMS_Dairy_Soil_AtmosphericDeposition_Equations.VEERG_4_3_1_10__2_MassOfNitrogenVolatilisedOnPasture(Q19,$H$14)</f>
        <v>1081.8866204958229</v>
      </c>
      <c r="R24" s="55" cm="1">
        <f t="array" ref="R24">MMS_Dairy_Soil_AtmosphericDeposition_Equations.VEERG_4_3_1_10__2_MassOfNitrogenVolatilisedOnPasture(R19,$H$14)</f>
        <v>929.52796392231005</v>
      </c>
      <c r="S24" s="55" cm="1">
        <f t="array" ref="S24">MMS_Dairy_Soil_AtmosphericDeposition_Equations.VEERG_4_3_1_10__2_MassOfNitrogenVolatilisedOnPasture(S19,$H$14)</f>
        <v>370.22115787490003</v>
      </c>
      <c r="T24" s="55" cm="1">
        <f t="array" ref="T24">MMS_Dairy_Soil_AtmosphericDeposition_Equations.VEERG_4_3_1_10__2_MassOfNitrogenVolatilisedOnPasture(T19,$H$14)</f>
        <v>1168.4534125576747</v>
      </c>
      <c r="U24" s="55" cm="1">
        <f t="array" ref="U24">MMS_Dairy_Soil_AtmosphericDeposition_Equations.VEERG_4_3_1_10__2_MassOfNitrogenVolatilisedOnPasture(U19,$H$14)</f>
        <v>489.14885422023968</v>
      </c>
      <c r="V24" s="2" t="str">
        <f>$E$11</f>
        <v>kg N</v>
      </c>
    </row>
    <row r="25" spans="1:23" ht="20.100000000000001" customHeight="1" x14ac:dyDescent="0.25"/>
    <row r="26" spans="1:23" ht="20.100000000000001" customHeight="1" x14ac:dyDescent="0.25">
      <c r="D26" s="121" t="s">
        <v>400</v>
      </c>
      <c r="E26" s="48">
        <f>SUM(F24:J24)</f>
        <v>4039.2380090709476</v>
      </c>
      <c r="F26" s="112" t="str">
        <f>$E$11</f>
        <v>kg N</v>
      </c>
      <c r="O26" s="121" t="s">
        <v>400</v>
      </c>
      <c r="P26" s="48">
        <f>SUM(Q24:U24)</f>
        <v>4039.2380090709476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60" t="str" cm="1">
        <f t="array" ref="D38:E43">MMS_Dairy_Soil_AtmosphericDeposition_Equations.VEERG_4_3_1_10__1_AtmosphericDepositionEmissionsFromUrineAndDungOnPasture_Arguments()</f>
        <v>M_vol_m14</v>
      </c>
      <c r="E38" s="60" t="str">
        <v>mass of nitrogen volatilised from urine and faeces deposited on pasture (kg N)</v>
      </c>
      <c r="F38" s="61"/>
      <c r="G38" s="62"/>
      <c r="H38" s="60">
        <f>$E$26</f>
        <v>4039.2380090709476</v>
      </c>
      <c r="O38" s="60" t="str">
        <f>D38</f>
        <v>M_vol_m14</v>
      </c>
      <c r="P38" s="60" t="str">
        <f>E38</f>
        <v>mass of nitrogen volatilised from urine and faeces deposited on pasture (kg N)</v>
      </c>
      <c r="Q38" s="61"/>
      <c r="R38" s="62"/>
      <c r="S38" s="60">
        <f>$P$26</f>
        <v>4039.2380090709476</v>
      </c>
    </row>
    <row r="39" spans="4:19" ht="20.100000000000001" customHeight="1" x14ac:dyDescent="0.25">
      <c r="D39" s="60" t="str">
        <v>EF_N2O</v>
      </c>
      <c r="E39" s="60" t="str">
        <v>nitrous oxide emission factor for atmospheric deposition (kg N2O-N/kg N)</v>
      </c>
      <c r="F39" s="61"/>
      <c r="G39" s="62"/>
      <c r="H39" s="60">
        <f>Common_InputFunctions.Utility_LookupN2OEFFromProdIrrigationRainfall(H41,H42,H43,Table_SourceData_Common_EFN2O[Production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60" t="str">
        <v>C_N2O</v>
      </c>
      <c r="E40" s="60" t="str">
        <v>factor to convert elemental mass of N2O to molecular mass</v>
      </c>
      <c r="F40" s="61"/>
      <c r="G40" s="62"/>
      <c r="H40" s="60">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60" t="str">
        <v>j</v>
      </c>
      <c r="E41" s="61" t="str">
        <v>production system</v>
      </c>
      <c r="F41" s="105"/>
      <c r="G41" s="62"/>
      <c r="H41" s="60" t="str">
        <f>'Input - Dairy'!$E$183</f>
        <v>Pasture</v>
      </c>
      <c r="O41" s="60"/>
      <c r="P41" s="61"/>
      <c r="Q41" s="105"/>
      <c r="R41" s="62"/>
      <c r="S41" s="60"/>
    </row>
    <row r="42" spans="4:19" ht="20.100000000000001" customHeight="1" x14ac:dyDescent="0.25">
      <c r="D42" s="60" t="str">
        <v>ir</v>
      </c>
      <c r="E42" s="61" t="str">
        <v>irrigation method</v>
      </c>
      <c r="F42" s="105"/>
      <c r="G42" s="62"/>
      <c r="H42" s="60" t="str">
        <f>'Input - Dairy'!$E$184</f>
        <v>Sprinkler irrigation</v>
      </c>
      <c r="O42" s="60"/>
      <c r="P42" s="61"/>
      <c r="Q42" s="105"/>
      <c r="R42" s="62"/>
      <c r="S42" s="60"/>
    </row>
    <row r="43" spans="4:19" ht="20.100000000000001" customHeight="1" x14ac:dyDescent="0.25">
      <c r="D43" s="60" t="str">
        <v>r</v>
      </c>
      <c r="E43" s="61" t="str">
        <v>rainfall region</v>
      </c>
      <c r="F43" s="105"/>
      <c r="G43" s="62"/>
      <c r="H43" s="60" t="str">
        <f>'Input - Site'!$E$30</f>
        <v>High rainfall</v>
      </c>
      <c r="O43" s="60"/>
      <c r="P43" s="61"/>
      <c r="Q43" s="105"/>
      <c r="R43" s="62"/>
      <c r="S43" s="60"/>
    </row>
    <row r="44" spans="4:19" ht="20.100000000000001" customHeight="1" x14ac:dyDescent="0.25"/>
    <row r="45" spans="4:19" ht="20.100000000000001" customHeight="1" x14ac:dyDescent="0.25">
      <c r="D45" s="108" t="s">
        <v>159</v>
      </c>
      <c r="E45" s="109" cm="1">
        <f t="array" ref="E45">MMS_Dairy_Soil_AtmosphericDeposition_Equations.VEERG_4_3_1_10__1_AtmosphericDepositionEmissionsFromUrineAndDungOnPasture($H$38,$H$39,$H$40)</f>
        <v>3.7449506684100645E-2</v>
      </c>
      <c r="F45" s="110" t="str">
        <f>$E$36</f>
        <v>t N2O</v>
      </c>
      <c r="O45" s="108" t="s">
        <v>159</v>
      </c>
      <c r="P45" s="109" cm="1">
        <f t="array" ref="P45">MMS_Dairy_Soil_AtmosphericDeposition_Equations.VEERG_4_3_1_10__1_AtmosphericDepositionEmissionsFromUrineAndDungOnPasture($S$38,$H$39,$H$40)</f>
        <v>3.7449506684100645E-2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3.7449506684100645E-2</v>
      </c>
      <c r="O47" s="60" t="str" cm="1">
        <f t="array" ref="O47:P48">Common_Equations.Common_ConvertN2OToCO2e_Arguments()</f>
        <v>EN2O</v>
      </c>
      <c r="P47" s="61" t="str">
        <v>Nitrous oxide emissions (t N2O)</v>
      </c>
      <c r="Q47" s="111"/>
      <c r="R47" s="55">
        <f>P45</f>
        <v>3.7449506684100645E-2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4:17" ht="20.100000000000001" customHeight="1" x14ac:dyDescent="0.25"/>
    <row r="50" spans="4:17" ht="20.100000000000001" customHeight="1" x14ac:dyDescent="0.25">
      <c r="D50" s="48" t="s">
        <v>111</v>
      </c>
      <c r="E50" s="48" cm="1">
        <f t="array" ref="E50">Common_Equations.Common_ConvertN2OToCO2e(G47,G48)</f>
        <v>9.9241192712866706</v>
      </c>
      <c r="F50" s="112" t="str" cm="1">
        <f t="array" ref="F50">Common_Equations.Common_ConvertN2OToCO2e_Unit()</f>
        <v>t CO2e</v>
      </c>
      <c r="O50" s="48" t="s">
        <v>111</v>
      </c>
      <c r="P50" s="48" cm="1">
        <f t="array" ref="P50">Common_Equations.Common_ConvertN2OToCO2e(R47,R48)</f>
        <v>9.9241192712866706</v>
      </c>
      <c r="Q50" s="112"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15" workbookViewId="0">
      <selection activeCell="H14" sqref="H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20" t="s">
        <v>3</v>
      </c>
      <c r="D6" s="5" t="str" cm="1">
        <f t="array" ref="D6">MMS_Dairy_Soil_LeachingAndRunoff.VEERG_4_3_1_12__2_MassOfNitrogenLostToLeachingAndRunoffOnPasture_Source()</f>
        <v>VEERG 2026: 4.3.1.12, Equation (2)</v>
      </c>
    </row>
    <row r="7" spans="1:23" ht="20.100000000000001" customHeight="1" x14ac:dyDescent="0.25">
      <c r="A7" s="17" t="str">
        <f>HYPERLINK("#'Input - Site'!A1", "Site")</f>
        <v>Site</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Dairy'!A1", "Dairy")</f>
        <v>Dairy</v>
      </c>
      <c r="E8" s="1" t="s">
        <v>18</v>
      </c>
    </row>
    <row r="9" spans="1:23" ht="20.100000000000001" customHeight="1" x14ac:dyDescent="0.25">
      <c r="A9" s="17"/>
    </row>
    <row r="10" spans="1:23" ht="20.100000000000001" customHeight="1" x14ac:dyDescent="0.25">
      <c r="A10" s="19" t="s">
        <v>78</v>
      </c>
      <c r="D10" s="56" t="s">
        <v>31</v>
      </c>
      <c r="E10" s="1" t="str" cm="1">
        <f t="array" ref="E10">MMS_Dairy_Soil_LeachingAndRunoff.VEERG_4_3_1_12__2_MassOfNitrogenLostToLeachingAndRunoffOnPasture_Variable()</f>
        <v>M_leach_m14</v>
      </c>
    </row>
    <row r="11" spans="1:23" ht="20.100000000000001" customHeight="1" x14ac:dyDescent="0.25">
      <c r="A11" s="17" t="str">
        <f>HYPERLINK("#'4.3.1.1-2 Methane'!A1", "4.3.1.1-2 Methane")</f>
        <v>4.3.1.1-2 Methane</v>
      </c>
      <c r="D11" s="56" t="s">
        <v>21</v>
      </c>
      <c r="E11" s="57" t="str" cm="1">
        <f t="array" ref="E11">MMS_Dairy_Soil_LeachingAndRunoff.VEERG_4_3_1_12__2_MassOfNitrogenLostToLeachingAndRunoffOnPasture_Unit()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MMS_Dairy_Soil_LeachingAndRunoff.VEERG_4_3_1_12__2_MassOfNitrogenLostToLeachingAndRunoffOnPasture_Arguments()</f>
        <v>MN_jm14</v>
      </c>
      <c r="E13" s="61" t="str">
        <v>mass of nitrogen excreted on pasture, range and paddock for each dairy class (kg N)</v>
      </c>
      <c r="F13" s="105"/>
      <c r="G13" s="62"/>
      <c r="H13" s="60" t="str">
        <f>"See " &amp; D20</f>
        <v>See M1_Table_MN_j_m-14</v>
      </c>
    </row>
    <row r="14" spans="1:23" ht="20.100000000000001" customHeight="1" x14ac:dyDescent="0.25">
      <c r="A14" s="17" t="str">
        <f>HYPERLINK("#'4.3.1.6-7 Leaching and runoff'!A1", "4.3.1.6-7 Leaching and runoff")</f>
        <v>4.3.1.6-7 Leaching and runoff</v>
      </c>
      <c r="D14" s="60" t="str">
        <v>FracWet</v>
      </c>
      <c r="E14" s="61" t="str">
        <v>fraction of N available for leaching and runoff</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v>
      </c>
      <c r="E15" s="61" t="str">
        <v>fraction of N lost through leaching and runoff</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22"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378</v>
      </c>
      <c r="M20" s="59"/>
      <c r="O20" s="104" t="s">
        <v>380</v>
      </c>
    </row>
    <row r="21" spans="1:22" ht="20.100000000000001" customHeight="1" x14ac:dyDescent="0.25">
      <c r="A21" s="17" t="str">
        <f>HYPERLINK("#'Constants - Dairy'!A1", "Constants - Dairy")</f>
        <v>Constants - Dairy</v>
      </c>
      <c r="D21" s="103" t="s">
        <v>379</v>
      </c>
      <c r="M21" s="59"/>
      <c r="O21" s="103" t="s">
        <v>381</v>
      </c>
    </row>
    <row r="22" spans="1:22" ht="20.100000000000001" customHeight="1" x14ac:dyDescent="0.25">
      <c r="A22" s="17" t="str">
        <f>HYPERLINK("#'Constants - Livestock'!A1", "Constants - Livestock")</f>
        <v>Constants - Livestock</v>
      </c>
      <c r="D22" s="54" t="s">
        <v>152</v>
      </c>
      <c r="E22" s="54" t="s">
        <v>69</v>
      </c>
      <c r="F22" s="54" t="s">
        <v>178</v>
      </c>
      <c r="G22" s="54" t="s">
        <v>195</v>
      </c>
      <c r="H22" s="54" t="s">
        <v>196</v>
      </c>
      <c r="I22" s="54" t="s">
        <v>197</v>
      </c>
      <c r="J22" s="54" t="s">
        <v>198</v>
      </c>
      <c r="M22" s="59"/>
      <c r="O22" s="54" t="s">
        <v>152</v>
      </c>
      <c r="P22" s="54" t="s">
        <v>69</v>
      </c>
      <c r="Q22" s="54" t="s">
        <v>178</v>
      </c>
      <c r="R22" s="54" t="s">
        <v>195</v>
      </c>
      <c r="S22" s="54" t="s">
        <v>196</v>
      </c>
      <c r="T22" s="54" t="s">
        <v>197</v>
      </c>
      <c r="U22" s="54" t="s">
        <v>198</v>
      </c>
    </row>
    <row r="23" spans="1:22" ht="20.100000000000001" customHeight="1" x14ac:dyDescent="0.25">
      <c r="A23" s="17" t="str">
        <f>HYPERLINK("#'Constants - Common'!A1", "Constants - Common")</f>
        <v>Constants - Common</v>
      </c>
      <c r="D23" s="55" t="str">
        <f>'Input - Dairy'!$D$53</f>
        <v>Pasture</v>
      </c>
      <c r="E23" s="55" t="str">
        <f>'Constants - Livestock'!$E$27</f>
        <v>Pasture range and paddock</v>
      </c>
      <c r="F23" s="55">
        <f>'4.3.1.9 Soil direct N2O'!$F$31</f>
        <v>5151.8410499801093</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Dairy'!$D$53</f>
        <v>Pasture</v>
      </c>
      <c r="P23" s="55" t="str">
        <f>'Constants - Livestock'!$E$27</f>
        <v>Pasture range and paddock</v>
      </c>
      <c r="Q23" s="55">
        <f>'4.3.1.9 Soil direct N2O'!$Q$31</f>
        <v>5151.8410499801093</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HYPERLINK("#'Acknowledgements'!A1", "Acknowledgements")</f>
        <v>Acknowledgements</v>
      </c>
    </row>
    <row r="25" spans="1:22" ht="20.100000000000001" customHeight="1" x14ac:dyDescent="0.25">
      <c r="D25" s="104" t="s">
        <v>394</v>
      </c>
      <c r="O25" s="104" t="s">
        <v>396</v>
      </c>
    </row>
    <row r="26" spans="1:22" ht="20.100000000000001" customHeight="1" x14ac:dyDescent="0.25">
      <c r="D26" s="103" t="s">
        <v>395</v>
      </c>
      <c r="O26" s="103" t="s">
        <v>397</v>
      </c>
    </row>
    <row r="27" spans="1:22" ht="20.100000000000001" customHeight="1" x14ac:dyDescent="0.25">
      <c r="D27" s="54" t="s">
        <v>152</v>
      </c>
      <c r="E27" s="54" t="s">
        <v>69</v>
      </c>
      <c r="F27" s="54" t="s">
        <v>178</v>
      </c>
      <c r="G27" s="54" t="s">
        <v>195</v>
      </c>
      <c r="H27" s="54" t="s">
        <v>196</v>
      </c>
      <c r="I27" s="54" t="s">
        <v>197</v>
      </c>
      <c r="J27" s="54" t="s">
        <v>198</v>
      </c>
      <c r="O27" s="54" t="s">
        <v>152</v>
      </c>
      <c r="P27" s="54" t="s">
        <v>69</v>
      </c>
      <c r="Q27" s="54" t="s">
        <v>178</v>
      </c>
      <c r="R27" s="54" t="s">
        <v>195</v>
      </c>
      <c r="S27" s="54" t="s">
        <v>196</v>
      </c>
      <c r="T27" s="54" t="s">
        <v>197</v>
      </c>
      <c r="U27" s="54" t="s">
        <v>198</v>
      </c>
    </row>
    <row r="28" spans="1:22" ht="20.100000000000001" customHeight="1" x14ac:dyDescent="0.25">
      <c r="D28" s="55" t="str">
        <f>'Input - Dairy'!$D$53</f>
        <v>Pasture</v>
      </c>
      <c r="E28" s="55" t="str">
        <f>'Constants - Livestock'!$E$27</f>
        <v>Pasture range and paddock</v>
      </c>
      <c r="F28" s="55" cm="1">
        <f t="array" ref="F28">MMS_Dairy_Soil_LeachingAndRunoff.VEERG_4_3_1_12__2_MassOfNitrogenLostToLeachingAndRunoffOnPasture(F23,$H$14,$H$15)</f>
        <v>103.03682099960218</v>
      </c>
      <c r="G28" s="55" cm="1">
        <f t="array" ref="G28">MMS_Dairy_Soil_LeachingAndRunoff.VEERG_4_3_1_12__2_MassOfNitrogenLostToLeachingAndRunoffOnPasture(G23,$H$14,$H$15)</f>
        <v>88.526472754505718</v>
      </c>
      <c r="H28" s="55" cm="1">
        <f t="array" ref="H28">MMS_Dairy_Soil_LeachingAndRunoff.VEERG_4_3_1_12__2_MassOfNitrogenLostToLeachingAndRunoffOnPasture(H23,$H$14,$H$15)</f>
        <v>35.259157892847625</v>
      </c>
      <c r="I28" s="55" cm="1">
        <f t="array" ref="I28">MMS_Dairy_Soil_LeachingAndRunoff.VEERG_4_3_1_12__2_MassOfNitrogenLostToLeachingAndRunoffOnPasture(I23,$H$14,$H$15)</f>
        <v>111.28127738644523</v>
      </c>
      <c r="J28" s="55" cm="1">
        <f t="array" ref="J28">MMS_Dairy_Soil_LeachingAndRunoff.VEERG_4_3_1_12__2_MassOfNitrogenLostToLeachingAndRunoffOnPasture(J23,$H$14,$H$15)</f>
        <v>46.585605163832355</v>
      </c>
      <c r="K28" s="2" t="str">
        <f>$E$11</f>
        <v>kg N</v>
      </c>
      <c r="O28" s="55" t="str">
        <f>'Input - Dairy'!$D$53</f>
        <v>Pasture</v>
      </c>
      <c r="P28" s="55" t="str">
        <f>'Constants - Livestock'!$E$27</f>
        <v>Pasture range and paddock</v>
      </c>
      <c r="Q28" s="55" cm="1">
        <f t="array" ref="Q28">MMS_Dairy_Soil_LeachingAndRunoff.VEERG_4_3_1_12__2_MassOfNitrogenLostToLeachingAndRunoffOnPasture(Q23,$H$14,$H$15)</f>
        <v>103.03682099960218</v>
      </c>
      <c r="R28" s="55" cm="1">
        <f t="array" ref="R28">MMS_Dairy_Soil_LeachingAndRunoff.VEERG_4_3_1_12__2_MassOfNitrogenLostToLeachingAndRunoffOnPasture(R23,$H$14,$H$15)</f>
        <v>88.526472754505718</v>
      </c>
      <c r="S28" s="55" cm="1">
        <f t="array" ref="S28">MMS_Dairy_Soil_LeachingAndRunoff.VEERG_4_3_1_12__2_MassOfNitrogenLostToLeachingAndRunoffOnPasture(S23,$H$14,$H$15)</f>
        <v>35.259157892847625</v>
      </c>
      <c r="T28" s="55" cm="1">
        <f t="array" ref="T28">MMS_Dairy_Soil_LeachingAndRunoff.VEERG_4_3_1_12__2_MassOfNitrogenLostToLeachingAndRunoffOnPasture(T23,$H$14,$H$15)</f>
        <v>111.28127738644523</v>
      </c>
      <c r="U28" s="55" cm="1">
        <f t="array" ref="U28">MMS_Dairy_Soil_LeachingAndRunoff.VEERG_4_3_1_12__2_MassOfNitrogenLostToLeachingAndRunoffOnPasture(U23,$H$14,$H$15)</f>
        <v>46.585605163832355</v>
      </c>
      <c r="V28" s="2" t="str">
        <f>$E$11</f>
        <v>kg N</v>
      </c>
    </row>
    <row r="29" spans="1:22" ht="20.100000000000001" customHeight="1" x14ac:dyDescent="0.25"/>
    <row r="30" spans="1:22" ht="20.100000000000001" customHeight="1" x14ac:dyDescent="0.25">
      <c r="D30" s="121" t="s">
        <v>399</v>
      </c>
      <c r="E30" s="48">
        <f>SUM(F28:J28)</f>
        <v>384.68933419723317</v>
      </c>
      <c r="F30" s="112" t="str">
        <f>$E$11</f>
        <v>kg N</v>
      </c>
      <c r="O30" s="121" t="s">
        <v>399</v>
      </c>
      <c r="P30" s="48">
        <f>SUM(Q28:U28)</f>
        <v>384.68933419723317</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15" t="str" cm="1">
        <f t="array" ref="D43:E45">MMS_Dairy_Soil_LeachingAndRunoff.VEERG_4_3_1_12__1_LeachingAndRunoffEmissionsFromUrineAndDungOnPasture_Arguments()</f>
        <v>M_leach_m14</v>
      </c>
      <c r="E43" s="117" t="str">
        <v>mass of nitrogen lost to leaching and runoff from urine and faeces deposited on pasture (kg N)</v>
      </c>
      <c r="F43" s="140"/>
      <c r="G43" s="116"/>
      <c r="H43" s="60">
        <f>$E$30</f>
        <v>384.68933419723317</v>
      </c>
      <c r="O43" s="115" t="str">
        <f>D43</f>
        <v>M_leach_m14</v>
      </c>
      <c r="P43" s="115" t="str">
        <f>E43</f>
        <v>mass of nitrogen lost to leaching and runoff from urine and faeces deposited on pasture (kg N)</v>
      </c>
      <c r="Q43" s="140"/>
      <c r="R43" s="116"/>
      <c r="S43" s="60">
        <f>$P$30</f>
        <v>384.68933419723317</v>
      </c>
    </row>
    <row r="44" spans="3:23" ht="20.100000000000001" customHeight="1" x14ac:dyDescent="0.25">
      <c r="D44" s="115" t="str">
        <v>EF_leach</v>
      </c>
      <c r="E44" s="117" t="str">
        <v>nitrous oxide emission factor for leaching and runoff (kg N2O-N/kg N)</v>
      </c>
      <c r="F44" s="140"/>
      <c r="G44" s="116"/>
      <c r="H44" s="60">
        <f>'Constants - Dairy'!$D$202</f>
        <v>1.0999999999999999E-2</v>
      </c>
      <c r="O44" s="115"/>
      <c r="P44" s="117"/>
      <c r="Q44" s="140"/>
      <c r="R44" s="116"/>
      <c r="S44" s="60"/>
    </row>
    <row r="45" spans="3:23" ht="20.100000000000001" customHeight="1" x14ac:dyDescent="0.25">
      <c r="D45" s="115" t="str">
        <v>C_N2O</v>
      </c>
      <c r="E45" s="117" t="str">
        <v>factor to convert elemental mass of N2O to molecular mass</v>
      </c>
      <c r="F45" s="140"/>
      <c r="G45" s="116"/>
      <c r="H45" s="60">
        <f>Common_InputFunctions.Utility_LookupValueInTableNumber("N2O",Table_GasToMolecularConversionFactor[Gas],Table_GasToMolecularConversionFactor[Conversion factor combined])</f>
        <v>1.5714285714285714</v>
      </c>
      <c r="O45" s="115"/>
      <c r="P45" s="117"/>
      <c r="Q45" s="140"/>
      <c r="R45" s="116"/>
      <c r="S45" s="60"/>
    </row>
    <row r="46" spans="3:23" ht="20.100000000000001" customHeight="1" x14ac:dyDescent="0.25"/>
    <row r="47" spans="3:23" ht="20.100000000000001" customHeight="1" x14ac:dyDescent="0.25">
      <c r="D47" s="108" t="s">
        <v>398</v>
      </c>
      <c r="E47" s="109" cm="1">
        <f t="array" ref="E47">MMS_Dairy_Soil_LeachingAndRunoff.VEERG_4_3_1_12__1_LeachingAndRunoffEmissionsFromUrineAndDungOnPasture($H$43,$H$44,$H$45)</f>
        <v>6.64962991969503E-3</v>
      </c>
      <c r="F47" s="110" t="str">
        <f>$E$41</f>
        <v>t N2O</v>
      </c>
      <c r="O47" s="108" t="s">
        <v>398</v>
      </c>
      <c r="P47" s="109" cm="1">
        <f t="array" ref="P47">MMS_Dairy_Soil_LeachingAndRunoff.VEERG_4_3_1_12__1_LeachingAndRunoffEmissionsFromUrineAndDungOnPasture($S$43,$H$44,$H$45)</f>
        <v>6.64962991969503E-3</v>
      </c>
      <c r="Q47" s="110" t="str">
        <f>$E$41</f>
        <v>t N2O</v>
      </c>
    </row>
    <row r="48" spans="3:23" ht="20.100000000000001" customHeight="1" x14ac:dyDescent="0.25"/>
    <row r="49" spans="4:18" ht="20.100000000000001" customHeight="1" x14ac:dyDescent="0.25">
      <c r="D49" s="60" t="str" cm="1">
        <f t="array" ref="D49:E50">Common_Equations.Common_ConvertN2OToCO2e_Arguments()</f>
        <v>EN2O</v>
      </c>
      <c r="E49" s="61" t="str">
        <v>Nitrous oxide emissions (t N2O)</v>
      </c>
      <c r="F49" s="111"/>
      <c r="G49" s="55">
        <f>E47</f>
        <v>6.64962991969503E-3</v>
      </c>
      <c r="O49" s="60" t="str" cm="1">
        <f t="array" ref="O49:P50">Common_Equations.Common_ConvertN2OToCO2e_Arguments()</f>
        <v>EN2O</v>
      </c>
      <c r="P49" s="61" t="str">
        <v>Nitrous oxide emissions (t N2O)</v>
      </c>
      <c r="Q49" s="111"/>
      <c r="R49" s="55">
        <f>P47</f>
        <v>6.64962991969503E-3</v>
      </c>
    </row>
    <row r="50" spans="4: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4:18" ht="20.100000000000001" customHeight="1" x14ac:dyDescent="0.25"/>
    <row r="52" spans="4:18" ht="20.100000000000001" customHeight="1" x14ac:dyDescent="0.25">
      <c r="D52" s="48" t="s">
        <v>111</v>
      </c>
      <c r="E52" s="48" cm="1">
        <f t="array" ref="E52">Common_Equations.Common_ConvertN2OToCO2e(G49,G50)</f>
        <v>1.7621519287191829</v>
      </c>
      <c r="F52" s="112" t="str" cm="1">
        <f t="array" ref="F52">Common_Equations.Common_ConvertN2OToCO2e_Unit()</f>
        <v>t CO2e</v>
      </c>
      <c r="O52" s="48" t="s">
        <v>111</v>
      </c>
      <c r="P52" s="48" cm="1">
        <f t="array" ref="P52">Common_Equations.Common_ConvertN2OToCO2e(R49,R50)</f>
        <v>1.7621519287191829</v>
      </c>
      <c r="Q52" s="112"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2" zoomScale="85" zoomScaleNormal="85" workbookViewId="0">
      <selection activeCell="G5" sqref="G5:J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115</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4"/>
    </row>
    <row r="5" spans="1:21" ht="20.100000000000001" customHeight="1" x14ac:dyDescent="0.25">
      <c r="A5" s="16"/>
      <c r="D5" s="6" t="s">
        <v>175</v>
      </c>
      <c r="G5" s="6" t="s">
        <v>176</v>
      </c>
      <c r="J5" s="6" t="s">
        <v>153</v>
      </c>
      <c r="M5" s="1"/>
    </row>
    <row r="6" spans="1:21" ht="20.100000000000001" customHeight="1" x14ac:dyDescent="0.25">
      <c r="A6" s="20" t="s">
        <v>3</v>
      </c>
      <c r="M6" s="1"/>
    </row>
    <row r="7" spans="1:21" ht="20.100000000000001" customHeight="1" x14ac:dyDescent="0.25">
      <c r="A7" s="17" t="str">
        <f>HYPERLINK("#'Input - Site'!A1", "Site")</f>
        <v>Site</v>
      </c>
      <c r="D7" s="102" t="s">
        <v>69</v>
      </c>
      <c r="E7" s="39" t="s">
        <v>83</v>
      </c>
      <c r="G7" s="39" t="s">
        <v>152</v>
      </c>
      <c r="J7" s="39" t="s">
        <v>150</v>
      </c>
      <c r="M7" s="1"/>
    </row>
    <row r="8" spans="1:21" ht="20.100000000000001" customHeight="1" x14ac:dyDescent="0.25">
      <c r="A8" s="17" t="str">
        <f>HYPERLINK("#'Input - Dairy'!A1", "Dairy")</f>
        <v>Dairy</v>
      </c>
      <c r="D8" s="39" t="str">
        <f>'Constants - Livestock'!$E$10</f>
        <v>Anaerobic lagoon</v>
      </c>
      <c r="E8" s="39" t="str">
        <f>'Constants - Livestock'!$F$10</f>
        <v>Anaerobic lagoon (m=1)</v>
      </c>
      <c r="G8" s="39" t="str">
        <f>'Constants - Common'!$F$187</f>
        <v>Pasture</v>
      </c>
      <c r="J8" s="39" t="s">
        <v>154</v>
      </c>
      <c r="M8" s="1"/>
    </row>
    <row r="9" spans="1:21" ht="20.100000000000001" customHeight="1" x14ac:dyDescent="0.25">
      <c r="A9" s="17"/>
      <c r="D9" s="39" t="str">
        <f>'Constants - Livestock'!$E$13</f>
        <v>Sump and dispersal system</v>
      </c>
      <c r="E9" s="39" t="str">
        <f>'Constants - Livestock'!$F$13</f>
        <v>Sump and dispersal system (m=3a)</v>
      </c>
      <c r="G9" s="1" t="str">
        <f>'Constants - Common'!$F$188</f>
        <v>Crop</v>
      </c>
      <c r="J9" s="39" t="s">
        <v>155</v>
      </c>
      <c r="M9" s="1"/>
    </row>
    <row r="10" spans="1:21" ht="20.100000000000001" customHeight="1" x14ac:dyDescent="0.25">
      <c r="A10" s="19" t="s">
        <v>78</v>
      </c>
      <c r="D10" s="39" t="str">
        <f>'Constants - Livestock'!$E$14</f>
        <v>Drains to paddock</v>
      </c>
      <c r="E10" s="39" t="str">
        <f>'Constants - Livestock'!$F$14</f>
        <v>Drains to paddock (m=3b)</v>
      </c>
      <c r="J10" s="1" t="s">
        <v>156</v>
      </c>
      <c r="M10" s="1"/>
    </row>
    <row r="11" spans="1:21" ht="20.100000000000001" customHeight="1" x14ac:dyDescent="0.25">
      <c r="A11" s="17" t="str">
        <f>HYPERLINK("#'4.3.1.1-2 Methane'!A1", "4.3.1.1-2 Methane")</f>
        <v>4.3.1.1-2 Methane</v>
      </c>
      <c r="D11" s="39" t="str">
        <f>'Constants - Livestock'!$E$15</f>
        <v>Solid storage</v>
      </c>
      <c r="E11" s="39" t="str">
        <f>'Constants - Livestock'!$F$15</f>
        <v>Solid storage (m=4)</v>
      </c>
      <c r="J11" s="1" t="s">
        <v>157</v>
      </c>
      <c r="M11" s="1"/>
    </row>
    <row r="12" spans="1:21" ht="20.100000000000001" customHeight="1" x14ac:dyDescent="0.25">
      <c r="A12" s="17" t="str">
        <f>HYPERLINK("#'4.3.1.3-4 Direct N20'!A1", "4.3.1.3-4 Direct N2O")</f>
        <v>4.3.1.3-4 Direct N2O</v>
      </c>
      <c r="J12" s="1" t="s">
        <v>158</v>
      </c>
      <c r="M12" s="1"/>
    </row>
    <row r="13" spans="1:21" ht="20.100000000000001" customHeight="1" x14ac:dyDescent="0.25">
      <c r="A13" s="17" t="str">
        <f>HYPERLINK("#'4.3.1.5 Atmos Deposition'!A1", "4.3.1.5 Atmospheric deposition")</f>
        <v>4.3.1.5 Atmospheric deposition</v>
      </c>
      <c r="M13" s="1"/>
    </row>
    <row r="14" spans="1:21" ht="20.100000000000001" customHeight="1" x14ac:dyDescent="0.25">
      <c r="A14" s="17" t="str">
        <f>HYPERLINK("#'4.3.1.6-7 Leaching and runoff'!A1", "4.3.1.6-7 Leaching and runoff")</f>
        <v>4.3.1.6-7 Leaching and runoff</v>
      </c>
      <c r="M14" s="1"/>
    </row>
    <row r="15" spans="1:21" ht="20.100000000000001" customHeight="1" x14ac:dyDescent="0.25">
      <c r="A15" s="17" t="str">
        <f>HYPERLINK("#'4.3.1.8 Manure applied to soils'!A1", "4.3.1.8 Manure applied to soils")</f>
        <v>4.3.1.8 Manure applied to soils</v>
      </c>
      <c r="M15" s="1"/>
    </row>
    <row r="16" spans="1:21" ht="20.100000000000001" customHeight="1" x14ac:dyDescent="0.25">
      <c r="A16" s="17" t="str">
        <f>HYPERLINK("#'4.3.1.9 Soil direct N2O'!A1", "4.3.1.9 Soil direct N2O")</f>
        <v>4.3.1.9 Soil direct N2O</v>
      </c>
      <c r="D16" s="6" t="str" cm="1">
        <f t="array" ref="D16">SourceData_Dairy.SourceData_Dairy_LiveweightCowsAndHeifers_Title()</f>
        <v>Table A.1.3.1: Dairy cattle - Liveweight (kg) - Cows and Heifers (Wj)</v>
      </c>
      <c r="M16" s="1"/>
    </row>
    <row r="17" spans="1:13" ht="20.100000000000001" customHeight="1" x14ac:dyDescent="0.25">
      <c r="A17" s="17" t="str">
        <f>HYPERLINK("#'4.3.1.10-11 Soil Atmos Dep'!A1", "4.3.1.10-11 Soil atm. deposition")</f>
        <v>4.3.1.10-11 Soil atm. deposition</v>
      </c>
      <c r="D17" s="5" t="str" cm="1">
        <f t="array" ref="D17">SourceData_Dairy.SourceData_Dairy_LiveweightCowsAndHeifers_Source()</f>
        <v>VEERG 2026: Table A.1.3.1</v>
      </c>
      <c r="M17" s="1"/>
    </row>
    <row r="18" spans="1:13" ht="20.100000000000001" customHeight="1" x14ac:dyDescent="0.25">
      <c r="A18" s="17" t="str">
        <f>HYPERLINK("#'4.3.1.12-13 Soil leach runoff'!A1", "4.3.1.12-13 Soil leach &amp; runoff")</f>
        <v>4.3.1.12-13 Soil leach &amp; runoff</v>
      </c>
      <c r="D18" s="1" t="str" cm="1">
        <f t="array" ref="D18">SourceData_Dairy.SourceData_Dairy_LiveweightCowsAndHeifers_Variable()</f>
        <v>Wj</v>
      </c>
      <c r="M18" s="1"/>
    </row>
    <row r="19" spans="1:13" ht="20.100000000000001" customHeight="1" x14ac:dyDescent="0.25">
      <c r="A19" s="17"/>
      <c r="D19" s="57" t="str" cm="1">
        <f t="array" ref="D19">SourceData_Dairy.SourceData_Dairy_LiveweightCowsAndHeifers_Unit()</f>
        <v>kg</v>
      </c>
      <c r="M19" s="1"/>
    </row>
    <row r="20" spans="1:13" ht="20.100000000000001" customHeight="1" x14ac:dyDescent="0.25">
      <c r="A20" s="18" t="s">
        <v>4</v>
      </c>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72" t="str">
        <f>HYPERLINK("#'Constants - Dairy'!A1", "Constants - Dairy")</f>
        <v>Constants - Dairy</v>
      </c>
      <c r="D21" s="39" t="s">
        <v>177</v>
      </c>
      <c r="E21" s="39" t="s">
        <v>178</v>
      </c>
      <c r="F21" s="39" t="s">
        <v>179</v>
      </c>
      <c r="G21" s="39" t="s">
        <v>180</v>
      </c>
      <c r="M21" s="1"/>
    </row>
    <row r="22" spans="1:13" ht="20.100000000000001" customHeight="1" x14ac:dyDescent="0.25">
      <c r="A22" s="17" t="str">
        <f>HYPERLINK("#'Constants - Livestock'!A1", "Constants - Livestock")</f>
        <v>Constants - Livestock</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Common'!A1", "Constants - Common")</f>
        <v>Constants - Common</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HYPERLINK("#'Acknowledgements'!A1", "Acknowledgements")</f>
        <v>Acknowledgements</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177</v>
      </c>
      <c r="E38" s="39" t="s">
        <v>182</v>
      </c>
      <c r="F38" s="39" t="s">
        <v>181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178</v>
      </c>
      <c r="E46" s="39" t="s">
        <v>179</v>
      </c>
      <c r="F46" s="39" t="s">
        <v>180</v>
      </c>
      <c r="G46" s="39" t="s">
        <v>182</v>
      </c>
      <c r="H46" s="39" t="s">
        <v>181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7" t="str" cm="1">
        <f t="array" ref="D53">SourceData_Dairy.SourceData_Dairy_ReferenceWeights_Unit()</f>
        <v>kg</v>
      </c>
      <c r="M53" s="1"/>
    </row>
    <row r="54" spans="4:13" ht="20.100000000000001" customHeight="1" x14ac:dyDescent="0.25">
      <c r="D54" s="128" t="s">
        <v>178</v>
      </c>
      <c r="E54" s="128" t="s">
        <v>179</v>
      </c>
      <c r="F54" s="128" t="s">
        <v>180</v>
      </c>
      <c r="G54" s="128" t="s">
        <v>182</v>
      </c>
      <c r="H54" s="128" t="s">
        <v>181</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7" t="str" cm="1">
        <f t="array" ref="D61">SourceData_Dairy.SourceData_Dairy_PreWeanedCalves_Unit()</f>
        <v>kg/day</v>
      </c>
      <c r="M61" s="1"/>
    </row>
    <row r="62" spans="4:13" ht="20.100000000000001" customHeight="1" x14ac:dyDescent="0.25">
      <c r="D62" s="39" t="s">
        <v>183</v>
      </c>
      <c r="E62" s="39" t="s">
        <v>184</v>
      </c>
      <c r="F62" s="39" t="s">
        <v>185</v>
      </c>
      <c r="G62" s="39" t="s">
        <v>186</v>
      </c>
      <c r="M62" s="1"/>
    </row>
    <row r="63" spans="4: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7" t="str" cm="1">
        <f t="array" ref="D70">SourceData_Dairy.SourceData_Dairy_MCF_Unit()</f>
        <v>fraction</v>
      </c>
      <c r="M70" s="1"/>
    </row>
    <row r="71" spans="4:22" ht="20.100000000000001" customHeight="1" x14ac:dyDescent="0.25">
      <c r="D71" s="58" t="str" cm="1">
        <f t="array" ref="D71">SourceData_Dairy.SourceData_Dairy_MCF_Variation()</f>
        <v>VARIATION OF SOURCE: Added 'NIR reference' column to aid lookup</v>
      </c>
      <c r="M71" s="1"/>
      <c r="V71" s="1"/>
    </row>
    <row r="72" spans="4:22" ht="20.100000000000001" customHeight="1" x14ac:dyDescent="0.25">
      <c r="D72" s="39" t="s">
        <v>102</v>
      </c>
      <c r="E72" s="39" t="s">
        <v>84</v>
      </c>
      <c r="F72" s="39" t="s">
        <v>85</v>
      </c>
      <c r="G72" s="39" t="s">
        <v>86</v>
      </c>
      <c r="H72" s="39" t="s">
        <v>87</v>
      </c>
      <c r="I72" s="39" t="s">
        <v>88</v>
      </c>
      <c r="J72" s="39" t="s">
        <v>89</v>
      </c>
      <c r="K72" s="39" t="s">
        <v>90</v>
      </c>
      <c r="L72" s="39" t="s">
        <v>91</v>
      </c>
      <c r="M72" s="39" t="s">
        <v>194</v>
      </c>
      <c r="V72" s="1"/>
    </row>
    <row r="73" spans="4: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187</v>
      </c>
      <c r="F86" s="39" t="s">
        <v>188</v>
      </c>
      <c r="G86" s="39" t="s">
        <v>194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7" t="str" cm="1">
        <f t="array" ref="D97">SourceData_Dairy.SourceData_Dairy_MethaneProductionPreWeanedCalves_Unit()</f>
        <v>kg CH4/head/day</v>
      </c>
      <c r="M97" s="1"/>
    </row>
    <row r="98" spans="4:13" ht="20.100000000000001" customHeight="1" x14ac:dyDescent="0.25">
      <c r="D98" s="39" t="s">
        <v>183</v>
      </c>
      <c r="E98" s="39" t="s">
        <v>189</v>
      </c>
      <c r="M98" s="1"/>
    </row>
    <row r="99" spans="4: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(kg DM/head/day)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7" t="str" cm="1">
        <f t="array" ref="D106">SourceData_Dairy.SourceData_Dairy_IncreasedMetabolicRateMilk_Unit()</f>
        <v>kg DM/head/day</v>
      </c>
      <c r="M106" s="1"/>
    </row>
    <row r="107" spans="4:13" ht="20.100000000000001" customHeight="1" x14ac:dyDescent="0.25">
      <c r="D107" s="39" t="s">
        <v>183</v>
      </c>
      <c r="E107" s="39" t="s">
        <v>190</v>
      </c>
      <c r="M107" s="1"/>
    </row>
    <row r="108" spans="4: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191</v>
      </c>
      <c r="E116" s="39" t="s">
        <v>151</v>
      </c>
      <c r="F116" s="39" t="s">
        <v>192</v>
      </c>
      <c r="G116" s="39" t="s">
        <v>193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187</v>
      </c>
      <c r="F128" s="39" t="s">
        <v>194</v>
      </c>
      <c r="G128" s="114" t="s">
        <v>210</v>
      </c>
      <c r="M128" s="1"/>
      <c r="N128" s="24"/>
      <c r="V128" s="1"/>
    </row>
    <row r="129" spans="4: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4:22" ht="20.100000000000001" customHeight="1" x14ac:dyDescent="0.25">
      <c r="M134" s="24"/>
    </row>
    <row r="135" spans="4:22" ht="20.100000000000001" customHeight="1" x14ac:dyDescent="0.25">
      <c r="M135" s="24"/>
    </row>
    <row r="136" spans="4:22" ht="20.100000000000001" customHeight="1" x14ac:dyDescent="0.25">
      <c r="D136" s="6" t="str" cm="1">
        <f t="array" ref="D136">SourceData_Dairy.SourceData_Dairy_DurationOfStay_Title()</f>
        <v>Duration of stay for each dairy cattle input class</v>
      </c>
      <c r="M136" s="24"/>
    </row>
    <row r="137" spans="4:22" ht="20.100000000000001" customHeight="1" x14ac:dyDescent="0.25">
      <c r="D137" s="5" t="str" cm="1">
        <f t="array" ref="D137">SourceData_Dairy.SourceData_Dairy_DurationOfStay_Source()</f>
        <v>VEERG 2026: 4.3.2.2	DATA (METHOD 1 AND 2 OPTIONS)</v>
      </c>
      <c r="M137" s="24"/>
    </row>
    <row r="138" spans="4:22" ht="20.100000000000001" customHeight="1" x14ac:dyDescent="0.25">
      <c r="D138" s="1" t="str" cm="1">
        <f t="array" ref="D138">SourceData_Dairy.SourceData_Dairy_DurationOfStay_Variable()</f>
        <v>D</v>
      </c>
      <c r="M138" s="24"/>
    </row>
    <row r="139" spans="4:22" ht="20.100000000000001" customHeight="1" x14ac:dyDescent="0.25">
      <c r="D139" s="57" t="str" cm="1">
        <f t="array" ref="D139">SourceData_Dairy.SourceData_Dairy_DurationOfStay_Unit()</f>
        <v>days</v>
      </c>
      <c r="M139" s="24"/>
    </row>
    <row r="140" spans="4:22" ht="20.100000000000001" customHeight="1" x14ac:dyDescent="0.25">
      <c r="D140" s="58" t="str" cm="1">
        <f t="array" ref="D140">SourceData_Dairy.SourceData_Dairy_DurationOfStay_Variation()</f>
        <v>VARIATION OF SOURCE: Converted free text in document to table, matching livestock class names.</v>
      </c>
      <c r="M140" s="24"/>
    </row>
    <row r="141" spans="4:22" ht="20.100000000000001" customHeight="1" x14ac:dyDescent="0.25">
      <c r="D141" s="39" t="s">
        <v>183</v>
      </c>
      <c r="E141" s="39" t="s">
        <v>205</v>
      </c>
      <c r="F141" s="39" t="s">
        <v>206</v>
      </c>
      <c r="M141" s="24"/>
    </row>
    <row r="142" spans="4: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4:13" ht="20.100000000000001" customHeight="1" x14ac:dyDescent="0.25">
      <c r="M161" s="24"/>
    </row>
    <row r="162" spans="4:13" ht="20.100000000000001" customHeight="1" x14ac:dyDescent="0.25">
      <c r="M162" s="24"/>
    </row>
    <row r="163" spans="4:13" ht="20.100000000000001" customHeight="1" x14ac:dyDescent="0.25">
      <c r="D163" s="6" t="str" cm="1">
        <f t="array" ref="D163">SourceData_Dairy.SourceData_Dairy_NetEnergy_Title()</f>
        <v>Net energy required for milk production</v>
      </c>
      <c r="M163" s="24"/>
    </row>
    <row r="164" spans="4:13" ht="20.100000000000001" customHeight="1" x14ac:dyDescent="0.25">
      <c r="D164" s="5" t="str" cm="1">
        <f t="array" ref="D164">SourceData_Dairy.SourceData_Dairy_NetEnergy_Source()</f>
        <v>VEERG 2026: 3.3.2.3 CONSTANTS</v>
      </c>
      <c r="M164" s="24"/>
    </row>
    <row r="165" spans="4:13" ht="20.100000000000001" customHeight="1" x14ac:dyDescent="0.25">
      <c r="D165" s="1" t="str" cm="1">
        <f t="array" ref="D165">SourceData_Dairy.SourceData_Dairy_NetEnergy_Variable()</f>
        <v>NE</v>
      </c>
      <c r="M165" s="24"/>
    </row>
    <row r="166" spans="4:13" x14ac:dyDescent="0.25">
      <c r="D166" s="57" t="str" cm="1">
        <f t="array" ref="D166">SourceData_Dairy.SourceData_Dairy_NetEnergy_Unit()</f>
        <v>MJ net energy / kg milk</v>
      </c>
      <c r="M166" s="24"/>
    </row>
    <row r="167" spans="4:13" x14ac:dyDescent="0.25">
      <c r="D167" s="56" cm="1">
        <f t="array" ref="D167">SourceData_Dairy.SourceData_Dairy_NetEnergy_Data()</f>
        <v>3.0539999999999998</v>
      </c>
      <c r="M167" s="24"/>
    </row>
    <row r="168" spans="4:13" x14ac:dyDescent="0.25">
      <c r="M168" s="24"/>
    </row>
    <row r="169" spans="4:13" x14ac:dyDescent="0.25">
      <c r="M169" s="24"/>
    </row>
    <row r="170" spans="4:13" ht="23.25" x14ac:dyDescent="0.25">
      <c r="D170" s="6" t="str" cm="1">
        <f t="array" ref="D170">SourceData_Dairy.SourceData_Dairy_GrossEnergyContent_Title()</f>
        <v>Gross energy content of feed dry matter</v>
      </c>
      <c r="M170" s="24"/>
    </row>
    <row r="171" spans="4:13" x14ac:dyDescent="0.25">
      <c r="D171" s="5" t="str" cm="1">
        <f t="array" ref="D171">SourceData_Dairy.SourceData_Dairy_GrossEnergyContent_Source()</f>
        <v>VEERG 2026: 3.3.2.3 CONSTANTS</v>
      </c>
      <c r="M171" s="24"/>
    </row>
    <row r="172" spans="4:13" x14ac:dyDescent="0.25">
      <c r="D172" s="1" t="str" cm="1">
        <f t="array" ref="D172">SourceData_Dairy.SourceData_Dairy_GrossEnergyContent_Variable()</f>
        <v>GEC</v>
      </c>
      <c r="M172" s="24"/>
    </row>
    <row r="173" spans="4:13" x14ac:dyDescent="0.25">
      <c r="D173" s="57" t="str" cm="1">
        <f t="array" ref="D173">SourceData_Dairy.SourceData_Dairy_GrossEnergyContent_Unit()</f>
        <v>MJ / kgDM</v>
      </c>
      <c r="M173" s="24"/>
    </row>
    <row r="174" spans="4:13" x14ac:dyDescent="0.25">
      <c r="D174" s="56" cm="1">
        <f t="array" ref="D174">SourceData_Dairy.SourceData_Dairy_GrossEnergyContent_Data()</f>
        <v>18.399999999999999</v>
      </c>
      <c r="M174" s="24"/>
    </row>
    <row r="175" spans="4:13" x14ac:dyDescent="0.25">
      <c r="M175" s="24"/>
    </row>
    <row r="176" spans="4: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4:13" x14ac:dyDescent="0.25">
      <c r="D209" s="56" cm="1">
        <f t="array" ref="D209">SourceData_Dairy.SourceData_Dairy_FractionOfNitrogenLostThroughLeachingAndRunoff_Data()</f>
        <v>0.02</v>
      </c>
      <c r="M209" s="24"/>
    </row>
    <row r="210" spans="4:13" x14ac:dyDescent="0.25">
      <c r="M210" s="24"/>
    </row>
    <row r="211" spans="4:13" ht="23.25" x14ac:dyDescent="0.25">
      <c r="D211" s="6" t="str" cm="1">
        <f t="array" ref="D211">SourceData_Dairy.SourceData_Dairy_FracGASMSoil_Title()</f>
        <v>Fraction of nitrogen volatilized from urine and faeces deposited on pasture</v>
      </c>
      <c r="M211" s="24"/>
    </row>
    <row r="212" spans="4:13" x14ac:dyDescent="0.25">
      <c r="D212" s="5" t="str" cm="1">
        <f t="array" ref="D212">SourceData_Dairy.SourceData_Dairy_FracGASMSoil_Source()</f>
        <v>VEERG 2026: 4.3.2.3 CONSTANTS</v>
      </c>
      <c r="M212" s="24"/>
    </row>
    <row r="213" spans="4:13" x14ac:dyDescent="0.25">
      <c r="D213" s="1" t="str" cm="1">
        <f t="array" ref="D213">SourceData_Dairy.SourceData_Dairy_FracGASMSoil_Variable()</f>
        <v>FracGASMsoil</v>
      </c>
      <c r="M213" s="24"/>
    </row>
    <row r="214" spans="4:13" x14ac:dyDescent="0.25">
      <c r="D214" s="57" t="str" cm="1">
        <f t="array" ref="D214">SourceData_Dairy.SourceData_Dairy_FracGASMSoil_Unit()</f>
        <v>(kg NH3-N + NOx-N)/kg N</v>
      </c>
      <c r="M214" s="24"/>
    </row>
    <row r="215" spans="4:13" x14ac:dyDescent="0.25">
      <c r="D215" s="56" cm="1">
        <f t="array" ref="D215">SourceData_Dairy.SourceData_Dairy_FracGASMSoil_Data()</f>
        <v>0.21</v>
      </c>
      <c r="M215" s="24"/>
    </row>
    <row r="216" spans="4:13" x14ac:dyDescent="0.25">
      <c r="M216" s="24"/>
    </row>
    <row r="217" spans="4:13" x14ac:dyDescent="0.25">
      <c r="M217" s="24"/>
    </row>
    <row r="218" spans="4:13" x14ac:dyDescent="0.25">
      <c r="M218" s="24"/>
    </row>
    <row r="219" spans="4:13" x14ac:dyDescent="0.25">
      <c r="M219" s="24"/>
    </row>
    <row r="220" spans="4:13" x14ac:dyDescent="0.25">
      <c r="M220" s="24"/>
    </row>
    <row r="221" spans="4:13" x14ac:dyDescent="0.25">
      <c r="M221" s="24"/>
    </row>
    <row r="222" spans="4:13" x14ac:dyDescent="0.25">
      <c r="M222" s="24"/>
    </row>
    <row r="223" spans="4:13" x14ac:dyDescent="0.25">
      <c r="M223" s="24"/>
    </row>
    <row r="224" spans="4: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7"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346</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147</v>
      </c>
      <c r="E186" s="39" t="s">
        <v>148</v>
      </c>
      <c r="F186" s="39" t="s">
        <v>149</v>
      </c>
      <c r="G186" s="39" t="s">
        <v>150</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382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412</v>
      </c>
      <c r="E212" s="39" t="s">
        <v>413</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422</v>
      </c>
      <c r="F231" s="38" t="s">
        <v>423</v>
      </c>
      <c r="G231" s="39" t="s">
        <v>424</v>
      </c>
      <c r="H231" s="39" t="s">
        <v>425</v>
      </c>
      <c r="I231" s="39" t="s">
        <v>426</v>
      </c>
      <c r="J231" s="39" t="s">
        <v>427</v>
      </c>
      <c r="K231" s="39" t="s">
        <v>428</v>
      </c>
      <c r="L231" s="39" t="s">
        <v>429</v>
      </c>
      <c r="M231" s="39" t="s">
        <v>430</v>
      </c>
      <c r="N231" s="39" t="s">
        <v>431</v>
      </c>
      <c r="O231" s="39" t="s">
        <v>432</v>
      </c>
      <c r="P231" s="39" t="s">
        <v>433</v>
      </c>
      <c r="Q231" s="39" t="s">
        <v>434</v>
      </c>
      <c r="R231" s="39" t="s">
        <v>435</v>
      </c>
      <c r="S231" s="39" t="s">
        <v>436</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Dairy'!A1", "Dairy")</f>
        <v>Dairy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8" t="s">
        <v>82</v>
      </c>
      <c r="E9" s="39" t="s">
        <v>22</v>
      </c>
      <c r="F9" s="39" t="s">
        <v>83</v>
      </c>
      <c r="G9" s="3"/>
    </row>
    <row r="10" spans="1:13" ht="20.100000000000001" customHeight="1" x14ac:dyDescent="0.25">
      <c r="A10" s="19" t="s">
        <v>78</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HYPERLINK("#'4.3.1.1-2 Methane'!A1", "4.3.1.1-2 Methane")</f>
        <v>4.3.1.1-2 Methane</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HYPERLINK("#'4.3.1.3-4 Direct N20'!A1", "4.3.1.3-4 Direct N2O")</f>
        <v>4.3.1.3-4 Direct N2O</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HYPERLINK("#'4.3.1.5 Atmos Deposition'!A1", "4.3.1.5 Atmospheric deposition")</f>
        <v>4.3.1.5 Atmospheric deposition</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HYPERLINK("#'4.3.1.6-7 Leaching and runoff'!A1", "4.3.1.6-7 Leaching and runoff")</f>
        <v>4.3.1.6-7 Leaching and runoff</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HYPERLINK("#'4.3.1.8 Manure applied to soils'!A1", "4.3.1.8 Manure applied to soils")</f>
        <v>4.3.1.8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HYPERLINK("#'4.3.1.9 Soil direct N2O'!A1", "4.3.1.9 Soil direct N2O")</f>
        <v>4.3.1.9 Soil direct N2O</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HYPERLINK("#'4.3.1.10-11 Soil Atmos Dep'!A1", "4.3.1.10-11 Soil atm. deposition")</f>
        <v>4.3.1.10-11 Soil atm. deposition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HYPERLINK("#'4.3.1.12-13 Soil leach runoff'!A1", "4.3.1.12-13 Soil leach &amp; runoff")</f>
        <v>4.3.1.12-13 Soil leach &amp; runoff</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4</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Dairy'!A1", "Constants - Dairy")</f>
        <v>Constants - Dairy</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72" t="str">
        <f>HYPERLINK("#'Constants - Livestock'!A1", "Constants - Livestock")</f>
        <v>Constants - Livestock</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414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rAGcAIABEAE0ALwBoAGUAYQBkAC8AZABhAHkAKQ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rAGcAIABEAE0ALwBoAGUAYQBkAC8AZABhAHk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EAGkAbQBlAG4AcwBpAG8AbgBsAGUAcwBz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MgAsAFwAbgAgACAAIAAgACAAIABMAEEATQBCAEQAQQAoAHIALABjACwAXABuACAAIAAgACAAIAAgACAAIABJAE4ARABFAFgAKAB7AFwAbgAgACAAIAAgACAAIAAgACAAIAAgAFwAIgBNAE4AXwBBAFQATQBPAFMAXAAiACwAIABcACIAbQBhAHMAcwAgAG8AZgAgAE4AIAB2AG8AbABhAHQAaQBsAGkAcwBlAGQAIABmAHIAbwBtACAATQBNAFM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gByAGEAYwBHAEEAUwBNAF8AbQBcACIALAAgAFwAIgBmAHIAYQBjAHQAaQBvAG4AIABvAGYAIABOACAAdgBvAGwAYQB0AGkAbABpAHMAZQBkACAAZgByAG8AbQAgAE0ATQBTACAAKABmAHIAYQBjAHQAaQBvAG4AKQ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lAG0AaQBzAHMAaQBvAG4AIABmAGEAYwB0AG8AcgAgAGYAbwByACAAbgBpAHQAcgBvAHUAcwAgAG8AeABpAGQAZQAgAGUAbQBpAHMAcwBpAG8AbgBzACAAcABlAHIAIABNAE0AUwAgACgAawBnACAATgAyAE8ALQBOAC8AawBnACAATgApAFwAIgA7AFwAbgAgACAAIAAgACAAIAAgACAAIAAgAFwAIgBGAHIAYQBjAEcAQQBTAE0AXwBtAFwAIgAsACAAXAAiAGYAcgBhAGMAdABpAG8AbgAgAG8AZgAgAE4AIAB2AG8AbABhAHQAaQBsAGkAcwBlAGQAIABmAHIAbwBtACAATQBNAFMAXAAiADsAXABuACAAIAAgACAAIAAgACAAIAAgACAAXAAiAE0ATgBMAGUAYQBjAGgAXwBqAG0AXAAiACwAIABcACIAbQBhAHMAcwAgAG8AZgAgAE4AIABsAG8AcwB0ACAAdABoAHIAbwB1AGcAaAAgAGwAZQBhAGMAaABpAG4AZwAgAGEAbgBkACAAcgB1AG4AbwBmAGYAIABmAHIAbwBtACAAZQBhAGMAaAAgAE0ATQBTACAAKABrAGcAIABOACkAXAAiADsAXABuACAAIAAgACAAIAAgACAAIAAgACAAXAAiAFAARgBfAHMAYwBvAHAAZQBcACIALAAgAFwAIgBmAHIAYQBjAHQAaQBvAG4AIABvAGYAIABtAGEAbgB1AHIAZQAgAGEAcABwAGwAaQBlAGQAIAB0AG8AIABzAG8AaQBsACAAdwBpAHQAaABpAG4AIABmAGEAcgBtACAAYgBvAHUAbgBkAGEAcgB5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ZQBtAGkAcwBzAGkAbwBuACAAZgBhAGMAdABvAHIAIABmAG8AcgAgAG4AaQB0AHIAbwB1AHMAIABvAHgAaQBkAGUAIABlAG0AaQBzAHMAaQBvAG4AcwAgAHAAZQByACAATQBNAFMAIAAoAGsAZwAgAE4AMgBPAC0ATgAvAGsAZwAgAE4AKQBcACIAOwBcAG4AIAAgACAAIAAgACAAIAAgACAAIABcACIARgByAGEAYwBHAEEAUwBNAF8AbQBcACIALAAgAFwAIgBmAHIAYQBjAHQAaQBvAG4AIABvAGYAIABOACAAdgBvAGwAYQB0AGkAbABpAHMAZQBkACAAZgByAG8AbQAgAE0ATQBTAFwAIgA7AFwAbgAgACAAIAAgACAAIAAgACAAIAAgAFwAIgBNAE4ATABlAGEAYwBoAF8AagBtAFwAIgAsACAAXAAiAG0AYQBzAHMAIABvAGYAIABOACAAbABvAHMAdAAgAHQAaAByAG8AdQBnAGgAIABsAGUAYQBjAGgAaQBuAGcAIABhAG4AZAAgAHIAdQBuAG8AZgBmACAAZgByAG8AbQAgAGUAYQBjAGgAIABNAE0AUwAgACgAawBnACAATgApAFwAIgA7AFwAbgAgACAAIAAgACAAIAAgACAAIAAgAFwAIgBQAEYAXAAiACwAIABcACIAZgByAGEAYwB0AGkAbwBuACAAbwBmACAAbQBhAG4AdQByAGUAIABhAHAAcABsAGkAZQBkACAAdABvACAAcwBvAGkAbAAgAHcAaQB0AGgAaQBuACAAZgBhAHIAbQAgAGIAbwB1AG4AZABhAHIAeQ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y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AgACgAawBnACAAQwBIADQALwBoAGUAYQBkAC8AZABhAHkAKQBcACIAOwBcAG4AIAAgACAAIAAgACAAIAAgACAAIABcACIARABfAGoAMQAyADQAXAAiACwAIABcACIAZAB1AHIAYQB0AGkAbwBuACAAbwBmACAAcwB0AGEAeQAgAG8AbgAgAGYAYQByAG0AIABmAG8AcgAgAGMAbABhAHMAcwBlAHMAIABqAD0AMQAsADIALAA0ACAAKABkAGEAeQBzACkAXAAiADsAXABuACAAIAAgACAAIAAgACAAIAAgACAAXAAiAE4AXwBqADMANQBcACIALAAgAFwAIgBuAHUAbQBiAGUAcgAgAG8AZgAgAGQAYQBpAHIAeQAgAGMAYQB0AHQAbABlACAAaQBuACAAYwBsAGEAcwBzAGUAcwAgAGoAPQAzACwANQ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AgACgAawBnACAAQwBIADQALwBoAGUAYQBkAC8AZABhAHkAKQBcACIAOwBcAG4AIAAgACAAIAAgACAAIAAgACAAIABcACIARABfAGoAMwA1AFwAIgAsACAAXAAiAGQAdQByAGEAdABpAG8AbgAgAG8AZgAgAHMAdABhAHkAIABvAG4AIABmAGEAcgBtACAAZgBvAHIAIABjAGwAYQBzAHMAZQBzACAAagA9ADMALAA1ACAAKABkAGEAeQBzACkAXAAiADsAXABuACAAIAAgACAAIAAgACAAIAAgACAAXAAiAE0AUABXAF8AbQBhAG4AdQByAGUAXwBqADMANQBcACIALAAgAFwAIgBtAGUAdABoAGEAbgBlACAAcAByAG8AZAB1AGMAdABpAG8AbgAgAGYAcgBvAG0AIABtAGEAbgB1AHIAZQAgAG8AZgAgAHAAcgBlAC0AdwBlAGEAbgBlAGQAIABoAGUAaQBmAGUAcgAgAGEAbgBkACAAYgB1AGwAbAAgAGMAYQBsAHYAZQBzACAAKABrAGcAIABDAEgANAAvAGgAZQBhAGQALwBkAGEAeQApAFwAIgA7AFwAbgAgACAAIAAgACAAIAAgACAAIAAgAFwAIgBEAFAAVwBfAGoAMwA1AFwAIgAsACAAXAAiAGQAdQByAGEAdABpAG8AbgAgAG8AZgAgAHMAdABhAHkAIABvAG4AIABmAGEAcgBtACAAZgBvAHIAIABwAHIAZQAtAHcAZQBhAG4AZQBkACAAaABlAGkAZgBlAHIAIABhAG4AZAAgAGIAdQBsAGwAIABjAGEAbAB2AGUAcwAgACgAZABhAHkAcwAp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DsAXABuACAAIAAgACAAIAAgACAAIAAgACAAXAAiAEYAVgBTAF8AagBtAFQAMQBcACIALAAgAFwAIgBmAHIAYQBjAHQAaQBvAG4AIABvAGYAIAB3AGEAcwB0AGUAIABmAHIAbwBtACAAZQBhAGMAaAAgAGMAbABhAHMAcwAgAGkAbgAgAGUAYQBjAGgAIABtAGEAbgBhAGcAZQBtAGUAbgB0ACAAcwB5AHMAdABlAG0AXAAiADsAXABuACAAIAAgACAAIAAgACAAIAAgACAAXAAiAE0AQwBGAF8AaQBtAFwAIgAsACAAXAAiAG0AZQB0AGgAYQBuAGUAIABjAG8AbgB2AGUAcgBzAGkAbwBuACAAZgBhAGMAdABvAHIAIABmAG8AcgAgAHQAZQBtAHAAZQByAGEAdAB1AHIAZQAgAHoAbwBuAGUAIABhAG4AZAAgAE0ATQBTAFwAIgA7AFwAbgAgACAAIAAgACAAIAAgACAAIAAgAFwAIgBCAF8AbwBcACIALAAgAFwAIgBlAG0AaQBzAHMAaQBvAG4AcwAgAHAAbwB0AGUAbgB0AGkAYQBsACAAKABtADMAIABDAEgANAAvAGsAZwBWAFMAKQBcACIAOwBcAG4AIAAgACAAIAAgACAAIAAgACAAIABcACIAcgBoAG8AXAAiACwAIABcACIAZABlAG4AcwBpAHQAeQAgAG8AZgAgAG0AZQB0AGgAYQBuAGUAIAAoAGsAZwAvAG0AMwAp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yACwAXABuACAAIAAgACAAIAAgAEwAQQBNAEIARABBACgAcgAsAGMALABcAG4AIAAgACAAIAAgACAAIAAgAEkATgBEAEUAWAAoAHsAXABuACAAIAAgACAAIAAgACAAIAAgACAAXAAiAEkAXwBqAFwAIgAsACAAXAAiAGQAcgB5ACAAbQBhAHQAdABlAHIAIABmAGUAZQBkACAAaQBuAHQAYQBrAGUAIAAoAGsAZwBEAE0ALwBoAGUAYQBkAC8AZABhAHkAKQBcACIAOwBcAG4AIAAgACAAIAAgACAAIAAgACAAIABcACIARABNAEQAXwBqAFwAIgAsACAAXAAiAGQAcgB5ACAAbQBhAHQAdABlAHIAIABkAGkAZwBlAHMAdABpAGIAaQBsAGkAdAB5AFwAIgA7AFwAbgAgACAAIAAgACAAIAAgACAAIAAgAFwAIgBBAFwAIgAsACAAXAAiAGEAcwBoACAAYwBvAG4AdABlAG4AdAAgAG8AZgAgAGYAZQBlAGQAIABpAG4AdABhAGsAZQ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Mg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7AFwAbgAgACAAIAAgACAAIAAgACAAIAAgAFwAIgBTAFMAXwBtAFwAIgAsACAAXAAiAGYAcgBhAGMAdABpAG8AbgAgAG8AZgAgAHYAbwBsAGEAdABpAGwAZQAgAHMAbwBsAGkAZABzACAAcwBlAHAAYQByAGEAdABlAGQAIAB0AG8AIABzAG8AbABpAGQAIABzAHQAbwByAGEAZwBlACAAZgBvAHIAIABlAGEAYwBoACAATQBNAFM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y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DsAXABuACAAIAAgACAAIAAgACAAIAAgACAAXAAiAE0ATQBTAF8AagBtADEANwA5AFwAIgAsACAAXAAiAGYAcgBhAGMAdABpAG8AbgAgAG8AZgAgAHYAbwBsAGEAdABpAGwAZQAgAHMAbwBsAGkAZABzACAAaQBuACAATQBNAFMAIABtAD0AMQAsADcALAA5ACAAYgBlAGYAbwByAGUAIAB0AHIAYQBuAHMAZgBlAHIAXAAiADsAXABuACAAIAAgACAAIAAgACAAIAAgACAAXAAiAFMAUwBfAG0AXAAiACwAIABcACIAZgByAGEAYwB0AGkAbwBuACAAbwBmACAAdgBvAGwAYQB0AGkAbABlACAAcwBvAGwAaQBkAHMAIABzAGUAcABhAHIAYQB0AGUAZAAgAHQAbwAgAHMAbwBsAGkAZAAgAHMAdABvAHIAYQBnAGUAIABmAG8AcgAgAGUAYQBjAGgAIABNAE0AUw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4AaQB0AHIAbwB1AHMAIABvAHgAaQBkAGUAIABlAG0AaQBzAHMAaQBvAG4AIABmAGEAYwB0AG8AcgAgAGYAbwByACAAZQBhAGMAaAAgAE0ATQBTACAAKABrAGcAIABOADIATwAtAE4ALwBrAGcAIABOACAAZABlAHAAbwBzAGkAdABlAGQ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IALABcAG4AIAAgACAAIAAgACAATABBAE0AQgBEAEEAKAByACwAYwAsAFwAbgAgACAAIAAgACAAIAAgACAASQBOAEQARQBYACgAewBcAG4AIAAgACAAIAAgACAAIAAgACAAIABcACIAQQBFAF8AagBcACIALAAgAFwAIgB0AG8AdABhAGwAIABuAGkAdAByAG8AZwBlAG4AIABlAHgAYwByAGUAdABlAGQAIABiAHkAIABlAGEAYwBoACAAZABhAGkAcgB5ACAAYwBsAGEAcwBzACAAKABrAGcAIABOACkAXAAiADsAXABuACAAIAAgACAAIAAgACAAIAAgACAAXAAiAE0ATQBTAF8AagBtAFwAIgAsACAAXAAiAG0AYQBuAHUAcgBlACAAbQBhAG4AYQBnAGUAbQBlAG4AdAAgAHMAeQBzAHQAZQBtACAAZgByAGEAYwB0AGkAbwBuACAAZgBvAHIAIABjAGwAYQBzAHMAIABqACAAYQBuAGQAIABzAHkAcwB0AGUAbQAgAG0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A+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D4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y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OwBcAG4AIAAgACAAIAAgACAAIAAgACAAIABcACIARABfAGoAMQAyADQAXAAiACwAIABcACIAZAB1AHIAYQB0AGkAbwBuACAAbwBmACAAcwB0AGEAeQAgAG8AbgAgAGYAYQByAG0AIABmAG8AcgAgAGMAbABhAHMAcwBlAHMAIABqAD0AMQAsADIALAA0ACAAKABkAGEAeQBzACk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A8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Dw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yACwAXABuACAAIAAgACAAIAAgAEwAQQBNAEIARABBACgAcgAsAGMALABcAG4AIAAgACAAIAAgACAAIAAgAEkATgBEAEUAWAAoAHsAXABuACAAIAAgACAAIAAgACAAIAAgACAAXAAiAE4AXwBqADMANQBcACIALAAgAFwAIgBuAHUAbQBiAGUAcgAgAG8AZgAgAGQAYQBpAHIAeQAgAGMAYQB0AHQAbABlACAAaQBuACAAYwBsAGEAcwBzAGUAcwAgAGoAPQAzACwANQ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OwBcAG4AIAAgACAAIAAgACAAIAAgACAAIABcACIATgBQAFcAXwBqADMANQBcACIALAAgAFwAIgBuAGkAdAByAG8AZwBlAG4AIABlAHgAYwByAGUAdABlAGQAIABiAHkAIABwAHIAZQAtAHcAZQBhAG4AZQBkACAAYwBhAGwAdgBlAHMAIAAoAGsAZwAgAE4ALwBoAGUAYQBkAC8AZABhAHkAKQ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7AFwAbgAgACAAIAAgACAAIAAgACAAIAAgAFwAIgBEAFAAVwBfAGoAMwA1AFwAIgAsACAAXAAiAGQAdQByAGEAdABpAG8AbgAgAG8AZgAgAHMAdABhAHkAIABvAG4AIABmAGEAcgBtACAAZgBvAHIAIABwAHIAZQAtAHcAZQBhAG4AZQBkACAAYwBhAGwAdgBlAHMAIAAoAGQAYQB5AHMAKQ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A+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yACwAXABuACAAIAAgACAAIAAgAEwAQQBNAEIARABBACgAcgAsAGMALABcAG4AIAAgACAAIAAgACAAIAAgAEkATgBEAEUAWAAoAHsAXABuACAAIAAgACAAIAAgACAAIAAgACAAXAAiAEMAUABJAF8AagBcACIALAAgAFwAIgBjAHIAdQBkAGUAIABwAHIAbwB0AGUAaQBuACAAaQBuAHQAYQBrAGUAIAAoAGsAZwAvAGgAZQBhAGQALwBkAGEAeQApAFwAIgA7AFwAbgAgACAAIAAgACAAIAAgACAAIAAgAFwAIgBOAFIAXwBqAFwAIgAsACAAXAAiAGEAbQBvAHUAbgB0ACAAbwBmACAAbgBpAHQAcgBvAGcAZQBuACAAcgBlAHQAYQBpAG4AZQBkACAAYgB5ACAAdABoAGUAIABiAG8AZAB5ACAAKABrAGcAIABOAC8AaABlAGEAZAAvAGQAYQB5ACkAXAAiADsAXABuACAAIAAgACAAIAAgACAAIAAgACAAXAAiAFcAXwBqAFwAIgAsACAAXAAiAGwAaQB2AGUAdwBlAGkAZwBoAHQAIAAoAGsAZw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MgAsAFwAbgAgACAAIAAgACAAIABMAEEATQBCAEQAQQAoAHIALABjACwAXABuACAAIAAgACAAIAAgACAAIABJAE4ARABFAFgAKAB7AFwAbgAgACAAIAAgACAAIAAgACAAIAAgAFwAIgBJAF8AagBcACIALAAgAFwAIgBkAHIAeQAgAG0AYQB0AHQAZQByACAAaQBuAHQAYQBrAGUAIAAoAGsAZwBEAE0ALwBoAGUAYQBkAC8AZABhAHkAKQBcACIAOwBcAG4AIAAgACAAIAAgACAAIAAgACAAIABcACIAQwBQAF8AagBcACIALAAgAFwAIgBjAHIAdQBkAGUAIABwAHIAbwB0AGUAaQBuACAAYwBvAG4AdABlAG4AdAAgAG8AZgAgAGYAZQBlAGQAIABpAG4AdABhAGsAZQAgACgAZgByAGEAYwB0AGkAbwBu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0ACwAIAAyACwAXABuACAAIAAgACAAIAAgAEwAQQBNAEIARABBACgAcgAsAGMALABcAG4AIAAgACAAIAAgACAAIAAgAEkATgBEAEUAWAAoAHsAXABuACAAIAAgACAAIAAgACAAIAAgACAAXAAiAE0AUABfAGoAXAAiACwAIABcACIAbQBpAGwAawAgAHAAcgBvAGQAdQBjAHQAaQBvAG4AIAAoAEwALwBoAGUAYQBkAC8AZABhAHkAKQBcACIAOwBcAG4AIAAgACAAIAAgACAAIAAgACAAIABcACIATABfAGoAXAAiACwAIABcACIAaQBuAHQAYQBrAGUAIAByAGUAbABhAHQAaQB2AGUAIAB0AG8AIABtAGEAaQBuAHQAZQBuAGEAbgBjAGUAXAAiADsAXABuACAAIAAgACAAIAAgACAAIAAgACAAXAAiAFoAXwBqAFwAIgAsACAAXAAiAHIAZQBsAGEAdABpAHYAZQAgAHMAaQB6AGUAXAAiADsAXABuACAAIAAgACAAIAAgACAAIAAgACAAXAAiAEwAVwBHAF8AagBcACIALAAgAFwAIgBsAGkAdgBlAHcAZQBpAGcAaAB0ACAAZwBhAGkAbgAgACgAawBnAC8AZABhAHk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yACwAXABuACAAIAAgACAAIAAgAEwAQQBNAEIARABBACgAcgAsAGMALABcAG4AIAAgACAAIAAgACAAIAAgAEkATgBEAEUAWAAoAHsAXABuACAAIAAgACAAIAAgACAAIAAgACAAXAAiAEkAXwBqAFwAIgAsACAAXAAiAGQAcgB5ACAAbQBhAHQAdABlAHIAIABpAG4AdABhAGsAZQAgACgAawBnAEQATQAvAGgAZQBhAGQALwBkAGEAeQApAFwAIgA7AFwAbgAgACAAIAAgACAAIAAgACAAIAAgAFwAIgBXAF8AagBcACIALAAgAFwAIgBsAGkAdgBlAHcAZQBpAGcAaAB0ACAAKABrAGcAKQBcACIAOwBcAG4AIAAgACAAIAAgACAAIAAgACAAIABcACIATQBSAF8AagBcACIALAAgAFwAIgBpAG4AYwByAGUAYQBzAGUAIABpAG4AIABtAGUAdABhAGIAbwBsAGkAYwAgAHIAYQB0AGUAIAB3AGgAZQBuACAAcAByAG8AZAB1AGMAaQBuAGcAIABtAGkAbABrAFwAIgA7AFwAbgAgACAAIAAgACAAIAAgACAAIAAgAFwAIgBNAEkAXwBqAFwAIgAsACAAXAAiAGEAZABkAGkAdABpAG8AbgBhAGwAIABpAG4AdABhAGsAZQAgAHIAZQBxAHUAaQByAGUAZAAgAGYAbwByACAAbQBpAGwAawAgAHAAcgBvAGQAdQBjAHQAaQBvAG4AIAAoAGsAZwBEAE0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yACwAXABuACAAIAAgACAAIAAgAEwAQQBNAEIARABBACgAcgAsAGMALABcAG4AIAAgACAAIAAgACAAIAAgAEkATgBEAEUAWAAoAHsAXABuACAAIAAgACAAIAAgACAAIAAgACAAXAAiAFcAXwBqAFwAIgAsACAAXAAiAGwAaQB2AGUAdwBlAGkAZwBoAHQAIAAoAGsAZwApAFwAIgA7AFwAbgAgACAAIAAgACAAIAAgACAAIAAgAFwAIgBXAFIAXwBqAFwAIgAsACAAXAAiAHIAZQBmAGUAcgBlAG4AYwBlACAAdwBlAGkAZwBoAHQAIAAoAGsAZwAp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3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GMAbABhAHMAcwBlAHMAIABqAD0AMwAsADU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IABiAGEAcwBlAGQAIABvAG4AIABNAGkAbgBzAG8AbgAgAGEAbgBkACAATQBjAEQAbwBuAGEAbABkACAAKAAxADkAOAA3ACk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AgAGIAYQBzAGUAZAAgAG8AbgAgAE0AaQBuAHMAbwBuACAAYQBuAGQAIABNAGMARABvAG4AYQBsAGQAIAAoADEAOQA4ADcAK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E0AaQBuAHMAbwBuACAAYQBuAGQAIABNAGMARABvAG4AYQBsAGQAIAAoADEAOQA4ADcAKQ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QAsACAANAAsAFwAbgAgACAAIAAgACAAIABMAEEATQBCAEQAQQAoAHIALABjACwAXABuACAAIAAgACAAIAAgACAAIABJAE4ARABFAFgAKAB7AFwAbgAgACAAIAAgACAAIAAgACAAIAAgAFwAIgBNAFAAXwBqAFwAIgAsACAAXAAiAG0AaQBsAGsAIABwAHIAbwBkAHUAYwB0AGkAbwBuAFwAIgAsACAAXAAiAEwALwBoAGUAYQBkAC8AZABhAHkAXAAiACwAIABcACIASQBuAHAAdQB0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TQBTAF8AagAvACgAMAAuADAAMQBcAFwAdABpAG0AZQBzACAAKABGAEMAXwBqACsAUABDAF8AagApACkAXAAiACkAOwBcAG4AXABuAFYARQBFAFIARwBfADMAXwAzAF8AMQBfADEAXwBfADUAXwBNAGkAbABrAFAAcgBvAGQAdQBjAHQAaQBvAG4ARgByAG8AbQBNAGkAbABrAFMAbwBsAGkAZABzAF8AQQByAGcAdQBtAGUAbgB0AHMAXABuACAAIAA9AEwAQQBNAEIARABBACgAXABuACAAIAAgACAATQBBAEsARQBBAFIAUgBBAFkAKAAzACwAIAA0ACwAXABuACAAIAAgACAAIAAgAEwAQQBNAEIARABBACgAcgAsAGMALABcAG4AIAAgACAAIAAgACAAIAAgAEkATgBEAEUAWAAoAH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YAFgAWABYAFwAIgA7AFwAbgAgACAAIAAgACAAIAAgACAAIAAgAFwAIgBQAEMAXwBqAFwAIgAsACAAXAAiAHAAcgBvAHQAZQBpAG4AIABjAG8AbgB0AGUAbgB0ACAAaQBuACAAZgBhAHQAIABhAG4AZAAgAHAAcgBvAHQAZQBpAG4AIABjAG8AcgByAGUAYwB0AGUAZAAgAG0AaQBsAGsAXAAiACwAIABcACIAcABlAHIAIABjAGUAbgB0AFwAIgAsACAAXAAiAFgAWABYAFg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0AGgAZQAgAGQAaQBlAHQAIABiAGEAcwBlAGQAIABvAG4AIABNAGkAbgBzAG8AbgAgAGEAbgBkACAATQBjAEQAbwBuAGEAbABkACAAKAAxADkAOAA3ACk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XwBUAGkAdABsAGUAXABuACAAIAA9AEwAQQBNAEIARABBACgAXAAiAE0AZQB0AGEAYgBvAGwAaQBzAGEAYgBpAGwAaQB0AHkAIABvAGYAIAB0AGgAZQAgAGQAaQBlAHQAIABiAGEAcwBlAGQAIABvAG4AIABNAGkAbgBzAG8AbgAgAGEAbgBkACAATQBjAEQAbwBuAGEAbABkACAAKAAxADkAOAA3ACk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E0AaQBuAHMAbwBuACAAYQBuAGQAIABNAGMARABvAG4AYQBsAGQAIAAoADEAOQA4ADcAKQ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y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IAAoAGQAaQBtAGUAbgBzAGkAbwBuAGwAZQBzAHMAKQBcACIAOwBcAG4AIAAgACAAIAAgACAAIAAgACAAIABcACIARgByAGEAYwBMAEUAQQBDAEgAXwBNAFMAXAAiACwAIABcACIAZgByAGEAYwB0AGkAbwBuACAAbwBmACAATgAgAHQAaABhAHQAIABpAHMAIABsAG8AcwB0ACAAdABoAHIAbwB1AGcAaAAgAGwAZQBhAGMAaABpAG4AZwAgAGEAbgBkACAAcgB1AG4AbwBmAGYAIAAoAGQAaQBtAGUAbgBzAGkAbwBuAGwAZQBzAHMAKQ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y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IAAoAGsAZwAgAE4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AiADsAXABuACAAIAAgACAAIAAgACAAIAAgACAAXAAiAEMAXwBOADIATwBcACIALAAgAFwAIgBmAGEAYwB0AG8AcgAgAHQAbwAgAGMAbwBuAHYAZQByAHQAIABlAGwAZQBtAGUAbgB0AGEAbAAgAG0AYQBzAHMAIABvAGYAIABOADIATwAgAHQAbwAgAG0AbwBsAGUAYwB1AGwAYQByACAAbQBhAHMAcwBcACIAOwBcAG4AIAAgACAAIAAgACAAIAAgACAAIABcACIAegBcACIALABcACIAVwBlAHQAIABvAHIAIABkAHIAeQAgAGMAbABpAG0AYQB0AGUAIAB6AG8AbgBl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Mg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IAAoAGsAZwAgAE4AKQ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O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BAHIAZwB1AG0AZQBuAHQAcw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2026-05-07T02:04:32Z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