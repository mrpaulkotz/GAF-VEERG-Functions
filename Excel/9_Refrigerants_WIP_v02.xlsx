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940498C-268C-4EA9-B5B8-20AB54094FB8}" xr6:coauthVersionLast="47" xr6:coauthVersionMax="47" xr10:uidLastSave="{00000000-0000-0000-0000-000000000000}"/>
  <bookViews>
    <workbookView xWindow="2730" yWindow="2730" windowWidth="28800" windowHeight="15345"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0"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0" l="1"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a="1"/>
  <c r="R234" i="120" s="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a="1"/>
  <c r="D211" i="120" s="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a="1"/>
  <c r="D174" i="120" s="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E48" i="120" a="1"/>
  <c r="E48" i="120" s="1"/>
  <c r="D48" i="120" a="1"/>
  <c r="D48" i="120" s="1"/>
  <c r="D46" i="120"/>
  <c r="D46" i="120" a="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c r="D5" i="120" a="1"/>
  <c r="D36" i="69" a="1"/>
  <c r="D36" i="69" s="1"/>
  <c r="F22" i="69" a="1"/>
  <c r="F22" i="69" s="1"/>
  <c r="H22" i="69" a="1"/>
  <c r="H22" i="69" s="1"/>
  <c r="G22" i="69" a="1"/>
  <c r="G22" i="69" s="1"/>
  <c r="E22" i="69" a="1"/>
  <c r="E22" i="69" s="1"/>
  <c r="D22" i="69" a="1"/>
  <c r="D22" i="6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51" i="120" l="1"/>
  <c r="H52" i="120"/>
  <c r="H50" i="120"/>
  <c r="H48" i="120"/>
  <c r="H49" i="120"/>
  <c r="H54" i="120"/>
  <c r="H53" i="120"/>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F140" i="110" a="1"/>
  <c r="F140" i="110" s="1"/>
  <c r="N140" i="110" s="1" a="1"/>
  <c r="N140" i="110" s="1"/>
  <c r="E140" i="110" a="1"/>
  <c r="E140" i="110" s="1"/>
  <c r="H154" i="110" a="1"/>
  <c r="H154" i="110" s="1"/>
  <c r="P154" i="110" s="1" a="1"/>
  <c r="P154" i="110" s="1"/>
  <c r="G154" i="110" a="1"/>
  <c r="G154" i="110" s="1"/>
  <c r="O154" i="110" s="1" a="1"/>
  <c r="O154" i="110" s="1"/>
  <c r="F154" i="110" a="1"/>
  <c r="F154" i="110" s="1"/>
  <c r="E154" i="110" a="1"/>
  <c r="E154" i="110" s="1"/>
  <c r="M154" i="110" s="1" a="1"/>
  <c r="M154" i="110" s="1"/>
  <c r="I127" i="110" a="1"/>
  <c r="I127" i="110" s="1"/>
  <c r="M127" i="110" s="1" a="1"/>
  <c r="M127" i="110" s="1"/>
  <c r="L127" i="110" a="1"/>
  <c r="L127" i="110" s="1"/>
  <c r="K127" i="110" a="1"/>
  <c r="K127" i="110" s="1"/>
  <c r="O127" i="110" s="1" a="1"/>
  <c r="O127" i="110" s="1"/>
  <c r="J127" i="110" a="1"/>
  <c r="J127" i="110" s="1"/>
  <c r="H132" i="110" a="1"/>
  <c r="H132" i="110" s="1"/>
  <c r="G132" i="110" a="1"/>
  <c r="G132" i="110" s="1"/>
  <c r="O132" i="110" s="1" a="1"/>
  <c r="O132" i="110" s="1"/>
  <c r="F132" i="110" a="1"/>
  <c r="F132" i="110" s="1"/>
  <c r="E132" i="110" a="1"/>
  <c r="E132" i="110" s="1"/>
  <c r="I141" i="110" a="1"/>
  <c r="I141" i="110" s="1"/>
  <c r="L141" i="110" a="1"/>
  <c r="L141" i="110" s="1"/>
  <c r="K141" i="110" a="1"/>
  <c r="K141" i="110" s="1"/>
  <c r="O141" i="110" s="1" a="1"/>
  <c r="O141" i="110" s="1"/>
  <c r="J141" i="110" a="1"/>
  <c r="J141" i="110" s="1"/>
  <c r="N141" i="110" s="1" a="1"/>
  <c r="N141" i="110" s="1"/>
  <c r="H146" i="110" a="1"/>
  <c r="H146" i="110" s="1"/>
  <c r="G146" i="110" a="1"/>
  <c r="G146" i="110" s="1"/>
  <c r="F146" i="110" a="1"/>
  <c r="F146" i="110" s="1"/>
  <c r="N146" i="110" s="1" a="1"/>
  <c r="N146" i="110" s="1"/>
  <c r="E146" i="110" a="1"/>
  <c r="E146" i="110" s="1"/>
  <c r="L118" i="110" a="1"/>
  <c r="L118" i="110" s="1"/>
  <c r="K118" i="110" a="1"/>
  <c r="K118" i="110" s="1"/>
  <c r="I118" i="110" a="1"/>
  <c r="I118" i="110" s="1"/>
  <c r="J118" i="110" a="1"/>
  <c r="J118" i="110" s="1"/>
  <c r="N118" i="110" s="1" a="1"/>
  <c r="N118" i="110" s="1"/>
  <c r="F123" i="110" a="1"/>
  <c r="F123" i="110" s="1"/>
  <c r="N123" i="110" s="1" a="1"/>
  <c r="N123" i="110" s="1"/>
  <c r="E123" i="110" a="1"/>
  <c r="E123" i="110" s="1"/>
  <c r="H123" i="110" a="1"/>
  <c r="H123" i="110" s="1"/>
  <c r="G123" i="110" a="1"/>
  <c r="G123" i="110" s="1"/>
  <c r="K137" i="110" a="1"/>
  <c r="K137" i="110" s="1"/>
  <c r="O137" i="110" s="1" a="1"/>
  <c r="O137" i="110" s="1"/>
  <c r="J137" i="110" a="1"/>
  <c r="J137" i="110" s="1"/>
  <c r="N137" i="110" s="1" a="1"/>
  <c r="N137" i="110" s="1"/>
  <c r="I137" i="110" a="1"/>
  <c r="I137" i="110" s="1"/>
  <c r="L137" i="110" a="1"/>
  <c r="L137" i="110" s="1"/>
  <c r="P137" i="110" s="1" a="1"/>
  <c r="P137" i="110" s="1"/>
  <c r="H142" i="110" a="1"/>
  <c r="H142" i="110" s="1"/>
  <c r="G142" i="110" a="1"/>
  <c r="G142" i="110" s="1"/>
  <c r="F142" i="110" a="1"/>
  <c r="F142" i="110" s="1"/>
  <c r="E142" i="110" a="1"/>
  <c r="E142" i="110" s="1"/>
  <c r="M142" i="110" s="1" a="1"/>
  <c r="M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M133" i="110" s="1" a="1"/>
  <c r="M133" i="110" s="1"/>
  <c r="J119" i="110" a="1"/>
  <c r="J119" i="110" s="1"/>
  <c r="N119" i="110" s="1" a="1"/>
  <c r="N119" i="110" s="1"/>
  <c r="L119" i="110" a="1"/>
  <c r="L119" i="110" s="1"/>
  <c r="K119" i="110" a="1"/>
  <c r="K119" i="110" s="1"/>
  <c r="O119" i="110" s="1" a="1"/>
  <c r="O119" i="110" s="1"/>
  <c r="I119" i="110" a="1"/>
  <c r="I119" i="110" s="1"/>
  <c r="M119" i="110" s="1" a="1"/>
  <c r="M119" i="110" s="1"/>
  <c r="H124" i="110" a="1"/>
  <c r="H124" i="110" s="1"/>
  <c r="P124" i="110" s="1" a="1"/>
  <c r="P124" i="110" s="1"/>
  <c r="G124" i="110" a="1"/>
  <c r="G124" i="110" s="1"/>
  <c r="F124" i="110" a="1"/>
  <c r="F124" i="110" s="1"/>
  <c r="E124" i="110" a="1"/>
  <c r="E124" i="110" s="1"/>
  <c r="J129" i="110" a="1"/>
  <c r="J129" i="110" s="1"/>
  <c r="N129" i="110" s="1" a="1"/>
  <c r="N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P143" i="110" s="1" a="1"/>
  <c r="P143" i="110" s="1"/>
  <c r="J143" i="110" a="1"/>
  <c r="J143" i="110" s="1"/>
  <c r="K143" i="110" a="1"/>
  <c r="K143" i="110" s="1"/>
  <c r="O143" i="110" s="1" a="1"/>
  <c r="O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N134" i="110" s="1" a="1"/>
  <c r="N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P135" i="110" s="1" a="1"/>
  <c r="P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N136" i="110" a="1"/>
  <c r="N136" i="110" s="1"/>
  <c r="E8" i="69"/>
  <c r="I24" i="69"/>
  <c r="M126" i="110" a="1"/>
  <c r="M126" i="110" s="1"/>
  <c r="P127" i="110" a="1"/>
  <c r="P127" i="110" s="1"/>
  <c r="M131" i="110" a="1"/>
  <c r="M131" i="110" s="1"/>
  <c r="P119" i="110" a="1"/>
  <c r="P119" i="110" s="1"/>
  <c r="N132" i="110" a="1"/>
  <c r="N132" i="110" s="1"/>
  <c r="M137" i="110" a="1"/>
  <c r="M137" i="110" s="1"/>
  <c r="O140" i="110" a="1"/>
  <c r="O140"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O113" i="110" a="1"/>
  <c r="O113"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O155" i="110" a="1"/>
  <c r="O155" i="110" s="1"/>
  <c r="P159" i="110" a="1"/>
  <c r="P159" i="110" s="1"/>
  <c r="O114" i="110" a="1"/>
  <c r="O114" i="110" s="1"/>
  <c r="P118" i="110" a="1"/>
  <c r="P118" i="110" s="1"/>
  <c r="P126" i="110" a="1"/>
  <c r="P126" i="110" s="1"/>
  <c r="O131" i="110" a="1"/>
  <c r="O131" i="110" s="1"/>
  <c r="O146" i="110" a="1"/>
  <c r="O146" i="110" s="1"/>
  <c r="N110" i="110" a="1"/>
  <c r="N110" i="110" s="1"/>
  <c r="P111" i="110" a="1"/>
  <c r="P111" i="110" s="1"/>
  <c r="P131" i="110" a="1"/>
  <c r="P131" i="110" s="1"/>
  <c r="O136" i="110" a="1"/>
  <c r="O136" i="110" s="1"/>
  <c r="P146" i="110" a="1"/>
  <c r="P146" i="110" s="1"/>
  <c r="P150" i="110" a="1"/>
  <c r="P150" i="110" s="1"/>
  <c r="M140" i="110" a="1"/>
  <c r="M140" i="110" s="1"/>
  <c r="M147" i="110" a="1"/>
  <c r="M147" i="110" s="1"/>
  <c r="M150" i="110" a="1"/>
  <c r="M150" i="110" s="1"/>
  <c r="N122" i="110" a="1"/>
  <c r="N122" i="110" s="1"/>
  <c r="P114" i="110" a="1"/>
  <c r="P114" i="110" s="1"/>
  <c r="O110" i="110" a="1"/>
  <c r="O110" i="110" s="1"/>
  <c r="M117" i="110" a="1"/>
  <c r="M117" i="110" s="1"/>
  <c r="O122" i="110" a="1"/>
  <c r="O122" i="110" s="1"/>
  <c r="P123" i="110" a="1"/>
  <c r="P123" i="110" s="1"/>
  <c r="N127" i="110" a="1"/>
  <c r="N127" i="110" s="1"/>
  <c r="P141" i="110" a="1"/>
  <c r="P141" i="110" s="1"/>
  <c r="N150" i="110" a="1"/>
  <c r="N150" i="110" s="1"/>
  <c r="O133" i="110" a="1"/>
  <c r="O133" i="110" s="1"/>
  <c r="M145" i="110" a="1"/>
  <c r="M145" i="110" s="1"/>
  <c r="O150" i="110" a="1"/>
  <c r="O150" i="110" s="1"/>
  <c r="M152" i="110" a="1"/>
  <c r="M152" i="110" s="1"/>
  <c r="O138" i="110" a="1"/>
  <c r="O138"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P152" i="110" a="1"/>
  <c r="P152" i="110" s="1"/>
  <c r="N154" i="110" a="1"/>
  <c r="N154" i="110" s="1"/>
  <c r="P160" i="110" a="1"/>
  <c r="P160" i="110" s="1"/>
  <c r="D106" i="110"/>
  <c r="A15" i="70"/>
  <c r="A5" i="70"/>
  <c r="A4" i="70"/>
  <c r="A3" i="70"/>
  <c r="A73" i="69"/>
  <c r="P142" i="110" l="1"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Q132" i="110" s="1" a="1"/>
  <c r="Q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3" i="110" a="1"/>
  <c r="Q133" i="110" s="1"/>
  <c r="Q136" i="110" a="1"/>
  <c r="Q136" i="110" s="1"/>
  <c r="Q126" i="110" a="1"/>
  <c r="Q126" i="110" s="1"/>
  <c r="Q131" i="110" a="1"/>
  <c r="Q131" i="110" s="1"/>
  <c r="Q114" i="110" a="1"/>
  <c r="Q114" i="110" s="1"/>
  <c r="M118" i="110" a="1"/>
  <c r="M118" i="110" s="1"/>
  <c r="Q111" i="110" a="1"/>
  <c r="Q111" i="110" s="1"/>
  <c r="M158" i="110" a="1"/>
  <c r="M158" i="110" s="1"/>
  <c r="M153" i="110" a="1"/>
  <c r="M153" i="110" s="1"/>
  <c r="Q153" i="110" s="1" a="1"/>
  <c r="Q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37" i="110" a="1"/>
  <c r="Q137" i="110" s="1"/>
  <c r="Q150" i="110" a="1"/>
  <c r="Q150" i="110" s="1"/>
  <c r="Q147" i="110" a="1"/>
  <c r="Q147" i="110" s="1"/>
  <c r="Q145" i="110" a="1"/>
  <c r="Q145" i="110" s="1"/>
  <c r="Q140" i="110" a="1"/>
  <c r="Q140" i="110" s="1"/>
  <c r="E45" i="69"/>
  <c r="E18" i="13" s="1"/>
  <c r="E43" i="69"/>
  <c r="E16" i="13" s="1"/>
  <c r="E44" i="69"/>
  <c r="E17" i="13" s="1"/>
  <c r="E41" i="69"/>
  <c r="E14" i="13" s="1"/>
  <c r="E42" i="69"/>
  <c r="E15" i="13" s="1"/>
  <c r="K22" i="69" a="1"/>
  <c r="K22" i="69" s="1"/>
  <c r="L22" i="69" s="1"/>
  <c r="Q129" i="110" l="1"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39" i="69"/>
  <c r="E12" i="13" s="1"/>
  <c r="J13" i="13"/>
  <c r="G13" i="13"/>
  <c r="D66" i="69"/>
  <c r="F66" i="69" s="1" a="1"/>
  <c r="F66" i="69" s="1"/>
  <c r="E40" i="69"/>
  <c r="E13" i="13" s="1"/>
  <c r="Q130" i="110" a="1"/>
  <c r="Q130" i="110" s="1"/>
  <c r="Q158" i="110" a="1"/>
  <c r="Q158" i="110" s="1"/>
  <c r="Q135" i="110" a="1"/>
  <c r="Q135" i="110" s="1"/>
  <c r="Q134" i="110" a="1"/>
  <c r="Q134" i="110" s="1"/>
  <c r="Q125" i="110" a="1"/>
  <c r="Q125" i="110" s="1"/>
  <c r="Q139" i="110" a="1"/>
  <c r="Q139" i="110" s="1"/>
  <c r="Q157" i="110" a="1"/>
  <c r="Q157" i="110" s="1"/>
  <c r="Q120" i="110" a="1"/>
  <c r="Q120" i="110" s="1"/>
  <c r="E67" i="69"/>
  <c r="G67" i="69" s="1" a="1"/>
  <c r="G67" i="69" s="1"/>
  <c r="F16" i="13"/>
  <c r="E69" i="69"/>
  <c r="G69" i="69" s="1" a="1"/>
  <c r="G69" i="69" s="1"/>
  <c r="F15" i="13"/>
  <c r="E68" i="69"/>
  <c r="G68" i="69" s="1" a="1"/>
  <c r="G68" i="69" s="1"/>
  <c r="F17" i="13"/>
  <c r="E70" i="69"/>
  <c r="G70" i="69" s="1" a="1"/>
  <c r="G70" i="69" s="1"/>
  <c r="F18" i="13"/>
  <c r="E71" i="69"/>
  <c r="G71" i="69" s="1" a="1"/>
  <c r="G71" i="69" s="1"/>
  <c r="E38" i="69"/>
  <c r="E11" i="13" s="1"/>
  <c r="D65" i="69"/>
  <c r="G12" i="13"/>
  <c r="J12" i="13"/>
  <c r="E37" i="69"/>
  <c r="E10" i="13" s="1"/>
  <c r="E36" i="69"/>
  <c r="E9" i="13" s="1"/>
  <c r="G11" i="13"/>
  <c r="D64" i="69"/>
  <c r="G10" i="13"/>
  <c r="D63" i="69"/>
  <c r="J11" i="13"/>
  <c r="J10" i="13"/>
  <c r="H14" i="13" l="1"/>
  <c r="I14" i="13" s="1"/>
  <c r="H15" i="13"/>
  <c r="I15" i="13" s="1"/>
  <c r="H18" i="13"/>
  <c r="I18" i="13" s="1"/>
  <c r="H16" i="13"/>
  <c r="I16" i="13" s="1"/>
  <c r="H17" i="13"/>
  <c r="I17" i="13" s="1"/>
  <c r="E66" i="69"/>
  <c r="G66" i="69" s="1" a="1"/>
  <c r="G66" i="69" s="1"/>
  <c r="E65" i="69"/>
  <c r="F9" i="13"/>
  <c r="E62" i="69"/>
  <c r="F10" i="13"/>
  <c r="E63" i="69"/>
  <c r="F11" i="13"/>
  <c r="E64" i="69"/>
  <c r="F65" i="69" a="1"/>
  <c r="F65" i="69" s="1"/>
  <c r="J9" i="13"/>
  <c r="G9" i="13"/>
  <c r="D62" i="69"/>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A47" i="69"/>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<sst xmlns="http://schemas.openxmlformats.org/spreadsheetml/2006/main" count="186" uniqueCount="153">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</sst>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3">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16A76B-C16C-4EFE-99D3-755F346E6E0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2E85321-7C28-4AB5-8060-9A6D3EAAB856}" name="State/Territory">
      <calculatedColumnFormula array="1">Common_InputFunctions.Utility_DisplayArrayInTable(Common_SourceData.Common_SourceData_AustralianStatesTerritories_Data(),Table_AustralianStates[[#Headers],[State/Territory]],0)</calculatedColumnFormula>
    </tableColumn>
    <tableColumn id="2" xr3:uid="{C6C32567-4ADC-45FD-9A74-647C946E2BFC}" name="Common Name">
      <calculatedColumnFormula array="1">Common_InputFunctions.Utility_DisplayArrayInTable(Common_SourceData.Common_SourceData_AustralianStatesTerritories_Data(),Table_AustralianStates[[#Headers],[State/Territory]],0)</calculatedColumnFormula>
    </tableColumn>
    <tableColumn id="3" xr3:uid="{D327B7A0-B3AA-4EC9-B4B1-C8F56C6EE6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6AF855-7A26-446B-8650-DE096E63238A}" name="Table_WASA4Areas" displayName="Table_WASA4Areas" ref="D20:D30" totalsRowShown="0">
  <autoFilter ref="D20:D30" xr:uid="{5FA81339-C6C8-4D36-BEEA-6C4AEDD9E676}">
    <filterColumn colId="0" hiddenButton="1"/>
  </autoFilter>
  <tableColumns count="1">
    <tableColumn id="1" xr3:uid="{B52D9896-3889-4A15-A9CF-1E3B3D202F4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9233090-5574-4C68-B5CE-7826059CB7CB}" name="Table_GWPData" displayName="Table_GWPData" ref="D36:E43" totalsRowShown="0">
  <autoFilter ref="D36:E43" xr:uid="{B8E87A66-3E41-4AD3-925D-01EE21B43D7A}">
    <filterColumn colId="0" hiddenButton="1"/>
    <filterColumn colId="1" hiddenButton="1"/>
  </autoFilter>
  <tableColumns count="2">
    <tableColumn id="1" xr3:uid="{144444B5-C615-449C-8A99-682019C39CFC}" name="Gas">
      <calculatedColumnFormula array="1">Common_InputFunctions.Utility_DisplayArrayInTable(Common_SourceData.Common_SourceData_GWP_Data(), Table_GWPData[[#Headers],[Gas]], 0)</calculatedColumnFormula>
    </tableColumn>
    <tableColumn id="2" xr3:uid="{D6CAF961-2C0F-4448-AC79-C1582FB4358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CF87DD4-60CC-494B-8A20-9673626EDF0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2A63C00-BD25-4BAB-9766-E4788766820D}" name="Gas">
      <calculatedColumnFormula array="1">Common_InputFunctions.Utility_DisplayArrayInTable(Common_SourceData.Common_SourceData_ConvertGasElementalToMolecular_Data(),Table_GasToMolecularConversionFactor[[#Headers],[Gas]], 0)</calculatedColumnFormula>
    </tableColumn>
    <tableColumn id="5" xr3:uid="{F8870FB6-3945-48A9-A2E7-390F1C1905E1}" name="Conversion factor">
      <calculatedColumnFormula array="1">Common_InputFunctions.Utility_DisplayArrayInTable(Common_SourceData.Common_SourceData_ConvertGasElementalToMolecular_Data(),Table_GasToMolecularConversionFactor[[#Headers],[Gas]], 0)</calculatedColumnFormula>
    </tableColumn>
    <tableColumn id="2" xr3:uid="{80EFDE92-C01B-4C76-8A62-1F1F49BBE85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4FA067B-F6B7-4117-BDF6-A57985245A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4B49C3B-5E5A-4C44-966C-A383082F1E2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C92A31-BE3E-4407-AC09-CFA1164CDD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66E467-909F-401D-990B-DA61453E0A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F337A1-0763-4378-8E45-0935B1DA575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B29462C-A2E2-4913-8007-E23D4122483E}"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2D29C59E-80A9-46A0-837F-2D96C943E5F5}"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C464B99-3A0A-4797-8F15-8D94E0964C7B}"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8A568C7-FA36-4640-B74C-39132E120746}"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FD1D5A1-C8C0-45EC-AB2C-BCA818236DF1}"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8E12D732-5C3F-4B9E-9D25-C5914FF3F8C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85A2958-6179-4B76-8DF2-FD10C7A4E76D}"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47814BC-A593-439C-AC24-05DA24086F84}"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8E5D3C3D-192C-4714-A623-5F7D98731D36}"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CDE8C318-5B61-4943-8290-E9ADCC3F434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4932E10-26EE-48EA-9FF8-5CBB73DE766F}"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A11D405-5F6E-471F-BB3D-DEA4F2D252E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B10523CC-47C7-4264-8BC6-8F94C1E0D67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6905ED76-27A2-4B6C-A2F5-70E8199CC01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A55C38D-3BA7-4332-9B83-24DBB3C433B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2081869-CFE9-4FFB-AE1B-C91E7691454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4F80A5A-6BE8-4DA7-9094-CFEBE45BF58C}"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7D652FA-F866-473C-8CA0-3FE2A9B8FBB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4734147-F9D7-432A-B20A-8B9B4EA07012}" name="Temperature Zone">
      <calculatedColumnFormula array="1">Common_InputFunctions.Utility_DisplayArrayInTable(Common_SourceData.Common_SourceData_TemperatureZones_Data(),Table_SourceData_TemperatureZones[[#Headers],[Temperature Zone]],0)</calculatedColumnFormula>
    </tableColumn>
    <tableColumn id="2" xr3:uid="{E799B703-67A7-4F05-832D-2DA2A05A564E}" name="MAT">
      <calculatedColumnFormula array="1">Common_InputFunctions.Utility_DisplayArrayInTable(Common_SourceData.Common_SourceData_TemperatureZones_Data(),Table_SourceData_TemperatureZones[[#Headers],[Temperature Zone]],0)</calculatedColumnFormula>
    </tableColumn>
    <tableColumn id="3" xr3:uid="{708C07DB-9FF2-4D63-BEC2-96481D522E69}" name="Min MAT">
      <calculatedColumnFormula array="1">Common_InputFunctions.Utility_DisplayArrayInTable(Common_SourceData.Common_SourceData_TemperatureZones_Data(),Table_SourceData_TemperatureZones[[#Headers],[Temperature Zone]],0)</calculatedColumnFormula>
    </tableColumn>
    <tableColumn id="4" xr3:uid="{E0F44F9B-CE94-48F6-BFA3-4B43AAC99B5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BF3CA9E-33A3-444F-AE65-A95742B7EE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D0CA66F-0180-4946-B16B-F930A7B54FC8}" name="Rainfall Zone">
      <calculatedColumnFormula array="1">Common_InputFunctions.Utility_DisplayArrayInTable(Common_SourceData.Common_SourceData_RainfallZones_Data(),Table_SourceData_RainfallZones[[#Headers],[Rainfall Zone]],0)</calculatedColumnFormula>
    </tableColumn>
    <tableColumn id="2" xr3:uid="{13A77870-14E3-43C1-A9A2-0C1D7DEF1F1E}" name="Annual rainfall">
      <calculatedColumnFormula array="1">Common_InputFunctions.Utility_DisplayArrayInTable(Common_SourceData.Common_SourceData_RainfallZones_Data(),Table_SourceData_RainfallZones[[#Headers],[Rainfall Zone]],0)</calculatedColumnFormula>
    </tableColumn>
    <tableColumn id="3" xr3:uid="{24836987-45E5-4BCB-878A-45369AC62CA2}" name="Min rainfall">
      <calculatedColumnFormula array="1">Common_InputFunctions.Utility_DisplayArrayInTable(Common_SourceData.Common_SourceData_RainfallZones_Data(),Table_SourceData_RainfallZones[[#Headers],[Rainfall Zone]],0)</calculatedColumnFormula>
    </tableColumn>
    <tableColumn id="4" xr3:uid="{869314BB-60BD-41DD-9810-8266ADBF1FF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52ECB62-16EC-4349-94A7-C243609CE1F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6558AA8-3261-4223-80CB-CD42126B43BA}" name="Leaching Zone">
      <calculatedColumnFormula array="1">Common_InputFunctions.Utility_DisplayArrayInTable(Common_SourceData.Common_SourceData_LeachingZones_Data(), Table_SourceData_LeachingZones[[#Headers],[Leaching Zone]], 0)</calculatedColumnFormula>
    </tableColumn>
    <tableColumn id="2" xr3:uid="{BAE1B325-F7DB-4349-8A83-B71D89138ED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3B1A042-0A6B-4DE5-A22B-ABEEB211AE2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FEC17F4-63CE-4E8A-B0F2-8FB6193E9B67}" name="Data source">
      <calculatedColumnFormula array="1">Common_InputFunctions.Utility_DisplayArrayInTable(Common_SourceData.Common_SourceData_DataScores_Scope3_Data(), Table_SourceData_DataScores_Scope3[[#Headers],[Data source]], 0)</calculatedColumnFormula>
    </tableColumn>
    <tableColumn id="2" xr3:uid="{D3F4B3C1-2BB0-4E80-A8EF-2132467848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1196F97-E184-479A-9EF1-6098A7F6CFE8}" name="Table_SourceData_FracWET" displayName="Table_SourceData_FracWET" ref="D134:E136" totalsRowShown="0">
  <autoFilter ref="D134:E136" xr:uid="{308E99BE-FE1F-47A4-B2CA-97217277C4E9}">
    <filterColumn colId="0" hiddenButton="1"/>
    <filterColumn colId="1" hiddenButton="1"/>
  </autoFilter>
  <tableColumns count="2">
    <tableColumn id="1" xr3:uid="{128C8ADE-048D-41D3-8667-4912DBDF4523}" name="Is in leaching zone">
      <calculatedColumnFormula array="1">Common_InputFunctions.Utility_DisplayArrayInTable(Common_SourceData.Common_SourceData_FracWET_Data(),Table_SourceData_FracWET[[#Headers],[Is in leaching zone]],0)</calculatedColumnFormula>
    </tableColumn>
    <tableColumn id="2" xr3:uid="{8853C8AF-CC64-41BA-847D-F2A50F2D8C3F}"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9A95BFA-9340-4FD4-B459-DC50B6863A9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FCEEEB-7A32-4254-A48A-F807311A0FA0}" name="Production system j">
      <calculatedColumnFormula array="1">Common_InputFunctions.Utility_DisplayArrayInTable(Common_SourceData.Common_SourceData_EFN2O_Data(), Table_SourceData_Common_EFN2O[[#Headers],[Production system j]], 0)</calculatedColumnFormula>
    </tableColumn>
    <tableColumn id="2" xr3:uid="{DF6330CB-A230-4455-8568-104FC0AE7549}" name="EFN2O">
      <calculatedColumnFormula array="1">Common_InputFunctions.Utility_DisplayArrayInTable(Common_SourceData.Common_SourceData_EFN2O_Data(), Table_SourceData_Common_EFN2O[[#Headers],[Production system j]], 0)</calculatedColumnFormula>
    </tableColumn>
    <tableColumn id="3" xr3:uid="{240515AD-CB8D-436E-8A89-8A3FD11C2A4E}" name="Production system only">
      <calculatedColumnFormula array="1">Common_InputFunctions.Utility_DisplayArrayInTable(Common_SourceData.Common_SourceData_EFN2O_Data(), Table_SourceData_Common_EFN2O[[#Headers],[Production system j]], 0)</calculatedColumnFormula>
    </tableColumn>
    <tableColumn id="4" xr3:uid="{0886C016-9360-46DF-BB64-4D1ABEB1851B}" name="Irrigation method">
      <calculatedColumnFormula array="1">Common_InputFunctions.Utility_DisplayArrayInTable(Common_SourceData.Common_SourceData_EFN2O_Data(), Table_SourceData_Common_EFN2O[[#Headers],[Production system j]], 0)</calculatedColumnFormula>
    </tableColumn>
    <tableColumn id="5" xr3:uid="{D996474C-551F-4FD9-B7DD-BADDC922BE2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0546C11-8CAB-4B4C-80FF-E2F4F1BD2E0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61CB8F-7B79-402A-96D3-07762E7A33AC}" name="Irrigation type i">
      <calculatedColumnFormula array="1">Common_InputFunctions.Utility_DisplayArrayInTable(Common_SourceData.Common_SourceData_FracWETIrrigation_Data(), Table_SourceData_FracWETIrrigation[[#Headers],[Irrigation type i]], 0)</calculatedColumnFormula>
    </tableColumn>
    <tableColumn id="2" xr3:uid="{2178DC37-3904-4FCB-96F4-5045568CA5E3}"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3968D22-E960-4329-856D-6288D5AF509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06C314A-3449-4BB7-891E-97AF5556DF2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655A4AE-202B-4987-8024-2F96DE8EE45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AC42A9E-1375-4D3D-9826-BECB812E787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312313D-3289-4AE9-AEC2-1ADDBAAC73C9}" name="Month">
      <calculatedColumnFormula array="1">Common_InputFunctions.Utility_DisplayArrayInTable(Common_SourceData.Common_SourceData_MonthsToSeasons_Data(), Table_SourceData_Common_MonthToSeason[[#Headers],[Month]], 0)</calculatedColumnFormula>
    </tableColumn>
    <tableColumn id="2" xr3:uid="{C080C086-6028-4739-933E-DD28FD2783C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C3E53E5-5FBC-4B58-ADDA-7A872E54079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1DDA435-A4D2-46BF-9332-2B74FAA85B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D0500B2-A6E6-4C85-9CAB-551332D804E7}"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8DCCA65-28BB-452E-974E-9AAF8EB2ED4F}"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70FB12E-7B35-4BF0-9815-D3B4446F81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E7DF08D-5533-4E15-8CD7-37B8E9CB9049}"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6FDC6A5-43AA-4183-BCD6-3596B65EEF4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3283AE2-D814-4543-8FFE-C6596572DB4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F5E9CF5-798A-481A-A232-69D17673E77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84B24AA-FFE1-4E05-9EA9-339BADCF7151}"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25ADC10-EAE4-4897-BB09-9F56DA2A6F96}"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044C277-D6FA-497E-9354-B199C178F05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E9BDA4-A6B1-41D3-8B97-0684A2758405}"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E46A02C-1396-46FD-8A9E-4F15D35E5FD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7F4384A-DE6C-497F-A6C0-2878E3701AAE}"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4F594DE-43FC-48F5-9EEE-3501E4EBAD7A}"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8B9508F-8F87-44B1-ACC7-771CE2A7A9D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2D265DA-C04F-4DBF-A34C-D8E68CE0A6B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18A9FE-F964-4B97-87AB-D0C35025E01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260A70-10AB-4359-AADE-082AAFAA386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13" sqref="G13"/>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VEERG_9_1_1__1_RefrigerantLeaking_Result_Blend1_Value_Method1</f>
        <v>8.5000000000000006E-4</v>
      </c>
      <c r="F9" s="59">
        <f>E9</f>
        <v>8.5000000000000006E-4</v>
      </c>
      <c r="G9" s="30" t="str">
        <f>IF(ISBLANK('9.1.1.1-2 Refrigerant use'!D36), "", "t " &amp; '9.1.1.1-2 Refrigerant use'!D36)</f>
        <v>t R-402A</v>
      </c>
      <c r="H9" s="59">
        <f>INDEX(Table_E_CO2e,2,4)</f>
        <v>1.1860424000000003</v>
      </c>
      <c r="I9" s="59">
        <f>H9</f>
        <v>1.1860424000000003</v>
      </c>
      <c r="J9" s="30" t="str">
        <f>IF(ISBLANK('9.1.1.1-2 Refrigerant use'!D36), "", "t CO2e")</f>
        <v>t CO2e</v>
      </c>
      <c r="K9" s="17"/>
    </row>
    <row r="10" spans="1:11" ht="20.100000000000001" customHeight="1" x14ac:dyDescent="0.25">
      <c r="A10" s="15" t="s">
        <v>45</v>
      </c>
      <c r="C10" s="17"/>
      <c r="D10" s="1"/>
      <c r="E10" s="59">
        <f>VEERG_9_1_1__1_RefrigerantLeaking_Result_Blend2_Value_Method1</f>
        <v>1.7500000000000003E-3</v>
      </c>
      <c r="F10" s="59">
        <f t="shared" ref="F10:F18" si="0">E10</f>
        <v>1.7500000000000003E-3</v>
      </c>
      <c r="G10" s="30" t="str">
        <f>IF(ISBLANK('9.1.1.1-2 Refrigerant use'!D37), "", "t " &amp; '9.1.1.1-2 Refrigerant use'!D37)</f>
        <v>t R-422B</v>
      </c>
      <c r="H10" s="59">
        <f>INDEX(Table_E_CO2e,3,4)</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VEERG_9_1_1__1_RefrigerantLeaking_Result_Blend3_Value_Method1</f>
        <v>1.2210000000000002E-2</v>
      </c>
      <c r="F11" s="59">
        <f t="shared" si="0"/>
        <v>1.2210000000000002E-2</v>
      </c>
      <c r="G11" s="30" t="str">
        <f>IF(ISBLANK('9.1.1.1-2 Refrigerant use'!D38), "", "t " &amp; '9.1.1.1-2 Refrigerant use'!D38)</f>
        <v>t R-400 60/40</v>
      </c>
      <c r="H11" s="59">
        <f>INDEX(Table_E_CO2e,4,4)</f>
        <v>70.007256000000027</v>
      </c>
      <c r="I11" s="59">
        <f t="shared" si="1"/>
        <v>70.007256000000027</v>
      </c>
      <c r="J11" s="30" t="str">
        <f>IF(ISBLANK('9.1.1.1-2 Refrigerant use'!D38), "", "t CO2e")</f>
        <v>t CO2e</v>
      </c>
      <c r="K11" s="17"/>
    </row>
    <row r="12" spans="1:11" ht="20.100000000000001" customHeight="1" x14ac:dyDescent="0.25">
      <c r="A12" s="13"/>
      <c r="C12" s="17"/>
      <c r="D12" s="1"/>
      <c r="E12" s="59">
        <f>VEERG_9_1_1__1_RefrigerantLeaking_Result_Blend4_Value_Method1</f>
        <v>1.5699999999999999E-2</v>
      </c>
      <c r="F12" s="59">
        <f t="shared" si="0"/>
        <v>1.5699999999999999E-2</v>
      </c>
      <c r="G12" s="30" t="str">
        <f>IF(ISBLANK('9.1.1.1-2 Refrigerant use'!D39), "", "t " &amp; '9.1.1.1-2 Refrigerant use'!D39)</f>
        <v>t R-504</v>
      </c>
      <c r="H12" s="59">
        <f>INDEX(Table_E_CO2e,5,4)</f>
        <v>34.780656319599998</v>
      </c>
      <c r="I12" s="59">
        <f t="shared" si="1"/>
        <v>34.780656319599998</v>
      </c>
      <c r="J12" s="30" t="str">
        <f>IF(ISBLANK('9.1.1.1-2 Refrigerant use'!D39), "", "t CO2e")</f>
        <v>t CO2e</v>
      </c>
      <c r="K12" s="17"/>
    </row>
    <row r="13" spans="1:11" ht="20.100000000000001" customHeight="1" x14ac:dyDescent="0.25">
      <c r="A13" s="14" t="s">
        <v>2</v>
      </c>
      <c r="C13" s="17"/>
      <c r="D13" s="1"/>
      <c r="E13" s="59">
        <f>VEERG_9_1_1__1_RefrigerantLeaking_Result_Blend5_Value_Method1</f>
        <v>0</v>
      </c>
      <c r="F13" s="59">
        <f t="shared" si="0"/>
        <v>0</v>
      </c>
      <c r="G13" s="30" t="str">
        <f>IF(ISBLANK('9.1.1.1-2 Refrigerant use'!D40), "", "t " &amp; '9.1.1.1-2 Refrigerant use'!D40)</f>
        <v/>
      </c>
      <c r="H13" s="59">
        <f>INDEX(Table_E_CO2e,6,4)</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VEERG_9_1_1__1_RefrigerantLeaking_Result_Blend6_Value_Method1</f>
        <v>0</v>
      </c>
      <c r="F14" s="59">
        <f t="shared" si="0"/>
        <v>0</v>
      </c>
      <c r="G14" s="30" t="str">
        <f>IF(ISBLANK('9.1.1.1-2 Refrigerant use'!D41), "", "t " &amp; '9.1.1.1-2 Refrigerant use'!D41)</f>
        <v/>
      </c>
      <c r="H14" s="59">
        <f>INDEX(Table_E_CO2e,7,4)</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VEERG_9_1_1__1_RefrigerantLeaking_Result_Blend7_Value_Method1</f>
        <v>0</v>
      </c>
      <c r="F15" s="59">
        <f t="shared" si="0"/>
        <v>0</v>
      </c>
      <c r="G15" s="30" t="str">
        <f>IF(ISBLANK('9.1.1.1-2 Refrigerant use'!D42), "", "t " &amp; '9.1.1.1-2 Refrigerant use'!D42)</f>
        <v/>
      </c>
      <c r="H15" s="59">
        <f>INDEX(Table_E_CO2e,8,4)</f>
        <v>0</v>
      </c>
      <c r="I15" s="59">
        <f t="shared" si="1"/>
        <v>0</v>
      </c>
      <c r="J15" s="30" t="str">
        <f>IF(ISBLANK('9.1.1.1-2 Refrigerant use'!D42), "", "t CO2e")</f>
        <v/>
      </c>
      <c r="K15" s="17"/>
    </row>
    <row r="16" spans="1:11" ht="20.100000000000001" customHeight="1" x14ac:dyDescent="0.25">
      <c r="C16" s="17"/>
      <c r="D16" s="1"/>
      <c r="E16" s="59">
        <f>VEERG_9_1_1__1_RefrigerantLeaking_Result_Blend8_Value_Method1</f>
        <v>0</v>
      </c>
      <c r="F16" s="59">
        <f t="shared" si="0"/>
        <v>0</v>
      </c>
      <c r="G16" s="30" t="str">
        <f>IF(ISBLANK('9.1.1.1-2 Refrigerant use'!D43), "", "t " &amp; '9.1.1.1-2 Refrigerant use'!D43)</f>
        <v/>
      </c>
      <c r="H16" s="59">
        <f>INDEX(Table_E_CO2e,9,4)</f>
        <v>0</v>
      </c>
      <c r="I16" s="59">
        <f t="shared" si="1"/>
        <v>0</v>
      </c>
      <c r="J16" s="30" t="str">
        <f>IF(ISBLANK('9.1.1.1-2 Refrigerant use'!D43), "", "t CO2e")</f>
        <v/>
      </c>
      <c r="K16" s="17"/>
    </row>
    <row r="17" spans="1:11" ht="20.100000000000001" customHeight="1" x14ac:dyDescent="0.25">
      <c r="C17" s="17"/>
      <c r="D17" s="1"/>
      <c r="E17" s="59">
        <f>VEERG_9_1_1__1_RefrigerantLeaking_Result_Blend9_Value_Method1</f>
        <v>0</v>
      </c>
      <c r="F17" s="59">
        <f t="shared" si="0"/>
        <v>0</v>
      </c>
      <c r="G17" s="30" t="str">
        <f>IF(ISBLANK('9.1.1.1-2 Refrigerant use'!D44), "", "t " &amp; '9.1.1.1-2 Refrigerant use'!D44)</f>
        <v/>
      </c>
      <c r="H17" s="59">
        <f>INDEX(Table_E_CO2e,10,4)</f>
        <v>0</v>
      </c>
      <c r="I17" s="59">
        <f t="shared" si="1"/>
        <v>0</v>
      </c>
      <c r="J17" s="30" t="str">
        <f>IF(ISBLANK('9.1.1.1-2 Refrigerant use'!D44), "", "t CO2e")</f>
        <v/>
      </c>
      <c r="K17" s="17"/>
    </row>
    <row r="18" spans="1:11" ht="20.100000000000001" customHeight="1" x14ac:dyDescent="0.25">
      <c r="C18" s="17"/>
      <c r="D18" s="1"/>
      <c r="E18" s="59">
        <f>VEERG_9_1_1__1_RefrigerantLeaking_Result_Blend10_Value_Method1</f>
        <v>0</v>
      </c>
      <c r="F18" s="59">
        <f t="shared" si="0"/>
        <v>0</v>
      </c>
      <c r="G18" s="30" t="str">
        <f>IF(ISBLANK('9.1.1.1-2 Refrigerant use'!D45), "", "t " &amp; '9.1.1.1-2 Refrigerant use'!D45)</f>
        <v/>
      </c>
      <c r="H18" s="59">
        <f>INDEX(Table_E_CO2e,11,4)</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L17" sqref="L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s="82" t="s">
        <v>94</v>
      </c>
      <c r="E10" s="27" t="s">
        <v>95</v>
      </c>
      <c r="F10" s="27" t="s">
        <v>96</v>
      </c>
      <c r="G10" s="70">
        <v>10</v>
      </c>
      <c r="H10" s="70">
        <v>5</v>
      </c>
    </row>
    <row r="11" spans="1:9" ht="20.100000000000001" customHeight="1" x14ac:dyDescent="0.25">
      <c r="A11" s="13" t="str">
        <f>HYPERLINK("#'9.1.1.1-2 Refrigerant use'!A1", "9.1.1.1-2 Refrigerant use")</f>
        <v>9.1.1.1-2 Refrigerant use</v>
      </c>
      <c r="D11" s="82" t="s">
        <v>145</v>
      </c>
      <c r="E11" s="27" t="s">
        <v>132</v>
      </c>
      <c r="F11" s="27" t="s">
        <v>97</v>
      </c>
      <c r="G11" s="70">
        <v>10</v>
      </c>
      <c r="H11" s="70">
        <v>5</v>
      </c>
    </row>
    <row r="12" spans="1:9" ht="20.100000000000001" customHeight="1" x14ac:dyDescent="0.25">
      <c r="A12" s="13"/>
      <c r="D12" s="82" t="s">
        <v>98</v>
      </c>
      <c r="E12" s="27" t="s">
        <v>99</v>
      </c>
      <c r="F12" s="27" t="s">
        <v>100</v>
      </c>
      <c r="G12" s="70">
        <v>10</v>
      </c>
      <c r="H12" s="70">
        <v>13</v>
      </c>
    </row>
    <row r="13" spans="1:9" ht="20.100000000000001" customHeight="1" x14ac:dyDescent="0.25">
      <c r="A13" s="14" t="s">
        <v>2</v>
      </c>
      <c r="D13" s="82" t="s">
        <v>146</v>
      </c>
      <c r="E13" s="27" t="s">
        <v>132</v>
      </c>
      <c r="F13" s="27" t="s">
        <v>100</v>
      </c>
      <c r="G13" s="70">
        <v>10</v>
      </c>
      <c r="H13" s="70">
        <v>10</v>
      </c>
    </row>
    <row r="14" spans="1:9" ht="20.100000000000001" customHeight="1" x14ac:dyDescent="0.25">
      <c r="A14" s="13" t="str">
        <f>HYPERLINK("#'Constants - Refrigerants'!A1", "Constants - Refrigerants")</f>
        <v>Constants - Refrigerants</v>
      </c>
      <c r="D14" s="82" t="s">
        <v>147</v>
      </c>
      <c r="E14" s="27" t="s">
        <v>137</v>
      </c>
      <c r="F14" s="27" t="s">
        <v>148</v>
      </c>
      <c r="G14" s="70">
        <v>10</v>
      </c>
      <c r="H14" s="70">
        <v>10</v>
      </c>
    </row>
    <row r="15" spans="1:9" ht="20.100000000000001" customHeight="1" x14ac:dyDescent="0.25">
      <c r="A15" s="13" t="str">
        <f>HYPERLINK("#'Constants - Common'!A1", "Constants - Common")</f>
        <v>Constants - Common</v>
      </c>
      <c r="D15" s="82"/>
      <c r="E15" s="80"/>
      <c r="F15" s="80"/>
      <c r="G15" s="81"/>
      <c r="H15" s="81"/>
    </row>
    <row r="16" spans="1:9" ht="20.100000000000001" customHeight="1" x14ac:dyDescent="0.25">
      <c r="D16" s="82"/>
      <c r="E16" s="80"/>
      <c r="F16" s="80"/>
      <c r="G16" s="81"/>
      <c r="H16" s="81"/>
    </row>
    <row r="17" spans="1:8" ht="20.100000000000001" customHeight="1" x14ac:dyDescent="0.25">
      <c r="D17" s="82"/>
      <c r="E17" s="80"/>
      <c r="F17" s="80"/>
      <c r="G17" s="81"/>
      <c r="H17" s="81"/>
    </row>
    <row r="18" spans="1:8" ht="20.100000000000001" customHeight="1" x14ac:dyDescent="0.25">
      <c r="D18" s="82"/>
      <c r="E18" s="80"/>
      <c r="F18" s="80"/>
      <c r="G18" s="81"/>
      <c r="H18" s="81"/>
    </row>
    <row r="19" spans="1:8" ht="20.100000000000001" customHeight="1" x14ac:dyDescent="0.25">
      <c r="D19" s="82"/>
      <c r="E19" s="80"/>
      <c r="F19" s="80"/>
      <c r="G19" s="81"/>
      <c r="H19" s="81"/>
    </row>
    <row r="20" spans="1:8" ht="20.100000000000001" customHeight="1" x14ac:dyDescent="0.25">
      <c r="A20" s="13"/>
    </row>
    <row r="21" spans="1:8" ht="20.100000000000001" customHeight="1" x14ac:dyDescent="0.25">
      <c r="A21" s="13"/>
    </row>
    <row r="22" spans="1:8" ht="20.100000000000001" customHeight="1" x14ac:dyDescent="0.25"/>
    <row r="23" spans="1:8" ht="20.100000000000001" customHeight="1" x14ac:dyDescent="0.25">
      <c r="A23" s="13"/>
    </row>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c r="A29" s="13"/>
    </row>
    <row r="30" spans="1:8" ht="20.100000000000001" customHeight="1" x14ac:dyDescent="0.25">
      <c r="A30" s="13"/>
    </row>
    <row r="31" spans="1:8" ht="20.100000000000001" customHeight="1" x14ac:dyDescent="0.25">
      <c r="A31" s="32"/>
    </row>
    <row r="32" spans="1:8"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47" priority="62" operator="lessThan">
      <formula>0</formula>
    </cfRule>
  </conditionalFormatting>
  <conditionalFormatting sqref="F128:F129">
    <cfRule type="cellIs" dxfId="46" priority="21" operator="lessThan">
      <formula>0</formula>
    </cfRule>
  </conditionalFormatting>
  <conditionalFormatting sqref="F140:F141">
    <cfRule type="cellIs" dxfId="45" priority="20" operator="lessThan">
      <formula>0</formula>
    </cfRule>
  </conditionalFormatting>
  <conditionalFormatting sqref="F152:F153">
    <cfRule type="cellIs" dxfId="44" priority="19" operator="lessThan">
      <formula>0</formula>
    </cfRule>
  </conditionalFormatting>
  <conditionalFormatting sqref="F164:F165">
    <cfRule type="cellIs" dxfId="43" priority="18" operator="lessThan">
      <formula>0</formula>
    </cfRule>
  </conditionalFormatting>
  <conditionalFormatting sqref="F252:F253">
    <cfRule type="cellIs" dxfId="42" priority="93" operator="lessThan">
      <formula>0</formula>
    </cfRule>
  </conditionalFormatting>
  <conditionalFormatting sqref="F257:F258">
    <cfRule type="cellIs" dxfId="41" priority="92" operator="lessThan">
      <formula>0</formula>
    </cfRule>
  </conditionalFormatting>
  <conditionalFormatting sqref="F262:F263">
    <cfRule type="cellIs" dxfId="40" priority="91" operator="lessThan">
      <formula>0</formula>
    </cfRule>
  </conditionalFormatting>
  <conditionalFormatting sqref="F286:F287">
    <cfRule type="cellIs" dxfId="39" priority="85" operator="lessThan">
      <formula>0</formula>
    </cfRule>
  </conditionalFormatting>
  <conditionalFormatting sqref="F291:F292">
    <cfRule type="cellIs" dxfId="38" priority="84" operator="lessThan">
      <formula>0</formula>
    </cfRule>
  </conditionalFormatting>
  <conditionalFormatting sqref="F296:F297">
    <cfRule type="cellIs" dxfId="37" priority="83" operator="lessThan">
      <formula>0</formula>
    </cfRule>
  </conditionalFormatting>
  <conditionalFormatting sqref="H45:H47 E212:G212">
    <cfRule type="cellIs" dxfId="36"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85" zoomScaleNormal="85" workbookViewId="0">
      <selection activeCell="E73" sqref="E73"/>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31">IFERROR(INDEX(Table_Input_Refrigerant[Refrigeration unit name], _xlfn.SEQUENCE(10)),"")</f>
        <v>Cool room</v>
      </c>
      <c r="E22" s="29" t="str" cm="1">
        <f t="array" ref="E22:E31">IFERROR(INDEX(Table_Input_Refrigerant[Appliance type (select)], _xlfn.SEQUENCE(10)),"")</f>
        <v>Domestic refrigerators</v>
      </c>
      <c r="F22" s="29" t="str" cm="1">
        <f t="array" ref="F22:F31">IFERROR(INDEX(Table_Input_Refrigerant[Refrigerant used (select)], _xlfn.SEQUENCE(10)),"")</f>
        <v>R-402A</v>
      </c>
      <c r="G22" s="29" cm="1">
        <f t="array" ref="G22:G31">IFERROR(INDEX(Table_Input_Refrigerant[Unit refrigerant gas capacity (kg)], _xlfn.SEQUENCE(10)),0)</f>
        <v>10</v>
      </c>
      <c r="H22" s="29" cm="1">
        <f t="array" ref="H22:H31">IFERROR(INDEX(Table_Input_Refrigerant[Number of units in use], _xlfn.SEQUENCE(10)),0)</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6">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6">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6">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6">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6">
        <f t="shared" si="1"/>
        <v>1.5699999999999999E-2</v>
      </c>
    </row>
    <row r="27" spans="1:12" ht="20.100000000000001" customHeight="1" x14ac:dyDescent="0.25">
      <c r="D27" s="29">
        <v>0</v>
      </c>
      <c r="E27" s="29">
        <v>0</v>
      </c>
      <c r="F27" s="29">
        <v>0</v>
      </c>
      <c r="G27" s="29">
        <v>0</v>
      </c>
      <c r="H27" s="29">
        <v>0</v>
      </c>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6">
        <f t="shared" si="1"/>
        <v>0</v>
      </c>
    </row>
    <row r="28" spans="1:12" ht="20.100000000000001" customHeight="1" x14ac:dyDescent="0.25">
      <c r="D28" s="29">
        <v>0</v>
      </c>
      <c r="E28" s="29">
        <v>0</v>
      </c>
      <c r="F28" s="29">
        <v>0</v>
      </c>
      <c r="G28" s="29">
        <v>0</v>
      </c>
      <c r="H28" s="29">
        <v>0</v>
      </c>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6">
        <f t="shared" si="1"/>
        <v>0</v>
      </c>
    </row>
    <row r="29" spans="1:12" ht="20.100000000000001" customHeight="1" x14ac:dyDescent="0.25">
      <c r="D29" s="29">
        <v>0</v>
      </c>
      <c r="E29" s="29">
        <v>0</v>
      </c>
      <c r="F29" s="29">
        <v>0</v>
      </c>
      <c r="G29" s="29">
        <v>0</v>
      </c>
      <c r="H29" s="29">
        <v>0</v>
      </c>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6">
        <f t="shared" si="1"/>
        <v>0</v>
      </c>
    </row>
    <row r="30" spans="1:12" ht="20.100000000000001" customHeight="1" x14ac:dyDescent="0.25">
      <c r="D30" s="29">
        <v>0</v>
      </c>
      <c r="E30" s="29">
        <v>0</v>
      </c>
      <c r="F30" s="29">
        <v>0</v>
      </c>
      <c r="G30" s="29">
        <v>0</v>
      </c>
      <c r="H30" s="29">
        <v>0</v>
      </c>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6">
        <f t="shared" si="1"/>
        <v>0</v>
      </c>
    </row>
    <row r="31" spans="1:12" ht="20.100000000000001" customHeight="1" x14ac:dyDescent="0.25">
      <c r="D31" s="29">
        <v>0</v>
      </c>
      <c r="E31" s="29">
        <v>0</v>
      </c>
      <c r="F31" s="29">
        <v>0</v>
      </c>
      <c r="G31" s="29">
        <v>0</v>
      </c>
      <c r="H31" s="29">
        <v>0</v>
      </c>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6">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 * (F22:F31&lt;&gt;0)))</f>
        <v>R-402A</v>
      </c>
      <c r="E36" s="29">
        <f t="shared" ref="E36:E45" si="2">SUMIF($F$22:$F$31,D36,$L$22:$L$31)</f>
        <v>8.5000000000000006E-4</v>
      </c>
      <c r="H36" s="71"/>
      <c r="I36" s="71"/>
      <c r="K36" s="71"/>
      <c r="L36" s="71"/>
    </row>
    <row r="37" spans="1:13" ht="20.100000000000001" customHeight="1" x14ac:dyDescent="0.25">
      <c r="D37" s="29" t="str">
        <v>R-422B</v>
      </c>
      <c r="E37" s="29">
        <f t="shared" si="2"/>
        <v>1.7500000000000003E-3</v>
      </c>
      <c r="H37" s="71"/>
      <c r="I37" s="71"/>
      <c r="K37" s="71"/>
      <c r="L37" s="71"/>
    </row>
    <row r="38" spans="1:13" ht="20.100000000000001" customHeight="1" x14ac:dyDescent="0.25">
      <c r="D38" s="29" t="str">
        <v>R-400 60/40</v>
      </c>
      <c r="E38" s="29">
        <f t="shared" si="2"/>
        <v>1.2210000000000002E-2</v>
      </c>
      <c r="H38" s="71"/>
      <c r="I38" s="71"/>
      <c r="K38" s="71"/>
      <c r="L38" s="71"/>
    </row>
    <row r="39" spans="1:13" ht="20.100000000000001" customHeight="1" x14ac:dyDescent="0.25">
      <c r="D39" s="29" t="str">
        <v>R-504</v>
      </c>
      <c r="E39" s="29">
        <f t="shared" si="2"/>
        <v>1.5699999999999999E-2</v>
      </c>
      <c r="H39" s="71"/>
      <c r="I39" s="71"/>
    </row>
    <row r="40" spans="1:13" ht="20.100000000000001" customHeight="1" x14ac:dyDescent="0.25">
      <c r="D40" s="29"/>
      <c r="E40" s="29">
        <f t="shared" si="2"/>
        <v>0</v>
      </c>
      <c r="H40" s="71"/>
      <c r="I40" s="71"/>
    </row>
    <row r="41" spans="1:13" ht="20.100000000000001" customHeight="1" x14ac:dyDescent="0.25">
      <c r="D41" s="29"/>
      <c r="E41" s="29">
        <f t="shared" si="2"/>
        <v>0</v>
      </c>
      <c r="H41" s="71"/>
      <c r="I41" s="71"/>
    </row>
    <row r="42" spans="1:13" ht="20.100000000000001" customHeight="1" x14ac:dyDescent="0.25">
      <c r="D42" s="29"/>
      <c r="E42" s="29">
        <f t="shared" si="2"/>
        <v>0</v>
      </c>
      <c r="H42" s="71"/>
      <c r="I42" s="71"/>
    </row>
    <row r="43" spans="1:13" ht="20.100000000000001" customHeight="1" x14ac:dyDescent="0.25">
      <c r="D43" s="29"/>
      <c r="E43" s="29">
        <f t="shared" si="2"/>
        <v>0</v>
      </c>
      <c r="H43" s="71"/>
      <c r="I43" s="71"/>
    </row>
    <row r="44" spans="1:13" ht="20.100000000000001" customHeight="1" x14ac:dyDescent="0.25">
      <c r="D44" s="29"/>
      <c r="E44" s="29">
        <f t="shared" si="2"/>
        <v>0</v>
      </c>
      <c r="H44" s="71"/>
      <c r="I44" s="71"/>
    </row>
    <row r="45" spans="1:13" ht="20.100000000000001" customHeight="1" x14ac:dyDescent="0.25">
      <c r="D45" s="29"/>
      <c r="E45" s="29">
        <f t="shared" si="2"/>
        <v>0</v>
      </c>
      <c r="H45" s="71"/>
      <c r="I45" s="71"/>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7" t="s">
        <v>138</v>
      </c>
      <c r="E73" s="78">
        <f>SUM(G62:G71)</f>
        <v>108.05338346960002</v>
      </c>
      <c r="F73" s="7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O106" sqref="O10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67"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9"/>
      <c r="F106" s="67"/>
      <c r="G106" s="68"/>
      <c r="H106" s="68"/>
      <c r="I106" s="68"/>
      <c r="J106" s="68"/>
      <c r="K106" s="68"/>
      <c r="L106" s="68"/>
      <c r="M106" s="68"/>
      <c r="N106" s="69"/>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35E46-35E8-4F6D-964D-A373358DD24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MQ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IAZQBmAHIAaQBnAGUAcgBhAG4AdABzAF8ASQBuAHAAdQB0AEYAdQBuAGMAdABpAG8AbgBzACIALAAiAHQAZQB4AHQAIgA6ACIAUgBlAGYAcgBpAGcAZQByAGEAbgB0AHMAXwBDAGEAbABjAHUAbABhAHQAZQBCAGwAZQBuAGQARwBXAFAAXABuAD0ATABBAE0AQgBEAEEAKABcAG4AIAAgAEMAbwBuAHMAdABpAHQAdQBlAG4AdABGAGEAYwB0AGkAbwBuADEALAAgAEMAbwBuAHMAdABpAHQAdQBlAG4AdABHAFcAUAAxACwAIABcAG4AIAAgAEMAbwBuAHMAdABpAHQAdQBlAG4AdABGAGEAYwB0AGkAbwBuADIALAAgAEMAbwBuAHMAdABpAHQAdQBlAG4AdABHAFcAUAAyACwAIABcAG4AIAAgAEMAbwBuAHMAdABpAHQAdQBlAG4AdABGAGEAYwB0AGkAbwBuADMALAAgAEMAbwBuAHMAdABpAHQAdQBlAG4AdABHAFcAUAAzACwAIABcAG4AIAAgAEMAbwBuAHMAdABpAHQAdQBlAG4AdABGAGEAYwB0AGkAbwBuADQALAAgAEMAbwBuAHMAdABpAHQAdQBlAG4AdABHAFcAUAA0ACwAXABuACAAIAAoAEMAbwBuAHMAdABpAHQAdQBlAG4AdABGAGEAYwB0AGkAbwBuADEAIAAqACAAQwBvAG4AcwB0AGkAdAB1AGUAbgB0AEcAVwBQADEAKQAgACsAXABuACAAIAAoAEMAbwBuAHMAdABpAHQAdQBlAG4AdABGAGEAYwB0AGkAbwBuADIAIAAqACAAQwBvAG4AcwB0AGkAdAB1AGUAbgB0AEcAVwBQADIAKQAgACsAXABuACAAIAAoAEMAbwBuAHMAdABpAHQAdQBlAG4AdABGAGEAYwB0AGkAbwBuADMAIAAqACAAQwBvAG4AcwB0AGkAdAB1AGUAbgB0AEcAVwBQADMAKQAgACsAXABuACAAIAAoAEMAbwBuAHMAdABpAHQAdQBlAG4AdABGAGEAYwB0AGkAbwBuADQAIAAqACAAQwBvAG4AcwB0AGkAdAB1AGUAbgB0AEcAVwBQADQ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TABhAHQAZQB4AEUAcQB1AGEAdABpAG8AbgAiACwAIgBGAHUAZQBsAF8ARQBxAHUAYQB0AGkAbwBuAHMALgBWAEUARQBSAEcAXwA4AF8AWABfAEYAdQBlAGwAQwBvAG0AYgB1AHMAdABpAG8AbgBHAGUAbgBlAHIAaQBjAF8AQQByAGcAdQBtAGUAbgB0AHMAIgAsACIARgB1AGUAbABfAEUAcQB1AGEAdABpAG8AbgBzAC4AVgBFAEUAUgBHAF8AOABfAFgAXwBGAHUAZQBsAEMAbwBtAGIAdQBzAHQAaQBvAG4ARwBlAG4AZQByAGkAYwBfAFYAYQByAGkAYQB0AGkAbwBu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