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D5229E7-46BD-4C4E-843F-030F0D4C7033}" xr6:coauthVersionLast="47" xr6:coauthVersionMax="47" xr10:uidLastSave="{00000000-0000-0000-0000-000000000000}"/>
  <bookViews>
    <workbookView xWindow="1950" yWindow="1950" windowWidth="28800" windowHeight="15345" firstSheet="2" activeTab="6" xr2:uid="{992023F3-CAB7-4E5B-A348-08D563A0EF40}"/>
  </bookViews>
  <sheets>
    <sheet name="Home" sheetId="71" r:id="rId1"/>
    <sheet name="Overview" sheetId="118" r:id="rId2"/>
    <sheet name="Results" sheetId="13" r:id="rId3"/>
    <sheet name="Input - Refrigerants" sheetId="70" r:id="rId4"/>
    <sheet name="9.1.1.1-2 Refrigerant use" sheetId="69" r:id="rId5"/>
    <sheet name="Constants - Refrigerants" sheetId="110" r:id="rId6"/>
    <sheet name="Constants - Common" sheetId="122"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Table_E_CO2e">'9.1.1.1-2 Refrigerant use'!$D$61:$G$71</definedName>
    <definedName name="Table_E_R">'9.1.1.1-2 Refrigerant use'!$D$35:$E$39</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2" l="1" a="1"/>
  <c r="E259" i="122" s="1"/>
  <c r="D259" i="122" a="1"/>
  <c r="D259" i="122" s="1"/>
  <c r="E258" i="122" a="1"/>
  <c r="E258" i="122" s="1"/>
  <c r="D258" i="122" a="1"/>
  <c r="D258" i="122" s="1"/>
  <c r="D256" i="122" a="1"/>
  <c r="D256" i="122" s="1"/>
  <c r="D255" i="122" a="1"/>
  <c r="D255" i="122" s="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a="1"/>
  <c r="D211" i="122" s="1"/>
  <c r="E208" i="122" a="1"/>
  <c r="E208" i="122" s="1"/>
  <c r="D208" i="122" a="1"/>
  <c r="D208" i="122" s="1"/>
  <c r="E207" i="122" a="1"/>
  <c r="E207" i="122" s="1"/>
  <c r="D207" i="122" a="1"/>
  <c r="D207" i="122" s="1"/>
  <c r="D205" i="122" a="1"/>
  <c r="D205" i="122" s="1"/>
  <c r="D204" i="122"/>
  <c r="D204" i="122" a="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a="1"/>
  <c r="D174" i="122" s="1"/>
  <c r="D173" i="122" a="1"/>
  <c r="D173" i="122" s="1"/>
  <c r="D170" i="122" a="1"/>
  <c r="D170" i="122" s="1"/>
  <c r="D169" i="122" a="1"/>
  <c r="D169" i="122" s="1"/>
  <c r="D168" i="122" a="1"/>
  <c r="D168" i="122" s="1"/>
  <c r="D167" i="122" a="1"/>
  <c r="D167" i="122" s="1"/>
  <c r="D164" i="122" a="1"/>
  <c r="D164" i="122" s="1"/>
  <c r="D163" i="122"/>
  <c r="D163" i="122" a="1"/>
  <c r="D162" i="122" a="1"/>
  <c r="D162" i="122" s="1"/>
  <c r="D161" i="122"/>
  <c r="D161" i="122" a="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a="1"/>
  <c r="D140" i="122" s="1"/>
  <c r="D139" i="122" a="1"/>
  <c r="D139" i="122" s="1"/>
  <c r="E136" i="122" a="1"/>
  <c r="E136" i="122" s="1"/>
  <c r="D136" i="122" a="1"/>
  <c r="D136" i="122" s="1"/>
  <c r="E135" i="122" a="1"/>
  <c r="E135" i="122" s="1"/>
  <c r="D135" i="122" a="1"/>
  <c r="D135" i="122" s="1"/>
  <c r="D133" i="122"/>
  <c r="D133" i="122" a="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a="1"/>
  <c r="D82" i="122" s="1"/>
  <c r="D81" i="122" a="1"/>
  <c r="D81" i="122" s="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A8" i="122"/>
  <c r="F7" i="122" a="1"/>
  <c r="F7" i="122" s="1"/>
  <c r="E7" i="122" a="1"/>
  <c r="E7" i="122" s="1"/>
  <c r="D7" i="122" a="1"/>
  <c r="D7" i="122" s="1"/>
  <c r="A7" i="122"/>
  <c r="D5" i="122" a="1"/>
  <c r="D5" i="122" s="1"/>
  <c r="A3" i="122"/>
  <c r="A8" i="71"/>
  <c r="A7" i="71"/>
  <c r="A3" i="71"/>
  <c r="D71" i="69"/>
  <c r="D70" i="69"/>
  <c r="D69" i="69"/>
  <c r="D68" i="69"/>
  <c r="D67" i="69"/>
  <c r="D66" i="69"/>
  <c r="D65" i="69"/>
  <c r="D64" i="69"/>
  <c r="D63" i="69"/>
  <c r="D62" i="69"/>
  <c r="J18" i="13"/>
  <c r="G18" i="13"/>
  <c r="J17" i="13"/>
  <c r="G17" i="13"/>
  <c r="J16" i="13"/>
  <c r="G16" i="13"/>
  <c r="J15" i="13"/>
  <c r="G15" i="13"/>
  <c r="J14" i="13"/>
  <c r="G14" i="13"/>
  <c r="J13" i="13"/>
  <c r="G13" i="13"/>
  <c r="J12" i="13"/>
  <c r="G12" i="13"/>
  <c r="J11" i="13"/>
  <c r="G11" i="13"/>
  <c r="J10" i="13"/>
  <c r="G10" i="13"/>
  <c r="J9" i="13"/>
  <c r="G9" i="13"/>
  <c r="A18" i="110"/>
  <c r="A17" i="110"/>
  <c r="A13" i="110"/>
  <c r="A9" i="110"/>
  <c r="A5" i="110"/>
  <c r="A4" i="110"/>
  <c r="A3" i="110"/>
  <c r="A18" i="69"/>
  <c r="A17" i="69"/>
  <c r="A13" i="69"/>
  <c r="A9" i="69"/>
  <c r="A5" i="69"/>
  <c r="A4" i="69"/>
  <c r="A3" i="69"/>
  <c r="A18" i="70"/>
  <c r="A17" i="70"/>
  <c r="A13" i="70"/>
  <c r="A9" i="70"/>
  <c r="A5" i="70"/>
  <c r="A4" i="70"/>
  <c r="A3" i="70"/>
  <c r="A18" i="13"/>
  <c r="A17" i="13"/>
  <c r="A13" i="13"/>
  <c r="A9" i="13"/>
  <c r="A5" i="13"/>
  <c r="A4" i="13"/>
  <c r="A3" i="13"/>
  <c r="A18" i="118"/>
  <c r="A17" i="118"/>
  <c r="A13" i="118"/>
  <c r="A9" i="118"/>
  <c r="A5" i="118"/>
  <c r="A4" i="118"/>
  <c r="A3" i="118"/>
  <c r="D36" i="69" a="1"/>
  <c r="D36" i="69" s="1"/>
  <c r="F22" i="69" a="1"/>
  <c r="F22" i="69" s="1"/>
  <c r="H22" i="69" a="1"/>
  <c r="H22" i="69" s="1"/>
  <c r="G22" i="69" a="1"/>
  <c r="G22" i="69" s="1"/>
  <c r="E22" i="69" a="1"/>
  <c r="E22" i="69" s="1"/>
  <c r="D22" i="69" a="1"/>
  <c r="D22" i="69" s="1"/>
  <c r="I57" i="69" a="1"/>
  <c r="I57" i="69" s="1"/>
  <c r="I56" i="69" a="1"/>
  <c r="I56" i="69" s="1"/>
  <c r="G14" i="69" a="1"/>
  <c r="G14" i="69" s="1"/>
  <c r="D14" i="69" a="1"/>
  <c r="D14" i="69" s="1"/>
  <c r="G56" i="69" a="1"/>
  <c r="G56" i="69" s="1"/>
  <c r="D56" i="69" a="1"/>
  <c r="D56" i="69" s="1"/>
  <c r="E54" i="69" a="1"/>
  <c r="E54" i="69" s="1"/>
  <c r="F73" i="69" s="1"/>
  <c r="E53" i="69" a="1"/>
  <c r="E53" i="69" s="1"/>
  <c r="D49" i="69" a="1"/>
  <c r="D49" i="69" s="1"/>
  <c r="D7" i="69" a="1"/>
  <c r="D7" i="69" s="1"/>
  <c r="E50" i="69" a="1"/>
  <c r="H51" i="122" l="1"/>
  <c r="H50" i="122"/>
  <c r="H53" i="122"/>
  <c r="H54" i="122"/>
  <c r="H52" i="122"/>
  <c r="H49" i="122"/>
  <c r="H48" i="122"/>
  <c r="E50" i="69"/>
  <c r="I31" i="69" l="1"/>
  <c r="I30" i="69"/>
  <c r="I29" i="69"/>
  <c r="I28" i="69"/>
  <c r="I27" i="69"/>
  <c r="E12" i="69" a="1"/>
  <c r="E12" i="69" s="1"/>
  <c r="E11" i="69" a="1"/>
  <c r="E11" i="69" s="1"/>
  <c r="D6" i="69" a="1"/>
  <c r="D6" i="69" s="1"/>
  <c r="D5" i="69" a="1"/>
  <c r="D5" i="69" s="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F102" i="110" a="1"/>
  <c r="F102" i="110" s="1"/>
  <c r="E102" i="110" a="1"/>
  <c r="E102" i="110" s="1"/>
  <c r="D102" i="110" a="1"/>
  <c r="D102" i="110" s="1"/>
  <c r="D161" i="110" s="1"/>
  <c r="F101" i="110" a="1"/>
  <c r="F101" i="110" s="1"/>
  <c r="E101" i="110" a="1"/>
  <c r="E101" i="110" s="1"/>
  <c r="D101" i="110" a="1"/>
  <c r="D101" i="110" s="1"/>
  <c r="D160" i="110" s="1"/>
  <c r="F100" i="110" a="1"/>
  <c r="F100" i="110" s="1"/>
  <c r="E100" i="110" a="1"/>
  <c r="E100" i="110" s="1"/>
  <c r="D100" i="110" a="1"/>
  <c r="D100" i="110" s="1"/>
  <c r="D159" i="110" s="1"/>
  <c r="F99" i="110" a="1"/>
  <c r="F99" i="110" s="1"/>
  <c r="E99" i="110" a="1"/>
  <c r="E99" i="110" s="1"/>
  <c r="D99" i="110" a="1"/>
  <c r="D99" i="110" s="1"/>
  <c r="D158" i="110" s="1"/>
  <c r="F98" i="110" a="1"/>
  <c r="F98" i="110" s="1"/>
  <c r="E98" i="110" a="1"/>
  <c r="E98" i="110" s="1"/>
  <c r="D98" i="110" a="1"/>
  <c r="D98" i="110" s="1"/>
  <c r="D157" i="110" s="1"/>
  <c r="F97" i="110" a="1"/>
  <c r="F97" i="110" s="1"/>
  <c r="E97" i="110" a="1"/>
  <c r="E97" i="110" s="1"/>
  <c r="H156" i="110" s="1" a="1"/>
  <c r="H156" i="110" s="1"/>
  <c r="D97" i="110" a="1"/>
  <c r="D97" i="110" s="1"/>
  <c r="D156" i="110" s="1"/>
  <c r="F96" i="110" a="1"/>
  <c r="F96" i="110" s="1"/>
  <c r="E96" i="110" a="1"/>
  <c r="E96" i="110" s="1"/>
  <c r="D96" i="110" a="1"/>
  <c r="D96" i="110" s="1"/>
  <c r="D155" i="110" s="1"/>
  <c r="F95" i="110" a="1"/>
  <c r="F95" i="110" s="1"/>
  <c r="E95" i="110" a="1"/>
  <c r="E95" i="110" s="1"/>
  <c r="D95" i="110" a="1"/>
  <c r="D95" i="110" s="1"/>
  <c r="D154" i="110" s="1"/>
  <c r="F94" i="110" a="1"/>
  <c r="F94" i="110" s="1"/>
  <c r="E94" i="110" a="1"/>
  <c r="E94" i="110" s="1"/>
  <c r="D94" i="110" a="1"/>
  <c r="D94" i="110" s="1"/>
  <c r="D153" i="110" s="1"/>
  <c r="F93" i="110" a="1"/>
  <c r="F93" i="110" s="1"/>
  <c r="E93" i="110" a="1"/>
  <c r="E93" i="110" s="1"/>
  <c r="D93" i="110" a="1"/>
  <c r="D93" i="110" s="1"/>
  <c r="D152" i="110" s="1"/>
  <c r="F92" i="110" a="1"/>
  <c r="F92" i="110" s="1"/>
  <c r="E92" i="110" a="1"/>
  <c r="E92" i="110" s="1"/>
  <c r="D92" i="110" a="1"/>
  <c r="D92" i="110" s="1"/>
  <c r="D151" i="110" s="1"/>
  <c r="F91" i="110" a="1"/>
  <c r="F91" i="110" s="1"/>
  <c r="E91" i="110" a="1"/>
  <c r="E91" i="110" s="1"/>
  <c r="D91" i="110" a="1"/>
  <c r="D91" i="110" s="1"/>
  <c r="D150" i="110" s="1"/>
  <c r="F90" i="110" a="1"/>
  <c r="F90" i="110" s="1"/>
  <c r="E90" i="110" a="1"/>
  <c r="E90" i="110" s="1"/>
  <c r="D90" i="110" a="1"/>
  <c r="D90" i="110" s="1"/>
  <c r="D149" i="110" s="1"/>
  <c r="F89" i="110" a="1"/>
  <c r="F89" i="110" s="1"/>
  <c r="E89" i="110" a="1"/>
  <c r="E89" i="110" s="1"/>
  <c r="D89" i="110" a="1"/>
  <c r="D89" i="110" s="1"/>
  <c r="D148" i="110" s="1"/>
  <c r="F88" i="110" a="1"/>
  <c r="F88" i="110" s="1"/>
  <c r="E88" i="110" a="1"/>
  <c r="E88" i="110" s="1"/>
  <c r="D88" i="110" a="1"/>
  <c r="D88" i="110" s="1"/>
  <c r="D147" i="110" s="1"/>
  <c r="F87" i="110" a="1"/>
  <c r="F87" i="110" s="1"/>
  <c r="E87" i="110" a="1"/>
  <c r="E87" i="110" s="1"/>
  <c r="D87" i="110" a="1"/>
  <c r="D87" i="110" s="1"/>
  <c r="D146" i="110" s="1"/>
  <c r="F86" i="110" a="1"/>
  <c r="F86" i="110" s="1"/>
  <c r="E86" i="110" a="1"/>
  <c r="E86" i="110" s="1"/>
  <c r="D86" i="110" a="1"/>
  <c r="D86" i="110" s="1"/>
  <c r="D145" i="110" s="1"/>
  <c r="F85" i="110" a="1"/>
  <c r="F85" i="110" s="1"/>
  <c r="E85" i="110" a="1"/>
  <c r="E85" i="110" s="1"/>
  <c r="D85" i="110" a="1"/>
  <c r="D85" i="110" s="1"/>
  <c r="D144" i="110" s="1"/>
  <c r="F84" i="110" a="1"/>
  <c r="F84" i="110" s="1"/>
  <c r="E84" i="110" a="1"/>
  <c r="E84" i="110" s="1"/>
  <c r="D84" i="110" a="1"/>
  <c r="D84" i="110" s="1"/>
  <c r="D143" i="110" s="1"/>
  <c r="F83" i="110" a="1"/>
  <c r="F83" i="110" s="1"/>
  <c r="E83" i="110" a="1"/>
  <c r="E83" i="110" s="1"/>
  <c r="D83" i="110" a="1"/>
  <c r="D83" i="110" s="1"/>
  <c r="D142" i="110" s="1"/>
  <c r="F82" i="110" a="1"/>
  <c r="F82" i="110" s="1"/>
  <c r="E82" i="110" a="1"/>
  <c r="E82" i="110" s="1"/>
  <c r="D82" i="110" a="1"/>
  <c r="D82" i="110" s="1"/>
  <c r="D141" i="110" s="1"/>
  <c r="F81" i="110" a="1"/>
  <c r="F81" i="110" s="1"/>
  <c r="E81" i="110" a="1"/>
  <c r="E81" i="110" s="1"/>
  <c r="D81" i="110" a="1"/>
  <c r="D81" i="110" s="1"/>
  <c r="D140" i="110" s="1"/>
  <c r="F80" i="110" a="1"/>
  <c r="F80" i="110" s="1"/>
  <c r="E80" i="110" a="1"/>
  <c r="E80" i="110" s="1"/>
  <c r="D80" i="110" a="1"/>
  <c r="D80" i="110" s="1"/>
  <c r="D139" i="110" s="1"/>
  <c r="F79" i="110" a="1"/>
  <c r="F79" i="110" s="1"/>
  <c r="E79" i="110" a="1"/>
  <c r="E79" i="110" s="1"/>
  <c r="D79" i="110" a="1"/>
  <c r="D79" i="110" s="1"/>
  <c r="D138" i="110" s="1"/>
  <c r="F78" i="110" a="1"/>
  <c r="F78" i="110" s="1"/>
  <c r="E78" i="110" a="1"/>
  <c r="E78" i="110" s="1"/>
  <c r="D78" i="110" a="1"/>
  <c r="D78" i="110" s="1"/>
  <c r="D137" i="110" s="1"/>
  <c r="F77" i="110" a="1"/>
  <c r="F77" i="110" s="1"/>
  <c r="E77" i="110" a="1"/>
  <c r="E77" i="110" s="1"/>
  <c r="D77" i="110" a="1"/>
  <c r="D77" i="110" s="1"/>
  <c r="D136" i="110" s="1"/>
  <c r="F76" i="110" a="1"/>
  <c r="F76" i="110" s="1"/>
  <c r="E76" i="110" a="1"/>
  <c r="E76" i="110" s="1"/>
  <c r="D76" i="110" a="1"/>
  <c r="D76" i="110" s="1"/>
  <c r="D135" i="110" s="1"/>
  <c r="F75" i="110" a="1"/>
  <c r="F75" i="110" s="1"/>
  <c r="E75" i="110" a="1"/>
  <c r="E75" i="110" s="1"/>
  <c r="D75" i="110" a="1"/>
  <c r="D75" i="110" s="1"/>
  <c r="D134" i="110" s="1"/>
  <c r="F74" i="110" a="1"/>
  <c r="F74" i="110" s="1"/>
  <c r="E74" i="110" a="1"/>
  <c r="E74" i="110" s="1"/>
  <c r="D74" i="110" a="1"/>
  <c r="D74" i="110" s="1"/>
  <c r="D133" i="110" s="1"/>
  <c r="F73" i="110" a="1"/>
  <c r="F73" i="110" s="1"/>
  <c r="E73" i="110" a="1"/>
  <c r="E73" i="110" s="1"/>
  <c r="D73" i="110" a="1"/>
  <c r="D73" i="110" s="1"/>
  <c r="D132" i="110" s="1"/>
  <c r="F72" i="110" a="1"/>
  <c r="F72" i="110" s="1"/>
  <c r="E72" i="110" a="1"/>
  <c r="E72" i="110" s="1"/>
  <c r="D72" i="110" a="1"/>
  <c r="D72" i="110" s="1"/>
  <c r="D131" i="110" s="1"/>
  <c r="F71" i="110" a="1"/>
  <c r="F71" i="110" s="1"/>
  <c r="E71" i="110" a="1"/>
  <c r="E71" i="110" s="1"/>
  <c r="D71" i="110" a="1"/>
  <c r="D71" i="110" s="1"/>
  <c r="D130" i="110" s="1"/>
  <c r="F70" i="110" a="1"/>
  <c r="F70" i="110" s="1"/>
  <c r="E70" i="110" a="1"/>
  <c r="E70" i="110" s="1"/>
  <c r="D70" i="110" a="1"/>
  <c r="D70" i="110" s="1"/>
  <c r="D129" i="110" s="1"/>
  <c r="F69" i="110" a="1"/>
  <c r="F69" i="110" s="1"/>
  <c r="E69" i="110" a="1"/>
  <c r="E69" i="110" s="1"/>
  <c r="D69" i="110" a="1"/>
  <c r="D69" i="110" s="1"/>
  <c r="D128" i="110" s="1"/>
  <c r="F68" i="110" a="1"/>
  <c r="F68" i="110" s="1"/>
  <c r="E68" i="110" a="1"/>
  <c r="E68" i="110" s="1"/>
  <c r="D68" i="110" a="1"/>
  <c r="D68" i="110" s="1"/>
  <c r="D127" i="110" s="1"/>
  <c r="F67" i="110" a="1"/>
  <c r="F67" i="110" s="1"/>
  <c r="E67" i="110" a="1"/>
  <c r="E67" i="110" s="1"/>
  <c r="D67" i="110" a="1"/>
  <c r="D67" i="110" s="1"/>
  <c r="D126" i="110" s="1"/>
  <c r="F66" i="110" a="1"/>
  <c r="F66" i="110" s="1"/>
  <c r="E66" i="110" a="1"/>
  <c r="E66" i="110" s="1"/>
  <c r="D66" i="110" a="1"/>
  <c r="D66" i="110" s="1"/>
  <c r="D125" i="110" s="1"/>
  <c r="F65" i="110" a="1"/>
  <c r="F65" i="110" s="1"/>
  <c r="E65" i="110" a="1"/>
  <c r="E65" i="110" s="1"/>
  <c r="D65" i="110" a="1"/>
  <c r="D65" i="110" s="1"/>
  <c r="D124" i="110" s="1"/>
  <c r="F64" i="110" a="1"/>
  <c r="F64" i="110" s="1"/>
  <c r="E64" i="110" a="1"/>
  <c r="E64" i="110" s="1"/>
  <c r="D64" i="110" a="1"/>
  <c r="D64" i="110" s="1"/>
  <c r="D123" i="110" s="1"/>
  <c r="F63" i="110" a="1"/>
  <c r="F63" i="110" s="1"/>
  <c r="E63" i="110" a="1"/>
  <c r="E63" i="110" s="1"/>
  <c r="D63" i="110" a="1"/>
  <c r="D63" i="110" s="1"/>
  <c r="D122" i="110" s="1"/>
  <c r="F62" i="110" a="1"/>
  <c r="F62" i="110" s="1"/>
  <c r="E62" i="110" a="1"/>
  <c r="E62" i="110" s="1"/>
  <c r="D62" i="110" a="1"/>
  <c r="D62" i="110" s="1"/>
  <c r="D121" i="110" s="1"/>
  <c r="F61" i="110" a="1"/>
  <c r="F61" i="110" s="1"/>
  <c r="E61" i="110" a="1"/>
  <c r="E61" i="110" s="1"/>
  <c r="D61" i="110" a="1"/>
  <c r="D61" i="110" s="1"/>
  <c r="D120" i="110" s="1"/>
  <c r="F60" i="110" a="1"/>
  <c r="F60" i="110" s="1"/>
  <c r="E60" i="110" a="1"/>
  <c r="E60" i="110" s="1"/>
  <c r="D60" i="110" a="1"/>
  <c r="D60" i="110" s="1"/>
  <c r="D119" i="110" s="1"/>
  <c r="F59" i="110" a="1"/>
  <c r="F59" i="110" s="1"/>
  <c r="E59" i="110" a="1"/>
  <c r="E59" i="110" s="1"/>
  <c r="D59" i="110" a="1"/>
  <c r="D59" i="110" s="1"/>
  <c r="D118" i="110" s="1"/>
  <c r="F58" i="110" a="1"/>
  <c r="F58" i="110" s="1"/>
  <c r="E58" i="110" a="1"/>
  <c r="E58" i="110" s="1"/>
  <c r="D58" i="110" a="1"/>
  <c r="D58" i="110" s="1"/>
  <c r="D117" i="110" s="1"/>
  <c r="F57" i="110" a="1"/>
  <c r="F57" i="110" s="1"/>
  <c r="E57" i="110" a="1"/>
  <c r="E57" i="110" s="1"/>
  <c r="D57" i="110" a="1"/>
  <c r="D57" i="110" s="1"/>
  <c r="D116" i="110" s="1"/>
  <c r="F56" i="110" a="1"/>
  <c r="F56" i="110" s="1"/>
  <c r="E56" i="110" a="1"/>
  <c r="E56" i="110" s="1"/>
  <c r="D56" i="110" a="1"/>
  <c r="D56" i="110" s="1"/>
  <c r="D115" i="110" s="1"/>
  <c r="F55" i="110" a="1"/>
  <c r="F55" i="110" s="1"/>
  <c r="E55" i="110" a="1"/>
  <c r="E55" i="110" s="1"/>
  <c r="D55" i="110" a="1"/>
  <c r="D55" i="110" s="1"/>
  <c r="D114" i="110" s="1"/>
  <c r="F54" i="110" a="1"/>
  <c r="F54" i="110" s="1"/>
  <c r="E54" i="110" a="1"/>
  <c r="E54" i="110" s="1"/>
  <c r="D54" i="110" a="1"/>
  <c r="D54" i="110" s="1"/>
  <c r="D113" i="110" s="1"/>
  <c r="F53" i="110" a="1"/>
  <c r="F53" i="110" s="1"/>
  <c r="E53" i="110" a="1"/>
  <c r="E53" i="110" s="1"/>
  <c r="D53" i="110" a="1"/>
  <c r="D53" i="110" s="1"/>
  <c r="D51" i="110" a="1"/>
  <c r="D51" i="110" s="1"/>
  <c r="D50" i="110" a="1"/>
  <c r="D50" i="110" s="1"/>
  <c r="D49" i="110" a="1"/>
  <c r="D49" i="110" s="1"/>
  <c r="D108" i="110" s="1"/>
  <c r="H46" i="110" a="1"/>
  <c r="H46" i="110" s="1"/>
  <c r="G46" i="110" a="1"/>
  <c r="G46" i="110" s="1"/>
  <c r="F46" i="110" a="1"/>
  <c r="F46" i="110" s="1"/>
  <c r="E46" i="110" a="1"/>
  <c r="E46" i="110" s="1"/>
  <c r="D46" i="110" a="1"/>
  <c r="D46" i="110" s="1"/>
  <c r="H45" i="110" a="1"/>
  <c r="H45" i="110" s="1"/>
  <c r="G45" i="110" a="1"/>
  <c r="G45" i="110" s="1"/>
  <c r="F45" i="110" a="1"/>
  <c r="F45" i="110" s="1"/>
  <c r="E45" i="110" a="1"/>
  <c r="E45" i="110" s="1"/>
  <c r="D45" i="110" a="1"/>
  <c r="D45" i="110" s="1"/>
  <c r="H44" i="110" a="1"/>
  <c r="H44" i="110" s="1"/>
  <c r="G44" i="110" a="1"/>
  <c r="G44" i="110" s="1"/>
  <c r="F44" i="110" a="1"/>
  <c r="F44" i="110" s="1"/>
  <c r="E44" i="110" a="1"/>
  <c r="E44" i="110" s="1"/>
  <c r="D44" i="110" a="1"/>
  <c r="D44" i="110" s="1"/>
  <c r="H43" i="110" a="1"/>
  <c r="H43" i="110" s="1"/>
  <c r="G43" i="110" a="1"/>
  <c r="G43" i="110" s="1"/>
  <c r="F43" i="110" a="1"/>
  <c r="F43" i="110" s="1"/>
  <c r="E43" i="110" a="1"/>
  <c r="E43" i="110" s="1"/>
  <c r="D43" i="110" a="1"/>
  <c r="D43" i="110" s="1"/>
  <c r="H42" i="110" a="1"/>
  <c r="H42" i="110" s="1"/>
  <c r="G42" i="110" a="1"/>
  <c r="G42" i="110" s="1"/>
  <c r="F42" i="110" a="1"/>
  <c r="F42" i="110" s="1"/>
  <c r="E42" i="110" a="1"/>
  <c r="E42" i="110" s="1"/>
  <c r="D42" i="110" a="1"/>
  <c r="D42" i="110" s="1"/>
  <c r="H41" i="110" a="1"/>
  <c r="H41" i="110" s="1"/>
  <c r="G41" i="110" a="1"/>
  <c r="G41" i="110" s="1"/>
  <c r="F41" i="110" a="1"/>
  <c r="F41" i="110" s="1"/>
  <c r="E41" i="110" a="1"/>
  <c r="E41" i="110" s="1"/>
  <c r="D41" i="110" a="1"/>
  <c r="D41" i="110" s="1"/>
  <c r="H40" i="110" a="1"/>
  <c r="H40" i="110" s="1"/>
  <c r="G40" i="110" a="1"/>
  <c r="G40" i="110" s="1"/>
  <c r="F40" i="110" a="1"/>
  <c r="F40" i="110" s="1"/>
  <c r="E40" i="110" a="1"/>
  <c r="E40" i="110" s="1"/>
  <c r="D40" i="110" a="1"/>
  <c r="D40" i="110" s="1"/>
  <c r="H39" i="110" a="1"/>
  <c r="H39" i="110" s="1"/>
  <c r="G39" i="110" a="1"/>
  <c r="G39" i="110" s="1"/>
  <c r="F39" i="110" a="1"/>
  <c r="F39" i="110" s="1"/>
  <c r="E39" i="110" a="1"/>
  <c r="E39" i="110" s="1"/>
  <c r="D39" i="110" a="1"/>
  <c r="D39" i="110" s="1"/>
  <c r="H38" i="110" a="1"/>
  <c r="H38" i="110" s="1"/>
  <c r="G38" i="110" a="1"/>
  <c r="G38" i="110" s="1"/>
  <c r="F38" i="110" a="1"/>
  <c r="F38" i="110" s="1"/>
  <c r="E38" i="110" a="1"/>
  <c r="E38" i="110" s="1"/>
  <c r="D38" i="110" a="1"/>
  <c r="D38" i="110" s="1"/>
  <c r="H37" i="110" a="1"/>
  <c r="H37" i="110" s="1"/>
  <c r="G37" i="110" a="1"/>
  <c r="G37" i="110" s="1"/>
  <c r="F37" i="110" a="1"/>
  <c r="F37" i="110" s="1"/>
  <c r="E37" i="110" a="1"/>
  <c r="E37" i="110" s="1"/>
  <c r="D37" i="110" a="1"/>
  <c r="D37" i="110" s="1"/>
  <c r="H36" i="110" a="1"/>
  <c r="H36" i="110" s="1"/>
  <c r="G36" i="110" a="1"/>
  <c r="G36" i="110" s="1"/>
  <c r="F36" i="110" a="1"/>
  <c r="F36" i="110" s="1"/>
  <c r="E36" i="110" a="1"/>
  <c r="E36" i="110" s="1"/>
  <c r="D36" i="110" a="1"/>
  <c r="D36" i="110" s="1"/>
  <c r="H35" i="110" a="1"/>
  <c r="H35" i="110" s="1"/>
  <c r="G35" i="110" a="1"/>
  <c r="G35" i="110" s="1"/>
  <c r="F35" i="110" a="1"/>
  <c r="F35" i="110" s="1"/>
  <c r="E35" i="110" a="1"/>
  <c r="E35" i="110" s="1"/>
  <c r="D35" i="110" a="1"/>
  <c r="D35" i="110" s="1"/>
  <c r="H34" i="110" a="1"/>
  <c r="H34" i="110" s="1"/>
  <c r="G34" i="110" a="1"/>
  <c r="G34" i="110" s="1"/>
  <c r="F34" i="110" a="1"/>
  <c r="F34" i="110" s="1"/>
  <c r="E34" i="110" a="1"/>
  <c r="E34" i="110" s="1"/>
  <c r="D34" i="110" a="1"/>
  <c r="D34" i="110" s="1"/>
  <c r="H33" i="110" a="1"/>
  <c r="H33" i="110" s="1"/>
  <c r="G33" i="110" a="1"/>
  <c r="G33" i="110" s="1"/>
  <c r="F33" i="110" a="1"/>
  <c r="F33" i="110" s="1"/>
  <c r="E33" i="110" a="1"/>
  <c r="E33" i="110" s="1"/>
  <c r="D33" i="110" a="1"/>
  <c r="D33" i="110" s="1"/>
  <c r="H32" i="110" a="1"/>
  <c r="H32" i="110" s="1"/>
  <c r="G32" i="110" a="1"/>
  <c r="G32" i="110" s="1"/>
  <c r="F32" i="110" a="1"/>
  <c r="F32" i="110" s="1"/>
  <c r="E32" i="110" a="1"/>
  <c r="E32" i="110" s="1"/>
  <c r="D32" i="110" a="1"/>
  <c r="D32" i="110" s="1"/>
  <c r="H31" i="110" a="1"/>
  <c r="H31" i="110" s="1"/>
  <c r="G31" i="110" a="1"/>
  <c r="G31" i="110" s="1"/>
  <c r="F31" i="110" a="1"/>
  <c r="F31" i="110" s="1"/>
  <c r="E31" i="110" a="1"/>
  <c r="E31" i="110" s="1"/>
  <c r="D31" i="110" a="1"/>
  <c r="D31" i="110" s="1"/>
  <c r="H30" i="110" a="1"/>
  <c r="H30" i="110" s="1"/>
  <c r="G30" i="110" a="1"/>
  <c r="G30" i="110" s="1"/>
  <c r="F30" i="110" a="1"/>
  <c r="F30" i="110" s="1"/>
  <c r="E30" i="110" a="1"/>
  <c r="E30" i="110" s="1"/>
  <c r="D30" i="110" a="1"/>
  <c r="D30" i="110" s="1"/>
  <c r="H29" i="110" a="1"/>
  <c r="H29" i="110" s="1"/>
  <c r="G29" i="110" a="1"/>
  <c r="G29" i="110" s="1"/>
  <c r="F29" i="110" a="1"/>
  <c r="F29" i="110" s="1"/>
  <c r="E29" i="110" a="1"/>
  <c r="E29" i="110" s="1"/>
  <c r="D29" i="110" a="1"/>
  <c r="D29" i="110" s="1"/>
  <c r="H28" i="110" a="1"/>
  <c r="H28" i="110" s="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a="1"/>
  <c r="G14" i="110" s="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E8" i="69" a="1"/>
  <c r="J31" i="69" l="1" a="1"/>
  <c r="J31" i="69" s="1"/>
  <c r="K31" i="69" s="1" a="1"/>
  <c r="K31" i="69" s="1"/>
  <c r="L31" i="69" s="1"/>
  <c r="J30" i="69" a="1"/>
  <c r="J30" i="69" s="1"/>
  <c r="K30" i="69" s="1" a="1"/>
  <c r="K30" i="69" s="1"/>
  <c r="L30" i="69" s="1"/>
  <c r="H117" i="110" a="1"/>
  <c r="H117" i="110" s="1"/>
  <c r="G117" i="110" a="1"/>
  <c r="G117" i="110" s="1"/>
  <c r="F117" i="110" a="1"/>
  <c r="F117" i="110" s="1"/>
  <c r="E117" i="110" a="1"/>
  <c r="E117" i="110" s="1"/>
  <c r="J126" i="110" a="1"/>
  <c r="J126" i="110" s="1"/>
  <c r="L126" i="110" a="1"/>
  <c r="L126" i="110" s="1"/>
  <c r="K126" i="110" a="1"/>
  <c r="K126" i="110" s="1"/>
  <c r="I126" i="110" a="1"/>
  <c r="I126" i="110" s="1"/>
  <c r="H131" i="110" a="1"/>
  <c r="H131" i="110" s="1"/>
  <c r="G131" i="110" a="1"/>
  <c r="G131" i="110" s="1"/>
  <c r="F131" i="110" a="1"/>
  <c r="F131" i="110" s="1"/>
  <c r="E131" i="110" a="1"/>
  <c r="E131" i="110" s="1"/>
  <c r="J140" i="110" a="1"/>
  <c r="J140" i="110" s="1"/>
  <c r="L140" i="110" a="1"/>
  <c r="L140" i="110" s="1"/>
  <c r="I140" i="110" a="1"/>
  <c r="I140" i="110" s="1"/>
  <c r="K140" i="110" a="1"/>
  <c r="K140" i="110" s="1"/>
  <c r="H145" i="110" a="1"/>
  <c r="H145" i="110" s="1"/>
  <c r="G145" i="110" a="1"/>
  <c r="G145" i="110" s="1"/>
  <c r="F145" i="110" a="1"/>
  <c r="F145" i="110" s="1"/>
  <c r="E145" i="110" a="1"/>
  <c r="E145" i="110" s="1"/>
  <c r="J154" i="110" a="1"/>
  <c r="J154" i="110" s="1"/>
  <c r="L154" i="110" a="1"/>
  <c r="L154" i="110" s="1"/>
  <c r="K154" i="110" a="1"/>
  <c r="K154" i="110" s="1"/>
  <c r="I154" i="110" a="1"/>
  <c r="I154" i="110" s="1"/>
  <c r="L117" i="110" a="1"/>
  <c r="L117" i="110" s="1"/>
  <c r="K117" i="110" a="1"/>
  <c r="K117" i="110" s="1"/>
  <c r="I117" i="110" a="1"/>
  <c r="I117" i="110" s="1"/>
  <c r="J117" i="110" a="1"/>
  <c r="J117" i="110" s="1"/>
  <c r="H122" i="110" a="1"/>
  <c r="H122" i="110" s="1"/>
  <c r="G122" i="110" a="1"/>
  <c r="G122" i="110" s="1"/>
  <c r="F122" i="110" a="1"/>
  <c r="F122" i="110" s="1"/>
  <c r="E122" i="110" a="1"/>
  <c r="E122" i="110" s="1"/>
  <c r="L131" i="110" a="1"/>
  <c r="L131" i="110" s="1"/>
  <c r="K131" i="110" a="1"/>
  <c r="K131" i="110" s="1"/>
  <c r="I131" i="110" a="1"/>
  <c r="I131" i="110" s="1"/>
  <c r="J131" i="110" a="1"/>
  <c r="J131" i="110" s="1"/>
  <c r="H136" i="110" a="1"/>
  <c r="H136" i="110" s="1"/>
  <c r="G136" i="110" a="1"/>
  <c r="G136" i="110" s="1"/>
  <c r="F136" i="110" a="1"/>
  <c r="F136" i="110" s="1"/>
  <c r="E136" i="110" a="1"/>
  <c r="E136" i="110" s="1"/>
  <c r="L145" i="110" a="1"/>
  <c r="L145" i="110" s="1"/>
  <c r="K145" i="110" a="1"/>
  <c r="K145" i="110" s="1"/>
  <c r="I145" i="110" a="1"/>
  <c r="I145" i="110" s="1"/>
  <c r="J145" i="110" a="1"/>
  <c r="J145" i="110" s="1"/>
  <c r="H150" i="110" a="1"/>
  <c r="H150" i="110" s="1"/>
  <c r="G150" i="110" a="1"/>
  <c r="G150" i="110" s="1"/>
  <c r="F150" i="110" a="1"/>
  <c r="F150" i="110" s="1"/>
  <c r="E150" i="110" a="1"/>
  <c r="E150" i="110" s="1"/>
  <c r="L160" i="110" a="1"/>
  <c r="L160" i="110" s="1"/>
  <c r="K160" i="110" a="1"/>
  <c r="K160" i="110" s="1"/>
  <c r="I160" i="110" a="1"/>
  <c r="I160" i="110" s="1"/>
  <c r="J160" i="110" a="1"/>
  <c r="J160" i="110" s="1"/>
  <c r="H112" i="110" a="1"/>
  <c r="H112" i="110" s="1"/>
  <c r="G112" i="110" a="1"/>
  <c r="G112" i="110" s="1"/>
  <c r="F112" i="110" a="1"/>
  <c r="F112" i="110" s="1"/>
  <c r="E112" i="110" a="1"/>
  <c r="E112" i="110" s="1"/>
  <c r="H111" i="110" a="1"/>
  <c r="H111" i="110" s="1"/>
  <c r="G111" i="110" a="1"/>
  <c r="G111" i="110" s="1"/>
  <c r="F111" i="110" a="1"/>
  <c r="F111" i="110" s="1"/>
  <c r="E111" i="110" a="1"/>
  <c r="E111" i="110" s="1"/>
  <c r="H110" i="110" a="1"/>
  <c r="H110" i="110" s="1"/>
  <c r="G110" i="110" a="1"/>
  <c r="G110" i="110" s="1"/>
  <c r="F110" i="110" a="1"/>
  <c r="F110" i="110" s="1"/>
  <c r="E110" i="110" a="1"/>
  <c r="E110" i="110" s="1"/>
  <c r="K121" i="110" a="1"/>
  <c r="K121" i="110" s="1"/>
  <c r="L121" i="110" a="1"/>
  <c r="L121" i="110" s="1"/>
  <c r="J121" i="110" a="1"/>
  <c r="J121" i="110" s="1"/>
  <c r="I121" i="110" a="1"/>
  <c r="I121" i="110" s="1"/>
  <c r="H126" i="110" a="1"/>
  <c r="H126" i="110" s="1"/>
  <c r="G126" i="110" a="1"/>
  <c r="G126" i="110" s="1"/>
  <c r="F126" i="110" a="1"/>
  <c r="F126" i="110" s="1"/>
  <c r="E126" i="110" a="1"/>
  <c r="E126" i="110" s="1"/>
  <c r="K149" i="110" a="1"/>
  <c r="K149" i="110" s="1"/>
  <c r="L149" i="110" a="1"/>
  <c r="L149" i="110" s="1"/>
  <c r="J149" i="110" a="1"/>
  <c r="J149" i="110" s="1"/>
  <c r="I149" i="110" a="1"/>
  <c r="I149" i="110" s="1"/>
  <c r="H113" i="110" a="1"/>
  <c r="H113" i="110" s="1"/>
  <c r="G113" i="110" a="1"/>
  <c r="G113" i="110" s="1"/>
  <c r="F113" i="110" a="1"/>
  <c r="F113" i="110" s="1"/>
  <c r="E113" i="110" a="1"/>
  <c r="E113" i="110" s="1"/>
  <c r="L122" i="110" a="1"/>
  <c r="L122" i="110" s="1"/>
  <c r="K122" i="110" a="1"/>
  <c r="K122" i="110" s="1"/>
  <c r="J122" i="110" a="1"/>
  <c r="J122" i="110" s="1"/>
  <c r="I122" i="110" a="1"/>
  <c r="I122" i="110" s="1"/>
  <c r="H127" i="110" a="1"/>
  <c r="H127" i="110" s="1"/>
  <c r="G127" i="110" a="1"/>
  <c r="G127" i="110" s="1"/>
  <c r="F127" i="110" a="1"/>
  <c r="F127" i="110" s="1"/>
  <c r="E127" i="110" a="1"/>
  <c r="E127" i="110" s="1"/>
  <c r="L136" i="110" a="1"/>
  <c r="L136" i="110" s="1"/>
  <c r="K136" i="110" a="1"/>
  <c r="K136" i="110" s="1"/>
  <c r="J136" i="110" a="1"/>
  <c r="J136" i="110" s="1"/>
  <c r="I136" i="110" a="1"/>
  <c r="I136" i="110" s="1"/>
  <c r="H141" i="110" a="1"/>
  <c r="H141" i="110" s="1"/>
  <c r="G141" i="110" a="1"/>
  <c r="G141" i="110" s="1"/>
  <c r="F141" i="110" a="1"/>
  <c r="F141" i="110" s="1"/>
  <c r="E141" i="110" a="1"/>
  <c r="E141" i="110" s="1"/>
  <c r="L150" i="110" a="1"/>
  <c r="L150" i="110" s="1"/>
  <c r="J150" i="110" a="1"/>
  <c r="J150" i="110" s="1"/>
  <c r="K150" i="110" a="1"/>
  <c r="K150" i="110" s="1"/>
  <c r="I150" i="110" a="1"/>
  <c r="I150" i="110" s="1"/>
  <c r="H155" i="110" a="1"/>
  <c r="H155" i="110" s="1"/>
  <c r="G155" i="110" a="1"/>
  <c r="G155" i="110" s="1"/>
  <c r="F155" i="110" a="1"/>
  <c r="F155" i="110" s="1"/>
  <c r="E155" i="110" a="1"/>
  <c r="E155" i="110" s="1"/>
  <c r="H159" i="110" a="1"/>
  <c r="H159" i="110" s="1"/>
  <c r="G159" i="110" a="1"/>
  <c r="G159" i="110" s="1"/>
  <c r="F159" i="110" a="1"/>
  <c r="F159" i="110" s="1"/>
  <c r="E159" i="110" a="1"/>
  <c r="E159" i="110" s="1"/>
  <c r="L113" i="110" a="1"/>
  <c r="L113" i="110" s="1"/>
  <c r="I113" i="110" a="1"/>
  <c r="I113" i="110" s="1"/>
  <c r="J113" i="110" a="1"/>
  <c r="J113" i="110" s="1"/>
  <c r="K113" i="110" a="1"/>
  <c r="K113" i="110" s="1"/>
  <c r="H118" i="110" a="1"/>
  <c r="H118" i="110" s="1"/>
  <c r="G118" i="110" a="1"/>
  <c r="G118" i="110" s="1"/>
  <c r="F118" i="110" a="1"/>
  <c r="F118" i="110" s="1"/>
  <c r="E118" i="110" a="1"/>
  <c r="E118" i="110" s="1"/>
  <c r="I155" i="110" a="1"/>
  <c r="I155" i="110" s="1"/>
  <c r="L155" i="110" a="1"/>
  <c r="L155" i="110" s="1"/>
  <c r="K155" i="110" a="1"/>
  <c r="K155" i="110" s="1"/>
  <c r="J155" i="110" a="1"/>
  <c r="J155" i="110" s="1"/>
  <c r="L159" i="110" a="1"/>
  <c r="L159" i="110" s="1"/>
  <c r="K159" i="110" a="1"/>
  <c r="K159" i="110" s="1"/>
  <c r="I159" i="110" a="1"/>
  <c r="I159" i="110" s="1"/>
  <c r="J159" i="110" a="1"/>
  <c r="J159" i="110" s="1"/>
  <c r="L132" i="110" a="1"/>
  <c r="L132" i="110" s="1"/>
  <c r="K132" i="110" a="1"/>
  <c r="K132" i="110" s="1"/>
  <c r="I132" i="110" a="1"/>
  <c r="I132" i="110" s="1"/>
  <c r="J132" i="110" a="1"/>
  <c r="J132" i="110" s="1"/>
  <c r="F137" i="110" a="1"/>
  <c r="F137" i="110" s="1"/>
  <c r="E137" i="110" a="1"/>
  <c r="E137" i="110" s="1"/>
  <c r="H137" i="110" a="1"/>
  <c r="H137" i="110" s="1"/>
  <c r="G137" i="110" a="1"/>
  <c r="G137" i="110" s="1"/>
  <c r="K146" i="110" a="1"/>
  <c r="K146" i="110" s="1"/>
  <c r="L146" i="110" a="1"/>
  <c r="L146" i="110" s="1"/>
  <c r="I146" i="110" a="1"/>
  <c r="I146" i="110" s="1"/>
  <c r="J146" i="110" a="1"/>
  <c r="J146" i="110" s="1"/>
  <c r="F151" i="110" a="1"/>
  <c r="F151" i="110" s="1"/>
  <c r="E151" i="110" a="1"/>
  <c r="E151" i="110" s="1"/>
  <c r="H151" i="110" a="1"/>
  <c r="H151" i="110" s="1"/>
  <c r="G151" i="110" a="1"/>
  <c r="G151" i="110" s="1"/>
  <c r="H114" i="110" a="1"/>
  <c r="H114" i="110" s="1"/>
  <c r="G114" i="110" a="1"/>
  <c r="G114" i="110" s="1"/>
  <c r="F114" i="110" a="1"/>
  <c r="F114" i="110" s="1"/>
  <c r="E114" i="110" a="1"/>
  <c r="E114" i="110" s="1"/>
  <c r="K123" i="110" a="1"/>
  <c r="K123" i="110" s="1"/>
  <c r="J123" i="110" a="1"/>
  <c r="J123" i="110" s="1"/>
  <c r="I123" i="110" a="1"/>
  <c r="I123" i="110" s="1"/>
  <c r="L123" i="110" a="1"/>
  <c r="L123" i="110" s="1"/>
  <c r="H128" i="110" a="1"/>
  <c r="H128" i="110" s="1"/>
  <c r="G128" i="110" a="1"/>
  <c r="G128" i="110" s="1"/>
  <c r="F128" i="110" a="1"/>
  <c r="F128" i="110" s="1"/>
  <c r="E128" i="110" a="1"/>
  <c r="E128" i="110" s="1"/>
  <c r="H160" i="110" a="1"/>
  <c r="H160" i="110" s="1"/>
  <c r="G160" i="110" a="1"/>
  <c r="G160" i="110" s="1"/>
  <c r="F160" i="110" a="1"/>
  <c r="F160" i="110" s="1"/>
  <c r="E160" i="110" a="1"/>
  <c r="E160" i="110" s="1"/>
  <c r="M160" i="110" s="1" a="1"/>
  <c r="M160" i="110" s="1"/>
  <c r="L114" i="110" a="1"/>
  <c r="L114" i="110" s="1"/>
  <c r="K114" i="110" a="1"/>
  <c r="K114" i="110" s="1"/>
  <c r="J114" i="110" a="1"/>
  <c r="J114" i="110" s="1"/>
  <c r="I114" i="110" a="1"/>
  <c r="I114" i="110" s="1"/>
  <c r="H119" i="110" a="1"/>
  <c r="H119" i="110" s="1"/>
  <c r="G119" i="110" a="1"/>
  <c r="G119" i="110" s="1"/>
  <c r="F119" i="110" a="1"/>
  <c r="F119" i="110" s="1"/>
  <c r="E119" i="110" a="1"/>
  <c r="E119" i="110" s="1"/>
  <c r="L142" i="110" a="1"/>
  <c r="L142" i="110" s="1"/>
  <c r="K142" i="110" a="1"/>
  <c r="K142" i="110" s="1"/>
  <c r="J142" i="110" a="1"/>
  <c r="J142" i="110" s="1"/>
  <c r="I142" i="110" a="1"/>
  <c r="I142" i="110" s="1"/>
  <c r="H147" i="110" a="1"/>
  <c r="H147" i="110" s="1"/>
  <c r="G147" i="110" a="1"/>
  <c r="G147" i="110" s="1"/>
  <c r="F147" i="110" a="1"/>
  <c r="F147" i="110" s="1"/>
  <c r="E147" i="110" a="1"/>
  <c r="E147" i="110" s="1"/>
  <c r="J133" i="110" a="1"/>
  <c r="J133" i="110" s="1"/>
  <c r="L133" i="110" a="1"/>
  <c r="L133" i="110" s="1"/>
  <c r="K133" i="110" a="1"/>
  <c r="K133" i="110" s="1"/>
  <c r="I133" i="110" a="1"/>
  <c r="I133" i="110" s="1"/>
  <c r="H138" i="110" a="1"/>
  <c r="H138" i="110" s="1"/>
  <c r="G138" i="110" a="1"/>
  <c r="G138" i="110" s="1"/>
  <c r="F138" i="110" a="1"/>
  <c r="F138" i="110" s="1"/>
  <c r="E138" i="110" a="1"/>
  <c r="E138" i="110" s="1"/>
  <c r="J147" i="110" a="1"/>
  <c r="J147" i="110" s="1"/>
  <c r="L147" i="110" a="1"/>
  <c r="L147" i="110" s="1"/>
  <c r="I147" i="110" a="1"/>
  <c r="I147" i="110" s="1"/>
  <c r="K147" i="110" a="1"/>
  <c r="K147" i="110" s="1"/>
  <c r="O147" i="110" s="1" a="1"/>
  <c r="O147" i="110" s="1"/>
  <c r="H152" i="110" a="1"/>
  <c r="H152" i="110" s="1"/>
  <c r="G152" i="110" a="1"/>
  <c r="G152" i="110" s="1"/>
  <c r="F152" i="110" a="1"/>
  <c r="F152" i="110" s="1"/>
  <c r="E152" i="110" a="1"/>
  <c r="E152" i="110" s="1"/>
  <c r="L156" i="110" a="1"/>
  <c r="L156" i="110" s="1"/>
  <c r="P156" i="110" s="1" a="1"/>
  <c r="P156" i="110" s="1"/>
  <c r="K156" i="110" a="1"/>
  <c r="K156" i="110" s="1"/>
  <c r="J156" i="110" a="1"/>
  <c r="J156" i="110" s="1"/>
  <c r="I156" i="110" a="1"/>
  <c r="I156" i="110" s="1"/>
  <c r="H115" i="110" a="1"/>
  <c r="H115" i="110" s="1"/>
  <c r="G115" i="110" a="1"/>
  <c r="G115" i="110" s="1"/>
  <c r="F115" i="110" a="1"/>
  <c r="F115" i="110" s="1"/>
  <c r="E115" i="110" a="1"/>
  <c r="E115" i="110" s="1"/>
  <c r="L124" i="110" a="1"/>
  <c r="L124" i="110" s="1"/>
  <c r="K124" i="110" a="1"/>
  <c r="K124" i="110" s="1"/>
  <c r="I124" i="110" a="1"/>
  <c r="I124" i="110" s="1"/>
  <c r="J124" i="110" a="1"/>
  <c r="J124" i="110" s="1"/>
  <c r="H129" i="110" a="1"/>
  <c r="H129" i="110" s="1"/>
  <c r="G129" i="110" a="1"/>
  <c r="G129" i="110" s="1"/>
  <c r="F129" i="110" a="1"/>
  <c r="F129" i="110" s="1"/>
  <c r="E129" i="110" a="1"/>
  <c r="E129" i="110" s="1"/>
  <c r="L138" i="110" a="1"/>
  <c r="L138" i="110" s="1"/>
  <c r="P138" i="110" s="1" a="1"/>
  <c r="P138" i="110" s="1"/>
  <c r="K138" i="110" a="1"/>
  <c r="K138" i="110" s="1"/>
  <c r="O138" i="110" s="1" a="1"/>
  <c r="O138" i="110" s="1"/>
  <c r="I138" i="110" a="1"/>
  <c r="I138" i="110" s="1"/>
  <c r="J138" i="110" a="1"/>
  <c r="J138" i="110" s="1"/>
  <c r="H143" i="110" a="1"/>
  <c r="H143" i="110" s="1"/>
  <c r="G143" i="110" a="1"/>
  <c r="G143" i="110" s="1"/>
  <c r="F143" i="110" a="1"/>
  <c r="F143" i="110" s="1"/>
  <c r="E143" i="110" a="1"/>
  <c r="E143" i="110" s="1"/>
  <c r="L152" i="110" a="1"/>
  <c r="L152" i="110" s="1"/>
  <c r="P152" i="110" s="1" a="1"/>
  <c r="P152" i="110" s="1"/>
  <c r="K152" i="110" a="1"/>
  <c r="K152" i="110" s="1"/>
  <c r="I152" i="110" a="1"/>
  <c r="I152" i="110" s="1"/>
  <c r="J152" i="110" a="1"/>
  <c r="J152" i="110" s="1"/>
  <c r="K135" i="110" a="1"/>
  <c r="K135" i="110" s="1"/>
  <c r="L135" i="110" a="1"/>
  <c r="L135" i="110" s="1"/>
  <c r="J135" i="110" a="1"/>
  <c r="J135" i="110" s="1"/>
  <c r="I135" i="110" a="1"/>
  <c r="I135" i="110" s="1"/>
  <c r="H140" i="110" a="1"/>
  <c r="H140" i="110" s="1"/>
  <c r="P140" i="110" s="1" a="1"/>
  <c r="P140" i="110" s="1"/>
  <c r="G140" i="110" a="1"/>
  <c r="G140" i="110" s="1"/>
  <c r="O140" i="110" s="1" a="1"/>
  <c r="O140" i="110" s="1"/>
  <c r="F140" i="110" a="1"/>
  <c r="F140" i="110" s="1"/>
  <c r="N140" i="110" s="1" a="1"/>
  <c r="N140" i="110" s="1"/>
  <c r="E140" i="110" a="1"/>
  <c r="E140" i="110" s="1"/>
  <c r="M140" i="110" s="1" a="1"/>
  <c r="M140" i="110" s="1"/>
  <c r="H154" i="110" a="1"/>
  <c r="H154" i="110" s="1"/>
  <c r="P154" i="110" s="1" a="1"/>
  <c r="P154" i="110" s="1"/>
  <c r="G154" i="110" a="1"/>
  <c r="G154" i="110" s="1"/>
  <c r="O154" i="110" s="1" a="1"/>
  <c r="O154" i="110" s="1"/>
  <c r="F154" i="110" a="1"/>
  <c r="F154" i="110" s="1"/>
  <c r="N154" i="110" s="1" a="1"/>
  <c r="N154" i="110" s="1"/>
  <c r="E154" i="110" a="1"/>
  <c r="E154" i="110" s="1"/>
  <c r="I127" i="110" a="1"/>
  <c r="I127" i="110" s="1"/>
  <c r="M127" i="110" s="1" a="1"/>
  <c r="M127" i="110" s="1"/>
  <c r="L127" i="110" a="1"/>
  <c r="L127" i="110" s="1"/>
  <c r="K127" i="110" a="1"/>
  <c r="K127" i="110" s="1"/>
  <c r="O127" i="110" s="1" a="1"/>
  <c r="O127" i="110" s="1"/>
  <c r="J127" i="110" a="1"/>
  <c r="J127" i="110" s="1"/>
  <c r="H132" i="110" a="1"/>
  <c r="H132" i="110" s="1"/>
  <c r="G132" i="110" a="1"/>
  <c r="G132" i="110" s="1"/>
  <c r="F132" i="110" a="1"/>
  <c r="F132" i="110" s="1"/>
  <c r="E132" i="110" a="1"/>
  <c r="E132" i="110" s="1"/>
  <c r="M132" i="110" s="1" a="1"/>
  <c r="M132" i="110" s="1"/>
  <c r="I141" i="110" a="1"/>
  <c r="I141" i="110" s="1"/>
  <c r="L141" i="110" a="1"/>
  <c r="L141" i="110" s="1"/>
  <c r="K141" i="110" a="1"/>
  <c r="K141" i="110" s="1"/>
  <c r="O141" i="110" s="1" a="1"/>
  <c r="O141" i="110" s="1"/>
  <c r="J141" i="110" a="1"/>
  <c r="J141" i="110" s="1"/>
  <c r="N141" i="110" s="1" a="1"/>
  <c r="N141" i="110" s="1"/>
  <c r="H146" i="110" a="1"/>
  <c r="H146" i="110" s="1"/>
  <c r="P146" i="110" s="1" a="1"/>
  <c r="P146" i="110" s="1"/>
  <c r="G146" i="110" a="1"/>
  <c r="G146" i="110" s="1"/>
  <c r="F146" i="110" a="1"/>
  <c r="F146" i="110" s="1"/>
  <c r="E146" i="110" a="1"/>
  <c r="E146" i="110" s="1"/>
  <c r="L118" i="110" a="1"/>
  <c r="L118" i="110" s="1"/>
  <c r="P118" i="110" s="1" a="1"/>
  <c r="P118" i="110" s="1"/>
  <c r="K118" i="110" a="1"/>
  <c r="K118" i="110" s="1"/>
  <c r="I118" i="110" a="1"/>
  <c r="I118" i="110" s="1"/>
  <c r="J118" i="110" a="1"/>
  <c r="J118" i="110" s="1"/>
  <c r="F123" i="110" a="1"/>
  <c r="F123" i="110" s="1"/>
  <c r="N123" i="110" s="1" a="1"/>
  <c r="N123" i="110" s="1"/>
  <c r="E123" i="110" a="1"/>
  <c r="E123" i="110" s="1"/>
  <c r="H123" i="110" a="1"/>
  <c r="H123" i="110" s="1"/>
  <c r="G123" i="110" a="1"/>
  <c r="G123" i="110" s="1"/>
  <c r="K137" i="110" a="1"/>
  <c r="K137" i="110" s="1"/>
  <c r="O137" i="110" s="1" a="1"/>
  <c r="O137" i="110" s="1"/>
  <c r="J137" i="110" a="1"/>
  <c r="J137" i="110" s="1"/>
  <c r="I137" i="110" a="1"/>
  <c r="I137" i="110" s="1"/>
  <c r="M137" i="110" s="1" a="1"/>
  <c r="M137" i="110" s="1"/>
  <c r="L137" i="110" a="1"/>
  <c r="L137" i="110" s="1"/>
  <c r="H142" i="110" a="1"/>
  <c r="H142" i="110" s="1"/>
  <c r="G142" i="110" a="1"/>
  <c r="G142" i="110" s="1"/>
  <c r="F142" i="110" a="1"/>
  <c r="F142" i="110" s="1"/>
  <c r="E142" i="110" a="1"/>
  <c r="E142" i="110" s="1"/>
  <c r="K151" i="110" a="1"/>
  <c r="K151" i="110" s="1"/>
  <c r="O151" i="110" s="1" a="1"/>
  <c r="O151" i="110" s="1"/>
  <c r="J151" i="110" a="1"/>
  <c r="J151" i="110" s="1"/>
  <c r="N151" i="110" s="1" a="1"/>
  <c r="N151" i="110" s="1"/>
  <c r="I151" i="110" a="1"/>
  <c r="I151" i="110" s="1"/>
  <c r="L151" i="110" a="1"/>
  <c r="L151" i="110" s="1"/>
  <c r="P151" i="110" s="1" a="1"/>
  <c r="P151" i="110" s="1"/>
  <c r="L128" i="110" a="1"/>
  <c r="L128" i="110" s="1"/>
  <c r="K128" i="110" a="1"/>
  <c r="K128" i="110" s="1"/>
  <c r="I128" i="110" a="1"/>
  <c r="I128" i="110" s="1"/>
  <c r="J128" i="110" a="1"/>
  <c r="J128" i="110" s="1"/>
  <c r="H133" i="110" a="1"/>
  <c r="H133" i="110" s="1"/>
  <c r="P133" i="110" s="1" a="1"/>
  <c r="P133" i="110" s="1"/>
  <c r="G133" i="110" a="1"/>
  <c r="G133" i="110" s="1"/>
  <c r="F133" i="110" a="1"/>
  <c r="F133" i="110" s="1"/>
  <c r="N133" i="110" s="1" a="1"/>
  <c r="N133" i="110" s="1"/>
  <c r="E133" i="110" a="1"/>
  <c r="E133" i="110" s="1"/>
  <c r="J119" i="110" a="1"/>
  <c r="J119" i="110" s="1"/>
  <c r="N119" i="110" s="1" a="1"/>
  <c r="N119" i="110" s="1"/>
  <c r="L119" i="110" a="1"/>
  <c r="L119" i="110" s="1"/>
  <c r="K119" i="110" a="1"/>
  <c r="K119" i="110" s="1"/>
  <c r="I119" i="110" a="1"/>
  <c r="I119" i="110" s="1"/>
  <c r="M119" i="110" s="1" a="1"/>
  <c r="M119" i="110" s="1"/>
  <c r="H124" i="110" a="1"/>
  <c r="H124" i="110" s="1"/>
  <c r="G124" i="110" a="1"/>
  <c r="G124" i="110" s="1"/>
  <c r="F124" i="110" a="1"/>
  <c r="F124" i="110" s="1"/>
  <c r="E124" i="110" a="1"/>
  <c r="E124" i="110" s="1"/>
  <c r="J129" i="110" a="1"/>
  <c r="J129" i="110" s="1"/>
  <c r="L129" i="110" a="1"/>
  <c r="L129" i="110" s="1"/>
  <c r="K129" i="110" a="1"/>
  <c r="K129" i="110" s="1"/>
  <c r="I129" i="110" a="1"/>
  <c r="I129" i="110" s="1"/>
  <c r="H134" i="110" a="1"/>
  <c r="H134" i="110" s="1"/>
  <c r="G134" i="110" a="1"/>
  <c r="G134" i="110" s="1"/>
  <c r="F134" i="110" a="1"/>
  <c r="F134" i="110" s="1"/>
  <c r="E134" i="110" a="1"/>
  <c r="E134" i="110" s="1"/>
  <c r="H157" i="110" a="1"/>
  <c r="H157" i="110" s="1"/>
  <c r="G157" i="110" a="1"/>
  <c r="G157" i="110" s="1"/>
  <c r="F157" i="110" a="1"/>
  <c r="F157" i="110" s="1"/>
  <c r="E157" i="110" a="1"/>
  <c r="E157" i="110" s="1"/>
  <c r="H161" i="110" a="1"/>
  <c r="H161" i="110" s="1"/>
  <c r="G161" i="110" a="1"/>
  <c r="G161" i="110" s="1"/>
  <c r="F161" i="110" a="1"/>
  <c r="F161" i="110" s="1"/>
  <c r="E161" i="110" a="1"/>
  <c r="E161" i="110" s="1"/>
  <c r="I148" i="110" a="1"/>
  <c r="I148" i="110" s="1"/>
  <c r="L148" i="110" a="1"/>
  <c r="L148" i="110" s="1"/>
  <c r="K148" i="110" a="1"/>
  <c r="K148" i="110" s="1"/>
  <c r="J148" i="110" a="1"/>
  <c r="J148" i="110" s="1"/>
  <c r="H153" i="110" a="1"/>
  <c r="H153" i="110" s="1"/>
  <c r="G153" i="110" a="1"/>
  <c r="G153" i="110" s="1"/>
  <c r="F153" i="110" a="1"/>
  <c r="F153" i="110" s="1"/>
  <c r="E153" i="110" a="1"/>
  <c r="E153" i="110" s="1"/>
  <c r="J161" i="110" a="1"/>
  <c r="J161" i="110" s="1"/>
  <c r="L161" i="110" a="1"/>
  <c r="L161" i="110" s="1"/>
  <c r="K161" i="110" a="1"/>
  <c r="K161" i="110" s="1"/>
  <c r="I161" i="110" a="1"/>
  <c r="I161" i="110" s="1"/>
  <c r="F116" i="110" a="1"/>
  <c r="F116" i="110" s="1"/>
  <c r="E116" i="110" a="1"/>
  <c r="E116" i="110" s="1"/>
  <c r="H116" i="110" a="1"/>
  <c r="H116" i="110" s="1"/>
  <c r="G116" i="110" a="1"/>
  <c r="G116" i="110" s="1"/>
  <c r="L125" i="110" a="1"/>
  <c r="L125" i="110" s="1"/>
  <c r="K125" i="110" a="1"/>
  <c r="K125" i="110" s="1"/>
  <c r="I125" i="110" a="1"/>
  <c r="I125" i="110" s="1"/>
  <c r="J125" i="110" a="1"/>
  <c r="J125" i="110" s="1"/>
  <c r="F130" i="110" a="1"/>
  <c r="F130" i="110" s="1"/>
  <c r="E130" i="110" a="1"/>
  <c r="E130" i="110" s="1"/>
  <c r="H130" i="110" a="1"/>
  <c r="H130" i="110" s="1"/>
  <c r="G130" i="110" a="1"/>
  <c r="G130" i="110" s="1"/>
  <c r="L139" i="110" a="1"/>
  <c r="L139" i="110" s="1"/>
  <c r="K139" i="110" a="1"/>
  <c r="K139" i="110" s="1"/>
  <c r="I139" i="110" a="1"/>
  <c r="I139" i="110" s="1"/>
  <c r="J139" i="110" a="1"/>
  <c r="J139" i="110" s="1"/>
  <c r="F144" i="110" a="1"/>
  <c r="F144" i="110" s="1"/>
  <c r="E144" i="110" a="1"/>
  <c r="E144" i="110" s="1"/>
  <c r="H144" i="110" a="1"/>
  <c r="H144" i="110" s="1"/>
  <c r="G144" i="110" a="1"/>
  <c r="G144" i="110" s="1"/>
  <c r="L153" i="110" a="1"/>
  <c r="L153" i="110" s="1"/>
  <c r="K153" i="110" a="1"/>
  <c r="K153" i="110" s="1"/>
  <c r="I153" i="110" a="1"/>
  <c r="I153" i="110" s="1"/>
  <c r="J153" i="110" a="1"/>
  <c r="J153" i="110" s="1"/>
  <c r="L115" i="110" a="1"/>
  <c r="L115" i="110" s="1"/>
  <c r="P115" i="110" s="1" a="1"/>
  <c r="P115" i="110" s="1"/>
  <c r="K115" i="110" a="1"/>
  <c r="K115" i="110" s="1"/>
  <c r="O115" i="110" s="1" a="1"/>
  <c r="O115" i="110" s="1"/>
  <c r="I115" i="110" a="1"/>
  <c r="I115" i="110" s="1"/>
  <c r="M115" i="110" s="1" a="1"/>
  <c r="M115" i="110" s="1"/>
  <c r="J115" i="110" a="1"/>
  <c r="J115" i="110" s="1"/>
  <c r="H120" i="110" a="1"/>
  <c r="H120" i="110" s="1"/>
  <c r="G120" i="110" a="1"/>
  <c r="G120" i="110" s="1"/>
  <c r="F120" i="110" a="1"/>
  <c r="F120" i="110" s="1"/>
  <c r="E120" i="110" a="1"/>
  <c r="E120" i="110" s="1"/>
  <c r="L143" i="110" a="1"/>
  <c r="L143" i="110" s="1"/>
  <c r="J143" i="110" a="1"/>
  <c r="J143" i="110" s="1"/>
  <c r="K143" i="110" a="1"/>
  <c r="K143" i="110" s="1"/>
  <c r="I143" i="110" a="1"/>
  <c r="I143" i="110" s="1"/>
  <c r="H148" i="110" a="1"/>
  <c r="H148" i="110" s="1"/>
  <c r="G148" i="110" a="1"/>
  <c r="G148" i="110" s="1"/>
  <c r="F148" i="110" a="1"/>
  <c r="F148" i="110" s="1"/>
  <c r="E148" i="110" a="1"/>
  <c r="E148" i="110" s="1"/>
  <c r="I120" i="110" a="1"/>
  <c r="I120" i="110" s="1"/>
  <c r="L120" i="110" a="1"/>
  <c r="L120" i="110" s="1"/>
  <c r="K120" i="110" a="1"/>
  <c r="K120" i="110" s="1"/>
  <c r="J120" i="110" a="1"/>
  <c r="J120" i="110" s="1"/>
  <c r="H125" i="110" a="1"/>
  <c r="H125" i="110" s="1"/>
  <c r="G125" i="110" a="1"/>
  <c r="G125" i="110" s="1"/>
  <c r="F125" i="110" a="1"/>
  <c r="F125" i="110" s="1"/>
  <c r="E125" i="110" a="1"/>
  <c r="E125" i="110" s="1"/>
  <c r="I134" i="110" a="1"/>
  <c r="I134" i="110" s="1"/>
  <c r="L134" i="110" a="1"/>
  <c r="L134" i="110" s="1"/>
  <c r="K134" i="110" a="1"/>
  <c r="K134" i="110" s="1"/>
  <c r="J134" i="110" a="1"/>
  <c r="J134" i="110" s="1"/>
  <c r="H139" i="110" a="1"/>
  <c r="H139" i="110" s="1"/>
  <c r="G139" i="110" a="1"/>
  <c r="G139" i="110" s="1"/>
  <c r="F139" i="110" a="1"/>
  <c r="F139" i="110" s="1"/>
  <c r="E139" i="110" a="1"/>
  <c r="E139" i="110" s="1"/>
  <c r="L157" i="110" a="1"/>
  <c r="L157" i="110" s="1"/>
  <c r="K157" i="110" a="1"/>
  <c r="K157" i="110" s="1"/>
  <c r="J157" i="110" a="1"/>
  <c r="J157" i="110" s="1"/>
  <c r="I157" i="110" a="1"/>
  <c r="I157" i="110" s="1"/>
  <c r="D110" i="110"/>
  <c r="D112" i="110"/>
  <c r="D111" i="110"/>
  <c r="K116" i="110" a="1"/>
  <c r="K116" i="110" s="1"/>
  <c r="J116" i="110" a="1"/>
  <c r="J116" i="110" s="1"/>
  <c r="I116" i="110" a="1"/>
  <c r="I116" i="110" s="1"/>
  <c r="L116" i="110" a="1"/>
  <c r="L116" i="110" s="1"/>
  <c r="H121" i="110" a="1"/>
  <c r="H121" i="110" s="1"/>
  <c r="P121" i="110" s="1" a="1"/>
  <c r="P121" i="110" s="1"/>
  <c r="G121" i="110" a="1"/>
  <c r="G121" i="110" s="1"/>
  <c r="O121" i="110" s="1" a="1"/>
  <c r="O121" i="110" s="1"/>
  <c r="F121" i="110" a="1"/>
  <c r="F121" i="110" s="1"/>
  <c r="N121" i="110" s="1" a="1"/>
  <c r="N121" i="110" s="1"/>
  <c r="E121" i="110" a="1"/>
  <c r="E121" i="110" s="1"/>
  <c r="M121" i="110" s="1" a="1"/>
  <c r="M121" i="110" s="1"/>
  <c r="K130" i="110" a="1"/>
  <c r="K130" i="110" s="1"/>
  <c r="J130" i="110" a="1"/>
  <c r="J130" i="110" s="1"/>
  <c r="I130" i="110" a="1"/>
  <c r="I130" i="110" s="1"/>
  <c r="L130" i="110" a="1"/>
  <c r="L130" i="110" s="1"/>
  <c r="H135" i="110" a="1"/>
  <c r="H135" i="110" s="1"/>
  <c r="G135" i="110" a="1"/>
  <c r="G135" i="110" s="1"/>
  <c r="O135" i="110" s="1" a="1"/>
  <c r="O135" i="110" s="1"/>
  <c r="F135" i="110" a="1"/>
  <c r="F135" i="110" s="1"/>
  <c r="E135" i="110" a="1"/>
  <c r="E135" i="110" s="1"/>
  <c r="K144" i="110" a="1"/>
  <c r="K144" i="110" s="1"/>
  <c r="J144" i="110" a="1"/>
  <c r="J144" i="110" s="1"/>
  <c r="I144" i="110" a="1"/>
  <c r="I144" i="110" s="1"/>
  <c r="L144" i="110" a="1"/>
  <c r="L144" i="110" s="1"/>
  <c r="H149" i="110" a="1"/>
  <c r="H149" i="110" s="1"/>
  <c r="P149" i="110" s="1" a="1"/>
  <c r="P149" i="110" s="1"/>
  <c r="G149" i="110" a="1"/>
  <c r="G149" i="110" s="1"/>
  <c r="O149" i="110" s="1" a="1"/>
  <c r="O149" i="110" s="1"/>
  <c r="F149" i="110" a="1"/>
  <c r="F149" i="110" s="1"/>
  <c r="N149" i="110" s="1" a="1"/>
  <c r="N149" i="110" s="1"/>
  <c r="E149" i="110" a="1"/>
  <c r="E149" i="110" s="1"/>
  <c r="F158" i="110" a="1"/>
  <c r="F158" i="110" s="1"/>
  <c r="E158" i="110" a="1"/>
  <c r="E158" i="110" s="1"/>
  <c r="H158" i="110" a="1"/>
  <c r="H158" i="110" s="1"/>
  <c r="G158" i="110" a="1"/>
  <c r="G158" i="110" s="1"/>
  <c r="K158" i="110" a="1"/>
  <c r="K158" i="110" s="1"/>
  <c r="J158" i="110" a="1"/>
  <c r="J158" i="110" s="1"/>
  <c r="I158" i="110" a="1"/>
  <c r="I158" i="110" s="1"/>
  <c r="L158" i="110" a="1"/>
  <c r="L158" i="110" s="1"/>
  <c r="J25" i="69" a="1"/>
  <c r="J25" i="69" s="1"/>
  <c r="K25" i="69" s="1" a="1"/>
  <c r="K25" i="69" s="1"/>
  <c r="L25" i="69" s="1"/>
  <c r="E156" i="110" a="1"/>
  <c r="E156" i="110" s="1"/>
  <c r="M156" i="110" s="1" a="1"/>
  <c r="M156" i="110" s="1"/>
  <c r="F156" i="110" a="1"/>
  <c r="F156" i="110" s="1"/>
  <c r="N156" i="110" s="1" a="1"/>
  <c r="N156" i="110" s="1"/>
  <c r="G156" i="110" a="1"/>
  <c r="G156" i="110" s="1"/>
  <c r="J27" i="69" a="1"/>
  <c r="J27" i="69" s="1"/>
  <c r="K27" i="69" s="1" a="1"/>
  <c r="K27" i="69" s="1"/>
  <c r="L27" i="69" s="1"/>
  <c r="J28" i="69" a="1"/>
  <c r="J28" i="69" s="1"/>
  <c r="K28" i="69" s="1" a="1"/>
  <c r="K28" i="69" s="1"/>
  <c r="L28" i="69" s="1"/>
  <c r="J29" i="69" a="1"/>
  <c r="J29" i="69" s="1"/>
  <c r="K29" i="69" s="1" a="1"/>
  <c r="K29" i="69" s="1"/>
  <c r="L29" i="69" s="1"/>
  <c r="I26" i="69"/>
  <c r="J26" i="69" a="1"/>
  <c r="J26" i="69" s="1"/>
  <c r="K26" i="69" s="1" a="1"/>
  <c r="K26" i="69" s="1"/>
  <c r="L26" i="69" s="1"/>
  <c r="E39" i="69" s="1"/>
  <c r="E65" i="69" s="1"/>
  <c r="I25" i="69"/>
  <c r="I22" i="69"/>
  <c r="I23" i="69"/>
  <c r="J22" i="69" a="1"/>
  <c r="J22" i="69" s="1"/>
  <c r="J24" i="69" a="1"/>
  <c r="J24" i="69" s="1"/>
  <c r="K24" i="69" s="1" a="1"/>
  <c r="K24" i="69" s="1"/>
  <c r="L24" i="69" s="1"/>
  <c r="J23" i="69" a="1"/>
  <c r="J23" i="69" s="1"/>
  <c r="K23" i="69" s="1" a="1"/>
  <c r="K23" i="69" s="1"/>
  <c r="L23" i="69" s="1"/>
  <c r="E37" i="69" s="1"/>
  <c r="E63" i="69" s="1"/>
  <c r="P122" i="110" a="1"/>
  <c r="P122" i="110" s="1"/>
  <c r="N136" i="110" a="1"/>
  <c r="N136" i="110" s="1"/>
  <c r="E8" i="69"/>
  <c r="I24" i="69"/>
  <c r="M126" i="110" a="1"/>
  <c r="M126" i="110" s="1"/>
  <c r="P127" i="110" a="1"/>
  <c r="P127" i="110" s="1"/>
  <c r="M131" i="110" a="1"/>
  <c r="M131" i="110" s="1"/>
  <c r="M111" i="110" a="1"/>
  <c r="M111" i="110" s="1"/>
  <c r="O112" i="110" a="1"/>
  <c r="O112" i="110" s="1"/>
  <c r="N113" i="110" a="1"/>
  <c r="N113" i="110" s="1"/>
  <c r="P117" i="110" a="1"/>
  <c r="P117" i="110" s="1"/>
  <c r="P147" i="110" a="1"/>
  <c r="P147" i="110" s="1"/>
  <c r="N112" i="110" a="1"/>
  <c r="N112" i="110" s="1"/>
  <c r="M114" i="110" a="1"/>
  <c r="M114" i="110" s="1"/>
  <c r="M141" i="110" a="1"/>
  <c r="M141" i="110" s="1"/>
  <c r="M155" i="110" a="1"/>
  <c r="M155" i="110" s="1"/>
  <c r="M159" i="110" a="1"/>
  <c r="M159" i="110" s="1"/>
  <c r="N111" i="110" a="1"/>
  <c r="N111" i="110" s="1"/>
  <c r="P112" i="110" a="1"/>
  <c r="P112" i="110" s="1"/>
  <c r="N159" i="110" a="1"/>
  <c r="N159" i="110" s="1"/>
  <c r="M113" i="110" a="1"/>
  <c r="M113" i="110" s="1"/>
  <c r="O117" i="110" a="1"/>
  <c r="O117" i="110" s="1"/>
  <c r="N114" i="110" a="1"/>
  <c r="N114" i="110" s="1"/>
  <c r="N126" i="110" a="1"/>
  <c r="N126" i="110" s="1"/>
  <c r="P136" i="110" a="1"/>
  <c r="P136" i="110" s="1"/>
  <c r="N155" i="110" a="1"/>
  <c r="N155" i="110" s="1"/>
  <c r="O159" i="110" a="1"/>
  <c r="O159" i="110" s="1"/>
  <c r="P110" i="110" a="1"/>
  <c r="P110" i="110" s="1"/>
  <c r="M112" i="110" a="1"/>
  <c r="M112" i="110" s="1"/>
  <c r="N117" i="110" a="1"/>
  <c r="N117" i="110" s="1"/>
  <c r="M122" i="110" a="1"/>
  <c r="M122" i="110" s="1"/>
  <c r="M110" i="110" a="1"/>
  <c r="M110" i="110" s="1"/>
  <c r="O111" i="110" a="1"/>
  <c r="O111" i="110" s="1"/>
  <c r="O126" i="110" a="1"/>
  <c r="O126" i="110" s="1"/>
  <c r="N131" i="110" a="1"/>
  <c r="N131" i="110" s="1"/>
  <c r="M136" i="110" a="1"/>
  <c r="M136" i="110" s="1"/>
  <c r="O155" i="110" a="1"/>
  <c r="O155" i="110" s="1"/>
  <c r="P159" i="110" a="1"/>
  <c r="P159" i="110" s="1"/>
  <c r="O114" i="110" a="1"/>
  <c r="O114" i="110" s="1"/>
  <c r="P126" i="110" a="1"/>
  <c r="P126" i="110" s="1"/>
  <c r="O131" i="110" a="1"/>
  <c r="O131" i="110" s="1"/>
  <c r="O146" i="110" a="1"/>
  <c r="O146" i="110" s="1"/>
  <c r="N110" i="110" a="1"/>
  <c r="N110" i="110" s="1"/>
  <c r="P111" i="110" a="1"/>
  <c r="P111" i="110" s="1"/>
  <c r="P131" i="110" a="1"/>
  <c r="P131" i="110" s="1"/>
  <c r="O136" i="110" a="1"/>
  <c r="O136" i="110" s="1"/>
  <c r="P150" i="110" a="1"/>
  <c r="P150" i="110" s="1"/>
  <c r="M150" i="110" a="1"/>
  <c r="M150" i="110" s="1"/>
  <c r="N122" i="110" a="1"/>
  <c r="N122" i="110" s="1"/>
  <c r="P114" i="110" a="1"/>
  <c r="P114" i="110" s="1"/>
  <c r="O110" i="110" a="1"/>
  <c r="O110" i="110" s="1"/>
  <c r="M117" i="110" a="1"/>
  <c r="M117" i="110" s="1"/>
  <c r="O122" i="110" a="1"/>
  <c r="O122" i="110" s="1"/>
  <c r="P141" i="110" a="1"/>
  <c r="P141" i="110" s="1"/>
  <c r="N150" i="110" a="1"/>
  <c r="N150" i="110" s="1"/>
  <c r="O133" i="110" a="1"/>
  <c r="O133" i="110" s="1"/>
  <c r="M145" i="110" a="1"/>
  <c r="M145" i="110" s="1"/>
  <c r="O150" i="110" a="1"/>
  <c r="O150" i="110" s="1"/>
  <c r="N145" i="110" a="1"/>
  <c r="N145" i="110" s="1"/>
  <c r="N152" i="110" a="1"/>
  <c r="N152" i="110" s="1"/>
  <c r="N160" i="110" a="1"/>
  <c r="N160" i="110" s="1"/>
  <c r="O145" i="110" a="1"/>
  <c r="O145" i="110" s="1"/>
  <c r="O152" i="110" a="1"/>
  <c r="O152" i="110" s="1"/>
  <c r="P155" i="110" a="1"/>
  <c r="P155" i="110" s="1"/>
  <c r="O160" i="110" a="1"/>
  <c r="O160" i="110" s="1"/>
  <c r="P145" i="110" a="1"/>
  <c r="P145" i="110" s="1"/>
  <c r="N147" i="110" a="1"/>
  <c r="N147" i="110" s="1"/>
  <c r="D106" i="110"/>
  <c r="N132" i="110" l="1" a="1"/>
  <c r="N132" i="110" s="1"/>
  <c r="O128" i="110" a="1"/>
  <c r="O128" i="110" s="1"/>
  <c r="P160" i="110" a="1"/>
  <c r="P160" i="110" s="1"/>
  <c r="M152" i="110" a="1"/>
  <c r="M152" i="110" s="1"/>
  <c r="Q152" i="110" s="1" a="1"/>
  <c r="Q152" i="110" s="1"/>
  <c r="O156" i="110" a="1"/>
  <c r="O156" i="110" s="1"/>
  <c r="O113" i="110" a="1"/>
  <c r="O113" i="110" s="1"/>
  <c r="E38" i="69"/>
  <c r="E64" i="69" s="1"/>
  <c r="E45" i="69"/>
  <c r="E71" i="69" s="1"/>
  <c r="E44" i="69"/>
  <c r="E70" i="69" s="1"/>
  <c r="E43" i="69"/>
  <c r="E69" i="69" s="1"/>
  <c r="E42" i="69"/>
  <c r="E68" i="69" s="1"/>
  <c r="E41" i="69"/>
  <c r="E67" i="69" s="1"/>
  <c r="E40" i="69"/>
  <c r="E66" i="69" s="1"/>
  <c r="P119" i="110" a="1"/>
  <c r="P119" i="110" s="1"/>
  <c r="N127" i="110" a="1"/>
  <c r="N127" i="110" s="1"/>
  <c r="O143" i="110" a="1"/>
  <c r="O143" i="110" s="1"/>
  <c r="M133" i="110" a="1"/>
  <c r="M133" i="110" s="1"/>
  <c r="Q133" i="110" s="1" a="1"/>
  <c r="Q133" i="110" s="1"/>
  <c r="P143" i="110" a="1"/>
  <c r="P143" i="110" s="1"/>
  <c r="P137" i="110" a="1"/>
  <c r="P137" i="110" s="1"/>
  <c r="M154" i="110" a="1"/>
  <c r="M154" i="110" s="1"/>
  <c r="Q154" i="110" s="1" a="1"/>
  <c r="Q154" i="110" s="1"/>
  <c r="O119" i="110" a="1"/>
  <c r="O119" i="110" s="1"/>
  <c r="P135" i="110" a="1"/>
  <c r="P135" i="110" s="1"/>
  <c r="O153" i="110" a="1"/>
  <c r="O153" i="110" s="1"/>
  <c r="M129" i="110" a="1"/>
  <c r="M129" i="110" s="1"/>
  <c r="P123" i="110" a="1"/>
  <c r="P123" i="110" s="1"/>
  <c r="N118" i="110" a="1"/>
  <c r="N118" i="110" s="1"/>
  <c r="O132" i="110" a="1"/>
  <c r="O132" i="110" s="1"/>
  <c r="N137" i="110" a="1"/>
  <c r="N137" i="110" s="1"/>
  <c r="M147" i="110" a="1"/>
  <c r="M147" i="110" s="1"/>
  <c r="Q147" i="110" s="1" a="1"/>
  <c r="Q147" i="110" s="1"/>
  <c r="P124" i="110" a="1"/>
  <c r="P124" i="110" s="1"/>
  <c r="M142" i="110" a="1"/>
  <c r="M142" i="110" s="1"/>
  <c r="N146" i="110" a="1"/>
  <c r="N146" i="110" s="1"/>
  <c r="N134" i="110" a="1"/>
  <c r="N134" i="110" s="1"/>
  <c r="P153" i="110" a="1"/>
  <c r="P153" i="110" s="1"/>
  <c r="N129" i="110" a="1"/>
  <c r="N129" i="110" s="1"/>
  <c r="P142" i="110" a="1"/>
  <c r="P142" i="110" s="1"/>
  <c r="M124" i="110" a="1"/>
  <c r="M124" i="110" s="1"/>
  <c r="N153" i="110" a="1"/>
  <c r="N153" i="110" s="1"/>
  <c r="O125" i="110" a="1"/>
  <c r="O125" i="110" s="1"/>
  <c r="N161" i="110" a="1"/>
  <c r="N161" i="110" s="1"/>
  <c r="O161" i="110" a="1"/>
  <c r="O161" i="110" s="1"/>
  <c r="P128" i="110" a="1"/>
  <c r="P128" i="110" s="1"/>
  <c r="O144" i="110" a="1"/>
  <c r="O144" i="110" s="1"/>
  <c r="O148" i="110" a="1"/>
  <c r="O148" i="110" s="1"/>
  <c r="O129" i="110" a="1"/>
  <c r="O129" i="110" s="1"/>
  <c r="M128" i="110" a="1"/>
  <c r="M128" i="110" s="1"/>
  <c r="P144" i="110" a="1"/>
  <c r="P144" i="110" s="1"/>
  <c r="M148" i="110" a="1"/>
  <c r="M148" i="110" s="1"/>
  <c r="O124" i="110" a="1"/>
  <c r="O124" i="110" s="1"/>
  <c r="M123" i="110" a="1"/>
  <c r="M123" i="110" s="1"/>
  <c r="N138" i="110" a="1"/>
  <c r="N138" i="110" s="1"/>
  <c r="O142" i="110" a="1"/>
  <c r="O142" i="110" s="1"/>
  <c r="N158" i="110" a="1"/>
  <c r="N158" i="110" s="1"/>
  <c r="N116" i="110" a="1"/>
  <c r="N116" i="110" s="1"/>
  <c r="O158" i="110" a="1"/>
  <c r="O158" i="110" s="1"/>
  <c r="O116" i="110" a="1"/>
  <c r="O116" i="110" s="1"/>
  <c r="P134" i="110" a="1"/>
  <c r="P134" i="110" s="1"/>
  <c r="M143" i="110" a="1"/>
  <c r="M143" i="110" s="1"/>
  <c r="O118" i="110" a="1"/>
  <c r="O118" i="110" s="1"/>
  <c r="M116" i="110" a="1"/>
  <c r="M116" i="110" s="1"/>
  <c r="N115" i="110" a="1"/>
  <c r="N115" i="110" s="1"/>
  <c r="Q115" i="110" s="1" a="1"/>
  <c r="Q115" i="110" s="1"/>
  <c r="N125" i="110" a="1"/>
  <c r="N125" i="110" s="1"/>
  <c r="M139" i="110" a="1"/>
  <c r="M139" i="110" s="1"/>
  <c r="M161" i="110" a="1"/>
  <c r="M161" i="110" s="1"/>
  <c r="M144" i="110" a="1"/>
  <c r="M144" i="110" s="1"/>
  <c r="N144" i="110" a="1"/>
  <c r="N144" i="110" s="1"/>
  <c r="P116" i="110" a="1"/>
  <c r="P116" i="110" s="1"/>
  <c r="P148" i="110" a="1"/>
  <c r="P148" i="110" s="1"/>
  <c r="O120" i="110" a="1"/>
  <c r="O120" i="110" s="1"/>
  <c r="N124" i="110" a="1"/>
  <c r="N124" i="110" s="1"/>
  <c r="P161" i="110" a="1"/>
  <c r="P161" i="110" s="1"/>
  <c r="P158" i="110" a="1"/>
  <c r="P158" i="110" s="1"/>
  <c r="M130" i="110" a="1"/>
  <c r="M130" i="110" s="1"/>
  <c r="N157" i="110" a="1"/>
  <c r="N157" i="110" s="1"/>
  <c r="O130" i="110" a="1"/>
  <c r="O130" i="110" s="1"/>
  <c r="O157" i="110" a="1"/>
  <c r="O157" i="110" s="1"/>
  <c r="N120" i="110" a="1"/>
  <c r="N120" i="110" s="1"/>
  <c r="N139" i="110" a="1"/>
  <c r="N139" i="110" s="1"/>
  <c r="P129" i="110" a="1"/>
  <c r="P129" i="110" s="1"/>
  <c r="N128" i="110" a="1"/>
  <c r="N128" i="110" s="1"/>
  <c r="O123" i="110" a="1"/>
  <c r="O123" i="110" s="1"/>
  <c r="N148" i="110" a="1"/>
  <c r="N148" i="110" s="1"/>
  <c r="P113" i="110" a="1"/>
  <c r="P113" i="110" s="1"/>
  <c r="Q113" i="110" s="1" a="1"/>
  <c r="Q113" i="110" s="1"/>
  <c r="M135" i="110" a="1"/>
  <c r="M135" i="110" s="1"/>
  <c r="O134" i="110" a="1"/>
  <c r="O134" i="110" s="1"/>
  <c r="P132" i="110" a="1"/>
  <c r="P132" i="110" s="1"/>
  <c r="N135" i="110" a="1"/>
  <c r="N135" i="110" s="1"/>
  <c r="Q112" i="110" a="1"/>
  <c r="Q112" i="110" s="1"/>
  <c r="M125" i="110" a="1"/>
  <c r="M125" i="110" s="1"/>
  <c r="N142" i="110" a="1"/>
  <c r="N142" i="110" s="1"/>
  <c r="M157" i="110" a="1"/>
  <c r="M157" i="110" s="1"/>
  <c r="M149" i="110" a="1"/>
  <c r="M149" i="110" s="1"/>
  <c r="Q149" i="110" s="1" a="1"/>
  <c r="Q149" i="110" s="1"/>
  <c r="P125" i="110" a="1"/>
  <c r="P125" i="110" s="1"/>
  <c r="N143" i="110" a="1"/>
  <c r="N143" i="110" s="1"/>
  <c r="O139" i="110" a="1"/>
  <c r="O139" i="110" s="1"/>
  <c r="P157" i="110" a="1"/>
  <c r="P157" i="110" s="1"/>
  <c r="P120" i="110" a="1"/>
  <c r="P120" i="110" s="1"/>
  <c r="M146" i="110" a="1"/>
  <c r="M146" i="110" s="1"/>
  <c r="P130" i="110" a="1"/>
  <c r="P130" i="110" s="1"/>
  <c r="Q110" i="110" a="1"/>
  <c r="Q110" i="110" s="1"/>
  <c r="N130" i="110" a="1"/>
  <c r="N130" i="110" s="1"/>
  <c r="P139" i="110" a="1"/>
  <c r="P139" i="110" s="1"/>
  <c r="Q122" i="110" a="1"/>
  <c r="Q122" i="110" s="1"/>
  <c r="Q141" i="110" a="1"/>
  <c r="Q141" i="110" s="1"/>
  <c r="Q117" i="110" a="1"/>
  <c r="Q117" i="110" s="1"/>
  <c r="Q121" i="110" a="1"/>
  <c r="Q121" i="110" s="1"/>
  <c r="Q159" i="110" a="1"/>
  <c r="Q159" i="110" s="1"/>
  <c r="Q156" i="110" a="1"/>
  <c r="Q156" i="110" s="1"/>
  <c r="Q160" i="110" a="1"/>
  <c r="Q160" i="110" s="1"/>
  <c r="Q136" i="110" a="1"/>
  <c r="Q136" i="110" s="1"/>
  <c r="Q126" i="110" a="1"/>
  <c r="Q126" i="110" s="1"/>
  <c r="Q131" i="110" a="1"/>
  <c r="Q131" i="110" s="1"/>
  <c r="Q114" i="110" a="1"/>
  <c r="Q114" i="110" s="1"/>
  <c r="M118" i="110" a="1"/>
  <c r="M118" i="110" s="1"/>
  <c r="Q111" i="110" a="1"/>
  <c r="Q111" i="110" s="1"/>
  <c r="M158" i="110" a="1"/>
  <c r="M158" i="110" s="1"/>
  <c r="M153" i="110" a="1"/>
  <c r="M153" i="110" s="1"/>
  <c r="F67" i="69" a="1"/>
  <c r="F67" i="69" s="1"/>
  <c r="F68" i="69" a="1"/>
  <c r="F68" i="69" s="1"/>
  <c r="F69" i="69" a="1"/>
  <c r="F69" i="69" s="1"/>
  <c r="F71" i="69" a="1"/>
  <c r="F71" i="69" s="1"/>
  <c r="F70" i="69" a="1"/>
  <c r="F70" i="69" s="1"/>
  <c r="Q127" i="110" a="1"/>
  <c r="Q127" i="110" s="1"/>
  <c r="Q155" i="110" a="1"/>
  <c r="Q155" i="110" s="1"/>
  <c r="M138" i="110" a="1"/>
  <c r="M138" i="110" s="1"/>
  <c r="M120" i="110" a="1"/>
  <c r="M120" i="110" s="1"/>
  <c r="M134" i="110" a="1"/>
  <c r="M134" i="110" s="1"/>
  <c r="M151" i="110" a="1"/>
  <c r="M151" i="110" s="1"/>
  <c r="Q151" i="110" s="1" a="1"/>
  <c r="Q151" i="110" s="1"/>
  <c r="Q150" i="110" a="1"/>
  <c r="Q150" i="110" s="1"/>
  <c r="Q145" i="110" a="1"/>
  <c r="Q145" i="110" s="1"/>
  <c r="Q140" i="110" a="1"/>
  <c r="Q140" i="110" s="1"/>
  <c r="K22" i="69" a="1"/>
  <c r="K22" i="69" s="1"/>
  <c r="L22" i="69" s="1"/>
  <c r="E36" i="69" s="1"/>
  <c r="E62" i="69" s="1"/>
  <c r="Q119" i="110" l="1" a="1"/>
  <c r="Q119" i="110" s="1"/>
  <c r="E16" i="13"/>
  <c r="E18" i="13"/>
  <c r="E14" i="13"/>
  <c r="E17" i="13"/>
  <c r="Q132" i="110" a="1"/>
  <c r="Q132" i="110" s="1"/>
  <c r="E15" i="13"/>
  <c r="F15" i="13" s="1"/>
  <c r="Q137" i="110" a="1"/>
  <c r="Q137" i="110" s="1"/>
  <c r="Q153" i="110" a="1"/>
  <c r="Q153" i="110" s="1"/>
  <c r="Q146" i="110" a="1"/>
  <c r="Q146" i="110" s="1"/>
  <c r="Q129" i="110" a="1"/>
  <c r="Q129" i="110" s="1"/>
  <c r="Q118" i="110" a="1"/>
  <c r="Q118" i="110" s="1"/>
  <c r="Q138" i="110" a="1"/>
  <c r="Q138" i="110" s="1"/>
  <c r="Q123" i="110" a="1"/>
  <c r="Q123" i="110" s="1"/>
  <c r="Q128" i="110" a="1"/>
  <c r="Q128" i="110" s="1"/>
  <c r="Q144" i="110" a="1"/>
  <c r="Q144" i="110" s="1"/>
  <c r="Q124" i="110" a="1"/>
  <c r="Q124" i="110" s="1"/>
  <c r="Q148" i="110" a="1"/>
  <c r="Q148" i="110" s="1"/>
  <c r="Q161" i="110" a="1"/>
  <c r="Q161" i="110" s="1"/>
  <c r="Q116" i="110" a="1"/>
  <c r="Q116" i="110" s="1"/>
  <c r="Q143" i="110" a="1"/>
  <c r="Q143" i="110" s="1"/>
  <c r="Q142" i="110" a="1"/>
  <c r="Q142" i="110" s="1"/>
  <c r="E12" i="13"/>
  <c r="F66" i="69" a="1"/>
  <c r="F66" i="69" s="1"/>
  <c r="E13" i="13"/>
  <c r="Q130" i="110" a="1"/>
  <c r="Q130" i="110" s="1"/>
  <c r="Q158" i="110" a="1"/>
  <c r="Q158" i="110" s="1"/>
  <c r="Q135" i="110" a="1"/>
  <c r="Q135" i="110" s="1"/>
  <c r="Q134" i="110" a="1"/>
  <c r="Q134" i="110" s="1"/>
  <c r="Q125" i="110" a="1"/>
  <c r="Q125" i="110" s="1"/>
  <c r="Q139" i="110" a="1"/>
  <c r="Q139" i="110" s="1"/>
  <c r="Q157" i="110" a="1"/>
  <c r="Q157" i="110" s="1"/>
  <c r="Q120" i="110" a="1"/>
  <c r="Q120" i="110" s="1"/>
  <c r="G67" i="69" a="1"/>
  <c r="G67" i="69" s="1"/>
  <c r="F16" i="13"/>
  <c r="G69" i="69" a="1"/>
  <c r="G69" i="69" s="1"/>
  <c r="G68" i="69" a="1"/>
  <c r="G68" i="69" s="1"/>
  <c r="F17" i="13"/>
  <c r="G70" i="69" a="1"/>
  <c r="G70" i="69" s="1"/>
  <c r="F18" i="13"/>
  <c r="G71" i="69" a="1"/>
  <c r="G71" i="69" s="1"/>
  <c r="E11" i="13"/>
  <c r="E10" i="13"/>
  <c r="E9" i="13"/>
  <c r="H14" i="13" l="1"/>
  <c r="I14" i="13" s="1"/>
  <c r="H15" i="13"/>
  <c r="I15" i="13" s="1"/>
  <c r="H18" i="13"/>
  <c r="I18" i="13" s="1"/>
  <c r="H16" i="13"/>
  <c r="I16" i="13" s="1"/>
  <c r="H17" i="13"/>
  <c r="I17" i="13" s="1"/>
  <c r="G66" i="69" a="1"/>
  <c r="G66" i="69" s="1"/>
  <c r="F9" i="13"/>
  <c r="F10" i="13"/>
  <c r="F11" i="13"/>
  <c r="F65" i="69" a="1"/>
  <c r="F65" i="69" s="1"/>
  <c r="F64" i="69" a="1"/>
  <c r="F64" i="69" s="1"/>
  <c r="G64" i="69" s="1" a="1"/>
  <c r="G64" i="69" s="1"/>
  <c r="F63" i="69" a="1"/>
  <c r="F63" i="69" s="1"/>
  <c r="F13" i="13"/>
  <c r="F12" i="13"/>
  <c r="F14" i="13"/>
  <c r="H13" i="13" l="1"/>
  <c r="I13" i="13" s="1"/>
  <c r="H11" i="13"/>
  <c r="I11" i="13" s="1"/>
  <c r="G63" i="69" a="1"/>
  <c r="G63" i="69" s="1"/>
  <c r="G65" i="69" a="1"/>
  <c r="G65" i="69" s="1"/>
  <c r="F62" i="69" a="1"/>
  <c r="F62" i="69" s="1"/>
  <c r="H12" i="13" l="1"/>
  <c r="I12" i="13" s="1"/>
  <c r="H10" i="13"/>
  <c r="I10" i="13" s="1"/>
  <c r="G62" i="69" a="1"/>
  <c r="G62" i="69" s="1"/>
  <c r="H9" i="13" s="1"/>
  <c r="I9" i="13" l="1"/>
  <c r="I19" i="13" s="1"/>
  <c r="E73" i="69"/>
  <c r="H1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<sst xmlns="http://schemas.openxmlformats.org/spreadsheetml/2006/main" count="245" uniqueCount="201">
  <si>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</si>
  <si>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</si>
  <si>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</si>
  <si>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</si>
  <si>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</si>
  <si>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</si>
  <si>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</si>
  <si>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</si>
  <si>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</si>
  <si>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</si>
  <si>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</si>
  <si>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</si>
  <si>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</si>
  <si>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</si>
  <si>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</si>
  <si>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</si>
  <si>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</si>
  <si>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</si>
  <si>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</si>
  <si>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</si>
  <si>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</si>
  <si>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</si>
  <si>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</si>
  <si>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</si>
  <si>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</si>
  <si>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</si>
  <si>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</si>
  <si>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</si>
  <si>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</si>
  <si>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</si>
  <si>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</si>
  <si>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</si>
  <si>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</si>
  <si>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</si>
  <si>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</si>
  <si>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</si>
  <si>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</si>
  <si>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</si>
  <si>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</si>
  <si>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</si>
  <si>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</si>
  <si>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</si>
  <si>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</si>
  <si>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</si>
  <si>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</si>
  <si>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</si>
  <si>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</si>
  <si>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</si>
  <si>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</si>
  <si>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</si>
  <si>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</si>
  <si>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</si>
  <si>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</si>
  <si>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</si>
  <si>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</si>
  <si>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</si>
  <si>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</si>
  <si>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</si>
  <si>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</si>
  <si>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</si>
  <si>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</si>
  <si>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</si>
  <si>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</si>
  <si>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</si>
  <si>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</si>
  <si>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</si>
  <si>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</si>
  <si>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</si>
  <si>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</si>
  <si>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</si>
  <si>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</si>
  <si>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</si>
  <si>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</si>
  <si>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</si>
  <si>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</si>
  <si>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</si>
  <si>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</si>
  <si>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</si>
  <si>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</si>
  <si>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</si>
  <si>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</si>
  <si>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</si>
  <si>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</si>
  <si>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</si>
  <si>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</si>
  <si>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</si>
  <si>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</si>
  <si>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</si>
  <si>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</si>
  <si>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</si>
  <si>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</si>
  <si>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</si>
  <si>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</si>
  <si>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</si>
  <si>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</si>
  <si>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</si>
  <si>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</si>
  <si>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</si>
  <si>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</si>
  <si>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</si>
  <si>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</si>
  <si>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</si>
  <si>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</si>
  <si>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</si>
  <si>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</si>
  <si>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</si>
  <si>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</si>
  <si>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</si>
  <si>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</si>
  <si>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</si>
  <si>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</si>
  <si>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</si>
  <si>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</si>
  <si>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</si>
  <si>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</si>
  <si>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</si>
  <si>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</si>
  <si>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</si>
  <si>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</si>
  <si>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</si>
  <si>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</si>
  <si>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</si>
  <si>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</si>
  <si>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</si>
  <si>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</si>
  <si>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Total capacity</t>
  </si>
  <si>
    <t>Leakage rate (percent)</t>
  </si>
  <si>
    <t>Refrigerant GWP</t>
  </si>
  <si>
    <r>
      <t>E</t>
    </r>
    <r>
      <rPr>
        <b/>
        <vertAlign val="subscript"/>
        <sz val="11"/>
        <color rgb="FF183C1B"/>
        <rFont val="Times New Roman"/>
        <family val="1"/>
      </rPr>
      <t>R</t>
    </r>
  </si>
  <si>
    <t>Refrigerant blend R</t>
  </si>
  <si>
    <r>
      <t>E</t>
    </r>
    <r>
      <rPr>
        <b/>
        <vertAlign val="subscript"/>
        <sz val="11"/>
        <color rgb="FF183C1B"/>
        <rFont val="Times New Roman"/>
        <family val="1"/>
      </rPr>
      <t>Ra</t>
    </r>
  </si>
  <si>
    <t>Domestic A/C split</t>
  </si>
  <si>
    <r>
      <t>E</t>
    </r>
    <r>
      <rPr>
        <b/>
        <vertAlign val="subscript"/>
        <sz val="11"/>
        <color rgb="FF183C1B"/>
        <rFont val="Times New Roman"/>
        <family val="1"/>
      </rPr>
      <t>CO2-e</t>
    </r>
  </si>
  <si>
    <t>Appliance type a</t>
  </si>
  <si>
    <t>CO2-e emissions method 1</t>
  </si>
  <si>
    <t>CO2-e emissions method 2</t>
  </si>
  <si>
    <t>Transport refrigeration</t>
  </si>
  <si>
    <r>
      <t>E</t>
    </r>
    <r>
      <rPr>
        <b/>
        <vertAlign val="subscript"/>
        <sz val="16"/>
        <color theme="1" tint="0.24994659260841701"/>
        <rFont val="Times New Roman"/>
        <family val="1"/>
      </rPr>
      <t>CO2e</t>
    </r>
  </si>
  <si>
    <t>Table_E_CO2e</t>
  </si>
  <si>
    <t>Table_E_R_Appliance</t>
  </si>
  <si>
    <t>Refrigerant leakage emissions by appliance</t>
  </si>
  <si>
    <t>Table_E_R</t>
  </si>
  <si>
    <t>Refrigerant leakage emisssions</t>
  </si>
  <si>
    <t>Refrigerant leakage emisssions carbon dioxide equivalent</t>
  </si>
  <si>
    <t>Office air con units</t>
  </si>
  <si>
    <t>Storage AC</t>
  </si>
  <si>
    <t>Refrigerated trucks</t>
  </si>
  <si>
    <t>R-504</t>
  </si>
  <si>
    <t>9: Refrigerant use: Overview</t>
  </si>
  <si>
    <t>9: Refrigerant use: Results</t>
  </si>
  <si>
    <t>9.1.1.1-2 Refrigerant leakage</t>
  </si>
  <si>
    <t>Input - Refrigerants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</si>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</sst>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sz val="10"/>
      <color theme="1" tint="0.34998626667073579"/>
      <name val="Times New Roman"/>
      <family val="1"/>
    </font>
    <font>
      <i/>
      <sz val="16"/>
      <color theme="1" tint="0.34998626667073579"/>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sz val="9"/>
      <color rgb="FF404040"/>
      <name val="Times New Roman"/>
      <family val="1"/>
    </font>
    <font>
      <u/>
      <sz val="11"/>
      <color theme="10"/>
      <name val="Times New Roman"/>
      <family val="2"/>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2"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3"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8"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1" fillId="4" borderId="0">
      <alignment horizontal="left" vertical="center"/>
    </xf>
    <xf numFmtId="0" fontId="9" fillId="0" borderId="0"/>
    <xf numFmtId="0" fontId="2" fillId="0" borderId="2">
      <alignment horizontal="center" vertical="center"/>
    </xf>
    <xf numFmtId="0" fontId="36" fillId="4" borderId="0">
      <alignment horizontal="left" vertical="center"/>
    </xf>
    <xf numFmtId="0" fontId="37" fillId="4" borderId="0">
      <alignment horizontal="left" vertical="center"/>
    </xf>
    <xf numFmtId="0" fontId="39" fillId="4" borderId="0">
      <alignment horizontal="left" vertical="center"/>
    </xf>
    <xf numFmtId="0" fontId="35" fillId="11" borderId="0">
      <alignment horizontal="center" vertical="center"/>
    </xf>
    <xf numFmtId="0" fontId="20" fillId="11" borderId="0">
      <alignment horizontal="left" vertical="center" indent="1"/>
    </xf>
    <xf numFmtId="0" fontId="41" fillId="14" borderId="2">
      <alignment horizontal="center" vertical="center"/>
    </xf>
    <xf numFmtId="0" fontId="40"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52" fillId="0" borderId="0" applyNumberFormat="0" applyFill="0" applyBorder="0" applyAlignment="0" applyProtection="0"/>
  </cellStyleXfs>
  <cellXfs count="80">
    <xf numFmtId="0" fontId="0" fillId="0" borderId="0" xfId="0"/>
    <xf numFmtId="0" fontId="30" fillId="4" borderId="0" xfId="8">
      <alignment horizontal="left" vertical="center"/>
    </xf>
    <xf numFmtId="0" fontId="3" fillId="4" borderId="0" xfId="7">
      <alignment horizontal="left" vertical="center"/>
    </xf>
    <xf numFmtId="0" fontId="16" fillId="3" borderId="0" xfId="4">
      <alignment vertical="center"/>
    </xf>
    <xf numFmtId="0" fontId="32"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1" fillId="4" borderId="0" xfId="54">
      <alignment horizontal="left" vertical="center"/>
    </xf>
    <xf numFmtId="0" fontId="10" fillId="0" borderId="0" xfId="32"/>
    <xf numFmtId="0" fontId="33" fillId="13" borderId="9" xfId="39" applyBorder="1">
      <alignment horizontal="left" vertical="center"/>
    </xf>
    <xf numFmtId="0" fontId="33" fillId="13" borderId="11" xfId="39" applyBorder="1">
      <alignment horizontal="left" vertical="center"/>
    </xf>
    <xf numFmtId="0" fontId="33" fillId="13" borderId="12" xfId="39" applyBorder="1">
      <alignment horizontal="left" vertical="center"/>
    </xf>
    <xf numFmtId="0" fontId="33" fillId="13" borderId="13" xfId="39" applyBorder="1">
      <alignment horizontal="left" vertical="center"/>
    </xf>
    <xf numFmtId="0" fontId="37" fillId="4" borderId="0" xfId="58">
      <alignment horizontal="left" vertical="center"/>
    </xf>
    <xf numFmtId="0" fontId="36" fillId="4" borderId="0" xfId="57">
      <alignment horizontal="left" vertical="center"/>
    </xf>
    <xf numFmtId="0" fontId="6" fillId="4" borderId="1" xfId="53" applyBorder="1">
      <alignment horizontal="left" vertical="center"/>
    </xf>
    <xf numFmtId="0" fontId="39" fillId="4" borderId="0" xfId="59">
      <alignment horizontal="left" vertical="center"/>
    </xf>
    <xf numFmtId="2" fontId="24" fillId="4" borderId="1" xfId="0" applyNumberFormat="1" applyFont="1" applyFill="1" applyBorder="1" applyAlignment="1">
      <alignment horizontal="center"/>
    </xf>
    <xf numFmtId="0" fontId="35" fillId="11" borderId="0" xfId="60">
      <alignment horizontal="center" vertical="center"/>
    </xf>
    <xf numFmtId="0" fontId="30" fillId="4" borderId="0" xfId="8" applyAlignment="1">
      <alignment horizontal="center" vertical="center"/>
    </xf>
    <xf numFmtId="0" fontId="33"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40" fillId="15" borderId="2" xfId="63">
      <alignment horizontal="center" vertical="center"/>
    </xf>
    <xf numFmtId="0" fontId="41"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43"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4"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3" fillId="13" borderId="14" xfId="39" applyBorder="1">
      <alignment horizontal="left" vertical="center"/>
    </xf>
    <xf numFmtId="0" fontId="33" fillId="13" borderId="15" xfId="39" applyBorder="1">
      <alignment horizontal="left" vertical="center"/>
    </xf>
    <xf numFmtId="0" fontId="33" fillId="13" borderId="16"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0" fillId="4" borderId="1" xfId="8" applyBorder="1">
      <alignment horizontal="left" vertical="center"/>
    </xf>
    <xf numFmtId="0" fontId="9" fillId="4" borderId="1" xfId="55" applyFill="1" applyBorder="1"/>
    <xf numFmtId="0" fontId="46" fillId="4" borderId="2" xfId="52" applyFont="1">
      <alignment horizontal="center" vertical="center"/>
    </xf>
    <xf numFmtId="0" fontId="48" fillId="4" borderId="1" xfId="8" applyFont="1" applyBorder="1">
      <alignment horizontal="left" vertical="center"/>
    </xf>
    <xf numFmtId="0" fontId="50" fillId="4" borderId="1" xfId="8" applyFont="1" applyBorder="1">
      <alignment horizontal="left" vertical="center"/>
    </xf>
    <xf numFmtId="0" fontId="47" fillId="4" borderId="1" xfId="53" applyFont="1" applyBorder="1">
      <alignment horizontal="left" vertical="center"/>
    </xf>
    <xf numFmtId="0" fontId="3" fillId="12" borderId="17" xfId="15" applyBorder="1">
      <alignment horizontal="center" vertical="center"/>
    </xf>
    <xf numFmtId="0" fontId="2" fillId="0" borderId="17" xfId="56" applyBorder="1">
      <alignment horizontal="center" vertical="center"/>
    </xf>
    <xf numFmtId="0" fontId="2" fillId="0" borderId="2" xfId="14">
      <alignment horizontal="center" vertical="center"/>
    </xf>
    <xf numFmtId="0" fontId="51" fillId="9" borderId="4" xfId="34" applyFont="1">
      <alignment horizontal="left" vertical="center" indent="1"/>
    </xf>
    <xf numFmtId="0" fontId="52" fillId="0" borderId="0" xfId="67"/>
  </cellXfs>
  <cellStyles count="68">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Equation table" pivot="0" count="6" xr9:uid="{B247698E-E41D-4CCD-AA0A-C14817E9DE65}">
      <tableStyleElement type="wholeTable" dxfId="54"/>
      <tableStyleElement type="headerRow" dxfId="53"/>
      <tableStyleElement type="totalRow" dxfId="52"/>
      <tableStyleElement type="firstColumn" dxfId="51"/>
      <tableStyleElement type="firstRowStripe" dxfId="50"/>
      <tableStyleElement type="secondRowStripe" dxfId="49"/>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9.1.1.1-2 Refrigerant use'!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9.1.1.1-2 </a:t>
          </a:r>
          <a:br>
            <a:rPr lang="en-AU" sz="1400" b="0">
              <a:solidFill>
                <a:srgbClr val="0C769E"/>
              </a:solidFill>
            </a:rPr>
          </a:br>
          <a:r>
            <a:rPr lang="en-AU" sz="1400" b="0">
              <a:solidFill>
                <a:srgbClr val="0C769E"/>
              </a:solidFill>
            </a:rPr>
            <a:t>Refrigerant</a:t>
          </a:r>
          <a:r>
            <a:rPr lang="en-AU" sz="1400" b="0" baseline="0">
              <a:solidFill>
                <a:srgbClr val="0C769E"/>
              </a:solidFill>
            </a:rPr>
            <a:t>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The total emissions of refrigerant leaking during operation (not during installation or disposal)</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1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m:t>
                        </m:r>
                      </m:sub>
                    </m:sSub>
                    <m:r>
                      <a:rPr lang="en-AU" sz="1100" i="1">
                        <a:latin typeface="Cambria Math" panose="02040503050406030204" pitchFamily="18" charset="0"/>
                      </a:rPr>
                      <m:t>𝑂</m:t>
                    </m:r>
                    <m:r>
                      <a:rPr lang="en-AU" sz="1100" i="1">
                        <a:latin typeface="Cambria Math" panose="02040503050406030204" pitchFamily="18" charset="0"/>
                      </a:rPr>
                      <m:t>2</m:t>
                    </m:r>
                    <m:r>
                      <a:rPr lang="en-AU" sz="1100" i="1">
                        <a:latin typeface="Cambria Math" panose="02040503050406030204" pitchFamily="18" charset="0"/>
                      </a:rPr>
                      <m:t>𝑒</m:t>
                    </m:r>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r>
                      <a:rPr lang="en-AU" sz="1100" i="1">
                        <a:latin typeface="Cambria Math" panose="02040503050406030204" pitchFamily="18" charset="0"/>
                      </a:rPr>
                      <m:t>×</m:t>
                    </m:r>
                    <m:r>
                      <a:rPr lang="en-AU" sz="1100" i="1">
                        <a:latin typeface="Cambria Math" panose="02040503050406030204" pitchFamily="18" charset="0"/>
                      </a:rPr>
                      <m:t>𝐺𝑊</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 𝑂2𝑒=(𝐸_𝑅×10^3 )×𝐺𝑊𝑃_𝑅×10^(−3)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6746A01D-1612-49BB-8917-35F6F366E6B5}" name="Refrigeration unit name" dataCellStyle="Input text"/>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FF960F-68C8-4C83-820D-483244EAE0C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CE70138-A01F-415A-AC00-48AEC73B1842}" name="State/Territory">
      <calculatedColumnFormula array="1">Common_InputFunctions.Utility_DisplayArrayInTable(Common_SourceData.Common_SourceData_AustralianStatesTerritories_Data(),Table_AustralianStates[[#Headers],[State/Territory]],0)</calculatedColumnFormula>
    </tableColumn>
    <tableColumn id="2" xr3:uid="{BFFCA20E-8DF4-4CBE-9D30-7D1AEDB7350F}" name="Common Name">
      <calculatedColumnFormula array="1">Common_InputFunctions.Utility_DisplayArrayInTable(Common_SourceData.Common_SourceData_AustralianStatesTerritories_Data(),Table_AustralianStates[[#Headers],[State/Territory]],0)</calculatedColumnFormula>
    </tableColumn>
    <tableColumn id="3" xr3:uid="{85B24A00-4744-4834-A8D9-F79CFF32DC0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BDFB16-B48A-42E1-BC20-4BCB0CF73195}" name="Table_WASA4Areas" displayName="Table_WASA4Areas" ref="D20:D30" totalsRowShown="0">
  <autoFilter ref="D20:D30" xr:uid="{5FA81339-C6C8-4D36-BEEA-6C4AEDD9E676}">
    <filterColumn colId="0" hiddenButton="1"/>
  </autoFilter>
  <tableColumns count="1">
    <tableColumn id="1" xr3:uid="{86F2DC4F-9ED1-4888-B9D3-421CFC602C0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3F207A3-5859-472F-B8A2-4F67DDD93A58}" name="Table_GWPData" displayName="Table_GWPData" ref="D36:E43" totalsRowShown="0">
  <autoFilter ref="D36:E43" xr:uid="{B8E87A66-3E41-4AD3-925D-01EE21B43D7A}">
    <filterColumn colId="0" hiddenButton="1"/>
    <filterColumn colId="1" hiddenButton="1"/>
  </autoFilter>
  <tableColumns count="2">
    <tableColumn id="1" xr3:uid="{B1428EF8-DA5F-40D8-AB43-D80A9B288D50}" name="Gas">
      <calculatedColumnFormula array="1">Common_InputFunctions.Utility_DisplayArrayInTable(Common_SourceData.Common_SourceData_GWP_Data(), Table_GWPData[[#Headers],[Gas]], 0)</calculatedColumnFormula>
    </tableColumn>
    <tableColumn id="2" xr3:uid="{EABF1A65-EF74-42BB-81F0-16328BC100B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C98D16-F2CD-407C-BF8E-91250FFDC28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7C7A2C2-AC27-4DA3-A987-B651437F04D3}" name="Gas">
      <calculatedColumnFormula array="1">Common_InputFunctions.Utility_DisplayArrayInTable(Common_SourceData.Common_SourceData_ConvertGasElementalToMolecular_Data(),Table_GasToMolecularConversionFactor[[#Headers],[Gas]], 0)</calculatedColumnFormula>
    </tableColumn>
    <tableColumn id="5" xr3:uid="{3318E037-1BE3-46F0-AD41-693428F7E496}" name="Conversion factor">
      <calculatedColumnFormula array="1">Common_InputFunctions.Utility_DisplayArrayInTable(Common_SourceData.Common_SourceData_ConvertGasElementalToMolecular_Data(),Table_GasToMolecularConversionFactor[[#Headers],[Gas]], 0)</calculatedColumnFormula>
    </tableColumn>
    <tableColumn id="2" xr3:uid="{DEB74AF3-DE57-4E9E-8F31-951018661C3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94C4908-E730-497C-9E29-ACBE4FC6DA1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2DC1338-BCDD-45E7-A3D1-B8FAE5E0B18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EBE1667-99E0-4904-BF5C-7513FD440B3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616D516-EDCD-469B-B27A-9FE70FB8A7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1E20C78-061E-45FA-B6F5-3B99ED692A11}"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CB58F730-8884-4A60-9C22-69CBFDBC753D}"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1E701F9E-0A3B-4CC2-90DE-90CC2B271089}"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6DD08309-4336-430C-B323-E7E740F9FD80}"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C26827C4-287B-4804-9490-10E89CF52882}"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87402BC5-5281-4642-82E0-F2AF13DE574F}"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E6348102-E024-4BA4-9D7C-0CD881497D69}"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83FC2F85-A3B5-4FC6-9BB0-DCA57F808023}"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8EF28114-0027-4D45-BAC8-3810B5EEC3B9}"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289F3FFB-1523-4339-8528-B9BA81314382}"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E9F8503C-56EF-45D9-90EB-F4566E508E10}"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1C01B192-DB51-4CC1-8724-0AD8AAE8C95C}"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14C8BC7F-F19C-4BA4-A47F-22B62D84B276}"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B81ACFD4-D71F-44CC-803F-2DBCD395F5C1}"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0C75C199-D3BD-4551-92B5-09F9E17DDC9C}"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DD09743-B354-426E-B4E1-01BAEA514FF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F2B56AD-5A31-4A6A-9AD9-9BAE530D98D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3DBF9A7-6C05-4E89-B754-DF47385CEFAB}"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8AB9309-59F3-4612-BAA9-3835EDC560B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6087FF-3F75-4C1D-B88B-B8E8FD552F3F}" name="Temperature Zone">
      <calculatedColumnFormula array="1">Common_InputFunctions.Utility_DisplayArrayInTable(Common_SourceData.Common_SourceData_TemperatureZones_Data(),Table_SourceData_TemperatureZones[[#Headers],[Temperature Zone]],0)</calculatedColumnFormula>
    </tableColumn>
    <tableColumn id="2" xr3:uid="{AE93901C-BF77-44F1-86B2-D8040BC54372}" name="MAT">
      <calculatedColumnFormula array="1">Common_InputFunctions.Utility_DisplayArrayInTable(Common_SourceData.Common_SourceData_TemperatureZones_Data(),Table_SourceData_TemperatureZones[[#Headers],[Temperature Zone]],0)</calculatedColumnFormula>
    </tableColumn>
    <tableColumn id="3" xr3:uid="{67C3C350-510F-4C9F-8433-22EB98C04D3E}" name="Min MAT">
      <calculatedColumnFormula array="1">Common_InputFunctions.Utility_DisplayArrayInTable(Common_SourceData.Common_SourceData_TemperatureZones_Data(),Table_SourceData_TemperatureZones[[#Headers],[Temperature Zone]],0)</calculatedColumnFormula>
    </tableColumn>
    <tableColumn id="4" xr3:uid="{D7B1E3A4-DDF6-4664-9C0E-E6CB2F1AF92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8D57D50-731F-47C3-9AFC-A0D4F86C5BD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EF3DA-5009-4ED4-92BA-B69D9C5F4CCC}" name="Rainfall Zone">
      <calculatedColumnFormula array="1">Common_InputFunctions.Utility_DisplayArrayInTable(Common_SourceData.Common_SourceData_RainfallZones_Data(),Table_SourceData_RainfallZones[[#Headers],[Rainfall Zone]],0)</calculatedColumnFormula>
    </tableColumn>
    <tableColumn id="2" xr3:uid="{420272B6-1F33-4602-8131-F4B11E3A41ED}" name="Annual rainfall">
      <calculatedColumnFormula array="1">Common_InputFunctions.Utility_DisplayArrayInTable(Common_SourceData.Common_SourceData_RainfallZones_Data(),Table_SourceData_RainfallZones[[#Headers],[Rainfall Zone]],0)</calculatedColumnFormula>
    </tableColumn>
    <tableColumn id="3" xr3:uid="{DE48916E-384F-4592-BDC1-F1956546F844}" name="Min rainfall">
      <calculatedColumnFormula array="1">Common_InputFunctions.Utility_DisplayArrayInTable(Common_SourceData.Common_SourceData_RainfallZones_Data(),Table_SourceData_RainfallZones[[#Headers],[Rainfall Zone]],0)</calculatedColumnFormula>
    </tableColumn>
    <tableColumn id="4" xr3:uid="{25025619-D903-49EC-B8D1-A1E6109A632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39E3241-55ED-443D-90A4-496CF9FE761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C557F4F-14CD-4BCA-9963-058A5DAE4736}" name="Leaching Zone">
      <calculatedColumnFormula array="1">Common_InputFunctions.Utility_DisplayArrayInTable(Common_SourceData.Common_SourceData_LeachingZones_Data(), Table_SourceData_LeachingZones[[#Headers],[Leaching Zone]], 0)</calculatedColumnFormula>
    </tableColumn>
    <tableColumn id="2" xr3:uid="{BEBA2346-AF70-40CB-B13A-257A77D3AFD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5B97020-1A6C-4612-A25C-0491303AAB7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6BFC09A-BF20-4223-9A83-DAC1B8D4AD49}" name="Data source">
      <calculatedColumnFormula array="1">Common_InputFunctions.Utility_DisplayArrayInTable(Common_SourceData.Common_SourceData_DataScores_Scope3_Data(), Table_SourceData_DataScores_Scope3[[#Headers],[Data source]], 0)</calculatedColumnFormula>
    </tableColumn>
    <tableColumn id="2" xr3:uid="{DE32F462-CE7A-4053-AAA5-C4CCC1A98E2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ECE174B-0B47-4582-9A96-015C32F195D3}" name="Table_SourceData_FracWET" displayName="Table_SourceData_FracWET" ref="D134:E136" totalsRowShown="0">
  <autoFilter ref="D134:E136" xr:uid="{308E99BE-FE1F-47A4-B2CA-97217277C4E9}">
    <filterColumn colId="0" hiddenButton="1"/>
    <filterColumn colId="1" hiddenButton="1"/>
  </autoFilter>
  <tableColumns count="2">
    <tableColumn id="1" xr3:uid="{23425424-F6F9-48C6-8D27-F2D240D815D1}" name="Is in leaching zone">
      <calculatedColumnFormula array="1">Common_InputFunctions.Utility_DisplayArrayInTable(Common_SourceData.Common_SourceData_FracWET_Data(),Table_SourceData_FracWET[[#Headers],[Is in leaching zone]],0)</calculatedColumnFormula>
    </tableColumn>
    <tableColumn id="2" xr3:uid="{75E1AF90-6352-44A4-AC25-CB132E2CAEBF}"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67B25CA-A875-4D83-B43B-685A929DFB4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FB4997A-998D-4AF9-9496-4E4F53B103BA}" name="Production system j">
      <calculatedColumnFormula array="1">Common_InputFunctions.Utility_DisplayArrayInTable(Common_SourceData.Common_SourceData_EFN2O_Data(), Table_SourceData_Common_EFN2O[[#Headers],[Production system j]], 0)</calculatedColumnFormula>
    </tableColumn>
    <tableColumn id="2" xr3:uid="{9280494F-3E75-460C-A67A-8775ABD4CD6E}" name="EFN2O">
      <calculatedColumnFormula array="1">Common_InputFunctions.Utility_DisplayArrayInTable(Common_SourceData.Common_SourceData_EFN2O_Data(), Table_SourceData_Common_EFN2O[[#Headers],[Production system j]], 0)</calculatedColumnFormula>
    </tableColumn>
    <tableColumn id="3" xr3:uid="{58876A85-9B41-4C20-ADB6-4C09F27C42E8}" name="Production system only">
      <calculatedColumnFormula array="1">Common_InputFunctions.Utility_DisplayArrayInTable(Common_SourceData.Common_SourceData_EFN2O_Data(), Table_SourceData_Common_EFN2O[[#Headers],[Production system j]], 0)</calculatedColumnFormula>
    </tableColumn>
    <tableColumn id="4" xr3:uid="{425174B0-201D-4276-8276-E1062A83F78B}" name="Irrigation method">
      <calculatedColumnFormula array="1">Common_InputFunctions.Utility_DisplayArrayInTable(Common_SourceData.Common_SourceData_EFN2O_Data(), Table_SourceData_Common_EFN2O[[#Headers],[Production system j]], 0)</calculatedColumnFormula>
    </tableColumn>
    <tableColumn id="5" xr3:uid="{28802C9F-4B49-437A-954B-512D7B57DA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3787AA0-8E54-4429-BD03-51D7CA4052D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45517B3-8C45-4332-9345-980990CEE0D0}" name="Irrigation type i">
      <calculatedColumnFormula array="1">Common_InputFunctions.Utility_DisplayArrayInTable(Common_SourceData.Common_SourceData_FracWETIrrigation_Data(), Table_SourceData_FracWETIrrigation[[#Headers],[Irrigation type i]], 0)</calculatedColumnFormula>
    </tableColumn>
    <tableColumn id="2" xr3:uid="{0B53BB9D-AC09-4B64-859A-EB1FA365719F}"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7473D51-C3E6-42EA-83D4-68B2458A5B6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023919B-4C8B-4D73-8EA3-4A9BCFF455E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7B7A41C-A94C-44F1-971C-0BDD04EBACA4}"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88F9ED54-E087-41B3-8CE3-6E1C40D107A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D27E518-DFA8-452B-BE7E-81D368501F02}" name="Month">
      <calculatedColumnFormula array="1">Common_InputFunctions.Utility_DisplayArrayInTable(Common_SourceData.Common_SourceData_MonthsToSeasons_Data(), Table_SourceData_Common_MonthToSeason[[#Headers],[Month]], 0)</calculatedColumnFormula>
    </tableColumn>
    <tableColumn id="2" xr3:uid="{23C14FEB-5ED1-465A-B6CA-8EE24D6D6EA4}"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B182727-C3A0-4784-A205-E22FA6838BD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147E989-E7E2-4528-B27F-D06F576366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0CA9DA-8B77-417E-9FBB-945980669F6F}"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351961-9C39-40F1-BFC2-EF936A95C376}"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42979BA-F479-490B-A54A-EDE8EB8AB700}"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8F2D01C-CFE0-4E84-9C1A-3BE7B129A730}"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B68C61E-F2AE-4F42-A0C3-A4EBA0DD6B0A}"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89BC835-BB0A-4C65-8958-FC121ED60BCF}"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ABE8D2D-4E1F-4BE1-8381-A17F7949C2AC}"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9CD5880-670C-4329-8308-8F30FF760004}"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29E9F1-84BF-4361-9838-514D7B2E35EE}"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7E1D17-41A2-4848-902C-73174219557B}"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2148681-6588-4E50-9B3B-5C132F50085D}"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E980D23-C619-465F-9148-4FBE8D832F0F}"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EDDD8A8-43F4-4295-B5B4-3208E3ADD398}"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6B1BEDA-382A-4BEF-86DC-87570212B019}"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4D1731-0046-47EB-9540-7AF83807B4D3}"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FC4717C-F168-4B33-8550-10BFDBA034A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0A23638-BFE7-460B-87B2-2AB516F4FCC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3A843BD-7DE3-463A-B6B9-57423F082157}"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BE2FB9C-2B37-4E05-A71A-088C90428FAC}"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ABF263DB-716E-4BC8-AB4D-270CAD5FD84F}" name="Description" dataDxfId="12" dataCellStyle="Content normal"/>
    <tableColumn id="1" xr3:uid="{676B89EA-BC18-4158-A119-17242CDCAC83}" name="ID"/>
    <tableColumn id="3" xr3:uid="{61ACFB45-0ED3-4B17-BF95-D4E8E9FB269A}" name="Score"/>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9B7A703-9AD1-4CB1-B83B-61DCF40AC7E7}"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2BC045AB-0094-4651-84BD-9A71D2387F2E}" name="Description"/>
    <tableColumn id="2" xr3:uid="{F4D82AF7-F5CD-485A-A610-74AC863C9BC3}" name="ID"/>
    <tableColumn id="3" xr3:uid="{30FA63B9-5CEF-4069-8B11-B3B8D807DCC0}" name="Score"/>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F9FA684-27EC-470B-BEB4-3D2ED4707970}"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522E5FC-4EA8-41AB-BC86-73E9B22707B9}" name="Description"/>
    <tableColumn id="2" xr3:uid="{EE35FD9F-8D12-4E3E-8E81-297072F098B7}" name="ID"/>
    <tableColumn id="3" xr3:uid="{E4FBC27C-7264-4492-8E23-1D242CFD91D0}"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AA60DD7-2A54-457F-AB7B-0A92FDA4DC87}"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15EF1146-5208-456D-BF06-742A738F85F9}" name="Description"/>
    <tableColumn id="2" xr3:uid="{F0178CB9-AAD3-4756-8CC7-3555BF6E8599}" name="ID"/>
    <tableColumn id="3" xr3:uid="{CA9B1330-5818-4792-845F-F2CB17A65054}"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20"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19" Type="http://schemas.openxmlformats.org/officeDocument/2006/relationships/table" Target="../tables/table23.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18" sqref="A18"/>
    </sheetView>
  </sheetViews>
  <sheetFormatPr defaultRowHeight="15" x14ac:dyDescent="0.25"/>
  <sheetData>
    <row r="1" spans="1:1" x14ac:dyDescent="0.25">
      <c r="A1" t="s">
        <v>152</v>
      </c>
    </row>
    <row r="3" spans="1:1" x14ac:dyDescent="0.25">
      <c r="A3" s="79" t="str">
        <f>HYPERLINK("#'Home'!A1", "Home")</f>
        <v>Home</v>
      </c>
    </row>
    <row r="6" spans="1:1" x14ac:dyDescent="0.25">
      <c r="A6" s="78" t="s">
        <v>1</v>
      </c>
    </row>
    <row r="7" spans="1:1" ht="15.75" x14ac:dyDescent="0.25">
      <c r="A7" s="12" t="str">
        <f>HYPERLINK("#'Constants - Common'!A1", "Constants - Common")</f>
        <v>Constants - Common</v>
      </c>
    </row>
    <row r="8" spans="1:1" ht="15.75" x14ac:dyDescent="0.25">
      <c r="A8" s="12"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0" t="e" vm="1">
        <v>#VALUE!</v>
      </c>
      <c r="C1" s="55" t="s">
        <v>148</v>
      </c>
      <c r="D1" s="56"/>
      <c r="E1" s="56"/>
      <c r="F1" s="56"/>
      <c r="G1" s="56"/>
      <c r="H1" s="56"/>
      <c r="I1" s="56"/>
      <c r="J1" s="56"/>
      <c r="K1" s="56"/>
      <c r="L1" s="56"/>
      <c r="M1" s="56"/>
      <c r="N1" s="56"/>
      <c r="O1" s="56"/>
      <c r="P1" s="56"/>
    </row>
    <row r="2" spans="1:17" ht="20.100000000000001" customHeight="1" x14ac:dyDescent="0.25">
      <c r="C2" s="56"/>
      <c r="D2" s="56"/>
      <c r="E2" s="56"/>
      <c r="F2" s="56"/>
      <c r="G2" s="56"/>
      <c r="H2" s="56"/>
      <c r="I2" s="56"/>
      <c r="J2" s="56"/>
      <c r="K2" s="56"/>
      <c r="L2" s="56"/>
      <c r="M2" s="56"/>
      <c r="N2" s="56"/>
      <c r="O2" s="56"/>
      <c r="P2" s="56"/>
      <c r="Q2" s="57"/>
    </row>
    <row r="3" spans="1:17" ht="20.100000000000001" customHeight="1" x14ac:dyDescent="0.25">
      <c r="A3" s="12" t="str">
        <f>HYPERLINK("#'Home'!A1", "Home")</f>
        <v>Home</v>
      </c>
      <c r="C3" s="58"/>
      <c r="D3" s="58"/>
      <c r="E3" s="58"/>
      <c r="F3" s="58"/>
      <c r="G3" s="58"/>
      <c r="H3" s="58"/>
      <c r="I3" s="58"/>
      <c r="J3" s="58"/>
      <c r="K3" s="58"/>
      <c r="L3" s="58"/>
      <c r="M3" s="58"/>
      <c r="N3" s="58"/>
      <c r="O3" s="58"/>
      <c r="P3" s="58"/>
    </row>
    <row r="4" spans="1:17" ht="20.100000000000001" customHeight="1" x14ac:dyDescent="0.25">
      <c r="A4" s="44" t="str">
        <f>HYPERLINK("#'Overview'!A1", "Overview")</f>
        <v>Overview</v>
      </c>
    </row>
    <row r="5" spans="1:17" ht="20.100000000000001" customHeight="1" x14ac:dyDescent="0.25">
      <c r="A5" s="12" t="str">
        <f>HYPERLINK("#'Results'!A1", "Results")</f>
        <v>Results</v>
      </c>
      <c r="D5" s="42" t="s">
        <v>83</v>
      </c>
      <c r="E5" s="34"/>
      <c r="F5" s="34"/>
      <c r="G5" s="34"/>
      <c r="H5" s="34"/>
      <c r="I5" s="34"/>
      <c r="J5" s="34"/>
      <c r="K5" s="34"/>
      <c r="L5" s="34"/>
      <c r="M5" s="34"/>
      <c r="N5" s="34"/>
      <c r="O5" s="31"/>
    </row>
    <row r="6" spans="1:17" ht="20.100000000000001" customHeight="1" x14ac:dyDescent="0.25">
      <c r="D6" s="59" t="s">
        <v>84</v>
      </c>
      <c r="E6" s="33"/>
      <c r="F6" s="33"/>
      <c r="G6" s="33"/>
      <c r="H6" s="33"/>
      <c r="I6" s="33"/>
      <c r="J6" s="33"/>
      <c r="K6" s="33"/>
      <c r="L6" s="33"/>
      <c r="M6" s="33"/>
      <c r="N6" s="33"/>
      <c r="O6" s="32"/>
    </row>
    <row r="7" spans="1:17" ht="20.100000000000001" customHeight="1" x14ac:dyDescent="0.25"/>
    <row r="8" spans="1:17" ht="20.100000000000001" customHeight="1" x14ac:dyDescent="0.25">
      <c r="A8" s="14" t="s">
        <v>0</v>
      </c>
    </row>
    <row r="9" spans="1:17" ht="20.100000000000001" customHeight="1" x14ac:dyDescent="0.25">
      <c r="A9" s="12" t="str">
        <f>HYPERLINK("#'Input - Refrigerants'!A1", "Refrigerants")</f>
        <v>Refrigerants</v>
      </c>
    </row>
    <row r="10" spans="1:17" ht="20.100000000000001" customHeight="1" x14ac:dyDescent="0.25"/>
    <row r="11" spans="1:17" ht="20.100000000000001" customHeight="1" x14ac:dyDescent="0.25"/>
    <row r="12" spans="1:17" ht="20.100000000000001" customHeight="1" x14ac:dyDescent="0.25">
      <c r="A12" s="13" t="s">
        <v>44</v>
      </c>
    </row>
    <row r="13" spans="1:17" ht="20.100000000000001" customHeight="1" x14ac:dyDescent="0.25">
      <c r="A13" s="12" t="str">
        <f>HYPERLINK("#'9.1.1.1-2 Refrigerant use'!A1", "9.1.1.1-2 Refrigerant use")</f>
        <v>9.1.1.1-2 Refrigerant use</v>
      </c>
    </row>
    <row r="14" spans="1:17" ht="20.100000000000001" customHeight="1" x14ac:dyDescent="0.25">
      <c r="O14" s="1" t="s">
        <v>86</v>
      </c>
    </row>
    <row r="15" spans="1:17" ht="20.100000000000001" customHeight="1" x14ac:dyDescent="0.25"/>
    <row r="16" spans="1:17" ht="20.100000000000001" customHeight="1" x14ac:dyDescent="0.25">
      <c r="A16" s="78" t="s">
        <v>1</v>
      </c>
    </row>
    <row r="17" spans="1:1" ht="20.100000000000001" customHeight="1" x14ac:dyDescent="0.25">
      <c r="A17" s="12" t="str">
        <f>HYPERLINK("#'Constants - Refrigerants'!A1", "Constants - Refrigerants")</f>
        <v>Constants - Refrigerants</v>
      </c>
    </row>
    <row r="18" spans="1:1" ht="20.100000000000001" customHeight="1" x14ac:dyDescent="0.25">
      <c r="A18" s="12" t="str">
        <f>HYPERLINK("#'Constants - Common'!A1", "Constants - Common")</f>
        <v>Constants - Common</v>
      </c>
    </row>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8" sqref="A18"/>
    </sheetView>
  </sheetViews>
  <sheetFormatPr defaultRowHeight="15" x14ac:dyDescent="0.25"/>
  <cols>
    <col min="1" max="1" width="30.7109375" customWidth="1"/>
    <col min="2" max="3" width="2.7109375" customWidth="1"/>
    <col min="4" max="4" width="62.42578125" customWidth="1"/>
    <col min="5" max="10" width="30.7109375" customWidth="1"/>
    <col min="11" max="11" width="7.42578125" customWidth="1"/>
    <col min="12" max="26" width="28.7109375" customWidth="1"/>
  </cols>
  <sheetData>
    <row r="1" spans="1:11" ht="30" customHeight="1" x14ac:dyDescent="0.35">
      <c r="A1" s="30" t="e" vm="1">
        <v>#VALUE!</v>
      </c>
      <c r="C1" s="55" t="s">
        <v>149</v>
      </c>
    </row>
    <row r="2" spans="1:11" ht="20.100000000000001" customHeight="1" x14ac:dyDescent="0.25">
      <c r="C2" s="8"/>
    </row>
    <row r="3" spans="1:11" ht="20.100000000000001" customHeight="1" x14ac:dyDescent="0.25">
      <c r="A3" s="12" t="str">
        <f>HYPERLINK("#'Home'!A1", "Home")</f>
        <v>Home</v>
      </c>
      <c r="C3" s="15"/>
      <c r="D3" s="15"/>
      <c r="E3" s="15"/>
      <c r="F3" s="15"/>
      <c r="G3" s="15"/>
      <c r="H3" s="15"/>
      <c r="I3" s="15"/>
      <c r="J3" s="15"/>
      <c r="K3" s="15"/>
    </row>
    <row r="4" spans="1:11" ht="20.100000000000001" customHeight="1" x14ac:dyDescent="0.25">
      <c r="A4" s="12" t="str">
        <f>HYPERLINK("#'Overview'!A1", "Overview")</f>
        <v>Overview</v>
      </c>
      <c r="C4" s="15"/>
      <c r="D4" s="5" t="s">
        <v>2</v>
      </c>
      <c r="E4" s="16"/>
      <c r="F4" s="16"/>
      <c r="G4" s="16"/>
      <c r="H4" s="16"/>
      <c r="I4" s="16"/>
      <c r="J4" s="16"/>
      <c r="K4" s="17"/>
    </row>
    <row r="5" spans="1:11" ht="20.100000000000001" customHeight="1" x14ac:dyDescent="0.3">
      <c r="A5" s="44" t="str">
        <f>HYPERLINK("#'Results'!A1", "Results")</f>
        <v>Results</v>
      </c>
      <c r="C5" s="15"/>
      <c r="D5" s="18"/>
      <c r="E5" s="19"/>
      <c r="F5" s="19"/>
      <c r="G5" s="19"/>
      <c r="H5" s="19"/>
      <c r="I5" s="19"/>
      <c r="J5" s="19"/>
      <c r="K5" s="15"/>
    </row>
    <row r="6" spans="1:11" ht="20.100000000000001" customHeight="1" x14ac:dyDescent="0.25">
      <c r="C6" s="15"/>
      <c r="D6" s="62" t="s">
        <v>80</v>
      </c>
      <c r="E6" s="64"/>
      <c r="F6" s="15"/>
      <c r="G6" s="15"/>
      <c r="H6" s="15"/>
      <c r="I6" s="15"/>
      <c r="J6" s="15"/>
      <c r="K6" s="15"/>
    </row>
    <row r="7" spans="1:11" ht="20.100000000000001" customHeight="1" x14ac:dyDescent="0.25">
      <c r="C7" s="15"/>
      <c r="D7" s="15"/>
      <c r="E7" s="15"/>
      <c r="F7" s="15"/>
      <c r="G7" s="15"/>
      <c r="H7" s="15"/>
      <c r="I7" s="15"/>
      <c r="J7" s="15"/>
      <c r="K7" s="15"/>
    </row>
    <row r="8" spans="1:11" ht="20.100000000000001" customHeight="1" x14ac:dyDescent="0.25">
      <c r="A8" s="14" t="s">
        <v>0</v>
      </c>
      <c r="C8" s="15"/>
      <c r="D8" s="40" t="s">
        <v>49</v>
      </c>
      <c r="E8" s="40" t="s">
        <v>60</v>
      </c>
      <c r="F8" s="40" t="s">
        <v>61</v>
      </c>
      <c r="G8" s="40" t="s">
        <v>55</v>
      </c>
      <c r="H8" s="40" t="s">
        <v>134</v>
      </c>
      <c r="I8" s="40" t="s">
        <v>135</v>
      </c>
      <c r="J8" s="40"/>
      <c r="K8" s="15"/>
    </row>
    <row r="9" spans="1:11" ht="20.100000000000001" customHeight="1" x14ac:dyDescent="0.25">
      <c r="A9" s="12" t="str">
        <f>HYPERLINK("#'Input - Refrigerants'!A1", "Refrigerants")</f>
        <v>Refrigerants</v>
      </c>
      <c r="C9" s="15"/>
      <c r="D9" s="1" t="s">
        <v>150</v>
      </c>
      <c r="E9" s="54">
        <f>VEERG_9_1_1__1_RefrigerantLeaking_Result_Blend1_Value_Method1</f>
        <v>8.5000000000000006E-4</v>
      </c>
      <c r="F9" s="54">
        <f>E9</f>
        <v>8.5000000000000006E-4</v>
      </c>
      <c r="G9" s="28" t="str">
        <f>IF(ISBLANK(VEERG_9_1_1__1_RefrigerantLeaking_Result_Blend1_Name_Method1), "", "t " &amp; VEERG_9_1_1__1_RefrigerantLeaking_Result_Blend1_Name_Method1)</f>
        <v>t R-402A</v>
      </c>
      <c r="H9" s="54">
        <f>INDEX(Table_E_CO2e,2,4)</f>
        <v>1.1860424000000003</v>
      </c>
      <c r="I9" s="54">
        <f>H9</f>
        <v>1.1860424000000003</v>
      </c>
      <c r="J9" s="28" t="str">
        <f>IF(ISBLANK(VEERG_9_1_1__1_RefrigerantLeaking_Result_Blend1_Name_Method1), "", "t CO2e")</f>
        <v>t CO2e</v>
      </c>
      <c r="K9" s="15"/>
    </row>
    <row r="10" spans="1:11" ht="20.100000000000001" customHeight="1" x14ac:dyDescent="0.25">
      <c r="C10" s="15"/>
      <c r="D10" s="1"/>
      <c r="E10" s="54">
        <f>VEERG_9_1_1__1_RefrigerantLeaking_Result_Blend2_Value_Method1</f>
        <v>1.7500000000000003E-3</v>
      </c>
      <c r="F10" s="54">
        <f t="shared" ref="F10:F18" si="0">E10</f>
        <v>1.7500000000000003E-3</v>
      </c>
      <c r="G10" s="28" t="str">
        <f>IF(ISBLANK(VEERG_9_1_1__1_RefrigerantLeaking_Result_Blend2_Name_Method1), "", "t " &amp; VEERG_9_1_1__1_RefrigerantLeaking_Result_Blend2_Name_Method1)</f>
        <v>t R-422B</v>
      </c>
      <c r="H10" s="54">
        <f>INDEX(Table_E_CO2e,3,4)</f>
        <v>2.0794287500000004</v>
      </c>
      <c r="I10" s="54">
        <f t="shared" ref="I10:I18" si="1">H10</f>
        <v>2.0794287500000004</v>
      </c>
      <c r="J10" s="28" t="str">
        <f>IF(ISBLANK(VEERG_9_1_1__1_RefrigerantLeaking_Result_Blend2_Name_Method1), "", "t CO2e")</f>
        <v>t CO2e</v>
      </c>
      <c r="K10" s="15"/>
    </row>
    <row r="11" spans="1:11" ht="20.100000000000001" customHeight="1" x14ac:dyDescent="0.25">
      <c r="C11" s="15"/>
      <c r="D11" s="1"/>
      <c r="E11" s="54">
        <f>VEERG_9_1_1__1_RefrigerantLeaking_Result_Blend3_Value_Method1</f>
        <v>1.2210000000000002E-2</v>
      </c>
      <c r="F11" s="54">
        <f t="shared" si="0"/>
        <v>1.2210000000000002E-2</v>
      </c>
      <c r="G11" s="28" t="str">
        <f>IF(ISBLANK(VEERG_9_1_1__1_RefrigerantLeaking_Result_Blend3_Name_Method1), "", "t " &amp; VEERG_9_1_1__1_RefrigerantLeaking_Result_Blend3_Name_Method1)</f>
        <v>t R-400 60/40</v>
      </c>
      <c r="H11" s="54">
        <f>INDEX(Table_E_CO2e,4,4)</f>
        <v>70.007256000000027</v>
      </c>
      <c r="I11" s="54">
        <f t="shared" si="1"/>
        <v>70.007256000000027</v>
      </c>
      <c r="J11" s="28" t="str">
        <f>IF(ISBLANK(VEERG_9_1_1__1_RefrigerantLeaking_Result_Blend3_Name_Method1), "", "t CO2e")</f>
        <v>t CO2e</v>
      </c>
      <c r="K11" s="15"/>
    </row>
    <row r="12" spans="1:11" ht="20.100000000000001" customHeight="1" x14ac:dyDescent="0.25">
      <c r="A12" s="13" t="s">
        <v>44</v>
      </c>
      <c r="C12" s="15"/>
      <c r="D12" s="1"/>
      <c r="E12" s="54">
        <f>VEERG_9_1_1__1_RefrigerantLeaking_Result_Blend4_Value_Method1</f>
        <v>1.5699999999999999E-2</v>
      </c>
      <c r="F12" s="54">
        <f t="shared" si="0"/>
        <v>1.5699999999999999E-2</v>
      </c>
      <c r="G12" s="28" t="str">
        <f>IF(ISBLANK(VEERG_9_1_1__1_RefrigerantLeaking_Result_Blend4_Name_Method1), "", "t " &amp; VEERG_9_1_1__1_RefrigerantLeaking_Result_Blend4_Name_Method1)</f>
        <v>t R-504</v>
      </c>
      <c r="H12" s="54">
        <f>INDEX(Table_E_CO2e,5,4)</f>
        <v>34.780656319599998</v>
      </c>
      <c r="I12" s="54">
        <f t="shared" si="1"/>
        <v>34.780656319599998</v>
      </c>
      <c r="J12" s="28" t="str">
        <f>IF(ISBLANK(VEERG_9_1_1__1_RefrigerantLeaking_Result_Blend4_Name_Method1), "", "t CO2e")</f>
        <v>t CO2e</v>
      </c>
      <c r="K12" s="15"/>
    </row>
    <row r="13" spans="1:11" ht="20.100000000000001" customHeight="1" x14ac:dyDescent="0.25">
      <c r="A13" s="12" t="str">
        <f>HYPERLINK("#'9.1.1.1-2 Refrigerant use'!A1", "9.1.1.1-2 Refrigerant use")</f>
        <v>9.1.1.1-2 Refrigerant use</v>
      </c>
      <c r="C13" s="15"/>
      <c r="D13" s="1"/>
      <c r="E13" s="54">
        <f>VEERG_9_1_1__1_RefrigerantLeaking_Result_Blend5_Value_Method1</f>
        <v>0</v>
      </c>
      <c r="F13" s="54">
        <f t="shared" si="0"/>
        <v>0</v>
      </c>
      <c r="G13" s="28" t="str">
        <f>IF(ISBLANK(VEERG_9_1_1__1_RefrigerantLeaking_Result_Blend5_Name_Method1), "", "t " &amp; VEERG_9_1_1__1_RefrigerantLeaking_Result_Blend5_Name_Method1)</f>
        <v/>
      </c>
      <c r="H13" s="54">
        <f>INDEX(Table_E_CO2e,6,4)</f>
        <v>0</v>
      </c>
      <c r="I13" s="54">
        <f t="shared" si="1"/>
        <v>0</v>
      </c>
      <c r="J13" s="28" t="str">
        <f>IF(ISBLANK(VEERG_9_1_1__1_RefrigerantLeaking_Result_Blend5_Name_Method1), "", "t CO2e")</f>
        <v/>
      </c>
      <c r="K13" s="15"/>
    </row>
    <row r="14" spans="1:11" ht="20.100000000000001" customHeight="1" x14ac:dyDescent="0.25">
      <c r="C14" s="15"/>
      <c r="D14" s="1"/>
      <c r="E14" s="54">
        <f>VEERG_9_1_1__1_RefrigerantLeaking_Result_Blend6_Value_Method1</f>
        <v>0</v>
      </c>
      <c r="F14" s="54">
        <f t="shared" si="0"/>
        <v>0</v>
      </c>
      <c r="G14" s="28" t="str">
        <f>IF(ISBLANK(VEERG_9_1_1__1_RefrigerantLeaking_Result_Blend6_Name_Method1), "", "t " &amp; VEERG_9_1_1__1_RefrigerantLeaking_Result_Blend6_Name_Method1)</f>
        <v/>
      </c>
      <c r="H14" s="54">
        <f>INDEX(Table_E_CO2e,7,4)</f>
        <v>0</v>
      </c>
      <c r="I14" s="54">
        <f t="shared" si="1"/>
        <v>0</v>
      </c>
      <c r="J14" s="28" t="str">
        <f>IF(ISBLANK(VEERG_9_1_1__1_RefrigerantLeaking_Result_Blend6_Name_Method1), "", "t CO2e")</f>
        <v/>
      </c>
      <c r="K14" s="15"/>
    </row>
    <row r="15" spans="1:11" ht="20.100000000000001" customHeight="1" x14ac:dyDescent="0.25">
      <c r="C15" s="15"/>
      <c r="D15" s="1"/>
      <c r="E15" s="54">
        <f>VEERG_9_1_1__1_RefrigerantLeaking_Result_Blend7_Value_Method1</f>
        <v>0</v>
      </c>
      <c r="F15" s="54">
        <f t="shared" si="0"/>
        <v>0</v>
      </c>
      <c r="G15" s="28" t="str">
        <f>IF(ISBLANK(VEERG_9_1_1__1_RefrigerantLeaking_Result_Blend7_Name_Method1), "", "t " &amp; VEERG_9_1_1__1_RefrigerantLeaking_Result_Blend7_Name_Method1)</f>
        <v/>
      </c>
      <c r="H15" s="54">
        <f>INDEX(Table_E_CO2e,8,4)</f>
        <v>0</v>
      </c>
      <c r="I15" s="54">
        <f t="shared" si="1"/>
        <v>0</v>
      </c>
      <c r="J15" s="28" t="str">
        <f>IF(ISBLANK(VEERG_9_1_1__1_RefrigerantLeaking_Result_Blend7_Name_Method1), "", "t CO2e")</f>
        <v/>
      </c>
      <c r="K15" s="15"/>
    </row>
    <row r="16" spans="1:11" ht="20.100000000000001" customHeight="1" x14ac:dyDescent="0.25">
      <c r="A16" s="78" t="s">
        <v>1</v>
      </c>
      <c r="C16" s="15"/>
      <c r="D16" s="1"/>
      <c r="E16" s="54">
        <f>VEERG_9_1_1__1_RefrigerantLeaking_Result_Blend8_Value_Method1</f>
        <v>0</v>
      </c>
      <c r="F16" s="54">
        <f t="shared" si="0"/>
        <v>0</v>
      </c>
      <c r="G16" s="28" t="str">
        <f>IF(ISBLANK(VEERG_9_1_1__1_RefrigerantLeaking_Result_Blend8_Name_Method1), "", "t " &amp; VEERG_9_1_1__1_RefrigerantLeaking_Result_Blend8_Name_Method1)</f>
        <v/>
      </c>
      <c r="H16" s="54">
        <f>INDEX(Table_E_CO2e,9,4)</f>
        <v>0</v>
      </c>
      <c r="I16" s="54">
        <f t="shared" si="1"/>
        <v>0</v>
      </c>
      <c r="J16" s="28" t="str">
        <f>IF(ISBLANK(VEERG_9_1_1__1_RefrigerantLeaking_Result_Blend8_Name_Method1), "", "t CO2e")</f>
        <v/>
      </c>
      <c r="K16" s="15"/>
    </row>
    <row r="17" spans="1:11" ht="20.100000000000001" customHeight="1" x14ac:dyDescent="0.25">
      <c r="A17" s="12" t="str">
        <f>HYPERLINK("#'Constants - Refrigerants'!A1", "Constants - Refrigerants")</f>
        <v>Constants - Refrigerants</v>
      </c>
      <c r="C17" s="15"/>
      <c r="D17" s="1"/>
      <c r="E17" s="54">
        <f>VEERG_9_1_1__1_RefrigerantLeaking_Result_Blend9_Value_Method1</f>
        <v>0</v>
      </c>
      <c r="F17" s="54">
        <f t="shared" si="0"/>
        <v>0</v>
      </c>
      <c r="G17" s="28" t="str">
        <f>IF(ISBLANK(VEERG_9_1_1__1_RefrigerantLeaking_Result_Blend9_Name_Method1), "", "t " &amp; VEERG_9_1_1__1_RefrigerantLeaking_Result_Blend9_Name_Method1)</f>
        <v/>
      </c>
      <c r="H17" s="54">
        <f>INDEX(Table_E_CO2e,10,4)</f>
        <v>0</v>
      </c>
      <c r="I17" s="54">
        <f t="shared" si="1"/>
        <v>0</v>
      </c>
      <c r="J17" s="28" t="str">
        <f>IF(ISBLANK(VEERG_9_1_1__1_RefrigerantLeaking_Result_Blend9_Name_Method1), "", "t CO2e")</f>
        <v/>
      </c>
      <c r="K17" s="15"/>
    </row>
    <row r="18" spans="1:11" ht="20.100000000000001" customHeight="1" x14ac:dyDescent="0.25">
      <c r="A18" s="12" t="str">
        <f>HYPERLINK("#'Constants - Common'!A1", "Constants - Common")</f>
        <v>Constants - Common</v>
      </c>
      <c r="C18" s="15"/>
      <c r="D18" s="1"/>
      <c r="E18" s="54">
        <f>VEERG_9_1_1__1_RefrigerantLeaking_Result_Blend10_Value_Method1</f>
        <v>0</v>
      </c>
      <c r="F18" s="54">
        <f t="shared" si="0"/>
        <v>0</v>
      </c>
      <c r="G18" s="28" t="str">
        <f>IF(ISBLANK(VEERG_9_1_1__1_RefrigerantLeaking_Result_Blend10_Name_Method1), "", "t " &amp; VEERG_9_1_1__1_RefrigerantLeaking_Result_Blend10_Name_Method1)</f>
        <v/>
      </c>
      <c r="H18" s="54">
        <f>INDEX(Table_E_CO2e,11,4)</f>
        <v>0</v>
      </c>
      <c r="I18" s="54">
        <f t="shared" si="1"/>
        <v>0</v>
      </c>
      <c r="J18" s="28" t="str">
        <f>IF(ISBLANK(VEERG_9_1_1__1_RefrigerantLeaking_Result_Blend10_Name_Method1), "", "t CO2e")</f>
        <v/>
      </c>
      <c r="K18" s="15"/>
    </row>
    <row r="19" spans="1:11" ht="20.100000000000001" customHeight="1" x14ac:dyDescent="0.3">
      <c r="C19" s="15"/>
      <c r="D19" s="21" t="s">
        <v>54</v>
      </c>
      <c r="E19" s="39"/>
      <c r="F19" s="39"/>
      <c r="G19" s="39"/>
      <c r="H19" s="39">
        <f>SUM(H9:H18)</f>
        <v>108.05338346960002</v>
      </c>
      <c r="I19" s="39">
        <f>SUM(I9:I18)</f>
        <v>108.05338346960002</v>
      </c>
      <c r="J19" s="37" t="s">
        <v>58</v>
      </c>
      <c r="K19" s="15"/>
    </row>
    <row r="20" spans="1:11" ht="20.100000000000001" customHeight="1" x14ac:dyDescent="0.25">
      <c r="C20" s="15"/>
      <c r="D20" s="1"/>
      <c r="E20" s="1"/>
      <c r="F20" s="1"/>
      <c r="G20" s="1"/>
      <c r="H20" s="1"/>
      <c r="I20" s="1"/>
      <c r="J20" s="1"/>
      <c r="K20" s="15"/>
    </row>
    <row r="21" spans="1:11" ht="20.100000000000001" customHeight="1" x14ac:dyDescent="0.25">
      <c r="C21" s="15"/>
      <c r="D21" s="1"/>
      <c r="E21" s="41"/>
      <c r="F21" s="28"/>
      <c r="G21" s="1"/>
      <c r="H21" s="1"/>
      <c r="I21" s="1"/>
      <c r="J21" s="1"/>
      <c r="K21" s="15"/>
    </row>
    <row r="22" spans="1:11" ht="20.100000000000001" customHeight="1" x14ac:dyDescent="0.25">
      <c r="C22" s="15"/>
      <c r="D22" s="1"/>
      <c r="E22" s="41"/>
      <c r="F22" s="28"/>
      <c r="G22" s="1"/>
      <c r="H22" s="1"/>
      <c r="I22" s="1"/>
      <c r="J22" s="1"/>
      <c r="K22" s="15"/>
    </row>
    <row r="23" spans="1:11" ht="20.100000000000001" customHeight="1" x14ac:dyDescent="0.25">
      <c r="C23" s="15"/>
      <c r="D23" s="1"/>
      <c r="E23" s="1"/>
      <c r="F23" s="1"/>
      <c r="G23" s="1"/>
      <c r="H23" s="1"/>
      <c r="I23" s="1"/>
      <c r="J23" s="1"/>
      <c r="K23" s="15"/>
    </row>
    <row r="24" spans="1:11" ht="20.100000000000001" customHeight="1" x14ac:dyDescent="0.25">
      <c r="C24" s="15"/>
      <c r="D24" s="1"/>
      <c r="E24" s="1"/>
      <c r="F24" s="1"/>
      <c r="G24" s="1"/>
      <c r="H24" s="1"/>
      <c r="I24" s="1"/>
      <c r="J24" s="1"/>
      <c r="K24" s="15"/>
    </row>
    <row r="25" spans="1:11" ht="20.100000000000001" customHeight="1" x14ac:dyDescent="0.25">
      <c r="C25" s="15"/>
      <c r="D25" s="1"/>
      <c r="E25" s="1"/>
      <c r="F25" s="1"/>
      <c r="G25" s="1"/>
      <c r="H25" s="1"/>
      <c r="I25" s="1"/>
      <c r="J25" s="1"/>
      <c r="K25" s="15"/>
    </row>
    <row r="26" spans="1:11" ht="20.100000000000001" customHeight="1" x14ac:dyDescent="0.25">
      <c r="C26" s="15"/>
      <c r="D26" s="1"/>
      <c r="E26" s="1"/>
      <c r="F26" s="1"/>
      <c r="G26" s="1"/>
      <c r="H26" s="1"/>
      <c r="I26" s="1"/>
      <c r="J26" s="1"/>
      <c r="K26" s="15"/>
    </row>
    <row r="27" spans="1:11" ht="20.100000000000001" customHeight="1" x14ac:dyDescent="0.25">
      <c r="C27" s="15"/>
      <c r="D27" s="1"/>
      <c r="E27" s="1"/>
      <c r="F27" s="1"/>
      <c r="G27" s="1"/>
      <c r="H27" s="1"/>
      <c r="I27" s="1"/>
      <c r="J27" s="1"/>
      <c r="K27" s="15"/>
    </row>
    <row r="28" spans="1:11" ht="20.100000000000001" customHeight="1" x14ac:dyDescent="0.25">
      <c r="C28" s="15"/>
      <c r="D28" s="1"/>
      <c r="E28" s="1"/>
      <c r="F28" s="1"/>
      <c r="G28" s="1"/>
      <c r="H28" s="1"/>
      <c r="I28" s="1"/>
      <c r="J28" s="1"/>
      <c r="K28" s="15"/>
    </row>
    <row r="29" spans="1:11" ht="20.100000000000001" customHeight="1" x14ac:dyDescent="0.25">
      <c r="C29" s="15"/>
      <c r="D29" s="1"/>
      <c r="E29" s="1"/>
      <c r="F29" s="1"/>
      <c r="G29" s="1"/>
      <c r="H29" s="1"/>
      <c r="I29" s="1"/>
      <c r="J29" s="1"/>
      <c r="K29" s="15"/>
    </row>
    <row r="30" spans="1:11" ht="20.100000000000001" customHeight="1" x14ac:dyDescent="0.25">
      <c r="C30" s="15"/>
      <c r="D30" s="1"/>
      <c r="E30" s="1"/>
      <c r="F30" s="1"/>
      <c r="G30" s="1"/>
      <c r="H30" s="1"/>
      <c r="I30" s="1"/>
      <c r="J30" s="1"/>
      <c r="K30" s="15"/>
    </row>
    <row r="31" spans="1:11" ht="20.100000000000001" customHeight="1" x14ac:dyDescent="0.25">
      <c r="C31" s="15"/>
      <c r="D31" s="1"/>
      <c r="E31" s="1"/>
      <c r="F31" s="1"/>
      <c r="G31" s="1"/>
      <c r="H31" s="1"/>
      <c r="I31" s="1"/>
      <c r="J31" s="1"/>
      <c r="K31" s="15"/>
    </row>
    <row r="32" spans="1:11" ht="20.100000000000001" customHeight="1" x14ac:dyDescent="0.25">
      <c r="C32" s="15"/>
      <c r="D32" s="1"/>
      <c r="E32" s="1"/>
      <c r="F32" s="1"/>
      <c r="G32" s="1"/>
      <c r="H32" s="1"/>
      <c r="I32" s="1"/>
      <c r="J32" s="1"/>
      <c r="K32" s="15"/>
    </row>
    <row r="33" spans="3:11" ht="20.100000000000001" customHeight="1" x14ac:dyDescent="0.25">
      <c r="C33" s="15"/>
      <c r="D33" s="1"/>
      <c r="E33" s="1"/>
      <c r="F33" s="1"/>
      <c r="G33" s="1"/>
      <c r="H33" s="1"/>
      <c r="I33" s="1"/>
      <c r="J33" s="1"/>
      <c r="K33" s="15"/>
    </row>
    <row r="34" spans="3:11" ht="20.100000000000001" customHeight="1" x14ac:dyDescent="0.25">
      <c r="C34" s="15"/>
      <c r="D34" s="1"/>
      <c r="E34" s="1"/>
      <c r="F34" s="1"/>
      <c r="G34" s="1"/>
      <c r="H34" s="1"/>
      <c r="I34" s="1"/>
      <c r="J34" s="1"/>
      <c r="K34" s="15"/>
    </row>
    <row r="35" spans="3:11" ht="20.100000000000001" customHeight="1" x14ac:dyDescent="0.25">
      <c r="C35" s="15"/>
      <c r="D35" s="1"/>
      <c r="E35" s="1"/>
      <c r="F35" s="1"/>
      <c r="G35" s="1"/>
      <c r="H35" s="1"/>
      <c r="I35" s="1"/>
      <c r="J35" s="1"/>
      <c r="K35" s="15"/>
    </row>
    <row r="36" spans="3:11" ht="20.100000000000001" customHeight="1" x14ac:dyDescent="0.25">
      <c r="C36" s="15"/>
      <c r="D36" s="1"/>
      <c r="E36" s="1"/>
      <c r="F36" s="1"/>
      <c r="G36" s="1"/>
      <c r="H36" s="1"/>
      <c r="I36" s="1"/>
      <c r="J36" s="1"/>
      <c r="K36" s="15"/>
    </row>
    <row r="37" spans="3:11" ht="20.100000000000001" customHeight="1" x14ac:dyDescent="0.25">
      <c r="C37" s="15"/>
      <c r="D37" s="1"/>
      <c r="E37" s="1"/>
      <c r="F37" s="1"/>
      <c r="G37" s="1"/>
      <c r="H37" s="1"/>
      <c r="I37" s="1"/>
      <c r="J37" s="1"/>
      <c r="K37" s="15"/>
    </row>
    <row r="38" spans="3:11" ht="20.100000000000001" customHeight="1" x14ac:dyDescent="0.25">
      <c r="C38" s="15"/>
      <c r="D38" s="1"/>
      <c r="E38" s="1"/>
      <c r="F38" s="1"/>
      <c r="G38" s="1"/>
      <c r="H38" s="1"/>
      <c r="I38" s="1"/>
      <c r="J38" s="1"/>
      <c r="K38" s="15"/>
    </row>
    <row r="39" spans="3:11" ht="20.100000000000001" customHeight="1" x14ac:dyDescent="0.25">
      <c r="C39" s="15"/>
      <c r="D39" s="1"/>
      <c r="E39" s="1"/>
      <c r="F39" s="1"/>
      <c r="G39" s="1"/>
      <c r="H39" s="1"/>
      <c r="I39" s="1"/>
      <c r="J39" s="1"/>
      <c r="K39" s="15"/>
    </row>
    <row r="40" spans="3:11" ht="20.100000000000001" customHeight="1" x14ac:dyDescent="0.25">
      <c r="C40" s="15"/>
      <c r="D40" s="1"/>
      <c r="E40" s="1"/>
      <c r="F40" s="1"/>
      <c r="G40" s="1"/>
      <c r="H40" s="1"/>
      <c r="I40" s="1"/>
      <c r="J40" s="1"/>
      <c r="K40" s="15"/>
    </row>
    <row r="41" spans="3:11" ht="20.100000000000001" customHeight="1" x14ac:dyDescent="0.25">
      <c r="C41" s="15"/>
      <c r="D41" s="1"/>
      <c r="E41" s="1"/>
      <c r="F41" s="1"/>
      <c r="G41" s="1"/>
      <c r="H41" s="1"/>
      <c r="I41" s="1"/>
      <c r="J41" s="1"/>
      <c r="K41" s="15"/>
    </row>
    <row r="42" spans="3:11" ht="20.100000000000001" customHeight="1" x14ac:dyDescent="0.25">
      <c r="C42" s="15"/>
      <c r="D42" s="1"/>
      <c r="E42" s="1"/>
      <c r="F42" s="1"/>
      <c r="G42" s="1"/>
      <c r="H42" s="1"/>
      <c r="I42" s="1"/>
      <c r="J42" s="1"/>
      <c r="K42" s="15"/>
    </row>
    <row r="43" spans="3:11" ht="20.100000000000001" customHeight="1" x14ac:dyDescent="0.25">
      <c r="C43" s="15"/>
      <c r="D43" s="1"/>
      <c r="E43" s="1"/>
      <c r="F43" s="1"/>
      <c r="G43" s="1"/>
      <c r="H43" s="1"/>
      <c r="I43" s="1"/>
      <c r="J43" s="1"/>
      <c r="K43" s="15"/>
    </row>
    <row r="44" spans="3:11" ht="20.100000000000001" customHeight="1" x14ac:dyDescent="0.25">
      <c r="C44" s="15"/>
      <c r="D44" s="1"/>
      <c r="E44" s="1"/>
      <c r="F44" s="1"/>
      <c r="G44" s="1"/>
      <c r="H44" s="1"/>
      <c r="I44" s="1"/>
      <c r="J44" s="1"/>
      <c r="K44" s="15"/>
    </row>
    <row r="45" spans="3:11" ht="20.100000000000001" customHeight="1" x14ac:dyDescent="0.25">
      <c r="C45" s="15"/>
      <c r="D45" s="1"/>
      <c r="E45" s="1"/>
      <c r="F45" s="1"/>
      <c r="G45" s="1"/>
      <c r="H45" s="1"/>
      <c r="I45" s="1"/>
      <c r="J45" s="1"/>
      <c r="K45" s="15"/>
    </row>
    <row r="46" spans="3:11" ht="20.100000000000001" customHeight="1" x14ac:dyDescent="0.25">
      <c r="C46" s="15"/>
      <c r="D46" s="1"/>
      <c r="E46" s="1"/>
      <c r="F46" s="1"/>
      <c r="G46" s="1"/>
      <c r="H46" s="1"/>
      <c r="I46" s="1"/>
      <c r="J46" s="1"/>
      <c r="K46" s="15"/>
    </row>
    <row r="47" spans="3:11" ht="20.100000000000001" customHeight="1" x14ac:dyDescent="0.25">
      <c r="C47" s="15"/>
      <c r="D47" s="1"/>
      <c r="E47" s="1"/>
      <c r="F47" s="1"/>
      <c r="G47" s="1"/>
      <c r="H47" s="1"/>
      <c r="I47" s="1"/>
      <c r="J47" s="1"/>
      <c r="K47" s="15"/>
    </row>
    <row r="48" spans="3:11" ht="20.100000000000001" customHeight="1" x14ac:dyDescent="0.25">
      <c r="C48" s="15"/>
      <c r="D48" s="1"/>
      <c r="E48" s="1"/>
      <c r="F48" s="1"/>
      <c r="G48" s="1"/>
      <c r="H48" s="1"/>
      <c r="I48" s="1"/>
      <c r="J48" s="1"/>
      <c r="K48" s="15"/>
    </row>
    <row r="49" spans="3:11" ht="20.100000000000001" customHeight="1" x14ac:dyDescent="0.25">
      <c r="C49" s="15"/>
      <c r="D49" s="1"/>
      <c r="E49" s="1"/>
      <c r="F49" s="1"/>
      <c r="G49" s="1"/>
      <c r="H49" s="1"/>
      <c r="I49" s="1"/>
      <c r="J49" s="1"/>
      <c r="K49" s="15"/>
    </row>
    <row r="50" spans="3:11" ht="20.100000000000001" customHeight="1" x14ac:dyDescent="0.25">
      <c r="C50" s="15"/>
      <c r="D50" s="1"/>
      <c r="E50" s="1"/>
      <c r="F50" s="1"/>
      <c r="G50" s="1"/>
      <c r="H50" s="1"/>
      <c r="I50" s="1"/>
      <c r="J50" s="1"/>
      <c r="K50" s="15"/>
    </row>
    <row r="51" spans="3:11" ht="20.100000000000001" customHeight="1" x14ac:dyDescent="0.25">
      <c r="C51" s="15"/>
      <c r="D51" s="1"/>
      <c r="E51" s="1"/>
      <c r="F51" s="1"/>
      <c r="G51" s="1"/>
      <c r="H51" s="1"/>
      <c r="I51" s="1"/>
      <c r="J51" s="1"/>
      <c r="K51" s="15"/>
    </row>
    <row r="52" spans="3:11" ht="20.100000000000001" customHeight="1" x14ac:dyDescent="0.25">
      <c r="C52" s="15"/>
      <c r="D52" s="1"/>
      <c r="E52" s="1"/>
      <c r="F52" s="1"/>
      <c r="G52" s="1"/>
      <c r="H52" s="1"/>
      <c r="I52" s="1"/>
      <c r="J52" s="1"/>
      <c r="K52" s="15"/>
    </row>
    <row r="53" spans="3:11" ht="20.100000000000001" customHeight="1" x14ac:dyDescent="0.25">
      <c r="C53" s="15"/>
      <c r="D53" s="1"/>
      <c r="E53" s="1"/>
      <c r="F53" s="1"/>
      <c r="G53" s="1"/>
      <c r="H53" s="1"/>
      <c r="I53" s="1"/>
      <c r="J53" s="1"/>
      <c r="K53" s="15"/>
    </row>
    <row r="54" spans="3:11" ht="20.100000000000001" customHeight="1" x14ac:dyDescent="0.25">
      <c r="C54" s="15"/>
      <c r="D54" s="1"/>
      <c r="E54" s="1"/>
      <c r="F54" s="1"/>
      <c r="G54" s="1"/>
      <c r="H54" s="1"/>
      <c r="I54" s="1"/>
      <c r="J54" s="1"/>
      <c r="K54" s="15"/>
    </row>
    <row r="55" spans="3:11" ht="20.100000000000001" customHeight="1" x14ac:dyDescent="0.25">
      <c r="C55" s="15"/>
      <c r="D55" s="1"/>
      <c r="E55" s="1"/>
      <c r="F55" s="1"/>
      <c r="G55" s="1"/>
      <c r="H55" s="1"/>
      <c r="I55" s="1"/>
      <c r="J55" s="1"/>
      <c r="K55" s="15"/>
    </row>
    <row r="56" spans="3:11" ht="20.100000000000001" customHeight="1" x14ac:dyDescent="0.25">
      <c r="C56" s="15"/>
      <c r="D56" s="1"/>
      <c r="E56" s="1"/>
      <c r="F56" s="1"/>
      <c r="G56" s="1"/>
      <c r="H56" s="1"/>
      <c r="I56" s="1"/>
      <c r="J56" s="1"/>
      <c r="K56" s="15"/>
    </row>
    <row r="57" spans="3:11" ht="20.100000000000001" customHeight="1" x14ac:dyDescent="0.25">
      <c r="C57" s="15"/>
      <c r="D57" s="1"/>
      <c r="E57" s="1"/>
      <c r="F57" s="1"/>
      <c r="G57" s="1"/>
      <c r="H57" s="1"/>
      <c r="I57" s="1"/>
      <c r="J57" s="1"/>
      <c r="K57" s="15"/>
    </row>
    <row r="58" spans="3:11" ht="20.100000000000001" customHeight="1" x14ac:dyDescent="0.25">
      <c r="C58" s="15"/>
      <c r="D58" s="1"/>
      <c r="E58" s="22"/>
      <c r="F58" s="20"/>
      <c r="G58" s="15"/>
      <c r="H58" s="15"/>
      <c r="I58" s="15"/>
      <c r="J58" s="15"/>
      <c r="K58" s="15"/>
    </row>
    <row r="59" spans="3:11" ht="20.100000000000001" customHeight="1" x14ac:dyDescent="0.25">
      <c r="C59" s="15"/>
      <c r="D59" s="1"/>
      <c r="E59" s="1"/>
      <c r="F59" s="1"/>
      <c r="G59" s="1"/>
      <c r="H59" s="1"/>
      <c r="I59" s="1"/>
      <c r="J59" s="1"/>
      <c r="K59" s="15"/>
    </row>
    <row r="60" spans="3:11" ht="20.100000000000001" customHeight="1" x14ac:dyDescent="0.25">
      <c r="C60" s="15"/>
      <c r="D60" s="1"/>
      <c r="E60" s="1"/>
      <c r="F60" s="1"/>
      <c r="G60" s="1"/>
      <c r="H60" s="1"/>
      <c r="I60" s="1"/>
      <c r="J60" s="1"/>
      <c r="K60" s="15"/>
    </row>
    <row r="61" spans="3:11" ht="20.100000000000001" customHeight="1" x14ac:dyDescent="0.25">
      <c r="C61" s="15"/>
      <c r="D61" s="1"/>
      <c r="E61" s="1"/>
      <c r="F61" s="1"/>
      <c r="G61" s="1"/>
      <c r="H61" s="1"/>
      <c r="I61" s="1"/>
      <c r="J61" s="1"/>
      <c r="K61" s="15"/>
    </row>
    <row r="62" spans="3:11" ht="20.100000000000001" customHeight="1" x14ac:dyDescent="0.25">
      <c r="C62" s="15"/>
      <c r="D62" s="1"/>
      <c r="E62" s="1"/>
      <c r="F62" s="1"/>
      <c r="G62" s="1"/>
      <c r="H62" s="1"/>
      <c r="I62" s="1"/>
      <c r="J62" s="1"/>
      <c r="K62" s="15"/>
    </row>
    <row r="63" spans="3:11" ht="20.100000000000001" customHeight="1" x14ac:dyDescent="0.25">
      <c r="C63" s="15"/>
      <c r="D63" s="1"/>
      <c r="E63" s="1"/>
      <c r="F63" s="1"/>
      <c r="G63" s="1"/>
      <c r="H63" s="1"/>
      <c r="I63" s="1"/>
      <c r="J63" s="1"/>
      <c r="K63" s="15"/>
    </row>
    <row r="64" spans="3:11" ht="20.100000000000001" customHeight="1" x14ac:dyDescent="0.25">
      <c r="C64" s="15"/>
      <c r="D64" s="1"/>
      <c r="E64" s="1"/>
      <c r="F64" s="1"/>
      <c r="G64" s="1"/>
      <c r="H64" s="1"/>
      <c r="I64" s="1"/>
      <c r="J64" s="1"/>
      <c r="K64" s="15"/>
    </row>
    <row r="65" spans="3:11" ht="20.100000000000001" customHeight="1" x14ac:dyDescent="0.25">
      <c r="C65" s="15"/>
      <c r="D65" s="1"/>
      <c r="E65" s="1"/>
      <c r="F65" s="1"/>
      <c r="G65" s="1"/>
      <c r="H65" s="1"/>
      <c r="I65" s="1"/>
      <c r="J65" s="1"/>
      <c r="K65" s="15"/>
    </row>
    <row r="66" spans="3:11" ht="20.100000000000001" customHeight="1" x14ac:dyDescent="0.25">
      <c r="C66" s="15"/>
      <c r="D66" s="1"/>
      <c r="E66" s="1"/>
      <c r="F66" s="1"/>
      <c r="G66" s="1"/>
      <c r="H66" s="1"/>
      <c r="I66" s="1"/>
      <c r="J66" s="1"/>
      <c r="K66" s="15"/>
    </row>
    <row r="67" spans="3:11" ht="20.100000000000001" customHeight="1" x14ac:dyDescent="0.25">
      <c r="C67" s="15"/>
      <c r="D67" s="1"/>
      <c r="E67" s="1"/>
      <c r="F67" s="1"/>
      <c r="G67" s="1"/>
      <c r="H67" s="1"/>
      <c r="I67" s="1"/>
      <c r="J67" s="1"/>
      <c r="K67" s="15"/>
    </row>
    <row r="68" spans="3:11" ht="20.100000000000001" customHeight="1" x14ac:dyDescent="0.25">
      <c r="C68" s="15"/>
      <c r="D68" s="1"/>
      <c r="E68" s="1"/>
      <c r="F68" s="1"/>
      <c r="G68" s="1"/>
      <c r="H68" s="1"/>
      <c r="I68" s="1"/>
      <c r="J68" s="1"/>
      <c r="K68" s="15"/>
    </row>
    <row r="69" spans="3:11" ht="20.100000000000001" customHeight="1" x14ac:dyDescent="0.25">
      <c r="C69" s="15"/>
      <c r="D69" s="1"/>
      <c r="E69" s="1"/>
      <c r="F69" s="1"/>
      <c r="G69" s="1"/>
      <c r="H69" s="1"/>
      <c r="I69" s="1"/>
      <c r="J69" s="1"/>
      <c r="K69" s="15"/>
    </row>
    <row r="70" spans="3:11" ht="20.100000000000001" customHeight="1" x14ac:dyDescent="0.25">
      <c r="C70" s="15"/>
      <c r="D70" s="1"/>
      <c r="E70" s="1"/>
      <c r="F70" s="1"/>
      <c r="G70" s="1"/>
      <c r="H70" s="1"/>
      <c r="I70" s="1"/>
      <c r="J70" s="1"/>
      <c r="K70" s="15"/>
    </row>
    <row r="71" spans="3:11" ht="20.100000000000001" customHeight="1" x14ac:dyDescent="0.25">
      <c r="C71" s="15"/>
      <c r="D71" s="1"/>
      <c r="E71" s="1"/>
      <c r="F71" s="1"/>
      <c r="G71" s="1"/>
      <c r="H71" s="1"/>
      <c r="I71" s="1"/>
      <c r="J71" s="1"/>
      <c r="K71" s="15"/>
    </row>
    <row r="72" spans="3:11" ht="20.100000000000001" customHeight="1" x14ac:dyDescent="0.25">
      <c r="C72" s="15"/>
      <c r="D72" s="1"/>
      <c r="E72" s="1"/>
      <c r="F72" s="1"/>
      <c r="G72" s="1"/>
      <c r="H72" s="1"/>
      <c r="I72" s="1"/>
      <c r="J72" s="1"/>
      <c r="K72" s="15"/>
    </row>
    <row r="73" spans="3:11" ht="20.100000000000001" customHeight="1" x14ac:dyDescent="0.25">
      <c r="C73" s="15"/>
      <c r="D73" s="1"/>
      <c r="E73" s="1"/>
      <c r="F73" s="1"/>
      <c r="G73" s="1"/>
      <c r="H73" s="1"/>
      <c r="I73" s="1"/>
      <c r="J73" s="1"/>
      <c r="K73" s="15"/>
    </row>
    <row r="74" spans="3:11" ht="20.100000000000001" customHeight="1" x14ac:dyDescent="0.25">
      <c r="C74" s="15"/>
      <c r="D74" s="1"/>
      <c r="E74" s="1"/>
      <c r="F74" s="1"/>
      <c r="G74" s="1"/>
      <c r="H74" s="1"/>
      <c r="I74" s="1"/>
      <c r="J74" s="1"/>
      <c r="K74" s="15"/>
    </row>
    <row r="75" spans="3:11" ht="20.100000000000001" customHeight="1" x14ac:dyDescent="0.25">
      <c r="C75" s="15"/>
      <c r="D75" s="1"/>
      <c r="E75" s="1"/>
      <c r="F75" s="1"/>
      <c r="G75" s="1"/>
      <c r="H75" s="1"/>
      <c r="I75" s="1"/>
      <c r="J75" s="1"/>
      <c r="K75" s="15"/>
    </row>
    <row r="76" spans="3:11" ht="15.75" x14ac:dyDescent="0.25">
      <c r="C76" s="15"/>
      <c r="D76" s="1"/>
      <c r="E76" s="1"/>
      <c r="F76" s="1"/>
      <c r="G76" s="1"/>
      <c r="H76" s="1"/>
      <c r="I76" s="1"/>
      <c r="J76" s="1"/>
      <c r="K76" s="15"/>
    </row>
    <row r="77" spans="3:11" ht="15.75" x14ac:dyDescent="0.25">
      <c r="C77" s="15"/>
      <c r="D77" s="1"/>
      <c r="E77" s="1"/>
      <c r="F77" s="1"/>
      <c r="G77" s="1"/>
      <c r="H77" s="1"/>
      <c r="I77" s="1"/>
      <c r="J77" s="1"/>
      <c r="K77" s="15"/>
    </row>
    <row r="78" spans="3:11" ht="15.75" x14ac:dyDescent="0.25">
      <c r="C78" s="15"/>
      <c r="D78" s="1"/>
      <c r="E78" s="1"/>
      <c r="F78" s="1"/>
      <c r="G78" s="1"/>
      <c r="H78" s="1"/>
      <c r="I78" s="1"/>
      <c r="J78" s="1"/>
      <c r="K78" s="15"/>
    </row>
    <row r="79" spans="3:11" ht="15.75" x14ac:dyDescent="0.25">
      <c r="C79" s="15"/>
      <c r="D79" s="1"/>
      <c r="E79" s="1"/>
      <c r="F79" s="1"/>
      <c r="G79" s="1"/>
      <c r="H79" s="1"/>
      <c r="I79" s="1"/>
      <c r="J79" s="1"/>
      <c r="K79" s="15"/>
    </row>
    <row r="80" spans="3:11" ht="15.75" x14ac:dyDescent="0.25">
      <c r="C80" s="15"/>
      <c r="D80" s="1"/>
      <c r="E80" s="1"/>
      <c r="F80" s="1"/>
      <c r="G80" s="1"/>
      <c r="H80" s="1"/>
      <c r="I80" s="1"/>
      <c r="J80" s="1"/>
      <c r="K80" s="15"/>
    </row>
    <row r="81" spans="3:11" ht="15.75" x14ac:dyDescent="0.25">
      <c r="C81" s="15"/>
      <c r="D81" s="1"/>
      <c r="E81" s="1"/>
      <c r="F81" s="1"/>
      <c r="G81" s="1"/>
      <c r="H81" s="1"/>
      <c r="I81" s="1"/>
      <c r="J81" s="1"/>
      <c r="K81" s="15"/>
    </row>
    <row r="82" spans="3:11" ht="15.75" x14ac:dyDescent="0.25">
      <c r="C82" s="15"/>
      <c r="D82" s="1"/>
      <c r="E82" s="1"/>
      <c r="F82" s="1"/>
      <c r="G82" s="1"/>
      <c r="H82" s="1"/>
      <c r="I82" s="1"/>
      <c r="J82" s="1"/>
      <c r="K82" s="15"/>
    </row>
    <row r="83" spans="3:11" ht="15.75" x14ac:dyDescent="0.25">
      <c r="C83" s="15"/>
      <c r="D83" s="1"/>
      <c r="E83" s="1"/>
      <c r="F83" s="1"/>
      <c r="G83" s="1"/>
      <c r="H83" s="1"/>
      <c r="I83" s="1"/>
      <c r="J83" s="1"/>
      <c r="K83" s="15"/>
    </row>
    <row r="84" spans="3:11" ht="15.75" x14ac:dyDescent="0.25">
      <c r="C84" s="15"/>
      <c r="D84" s="1"/>
      <c r="E84" s="1"/>
      <c r="F84" s="1"/>
      <c r="G84" s="1"/>
      <c r="H84" s="1"/>
      <c r="I84" s="1"/>
      <c r="J84" s="1"/>
      <c r="K84" s="15"/>
    </row>
    <row r="85" spans="3:11" ht="15.75" x14ac:dyDescent="0.25">
      <c r="C85" s="15"/>
      <c r="D85" s="1"/>
      <c r="E85" s="1"/>
      <c r="F85" s="1"/>
      <c r="G85" s="1"/>
      <c r="H85" s="1"/>
      <c r="I85" s="1"/>
      <c r="J85" s="1"/>
      <c r="K85" s="15"/>
    </row>
    <row r="86" spans="3:11" x14ac:dyDescent="0.25">
      <c r="C86" s="15"/>
      <c r="D86" s="15"/>
      <c r="E86" s="15"/>
      <c r="F86" s="15"/>
      <c r="G86" s="15"/>
      <c r="H86" s="15"/>
      <c r="I86" s="15"/>
      <c r="J86" s="15"/>
      <c r="K86" s="15"/>
    </row>
    <row r="87" spans="3:11" x14ac:dyDescent="0.25">
      <c r="C87" s="15"/>
      <c r="D87" s="15"/>
      <c r="E87" s="15"/>
      <c r="F87" s="15"/>
      <c r="G87" s="15"/>
      <c r="H87" s="15"/>
      <c r="I87" s="15"/>
      <c r="J87" s="15"/>
      <c r="K87"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I363"/>
  <sheetViews>
    <sheetView showGridLines="0"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0" customFormat="1" ht="30" customHeight="1" x14ac:dyDescent="0.35">
      <c r="A1" s="30" t="e" vm="1">
        <v>#VALUE!</v>
      </c>
      <c r="C1" s="30" t="s">
        <v>151</v>
      </c>
    </row>
    <row r="2" spans="1:9" s="8" customFormat="1" ht="20.100000000000001" customHeight="1" x14ac:dyDescent="0.25">
      <c r="A2"/>
    </row>
    <row r="3" spans="1:9" ht="20.100000000000001" customHeight="1" x14ac:dyDescent="0.25">
      <c r="A3" s="12" t="str">
        <f>HYPERLINK("#'Home'!A1", "Home")</f>
        <v>Home</v>
      </c>
      <c r="C3" s="11"/>
      <c r="D3" s="11"/>
      <c r="E3" s="11"/>
      <c r="F3" s="11"/>
      <c r="G3" s="11"/>
      <c r="H3" s="11"/>
      <c r="I3" s="11"/>
    </row>
    <row r="4" spans="1:9" ht="20.100000000000001" customHeight="1" x14ac:dyDescent="0.25">
      <c r="A4" s="12" t="str">
        <f>HYPERLINK("#'Overview'!A1", "Overview")</f>
        <v>Overview</v>
      </c>
    </row>
    <row r="5" spans="1:9" ht="20.100000000000001" customHeight="1" x14ac:dyDescent="0.25">
      <c r="A5" s="12" t="str">
        <f>HYPERLINK("#'Results'!A1", "Results")</f>
        <v>Results</v>
      </c>
      <c r="D5" s="5" t="s">
        <v>87</v>
      </c>
    </row>
    <row r="6" spans="1:9" ht="20.100000000000001" customHeight="1" x14ac:dyDescent="0.25">
      <c r="D6" s="15"/>
      <c r="E6" s="15"/>
      <c r="F6" s="15"/>
      <c r="G6" s="15"/>
      <c r="H6" s="15"/>
    </row>
    <row r="7" spans="1:9" ht="20.100000000000001" customHeight="1" x14ac:dyDescent="0.25">
      <c r="D7" s="62" t="s">
        <v>85</v>
      </c>
      <c r="E7" s="63"/>
      <c r="F7" s="63"/>
      <c r="G7" s="64"/>
      <c r="H7" s="2"/>
    </row>
    <row r="8" spans="1:9" ht="20.100000000000001" customHeight="1" x14ac:dyDescent="0.25">
      <c r="A8" s="14" t="s">
        <v>0</v>
      </c>
      <c r="E8" s="2"/>
      <c r="F8" s="2"/>
      <c r="G8" s="2"/>
      <c r="H8" s="2"/>
    </row>
    <row r="9" spans="1:9" ht="20.100000000000001" customHeight="1" x14ac:dyDescent="0.25">
      <c r="A9" s="43" t="str">
        <f>HYPERLINK("#'Input - Refrigerants'!A1", "Refrigerants")</f>
        <v>Refrigerants</v>
      </c>
      <c r="D9" s="45" t="s">
        <v>88</v>
      </c>
      <c r="E9" s="45" t="s">
        <v>89</v>
      </c>
      <c r="F9" s="45" t="s">
        <v>90</v>
      </c>
      <c r="G9" s="45" t="s">
        <v>91</v>
      </c>
      <c r="H9" s="45" t="s">
        <v>92</v>
      </c>
    </row>
    <row r="10" spans="1:9" ht="20.100000000000001" customHeight="1" x14ac:dyDescent="0.25">
      <c r="D10" s="77" t="s">
        <v>93</v>
      </c>
      <c r="E10" s="25" t="s">
        <v>94</v>
      </c>
      <c r="F10" s="25" t="s">
        <v>95</v>
      </c>
      <c r="G10" s="65">
        <v>10</v>
      </c>
      <c r="H10" s="65">
        <v>5</v>
      </c>
    </row>
    <row r="11" spans="1:9" ht="20.100000000000001" customHeight="1" x14ac:dyDescent="0.25">
      <c r="D11" s="77" t="s">
        <v>144</v>
      </c>
      <c r="E11" s="25" t="s">
        <v>131</v>
      </c>
      <c r="F11" s="25" t="s">
        <v>96</v>
      </c>
      <c r="G11" s="65">
        <v>10</v>
      </c>
      <c r="H11" s="65">
        <v>5</v>
      </c>
    </row>
    <row r="12" spans="1:9" ht="20.100000000000001" customHeight="1" x14ac:dyDescent="0.25">
      <c r="A12" s="13" t="s">
        <v>44</v>
      </c>
      <c r="D12" s="77" t="s">
        <v>97</v>
      </c>
      <c r="E12" s="25" t="s">
        <v>98</v>
      </c>
      <c r="F12" s="25" t="s">
        <v>99</v>
      </c>
      <c r="G12" s="65">
        <v>10</v>
      </c>
      <c r="H12" s="65">
        <v>13</v>
      </c>
    </row>
    <row r="13" spans="1:9" ht="20.100000000000001" customHeight="1" x14ac:dyDescent="0.25">
      <c r="A13" s="12" t="str">
        <f>HYPERLINK("#'9.1.1.1-2 Refrigerant use'!A1", "9.1.1.1-2 Refrigerant use")</f>
        <v>9.1.1.1-2 Refrigerant use</v>
      </c>
      <c r="D13" s="77" t="s">
        <v>145</v>
      </c>
      <c r="E13" s="25" t="s">
        <v>131</v>
      </c>
      <c r="F13" s="25" t="s">
        <v>99</v>
      </c>
      <c r="G13" s="65">
        <v>10</v>
      </c>
      <c r="H13" s="65">
        <v>10</v>
      </c>
    </row>
    <row r="14" spans="1:9" ht="20.100000000000001" customHeight="1" x14ac:dyDescent="0.25">
      <c r="D14" s="77" t="s">
        <v>146</v>
      </c>
      <c r="E14" s="25" t="s">
        <v>136</v>
      </c>
      <c r="F14" s="25" t="s">
        <v>147</v>
      </c>
      <c r="G14" s="65">
        <v>10</v>
      </c>
      <c r="H14" s="65">
        <v>10</v>
      </c>
    </row>
    <row r="15" spans="1:9" ht="20.100000000000001" customHeight="1" x14ac:dyDescent="0.25">
      <c r="D15" s="77"/>
      <c r="E15" s="75"/>
      <c r="F15" s="75"/>
      <c r="G15" s="76"/>
      <c r="H15" s="76"/>
    </row>
    <row r="16" spans="1:9" ht="20.100000000000001" customHeight="1" x14ac:dyDescent="0.25">
      <c r="A16" s="78" t="s">
        <v>1</v>
      </c>
      <c r="D16" s="77"/>
      <c r="E16" s="75"/>
      <c r="F16" s="75"/>
      <c r="G16" s="76"/>
      <c r="H16" s="76"/>
    </row>
    <row r="17" spans="1:8" ht="20.100000000000001" customHeight="1" x14ac:dyDescent="0.25">
      <c r="A17" s="12" t="str">
        <f>HYPERLINK("#'Constants - Refrigerants'!A1", "Constants - Refrigerants")</f>
        <v>Constants - Refrigerants</v>
      </c>
      <c r="D17" s="77"/>
      <c r="E17" s="75"/>
      <c r="F17" s="75"/>
      <c r="G17" s="76"/>
      <c r="H17" s="76"/>
    </row>
    <row r="18" spans="1:8" ht="20.100000000000001" customHeight="1" x14ac:dyDescent="0.25">
      <c r="A18" s="12" t="str">
        <f>HYPERLINK("#'Constants - Common'!A1", "Constants - Common")</f>
        <v>Constants - Common</v>
      </c>
      <c r="D18" s="77"/>
      <c r="E18" s="75"/>
      <c r="F18" s="75"/>
      <c r="G18" s="76"/>
      <c r="H18" s="76"/>
    </row>
    <row r="19" spans="1:8" ht="20.100000000000001" customHeight="1" x14ac:dyDescent="0.25">
      <c r="D19" s="77"/>
      <c r="E19" s="75"/>
      <c r="F19" s="75"/>
      <c r="G19" s="76"/>
      <c r="H19" s="76"/>
    </row>
    <row r="20" spans="1:8" ht="20.100000000000001" customHeight="1" x14ac:dyDescent="0.25"/>
    <row r="21" spans="1:8" ht="20.100000000000001" customHeight="1" x14ac:dyDescent="0.25"/>
    <row r="22" spans="1:8" ht="20.100000000000001" customHeight="1" x14ac:dyDescent="0.25"/>
    <row r="23" spans="1:8" ht="20.100000000000001" customHeight="1" x14ac:dyDescent="0.25"/>
    <row r="24" spans="1:8" ht="20.100000000000001" customHeight="1" x14ac:dyDescent="0.25"/>
    <row r="25" spans="1:8" ht="20.100000000000001" customHeight="1" x14ac:dyDescent="0.25"/>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spans="1:9" ht="20.100000000000001" customHeight="1" x14ac:dyDescent="0.25"/>
    <row r="34" spans="1:9" ht="20.100000000000001" customHeight="1" x14ac:dyDescent="0.25"/>
    <row r="35" spans="1:9" ht="20.100000000000001" customHeight="1" x14ac:dyDescent="0.25"/>
    <row r="36" spans="1:9" ht="20.100000000000001" customHeight="1" x14ac:dyDescent="0.25"/>
    <row r="37" spans="1:9" ht="20.100000000000001" customHeight="1" x14ac:dyDescent="0.25"/>
    <row r="38" spans="1:9" ht="20.100000000000001" customHeight="1" x14ac:dyDescent="0.25">
      <c r="C38" s="48"/>
      <c r="I38" s="48"/>
    </row>
    <row r="39" spans="1:9" ht="20.100000000000001" customHeight="1" x14ac:dyDescent="0.25">
      <c r="C39" s="48"/>
      <c r="I39" s="48"/>
    </row>
    <row r="40" spans="1:9" s="49" customFormat="1" ht="20.100000000000001" customHeight="1" x14ac:dyDescent="0.25">
      <c r="A40"/>
      <c r="C40" s="1"/>
      <c r="D40" s="1"/>
      <c r="E40" s="1"/>
      <c r="F40" s="1"/>
      <c r="G40" s="1"/>
      <c r="H40" s="1"/>
      <c r="I40" s="1"/>
    </row>
    <row r="41" spans="1:9" s="49" customFormat="1" ht="20.100000000000001" customHeight="1" x14ac:dyDescent="0.25">
      <c r="A41"/>
      <c r="C41" s="1"/>
      <c r="D41" s="1"/>
      <c r="E41" s="1"/>
      <c r="F41" s="1"/>
      <c r="G41" s="1"/>
      <c r="H41" s="1"/>
      <c r="I41" s="1"/>
    </row>
    <row r="42" spans="1:9" ht="20.100000000000001" customHeight="1" x14ac:dyDescent="0.25"/>
    <row r="43" spans="1:9" ht="20.100000000000001" customHeight="1" x14ac:dyDescent="0.25"/>
    <row r="44" spans="1:9" ht="20.100000000000001" customHeight="1" x14ac:dyDescent="0.25"/>
    <row r="45" spans="1:9" ht="20.100000000000001" customHeight="1" x14ac:dyDescent="0.25"/>
    <row r="46" spans="1:9" ht="20.100000000000001" customHeight="1" x14ac:dyDescent="0.25"/>
    <row r="47" spans="1:9" ht="20.100000000000001" customHeight="1" x14ac:dyDescent="0.25"/>
    <row r="48" spans="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38"/>
    </row>
  </sheetData>
  <conditionalFormatting sqref="F49">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H45:H47 E212:G212">
    <cfRule type="cellIs" dxfId="0" priority="79" operator="lessThan">
      <formula>0</formula>
    </cfRule>
  </conditionalFormatting>
  <dataValidations count="8">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E67" xr:uid="{DBA884B0-B52E-420E-8FD2-21B082EB75E2}">
      <formula1>INDIRECT("Table_SourceData_Swine_IrrigationMethods[Irrigation method]")</formula1>
    </dataValidation>
    <dataValidation type="list" allowBlank="1" showInputMessage="1" showErrorMessage="1" sqref="E66" xr:uid="{B95E29DC-96D0-4475-A29E-3F3A3B60CEA1}">
      <formula1>INDIRECT("Table_SourceData_Swine_CropProdSystems[Production system]")</formula1>
    </dataValidation>
    <dataValidation type="list" allowBlank="1" showInputMessage="1" showErrorMessage="1" sqref="D46:D47" xr:uid="{23F8C720-A764-46DD-9B01-B7EA3D86E5AB}">
      <formula1>INDIRECT("Table_SourceData_OrganicFertiliserTypes[Organic fertiliser type]")</formula1>
    </dataValidation>
    <dataValidation type="list" allowBlank="1" showInputMessage="1" showErrorMessage="1" sqref="F10:F19" xr:uid="{23277720-0332-4416-A6AF-2DA9CB20A246}">
      <formula1>INDIRECT("Table_RefrigerantBlends_Cleaned[Blend]")</formula1>
    </dataValidation>
    <dataValidation type="list" allowBlank="1" showInputMessage="1" showErrorMessage="1" sqref="E10:E19"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M342"/>
  <sheetViews>
    <sheetView showGridLines="0" topLeftCell="A17"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7" customFormat="1" ht="30" customHeight="1" x14ac:dyDescent="0.35">
      <c r="A1" s="30" t="e" vm="1">
        <v>#VALUE!</v>
      </c>
      <c r="C1" s="7" t="s">
        <v>124</v>
      </c>
    </row>
    <row r="2" spans="1:13" s="8" customFormat="1" ht="20.100000000000001" customHeight="1" x14ac:dyDescent="0.25">
      <c r="A2"/>
    </row>
    <row r="3" spans="1:13" ht="20.100000000000001" customHeight="1" x14ac:dyDescent="0.25">
      <c r="A3" s="12" t="str">
        <f>HYPERLINK("#'Home'!A1", "Home")</f>
        <v>Home</v>
      </c>
      <c r="C3" s="3"/>
      <c r="D3" s="3" t="s">
        <v>48</v>
      </c>
      <c r="E3" s="3"/>
      <c r="F3" s="3"/>
      <c r="G3" s="3"/>
      <c r="H3" s="3"/>
      <c r="I3" s="3"/>
      <c r="J3" s="3"/>
      <c r="K3" s="3"/>
      <c r="L3" s="3"/>
      <c r="M3" s="3"/>
    </row>
    <row r="4" spans="1:13" ht="20.100000000000001" customHeight="1" x14ac:dyDescent="0.25">
      <c r="A4" s="12" t="str">
        <f>HYPERLINK("#'Overview'!A1", "Overview")</f>
        <v>Overview</v>
      </c>
    </row>
    <row r="5" spans="1:13" ht="20.100000000000001" customHeight="1" x14ac:dyDescent="0.25">
      <c r="A5" s="12" t="str">
        <f>HYPERLINK("#'Results'!A1", "Results")</f>
        <v>Results</v>
      </c>
      <c r="D5" s="5" t="str" cm="1">
        <f t="array" ref="D5">Refrigerants_Equations.VEERG_9_1_1__1_RefrigerantLeaking_Title()</f>
        <v>The total emissions of refrigerant leaking during operation (not during installation or disposal)</v>
      </c>
    </row>
    <row r="6" spans="1:13" ht="20.100000000000001" customHeight="1" x14ac:dyDescent="0.25">
      <c r="D6" s="4" t="str" cm="1">
        <f t="array" ref="D6">Refrigerants_Equations.VEERG_9_1_1__1_RefrigerantLeaking_Source()</f>
        <v>VEERG 2026: 9.1.1, Equation (1)</v>
      </c>
      <c r="E6" s="66"/>
      <c r="F6" s="66"/>
      <c r="G6" s="66"/>
      <c r="H6" s="66"/>
      <c r="I6" s="66"/>
      <c r="J6" s="66"/>
      <c r="K6" s="66"/>
      <c r="L6" s="66"/>
    </row>
    <row r="7" spans="1:13" ht="20.100000000000001" customHeight="1" x14ac:dyDescent="0.25">
      <c r="D7" s="29" t="str" cm="1">
        <f t="array" ref="D7">Refrigerants_Equations.VEERG_9_1_1__1_RefrigerantLeaking_Variation()</f>
        <v>VARIATION ON SOURCE: Added equation to convert refrigerant R to CO2-e using the refrigerant's global warming potential (GWP).</v>
      </c>
      <c r="F7" s="66"/>
      <c r="G7" s="66"/>
      <c r="H7" s="66"/>
      <c r="I7" s="66"/>
      <c r="J7" s="66"/>
      <c r="K7" s="66"/>
      <c r="L7" s="66"/>
    </row>
    <row r="8" spans="1:13" ht="20.100000000000001" customHeight="1" x14ac:dyDescent="0.25">
      <c r="A8" s="14" t="s">
        <v>0</v>
      </c>
      <c r="D8" s="10" t="s">
        <v>9</v>
      </c>
      <c r="E8" s="10" t="str" cm="1">
        <f t="array" aca="1" ref="E8" ca="1">Common_InputFunctions.Utility_DisplayFunctionName(K22)</f>
        <v>=Refrigerants_Equations.VEERG_9_1_1__1_RefrigerantLeaking</v>
      </c>
      <c r="F8" s="66"/>
      <c r="G8" s="66"/>
      <c r="H8" s="66"/>
      <c r="I8" s="66"/>
      <c r="J8" s="66"/>
      <c r="K8" s="66"/>
      <c r="L8" s="66"/>
    </row>
    <row r="9" spans="1:13" ht="20.100000000000001" customHeight="1" x14ac:dyDescent="0.25">
      <c r="A9" s="12" t="str">
        <f>HYPERLINK("#'Input - Refrigerants'!A1", "Refrigerants")</f>
        <v>Refrigerants</v>
      </c>
      <c r="G9" s="66"/>
      <c r="H9" s="66"/>
      <c r="I9" s="66"/>
      <c r="J9" s="66"/>
      <c r="K9" s="66"/>
      <c r="L9" s="66"/>
    </row>
    <row r="10" spans="1:13" ht="20.100000000000001" customHeight="1" x14ac:dyDescent="0.25">
      <c r="G10" s="66"/>
      <c r="H10" s="66"/>
      <c r="I10" s="66"/>
      <c r="J10" s="66"/>
      <c r="K10" s="66"/>
      <c r="L10" s="66"/>
    </row>
    <row r="11" spans="1:13" ht="20.100000000000001" customHeight="1" x14ac:dyDescent="0.25">
      <c r="D11" s="2" t="s">
        <v>12</v>
      </c>
      <c r="E11" s="1" t="str" cm="1">
        <f t="array" ref="E11">Refrigerants_Equations.VEERG_9_1_1__1_RefrigerantLeaking_Variable()</f>
        <v>E_R</v>
      </c>
      <c r="G11" s="66"/>
      <c r="H11" s="66"/>
      <c r="I11" s="66"/>
      <c r="J11" s="66"/>
      <c r="K11" s="66"/>
      <c r="L11" s="66"/>
    </row>
    <row r="12" spans="1:13" ht="20.100000000000001" customHeight="1" x14ac:dyDescent="0.25">
      <c r="A12" s="13" t="s">
        <v>44</v>
      </c>
      <c r="D12" s="2" t="s">
        <v>4</v>
      </c>
      <c r="E12" s="28" t="str" cm="1">
        <f t="array" ref="E12">Refrigerants_Equations.VEERG_9_1_1__1_RefrigerantLeaking_Unit()</f>
        <v>t refrigerant gas</v>
      </c>
      <c r="F12" s="66"/>
      <c r="G12" s="66"/>
      <c r="H12" s="66"/>
      <c r="I12" s="66"/>
      <c r="J12" s="66"/>
      <c r="K12" s="66"/>
      <c r="L12" s="66"/>
    </row>
    <row r="13" spans="1:13" ht="20.100000000000001" customHeight="1" x14ac:dyDescent="0.25">
      <c r="A13" s="60" t="str">
        <f>HYPERLINK("#'9.1.1.1-2 Refrigerant use'!A1", "9.1.1.1-2 Refrigerant use")</f>
        <v>9.1.1.1-2 Refrigerant use</v>
      </c>
      <c r="D13" s="66"/>
      <c r="E13" s="66"/>
      <c r="F13" s="66"/>
      <c r="G13" s="66"/>
      <c r="H13" s="66"/>
      <c r="I13" s="66"/>
      <c r="J13" s="66"/>
      <c r="K13" s="66"/>
      <c r="L13" s="66"/>
    </row>
    <row r="14" spans="1:13" ht="20.100000000000001" customHeight="1" x14ac:dyDescent="0.25">
      <c r="D14" s="51" t="str" cm="1">
        <f t="array" ref="D14:E17">_xlfn.CHOOSECOLS(Refrigerants_Equations.VEERG_9_1_1__1_RefrigerantLeaking_Arguments(), 1, 2)</f>
        <v>charge_Ra</v>
      </c>
      <c r="E14" s="53" t="str">
        <v>Amount of refrigerant R contained in appliance a</v>
      </c>
      <c r="F14" s="52"/>
      <c r="G14" s="51" t="str" cm="1">
        <f t="array" ref="G14:H17">_xlfn.CHOOSECOLS(Refrigerants_Equations.VEERG_9_1_1__1_RefrigerantLeaking_Arguments(), 3,4)</f>
        <v>kg</v>
      </c>
      <c r="H14" s="47" t="str">
        <v>Input</v>
      </c>
      <c r="I14" s="66"/>
      <c r="J14" s="66"/>
      <c r="K14" s="66"/>
      <c r="L14" s="66"/>
    </row>
    <row r="15" spans="1:13" ht="20.100000000000001" customHeight="1" x14ac:dyDescent="0.25">
      <c r="D15" s="51" t="str">
        <v>leakagerate_a</v>
      </c>
      <c r="E15" s="53" t="str">
        <v>Prcentage of total charge leaked from appliance a each year</v>
      </c>
      <c r="F15" s="52"/>
      <c r="G15" s="51" t="str">
        <v>Percent</v>
      </c>
      <c r="H15" s="46" t="str">
        <v>Constant</v>
      </c>
      <c r="I15" s="66"/>
      <c r="J15" s="66"/>
      <c r="K15" s="66"/>
      <c r="L15" s="66"/>
    </row>
    <row r="16" spans="1:13" ht="20.100000000000001" customHeight="1" x14ac:dyDescent="0.25">
      <c r="A16" s="78" t="s">
        <v>1</v>
      </c>
      <c r="D16" s="51" t="str">
        <v>a</v>
      </c>
      <c r="E16" s="53" t="str">
        <v>Appliance type</v>
      </c>
      <c r="F16" s="52"/>
      <c r="G16" s="51" t="str">
        <v/>
      </c>
      <c r="H16" s="47" t="str">
        <v>Input</v>
      </c>
      <c r="I16" s="66"/>
      <c r="J16" s="66"/>
      <c r="K16" s="66"/>
      <c r="L16" s="66"/>
    </row>
    <row r="17" spans="1:12" ht="20.100000000000001" customHeight="1" x14ac:dyDescent="0.25">
      <c r="A17" s="12" t="str">
        <f>HYPERLINK("#'Constants - Refrigerants'!A1", "Constants - Refrigerants")</f>
        <v>Constants - Refrigerants</v>
      </c>
      <c r="D17" s="51" t="str">
        <v>R</v>
      </c>
      <c r="E17" s="53" t="str">
        <v>Refrigerant</v>
      </c>
      <c r="F17" s="52"/>
      <c r="G17" s="51" t="str">
        <v/>
      </c>
      <c r="H17" s="47" t="str">
        <v>Input</v>
      </c>
      <c r="I17" s="66"/>
      <c r="J17" s="66"/>
      <c r="K17" s="66"/>
      <c r="L17" s="66"/>
    </row>
    <row r="18" spans="1:12" ht="20.100000000000001" customHeight="1" x14ac:dyDescent="0.25">
      <c r="A18" s="12" t="str">
        <f>HYPERLINK("#'Constants - Common'!A1", "Constants - Common")</f>
        <v>Constants - Common</v>
      </c>
      <c r="G18" s="66"/>
      <c r="H18" s="66"/>
      <c r="I18" s="66"/>
      <c r="J18" s="66"/>
      <c r="K18" s="66"/>
      <c r="L18" s="66"/>
    </row>
    <row r="19" spans="1:12" ht="20.100000000000001" customHeight="1" x14ac:dyDescent="0.25">
      <c r="D19" s="66" t="s">
        <v>139</v>
      </c>
      <c r="E19" s="66"/>
      <c r="F19" s="66"/>
      <c r="G19" s="66"/>
      <c r="H19" s="66"/>
      <c r="I19" s="66"/>
      <c r="J19" s="66"/>
      <c r="K19" s="66"/>
      <c r="L19" s="66"/>
    </row>
    <row r="20" spans="1:12" ht="20.100000000000001" customHeight="1" x14ac:dyDescent="0.25">
      <c r="D20" s="35" t="s">
        <v>140</v>
      </c>
    </row>
    <row r="21" spans="1:12" ht="20.100000000000001" customHeight="1" x14ac:dyDescent="0.25">
      <c r="D21" s="26" t="s">
        <v>88</v>
      </c>
      <c r="E21" s="45" t="s">
        <v>133</v>
      </c>
      <c r="F21" s="45" t="s">
        <v>129</v>
      </c>
      <c r="G21" s="45" t="s">
        <v>91</v>
      </c>
      <c r="H21" s="45" t="s">
        <v>92</v>
      </c>
      <c r="I21" s="26" t="s">
        <v>125</v>
      </c>
      <c r="J21" s="26" t="s">
        <v>126</v>
      </c>
      <c r="K21" s="26" t="s">
        <v>130</v>
      </c>
      <c r="L21" s="26" t="s">
        <v>128</v>
      </c>
    </row>
    <row r="22" spans="1:12" ht="20.100000000000001" customHeight="1" x14ac:dyDescent="0.25">
      <c r="D22" s="27" t="str" cm="1">
        <f t="array" ref="D22:D31">IFERROR(INDEX(Table_Input_Refrigerant[Refrigeration unit name], _xlfn.SEQUENCE(10)),"")</f>
        <v>Cool room</v>
      </c>
      <c r="E22" s="27" t="str" cm="1">
        <f t="array" ref="E22:E31">IFERROR(INDEX(Table_Input_Refrigerant[Appliance type (select)], _xlfn.SEQUENCE(10)),"")</f>
        <v>Domestic refrigerators</v>
      </c>
      <c r="F22" s="27" t="str" cm="1">
        <f t="array" ref="F22:F31">IFERROR(INDEX(Table_Input_Refrigerant[Refrigerant used (select)], _xlfn.SEQUENCE(10)),"")</f>
        <v>R-402A</v>
      </c>
      <c r="G22" s="27" cm="1">
        <f t="array" ref="G22:G31">IFERROR(INDEX(Table_Input_Refrigerant[Unit refrigerant gas capacity (kg)], _xlfn.SEQUENCE(10)),0)</f>
        <v>10</v>
      </c>
      <c r="H22" s="27" cm="1">
        <f t="array" ref="H22:H31">IFERROR(INDEX(Table_Input_Refrigerant[Number of units in use], _xlfn.SEQUENCE(10)),0)</f>
        <v>5</v>
      </c>
      <c r="I22" s="27">
        <f t="shared" ref="I22:I31" si="0">G22*H22</f>
        <v>50</v>
      </c>
      <c r="J22" s="27" cm="1">
        <f t="array" ref="J22">Common_InputFunctions.Utility_LookupValueInTableNumber(E22,Table_Refrigerants_LeakageRates[Product],Table_Refrigerants_LeakageRates[Annual leakage rate (%)])</f>
        <v>1.7</v>
      </c>
      <c r="K22" s="27" cm="1">
        <f t="array" ref="K22">Refrigerants_Equations.VEERG_9_1_1__1_RefrigerantLeaking(G22,J22)</f>
        <v>1.7000000000000001E-4</v>
      </c>
      <c r="L22" s="71">
        <f t="shared" ref="L22:L31" si="1">K22*H22</f>
        <v>8.5000000000000006E-4</v>
      </c>
    </row>
    <row r="23" spans="1:12" ht="20.100000000000001" customHeight="1" x14ac:dyDescent="0.25">
      <c r="D23" s="27" t="str">
        <v>Office air con units</v>
      </c>
      <c r="E23" s="27" t="str">
        <v>Domestic A/C split</v>
      </c>
      <c r="F23" s="27" t="str">
        <v>R-422B</v>
      </c>
      <c r="G23" s="27">
        <v>10</v>
      </c>
      <c r="H23" s="27">
        <v>5</v>
      </c>
      <c r="I23" s="27">
        <f t="shared" si="0"/>
        <v>50</v>
      </c>
      <c r="J23" s="27" cm="1">
        <f t="array" ref="J23">Common_InputFunctions.Utility_LookupValueInTableNumber(E23,Table_Refrigerants_LeakageRates[Product],Table_Refrigerants_LeakageRates[Annual leakage rate (%)])</f>
        <v>3.5</v>
      </c>
      <c r="K23" s="27" cm="1">
        <f t="array" ref="K23">Refrigerants_Equations.VEERG_9_1_1__1_RefrigerantLeaking(G23,J23)</f>
        <v>3.5000000000000005E-4</v>
      </c>
      <c r="L23" s="71">
        <f t="shared" si="1"/>
        <v>1.7500000000000003E-3</v>
      </c>
    </row>
    <row r="24" spans="1:12" ht="20.100000000000001" customHeight="1" x14ac:dyDescent="0.25">
      <c r="D24" s="27" t="str">
        <v>Car AC</v>
      </c>
      <c r="E24" s="27" t="str">
        <v>Light vehicle A/C</v>
      </c>
      <c r="F24" s="27" t="str">
        <v>R-400 60/40</v>
      </c>
      <c r="G24" s="27">
        <v>10</v>
      </c>
      <c r="H24" s="27">
        <v>13</v>
      </c>
      <c r="I24" s="27">
        <f t="shared" si="0"/>
        <v>130</v>
      </c>
      <c r="J24" s="27" cm="1">
        <f t="array" ref="J24">Common_InputFunctions.Utility_LookupValueInTableNumber(E24,Table_Refrigerants_LeakageRates[Product],Table_Refrigerants_LeakageRates[Annual leakage rate (%)])</f>
        <v>6.7</v>
      </c>
      <c r="K24" s="27" cm="1">
        <f t="array" ref="K24">Refrigerants_Equations.VEERG_9_1_1__1_RefrigerantLeaking(G24,J24)</f>
        <v>6.7000000000000002E-4</v>
      </c>
      <c r="L24" s="71">
        <f t="shared" si="1"/>
        <v>8.7100000000000007E-3</v>
      </c>
    </row>
    <row r="25" spans="1:12" ht="20.100000000000001" customHeight="1" x14ac:dyDescent="0.25">
      <c r="D25" s="27" t="str">
        <v>Storage AC</v>
      </c>
      <c r="E25" s="27" t="str">
        <v>Domestic A/C split</v>
      </c>
      <c r="F25" s="27" t="str">
        <v>R-400 60/40</v>
      </c>
      <c r="G25" s="27">
        <v>10</v>
      </c>
      <c r="H25" s="27">
        <v>10</v>
      </c>
      <c r="I25" s="27">
        <f t="shared" si="0"/>
        <v>100</v>
      </c>
      <c r="J25" s="27" cm="1">
        <f t="array" ref="J25">Common_InputFunctions.Utility_LookupValueInTableNumber(E25,Table_Refrigerants_LeakageRates[Product],Table_Refrigerants_LeakageRates[Annual leakage rate (%)])</f>
        <v>3.5</v>
      </c>
      <c r="K25" s="27" cm="1">
        <f t="array" ref="K25">Refrigerants_Equations.VEERG_9_1_1__1_RefrigerantLeaking(G25,J25)</f>
        <v>3.5000000000000005E-4</v>
      </c>
      <c r="L25" s="71">
        <f t="shared" si="1"/>
        <v>3.5000000000000005E-3</v>
      </c>
    </row>
    <row r="26" spans="1:12" ht="20.100000000000001" customHeight="1" x14ac:dyDescent="0.25">
      <c r="D26" s="27" t="str">
        <v>Refrigerated trucks</v>
      </c>
      <c r="E26" s="27" t="str">
        <v>Transport refrigeration</v>
      </c>
      <c r="F26" s="27" t="str">
        <v>R-504</v>
      </c>
      <c r="G26" s="27">
        <v>10</v>
      </c>
      <c r="H26" s="27">
        <v>10</v>
      </c>
      <c r="I26" s="27">
        <f t="shared" si="0"/>
        <v>100</v>
      </c>
      <c r="J26" s="27" cm="1">
        <f t="array" ref="J26">Common_InputFunctions.Utility_LookupValueInTableNumber(E26,Table_Refrigerants_LeakageRates[Product],Table_Refrigerants_LeakageRates[Annual leakage rate (%)])</f>
        <v>15.7</v>
      </c>
      <c r="K26" s="27" cm="1">
        <f t="array" ref="K26">Refrigerants_Equations.VEERG_9_1_1__1_RefrigerantLeaking(G26,J26)</f>
        <v>1.57E-3</v>
      </c>
      <c r="L26" s="71">
        <f t="shared" si="1"/>
        <v>1.5699999999999999E-2</v>
      </c>
    </row>
    <row r="27" spans="1:12" ht="20.100000000000001" customHeight="1" x14ac:dyDescent="0.25">
      <c r="D27" s="27">
        <v>0</v>
      </c>
      <c r="E27" s="27">
        <v>0</v>
      </c>
      <c r="F27" s="27">
        <v>0</v>
      </c>
      <c r="G27" s="27">
        <v>0</v>
      </c>
      <c r="H27" s="27">
        <v>0</v>
      </c>
      <c r="I27" s="27">
        <f t="shared" si="0"/>
        <v>0</v>
      </c>
      <c r="J27" s="27" cm="1">
        <f t="array" ref="J27">Common_InputFunctions.Utility_LookupValueInTableNumber(E27,Table_Refrigerants_LeakageRates[Product],Table_Refrigerants_LeakageRates[Annual leakage rate (%)])</f>
        <v>0</v>
      </c>
      <c r="K27" s="27" cm="1">
        <f t="array" ref="K27">Refrigerants_Equations.VEERG_9_1_1__1_RefrigerantLeaking(G27,J27)</f>
        <v>0</v>
      </c>
      <c r="L27" s="71">
        <f t="shared" si="1"/>
        <v>0</v>
      </c>
    </row>
    <row r="28" spans="1:12" ht="20.100000000000001" customHeight="1" x14ac:dyDescent="0.25">
      <c r="D28" s="27">
        <v>0</v>
      </c>
      <c r="E28" s="27">
        <v>0</v>
      </c>
      <c r="F28" s="27">
        <v>0</v>
      </c>
      <c r="G28" s="27">
        <v>0</v>
      </c>
      <c r="H28" s="27">
        <v>0</v>
      </c>
      <c r="I28" s="27">
        <f t="shared" si="0"/>
        <v>0</v>
      </c>
      <c r="J28" s="27" cm="1">
        <f t="array" ref="J28">Common_InputFunctions.Utility_LookupValueInTableNumber(E28,Table_Refrigerants_LeakageRates[Product],Table_Refrigerants_LeakageRates[Annual leakage rate (%)])</f>
        <v>0</v>
      </c>
      <c r="K28" s="27" cm="1">
        <f t="array" ref="K28">Refrigerants_Equations.VEERG_9_1_1__1_RefrigerantLeaking(G28,J28)</f>
        <v>0</v>
      </c>
      <c r="L28" s="71">
        <f t="shared" si="1"/>
        <v>0</v>
      </c>
    </row>
    <row r="29" spans="1:12" ht="20.100000000000001" customHeight="1" x14ac:dyDescent="0.25">
      <c r="D29" s="27">
        <v>0</v>
      </c>
      <c r="E29" s="27">
        <v>0</v>
      </c>
      <c r="F29" s="27">
        <v>0</v>
      </c>
      <c r="G29" s="27">
        <v>0</v>
      </c>
      <c r="H29" s="27">
        <v>0</v>
      </c>
      <c r="I29" s="27">
        <f t="shared" si="0"/>
        <v>0</v>
      </c>
      <c r="J29" s="27" cm="1">
        <f t="array" ref="J29">Common_InputFunctions.Utility_LookupValueInTableNumber(E29,Table_Refrigerants_LeakageRates[Product],Table_Refrigerants_LeakageRates[Annual leakage rate (%)])</f>
        <v>0</v>
      </c>
      <c r="K29" s="27" cm="1">
        <f t="array" ref="K29">Refrigerants_Equations.VEERG_9_1_1__1_RefrigerantLeaking(G29,J29)</f>
        <v>0</v>
      </c>
      <c r="L29" s="71">
        <f t="shared" si="1"/>
        <v>0</v>
      </c>
    </row>
    <row r="30" spans="1:12" ht="20.100000000000001" customHeight="1" x14ac:dyDescent="0.25">
      <c r="D30" s="27">
        <v>0</v>
      </c>
      <c r="E30" s="27">
        <v>0</v>
      </c>
      <c r="F30" s="27">
        <v>0</v>
      </c>
      <c r="G30" s="27">
        <v>0</v>
      </c>
      <c r="H30" s="27">
        <v>0</v>
      </c>
      <c r="I30" s="27">
        <f t="shared" si="0"/>
        <v>0</v>
      </c>
      <c r="J30" s="27" cm="1">
        <f t="array" ref="J30">Common_InputFunctions.Utility_LookupValueInTableNumber(E30,Table_Refrigerants_LeakageRates[Product],Table_Refrigerants_LeakageRates[Annual leakage rate (%)])</f>
        <v>0</v>
      </c>
      <c r="K30" s="27" cm="1">
        <f t="array" ref="K30">Refrigerants_Equations.VEERG_9_1_1__1_RefrigerantLeaking(G30,J30)</f>
        <v>0</v>
      </c>
      <c r="L30" s="71">
        <f t="shared" si="1"/>
        <v>0</v>
      </c>
    </row>
    <row r="31" spans="1:12" ht="20.100000000000001" customHeight="1" x14ac:dyDescent="0.25">
      <c r="D31" s="27">
        <v>0</v>
      </c>
      <c r="E31" s="27">
        <v>0</v>
      </c>
      <c r="F31" s="27">
        <v>0</v>
      </c>
      <c r="G31" s="27">
        <v>0</v>
      </c>
      <c r="H31" s="27">
        <v>0</v>
      </c>
      <c r="I31" s="27">
        <f t="shared" si="0"/>
        <v>0</v>
      </c>
      <c r="J31" s="27" cm="1">
        <f t="array" ref="J31">Common_InputFunctions.Utility_LookupValueInTableNumber(E31,Table_Refrigerants_LeakageRates[Product],Table_Refrigerants_LeakageRates[Annual leakage rate (%)])</f>
        <v>0</v>
      </c>
      <c r="K31" s="27" cm="1">
        <f t="array" ref="K31">Refrigerants_Equations.VEERG_9_1_1__1_RefrigerantLeaking(G31,J31)</f>
        <v>0</v>
      </c>
      <c r="L31" s="71">
        <f t="shared" si="1"/>
        <v>0</v>
      </c>
    </row>
    <row r="32" spans="1:12" ht="20.100000000000001" customHeight="1" x14ac:dyDescent="0.25"/>
    <row r="33" spans="3:13" ht="20.100000000000001" customHeight="1" x14ac:dyDescent="0.25">
      <c r="D33" s="36" t="s">
        <v>141</v>
      </c>
    </row>
    <row r="34" spans="3:13" ht="20.100000000000001" customHeight="1" x14ac:dyDescent="0.25">
      <c r="D34" s="35" t="s">
        <v>142</v>
      </c>
    </row>
    <row r="35" spans="3:13" ht="20.100000000000001" customHeight="1" x14ac:dyDescent="0.25">
      <c r="D35" s="26" t="s">
        <v>129</v>
      </c>
      <c r="E35" s="26" t="s">
        <v>128</v>
      </c>
    </row>
    <row r="36" spans="3:13" ht="20.100000000000001" customHeight="1" x14ac:dyDescent="0.25">
      <c r="D36" s="27" t="str" cm="1">
        <f t="array" ref="D36:D39">_xlfn.UNIQUE(_xlfn._xlws.FILTER(F22:F31, (F22:F31&lt;&gt;"") * (F22:F31&lt;&gt;0)))</f>
        <v>R-402A</v>
      </c>
      <c r="E36" s="27">
        <f>SUMIF($F$22:$F$31,VEERG_9_1_1__1_RefrigerantLeaking_Result_Blend1_Name_Method1,$L$22:$L$31)</f>
        <v>8.5000000000000006E-4</v>
      </c>
      <c r="H36" s="66"/>
      <c r="I36" s="66"/>
      <c r="K36" s="66"/>
      <c r="L36" s="66"/>
    </row>
    <row r="37" spans="3:13" ht="20.100000000000001" customHeight="1" x14ac:dyDescent="0.25">
      <c r="D37" s="27" t="str">
        <v>R-422B</v>
      </c>
      <c r="E37" s="27">
        <f>SUMIF($F$22:$F$31,VEERG_9_1_1__1_RefrigerantLeaking_Result_Blend2_Name_Method1,$L$22:$L$31)</f>
        <v>1.7500000000000003E-3</v>
      </c>
      <c r="H37" s="66"/>
      <c r="I37" s="66"/>
      <c r="K37" s="66"/>
      <c r="L37" s="66"/>
    </row>
    <row r="38" spans="3:13" ht="20.100000000000001" customHeight="1" x14ac:dyDescent="0.25">
      <c r="D38" s="27" t="str">
        <v>R-400 60/40</v>
      </c>
      <c r="E38" s="27">
        <f>SUMIF($F$22:$F$31,VEERG_9_1_1__1_RefrigerantLeaking_Result_Blend3_Name_Method1,$L$22:$L$31)</f>
        <v>1.2210000000000002E-2</v>
      </c>
      <c r="H38" s="66"/>
      <c r="I38" s="66"/>
      <c r="K38" s="66"/>
      <c r="L38" s="66"/>
    </row>
    <row r="39" spans="3:13" ht="20.100000000000001" customHeight="1" x14ac:dyDescent="0.25">
      <c r="D39" s="27" t="str">
        <v>R-504</v>
      </c>
      <c r="E39" s="27">
        <f>SUMIF($F$22:$F$31,VEERG_9_1_1__1_RefrigerantLeaking_Result_Blend4_Name_Method1,$L$22:$L$31)</f>
        <v>1.5699999999999999E-2</v>
      </c>
      <c r="H39" s="66"/>
      <c r="I39" s="66"/>
    </row>
    <row r="40" spans="3:13" ht="20.100000000000001" customHeight="1" x14ac:dyDescent="0.25">
      <c r="D40" s="27"/>
      <c r="E40" s="27">
        <f>SUMIF($F$22:$F$31,VEERG_9_1_1__1_RefrigerantLeaking_Result_Blend5_Name_Method1,$L$22:$L$31)</f>
        <v>0</v>
      </c>
      <c r="H40" s="66"/>
      <c r="I40" s="66"/>
    </row>
    <row r="41" spans="3:13" ht="20.100000000000001" customHeight="1" x14ac:dyDescent="0.25">
      <c r="D41" s="27"/>
      <c r="E41" s="27">
        <f>SUMIF($F$22:$F$31,VEERG_9_1_1__1_RefrigerantLeaking_Result_Blend6_Name_Method1,$L$22:$L$31)</f>
        <v>0</v>
      </c>
      <c r="H41" s="66"/>
      <c r="I41" s="66"/>
    </row>
    <row r="42" spans="3:13" ht="20.100000000000001" customHeight="1" x14ac:dyDescent="0.25">
      <c r="D42" s="27"/>
      <c r="E42" s="27">
        <f>SUMIF($F$22:$F$31,VEERG_9_1_1__1_RefrigerantLeaking_Result_Blend7_Name_Method1,$L$22:$L$31)</f>
        <v>0</v>
      </c>
      <c r="H42" s="66"/>
      <c r="I42" s="66"/>
    </row>
    <row r="43" spans="3:13" ht="20.100000000000001" customHeight="1" x14ac:dyDescent="0.25">
      <c r="D43" s="27"/>
      <c r="E43" s="27">
        <f>SUMIF($F$22:$F$31,VEERG_9_1_1__1_RefrigerantLeaking_Result_Blend8_Name_Method1,$L$22:$L$31)</f>
        <v>0</v>
      </c>
      <c r="H43" s="66"/>
      <c r="I43" s="66"/>
    </row>
    <row r="44" spans="3:13" ht="20.100000000000001" customHeight="1" x14ac:dyDescent="0.25">
      <c r="D44" s="27"/>
      <c r="E44" s="27">
        <f>SUMIF($F$22:$F$31,VEERG_9_1_1__1_RefrigerantLeaking_Result_Blend9_Name_Method1,$L$22:$L$31)</f>
        <v>0</v>
      </c>
      <c r="H44" s="66"/>
      <c r="I44" s="66"/>
    </row>
    <row r="45" spans="3:13" ht="20.100000000000001" customHeight="1" x14ac:dyDescent="0.25">
      <c r="D45" s="27"/>
      <c r="E45" s="27">
        <f>SUMIF($F$22:$F$31,VEERG_9_1_1__1_RefrigerantLeaking_Result_Blend10_Name_Method1,$L$22:$L$31)</f>
        <v>0</v>
      </c>
      <c r="H45" s="66"/>
      <c r="I45" s="66"/>
    </row>
    <row r="46" spans="3:13" ht="20.100000000000001" customHeight="1" x14ac:dyDescent="0.25"/>
    <row r="47" spans="3:13" ht="20.100000000000001" customHeight="1" x14ac:dyDescent="0.25"/>
    <row r="48" spans="3:13" ht="20.100000000000001" customHeight="1" x14ac:dyDescent="0.25">
      <c r="C48" s="69"/>
      <c r="D48" s="69"/>
      <c r="E48" s="69"/>
      <c r="F48" s="69"/>
      <c r="G48" s="69"/>
      <c r="H48" s="69"/>
      <c r="I48" s="69"/>
      <c r="J48" s="69"/>
      <c r="K48" s="69"/>
      <c r="L48" s="69"/>
      <c r="M48" s="69"/>
    </row>
    <row r="49" spans="4:9" ht="20.100000000000001" customHeight="1" x14ac:dyDescent="0.25">
      <c r="D49" s="5" t="str" cm="1">
        <f t="array" ref="D49">Refrigerants_Equations.VEERG_9_1_1__1_RefrigerantLeakingGWP_Title()</f>
        <v>Refrigerant leakage emissions converted to CO2-e</v>
      </c>
    </row>
    <row r="50" spans="4:9" ht="20.100000000000001" customHeight="1" x14ac:dyDescent="0.25">
      <c r="D50" s="10" t="s">
        <v>9</v>
      </c>
      <c r="E50" s="10" t="str" cm="1">
        <f t="array" aca="1" ref="E50" ca="1">Common_InputFunctions.Utility_DisplayFunctionName(G62)</f>
        <v>=Refrigerants_Equations.VEERG_9_1_1__1_RefrigerantLeakingGWP</v>
      </c>
    </row>
    <row r="51" spans="4:9" ht="20.100000000000001" customHeight="1" x14ac:dyDescent="0.25"/>
    <row r="52" spans="4:9" ht="20.100000000000001" customHeight="1" x14ac:dyDescent="0.25"/>
    <row r="53" spans="4:9" ht="20.100000000000001" customHeight="1" x14ac:dyDescent="0.25">
      <c r="D53" s="2" t="s">
        <v>12</v>
      </c>
      <c r="E53" s="1" t="str" cm="1">
        <f t="array" ref="E53">Refrigerants_Equations.VEERG_9_1_1__1_RefrigerantLeakingGWP_Variable()</f>
        <v>E_CO2e</v>
      </c>
    </row>
    <row r="54" spans="4:9" ht="20.100000000000001" customHeight="1" x14ac:dyDescent="0.25">
      <c r="D54" s="2" t="s">
        <v>4</v>
      </c>
      <c r="E54" s="28" t="str" cm="1">
        <f t="array" ref="E54">Refrigerants_Equations.VEERG_9_1_1__1_RefrigerantLeakingGWP_Unit()</f>
        <v>t CO2-e</v>
      </c>
    </row>
    <row r="55" spans="4:9" ht="20.100000000000001" customHeight="1" x14ac:dyDescent="0.25"/>
    <row r="56" spans="4:9" ht="20.100000000000001" customHeight="1" x14ac:dyDescent="0.25">
      <c r="D56" s="51" t="str" cm="1">
        <f t="array" ref="D56:E57">_xlfn.CHOOSECOLS(Refrigerants_Equations.VEERG_9_1_1__1_RefrigerantLeakingGWP_Arguments(), 1,2)</f>
        <v>E_R</v>
      </c>
      <c r="E56" s="53" t="str">
        <v>Total emissions of refrigerant R</v>
      </c>
      <c r="F56" s="52"/>
      <c r="G56" s="51" t="str" cm="1">
        <f t="array" ref="G56:H57">_xlfn.CHOOSECOLS(Refrigerants_Equations.VEERG_9_1_1__1_RefrigerantLeakingGWP_Arguments(), 3,4)</f>
        <v>t refrigerant gas</v>
      </c>
      <c r="H56" s="46" t="str">
        <v>Calculated from 9.1.1 (1)</v>
      </c>
      <c r="I56" s="50" t="str" cm="1">
        <f t="array" aca="1" ref="I56" ca="1">HYPERLINK(Common_InputFunctions.Utility_SourceHyperlink($D$33), $D$33)</f>
        <v>Table_E_R</v>
      </c>
    </row>
    <row r="57" spans="4:9" ht="20.100000000000001" customHeight="1" x14ac:dyDescent="0.25">
      <c r="D57" s="51" t="str">
        <v>GWP_R</v>
      </c>
      <c r="E57" s="53" t="str">
        <v>Global warming potential of refrigerant R</v>
      </c>
      <c r="F57" s="52"/>
      <c r="G57" s="51" t="str">
        <v>Dimensionless</v>
      </c>
      <c r="H57" s="46" t="str">
        <v>Constant</v>
      </c>
      <c r="I57" s="50" t="str" cm="1">
        <f t="array" aca="1" ref="I57" ca="1">HYPERLINK(Common_InputFunctions.Utility_SourceHyperlink($D$59), $D$59)</f>
        <v>Table_E_CO2e</v>
      </c>
    </row>
    <row r="58" spans="4:9" ht="20.100000000000001" customHeight="1" x14ac:dyDescent="0.25"/>
    <row r="59" spans="4:9" ht="20.100000000000001" customHeight="1" x14ac:dyDescent="0.25">
      <c r="D59" s="36" t="s">
        <v>138</v>
      </c>
    </row>
    <row r="60" spans="4:9" ht="20.100000000000001" customHeight="1" x14ac:dyDescent="0.25">
      <c r="D60" s="35" t="s">
        <v>143</v>
      </c>
    </row>
    <row r="61" spans="4:9" ht="20.100000000000001" customHeight="1" x14ac:dyDescent="0.25">
      <c r="D61" s="26" t="s">
        <v>129</v>
      </c>
      <c r="E61" s="26" t="s">
        <v>128</v>
      </c>
      <c r="F61" s="26" t="s">
        <v>127</v>
      </c>
      <c r="G61" s="26" t="s">
        <v>132</v>
      </c>
    </row>
    <row r="62" spans="4:9" ht="20.100000000000001" customHeight="1" x14ac:dyDescent="0.25">
      <c r="D62" s="27" t="str">
        <f>VEERG_9_1_1__1_RefrigerantLeaking_Result_Blend1_Name_Method1</f>
        <v>R-402A</v>
      </c>
      <c r="E62" s="27">
        <f>VEERG_9_1_1__1_RefrigerantLeaking_Result_Blend1_Value_Method1</f>
        <v>8.5000000000000006E-4</v>
      </c>
      <c r="F62" s="27" cm="1">
        <f t="array" ref="F62">Common_InputFunctions.Utility_LookupValueInTableNumber(D62,Table_RefrigerantBlends_Cleaned[Blend],Table_RefrigerantBlends_Cleaned[Blend GWP])</f>
        <v>1395.3440000000001</v>
      </c>
      <c r="G62" s="27" cm="1">
        <f t="array" ref="G62">Refrigerants_Equations.VEERG_9_1_1__1_RefrigerantLeakingGWP(E62,F62)</f>
        <v>1.1860424000000003</v>
      </c>
    </row>
    <row r="63" spans="4:9" ht="20.100000000000001" customHeight="1" x14ac:dyDescent="0.25">
      <c r="D63" s="27" t="str">
        <f>VEERG_9_1_1__1_RefrigerantLeaking_Result_Blend2_Name_Method1</f>
        <v>R-422B</v>
      </c>
      <c r="E63" s="27">
        <f>VEERG_9_1_1__1_RefrigerantLeaking_Result_Blend2_Value_Method1</f>
        <v>1.7500000000000003E-3</v>
      </c>
      <c r="F63" s="27" cm="1">
        <f t="array" ref="F63">Common_InputFunctions.Utility_LookupValueInTableNumber(D63,Table_RefrigerantBlends_Cleaned[Blend],Table_RefrigerantBlends_Cleaned[Blend GWP])</f>
        <v>1188.2450000000001</v>
      </c>
      <c r="G63" s="27" cm="1">
        <f t="array" ref="G63">Refrigerants_Equations.VEERG_9_1_1__1_RefrigerantLeakingGWP(E63,F63)</f>
        <v>2.0794287500000004</v>
      </c>
    </row>
    <row r="64" spans="4:9" ht="20.100000000000001" customHeight="1" x14ac:dyDescent="0.25">
      <c r="D64" s="27" t="str">
        <f>VEERG_9_1_1__1_RefrigerantLeaking_Result_Blend3_Name_Method1</f>
        <v>R-400 60/40</v>
      </c>
      <c r="E64" s="27">
        <f>VEERG_9_1_1__1_RefrigerantLeaking_Result_Blend3_Value_Method1</f>
        <v>1.2210000000000002E-2</v>
      </c>
      <c r="F64" s="27" cm="1">
        <f t="array" ref="F64">Common_InputFunctions.Utility_LookupValueInTableNumber(D64,Table_RefrigerantBlends_Cleaned[Blend],Table_RefrigerantBlends_Cleaned[Blend GWP])</f>
        <v>5733.6</v>
      </c>
      <c r="G64" s="27" cm="1">
        <f t="array" ref="G64">Refrigerants_Equations.VEERG_9_1_1__1_RefrigerantLeakingGWP(E64,F64)</f>
        <v>70.007256000000027</v>
      </c>
    </row>
    <row r="65" spans="4:7" ht="20.100000000000001" customHeight="1" x14ac:dyDescent="0.25">
      <c r="D65" s="27" t="str">
        <f>VEERG_9_1_1__1_RefrigerantLeaking_Result_Blend4_Name_Method1</f>
        <v>R-504</v>
      </c>
      <c r="E65" s="27">
        <f>VEERG_9_1_1__1_RefrigerantLeaking_Result_Blend4_Value_Method1</f>
        <v>1.5699999999999999E-2</v>
      </c>
      <c r="F65" s="27" cm="1">
        <f t="array" ref="F65">Common_InputFunctions.Utility_LookupValueInTableNumber(D65,Table_RefrigerantBlends_Cleaned[Blend],Table_RefrigerantBlends_Cleaned[Blend GWP])</f>
        <v>2215.3284279999998</v>
      </c>
      <c r="G65" s="27" cm="1">
        <f t="array" ref="G65">Refrigerants_Equations.VEERG_9_1_1__1_RefrigerantLeakingGWP(E65,F65)</f>
        <v>34.780656319599998</v>
      </c>
    </row>
    <row r="66" spans="4:7" ht="20.100000000000001" customHeight="1" x14ac:dyDescent="0.25">
      <c r="D66" s="27">
        <f>VEERG_9_1_1__1_RefrigerantLeaking_Result_Blend5_Name_Method1</f>
        <v>0</v>
      </c>
      <c r="E66" s="27">
        <f>VEERG_9_1_1__1_RefrigerantLeaking_Result_Blend5_Value_Method1</f>
        <v>0</v>
      </c>
      <c r="F66" s="27" cm="1">
        <f t="array" ref="F66">Common_InputFunctions.Utility_LookupValueInTableNumber(D66,Table_RefrigerantBlends_Cleaned[Blend],Table_RefrigerantBlends_Cleaned[Blend GWP])</f>
        <v>0</v>
      </c>
      <c r="G66" s="27" cm="1">
        <f t="array" ref="G66">Refrigerants_Equations.VEERG_9_1_1__1_RefrigerantLeakingGWP(E66,F66)</f>
        <v>0</v>
      </c>
    </row>
    <row r="67" spans="4:7" ht="20.100000000000001" customHeight="1" x14ac:dyDescent="0.25">
      <c r="D67" s="27">
        <f>VEERG_9_1_1__1_RefrigerantLeaking_Result_Blend6_Name_Method1</f>
        <v>0</v>
      </c>
      <c r="E67" s="27">
        <f>VEERG_9_1_1__1_RefrigerantLeaking_Result_Blend6_Value_Method1</f>
        <v>0</v>
      </c>
      <c r="F67" s="27" cm="1">
        <f t="array" ref="F67">Common_InputFunctions.Utility_LookupValueInTableNumber(D67,Table_RefrigerantBlends_Cleaned[Blend],Table_RefrigerantBlends_Cleaned[Blend GWP])</f>
        <v>0</v>
      </c>
      <c r="G67" s="27" cm="1">
        <f t="array" ref="G67">Refrigerants_Equations.VEERG_9_1_1__1_RefrigerantLeakingGWP(E67,F67)</f>
        <v>0</v>
      </c>
    </row>
    <row r="68" spans="4:7" ht="20.100000000000001" customHeight="1" x14ac:dyDescent="0.25">
      <c r="D68" s="27">
        <f>VEERG_9_1_1__1_RefrigerantLeaking_Result_Blend7_Name_Method1</f>
        <v>0</v>
      </c>
      <c r="E68" s="27">
        <f>VEERG_9_1_1__1_RefrigerantLeaking_Result_Blend7_Value_Method1</f>
        <v>0</v>
      </c>
      <c r="F68" s="27" cm="1">
        <f t="array" ref="F68">Common_InputFunctions.Utility_LookupValueInTableNumber(D68,Table_RefrigerantBlends_Cleaned[Blend],Table_RefrigerantBlends_Cleaned[Blend GWP])</f>
        <v>0</v>
      </c>
      <c r="G68" s="27" cm="1">
        <f t="array" ref="G68">Refrigerants_Equations.VEERG_9_1_1__1_RefrigerantLeakingGWP(E68,F68)</f>
        <v>0</v>
      </c>
    </row>
    <row r="69" spans="4:7" ht="20.100000000000001" customHeight="1" x14ac:dyDescent="0.25">
      <c r="D69" s="27">
        <f>VEERG_9_1_1__1_RefrigerantLeaking_Result_Blend8_Name_Method1</f>
        <v>0</v>
      </c>
      <c r="E69" s="27">
        <f>VEERG_9_1_1__1_RefrigerantLeaking_Result_Blend8_Value_Method1</f>
        <v>0</v>
      </c>
      <c r="F69" s="27" cm="1">
        <f t="array" ref="F69">Common_InputFunctions.Utility_LookupValueInTableNumber(D69,Table_RefrigerantBlends_Cleaned[Blend],Table_RefrigerantBlends_Cleaned[Blend GWP])</f>
        <v>0</v>
      </c>
      <c r="G69" s="27" cm="1">
        <f t="array" ref="G69">Refrigerants_Equations.VEERG_9_1_1__1_RefrigerantLeakingGWP(E69,F69)</f>
        <v>0</v>
      </c>
    </row>
    <row r="70" spans="4:7" ht="20.100000000000001" customHeight="1" x14ac:dyDescent="0.25">
      <c r="D70" s="27">
        <f>VEERG_9_1_1__1_RefrigerantLeaking_Result_Blend9_Name_Method1</f>
        <v>0</v>
      </c>
      <c r="E70" s="27">
        <f>VEERG_9_1_1__1_RefrigerantLeaking_Result_Blend9_Value_Method1</f>
        <v>0</v>
      </c>
      <c r="F70" s="27" cm="1">
        <f t="array" ref="F70">Common_InputFunctions.Utility_LookupValueInTableNumber(D70,Table_RefrigerantBlends_Cleaned[Blend],Table_RefrigerantBlends_Cleaned[Blend GWP])</f>
        <v>0</v>
      </c>
      <c r="G70" s="27" cm="1">
        <f t="array" ref="G70">Refrigerants_Equations.VEERG_9_1_1__1_RefrigerantLeakingGWP(E70,F70)</f>
        <v>0</v>
      </c>
    </row>
    <row r="71" spans="4:7" ht="20.100000000000001" customHeight="1" x14ac:dyDescent="0.25">
      <c r="D71" s="27">
        <f>VEERG_9_1_1__1_RefrigerantLeaking_Result_Blend10_Name_Method1</f>
        <v>0</v>
      </c>
      <c r="E71" s="27">
        <f>VEERG_9_1_1__1_RefrigerantLeaking_Result_Blend10_Value_Method1</f>
        <v>0</v>
      </c>
      <c r="F71" s="27" cm="1">
        <f t="array" ref="F71">Common_InputFunctions.Utility_LookupValueInTableNumber(D71,Table_RefrigerantBlends_Cleaned[Blend],Table_RefrigerantBlends_Cleaned[Blend GWP])</f>
        <v>0</v>
      </c>
      <c r="G71" s="27" cm="1">
        <f t="array" ref="G71">Refrigerants_Equations.VEERG_9_1_1__1_RefrigerantLeakingGWP(E71,F71)</f>
        <v>0</v>
      </c>
    </row>
    <row r="72" spans="4:7" ht="20.100000000000001" customHeight="1" x14ac:dyDescent="0.25"/>
    <row r="73" spans="4:7" ht="20.100000000000001" customHeight="1" x14ac:dyDescent="0.25">
      <c r="D73" s="72" t="s">
        <v>137</v>
      </c>
      <c r="E73" s="73">
        <f>SUM(G62:G71)</f>
        <v>108.05338346960002</v>
      </c>
      <c r="F73" s="74" t="str">
        <f>E54</f>
        <v>t CO2-e</v>
      </c>
    </row>
    <row r="74" spans="4:7" ht="20.100000000000001" customHeight="1" x14ac:dyDescent="0.25"/>
    <row r="75" spans="4:7" ht="20.100000000000001" customHeight="1" x14ac:dyDescent="0.25"/>
    <row r="76" spans="4:7" ht="20.100000000000001" customHeight="1" x14ac:dyDescent="0.25"/>
    <row r="77" spans="4:7" ht="20.100000000000001" customHeight="1" x14ac:dyDescent="0.25"/>
    <row r="78" spans="4:7" ht="20.100000000000001" customHeight="1" x14ac:dyDescent="0.25"/>
    <row r="79" spans="4:7" ht="20.100000000000001" customHeight="1" x14ac:dyDescent="0.25"/>
    <row r="80" spans="4: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5"/>
    </row>
    <row r="342" spans="8:8" x14ac:dyDescent="0.25">
      <c r="H342" s="15"/>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80"/>
  <sheetViews>
    <sheetView showGridLines="0" topLeftCell="A145" zoomScaleNormal="100" workbookViewId="0">
      <selection activeCell="A18" sqref="A18"/>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30" t="e" vm="1">
        <v>#VALUE!</v>
      </c>
      <c r="C1" s="7" t="s">
        <v>123</v>
      </c>
      <c r="AG1"/>
      <c r="AH1"/>
      <c r="AI1"/>
    </row>
    <row r="2" spans="1:35" s="8" customFormat="1" ht="20.100000000000001" customHeight="1" x14ac:dyDescent="0.25">
      <c r="A2"/>
      <c r="AG2"/>
      <c r="AH2"/>
      <c r="AI2"/>
    </row>
    <row r="3" spans="1:35" ht="20.100000000000001" customHeight="1" x14ac:dyDescent="0.25">
      <c r="A3" s="12"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2" t="str">
        <f>HYPERLINK("#'Overview'!A1", "Overview")</f>
        <v>Overview</v>
      </c>
    </row>
    <row r="5" spans="1:35" ht="20.100000000000001" customHeight="1" x14ac:dyDescent="0.25">
      <c r="A5" s="12" t="str">
        <f>HYPERLINK("#'Results'!A1", "Results")</f>
        <v>Results</v>
      </c>
      <c r="D5" s="5" t="str" cm="1">
        <f t="array" ref="D5">Refrigerants_SourceData.Refrigerants_ChemicalGWP_Title()</f>
        <v>Global Warming Potentials</v>
      </c>
      <c r="H5" s="66"/>
      <c r="I5" s="66"/>
      <c r="J5" s="66"/>
      <c r="K5" s="66"/>
      <c r="L5" s="66"/>
      <c r="M5" s="66"/>
      <c r="N5" s="66"/>
      <c r="O5" s="66"/>
      <c r="P5" s="66"/>
      <c r="Q5" s="66"/>
    </row>
    <row r="6" spans="1:35" ht="20.100000000000001" customHeight="1" x14ac:dyDescent="0.25">
      <c r="D6" s="4" t="str" cm="1">
        <f t="array" ref="D6">Refrigerants_SourceData.Refrigerants_ChemicalGWP_Source()</f>
        <v>Australian National Greenhouse Accounts Factors 2025 - Appendix 2 - Table 23</v>
      </c>
      <c r="E6" s="66"/>
      <c r="F6" s="66"/>
      <c r="G6" s="66"/>
      <c r="H6" s="66"/>
      <c r="I6" s="66"/>
      <c r="J6" s="66"/>
      <c r="K6" s="66"/>
      <c r="L6" s="66"/>
      <c r="M6" s="66"/>
      <c r="N6" s="66"/>
      <c r="O6" s="66"/>
      <c r="P6" s="66"/>
      <c r="Q6" s="66"/>
    </row>
    <row r="7" spans="1:35" ht="20.100000000000001" customHeight="1" x14ac:dyDescent="0.25">
      <c r="D7" s="29"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66"/>
      <c r="I7" s="66"/>
      <c r="J7" s="66"/>
      <c r="K7" s="66"/>
      <c r="L7" s="66"/>
      <c r="M7" s="66"/>
      <c r="N7" s="66"/>
      <c r="O7" s="66"/>
      <c r="P7" s="66"/>
      <c r="Q7" s="66"/>
    </row>
    <row r="8" spans="1:35" ht="20.100000000000001" customHeight="1" x14ac:dyDescent="0.25">
      <c r="A8" s="14" t="s">
        <v>0</v>
      </c>
      <c r="D8" s="24" t="s">
        <v>10</v>
      </c>
      <c r="E8" s="24" t="s">
        <v>100</v>
      </c>
      <c r="F8" s="24" t="s">
        <v>101</v>
      </c>
      <c r="G8" s="67" t="s">
        <v>102</v>
      </c>
      <c r="H8" s="68" t="s">
        <v>103</v>
      </c>
      <c r="I8" s="66"/>
      <c r="J8" s="66"/>
      <c r="K8" s="66"/>
      <c r="L8" s="66"/>
      <c r="M8" s="66"/>
      <c r="N8" s="66"/>
      <c r="O8" s="66"/>
      <c r="P8" s="66"/>
      <c r="Q8" s="66"/>
    </row>
    <row r="9" spans="1:35" ht="20.100000000000001" customHeight="1" x14ac:dyDescent="0.25">
      <c r="A9" s="12" t="str">
        <f>HYPERLINK("#'Input - Refrigerants'!A1", "Refrigerants")</f>
        <v>Refrigerants</v>
      </c>
      <c r="D9" s="24" t="str" cm="1">
        <f t="array" ref="D9">Common_InputFunctions.Utility_DisplayArrayInTable(Refrigerants_SourceData.Refrigerants_ChemicalGWP_Data(), Table_RefrigerantChemicalGWP[[#Headers],[Gas]], 0)</f>
        <v>Carbon dioxide</v>
      </c>
      <c r="E9" s="24" t="str" cm="1">
        <f t="array" ref="E9">Common_InputFunctions.Utility_DisplayArrayInTable(Refrigerants_SourceData.Refrigerants_ChemicalGWP_Data(), Table_RefrigerantChemicalGWP[[#Headers],[Gas]], 0)</f>
        <v>CO2</v>
      </c>
      <c r="F9" s="24" cm="1">
        <f t="array" ref="F9">Common_InputFunctions.Utility_DisplayArrayInTable(Refrigerants_SourceData.Refrigerants_ChemicalGWP_Data(), Table_RefrigerantChemicalGWP[[#Headers],[Gas]], 0)</f>
        <v>1</v>
      </c>
      <c r="G9" s="24" t="str" cm="1">
        <f t="array" ref="G9">Common_InputFunctions.Utility_DisplayArrayInTable(Refrigerants_SourceData.Refrigerants_ChemicalGWP_Data(), Table_RefrigerantChemicalGWP[[#Headers],[Gas]], 0)</f>
        <v>CO2</v>
      </c>
      <c r="H9" s="68" t="str" cm="1">
        <f t="array" ref="H9">Common_InputFunctions.Utility_DisplayArrayInTable(Refrigerants_SourceData.Refrigerants_ChemicalGWP_Data(), Table_RefrigerantChemicalGWP[[#Headers],[Gas]], 0)</f>
        <v/>
      </c>
      <c r="I9" s="66"/>
      <c r="J9" s="66"/>
      <c r="K9" s="66"/>
      <c r="L9" s="66"/>
      <c r="M9" s="66"/>
      <c r="N9" s="66"/>
      <c r="O9" s="66"/>
      <c r="P9" s="66"/>
      <c r="Q9" s="66"/>
    </row>
    <row r="10" spans="1:35" ht="20.100000000000001" customHeight="1" x14ac:dyDescent="0.25">
      <c r="D10" s="24" t="str" cm="1">
        <f t="array" ref="D10">Common_InputFunctions.Utility_DisplayArrayInTable(Refrigerants_SourceData.Refrigerants_ChemicalGWP_Data(), Table_RefrigerantChemicalGWP[[#Headers],[Gas]], 0)</f>
        <v>Methane</v>
      </c>
      <c r="E10" s="24" t="str" cm="1">
        <f t="array" ref="E10">Common_InputFunctions.Utility_DisplayArrayInTable(Refrigerants_SourceData.Refrigerants_ChemicalGWP_Data(), Table_RefrigerantChemicalGWP[[#Headers],[Gas]], 0)</f>
        <v>CH4</v>
      </c>
      <c r="F10" s="24" cm="1">
        <f t="array" ref="F10">Common_InputFunctions.Utility_DisplayArrayInTable(Refrigerants_SourceData.Refrigerants_ChemicalGWP_Data(), Table_RefrigerantChemicalGWP[[#Headers],[Gas]], 0)</f>
        <v>28</v>
      </c>
      <c r="G10" s="24" t="str" cm="1">
        <f t="array" ref="G10">Common_InputFunctions.Utility_DisplayArrayInTable(Refrigerants_SourceData.Refrigerants_ChemicalGWP_Data(), Table_RefrigerantChemicalGWP[[#Headers],[Gas]], 0)</f>
        <v>CH4</v>
      </c>
      <c r="H10" s="68" t="str" cm="1">
        <f t="array" ref="H10">Common_InputFunctions.Utility_DisplayArrayInTable(Refrigerants_SourceData.Refrigerants_ChemicalGWP_Data(), Table_RefrigerantChemicalGWP[[#Headers],[Gas]], 0)</f>
        <v/>
      </c>
      <c r="I10" s="66"/>
      <c r="J10" s="66"/>
      <c r="K10" s="66"/>
      <c r="L10" s="66"/>
      <c r="M10" s="66"/>
      <c r="N10" s="66"/>
      <c r="O10" s="66"/>
      <c r="P10" s="66"/>
      <c r="Q10" s="66"/>
    </row>
    <row r="11" spans="1:35" ht="20.100000000000001" customHeight="1" x14ac:dyDescent="0.25">
      <c r="D11" s="24" t="str" cm="1">
        <f t="array" ref="D11">Common_InputFunctions.Utility_DisplayArrayInTable(Refrigerants_SourceData.Refrigerants_ChemicalGWP_Data(), Table_RefrigerantChemicalGWP[[#Headers],[Gas]], 0)</f>
        <v>Nitrous oxide</v>
      </c>
      <c r="E11" s="24" t="str" cm="1">
        <f t="array" ref="E11">Common_InputFunctions.Utility_DisplayArrayInTable(Refrigerants_SourceData.Refrigerants_ChemicalGWP_Data(), Table_RefrigerantChemicalGWP[[#Headers],[Gas]], 0)</f>
        <v>N2O</v>
      </c>
      <c r="F11" s="24" cm="1">
        <f t="array" ref="F11">Common_InputFunctions.Utility_DisplayArrayInTable(Refrigerants_SourceData.Refrigerants_ChemicalGWP_Data(), Table_RefrigerantChemicalGWP[[#Headers],[Gas]], 0)</f>
        <v>265</v>
      </c>
      <c r="G11" s="24" t="str" cm="1">
        <f t="array" ref="G11">Common_InputFunctions.Utility_DisplayArrayInTable(Refrigerants_SourceData.Refrigerants_ChemicalGWP_Data(), Table_RefrigerantChemicalGWP[[#Headers],[Gas]], 0)</f>
        <v>N2O</v>
      </c>
      <c r="H11" s="68" t="str" cm="1">
        <f t="array" ref="H11">Common_InputFunctions.Utility_DisplayArrayInTable(Refrigerants_SourceData.Refrigerants_ChemicalGWP_Data(), Table_RefrigerantChemicalGWP[[#Headers],[Gas]], 0)</f>
        <v/>
      </c>
      <c r="I11" s="66"/>
      <c r="J11" s="66"/>
      <c r="K11" s="66"/>
      <c r="L11" s="66"/>
      <c r="M11" s="66"/>
      <c r="N11" s="66"/>
      <c r="O11" s="66"/>
      <c r="P11" s="66"/>
      <c r="Q11" s="66"/>
    </row>
    <row r="12" spans="1:35" ht="20.100000000000001" customHeight="1" x14ac:dyDescent="0.25">
      <c r="A12" s="13" t="s">
        <v>44</v>
      </c>
      <c r="D12" s="24" t="str" cm="1">
        <f t="array" ref="D12">Common_InputFunctions.Utility_DisplayArrayInTable(Refrigerants_SourceData.Refrigerants_ChemicalGWP_Data(), Table_RefrigerantChemicalGWP[[#Headers],[Gas]], 0)</f>
        <v>Sulphur hexafluoride</v>
      </c>
      <c r="E12" s="24" t="str" cm="1">
        <f t="array" ref="E12">Common_InputFunctions.Utility_DisplayArrayInTable(Refrigerants_SourceData.Refrigerants_ChemicalGWP_Data(), Table_RefrigerantChemicalGWP[[#Headers],[Gas]], 0)</f>
        <v>SF6</v>
      </c>
      <c r="F12" s="24" cm="1">
        <f t="array" ref="F12">Common_InputFunctions.Utility_DisplayArrayInTable(Refrigerants_SourceData.Refrigerants_ChemicalGWP_Data(), Table_RefrigerantChemicalGWP[[#Headers],[Gas]], 0)</f>
        <v>23500</v>
      </c>
      <c r="G12" s="24" t="str" cm="1">
        <f t="array" ref="G12">Common_InputFunctions.Utility_DisplayArrayInTable(Refrigerants_SourceData.Refrigerants_ChemicalGWP_Data(), Table_RefrigerantChemicalGWP[[#Headers],[Gas]], 0)</f>
        <v>SF6</v>
      </c>
      <c r="H12" s="68" t="str" cm="1">
        <f t="array" ref="H12">Common_InputFunctions.Utility_DisplayArrayInTable(Refrigerants_SourceData.Refrigerants_ChemicalGWP_Data(), Table_RefrigerantChemicalGWP[[#Headers],[Gas]], 0)</f>
        <v/>
      </c>
      <c r="I12" s="66"/>
      <c r="J12" s="66"/>
      <c r="K12" s="66"/>
      <c r="L12" s="66"/>
      <c r="M12" s="66"/>
      <c r="N12" s="66"/>
      <c r="O12" s="66"/>
      <c r="P12" s="66"/>
      <c r="Q12" s="66"/>
    </row>
    <row r="13" spans="1:35" ht="20.100000000000001" customHeight="1" x14ac:dyDescent="0.25">
      <c r="A13" s="12" t="str">
        <f>HYPERLINK("#'9.1.1.1-2 Refrigerant use'!A1", "9.1.1.1-2 Refrigerant use")</f>
        <v>9.1.1.1-2 Refrigerant use</v>
      </c>
      <c r="D13" s="24" t="str" cm="1">
        <f t="array" ref="D13">Common_InputFunctions.Utility_DisplayArrayInTable(Refrigerants_SourceData.Refrigerants_ChemicalGWP_Data(), Table_RefrigerantChemicalGWP[[#Headers],[Gas]], 0)</f>
        <v>HFC-23 (R-23)</v>
      </c>
      <c r="E13" s="24" t="str" cm="1">
        <f t="array" ref="E13">Common_InputFunctions.Utility_DisplayArrayInTable(Refrigerants_SourceData.Refrigerants_ChemicalGWP_Data(), Table_RefrigerantChemicalGWP[[#Headers],[Gas]], 0)</f>
        <v>CHF3</v>
      </c>
      <c r="F13" s="24" cm="1">
        <f t="array" ref="F13">Common_InputFunctions.Utility_DisplayArrayInTable(Refrigerants_SourceData.Refrigerants_ChemicalGWP_Data(), Table_RefrigerantChemicalGWP[[#Headers],[Gas]], 0)</f>
        <v>12400</v>
      </c>
      <c r="G13" s="24" t="str" cm="1">
        <f t="array" ref="G13">Common_InputFunctions.Utility_DisplayArrayInTable(Refrigerants_SourceData.Refrigerants_ChemicalGWP_Data(), Table_RefrigerantChemicalGWP[[#Headers],[Gas]], 0)</f>
        <v>HFC-23</v>
      </c>
      <c r="H13" s="68" t="str" cm="1">
        <f t="array" ref="H13">Common_InputFunctions.Utility_DisplayArrayInTable(Refrigerants_SourceData.Refrigerants_ChemicalGWP_Data(), Table_RefrigerantChemicalGWP[[#Headers],[Gas]], 0)</f>
        <v/>
      </c>
      <c r="I13" s="66"/>
      <c r="J13" s="66"/>
      <c r="K13" s="66"/>
      <c r="L13" s="66"/>
      <c r="M13" s="66"/>
      <c r="N13" s="66"/>
      <c r="O13" s="66"/>
      <c r="P13" s="66"/>
      <c r="Q13" s="66"/>
    </row>
    <row r="14" spans="1:35" ht="20.100000000000001" customHeight="1" x14ac:dyDescent="0.25">
      <c r="D14" s="24" t="str" cm="1">
        <f t="array" ref="D14">Common_InputFunctions.Utility_DisplayArrayInTable(Refrigerants_SourceData.Refrigerants_ChemicalGWP_Data(), Table_RefrigerantChemicalGWP[[#Headers],[Gas]], 0)</f>
        <v>HFC-32 (R-32)</v>
      </c>
      <c r="E14" s="24" t="str" cm="1">
        <f t="array" ref="E14">Common_InputFunctions.Utility_DisplayArrayInTable(Refrigerants_SourceData.Refrigerants_ChemicalGWP_Data(), Table_RefrigerantChemicalGWP[[#Headers],[Gas]], 0)</f>
        <v>CH2F2</v>
      </c>
      <c r="F14" s="24" cm="1">
        <f t="array" ref="F14">Common_InputFunctions.Utility_DisplayArrayInTable(Refrigerants_SourceData.Refrigerants_ChemicalGWP_Data(), Table_RefrigerantChemicalGWP[[#Headers],[Gas]], 0)</f>
        <v>677</v>
      </c>
      <c r="G14" s="24" t="str" cm="1">
        <f t="array" ref="G14">Common_InputFunctions.Utility_DisplayArrayInTable(Refrigerants_SourceData.Refrigerants_ChemicalGWP_Data(), Table_RefrigerantChemicalGWP[[#Headers],[Gas]], 0)</f>
        <v>HFC-32</v>
      </c>
      <c r="H14" s="68" t="str" cm="1">
        <f t="array" ref="H14">Common_InputFunctions.Utility_DisplayArrayInTable(Refrigerants_SourceData.Refrigerants_ChemicalGWP_Data(), Table_RefrigerantChemicalGWP[[#Headers],[Gas]], 0)</f>
        <v/>
      </c>
      <c r="I14" s="66"/>
      <c r="J14" s="66"/>
      <c r="K14" s="66"/>
      <c r="L14" s="66"/>
      <c r="M14" s="66"/>
      <c r="N14" s="66"/>
      <c r="O14" s="66"/>
      <c r="P14" s="66"/>
      <c r="Q14" s="66"/>
    </row>
    <row r="15" spans="1:35" ht="20.100000000000001" customHeight="1" x14ac:dyDescent="0.25">
      <c r="D15" s="24" t="str" cm="1">
        <f t="array" ref="D15">Common_InputFunctions.Utility_DisplayArrayInTable(Refrigerants_SourceData.Refrigerants_ChemicalGWP_Data(), Table_RefrigerantChemicalGWP[[#Headers],[Gas]], 0)</f>
        <v>HFC-41 (R-41)</v>
      </c>
      <c r="E15" s="24" t="str" cm="1">
        <f t="array" ref="E15">Common_InputFunctions.Utility_DisplayArrayInTable(Refrigerants_SourceData.Refrigerants_ChemicalGWP_Data(), Table_RefrigerantChemicalGWP[[#Headers],[Gas]], 0)</f>
        <v>CH3F</v>
      </c>
      <c r="F15" s="24" cm="1">
        <f t="array" ref="F15">Common_InputFunctions.Utility_DisplayArrayInTable(Refrigerants_SourceData.Refrigerants_ChemicalGWP_Data(), Table_RefrigerantChemicalGWP[[#Headers],[Gas]], 0)</f>
        <v>116</v>
      </c>
      <c r="G15" s="24" t="str" cm="1">
        <f t="array" ref="G15">Common_InputFunctions.Utility_DisplayArrayInTable(Refrigerants_SourceData.Refrigerants_ChemicalGWP_Data(), Table_RefrigerantChemicalGWP[[#Headers],[Gas]], 0)</f>
        <v>HFC-41</v>
      </c>
      <c r="H15" s="68" t="str" cm="1">
        <f t="array" ref="H15">Common_InputFunctions.Utility_DisplayArrayInTable(Refrigerants_SourceData.Refrigerants_ChemicalGWP_Data(), Table_RefrigerantChemicalGWP[[#Headers],[Gas]], 0)</f>
        <v/>
      </c>
      <c r="I15" s="66"/>
      <c r="J15" s="66"/>
      <c r="K15" s="66"/>
      <c r="L15" s="66"/>
      <c r="M15" s="66"/>
      <c r="N15" s="66"/>
      <c r="O15" s="66"/>
      <c r="P15" s="66"/>
      <c r="Q15" s="66"/>
    </row>
    <row r="16" spans="1:35" ht="20.100000000000001" customHeight="1" x14ac:dyDescent="0.25">
      <c r="A16" s="78" t="s">
        <v>1</v>
      </c>
      <c r="D16" s="24" t="str" cm="1">
        <f t="array" ref="D16">Common_InputFunctions.Utility_DisplayArrayInTable(Refrigerants_SourceData.Refrigerants_ChemicalGWP_Data(), Table_RefrigerantChemicalGWP[[#Headers],[Gas]], 0)</f>
        <v>HFC-43-10mee (R-4310mee)</v>
      </c>
      <c r="E16" s="24" t="str" cm="1">
        <f t="array" ref="E16">Common_InputFunctions.Utility_DisplayArrayInTable(Refrigerants_SourceData.Refrigerants_ChemicalGWP_Data(), Table_RefrigerantChemicalGWP[[#Headers],[Gas]], 0)</f>
        <v>C5H2F10</v>
      </c>
      <c r="F16" s="24" cm="1">
        <f t="array" ref="F16">Common_InputFunctions.Utility_DisplayArrayInTable(Refrigerants_SourceData.Refrigerants_ChemicalGWP_Data(), Table_RefrigerantChemicalGWP[[#Headers],[Gas]], 0)</f>
        <v>1650</v>
      </c>
      <c r="G16" s="24" t="str" cm="1">
        <f t="array" ref="G16">Common_InputFunctions.Utility_DisplayArrayInTable(Refrigerants_SourceData.Refrigerants_ChemicalGWP_Data(), Table_RefrigerantChemicalGWP[[#Headers],[Gas]], 0)</f>
        <v>HFC-43-10mee</v>
      </c>
      <c r="H16" s="68" t="str" cm="1">
        <f t="array" ref="H16">Common_InputFunctions.Utility_DisplayArrayInTable(Refrigerants_SourceData.Refrigerants_ChemicalGWP_Data(), Table_RefrigerantChemicalGWP[[#Headers],[Gas]], 0)</f>
        <v/>
      </c>
      <c r="I16" s="66"/>
      <c r="J16" s="66"/>
      <c r="K16" s="66"/>
      <c r="L16" s="66"/>
      <c r="M16" s="66"/>
      <c r="N16" s="66"/>
      <c r="O16" s="66"/>
      <c r="P16" s="66"/>
      <c r="Q16" s="66"/>
    </row>
    <row r="17" spans="1:17" ht="20.100000000000001" customHeight="1" x14ac:dyDescent="0.25">
      <c r="A17" s="61" t="str">
        <f>HYPERLINK("#'Constants - Refrigerants'!A1", "Constants - Refrigerants")</f>
        <v>Constants - Refrigerants</v>
      </c>
      <c r="D17" s="24" t="str" cm="1">
        <f t="array" ref="D17">Common_InputFunctions.Utility_DisplayArrayInTable(Refrigerants_SourceData.Refrigerants_ChemicalGWP_Data(), Table_RefrigerantChemicalGWP[[#Headers],[Gas]], 0)</f>
        <v>HFC-125 (R-125)</v>
      </c>
      <c r="E17" s="24" t="str" cm="1">
        <f t="array" ref="E17">Common_InputFunctions.Utility_DisplayArrayInTable(Refrigerants_SourceData.Refrigerants_ChemicalGWP_Data(), Table_RefrigerantChemicalGWP[[#Headers],[Gas]], 0)</f>
        <v>C2HF5</v>
      </c>
      <c r="F17" s="24" cm="1">
        <f t="array" ref="F17">Common_InputFunctions.Utility_DisplayArrayInTable(Refrigerants_SourceData.Refrigerants_ChemicalGWP_Data(), Table_RefrigerantChemicalGWP[[#Headers],[Gas]], 0)</f>
        <v>3170</v>
      </c>
      <c r="G17" s="24" t="str" cm="1">
        <f t="array" ref="G17">Common_InputFunctions.Utility_DisplayArrayInTable(Refrigerants_SourceData.Refrigerants_ChemicalGWP_Data(), Table_RefrigerantChemicalGWP[[#Headers],[Gas]], 0)</f>
        <v>HFC-125</v>
      </c>
      <c r="H17" s="68" t="str" cm="1">
        <f t="array" ref="H17">Common_InputFunctions.Utility_DisplayArrayInTable(Refrigerants_SourceData.Refrigerants_ChemicalGWP_Data(), Table_RefrigerantChemicalGWP[[#Headers],[Gas]], 0)</f>
        <v/>
      </c>
      <c r="I17" s="66"/>
      <c r="J17" s="66"/>
      <c r="K17" s="66"/>
      <c r="L17" s="66"/>
      <c r="M17" s="66"/>
      <c r="N17" s="66"/>
      <c r="O17" s="66"/>
      <c r="P17" s="66"/>
      <c r="Q17" s="66"/>
    </row>
    <row r="18" spans="1:17" ht="20.100000000000001" customHeight="1" x14ac:dyDescent="0.25">
      <c r="A18" s="12" t="str">
        <f>HYPERLINK("#'Constants - Common'!A1", "Constants - Common")</f>
        <v>Constants - Common</v>
      </c>
      <c r="D18" s="24" t="str" cm="1">
        <f t="array" ref="D18">Common_InputFunctions.Utility_DisplayArrayInTable(Refrigerants_SourceData.Refrigerants_ChemicalGWP_Data(), Table_RefrigerantChemicalGWP[[#Headers],[Gas]], 0)</f>
        <v>HFC-134 (R-134)</v>
      </c>
      <c r="E18" s="24" t="str" cm="1">
        <f t="array" ref="E18">Common_InputFunctions.Utility_DisplayArrayInTable(Refrigerants_SourceData.Refrigerants_ChemicalGWP_Data(), Table_RefrigerantChemicalGWP[[#Headers],[Gas]], 0)</f>
        <v>C2H2F4 (CHF2CHF2)</v>
      </c>
      <c r="F18" s="24" cm="1">
        <f t="array" ref="F18">Common_InputFunctions.Utility_DisplayArrayInTable(Refrigerants_SourceData.Refrigerants_ChemicalGWP_Data(), Table_RefrigerantChemicalGWP[[#Headers],[Gas]], 0)</f>
        <v>1120</v>
      </c>
      <c r="G18" s="24" t="str" cm="1">
        <f t="array" ref="G18">Common_InputFunctions.Utility_DisplayArrayInTable(Refrigerants_SourceData.Refrigerants_ChemicalGWP_Data(), Table_RefrigerantChemicalGWP[[#Headers],[Gas]], 0)</f>
        <v>HFC-134</v>
      </c>
      <c r="H18" s="68" t="str" cm="1">
        <f t="array" ref="H18">Common_InputFunctions.Utility_DisplayArrayInTable(Refrigerants_SourceData.Refrigerants_ChemicalGWP_Data(), Table_RefrigerantChemicalGWP[[#Headers],[Gas]], 0)</f>
        <v/>
      </c>
      <c r="I18" s="66"/>
      <c r="J18" s="66"/>
      <c r="K18" s="66"/>
      <c r="L18" s="66"/>
      <c r="M18" s="66"/>
      <c r="N18" s="66"/>
      <c r="O18" s="66"/>
      <c r="P18" s="66"/>
      <c r="Q18" s="66"/>
    </row>
    <row r="19" spans="1:17" ht="20.100000000000001" customHeight="1" x14ac:dyDescent="0.25">
      <c r="D19" s="24" t="str" cm="1">
        <f t="array" ref="D19">Common_InputFunctions.Utility_DisplayArrayInTable(Refrigerants_SourceData.Refrigerants_ChemicalGWP_Data(), Table_RefrigerantChemicalGWP[[#Headers],[Gas]], 0)</f>
        <v>HFC-134a (R-134a)</v>
      </c>
      <c r="E19" s="24" t="str" cm="1">
        <f t="array" ref="E19">Common_InputFunctions.Utility_DisplayArrayInTable(Refrigerants_SourceData.Refrigerants_ChemicalGWP_Data(), Table_RefrigerantChemicalGWP[[#Headers],[Gas]], 0)</f>
        <v>C2H2F4 (CH2FCF3)</v>
      </c>
      <c r="F19" s="24" cm="1">
        <f t="array" ref="F19">Common_InputFunctions.Utility_DisplayArrayInTable(Refrigerants_SourceData.Refrigerants_ChemicalGWP_Data(), Table_RefrigerantChemicalGWP[[#Headers],[Gas]], 0)</f>
        <v>1300</v>
      </c>
      <c r="G19" s="24" t="str" cm="1">
        <f t="array" ref="G19">Common_InputFunctions.Utility_DisplayArrayInTable(Refrigerants_SourceData.Refrigerants_ChemicalGWP_Data(), Table_RefrigerantChemicalGWP[[#Headers],[Gas]], 0)</f>
        <v>HFC-134a</v>
      </c>
      <c r="H19" s="68" t="str" cm="1">
        <f t="array" ref="H19">Common_InputFunctions.Utility_DisplayArrayInTable(Refrigerants_SourceData.Refrigerants_ChemicalGWP_Data(), Table_RefrigerantChemicalGWP[[#Headers],[Gas]], 0)</f>
        <v/>
      </c>
      <c r="I19" s="66"/>
      <c r="J19" s="66"/>
      <c r="K19" s="66"/>
      <c r="L19" s="66"/>
      <c r="M19" s="66"/>
      <c r="N19" s="66"/>
      <c r="O19" s="66"/>
      <c r="P19" s="66"/>
      <c r="Q19" s="66"/>
    </row>
    <row r="20" spans="1:17" ht="20.100000000000001" customHeight="1" x14ac:dyDescent="0.25">
      <c r="D20" s="24" t="str" cm="1">
        <f t="array" ref="D20">Common_InputFunctions.Utility_DisplayArrayInTable(Refrigerants_SourceData.Refrigerants_ChemicalGWP_Data(), Table_RefrigerantChemicalGWP[[#Headers],[Gas]], 0)</f>
        <v>HFC-143 (R-143)</v>
      </c>
      <c r="E20" s="24" t="str" cm="1">
        <f t="array" ref="E20">Common_InputFunctions.Utility_DisplayArrayInTable(Refrigerants_SourceData.Refrigerants_ChemicalGWP_Data(), Table_RefrigerantChemicalGWP[[#Headers],[Gas]], 0)</f>
        <v>C2H3F3 (CHF2CH2F)</v>
      </c>
      <c r="F20" s="24" cm="1">
        <f t="array" ref="F20">Common_InputFunctions.Utility_DisplayArrayInTable(Refrigerants_SourceData.Refrigerants_ChemicalGWP_Data(), Table_RefrigerantChemicalGWP[[#Headers],[Gas]], 0)</f>
        <v>328</v>
      </c>
      <c r="G20" s="24" t="str" cm="1">
        <f t="array" ref="G20">Common_InputFunctions.Utility_DisplayArrayInTable(Refrigerants_SourceData.Refrigerants_ChemicalGWP_Data(), Table_RefrigerantChemicalGWP[[#Headers],[Gas]], 0)</f>
        <v>HFC-143</v>
      </c>
      <c r="H20" s="68" t="str" cm="1">
        <f t="array" ref="H20">Common_InputFunctions.Utility_DisplayArrayInTable(Refrigerants_SourceData.Refrigerants_ChemicalGWP_Data(), Table_RefrigerantChemicalGWP[[#Headers],[Gas]], 0)</f>
        <v/>
      </c>
      <c r="I20" s="66"/>
      <c r="J20" s="66"/>
      <c r="K20" s="66"/>
      <c r="L20" s="66"/>
      <c r="M20" s="66"/>
      <c r="N20" s="66"/>
      <c r="O20" s="66"/>
      <c r="P20" s="66"/>
      <c r="Q20" s="66"/>
    </row>
    <row r="21" spans="1:17" ht="20.100000000000001" customHeight="1" x14ac:dyDescent="0.25">
      <c r="D21" s="24" t="str" cm="1">
        <f t="array" ref="D21">Common_InputFunctions.Utility_DisplayArrayInTable(Refrigerants_SourceData.Refrigerants_ChemicalGWP_Data(), Table_RefrigerantChemicalGWP[[#Headers],[Gas]], 0)</f>
        <v>HFC-143a (R-143a)</v>
      </c>
      <c r="E21" s="24" t="str" cm="1">
        <f t="array" ref="E21">Common_InputFunctions.Utility_DisplayArrayInTable(Refrigerants_SourceData.Refrigerants_ChemicalGWP_Data(), Table_RefrigerantChemicalGWP[[#Headers],[Gas]], 0)</f>
        <v>C2H3F3 (CF3CH3)</v>
      </c>
      <c r="F21" s="24" cm="1">
        <f t="array" ref="F21">Common_InputFunctions.Utility_DisplayArrayInTable(Refrigerants_SourceData.Refrigerants_ChemicalGWP_Data(), Table_RefrigerantChemicalGWP[[#Headers],[Gas]], 0)</f>
        <v>4800</v>
      </c>
      <c r="G21" s="24" t="str" cm="1">
        <f t="array" ref="G21">Common_InputFunctions.Utility_DisplayArrayInTable(Refrigerants_SourceData.Refrigerants_ChemicalGWP_Data(), Table_RefrigerantChemicalGWP[[#Headers],[Gas]], 0)</f>
        <v>HFC-143a</v>
      </c>
      <c r="H21" s="68" t="str" cm="1">
        <f t="array" ref="H21">Common_InputFunctions.Utility_DisplayArrayInTable(Refrigerants_SourceData.Refrigerants_ChemicalGWP_Data(), Table_RefrigerantChemicalGWP[[#Headers],[Gas]], 0)</f>
        <v/>
      </c>
      <c r="I21" s="66"/>
      <c r="J21" s="66"/>
      <c r="K21" s="66"/>
      <c r="L21" s="66"/>
      <c r="M21" s="66"/>
      <c r="N21" s="66"/>
      <c r="O21" s="66"/>
      <c r="P21" s="66"/>
      <c r="Q21" s="66"/>
    </row>
    <row r="22" spans="1:17" ht="20.100000000000001" customHeight="1" x14ac:dyDescent="0.25">
      <c r="D22" s="24" t="str" cm="1">
        <f t="array" ref="D22">Common_InputFunctions.Utility_DisplayArrayInTable(Refrigerants_SourceData.Refrigerants_ChemicalGWP_Data(), Table_RefrigerantChemicalGWP[[#Headers],[Gas]], 0)</f>
        <v>HFC-152a (R-152a)</v>
      </c>
      <c r="E22" s="24" t="str" cm="1">
        <f t="array" ref="E22">Common_InputFunctions.Utility_DisplayArrayInTable(Refrigerants_SourceData.Refrigerants_ChemicalGWP_Data(), Table_RefrigerantChemicalGWP[[#Headers],[Gas]], 0)</f>
        <v>C2H4F2 (CH3CHF2)</v>
      </c>
      <c r="F22" s="24" cm="1">
        <f t="array" ref="F22">Common_InputFunctions.Utility_DisplayArrayInTable(Refrigerants_SourceData.Refrigerants_ChemicalGWP_Data(), Table_RefrigerantChemicalGWP[[#Headers],[Gas]], 0)</f>
        <v>138</v>
      </c>
      <c r="G22" s="24" t="str" cm="1">
        <f t="array" ref="G22">Common_InputFunctions.Utility_DisplayArrayInTable(Refrigerants_SourceData.Refrigerants_ChemicalGWP_Data(), Table_RefrigerantChemicalGWP[[#Headers],[Gas]], 0)</f>
        <v>HFC-152a</v>
      </c>
      <c r="H22" s="68" t="str" cm="1">
        <f t="array" ref="H22">Common_InputFunctions.Utility_DisplayArrayInTable(Refrigerants_SourceData.Refrigerants_ChemicalGWP_Data(), Table_RefrigerantChemicalGWP[[#Headers],[Gas]], 0)</f>
        <v/>
      </c>
      <c r="I22" s="66"/>
      <c r="J22" s="66"/>
      <c r="K22" s="66"/>
      <c r="L22" s="66"/>
      <c r="M22" s="66"/>
      <c r="N22" s="66"/>
      <c r="O22" s="66"/>
      <c r="P22" s="66"/>
      <c r="Q22" s="66"/>
    </row>
    <row r="23" spans="1:17" ht="20.100000000000001" customHeight="1" x14ac:dyDescent="0.25">
      <c r="D23" s="24" t="str" cm="1">
        <f t="array" ref="D23">Common_InputFunctions.Utility_DisplayArrayInTable(Refrigerants_SourceData.Refrigerants_ChemicalGWP_Data(), Table_RefrigerantChemicalGWP[[#Headers],[Gas]], 0)</f>
        <v>HFC-227ea (R-227ea)</v>
      </c>
      <c r="E23" s="24" t="str" cm="1">
        <f t="array" ref="E23">Common_InputFunctions.Utility_DisplayArrayInTable(Refrigerants_SourceData.Refrigerants_ChemicalGWP_Data(), Table_RefrigerantChemicalGWP[[#Headers],[Gas]], 0)</f>
        <v>C3HF7</v>
      </c>
      <c r="F23" s="24" cm="1">
        <f t="array" ref="F23">Common_InputFunctions.Utility_DisplayArrayInTable(Refrigerants_SourceData.Refrigerants_ChemicalGWP_Data(), Table_RefrigerantChemicalGWP[[#Headers],[Gas]], 0)</f>
        <v>3350</v>
      </c>
      <c r="G23" s="24" t="str" cm="1">
        <f t="array" ref="G23">Common_InputFunctions.Utility_DisplayArrayInTable(Refrigerants_SourceData.Refrigerants_ChemicalGWP_Data(), Table_RefrigerantChemicalGWP[[#Headers],[Gas]], 0)</f>
        <v>HFC-227ea</v>
      </c>
      <c r="H23" s="68" t="str" cm="1">
        <f t="array" ref="H23">Common_InputFunctions.Utility_DisplayArrayInTable(Refrigerants_SourceData.Refrigerants_ChemicalGWP_Data(), Table_RefrigerantChemicalGWP[[#Headers],[Gas]], 0)</f>
        <v/>
      </c>
      <c r="I23" s="66"/>
      <c r="J23" s="66"/>
      <c r="K23" s="66"/>
      <c r="L23" s="66"/>
      <c r="M23" s="66"/>
      <c r="N23" s="66"/>
      <c r="O23" s="66"/>
      <c r="P23" s="66"/>
      <c r="Q23" s="66"/>
    </row>
    <row r="24" spans="1:17" ht="20.100000000000001" customHeight="1" x14ac:dyDescent="0.25">
      <c r="D24" s="24" t="str" cm="1">
        <f t="array" ref="D24">Common_InputFunctions.Utility_DisplayArrayInTable(Refrigerants_SourceData.Refrigerants_ChemicalGWP_Data(), Table_RefrigerantChemicalGWP[[#Headers],[Gas]], 0)</f>
        <v>HFC-236fa (R-236fa)</v>
      </c>
      <c r="E24" s="24" t="str" cm="1">
        <f t="array" ref="E24">Common_InputFunctions.Utility_DisplayArrayInTable(Refrigerants_SourceData.Refrigerants_ChemicalGWP_Data(), Table_RefrigerantChemicalGWP[[#Headers],[Gas]], 0)</f>
        <v>C3H2F6</v>
      </c>
      <c r="F24" s="24" cm="1">
        <f t="array" ref="F24">Common_InputFunctions.Utility_DisplayArrayInTable(Refrigerants_SourceData.Refrigerants_ChemicalGWP_Data(), Table_RefrigerantChemicalGWP[[#Headers],[Gas]], 0)</f>
        <v>8060</v>
      </c>
      <c r="G24" s="24" t="str" cm="1">
        <f t="array" ref="G24">Common_InputFunctions.Utility_DisplayArrayInTable(Refrigerants_SourceData.Refrigerants_ChemicalGWP_Data(), Table_RefrigerantChemicalGWP[[#Headers],[Gas]], 0)</f>
        <v>HFC-236fa</v>
      </c>
      <c r="H24" s="68" t="str" cm="1">
        <f t="array" ref="H24">Common_InputFunctions.Utility_DisplayArrayInTable(Refrigerants_SourceData.Refrigerants_ChemicalGWP_Data(), Table_RefrigerantChemicalGWP[[#Headers],[Gas]], 0)</f>
        <v/>
      </c>
      <c r="I24" s="66"/>
      <c r="J24" s="66"/>
      <c r="K24" s="66"/>
      <c r="L24" s="66"/>
      <c r="M24" s="66"/>
      <c r="N24" s="66"/>
      <c r="O24" s="66"/>
      <c r="P24" s="66"/>
      <c r="Q24" s="66"/>
    </row>
    <row r="25" spans="1:17" ht="20.100000000000001" customHeight="1" x14ac:dyDescent="0.25">
      <c r="D25" s="24" t="str" cm="1">
        <f t="array" ref="D25">Common_InputFunctions.Utility_DisplayArrayInTable(Refrigerants_SourceData.Refrigerants_ChemicalGWP_Data(), Table_RefrigerantChemicalGWP[[#Headers],[Gas]], 0)</f>
        <v>HFC-245ca (R-245ca)</v>
      </c>
      <c r="E25" s="24" t="str" cm="1">
        <f t="array" ref="E25">Common_InputFunctions.Utility_DisplayArrayInTable(Refrigerants_SourceData.Refrigerants_ChemicalGWP_Data(), Table_RefrigerantChemicalGWP[[#Headers],[Gas]], 0)</f>
        <v>C3H3F5</v>
      </c>
      <c r="F25" s="24" cm="1">
        <f t="array" ref="F25">Common_InputFunctions.Utility_DisplayArrayInTable(Refrigerants_SourceData.Refrigerants_ChemicalGWP_Data(), Table_RefrigerantChemicalGWP[[#Headers],[Gas]], 0)</f>
        <v>716</v>
      </c>
      <c r="G25" s="24" t="str" cm="1">
        <f t="array" ref="G25">Common_InputFunctions.Utility_DisplayArrayInTable(Refrigerants_SourceData.Refrigerants_ChemicalGWP_Data(), Table_RefrigerantChemicalGWP[[#Headers],[Gas]], 0)</f>
        <v>HFC-245ca</v>
      </c>
      <c r="H25" s="68" t="str" cm="1">
        <f t="array" ref="H25">Common_InputFunctions.Utility_DisplayArrayInTable(Refrigerants_SourceData.Refrigerants_ChemicalGWP_Data(), Table_RefrigerantChemicalGWP[[#Headers],[Gas]], 0)</f>
        <v/>
      </c>
      <c r="I25" s="66"/>
      <c r="J25" s="66"/>
      <c r="K25" s="66"/>
      <c r="L25" s="66"/>
      <c r="M25" s="66"/>
      <c r="N25" s="66"/>
      <c r="O25" s="66"/>
      <c r="P25" s="66"/>
      <c r="Q25" s="66"/>
    </row>
    <row r="26" spans="1:17" ht="20.100000000000001" customHeight="1" x14ac:dyDescent="0.25">
      <c r="D26" s="24" t="str" cm="1">
        <f t="array" ref="D26">Common_InputFunctions.Utility_DisplayArrayInTable(Refrigerants_SourceData.Refrigerants_ChemicalGWP_Data(), Table_RefrigerantChemicalGWP[[#Headers],[Gas]], 0)</f>
        <v>HFC-245fa (R-245fa)</v>
      </c>
      <c r="E26" s="24" t="str" cm="1">
        <f t="array" ref="E26">Common_InputFunctions.Utility_DisplayArrayInTable(Refrigerants_SourceData.Refrigerants_ChemicalGWP_Data(), Table_RefrigerantChemicalGWP[[#Headers],[Gas]], 0)</f>
        <v>CHF2CH2CF3</v>
      </c>
      <c r="F26" s="24" cm="1">
        <f t="array" ref="F26">Common_InputFunctions.Utility_DisplayArrayInTable(Refrigerants_SourceData.Refrigerants_ChemicalGWP_Data(), Table_RefrigerantChemicalGWP[[#Headers],[Gas]], 0)</f>
        <v>858</v>
      </c>
      <c r="G26" s="24" t="str" cm="1">
        <f t="array" ref="G26">Common_InputFunctions.Utility_DisplayArrayInTable(Refrigerants_SourceData.Refrigerants_ChemicalGWP_Data(), Table_RefrigerantChemicalGWP[[#Headers],[Gas]], 0)</f>
        <v>HFC-245fa</v>
      </c>
      <c r="H26" s="68" t="str" cm="1">
        <f t="array" ref="H26">Common_InputFunctions.Utility_DisplayArrayInTable(Refrigerants_SourceData.Refrigerants_ChemicalGWP_Data(), Table_RefrigerantChemicalGWP[[#Headers],[Gas]], 0)</f>
        <v/>
      </c>
      <c r="I26" s="66"/>
      <c r="J26" s="66"/>
      <c r="K26" s="66"/>
      <c r="L26" s="66"/>
      <c r="M26" s="66"/>
      <c r="N26" s="66"/>
      <c r="O26" s="66"/>
      <c r="P26" s="66"/>
      <c r="Q26" s="66"/>
    </row>
    <row r="27" spans="1:17" ht="20.100000000000001" customHeight="1" x14ac:dyDescent="0.25">
      <c r="D27" s="24" t="str" cm="1">
        <f t="array" ref="D27">Common_InputFunctions.Utility_DisplayArrayInTable(Refrigerants_SourceData.Refrigerants_ChemicalGWP_Data(), Table_RefrigerantChemicalGWP[[#Headers],[Gas]], 0)</f>
        <v>HFC-365mfc (R-365mfc)</v>
      </c>
      <c r="E27" s="24" t="str" cm="1">
        <f t="array" ref="E27">Common_InputFunctions.Utility_DisplayArrayInTable(Refrigerants_SourceData.Refrigerants_ChemicalGWP_Data(), Table_RefrigerantChemicalGWP[[#Headers],[Gas]], 0)</f>
        <v>CH3CF2CH2CF3</v>
      </c>
      <c r="F27" s="24" cm="1">
        <f t="array" ref="F27">Common_InputFunctions.Utility_DisplayArrayInTable(Refrigerants_SourceData.Refrigerants_ChemicalGWP_Data(), Table_RefrigerantChemicalGWP[[#Headers],[Gas]], 0)</f>
        <v>804</v>
      </c>
      <c r="G27" s="24" t="str" cm="1">
        <f t="array" ref="G27">Common_InputFunctions.Utility_DisplayArrayInTable(Refrigerants_SourceData.Refrigerants_ChemicalGWP_Data(), Table_RefrigerantChemicalGWP[[#Headers],[Gas]], 0)</f>
        <v>HFC-365mfc</v>
      </c>
      <c r="H27" s="68" t="str" cm="1">
        <f t="array" ref="H27">Common_InputFunctions.Utility_DisplayArrayInTable(Refrigerants_SourceData.Refrigerants_ChemicalGWP_Data(), Table_RefrigerantChemicalGWP[[#Headers],[Gas]], 0)</f>
        <v/>
      </c>
      <c r="I27" s="66"/>
      <c r="J27" s="66"/>
      <c r="K27" s="66"/>
      <c r="L27" s="66"/>
      <c r="M27" s="66"/>
      <c r="N27" s="66"/>
      <c r="O27" s="66"/>
      <c r="P27" s="66"/>
      <c r="Q27" s="66"/>
    </row>
    <row r="28" spans="1:17" ht="20.100000000000001" customHeight="1" x14ac:dyDescent="0.25">
      <c r="D28" s="24" t="str" cm="1">
        <f t="array" ref="D28">Common_InputFunctions.Utility_DisplayArrayInTable(Refrigerants_SourceData.Refrigerants_ChemicalGWP_Data(), Table_RefrigerantChemicalGWP[[#Headers],[Gas]], 0)</f>
        <v>HCFC-22 (R-22)</v>
      </c>
      <c r="E28" s="24" t="str" cm="1">
        <f t="array" ref="E28">Common_InputFunctions.Utility_DisplayArrayInTable(Refrigerants_SourceData.Refrigerants_ChemicalGWP_Data(), Table_RefrigerantChemicalGWP[[#Headers],[Gas]], 0)</f>
        <v>CHClF2</v>
      </c>
      <c r="F28" s="24" cm="1">
        <f t="array" ref="F28">Common_InputFunctions.Utility_DisplayArrayInTable(Refrigerants_SourceData.Refrigerants_ChemicalGWP_Data(), Table_RefrigerantChemicalGWP[[#Headers],[Gas]], 0)</f>
        <v>1760</v>
      </c>
      <c r="G28" s="24" t="str" cm="1">
        <f t="array" ref="G28">Common_InputFunctions.Utility_DisplayArrayInTable(Refrigerants_SourceData.Refrigerants_ChemicalGWP_Data(), Table_RefrigerantChemicalGWP[[#Headers],[Gas]], 0)</f>
        <v>HCFC-22</v>
      </c>
      <c r="H28" s="68" t="str" cm="1">
        <f t="array" ref="H28">Common_InputFunctions.Utility_DisplayArrayInTable(Refrigerants_SourceData.Refrigerants_ChemicalGWP_Data(), Table_RefrigerantChemicalGWP[[#Headers],[Gas]], 0)</f>
        <v/>
      </c>
      <c r="I28" s="66"/>
      <c r="J28" s="66"/>
      <c r="K28" s="66"/>
      <c r="L28" s="66"/>
      <c r="M28" s="66"/>
      <c r="N28" s="66"/>
      <c r="O28" s="66"/>
      <c r="P28" s="66"/>
      <c r="Q28" s="66"/>
    </row>
    <row r="29" spans="1:17" ht="20.100000000000001" customHeight="1" x14ac:dyDescent="0.25">
      <c r="D29" s="68" t="str" cm="1">
        <f t="array" ref="D29">Common_InputFunctions.Utility_DisplayArrayInTable(Refrigerants_SourceData.Refrigerants_ChemicalGWP_Data(), Table_RefrigerantChemicalGWP[[#Headers],[Gas]], 0)</f>
        <v>HCFC-123 (R-123)</v>
      </c>
      <c r="E29" s="24" t="str" cm="1">
        <f t="array" ref="E29">Common_InputFunctions.Utility_DisplayArrayInTable(Refrigerants_SourceData.Refrigerants_ChemicalGWP_Data(), Table_RefrigerantChemicalGWP[[#Headers],[Gas]], 0)</f>
        <v>CHCl22CF3</v>
      </c>
      <c r="F29" s="24" cm="1">
        <f t="array" ref="F29">Common_InputFunctions.Utility_DisplayArrayInTable(Refrigerants_SourceData.Refrigerants_ChemicalGWP_Data(), Table_RefrigerantChemicalGWP[[#Headers],[Gas]], 0)</f>
        <v>79</v>
      </c>
      <c r="G29" s="24" t="str" cm="1">
        <f t="array" ref="G29">Common_InputFunctions.Utility_DisplayArrayInTable(Refrigerants_SourceData.Refrigerants_ChemicalGWP_Data(), Table_RefrigerantChemicalGWP[[#Headers],[Gas]], 0)</f>
        <v>HCFC-123</v>
      </c>
      <c r="H29" s="68" t="str" cm="1">
        <f t="array" ref="H29">Common_InputFunctions.Utility_DisplayArrayInTable(Refrigerants_SourceData.Refrigerants_ChemicalGWP_Data(), Table_RefrigerantChemicalGWP[[#Headers],[Gas]], 0)</f>
        <v/>
      </c>
      <c r="I29" s="66"/>
      <c r="J29" s="66"/>
      <c r="K29" s="66"/>
      <c r="L29" s="66"/>
      <c r="M29" s="66"/>
      <c r="N29" s="66"/>
      <c r="O29" s="66"/>
      <c r="P29" s="66"/>
      <c r="Q29" s="66"/>
    </row>
    <row r="30" spans="1:17" ht="20.100000000000001" customHeight="1" x14ac:dyDescent="0.25">
      <c r="D30" s="68" t="str" cm="1">
        <f t="array" ref="D30">Common_InputFunctions.Utility_DisplayArrayInTable(Refrigerants_SourceData.Refrigerants_ChemicalGWP_Data(), Table_RefrigerantChemicalGWP[[#Headers],[Gas]], 0)</f>
        <v>HCFC-124 (R-124)</v>
      </c>
      <c r="E30" s="24" t="str" cm="1">
        <f t="array" ref="E30">Common_InputFunctions.Utility_DisplayArrayInTable(Refrigerants_SourceData.Refrigerants_ChemicalGWP_Data(), Table_RefrigerantChemicalGWP[[#Headers],[Gas]], 0)</f>
        <v>CHClFCF3</v>
      </c>
      <c r="F30" s="24" cm="1">
        <f t="array" ref="F30">Common_InputFunctions.Utility_DisplayArrayInTable(Refrigerants_SourceData.Refrigerants_ChemicalGWP_Data(), Table_RefrigerantChemicalGWP[[#Headers],[Gas]], 0)</f>
        <v>527</v>
      </c>
      <c r="G30" s="24" t="str" cm="1">
        <f t="array" ref="G30">Common_InputFunctions.Utility_DisplayArrayInTable(Refrigerants_SourceData.Refrigerants_ChemicalGWP_Data(), Table_RefrigerantChemicalGWP[[#Headers],[Gas]], 0)</f>
        <v>HCFC-124</v>
      </c>
      <c r="H30" s="68" t="str" cm="1">
        <f t="array" ref="H30">Common_InputFunctions.Utility_DisplayArrayInTable(Refrigerants_SourceData.Refrigerants_ChemicalGWP_Data(), Table_RefrigerantChemicalGWP[[#Headers],[Gas]], 0)</f>
        <v/>
      </c>
      <c r="I30" s="66"/>
      <c r="J30" s="66"/>
      <c r="K30" s="66"/>
      <c r="L30" s="66"/>
      <c r="M30" s="66"/>
      <c r="N30" s="66"/>
      <c r="O30" s="66"/>
      <c r="P30" s="66"/>
      <c r="Q30" s="66"/>
    </row>
    <row r="31" spans="1:17" ht="20.100000000000001" customHeight="1" x14ac:dyDescent="0.25">
      <c r="D31" s="68" t="str" cm="1">
        <f t="array" ref="D31">Common_InputFunctions.Utility_DisplayArrayInTable(Refrigerants_SourceData.Refrigerants_ChemicalGWP_Data(), Table_RefrigerantChemicalGWP[[#Headers],[Gas]], 0)</f>
        <v>HCFC-141b (R-141b)</v>
      </c>
      <c r="E31" s="24" t="str" cm="1">
        <f t="array" ref="E31">Common_InputFunctions.Utility_DisplayArrayInTable(Refrigerants_SourceData.Refrigerants_ChemicalGWP_Data(), Table_RefrigerantChemicalGWP[[#Headers],[Gas]], 0)</f>
        <v>CH3CCl2F</v>
      </c>
      <c r="F31" s="24" cm="1">
        <f t="array" ref="F31">Common_InputFunctions.Utility_DisplayArrayInTable(Refrigerants_SourceData.Refrigerants_ChemicalGWP_Data(), Table_RefrigerantChemicalGWP[[#Headers],[Gas]], 0)</f>
        <v>782</v>
      </c>
      <c r="G31" s="24" t="str" cm="1">
        <f t="array" ref="G31">Common_InputFunctions.Utility_DisplayArrayInTable(Refrigerants_SourceData.Refrigerants_ChemicalGWP_Data(), Table_RefrigerantChemicalGWP[[#Headers],[Gas]], 0)</f>
        <v>HCFC-141b</v>
      </c>
      <c r="H31" s="68" t="str" cm="1">
        <f t="array" ref="H31">Common_InputFunctions.Utility_DisplayArrayInTable(Refrigerants_SourceData.Refrigerants_ChemicalGWP_Data(), Table_RefrigerantChemicalGWP[[#Headers],[Gas]], 0)</f>
        <v/>
      </c>
      <c r="I31" s="66"/>
      <c r="J31" s="66"/>
      <c r="K31" s="66"/>
      <c r="L31" s="66"/>
      <c r="M31" s="66"/>
      <c r="N31" s="66"/>
      <c r="O31" s="66"/>
      <c r="P31" s="66"/>
      <c r="Q31" s="66"/>
    </row>
    <row r="32" spans="1:17" ht="20.100000000000001" customHeight="1" x14ac:dyDescent="0.25">
      <c r="D32" s="68" t="str" cm="1">
        <f t="array" ref="D32">Common_InputFunctions.Utility_DisplayArrayInTable(Refrigerants_SourceData.Refrigerants_ChemicalGWP_Data(), Table_RefrigerantChemicalGWP[[#Headers],[Gas]], 0)</f>
        <v>HCFC-142b (R-142b)</v>
      </c>
      <c r="E32" s="24" t="str" cm="1">
        <f t="array" ref="E32">Common_InputFunctions.Utility_DisplayArrayInTable(Refrigerants_SourceData.Refrigerants_ChemicalGWP_Data(), Table_RefrigerantChemicalGWP[[#Headers],[Gas]], 0)</f>
        <v>CH2CClF2</v>
      </c>
      <c r="F32" s="24" cm="1">
        <f t="array" ref="F32">Common_InputFunctions.Utility_DisplayArrayInTable(Refrigerants_SourceData.Refrigerants_ChemicalGWP_Data(), Table_RefrigerantChemicalGWP[[#Headers],[Gas]], 0)</f>
        <v>1980</v>
      </c>
      <c r="G32" s="24" t="str" cm="1">
        <f t="array" ref="G32">Common_InputFunctions.Utility_DisplayArrayInTable(Refrigerants_SourceData.Refrigerants_ChemicalGWP_Data(), Table_RefrigerantChemicalGWP[[#Headers],[Gas]], 0)</f>
        <v>HCFC-142b</v>
      </c>
      <c r="H32" s="68" t="str" cm="1">
        <f t="array" ref="H32">Common_InputFunctions.Utility_DisplayArrayInTable(Refrigerants_SourceData.Refrigerants_ChemicalGWP_Data(), Table_RefrigerantChemicalGWP[[#Headers],[Gas]], 0)</f>
        <v/>
      </c>
      <c r="I32" s="66"/>
      <c r="J32" s="66"/>
      <c r="K32" s="66"/>
      <c r="L32" s="66"/>
      <c r="M32" s="66"/>
      <c r="N32" s="66"/>
      <c r="O32" s="66"/>
      <c r="P32" s="66"/>
      <c r="Q32" s="66"/>
    </row>
    <row r="33" spans="4:17" ht="20.100000000000001" customHeight="1" x14ac:dyDescent="0.25">
      <c r="D33" s="68" t="str" cm="1">
        <f t="array" ref="D33">Common_InputFunctions.Utility_DisplayArrayInTable(Refrigerants_SourceData.Refrigerants_ChemicalGWP_Data(), Table_RefrigerantChemicalGWP[[#Headers],[Gas]], 0)</f>
        <v>HCFC-225ca (R-225ca)</v>
      </c>
      <c r="E33" s="24" t="str" cm="1">
        <f t="array" ref="E33">Common_InputFunctions.Utility_DisplayArrayInTable(Refrigerants_SourceData.Refrigerants_ChemicalGWP_Data(), Table_RefrigerantChemicalGWP[[#Headers],[Gas]], 0)</f>
        <v>CHCl2CF2CF3</v>
      </c>
      <c r="F33" s="24" cm="1">
        <f t="array" ref="F33">Common_InputFunctions.Utility_DisplayArrayInTable(Refrigerants_SourceData.Refrigerants_ChemicalGWP_Data(), Table_RefrigerantChemicalGWP[[#Headers],[Gas]], 0)</f>
        <v>127</v>
      </c>
      <c r="G33" s="24" t="str" cm="1">
        <f t="array" ref="G33">Common_InputFunctions.Utility_DisplayArrayInTable(Refrigerants_SourceData.Refrigerants_ChemicalGWP_Data(), Table_RefrigerantChemicalGWP[[#Headers],[Gas]], 0)</f>
        <v>HCFC-225ca</v>
      </c>
      <c r="H33" s="68" t="str" cm="1">
        <f t="array" ref="H33">Common_InputFunctions.Utility_DisplayArrayInTable(Refrigerants_SourceData.Refrigerants_ChemicalGWP_Data(), Table_RefrigerantChemicalGWP[[#Headers],[Gas]], 0)</f>
        <v/>
      </c>
      <c r="I33" s="66"/>
      <c r="J33" s="66"/>
      <c r="K33" s="66"/>
      <c r="L33" s="66"/>
      <c r="M33" s="66"/>
      <c r="N33" s="66"/>
      <c r="O33" s="66"/>
      <c r="P33" s="66"/>
      <c r="Q33" s="66"/>
    </row>
    <row r="34" spans="4:17" ht="20.100000000000001" customHeight="1" x14ac:dyDescent="0.25">
      <c r="D34" s="68" t="str" cm="1">
        <f t="array" ref="D34">Common_InputFunctions.Utility_DisplayArrayInTable(Refrigerants_SourceData.Refrigerants_ChemicalGWP_Data(), Table_RefrigerantChemicalGWP[[#Headers],[Gas]], 0)</f>
        <v>HCFC-225cb (R-225cb)</v>
      </c>
      <c r="E34" s="24" t="str" cm="1">
        <f t="array" ref="E34">Common_InputFunctions.Utility_DisplayArrayInTable(Refrigerants_SourceData.Refrigerants_ChemicalGWP_Data(), Table_RefrigerantChemicalGWP[[#Headers],[Gas]], 0)</f>
        <v>CHClFCF2CCIF2</v>
      </c>
      <c r="F34" s="24" cm="1">
        <f t="array" ref="F34">Common_InputFunctions.Utility_DisplayArrayInTable(Refrigerants_SourceData.Refrigerants_ChemicalGWP_Data(), Table_RefrigerantChemicalGWP[[#Headers],[Gas]], 0)</f>
        <v>525</v>
      </c>
      <c r="G34" s="24" t="str" cm="1">
        <f t="array" ref="G34">Common_InputFunctions.Utility_DisplayArrayInTable(Refrigerants_SourceData.Refrigerants_ChemicalGWP_Data(), Table_RefrigerantChemicalGWP[[#Headers],[Gas]], 0)</f>
        <v>HCFC-225cb</v>
      </c>
      <c r="H34" s="68" t="str" cm="1">
        <f t="array" ref="H34">Common_InputFunctions.Utility_DisplayArrayInTable(Refrigerants_SourceData.Refrigerants_ChemicalGWP_Data(), Table_RefrigerantChemicalGWP[[#Headers],[Gas]], 0)</f>
        <v/>
      </c>
      <c r="I34" s="66"/>
      <c r="J34" s="66"/>
      <c r="K34" s="66"/>
      <c r="L34" s="66"/>
      <c r="M34" s="66"/>
      <c r="N34" s="66"/>
      <c r="O34" s="66"/>
      <c r="P34" s="66"/>
      <c r="Q34" s="66"/>
    </row>
    <row r="35" spans="4:17" ht="20.100000000000001" customHeight="1" x14ac:dyDescent="0.25">
      <c r="D35" s="68" t="str" cm="1">
        <f t="array" ref="D35">Common_InputFunctions.Utility_DisplayArrayInTable(Refrigerants_SourceData.Refrigerants_ChemicalGWP_Data(), Table_RefrigerantChemicalGWP[[#Headers],[Gas]], 0)</f>
        <v>PFC-14 Perfluoromethane (tetrafluoromethane)</v>
      </c>
      <c r="E35" s="24" t="str" cm="1">
        <f t="array" ref="E35">Common_InputFunctions.Utility_DisplayArrayInTable(Refrigerants_SourceData.Refrigerants_ChemicalGWP_Data(), Table_RefrigerantChemicalGWP[[#Headers],[Gas]], 0)</f>
        <v>CF4</v>
      </c>
      <c r="F35" s="24" cm="1">
        <f t="array" ref="F35">Common_InputFunctions.Utility_DisplayArrayInTable(Refrigerants_SourceData.Refrigerants_ChemicalGWP_Data(), Table_RefrigerantChemicalGWP[[#Headers],[Gas]], 0)</f>
        <v>6630</v>
      </c>
      <c r="G35" s="24" t="str" cm="1">
        <f t="array" ref="G35">Common_InputFunctions.Utility_DisplayArrayInTable(Refrigerants_SourceData.Refrigerants_ChemicalGWP_Data(), Table_RefrigerantChemicalGWP[[#Headers],[Gas]], 0)</f>
        <v>PFC-14</v>
      </c>
      <c r="H35" s="68" t="str" cm="1">
        <f t="array" ref="H35">Common_InputFunctions.Utility_DisplayArrayInTable(Refrigerants_SourceData.Refrigerants_ChemicalGWP_Data(), Table_RefrigerantChemicalGWP[[#Headers],[Gas]], 0)</f>
        <v/>
      </c>
      <c r="I35" s="66"/>
      <c r="J35" s="66"/>
      <c r="K35" s="66"/>
      <c r="L35" s="66"/>
      <c r="M35" s="66"/>
      <c r="N35" s="66"/>
      <c r="O35" s="66"/>
      <c r="P35" s="66"/>
      <c r="Q35" s="66"/>
    </row>
    <row r="36" spans="4:17" ht="20.100000000000001" customHeight="1" x14ac:dyDescent="0.25">
      <c r="D36" s="68" t="str" cm="1">
        <f t="array" ref="D36">Common_InputFunctions.Utility_DisplayArrayInTable(Refrigerants_SourceData.Refrigerants_ChemicalGWP_Data(), Table_RefrigerantChemicalGWP[[#Headers],[Gas]], 0)</f>
        <v>PFC-116 Perfluoroethane (hexafluoroethane)</v>
      </c>
      <c r="E36" s="24" t="str" cm="1">
        <f t="array" ref="E36">Common_InputFunctions.Utility_DisplayArrayInTable(Refrigerants_SourceData.Refrigerants_ChemicalGWP_Data(), Table_RefrigerantChemicalGWP[[#Headers],[Gas]], 0)</f>
        <v>C2F6</v>
      </c>
      <c r="F36" s="24" cm="1">
        <f t="array" ref="F36">Common_InputFunctions.Utility_DisplayArrayInTable(Refrigerants_SourceData.Refrigerants_ChemicalGWP_Data(), Table_RefrigerantChemicalGWP[[#Headers],[Gas]], 0)</f>
        <v>11100</v>
      </c>
      <c r="G36" s="24" t="str" cm="1">
        <f t="array" ref="G36">Common_InputFunctions.Utility_DisplayArrayInTable(Refrigerants_SourceData.Refrigerants_ChemicalGWP_Data(), Table_RefrigerantChemicalGWP[[#Headers],[Gas]], 0)</f>
        <v>PFC-116</v>
      </c>
      <c r="H36" s="68" t="str" cm="1">
        <f t="array" ref="H36">Common_InputFunctions.Utility_DisplayArrayInTable(Refrigerants_SourceData.Refrigerants_ChemicalGWP_Data(), Table_RefrigerantChemicalGWP[[#Headers],[Gas]], 0)</f>
        <v/>
      </c>
      <c r="I36" s="66"/>
      <c r="J36" s="66"/>
      <c r="K36" s="66"/>
      <c r="L36" s="66"/>
      <c r="M36" s="66"/>
      <c r="N36" s="66"/>
      <c r="O36" s="66"/>
      <c r="P36" s="66"/>
      <c r="Q36" s="66"/>
    </row>
    <row r="37" spans="4:17" ht="20.100000000000001" customHeight="1" x14ac:dyDescent="0.25">
      <c r="D37" s="68" t="str" cm="1">
        <f t="array" ref="D37">Common_InputFunctions.Utility_DisplayArrayInTable(Refrigerants_SourceData.Refrigerants_ChemicalGWP_Data(), Table_RefrigerantChemicalGWP[[#Headers],[Gas]], 0)</f>
        <v>PFC-218 Perfluoropropane</v>
      </c>
      <c r="E37" s="24" t="str" cm="1">
        <f t="array" ref="E37">Common_InputFunctions.Utility_DisplayArrayInTable(Refrigerants_SourceData.Refrigerants_ChemicalGWP_Data(), Table_RefrigerantChemicalGWP[[#Headers],[Gas]], 0)</f>
        <v>C3F8</v>
      </c>
      <c r="F37" s="24" cm="1">
        <f t="array" ref="F37">Common_InputFunctions.Utility_DisplayArrayInTable(Refrigerants_SourceData.Refrigerants_ChemicalGWP_Data(), Table_RefrigerantChemicalGWP[[#Headers],[Gas]], 0)</f>
        <v>8900</v>
      </c>
      <c r="G37" s="24" t="str" cm="1">
        <f t="array" ref="G37">Common_InputFunctions.Utility_DisplayArrayInTable(Refrigerants_SourceData.Refrigerants_ChemicalGWP_Data(), Table_RefrigerantChemicalGWP[[#Headers],[Gas]], 0)</f>
        <v>PFC-218</v>
      </c>
      <c r="H37" s="68" t="str" cm="1">
        <f t="array" ref="H37">Common_InputFunctions.Utility_DisplayArrayInTable(Refrigerants_SourceData.Refrigerants_ChemicalGWP_Data(), Table_RefrigerantChemicalGWP[[#Headers],[Gas]], 0)</f>
        <v/>
      </c>
      <c r="I37" s="66"/>
      <c r="J37" s="66"/>
      <c r="K37" s="66"/>
      <c r="L37" s="66"/>
      <c r="M37" s="66"/>
      <c r="N37" s="66"/>
      <c r="O37" s="66"/>
      <c r="P37" s="66"/>
      <c r="Q37" s="66"/>
    </row>
    <row r="38" spans="4:17" ht="20.100000000000001" customHeight="1" x14ac:dyDescent="0.25">
      <c r="D38" s="68" t="str" cm="1">
        <f t="array" ref="D38">Common_InputFunctions.Utility_DisplayArrayInTable(Refrigerants_SourceData.Refrigerants_ChemicalGWP_Data(), Table_RefrigerantChemicalGWP[[#Headers],[Gas]], 0)</f>
        <v>PFC-31-10 Perfluorobutane</v>
      </c>
      <c r="E38" s="24" t="str" cm="1">
        <f t="array" ref="E38">Common_InputFunctions.Utility_DisplayArrayInTable(Refrigerants_SourceData.Refrigerants_ChemicalGWP_Data(), Table_RefrigerantChemicalGWP[[#Headers],[Gas]], 0)</f>
        <v>C4F10</v>
      </c>
      <c r="F38" s="24" cm="1">
        <f t="array" ref="F38">Common_InputFunctions.Utility_DisplayArrayInTable(Refrigerants_SourceData.Refrigerants_ChemicalGWP_Data(), Table_RefrigerantChemicalGWP[[#Headers],[Gas]], 0)</f>
        <v>9200</v>
      </c>
      <c r="G38" s="24" t="str" cm="1">
        <f t="array" ref="G38">Common_InputFunctions.Utility_DisplayArrayInTable(Refrigerants_SourceData.Refrigerants_ChemicalGWP_Data(), Table_RefrigerantChemicalGWP[[#Headers],[Gas]], 0)</f>
        <v>PFC-31-10</v>
      </c>
      <c r="H38" s="68" t="str" cm="1">
        <f t="array" ref="H38">Common_InputFunctions.Utility_DisplayArrayInTable(Refrigerants_SourceData.Refrigerants_ChemicalGWP_Data(), Table_RefrigerantChemicalGWP[[#Headers],[Gas]], 0)</f>
        <v/>
      </c>
      <c r="I38" s="66"/>
      <c r="J38" s="66"/>
      <c r="K38" s="66"/>
      <c r="L38" s="66"/>
      <c r="M38" s="66"/>
      <c r="N38" s="66"/>
      <c r="O38" s="66"/>
      <c r="P38" s="66"/>
      <c r="Q38" s="66"/>
    </row>
    <row r="39" spans="4:17" ht="20.100000000000001" customHeight="1" x14ac:dyDescent="0.25">
      <c r="D39" s="68" t="str" cm="1">
        <f t="array" ref="D39">Common_InputFunctions.Utility_DisplayArrayInTable(Refrigerants_SourceData.Refrigerants_ChemicalGWP_Data(), Table_RefrigerantChemicalGWP[[#Headers],[Gas]], 0)</f>
        <v>PFC-318 Perfluorocyclobutane</v>
      </c>
      <c r="E39" s="24" t="str" cm="1">
        <f t="array" ref="E39">Common_InputFunctions.Utility_DisplayArrayInTable(Refrigerants_SourceData.Refrigerants_ChemicalGWP_Data(), Table_RefrigerantChemicalGWP[[#Headers],[Gas]], 0)</f>
        <v>c-C4F8</v>
      </c>
      <c r="F39" s="24" cm="1">
        <f t="array" ref="F39">Common_InputFunctions.Utility_DisplayArrayInTable(Refrigerants_SourceData.Refrigerants_ChemicalGWP_Data(), Table_RefrigerantChemicalGWP[[#Headers],[Gas]], 0)</f>
        <v>9540</v>
      </c>
      <c r="G39" s="24" t="str" cm="1">
        <f t="array" ref="G39">Common_InputFunctions.Utility_DisplayArrayInTable(Refrigerants_SourceData.Refrigerants_ChemicalGWP_Data(), Table_RefrigerantChemicalGWP[[#Headers],[Gas]], 0)</f>
        <v>PFC-318</v>
      </c>
      <c r="H39" s="68" t="str" cm="1">
        <f t="array" ref="H39">Common_InputFunctions.Utility_DisplayArrayInTable(Refrigerants_SourceData.Refrigerants_ChemicalGWP_Data(), Table_RefrigerantChemicalGWP[[#Headers],[Gas]], 0)</f>
        <v/>
      </c>
      <c r="I39" s="66"/>
      <c r="J39" s="66"/>
      <c r="K39" s="66"/>
      <c r="L39" s="66"/>
      <c r="M39" s="66"/>
      <c r="N39" s="66"/>
      <c r="O39" s="66"/>
      <c r="P39" s="66"/>
      <c r="Q39" s="66"/>
    </row>
    <row r="40" spans="4:17" ht="20.100000000000001" customHeight="1" x14ac:dyDescent="0.25">
      <c r="D40" s="68" t="str" cm="1">
        <f t="array" ref="D40">Common_InputFunctions.Utility_DisplayArrayInTable(Refrigerants_SourceData.Refrigerants_ChemicalGWP_Data(), Table_RefrigerantChemicalGWP[[#Headers],[Gas]], 0)</f>
        <v>PFC-41-12 Perfluoropentane</v>
      </c>
      <c r="E40" s="24" t="str" cm="1">
        <f t="array" ref="E40">Common_InputFunctions.Utility_DisplayArrayInTable(Refrigerants_SourceData.Refrigerants_ChemicalGWP_Data(), Table_RefrigerantChemicalGWP[[#Headers],[Gas]], 0)</f>
        <v>C5F12</v>
      </c>
      <c r="F40" s="24" cm="1">
        <f t="array" ref="F40">Common_InputFunctions.Utility_DisplayArrayInTable(Refrigerants_SourceData.Refrigerants_ChemicalGWP_Data(), Table_RefrigerantChemicalGWP[[#Headers],[Gas]], 0)</f>
        <v>8550</v>
      </c>
      <c r="G40" s="24" t="str" cm="1">
        <f t="array" ref="G40">Common_InputFunctions.Utility_DisplayArrayInTable(Refrigerants_SourceData.Refrigerants_ChemicalGWP_Data(), Table_RefrigerantChemicalGWP[[#Headers],[Gas]], 0)</f>
        <v>PFC-41-12</v>
      </c>
      <c r="H40" s="68" t="str" cm="1">
        <f t="array" ref="H40">Common_InputFunctions.Utility_DisplayArrayInTable(Refrigerants_SourceData.Refrigerants_ChemicalGWP_Data(), Table_RefrigerantChemicalGWP[[#Headers],[Gas]], 0)</f>
        <v/>
      </c>
      <c r="I40" s="66"/>
      <c r="J40" s="66"/>
      <c r="K40" s="66"/>
      <c r="L40" s="66"/>
      <c r="M40" s="66"/>
      <c r="N40" s="66"/>
      <c r="O40" s="66"/>
      <c r="P40" s="66"/>
      <c r="Q40" s="66"/>
    </row>
    <row r="41" spans="4:17" ht="20.100000000000001" customHeight="1" x14ac:dyDescent="0.25">
      <c r="D41" s="68" t="str" cm="1">
        <f t="array" ref="D41">Common_InputFunctions.Utility_DisplayArrayInTable(Refrigerants_SourceData.Refrigerants_ChemicalGWP_Data(), Table_RefrigerantChemicalGWP[[#Headers],[Gas]], 0)</f>
        <v>PFC-51-14 Perfluorohexane</v>
      </c>
      <c r="E41" s="24" t="str" cm="1">
        <f t="array" ref="E41">Common_InputFunctions.Utility_DisplayArrayInTable(Refrigerants_SourceData.Refrigerants_ChemicalGWP_Data(), Table_RefrigerantChemicalGWP[[#Headers],[Gas]], 0)</f>
        <v>C6F14</v>
      </c>
      <c r="F41" s="24" cm="1">
        <f t="array" ref="F41">Common_InputFunctions.Utility_DisplayArrayInTable(Refrigerants_SourceData.Refrigerants_ChemicalGWP_Data(), Table_RefrigerantChemicalGWP[[#Headers],[Gas]], 0)</f>
        <v>7910</v>
      </c>
      <c r="G41" s="24" t="str" cm="1">
        <f t="array" ref="G41">Common_InputFunctions.Utility_DisplayArrayInTable(Refrigerants_SourceData.Refrigerants_ChemicalGWP_Data(), Table_RefrigerantChemicalGWP[[#Headers],[Gas]], 0)</f>
        <v>PFC-51-14</v>
      </c>
      <c r="H41" s="68" t="str" cm="1">
        <f t="array" ref="H41">Common_InputFunctions.Utility_DisplayArrayInTable(Refrigerants_SourceData.Refrigerants_ChemicalGWP_Data(), Table_RefrigerantChemicalGWP[[#Headers],[Gas]], 0)</f>
        <v/>
      </c>
      <c r="I41" s="66"/>
      <c r="J41" s="66"/>
      <c r="K41" s="66"/>
      <c r="L41" s="66"/>
      <c r="M41" s="66"/>
      <c r="N41" s="66"/>
      <c r="O41" s="66"/>
      <c r="P41" s="66"/>
      <c r="Q41" s="66"/>
    </row>
    <row r="42" spans="4:17" ht="20.100000000000001" customHeight="1" x14ac:dyDescent="0.25">
      <c r="D42" s="68" t="str" cm="1">
        <f t="array" ref="D42">Common_InputFunctions.Utility_DisplayArrayInTable(Refrigerants_SourceData.Refrigerants_ChemicalGWP_Data(), Table_RefrigerantChemicalGWP[[#Headers],[Gas]], 0)</f>
        <v>PFC-91-18 Perflunafene</v>
      </c>
      <c r="E42" s="24" t="str" cm="1">
        <f t="array" ref="E42">Common_InputFunctions.Utility_DisplayArrayInTable(Refrigerants_SourceData.Refrigerants_ChemicalGWP_Data(), Table_RefrigerantChemicalGWP[[#Headers],[Gas]], 0)</f>
        <v>C10F18</v>
      </c>
      <c r="F42" s="24" cm="1">
        <f t="array" ref="F42">Common_InputFunctions.Utility_DisplayArrayInTable(Refrigerants_SourceData.Refrigerants_ChemicalGWP_Data(), Table_RefrigerantChemicalGWP[[#Headers],[Gas]], 0)</f>
        <v>7190</v>
      </c>
      <c r="G42" s="24" t="str" cm="1">
        <f t="array" ref="G42">Common_InputFunctions.Utility_DisplayArrayInTable(Refrigerants_SourceData.Refrigerants_ChemicalGWP_Data(), Table_RefrigerantChemicalGWP[[#Headers],[Gas]], 0)</f>
        <v>PFC-91-18</v>
      </c>
      <c r="H42" s="68" t="str" cm="1">
        <f t="array" ref="H42">Common_InputFunctions.Utility_DisplayArrayInTable(Refrigerants_SourceData.Refrigerants_ChemicalGWP_Data(), Table_RefrigerantChemicalGWP[[#Headers],[Gas]], 0)</f>
        <v/>
      </c>
      <c r="I42" s="66"/>
      <c r="J42" s="66"/>
      <c r="K42" s="66"/>
      <c r="L42" s="66"/>
      <c r="M42" s="66"/>
      <c r="N42" s="66"/>
      <c r="O42" s="66"/>
      <c r="P42" s="66"/>
      <c r="Q42" s="66"/>
    </row>
    <row r="43" spans="4:17" ht="20.100000000000001" customHeight="1" x14ac:dyDescent="0.25">
      <c r="D43" s="68" t="str" cm="1">
        <f t="array" ref="D43">Common_InputFunctions.Utility_DisplayArrayInTable(Refrigerants_SourceData.Refrigerants_ChemicalGWP_Data(), Table_RefrigerantChemicalGWP[[#Headers],[Gas]], 0)</f>
        <v>CFC-12</v>
      </c>
      <c r="E43" s="68" t="str" cm="1">
        <f t="array" ref="E43">Common_InputFunctions.Utility_DisplayArrayInTable(Refrigerants_SourceData.Refrigerants_ChemicalGWP_Data(), Table_RefrigerantChemicalGWP[[#Headers],[Gas]], 0)</f>
        <v>CCl2F2</v>
      </c>
      <c r="F43" s="68" cm="1">
        <f t="array" ref="F43">Common_InputFunctions.Utility_DisplayArrayInTable(Refrigerants_SourceData.Refrigerants_ChemicalGWP_Data(), Table_RefrigerantChemicalGWP[[#Headers],[Gas]], 0)</f>
        <v>10200</v>
      </c>
      <c r="G43" s="68" t="str" cm="1">
        <f t="array" ref="G43">Common_InputFunctions.Utility_DisplayArrayInTable(Refrigerants_SourceData.Refrigerants_ChemicalGWP_Data(), Table_RefrigerantChemicalGWP[[#Headers],[Gas]], 0)</f>
        <v>CFC-12</v>
      </c>
      <c r="H43" s="68" t="str" cm="1">
        <f t="array" ref="H43">Common_InputFunctions.Utility_DisplayArrayInTable(Refrigerants_SourceData.Refrigerants_ChemicalGWP_Data(), Table_RefrigerantChemicalGWP[[#Headers],[Gas]], 0)</f>
        <v>IPCC Global Warming Potential Values v2.0 - (AR5)</v>
      </c>
      <c r="I43" s="66"/>
      <c r="J43" s="66"/>
      <c r="K43" s="66"/>
      <c r="L43" s="66"/>
      <c r="M43" s="66"/>
      <c r="N43" s="66"/>
      <c r="O43" s="66"/>
      <c r="P43" s="66"/>
      <c r="Q43" s="66"/>
    </row>
    <row r="44" spans="4:17" ht="20.100000000000001" customHeight="1" x14ac:dyDescent="0.25">
      <c r="D44" s="68" t="str" cm="1">
        <f t="array" ref="D44">Common_InputFunctions.Utility_DisplayArrayInTable(Refrigerants_SourceData.Refrigerants_ChemicalGWP_Data(), Table_RefrigerantChemicalGWP[[#Headers],[Gas]], 0)</f>
        <v>CFC-13</v>
      </c>
      <c r="E44" s="68" t="str" cm="1">
        <f t="array" ref="E44">Common_InputFunctions.Utility_DisplayArrayInTable(Refrigerants_SourceData.Refrigerants_ChemicalGWP_Data(), Table_RefrigerantChemicalGWP[[#Headers],[Gas]], 0)</f>
        <v>CClF3</v>
      </c>
      <c r="F44" s="68" cm="1">
        <f t="array" ref="F44">Common_InputFunctions.Utility_DisplayArrayInTable(Refrigerants_SourceData.Refrigerants_ChemicalGWP_Data(), Table_RefrigerantChemicalGWP[[#Headers],[Gas]], 0)</f>
        <v>13900</v>
      </c>
      <c r="G44" s="68" t="str" cm="1">
        <f t="array" ref="G44">Common_InputFunctions.Utility_DisplayArrayInTable(Refrigerants_SourceData.Refrigerants_ChemicalGWP_Data(), Table_RefrigerantChemicalGWP[[#Headers],[Gas]], 0)</f>
        <v>CFC-13</v>
      </c>
      <c r="H44" s="68" t="str" cm="1">
        <f t="array" ref="H44">Common_InputFunctions.Utility_DisplayArrayInTable(Refrigerants_SourceData.Refrigerants_ChemicalGWP_Data(), Table_RefrigerantChemicalGWP[[#Headers],[Gas]], 0)</f>
        <v>IPCC Global Warming Potential Values v2.0 - (AR5)</v>
      </c>
      <c r="I44" s="66"/>
      <c r="J44" s="66"/>
      <c r="K44" s="66"/>
      <c r="L44" s="66"/>
      <c r="M44" s="66"/>
      <c r="N44" s="66"/>
      <c r="O44" s="66"/>
      <c r="P44" s="66"/>
      <c r="Q44" s="66"/>
    </row>
    <row r="45" spans="4:17" ht="20.100000000000001" customHeight="1" x14ac:dyDescent="0.25">
      <c r="D45" s="68" t="str" cm="1">
        <f t="array" ref="D45">Common_InputFunctions.Utility_DisplayArrayInTable(Refrigerants_SourceData.Refrigerants_ChemicalGWP_Data(), Table_RefrigerantChemicalGWP[[#Headers],[Gas]], 0)</f>
        <v>CFC-114</v>
      </c>
      <c r="E45" s="68" t="str" cm="1">
        <f t="array" ref="E45">Common_InputFunctions.Utility_DisplayArrayInTable(Refrigerants_SourceData.Refrigerants_ChemicalGWP_Data(), Table_RefrigerantChemicalGWP[[#Headers],[Gas]], 0)</f>
        <v>CClF2CClF2</v>
      </c>
      <c r="F45" s="68" cm="1">
        <f t="array" ref="F45">Common_InputFunctions.Utility_DisplayArrayInTable(Refrigerants_SourceData.Refrigerants_ChemicalGWP_Data(), Table_RefrigerantChemicalGWP[[#Headers],[Gas]], 0)</f>
        <v>8590</v>
      </c>
      <c r="G45" s="68" t="str" cm="1">
        <f t="array" ref="G45">Common_InputFunctions.Utility_DisplayArrayInTable(Refrigerants_SourceData.Refrigerants_ChemicalGWP_Data(), Table_RefrigerantChemicalGWP[[#Headers],[Gas]], 0)</f>
        <v>CFC-114</v>
      </c>
      <c r="H45" s="68" t="str" cm="1">
        <f t="array" ref="H45">Common_InputFunctions.Utility_DisplayArrayInTable(Refrigerants_SourceData.Refrigerants_ChemicalGWP_Data(), Table_RefrigerantChemicalGWP[[#Headers],[Gas]], 0)</f>
        <v>IPCC Global Warming Potential Values v2.0 - (AR5)</v>
      </c>
      <c r="I45" s="66"/>
      <c r="J45" s="66"/>
      <c r="K45" s="66"/>
      <c r="L45" s="66"/>
      <c r="M45" s="66"/>
      <c r="N45" s="66"/>
      <c r="O45" s="66"/>
      <c r="P45" s="66"/>
      <c r="Q45" s="66"/>
    </row>
    <row r="46" spans="4:17" ht="20.100000000000001" customHeight="1" x14ac:dyDescent="0.25">
      <c r="D46" s="68" t="str" cm="1">
        <f t="array" ref="D46">Common_InputFunctions.Utility_DisplayArrayInTable(Refrigerants_SourceData.Refrigerants_ChemicalGWP_Data(), Table_RefrigerantChemicalGWP[[#Headers],[Gas]], 0)</f>
        <v>CFC-115</v>
      </c>
      <c r="E46" s="68" t="str" cm="1">
        <f t="array" ref="E46">Common_InputFunctions.Utility_DisplayArrayInTable(Refrigerants_SourceData.Refrigerants_ChemicalGWP_Data(), Table_RefrigerantChemicalGWP[[#Headers],[Gas]], 0)</f>
        <v>CClF2CF3</v>
      </c>
      <c r="F46" s="68" cm="1">
        <f t="array" ref="F46">Common_InputFunctions.Utility_DisplayArrayInTable(Refrigerants_SourceData.Refrigerants_ChemicalGWP_Data(), Table_RefrigerantChemicalGWP[[#Headers],[Gas]], 0)</f>
        <v>7670</v>
      </c>
      <c r="G46" s="68" t="str" cm="1">
        <f t="array" ref="G46">Common_InputFunctions.Utility_DisplayArrayInTable(Refrigerants_SourceData.Refrigerants_ChemicalGWP_Data(), Table_RefrigerantChemicalGWP[[#Headers],[Gas]], 0)</f>
        <v>CFC-115</v>
      </c>
      <c r="H46" s="68" t="str" cm="1">
        <f t="array" ref="H46">Common_InputFunctions.Utility_DisplayArrayInTable(Refrigerants_SourceData.Refrigerants_ChemicalGWP_Data(), Table_RefrigerantChemicalGWP[[#Headers],[Gas]], 0)</f>
        <v>IPCC Global Warming Potential Values v2.0 - (AR5)</v>
      </c>
      <c r="I46" s="66"/>
      <c r="J46" s="66"/>
      <c r="K46" s="66"/>
      <c r="L46" s="66"/>
      <c r="M46" s="66"/>
      <c r="N46" s="66"/>
      <c r="O46" s="66"/>
      <c r="P46" s="66"/>
      <c r="Q46" s="66"/>
    </row>
    <row r="47" spans="4:17" ht="20.100000000000001" customHeight="1" x14ac:dyDescent="0.25">
      <c r="D47" s="66"/>
      <c r="E47" s="66"/>
      <c r="F47" s="66"/>
      <c r="G47" s="66"/>
      <c r="H47" s="66"/>
      <c r="I47" s="66"/>
      <c r="J47" s="66"/>
      <c r="K47" s="66"/>
      <c r="L47" s="66"/>
      <c r="M47" s="66"/>
      <c r="N47" s="66"/>
      <c r="O47" s="66"/>
      <c r="P47" s="66"/>
      <c r="Q47" s="66"/>
    </row>
    <row r="48" spans="4:17" ht="20.100000000000001" customHeight="1" x14ac:dyDescent="0.25">
      <c r="D48" s="69"/>
      <c r="E48" s="69"/>
      <c r="F48" s="69"/>
      <c r="G48" s="69"/>
      <c r="H48" s="70"/>
      <c r="I48" s="70"/>
      <c r="J48" s="70"/>
      <c r="K48" s="70"/>
      <c r="L48" s="70"/>
      <c r="M48" s="70"/>
      <c r="N48" s="70"/>
      <c r="O48" s="70"/>
      <c r="P48" s="70"/>
      <c r="Q48" s="70"/>
    </row>
    <row r="49" spans="4:17" ht="20.100000000000001" customHeight="1" x14ac:dyDescent="0.25">
      <c r="D49" s="5" t="str" cm="1">
        <f t="array" ref="D49">Refrigerants_SourceData.Refrigerants_ChemicalBlends_Title()</f>
        <v>Blended refrigerants (many containing HFCS and/or PFCS)</v>
      </c>
      <c r="H49" s="66"/>
      <c r="I49" s="66"/>
      <c r="J49" s="66"/>
      <c r="K49" s="66"/>
      <c r="L49" s="66"/>
      <c r="M49" s="66"/>
      <c r="N49" s="66"/>
      <c r="O49" s="66"/>
      <c r="P49" s="66"/>
      <c r="Q49" s="66"/>
    </row>
    <row r="50" spans="4:17" ht="20.100000000000001" customHeight="1" x14ac:dyDescent="0.25">
      <c r="D50" s="4" t="str" cm="1">
        <f t="array" ref="D50">Refrigerants_SourceData.Refrigerants_ChemicalBlends_Source()</f>
        <v>Australian National Greenhouse Accounts Factors 2025 - Appendix 2 - Table 24</v>
      </c>
      <c r="E50" s="66"/>
      <c r="F50" s="66"/>
      <c r="G50" s="66"/>
      <c r="H50" s="66"/>
      <c r="I50" s="66"/>
      <c r="J50" s="66"/>
      <c r="K50" s="66"/>
      <c r="L50" s="66"/>
      <c r="M50" s="66"/>
      <c r="N50" s="66"/>
      <c r="O50" s="66"/>
      <c r="P50" s="66"/>
      <c r="Q50" s="66"/>
    </row>
    <row r="51" spans="4:17" ht="20.100000000000001" customHeight="1" x14ac:dyDescent="0.25">
      <c r="D51" s="29" t="str" cm="1">
        <f t="array" ref="D51">"⚠️" &amp; Refrigerants_SourceData.Refrigerants_ChemicalBlends_Variation()</f>
        <v>⚠️VARIATION OF SOURCE DATA: Fixed typo - changed HC600a to HC-600a for blend R-414B. Fixed typo for blend R-405A - Changed HCFC142b to HCFC-142b.</v>
      </c>
      <c r="H51" s="66"/>
      <c r="I51" s="66"/>
      <c r="J51" s="66"/>
      <c r="K51" s="66"/>
      <c r="L51" s="66"/>
      <c r="M51" s="66"/>
      <c r="N51" s="66"/>
      <c r="O51" s="66"/>
      <c r="P51" s="66"/>
      <c r="Q51" s="66"/>
    </row>
    <row r="52" spans="4:17" ht="20.100000000000001" customHeight="1" x14ac:dyDescent="0.25">
      <c r="D52" s="68" t="s">
        <v>104</v>
      </c>
      <c r="E52" s="68" t="s">
        <v>105</v>
      </c>
      <c r="F52" s="68" t="s">
        <v>106</v>
      </c>
      <c r="G52" s="66"/>
      <c r="H52" s="66"/>
      <c r="I52" s="66"/>
      <c r="J52" s="66"/>
      <c r="K52" s="66"/>
      <c r="L52" s="66"/>
      <c r="M52" s="66"/>
      <c r="N52" s="66"/>
      <c r="O52" s="66"/>
      <c r="P52" s="66"/>
      <c r="Q52" s="66"/>
    </row>
    <row r="53" spans="4:17" ht="20.100000000000001" customHeight="1" x14ac:dyDescent="0.25">
      <c r="D53" s="68" t="str" cm="1">
        <f t="array" ref="D53">Common_InputFunctions.Utility_DisplayArrayInTable(Refrigerants_SourceData.Refrigerants_ChemicalBlends_Data(), Table_RefrigerantBlends[[#Headers],[Blend]], 0)</f>
        <v>R-400</v>
      </c>
      <c r="E53" s="68" t="str" cm="1">
        <f t="array" ref="E53">Common_InputFunctions.Utility_DisplayArrayInTable(Refrigerants_SourceData.Refrigerants_ChemicalBlends_Data(), Table_RefrigerantBlends[[#Headers],[Blend]], 0)</f>
        <v>CFC-12/CFC-114</v>
      </c>
      <c r="F53" s="68"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66"/>
      <c r="H53" s="66"/>
      <c r="I53" s="66"/>
      <c r="J53" s="66"/>
      <c r="K53" s="66"/>
      <c r="L53" s="66"/>
      <c r="M53" s="66"/>
      <c r="N53" s="66"/>
      <c r="O53" s="66"/>
      <c r="P53" s="66"/>
      <c r="Q53" s="66"/>
    </row>
    <row r="54" spans="4:17" ht="20.100000000000001" customHeight="1" x14ac:dyDescent="0.25">
      <c r="D54" s="68" t="str" cm="1">
        <f t="array" ref="D54">Common_InputFunctions.Utility_DisplayArrayInTable(Refrigerants_SourceData.Refrigerants_ChemicalBlends_Data(), Table_RefrigerantBlends[[#Headers],[Blend]], 0)</f>
        <v>R-401A</v>
      </c>
      <c r="E54" s="68" t="str" cm="1">
        <f t="array" ref="E54">Common_InputFunctions.Utility_DisplayArrayInTable(Refrigerants_SourceData.Refrigerants_ChemicalBlends_Data(), Table_RefrigerantBlends[[#Headers],[Blend]], 0)</f>
        <v>HCFC-22/HFC-152a/HCFC-124</v>
      </c>
      <c r="F54" s="68" t="str" cm="1">
        <f t="array" ref="F54">Common_InputFunctions.Utility_DisplayArrayInTable(Refrigerants_SourceData.Refrigerants_ChemicalBlends_Data(), Table_RefrigerantBlends[[#Headers],[Blend]], 0)</f>
        <v>(53.0/13.0/34.0)</v>
      </c>
      <c r="G54" s="66"/>
      <c r="H54" s="66"/>
      <c r="I54" s="66"/>
      <c r="J54" s="66"/>
      <c r="K54" s="66"/>
      <c r="L54" s="66"/>
      <c r="M54" s="66"/>
      <c r="N54" s="66"/>
      <c r="O54" s="66"/>
      <c r="P54" s="66"/>
      <c r="Q54" s="66"/>
    </row>
    <row r="55" spans="4:17" ht="20.100000000000001" customHeight="1" x14ac:dyDescent="0.25">
      <c r="D55" s="68" t="str" cm="1">
        <f t="array" ref="D55">Common_InputFunctions.Utility_DisplayArrayInTable(Refrigerants_SourceData.Refrigerants_ChemicalBlends_Data(), Table_RefrigerantBlends[[#Headers],[Blend]], 0)</f>
        <v>R-401B</v>
      </c>
      <c r="E55" s="68" t="str" cm="1">
        <f t="array" ref="E55">Common_InputFunctions.Utility_DisplayArrayInTable(Refrigerants_SourceData.Refrigerants_ChemicalBlends_Data(), Table_RefrigerantBlends[[#Headers],[Blend]], 0)</f>
        <v>HCFC-22/HFC-152a/HCFC-124</v>
      </c>
      <c r="F55" s="68" t="str" cm="1">
        <f t="array" ref="F55">Common_InputFunctions.Utility_DisplayArrayInTable(Refrigerants_SourceData.Refrigerants_ChemicalBlends_Data(), Table_RefrigerantBlends[[#Headers],[Blend]], 0)</f>
        <v>(61.0/11.0/28.0)</v>
      </c>
      <c r="G55" s="66"/>
      <c r="H55" s="66"/>
      <c r="I55" s="66"/>
      <c r="J55" s="66"/>
      <c r="K55" s="66"/>
      <c r="L55" s="66"/>
      <c r="M55" s="66"/>
      <c r="N55" s="66"/>
      <c r="O55" s="66"/>
      <c r="P55" s="66"/>
      <c r="Q55" s="66"/>
    </row>
    <row r="56" spans="4:17" ht="20.100000000000001" customHeight="1" x14ac:dyDescent="0.25">
      <c r="D56" s="68" t="str" cm="1">
        <f t="array" ref="D56">Common_InputFunctions.Utility_DisplayArrayInTable(Refrigerants_SourceData.Refrigerants_ChemicalBlends_Data(), Table_RefrigerantBlends[[#Headers],[Blend]], 0)</f>
        <v>R-401C</v>
      </c>
      <c r="E56" s="68" t="str" cm="1">
        <f t="array" ref="E56">Common_InputFunctions.Utility_DisplayArrayInTable(Refrigerants_SourceData.Refrigerants_ChemicalBlends_Data(), Table_RefrigerantBlends[[#Headers],[Blend]], 0)</f>
        <v>HCFC-22/HFC-152a/HCFC-124</v>
      </c>
      <c r="F56" s="68" t="str" cm="1">
        <f t="array" ref="F56">Common_InputFunctions.Utility_DisplayArrayInTable(Refrigerants_SourceData.Refrigerants_ChemicalBlends_Data(), Table_RefrigerantBlends[[#Headers],[Blend]], 0)</f>
        <v>(33.0/15.0/52.0)</v>
      </c>
      <c r="G56" s="66"/>
      <c r="H56" s="66"/>
      <c r="I56" s="66"/>
      <c r="J56" s="66"/>
      <c r="K56" s="66"/>
      <c r="L56" s="66"/>
      <c r="M56" s="66"/>
      <c r="N56" s="66"/>
      <c r="O56" s="66"/>
      <c r="P56" s="66"/>
      <c r="Q56" s="66"/>
    </row>
    <row r="57" spans="4:17" ht="20.100000000000001" customHeight="1" x14ac:dyDescent="0.25">
      <c r="D57" s="68" t="str" cm="1">
        <f t="array" ref="D57">Common_InputFunctions.Utility_DisplayArrayInTable(Refrigerants_SourceData.Refrigerants_ChemicalBlends_Data(), Table_RefrigerantBlends[[#Headers],[Blend]], 0)</f>
        <v>R-402A</v>
      </c>
      <c r="E57" s="68" t="str" cm="1">
        <f t="array" ref="E57">Common_InputFunctions.Utility_DisplayArrayInTable(Refrigerants_SourceData.Refrigerants_ChemicalBlends_Data(), Table_RefrigerantBlends[[#Headers],[Blend]], 0)</f>
        <v>HFC-125/HC-290/HCFC-22</v>
      </c>
      <c r="F57" s="68" t="str" cm="1">
        <f t="array" ref="F57">Common_InputFunctions.Utility_DisplayArrayInTable(Refrigerants_SourceData.Refrigerants_ChemicalBlends_Data(), Table_RefrigerantBlends[[#Headers],[Blend]], 0)</f>
        <v>(60.0/2.0/38.0)</v>
      </c>
      <c r="G57" s="66"/>
      <c r="H57" s="66"/>
      <c r="I57" s="66"/>
      <c r="J57" s="66"/>
      <c r="K57" s="66"/>
      <c r="L57" s="66"/>
      <c r="M57" s="66"/>
      <c r="N57" s="66"/>
      <c r="O57" s="66"/>
      <c r="P57" s="66"/>
      <c r="Q57" s="66"/>
    </row>
    <row r="58" spans="4:17" ht="20.100000000000001" customHeight="1" x14ac:dyDescent="0.25">
      <c r="D58" s="68" t="str" cm="1">
        <f t="array" ref="D58">Common_InputFunctions.Utility_DisplayArrayInTable(Refrigerants_SourceData.Refrigerants_ChemicalBlends_Data(), Table_RefrigerantBlends[[#Headers],[Blend]], 0)</f>
        <v>R-402B</v>
      </c>
      <c r="E58" s="68" t="str" cm="1">
        <f t="array" ref="E58">Common_InputFunctions.Utility_DisplayArrayInTable(Refrigerants_SourceData.Refrigerants_ChemicalBlends_Data(), Table_RefrigerantBlends[[#Headers],[Blend]], 0)</f>
        <v>HFC-125/HC-290/HCFC-22</v>
      </c>
      <c r="F58" s="68" t="str" cm="1">
        <f t="array" ref="F58">Common_InputFunctions.Utility_DisplayArrayInTable(Refrigerants_SourceData.Refrigerants_ChemicalBlends_Data(), Table_RefrigerantBlends[[#Headers],[Blend]], 0)</f>
        <v>(38.0/2.0/60.0)</v>
      </c>
      <c r="G58" s="66"/>
      <c r="H58" s="66"/>
      <c r="I58" s="66"/>
      <c r="J58" s="66"/>
      <c r="K58" s="66"/>
      <c r="L58" s="66"/>
      <c r="M58" s="66"/>
      <c r="N58" s="66"/>
      <c r="O58" s="66"/>
      <c r="P58" s="66"/>
      <c r="Q58" s="66"/>
    </row>
    <row r="59" spans="4:17" ht="20.100000000000001" customHeight="1" x14ac:dyDescent="0.25">
      <c r="D59" s="68" t="str" cm="1">
        <f t="array" ref="D59">Common_InputFunctions.Utility_DisplayArrayInTable(Refrigerants_SourceData.Refrigerants_ChemicalBlends_Data(), Table_RefrigerantBlends[[#Headers],[Blend]], 0)</f>
        <v>R-403A</v>
      </c>
      <c r="E59" s="68" t="str" cm="1">
        <f t="array" ref="E59">Common_InputFunctions.Utility_DisplayArrayInTable(Refrigerants_SourceData.Refrigerants_ChemicalBlends_Data(), Table_RefrigerantBlends[[#Headers],[Blend]], 0)</f>
        <v>HC-290/HCFC-22/PFC-218</v>
      </c>
      <c r="F59" s="68" t="str" cm="1">
        <f t="array" ref="F59">Common_InputFunctions.Utility_DisplayArrayInTable(Refrigerants_SourceData.Refrigerants_ChemicalBlends_Data(), Table_RefrigerantBlends[[#Headers],[Blend]], 0)</f>
        <v>(5.0/75.0/20.0)</v>
      </c>
      <c r="G59" s="66"/>
      <c r="H59" s="66"/>
      <c r="I59" s="66"/>
      <c r="J59" s="66"/>
      <c r="K59" s="66"/>
      <c r="L59" s="66"/>
      <c r="M59" s="66"/>
      <c r="N59" s="66"/>
      <c r="O59" s="66"/>
      <c r="P59" s="66"/>
      <c r="Q59" s="66"/>
    </row>
    <row r="60" spans="4:17" ht="20.100000000000001" customHeight="1" x14ac:dyDescent="0.25">
      <c r="D60" s="68" t="str" cm="1">
        <f t="array" ref="D60">Common_InputFunctions.Utility_DisplayArrayInTable(Refrigerants_SourceData.Refrigerants_ChemicalBlends_Data(), Table_RefrigerantBlends[[#Headers],[Blend]], 0)</f>
        <v>R-403B</v>
      </c>
      <c r="E60" s="68" t="str" cm="1">
        <f t="array" ref="E60">Common_InputFunctions.Utility_DisplayArrayInTable(Refrigerants_SourceData.Refrigerants_ChemicalBlends_Data(), Table_RefrigerantBlends[[#Headers],[Blend]], 0)</f>
        <v>HC-290/HCFC-22/PFC-218</v>
      </c>
      <c r="F60" s="68" t="str" cm="1">
        <f t="array" ref="F60">Common_InputFunctions.Utility_DisplayArrayInTable(Refrigerants_SourceData.Refrigerants_ChemicalBlends_Data(), Table_RefrigerantBlends[[#Headers],[Blend]], 0)</f>
        <v>(5.0/56.0/39.0)</v>
      </c>
      <c r="G60" s="66"/>
      <c r="H60" s="66"/>
      <c r="I60" s="66"/>
      <c r="J60" s="66"/>
      <c r="K60" s="66"/>
      <c r="L60" s="66"/>
      <c r="M60" s="66"/>
      <c r="N60" s="66"/>
      <c r="O60" s="66"/>
      <c r="P60" s="66"/>
      <c r="Q60" s="66"/>
    </row>
    <row r="61" spans="4:17" ht="20.100000000000001" customHeight="1" x14ac:dyDescent="0.25">
      <c r="D61" s="68" t="str" cm="1">
        <f t="array" ref="D61">Common_InputFunctions.Utility_DisplayArrayInTable(Refrigerants_SourceData.Refrigerants_ChemicalBlends_Data(), Table_RefrigerantBlends[[#Headers],[Blend]], 0)</f>
        <v>R-404A</v>
      </c>
      <c r="E61" s="68" t="str" cm="1">
        <f t="array" ref="E61">Common_InputFunctions.Utility_DisplayArrayInTable(Refrigerants_SourceData.Refrigerants_ChemicalBlends_Data(), Table_RefrigerantBlends[[#Headers],[Blend]], 0)</f>
        <v>HFC-125/HFC-143a/HFC-134a</v>
      </c>
      <c r="F61" s="68" t="str" cm="1">
        <f t="array" ref="F61">Common_InputFunctions.Utility_DisplayArrayInTable(Refrigerants_SourceData.Refrigerants_ChemicalBlends_Data(), Table_RefrigerantBlends[[#Headers],[Blend]], 0)</f>
        <v>(44.0/52.0/4.0)</v>
      </c>
      <c r="G61" s="66"/>
      <c r="H61" s="66"/>
      <c r="I61" s="66"/>
      <c r="J61" s="66"/>
      <c r="K61" s="66"/>
      <c r="L61" s="66"/>
      <c r="M61" s="66"/>
      <c r="N61" s="66"/>
      <c r="O61" s="66"/>
      <c r="P61" s="66"/>
      <c r="Q61" s="66"/>
    </row>
    <row r="62" spans="4:17" ht="20.100000000000001" customHeight="1" x14ac:dyDescent="0.25">
      <c r="D62" s="68" t="str" cm="1">
        <f t="array" ref="D62">Common_InputFunctions.Utility_DisplayArrayInTable(Refrigerants_SourceData.Refrigerants_ChemicalBlends_Data(), Table_RefrigerantBlends[[#Headers],[Blend]], 0)</f>
        <v>R-405A</v>
      </c>
      <c r="E62" s="68" t="str" cm="1">
        <f t="array" ref="E62">Common_InputFunctions.Utility_DisplayArrayInTable(Refrigerants_SourceData.Refrigerants_ChemicalBlends_Data(), Table_RefrigerantBlends[[#Headers],[Blend]], 0)</f>
        <v>HCFC-22/ HFC-152a/HCFC-142b/PFC-318</v>
      </c>
      <c r="F62" s="68" t="str" cm="1">
        <f t="array" ref="F62">Common_InputFunctions.Utility_DisplayArrayInTable(Refrigerants_SourceData.Refrigerants_ChemicalBlends_Data(), Table_RefrigerantBlends[[#Headers],[Blend]], 0)</f>
        <v>(45.0/7.0/5.5/42.5)</v>
      </c>
      <c r="G62" s="66"/>
      <c r="H62" s="66"/>
      <c r="I62" s="66"/>
      <c r="J62" s="66"/>
      <c r="K62" s="66"/>
      <c r="L62" s="66"/>
      <c r="M62" s="66"/>
      <c r="N62" s="66"/>
      <c r="O62" s="66"/>
      <c r="P62" s="66"/>
      <c r="Q62" s="66"/>
    </row>
    <row r="63" spans="4:17" ht="20.100000000000001" customHeight="1" x14ac:dyDescent="0.25">
      <c r="D63" s="68" t="str" cm="1">
        <f t="array" ref="D63">Common_InputFunctions.Utility_DisplayArrayInTable(Refrigerants_SourceData.Refrigerants_ChemicalBlends_Data(), Table_RefrigerantBlends[[#Headers],[Blend]], 0)</f>
        <v>R-406A</v>
      </c>
      <c r="E63" s="68" t="str" cm="1">
        <f t="array" ref="E63">Common_InputFunctions.Utility_DisplayArrayInTable(Refrigerants_SourceData.Refrigerants_ChemicalBlends_Data(), Table_RefrigerantBlends[[#Headers],[Blend]], 0)</f>
        <v>HCFC-22/HC-600a/HCFC-142b</v>
      </c>
      <c r="F63" s="68" t="str" cm="1">
        <f t="array" ref="F63">Common_InputFunctions.Utility_DisplayArrayInTable(Refrigerants_SourceData.Refrigerants_ChemicalBlends_Data(), Table_RefrigerantBlends[[#Headers],[Blend]], 0)</f>
        <v>(55.0/14.0/41.0)</v>
      </c>
      <c r="G63" s="66"/>
      <c r="H63" s="66"/>
      <c r="I63" s="66"/>
      <c r="J63" s="66"/>
      <c r="K63" s="66"/>
      <c r="L63" s="66"/>
      <c r="M63" s="66"/>
      <c r="N63" s="66"/>
      <c r="O63" s="66"/>
      <c r="P63" s="66"/>
      <c r="Q63" s="66"/>
    </row>
    <row r="64" spans="4:17" ht="20.100000000000001" customHeight="1" x14ac:dyDescent="0.25">
      <c r="D64" s="68" t="str" cm="1">
        <f t="array" ref="D64">Common_InputFunctions.Utility_DisplayArrayInTable(Refrigerants_SourceData.Refrigerants_ChemicalBlends_Data(), Table_RefrigerantBlends[[#Headers],[Blend]], 0)</f>
        <v>R-407A</v>
      </c>
      <c r="E64" s="68" t="str" cm="1">
        <f t="array" ref="E64">Common_InputFunctions.Utility_DisplayArrayInTable(Refrigerants_SourceData.Refrigerants_ChemicalBlends_Data(), Table_RefrigerantBlends[[#Headers],[Blend]], 0)</f>
        <v>HFC-32/HFC-125/HFC-134a</v>
      </c>
      <c r="F64" s="68" t="str" cm="1">
        <f t="array" ref="F64">Common_InputFunctions.Utility_DisplayArrayInTable(Refrigerants_SourceData.Refrigerants_ChemicalBlends_Data(), Table_RefrigerantBlends[[#Headers],[Blend]], 0)</f>
        <v>(20.0/40.0/40.0)</v>
      </c>
      <c r="G64" s="66"/>
      <c r="H64" s="66"/>
      <c r="I64" s="66"/>
      <c r="J64" s="66"/>
      <c r="K64" s="66"/>
      <c r="L64" s="66"/>
      <c r="M64" s="66"/>
      <c r="N64" s="66"/>
      <c r="O64" s="66"/>
      <c r="P64" s="66"/>
      <c r="Q64" s="66"/>
    </row>
    <row r="65" spans="4:17" ht="20.100000000000001" customHeight="1" x14ac:dyDescent="0.25">
      <c r="D65" s="68" t="str" cm="1">
        <f t="array" ref="D65">Common_InputFunctions.Utility_DisplayArrayInTable(Refrigerants_SourceData.Refrigerants_ChemicalBlends_Data(), Table_RefrigerantBlends[[#Headers],[Blend]], 0)</f>
        <v>R-407B</v>
      </c>
      <c r="E65" s="68" t="str" cm="1">
        <f t="array" ref="E65">Common_InputFunctions.Utility_DisplayArrayInTable(Refrigerants_SourceData.Refrigerants_ChemicalBlends_Data(), Table_RefrigerantBlends[[#Headers],[Blend]], 0)</f>
        <v>HFC-32/HFC-125/HFC-134a</v>
      </c>
      <c r="F65" s="68" t="str" cm="1">
        <f t="array" ref="F65">Common_InputFunctions.Utility_DisplayArrayInTable(Refrigerants_SourceData.Refrigerants_ChemicalBlends_Data(), Table_RefrigerantBlends[[#Headers],[Blend]], 0)</f>
        <v>(10.0/70.0/20.0)</v>
      </c>
      <c r="G65" s="66"/>
      <c r="H65" s="66"/>
      <c r="I65" s="66"/>
      <c r="J65" s="66"/>
      <c r="K65" s="66"/>
      <c r="L65" s="66"/>
      <c r="M65" s="66"/>
      <c r="N65" s="66"/>
      <c r="O65" s="66"/>
      <c r="P65" s="66"/>
      <c r="Q65" s="66"/>
    </row>
    <row r="66" spans="4:17" ht="20.100000000000001" customHeight="1" x14ac:dyDescent="0.25">
      <c r="D66" s="68" t="str" cm="1">
        <f t="array" ref="D66">Common_InputFunctions.Utility_DisplayArrayInTable(Refrigerants_SourceData.Refrigerants_ChemicalBlends_Data(), Table_RefrigerantBlends[[#Headers],[Blend]], 0)</f>
        <v>R-407C</v>
      </c>
      <c r="E66" s="68" t="str" cm="1">
        <f t="array" ref="E66">Common_InputFunctions.Utility_DisplayArrayInTable(Refrigerants_SourceData.Refrigerants_ChemicalBlends_Data(), Table_RefrigerantBlends[[#Headers],[Blend]], 0)</f>
        <v>HFC-32/HFC-125/HFC-134a</v>
      </c>
      <c r="F66" s="68" t="str" cm="1">
        <f t="array" ref="F66">Common_InputFunctions.Utility_DisplayArrayInTable(Refrigerants_SourceData.Refrigerants_ChemicalBlends_Data(), Table_RefrigerantBlends[[#Headers],[Blend]], 0)</f>
        <v>(23.0/25.0/52.0)</v>
      </c>
      <c r="G66" s="66"/>
      <c r="H66" s="66"/>
      <c r="I66" s="66"/>
      <c r="J66" s="66"/>
      <c r="K66" s="66"/>
      <c r="L66" s="66"/>
      <c r="M66" s="66"/>
      <c r="N66" s="66"/>
      <c r="O66" s="66"/>
      <c r="P66" s="66"/>
      <c r="Q66" s="66"/>
    </row>
    <row r="67" spans="4:17" ht="20.100000000000001" customHeight="1" x14ac:dyDescent="0.25">
      <c r="D67" s="68" t="str" cm="1">
        <f t="array" ref="D67">Common_InputFunctions.Utility_DisplayArrayInTable(Refrigerants_SourceData.Refrigerants_ChemicalBlends_Data(), Table_RefrigerantBlends[[#Headers],[Blend]], 0)</f>
        <v>R-407D</v>
      </c>
      <c r="E67" s="68" t="str" cm="1">
        <f t="array" ref="E67">Common_InputFunctions.Utility_DisplayArrayInTable(Refrigerants_SourceData.Refrigerants_ChemicalBlends_Data(), Table_RefrigerantBlends[[#Headers],[Blend]], 0)</f>
        <v>HFC-32/HFC-125/HFC-134a</v>
      </c>
      <c r="F67" s="68" t="str" cm="1">
        <f t="array" ref="F67">Common_InputFunctions.Utility_DisplayArrayInTable(Refrigerants_SourceData.Refrigerants_ChemicalBlends_Data(), Table_RefrigerantBlends[[#Headers],[Blend]], 0)</f>
        <v>(15.0/15.0/70.0)</v>
      </c>
      <c r="G67" s="66"/>
      <c r="H67" s="66"/>
      <c r="I67" s="66"/>
      <c r="J67" s="66"/>
      <c r="K67" s="66"/>
      <c r="L67" s="66"/>
      <c r="M67" s="66"/>
      <c r="N67" s="66"/>
      <c r="O67" s="66"/>
      <c r="P67" s="66"/>
      <c r="Q67" s="66"/>
    </row>
    <row r="68" spans="4:17" ht="20.100000000000001" customHeight="1" x14ac:dyDescent="0.25">
      <c r="D68" s="68" t="str" cm="1">
        <f t="array" ref="D68">Common_InputFunctions.Utility_DisplayArrayInTable(Refrigerants_SourceData.Refrigerants_ChemicalBlends_Data(), Table_RefrigerantBlends[[#Headers],[Blend]], 0)</f>
        <v>R-407E</v>
      </c>
      <c r="E68" s="68" t="str" cm="1">
        <f t="array" ref="E68">Common_InputFunctions.Utility_DisplayArrayInTable(Refrigerants_SourceData.Refrigerants_ChemicalBlends_Data(), Table_RefrigerantBlends[[#Headers],[Blend]], 0)</f>
        <v>HFC-32/HFC-125/HFC-134a</v>
      </c>
      <c r="F68" s="68" t="str" cm="1">
        <f t="array" ref="F68">Common_InputFunctions.Utility_DisplayArrayInTable(Refrigerants_SourceData.Refrigerants_ChemicalBlends_Data(), Table_RefrigerantBlends[[#Headers],[Blend]], 0)</f>
        <v>(25.0/15.0/60.0)</v>
      </c>
      <c r="G68" s="66"/>
      <c r="H68" s="66"/>
      <c r="I68" s="66"/>
      <c r="J68" s="66"/>
      <c r="K68" s="66"/>
      <c r="L68" s="66"/>
      <c r="M68" s="66"/>
      <c r="N68" s="66"/>
      <c r="O68" s="66"/>
      <c r="P68" s="66"/>
      <c r="Q68" s="66"/>
    </row>
    <row r="69" spans="4:17" ht="20.100000000000001" customHeight="1" x14ac:dyDescent="0.25">
      <c r="D69" s="68" t="str" cm="1">
        <f t="array" ref="D69">Common_InputFunctions.Utility_DisplayArrayInTable(Refrigerants_SourceData.Refrigerants_ChemicalBlends_Data(), Table_RefrigerantBlends[[#Headers],[Blend]], 0)</f>
        <v>R-408A</v>
      </c>
      <c r="E69" s="68" t="str" cm="1">
        <f t="array" ref="E69">Common_InputFunctions.Utility_DisplayArrayInTable(Refrigerants_SourceData.Refrigerants_ChemicalBlends_Data(), Table_RefrigerantBlends[[#Headers],[Blend]], 0)</f>
        <v>HFC-125/HFC-143a/HCFC-22</v>
      </c>
      <c r="F69" s="68" t="str" cm="1">
        <f t="array" ref="F69">Common_InputFunctions.Utility_DisplayArrayInTable(Refrigerants_SourceData.Refrigerants_ChemicalBlends_Data(), Table_RefrigerantBlends[[#Headers],[Blend]], 0)</f>
        <v>(7.0/46.0/47.0)</v>
      </c>
      <c r="G69" s="66"/>
      <c r="H69" s="66"/>
      <c r="I69" s="66"/>
      <c r="J69" s="66"/>
      <c r="K69" s="66"/>
      <c r="L69" s="66"/>
      <c r="M69" s="66"/>
      <c r="N69" s="66"/>
      <c r="O69" s="66"/>
      <c r="P69" s="66"/>
      <c r="Q69" s="66"/>
    </row>
    <row r="70" spans="4:17" ht="20.100000000000001" customHeight="1" x14ac:dyDescent="0.25">
      <c r="D70" s="68" t="str" cm="1">
        <f t="array" ref="D70">Common_InputFunctions.Utility_DisplayArrayInTable(Refrigerants_SourceData.Refrigerants_ChemicalBlends_Data(), Table_RefrigerantBlends[[#Headers],[Blend]], 0)</f>
        <v>R-409A</v>
      </c>
      <c r="E70" s="68" t="str" cm="1">
        <f t="array" ref="E70">Common_InputFunctions.Utility_DisplayArrayInTable(Refrigerants_SourceData.Refrigerants_ChemicalBlends_Data(), Table_RefrigerantBlends[[#Headers],[Blend]], 0)</f>
        <v>HCFC-22/HCFC-124/HCFC-142b</v>
      </c>
      <c r="F70" s="68" t="str" cm="1">
        <f t="array" ref="F70">Common_InputFunctions.Utility_DisplayArrayInTable(Refrigerants_SourceData.Refrigerants_ChemicalBlends_Data(), Table_RefrigerantBlends[[#Headers],[Blend]], 0)</f>
        <v>(60.0/25.0/15.0)</v>
      </c>
      <c r="G70" s="66"/>
      <c r="H70" s="66"/>
      <c r="I70" s="66"/>
      <c r="J70" s="66"/>
      <c r="K70" s="66"/>
      <c r="L70" s="66"/>
      <c r="M70" s="66"/>
      <c r="N70" s="66"/>
      <c r="O70" s="66"/>
      <c r="P70" s="66"/>
      <c r="Q70" s="66"/>
    </row>
    <row r="71" spans="4:17" ht="20.100000000000001" customHeight="1" x14ac:dyDescent="0.25">
      <c r="D71" s="68" t="str" cm="1">
        <f t="array" ref="D71">Common_InputFunctions.Utility_DisplayArrayInTable(Refrigerants_SourceData.Refrigerants_ChemicalBlends_Data(), Table_RefrigerantBlends[[#Headers],[Blend]], 0)</f>
        <v>R-409B</v>
      </c>
      <c r="E71" s="68" t="str" cm="1">
        <f t="array" ref="E71">Common_InputFunctions.Utility_DisplayArrayInTable(Refrigerants_SourceData.Refrigerants_ChemicalBlends_Data(), Table_RefrigerantBlends[[#Headers],[Blend]], 0)</f>
        <v>HCFC-22/HCFC-124/HCFC-142b</v>
      </c>
      <c r="F71" s="68" t="str" cm="1">
        <f t="array" ref="F71">Common_InputFunctions.Utility_DisplayArrayInTable(Refrigerants_SourceData.Refrigerants_ChemicalBlends_Data(), Table_RefrigerantBlends[[#Headers],[Blend]], 0)</f>
        <v>(65.0/25.0/10.0)</v>
      </c>
      <c r="G71" s="66"/>
      <c r="H71" s="66"/>
      <c r="I71" s="66"/>
      <c r="J71" s="66"/>
      <c r="K71" s="66"/>
      <c r="L71" s="66"/>
      <c r="M71" s="66"/>
      <c r="N71" s="66"/>
      <c r="O71" s="66"/>
      <c r="P71" s="66"/>
      <c r="Q71" s="66"/>
    </row>
    <row r="72" spans="4:17" ht="20.100000000000001" customHeight="1" x14ac:dyDescent="0.25">
      <c r="D72" s="68" t="str" cm="1">
        <f t="array" ref="D72">Common_InputFunctions.Utility_DisplayArrayInTable(Refrigerants_SourceData.Refrigerants_ChemicalBlends_Data(), Table_RefrigerantBlends[[#Headers],[Blend]], 0)</f>
        <v>R-410A</v>
      </c>
      <c r="E72" s="68" t="str" cm="1">
        <f t="array" ref="E72">Common_InputFunctions.Utility_DisplayArrayInTable(Refrigerants_SourceData.Refrigerants_ChemicalBlends_Data(), Table_RefrigerantBlends[[#Headers],[Blend]], 0)</f>
        <v>HFC-32/HFC-125</v>
      </c>
      <c r="F72" s="68" t="str" cm="1">
        <f t="array" ref="F72">Common_InputFunctions.Utility_DisplayArrayInTable(Refrigerants_SourceData.Refrigerants_ChemicalBlends_Data(), Table_RefrigerantBlends[[#Headers],[Blend]], 0)</f>
        <v>(50.0/50.0)</v>
      </c>
      <c r="G72" s="66"/>
      <c r="H72" s="66"/>
      <c r="I72" s="66"/>
      <c r="J72" s="66"/>
      <c r="K72" s="66"/>
      <c r="L72" s="66"/>
      <c r="M72" s="66"/>
      <c r="N72" s="66"/>
      <c r="O72" s="66"/>
      <c r="P72" s="66"/>
      <c r="Q72" s="66"/>
    </row>
    <row r="73" spans="4:17" ht="20.100000000000001" customHeight="1" x14ac:dyDescent="0.25">
      <c r="D73" s="68" t="str" cm="1">
        <f t="array" ref="D73">Common_InputFunctions.Utility_DisplayArrayInTable(Refrigerants_SourceData.Refrigerants_ChemicalBlends_Data(), Table_RefrigerantBlends[[#Headers],[Blend]], 0)</f>
        <v>R-410B</v>
      </c>
      <c r="E73" s="68" t="str" cm="1">
        <f t="array" ref="E73">Common_InputFunctions.Utility_DisplayArrayInTable(Refrigerants_SourceData.Refrigerants_ChemicalBlends_Data(), Table_RefrigerantBlends[[#Headers],[Blend]], 0)</f>
        <v>HFC-32/HFC-125</v>
      </c>
      <c r="F73" s="68" t="str" cm="1">
        <f t="array" ref="F73">Common_InputFunctions.Utility_DisplayArrayInTable(Refrigerants_SourceData.Refrigerants_ChemicalBlends_Data(), Table_RefrigerantBlends[[#Headers],[Blend]], 0)</f>
        <v>(45.0/55.0)</v>
      </c>
      <c r="G73" s="66"/>
      <c r="H73" s="66"/>
      <c r="I73" s="66"/>
      <c r="J73" s="66"/>
      <c r="K73" s="66"/>
      <c r="L73" s="66"/>
      <c r="M73" s="66"/>
      <c r="N73" s="66"/>
      <c r="O73" s="66"/>
      <c r="P73" s="66"/>
      <c r="Q73" s="66"/>
    </row>
    <row r="74" spans="4:17" ht="20.100000000000001" customHeight="1" x14ac:dyDescent="0.25">
      <c r="D74" s="68" t="str" cm="1">
        <f t="array" ref="D74">Common_InputFunctions.Utility_DisplayArrayInTable(Refrigerants_SourceData.Refrigerants_ChemicalBlends_Data(), Table_RefrigerantBlends[[#Headers],[Blend]], 0)</f>
        <v>R-411A</v>
      </c>
      <c r="E74" s="68" t="str" cm="1">
        <f t="array" ref="E74">Common_InputFunctions.Utility_DisplayArrayInTable(Refrigerants_SourceData.Refrigerants_ChemicalBlends_Data(), Table_RefrigerantBlends[[#Headers],[Blend]], 0)</f>
        <v>HC-1270/HCFC-22/HFC-152a</v>
      </c>
      <c r="F74" s="68" t="str" cm="1">
        <f t="array" ref="F74">Common_InputFunctions.Utility_DisplayArrayInTable(Refrigerants_SourceData.Refrigerants_ChemicalBlends_Data(), Table_RefrigerantBlends[[#Headers],[Blend]], 0)</f>
        <v>(1.5/87.5/11.0)</v>
      </c>
      <c r="G74" s="66"/>
      <c r="H74" s="66"/>
      <c r="I74" s="66"/>
      <c r="J74" s="66"/>
      <c r="K74" s="66"/>
      <c r="L74" s="66"/>
      <c r="M74" s="66"/>
      <c r="N74" s="66"/>
      <c r="O74" s="66"/>
      <c r="P74" s="66"/>
      <c r="Q74" s="66"/>
    </row>
    <row r="75" spans="4:17" ht="20.100000000000001" customHeight="1" x14ac:dyDescent="0.25">
      <c r="D75" s="68" t="str" cm="1">
        <f t="array" ref="D75">Common_InputFunctions.Utility_DisplayArrayInTable(Refrigerants_SourceData.Refrigerants_ChemicalBlends_Data(), Table_RefrigerantBlends[[#Headers],[Blend]], 0)</f>
        <v>R-411B</v>
      </c>
      <c r="E75" s="68" t="str" cm="1">
        <f t="array" ref="E75">Common_InputFunctions.Utility_DisplayArrayInTable(Refrigerants_SourceData.Refrigerants_ChemicalBlends_Data(), Table_RefrigerantBlends[[#Headers],[Blend]], 0)</f>
        <v>HC-1270/HCFC-22/HFC-152a</v>
      </c>
      <c r="F75" s="68" t="str" cm="1">
        <f t="array" ref="F75">Common_InputFunctions.Utility_DisplayArrayInTable(Refrigerants_SourceData.Refrigerants_ChemicalBlends_Data(), Table_RefrigerantBlends[[#Headers],[Blend]], 0)</f>
        <v>(3.0/94.0/3.0)</v>
      </c>
      <c r="G75" s="66"/>
      <c r="H75" s="66"/>
      <c r="I75" s="66"/>
      <c r="J75" s="66"/>
      <c r="K75" s="66"/>
      <c r="L75" s="66"/>
      <c r="M75" s="66"/>
      <c r="N75" s="66"/>
      <c r="O75" s="66"/>
      <c r="P75" s="66"/>
      <c r="Q75" s="66"/>
    </row>
    <row r="76" spans="4:17" ht="20.100000000000001" customHeight="1" x14ac:dyDescent="0.25">
      <c r="D76" s="68" t="str" cm="1">
        <f t="array" ref="D76">Common_InputFunctions.Utility_DisplayArrayInTable(Refrigerants_SourceData.Refrigerants_ChemicalBlends_Data(), Table_RefrigerantBlends[[#Headers],[Blend]], 0)</f>
        <v>R-411C</v>
      </c>
      <c r="E76" s="68" t="str" cm="1">
        <f t="array" ref="E76">Common_InputFunctions.Utility_DisplayArrayInTable(Refrigerants_SourceData.Refrigerants_ChemicalBlends_Data(), Table_RefrigerantBlends[[#Headers],[Blend]], 0)</f>
        <v>HC-1270/HCFC-22/HFC-152a</v>
      </c>
      <c r="F76" s="68" t="str" cm="1">
        <f t="array" ref="F76">Common_InputFunctions.Utility_DisplayArrayInTable(Refrigerants_SourceData.Refrigerants_ChemicalBlends_Data(), Table_RefrigerantBlends[[#Headers],[Blend]], 0)</f>
        <v>(3.0/95.5/1.5)</v>
      </c>
      <c r="G76" s="66"/>
      <c r="H76" s="66"/>
      <c r="I76" s="66"/>
      <c r="J76" s="66"/>
      <c r="K76" s="66"/>
      <c r="L76" s="66"/>
      <c r="M76" s="66"/>
      <c r="N76" s="66"/>
      <c r="O76" s="66"/>
      <c r="P76" s="66"/>
      <c r="Q76" s="66"/>
    </row>
    <row r="77" spans="4:17" ht="20.100000000000001" customHeight="1" x14ac:dyDescent="0.25">
      <c r="D77" s="68" t="str" cm="1">
        <f t="array" ref="D77">Common_InputFunctions.Utility_DisplayArrayInTable(Refrigerants_SourceData.Refrigerants_ChemicalBlends_Data(), Table_RefrigerantBlends[[#Headers],[Blend]], 0)</f>
        <v>R-412A</v>
      </c>
      <c r="E77" s="68" t="str" cm="1">
        <f t="array" ref="E77">Common_InputFunctions.Utility_DisplayArrayInTable(Refrigerants_SourceData.Refrigerants_ChemicalBlends_Data(), Table_RefrigerantBlends[[#Headers],[Blend]], 0)</f>
        <v>HCFC-22/PFC-218/HCFC-142b</v>
      </c>
      <c r="F77" s="68" t="str" cm="1">
        <f t="array" ref="F77">Common_InputFunctions.Utility_DisplayArrayInTable(Refrigerants_SourceData.Refrigerants_ChemicalBlends_Data(), Table_RefrigerantBlends[[#Headers],[Blend]], 0)</f>
        <v>(70.0/5.0/25.0)</v>
      </c>
      <c r="G77" s="66"/>
      <c r="H77" s="66"/>
      <c r="I77" s="66"/>
      <c r="J77" s="66"/>
      <c r="K77" s="66"/>
      <c r="L77" s="66"/>
      <c r="M77" s="66"/>
      <c r="N77" s="66"/>
      <c r="O77" s="66"/>
      <c r="P77" s="66"/>
      <c r="Q77" s="66"/>
    </row>
    <row r="78" spans="4:17" ht="20.100000000000001" customHeight="1" x14ac:dyDescent="0.25">
      <c r="D78" s="68" t="str" cm="1">
        <f t="array" ref="D78">Common_InputFunctions.Utility_DisplayArrayInTable(Refrigerants_SourceData.Refrigerants_ChemicalBlends_Data(), Table_RefrigerantBlends[[#Headers],[Blend]], 0)</f>
        <v>R-413A</v>
      </c>
      <c r="E78" s="68" t="str" cm="1">
        <f t="array" ref="E78">Common_InputFunctions.Utility_DisplayArrayInTable(Refrigerants_SourceData.Refrigerants_ChemicalBlends_Data(), Table_RefrigerantBlends[[#Headers],[Blend]], 0)</f>
        <v>PFC-218/HFC-134a/HC-600a</v>
      </c>
      <c r="F78" s="68" t="str" cm="1">
        <f t="array" ref="F78">Common_InputFunctions.Utility_DisplayArrayInTable(Refrigerants_SourceData.Refrigerants_ChemicalBlends_Data(), Table_RefrigerantBlends[[#Headers],[Blend]], 0)</f>
        <v>(9.0/88.0/3.0)</v>
      </c>
      <c r="G78" s="66"/>
      <c r="H78" s="66"/>
      <c r="I78" s="66"/>
      <c r="J78" s="66"/>
      <c r="K78" s="66"/>
      <c r="L78" s="66"/>
      <c r="M78" s="66"/>
      <c r="N78" s="66"/>
      <c r="O78" s="66"/>
      <c r="P78" s="66"/>
      <c r="Q78" s="66"/>
    </row>
    <row r="79" spans="4:17" ht="20.100000000000001" customHeight="1" x14ac:dyDescent="0.25">
      <c r="D79" s="68" t="str" cm="1">
        <f t="array" ref="D79">Common_InputFunctions.Utility_DisplayArrayInTable(Refrigerants_SourceData.Refrigerants_ChemicalBlends_Data(), Table_RefrigerantBlends[[#Headers],[Blend]], 0)</f>
        <v>R-414A</v>
      </c>
      <c r="E79" s="68" t="str" cm="1">
        <f t="array" ref="E79">Common_InputFunctions.Utility_DisplayArrayInTable(Refrigerants_SourceData.Refrigerants_ChemicalBlends_Data(), Table_RefrigerantBlends[[#Headers],[Blend]], 0)</f>
        <v>HCFC-22/HCFC-124/HC-600a/HCFC-142b</v>
      </c>
      <c r="F79" s="68" t="str" cm="1">
        <f t="array" ref="F79">Common_InputFunctions.Utility_DisplayArrayInTable(Refrigerants_SourceData.Refrigerants_ChemicalBlends_Data(), Table_RefrigerantBlends[[#Headers],[Blend]], 0)</f>
        <v>(51.0/28.5/4.0/16.5)</v>
      </c>
      <c r="G79" s="66"/>
      <c r="H79" s="66"/>
      <c r="I79" s="66"/>
      <c r="J79" s="66"/>
      <c r="K79" s="66"/>
      <c r="L79" s="66"/>
      <c r="M79" s="66"/>
      <c r="N79" s="66"/>
      <c r="O79" s="66"/>
      <c r="P79" s="66"/>
      <c r="Q79" s="66"/>
    </row>
    <row r="80" spans="4:17" ht="20.100000000000001" customHeight="1" x14ac:dyDescent="0.25">
      <c r="D80" s="68" t="str" cm="1">
        <f t="array" ref="D80">Common_InputFunctions.Utility_DisplayArrayInTable(Refrigerants_SourceData.Refrigerants_ChemicalBlends_Data(), Table_RefrigerantBlends[[#Headers],[Blend]], 0)</f>
        <v>R-414B</v>
      </c>
      <c r="E80" s="68" t="str" cm="1">
        <f t="array" ref="E80">Common_InputFunctions.Utility_DisplayArrayInTable(Refrigerants_SourceData.Refrigerants_ChemicalBlends_Data(), Table_RefrigerantBlends[[#Headers],[Blend]], 0)</f>
        <v>HCFC-22/HCFC-124/HC-600a/HCFC-142b</v>
      </c>
      <c r="F80" s="68" t="str" cm="1">
        <f t="array" ref="F80">Common_InputFunctions.Utility_DisplayArrayInTable(Refrigerants_SourceData.Refrigerants_ChemicalBlends_Data(), Table_RefrigerantBlends[[#Headers],[Blend]], 0)</f>
        <v>(50.0/39.0/1.5/9.5)</v>
      </c>
      <c r="G80" s="66"/>
      <c r="H80" s="66"/>
      <c r="I80" s="66"/>
      <c r="J80" s="66"/>
      <c r="K80" s="66"/>
      <c r="L80" s="66"/>
      <c r="M80" s="66"/>
      <c r="N80" s="66"/>
      <c r="O80" s="66"/>
      <c r="P80" s="66"/>
      <c r="Q80" s="66"/>
    </row>
    <row r="81" spans="4:17" ht="20.100000000000001" customHeight="1" x14ac:dyDescent="0.25">
      <c r="D81" s="68" t="str" cm="1">
        <f t="array" ref="D81">Common_InputFunctions.Utility_DisplayArrayInTable(Refrigerants_SourceData.Refrigerants_ChemicalBlends_Data(), Table_RefrigerantBlends[[#Headers],[Blend]], 0)</f>
        <v>R-415A</v>
      </c>
      <c r="E81" s="68" t="str" cm="1">
        <f t="array" ref="E81">Common_InputFunctions.Utility_DisplayArrayInTable(Refrigerants_SourceData.Refrigerants_ChemicalBlends_Data(), Table_RefrigerantBlends[[#Headers],[Blend]], 0)</f>
        <v>HCFC-22/HFC-152a</v>
      </c>
      <c r="F81" s="68" t="str" cm="1">
        <f t="array" ref="F81">Common_InputFunctions.Utility_DisplayArrayInTable(Refrigerants_SourceData.Refrigerants_ChemicalBlends_Data(), Table_RefrigerantBlends[[#Headers],[Blend]], 0)</f>
        <v>(82.0/18.0)</v>
      </c>
      <c r="G81" s="66"/>
      <c r="H81" s="66"/>
      <c r="I81" s="66"/>
      <c r="J81" s="66"/>
      <c r="K81" s="66"/>
      <c r="L81" s="66"/>
      <c r="M81" s="66"/>
      <c r="N81" s="66"/>
      <c r="O81" s="66"/>
      <c r="P81" s="66"/>
      <c r="Q81" s="66"/>
    </row>
    <row r="82" spans="4:17" ht="20.100000000000001" customHeight="1" x14ac:dyDescent="0.25">
      <c r="D82" s="68" t="str" cm="1">
        <f t="array" ref="D82">Common_InputFunctions.Utility_DisplayArrayInTable(Refrigerants_SourceData.Refrigerants_ChemicalBlends_Data(), Table_RefrigerantBlends[[#Headers],[Blend]], 0)</f>
        <v>R-415B</v>
      </c>
      <c r="E82" s="68" t="str" cm="1">
        <f t="array" ref="E82">Common_InputFunctions.Utility_DisplayArrayInTable(Refrigerants_SourceData.Refrigerants_ChemicalBlends_Data(), Table_RefrigerantBlends[[#Headers],[Blend]], 0)</f>
        <v>HCFC-22/HFC-152a</v>
      </c>
      <c r="F82" s="68" t="str" cm="1">
        <f t="array" ref="F82">Common_InputFunctions.Utility_DisplayArrayInTable(Refrigerants_SourceData.Refrigerants_ChemicalBlends_Data(), Table_RefrigerantBlends[[#Headers],[Blend]], 0)</f>
        <v>(25.0/75.0)</v>
      </c>
      <c r="G82" s="66"/>
      <c r="H82" s="66"/>
      <c r="I82" s="66"/>
      <c r="J82" s="66"/>
      <c r="K82" s="66"/>
      <c r="L82" s="66"/>
      <c r="M82" s="66"/>
      <c r="N82" s="66"/>
      <c r="O82" s="66"/>
      <c r="P82" s="66"/>
      <c r="Q82" s="66"/>
    </row>
    <row r="83" spans="4:17" ht="20.100000000000001" customHeight="1" x14ac:dyDescent="0.25">
      <c r="D83" s="68" t="str" cm="1">
        <f t="array" ref="D83">Common_InputFunctions.Utility_DisplayArrayInTable(Refrigerants_SourceData.Refrigerants_ChemicalBlends_Data(), Table_RefrigerantBlends[[#Headers],[Blend]], 0)</f>
        <v>R-416A</v>
      </c>
      <c r="E83" s="68" t="str" cm="1">
        <f t="array" ref="E83">Common_InputFunctions.Utility_DisplayArrayInTable(Refrigerants_SourceData.Refrigerants_ChemicalBlends_Data(), Table_RefrigerantBlends[[#Headers],[Blend]], 0)</f>
        <v>HFC-134a/HCFC-124/HC-600</v>
      </c>
      <c r="F83" s="68" t="str" cm="1">
        <f t="array" ref="F83">Common_InputFunctions.Utility_DisplayArrayInTable(Refrigerants_SourceData.Refrigerants_ChemicalBlends_Data(), Table_RefrigerantBlends[[#Headers],[Blend]], 0)</f>
        <v>(59.0/39.5/1.5)</v>
      </c>
      <c r="G83" s="66"/>
      <c r="H83" s="66"/>
      <c r="I83" s="66"/>
      <c r="J83" s="66"/>
      <c r="K83" s="66"/>
      <c r="L83" s="66"/>
      <c r="M83" s="66"/>
      <c r="N83" s="66"/>
      <c r="O83" s="66"/>
      <c r="P83" s="66"/>
      <c r="Q83" s="66"/>
    </row>
    <row r="84" spans="4:17" ht="20.100000000000001" customHeight="1" x14ac:dyDescent="0.25">
      <c r="D84" s="68" t="str" cm="1">
        <f t="array" ref="D84">Common_InputFunctions.Utility_DisplayArrayInTable(Refrigerants_SourceData.Refrigerants_ChemicalBlends_Data(), Table_RefrigerantBlends[[#Headers],[Blend]], 0)</f>
        <v>R-417A</v>
      </c>
      <c r="E84" s="68" t="str" cm="1">
        <f t="array" ref="E84">Common_InputFunctions.Utility_DisplayArrayInTable(Refrigerants_SourceData.Refrigerants_ChemicalBlends_Data(), Table_RefrigerantBlends[[#Headers],[Blend]], 0)</f>
        <v>HFC-125/HFC-134a/HC-600</v>
      </c>
      <c r="F84" s="68" t="str" cm="1">
        <f t="array" ref="F84">Common_InputFunctions.Utility_DisplayArrayInTable(Refrigerants_SourceData.Refrigerants_ChemicalBlends_Data(), Table_RefrigerantBlends[[#Headers],[Blend]], 0)</f>
        <v>(46.6/50.0/3.4)</v>
      </c>
      <c r="G84" s="66"/>
      <c r="H84" s="66"/>
      <c r="I84" s="66"/>
      <c r="J84" s="66"/>
      <c r="K84" s="66"/>
      <c r="L84" s="66"/>
      <c r="M84" s="66"/>
      <c r="N84" s="66"/>
      <c r="O84" s="66"/>
      <c r="P84" s="66"/>
      <c r="Q84" s="66"/>
    </row>
    <row r="85" spans="4:17" ht="20.100000000000001" customHeight="1" x14ac:dyDescent="0.25">
      <c r="D85" s="68" t="str" cm="1">
        <f t="array" ref="D85">Common_InputFunctions.Utility_DisplayArrayInTable(Refrigerants_SourceData.Refrigerants_ChemicalBlends_Data(), Table_RefrigerantBlends[[#Headers],[Blend]], 0)</f>
        <v>R-418A</v>
      </c>
      <c r="E85" s="68" t="str" cm="1">
        <f t="array" ref="E85">Common_InputFunctions.Utility_DisplayArrayInTable(Refrigerants_SourceData.Refrigerants_ChemicalBlends_Data(), Table_RefrigerantBlends[[#Headers],[Blend]], 0)</f>
        <v>HC-290/HCFC-22/HFC-152a</v>
      </c>
      <c r="F85" s="68" t="str" cm="1">
        <f t="array" ref="F85">Common_InputFunctions.Utility_DisplayArrayInTable(Refrigerants_SourceData.Refrigerants_ChemicalBlends_Data(), Table_RefrigerantBlends[[#Headers],[Blend]], 0)</f>
        <v>(1.5/96.0/2.5)</v>
      </c>
      <c r="G85" s="66"/>
      <c r="H85" s="66"/>
      <c r="I85" s="66"/>
      <c r="J85" s="66"/>
      <c r="K85" s="66"/>
      <c r="L85" s="66"/>
      <c r="M85" s="66"/>
      <c r="N85" s="66"/>
      <c r="O85" s="66"/>
      <c r="P85" s="66"/>
      <c r="Q85" s="66"/>
    </row>
    <row r="86" spans="4:17" ht="20.100000000000001" customHeight="1" x14ac:dyDescent="0.25">
      <c r="D86" s="68" t="str" cm="1">
        <f t="array" ref="D86">Common_InputFunctions.Utility_DisplayArrayInTable(Refrigerants_SourceData.Refrigerants_ChemicalBlends_Data(), Table_RefrigerantBlends[[#Headers],[Blend]], 0)</f>
        <v>R-419A</v>
      </c>
      <c r="E86" s="68" t="str" cm="1">
        <f t="array" ref="E86">Common_InputFunctions.Utility_DisplayArrayInTable(Refrigerants_SourceData.Refrigerants_ChemicalBlends_Data(), Table_RefrigerantBlends[[#Headers],[Blend]], 0)</f>
        <v>HFC-125/HFC-134a/HE-E170</v>
      </c>
      <c r="F86" s="68" t="str" cm="1">
        <f t="array" ref="F86">Common_InputFunctions.Utility_DisplayArrayInTable(Refrigerants_SourceData.Refrigerants_ChemicalBlends_Data(), Table_RefrigerantBlends[[#Headers],[Blend]], 0)</f>
        <v>(77.0/19.0/4.0)</v>
      </c>
      <c r="G86" s="66"/>
      <c r="H86" s="66"/>
      <c r="I86" s="66"/>
      <c r="J86" s="66"/>
      <c r="K86" s="66"/>
      <c r="L86" s="66"/>
      <c r="M86" s="66"/>
      <c r="N86" s="66"/>
      <c r="O86" s="66"/>
      <c r="P86" s="66"/>
      <c r="Q86" s="66"/>
    </row>
    <row r="87" spans="4:17" ht="20.100000000000001" customHeight="1" x14ac:dyDescent="0.25">
      <c r="D87" s="68" t="str" cm="1">
        <f t="array" ref="D87">Common_InputFunctions.Utility_DisplayArrayInTable(Refrigerants_SourceData.Refrigerants_ChemicalBlends_Data(), Table_RefrigerantBlends[[#Headers],[Blend]], 0)</f>
        <v>R-420A</v>
      </c>
      <c r="E87" s="68" t="str" cm="1">
        <f t="array" ref="E87">Common_InputFunctions.Utility_DisplayArrayInTable(Refrigerants_SourceData.Refrigerants_ChemicalBlends_Data(), Table_RefrigerantBlends[[#Headers],[Blend]], 0)</f>
        <v>HFC-134a/HCFC-142b</v>
      </c>
      <c r="F87" s="68" t="str" cm="1">
        <f t="array" ref="F87">Common_InputFunctions.Utility_DisplayArrayInTable(Refrigerants_SourceData.Refrigerants_ChemicalBlends_Data(), Table_RefrigerantBlends[[#Headers],[Blend]], 0)</f>
        <v>(88.0/12.0)</v>
      </c>
      <c r="G87" s="66"/>
      <c r="H87" s="66"/>
      <c r="I87" s="66"/>
      <c r="J87" s="66"/>
      <c r="K87" s="66"/>
      <c r="L87" s="66"/>
      <c r="M87" s="66"/>
      <c r="N87" s="66"/>
      <c r="O87" s="66"/>
      <c r="P87" s="66"/>
      <c r="Q87" s="66"/>
    </row>
    <row r="88" spans="4:17" ht="20.100000000000001" customHeight="1" x14ac:dyDescent="0.25">
      <c r="D88" s="68" t="str" cm="1">
        <f t="array" ref="D88">Common_InputFunctions.Utility_DisplayArrayInTable(Refrigerants_SourceData.Refrigerants_ChemicalBlends_Data(), Table_RefrigerantBlends[[#Headers],[Blend]], 0)</f>
        <v>R-421A</v>
      </c>
      <c r="E88" s="68" t="str" cm="1">
        <f t="array" ref="E88">Common_InputFunctions.Utility_DisplayArrayInTable(Refrigerants_SourceData.Refrigerants_ChemicalBlends_Data(), Table_RefrigerantBlends[[#Headers],[Blend]], 0)</f>
        <v>HFC-125/HFC-134a</v>
      </c>
      <c r="F88" s="68" t="str" cm="1">
        <f t="array" ref="F88">Common_InputFunctions.Utility_DisplayArrayInTable(Refrigerants_SourceData.Refrigerants_ChemicalBlends_Data(), Table_RefrigerantBlends[[#Headers],[Blend]], 0)</f>
        <v>(58.0/42.0)</v>
      </c>
      <c r="G88" s="66"/>
      <c r="H88" s="66"/>
      <c r="I88" s="66"/>
      <c r="J88" s="66"/>
      <c r="K88" s="66"/>
      <c r="L88" s="66"/>
      <c r="M88" s="66"/>
      <c r="N88" s="66"/>
      <c r="O88" s="66"/>
      <c r="P88" s="66"/>
      <c r="Q88" s="66"/>
    </row>
    <row r="89" spans="4:17" ht="20.100000000000001" customHeight="1" x14ac:dyDescent="0.25">
      <c r="D89" s="68" t="str" cm="1">
        <f t="array" ref="D89">Common_InputFunctions.Utility_DisplayArrayInTable(Refrigerants_SourceData.Refrigerants_ChemicalBlends_Data(), Table_RefrigerantBlends[[#Headers],[Blend]], 0)</f>
        <v>R-422A</v>
      </c>
      <c r="E89" s="68" t="str" cm="1">
        <f t="array" ref="E89">Common_InputFunctions.Utility_DisplayArrayInTable(Refrigerants_SourceData.Refrigerants_ChemicalBlends_Data(), Table_RefrigerantBlends[[#Headers],[Blend]], 0)</f>
        <v>HFC-125/HFC-134a/HC-600a</v>
      </c>
      <c r="F89" s="68" t="str" cm="1">
        <f t="array" ref="F89">Common_InputFunctions.Utility_DisplayArrayInTable(Refrigerants_SourceData.Refrigerants_ChemicalBlends_Data(), Table_RefrigerantBlends[[#Headers],[Blend]], 0)</f>
        <v>(85.1/11.5/3.4)</v>
      </c>
      <c r="G89" s="66"/>
      <c r="H89" s="66"/>
      <c r="I89" s="66"/>
      <c r="J89" s="66"/>
      <c r="K89" s="66"/>
      <c r="L89" s="66"/>
      <c r="M89" s="66"/>
      <c r="N89" s="66"/>
      <c r="O89" s="66"/>
      <c r="P89" s="66"/>
      <c r="Q89" s="66"/>
    </row>
    <row r="90" spans="4:17" ht="20.100000000000001" customHeight="1" x14ac:dyDescent="0.25">
      <c r="D90" s="68" t="str" cm="1">
        <f t="array" ref="D90">Common_InputFunctions.Utility_DisplayArrayInTable(Refrigerants_SourceData.Refrigerants_ChemicalBlends_Data(), Table_RefrigerantBlends[[#Headers],[Blend]], 0)</f>
        <v>R-422B</v>
      </c>
      <c r="E90" s="68" t="str" cm="1">
        <f t="array" ref="E90">Common_InputFunctions.Utility_DisplayArrayInTable(Refrigerants_SourceData.Refrigerants_ChemicalBlends_Data(), Table_RefrigerantBlends[[#Headers],[Blend]], 0)</f>
        <v>HFC-125/HFC-134a/HC-600a</v>
      </c>
      <c r="F90" s="68" t="str" cm="1">
        <f t="array" ref="F90">Common_InputFunctions.Utility_DisplayArrayInTable(Refrigerants_SourceData.Refrigerants_ChemicalBlends_Data(), Table_RefrigerantBlends[[#Headers],[Blend]], 0)</f>
        <v>(55.0/42.0/3.0)</v>
      </c>
      <c r="G90" s="66"/>
      <c r="H90" s="66"/>
      <c r="I90" s="66"/>
      <c r="J90" s="66"/>
      <c r="K90" s="66"/>
      <c r="L90" s="66"/>
      <c r="M90" s="66"/>
      <c r="N90" s="66"/>
      <c r="O90" s="66"/>
      <c r="P90" s="66"/>
      <c r="Q90" s="66"/>
    </row>
    <row r="91" spans="4:17" ht="20.100000000000001" customHeight="1" x14ac:dyDescent="0.25">
      <c r="D91" s="68" t="str" cm="1">
        <f t="array" ref="D91">Common_InputFunctions.Utility_DisplayArrayInTable(Refrigerants_SourceData.Refrigerants_ChemicalBlends_Data(), Table_RefrigerantBlends[[#Headers],[Blend]], 0)</f>
        <v>R-422C</v>
      </c>
      <c r="E91" s="68" t="str" cm="1">
        <f t="array" ref="E91">Common_InputFunctions.Utility_DisplayArrayInTable(Refrigerants_SourceData.Refrigerants_ChemicalBlends_Data(), Table_RefrigerantBlends[[#Headers],[Blend]], 0)</f>
        <v>HFC-125/HFC-134a/HC-600a</v>
      </c>
      <c r="F91" s="68" t="str" cm="1">
        <f t="array" ref="F91">Common_InputFunctions.Utility_DisplayArrayInTable(Refrigerants_SourceData.Refrigerants_ChemicalBlends_Data(), Table_RefrigerantBlends[[#Headers],[Blend]], 0)</f>
        <v>(82.0/15.0/3.0)</v>
      </c>
      <c r="G91" s="66"/>
      <c r="H91" s="66"/>
      <c r="I91" s="66"/>
      <c r="J91" s="66"/>
      <c r="K91" s="66"/>
      <c r="L91" s="66"/>
      <c r="M91" s="66"/>
      <c r="N91" s="66"/>
      <c r="O91" s="66"/>
      <c r="P91" s="66"/>
      <c r="Q91" s="66"/>
    </row>
    <row r="92" spans="4:17" ht="20.100000000000001" customHeight="1" x14ac:dyDescent="0.25">
      <c r="D92" s="68" t="str" cm="1">
        <f t="array" ref="D92">Common_InputFunctions.Utility_DisplayArrayInTable(Refrigerants_SourceData.Refrigerants_ChemicalBlends_Data(), Table_RefrigerantBlends[[#Headers],[Blend]], 0)</f>
        <v>R-500</v>
      </c>
      <c r="E92" s="68" t="str" cm="1">
        <f t="array" ref="E92">Common_InputFunctions.Utility_DisplayArrayInTable(Refrigerants_SourceData.Refrigerants_ChemicalBlends_Data(), Table_RefrigerantBlends[[#Headers],[Blend]], 0)</f>
        <v>CFC-12/HFC-152a</v>
      </c>
      <c r="F92" s="68" t="str" cm="1">
        <f t="array" ref="F92">Common_InputFunctions.Utility_DisplayArrayInTable(Refrigerants_SourceData.Refrigerants_ChemicalBlends_Data(), Table_RefrigerantBlends[[#Headers],[Blend]], 0)</f>
        <v>(73.8/26.2)</v>
      </c>
      <c r="G92" s="66"/>
      <c r="H92" s="66"/>
      <c r="I92" s="66"/>
      <c r="J92" s="66"/>
      <c r="K92" s="66"/>
      <c r="L92" s="66"/>
      <c r="M92" s="66"/>
      <c r="N92" s="66"/>
      <c r="O92" s="66"/>
      <c r="P92" s="66"/>
      <c r="Q92" s="66"/>
    </row>
    <row r="93" spans="4:17" ht="20.100000000000001" customHeight="1" x14ac:dyDescent="0.25">
      <c r="D93" s="68" t="str" cm="1">
        <f t="array" ref="D93">Common_InputFunctions.Utility_DisplayArrayInTable(Refrigerants_SourceData.Refrigerants_ChemicalBlends_Data(), Table_RefrigerantBlends[[#Headers],[Blend]], 0)</f>
        <v>R-501</v>
      </c>
      <c r="E93" s="68" t="str" cm="1">
        <f t="array" ref="E93">Common_InputFunctions.Utility_DisplayArrayInTable(Refrigerants_SourceData.Refrigerants_ChemicalBlends_Data(), Table_RefrigerantBlends[[#Headers],[Blend]], 0)</f>
        <v>HCFC-22/CFC-12</v>
      </c>
      <c r="F93" s="68" t="str" cm="1">
        <f t="array" ref="F93">Common_InputFunctions.Utility_DisplayArrayInTable(Refrigerants_SourceData.Refrigerants_ChemicalBlends_Data(), Table_RefrigerantBlends[[#Headers],[Blend]], 0)</f>
        <v>(75.0/25.0)</v>
      </c>
      <c r="G93" s="66"/>
      <c r="H93" s="66"/>
      <c r="I93" s="66"/>
      <c r="J93" s="66"/>
      <c r="K93" s="66"/>
      <c r="L93" s="66"/>
      <c r="M93" s="66"/>
      <c r="N93" s="66"/>
      <c r="O93" s="66"/>
      <c r="P93" s="66"/>
      <c r="Q93" s="66"/>
    </row>
    <row r="94" spans="4:17" ht="20.100000000000001" customHeight="1" x14ac:dyDescent="0.25">
      <c r="D94" s="68" t="str" cm="1">
        <f t="array" ref="D94">Common_InputFunctions.Utility_DisplayArrayInTable(Refrigerants_SourceData.Refrigerants_ChemicalBlends_Data(), Table_RefrigerantBlends[[#Headers],[Blend]], 0)</f>
        <v>R-502</v>
      </c>
      <c r="E94" s="68" t="str" cm="1">
        <f t="array" ref="E94">Common_InputFunctions.Utility_DisplayArrayInTable(Refrigerants_SourceData.Refrigerants_ChemicalBlends_Data(), Table_RefrigerantBlends[[#Headers],[Blend]], 0)</f>
        <v>HCFC-22/CFC-115</v>
      </c>
      <c r="F94" s="68" t="str" cm="1">
        <f t="array" ref="F94">Common_InputFunctions.Utility_DisplayArrayInTable(Refrigerants_SourceData.Refrigerants_ChemicalBlends_Data(), Table_RefrigerantBlends[[#Headers],[Blend]], 0)</f>
        <v>(48.8/51.2)</v>
      </c>
      <c r="G94" s="66"/>
      <c r="H94" s="66"/>
      <c r="I94" s="66"/>
      <c r="J94" s="66"/>
      <c r="K94" s="66"/>
      <c r="L94" s="66"/>
      <c r="M94" s="66"/>
      <c r="N94" s="66"/>
      <c r="O94" s="66"/>
      <c r="P94" s="66"/>
      <c r="Q94" s="66"/>
    </row>
    <row r="95" spans="4:17" ht="20.100000000000001" customHeight="1" x14ac:dyDescent="0.25">
      <c r="D95" s="68" t="str" cm="1">
        <f t="array" ref="D95">Common_InputFunctions.Utility_DisplayArrayInTable(Refrigerants_SourceData.Refrigerants_ChemicalBlends_Data(), Table_RefrigerantBlends[[#Headers],[Blend]], 0)</f>
        <v>R-503</v>
      </c>
      <c r="E95" s="68" t="str" cm="1">
        <f t="array" ref="E95">Common_InputFunctions.Utility_DisplayArrayInTable(Refrigerants_SourceData.Refrigerants_ChemicalBlends_Data(), Table_RefrigerantBlends[[#Headers],[Blend]], 0)</f>
        <v>HFC-23/CFC-13</v>
      </c>
      <c r="F95" s="68" t="str" cm="1">
        <f t="array" ref="F95">Common_InputFunctions.Utility_DisplayArrayInTable(Refrigerants_SourceData.Refrigerants_ChemicalBlends_Data(), Table_RefrigerantBlends[[#Headers],[Blend]], 0)</f>
        <v>(40.1/59.9)</v>
      </c>
      <c r="G95" s="66"/>
      <c r="H95" s="66"/>
      <c r="I95" s="66"/>
      <c r="J95" s="66"/>
      <c r="K95" s="66"/>
      <c r="L95" s="66"/>
      <c r="M95" s="66"/>
      <c r="N95" s="66"/>
      <c r="O95" s="66"/>
      <c r="P95" s="66"/>
      <c r="Q95" s="66"/>
    </row>
    <row r="96" spans="4:17" ht="20.100000000000001" customHeight="1" x14ac:dyDescent="0.25">
      <c r="D96" s="68" t="str" cm="1">
        <f t="array" ref="D96">Common_InputFunctions.Utility_DisplayArrayInTable(Refrigerants_SourceData.Refrigerants_ChemicalBlends_Data(), Table_RefrigerantBlends[[#Headers],[Blend]], 0)</f>
        <v>R-504</v>
      </c>
      <c r="E96" s="68" t="str" cm="1">
        <f t="array" ref="E96">Common_InputFunctions.Utility_DisplayArrayInTable(Refrigerants_SourceData.Refrigerants_ChemicalBlends_Data(), Table_RefrigerantBlends[[#Headers],[Blend]], 0)</f>
        <v>HFC-32/CFC-115</v>
      </c>
      <c r="F96" s="68" t="str" cm="1">
        <f t="array" ref="F96">Common_InputFunctions.Utility_DisplayArrayInTable(Refrigerants_SourceData.Refrigerants_ChemicalBlends_Data(), Table_RefrigerantBlends[[#Headers],[Blend]], 0)</f>
        <v>(48.2/51.8)</v>
      </c>
      <c r="G96" s="66"/>
      <c r="H96" s="66"/>
      <c r="I96" s="66"/>
      <c r="J96" s="66"/>
      <c r="K96" s="66"/>
      <c r="L96" s="66"/>
      <c r="M96" s="66"/>
      <c r="N96" s="66"/>
      <c r="O96" s="66"/>
      <c r="P96" s="66"/>
      <c r="Q96" s="66"/>
    </row>
    <row r="97" spans="4:17" ht="20.100000000000001" customHeight="1" x14ac:dyDescent="0.25">
      <c r="D97" s="68" t="str" cm="1">
        <f t="array" ref="D97">Common_InputFunctions.Utility_DisplayArrayInTable(Refrigerants_SourceData.Refrigerants_ChemicalBlends_Data(), Table_RefrigerantBlends[[#Headers],[Blend]], 0)</f>
        <v>R-505</v>
      </c>
      <c r="E97" s="68" t="str" cm="1">
        <f t="array" ref="E97">Common_InputFunctions.Utility_DisplayArrayInTable(Refrigerants_SourceData.Refrigerants_ChemicalBlends_Data(), Table_RefrigerantBlends[[#Headers],[Blend]], 0)</f>
        <v>CFC-12/HCFC-31</v>
      </c>
      <c r="F97" s="68" t="str" cm="1">
        <f t="array" ref="F97">Common_InputFunctions.Utility_DisplayArrayInTable(Refrigerants_SourceData.Refrigerants_ChemicalBlends_Data(), Table_RefrigerantBlends[[#Headers],[Blend]], 0)</f>
        <v>(78.0/22.0)</v>
      </c>
      <c r="G97" s="66"/>
      <c r="H97" s="66"/>
      <c r="I97" s="66"/>
      <c r="J97" s="66"/>
      <c r="K97" s="66"/>
      <c r="L97" s="66"/>
      <c r="M97" s="66"/>
      <c r="N97" s="66"/>
      <c r="O97" s="66"/>
      <c r="P97" s="66"/>
      <c r="Q97" s="66"/>
    </row>
    <row r="98" spans="4:17" ht="20.100000000000001" customHeight="1" x14ac:dyDescent="0.25">
      <c r="D98" s="68" t="str" cm="1">
        <f t="array" ref="D98">Common_InputFunctions.Utility_DisplayArrayInTable(Refrigerants_SourceData.Refrigerants_ChemicalBlends_Data(), Table_RefrigerantBlends[[#Headers],[Blend]], 0)</f>
        <v>R-506</v>
      </c>
      <c r="E98" s="68" t="str" cm="1">
        <f t="array" ref="E98">Common_InputFunctions.Utility_DisplayArrayInTable(Refrigerants_SourceData.Refrigerants_ChemicalBlends_Data(), Table_RefrigerantBlends[[#Headers],[Blend]], 0)</f>
        <v>CFC-31/CFC-114</v>
      </c>
      <c r="F98" s="68" t="str" cm="1">
        <f t="array" ref="F98">Common_InputFunctions.Utility_DisplayArrayInTable(Refrigerants_SourceData.Refrigerants_ChemicalBlends_Data(), Table_RefrigerantBlends[[#Headers],[Blend]], 0)</f>
        <v>(55.1/44.9)</v>
      </c>
      <c r="G98" s="66"/>
      <c r="H98" s="66"/>
      <c r="I98" s="66"/>
      <c r="J98" s="66"/>
      <c r="K98" s="66"/>
      <c r="L98" s="66"/>
      <c r="M98" s="66"/>
      <c r="N98" s="66"/>
      <c r="O98" s="66"/>
      <c r="P98" s="66"/>
      <c r="Q98" s="66"/>
    </row>
    <row r="99" spans="4:17" ht="20.100000000000001" customHeight="1" x14ac:dyDescent="0.25">
      <c r="D99" s="68" t="str" cm="1">
        <f t="array" ref="D99">Common_InputFunctions.Utility_DisplayArrayInTable(Refrigerants_SourceData.Refrigerants_ChemicalBlends_Data(), Table_RefrigerantBlends[[#Headers],[Blend]], 0)</f>
        <v>R-507A</v>
      </c>
      <c r="E99" s="68" t="str" cm="1">
        <f t="array" ref="E99">Common_InputFunctions.Utility_DisplayArrayInTable(Refrigerants_SourceData.Refrigerants_ChemicalBlends_Data(), Table_RefrigerantBlends[[#Headers],[Blend]], 0)</f>
        <v>HFC-125/HFC-143a</v>
      </c>
      <c r="F99" s="68" t="str" cm="1">
        <f t="array" ref="F99">Common_InputFunctions.Utility_DisplayArrayInTable(Refrigerants_SourceData.Refrigerants_ChemicalBlends_Data(), Table_RefrigerantBlends[[#Headers],[Blend]], 0)</f>
        <v>(50.0/50.0)</v>
      </c>
      <c r="G99" s="66"/>
      <c r="H99" s="66"/>
      <c r="I99" s="66"/>
      <c r="J99" s="66"/>
      <c r="K99" s="66"/>
      <c r="L99" s="66"/>
      <c r="M99" s="66"/>
      <c r="N99" s="66"/>
      <c r="O99" s="66"/>
      <c r="P99" s="66"/>
      <c r="Q99" s="66"/>
    </row>
    <row r="100" spans="4:17" ht="20.100000000000001" customHeight="1" x14ac:dyDescent="0.25">
      <c r="D100" s="68" t="str" cm="1">
        <f t="array" ref="D100">Common_InputFunctions.Utility_DisplayArrayInTable(Refrigerants_SourceData.Refrigerants_ChemicalBlends_Data(), Table_RefrigerantBlends[[#Headers],[Blend]], 0)</f>
        <v>R-508A</v>
      </c>
      <c r="E100" s="68" t="str" cm="1">
        <f t="array" ref="E100">Common_InputFunctions.Utility_DisplayArrayInTable(Refrigerants_SourceData.Refrigerants_ChemicalBlends_Data(), Table_RefrigerantBlends[[#Headers],[Blend]], 0)</f>
        <v>HFC-23/PFC-116</v>
      </c>
      <c r="F100" s="68" t="str" cm="1">
        <f t="array" ref="F100">Common_InputFunctions.Utility_DisplayArrayInTable(Refrigerants_SourceData.Refrigerants_ChemicalBlends_Data(), Table_RefrigerantBlends[[#Headers],[Blend]], 0)</f>
        <v>(39.0/61.0)</v>
      </c>
      <c r="G100" s="66"/>
      <c r="H100" s="66"/>
      <c r="I100" s="66"/>
      <c r="J100" s="66"/>
      <c r="K100" s="66"/>
      <c r="L100" s="66"/>
      <c r="M100" s="66"/>
      <c r="N100" s="66"/>
      <c r="O100" s="66"/>
      <c r="P100" s="66"/>
      <c r="Q100" s="66"/>
    </row>
    <row r="101" spans="4:17" ht="20.100000000000001" customHeight="1" x14ac:dyDescent="0.25">
      <c r="D101" s="68" t="str" cm="1">
        <f t="array" ref="D101">Common_InputFunctions.Utility_DisplayArrayInTable(Refrigerants_SourceData.Refrigerants_ChemicalBlends_Data(), Table_RefrigerantBlends[[#Headers],[Blend]], 0)</f>
        <v>R-508B</v>
      </c>
      <c r="E101" s="68" t="str" cm="1">
        <f t="array" ref="E101">Common_InputFunctions.Utility_DisplayArrayInTable(Refrigerants_SourceData.Refrigerants_ChemicalBlends_Data(), Table_RefrigerantBlends[[#Headers],[Blend]], 0)</f>
        <v>HFC-23/PFC-116</v>
      </c>
      <c r="F101" s="68" t="str" cm="1">
        <f t="array" ref="F101">Common_InputFunctions.Utility_DisplayArrayInTable(Refrigerants_SourceData.Refrigerants_ChemicalBlends_Data(), Table_RefrigerantBlends[[#Headers],[Blend]], 0)</f>
        <v>(46.0/54.0)</v>
      </c>
      <c r="G101" s="66"/>
      <c r="H101" s="66"/>
      <c r="I101" s="66"/>
      <c r="J101" s="66"/>
      <c r="K101" s="66"/>
      <c r="L101" s="66"/>
      <c r="M101" s="66"/>
      <c r="N101" s="66"/>
      <c r="O101" s="66"/>
      <c r="P101" s="66"/>
      <c r="Q101" s="66"/>
    </row>
    <row r="102" spans="4:17" ht="20.100000000000001" customHeight="1" x14ac:dyDescent="0.25">
      <c r="D102" s="68" t="str" cm="1">
        <f t="array" ref="D102">Common_InputFunctions.Utility_DisplayArrayInTable(Refrigerants_SourceData.Refrigerants_ChemicalBlends_Data(), Table_RefrigerantBlends[[#Headers],[Blend]], 0)</f>
        <v>R-509A</v>
      </c>
      <c r="E102" s="68" t="str" cm="1">
        <f t="array" ref="E102">Common_InputFunctions.Utility_DisplayArrayInTable(Refrigerants_SourceData.Refrigerants_ChemicalBlends_Data(), Table_RefrigerantBlends[[#Headers],[Blend]], 0)</f>
        <v>HCFC-22/PFC-218</v>
      </c>
      <c r="F102" s="68" t="str" cm="1">
        <f t="array" ref="F102">Common_InputFunctions.Utility_DisplayArrayInTable(Refrigerants_SourceData.Refrigerants_ChemicalBlends_Data(), Table_RefrigerantBlends[[#Headers],[Blend]], 0)</f>
        <v>(44.0/56.0)</v>
      </c>
      <c r="G102" s="66"/>
      <c r="H102" s="66"/>
      <c r="I102" s="66"/>
      <c r="J102" s="66"/>
      <c r="K102" s="66"/>
      <c r="L102" s="66"/>
      <c r="M102" s="66"/>
      <c r="N102" s="66"/>
      <c r="O102" s="66"/>
      <c r="P102" s="66"/>
      <c r="Q102" s="66"/>
    </row>
    <row r="103" spans="4:17" ht="20.100000000000001" customHeight="1" x14ac:dyDescent="0.25">
      <c r="D103" s="66"/>
      <c r="E103" s="66"/>
      <c r="F103" s="66"/>
      <c r="G103" s="66"/>
      <c r="H103" s="66"/>
      <c r="I103" s="66"/>
      <c r="J103" s="66"/>
      <c r="K103" s="66"/>
      <c r="L103" s="66"/>
      <c r="M103" s="66"/>
      <c r="N103" s="66"/>
      <c r="O103" s="66"/>
      <c r="P103" s="66"/>
      <c r="Q103" s="66"/>
    </row>
    <row r="104" spans="4:17" ht="20.100000000000001" customHeight="1" x14ac:dyDescent="0.25">
      <c r="D104" s="70"/>
      <c r="E104" s="70"/>
      <c r="F104" s="70"/>
      <c r="G104" s="70"/>
      <c r="H104" s="70"/>
      <c r="I104" s="70"/>
      <c r="J104" s="70"/>
      <c r="K104" s="70"/>
      <c r="L104" s="70"/>
      <c r="M104" s="70"/>
      <c r="N104" s="70"/>
      <c r="O104" s="70"/>
      <c r="P104" s="70"/>
      <c r="Q104" s="70"/>
    </row>
    <row r="105" spans="4:17" ht="20.100000000000001" customHeight="1" x14ac:dyDescent="0.25">
      <c r="D105" s="5" t="s">
        <v>107</v>
      </c>
      <c r="E105" s="66"/>
      <c r="F105" s="66"/>
      <c r="G105" s="66"/>
      <c r="H105" s="66"/>
      <c r="I105" s="66"/>
      <c r="J105" s="66"/>
      <c r="K105" s="66"/>
      <c r="L105" s="66"/>
      <c r="M105" s="66"/>
      <c r="N105" s="66"/>
      <c r="O105" s="66"/>
      <c r="P105" s="66"/>
      <c r="Q105" s="66"/>
    </row>
    <row r="106" spans="4:17" ht="20.100000000000001" customHeight="1" x14ac:dyDescent="0.25">
      <c r="D106" s="62"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64"/>
      <c r="F106" s="62"/>
      <c r="G106" s="63"/>
      <c r="H106" s="63"/>
      <c r="I106" s="63"/>
      <c r="J106" s="63"/>
      <c r="K106" s="63"/>
      <c r="L106" s="63"/>
      <c r="M106" s="63"/>
      <c r="N106" s="64"/>
      <c r="O106" s="66"/>
      <c r="P106" s="66"/>
      <c r="Q106" s="66"/>
    </row>
    <row r="107" spans="4:17" ht="20.100000000000001" customHeight="1" x14ac:dyDescent="0.25">
      <c r="D107" s="29"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66"/>
      <c r="F107" s="66"/>
      <c r="G107" s="66"/>
      <c r="H107" s="66"/>
      <c r="I107" s="66"/>
      <c r="J107" s="66"/>
      <c r="K107" s="66"/>
      <c r="L107" s="66"/>
      <c r="M107" s="66"/>
      <c r="N107" s="66"/>
      <c r="O107" s="66"/>
      <c r="P107" s="66"/>
      <c r="Q107" s="66"/>
    </row>
    <row r="108" spans="4:17" ht="20.100000000000001" customHeight="1" x14ac:dyDescent="0.25">
      <c r="D108" s="29"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66"/>
      <c r="F108" s="66"/>
      <c r="G108" s="66"/>
      <c r="H108" s="66"/>
      <c r="I108" s="66"/>
      <c r="J108" s="66"/>
      <c r="K108" s="66"/>
      <c r="L108" s="66"/>
      <c r="M108" s="66"/>
      <c r="N108" s="66"/>
      <c r="O108" s="66"/>
      <c r="P108" s="66"/>
      <c r="Q108" s="66"/>
    </row>
    <row r="109" spans="4:17" ht="20.100000000000001" customHeight="1" x14ac:dyDescent="0.25">
      <c r="D109" s="68" t="s">
        <v>104</v>
      </c>
      <c r="E109" s="68" t="s">
        <v>108</v>
      </c>
      <c r="F109" s="68" t="s">
        <v>109</v>
      </c>
      <c r="G109" s="68" t="s">
        <v>110</v>
      </c>
      <c r="H109" s="68" t="s">
        <v>111</v>
      </c>
      <c r="I109" s="68" t="s">
        <v>112</v>
      </c>
      <c r="J109" s="68" t="s">
        <v>113</v>
      </c>
      <c r="K109" s="68" t="s">
        <v>114</v>
      </c>
      <c r="L109" s="68" t="s">
        <v>115</v>
      </c>
      <c r="M109" s="68" t="s">
        <v>116</v>
      </c>
      <c r="N109" s="68" t="s">
        <v>117</v>
      </c>
      <c r="O109" s="68" t="s">
        <v>118</v>
      </c>
      <c r="P109" s="68" t="s">
        <v>119</v>
      </c>
      <c r="Q109" s="68" t="s">
        <v>120</v>
      </c>
    </row>
    <row r="110" spans="4:17" ht="20.100000000000001" customHeight="1" x14ac:dyDescent="0.25">
      <c r="D110" s="68" t="str">
        <f>$D$53 &amp; " 50/50"</f>
        <v>R-400 50/50</v>
      </c>
      <c r="E110" s="68" t="str" cm="1">
        <f t="array" ref="E110">IFERROR(INDEX(TRANSPOSE(Common_InputFunctions.Utility_SplitStringIntoArray($E$53, "/")), 1), "")</f>
        <v>CFC-12</v>
      </c>
      <c r="F110" s="68" t="str" cm="1">
        <f t="array" ref="F110">IFERROR(INDEX(TRANSPOSE(Common_InputFunctions.Utility_SplitStringIntoArray($E$53, "/")), 2), "")</f>
        <v>CFC-114</v>
      </c>
      <c r="G110" s="68" t="str" cm="1">
        <f t="array" ref="G110">IFERROR(INDEX(TRANSPOSE(Common_InputFunctions.Utility_SplitStringIntoArray($E$53, "/")), 3), "")</f>
        <v/>
      </c>
      <c r="H110" s="68" t="str" cm="1">
        <f t="array" ref="H110">IFERROR(INDEX(TRANSPOSE(Common_InputFunctions.Utility_SplitStringIntoArray($E$53, "/")), 4), "")</f>
        <v/>
      </c>
      <c r="I110" s="68">
        <v>0.5</v>
      </c>
      <c r="J110" s="68">
        <v>0.5</v>
      </c>
      <c r="K110" s="68"/>
      <c r="L110" s="68"/>
      <c r="M110" s="68"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68"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68"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68"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68"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100000000000001" customHeight="1" x14ac:dyDescent="0.25">
      <c r="D111" s="68" t="str">
        <f>$D$53 &amp; " 60/40"</f>
        <v>R-400 60/40</v>
      </c>
      <c r="E111" s="68" t="str" cm="1">
        <f t="array" ref="E111">IFERROR(INDEX(TRANSPOSE(Common_InputFunctions.Utility_SplitStringIntoArray($E$53, "/")), 1), "")</f>
        <v>CFC-12</v>
      </c>
      <c r="F111" s="68" t="str" cm="1">
        <f t="array" ref="F111">IFERROR(INDEX(TRANSPOSE(Common_InputFunctions.Utility_SplitStringIntoArray($E$53, "/")), 2), "")</f>
        <v>CFC-114</v>
      </c>
      <c r="G111" s="68" t="str" cm="1">
        <f t="array" ref="G111">IFERROR(INDEX(TRANSPOSE(Common_InputFunctions.Utility_SplitStringIntoArray($E$53, "/")), 3), "")</f>
        <v/>
      </c>
      <c r="H111" s="68" t="str" cm="1">
        <f t="array" ref="H111">IFERROR(INDEX(TRANSPOSE(Common_InputFunctions.Utility_SplitStringIntoArray($E$53, "/")), 4), "")</f>
        <v/>
      </c>
      <c r="I111" s="68">
        <v>0.6</v>
      </c>
      <c r="J111" s="68">
        <v>0.4</v>
      </c>
      <c r="K111" s="68"/>
      <c r="L111" s="68"/>
      <c r="M111" s="68"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68"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68"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68"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68"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100000000000001" customHeight="1" x14ac:dyDescent="0.25">
      <c r="D112" s="68" t="str">
        <f>$D$53 &amp; " 80/20"</f>
        <v>R-400 80/20</v>
      </c>
      <c r="E112" s="68" t="str" cm="1">
        <f t="array" ref="E112">IFERROR(INDEX(TRANSPOSE(Common_InputFunctions.Utility_SplitStringIntoArray($E$53, "/")), 1), "")</f>
        <v>CFC-12</v>
      </c>
      <c r="F112" s="68" t="str" cm="1">
        <f t="array" ref="F112">IFERROR(INDEX(TRANSPOSE(Common_InputFunctions.Utility_SplitStringIntoArray($E$53, "/")), 2), "")</f>
        <v>CFC-114</v>
      </c>
      <c r="G112" s="68" t="str" cm="1">
        <f t="array" ref="G112">IFERROR(INDEX(TRANSPOSE(Common_InputFunctions.Utility_SplitStringIntoArray($E$53, "/")), 3), "")</f>
        <v/>
      </c>
      <c r="H112" s="68" t="str" cm="1">
        <f t="array" ref="H112">IFERROR(INDEX(TRANSPOSE(Common_InputFunctions.Utility_SplitStringIntoArray($E$53, "/")), 4), "")</f>
        <v/>
      </c>
      <c r="I112" s="68">
        <v>0.8</v>
      </c>
      <c r="J112" s="68">
        <v>0.2</v>
      </c>
      <c r="K112" s="68"/>
      <c r="L112" s="68"/>
      <c r="M112" s="68"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68"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68"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68"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68"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5">
      <c r="D113" s="68" t="str">
        <f t="shared" ref="D113:D161" si="0">D54</f>
        <v>R-401A</v>
      </c>
      <c r="E113" s="68" t="str" cm="1">
        <f t="array" ref="E113">IFERROR(INDEX(TRANSPOSE(Common_InputFunctions.Utility_SplitStringIntoArray($E54, "/")), 1), "")</f>
        <v>HCFC-22</v>
      </c>
      <c r="F113" s="68" t="str" cm="1">
        <f t="array" ref="F113">IFERROR(INDEX(TRANSPOSE(Common_InputFunctions.Utility_SplitStringIntoArray($E54, "/")), 2), "")</f>
        <v>HFC-152a</v>
      </c>
      <c r="G113" s="68" t="str" cm="1">
        <f t="array" ref="G113">IFERROR(INDEX(TRANSPOSE(Common_InputFunctions.Utility_SplitStringIntoArray($E54, "/")), 3), "")</f>
        <v>HCFC-124</v>
      </c>
      <c r="H113" s="68" t="str" cm="1">
        <f t="array" ref="H113">IFERROR(INDEX(TRANSPOSE(Common_InputFunctions.Utility_SplitStringIntoArray($E54, "/")), 4), "")</f>
        <v/>
      </c>
      <c r="I113" s="68" cm="1">
        <f t="array" ref="I113">IFERROR(INDEX(TRANSPOSE(Common_InputFunctions.Utility_SplitStringIntoArray($F54, "/", "(", ")")), 1)*0.01, 0)</f>
        <v>0.53</v>
      </c>
      <c r="J113" s="68" cm="1">
        <f t="array" ref="J113">IFERROR(INDEX(TRANSPOSE(Common_InputFunctions.Utility_SplitStringIntoArray($F54, "/", "(", ")")), 2)*0.01, 0)</f>
        <v>0.13</v>
      </c>
      <c r="K113" s="68" cm="1">
        <f t="array" ref="K113">IFERROR(INDEX(TRANSPOSE(Common_InputFunctions.Utility_SplitStringIntoArray($F54, "/", "(", ")")), 3)*0.01, 0)</f>
        <v>0.34</v>
      </c>
      <c r="L113" s="68" cm="1">
        <f t="array" ref="L113">IFERROR(INDEX(TRANSPOSE(Common_InputFunctions.Utility_SplitStringIntoArray($F54, "/", "(", ")")), 4)*0.01, 0)</f>
        <v>0</v>
      </c>
      <c r="M113" s="68"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68"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68"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68"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68"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5">
      <c r="D114" s="68" t="str">
        <f t="shared" si="0"/>
        <v>R-401B</v>
      </c>
      <c r="E114" s="68" t="str" cm="1">
        <f t="array" ref="E114">IFERROR(INDEX(TRANSPOSE(Common_InputFunctions.Utility_SplitStringIntoArray($E55, "/")), 1), "")</f>
        <v>HCFC-22</v>
      </c>
      <c r="F114" s="68" t="str" cm="1">
        <f t="array" ref="F114">IFERROR(INDEX(TRANSPOSE(Common_InputFunctions.Utility_SplitStringIntoArray($E55, "/")), 2), "")</f>
        <v>HFC-152a</v>
      </c>
      <c r="G114" s="68" t="str" cm="1">
        <f t="array" ref="G114">IFERROR(INDEX(TRANSPOSE(Common_InputFunctions.Utility_SplitStringIntoArray($E55, "/")), 3), "")</f>
        <v>HCFC-124</v>
      </c>
      <c r="H114" s="68" t="str" cm="1">
        <f t="array" ref="H114">IFERROR(INDEX(TRANSPOSE(Common_InputFunctions.Utility_SplitStringIntoArray($E55, "/")), 4), "")</f>
        <v/>
      </c>
      <c r="I114" s="68" cm="1">
        <f t="array" ref="I114">IFERROR(INDEX(TRANSPOSE(Common_InputFunctions.Utility_SplitStringIntoArray($F55, "/", "(", ")")), 1)*0.01, 0)</f>
        <v>0.61</v>
      </c>
      <c r="J114" s="68" cm="1">
        <f t="array" ref="J114">IFERROR(INDEX(TRANSPOSE(Common_InputFunctions.Utility_SplitStringIntoArray($F55, "/", "(", ")")), 2)*0.01, 0)</f>
        <v>0.11</v>
      </c>
      <c r="K114" s="68" cm="1">
        <f t="array" ref="K114">IFERROR(INDEX(TRANSPOSE(Common_InputFunctions.Utility_SplitStringIntoArray($F55, "/", "(", ")")), 3)*0.01, 0)</f>
        <v>0.28000000000000003</v>
      </c>
      <c r="L114" s="68" cm="1">
        <f t="array" ref="L114">IFERROR(INDEX(TRANSPOSE(Common_InputFunctions.Utility_SplitStringIntoArray($F55, "/", "(", ")")), 4)*0.01, 0)</f>
        <v>0</v>
      </c>
      <c r="M114" s="68"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68"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68"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68"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68"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5">
      <c r="D115" s="68" t="str">
        <f t="shared" si="0"/>
        <v>R-401C</v>
      </c>
      <c r="E115" s="68" t="str" cm="1">
        <f t="array" ref="E115">IFERROR(INDEX(TRANSPOSE(Common_InputFunctions.Utility_SplitStringIntoArray($E56, "/")), 1), "")</f>
        <v>HCFC-22</v>
      </c>
      <c r="F115" s="68" t="str" cm="1">
        <f t="array" ref="F115">IFERROR(INDEX(TRANSPOSE(Common_InputFunctions.Utility_SplitStringIntoArray($E56, "/")), 2), "")</f>
        <v>HFC-152a</v>
      </c>
      <c r="G115" s="68" t="str" cm="1">
        <f t="array" ref="G115">IFERROR(INDEX(TRANSPOSE(Common_InputFunctions.Utility_SplitStringIntoArray($E56, "/")), 3), "")</f>
        <v>HCFC-124</v>
      </c>
      <c r="H115" s="68" t="str" cm="1">
        <f t="array" ref="H115">IFERROR(INDEX(TRANSPOSE(Common_InputFunctions.Utility_SplitStringIntoArray($E56, "/")), 4), "")</f>
        <v/>
      </c>
      <c r="I115" s="68" cm="1">
        <f t="array" ref="I115">IFERROR(INDEX(TRANSPOSE(Common_InputFunctions.Utility_SplitStringIntoArray($F56, "/", "(", ")")), 1)*0.01, 0)</f>
        <v>0.33</v>
      </c>
      <c r="J115" s="68" cm="1">
        <f t="array" ref="J115">IFERROR(INDEX(TRANSPOSE(Common_InputFunctions.Utility_SplitStringIntoArray($F56, "/", "(", ")")), 2)*0.01, 0)</f>
        <v>0.15</v>
      </c>
      <c r="K115" s="68" cm="1">
        <f t="array" ref="K115">IFERROR(INDEX(TRANSPOSE(Common_InputFunctions.Utility_SplitStringIntoArray($F56, "/", "(", ")")), 3)*0.01, 0)</f>
        <v>0.52</v>
      </c>
      <c r="L115" s="68" cm="1">
        <f t="array" ref="L115">IFERROR(INDEX(TRANSPOSE(Common_InputFunctions.Utility_SplitStringIntoArray($F56, "/", "(", ")")), 4)*0.01, 0)</f>
        <v>0</v>
      </c>
      <c r="M115" s="68"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68"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68"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68"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68"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5">
      <c r="D116" s="68" t="str">
        <f t="shared" si="0"/>
        <v>R-402A</v>
      </c>
      <c r="E116" s="68" t="str" cm="1">
        <f t="array" ref="E116">IFERROR(INDEX(TRANSPOSE(Common_InputFunctions.Utility_SplitStringIntoArray($E57, "/")), 1), "")</f>
        <v>HFC-125</v>
      </c>
      <c r="F116" s="68" t="str" cm="1">
        <f t="array" ref="F116">IFERROR(INDEX(TRANSPOSE(Common_InputFunctions.Utility_SplitStringIntoArray($E57, "/")), 2), "")</f>
        <v>HC-290</v>
      </c>
      <c r="G116" s="68" t="str" cm="1">
        <f t="array" ref="G116">IFERROR(INDEX(TRANSPOSE(Common_InputFunctions.Utility_SplitStringIntoArray($E57, "/")), 3), "")</f>
        <v>HCFC-22</v>
      </c>
      <c r="H116" s="68" t="str" cm="1">
        <f t="array" ref="H116">IFERROR(INDEX(TRANSPOSE(Common_InputFunctions.Utility_SplitStringIntoArray($E57, "/")), 4), "")</f>
        <v/>
      </c>
      <c r="I116" s="68" cm="1">
        <f t="array" ref="I116">IFERROR(INDEX(TRANSPOSE(Common_InputFunctions.Utility_SplitStringIntoArray($F57, "/", "(", ")")), 1)*0.01, 0)</f>
        <v>0.6</v>
      </c>
      <c r="J116" s="68" cm="1">
        <f t="array" ref="J116">IFERROR(INDEX(TRANSPOSE(Common_InputFunctions.Utility_SplitStringIntoArray($F57, "/", "(", ")")), 2)*0.01, 0)</f>
        <v>0.02</v>
      </c>
      <c r="K116" s="68" cm="1">
        <f t="array" ref="K116">IFERROR(INDEX(TRANSPOSE(Common_InputFunctions.Utility_SplitStringIntoArray($F57, "/", "(", ")")), 3)*0.01, 0)</f>
        <v>0.38</v>
      </c>
      <c r="L116" s="68" cm="1">
        <f t="array" ref="L116">IFERROR(INDEX(TRANSPOSE(Common_InputFunctions.Utility_SplitStringIntoArray($F57, "/", "(", ")")), 4)*0.01, 0)</f>
        <v>0</v>
      </c>
      <c r="M116" s="68"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68"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68"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68"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68"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5">
      <c r="D117" s="68" t="str">
        <f t="shared" si="0"/>
        <v>R-402B</v>
      </c>
      <c r="E117" s="68" t="str" cm="1">
        <f t="array" ref="E117">IFERROR(INDEX(TRANSPOSE(Common_InputFunctions.Utility_SplitStringIntoArray($E58, "/")), 1), "")</f>
        <v>HFC-125</v>
      </c>
      <c r="F117" s="68" t="str" cm="1">
        <f t="array" ref="F117">IFERROR(INDEX(TRANSPOSE(Common_InputFunctions.Utility_SplitStringIntoArray($E58, "/")), 2), "")</f>
        <v>HC-290</v>
      </c>
      <c r="G117" s="68" t="str" cm="1">
        <f t="array" ref="G117">IFERROR(INDEX(TRANSPOSE(Common_InputFunctions.Utility_SplitStringIntoArray($E58, "/")), 3), "")</f>
        <v>HCFC-22</v>
      </c>
      <c r="H117" s="68" t="str" cm="1">
        <f t="array" ref="H117">IFERROR(INDEX(TRANSPOSE(Common_InputFunctions.Utility_SplitStringIntoArray($E58, "/")), 4), "")</f>
        <v/>
      </c>
      <c r="I117" s="68" cm="1">
        <f t="array" ref="I117">IFERROR(INDEX(TRANSPOSE(Common_InputFunctions.Utility_SplitStringIntoArray($F58, "/", "(", ")")), 1)*0.01, 0)</f>
        <v>0.38</v>
      </c>
      <c r="J117" s="68" cm="1">
        <f t="array" ref="J117">IFERROR(INDEX(TRANSPOSE(Common_InputFunctions.Utility_SplitStringIntoArray($F58, "/", "(", ")")), 2)*0.01, 0)</f>
        <v>0.02</v>
      </c>
      <c r="K117" s="68" cm="1">
        <f t="array" ref="K117">IFERROR(INDEX(TRANSPOSE(Common_InputFunctions.Utility_SplitStringIntoArray($F58, "/", "(", ")")), 3)*0.01, 0)</f>
        <v>0.6</v>
      </c>
      <c r="L117" s="68" cm="1">
        <f t="array" ref="L117">IFERROR(INDEX(TRANSPOSE(Common_InputFunctions.Utility_SplitStringIntoArray($F58, "/", "(", ")")), 4)*0.01, 0)</f>
        <v>0</v>
      </c>
      <c r="M117" s="68"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68"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68"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68"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68"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5">
      <c r="D118" s="68" t="str">
        <f t="shared" si="0"/>
        <v>R-403A</v>
      </c>
      <c r="E118" s="68" t="str" cm="1">
        <f t="array" ref="E118">IFERROR(INDEX(TRANSPOSE(Common_InputFunctions.Utility_SplitStringIntoArray($E59, "/")), 1), "")</f>
        <v>HC-290</v>
      </c>
      <c r="F118" s="68" t="str" cm="1">
        <f t="array" ref="F118">IFERROR(INDEX(TRANSPOSE(Common_InputFunctions.Utility_SplitStringIntoArray($E59, "/")), 2), "")</f>
        <v>HCFC-22</v>
      </c>
      <c r="G118" s="68" t="str" cm="1">
        <f t="array" ref="G118">IFERROR(INDEX(TRANSPOSE(Common_InputFunctions.Utility_SplitStringIntoArray($E59, "/")), 3), "")</f>
        <v>PFC-218</v>
      </c>
      <c r="H118" s="68" t="str" cm="1">
        <f t="array" ref="H118">IFERROR(INDEX(TRANSPOSE(Common_InputFunctions.Utility_SplitStringIntoArray($E59, "/")), 4), "")</f>
        <v/>
      </c>
      <c r="I118" s="68" cm="1">
        <f t="array" ref="I118">IFERROR(INDEX(TRANSPOSE(Common_InputFunctions.Utility_SplitStringIntoArray($F59, "/", "(", ")")), 1)*0.01, 0)</f>
        <v>0.05</v>
      </c>
      <c r="J118" s="68" cm="1">
        <f t="array" ref="J118">IFERROR(INDEX(TRANSPOSE(Common_InputFunctions.Utility_SplitStringIntoArray($F59, "/", "(", ")")), 2)*0.01, 0)</f>
        <v>0.75</v>
      </c>
      <c r="K118" s="68" cm="1">
        <f t="array" ref="K118">IFERROR(INDEX(TRANSPOSE(Common_InputFunctions.Utility_SplitStringIntoArray($F59, "/", "(", ")")), 3)*0.01, 0)</f>
        <v>0.2</v>
      </c>
      <c r="L118" s="68" cm="1">
        <f t="array" ref="L118">IFERROR(INDEX(TRANSPOSE(Common_InputFunctions.Utility_SplitStringIntoArray($F59, "/", "(", ")")), 4)*0.01, 0)</f>
        <v>0</v>
      </c>
      <c r="M118" s="68"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68"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68"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68"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68"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5">
      <c r="D119" s="68" t="str">
        <f t="shared" si="0"/>
        <v>R-403B</v>
      </c>
      <c r="E119" s="68" t="str" cm="1">
        <f t="array" ref="E119">IFERROR(INDEX(TRANSPOSE(Common_InputFunctions.Utility_SplitStringIntoArray($E60, "/")), 1), "")</f>
        <v>HC-290</v>
      </c>
      <c r="F119" s="68" t="str" cm="1">
        <f t="array" ref="F119">IFERROR(INDEX(TRANSPOSE(Common_InputFunctions.Utility_SplitStringIntoArray($E60, "/")), 2), "")</f>
        <v>HCFC-22</v>
      </c>
      <c r="G119" s="68" t="str" cm="1">
        <f t="array" ref="G119">IFERROR(INDEX(TRANSPOSE(Common_InputFunctions.Utility_SplitStringIntoArray($E60, "/")), 3), "")</f>
        <v>PFC-218</v>
      </c>
      <c r="H119" s="68" t="str" cm="1">
        <f t="array" ref="H119">IFERROR(INDEX(TRANSPOSE(Common_InputFunctions.Utility_SplitStringIntoArray($E60, "/")), 4), "")</f>
        <v/>
      </c>
      <c r="I119" s="68" cm="1">
        <f t="array" ref="I119">IFERROR(INDEX(TRANSPOSE(Common_InputFunctions.Utility_SplitStringIntoArray($F60, "/", "(", ")")), 1)*0.01, 0)</f>
        <v>0.05</v>
      </c>
      <c r="J119" s="68" cm="1">
        <f t="array" ref="J119">IFERROR(INDEX(TRANSPOSE(Common_InputFunctions.Utility_SplitStringIntoArray($F60, "/", "(", ")")), 2)*0.01, 0)</f>
        <v>0.56000000000000005</v>
      </c>
      <c r="K119" s="68" cm="1">
        <f t="array" ref="K119">IFERROR(INDEX(TRANSPOSE(Common_InputFunctions.Utility_SplitStringIntoArray($F60, "/", "(", ")")), 3)*0.01, 0)</f>
        <v>0.39</v>
      </c>
      <c r="L119" s="68" cm="1">
        <f t="array" ref="L119">IFERROR(INDEX(TRANSPOSE(Common_InputFunctions.Utility_SplitStringIntoArray($F60, "/", "(", ")")), 4)*0.01, 0)</f>
        <v>0</v>
      </c>
      <c r="M119" s="68"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68"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68"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68"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68"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5">
      <c r="D120" s="68" t="str">
        <f t="shared" si="0"/>
        <v>R-404A</v>
      </c>
      <c r="E120" s="68" t="str" cm="1">
        <f t="array" ref="E120">IFERROR(INDEX(TRANSPOSE(Common_InputFunctions.Utility_SplitStringIntoArray($E61, "/")), 1), "")</f>
        <v>HFC-125</v>
      </c>
      <c r="F120" s="68" t="str" cm="1">
        <f t="array" ref="F120">IFERROR(INDEX(TRANSPOSE(Common_InputFunctions.Utility_SplitStringIntoArray($E61, "/")), 2), "")</f>
        <v>HFC-143a</v>
      </c>
      <c r="G120" s="68" t="str" cm="1">
        <f t="array" ref="G120">IFERROR(INDEX(TRANSPOSE(Common_InputFunctions.Utility_SplitStringIntoArray($E61, "/")), 3), "")</f>
        <v>HFC-134a</v>
      </c>
      <c r="H120" s="68" t="str" cm="1">
        <f t="array" ref="H120">IFERROR(INDEX(TRANSPOSE(Common_InputFunctions.Utility_SplitStringIntoArray($E61, "/")), 4), "")</f>
        <v/>
      </c>
      <c r="I120" s="68" cm="1">
        <f t="array" ref="I120">IFERROR(INDEX(TRANSPOSE(Common_InputFunctions.Utility_SplitStringIntoArray($F61, "/", "(", ")")), 1)*0.01, 0)</f>
        <v>0.44</v>
      </c>
      <c r="J120" s="68" cm="1">
        <f t="array" ref="J120">IFERROR(INDEX(TRANSPOSE(Common_InputFunctions.Utility_SplitStringIntoArray($F61, "/", "(", ")")), 2)*0.01, 0)</f>
        <v>0.52</v>
      </c>
      <c r="K120" s="68" cm="1">
        <f t="array" ref="K120">IFERROR(INDEX(TRANSPOSE(Common_InputFunctions.Utility_SplitStringIntoArray($F61, "/", "(", ")")), 3)*0.01, 0)</f>
        <v>0.04</v>
      </c>
      <c r="L120" s="68" cm="1">
        <f t="array" ref="L120">IFERROR(INDEX(TRANSPOSE(Common_InputFunctions.Utility_SplitStringIntoArray($F61, "/", "(", ")")), 4)*0.01, 0)</f>
        <v>0</v>
      </c>
      <c r="M120" s="68"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68"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68"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68"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68"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5">
      <c r="D121" s="68" t="str">
        <f t="shared" si="0"/>
        <v>R-405A</v>
      </c>
      <c r="E121" s="68" t="str" cm="1">
        <f t="array" ref="E121">IFERROR(INDEX(TRANSPOSE(Common_InputFunctions.Utility_SplitStringIntoArray($E62, "/")), 1), "")</f>
        <v>HCFC-22</v>
      </c>
      <c r="F121" s="68" t="str" cm="1">
        <f t="array" ref="F121">IFERROR(INDEX(TRANSPOSE(Common_InputFunctions.Utility_SplitStringIntoArray($E62, "/")), 2), "")</f>
        <v>HFC-152a</v>
      </c>
      <c r="G121" s="68" t="str" cm="1">
        <f t="array" ref="G121">IFERROR(INDEX(TRANSPOSE(Common_InputFunctions.Utility_SplitStringIntoArray($E62, "/")), 3), "")</f>
        <v>HCFC-142b</v>
      </c>
      <c r="H121" s="68" t="str" cm="1">
        <f t="array" ref="H121">IFERROR(INDEX(TRANSPOSE(Common_InputFunctions.Utility_SplitStringIntoArray($E62, "/")), 4), "")</f>
        <v>PFC-318</v>
      </c>
      <c r="I121" s="68" cm="1">
        <f t="array" ref="I121">IFERROR(INDEX(TRANSPOSE(Common_InputFunctions.Utility_SplitStringIntoArray($F62, "/", "(", ")")), 1)*0.01, 0)</f>
        <v>0.45</v>
      </c>
      <c r="J121" s="68" cm="1">
        <f t="array" ref="J121">IFERROR(INDEX(TRANSPOSE(Common_InputFunctions.Utility_SplitStringIntoArray($F62, "/", "(", ")")), 2)*0.01, 0)</f>
        <v>7.0000000000000007E-2</v>
      </c>
      <c r="K121" s="68" cm="1">
        <f t="array" ref="K121">IFERROR(INDEX(TRANSPOSE(Common_InputFunctions.Utility_SplitStringIntoArray($F62, "/", "(", ")")), 3)*0.01, 0)</f>
        <v>5.5E-2</v>
      </c>
      <c r="L121" s="68" cm="1">
        <f t="array" ref="L121">IFERROR(INDEX(TRANSPOSE(Common_InputFunctions.Utility_SplitStringIntoArray($F62, "/", "(", ")")), 4)*0.01, 0)</f>
        <v>0.42499999999999999</v>
      </c>
      <c r="M121" s="68"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68"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68"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68"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68"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5">
      <c r="D122" s="68" t="str">
        <f t="shared" si="0"/>
        <v>R-406A</v>
      </c>
      <c r="E122" s="68" t="str" cm="1">
        <f t="array" ref="E122">IFERROR(INDEX(TRANSPOSE(Common_InputFunctions.Utility_SplitStringIntoArray($E63, "/")), 1), "")</f>
        <v>HCFC-22</v>
      </c>
      <c r="F122" s="68" t="str" cm="1">
        <f t="array" ref="F122">IFERROR(INDEX(TRANSPOSE(Common_InputFunctions.Utility_SplitStringIntoArray($E63, "/")), 2), "")</f>
        <v>HC-600a</v>
      </c>
      <c r="G122" s="68" t="str" cm="1">
        <f t="array" ref="G122">IFERROR(INDEX(TRANSPOSE(Common_InputFunctions.Utility_SplitStringIntoArray($E63, "/")), 3), "")</f>
        <v>HCFC-142b</v>
      </c>
      <c r="H122" s="68" t="str" cm="1">
        <f t="array" ref="H122">IFERROR(INDEX(TRANSPOSE(Common_InputFunctions.Utility_SplitStringIntoArray($E63, "/")), 4), "")</f>
        <v/>
      </c>
      <c r="I122" s="68" cm="1">
        <f t="array" ref="I122">IFERROR(INDEX(TRANSPOSE(Common_InputFunctions.Utility_SplitStringIntoArray($F63, "/", "(", ")")), 1)*0.01, 0)</f>
        <v>0.55000000000000004</v>
      </c>
      <c r="J122" s="68" cm="1">
        <f t="array" ref="J122">IFERROR(INDEX(TRANSPOSE(Common_InputFunctions.Utility_SplitStringIntoArray($F63, "/", "(", ")")), 2)*0.01, 0)</f>
        <v>0.14000000000000001</v>
      </c>
      <c r="K122" s="68" cm="1">
        <f t="array" ref="K122">IFERROR(INDEX(TRANSPOSE(Common_InputFunctions.Utility_SplitStringIntoArray($F63, "/", "(", ")")), 3)*0.01, 0)</f>
        <v>0.41000000000000003</v>
      </c>
      <c r="L122" s="68" cm="1">
        <f t="array" ref="L122">IFERROR(INDEX(TRANSPOSE(Common_InputFunctions.Utility_SplitStringIntoArray($F63, "/", "(", ")")), 4)*0.01, 0)</f>
        <v>0</v>
      </c>
      <c r="M122" s="68"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68"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68"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68"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68"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5">
      <c r="D123" s="68" t="str">
        <f t="shared" si="0"/>
        <v>R-407A</v>
      </c>
      <c r="E123" s="68" t="str" cm="1">
        <f t="array" ref="E123">IFERROR(INDEX(TRANSPOSE(Common_InputFunctions.Utility_SplitStringIntoArray($E64, "/")), 1), "")</f>
        <v>HFC-32</v>
      </c>
      <c r="F123" s="68" t="str" cm="1">
        <f t="array" ref="F123">IFERROR(INDEX(TRANSPOSE(Common_InputFunctions.Utility_SplitStringIntoArray($E64, "/")), 2), "")</f>
        <v>HFC-125</v>
      </c>
      <c r="G123" s="68" t="str" cm="1">
        <f t="array" ref="G123">IFERROR(INDEX(TRANSPOSE(Common_InputFunctions.Utility_SplitStringIntoArray($E64, "/")), 3), "")</f>
        <v>HFC-134a</v>
      </c>
      <c r="H123" s="68" t="str" cm="1">
        <f t="array" ref="H123">IFERROR(INDEX(TRANSPOSE(Common_InputFunctions.Utility_SplitStringIntoArray($E64, "/")), 4), "")</f>
        <v/>
      </c>
      <c r="I123" s="68" cm="1">
        <f t="array" ref="I123">IFERROR(INDEX(TRANSPOSE(Common_InputFunctions.Utility_SplitStringIntoArray($F64, "/", "(", ")")), 1)*0.01, 0)</f>
        <v>0.2</v>
      </c>
      <c r="J123" s="68" cm="1">
        <f t="array" ref="J123">IFERROR(INDEX(TRANSPOSE(Common_InputFunctions.Utility_SplitStringIntoArray($F64, "/", "(", ")")), 2)*0.01, 0)</f>
        <v>0.4</v>
      </c>
      <c r="K123" s="68" cm="1">
        <f t="array" ref="K123">IFERROR(INDEX(TRANSPOSE(Common_InputFunctions.Utility_SplitStringIntoArray($F64, "/", "(", ")")), 3)*0.01, 0)</f>
        <v>0.4</v>
      </c>
      <c r="L123" s="68" cm="1">
        <f t="array" ref="L123">IFERROR(INDEX(TRANSPOSE(Common_InputFunctions.Utility_SplitStringIntoArray($F64, "/", "(", ")")), 4)*0.01, 0)</f>
        <v>0</v>
      </c>
      <c r="M123" s="68"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68"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68"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68"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68"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5">
      <c r="D124" s="68" t="str">
        <f t="shared" si="0"/>
        <v>R-407B</v>
      </c>
      <c r="E124" s="68" t="str" cm="1">
        <f t="array" ref="E124">IFERROR(INDEX(TRANSPOSE(Common_InputFunctions.Utility_SplitStringIntoArray($E65, "/")), 1), "")</f>
        <v>HFC-32</v>
      </c>
      <c r="F124" s="68" t="str" cm="1">
        <f t="array" ref="F124">IFERROR(INDEX(TRANSPOSE(Common_InputFunctions.Utility_SplitStringIntoArray($E65, "/")), 2), "")</f>
        <v>HFC-125</v>
      </c>
      <c r="G124" s="68" t="str" cm="1">
        <f t="array" ref="G124">IFERROR(INDEX(TRANSPOSE(Common_InputFunctions.Utility_SplitStringIntoArray($E65, "/")), 3), "")</f>
        <v>HFC-134a</v>
      </c>
      <c r="H124" s="68" t="str" cm="1">
        <f t="array" ref="H124">IFERROR(INDEX(TRANSPOSE(Common_InputFunctions.Utility_SplitStringIntoArray($E65, "/")), 4), "")</f>
        <v/>
      </c>
      <c r="I124" s="68" cm="1">
        <f t="array" ref="I124">IFERROR(INDEX(TRANSPOSE(Common_InputFunctions.Utility_SplitStringIntoArray($F65, "/", "(", ")")), 1)*0.01, 0)</f>
        <v>0.1</v>
      </c>
      <c r="J124" s="68" cm="1">
        <f t="array" ref="J124">IFERROR(INDEX(TRANSPOSE(Common_InputFunctions.Utility_SplitStringIntoArray($F65, "/", "(", ")")), 2)*0.01, 0)</f>
        <v>0.70000000000000007</v>
      </c>
      <c r="K124" s="68" cm="1">
        <f t="array" ref="K124">IFERROR(INDEX(TRANSPOSE(Common_InputFunctions.Utility_SplitStringIntoArray($F65, "/", "(", ")")), 3)*0.01, 0)</f>
        <v>0.2</v>
      </c>
      <c r="L124" s="68" cm="1">
        <f t="array" ref="L124">IFERROR(INDEX(TRANSPOSE(Common_InputFunctions.Utility_SplitStringIntoArray($F65, "/", "(", ")")), 4)*0.01, 0)</f>
        <v>0</v>
      </c>
      <c r="M124" s="68"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68"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68"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68"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68"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5">
      <c r="D125" s="68" t="str">
        <f t="shared" si="0"/>
        <v>R-407C</v>
      </c>
      <c r="E125" s="68" t="str" cm="1">
        <f t="array" ref="E125">IFERROR(INDEX(TRANSPOSE(Common_InputFunctions.Utility_SplitStringIntoArray($E66, "/")), 1), "")</f>
        <v>HFC-32</v>
      </c>
      <c r="F125" s="68" t="str" cm="1">
        <f t="array" ref="F125">IFERROR(INDEX(TRANSPOSE(Common_InputFunctions.Utility_SplitStringIntoArray($E66, "/")), 2), "")</f>
        <v>HFC-125</v>
      </c>
      <c r="G125" s="68" t="str" cm="1">
        <f t="array" ref="G125">IFERROR(INDEX(TRANSPOSE(Common_InputFunctions.Utility_SplitStringIntoArray($E66, "/")), 3), "")</f>
        <v>HFC-134a</v>
      </c>
      <c r="H125" s="68" t="str" cm="1">
        <f t="array" ref="H125">IFERROR(INDEX(TRANSPOSE(Common_InputFunctions.Utility_SplitStringIntoArray($E66, "/")), 4), "")</f>
        <v/>
      </c>
      <c r="I125" s="68" cm="1">
        <f t="array" ref="I125">IFERROR(INDEX(TRANSPOSE(Common_InputFunctions.Utility_SplitStringIntoArray($F66, "/", "(", ")")), 1)*0.01, 0)</f>
        <v>0.23</v>
      </c>
      <c r="J125" s="68" cm="1">
        <f t="array" ref="J125">IFERROR(INDEX(TRANSPOSE(Common_InputFunctions.Utility_SplitStringIntoArray($F66, "/", "(", ")")), 2)*0.01, 0)</f>
        <v>0.25</v>
      </c>
      <c r="K125" s="68" cm="1">
        <f t="array" ref="K125">IFERROR(INDEX(TRANSPOSE(Common_InputFunctions.Utility_SplitStringIntoArray($F66, "/", "(", ")")), 3)*0.01, 0)</f>
        <v>0.52</v>
      </c>
      <c r="L125" s="68" cm="1">
        <f t="array" ref="L125">IFERROR(INDEX(TRANSPOSE(Common_InputFunctions.Utility_SplitStringIntoArray($F66, "/", "(", ")")), 4)*0.01, 0)</f>
        <v>0</v>
      </c>
      <c r="M125" s="68"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68"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68"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68"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68"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5">
      <c r="D126" s="68" t="str">
        <f t="shared" si="0"/>
        <v>R-407D</v>
      </c>
      <c r="E126" s="68" t="str" cm="1">
        <f t="array" ref="E126">IFERROR(INDEX(TRANSPOSE(Common_InputFunctions.Utility_SplitStringIntoArray($E67, "/")), 1), "")</f>
        <v>HFC-32</v>
      </c>
      <c r="F126" s="68" t="str" cm="1">
        <f t="array" ref="F126">IFERROR(INDEX(TRANSPOSE(Common_InputFunctions.Utility_SplitStringIntoArray($E67, "/")), 2), "")</f>
        <v>HFC-125</v>
      </c>
      <c r="G126" s="68" t="str" cm="1">
        <f t="array" ref="G126">IFERROR(INDEX(TRANSPOSE(Common_InputFunctions.Utility_SplitStringIntoArray($E67, "/")), 3), "")</f>
        <v>HFC-134a</v>
      </c>
      <c r="H126" s="68" t="str" cm="1">
        <f t="array" ref="H126">IFERROR(INDEX(TRANSPOSE(Common_InputFunctions.Utility_SplitStringIntoArray($E67, "/")), 4), "")</f>
        <v/>
      </c>
      <c r="I126" s="68" cm="1">
        <f t="array" ref="I126">IFERROR(INDEX(TRANSPOSE(Common_InputFunctions.Utility_SplitStringIntoArray($F67, "/", "(", ")")), 1)*0.01, 0)</f>
        <v>0.15</v>
      </c>
      <c r="J126" s="68" cm="1">
        <f t="array" ref="J126">IFERROR(INDEX(TRANSPOSE(Common_InputFunctions.Utility_SplitStringIntoArray($F67, "/", "(", ")")), 2)*0.01, 0)</f>
        <v>0.15</v>
      </c>
      <c r="K126" s="68" cm="1">
        <f t="array" ref="K126">IFERROR(INDEX(TRANSPOSE(Common_InputFunctions.Utility_SplitStringIntoArray($F67, "/", "(", ")")), 3)*0.01, 0)</f>
        <v>0.70000000000000007</v>
      </c>
      <c r="L126" s="68" cm="1">
        <f t="array" ref="L126">IFERROR(INDEX(TRANSPOSE(Common_InputFunctions.Utility_SplitStringIntoArray($F67, "/", "(", ")")), 4)*0.01, 0)</f>
        <v>0</v>
      </c>
      <c r="M126" s="68"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68"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68"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68"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68"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5">
      <c r="D127" s="68" t="str">
        <f t="shared" si="0"/>
        <v>R-407E</v>
      </c>
      <c r="E127" s="68" t="str" cm="1">
        <f t="array" ref="E127">IFERROR(INDEX(TRANSPOSE(Common_InputFunctions.Utility_SplitStringIntoArray($E68, "/")), 1), "")</f>
        <v>HFC-32</v>
      </c>
      <c r="F127" s="68" t="str" cm="1">
        <f t="array" ref="F127">IFERROR(INDEX(TRANSPOSE(Common_InputFunctions.Utility_SplitStringIntoArray($E68, "/")), 2), "")</f>
        <v>HFC-125</v>
      </c>
      <c r="G127" s="68" t="str" cm="1">
        <f t="array" ref="G127">IFERROR(INDEX(TRANSPOSE(Common_InputFunctions.Utility_SplitStringIntoArray($E68, "/")), 3), "")</f>
        <v>HFC-134a</v>
      </c>
      <c r="H127" s="68" t="str" cm="1">
        <f t="array" ref="H127">IFERROR(INDEX(TRANSPOSE(Common_InputFunctions.Utility_SplitStringIntoArray($E68, "/")), 4), "")</f>
        <v/>
      </c>
      <c r="I127" s="68" cm="1">
        <f t="array" ref="I127">IFERROR(INDEX(TRANSPOSE(Common_InputFunctions.Utility_SplitStringIntoArray($F68, "/", "(", ")")), 1)*0.01, 0)</f>
        <v>0.25</v>
      </c>
      <c r="J127" s="68" cm="1">
        <f t="array" ref="J127">IFERROR(INDEX(TRANSPOSE(Common_InputFunctions.Utility_SplitStringIntoArray($F68, "/", "(", ")")), 2)*0.01, 0)</f>
        <v>0.15</v>
      </c>
      <c r="K127" s="68" cm="1">
        <f t="array" ref="K127">IFERROR(INDEX(TRANSPOSE(Common_InputFunctions.Utility_SplitStringIntoArray($F68, "/", "(", ")")), 3)*0.01, 0)</f>
        <v>0.6</v>
      </c>
      <c r="L127" s="68" cm="1">
        <f t="array" ref="L127">IFERROR(INDEX(TRANSPOSE(Common_InputFunctions.Utility_SplitStringIntoArray($F68, "/", "(", ")")), 4)*0.01, 0)</f>
        <v>0</v>
      </c>
      <c r="M127" s="68"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68"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68"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68"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68"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5">
      <c r="D128" s="68" t="str">
        <f t="shared" si="0"/>
        <v>R-408A</v>
      </c>
      <c r="E128" s="68" t="str" cm="1">
        <f t="array" ref="E128">IFERROR(INDEX(TRANSPOSE(Common_InputFunctions.Utility_SplitStringIntoArray($E69, "/")), 1), "")</f>
        <v>HFC-125</v>
      </c>
      <c r="F128" s="68" t="str" cm="1">
        <f t="array" ref="F128">IFERROR(INDEX(TRANSPOSE(Common_InputFunctions.Utility_SplitStringIntoArray($E69, "/")), 2), "")</f>
        <v>HFC-143a</v>
      </c>
      <c r="G128" s="68" t="str" cm="1">
        <f t="array" ref="G128">IFERROR(INDEX(TRANSPOSE(Common_InputFunctions.Utility_SplitStringIntoArray($E69, "/")), 3), "")</f>
        <v>HCFC-22</v>
      </c>
      <c r="H128" s="68" t="str" cm="1">
        <f t="array" ref="H128">IFERROR(INDEX(TRANSPOSE(Common_InputFunctions.Utility_SplitStringIntoArray($E69, "/")), 4), "")</f>
        <v/>
      </c>
      <c r="I128" s="68" cm="1">
        <f t="array" ref="I128">IFERROR(INDEX(TRANSPOSE(Common_InputFunctions.Utility_SplitStringIntoArray($F69, "/", "(", ")")), 1)*0.01, 0)</f>
        <v>7.0000000000000007E-2</v>
      </c>
      <c r="J128" s="68" cm="1">
        <f t="array" ref="J128">IFERROR(INDEX(TRANSPOSE(Common_InputFunctions.Utility_SplitStringIntoArray($F69, "/", "(", ")")), 2)*0.01, 0)</f>
        <v>0.46</v>
      </c>
      <c r="K128" s="68" cm="1">
        <f t="array" ref="K128">IFERROR(INDEX(TRANSPOSE(Common_InputFunctions.Utility_SplitStringIntoArray($F69, "/", "(", ")")), 3)*0.01, 0)</f>
        <v>0.47000000000000003</v>
      </c>
      <c r="L128" s="68" cm="1">
        <f t="array" ref="L128">IFERROR(INDEX(TRANSPOSE(Common_InputFunctions.Utility_SplitStringIntoArray($F69, "/", "(", ")")), 4)*0.01, 0)</f>
        <v>0</v>
      </c>
      <c r="M128" s="68"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68"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68"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68"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68"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100000000000001" customHeight="1" x14ac:dyDescent="0.25">
      <c r="D129" s="68" t="str">
        <f t="shared" si="0"/>
        <v>R-409A</v>
      </c>
      <c r="E129" s="68" t="str" cm="1">
        <f t="array" ref="E129">IFERROR(INDEX(TRANSPOSE(Common_InputFunctions.Utility_SplitStringIntoArray($E70, "/")), 1), "")</f>
        <v>HCFC-22</v>
      </c>
      <c r="F129" s="68" t="str" cm="1">
        <f t="array" ref="F129">IFERROR(INDEX(TRANSPOSE(Common_InputFunctions.Utility_SplitStringIntoArray($E70, "/")), 2), "")</f>
        <v>HCFC-124</v>
      </c>
      <c r="G129" s="68" t="str" cm="1">
        <f t="array" ref="G129">IFERROR(INDEX(TRANSPOSE(Common_InputFunctions.Utility_SplitStringIntoArray($E70, "/")), 3), "")</f>
        <v>HCFC-142b</v>
      </c>
      <c r="H129" s="68" t="str" cm="1">
        <f t="array" ref="H129">IFERROR(INDEX(TRANSPOSE(Common_InputFunctions.Utility_SplitStringIntoArray($E70, "/")), 4), "")</f>
        <v/>
      </c>
      <c r="I129" s="68" cm="1">
        <f t="array" ref="I129">IFERROR(INDEX(TRANSPOSE(Common_InputFunctions.Utility_SplitStringIntoArray($F70, "/", "(", ")")), 1)*0.01, 0)</f>
        <v>0.6</v>
      </c>
      <c r="J129" s="68" cm="1">
        <f t="array" ref="J129">IFERROR(INDEX(TRANSPOSE(Common_InputFunctions.Utility_SplitStringIntoArray($F70, "/", "(", ")")), 2)*0.01, 0)</f>
        <v>0.25</v>
      </c>
      <c r="K129" s="68" cm="1">
        <f t="array" ref="K129">IFERROR(INDEX(TRANSPOSE(Common_InputFunctions.Utility_SplitStringIntoArray($F70, "/", "(", ")")), 3)*0.01, 0)</f>
        <v>0.15</v>
      </c>
      <c r="L129" s="68" cm="1">
        <f t="array" ref="L129">IFERROR(INDEX(TRANSPOSE(Common_InputFunctions.Utility_SplitStringIntoArray($F70, "/", "(", ")")), 4)*0.01, 0)</f>
        <v>0</v>
      </c>
      <c r="M129" s="68"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68"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68"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68"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68"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100000000000001" customHeight="1" x14ac:dyDescent="0.25">
      <c r="D130" s="68" t="str">
        <f t="shared" si="0"/>
        <v>R-409B</v>
      </c>
      <c r="E130" s="68" t="str" cm="1">
        <f t="array" ref="E130">IFERROR(INDEX(TRANSPOSE(Common_InputFunctions.Utility_SplitStringIntoArray($E71, "/")), 1), "")</f>
        <v>HCFC-22</v>
      </c>
      <c r="F130" s="68" t="str" cm="1">
        <f t="array" ref="F130">IFERROR(INDEX(TRANSPOSE(Common_InputFunctions.Utility_SplitStringIntoArray($E71, "/")), 2), "")</f>
        <v>HCFC-124</v>
      </c>
      <c r="G130" s="68" t="str" cm="1">
        <f t="array" ref="G130">IFERROR(INDEX(TRANSPOSE(Common_InputFunctions.Utility_SplitStringIntoArray($E71, "/")), 3), "")</f>
        <v>HCFC-142b</v>
      </c>
      <c r="H130" s="68" t="str" cm="1">
        <f t="array" ref="H130">IFERROR(INDEX(TRANSPOSE(Common_InputFunctions.Utility_SplitStringIntoArray($E71, "/")), 4), "")</f>
        <v/>
      </c>
      <c r="I130" s="68" cm="1">
        <f t="array" ref="I130">IFERROR(INDEX(TRANSPOSE(Common_InputFunctions.Utility_SplitStringIntoArray($F71, "/", "(", ")")), 1)*0.01, 0)</f>
        <v>0.65</v>
      </c>
      <c r="J130" s="68" cm="1">
        <f t="array" ref="J130">IFERROR(INDEX(TRANSPOSE(Common_InputFunctions.Utility_SplitStringIntoArray($F71, "/", "(", ")")), 2)*0.01, 0)</f>
        <v>0.25</v>
      </c>
      <c r="K130" s="68" cm="1">
        <f t="array" ref="K130">IFERROR(INDEX(TRANSPOSE(Common_InputFunctions.Utility_SplitStringIntoArray($F71, "/", "(", ")")), 3)*0.01, 0)</f>
        <v>0.1</v>
      </c>
      <c r="L130" s="68" cm="1">
        <f t="array" ref="L130">IFERROR(INDEX(TRANSPOSE(Common_InputFunctions.Utility_SplitStringIntoArray($F71, "/", "(", ")")), 4)*0.01, 0)</f>
        <v>0</v>
      </c>
      <c r="M130" s="68"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68"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68"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68"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68"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100000000000001" customHeight="1" x14ac:dyDescent="0.25">
      <c r="D131" s="68" t="str">
        <f t="shared" si="0"/>
        <v>R-410A</v>
      </c>
      <c r="E131" s="68" t="str" cm="1">
        <f t="array" ref="E131">IFERROR(INDEX(TRANSPOSE(Common_InputFunctions.Utility_SplitStringIntoArray($E72, "/")), 1), "")</f>
        <v>HFC-32</v>
      </c>
      <c r="F131" s="68" t="str" cm="1">
        <f t="array" ref="F131">IFERROR(INDEX(TRANSPOSE(Common_InputFunctions.Utility_SplitStringIntoArray($E72, "/")), 2), "")</f>
        <v>HFC-125</v>
      </c>
      <c r="G131" s="68" t="str" cm="1">
        <f t="array" ref="G131">IFERROR(INDEX(TRANSPOSE(Common_InputFunctions.Utility_SplitStringIntoArray($E72, "/")), 3), "")</f>
        <v/>
      </c>
      <c r="H131" s="68" t="str" cm="1">
        <f t="array" ref="H131">IFERROR(INDEX(TRANSPOSE(Common_InputFunctions.Utility_SplitStringIntoArray($E72, "/")), 4), "")</f>
        <v/>
      </c>
      <c r="I131" s="68" cm="1">
        <f t="array" ref="I131">IFERROR(INDEX(TRANSPOSE(Common_InputFunctions.Utility_SplitStringIntoArray($F72, "/", "(", ")")), 1)*0.01, 0)</f>
        <v>0.5</v>
      </c>
      <c r="J131" s="68" cm="1">
        <f t="array" ref="J131">IFERROR(INDEX(TRANSPOSE(Common_InputFunctions.Utility_SplitStringIntoArray($F72, "/", "(", ")")), 2)*0.01, 0)</f>
        <v>0.5</v>
      </c>
      <c r="K131" s="68" cm="1">
        <f t="array" ref="K131">IFERROR(INDEX(TRANSPOSE(Common_InputFunctions.Utility_SplitStringIntoArray($F72, "/", "(", ")")), 3)*0.01, 0)</f>
        <v>0</v>
      </c>
      <c r="L131" s="68" cm="1">
        <f t="array" ref="L131">IFERROR(INDEX(TRANSPOSE(Common_InputFunctions.Utility_SplitStringIntoArray($F72, "/", "(", ")")), 4)*0.01, 0)</f>
        <v>0</v>
      </c>
      <c r="M131" s="68"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68"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68"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68"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68"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100000000000001" customHeight="1" x14ac:dyDescent="0.25">
      <c r="D132" s="68" t="str">
        <f t="shared" si="0"/>
        <v>R-410B</v>
      </c>
      <c r="E132" s="68" t="str" cm="1">
        <f t="array" ref="E132">IFERROR(INDEX(TRANSPOSE(Common_InputFunctions.Utility_SplitStringIntoArray($E73, "/")), 1), "")</f>
        <v>HFC-32</v>
      </c>
      <c r="F132" s="68" t="str" cm="1">
        <f t="array" ref="F132">IFERROR(INDEX(TRANSPOSE(Common_InputFunctions.Utility_SplitStringIntoArray($E73, "/")), 2), "")</f>
        <v>HFC-125</v>
      </c>
      <c r="G132" s="68" t="str" cm="1">
        <f t="array" ref="G132">IFERROR(INDEX(TRANSPOSE(Common_InputFunctions.Utility_SplitStringIntoArray($E73, "/")), 3), "")</f>
        <v/>
      </c>
      <c r="H132" s="68" t="str" cm="1">
        <f t="array" ref="H132">IFERROR(INDEX(TRANSPOSE(Common_InputFunctions.Utility_SplitStringIntoArray($E73, "/")), 4), "")</f>
        <v/>
      </c>
      <c r="I132" s="68" cm="1">
        <f t="array" ref="I132">IFERROR(INDEX(TRANSPOSE(Common_InputFunctions.Utility_SplitStringIntoArray($F73, "/", "(", ")")), 1)*0.01, 0)</f>
        <v>0.45</v>
      </c>
      <c r="J132" s="68" cm="1">
        <f t="array" ref="J132">IFERROR(INDEX(TRANSPOSE(Common_InputFunctions.Utility_SplitStringIntoArray($F73, "/", "(", ")")), 2)*0.01, 0)</f>
        <v>0.55000000000000004</v>
      </c>
      <c r="K132" s="68" cm="1">
        <f t="array" ref="K132">IFERROR(INDEX(TRANSPOSE(Common_InputFunctions.Utility_SplitStringIntoArray($F73, "/", "(", ")")), 3)*0.01, 0)</f>
        <v>0</v>
      </c>
      <c r="L132" s="68" cm="1">
        <f t="array" ref="L132">IFERROR(INDEX(TRANSPOSE(Common_InputFunctions.Utility_SplitStringIntoArray($F73, "/", "(", ")")), 4)*0.01, 0)</f>
        <v>0</v>
      </c>
      <c r="M132" s="68"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68"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68"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68"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68"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100000000000001" customHeight="1" x14ac:dyDescent="0.25">
      <c r="D133" s="68" t="str">
        <f t="shared" si="0"/>
        <v>R-411A</v>
      </c>
      <c r="E133" s="68" t="str" cm="1">
        <f t="array" ref="E133">IFERROR(INDEX(TRANSPOSE(Common_InputFunctions.Utility_SplitStringIntoArray($E74, "/")), 1), "")</f>
        <v>HC-1270</v>
      </c>
      <c r="F133" s="68" t="str" cm="1">
        <f t="array" ref="F133">IFERROR(INDEX(TRANSPOSE(Common_InputFunctions.Utility_SplitStringIntoArray($E74, "/")), 2), "")</f>
        <v>HCFC-22</v>
      </c>
      <c r="G133" s="68" t="str" cm="1">
        <f t="array" ref="G133">IFERROR(INDEX(TRANSPOSE(Common_InputFunctions.Utility_SplitStringIntoArray($E74, "/")), 3), "")</f>
        <v>HFC-152a</v>
      </c>
      <c r="H133" s="68" t="str" cm="1">
        <f t="array" ref="H133">IFERROR(INDEX(TRANSPOSE(Common_InputFunctions.Utility_SplitStringIntoArray($E74, "/")), 4), "")</f>
        <v/>
      </c>
      <c r="I133" s="68" cm="1">
        <f t="array" ref="I133">IFERROR(INDEX(TRANSPOSE(Common_InputFunctions.Utility_SplitStringIntoArray($F74, "/", "(", ")")), 1)*0.01, 0)</f>
        <v>1.4999999999999999E-2</v>
      </c>
      <c r="J133" s="68" cm="1">
        <f t="array" ref="J133">IFERROR(INDEX(TRANSPOSE(Common_InputFunctions.Utility_SplitStringIntoArray($F74, "/", "(", ")")), 2)*0.01, 0)</f>
        <v>0.875</v>
      </c>
      <c r="K133" s="68" cm="1">
        <f t="array" ref="K133">IFERROR(INDEX(TRANSPOSE(Common_InputFunctions.Utility_SplitStringIntoArray($F74, "/", "(", ")")), 3)*0.01, 0)</f>
        <v>0.11</v>
      </c>
      <c r="L133" s="68" cm="1">
        <f t="array" ref="L133">IFERROR(INDEX(TRANSPOSE(Common_InputFunctions.Utility_SplitStringIntoArray($F74, "/", "(", ")")), 4)*0.01, 0)</f>
        <v>0</v>
      </c>
      <c r="M133" s="68"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68"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68"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68"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68"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100000000000001" customHeight="1" x14ac:dyDescent="0.25">
      <c r="D134" s="68" t="str">
        <f t="shared" si="0"/>
        <v>R-411B</v>
      </c>
      <c r="E134" s="68" t="str" cm="1">
        <f t="array" ref="E134">IFERROR(INDEX(TRANSPOSE(Common_InputFunctions.Utility_SplitStringIntoArray($E75, "/")), 1), "")</f>
        <v>HC-1270</v>
      </c>
      <c r="F134" s="68" t="str" cm="1">
        <f t="array" ref="F134">IFERROR(INDEX(TRANSPOSE(Common_InputFunctions.Utility_SplitStringIntoArray($E75, "/")), 2), "")</f>
        <v>HCFC-22</v>
      </c>
      <c r="G134" s="68" t="str" cm="1">
        <f t="array" ref="G134">IFERROR(INDEX(TRANSPOSE(Common_InputFunctions.Utility_SplitStringIntoArray($E75, "/")), 3), "")</f>
        <v>HFC-152a</v>
      </c>
      <c r="H134" s="68" t="str" cm="1">
        <f t="array" ref="H134">IFERROR(INDEX(TRANSPOSE(Common_InputFunctions.Utility_SplitStringIntoArray($E75, "/")), 4), "")</f>
        <v/>
      </c>
      <c r="I134" s="68" cm="1">
        <f t="array" ref="I134">IFERROR(INDEX(TRANSPOSE(Common_InputFunctions.Utility_SplitStringIntoArray($F75, "/", "(", ")")), 1)*0.01, 0)</f>
        <v>0.03</v>
      </c>
      <c r="J134" s="68" cm="1">
        <f t="array" ref="J134">IFERROR(INDEX(TRANSPOSE(Common_InputFunctions.Utility_SplitStringIntoArray($F75, "/", "(", ")")), 2)*0.01, 0)</f>
        <v>0.94000000000000006</v>
      </c>
      <c r="K134" s="68" cm="1">
        <f t="array" ref="K134">IFERROR(INDEX(TRANSPOSE(Common_InputFunctions.Utility_SplitStringIntoArray($F75, "/", "(", ")")), 3)*0.01, 0)</f>
        <v>0.03</v>
      </c>
      <c r="L134" s="68" cm="1">
        <f t="array" ref="L134">IFERROR(INDEX(TRANSPOSE(Common_InputFunctions.Utility_SplitStringIntoArray($F75, "/", "(", ")")), 4)*0.01, 0)</f>
        <v>0</v>
      </c>
      <c r="M134" s="68"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68"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68"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68"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68"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100000000000001" customHeight="1" x14ac:dyDescent="0.25">
      <c r="D135" s="68" t="str">
        <f t="shared" si="0"/>
        <v>R-411C</v>
      </c>
      <c r="E135" s="68" t="str" cm="1">
        <f t="array" ref="E135">IFERROR(INDEX(TRANSPOSE(Common_InputFunctions.Utility_SplitStringIntoArray($E76, "/")), 1), "")</f>
        <v>HC-1270</v>
      </c>
      <c r="F135" s="68" t="str" cm="1">
        <f t="array" ref="F135">IFERROR(INDEX(TRANSPOSE(Common_InputFunctions.Utility_SplitStringIntoArray($E76, "/")), 2), "")</f>
        <v>HCFC-22</v>
      </c>
      <c r="G135" s="68" t="str" cm="1">
        <f t="array" ref="G135">IFERROR(INDEX(TRANSPOSE(Common_InputFunctions.Utility_SplitStringIntoArray($E76, "/")), 3), "")</f>
        <v>HFC-152a</v>
      </c>
      <c r="H135" s="68" t="str" cm="1">
        <f t="array" ref="H135">IFERROR(INDEX(TRANSPOSE(Common_InputFunctions.Utility_SplitStringIntoArray($E76, "/")), 4), "")</f>
        <v/>
      </c>
      <c r="I135" s="68" cm="1">
        <f t="array" ref="I135">IFERROR(INDEX(TRANSPOSE(Common_InputFunctions.Utility_SplitStringIntoArray($F76, "/", "(", ")")), 1)*0.01, 0)</f>
        <v>0.03</v>
      </c>
      <c r="J135" s="68" cm="1">
        <f t="array" ref="J135">IFERROR(INDEX(TRANSPOSE(Common_InputFunctions.Utility_SplitStringIntoArray($F76, "/", "(", ")")), 2)*0.01, 0)</f>
        <v>0.95500000000000007</v>
      </c>
      <c r="K135" s="68" cm="1">
        <f t="array" ref="K135">IFERROR(INDEX(TRANSPOSE(Common_InputFunctions.Utility_SplitStringIntoArray($F76, "/", "(", ")")), 3)*0.01, 0)</f>
        <v>1.4999999999999999E-2</v>
      </c>
      <c r="L135" s="68" cm="1">
        <f t="array" ref="L135">IFERROR(INDEX(TRANSPOSE(Common_InputFunctions.Utility_SplitStringIntoArray($F76, "/", "(", ")")), 4)*0.01, 0)</f>
        <v>0</v>
      </c>
      <c r="M135" s="68"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68"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68"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68"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68"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100000000000001" customHeight="1" x14ac:dyDescent="0.25">
      <c r="D136" s="68" t="str">
        <f t="shared" si="0"/>
        <v>R-412A</v>
      </c>
      <c r="E136" s="68" t="str" cm="1">
        <f t="array" ref="E136">IFERROR(INDEX(TRANSPOSE(Common_InputFunctions.Utility_SplitStringIntoArray($E77, "/")), 1), "")</f>
        <v>HCFC-22</v>
      </c>
      <c r="F136" s="68" t="str" cm="1">
        <f t="array" ref="F136">IFERROR(INDEX(TRANSPOSE(Common_InputFunctions.Utility_SplitStringIntoArray($E77, "/")), 2), "")</f>
        <v>PFC-218</v>
      </c>
      <c r="G136" s="68" t="str" cm="1">
        <f t="array" ref="G136">IFERROR(INDEX(TRANSPOSE(Common_InputFunctions.Utility_SplitStringIntoArray($E77, "/")), 3), "")</f>
        <v>HCFC-142b</v>
      </c>
      <c r="H136" s="68" t="str" cm="1">
        <f t="array" ref="H136">IFERROR(INDEX(TRANSPOSE(Common_InputFunctions.Utility_SplitStringIntoArray($E77, "/")), 4), "")</f>
        <v/>
      </c>
      <c r="I136" s="68" cm="1">
        <f t="array" ref="I136">IFERROR(INDEX(TRANSPOSE(Common_InputFunctions.Utility_SplitStringIntoArray($F77, "/", "(", ")")), 1)*0.01, 0)</f>
        <v>0.70000000000000007</v>
      </c>
      <c r="J136" s="68" cm="1">
        <f t="array" ref="J136">IFERROR(INDEX(TRANSPOSE(Common_InputFunctions.Utility_SplitStringIntoArray($F77, "/", "(", ")")), 2)*0.01, 0)</f>
        <v>0.05</v>
      </c>
      <c r="K136" s="68" cm="1">
        <f t="array" ref="K136">IFERROR(INDEX(TRANSPOSE(Common_InputFunctions.Utility_SplitStringIntoArray($F77, "/", "(", ")")), 3)*0.01, 0)</f>
        <v>0.25</v>
      </c>
      <c r="L136" s="68" cm="1">
        <f t="array" ref="L136">IFERROR(INDEX(TRANSPOSE(Common_InputFunctions.Utility_SplitStringIntoArray($F77, "/", "(", ")")), 4)*0.01, 0)</f>
        <v>0</v>
      </c>
      <c r="M136" s="68"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68"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68"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68"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68"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100000000000001" customHeight="1" x14ac:dyDescent="0.25">
      <c r="D137" s="68" t="str">
        <f t="shared" si="0"/>
        <v>R-413A</v>
      </c>
      <c r="E137" s="68" t="str" cm="1">
        <f t="array" ref="E137">IFERROR(INDEX(TRANSPOSE(Common_InputFunctions.Utility_SplitStringIntoArray($E78, "/")), 1), "")</f>
        <v>PFC-218</v>
      </c>
      <c r="F137" s="68" t="str" cm="1">
        <f t="array" ref="F137">IFERROR(INDEX(TRANSPOSE(Common_InputFunctions.Utility_SplitStringIntoArray($E78, "/")), 2), "")</f>
        <v>HFC-134a</v>
      </c>
      <c r="G137" s="68" t="str" cm="1">
        <f t="array" ref="G137">IFERROR(INDEX(TRANSPOSE(Common_InputFunctions.Utility_SplitStringIntoArray($E78, "/")), 3), "")</f>
        <v>HC-600a</v>
      </c>
      <c r="H137" s="68" t="str" cm="1">
        <f t="array" ref="H137">IFERROR(INDEX(TRANSPOSE(Common_InputFunctions.Utility_SplitStringIntoArray($E78, "/")), 4), "")</f>
        <v/>
      </c>
      <c r="I137" s="68" cm="1">
        <f t="array" ref="I137">IFERROR(INDEX(TRANSPOSE(Common_InputFunctions.Utility_SplitStringIntoArray($F78, "/", "(", ")")), 1)*0.01, 0)</f>
        <v>0.09</v>
      </c>
      <c r="J137" s="68" cm="1">
        <f t="array" ref="J137">IFERROR(INDEX(TRANSPOSE(Common_InputFunctions.Utility_SplitStringIntoArray($F78, "/", "(", ")")), 2)*0.01, 0)</f>
        <v>0.88</v>
      </c>
      <c r="K137" s="68" cm="1">
        <f t="array" ref="K137">IFERROR(INDEX(TRANSPOSE(Common_InputFunctions.Utility_SplitStringIntoArray($F78, "/", "(", ")")), 3)*0.01, 0)</f>
        <v>0.03</v>
      </c>
      <c r="L137" s="68" cm="1">
        <f t="array" ref="L137">IFERROR(INDEX(TRANSPOSE(Common_InputFunctions.Utility_SplitStringIntoArray($F78, "/", "(", ")")), 4)*0.01, 0)</f>
        <v>0</v>
      </c>
      <c r="M137" s="68"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68"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68"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68"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68"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100000000000001" customHeight="1" x14ac:dyDescent="0.25">
      <c r="D138" s="68" t="str">
        <f t="shared" si="0"/>
        <v>R-414A</v>
      </c>
      <c r="E138" s="68" t="str" cm="1">
        <f t="array" ref="E138">IFERROR(INDEX(TRANSPOSE(Common_InputFunctions.Utility_SplitStringIntoArray($E79, "/")), 1), "")</f>
        <v>HCFC-22</v>
      </c>
      <c r="F138" s="68" t="str" cm="1">
        <f t="array" ref="F138">IFERROR(INDEX(TRANSPOSE(Common_InputFunctions.Utility_SplitStringIntoArray($E79, "/")), 2), "")</f>
        <v>HCFC-124</v>
      </c>
      <c r="G138" s="68" t="str" cm="1">
        <f t="array" ref="G138">IFERROR(INDEX(TRANSPOSE(Common_InputFunctions.Utility_SplitStringIntoArray($E79, "/")), 3), "")</f>
        <v>HC-600a</v>
      </c>
      <c r="H138" s="68" t="str" cm="1">
        <f t="array" ref="H138">IFERROR(INDEX(TRANSPOSE(Common_InputFunctions.Utility_SplitStringIntoArray($E79, "/")), 4), "")</f>
        <v>HCFC-142b</v>
      </c>
      <c r="I138" s="68" cm="1">
        <f t="array" ref="I138">IFERROR(INDEX(TRANSPOSE(Common_InputFunctions.Utility_SplitStringIntoArray($F79, "/", "(", ")")), 1)*0.01, 0)</f>
        <v>0.51</v>
      </c>
      <c r="J138" s="68" cm="1">
        <f t="array" ref="J138">IFERROR(INDEX(TRANSPOSE(Common_InputFunctions.Utility_SplitStringIntoArray($F79, "/", "(", ")")), 2)*0.01, 0)</f>
        <v>0.28500000000000003</v>
      </c>
      <c r="K138" s="68" cm="1">
        <f t="array" ref="K138">IFERROR(INDEX(TRANSPOSE(Common_InputFunctions.Utility_SplitStringIntoArray($F79, "/", "(", ")")), 3)*0.01, 0)</f>
        <v>0.04</v>
      </c>
      <c r="L138" s="68" cm="1">
        <f t="array" ref="L138">IFERROR(INDEX(TRANSPOSE(Common_InputFunctions.Utility_SplitStringIntoArray($F79, "/", "(", ")")), 4)*0.01, 0)</f>
        <v>0.16500000000000001</v>
      </c>
      <c r="M138" s="68"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68"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68"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68"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68"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100000000000001" customHeight="1" x14ac:dyDescent="0.25">
      <c r="D139" s="68" t="str">
        <f t="shared" si="0"/>
        <v>R-414B</v>
      </c>
      <c r="E139" s="68" t="str" cm="1">
        <f t="array" ref="E139">IFERROR(INDEX(TRANSPOSE(Common_InputFunctions.Utility_SplitStringIntoArray($E80, "/")), 1), "")</f>
        <v>HCFC-22</v>
      </c>
      <c r="F139" s="68" t="str" cm="1">
        <f t="array" ref="F139">IFERROR(INDEX(TRANSPOSE(Common_InputFunctions.Utility_SplitStringIntoArray($E80, "/")), 2), "")</f>
        <v>HCFC-124</v>
      </c>
      <c r="G139" s="68" t="str" cm="1">
        <f t="array" ref="G139">IFERROR(INDEX(TRANSPOSE(Common_InputFunctions.Utility_SplitStringIntoArray($E80, "/")), 3), "")</f>
        <v>HC-600a</v>
      </c>
      <c r="H139" s="68" t="str" cm="1">
        <f t="array" ref="H139">IFERROR(INDEX(TRANSPOSE(Common_InputFunctions.Utility_SplitStringIntoArray($E80, "/")), 4), "")</f>
        <v>HCFC-142b</v>
      </c>
      <c r="I139" s="68" cm="1">
        <f t="array" ref="I139">IFERROR(INDEX(TRANSPOSE(Common_InputFunctions.Utility_SplitStringIntoArray($F80, "/", "(", ")")), 1)*0.01, 0)</f>
        <v>0.5</v>
      </c>
      <c r="J139" s="68" cm="1">
        <f t="array" ref="J139">IFERROR(INDEX(TRANSPOSE(Common_InputFunctions.Utility_SplitStringIntoArray($F80, "/", "(", ")")), 2)*0.01, 0)</f>
        <v>0.39</v>
      </c>
      <c r="K139" s="68" cm="1">
        <f t="array" ref="K139">IFERROR(INDEX(TRANSPOSE(Common_InputFunctions.Utility_SplitStringIntoArray($F80, "/", "(", ")")), 3)*0.01, 0)</f>
        <v>1.4999999999999999E-2</v>
      </c>
      <c r="L139" s="68" cm="1">
        <f t="array" ref="L139">IFERROR(INDEX(TRANSPOSE(Common_InputFunctions.Utility_SplitStringIntoArray($F80, "/", "(", ")")), 4)*0.01, 0)</f>
        <v>9.5000000000000001E-2</v>
      </c>
      <c r="M139" s="68"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68"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68"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68"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68"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100000000000001" customHeight="1" x14ac:dyDescent="0.25">
      <c r="D140" s="68" t="str">
        <f t="shared" si="0"/>
        <v>R-415A</v>
      </c>
      <c r="E140" s="68" t="str" cm="1">
        <f t="array" ref="E140">IFERROR(INDEX(TRANSPOSE(Common_InputFunctions.Utility_SplitStringIntoArray($E81, "/")), 1), "")</f>
        <v>HCFC-22</v>
      </c>
      <c r="F140" s="68" t="str" cm="1">
        <f t="array" ref="F140">IFERROR(INDEX(TRANSPOSE(Common_InputFunctions.Utility_SplitStringIntoArray($E81, "/")), 2), "")</f>
        <v>HFC-152a</v>
      </c>
      <c r="G140" s="68" t="str" cm="1">
        <f t="array" ref="G140">IFERROR(INDEX(TRANSPOSE(Common_InputFunctions.Utility_SplitStringIntoArray($E81, "/")), 3), "")</f>
        <v/>
      </c>
      <c r="H140" s="68" t="str" cm="1">
        <f t="array" ref="H140">IFERROR(INDEX(TRANSPOSE(Common_InputFunctions.Utility_SplitStringIntoArray($E81, "/")), 4), "")</f>
        <v/>
      </c>
      <c r="I140" s="68" cm="1">
        <f t="array" ref="I140">IFERROR(INDEX(TRANSPOSE(Common_InputFunctions.Utility_SplitStringIntoArray($F81, "/", "(", ")")), 1)*0.01, 0)</f>
        <v>0.82000000000000006</v>
      </c>
      <c r="J140" s="68" cm="1">
        <f t="array" ref="J140">IFERROR(INDEX(TRANSPOSE(Common_InputFunctions.Utility_SplitStringIntoArray($F81, "/", "(", ")")), 2)*0.01, 0)</f>
        <v>0.18</v>
      </c>
      <c r="K140" s="68" cm="1">
        <f t="array" ref="K140">IFERROR(INDEX(TRANSPOSE(Common_InputFunctions.Utility_SplitStringIntoArray($F81, "/", "(", ")")), 3)*0.01, 0)</f>
        <v>0</v>
      </c>
      <c r="L140" s="68" cm="1">
        <f t="array" ref="L140">IFERROR(INDEX(TRANSPOSE(Common_InputFunctions.Utility_SplitStringIntoArray($F81, "/", "(", ")")), 4)*0.01, 0)</f>
        <v>0</v>
      </c>
      <c r="M140" s="68"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68"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68"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68"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68"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100000000000001" customHeight="1" x14ac:dyDescent="0.25">
      <c r="D141" s="68" t="str">
        <f t="shared" si="0"/>
        <v>R-415B</v>
      </c>
      <c r="E141" s="68" t="str" cm="1">
        <f t="array" ref="E141">IFERROR(INDEX(TRANSPOSE(Common_InputFunctions.Utility_SplitStringIntoArray($E82, "/")), 1), "")</f>
        <v>HCFC-22</v>
      </c>
      <c r="F141" s="68" t="str" cm="1">
        <f t="array" ref="F141">IFERROR(INDEX(TRANSPOSE(Common_InputFunctions.Utility_SplitStringIntoArray($E82, "/")), 2), "")</f>
        <v>HFC-152a</v>
      </c>
      <c r="G141" s="68" t="str" cm="1">
        <f t="array" ref="G141">IFERROR(INDEX(TRANSPOSE(Common_InputFunctions.Utility_SplitStringIntoArray($E82, "/")), 3), "")</f>
        <v/>
      </c>
      <c r="H141" s="68" t="str" cm="1">
        <f t="array" ref="H141">IFERROR(INDEX(TRANSPOSE(Common_InputFunctions.Utility_SplitStringIntoArray($E82, "/")), 4), "")</f>
        <v/>
      </c>
      <c r="I141" s="68" cm="1">
        <f t="array" ref="I141">IFERROR(INDEX(TRANSPOSE(Common_InputFunctions.Utility_SplitStringIntoArray($F82, "/", "(", ")")), 1)*0.01, 0)</f>
        <v>0.25</v>
      </c>
      <c r="J141" s="68" cm="1">
        <f t="array" ref="J141">IFERROR(INDEX(TRANSPOSE(Common_InputFunctions.Utility_SplitStringIntoArray($F82, "/", "(", ")")), 2)*0.01, 0)</f>
        <v>0.75</v>
      </c>
      <c r="K141" s="68" cm="1">
        <f t="array" ref="K141">IFERROR(INDEX(TRANSPOSE(Common_InputFunctions.Utility_SplitStringIntoArray($F82, "/", "(", ")")), 3)*0.01, 0)</f>
        <v>0</v>
      </c>
      <c r="L141" s="68" cm="1">
        <f t="array" ref="L141">IFERROR(INDEX(TRANSPOSE(Common_InputFunctions.Utility_SplitStringIntoArray($F82, "/", "(", ")")), 4)*0.01, 0)</f>
        <v>0</v>
      </c>
      <c r="M141" s="68"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68"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68"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68"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68"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100000000000001" customHeight="1" x14ac:dyDescent="0.25">
      <c r="D142" s="68" t="str">
        <f t="shared" si="0"/>
        <v>R-416A</v>
      </c>
      <c r="E142" s="68" t="str" cm="1">
        <f t="array" ref="E142">IFERROR(INDEX(TRANSPOSE(Common_InputFunctions.Utility_SplitStringIntoArray($E83, "/")), 1), "")</f>
        <v>HFC-134a</v>
      </c>
      <c r="F142" s="68" t="str" cm="1">
        <f t="array" ref="F142">IFERROR(INDEX(TRANSPOSE(Common_InputFunctions.Utility_SplitStringIntoArray($E83, "/")), 2), "")</f>
        <v>HCFC-124</v>
      </c>
      <c r="G142" s="68" t="str" cm="1">
        <f t="array" ref="G142">IFERROR(INDEX(TRANSPOSE(Common_InputFunctions.Utility_SplitStringIntoArray($E83, "/")), 3), "")</f>
        <v>HC-600</v>
      </c>
      <c r="H142" s="68" t="str" cm="1">
        <f t="array" ref="H142">IFERROR(INDEX(TRANSPOSE(Common_InputFunctions.Utility_SplitStringIntoArray($E83, "/")), 4), "")</f>
        <v/>
      </c>
      <c r="I142" s="68" cm="1">
        <f t="array" ref="I142">IFERROR(INDEX(TRANSPOSE(Common_InputFunctions.Utility_SplitStringIntoArray($F83, "/", "(", ")")), 1)*0.01, 0)</f>
        <v>0.59</v>
      </c>
      <c r="J142" s="68" cm="1">
        <f t="array" ref="J142">IFERROR(INDEX(TRANSPOSE(Common_InputFunctions.Utility_SplitStringIntoArray($F83, "/", "(", ")")), 2)*0.01, 0)</f>
        <v>0.39500000000000002</v>
      </c>
      <c r="K142" s="68" cm="1">
        <f t="array" ref="K142">IFERROR(INDEX(TRANSPOSE(Common_InputFunctions.Utility_SplitStringIntoArray($F83, "/", "(", ")")), 3)*0.01, 0)</f>
        <v>1.4999999999999999E-2</v>
      </c>
      <c r="L142" s="68" cm="1">
        <f t="array" ref="L142">IFERROR(INDEX(TRANSPOSE(Common_InputFunctions.Utility_SplitStringIntoArray($F83, "/", "(", ")")), 4)*0.01, 0)</f>
        <v>0</v>
      </c>
      <c r="M142" s="68"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68"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68"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68"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68"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100000000000001" customHeight="1" x14ac:dyDescent="0.25">
      <c r="D143" s="68" t="str">
        <f t="shared" si="0"/>
        <v>R-417A</v>
      </c>
      <c r="E143" s="68" t="str" cm="1">
        <f t="array" ref="E143">IFERROR(INDEX(TRANSPOSE(Common_InputFunctions.Utility_SplitStringIntoArray($E84, "/")), 1), "")</f>
        <v>HFC-125</v>
      </c>
      <c r="F143" s="68" t="str" cm="1">
        <f t="array" ref="F143">IFERROR(INDEX(TRANSPOSE(Common_InputFunctions.Utility_SplitStringIntoArray($E84, "/")), 2), "")</f>
        <v>HFC-134a</v>
      </c>
      <c r="G143" s="68" t="str" cm="1">
        <f t="array" ref="G143">IFERROR(INDEX(TRANSPOSE(Common_InputFunctions.Utility_SplitStringIntoArray($E84, "/")), 3), "")</f>
        <v>HC-600</v>
      </c>
      <c r="H143" s="68" t="str" cm="1">
        <f t="array" ref="H143">IFERROR(INDEX(TRANSPOSE(Common_InputFunctions.Utility_SplitStringIntoArray($E84, "/")), 4), "")</f>
        <v/>
      </c>
      <c r="I143" s="68" cm="1">
        <f t="array" ref="I143">IFERROR(INDEX(TRANSPOSE(Common_InputFunctions.Utility_SplitStringIntoArray($F84, "/", "(", ")")), 1)*0.01, 0)</f>
        <v>0.46600000000000003</v>
      </c>
      <c r="J143" s="68" cm="1">
        <f t="array" ref="J143">IFERROR(INDEX(TRANSPOSE(Common_InputFunctions.Utility_SplitStringIntoArray($F84, "/", "(", ")")), 2)*0.01, 0)</f>
        <v>0.5</v>
      </c>
      <c r="K143" s="68" cm="1">
        <f t="array" ref="K143">IFERROR(INDEX(TRANSPOSE(Common_InputFunctions.Utility_SplitStringIntoArray($F84, "/", "(", ")")), 3)*0.01, 0)</f>
        <v>3.4000000000000002E-2</v>
      </c>
      <c r="L143" s="68" cm="1">
        <f t="array" ref="L143">IFERROR(INDEX(TRANSPOSE(Common_InputFunctions.Utility_SplitStringIntoArray($F84, "/", "(", ")")), 4)*0.01, 0)</f>
        <v>0</v>
      </c>
      <c r="M143" s="68"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68"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68"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68"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68"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100000000000001" customHeight="1" x14ac:dyDescent="0.25">
      <c r="D144" s="68" t="str">
        <f t="shared" si="0"/>
        <v>R-418A</v>
      </c>
      <c r="E144" s="68" t="str" cm="1">
        <f t="array" ref="E144">IFERROR(INDEX(TRANSPOSE(Common_InputFunctions.Utility_SplitStringIntoArray($E85, "/")), 1), "")</f>
        <v>HC-290</v>
      </c>
      <c r="F144" s="68" t="str" cm="1">
        <f t="array" ref="F144">IFERROR(INDEX(TRANSPOSE(Common_InputFunctions.Utility_SplitStringIntoArray($E85, "/")), 2), "")</f>
        <v>HCFC-22</v>
      </c>
      <c r="G144" s="68" t="str" cm="1">
        <f t="array" ref="G144">IFERROR(INDEX(TRANSPOSE(Common_InputFunctions.Utility_SplitStringIntoArray($E85, "/")), 3), "")</f>
        <v>HFC-152a</v>
      </c>
      <c r="H144" s="68" t="str" cm="1">
        <f t="array" ref="H144">IFERROR(INDEX(TRANSPOSE(Common_InputFunctions.Utility_SplitStringIntoArray($E85, "/")), 4), "")</f>
        <v/>
      </c>
      <c r="I144" s="68" cm="1">
        <f t="array" ref="I144">IFERROR(INDEX(TRANSPOSE(Common_InputFunctions.Utility_SplitStringIntoArray($F85, "/", "(", ")")), 1)*0.01, 0)</f>
        <v>1.4999999999999999E-2</v>
      </c>
      <c r="J144" s="68" cm="1">
        <f t="array" ref="J144">IFERROR(INDEX(TRANSPOSE(Common_InputFunctions.Utility_SplitStringIntoArray($F85, "/", "(", ")")), 2)*0.01, 0)</f>
        <v>0.96</v>
      </c>
      <c r="K144" s="68" cm="1">
        <f t="array" ref="K144">IFERROR(INDEX(TRANSPOSE(Common_InputFunctions.Utility_SplitStringIntoArray($F85, "/", "(", ")")), 3)*0.01, 0)</f>
        <v>2.5000000000000001E-2</v>
      </c>
      <c r="L144" s="68" cm="1">
        <f t="array" ref="L144">IFERROR(INDEX(TRANSPOSE(Common_InputFunctions.Utility_SplitStringIntoArray($F85, "/", "(", ")")), 4)*0.01, 0)</f>
        <v>0</v>
      </c>
      <c r="M144" s="68"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68"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68"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68"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68"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5">
      <c r="D145" s="68" t="str">
        <f t="shared" si="0"/>
        <v>R-419A</v>
      </c>
      <c r="E145" s="68" t="str" cm="1">
        <f t="array" ref="E145">IFERROR(INDEX(TRANSPOSE(Common_InputFunctions.Utility_SplitStringIntoArray($E86, "/")), 1), "")</f>
        <v>HFC-125</v>
      </c>
      <c r="F145" s="68" t="str" cm="1">
        <f t="array" ref="F145">IFERROR(INDEX(TRANSPOSE(Common_InputFunctions.Utility_SplitStringIntoArray($E86, "/")), 2), "")</f>
        <v>HFC-134a</v>
      </c>
      <c r="G145" s="68" t="str" cm="1">
        <f t="array" ref="G145">IFERROR(INDEX(TRANSPOSE(Common_InputFunctions.Utility_SplitStringIntoArray($E86, "/")), 3), "")</f>
        <v>HE-E170</v>
      </c>
      <c r="H145" s="68" t="str" cm="1">
        <f t="array" ref="H145">IFERROR(INDEX(TRANSPOSE(Common_InputFunctions.Utility_SplitStringIntoArray($E86, "/")), 4), "")</f>
        <v/>
      </c>
      <c r="I145" s="68" cm="1">
        <f t="array" ref="I145">IFERROR(INDEX(TRANSPOSE(Common_InputFunctions.Utility_SplitStringIntoArray($F86, "/", "(", ")")), 1)*0.01, 0)</f>
        <v>0.77</v>
      </c>
      <c r="J145" s="68" cm="1">
        <f t="array" ref="J145">IFERROR(INDEX(TRANSPOSE(Common_InputFunctions.Utility_SplitStringIntoArray($F86, "/", "(", ")")), 2)*0.01, 0)</f>
        <v>0.19</v>
      </c>
      <c r="K145" s="68" cm="1">
        <f t="array" ref="K145">IFERROR(INDEX(TRANSPOSE(Common_InputFunctions.Utility_SplitStringIntoArray($F86, "/", "(", ")")), 3)*0.01, 0)</f>
        <v>0.04</v>
      </c>
      <c r="L145" s="68" cm="1">
        <f t="array" ref="L145">IFERROR(INDEX(TRANSPOSE(Common_InputFunctions.Utility_SplitStringIntoArray($F86, "/", "(", ")")), 4)*0.01, 0)</f>
        <v>0</v>
      </c>
      <c r="M145" s="68"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68"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68"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68"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68"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5">
      <c r="D146" s="68" t="str">
        <f t="shared" si="0"/>
        <v>R-420A</v>
      </c>
      <c r="E146" s="68" t="str" cm="1">
        <f t="array" ref="E146">IFERROR(INDEX(TRANSPOSE(Common_InputFunctions.Utility_SplitStringIntoArray($E87, "/")), 1), "")</f>
        <v>HFC-134a</v>
      </c>
      <c r="F146" s="68" t="str" cm="1">
        <f t="array" ref="F146">IFERROR(INDEX(TRANSPOSE(Common_InputFunctions.Utility_SplitStringIntoArray($E87, "/")), 2), "")</f>
        <v>HCFC-142b</v>
      </c>
      <c r="G146" s="68" t="str" cm="1">
        <f t="array" ref="G146">IFERROR(INDEX(TRANSPOSE(Common_InputFunctions.Utility_SplitStringIntoArray($E87, "/")), 3), "")</f>
        <v/>
      </c>
      <c r="H146" s="68" t="str" cm="1">
        <f t="array" ref="H146">IFERROR(INDEX(TRANSPOSE(Common_InputFunctions.Utility_SplitStringIntoArray($E87, "/")), 4), "")</f>
        <v/>
      </c>
      <c r="I146" s="68" cm="1">
        <f t="array" ref="I146">IFERROR(INDEX(TRANSPOSE(Common_InputFunctions.Utility_SplitStringIntoArray($F87, "/", "(", ")")), 1)*0.01, 0)</f>
        <v>0.88</v>
      </c>
      <c r="J146" s="68" cm="1">
        <f t="array" ref="J146">IFERROR(INDEX(TRANSPOSE(Common_InputFunctions.Utility_SplitStringIntoArray($F87, "/", "(", ")")), 2)*0.01, 0)</f>
        <v>0.12</v>
      </c>
      <c r="K146" s="68" cm="1">
        <f t="array" ref="K146">IFERROR(INDEX(TRANSPOSE(Common_InputFunctions.Utility_SplitStringIntoArray($F87, "/", "(", ")")), 3)*0.01, 0)</f>
        <v>0</v>
      </c>
      <c r="L146" s="68" cm="1">
        <f t="array" ref="L146">IFERROR(INDEX(TRANSPOSE(Common_InputFunctions.Utility_SplitStringIntoArray($F87, "/", "(", ")")), 4)*0.01, 0)</f>
        <v>0</v>
      </c>
      <c r="M146" s="68"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68"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68"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68"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68"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5">
      <c r="D147" s="68" t="str">
        <f t="shared" si="0"/>
        <v>R-421A</v>
      </c>
      <c r="E147" s="68" t="str" cm="1">
        <f t="array" ref="E147">IFERROR(INDEX(TRANSPOSE(Common_InputFunctions.Utility_SplitStringIntoArray($E88, "/")), 1), "")</f>
        <v>HFC-125</v>
      </c>
      <c r="F147" s="68" t="str" cm="1">
        <f t="array" ref="F147">IFERROR(INDEX(TRANSPOSE(Common_InputFunctions.Utility_SplitStringIntoArray($E88, "/")), 2), "")</f>
        <v>HFC-134a</v>
      </c>
      <c r="G147" s="68" t="str" cm="1">
        <f t="array" ref="G147">IFERROR(INDEX(TRANSPOSE(Common_InputFunctions.Utility_SplitStringIntoArray($E88, "/")), 3), "")</f>
        <v/>
      </c>
      <c r="H147" s="68" t="str" cm="1">
        <f t="array" ref="H147">IFERROR(INDEX(TRANSPOSE(Common_InputFunctions.Utility_SplitStringIntoArray($E88, "/")), 4), "")</f>
        <v/>
      </c>
      <c r="I147" s="68" cm="1">
        <f t="array" ref="I147">IFERROR(INDEX(TRANSPOSE(Common_InputFunctions.Utility_SplitStringIntoArray($F88, "/", "(", ")")), 1)*0.01, 0)</f>
        <v>0.57999999999999996</v>
      </c>
      <c r="J147" s="68" cm="1">
        <f t="array" ref="J147">IFERROR(INDEX(TRANSPOSE(Common_InputFunctions.Utility_SplitStringIntoArray($F88, "/", "(", ")")), 2)*0.01, 0)</f>
        <v>0.42</v>
      </c>
      <c r="K147" s="68" cm="1">
        <f t="array" ref="K147">IFERROR(INDEX(TRANSPOSE(Common_InputFunctions.Utility_SplitStringIntoArray($F88, "/", "(", ")")), 3)*0.01, 0)</f>
        <v>0</v>
      </c>
      <c r="L147" s="68" cm="1">
        <f t="array" ref="L147">IFERROR(INDEX(TRANSPOSE(Common_InputFunctions.Utility_SplitStringIntoArray($F88, "/", "(", ")")), 4)*0.01, 0)</f>
        <v>0</v>
      </c>
      <c r="M147" s="68"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68"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68"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68"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68"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5">
      <c r="D148" s="68" t="str">
        <f t="shared" si="0"/>
        <v>R-422A</v>
      </c>
      <c r="E148" s="68" t="str" cm="1">
        <f t="array" ref="E148">IFERROR(INDEX(TRANSPOSE(Common_InputFunctions.Utility_SplitStringIntoArray($E89, "/")), 1), "")</f>
        <v>HFC-125</v>
      </c>
      <c r="F148" s="68" t="str" cm="1">
        <f t="array" ref="F148">IFERROR(INDEX(TRANSPOSE(Common_InputFunctions.Utility_SplitStringIntoArray($E89, "/")), 2), "")</f>
        <v>HFC-134a</v>
      </c>
      <c r="G148" s="68" t="str" cm="1">
        <f t="array" ref="G148">IFERROR(INDEX(TRANSPOSE(Common_InputFunctions.Utility_SplitStringIntoArray($E89, "/")), 3), "")</f>
        <v>HC-600a</v>
      </c>
      <c r="H148" s="68" t="str" cm="1">
        <f t="array" ref="H148">IFERROR(INDEX(TRANSPOSE(Common_InputFunctions.Utility_SplitStringIntoArray($E89, "/")), 4), "")</f>
        <v/>
      </c>
      <c r="I148" s="68" cm="1">
        <f t="array" ref="I148">IFERROR(INDEX(TRANSPOSE(Common_InputFunctions.Utility_SplitStringIntoArray($F89, "/", "(", ")")), 1)*0.01, 0)</f>
        <v>0.85099999999999998</v>
      </c>
      <c r="J148" s="68" cm="1">
        <f t="array" ref="J148">IFERROR(INDEX(TRANSPOSE(Common_InputFunctions.Utility_SplitStringIntoArray($F89, "/", "(", ")")), 2)*0.01, 0)</f>
        <v>0.115</v>
      </c>
      <c r="K148" s="68" cm="1">
        <f t="array" ref="K148">IFERROR(INDEX(TRANSPOSE(Common_InputFunctions.Utility_SplitStringIntoArray($F89, "/", "(", ")")), 3)*0.01, 0)</f>
        <v>3.4000000000000002E-2</v>
      </c>
      <c r="L148" s="68" cm="1">
        <f t="array" ref="L148">IFERROR(INDEX(TRANSPOSE(Common_InputFunctions.Utility_SplitStringIntoArray($F89, "/", "(", ")")), 4)*0.01, 0)</f>
        <v>0</v>
      </c>
      <c r="M148" s="68"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68"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68"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68"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68"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5">
      <c r="D149" s="68" t="str">
        <f t="shared" si="0"/>
        <v>R-422B</v>
      </c>
      <c r="E149" s="68" t="str" cm="1">
        <f t="array" ref="E149">IFERROR(INDEX(TRANSPOSE(Common_InputFunctions.Utility_SplitStringIntoArray($E90, "/")), 1), "")</f>
        <v>HFC-125</v>
      </c>
      <c r="F149" s="68" t="str" cm="1">
        <f t="array" ref="F149">IFERROR(INDEX(TRANSPOSE(Common_InputFunctions.Utility_SplitStringIntoArray($E90, "/")), 2), "")</f>
        <v>HFC-134a</v>
      </c>
      <c r="G149" s="68" t="str" cm="1">
        <f t="array" ref="G149">IFERROR(INDEX(TRANSPOSE(Common_InputFunctions.Utility_SplitStringIntoArray($E90, "/")), 3), "")</f>
        <v>HC-600a</v>
      </c>
      <c r="H149" s="68" t="str" cm="1">
        <f t="array" ref="H149">IFERROR(INDEX(TRANSPOSE(Common_InputFunctions.Utility_SplitStringIntoArray($E90, "/")), 4), "")</f>
        <v/>
      </c>
      <c r="I149" s="68" cm="1">
        <f t="array" ref="I149">IFERROR(INDEX(TRANSPOSE(Common_InputFunctions.Utility_SplitStringIntoArray($F90, "/", "(", ")")), 1)*0.01, 0)</f>
        <v>0.55000000000000004</v>
      </c>
      <c r="J149" s="68" cm="1">
        <f t="array" ref="J149">IFERROR(INDEX(TRANSPOSE(Common_InputFunctions.Utility_SplitStringIntoArray($F90, "/", "(", ")")), 2)*0.01, 0)</f>
        <v>0.42</v>
      </c>
      <c r="K149" s="68" cm="1">
        <f t="array" ref="K149">IFERROR(INDEX(TRANSPOSE(Common_InputFunctions.Utility_SplitStringIntoArray($F90, "/", "(", ")")), 3)*0.01, 0)</f>
        <v>0.03</v>
      </c>
      <c r="L149" s="68" cm="1">
        <f t="array" ref="L149">IFERROR(INDEX(TRANSPOSE(Common_InputFunctions.Utility_SplitStringIntoArray($F90, "/", "(", ")")), 4)*0.01, 0)</f>
        <v>0</v>
      </c>
      <c r="M149" s="68"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68"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68"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68"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68"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5">
      <c r="D150" s="68" t="str">
        <f t="shared" si="0"/>
        <v>R-422C</v>
      </c>
      <c r="E150" s="68" t="str" cm="1">
        <f t="array" ref="E150">IFERROR(INDEX(TRANSPOSE(Common_InputFunctions.Utility_SplitStringIntoArray($E91, "/")), 1), "")</f>
        <v>HFC-125</v>
      </c>
      <c r="F150" s="68" t="str" cm="1">
        <f t="array" ref="F150">IFERROR(INDEX(TRANSPOSE(Common_InputFunctions.Utility_SplitStringIntoArray($E91, "/")), 2), "")</f>
        <v>HFC-134a</v>
      </c>
      <c r="G150" s="68" t="str" cm="1">
        <f t="array" ref="G150">IFERROR(INDEX(TRANSPOSE(Common_InputFunctions.Utility_SplitStringIntoArray($E91, "/")), 3), "")</f>
        <v>HC-600a</v>
      </c>
      <c r="H150" s="68" t="str" cm="1">
        <f t="array" ref="H150">IFERROR(INDEX(TRANSPOSE(Common_InputFunctions.Utility_SplitStringIntoArray($E91, "/")), 4), "")</f>
        <v/>
      </c>
      <c r="I150" s="68" cm="1">
        <f t="array" ref="I150">IFERROR(INDEX(TRANSPOSE(Common_InputFunctions.Utility_SplitStringIntoArray($F91, "/", "(", ")")), 1)*0.01, 0)</f>
        <v>0.82000000000000006</v>
      </c>
      <c r="J150" s="68" cm="1">
        <f t="array" ref="J150">IFERROR(INDEX(TRANSPOSE(Common_InputFunctions.Utility_SplitStringIntoArray($F91, "/", "(", ")")), 2)*0.01, 0)</f>
        <v>0.15</v>
      </c>
      <c r="K150" s="68" cm="1">
        <f t="array" ref="K150">IFERROR(INDEX(TRANSPOSE(Common_InputFunctions.Utility_SplitStringIntoArray($F91, "/", "(", ")")), 3)*0.01, 0)</f>
        <v>0.03</v>
      </c>
      <c r="L150" s="68" cm="1">
        <f t="array" ref="L150">IFERROR(INDEX(TRANSPOSE(Common_InputFunctions.Utility_SplitStringIntoArray($F91, "/", "(", ")")), 4)*0.01, 0)</f>
        <v>0</v>
      </c>
      <c r="M150" s="68"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68"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68"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68"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68"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5">
      <c r="D151" s="68" t="str">
        <f t="shared" si="0"/>
        <v>R-500</v>
      </c>
      <c r="E151" s="68" t="str" cm="1">
        <f t="array" ref="E151">IFERROR(INDEX(TRANSPOSE(Common_InputFunctions.Utility_SplitStringIntoArray($E92, "/")), 1), "")</f>
        <v>CFC-12</v>
      </c>
      <c r="F151" s="68" t="str" cm="1">
        <f t="array" ref="F151">IFERROR(INDEX(TRANSPOSE(Common_InputFunctions.Utility_SplitStringIntoArray($E92, "/")), 2), "")</f>
        <v>HFC-152a</v>
      </c>
      <c r="G151" s="68" t="str" cm="1">
        <f t="array" ref="G151">IFERROR(INDEX(TRANSPOSE(Common_InputFunctions.Utility_SplitStringIntoArray($E92, "/")), 3), "")</f>
        <v/>
      </c>
      <c r="H151" s="68" t="str" cm="1">
        <f t="array" ref="H151">IFERROR(INDEX(TRANSPOSE(Common_InputFunctions.Utility_SplitStringIntoArray($E92, "/")), 4), "")</f>
        <v/>
      </c>
      <c r="I151" s="68" cm="1">
        <f t="array" ref="I151">IFERROR(INDEX(TRANSPOSE(Common_InputFunctions.Utility_SplitStringIntoArray($F92, "/", "(", ")")), 1)*0.01, 0)</f>
        <v>0.73799999999999999</v>
      </c>
      <c r="J151" s="68" cm="1">
        <f t="array" ref="J151">IFERROR(INDEX(TRANSPOSE(Common_InputFunctions.Utility_SplitStringIntoArray($F92, "/", "(", ")")), 2)*0.01, 0)</f>
        <v>0.26200000000000001</v>
      </c>
      <c r="K151" s="68" cm="1">
        <f t="array" ref="K151">IFERROR(INDEX(TRANSPOSE(Common_InputFunctions.Utility_SplitStringIntoArray($F92, "/", "(", ")")), 3)*0.01, 0)</f>
        <v>0</v>
      </c>
      <c r="L151" s="68" cm="1">
        <f t="array" ref="L151">IFERROR(INDEX(TRANSPOSE(Common_InputFunctions.Utility_SplitStringIntoArray($F92, "/", "(", ")")), 4)*0.01, 0)</f>
        <v>0</v>
      </c>
      <c r="M151" s="68"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68"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68"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68"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68"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5">
      <c r="D152" s="68" t="str">
        <f t="shared" si="0"/>
        <v>R-501</v>
      </c>
      <c r="E152" s="68" t="str" cm="1">
        <f t="array" ref="E152">IFERROR(INDEX(TRANSPOSE(Common_InputFunctions.Utility_SplitStringIntoArray($E93, "/")), 1), "")</f>
        <v>HCFC-22</v>
      </c>
      <c r="F152" s="68" t="str" cm="1">
        <f t="array" ref="F152">IFERROR(INDEX(TRANSPOSE(Common_InputFunctions.Utility_SplitStringIntoArray($E93, "/")), 2), "")</f>
        <v>CFC-12</v>
      </c>
      <c r="G152" s="68" t="str" cm="1">
        <f t="array" ref="G152">IFERROR(INDEX(TRANSPOSE(Common_InputFunctions.Utility_SplitStringIntoArray($E93, "/")), 3), "")</f>
        <v/>
      </c>
      <c r="H152" s="68" t="str" cm="1">
        <f t="array" ref="H152">IFERROR(INDEX(TRANSPOSE(Common_InputFunctions.Utility_SplitStringIntoArray($E93, "/")), 4), "")</f>
        <v/>
      </c>
      <c r="I152" s="68" cm="1">
        <f t="array" ref="I152">IFERROR(INDEX(TRANSPOSE(Common_InputFunctions.Utility_SplitStringIntoArray($F93, "/", "(", ")")), 1)*0.01, 0)</f>
        <v>0.75</v>
      </c>
      <c r="J152" s="68" cm="1">
        <f t="array" ref="J152">IFERROR(INDEX(TRANSPOSE(Common_InputFunctions.Utility_SplitStringIntoArray($F93, "/", "(", ")")), 2)*0.01, 0)</f>
        <v>0.25</v>
      </c>
      <c r="K152" s="68" cm="1">
        <f t="array" ref="K152">IFERROR(INDEX(TRANSPOSE(Common_InputFunctions.Utility_SplitStringIntoArray($F93, "/", "(", ")")), 3)*0.01, 0)</f>
        <v>0</v>
      </c>
      <c r="L152" s="68" cm="1">
        <f t="array" ref="L152">IFERROR(INDEX(TRANSPOSE(Common_InputFunctions.Utility_SplitStringIntoArray($F93, "/", "(", ")")), 4)*0.01, 0)</f>
        <v>0</v>
      </c>
      <c r="M152" s="68"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68"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68"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68"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68"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5">
      <c r="D153" s="68" t="str">
        <f t="shared" si="0"/>
        <v>R-502</v>
      </c>
      <c r="E153" s="68" t="str" cm="1">
        <f t="array" ref="E153">IFERROR(INDEX(TRANSPOSE(Common_InputFunctions.Utility_SplitStringIntoArray($E94, "/")), 1), "")</f>
        <v>HCFC-22</v>
      </c>
      <c r="F153" s="68" t="str" cm="1">
        <f t="array" ref="F153">IFERROR(INDEX(TRANSPOSE(Common_InputFunctions.Utility_SplitStringIntoArray($E94, "/")), 2), "")</f>
        <v>CFC-115</v>
      </c>
      <c r="G153" s="68" t="str" cm="1">
        <f t="array" ref="G153">IFERROR(INDEX(TRANSPOSE(Common_InputFunctions.Utility_SplitStringIntoArray($E94, "/")), 3), "")</f>
        <v/>
      </c>
      <c r="H153" s="68" t="str" cm="1">
        <f t="array" ref="H153">IFERROR(INDEX(TRANSPOSE(Common_InputFunctions.Utility_SplitStringIntoArray($E94, "/")), 4), "")</f>
        <v/>
      </c>
      <c r="I153" s="68" cm="1">
        <f t="array" ref="I153">IFERROR(INDEX(TRANSPOSE(Common_InputFunctions.Utility_SplitStringIntoArray($F94, "/", "(", ")")), 1)*0.01, 0)</f>
        <v>0.48799999999999999</v>
      </c>
      <c r="J153" s="68" cm="1">
        <f t="array" ref="J153">IFERROR(INDEX(TRANSPOSE(Common_InputFunctions.Utility_SplitStringIntoArray($F94, "/", "(", ")")), 2)*0.01, 0)</f>
        <v>0.51200000000000001</v>
      </c>
      <c r="K153" s="68" cm="1">
        <f t="array" ref="K153">IFERROR(INDEX(TRANSPOSE(Common_InputFunctions.Utility_SplitStringIntoArray($F94, "/", "(", ")")), 3)*0.01, 0)</f>
        <v>0</v>
      </c>
      <c r="L153" s="68" cm="1">
        <f t="array" ref="L153">IFERROR(INDEX(TRANSPOSE(Common_InputFunctions.Utility_SplitStringIntoArray($F94, "/", "(", ")")), 4)*0.01, 0)</f>
        <v>0</v>
      </c>
      <c r="M153" s="68"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68"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68"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68"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68"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5">
      <c r="D154" s="68" t="str">
        <f t="shared" si="0"/>
        <v>R-503</v>
      </c>
      <c r="E154" s="68" t="str" cm="1">
        <f t="array" ref="E154">IFERROR(INDEX(TRANSPOSE(Common_InputFunctions.Utility_SplitStringIntoArray($E95, "/")), 1), "")</f>
        <v>HFC-23</v>
      </c>
      <c r="F154" s="68" t="str" cm="1">
        <f t="array" ref="F154">IFERROR(INDEX(TRANSPOSE(Common_InputFunctions.Utility_SplitStringIntoArray($E95, "/")), 2), "")</f>
        <v>CFC-13</v>
      </c>
      <c r="G154" s="68" t="str" cm="1">
        <f t="array" ref="G154">IFERROR(INDEX(TRANSPOSE(Common_InputFunctions.Utility_SplitStringIntoArray($E95, "/")), 3), "")</f>
        <v/>
      </c>
      <c r="H154" s="68" t="str" cm="1">
        <f t="array" ref="H154">IFERROR(INDEX(TRANSPOSE(Common_InputFunctions.Utility_SplitStringIntoArray($E95, "/")), 4), "")</f>
        <v/>
      </c>
      <c r="I154" s="68" cm="1">
        <f t="array" ref="I154">IFERROR(INDEX(TRANSPOSE(Common_InputFunctions.Utility_SplitStringIntoArray($F95, "/", "(", ")")), 1)*0.01, 0)</f>
        <v>0.40100000000000002</v>
      </c>
      <c r="J154" s="68" cm="1">
        <f t="array" ref="J154">IFERROR(INDEX(TRANSPOSE(Common_InputFunctions.Utility_SplitStringIntoArray($F95, "/", "(", ")")), 2)*0.01, 0)</f>
        <v>0.59899999999999998</v>
      </c>
      <c r="K154" s="68" cm="1">
        <f t="array" ref="K154">IFERROR(INDEX(TRANSPOSE(Common_InputFunctions.Utility_SplitStringIntoArray($F95, "/", "(", ")")), 3)*0.01, 0)</f>
        <v>0</v>
      </c>
      <c r="L154" s="68" cm="1">
        <f t="array" ref="L154">IFERROR(INDEX(TRANSPOSE(Common_InputFunctions.Utility_SplitStringIntoArray($F95, "/", "(", ")")), 4)*0.01, 0)</f>
        <v>0</v>
      </c>
      <c r="M154" s="68"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68"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68"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68"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68"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5">
      <c r="D155" s="68" t="str">
        <f t="shared" si="0"/>
        <v>R-504</v>
      </c>
      <c r="E155" s="68" t="str" cm="1">
        <f t="array" ref="E155">IFERROR(INDEX(TRANSPOSE(Common_InputFunctions.Utility_SplitStringIntoArray($E96, "/")), 1), "")</f>
        <v>HFC-32</v>
      </c>
      <c r="F155" s="68" t="str" cm="1">
        <f t="array" ref="F155">IFERROR(INDEX(TRANSPOSE(Common_InputFunctions.Utility_SplitStringIntoArray($E96, "/")), 2), "")</f>
        <v>CFC-115</v>
      </c>
      <c r="G155" s="68" t="str" cm="1">
        <f t="array" ref="G155">IFERROR(INDEX(TRANSPOSE(Common_InputFunctions.Utility_SplitStringIntoArray($E96, "/")), 3), "")</f>
        <v/>
      </c>
      <c r="H155" s="68" t="str" cm="1">
        <f t="array" ref="H155">IFERROR(INDEX(TRANSPOSE(Common_InputFunctions.Utility_SplitStringIntoArray($E96, "/")), 4), "")</f>
        <v/>
      </c>
      <c r="I155" s="68" cm="1">
        <f t="array" ref="I155">IFERROR(INDEX(TRANSPOSE(Common_InputFunctions.Utility_SplitStringIntoArray($F96, "/", "(", ")")), 1)*0.01, 0)</f>
        <v>0.48200000000000004</v>
      </c>
      <c r="J155" s="68" cm="1">
        <f t="array" ref="J155">IFERROR(INDEX(TRANSPOSE(Common_InputFunctions.Utility_SplitStringIntoArray($F96, "/", "(", ")")), 2)*0.01, 0)</f>
        <v>0.51800000000000002</v>
      </c>
      <c r="K155" s="68" cm="1">
        <f t="array" ref="K155">IFERROR(INDEX(TRANSPOSE(Common_InputFunctions.Utility_SplitStringIntoArray($F96, "/", "(", ")")), 3)*0.01, 0)</f>
        <v>0</v>
      </c>
      <c r="L155" s="68" cm="1">
        <f t="array" ref="L155">IFERROR(INDEX(TRANSPOSE(Common_InputFunctions.Utility_SplitStringIntoArray($F96, "/", "(", ")")), 4)*0.01, 0)</f>
        <v>0</v>
      </c>
      <c r="M155" s="68"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68"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68"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68"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68"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5">
      <c r="D156" s="68" t="str">
        <f t="shared" si="0"/>
        <v>R-505</v>
      </c>
      <c r="E156" s="68" t="str" cm="1">
        <f t="array" ref="E156">IFERROR(INDEX(TRANSPOSE(Common_InputFunctions.Utility_SplitStringIntoArray($E97, "/")), 1), "")</f>
        <v>CFC-12</v>
      </c>
      <c r="F156" s="68" t="str" cm="1">
        <f t="array" ref="F156">IFERROR(INDEX(TRANSPOSE(Common_InputFunctions.Utility_SplitStringIntoArray($E97, "/")), 2), "")</f>
        <v>HCFC-31</v>
      </c>
      <c r="G156" s="68" t="str" cm="1">
        <f t="array" ref="G156">IFERROR(INDEX(TRANSPOSE(Common_InputFunctions.Utility_SplitStringIntoArray($E97, "/")), 3), "")</f>
        <v/>
      </c>
      <c r="H156" s="68" t="str" cm="1">
        <f t="array" ref="H156">IFERROR(INDEX(TRANSPOSE(Common_InputFunctions.Utility_SplitStringIntoArray($E97, "/")), 4), "")</f>
        <v/>
      </c>
      <c r="I156" s="68" cm="1">
        <f t="array" ref="I156">IFERROR(INDEX(TRANSPOSE(Common_InputFunctions.Utility_SplitStringIntoArray($F97, "/", "(", ")")), 1)*0.01, 0)</f>
        <v>0.78</v>
      </c>
      <c r="J156" s="68" cm="1">
        <f t="array" ref="J156">IFERROR(INDEX(TRANSPOSE(Common_InputFunctions.Utility_SplitStringIntoArray($F97, "/", "(", ")")), 2)*0.01, 0)</f>
        <v>0.22</v>
      </c>
      <c r="K156" s="68" cm="1">
        <f t="array" ref="K156">IFERROR(INDEX(TRANSPOSE(Common_InputFunctions.Utility_SplitStringIntoArray($F97, "/", "(", ")")), 3)*0.01, 0)</f>
        <v>0</v>
      </c>
      <c r="L156" s="68" cm="1">
        <f t="array" ref="L156">IFERROR(INDEX(TRANSPOSE(Common_InputFunctions.Utility_SplitStringIntoArray($F97, "/", "(", ")")), 4)*0.01, 0)</f>
        <v>0</v>
      </c>
      <c r="M156" s="68"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68"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68"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68"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68"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5">
      <c r="D157" s="68" t="str">
        <f t="shared" si="0"/>
        <v>R-506</v>
      </c>
      <c r="E157" s="68" t="str" cm="1">
        <f t="array" ref="E157">IFERROR(INDEX(TRANSPOSE(Common_InputFunctions.Utility_SplitStringIntoArray($E98, "/")), 1), "")</f>
        <v>CFC-31</v>
      </c>
      <c r="F157" s="68" t="str" cm="1">
        <f t="array" ref="F157">IFERROR(INDEX(TRANSPOSE(Common_InputFunctions.Utility_SplitStringIntoArray($E98, "/")), 2), "")</f>
        <v>CFC-114</v>
      </c>
      <c r="G157" s="68" t="str" cm="1">
        <f t="array" ref="G157">IFERROR(INDEX(TRANSPOSE(Common_InputFunctions.Utility_SplitStringIntoArray($E98, "/")), 3), "")</f>
        <v/>
      </c>
      <c r="H157" s="68" t="str" cm="1">
        <f t="array" ref="H157">IFERROR(INDEX(TRANSPOSE(Common_InputFunctions.Utility_SplitStringIntoArray($E98, "/")), 4), "")</f>
        <v/>
      </c>
      <c r="I157" s="68" cm="1">
        <f t="array" ref="I157">IFERROR(INDEX(TRANSPOSE(Common_InputFunctions.Utility_SplitStringIntoArray($F98, "/", "(", ")")), 1)*0.01, 0)</f>
        <v>0.55100000000000005</v>
      </c>
      <c r="J157" s="68" cm="1">
        <f t="array" ref="J157">IFERROR(INDEX(TRANSPOSE(Common_InputFunctions.Utility_SplitStringIntoArray($F98, "/", "(", ")")), 2)*0.01, 0)</f>
        <v>0.44900000000000001</v>
      </c>
      <c r="K157" s="68" cm="1">
        <f t="array" ref="K157">IFERROR(INDEX(TRANSPOSE(Common_InputFunctions.Utility_SplitStringIntoArray($F98, "/", "(", ")")), 3)*0.01, 0)</f>
        <v>0</v>
      </c>
      <c r="L157" s="68" cm="1">
        <f t="array" ref="L157">IFERROR(INDEX(TRANSPOSE(Common_InputFunctions.Utility_SplitStringIntoArray($F98, "/", "(", ")")), 4)*0.01, 0)</f>
        <v>0</v>
      </c>
      <c r="M157" s="68"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68"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68"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68"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68"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5">
      <c r="D158" s="68" t="str">
        <f t="shared" si="0"/>
        <v>R-507A</v>
      </c>
      <c r="E158" s="68" t="str" cm="1">
        <f t="array" ref="E158">IFERROR(INDEX(TRANSPOSE(Common_InputFunctions.Utility_SplitStringIntoArray($E99, "/")), 1), "")</f>
        <v>HFC-125</v>
      </c>
      <c r="F158" s="68" t="str" cm="1">
        <f t="array" ref="F158">IFERROR(INDEX(TRANSPOSE(Common_InputFunctions.Utility_SplitStringIntoArray($E99, "/")), 2), "")</f>
        <v>HFC-143a</v>
      </c>
      <c r="G158" s="68" t="str" cm="1">
        <f t="array" ref="G158">IFERROR(INDEX(TRANSPOSE(Common_InputFunctions.Utility_SplitStringIntoArray($E99, "/")), 3), "")</f>
        <v/>
      </c>
      <c r="H158" s="68" t="str" cm="1">
        <f t="array" ref="H158">IFERROR(INDEX(TRANSPOSE(Common_InputFunctions.Utility_SplitStringIntoArray($E99, "/")), 4), "")</f>
        <v/>
      </c>
      <c r="I158" s="68" cm="1">
        <f t="array" ref="I158">IFERROR(INDEX(TRANSPOSE(Common_InputFunctions.Utility_SplitStringIntoArray($F99, "/", "(", ")")), 1)*0.01, 0)</f>
        <v>0.5</v>
      </c>
      <c r="J158" s="68" cm="1">
        <f t="array" ref="J158">IFERROR(INDEX(TRANSPOSE(Common_InputFunctions.Utility_SplitStringIntoArray($F99, "/", "(", ")")), 2)*0.01, 0)</f>
        <v>0.5</v>
      </c>
      <c r="K158" s="68" cm="1">
        <f t="array" ref="K158">IFERROR(INDEX(TRANSPOSE(Common_InputFunctions.Utility_SplitStringIntoArray($F99, "/", "(", ")")), 3)*0.01, 0)</f>
        <v>0</v>
      </c>
      <c r="L158" s="68" cm="1">
        <f t="array" ref="L158">IFERROR(INDEX(TRANSPOSE(Common_InputFunctions.Utility_SplitStringIntoArray($F99, "/", "(", ")")), 4)*0.01, 0)</f>
        <v>0</v>
      </c>
      <c r="M158" s="68"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68"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68"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68"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68"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5">
      <c r="D159" s="68" t="str">
        <f t="shared" si="0"/>
        <v>R-508A</v>
      </c>
      <c r="E159" s="68" t="str" cm="1">
        <f t="array" ref="E159">IFERROR(INDEX(TRANSPOSE(Common_InputFunctions.Utility_SplitStringIntoArray($E100, "/")), 1), "")</f>
        <v>HFC-23</v>
      </c>
      <c r="F159" s="68" t="str" cm="1">
        <f t="array" ref="F159">IFERROR(INDEX(TRANSPOSE(Common_InputFunctions.Utility_SplitStringIntoArray($E100, "/")), 2), "")</f>
        <v>PFC-116</v>
      </c>
      <c r="G159" s="68" t="str" cm="1">
        <f t="array" ref="G159">IFERROR(INDEX(TRANSPOSE(Common_InputFunctions.Utility_SplitStringIntoArray($E100, "/")), 3), "")</f>
        <v/>
      </c>
      <c r="H159" s="68" t="str" cm="1">
        <f t="array" ref="H159">IFERROR(INDEX(TRANSPOSE(Common_InputFunctions.Utility_SplitStringIntoArray($E100, "/")), 4), "")</f>
        <v/>
      </c>
      <c r="I159" s="68" cm="1">
        <f t="array" ref="I159">IFERROR(INDEX(TRANSPOSE(Common_InputFunctions.Utility_SplitStringIntoArray($F100, "/", "(", ")")), 1)*0.01, 0)</f>
        <v>0.39</v>
      </c>
      <c r="J159" s="68" cm="1">
        <f t="array" ref="J159">IFERROR(INDEX(TRANSPOSE(Common_InputFunctions.Utility_SplitStringIntoArray($F100, "/", "(", ")")), 2)*0.01, 0)</f>
        <v>0.61</v>
      </c>
      <c r="K159" s="68" cm="1">
        <f t="array" ref="K159">IFERROR(INDEX(TRANSPOSE(Common_InputFunctions.Utility_SplitStringIntoArray($F100, "/", "(", ")")), 3)*0.01, 0)</f>
        <v>0</v>
      </c>
      <c r="L159" s="68" cm="1">
        <f t="array" ref="L159">IFERROR(INDEX(TRANSPOSE(Common_InputFunctions.Utility_SplitStringIntoArray($F100, "/", "(", ")")), 4)*0.01, 0)</f>
        <v>0</v>
      </c>
      <c r="M159" s="68"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68"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68"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68"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68"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5">
      <c r="D160" s="68" t="str">
        <f t="shared" si="0"/>
        <v>R-508B</v>
      </c>
      <c r="E160" s="68" t="str" cm="1">
        <f t="array" ref="E160">IFERROR(INDEX(TRANSPOSE(Common_InputFunctions.Utility_SplitStringIntoArray($E101, "/")), 1), "")</f>
        <v>HFC-23</v>
      </c>
      <c r="F160" s="68" t="str" cm="1">
        <f t="array" ref="F160">IFERROR(INDEX(TRANSPOSE(Common_InputFunctions.Utility_SplitStringIntoArray($E101, "/")), 2), "")</f>
        <v>PFC-116</v>
      </c>
      <c r="G160" s="68" t="str" cm="1">
        <f t="array" ref="G160">IFERROR(INDEX(TRANSPOSE(Common_InputFunctions.Utility_SplitStringIntoArray($E101, "/")), 3), "")</f>
        <v/>
      </c>
      <c r="H160" s="68" t="str" cm="1">
        <f t="array" ref="H160">IFERROR(INDEX(TRANSPOSE(Common_InputFunctions.Utility_SplitStringIntoArray($E101, "/")), 4), "")</f>
        <v/>
      </c>
      <c r="I160" s="68" cm="1">
        <f t="array" ref="I160">IFERROR(INDEX(TRANSPOSE(Common_InputFunctions.Utility_SplitStringIntoArray($F101, "/", "(", ")")), 1)*0.01, 0)</f>
        <v>0.46</v>
      </c>
      <c r="J160" s="68" cm="1">
        <f t="array" ref="J160">IFERROR(INDEX(TRANSPOSE(Common_InputFunctions.Utility_SplitStringIntoArray($F101, "/", "(", ")")), 2)*0.01, 0)</f>
        <v>0.54</v>
      </c>
      <c r="K160" s="68" cm="1">
        <f t="array" ref="K160">IFERROR(INDEX(TRANSPOSE(Common_InputFunctions.Utility_SplitStringIntoArray($F101, "/", "(", ")")), 3)*0.01, 0)</f>
        <v>0</v>
      </c>
      <c r="L160" s="68" cm="1">
        <f t="array" ref="L160">IFERROR(INDEX(TRANSPOSE(Common_InputFunctions.Utility_SplitStringIntoArray($F101, "/", "(", ")")), 4)*0.01, 0)</f>
        <v>0</v>
      </c>
      <c r="M160" s="68"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68"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68"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68"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68"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100000000000001" customHeight="1" x14ac:dyDescent="0.25">
      <c r="D161" s="68" t="str">
        <f t="shared" si="0"/>
        <v>R-509A</v>
      </c>
      <c r="E161" s="68" t="str" cm="1">
        <f t="array" ref="E161">IFERROR(INDEX(TRANSPOSE(Common_InputFunctions.Utility_SplitStringIntoArray($E102, "/")), 1), "")</f>
        <v>HCFC-22</v>
      </c>
      <c r="F161" s="68" t="str" cm="1">
        <f t="array" ref="F161">IFERROR(INDEX(TRANSPOSE(Common_InputFunctions.Utility_SplitStringIntoArray($E102, "/")), 2), "")</f>
        <v>PFC-218</v>
      </c>
      <c r="G161" s="68" t="str" cm="1">
        <f t="array" ref="G161">IFERROR(INDEX(TRANSPOSE(Common_InputFunctions.Utility_SplitStringIntoArray($E102, "/")), 3), "")</f>
        <v/>
      </c>
      <c r="H161" s="68" t="str" cm="1">
        <f t="array" ref="H161">IFERROR(INDEX(TRANSPOSE(Common_InputFunctions.Utility_SplitStringIntoArray($E102, "/")), 4), "")</f>
        <v/>
      </c>
      <c r="I161" s="68" cm="1">
        <f t="array" ref="I161">IFERROR(INDEX(TRANSPOSE(Common_InputFunctions.Utility_SplitStringIntoArray($F102, "/", "(", ")")), 1)*0.01, 0)</f>
        <v>0.44</v>
      </c>
      <c r="J161" s="68" cm="1">
        <f t="array" ref="J161">IFERROR(INDEX(TRANSPOSE(Common_InputFunctions.Utility_SplitStringIntoArray($F102, "/", "(", ")")), 2)*0.01, 0)</f>
        <v>0.56000000000000005</v>
      </c>
      <c r="K161" s="68" cm="1">
        <f t="array" ref="K161">IFERROR(INDEX(TRANSPOSE(Common_InputFunctions.Utility_SplitStringIntoArray($F102, "/", "(", ")")), 3)*0.01, 0)</f>
        <v>0</v>
      </c>
      <c r="L161" s="68" cm="1">
        <f t="array" ref="L161">IFERROR(INDEX(TRANSPOSE(Common_InputFunctions.Utility_SplitStringIntoArray($F102, "/", "(", ")")), 4)*0.01, 0)</f>
        <v>0</v>
      </c>
      <c r="M161" s="68"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68"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68"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68"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68"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100000000000001" customHeight="1" x14ac:dyDescent="0.25">
      <c r="D162" s="66"/>
      <c r="E162" s="66"/>
      <c r="F162" s="66"/>
      <c r="G162" s="66"/>
      <c r="H162" s="66"/>
      <c r="I162" s="66"/>
      <c r="J162" s="66"/>
      <c r="K162" s="66"/>
      <c r="L162" s="66"/>
      <c r="M162" s="66"/>
      <c r="N162" s="66"/>
      <c r="O162" s="66"/>
      <c r="P162" s="66"/>
      <c r="Q162" s="66"/>
    </row>
    <row r="163" spans="4:17" ht="20.100000000000001" customHeight="1" x14ac:dyDescent="0.25">
      <c r="D163" s="70"/>
      <c r="E163" s="70"/>
      <c r="F163" s="70"/>
      <c r="G163" s="70"/>
      <c r="H163" s="70"/>
      <c r="I163" s="70"/>
      <c r="J163" s="70"/>
      <c r="K163" s="70"/>
      <c r="L163" s="70"/>
      <c r="M163" s="70"/>
      <c r="N163" s="70"/>
      <c r="O163" s="70"/>
      <c r="P163" s="70"/>
      <c r="Q163" s="70"/>
    </row>
    <row r="164" spans="4:17" ht="20.100000000000001" customHeight="1" x14ac:dyDescent="0.25">
      <c r="D164" s="5" t="str" cm="1">
        <f t="array" ref="D164">Refrigerants_SourceData.Refrigerants_LeakageRates_Title()</f>
        <v>Indicative leakage rates for common refrigeration and air - conditioning equipment</v>
      </c>
      <c r="E164" s="66"/>
      <c r="F164" s="66"/>
      <c r="G164" s="66"/>
      <c r="H164" s="66"/>
      <c r="I164" s="66"/>
      <c r="J164" s="66"/>
      <c r="K164" s="66"/>
      <c r="L164" s="66"/>
      <c r="M164" s="66"/>
      <c r="N164" s="66"/>
      <c r="O164" s="66"/>
      <c r="P164" s="66"/>
      <c r="Q164" s="66"/>
    </row>
    <row r="165" spans="4:17" ht="20.100000000000001" customHeight="1" x14ac:dyDescent="0.25">
      <c r="D165" s="4" t="str" cm="1">
        <f t="array" ref="D165">Refrigerants_SourceData.Refrigerants_LeakageRates_Source()</f>
        <v>Australian National Greenhouse Accounts Factors 2025 - Table 10</v>
      </c>
      <c r="E165" s="66"/>
      <c r="F165" s="66"/>
      <c r="G165" s="66"/>
      <c r="H165" s="66"/>
      <c r="I165" s="66"/>
      <c r="J165" s="66"/>
      <c r="K165" s="66"/>
      <c r="L165" s="66"/>
      <c r="M165" s="66"/>
      <c r="N165" s="66"/>
      <c r="O165" s="66"/>
      <c r="P165" s="66"/>
      <c r="Q165" s="66"/>
    </row>
    <row r="166" spans="4:17" x14ac:dyDescent="0.25">
      <c r="D166" s="66"/>
      <c r="E166" s="66"/>
      <c r="F166" s="66"/>
      <c r="G166" s="66"/>
      <c r="H166" s="66"/>
      <c r="I166" s="66"/>
      <c r="J166" s="66"/>
      <c r="K166" s="66"/>
      <c r="L166" s="66"/>
      <c r="M166" s="66"/>
      <c r="N166" s="66"/>
      <c r="O166" s="66"/>
      <c r="P166" s="66"/>
      <c r="Q166" s="66"/>
    </row>
    <row r="167" spans="4:17" x14ac:dyDescent="0.25">
      <c r="D167" s="68" t="s">
        <v>121</v>
      </c>
      <c r="E167" s="67" t="s">
        <v>122</v>
      </c>
      <c r="F167" s="66"/>
      <c r="G167" s="66"/>
      <c r="H167" s="66"/>
      <c r="I167" s="66"/>
      <c r="J167" s="66"/>
      <c r="K167" s="66"/>
      <c r="L167" s="66"/>
      <c r="M167" s="66"/>
      <c r="N167" s="66"/>
      <c r="O167" s="66"/>
      <c r="P167" s="66"/>
      <c r="Q167" s="66"/>
    </row>
    <row r="168" spans="4:17" x14ac:dyDescent="0.25">
      <c r="D168" s="68" t="str" cm="1">
        <f t="array" ref="D168">Common_InputFunctions.Utility_DisplayArrayInTable(Refrigerants_SourceData.Refrigerants_LeakageRates_Data(), Table_Refrigerants_LeakageRates[[#Headers],[Product]], 0)</f>
        <v>Domestic refrigerators</v>
      </c>
      <c r="E168" s="68" cm="1">
        <f t="array" ref="E168">Common_InputFunctions.Utility_DisplayArrayInTable(Refrigerants_SourceData.Refrigerants_LeakageRates_Data(), Table_Refrigerants_LeakageRates[[#Headers],[Product]], 0)</f>
        <v>1.7</v>
      </c>
      <c r="F168" s="66"/>
      <c r="G168" s="66"/>
      <c r="H168" s="66"/>
      <c r="I168" s="66"/>
      <c r="J168" s="66"/>
      <c r="K168" s="66"/>
      <c r="L168" s="66"/>
      <c r="M168" s="66"/>
      <c r="N168" s="66"/>
      <c r="O168" s="66"/>
      <c r="P168" s="66"/>
      <c r="Q168" s="66"/>
    </row>
    <row r="169" spans="4:17" x14ac:dyDescent="0.25">
      <c r="D169" s="68" t="str" cm="1">
        <f t="array" ref="D169">Common_InputFunctions.Utility_DisplayArrayInTable(Refrigerants_SourceData.Refrigerants_LeakageRates_Data(), Table_Refrigerants_LeakageRates[[#Headers],[Product]], 0)</f>
        <v>Transport refrigeration</v>
      </c>
      <c r="E169" s="68" cm="1">
        <f t="array" ref="E169">Common_InputFunctions.Utility_DisplayArrayInTable(Refrigerants_SourceData.Refrigerants_LeakageRates_Data(), Table_Refrigerants_LeakageRates[[#Headers],[Product]], 0)</f>
        <v>15.7</v>
      </c>
      <c r="F169" s="66"/>
      <c r="G169" s="66"/>
      <c r="H169" s="66"/>
      <c r="I169" s="66"/>
      <c r="J169" s="66"/>
      <c r="K169" s="66"/>
      <c r="L169" s="66"/>
      <c r="M169" s="66"/>
      <c r="N169" s="66"/>
      <c r="O169" s="66"/>
      <c r="P169" s="66"/>
      <c r="Q169" s="66"/>
    </row>
    <row r="170" spans="4:17" x14ac:dyDescent="0.25">
      <c r="D170" s="68" t="str" cm="1">
        <f t="array" ref="D170">Common_InputFunctions.Utility_DisplayArrayInTable(Refrigerants_SourceData.Refrigerants_LeakageRates_Data(), Table_Refrigerants_LeakageRates[[#Headers],[Product]], 0)</f>
        <v>Domestic A/C portable</v>
      </c>
      <c r="E170" s="68" cm="1">
        <f t="array" ref="E170">Common_InputFunctions.Utility_DisplayArrayInTable(Refrigerants_SourceData.Refrigerants_LeakageRates_Data(), Table_Refrigerants_LeakageRates[[#Headers],[Product]], 0)</f>
        <v>2.5</v>
      </c>
      <c r="F170" s="66"/>
      <c r="G170" s="66"/>
      <c r="H170" s="66"/>
      <c r="I170" s="66"/>
      <c r="J170" s="66"/>
      <c r="K170" s="66"/>
      <c r="L170" s="66"/>
      <c r="M170" s="66"/>
      <c r="N170" s="66"/>
      <c r="O170" s="66"/>
      <c r="P170" s="66"/>
      <c r="Q170" s="66"/>
    </row>
    <row r="171" spans="4:17" x14ac:dyDescent="0.25">
      <c r="D171" s="68" t="str" cm="1">
        <f t="array" ref="D171">Common_InputFunctions.Utility_DisplayArrayInTable(Refrigerants_SourceData.Refrigerants_LeakageRates_Data(), Table_Refrigerants_LeakageRates[[#Headers],[Product]], 0)</f>
        <v>Domestic A/C split</v>
      </c>
      <c r="E171" s="68" cm="1">
        <f t="array" ref="E171">Common_InputFunctions.Utility_DisplayArrayInTable(Refrigerants_SourceData.Refrigerants_LeakageRates_Data(), Table_Refrigerants_LeakageRates[[#Headers],[Product]], 0)</f>
        <v>3.5</v>
      </c>
      <c r="F171" s="66"/>
      <c r="G171" s="66"/>
      <c r="H171" s="66"/>
      <c r="I171" s="66"/>
      <c r="J171" s="66"/>
      <c r="K171" s="66"/>
      <c r="L171" s="66"/>
      <c r="M171" s="66"/>
      <c r="N171" s="66"/>
      <c r="O171" s="66"/>
      <c r="P171" s="66"/>
      <c r="Q171" s="66"/>
    </row>
    <row r="172" spans="4:17" x14ac:dyDescent="0.25">
      <c r="D172" s="68" t="str" cm="1">
        <f t="array" ref="D172">Common_InputFunctions.Utility_DisplayArrayInTable(Refrigerants_SourceData.Refrigerants_LeakageRates_Data(), Table_Refrigerants_LeakageRates[[#Headers],[Product]], 0)</f>
        <v>Domestic A/C packaged</v>
      </c>
      <c r="E172" s="68" cm="1">
        <f t="array" ref="E172">Common_InputFunctions.Utility_DisplayArrayInTable(Refrigerants_SourceData.Refrigerants_LeakageRates_Data(), Table_Refrigerants_LeakageRates[[#Headers],[Product]], 0)</f>
        <v>2.5</v>
      </c>
      <c r="F172" s="66"/>
      <c r="G172" s="66"/>
      <c r="H172" s="66"/>
      <c r="I172" s="66"/>
      <c r="J172" s="66"/>
      <c r="K172" s="66"/>
      <c r="L172" s="66"/>
      <c r="M172" s="66"/>
      <c r="N172" s="66"/>
      <c r="O172" s="66"/>
      <c r="P172" s="66"/>
      <c r="Q172" s="66"/>
    </row>
    <row r="173" spans="4:17" x14ac:dyDescent="0.25">
      <c r="D173" s="68" t="str" cm="1">
        <f t="array" ref="D173">Common_InputFunctions.Utility_DisplayArrayInTable(Refrigerants_SourceData.Refrigerants_LeakageRates_Data(), Table_Refrigerants_LeakageRates[[#Headers],[Product]], 0)</f>
        <v>Light vehicle A/C</v>
      </c>
      <c r="E173" s="68" cm="1">
        <f t="array" ref="E173">Common_InputFunctions.Utility_DisplayArrayInTable(Refrigerants_SourceData.Refrigerants_LeakageRates_Data(), Table_Refrigerants_LeakageRates[[#Headers],[Product]], 0)</f>
        <v>6.7</v>
      </c>
      <c r="F173" s="66"/>
      <c r="G173" s="66"/>
      <c r="H173" s="66"/>
      <c r="I173" s="66"/>
      <c r="J173" s="66"/>
      <c r="K173" s="66"/>
      <c r="L173" s="66"/>
      <c r="M173" s="66"/>
      <c r="N173" s="66"/>
      <c r="O173" s="66"/>
      <c r="P173" s="66"/>
      <c r="Q173" s="66"/>
    </row>
    <row r="174" spans="4:17" x14ac:dyDescent="0.25">
      <c r="D174" s="68" t="str" cm="1">
        <f t="array" ref="D174">Common_InputFunctions.Utility_DisplayArrayInTable(Refrigerants_SourceData.Refrigerants_LeakageRates_Data(), Table_Refrigerants_LeakageRates[[#Headers],[Product]], 0)</f>
        <v>Heavy vehicle A/C</v>
      </c>
      <c r="E174" s="68" cm="1">
        <f t="array" ref="E174">Common_InputFunctions.Utility_DisplayArrayInTable(Refrigerants_SourceData.Refrigerants_LeakageRates_Data(), Table_Refrigerants_LeakageRates[[#Headers],[Product]], 0)</f>
        <v>10.8</v>
      </c>
      <c r="F174" s="66"/>
      <c r="G174" s="66"/>
      <c r="H174" s="66"/>
      <c r="I174" s="66"/>
      <c r="J174" s="66"/>
      <c r="K174" s="66"/>
      <c r="L174" s="66"/>
      <c r="M174" s="66"/>
      <c r="N174" s="66"/>
      <c r="O174" s="66"/>
      <c r="P174" s="66"/>
      <c r="Q174" s="66"/>
    </row>
    <row r="175" spans="4:17" x14ac:dyDescent="0.25">
      <c r="D175" s="66"/>
      <c r="E175" s="66"/>
      <c r="F175" s="66"/>
      <c r="G175" s="66"/>
      <c r="H175" s="66"/>
      <c r="I175" s="66"/>
      <c r="J175" s="66"/>
      <c r="K175" s="66"/>
      <c r="L175" s="66"/>
      <c r="M175" s="66"/>
      <c r="N175" s="66"/>
      <c r="O175" s="66"/>
      <c r="P175" s="66"/>
      <c r="Q175" s="66"/>
    </row>
    <row r="176" spans="4:17" x14ac:dyDescent="0.25">
      <c r="D176" s="66"/>
      <c r="E176" s="66"/>
      <c r="F176" s="66"/>
      <c r="G176" s="66"/>
      <c r="H176" s="66"/>
      <c r="I176" s="66"/>
      <c r="J176" s="66"/>
      <c r="K176" s="66"/>
      <c r="L176" s="66"/>
      <c r="M176" s="66"/>
      <c r="N176" s="66"/>
      <c r="O176" s="66"/>
      <c r="P176" s="66"/>
      <c r="Q176" s="66"/>
    </row>
    <row r="177" spans="4:17" x14ac:dyDescent="0.25">
      <c r="D177" s="66"/>
      <c r="E177" s="66"/>
      <c r="F177" s="66"/>
      <c r="G177" s="66"/>
      <c r="H177" s="66"/>
      <c r="I177" s="66"/>
      <c r="J177" s="66"/>
      <c r="K177" s="66"/>
      <c r="L177" s="66"/>
      <c r="M177" s="66"/>
      <c r="N177" s="66"/>
      <c r="O177" s="66"/>
      <c r="P177" s="66"/>
      <c r="Q177" s="66"/>
    </row>
    <row r="178" spans="4:17" x14ac:dyDescent="0.25">
      <c r="D178" s="66"/>
      <c r="E178" s="66"/>
      <c r="F178" s="66"/>
      <c r="G178" s="66"/>
      <c r="H178" s="66"/>
      <c r="I178" s="66"/>
      <c r="J178" s="66"/>
      <c r="K178" s="66"/>
      <c r="L178" s="66"/>
      <c r="M178" s="66"/>
      <c r="N178" s="66"/>
      <c r="O178" s="66"/>
      <c r="P178" s="66"/>
      <c r="Q178" s="66"/>
    </row>
    <row r="179" spans="4:17" x14ac:dyDescent="0.25">
      <c r="D179" s="66"/>
      <c r="E179" s="66"/>
      <c r="F179" s="66"/>
      <c r="G179" s="66"/>
      <c r="H179" s="66"/>
      <c r="I179" s="66"/>
      <c r="J179" s="66"/>
      <c r="K179" s="66"/>
      <c r="L179" s="66"/>
      <c r="M179" s="66"/>
      <c r="N179" s="66"/>
      <c r="O179" s="66"/>
      <c r="P179" s="66"/>
      <c r="Q179" s="66"/>
    </row>
    <row r="180" spans="4:17" x14ac:dyDescent="0.25">
      <c r="D180" s="66"/>
      <c r="E180" s="66"/>
      <c r="F180" s="66"/>
      <c r="G180" s="66"/>
      <c r="H180" s="66"/>
      <c r="I180" s="66"/>
      <c r="J180" s="66"/>
      <c r="K180" s="66"/>
      <c r="L180" s="66"/>
      <c r="M180" s="66"/>
      <c r="N180" s="66"/>
      <c r="O180" s="66"/>
      <c r="P180" s="66"/>
      <c r="Q180" s="66"/>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EE415-7E76-445A-AFDC-65D0611954EC}">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c r="A2"/>
    </row>
    <row r="3" spans="1:65" ht="20.100000000000001" customHeight="1" x14ac:dyDescent="0.25">
      <c r="A3" s="12" t="str">
        <f>HYPERLINK("#'Home'!A1", "Home")</f>
        <v>Home</v>
      </c>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s="78" t="s">
        <v>1</v>
      </c>
      <c r="D6" s="24" t="s">
        <v>5</v>
      </c>
      <c r="E6" s="24" t="s">
        <v>6</v>
      </c>
      <c r="F6" s="24" t="s">
        <v>7</v>
      </c>
    </row>
    <row r="7" spans="1:65" ht="20.100000000000001" customHeight="1" x14ac:dyDescent="0.25">
      <c r="A7" s="61" t="str">
        <f>HYPERLINK("#'Constants - Common'!A1", "Constants - Common")</f>
        <v>Constants - Common</v>
      </c>
      <c r="D7" s="24" t="str" cm="1">
        <f t="array" ref="D7">Common_InputFunctions.Utility_DisplayArrayInTable(Common_SourceData.Common_SourceData_AustralianStatesTerritories_Data(),Table_AustralianStates[[#Headers],[State/Territory]],0)</f>
        <v>New South Wales</v>
      </c>
      <c r="E7" s="24" t="str" cm="1">
        <f t="array" ref="E7">Common_InputFunctions.Utility_DisplayArrayInTable(Common_SourceData.Common_SourceData_AustralianStatesTerritories_Data(),Table_AustralianStates[[#Headers],[State/Territory]],0)</f>
        <v>New South Wales</v>
      </c>
      <c r="F7" s="24" t="str" cm="1">
        <f t="array" ref="F7">Common_InputFunctions.Utility_DisplayArrayInTable(Common_SourceData.Common_SourceData_AustralianStatesTerritories_Data(),Table_AustralianStates[[#Headers],[State/Territory]],0)</f>
        <v>NSW</v>
      </c>
    </row>
    <row r="8" spans="1:65" ht="20.100000000000001" customHeight="1" x14ac:dyDescent="0.25">
      <c r="A8" s="12" t="str">
        <f>HYPERLINK("#'Acknowledgements'!A1", "Acknowledgements")</f>
        <v>Acknowledgements</v>
      </c>
      <c r="D8" s="24" t="str" cm="1">
        <f t="array" ref="D8">Common_InputFunctions.Utility_DisplayArrayInTable(Common_SourceData.Common_SourceData_AustralianStatesTerritories_Data(),Table_AustralianStates[[#Headers],[State/Territory]],0)</f>
        <v>Australian Capital Territory</v>
      </c>
      <c r="E8" s="24" t="str" cm="1">
        <f t="array" ref="E8">Common_InputFunctions.Utility_DisplayArrayInTable(Common_SourceData.Common_SourceData_AustralianStatesTerritories_Data(),Table_AustralianStates[[#Headers],[State/Territory]],0)</f>
        <v>ACT</v>
      </c>
      <c r="F8" s="24" t="str" cm="1">
        <f t="array" ref="F8">Common_InputFunctions.Utility_DisplayArrayInTable(Common_SourceData.Common_SourceData_AustralianStatesTerritories_Data(),Table_AustralianStates[[#Headers],[State/Territory]],0)</f>
        <v>ACT</v>
      </c>
    </row>
    <row r="9" spans="1:65" ht="20.100000000000001" customHeight="1" x14ac:dyDescent="0.25">
      <c r="A9"/>
      <c r="D9" s="24" t="str" cm="1">
        <f t="array" ref="D9">Common_InputFunctions.Utility_DisplayArrayInTable(Common_SourceData.Common_SourceData_AustralianStatesTerritories_Data(),Table_AustralianStates[[#Headers],[State/Territory]],0)</f>
        <v>Victoria</v>
      </c>
      <c r="E9" s="24" t="str" cm="1">
        <f t="array" ref="E9">Common_InputFunctions.Utility_DisplayArrayInTable(Common_SourceData.Common_SourceData_AustralianStatesTerritories_Data(),Table_AustralianStates[[#Headers],[State/Territory]],0)</f>
        <v>Victoria</v>
      </c>
      <c r="F9" s="24"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4" t="str" cm="1">
        <f t="array" ref="D10">Common_InputFunctions.Utility_DisplayArrayInTable(Common_SourceData.Common_SourceData_AustralianStatesTerritories_Data(),Table_AustralianStates[[#Headers],[State/Territory]],0)</f>
        <v>Queensland</v>
      </c>
      <c r="E10" s="24" t="str" cm="1">
        <f t="array" ref="E10">Common_InputFunctions.Utility_DisplayArrayInTable(Common_SourceData.Common_SourceData_AustralianStatesTerritories_Data(),Table_AustralianStates[[#Headers],[State/Territory]],0)</f>
        <v>Queensland</v>
      </c>
      <c r="F10" s="24"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4" t="str" cm="1">
        <f t="array" ref="D11">Common_InputFunctions.Utility_DisplayArrayInTable(Common_SourceData.Common_SourceData_AustralianStatesTerritories_Data(),Table_AustralianStates[[#Headers],[State/Territory]],0)</f>
        <v>South Australia</v>
      </c>
      <c r="E11" s="24" t="str" cm="1">
        <f t="array" ref="E11">Common_InputFunctions.Utility_DisplayArrayInTable(Common_SourceData.Common_SourceData_AustralianStatesTerritories_Data(),Table_AustralianStates[[#Headers],[State/Territory]],0)</f>
        <v>South Australia</v>
      </c>
      <c r="F11" s="24"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4" t="str" cm="1">
        <f t="array" ref="D12">Common_InputFunctions.Utility_DisplayArrayInTable(Common_SourceData.Common_SourceData_AustralianStatesTerritories_Data(),Table_AustralianStates[[#Headers],[State/Territory]],0)</f>
        <v>Western Australia</v>
      </c>
      <c r="E12" s="24" t="str" cm="1">
        <f t="array" ref="E12">Common_InputFunctions.Utility_DisplayArrayInTable(Common_SourceData.Common_SourceData_AustralianStatesTerritories_Data(),Table_AustralianStates[[#Headers],[State/Territory]],0)</f>
        <v>Western Australia</v>
      </c>
      <c r="F12" s="24"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4" t="str" cm="1">
        <f t="array" ref="D13">Common_InputFunctions.Utility_DisplayArrayInTable(Common_SourceData.Common_SourceData_AustralianStatesTerritories_Data(),Table_AustralianStates[[#Headers],[State/Territory]],0)</f>
        <v>Tasmania</v>
      </c>
      <c r="E13" s="24" t="str" cm="1">
        <f t="array" ref="E13">Common_InputFunctions.Utility_DisplayArrayInTable(Common_SourceData.Common_SourceData_AustralianStatesTerritories_Data(),Table_AustralianStates[[#Headers],[State/Territory]],0)</f>
        <v>Tasmania</v>
      </c>
      <c r="F13" s="24"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4" t="str" cm="1">
        <f t="array" ref="D14">Common_InputFunctions.Utility_DisplayArrayInTable(Common_SourceData.Common_SourceData_AustralianStatesTerritories_Data(),Table_AustralianStates[[#Headers],[State/Territory]],0)</f>
        <v>Northern Territory</v>
      </c>
      <c r="E14" s="24" t="str" cm="1">
        <f t="array" ref="E14">Common_InputFunctions.Utility_DisplayArrayInTable(Common_SourceData.Common_SourceData_AustralianStatesTerritories_Data(),Table_AustralianStates[[#Headers],[State/Territory]],0)</f>
        <v>Northern Territory</v>
      </c>
      <c r="F14" s="24"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4" t="s">
        <v>8</v>
      </c>
    </row>
    <row r="21" spans="1:4" ht="20.100000000000001" customHeight="1" x14ac:dyDescent="0.25">
      <c r="A21"/>
      <c r="D21" s="24" t="str" cm="1">
        <f t="array" ref="D21">Common_InputFunctions.Utility_DisplayArrayInTable(Common_SourceData.Common_SourceData_WASA4Areas_Data(), Table_WASA4Areas[[#Headers],[SA 4 Name]], 0)</f>
        <v>Bunbury</v>
      </c>
    </row>
    <row r="22" spans="1:4" ht="20.100000000000001" customHeight="1" x14ac:dyDescent="0.25">
      <c r="A22"/>
      <c r="D22" s="24" t="str" cm="1">
        <f t="array" ref="D22">Common_InputFunctions.Utility_DisplayArrayInTable(Common_SourceData.Common_SourceData_WASA4Areas_Data(), Table_WASA4Areas[[#Headers],[SA 4 Name]], 0)</f>
        <v>Mandurah</v>
      </c>
    </row>
    <row r="23" spans="1:4" ht="20.100000000000001" customHeight="1" x14ac:dyDescent="0.25">
      <c r="A23"/>
      <c r="D23" s="24" t="str" cm="1">
        <f t="array" ref="D23">Common_InputFunctions.Utility_DisplayArrayInTable(Common_SourceData.Common_SourceData_WASA4Areas_Data(), Table_WASA4Areas[[#Headers],[SA 4 Name]], 0)</f>
        <v>Perth - Inner</v>
      </c>
    </row>
    <row r="24" spans="1:4" ht="20.100000000000001" customHeight="1" x14ac:dyDescent="0.25">
      <c r="A24"/>
      <c r="D24" s="24" t="str" cm="1">
        <f t="array" ref="D24">Common_InputFunctions.Utility_DisplayArrayInTable(Common_SourceData.Common_SourceData_WASA4Areas_Data(), Table_WASA4Areas[[#Headers],[SA 4 Name]], 0)</f>
        <v>Perth - North East</v>
      </c>
    </row>
    <row r="25" spans="1:4" ht="20.100000000000001" customHeight="1" x14ac:dyDescent="0.25">
      <c r="A25"/>
      <c r="D25" s="24" t="str" cm="1">
        <f t="array" ref="D25">Common_InputFunctions.Utility_DisplayArrayInTable(Common_SourceData.Common_SourceData_WASA4Areas_Data(), Table_WASA4Areas[[#Headers],[SA 4 Name]], 0)</f>
        <v>Perth - North West</v>
      </c>
    </row>
    <row r="26" spans="1:4" ht="20.100000000000001" customHeight="1" x14ac:dyDescent="0.25">
      <c r="A26"/>
      <c r="D26" s="24" t="str" cm="1">
        <f t="array" ref="D26">Common_InputFunctions.Utility_DisplayArrayInTable(Common_SourceData.Common_SourceData_WASA4Areas_Data(), Table_WASA4Areas[[#Headers],[SA 4 Name]], 0)</f>
        <v>Perth - South East</v>
      </c>
    </row>
    <row r="27" spans="1:4" ht="20.100000000000001" customHeight="1" x14ac:dyDescent="0.25">
      <c r="A27"/>
      <c r="D27" s="24" t="str" cm="1">
        <f t="array" ref="D27">Common_InputFunctions.Utility_DisplayArrayInTable(Common_SourceData.Common_SourceData_WASA4Areas_Data(), Table_WASA4Areas[[#Headers],[SA 4 Name]], 0)</f>
        <v>Perth - South West</v>
      </c>
    </row>
    <row r="28" spans="1:4" ht="20.100000000000001" customHeight="1" x14ac:dyDescent="0.25">
      <c r="A28"/>
      <c r="D28" s="24"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4"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4"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4" t="s">
        <v>10</v>
      </c>
      <c r="E36" s="24" t="s">
        <v>11</v>
      </c>
    </row>
    <row r="37" spans="1:8" ht="20.100000000000001" customHeight="1" x14ac:dyDescent="0.25">
      <c r="A37"/>
      <c r="D37" s="24" t="str" cm="1">
        <f t="array" ref="D37">Common_InputFunctions.Utility_DisplayArrayInTable(Common_SourceData.Common_SourceData_GWP_Data(), Table_GWPData[[#Headers],[Gas]], 0)</f>
        <v>CO2</v>
      </c>
      <c r="E37" s="24" cm="1">
        <f t="array" ref="E37">Common_InputFunctions.Utility_DisplayArrayInTable(Common_SourceData.Common_SourceData_GWP_Data(), Table_GWPData[[#Headers],[Gas]], 0)</f>
        <v>1</v>
      </c>
    </row>
    <row r="38" spans="1:8" ht="20.100000000000001" customHeight="1" x14ac:dyDescent="0.25">
      <c r="A38"/>
      <c r="D38" s="24" t="str" cm="1">
        <f t="array" ref="D38">Common_InputFunctions.Utility_DisplayArrayInTable(Common_SourceData.Common_SourceData_GWP_Data(), Table_GWPData[[#Headers],[Gas]], 0)</f>
        <v>CH4</v>
      </c>
      <c r="E38" s="24" cm="1">
        <f t="array" ref="E38">Common_InputFunctions.Utility_DisplayArrayInTable(Common_SourceData.Common_SourceData_GWP_Data(), Table_GWPData[[#Headers],[Gas]], 0)</f>
        <v>28</v>
      </c>
    </row>
    <row r="39" spans="1:8" ht="20.100000000000001" customHeight="1" x14ac:dyDescent="0.25">
      <c r="A39"/>
      <c r="D39" s="24" t="str" cm="1">
        <f t="array" ref="D39">Common_InputFunctions.Utility_DisplayArrayInTable(Common_SourceData.Common_SourceData_GWP_Data(), Table_GWPData[[#Headers],[Gas]], 0)</f>
        <v>N2O</v>
      </c>
      <c r="E39" s="24" cm="1">
        <f t="array" ref="E39">Common_InputFunctions.Utility_DisplayArrayInTable(Common_SourceData.Common_SourceData_GWP_Data(), Table_GWPData[[#Headers],[Gas]], 0)</f>
        <v>265</v>
      </c>
    </row>
    <row r="40" spans="1:8" ht="20.100000000000001" customHeight="1" x14ac:dyDescent="0.25">
      <c r="A40"/>
      <c r="D40" s="24" t="str" cm="1">
        <f t="array" ref="D40">Common_InputFunctions.Utility_DisplayArrayInTable(Common_SourceData.Common_SourceData_GWP_Data(), Table_GWPData[[#Headers],[Gas]], 0)</f>
        <v>CF4</v>
      </c>
      <c r="E40" s="24" cm="1">
        <f t="array" ref="E40">Common_InputFunctions.Utility_DisplayArrayInTable(Common_SourceData.Common_SourceData_GWP_Data(), Table_GWPData[[#Headers],[Gas]], 0)</f>
        <v>6630</v>
      </c>
    </row>
    <row r="41" spans="1:8" ht="20.100000000000001" customHeight="1" x14ac:dyDescent="0.25">
      <c r="A41"/>
      <c r="D41" s="24" t="str" cm="1">
        <f t="array" ref="D41">Common_InputFunctions.Utility_DisplayArrayInTable(Common_SourceData.Common_SourceData_GWP_Data(), Table_GWPData[[#Headers],[Gas]], 0)</f>
        <v>C2F6</v>
      </c>
      <c r="E41" s="24" cm="1">
        <f t="array" ref="E41">Common_InputFunctions.Utility_DisplayArrayInTable(Common_SourceData.Common_SourceData_GWP_Data(), Table_GWPData[[#Headers],[Gas]], 0)</f>
        <v>12200</v>
      </c>
    </row>
    <row r="42" spans="1:8" ht="20.100000000000001" customHeight="1" x14ac:dyDescent="0.25">
      <c r="A42"/>
      <c r="D42" s="24" t="str" cm="1">
        <f t="array" ref="D42">Common_InputFunctions.Utility_DisplayArrayInTable(Common_SourceData.Common_SourceData_GWP_Data(), Table_GWPData[[#Headers],[Gas]], 0)</f>
        <v>SF6</v>
      </c>
      <c r="E42" s="24" cm="1">
        <f t="array" ref="E42">Common_InputFunctions.Utility_DisplayArrayInTable(Common_SourceData.Common_SourceData_GWP_Data(), Table_GWPData[[#Headers],[Gas]], 0)</f>
        <v>22800</v>
      </c>
    </row>
    <row r="43" spans="1:8" ht="20.100000000000001" customHeight="1" x14ac:dyDescent="0.25">
      <c r="A43"/>
      <c r="D43" s="24" t="str" cm="1">
        <f t="array" ref="D43">Common_InputFunctions.Utility_DisplayArrayInTable(Common_SourceData.Common_SourceData_GWP_Data(), Table_GWPData[[#Headers],[Gas]], 0)</f>
        <v>NF3</v>
      </c>
      <c r="E43" s="24"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5" t="str" cm="1">
        <f t="array" ref="D45">Common_SourceData.Common_SourceData_ConvertGasElementalToMolecular_Title()</f>
        <v>Factor to convert elemental mass of gas to molecular mass</v>
      </c>
    </row>
    <row r="46" spans="1:8" ht="20.100000000000001" customHeight="1" x14ac:dyDescent="0.25">
      <c r="A46"/>
      <c r="D46" s="4" t="str" cm="1">
        <f t="array" ref="D46">Common_SourceData.Common_SourceData_ConvertGasElementalToMolecular_Source()</f>
        <v>XXXXXXX</v>
      </c>
    </row>
    <row r="47" spans="1:8" ht="20.100000000000001" customHeight="1" x14ac:dyDescent="0.25">
      <c r="A47"/>
      <c r="D47" s="24" t="s">
        <v>10</v>
      </c>
      <c r="E47" s="24" t="s">
        <v>13</v>
      </c>
      <c r="F47" s="24" t="s">
        <v>14</v>
      </c>
      <c r="G47" s="24" t="s">
        <v>15</v>
      </c>
      <c r="H47" s="24" t="s">
        <v>16</v>
      </c>
    </row>
    <row r="48" spans="1:8" ht="20.100000000000001" customHeight="1" x14ac:dyDescent="0.25">
      <c r="A48"/>
      <c r="D48" s="24" t="str" cm="1">
        <f t="array" ref="D48">Common_InputFunctions.Utility_DisplayArrayInTable(Common_SourceData.Common_SourceData_ConvertGasElementalToMolecular_Data(),Table_GasToMolecularConversionFactor[[#Headers],[Gas]], 0)</f>
        <v>CO2</v>
      </c>
      <c r="E48" s="24" t="str" cm="1">
        <f t="array" ref="E48">Common_InputFunctions.Utility_DisplayArrayInTable(Common_SourceData.Common_SourceData_ConvertGasElementalToMolecular_Data(),Table_GasToMolecularConversionFactor[[#Headers],[Gas]], 0)</f>
        <v>44/12</v>
      </c>
      <c r="F48" s="24" cm="1">
        <f t="array" ref="F48">Common_InputFunctions.Utility_DisplayArrayInTable(Common_SourceData.Common_SourceData_ConvertGasElementalToMolecular_Data(),Table_GasToMolecularConversionFactor[[#Headers],[Gas]], 0)</f>
        <v>44</v>
      </c>
      <c r="G48" s="24" cm="1">
        <f t="array" ref="G48">Common_InputFunctions.Utility_DisplayArrayInTable(Common_SourceData.Common_SourceData_ConvertGasElementalToMolecular_Data(),Table_GasToMolecularConversionFactor[[#Headers],[Gas]], 0)</f>
        <v>12</v>
      </c>
      <c r="H48" s="24">
        <f>Table_GasToMolecularConversionFactor[[#This Row],[Conversion factor 1]]/Table_GasToMolecularConversionFactor[[#This Row],[Conversion factor 2]]</f>
        <v>3.6666666666666665</v>
      </c>
    </row>
    <row r="49" spans="1:8" ht="20.100000000000001" customHeight="1" x14ac:dyDescent="0.25">
      <c r="A49"/>
      <c r="D49" s="24" t="str" cm="1">
        <f t="array" ref="D49">Common_InputFunctions.Utility_DisplayArrayInTable(Common_SourceData.Common_SourceData_ConvertGasElementalToMolecular_Data(),Table_GasToMolecularConversionFactor[[#Headers],[Gas]], 0)</f>
        <v>CH4</v>
      </c>
      <c r="E49" s="24" t="str" cm="1">
        <f t="array" ref="E49">Common_InputFunctions.Utility_DisplayArrayInTable(Common_SourceData.Common_SourceData_ConvertGasElementalToMolecular_Data(),Table_GasToMolecularConversionFactor[[#Headers],[Gas]], 0)</f>
        <v>16/12</v>
      </c>
      <c r="F49" s="24" cm="1">
        <f t="array" ref="F49">Common_InputFunctions.Utility_DisplayArrayInTable(Common_SourceData.Common_SourceData_ConvertGasElementalToMolecular_Data(),Table_GasToMolecularConversionFactor[[#Headers],[Gas]], 0)</f>
        <v>16</v>
      </c>
      <c r="G49" s="24" cm="1">
        <f t="array" ref="G49">Common_InputFunctions.Utility_DisplayArrayInTable(Common_SourceData.Common_SourceData_ConvertGasElementalToMolecular_Data(),Table_GasToMolecularConversionFactor[[#Headers],[Gas]], 0)</f>
        <v>12</v>
      </c>
      <c r="H49" s="24">
        <f>Table_GasToMolecularConversionFactor[[#This Row],[Conversion factor 1]]/Table_GasToMolecularConversionFactor[[#This Row],[Conversion factor 2]]</f>
        <v>1.3333333333333333</v>
      </c>
    </row>
    <row r="50" spans="1:8" ht="20.100000000000001" customHeight="1" x14ac:dyDescent="0.25">
      <c r="A50"/>
      <c r="D50" s="24" t="str" cm="1">
        <f t="array" ref="D50">Common_InputFunctions.Utility_DisplayArrayInTable(Common_SourceData.Common_SourceData_ConvertGasElementalToMolecular_Data(),Table_GasToMolecularConversionFactor[[#Headers],[Gas]], 0)</f>
        <v>N2O</v>
      </c>
      <c r="E50" s="24" t="str" cm="1">
        <f t="array" ref="E50">Common_InputFunctions.Utility_DisplayArrayInTable(Common_SourceData.Common_SourceData_ConvertGasElementalToMolecular_Data(),Table_GasToMolecularConversionFactor[[#Headers],[Gas]], 0)</f>
        <v>44/28</v>
      </c>
      <c r="F50" s="24" cm="1">
        <f t="array" ref="F50">Common_InputFunctions.Utility_DisplayArrayInTable(Common_SourceData.Common_SourceData_ConvertGasElementalToMolecular_Data(),Table_GasToMolecularConversionFactor[[#Headers],[Gas]], 0)</f>
        <v>44</v>
      </c>
      <c r="G50" s="24" cm="1">
        <f t="array" ref="G50">Common_InputFunctions.Utility_DisplayArrayInTable(Common_SourceData.Common_SourceData_ConvertGasElementalToMolecular_Data(),Table_GasToMolecularConversionFactor[[#Headers],[Gas]], 0)</f>
        <v>28</v>
      </c>
      <c r="H50" s="24">
        <f>Table_GasToMolecularConversionFactor[[#This Row],[Conversion factor 1]]/Table_GasToMolecularConversionFactor[[#This Row],[Conversion factor 2]]</f>
        <v>1.5714285714285714</v>
      </c>
    </row>
    <row r="51" spans="1:8" ht="20.100000000000001" customHeight="1" x14ac:dyDescent="0.25">
      <c r="A51"/>
      <c r="D51" s="24" t="str" cm="1">
        <f t="array" ref="D51">Common_InputFunctions.Utility_DisplayArrayInTable(Common_SourceData.Common_SourceData_ConvertGasElementalToMolecular_Data(),Table_GasToMolecularConversionFactor[[#Headers],[Gas]], 0)</f>
        <v>Nox</v>
      </c>
      <c r="E51" s="24" t="str" cm="1">
        <f t="array" ref="E51">Common_InputFunctions.Utility_DisplayArrayInTable(Common_SourceData.Common_SourceData_ConvertGasElementalToMolecular_Data(),Table_GasToMolecularConversionFactor[[#Headers],[Gas]], 0)</f>
        <v>46/14</v>
      </c>
      <c r="F51" s="24" cm="1">
        <f t="array" ref="F51">Common_InputFunctions.Utility_DisplayArrayInTable(Common_SourceData.Common_SourceData_ConvertGasElementalToMolecular_Data(),Table_GasToMolecularConversionFactor[[#Headers],[Gas]], 0)</f>
        <v>46</v>
      </c>
      <c r="G51" s="24" cm="1">
        <f t="array" ref="G51">Common_InputFunctions.Utility_DisplayArrayInTable(Common_SourceData.Common_SourceData_ConvertGasElementalToMolecular_Data(),Table_GasToMolecularConversionFactor[[#Headers],[Gas]], 0)</f>
        <v>14</v>
      </c>
      <c r="H51" s="24">
        <f>Table_GasToMolecularConversionFactor[[#This Row],[Conversion factor 1]]/Table_GasToMolecularConversionFactor[[#This Row],[Conversion factor 2]]</f>
        <v>3.2857142857142856</v>
      </c>
    </row>
    <row r="52" spans="1:8" ht="20.100000000000001" customHeight="1" x14ac:dyDescent="0.25">
      <c r="A52"/>
      <c r="D52" s="24" t="str" cm="1">
        <f t="array" ref="D52">Common_InputFunctions.Utility_DisplayArrayInTable(Common_SourceData.Common_SourceData_ConvertGasElementalToMolecular_Data(),Table_GasToMolecularConversionFactor[[#Headers],[Gas]], 0)</f>
        <v>CO</v>
      </c>
      <c r="E52" s="24" t="str" cm="1">
        <f t="array" ref="E52">Common_InputFunctions.Utility_DisplayArrayInTable(Common_SourceData.Common_SourceData_ConvertGasElementalToMolecular_Data(),Table_GasToMolecularConversionFactor[[#Headers],[Gas]], 0)</f>
        <v>28/12</v>
      </c>
      <c r="F52" s="24" cm="1">
        <f t="array" ref="F52">Common_InputFunctions.Utility_DisplayArrayInTable(Common_SourceData.Common_SourceData_ConvertGasElementalToMolecular_Data(),Table_GasToMolecularConversionFactor[[#Headers],[Gas]], 0)</f>
        <v>28</v>
      </c>
      <c r="G52" s="24" cm="1">
        <f t="array" ref="G52">Common_InputFunctions.Utility_DisplayArrayInTable(Common_SourceData.Common_SourceData_ConvertGasElementalToMolecular_Data(),Table_GasToMolecularConversionFactor[[#Headers],[Gas]], 0)</f>
        <v>12</v>
      </c>
      <c r="H52" s="24">
        <f>Table_GasToMolecularConversionFactor[[#This Row],[Conversion factor 1]]/Table_GasToMolecularConversionFactor[[#This Row],[Conversion factor 2]]</f>
        <v>2.3333333333333335</v>
      </c>
    </row>
    <row r="53" spans="1:8" ht="20.100000000000001" customHeight="1" x14ac:dyDescent="0.25">
      <c r="A53"/>
      <c r="D53" s="24" t="str" cm="1">
        <f t="array" ref="D53">Common_InputFunctions.Utility_DisplayArrayInTable(Common_SourceData.Common_SourceData_ConvertGasElementalToMolecular_Data(),Table_GasToMolecularConversionFactor[[#Headers],[Gas]], 0)</f>
        <v>CO2 Lime</v>
      </c>
      <c r="E53" s="24" t="str" cm="1">
        <f t="array" ref="E53">Common_InputFunctions.Utility_DisplayArrayInTable(Common_SourceData.Common_SourceData_ConvertGasElementalToMolecular_Data(),Table_GasToMolecularConversionFactor[[#Headers],[Gas]], 0)</f>
        <v>44/12</v>
      </c>
      <c r="F53" s="24" cm="1">
        <f t="array" ref="F53">Common_InputFunctions.Utility_DisplayArrayInTable(Common_SourceData.Common_SourceData_ConvertGasElementalToMolecular_Data(),Table_GasToMolecularConversionFactor[[#Headers],[Gas]], 0)</f>
        <v>44</v>
      </c>
      <c r="G53" s="24" cm="1">
        <f t="array" ref="G53">Common_InputFunctions.Utility_DisplayArrayInTable(Common_SourceData.Common_SourceData_ConvertGasElementalToMolecular_Data(),Table_GasToMolecularConversionFactor[[#Headers],[Gas]], 0)</f>
        <v>12</v>
      </c>
      <c r="H53" s="24">
        <f>Table_GasToMolecularConversionFactor[[#This Row],[Conversion factor 1]]/Table_GasToMolecularConversionFactor[[#This Row],[Conversion factor 2]]</f>
        <v>3.6666666666666665</v>
      </c>
    </row>
    <row r="54" spans="1:8" ht="20.100000000000001" customHeight="1" x14ac:dyDescent="0.25">
      <c r="A54"/>
      <c r="D54" s="24" t="str" cm="1">
        <f t="array" ref="D54">Common_InputFunctions.Utility_DisplayArrayInTable(Common_SourceData.Common_SourceData_ConvertGasElementalToMolecular_Data(),Table_GasToMolecularConversionFactor[[#Headers],[Gas]], 0)</f>
        <v>NMVOC</v>
      </c>
      <c r="E54" s="24" t="str" cm="1">
        <f t="array" ref="E54">Common_InputFunctions.Utility_DisplayArrayInTable(Common_SourceData.Common_SourceData_ConvertGasElementalToMolecular_Data(),Table_GasToMolecularConversionFactor[[#Headers],[Gas]], 0)</f>
        <v>14/12</v>
      </c>
      <c r="F54" s="24" cm="1">
        <f t="array" ref="F54">Common_InputFunctions.Utility_DisplayArrayInTable(Common_SourceData.Common_SourceData_ConvertGasElementalToMolecular_Data(),Table_GasToMolecularConversionFactor[[#Headers],[Gas]], 0)</f>
        <v>14</v>
      </c>
      <c r="G54" s="24" cm="1">
        <f t="array" ref="G54">Common_InputFunctions.Utility_DisplayArrayInTable(Common_SourceData.Common_SourceData_ConvertGasElementalToMolecular_Data(),Table_GasToMolecularConversionFactor[[#Headers],[Gas]], 0)</f>
        <v>12</v>
      </c>
      <c r="H54" s="24">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5" t="str" cm="1">
        <f t="array" ref="D57">Common_SourceData.Common_SourceData_WetAndDryZones_Title()</f>
        <v>VEERG Australian wet and dry zones</v>
      </c>
    </row>
    <row r="58" spans="1:8" ht="20.100000000000001" customHeight="1" x14ac:dyDescent="0.25">
      <c r="A58"/>
      <c r="D58" s="4" t="str" cm="1">
        <f t="array" ref="D58">Common_SourceData.Common_SourceData_WetAndDryZones_Source()</f>
        <v>VEERG 2026: Table 1.2: Translating climate zones to wet and dry zones</v>
      </c>
    </row>
    <row r="59" spans="1:8" ht="20.100000000000001" customHeight="1" x14ac:dyDescent="0.25">
      <c r="A59"/>
      <c r="D59" s="29" t="str" cm="1">
        <f t="array" ref="D59:D61">"⚠️" &amp; Common_SourceData.Common_SourceData_WetAndDryZones_Variation()</f>
        <v>⚠️VARIATION OF SOURCE DATA:</v>
      </c>
    </row>
    <row r="60" spans="1:8" ht="20.100000000000001" customHeight="1" x14ac:dyDescent="0.25">
      <c r="A60"/>
      <c r="D60" s="29" t="str">
        <v>⚠️Added warm / cool temperate moist / dry - low frost and high temp classes to accommodate climate scenarios excluded by VEERG criteria.</v>
      </c>
    </row>
    <row r="61" spans="1:8" ht="20.100000000000001" customHeight="1" x14ac:dyDescent="0.25">
      <c r="A61"/>
      <c r="D61" s="29" t="str">
        <v>⚠️Fixed typo - Changed 'Fry' to 'Dry'.</v>
      </c>
    </row>
    <row r="62" spans="1:8" ht="20.100000000000001" customHeight="1" x14ac:dyDescent="0.25">
      <c r="A62"/>
    </row>
    <row r="63" spans="1:8" ht="20.100000000000001" customHeight="1" x14ac:dyDescent="0.25">
      <c r="A63"/>
      <c r="D63" s="24" t="s">
        <v>3</v>
      </c>
      <c r="E63" s="24" t="s">
        <v>30</v>
      </c>
    </row>
    <row r="64" spans="1:8" ht="20.100000000000001" customHeight="1" x14ac:dyDescent="0.25">
      <c r="A64"/>
      <c r="D64" s="24" t="str" cm="1">
        <f t="array" ref="D64">Common_InputFunctions.Utility_DisplayArrayInTable(Common_SourceData.Common_SourceData_WetAndDryZones_Data(), Table_SourceData_WetDryZones[[#Headers],[Climate zone]], 0)</f>
        <v>Tropical montane</v>
      </c>
      <c r="E64" s="24"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4" t="str" cm="1">
        <f t="array" ref="D65">Common_InputFunctions.Utility_DisplayArrayInTable(Common_SourceData.Common_SourceData_WetAndDryZones_Data(), Table_SourceData_WetDryZones[[#Headers],[Climate zone]], 0)</f>
        <v>Tropical wet</v>
      </c>
      <c r="E65" s="24"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4" t="str" cm="1">
        <f t="array" ref="D66">Common_InputFunctions.Utility_DisplayArrayInTable(Common_SourceData.Common_SourceData_WetAndDryZones_Data(), Table_SourceData_WetDryZones[[#Headers],[Climate zone]], 0)</f>
        <v>Tropical moist</v>
      </c>
      <c r="E66" s="24"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4" t="str" cm="1">
        <f t="array" ref="D67">Common_InputFunctions.Utility_DisplayArrayInTable(Common_SourceData.Common_SourceData_WetAndDryZones_Data(), Table_SourceData_WetDryZones[[#Headers],[Climate zone]], 0)</f>
        <v>Tropical dry</v>
      </c>
      <c r="E67" s="24"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4" t="str" cm="1">
        <f t="array" ref="D68">Common_InputFunctions.Utility_DisplayArrayInTable(Common_SourceData.Common_SourceData_WetAndDryZones_Data(), Table_SourceData_WetDryZones[[#Headers],[Climate zone]], 0)</f>
        <v>Warm temperate moist</v>
      </c>
      <c r="E68" s="24"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4" t="str" cm="1">
        <f t="array" ref="D69">Common_InputFunctions.Utility_DisplayArrayInTable(Common_SourceData.Common_SourceData_WetAndDryZones_Data(), Table_SourceData_WetDryZones[[#Headers],[Climate zone]], 0)</f>
        <v>Warm temperate dry</v>
      </c>
      <c r="E69" s="24"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4" t="str" cm="1">
        <f t="array" ref="D70">Common_InputFunctions.Utility_DisplayArrayInTable(Common_SourceData.Common_SourceData_WetAndDryZones_Data(), Table_SourceData_WetDryZones[[#Headers],[Climate zone]], 0)</f>
        <v>Cool temperate moist</v>
      </c>
      <c r="E70" s="24"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4" t="str" cm="1">
        <f t="array" ref="D71">Common_InputFunctions.Utility_DisplayArrayInTable(Common_SourceData.Common_SourceData_WetAndDryZones_Data(), Table_SourceData_WetDryZones[[#Headers],[Climate zone]], 0)</f>
        <v>Cool temperate dry</v>
      </c>
      <c r="E71" s="24"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4" t="str" cm="1">
        <f t="array" ref="D72">Common_InputFunctions.Utility_DisplayArrayInTable(Common_SourceData.Common_SourceData_WetAndDryZones_Data(), Table_SourceData_WetDryZones[[#Headers],[Climate zone]], 0)</f>
        <v>Warm temperate moist - low frost</v>
      </c>
      <c r="E72" s="24"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4" t="str" cm="1">
        <f t="array" ref="D73">Common_InputFunctions.Utility_DisplayArrayInTable(Common_SourceData.Common_SourceData_WetAndDryZones_Data(), Table_SourceData_WetDryZones[[#Headers],[Climate zone]], 0)</f>
        <v>Warm temperate dry - low frost</v>
      </c>
      <c r="E73" s="24"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4" t="str" cm="1">
        <f t="array" ref="D74">Common_InputFunctions.Utility_DisplayArrayInTable(Common_SourceData.Common_SourceData_WetAndDryZones_Data(), Table_SourceData_WetDryZones[[#Headers],[Climate zone]], 0)</f>
        <v>Warm temperate moist - high temp</v>
      </c>
      <c r="E74" s="24"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4" t="str" cm="1">
        <f t="array" ref="D75">Common_InputFunctions.Utility_DisplayArrayInTable(Common_SourceData.Common_SourceData_WetAndDryZones_Data(), Table_SourceData_WetDryZones[[#Headers],[Climate zone]], 0)</f>
        <v>Warm temperate dry - high temp</v>
      </c>
      <c r="E75" s="24"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4" t="str" cm="1">
        <f t="array" ref="D76">Common_InputFunctions.Utility_DisplayArrayInTable(Common_SourceData.Common_SourceData_WetAndDryZones_Data(), Table_SourceData_WetDryZones[[#Headers],[Climate zone]], 0)</f>
        <v>Cool temperate moist - low frost</v>
      </c>
      <c r="E76" s="24"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4" t="str" cm="1">
        <f t="array" ref="D77">Common_InputFunctions.Utility_DisplayArrayInTable(Common_SourceData.Common_SourceData_WetAndDryZones_Data(), Table_SourceData_WetDryZones[[#Headers],[Climate zone]], 0)</f>
        <v>Cool temperate dry - low frost</v>
      </c>
      <c r="E77" s="24"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5" t="str" cm="1">
        <f t="array" ref="D81">Common_SourceData.Common_SourceData_ClimateZones_Title()</f>
        <v>VEERG Australian climate zones</v>
      </c>
    </row>
    <row r="82" spans="1:20" ht="20.100000000000001" customHeight="1" x14ac:dyDescent="0.25">
      <c r="A82"/>
      <c r="D82" s="4" t="str" cm="1">
        <f t="array" ref="D82">Common_SourceData.Common_SourceData_ClimateZones_Source()</f>
        <v>VEERG 2026: Table 1.3: Climate and Rainfall zone classifications and definitions</v>
      </c>
    </row>
    <row r="83" spans="1:20" ht="20.100000000000001" customHeight="1" x14ac:dyDescent="0.25">
      <c r="A83"/>
      <c r="D83" s="29" t="str" cm="1">
        <f t="array" ref="D83:D87">"⚠️" &amp; Common_SourceData.Common_SourceData_ClimateZones_Variation()</f>
        <v>⚠️VARIATION OF SOURCE DATA:</v>
      </c>
    </row>
    <row r="84" spans="1:20" ht="20.100000000000001" customHeight="1" x14ac:dyDescent="0.25">
      <c r="A84"/>
      <c r="D84" s="29" t="str">
        <v>⚠️Added warm / cool temperate moist / dry - low frost and high temp classes to accommodate climate scenarios excluded by VEERG criteria.</v>
      </c>
    </row>
    <row r="85" spans="1:20" ht="20.100000000000001" customHeight="1" x14ac:dyDescent="0.25">
      <c r="A85"/>
      <c r="D85" s="29" t="str">
        <v>⚠️Fixed typo in MAT value for warm temperate dry - changed 10 to 11.</v>
      </c>
    </row>
    <row r="86" spans="1:20" ht="20.100000000000001" customHeight="1" x14ac:dyDescent="0.25">
      <c r="A86"/>
      <c r="D86" s="29" t="str">
        <v>⚠️Added min and max columns for MAT, MAP, frost days per year, elevation, MAP:PET to calculate zones from real climate data.</v>
      </c>
    </row>
    <row r="87" spans="1:20" ht="20.100000000000001" customHeight="1" x14ac:dyDescent="0.25">
      <c r="A87"/>
      <c r="D87" s="29" t="str">
        <v>⚠️GAF accepts rainfall as a proxy for precipitation.</v>
      </c>
    </row>
    <row r="88" spans="1:20" ht="20.100000000000001" customHeight="1" x14ac:dyDescent="0.25">
      <c r="A88"/>
    </row>
    <row r="89" spans="1:20" ht="20.100000000000001" customHeight="1" x14ac:dyDescent="0.25">
      <c r="A89"/>
      <c r="D89" s="24" t="s">
        <v>3</v>
      </c>
      <c r="E89" s="24" t="s">
        <v>18</v>
      </c>
      <c r="F89" s="24" t="s">
        <v>19</v>
      </c>
      <c r="G89" s="24" t="s">
        <v>20</v>
      </c>
      <c r="H89" s="24" t="s">
        <v>21</v>
      </c>
      <c r="I89" s="24" t="s">
        <v>22</v>
      </c>
      <c r="J89" s="24" t="s">
        <v>23</v>
      </c>
      <c r="K89" s="24" t="s">
        <v>24</v>
      </c>
      <c r="L89" s="24" t="s">
        <v>25</v>
      </c>
      <c r="M89" s="24" t="s">
        <v>26</v>
      </c>
      <c r="N89" s="24" t="s">
        <v>27</v>
      </c>
      <c r="O89" s="24" t="s">
        <v>31</v>
      </c>
      <c r="P89" s="24" t="s">
        <v>28</v>
      </c>
      <c r="Q89" s="24" t="s">
        <v>32</v>
      </c>
      <c r="R89" s="24" t="s">
        <v>29</v>
      </c>
      <c r="S89" s="24" t="s">
        <v>33</v>
      </c>
      <c r="T89" s="24"/>
    </row>
    <row r="90" spans="1:20" ht="20.100000000000001" customHeight="1" x14ac:dyDescent="0.25">
      <c r="A90"/>
      <c r="D90" s="24" t="str" cm="1">
        <f t="array" ref="D90">Common_InputFunctions.Utility_DisplayArrayInTable(Common_SourceData.Common_SourceData_ClimateZones_Data(), Table_SourceData_ClimateZones[[#Headers],[Climate zone]], 0)</f>
        <v>Tropical montane</v>
      </c>
      <c r="E90" s="24" t="str" cm="1">
        <f t="array" ref="E90">Common_InputFunctions.Utility_DisplayArrayInTable(Common_SourceData.Common_SourceData_ClimateZones_Data(), Table_SourceData_ClimateZones[[#Headers],[Climate zone]], 0)</f>
        <v>&gt; 18 C</v>
      </c>
      <c r="F90" s="24" t="str" cm="1">
        <f t="array" ref="F90">Common_InputFunctions.Utility_DisplayArrayInTable(Common_SourceData.Common_SourceData_ClimateZones_Data(), Table_SourceData_ClimateZones[[#Headers],[Climate zone]], 0)</f>
        <v>Any</v>
      </c>
      <c r="G90" s="24" t="str" cm="1">
        <f t="array" ref="G90">Common_InputFunctions.Utility_DisplayArrayInTable(Common_SourceData.Common_SourceData_ClimateZones_Data(), Table_SourceData_ClimateZones[[#Headers],[Climate zone]], 0)</f>
        <v>≤ 7</v>
      </c>
      <c r="H90" s="24" t="str" cm="1">
        <f t="array" ref="H90">Common_InputFunctions.Utility_DisplayArrayInTable(Common_SourceData.Common_SourceData_ClimateZones_Data(), Table_SourceData_ClimateZones[[#Headers],[Climate zone]], 0)</f>
        <v>&gt; 1000 m</v>
      </c>
      <c r="I90" s="24" t="str" cm="1">
        <f t="array" ref="I90">Common_InputFunctions.Utility_DisplayArrayInTable(Common_SourceData.Common_SourceData_ClimateZones_Data(), Table_SourceData_ClimateZones[[#Headers],[Climate zone]], 0)</f>
        <v>Any</v>
      </c>
      <c r="J90" s="24" cm="1">
        <f t="array" ref="J90">Common_InputFunctions.Utility_DisplayArrayInTable(Common_SourceData.Common_SourceData_ClimateZones_Data(), Table_SourceData_ClimateZones[[#Headers],[Climate zone]], 0)</f>
        <v>18.001000000000001</v>
      </c>
      <c r="K90" s="24" cm="1">
        <f t="array" ref="K90">Common_InputFunctions.Utility_DisplayArrayInTable(Common_SourceData.Common_SourceData_ClimateZones_Data(), Table_SourceData_ClimateZones[[#Headers],[Climate zone]], 0)</f>
        <v>999999</v>
      </c>
      <c r="L90" s="24" cm="1">
        <f t="array" ref="L90">Common_InputFunctions.Utility_DisplayArrayInTable(Common_SourceData.Common_SourceData_ClimateZones_Data(), Table_SourceData_ClimateZones[[#Headers],[Climate zone]], 0)</f>
        <v>-999999</v>
      </c>
      <c r="M90" s="24" cm="1">
        <f t="array" ref="M90">Common_InputFunctions.Utility_DisplayArrayInTable(Common_SourceData.Common_SourceData_ClimateZones_Data(), Table_SourceData_ClimateZones[[#Headers],[Climate zone]], 0)</f>
        <v>999999</v>
      </c>
      <c r="N90" s="24" cm="1">
        <f t="array" ref="N90">Common_InputFunctions.Utility_DisplayArrayInTable(Common_SourceData.Common_SourceData_ClimateZones_Data(), Table_SourceData_ClimateZones[[#Headers],[Climate zone]], 0)</f>
        <v>-999999</v>
      </c>
      <c r="O90" s="24" cm="1">
        <f t="array" ref="O90">Common_InputFunctions.Utility_DisplayArrayInTable(Common_SourceData.Common_SourceData_ClimateZones_Data(), Table_SourceData_ClimateZones[[#Headers],[Climate zone]], 0)</f>
        <v>7</v>
      </c>
      <c r="P90" s="24" cm="1">
        <f t="array" ref="P90">Common_InputFunctions.Utility_DisplayArrayInTable(Common_SourceData.Common_SourceData_ClimateZones_Data(), Table_SourceData_ClimateZones[[#Headers],[Climate zone]], 0)</f>
        <v>1000</v>
      </c>
      <c r="Q90" s="24" cm="1">
        <f t="array" ref="Q90">Common_InputFunctions.Utility_DisplayArrayInTable(Common_SourceData.Common_SourceData_ClimateZones_Data(), Table_SourceData_ClimateZones[[#Headers],[Climate zone]], 0)</f>
        <v>999999</v>
      </c>
      <c r="R90" s="24" cm="1">
        <f t="array" ref="R90">Common_InputFunctions.Utility_DisplayArrayInTable(Common_SourceData.Common_SourceData_ClimateZones_Data(), Table_SourceData_ClimateZones[[#Headers],[Climate zone]], 0)</f>
        <v>-999999</v>
      </c>
      <c r="S90" s="24" cm="1">
        <f t="array" ref="S90">Common_InputFunctions.Utility_DisplayArrayInTable(Common_SourceData.Common_SourceData_ClimateZones_Data(), Table_SourceData_ClimateZones[[#Headers],[Climate zone]], 0)</f>
        <v>999999</v>
      </c>
      <c r="T90" s="24"/>
    </row>
    <row r="91" spans="1:20" ht="20.100000000000001" customHeight="1" x14ac:dyDescent="0.25">
      <c r="A91"/>
      <c r="D91" s="24" t="str" cm="1">
        <f t="array" ref="D91">Common_InputFunctions.Utility_DisplayArrayInTable(Common_SourceData.Common_SourceData_ClimateZones_Data(), Table_SourceData_ClimateZones[[#Headers],[Climate zone]], 0)</f>
        <v>Tropical wet</v>
      </c>
      <c r="E91" s="24" t="str" cm="1">
        <f t="array" ref="E91">Common_InputFunctions.Utility_DisplayArrayInTable(Common_SourceData.Common_SourceData_ClimateZones_Data(), Table_SourceData_ClimateZones[[#Headers],[Climate zone]], 0)</f>
        <v>&gt; 18 C</v>
      </c>
      <c r="F91" s="24" t="str" cm="1">
        <f t="array" ref="F91">Common_InputFunctions.Utility_DisplayArrayInTable(Common_SourceData.Common_SourceData_ClimateZones_Data(), Table_SourceData_ClimateZones[[#Headers],[Climate zone]], 0)</f>
        <v>&gt; 2000 mm</v>
      </c>
      <c r="G91" s="24" t="str" cm="1">
        <f t="array" ref="G91">Common_InputFunctions.Utility_DisplayArrayInTable(Common_SourceData.Common_SourceData_ClimateZones_Data(), Table_SourceData_ClimateZones[[#Headers],[Climate zone]], 0)</f>
        <v>≤ 7</v>
      </c>
      <c r="H91" s="24" t="str" cm="1">
        <f t="array" ref="H91">Common_InputFunctions.Utility_DisplayArrayInTable(Common_SourceData.Common_SourceData_ClimateZones_Data(), Table_SourceData_ClimateZones[[#Headers],[Climate zone]], 0)</f>
        <v>≤ 1000 m</v>
      </c>
      <c r="I91" s="24" t="str" cm="1">
        <f t="array" ref="I91">Common_InputFunctions.Utility_DisplayArrayInTable(Common_SourceData.Common_SourceData_ClimateZones_Data(), Table_SourceData_ClimateZones[[#Headers],[Climate zone]], 0)</f>
        <v>Any</v>
      </c>
      <c r="J91" s="24" cm="1">
        <f t="array" ref="J91">Common_InputFunctions.Utility_DisplayArrayInTable(Common_SourceData.Common_SourceData_ClimateZones_Data(), Table_SourceData_ClimateZones[[#Headers],[Climate zone]], 0)</f>
        <v>18.001000000000001</v>
      </c>
      <c r="K91" s="24" cm="1">
        <f t="array" ref="K91">Common_InputFunctions.Utility_DisplayArrayInTable(Common_SourceData.Common_SourceData_ClimateZones_Data(), Table_SourceData_ClimateZones[[#Headers],[Climate zone]], 0)</f>
        <v>999999</v>
      </c>
      <c r="L91" s="24" cm="1">
        <f t="array" ref="L91">Common_InputFunctions.Utility_DisplayArrayInTable(Common_SourceData.Common_SourceData_ClimateZones_Data(), Table_SourceData_ClimateZones[[#Headers],[Climate zone]], 0)</f>
        <v>2000.001</v>
      </c>
      <c r="M91" s="24" cm="1">
        <f t="array" ref="M91">Common_InputFunctions.Utility_DisplayArrayInTable(Common_SourceData.Common_SourceData_ClimateZones_Data(), Table_SourceData_ClimateZones[[#Headers],[Climate zone]], 0)</f>
        <v>999999</v>
      </c>
      <c r="N91" s="24" cm="1">
        <f t="array" ref="N91">Common_InputFunctions.Utility_DisplayArrayInTable(Common_SourceData.Common_SourceData_ClimateZones_Data(), Table_SourceData_ClimateZones[[#Headers],[Climate zone]], 0)</f>
        <v>-999999</v>
      </c>
      <c r="O91" s="24" cm="1">
        <f t="array" ref="O91">Common_InputFunctions.Utility_DisplayArrayInTable(Common_SourceData.Common_SourceData_ClimateZones_Data(), Table_SourceData_ClimateZones[[#Headers],[Climate zone]], 0)</f>
        <v>7</v>
      </c>
      <c r="P91" s="24" cm="1">
        <f t="array" ref="P91">Common_InputFunctions.Utility_DisplayArrayInTable(Common_SourceData.Common_SourceData_ClimateZones_Data(), Table_SourceData_ClimateZones[[#Headers],[Climate zone]], 0)</f>
        <v>-999999</v>
      </c>
      <c r="Q91" s="24" cm="1">
        <f t="array" ref="Q91">Common_InputFunctions.Utility_DisplayArrayInTable(Common_SourceData.Common_SourceData_ClimateZones_Data(), Table_SourceData_ClimateZones[[#Headers],[Climate zone]], 0)</f>
        <v>999.99900000000002</v>
      </c>
      <c r="R91" s="24" cm="1">
        <f t="array" ref="R91">Common_InputFunctions.Utility_DisplayArrayInTable(Common_SourceData.Common_SourceData_ClimateZones_Data(), Table_SourceData_ClimateZones[[#Headers],[Climate zone]], 0)</f>
        <v>-999999</v>
      </c>
      <c r="S91" s="24" cm="1">
        <f t="array" ref="S91">Common_InputFunctions.Utility_DisplayArrayInTable(Common_SourceData.Common_SourceData_ClimateZones_Data(), Table_SourceData_ClimateZones[[#Headers],[Climate zone]], 0)</f>
        <v>999999</v>
      </c>
      <c r="T91" s="24"/>
    </row>
    <row r="92" spans="1:20" ht="20.100000000000001" customHeight="1" x14ac:dyDescent="0.25">
      <c r="A92"/>
      <c r="D92" s="24" t="str" cm="1">
        <f t="array" ref="D92">Common_InputFunctions.Utility_DisplayArrayInTable(Common_SourceData.Common_SourceData_ClimateZones_Data(), Table_SourceData_ClimateZones[[#Headers],[Climate zone]], 0)</f>
        <v>Tropical moist</v>
      </c>
      <c r="E92" s="24" t="str" cm="1">
        <f t="array" ref="E92">Common_InputFunctions.Utility_DisplayArrayInTable(Common_SourceData.Common_SourceData_ClimateZones_Data(), Table_SourceData_ClimateZones[[#Headers],[Climate zone]], 0)</f>
        <v>&gt; 18 C</v>
      </c>
      <c r="F92" s="24" t="str" cm="1">
        <f t="array" ref="F92">Common_InputFunctions.Utility_DisplayArrayInTable(Common_SourceData.Common_SourceData_ClimateZones_Data(), Table_SourceData_ClimateZones[[#Headers],[Climate zone]], 0)</f>
        <v>&gt; 1000 mm - ≤ 2000 mm</v>
      </c>
      <c r="G92" s="24" t="str" cm="1">
        <f t="array" ref="G92">Common_InputFunctions.Utility_DisplayArrayInTable(Common_SourceData.Common_SourceData_ClimateZones_Data(), Table_SourceData_ClimateZones[[#Headers],[Climate zone]], 0)</f>
        <v>≤ 7</v>
      </c>
      <c r="H92" s="24" t="str" cm="1">
        <f t="array" ref="H92">Common_InputFunctions.Utility_DisplayArrayInTable(Common_SourceData.Common_SourceData_ClimateZones_Data(), Table_SourceData_ClimateZones[[#Headers],[Climate zone]], 0)</f>
        <v>≤ 1000 m</v>
      </c>
      <c r="I92" s="24" t="str" cm="1">
        <f t="array" ref="I92">Common_InputFunctions.Utility_DisplayArrayInTable(Common_SourceData.Common_SourceData_ClimateZones_Data(), Table_SourceData_ClimateZones[[#Headers],[Climate zone]], 0)</f>
        <v>Any</v>
      </c>
      <c r="J92" s="24" cm="1">
        <f t="array" ref="J92">Common_InputFunctions.Utility_DisplayArrayInTable(Common_SourceData.Common_SourceData_ClimateZones_Data(), Table_SourceData_ClimateZones[[#Headers],[Climate zone]], 0)</f>
        <v>18.001000000000001</v>
      </c>
      <c r="K92" s="24" cm="1">
        <f t="array" ref="K92">Common_InputFunctions.Utility_DisplayArrayInTable(Common_SourceData.Common_SourceData_ClimateZones_Data(), Table_SourceData_ClimateZones[[#Headers],[Climate zone]], 0)</f>
        <v>999999</v>
      </c>
      <c r="L92" s="24" cm="1">
        <f t="array" ref="L92">Common_InputFunctions.Utility_DisplayArrayInTable(Common_SourceData.Common_SourceData_ClimateZones_Data(), Table_SourceData_ClimateZones[[#Headers],[Climate zone]], 0)</f>
        <v>1000.001</v>
      </c>
      <c r="M92" s="24" cm="1">
        <f t="array" ref="M92">Common_InputFunctions.Utility_DisplayArrayInTable(Common_SourceData.Common_SourceData_ClimateZones_Data(), Table_SourceData_ClimateZones[[#Headers],[Climate zone]], 0)</f>
        <v>2000</v>
      </c>
      <c r="N92" s="24" cm="1">
        <f t="array" ref="N92">Common_InputFunctions.Utility_DisplayArrayInTable(Common_SourceData.Common_SourceData_ClimateZones_Data(), Table_SourceData_ClimateZones[[#Headers],[Climate zone]], 0)</f>
        <v>-999999</v>
      </c>
      <c r="O92" s="24" cm="1">
        <f t="array" ref="O92">Common_InputFunctions.Utility_DisplayArrayInTable(Common_SourceData.Common_SourceData_ClimateZones_Data(), Table_SourceData_ClimateZones[[#Headers],[Climate zone]], 0)</f>
        <v>7</v>
      </c>
      <c r="P92" s="24" cm="1">
        <f t="array" ref="P92">Common_InputFunctions.Utility_DisplayArrayInTable(Common_SourceData.Common_SourceData_ClimateZones_Data(), Table_SourceData_ClimateZones[[#Headers],[Climate zone]], 0)</f>
        <v>-999999</v>
      </c>
      <c r="Q92" s="24" cm="1">
        <f t="array" ref="Q92">Common_InputFunctions.Utility_DisplayArrayInTable(Common_SourceData.Common_SourceData_ClimateZones_Data(), Table_SourceData_ClimateZones[[#Headers],[Climate zone]], 0)</f>
        <v>999.99900000000002</v>
      </c>
      <c r="R92" s="24" cm="1">
        <f t="array" ref="R92">Common_InputFunctions.Utility_DisplayArrayInTable(Common_SourceData.Common_SourceData_ClimateZones_Data(), Table_SourceData_ClimateZones[[#Headers],[Climate zone]], 0)</f>
        <v>-999999</v>
      </c>
      <c r="S92" s="24" cm="1">
        <f t="array" ref="S92">Common_InputFunctions.Utility_DisplayArrayInTable(Common_SourceData.Common_SourceData_ClimateZones_Data(), Table_SourceData_ClimateZones[[#Headers],[Climate zone]], 0)</f>
        <v>999999</v>
      </c>
      <c r="T92" s="24"/>
    </row>
    <row r="93" spans="1:20" ht="20.100000000000001" customHeight="1" x14ac:dyDescent="0.25">
      <c r="A93"/>
      <c r="D93" s="24" t="str" cm="1">
        <f t="array" ref="D93">Common_InputFunctions.Utility_DisplayArrayInTable(Common_SourceData.Common_SourceData_ClimateZones_Data(), Table_SourceData_ClimateZones[[#Headers],[Climate zone]], 0)</f>
        <v>Tropical dry</v>
      </c>
      <c r="E93" s="24" t="str" cm="1">
        <f t="array" ref="E93">Common_InputFunctions.Utility_DisplayArrayInTable(Common_SourceData.Common_SourceData_ClimateZones_Data(), Table_SourceData_ClimateZones[[#Headers],[Climate zone]], 0)</f>
        <v>&gt; 18 C</v>
      </c>
      <c r="F93" s="24" t="str" cm="1">
        <f t="array" ref="F93">Common_InputFunctions.Utility_DisplayArrayInTable(Common_SourceData.Common_SourceData_ClimateZones_Data(), Table_SourceData_ClimateZones[[#Headers],[Climate zone]], 0)</f>
        <v>≤ 1000 mm</v>
      </c>
      <c r="G93" s="24" t="str" cm="1">
        <f t="array" ref="G93">Common_InputFunctions.Utility_DisplayArrayInTable(Common_SourceData.Common_SourceData_ClimateZones_Data(), Table_SourceData_ClimateZones[[#Headers],[Climate zone]], 0)</f>
        <v>≤ 7</v>
      </c>
      <c r="H93" s="24" t="str" cm="1">
        <f t="array" ref="H93">Common_InputFunctions.Utility_DisplayArrayInTable(Common_SourceData.Common_SourceData_ClimateZones_Data(), Table_SourceData_ClimateZones[[#Headers],[Climate zone]], 0)</f>
        <v>≤ 1000 m</v>
      </c>
      <c r="I93" s="24" t="str" cm="1">
        <f t="array" ref="I93">Common_InputFunctions.Utility_DisplayArrayInTable(Common_SourceData.Common_SourceData_ClimateZones_Data(), Table_SourceData_ClimateZones[[#Headers],[Climate zone]], 0)</f>
        <v>Any</v>
      </c>
      <c r="J93" s="24" cm="1">
        <f t="array" ref="J93">Common_InputFunctions.Utility_DisplayArrayInTable(Common_SourceData.Common_SourceData_ClimateZones_Data(), Table_SourceData_ClimateZones[[#Headers],[Climate zone]], 0)</f>
        <v>18.001000000000001</v>
      </c>
      <c r="K93" s="24" cm="1">
        <f t="array" ref="K93">Common_InputFunctions.Utility_DisplayArrayInTable(Common_SourceData.Common_SourceData_ClimateZones_Data(), Table_SourceData_ClimateZones[[#Headers],[Climate zone]], 0)</f>
        <v>999999</v>
      </c>
      <c r="L93" s="24" cm="1">
        <f t="array" ref="L93">Common_InputFunctions.Utility_DisplayArrayInTable(Common_SourceData.Common_SourceData_ClimateZones_Data(), Table_SourceData_ClimateZones[[#Headers],[Climate zone]], 0)</f>
        <v>-999999</v>
      </c>
      <c r="M93" s="24" cm="1">
        <f t="array" ref="M93">Common_InputFunctions.Utility_DisplayArrayInTable(Common_SourceData.Common_SourceData_ClimateZones_Data(), Table_SourceData_ClimateZones[[#Headers],[Climate zone]], 0)</f>
        <v>1000</v>
      </c>
      <c r="N93" s="24" cm="1">
        <f t="array" ref="N93">Common_InputFunctions.Utility_DisplayArrayInTable(Common_SourceData.Common_SourceData_ClimateZones_Data(), Table_SourceData_ClimateZones[[#Headers],[Climate zone]], 0)</f>
        <v>-999999</v>
      </c>
      <c r="O93" s="24" cm="1">
        <f t="array" ref="O93">Common_InputFunctions.Utility_DisplayArrayInTable(Common_SourceData.Common_SourceData_ClimateZones_Data(), Table_SourceData_ClimateZones[[#Headers],[Climate zone]], 0)</f>
        <v>7</v>
      </c>
      <c r="P93" s="24" cm="1">
        <f t="array" ref="P93">Common_InputFunctions.Utility_DisplayArrayInTable(Common_SourceData.Common_SourceData_ClimateZones_Data(), Table_SourceData_ClimateZones[[#Headers],[Climate zone]], 0)</f>
        <v>-999999</v>
      </c>
      <c r="Q93" s="24" cm="1">
        <f t="array" ref="Q93">Common_InputFunctions.Utility_DisplayArrayInTable(Common_SourceData.Common_SourceData_ClimateZones_Data(), Table_SourceData_ClimateZones[[#Headers],[Climate zone]], 0)</f>
        <v>999.99900000000002</v>
      </c>
      <c r="R93" s="24" cm="1">
        <f t="array" ref="R93">Common_InputFunctions.Utility_DisplayArrayInTable(Common_SourceData.Common_SourceData_ClimateZones_Data(), Table_SourceData_ClimateZones[[#Headers],[Climate zone]], 0)</f>
        <v>-999999</v>
      </c>
      <c r="S93" s="24" cm="1">
        <f t="array" ref="S93">Common_InputFunctions.Utility_DisplayArrayInTable(Common_SourceData.Common_SourceData_ClimateZones_Data(), Table_SourceData_ClimateZones[[#Headers],[Climate zone]], 0)</f>
        <v>999999</v>
      </c>
      <c r="T93" s="24"/>
    </row>
    <row r="94" spans="1:20" ht="20.100000000000001" customHeight="1" x14ac:dyDescent="0.25">
      <c r="A94"/>
      <c r="D94" s="24" t="str" cm="1">
        <f t="array" ref="D94">Common_InputFunctions.Utility_DisplayArrayInTable(Common_SourceData.Common_SourceData_ClimateZones_Data(), Table_SourceData_ClimateZones[[#Headers],[Climate zone]], 0)</f>
        <v>Warm temperate moist</v>
      </c>
      <c r="E94" s="24" t="str" cm="1">
        <f t="array" ref="E94">Common_InputFunctions.Utility_DisplayArrayInTable(Common_SourceData.Common_SourceData_ClimateZones_Data(), Table_SourceData_ClimateZones[[#Headers],[Climate zone]], 0)</f>
        <v>&gt; 10 C</v>
      </c>
      <c r="F94" s="24" t="str" cm="1">
        <f t="array" ref="F94">Common_InputFunctions.Utility_DisplayArrayInTable(Common_SourceData.Common_SourceData_ClimateZones_Data(), Table_SourceData_ClimateZones[[#Headers],[Climate zone]], 0)</f>
        <v>Any</v>
      </c>
      <c r="G94" s="24" t="str" cm="1">
        <f t="array" ref="G94">Common_InputFunctions.Utility_DisplayArrayInTable(Common_SourceData.Common_SourceData_ClimateZones_Data(), Table_SourceData_ClimateZones[[#Headers],[Climate zone]], 0)</f>
        <v>Any</v>
      </c>
      <c r="H94" s="24" t="str" cm="1">
        <f t="array" ref="H94">Common_InputFunctions.Utility_DisplayArrayInTable(Common_SourceData.Common_SourceData_ClimateZones_Data(), Table_SourceData_ClimateZones[[#Headers],[Climate zone]], 0)</f>
        <v>Any</v>
      </c>
      <c r="I94" s="24" t="str" cm="1">
        <f t="array" ref="I94">Common_InputFunctions.Utility_DisplayArrayInTable(Common_SourceData.Common_SourceData_ClimateZones_Data(), Table_SourceData_ClimateZones[[#Headers],[Climate zone]], 0)</f>
        <v>&gt; 1</v>
      </c>
      <c r="J94" s="24" cm="1">
        <f t="array" ref="J94">Common_InputFunctions.Utility_DisplayArrayInTable(Common_SourceData.Common_SourceData_ClimateZones_Data(), Table_SourceData_ClimateZones[[#Headers],[Climate zone]], 0)</f>
        <v>10.000999999999999</v>
      </c>
      <c r="K94" s="24" cm="1">
        <f t="array" ref="K94">Common_InputFunctions.Utility_DisplayArrayInTable(Common_SourceData.Common_SourceData_ClimateZones_Data(), Table_SourceData_ClimateZones[[#Headers],[Climate zone]], 0)</f>
        <v>999999</v>
      </c>
      <c r="L94" s="24" cm="1">
        <f t="array" ref="L94">Common_InputFunctions.Utility_DisplayArrayInTable(Common_SourceData.Common_SourceData_ClimateZones_Data(), Table_SourceData_ClimateZones[[#Headers],[Climate zone]], 0)</f>
        <v>-999999</v>
      </c>
      <c r="M94" s="24" cm="1">
        <f t="array" ref="M94">Common_InputFunctions.Utility_DisplayArrayInTable(Common_SourceData.Common_SourceData_ClimateZones_Data(), Table_SourceData_ClimateZones[[#Headers],[Climate zone]], 0)</f>
        <v>999999</v>
      </c>
      <c r="N94" s="24" cm="1">
        <f t="array" ref="N94">Common_InputFunctions.Utility_DisplayArrayInTable(Common_SourceData.Common_SourceData_ClimateZones_Data(), Table_SourceData_ClimateZones[[#Headers],[Climate zone]], 0)</f>
        <v>-999999</v>
      </c>
      <c r="O94" s="24" cm="1">
        <f t="array" ref="O94">Common_InputFunctions.Utility_DisplayArrayInTable(Common_SourceData.Common_SourceData_ClimateZones_Data(), Table_SourceData_ClimateZones[[#Headers],[Climate zone]], 0)</f>
        <v>999999</v>
      </c>
      <c r="P94" s="24" cm="1">
        <f t="array" ref="P94">Common_InputFunctions.Utility_DisplayArrayInTable(Common_SourceData.Common_SourceData_ClimateZones_Data(), Table_SourceData_ClimateZones[[#Headers],[Climate zone]], 0)</f>
        <v>-999999</v>
      </c>
      <c r="Q94" s="24" cm="1">
        <f t="array" ref="Q94">Common_InputFunctions.Utility_DisplayArrayInTable(Common_SourceData.Common_SourceData_ClimateZones_Data(), Table_SourceData_ClimateZones[[#Headers],[Climate zone]], 0)</f>
        <v>999999</v>
      </c>
      <c r="R94" s="24" cm="1">
        <f t="array" ref="R94">Common_InputFunctions.Utility_DisplayArrayInTable(Common_SourceData.Common_SourceData_ClimateZones_Data(), Table_SourceData_ClimateZones[[#Headers],[Climate zone]], 0)</f>
        <v>1.0009999999999999</v>
      </c>
      <c r="S94" s="24" cm="1">
        <f t="array" ref="S94">Common_InputFunctions.Utility_DisplayArrayInTable(Common_SourceData.Common_SourceData_ClimateZones_Data(), Table_SourceData_ClimateZones[[#Headers],[Climate zone]], 0)</f>
        <v>999999</v>
      </c>
      <c r="T94" s="24"/>
    </row>
    <row r="95" spans="1:20" ht="20.100000000000001" customHeight="1" x14ac:dyDescent="0.25">
      <c r="A95"/>
      <c r="D95" s="24" t="str" cm="1">
        <f t="array" ref="D95">Common_InputFunctions.Utility_DisplayArrayInTable(Common_SourceData.Common_SourceData_ClimateZones_Data(), Table_SourceData_ClimateZones[[#Headers],[Climate zone]], 0)</f>
        <v>Warm temperate dry</v>
      </c>
      <c r="E95" s="24" t="str" cm="1">
        <f t="array" ref="E95">Common_InputFunctions.Utility_DisplayArrayInTable(Common_SourceData.Common_SourceData_ClimateZones_Data(), Table_SourceData_ClimateZones[[#Headers],[Climate zone]], 0)</f>
        <v>&gt; 10 C</v>
      </c>
      <c r="F95" s="24" t="str" cm="1">
        <f t="array" ref="F95">Common_InputFunctions.Utility_DisplayArrayInTable(Common_SourceData.Common_SourceData_ClimateZones_Data(), Table_SourceData_ClimateZones[[#Headers],[Climate zone]], 0)</f>
        <v>Any</v>
      </c>
      <c r="G95" s="24" t="str" cm="1">
        <f t="array" ref="G95">Common_InputFunctions.Utility_DisplayArrayInTable(Common_SourceData.Common_SourceData_ClimateZones_Data(), Table_SourceData_ClimateZones[[#Headers],[Climate zone]], 0)</f>
        <v>Any</v>
      </c>
      <c r="H95" s="24" t="str" cm="1">
        <f t="array" ref="H95">Common_InputFunctions.Utility_DisplayArrayInTable(Common_SourceData.Common_SourceData_ClimateZones_Data(), Table_SourceData_ClimateZones[[#Headers],[Climate zone]], 0)</f>
        <v>Any</v>
      </c>
      <c r="I95" s="24" t="str" cm="1">
        <f t="array" ref="I95">Common_InputFunctions.Utility_DisplayArrayInTable(Common_SourceData.Common_SourceData_ClimateZones_Data(), Table_SourceData_ClimateZones[[#Headers],[Climate zone]], 0)</f>
        <v>≤ 1</v>
      </c>
      <c r="J95" s="24" cm="1">
        <f t="array" ref="J95">Common_InputFunctions.Utility_DisplayArrayInTable(Common_SourceData.Common_SourceData_ClimateZones_Data(), Table_SourceData_ClimateZones[[#Headers],[Climate zone]], 0)</f>
        <v>10.000999999999999</v>
      </c>
      <c r="K95" s="24" cm="1">
        <f t="array" ref="K95">Common_InputFunctions.Utility_DisplayArrayInTable(Common_SourceData.Common_SourceData_ClimateZones_Data(), Table_SourceData_ClimateZones[[#Headers],[Climate zone]], 0)</f>
        <v>999999</v>
      </c>
      <c r="L95" s="24" cm="1">
        <f t="array" ref="L95">Common_InputFunctions.Utility_DisplayArrayInTable(Common_SourceData.Common_SourceData_ClimateZones_Data(), Table_SourceData_ClimateZones[[#Headers],[Climate zone]], 0)</f>
        <v>-999999</v>
      </c>
      <c r="M95" s="24" cm="1">
        <f t="array" ref="M95">Common_InputFunctions.Utility_DisplayArrayInTable(Common_SourceData.Common_SourceData_ClimateZones_Data(), Table_SourceData_ClimateZones[[#Headers],[Climate zone]], 0)</f>
        <v>999999</v>
      </c>
      <c r="N95" s="24" cm="1">
        <f t="array" ref="N95">Common_InputFunctions.Utility_DisplayArrayInTable(Common_SourceData.Common_SourceData_ClimateZones_Data(), Table_SourceData_ClimateZones[[#Headers],[Climate zone]], 0)</f>
        <v>-999999</v>
      </c>
      <c r="O95" s="24" cm="1">
        <f t="array" ref="O95">Common_InputFunctions.Utility_DisplayArrayInTable(Common_SourceData.Common_SourceData_ClimateZones_Data(), Table_SourceData_ClimateZones[[#Headers],[Climate zone]], 0)</f>
        <v>999999</v>
      </c>
      <c r="P95" s="24" cm="1">
        <f t="array" ref="P95">Common_InputFunctions.Utility_DisplayArrayInTable(Common_SourceData.Common_SourceData_ClimateZones_Data(), Table_SourceData_ClimateZones[[#Headers],[Climate zone]], 0)</f>
        <v>-999999</v>
      </c>
      <c r="Q95" s="24" cm="1">
        <f t="array" ref="Q95">Common_InputFunctions.Utility_DisplayArrayInTable(Common_SourceData.Common_SourceData_ClimateZones_Data(), Table_SourceData_ClimateZones[[#Headers],[Climate zone]], 0)</f>
        <v>999999</v>
      </c>
      <c r="R95" s="24" cm="1">
        <f t="array" ref="R95">Common_InputFunctions.Utility_DisplayArrayInTable(Common_SourceData.Common_SourceData_ClimateZones_Data(), Table_SourceData_ClimateZones[[#Headers],[Climate zone]], 0)</f>
        <v>-999999</v>
      </c>
      <c r="S95" s="24" cm="1">
        <f t="array" ref="S95">Common_InputFunctions.Utility_DisplayArrayInTable(Common_SourceData.Common_SourceData_ClimateZones_Data(), Table_SourceData_ClimateZones[[#Headers],[Climate zone]], 0)</f>
        <v>1</v>
      </c>
      <c r="T95" s="24"/>
    </row>
    <row r="96" spans="1:20" ht="20.100000000000001" customHeight="1" x14ac:dyDescent="0.25">
      <c r="A96"/>
      <c r="D96" s="24" t="str" cm="1">
        <f t="array" ref="D96">Common_InputFunctions.Utility_DisplayArrayInTable(Common_SourceData.Common_SourceData_ClimateZones_Data(), Table_SourceData_ClimateZones[[#Headers],[Climate zone]], 0)</f>
        <v>Cool temperate moist</v>
      </c>
      <c r="E96" s="24" t="str" cm="1">
        <f t="array" ref="E96">Common_InputFunctions.Utility_DisplayArrayInTable(Common_SourceData.Common_SourceData_ClimateZones_Data(), Table_SourceData_ClimateZones[[#Headers],[Climate zone]], 0)</f>
        <v>&gt; 0 C - ≤ 10 C</v>
      </c>
      <c r="F96" s="24" t="str" cm="1">
        <f t="array" ref="F96">Common_InputFunctions.Utility_DisplayArrayInTable(Common_SourceData.Common_SourceData_ClimateZones_Data(), Table_SourceData_ClimateZones[[#Headers],[Climate zone]], 0)</f>
        <v>Any</v>
      </c>
      <c r="G96" s="24" t="str" cm="1">
        <f t="array" ref="G96">Common_InputFunctions.Utility_DisplayArrayInTable(Common_SourceData.Common_SourceData_ClimateZones_Data(), Table_SourceData_ClimateZones[[#Headers],[Climate zone]], 0)</f>
        <v>Any</v>
      </c>
      <c r="H96" s="24" t="str" cm="1">
        <f t="array" ref="H96">Common_InputFunctions.Utility_DisplayArrayInTable(Common_SourceData.Common_SourceData_ClimateZones_Data(), Table_SourceData_ClimateZones[[#Headers],[Climate zone]], 0)</f>
        <v>Any</v>
      </c>
      <c r="I96" s="24" t="str" cm="1">
        <f t="array" ref="I96">Common_InputFunctions.Utility_DisplayArrayInTable(Common_SourceData.Common_SourceData_ClimateZones_Data(), Table_SourceData_ClimateZones[[#Headers],[Climate zone]], 0)</f>
        <v>&gt; 1</v>
      </c>
      <c r="J96" s="24" cm="1">
        <f t="array" ref="J96">Common_InputFunctions.Utility_DisplayArrayInTable(Common_SourceData.Common_SourceData_ClimateZones_Data(), Table_SourceData_ClimateZones[[#Headers],[Climate zone]], 0)</f>
        <v>-999999</v>
      </c>
      <c r="K96" s="24" cm="1">
        <f t="array" ref="K96">Common_InputFunctions.Utility_DisplayArrayInTable(Common_SourceData.Common_SourceData_ClimateZones_Data(), Table_SourceData_ClimateZones[[#Headers],[Climate zone]], 0)</f>
        <v>10</v>
      </c>
      <c r="L96" s="24" cm="1">
        <f t="array" ref="L96">Common_InputFunctions.Utility_DisplayArrayInTable(Common_SourceData.Common_SourceData_ClimateZones_Data(), Table_SourceData_ClimateZones[[#Headers],[Climate zone]], 0)</f>
        <v>-999999</v>
      </c>
      <c r="M96" s="24" cm="1">
        <f t="array" ref="M96">Common_InputFunctions.Utility_DisplayArrayInTable(Common_SourceData.Common_SourceData_ClimateZones_Data(), Table_SourceData_ClimateZones[[#Headers],[Climate zone]], 0)</f>
        <v>999999</v>
      </c>
      <c r="N96" s="24" cm="1">
        <f t="array" ref="N96">Common_InputFunctions.Utility_DisplayArrayInTable(Common_SourceData.Common_SourceData_ClimateZones_Data(), Table_SourceData_ClimateZones[[#Headers],[Climate zone]], 0)</f>
        <v>-999999</v>
      </c>
      <c r="O96" s="24" cm="1">
        <f t="array" ref="O96">Common_InputFunctions.Utility_DisplayArrayInTable(Common_SourceData.Common_SourceData_ClimateZones_Data(), Table_SourceData_ClimateZones[[#Headers],[Climate zone]], 0)</f>
        <v>999999</v>
      </c>
      <c r="P96" s="24" cm="1">
        <f t="array" ref="P96">Common_InputFunctions.Utility_DisplayArrayInTable(Common_SourceData.Common_SourceData_ClimateZones_Data(), Table_SourceData_ClimateZones[[#Headers],[Climate zone]], 0)</f>
        <v>-999999</v>
      </c>
      <c r="Q96" s="24" cm="1">
        <f t="array" ref="Q96">Common_InputFunctions.Utility_DisplayArrayInTable(Common_SourceData.Common_SourceData_ClimateZones_Data(), Table_SourceData_ClimateZones[[#Headers],[Climate zone]], 0)</f>
        <v>999999</v>
      </c>
      <c r="R96" s="24" cm="1">
        <f t="array" ref="R96">Common_InputFunctions.Utility_DisplayArrayInTable(Common_SourceData.Common_SourceData_ClimateZones_Data(), Table_SourceData_ClimateZones[[#Headers],[Climate zone]], 0)</f>
        <v>1.0009999999999999</v>
      </c>
      <c r="S96" s="24" cm="1">
        <f t="array" ref="S96">Common_InputFunctions.Utility_DisplayArrayInTable(Common_SourceData.Common_SourceData_ClimateZones_Data(), Table_SourceData_ClimateZones[[#Headers],[Climate zone]], 0)</f>
        <v>999999</v>
      </c>
      <c r="T96" s="24"/>
    </row>
    <row r="97" spans="1:20" ht="20.100000000000001" customHeight="1" x14ac:dyDescent="0.25">
      <c r="A97"/>
      <c r="D97" s="24" t="str" cm="1">
        <f t="array" ref="D97">Common_InputFunctions.Utility_DisplayArrayInTable(Common_SourceData.Common_SourceData_ClimateZones_Data(), Table_SourceData_ClimateZones[[#Headers],[Climate zone]], 0)</f>
        <v>Cool temperate dry</v>
      </c>
      <c r="E97" s="24" t="str" cm="1">
        <f t="array" ref="E97">Common_InputFunctions.Utility_DisplayArrayInTable(Common_SourceData.Common_SourceData_ClimateZones_Data(), Table_SourceData_ClimateZones[[#Headers],[Climate zone]], 0)</f>
        <v>&gt; 0 C - ≤ 10 C</v>
      </c>
      <c r="F97" s="24" t="str" cm="1">
        <f t="array" ref="F97">Common_InputFunctions.Utility_DisplayArrayInTable(Common_SourceData.Common_SourceData_ClimateZones_Data(), Table_SourceData_ClimateZones[[#Headers],[Climate zone]], 0)</f>
        <v>Any</v>
      </c>
      <c r="G97" s="24" t="str" cm="1">
        <f t="array" ref="G97">Common_InputFunctions.Utility_DisplayArrayInTable(Common_SourceData.Common_SourceData_ClimateZones_Data(), Table_SourceData_ClimateZones[[#Headers],[Climate zone]], 0)</f>
        <v>Any</v>
      </c>
      <c r="H97" s="24" t="str" cm="1">
        <f t="array" ref="H97">Common_InputFunctions.Utility_DisplayArrayInTable(Common_SourceData.Common_SourceData_ClimateZones_Data(), Table_SourceData_ClimateZones[[#Headers],[Climate zone]], 0)</f>
        <v>Any</v>
      </c>
      <c r="I97" s="24" t="str" cm="1">
        <f t="array" ref="I97">Common_InputFunctions.Utility_DisplayArrayInTable(Common_SourceData.Common_SourceData_ClimateZones_Data(), Table_SourceData_ClimateZones[[#Headers],[Climate zone]], 0)</f>
        <v>≤ 1</v>
      </c>
      <c r="J97" s="24" cm="1">
        <f t="array" ref="J97">Common_InputFunctions.Utility_DisplayArrayInTable(Common_SourceData.Common_SourceData_ClimateZones_Data(), Table_SourceData_ClimateZones[[#Headers],[Climate zone]], 0)</f>
        <v>-999999</v>
      </c>
      <c r="K97" s="24" cm="1">
        <f t="array" ref="K97">Common_InputFunctions.Utility_DisplayArrayInTable(Common_SourceData.Common_SourceData_ClimateZones_Data(), Table_SourceData_ClimateZones[[#Headers],[Climate zone]], 0)</f>
        <v>10</v>
      </c>
      <c r="L97" s="24" cm="1">
        <f t="array" ref="L97">Common_InputFunctions.Utility_DisplayArrayInTable(Common_SourceData.Common_SourceData_ClimateZones_Data(), Table_SourceData_ClimateZones[[#Headers],[Climate zone]], 0)</f>
        <v>-999999</v>
      </c>
      <c r="M97" s="24" cm="1">
        <f t="array" ref="M97">Common_InputFunctions.Utility_DisplayArrayInTable(Common_SourceData.Common_SourceData_ClimateZones_Data(), Table_SourceData_ClimateZones[[#Headers],[Climate zone]], 0)</f>
        <v>999999</v>
      </c>
      <c r="N97" s="24" cm="1">
        <f t="array" ref="N97">Common_InputFunctions.Utility_DisplayArrayInTable(Common_SourceData.Common_SourceData_ClimateZones_Data(), Table_SourceData_ClimateZones[[#Headers],[Climate zone]], 0)</f>
        <v>-999999</v>
      </c>
      <c r="O97" s="24" cm="1">
        <f t="array" ref="O97">Common_InputFunctions.Utility_DisplayArrayInTable(Common_SourceData.Common_SourceData_ClimateZones_Data(), Table_SourceData_ClimateZones[[#Headers],[Climate zone]], 0)</f>
        <v>999999</v>
      </c>
      <c r="P97" s="24" cm="1">
        <f t="array" ref="P97">Common_InputFunctions.Utility_DisplayArrayInTable(Common_SourceData.Common_SourceData_ClimateZones_Data(), Table_SourceData_ClimateZones[[#Headers],[Climate zone]], 0)</f>
        <v>-999999</v>
      </c>
      <c r="Q97" s="24" cm="1">
        <f t="array" ref="Q97">Common_InputFunctions.Utility_DisplayArrayInTable(Common_SourceData.Common_SourceData_ClimateZones_Data(), Table_SourceData_ClimateZones[[#Headers],[Climate zone]], 0)</f>
        <v>999999</v>
      </c>
      <c r="R97" s="24" cm="1">
        <f t="array" ref="R97">Common_InputFunctions.Utility_DisplayArrayInTable(Common_SourceData.Common_SourceData_ClimateZones_Data(), Table_SourceData_ClimateZones[[#Headers],[Climate zone]], 0)</f>
        <v>-999999</v>
      </c>
      <c r="S97" s="24" cm="1">
        <f t="array" ref="S97">Common_InputFunctions.Utility_DisplayArrayInTable(Common_SourceData.Common_SourceData_ClimateZones_Data(), Table_SourceData_ClimateZones[[#Headers],[Climate zone]], 0)</f>
        <v>1</v>
      </c>
      <c r="T97" s="24"/>
    </row>
    <row r="98" spans="1:20" ht="20.100000000000001" customHeight="1" x14ac:dyDescent="0.25">
      <c r="A98"/>
    </row>
    <row r="99" spans="1:20" ht="20.100000000000001" customHeight="1" x14ac:dyDescent="0.25">
      <c r="A99"/>
      <c r="D99" s="28" t="str" cm="1">
        <f t="array" ref="D99:D102">Common_SourceData.Common_SourceData_ClimateZones_Appendices()</f>
        <v>Note:</v>
      </c>
    </row>
    <row r="100" spans="1:20" ht="20.100000000000001" customHeight="1" x14ac:dyDescent="0.25">
      <c r="A100"/>
      <c r="D100" s="28" t="str">
        <v>MAT = mean annual temperature</v>
      </c>
    </row>
    <row r="101" spans="1:20" ht="20.100000000000001" customHeight="1" x14ac:dyDescent="0.25">
      <c r="A101"/>
      <c r="D101" s="28" t="str">
        <v>MAP = mean annual precipitation</v>
      </c>
    </row>
    <row r="102" spans="1:20" ht="20.100000000000001" customHeight="1" x14ac:dyDescent="0.25">
      <c r="A102"/>
      <c r="D102" s="28" t="str">
        <v>PET = potential evapotranspiration</v>
      </c>
    </row>
    <row r="103" spans="1:20" ht="20.100000000000001" customHeight="1" x14ac:dyDescent="0.25">
      <c r="A103"/>
      <c r="D103" s="28"/>
    </row>
    <row r="104" spans="1:20" ht="20.100000000000001" customHeight="1" x14ac:dyDescent="0.25">
      <c r="A104"/>
    </row>
    <row r="105" spans="1:20" ht="20.100000000000001" customHeight="1" x14ac:dyDescent="0.25">
      <c r="A105"/>
      <c r="D105" s="5" t="str" cm="1">
        <f t="array" ref="D105">Common_SourceData.Common_SourceData_TemperatureZones_Title()</f>
        <v>VEERG Australian temperature zones</v>
      </c>
    </row>
    <row r="106" spans="1:20" ht="20.100000000000001" customHeight="1" x14ac:dyDescent="0.25">
      <c r="A106"/>
      <c r="D106" s="4" t="str" cm="1">
        <f t="array" ref="D106">Common_SourceData.Common_SourceData_TemperatureZones_Source()</f>
        <v>VEERG 2026: Table 1.3: Climate and Rainfall zone classifications and definitions</v>
      </c>
    </row>
    <row r="107" spans="1:20" ht="20.100000000000001" customHeight="1" x14ac:dyDescent="0.25">
      <c r="A107"/>
      <c r="D107" s="2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4" t="s">
        <v>35</v>
      </c>
      <c r="E109" s="24" t="s">
        <v>18</v>
      </c>
      <c r="F109" s="24" t="s">
        <v>36</v>
      </c>
      <c r="G109" s="24" t="s">
        <v>37</v>
      </c>
    </row>
    <row r="110" spans="1:20" ht="20.100000000000001" customHeight="1" x14ac:dyDescent="0.25">
      <c r="A110"/>
      <c r="D110" s="24" t="str" cm="1">
        <f t="array" ref="D110">Common_InputFunctions.Utility_DisplayArrayInTable(Common_SourceData.Common_SourceData_TemperatureZones_Data(),Table_SourceData_TemperatureZones[[#Headers],[Temperature Zone]],0)</f>
        <v>Warm</v>
      </c>
      <c r="E110" s="24" t="str" cm="1">
        <f t="array" ref="E110">Common_InputFunctions.Utility_DisplayArrayInTable(Common_SourceData.Common_SourceData_TemperatureZones_Data(),Table_SourceData_TemperatureZones[[#Headers],[Temperature Zone]],0)</f>
        <v>≥ 26 C</v>
      </c>
      <c r="F110" s="24" cm="1">
        <f t="array" ref="F110">Common_InputFunctions.Utility_DisplayArrayInTable(Common_SourceData.Common_SourceData_TemperatureZones_Data(),Table_SourceData_TemperatureZones[[#Headers],[Temperature Zone]],0)</f>
        <v>26</v>
      </c>
      <c r="G110" s="24"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4" t="str" cm="1">
        <f t="array" ref="D111">Common_InputFunctions.Utility_DisplayArrayInTable(Common_SourceData.Common_SourceData_TemperatureZones_Data(),Table_SourceData_TemperatureZones[[#Headers],[Temperature Zone]],0)</f>
        <v>Temperate</v>
      </c>
      <c r="E111" s="24" t="str" cm="1">
        <f t="array" ref="E111">Common_InputFunctions.Utility_DisplayArrayInTable(Common_SourceData.Common_SourceData_TemperatureZones_Data(),Table_SourceData_TemperatureZones[[#Headers],[Temperature Zone]],0)</f>
        <v>15 - 25 C</v>
      </c>
      <c r="F111" s="24" cm="1">
        <f t="array" ref="F111">Common_InputFunctions.Utility_DisplayArrayInTable(Common_SourceData.Common_SourceData_TemperatureZones_Data(),Table_SourceData_TemperatureZones[[#Headers],[Temperature Zone]],0)</f>
        <v>15</v>
      </c>
      <c r="G111" s="24"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4" t="str" cm="1">
        <f t="array" ref="D112">Common_InputFunctions.Utility_DisplayArrayInTable(Common_SourceData.Common_SourceData_TemperatureZones_Data(),Table_SourceData_TemperatureZones[[#Headers],[Temperature Zone]],0)</f>
        <v>Cool</v>
      </c>
      <c r="E112" s="24" t="str" cm="1">
        <f t="array" ref="E112">Common_InputFunctions.Utility_DisplayArrayInTable(Common_SourceData.Common_SourceData_TemperatureZones_Data(),Table_SourceData_TemperatureZones[[#Headers],[Temperature Zone]],0)</f>
        <v>≤ 14 C</v>
      </c>
      <c r="F112" s="24" cm="1">
        <f t="array" ref="F112">Common_InputFunctions.Utility_DisplayArrayInTable(Common_SourceData.Common_SourceData_TemperatureZones_Data(),Table_SourceData_TemperatureZones[[#Headers],[Temperature Zone]],0)</f>
        <v>-999999</v>
      </c>
      <c r="G112" s="24"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5" t="str" cm="1">
        <f t="array" ref="D115">Common_SourceData.Common_SourceData_RainfallZones_Title()</f>
        <v>VEERG Australian rainfall zones</v>
      </c>
      <c r="BN115" s="6"/>
    </row>
    <row r="116" spans="1:66" ht="20.100000000000001" customHeight="1" x14ac:dyDescent="0.25">
      <c r="A116"/>
      <c r="D116" s="4" t="str" cm="1">
        <f t="array" ref="D116">Common_SourceData.Common_SourceData_RainfallZones_Source()</f>
        <v>VEERG 2026: Table 1.3: Climate and Rainfall zone classifications and definitions</v>
      </c>
      <c r="BN116" s="6"/>
    </row>
    <row r="117" spans="1:66" ht="20.100000000000001" customHeight="1" x14ac:dyDescent="0.25">
      <c r="A117"/>
      <c r="D117" s="29" t="str" cm="1">
        <f t="array" ref="D117">"⚠️" &amp; Common_SourceData.Common_SourceData_RainfallZones_Variation()</f>
        <v>⚠️VARIATION OF SOURCE DATA: Added extra Rainfall min and Rainfall max columns to calculate zone from real rainfall data.</v>
      </c>
      <c r="BN117" s="6"/>
    </row>
    <row r="118" spans="1:66" ht="20.100000000000001" customHeight="1" x14ac:dyDescent="0.25">
      <c r="A118"/>
      <c r="BN118" s="6"/>
    </row>
    <row r="119" spans="1:66" ht="20.100000000000001" customHeight="1" x14ac:dyDescent="0.25">
      <c r="A119"/>
      <c r="D119" s="24" t="s">
        <v>38</v>
      </c>
      <c r="E119" s="24" t="s">
        <v>39</v>
      </c>
      <c r="F119" s="24" t="s">
        <v>25</v>
      </c>
      <c r="G119" s="24" t="s">
        <v>26</v>
      </c>
      <c r="BN119" s="6"/>
    </row>
    <row r="120" spans="1:66" ht="20.100000000000001" customHeight="1" x14ac:dyDescent="0.25">
      <c r="A120"/>
      <c r="D120" s="24" t="str" cm="1">
        <f t="array" ref="D120">Common_InputFunctions.Utility_DisplayArrayInTable(Common_SourceData.Common_SourceData_RainfallZones_Data(),Table_SourceData_RainfallZones[[#Headers],[Rainfall Zone]],0)</f>
        <v>High rainfall</v>
      </c>
      <c r="E120" s="24" t="str" cm="1">
        <f t="array" ref="E120">Common_InputFunctions.Utility_DisplayArrayInTable(Common_SourceData.Common_SourceData_RainfallZones_Data(),Table_SourceData_RainfallZones[[#Headers],[Rainfall Zone]],0)</f>
        <v>Annual rainfall &gt; 600mm</v>
      </c>
      <c r="F120" s="24" cm="1">
        <f t="array" ref="F120">Common_InputFunctions.Utility_DisplayArrayInTable(Common_SourceData.Common_SourceData_RainfallZones_Data(),Table_SourceData_RainfallZones[[#Headers],[Rainfall Zone]],0)</f>
        <v>600.00099999999998</v>
      </c>
      <c r="G120" s="24" cm="1">
        <f t="array" ref="G120">Common_InputFunctions.Utility_DisplayArrayInTable(Common_SourceData.Common_SourceData_RainfallZones_Data(),Table_SourceData_RainfallZones[[#Headers],[Rainfall Zone]],0)</f>
        <v>999999</v>
      </c>
      <c r="BN120" s="6"/>
    </row>
    <row r="121" spans="1:66" ht="20.100000000000001" customHeight="1" x14ac:dyDescent="0.25">
      <c r="A121"/>
      <c r="D121" s="24" t="str" cm="1">
        <f t="array" ref="D121">Common_InputFunctions.Utility_DisplayArrayInTable(Common_SourceData.Common_SourceData_RainfallZones_Data(),Table_SourceData_RainfallZones[[#Headers],[Rainfall Zone]],0)</f>
        <v>Low rainfall</v>
      </c>
      <c r="E121" s="24" t="str" cm="1">
        <f t="array" ref="E121">Common_InputFunctions.Utility_DisplayArrayInTable(Common_SourceData.Common_SourceData_RainfallZones_Data(),Table_SourceData_RainfallZones[[#Headers],[Rainfall Zone]],0)</f>
        <v>Annual rainfall ≤ 600mm</v>
      </c>
      <c r="F121" s="24" cm="1">
        <f t="array" ref="F121">Common_InputFunctions.Utility_DisplayArrayInTable(Common_SourceData.Common_SourceData_RainfallZones_Data(),Table_SourceData_RainfallZones[[#Headers],[Rainfall Zone]],0)</f>
        <v>-999999</v>
      </c>
      <c r="G121" s="24" cm="1">
        <f t="array" ref="G121">Common_InputFunctions.Utility_DisplayArrayInTable(Common_SourceData.Common_SourceData_RainfallZones_Data(),Table_SourceData_RainfallZones[[#Headers],[Rainfall Zone]],0)</f>
        <v>600</v>
      </c>
      <c r="BN121" s="6"/>
    </row>
    <row r="122" spans="1:66" ht="20.100000000000001" customHeight="1" x14ac:dyDescent="0.25">
      <c r="A122"/>
      <c r="BN122" s="6"/>
    </row>
    <row r="123" spans="1:66" ht="20.100000000000001" customHeight="1" x14ac:dyDescent="0.25">
      <c r="A123"/>
    </row>
    <row r="124" spans="1:66" ht="20.100000000000001" customHeight="1" x14ac:dyDescent="0.25">
      <c r="A124"/>
      <c r="D124" s="5" t="str" cm="1">
        <f t="array" ref="D124">Common_SourceData.Common_SourceData_LeachingZones_Title()</f>
        <v>VEERG Australian leaching zones</v>
      </c>
    </row>
    <row r="125" spans="1:66" ht="20.100000000000001" customHeight="1" x14ac:dyDescent="0.25">
      <c r="A125"/>
      <c r="D125" s="4"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4" t="s">
        <v>40</v>
      </c>
      <c r="E127" s="24" t="s">
        <v>41</v>
      </c>
    </row>
    <row r="128" spans="1:66" ht="20.100000000000001" customHeight="1" x14ac:dyDescent="0.25">
      <c r="A128"/>
      <c r="D128" s="24" t="str" cm="1">
        <f t="array" ref="D128">Common_InputFunctions.Utility_DisplayArrayInTable(Common_SourceData.Common_SourceData_LeachingZones_Data(), Table_SourceData_LeachingZones[[#Headers],[Leaching Zone]], 0)</f>
        <v>Leaching occurs</v>
      </c>
      <c r="E128" s="2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4" t="str" cm="1">
        <f t="array" ref="D129">Common_InputFunctions.Utility_DisplayArrayInTable(Common_SourceData.Common_SourceData_LeachingZones_Data(), Table_SourceData_LeachingZones[[#Headers],[Leaching Zone]], 0)</f>
        <v>Leaching does not occur</v>
      </c>
      <c r="E129" s="2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5" t="str" cm="1">
        <f t="array" ref="D132">Common_SourceData.Common_SourceData_FracWET_Title()</f>
        <v>Fraction of N that is available for leaching and runoff</v>
      </c>
      <c r="E132" s="15"/>
    </row>
    <row r="133" spans="1:77" ht="20.100000000000001" customHeight="1" x14ac:dyDescent="0.25">
      <c r="A133"/>
      <c r="D133" s="4" t="str" cm="1">
        <f t="array" ref="D133">Common_SourceData.Common_SourceData_FracWET_Source()</f>
        <v>VEERG 2026:5.5.2.3 Constant Parameters</v>
      </c>
      <c r="E133" s="15"/>
    </row>
    <row r="134" spans="1:77" ht="20.100000000000001" customHeight="1" x14ac:dyDescent="0.25">
      <c r="A134"/>
      <c r="D134" t="s">
        <v>46</v>
      </c>
      <c r="E134" t="s">
        <v>47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4"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6"/>
      <c r="BO138" s="6"/>
      <c r="BP138" s="6"/>
      <c r="BQ138" s="6"/>
      <c r="BR138" s="6"/>
      <c r="BS138" s="6"/>
      <c r="BT138" s="6"/>
      <c r="BU138" s="6"/>
      <c r="BV138" s="6"/>
      <c r="BW138" s="6"/>
      <c r="BX138" s="6"/>
      <c r="BY138" s="6"/>
    </row>
    <row r="139" spans="1:77" ht="20.100000000000001" customHeight="1" x14ac:dyDescent="0.25">
      <c r="A139"/>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1:77" ht="20.100000000000001" customHeight="1" x14ac:dyDescent="0.25">
      <c r="A140"/>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1:77" ht="20.100000000000001" customHeight="1" x14ac:dyDescent="0.25">
      <c r="A141"/>
      <c r="D141" s="29"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1:77" ht="20.100000000000001" customHeight="1" x14ac:dyDescent="0.25">
      <c r="A142"/>
      <c r="D142" s="24" t="s">
        <v>57</v>
      </c>
      <c r="E142" s="24" t="s">
        <v>47</v>
      </c>
      <c r="BN142" s="6"/>
    </row>
    <row r="143" spans="1:77" ht="20.100000000000001" customHeight="1" x14ac:dyDescent="0.25">
      <c r="A143"/>
      <c r="D143" s="24" t="str" cm="1">
        <f t="array" ref="D143">Common_InputFunctions.Utility_DisplayArrayInTable(Common_SourceData.Common_SourceData_FracWETIrrigation_Data(), Table_SourceData_FracWETIrrigation[[#Headers],[Irrigation type i]], 0)</f>
        <v>Not irrigated</v>
      </c>
      <c r="E143" s="24" cm="1">
        <f t="array" ref="E143">Common_InputFunctions.Utility_DisplayArrayInTable(Common_SourceData.Common_SourceData_FracWETIrrigation_Data(), Table_SourceData_FracWETIrrigation[[#Headers],[Irrigation type i]], 0)</f>
        <v>0</v>
      </c>
      <c r="BN143" s="6"/>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4" cm="1">
        <f t="array" ref="E144">Common_InputFunctions.Utility_DisplayArrayInTable(Common_SourceData.Common_SourceData_FracWETIrrigation_Data(), Table_SourceData_FracWETIrrigation[[#Headers],[Irrigation type i]], 0)</f>
        <v>0</v>
      </c>
      <c r="BN144" s="6"/>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4" cm="1">
        <f t="array" ref="E145">Common_InputFunctions.Utility_DisplayArrayInTable(Common_SourceData.Common_SourceData_FracWETIrrigation_Data(), Table_SourceData_FracWETIrrigation[[#Headers],[Irrigation type i]], 0)</f>
        <v>1</v>
      </c>
      <c r="BN145" s="6"/>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4" cm="1">
        <f t="array" ref="E146">Common_InputFunctions.Utility_DisplayArrayInTable(Common_SourceData.Common_SourceData_FracWETIrrigation_Data(), Table_SourceData_FracWETIrrigation[[#Headers],[Irrigation type i]], 0)</f>
        <v>1</v>
      </c>
      <c r="BN146" s="6"/>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4" cm="1">
        <f t="array" ref="E147">Common_InputFunctions.Utility_DisplayArrayInTable(Common_SourceData.Common_SourceData_FracWETIrrigation_Data(), Table_SourceData_FracWETIrrigation[[#Headers],[Irrigation type i]], 0)</f>
        <v>1</v>
      </c>
      <c r="BN147" s="6"/>
    </row>
    <row r="148" spans="1:66" ht="20.100000000000001" customHeight="1" x14ac:dyDescent="0.25">
      <c r="A148"/>
      <c r="BN148" s="6"/>
    </row>
    <row r="149" spans="1:66" ht="20.100000000000001" customHeight="1" x14ac:dyDescent="0.25">
      <c r="A149"/>
      <c r="BN149" s="6"/>
    </row>
    <row r="150" spans="1:66" ht="20.100000000000001" customHeight="1" x14ac:dyDescent="0.25">
      <c r="A150"/>
      <c r="D150" s="5" t="str" cm="1">
        <f t="array" ref="D150">Common_SourceData.Common_SourceData_DataScores_Scope3_Title()</f>
        <v>Australian data scores for scope 3</v>
      </c>
      <c r="BN150" s="6"/>
    </row>
    <row r="151" spans="1:66" ht="20.100000000000001" customHeight="1" x14ac:dyDescent="0.25">
      <c r="A151"/>
      <c r="D151" s="4" t="str" cm="1">
        <f t="array" ref="D151">Common_SourceData.Common_SourceData_DataScores_Scope3_Source()</f>
        <v>VEERG 2026: XXXXXXXX</v>
      </c>
      <c r="BN151" s="6"/>
    </row>
    <row r="152" spans="1:66" ht="20.100000000000001" customHeight="1" x14ac:dyDescent="0.25">
      <c r="A152"/>
      <c r="BN152" s="6"/>
    </row>
    <row r="153" spans="1:66" ht="20.100000000000001" customHeight="1" x14ac:dyDescent="0.25">
      <c r="A153"/>
      <c r="D153" s="24" t="s">
        <v>42</v>
      </c>
      <c r="E153" s="24" t="s">
        <v>43</v>
      </c>
      <c r="BC153" s="2"/>
      <c r="BD153" s="2"/>
      <c r="BE153" s="2"/>
      <c r="BF153" s="2"/>
      <c r="BG153" s="2"/>
      <c r="BH153" s="2"/>
      <c r="BI153" s="2"/>
      <c r="BJ153" s="2"/>
      <c r="BK153" s="2"/>
      <c r="BL153" s="2"/>
      <c r="BM153" s="2"/>
    </row>
    <row r="154" spans="1:66" ht="20.100000000000001" customHeight="1" x14ac:dyDescent="0.25">
      <c r="A154"/>
      <c r="D154" s="24" t="str" cm="1">
        <f t="array" ref="D154">Common_InputFunctions.Utility_DisplayArrayInTable(Common_SourceData.Common_SourceData_DataScores_Scope3_Data(), Table_SourceData_DataScores_Scope3[[#Headers],[Data source]], 0)</f>
        <v>International scope 3 database</v>
      </c>
      <c r="E154" s="24"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1:66" ht="20.100000000000001" customHeight="1" x14ac:dyDescent="0.25">
      <c r="A155"/>
      <c r="D155" s="24" t="str" cm="1">
        <f t="array" ref="D155">Common_InputFunctions.Utility_DisplayArrayInTable(Common_SourceData.Common_SourceData_DataScores_Scope3_Data(), Table_SourceData_DataScores_Scope3[[#Headers],[Data source]], 0)</f>
        <v>Australian scope 3 database</v>
      </c>
      <c r="E155" s="24"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1:66" ht="20.100000000000001" customHeight="1" x14ac:dyDescent="0.25">
      <c r="A156"/>
      <c r="D156" s="24" t="str" cm="1">
        <f t="array" ref="D156">Common_InputFunctions.Utility_DisplayArrayInTable(Common_SourceData.Common_SourceData_DataScores_Scope3_Data(), Table_SourceData_DataScores_Scope3[[#Headers],[Data source]], 0)</f>
        <v>State or regional scope 3 database</v>
      </c>
      <c r="E156" s="24"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4" t="str" cm="1">
        <f t="array" ref="D157">Common_InputFunctions.Utility_DisplayArrayInTable(Common_SourceData.Common_SourceData_DataScores_Scope3_Data(), Table_SourceData_DataScores_Scope3[[#Headers],[Data source]], 0)</f>
        <v>Emissions intensity calculated from approved method</v>
      </c>
      <c r="E157" s="24"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4" t="str" cm="1">
        <f t="array" ref="D158">Common_InputFunctions.Utility_DisplayArrayInTable(Common_SourceData.Common_SourceData_DataScores_Scope3_Data(), Table_SourceData_DataScores_Scope3[[#Headers],[Data source]], 0)</f>
        <v>Verified credential matching ISO14067</v>
      </c>
      <c r="E158" s="24"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5" t="str" cm="1">
        <f t="array" ref="D161">Common_SourceData.Common_SourceData_FracLEACH_Title()</f>
        <v>Fraction of N that is available for leaching and runoff</v>
      </c>
      <c r="E161" s="15"/>
    </row>
    <row r="162" spans="4:68" ht="20.100000000000001" customHeight="1" x14ac:dyDescent="0.25">
      <c r="D162" s="4" t="str" cm="1">
        <f t="array" ref="D162">Common_SourceData.Common_SourceData_FracLEACH_Source()</f>
        <v>VEERG 2026:5.5.2.3 Constant Parameters</v>
      </c>
      <c r="E162" s="15"/>
    </row>
    <row r="163" spans="4:68" ht="20.100000000000001" customHeight="1" x14ac:dyDescent="0.25">
      <c r="D163" s="4" t="str" cm="1">
        <f t="array" ref="D163">Common_SourceData.Common_SourceData_FracLEACH_NIRReference()</f>
        <v>National Inventory Report Volume 1: Leaching and runoff (3.D.b.2)</v>
      </c>
      <c r="E163" s="15"/>
    </row>
    <row r="164" spans="4:68" ht="20.100000000000001" customHeight="1" x14ac:dyDescent="0.25">
      <c r="D164" s="15" t="str" cm="1">
        <f t="array" ref="D164:E164">Common_SourceData.Common_SourceData_FracLEACH_Data()</f>
        <v>FracLEACH</v>
      </c>
      <c r="E164" s="15">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8"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8" t="str" cm="1">
        <f t="array" ref="D180">Common_SourceData.Common_SourceData_EFN2O_Unit()</f>
        <v>(kg N2O-N / kg N</v>
      </c>
    </row>
    <row r="181" spans="4:68" ht="20.100000000000001" customHeight="1" x14ac:dyDescent="0.25">
      <c r="D181" s="29" t="str" cm="1">
        <f t="array" ref="D181:D185">Common_SourceData.Common_SourceData_EFN2O_Variation()</f>
        <v>VARIATION OF SOURCE DATA:</v>
      </c>
    </row>
    <row r="182" spans="4:68" ht="20.100000000000001" customHeight="1" x14ac:dyDescent="0.25">
      <c r="D182" s="29" t="str">
        <v>Removed duplicate 'Aquaculture' row.</v>
      </c>
    </row>
    <row r="183" spans="4:68" ht="20.100000000000001" customHeight="1" x14ac:dyDescent="0.25">
      <c r="D183" s="29" t="str">
        <v>Removed asterisks to aid lookup.</v>
      </c>
    </row>
    <row r="184" spans="4:68" ht="20.100000000000001" customHeight="1" x14ac:dyDescent="0.25">
      <c r="D184" s="29" t="str">
        <v>Added 'production system only', 'rainfall zone' and 'irrigation method' columns to aid lookup.</v>
      </c>
    </row>
    <row r="185" spans="4:68" ht="20.100000000000001" customHeight="1" x14ac:dyDescent="0.25">
      <c r="D185" s="29" t="str">
        <v>Duplicated 'non-irrigated pasture' row with same EF for low and high rainfall zones to aid lookup.</v>
      </c>
    </row>
    <row r="186" spans="4:68" ht="20.100000000000001" customHeight="1" x14ac:dyDescent="0.25">
      <c r="D186" s="24" t="s">
        <v>50</v>
      </c>
      <c r="E186" s="24" t="s">
        <v>51</v>
      </c>
      <c r="F186" s="24" t="s">
        <v>52</v>
      </c>
      <c r="G186" s="24" t="s">
        <v>53</v>
      </c>
      <c r="H186" s="24" t="s">
        <v>17</v>
      </c>
    </row>
    <row r="187" spans="4:68" ht="20.100000000000001" customHeight="1" x14ac:dyDescent="0.25">
      <c r="D187" s="24" t="str" cm="1">
        <f t="array" ref="D187">Common_InputFunctions.Utility_DisplayArrayInTable(Common_SourceData.Common_SourceData_EFN2O_Data(), Table_SourceData_Common_EFN2O[[#Headers],[Production system j]], 0)</f>
        <v>Irrigated pasture</v>
      </c>
      <c r="E187" s="24" cm="1">
        <f t="array" ref="E187">Common_InputFunctions.Utility_DisplayArrayInTable(Common_SourceData.Common_SourceData_EFN2O_Data(), Table_SourceData_Common_EFN2O[[#Headers],[Production system j]], 0)</f>
        <v>5.8999999999999999E-3</v>
      </c>
      <c r="F187" s="24" t="str" cm="1">
        <f t="array" ref="F187">Common_InputFunctions.Utility_DisplayArrayInTable(Common_SourceData.Common_SourceData_EFN2O_Data(), Table_SourceData_Common_EFN2O[[#Headers],[Production system j]], 0)</f>
        <v>Pasture</v>
      </c>
      <c r="G187" s="24" t="str" cm="1">
        <f t="array" ref="G187">Common_InputFunctions.Utility_DisplayArrayInTable(Common_SourceData.Common_SourceData_EFN2O_Data(), Table_SourceData_Common_EFN2O[[#Headers],[Production system j]], 0)</f>
        <v>Any</v>
      </c>
      <c r="H187" s="24" t="str" cm="1">
        <f t="array" ref="H187">Common_InputFunctions.Utility_DisplayArrayInTable(Common_SourceData.Common_SourceData_EFN2O_Data(), Table_SourceData_Common_EFN2O[[#Headers],[Production system j]], 0)</f>
        <v>Any</v>
      </c>
    </row>
    <row r="188" spans="4:68" ht="20.100000000000001" customHeight="1" x14ac:dyDescent="0.25">
      <c r="D188" s="24" t="str" cm="1">
        <f t="array" ref="D188">Common_InputFunctions.Utility_DisplayArrayInTable(Common_SourceData.Common_SourceData_EFN2O_Data(), Table_SourceData_Common_EFN2O[[#Headers],[Production system j]], 0)</f>
        <v>Irrigated crop</v>
      </c>
      <c r="E188" s="24" cm="1">
        <f t="array" ref="E188">Common_InputFunctions.Utility_DisplayArrayInTable(Common_SourceData.Common_SourceData_EFN2O_Data(), Table_SourceData_Common_EFN2O[[#Headers],[Production system j]], 0)</f>
        <v>7.0000000000000001E-3</v>
      </c>
      <c r="F188" s="24" t="str" cm="1">
        <f t="array" ref="F188">Common_InputFunctions.Utility_DisplayArrayInTable(Common_SourceData.Common_SourceData_EFN2O_Data(), Table_SourceData_Common_EFN2O[[#Headers],[Production system j]], 0)</f>
        <v>Crop</v>
      </c>
      <c r="G188" s="24" t="str" cm="1">
        <f t="array" ref="G188">Common_InputFunctions.Utility_DisplayArrayInTable(Common_SourceData.Common_SourceData_EFN2O_Data(), Table_SourceData_Common_EFN2O[[#Headers],[Production system j]], 0)</f>
        <v>Any</v>
      </c>
      <c r="H188" s="24" t="str" cm="1">
        <f t="array" ref="H188">Common_InputFunctions.Utility_DisplayArrayInTable(Common_SourceData.Common_SourceData_EFN2O_Data(), Table_SourceData_Common_EFN2O[[#Headers],[Production system j]], 0)</f>
        <v>Any</v>
      </c>
    </row>
    <row r="189" spans="4:68" ht="20.100000000000001" customHeight="1" x14ac:dyDescent="0.25">
      <c r="D189" s="24" t="str" cm="1">
        <f t="array" ref="D189">Common_InputFunctions.Utility_DisplayArrayInTable(Common_SourceData.Common_SourceData_EFN2O_Data(), Table_SourceData_Common_EFN2O[[#Headers],[Production system j]], 0)</f>
        <v>Non-irrigated pasture</v>
      </c>
      <c r="E189" s="24" cm="1">
        <f t="array" ref="E189">Common_InputFunctions.Utility_DisplayArrayInTable(Common_SourceData.Common_SourceData_EFN2O_Data(), Table_SourceData_Common_EFN2O[[#Headers],[Production system j]], 0)</f>
        <v>1.8E-3</v>
      </c>
      <c r="F189" s="24" t="str" cm="1">
        <f t="array" ref="F189">Common_InputFunctions.Utility_DisplayArrayInTable(Common_SourceData.Common_SourceData_EFN2O_Data(), Table_SourceData_Common_EFN2O[[#Headers],[Production system j]], 0)</f>
        <v>Pasture</v>
      </c>
      <c r="G189" s="24" t="str" cm="1">
        <f t="array" ref="G189">Common_InputFunctions.Utility_DisplayArrayInTable(Common_SourceData.Common_SourceData_EFN2O_Data(), Table_SourceData_Common_EFN2O[[#Headers],[Production system j]], 0)</f>
        <v>Not irrigated</v>
      </c>
      <c r="H189" s="24"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4" t="str" cm="1">
        <f t="array" ref="D190">Common_InputFunctions.Utility_DisplayArrayInTable(Common_SourceData.Common_SourceData_EFN2O_Data(), Table_SourceData_Common_EFN2O[[#Headers],[Production system j]], 0)</f>
        <v>Non-irrigated pasture</v>
      </c>
      <c r="E190" s="24" cm="1">
        <f t="array" ref="E190">Common_InputFunctions.Utility_DisplayArrayInTable(Common_SourceData.Common_SourceData_EFN2O_Data(), Table_SourceData_Common_EFN2O[[#Headers],[Production system j]], 0)</f>
        <v>1.8E-3</v>
      </c>
      <c r="F190" s="24" t="str" cm="1">
        <f t="array" ref="F190">Common_InputFunctions.Utility_DisplayArrayInTable(Common_SourceData.Common_SourceData_EFN2O_Data(), Table_SourceData_Common_EFN2O[[#Headers],[Production system j]], 0)</f>
        <v>Pasture</v>
      </c>
      <c r="G190" s="24" t="str" cm="1">
        <f t="array" ref="G190">Common_InputFunctions.Utility_DisplayArrayInTable(Common_SourceData.Common_SourceData_EFN2O_Data(), Table_SourceData_Common_EFN2O[[#Headers],[Production system j]], 0)</f>
        <v>Not irrigated</v>
      </c>
      <c r="H190" s="24"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4" t="str" cm="1">
        <f t="array" ref="D191">Common_InputFunctions.Utility_DisplayArrayInTable(Common_SourceData.Common_SourceData_EFN2O_Data(), Table_SourceData_Common_EFN2O[[#Headers],[Production system j]], 0)</f>
        <v>Non-irrigated crop (low rainfall)</v>
      </c>
      <c r="E191" s="24" cm="1">
        <f t="array" ref="E191">Common_InputFunctions.Utility_DisplayArrayInTable(Common_SourceData.Common_SourceData_EFN2O_Data(), Table_SourceData_Common_EFN2O[[#Headers],[Production system j]], 0)</f>
        <v>2.8999999999999998E-3</v>
      </c>
      <c r="F191" s="24" t="str" cm="1">
        <f t="array" ref="F191">Common_InputFunctions.Utility_DisplayArrayInTable(Common_SourceData.Common_SourceData_EFN2O_Data(), Table_SourceData_Common_EFN2O[[#Headers],[Production system j]], 0)</f>
        <v>Crop</v>
      </c>
      <c r="G191" s="24" t="str" cm="1">
        <f t="array" ref="G191">Common_InputFunctions.Utility_DisplayArrayInTable(Common_SourceData.Common_SourceData_EFN2O_Data(), Table_SourceData_Common_EFN2O[[#Headers],[Production system j]], 0)</f>
        <v>Not irrigated</v>
      </c>
      <c r="H191" s="24"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4" t="str" cm="1">
        <f t="array" ref="D192">Common_InputFunctions.Utility_DisplayArrayInTable(Common_SourceData.Common_SourceData_EFN2O_Data(), Table_SourceData_Common_EFN2O[[#Headers],[Production system j]], 0)</f>
        <v>Non-irrigated crop (high rainfall)</v>
      </c>
      <c r="E192" s="24" cm="1">
        <f t="array" ref="E192">Common_InputFunctions.Utility_DisplayArrayInTable(Common_SourceData.Common_SourceData_EFN2O_Data(), Table_SourceData_Common_EFN2O[[#Headers],[Production system j]], 0)</f>
        <v>8.0000000000000002E-3</v>
      </c>
      <c r="F192" s="24" t="str" cm="1">
        <f t="array" ref="F192">Common_InputFunctions.Utility_DisplayArrayInTable(Common_SourceData.Common_SourceData_EFN2O_Data(), Table_SourceData_Common_EFN2O[[#Headers],[Production system j]], 0)</f>
        <v>Crop</v>
      </c>
      <c r="G192" s="24" t="str" cm="1">
        <f t="array" ref="G192">Common_InputFunctions.Utility_DisplayArrayInTable(Common_SourceData.Common_SourceData_EFN2O_Data(), Table_SourceData_Common_EFN2O[[#Headers],[Production system j]], 0)</f>
        <v>Not irrigated</v>
      </c>
      <c r="H192" s="24"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4" t="str" cm="1">
        <f t="array" ref="D193">Common_InputFunctions.Utility_DisplayArrayInTable(Common_SourceData.Common_SourceData_EFN2O_Data(), Table_SourceData_Common_EFN2O[[#Headers],[Production system j]], 0)</f>
        <v>Sugar</v>
      </c>
      <c r="E193" s="24" cm="1">
        <f t="array" ref="E193">Common_InputFunctions.Utility_DisplayArrayInTable(Common_SourceData.Common_SourceData_EFN2O_Data(), Table_SourceData_Common_EFN2O[[#Headers],[Production system j]], 0)</f>
        <v>1.9900000000000001E-2</v>
      </c>
      <c r="F193" s="24" t="str" cm="1">
        <f t="array" ref="F193">Common_InputFunctions.Utility_DisplayArrayInTable(Common_SourceData.Common_SourceData_EFN2O_Data(), Table_SourceData_Common_EFN2O[[#Headers],[Production system j]], 0)</f>
        <v>Sugar</v>
      </c>
      <c r="G193" s="24" t="str" cm="1">
        <f t="array" ref="G193">Common_InputFunctions.Utility_DisplayArrayInTable(Common_SourceData.Common_SourceData_EFN2O_Data(), Table_SourceData_Common_EFN2O[[#Headers],[Production system j]], 0)</f>
        <v>Any</v>
      </c>
      <c r="H193" s="24" t="str" cm="1">
        <f t="array" ref="H193">Common_InputFunctions.Utility_DisplayArrayInTable(Common_SourceData.Common_SourceData_EFN2O_Data(), Table_SourceData_Common_EFN2O[[#Headers],[Production system j]], 0)</f>
        <v>Any</v>
      </c>
    </row>
    <row r="194" spans="4:8" ht="20.100000000000001" customHeight="1" x14ac:dyDescent="0.25">
      <c r="D194" s="24" t="str" cm="1">
        <f t="array" ref="D194">Common_InputFunctions.Utility_DisplayArrayInTable(Common_SourceData.Common_SourceData_EFN2O_Data(), Table_SourceData_Common_EFN2O[[#Headers],[Production system j]], 0)</f>
        <v>Cotton</v>
      </c>
      <c r="E194" s="24" cm="1">
        <f t="array" ref="E194">Common_InputFunctions.Utility_DisplayArrayInTable(Common_SourceData.Common_SourceData_EFN2O_Data(), Table_SourceData_Common_EFN2O[[#Headers],[Production system j]], 0)</f>
        <v>5.3E-3</v>
      </c>
      <c r="F194" s="24" t="str" cm="1">
        <f t="array" ref="F194">Common_InputFunctions.Utility_DisplayArrayInTable(Common_SourceData.Common_SourceData_EFN2O_Data(), Table_SourceData_Common_EFN2O[[#Headers],[Production system j]], 0)</f>
        <v>Cotton</v>
      </c>
      <c r="G194" s="24" t="str" cm="1">
        <f t="array" ref="G194">Common_InputFunctions.Utility_DisplayArrayInTable(Common_SourceData.Common_SourceData_EFN2O_Data(), Table_SourceData_Common_EFN2O[[#Headers],[Production system j]], 0)</f>
        <v>Any</v>
      </c>
      <c r="H194" s="24" t="str" cm="1">
        <f t="array" ref="H194">Common_InputFunctions.Utility_DisplayArrayInTable(Common_SourceData.Common_SourceData_EFN2O_Data(), Table_SourceData_Common_EFN2O[[#Headers],[Production system j]], 0)</f>
        <v>Any</v>
      </c>
    </row>
    <row r="195" spans="4:8" ht="20.100000000000001" customHeight="1" x14ac:dyDescent="0.25">
      <c r="D195" s="24" t="str" cm="1">
        <f t="array" ref="D195">Common_InputFunctions.Utility_DisplayArrayInTable(Common_SourceData.Common_SourceData_EFN2O_Data(), Table_SourceData_Common_EFN2O[[#Headers],[Production system j]], 0)</f>
        <v>Horticultural crops</v>
      </c>
      <c r="E195" s="24" cm="1">
        <f t="array" ref="E195">Common_InputFunctions.Utility_DisplayArrayInTable(Common_SourceData.Common_SourceData_EFN2O_Data(), Table_SourceData_Common_EFN2O[[#Headers],[Production system j]], 0)</f>
        <v>6.4000000000000003E-3</v>
      </c>
      <c r="F195" s="24" t="str" cm="1">
        <f t="array" ref="F195">Common_InputFunctions.Utility_DisplayArrayInTable(Common_SourceData.Common_SourceData_EFN2O_Data(), Table_SourceData_Common_EFN2O[[#Headers],[Production system j]], 0)</f>
        <v>Horticultural crops</v>
      </c>
      <c r="G195" s="24" t="str" cm="1">
        <f t="array" ref="G195">Common_InputFunctions.Utility_DisplayArrayInTable(Common_SourceData.Common_SourceData_EFN2O_Data(), Table_SourceData_Common_EFN2O[[#Headers],[Production system j]], 0)</f>
        <v>Any</v>
      </c>
      <c r="H195" s="24" t="str" cm="1">
        <f t="array" ref="H195">Common_InputFunctions.Utility_DisplayArrayInTable(Common_SourceData.Common_SourceData_EFN2O_Data(), Table_SourceData_Common_EFN2O[[#Headers],[Production system j]], 0)</f>
        <v>Any</v>
      </c>
    </row>
    <row r="196" spans="4:8" ht="20.100000000000001" customHeight="1" x14ac:dyDescent="0.25">
      <c r="D196" s="24" t="str" cm="1">
        <f t="array" ref="D196">Common_InputFunctions.Utility_DisplayArrayInTable(Common_SourceData.Common_SourceData_EFN2O_Data(), Table_SourceData_Common_EFN2O[[#Headers],[Production system j]], 0)</f>
        <v>Rice (continuous flooding)</v>
      </c>
      <c r="E196" s="24" cm="1">
        <f t="array" ref="E196">Common_InputFunctions.Utility_DisplayArrayInTable(Common_SourceData.Common_SourceData_EFN2O_Data(), Table_SourceData_Common_EFN2O[[#Headers],[Production system j]], 0)</f>
        <v>3.0000000000000001E-3</v>
      </c>
      <c r="F196" s="24" t="str" cm="1">
        <f t="array" ref="F196">Common_InputFunctions.Utility_DisplayArrayInTable(Common_SourceData.Common_SourceData_EFN2O_Data(), Table_SourceData_Common_EFN2O[[#Headers],[Production system j]], 0)</f>
        <v>Rice</v>
      </c>
      <c r="G196" s="24" t="str" cm="1">
        <f t="array" ref="G196">Common_InputFunctions.Utility_DisplayArrayInTable(Common_SourceData.Common_SourceData_EFN2O_Data(), Table_SourceData_Common_EFN2O[[#Headers],[Production system j]], 0)</f>
        <v>Continuous flooding</v>
      </c>
      <c r="H196" s="24" t="str" cm="1">
        <f t="array" ref="H196">Common_InputFunctions.Utility_DisplayArrayInTable(Common_SourceData.Common_SourceData_EFN2O_Data(), Table_SourceData_Common_EFN2O[[#Headers],[Production system j]], 0)</f>
        <v>Any</v>
      </c>
    </row>
    <row r="197" spans="4:8" x14ac:dyDescent="0.25">
      <c r="D197" s="24" t="str" cm="1">
        <f t="array" ref="D197">Common_InputFunctions.Utility_DisplayArrayInTable(Common_SourceData.Common_SourceData_EFN2O_Data(), Table_SourceData_Common_EFN2O[[#Headers],[Production system j]], 0)</f>
        <v>Rice (single and multiple drainage, or alternate wetting and drying)</v>
      </c>
      <c r="E197" s="24" cm="1">
        <f t="array" ref="E197">Common_InputFunctions.Utility_DisplayArrayInTable(Common_SourceData.Common_SourceData_EFN2O_Data(), Table_SourceData_Common_EFN2O[[#Headers],[Production system j]], 0)</f>
        <v>5.0000000000000001E-3</v>
      </c>
      <c r="F197" s="24" t="str" cm="1">
        <f t="array" ref="F197">Common_InputFunctions.Utility_DisplayArrayInTable(Common_SourceData.Common_SourceData_EFN2O_Data(), Table_SourceData_Common_EFN2O[[#Headers],[Production system j]], 0)</f>
        <v>Rice</v>
      </c>
      <c r="G197" s="24" t="str" cm="1">
        <f t="array" ref="G197">Common_InputFunctions.Utility_DisplayArrayInTable(Common_SourceData.Common_SourceData_EFN2O_Data(), Table_SourceData_Common_EFN2O[[#Headers],[Production system j]], 0)</f>
        <v>Single and multiple drainage, or alternate wetting and drying</v>
      </c>
      <c r="H197" s="24" t="str" cm="1">
        <f t="array" ref="H197">Common_InputFunctions.Utility_DisplayArrayInTable(Common_SourceData.Common_SourceData_EFN2O_Data(), Table_SourceData_Common_EFN2O[[#Headers],[Production system j]], 0)</f>
        <v>Any</v>
      </c>
    </row>
    <row r="198" spans="4:8" x14ac:dyDescent="0.25">
      <c r="D198" s="24" t="str" cm="1">
        <f t="array" ref="D198">Common_InputFunctions.Utility_DisplayArrayInTable(Common_SourceData.Common_SourceData_EFN2O_Data(), Table_SourceData_Common_EFN2O[[#Headers],[Production system j]], 0)</f>
        <v>Aquaculture</v>
      </c>
      <c r="E198" s="24" cm="1">
        <f t="array" ref="E198">Common_InputFunctions.Utility_DisplayArrayInTable(Common_SourceData.Common_SourceData_EFN2O_Data(), Table_SourceData_Common_EFN2O[[#Headers],[Production system j]], 0)</f>
        <v>2.5999999999999999E-3</v>
      </c>
      <c r="F198" s="24" t="str" cm="1">
        <f t="array" ref="F198">Common_InputFunctions.Utility_DisplayArrayInTable(Common_SourceData.Common_SourceData_EFN2O_Data(), Table_SourceData_Common_EFN2O[[#Headers],[Production system j]], 0)</f>
        <v>Aquaculture</v>
      </c>
      <c r="G198" s="24" t="str" cm="1">
        <f t="array" ref="G198">Common_InputFunctions.Utility_DisplayArrayInTable(Common_SourceData.Common_SourceData_EFN2O_Data(), Table_SourceData_Common_EFN2O[[#Headers],[Production system j]], 0)</f>
        <v>Any</v>
      </c>
      <c r="H198" s="24" t="str" cm="1">
        <f t="array" ref="H198">Common_InputFunctions.Utility_DisplayArrayInTable(Common_SourceData.Common_SourceData_EFN2O_Data(), Table_SourceData_Common_EFN2O[[#Headers],[Production system j]], 0)</f>
        <v>Any</v>
      </c>
    </row>
    <row r="199" spans="4:8" x14ac:dyDescent="0.25">
      <c r="D199" s="24" t="str" cm="1">
        <f t="array" ref="D199">Common_InputFunctions.Utility_DisplayArrayInTable(Common_SourceData.Common_SourceData_EFN2O_Data(), Table_SourceData_Common_EFN2O[[#Headers],[Production system j]], 0)</f>
        <v>Forestry</v>
      </c>
      <c r="E199" s="24" cm="1">
        <f t="array" ref="E199">Common_InputFunctions.Utility_DisplayArrayInTable(Common_SourceData.Common_SourceData_EFN2O_Data(), Table_SourceData_Common_EFN2O[[#Headers],[Production system j]], 0)</f>
        <v>1.8E-3</v>
      </c>
      <c r="F199" s="24" t="str" cm="1">
        <f t="array" ref="F199">Common_InputFunctions.Utility_DisplayArrayInTable(Common_SourceData.Common_SourceData_EFN2O_Data(), Table_SourceData_Common_EFN2O[[#Headers],[Production system j]], 0)</f>
        <v>Forestry</v>
      </c>
      <c r="G199" s="24" t="str" cm="1">
        <f t="array" ref="G199">Common_InputFunctions.Utility_DisplayArrayInTable(Common_SourceData.Common_SourceData_EFN2O_Data(), Table_SourceData_Common_EFN2O[[#Headers],[Production system j]], 0)</f>
        <v>Any</v>
      </c>
      <c r="H199" s="24"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29" t="str" cm="1">
        <f t="array" ref="D204">Common_SourceData.Common_SourceData_EFPastureRangeAndPaddock_Variation()</f>
        <v>VARIATION FROM SOURCE DATA: Changed 'Dry climate zones' to singular 'Dry climate zone' to aid lookup.</v>
      </c>
    </row>
    <row r="205" spans="4:8" x14ac:dyDescent="0.25">
      <c r="D205" s="28" t="str" cm="1">
        <f t="array" ref="D205">Common_SourceData.Common_SourceData_EFPastureRangeAndPaddock_Unit()</f>
        <v>kg N2O - N / kg N</v>
      </c>
    </row>
    <row r="206" spans="4:8" x14ac:dyDescent="0.25">
      <c r="D206" s="24" t="s">
        <v>3</v>
      </c>
      <c r="E206" s="24" t="s">
        <v>59</v>
      </c>
    </row>
    <row r="207" spans="4:8" x14ac:dyDescent="0.25">
      <c r="D207" s="24" t="str" cm="1">
        <f t="array" ref="D207">Common_InputFunctions.Utility_DisplayArrayInTable(Common_SourceData.Common_SourceData_EFPastureRangeAndPaddock_Data(), Table_SourceData_EFPastureRangeAndPaddock[[#Headers],[Climate zone]], 0)</f>
        <v>Wet climate zone</v>
      </c>
      <c r="E207" s="24"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4"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4" t="s">
        <v>56</v>
      </c>
      <c r="E212" s="24" t="s">
        <v>62</v>
      </c>
    </row>
    <row r="213" spans="4:5" x14ac:dyDescent="0.25">
      <c r="D213" s="24" t="str" cm="1">
        <f t="array" ref="D213">Common_InputFunctions.Utility_DisplayArrayInTable(Common_SourceData.Common_SourceData_MonthsToSeasons_Data(), Table_SourceData_Common_MonthToSeason[[#Headers],[Month]], 0)</f>
        <v>January</v>
      </c>
      <c r="E213" s="24"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4"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4"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4"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4"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4"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4"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4"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4"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4"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4"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4"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2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4" t="s">
        <v>34</v>
      </c>
      <c r="E231" s="24" t="s">
        <v>70</v>
      </c>
      <c r="F231" s="23" t="s">
        <v>71</v>
      </c>
      <c r="G231" s="24" t="s">
        <v>66</v>
      </c>
      <c r="H231" s="24" t="s">
        <v>72</v>
      </c>
      <c r="I231" s="24" t="s">
        <v>73</v>
      </c>
      <c r="J231" s="24" t="s">
        <v>65</v>
      </c>
      <c r="K231" s="24" t="s">
        <v>64</v>
      </c>
      <c r="L231" s="24" t="s">
        <v>74</v>
      </c>
      <c r="M231" s="24" t="s">
        <v>75</v>
      </c>
      <c r="N231" s="24" t="s">
        <v>63</v>
      </c>
      <c r="O231" s="24" t="s">
        <v>76</v>
      </c>
      <c r="P231" s="24" t="s">
        <v>68</v>
      </c>
      <c r="Q231" s="24" t="s">
        <v>69</v>
      </c>
      <c r="R231" s="24" t="s">
        <v>67</v>
      </c>
      <c r="S231" s="24" t="s">
        <v>77</v>
      </c>
    </row>
    <row r="232" spans="4:19" x14ac:dyDescent="0.25">
      <c r="D232" s="24" t="str" cm="1">
        <f t="array" ref="D232">Common_InputFunctions.Utility_DisplayArrayInTable(Common_SourceData.Common_SourceData_MCFTemperatureZone_Data(),Table_SourceData_Common_MCFTemperatureZone[[#Headers],[Temperature zone]],0)</f>
        <v>Cool</v>
      </c>
      <c r="E232" s="24" t="str" cm="1">
        <f t="array" ref="E232">Common_InputFunctions.Utility_DisplayArrayInTable(Common_SourceData.Common_SourceData_MCFTemperatureZone_Data(),Table_SourceData_Common_MCFTemperatureZone[[#Headers],[Temperature zone]],0)</f>
        <v>≤10</v>
      </c>
      <c r="F232" s="24" cm="1">
        <f t="array" ref="F232">Common_InputFunctions.Utility_DisplayArrayInTable(Common_SourceData.Common_SourceData_MCFTemperatureZone_Data(),Table_SourceData_Common_MCFTemperatureZone[[#Headers],[Temperature zone]],0)</f>
        <v>0.66</v>
      </c>
      <c r="G232" s="24" cm="1">
        <f t="array" ref="G232">Common_InputFunctions.Utility_DisplayArrayInTable(Common_SourceData.Common_SourceData_MCFTemperatureZone_Data(),Table_SourceData_Common_MCFTemperatureZone[[#Headers],[Temperature zone]],0)</f>
        <v>0.1</v>
      </c>
      <c r="H232" s="24" cm="1">
        <f t="array" ref="H232">Common_InputFunctions.Utility_DisplayArrayInTable(Common_SourceData.Common_SourceData_MCFTemperatureZone_Data(),Table_SourceData_Common_MCFTemperatureZone[[#Headers],[Temperature zone]],0)</f>
        <v>0.1</v>
      </c>
      <c r="I232" s="24" cm="1">
        <f t="array" ref="I232">Common_InputFunctions.Utility_DisplayArrayInTable(Common_SourceData.Common_SourceData_MCFTemperatureZone_Data(),Table_SourceData_Common_MCFTemperatureZone[[#Headers],[Temperature zone]],0)</f>
        <v>1E-3</v>
      </c>
      <c r="J232" s="24" cm="1">
        <f t="array" ref="J232">Common_InputFunctions.Utility_DisplayArrayInTable(Common_SourceData.Common_SourceData_MCFTemperatureZone_Data(),Table_SourceData_Common_MCFTemperatureZone[[#Headers],[Temperature zone]],0)</f>
        <v>5.0000000000000001E-3</v>
      </c>
      <c r="K232" s="24" cm="1">
        <f t="array" ref="K232">Common_InputFunctions.Utility_DisplayArrayInTable(Common_SourceData.Common_SourceData_MCFTemperatureZone_Data(),Table_SourceData_Common_MCFTemperatureZone[[#Headers],[Temperature zone]],0)</f>
        <v>0.02</v>
      </c>
      <c r="L232" s="24" cm="1">
        <f t="array" ref="L232">Common_InputFunctions.Utility_DisplayArrayInTable(Common_SourceData.Common_SourceData_MCFTemperatureZone_Data(),Table_SourceData_Common_MCFTemperatureZone[[#Headers],[Temperature zone]],0)</f>
        <v>0.03</v>
      </c>
      <c r="M232" s="24" cm="1">
        <f t="array" ref="M232">Common_InputFunctions.Utility_DisplayArrayInTable(Common_SourceData.Common_SourceData_MCFTemperatureZone_Data(),Table_SourceData_Common_MCFTemperatureZone[[#Headers],[Temperature zone]],0)</f>
        <v>0.04</v>
      </c>
      <c r="N232" s="24" cm="1">
        <f t="array" ref="N232">Common_InputFunctions.Utility_DisplayArrayInTable(Common_SourceData.Common_SourceData_MCFTemperatureZone_Data(),Table_SourceData_Common_MCFTemperatureZone[[#Headers],[Temperature zone]],0)</f>
        <v>1.4999999999999999E-2</v>
      </c>
      <c r="O232" s="24" cm="1">
        <f t="array" ref="O232">Common_InputFunctions.Utility_DisplayArrayInTable(Common_SourceData.Common_SourceData_MCFTemperatureZone_Data(),Table_SourceData_Common_MCFTemperatureZone[[#Headers],[Temperature zone]],0)</f>
        <v>1.4999999999999999E-2</v>
      </c>
      <c r="P232" s="24" cm="1">
        <f t="array" ref="P232">Common_InputFunctions.Utility_DisplayArrayInTable(Common_SourceData.Common_SourceData_MCFTemperatureZone_Data(),Table_SourceData_Common_MCFTemperatureZone[[#Headers],[Temperature zone]],0)</f>
        <v>0</v>
      </c>
      <c r="Q232" s="24" cm="1">
        <f t="array" ref="Q232">Common_InputFunctions.Utility_DisplayArrayInTable(Common_SourceData.Common_SourceData_MCFTemperatureZone_Data(),Table_SourceData_Common_MCFTemperatureZone[[#Headers],[Temperature zone]],0)</f>
        <v>0</v>
      </c>
      <c r="R232" s="24" cm="1">
        <f t="array" ref="R232">Common_InputFunctions.Utility_DisplayArrayInTable(Common_SourceData.Common_SourceData_MCFTemperatureZone_Data(),Table_SourceData_Common_MCFTemperatureZone[[#Headers],[Temperature zone]],0)</f>
        <v>4.7000000000000002E-3</v>
      </c>
      <c r="S232" s="24"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4" cm="1">
        <f t="array" ref="E233">Common_InputFunctions.Utility_DisplayArrayInTable(Common_SourceData.Common_SourceData_MCFTemperatureZone_Data(),Table_SourceData_Common_MCFTemperatureZone[[#Headers],[Temperature zone]],0)</f>
        <v>11</v>
      </c>
      <c r="F233" s="24" cm="1">
        <f t="array" ref="F233">Common_InputFunctions.Utility_DisplayArrayInTable(Common_SourceData.Common_SourceData_MCFTemperatureZone_Data(),Table_SourceData_Common_MCFTemperatureZone[[#Headers],[Temperature zone]],0)</f>
        <v>0.68</v>
      </c>
      <c r="G233" s="24" cm="1">
        <f t="array" ref="G233">Common_InputFunctions.Utility_DisplayArrayInTable(Common_SourceData.Common_SourceData_MCFTemperatureZone_Data(),Table_SourceData_Common_MCFTemperatureZone[[#Headers],[Temperature zone]],0)</f>
        <v>0.1</v>
      </c>
      <c r="H233" s="24" cm="1">
        <f t="array" ref="H233">Common_InputFunctions.Utility_DisplayArrayInTable(Common_SourceData.Common_SourceData_MCFTemperatureZone_Data(),Table_SourceData_Common_MCFTemperatureZone[[#Headers],[Temperature zone]],0)</f>
        <v>0.11</v>
      </c>
      <c r="I233" s="24" cm="1">
        <f t="array" ref="I233">Common_InputFunctions.Utility_DisplayArrayInTable(Common_SourceData.Common_SourceData_MCFTemperatureZone_Data(),Table_SourceData_Common_MCFTemperatureZone[[#Headers],[Temperature zone]],0)</f>
        <v>1E-3</v>
      </c>
      <c r="J233" s="24" cm="1">
        <f t="array" ref="J233">Common_InputFunctions.Utility_DisplayArrayInTable(Common_SourceData.Common_SourceData_MCFTemperatureZone_Data(),Table_SourceData_Common_MCFTemperatureZone[[#Headers],[Temperature zone]],0)</f>
        <v>5.0000000000000001E-3</v>
      </c>
      <c r="K233" s="24" cm="1">
        <f t="array" ref="K233">Common_InputFunctions.Utility_DisplayArrayInTable(Common_SourceData.Common_SourceData_MCFTemperatureZone_Data(),Table_SourceData_Common_MCFTemperatureZone[[#Headers],[Temperature zone]],0)</f>
        <v>0.02</v>
      </c>
      <c r="L233" s="24" cm="1">
        <f t="array" ref="L233">Common_InputFunctions.Utility_DisplayArrayInTable(Common_SourceData.Common_SourceData_MCFTemperatureZone_Data(),Table_SourceData_Common_MCFTemperatureZone[[#Headers],[Temperature zone]],0)</f>
        <v>0.03</v>
      </c>
      <c r="M233" s="24" cm="1">
        <f t="array" ref="M233">Common_InputFunctions.Utility_DisplayArrayInTable(Common_SourceData.Common_SourceData_MCFTemperatureZone_Data(),Table_SourceData_Common_MCFTemperatureZone[[#Headers],[Temperature zone]],0)</f>
        <v>0.04</v>
      </c>
      <c r="N233" s="24" cm="1">
        <f t="array" ref="N233">Common_InputFunctions.Utility_DisplayArrayInTable(Common_SourceData.Common_SourceData_MCFTemperatureZone_Data(),Table_SourceData_Common_MCFTemperatureZone[[#Headers],[Temperature zone]],0)</f>
        <v>1.4999999999999999E-2</v>
      </c>
      <c r="O233" s="24" cm="1">
        <f t="array" ref="O233">Common_InputFunctions.Utility_DisplayArrayInTable(Common_SourceData.Common_SourceData_MCFTemperatureZone_Data(),Table_SourceData_Common_MCFTemperatureZone[[#Headers],[Temperature zone]],0)</f>
        <v>1.4999999999999999E-2</v>
      </c>
      <c r="P233" s="24" cm="1">
        <f t="array" ref="P233">Common_InputFunctions.Utility_DisplayArrayInTable(Common_SourceData.Common_SourceData_MCFTemperatureZone_Data(),Table_SourceData_Common_MCFTemperatureZone[[#Headers],[Temperature zone]],0)</f>
        <v>0</v>
      </c>
      <c r="Q233" s="24" cm="1">
        <f t="array" ref="Q233">Common_InputFunctions.Utility_DisplayArrayInTable(Common_SourceData.Common_SourceData_MCFTemperatureZone_Data(),Table_SourceData_Common_MCFTemperatureZone[[#Headers],[Temperature zone]],0)</f>
        <v>0</v>
      </c>
      <c r="R233" s="24" cm="1">
        <f t="array" ref="R233">Common_InputFunctions.Utility_DisplayArrayInTable(Common_SourceData.Common_SourceData_MCFTemperatureZone_Data(),Table_SourceData_Common_MCFTemperatureZone[[#Headers],[Temperature zone]],0)</f>
        <v>4.7000000000000002E-3</v>
      </c>
      <c r="S233" s="24"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4" cm="1">
        <f t="array" ref="E234">Common_InputFunctions.Utility_DisplayArrayInTable(Common_SourceData.Common_SourceData_MCFTemperatureZone_Data(),Table_SourceData_Common_MCFTemperatureZone[[#Headers],[Temperature zone]],0)</f>
        <v>12</v>
      </c>
      <c r="F234" s="24" cm="1">
        <f t="array" ref="F234">Common_InputFunctions.Utility_DisplayArrayInTable(Common_SourceData.Common_SourceData_MCFTemperatureZone_Data(),Table_SourceData_Common_MCFTemperatureZone[[#Headers],[Temperature zone]],0)</f>
        <v>0.7</v>
      </c>
      <c r="G234" s="24" cm="1">
        <f t="array" ref="G234">Common_InputFunctions.Utility_DisplayArrayInTable(Common_SourceData.Common_SourceData_MCFTemperatureZone_Data(),Table_SourceData_Common_MCFTemperatureZone[[#Headers],[Temperature zone]],0)</f>
        <v>0.1</v>
      </c>
      <c r="H234" s="24" cm="1">
        <f t="array" ref="H234">Common_InputFunctions.Utility_DisplayArrayInTable(Common_SourceData.Common_SourceData_MCFTemperatureZone_Data(),Table_SourceData_Common_MCFTemperatureZone[[#Headers],[Temperature zone]],0)</f>
        <v>0.13</v>
      </c>
      <c r="I234" s="24" cm="1">
        <f t="array" ref="I234">Common_InputFunctions.Utility_DisplayArrayInTable(Common_SourceData.Common_SourceData_MCFTemperatureZone_Data(),Table_SourceData_Common_MCFTemperatureZone[[#Headers],[Temperature zone]],0)</f>
        <v>1E-3</v>
      </c>
      <c r="J234" s="24" cm="1">
        <f t="array" ref="J234">Common_InputFunctions.Utility_DisplayArrayInTable(Common_SourceData.Common_SourceData_MCFTemperatureZone_Data(),Table_SourceData_Common_MCFTemperatureZone[[#Headers],[Temperature zone]],0)</f>
        <v>5.0000000000000001E-3</v>
      </c>
      <c r="K234" s="24" cm="1">
        <f t="array" ref="K234">Common_InputFunctions.Utility_DisplayArrayInTable(Common_SourceData.Common_SourceData_MCFTemperatureZone_Data(),Table_SourceData_Common_MCFTemperatureZone[[#Headers],[Temperature zone]],0)</f>
        <v>0.02</v>
      </c>
      <c r="L234" s="24" cm="1">
        <f t="array" ref="L234">Common_InputFunctions.Utility_DisplayArrayInTable(Common_SourceData.Common_SourceData_MCFTemperatureZone_Data(),Table_SourceData_Common_MCFTemperatureZone[[#Headers],[Temperature zone]],0)</f>
        <v>0.03</v>
      </c>
      <c r="M234" s="24" cm="1">
        <f t="array" ref="M234">Common_InputFunctions.Utility_DisplayArrayInTable(Common_SourceData.Common_SourceData_MCFTemperatureZone_Data(),Table_SourceData_Common_MCFTemperatureZone[[#Headers],[Temperature zone]],0)</f>
        <v>0.04</v>
      </c>
      <c r="N234" s="24" cm="1">
        <f t="array" ref="N234">Common_InputFunctions.Utility_DisplayArrayInTable(Common_SourceData.Common_SourceData_MCFTemperatureZone_Data(),Table_SourceData_Common_MCFTemperatureZone[[#Headers],[Temperature zone]],0)</f>
        <v>1.4999999999999999E-2</v>
      </c>
      <c r="O234" s="24" cm="1">
        <f t="array" ref="O234">Common_InputFunctions.Utility_DisplayArrayInTable(Common_SourceData.Common_SourceData_MCFTemperatureZone_Data(),Table_SourceData_Common_MCFTemperatureZone[[#Headers],[Temperature zone]],0)</f>
        <v>1.4999999999999999E-2</v>
      </c>
      <c r="P234" s="24" cm="1">
        <f t="array" ref="P234">Common_InputFunctions.Utility_DisplayArrayInTable(Common_SourceData.Common_SourceData_MCFTemperatureZone_Data(),Table_SourceData_Common_MCFTemperatureZone[[#Headers],[Temperature zone]],0)</f>
        <v>0</v>
      </c>
      <c r="Q234" s="24" cm="1">
        <f t="array" ref="Q234">Common_InputFunctions.Utility_DisplayArrayInTable(Common_SourceData.Common_SourceData_MCFTemperatureZone_Data(),Table_SourceData_Common_MCFTemperatureZone[[#Headers],[Temperature zone]],0)</f>
        <v>0</v>
      </c>
      <c r="R234" s="24" cm="1">
        <f t="array" ref="R234">Common_InputFunctions.Utility_DisplayArrayInTable(Common_SourceData.Common_SourceData_MCFTemperatureZone_Data(),Table_SourceData_Common_MCFTemperatureZone[[#Headers],[Temperature zone]],0)</f>
        <v>4.7000000000000002E-3</v>
      </c>
      <c r="S234" s="24"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4" cm="1">
        <f t="array" ref="E235">Common_InputFunctions.Utility_DisplayArrayInTable(Common_SourceData.Common_SourceData_MCFTemperatureZone_Data(),Table_SourceData_Common_MCFTemperatureZone[[#Headers],[Temperature zone]],0)</f>
        <v>13</v>
      </c>
      <c r="F235" s="24" cm="1">
        <f t="array" ref="F235">Common_InputFunctions.Utility_DisplayArrayInTable(Common_SourceData.Common_SourceData_MCFTemperatureZone_Data(),Table_SourceData_Common_MCFTemperatureZone[[#Headers],[Temperature zone]],0)</f>
        <v>0.71</v>
      </c>
      <c r="G235" s="24" cm="1">
        <f t="array" ref="G235">Common_InputFunctions.Utility_DisplayArrayInTable(Common_SourceData.Common_SourceData_MCFTemperatureZone_Data(),Table_SourceData_Common_MCFTemperatureZone[[#Headers],[Temperature zone]],0)</f>
        <v>0.1</v>
      </c>
      <c r="H235" s="24" cm="1">
        <f t="array" ref="H235">Common_InputFunctions.Utility_DisplayArrayInTable(Common_SourceData.Common_SourceData_MCFTemperatureZone_Data(),Table_SourceData_Common_MCFTemperatureZone[[#Headers],[Temperature zone]],0)</f>
        <v>0.14000000000000001</v>
      </c>
      <c r="I235" s="24" cm="1">
        <f t="array" ref="I235">Common_InputFunctions.Utility_DisplayArrayInTable(Common_SourceData.Common_SourceData_MCFTemperatureZone_Data(),Table_SourceData_Common_MCFTemperatureZone[[#Headers],[Temperature zone]],0)</f>
        <v>1E-3</v>
      </c>
      <c r="J235" s="24" cm="1">
        <f t="array" ref="J235">Common_InputFunctions.Utility_DisplayArrayInTable(Common_SourceData.Common_SourceData_MCFTemperatureZone_Data(),Table_SourceData_Common_MCFTemperatureZone[[#Headers],[Temperature zone]],0)</f>
        <v>5.0000000000000001E-3</v>
      </c>
      <c r="K235" s="24" cm="1">
        <f t="array" ref="K235">Common_InputFunctions.Utility_DisplayArrayInTable(Common_SourceData.Common_SourceData_MCFTemperatureZone_Data(),Table_SourceData_Common_MCFTemperatureZone[[#Headers],[Temperature zone]],0)</f>
        <v>0.02</v>
      </c>
      <c r="L235" s="24" cm="1">
        <f t="array" ref="L235">Common_InputFunctions.Utility_DisplayArrayInTable(Common_SourceData.Common_SourceData_MCFTemperatureZone_Data(),Table_SourceData_Common_MCFTemperatureZone[[#Headers],[Temperature zone]],0)</f>
        <v>0.03</v>
      </c>
      <c r="M235" s="24" cm="1">
        <f t="array" ref="M235">Common_InputFunctions.Utility_DisplayArrayInTable(Common_SourceData.Common_SourceData_MCFTemperatureZone_Data(),Table_SourceData_Common_MCFTemperatureZone[[#Headers],[Temperature zone]],0)</f>
        <v>0.04</v>
      </c>
      <c r="N235" s="24" cm="1">
        <f t="array" ref="N235">Common_InputFunctions.Utility_DisplayArrayInTable(Common_SourceData.Common_SourceData_MCFTemperatureZone_Data(),Table_SourceData_Common_MCFTemperatureZone[[#Headers],[Temperature zone]],0)</f>
        <v>1.4999999999999999E-2</v>
      </c>
      <c r="O235" s="24" cm="1">
        <f t="array" ref="O235">Common_InputFunctions.Utility_DisplayArrayInTable(Common_SourceData.Common_SourceData_MCFTemperatureZone_Data(),Table_SourceData_Common_MCFTemperatureZone[[#Headers],[Temperature zone]],0)</f>
        <v>1.4999999999999999E-2</v>
      </c>
      <c r="P235" s="24" cm="1">
        <f t="array" ref="P235">Common_InputFunctions.Utility_DisplayArrayInTable(Common_SourceData.Common_SourceData_MCFTemperatureZone_Data(),Table_SourceData_Common_MCFTemperatureZone[[#Headers],[Temperature zone]],0)</f>
        <v>0</v>
      </c>
      <c r="Q235" s="24" cm="1">
        <f t="array" ref="Q235">Common_InputFunctions.Utility_DisplayArrayInTable(Common_SourceData.Common_SourceData_MCFTemperatureZone_Data(),Table_SourceData_Common_MCFTemperatureZone[[#Headers],[Temperature zone]],0)</f>
        <v>0</v>
      </c>
      <c r="R235" s="24" cm="1">
        <f t="array" ref="R235">Common_InputFunctions.Utility_DisplayArrayInTable(Common_SourceData.Common_SourceData_MCFTemperatureZone_Data(),Table_SourceData_Common_MCFTemperatureZone[[#Headers],[Temperature zone]],0)</f>
        <v>4.7000000000000002E-3</v>
      </c>
      <c r="S235" s="24"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4" cm="1">
        <f t="array" ref="E236">Common_InputFunctions.Utility_DisplayArrayInTable(Common_SourceData.Common_SourceData_MCFTemperatureZone_Data(),Table_SourceData_Common_MCFTemperatureZone[[#Headers],[Temperature zone]],0)</f>
        <v>14</v>
      </c>
      <c r="F236" s="24" cm="1">
        <f t="array" ref="F236">Common_InputFunctions.Utility_DisplayArrayInTable(Common_SourceData.Common_SourceData_MCFTemperatureZone_Data(),Table_SourceData_Common_MCFTemperatureZone[[#Headers],[Temperature zone]],0)</f>
        <v>0.73</v>
      </c>
      <c r="G236" s="24" cm="1">
        <f t="array" ref="G236">Common_InputFunctions.Utility_DisplayArrayInTable(Common_SourceData.Common_SourceData_MCFTemperatureZone_Data(),Table_SourceData_Common_MCFTemperatureZone[[#Headers],[Temperature zone]],0)</f>
        <v>0.1</v>
      </c>
      <c r="H236" s="24" cm="1">
        <f t="array" ref="H236">Common_InputFunctions.Utility_DisplayArrayInTable(Common_SourceData.Common_SourceData_MCFTemperatureZone_Data(),Table_SourceData_Common_MCFTemperatureZone[[#Headers],[Temperature zone]],0)</f>
        <v>0.15</v>
      </c>
      <c r="I236" s="24" cm="1">
        <f t="array" ref="I236">Common_InputFunctions.Utility_DisplayArrayInTable(Common_SourceData.Common_SourceData_MCFTemperatureZone_Data(),Table_SourceData_Common_MCFTemperatureZone[[#Headers],[Temperature zone]],0)</f>
        <v>1E-3</v>
      </c>
      <c r="J236" s="24" cm="1">
        <f t="array" ref="J236">Common_InputFunctions.Utility_DisplayArrayInTable(Common_SourceData.Common_SourceData_MCFTemperatureZone_Data(),Table_SourceData_Common_MCFTemperatureZone[[#Headers],[Temperature zone]],0)</f>
        <v>5.0000000000000001E-3</v>
      </c>
      <c r="K236" s="24" cm="1">
        <f t="array" ref="K236">Common_InputFunctions.Utility_DisplayArrayInTable(Common_SourceData.Common_SourceData_MCFTemperatureZone_Data(),Table_SourceData_Common_MCFTemperatureZone[[#Headers],[Temperature zone]],0)</f>
        <v>0.02</v>
      </c>
      <c r="L236" s="24" cm="1">
        <f t="array" ref="L236">Common_InputFunctions.Utility_DisplayArrayInTable(Common_SourceData.Common_SourceData_MCFTemperatureZone_Data(),Table_SourceData_Common_MCFTemperatureZone[[#Headers],[Temperature zone]],0)</f>
        <v>0.03</v>
      </c>
      <c r="M236" s="24" cm="1">
        <f t="array" ref="M236">Common_InputFunctions.Utility_DisplayArrayInTable(Common_SourceData.Common_SourceData_MCFTemperatureZone_Data(),Table_SourceData_Common_MCFTemperatureZone[[#Headers],[Temperature zone]],0)</f>
        <v>0.04</v>
      </c>
      <c r="N236" s="24" cm="1">
        <f t="array" ref="N236">Common_InputFunctions.Utility_DisplayArrayInTable(Common_SourceData.Common_SourceData_MCFTemperatureZone_Data(),Table_SourceData_Common_MCFTemperatureZone[[#Headers],[Temperature zone]],0)</f>
        <v>1.4999999999999999E-2</v>
      </c>
      <c r="O236" s="24" cm="1">
        <f t="array" ref="O236">Common_InputFunctions.Utility_DisplayArrayInTable(Common_SourceData.Common_SourceData_MCFTemperatureZone_Data(),Table_SourceData_Common_MCFTemperatureZone[[#Headers],[Temperature zone]],0)</f>
        <v>1.4999999999999999E-2</v>
      </c>
      <c r="P236" s="24" cm="1">
        <f t="array" ref="P236">Common_InputFunctions.Utility_DisplayArrayInTable(Common_SourceData.Common_SourceData_MCFTemperatureZone_Data(),Table_SourceData_Common_MCFTemperatureZone[[#Headers],[Temperature zone]],0)</f>
        <v>0</v>
      </c>
      <c r="Q236" s="24" cm="1">
        <f t="array" ref="Q236">Common_InputFunctions.Utility_DisplayArrayInTable(Common_SourceData.Common_SourceData_MCFTemperatureZone_Data(),Table_SourceData_Common_MCFTemperatureZone[[#Headers],[Temperature zone]],0)</f>
        <v>0</v>
      </c>
      <c r="R236" s="24" cm="1">
        <f t="array" ref="R236">Common_InputFunctions.Utility_DisplayArrayInTable(Common_SourceData.Common_SourceData_MCFTemperatureZone_Data(),Table_SourceData_Common_MCFTemperatureZone[[#Headers],[Temperature zone]],0)</f>
        <v>4.7000000000000002E-3</v>
      </c>
      <c r="S236" s="24"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4" cm="1">
        <f t="array" ref="E237">Common_InputFunctions.Utility_DisplayArrayInTable(Common_SourceData.Common_SourceData_MCFTemperatureZone_Data(),Table_SourceData_Common_MCFTemperatureZone[[#Headers],[Temperature zone]],0)</f>
        <v>15</v>
      </c>
      <c r="F237" s="24" cm="1">
        <f t="array" ref="F237">Common_InputFunctions.Utility_DisplayArrayInTable(Common_SourceData.Common_SourceData_MCFTemperatureZone_Data(),Table_SourceData_Common_MCFTemperatureZone[[#Headers],[Temperature zone]],0)</f>
        <v>0.74</v>
      </c>
      <c r="G237" s="24" cm="1">
        <f t="array" ref="G237">Common_InputFunctions.Utility_DisplayArrayInTable(Common_SourceData.Common_SourceData_MCFTemperatureZone_Data(),Table_SourceData_Common_MCFTemperatureZone[[#Headers],[Temperature zone]],0)</f>
        <v>0.1</v>
      </c>
      <c r="H237" s="24" cm="1">
        <f t="array" ref="H237">Common_InputFunctions.Utility_DisplayArrayInTable(Common_SourceData.Common_SourceData_MCFTemperatureZone_Data(),Table_SourceData_Common_MCFTemperatureZone[[#Headers],[Temperature zone]],0)</f>
        <v>0.17</v>
      </c>
      <c r="I237" s="24" cm="1">
        <f t="array" ref="I237">Common_InputFunctions.Utility_DisplayArrayInTable(Common_SourceData.Common_SourceData_MCFTemperatureZone_Data(),Table_SourceData_Common_MCFTemperatureZone[[#Headers],[Temperature zone]],0)</f>
        <v>5.0000000000000001E-3</v>
      </c>
      <c r="J237" s="24" cm="1">
        <f t="array" ref="J237">Common_InputFunctions.Utility_DisplayArrayInTable(Common_SourceData.Common_SourceData_MCFTemperatureZone_Data(),Table_SourceData_Common_MCFTemperatureZone[[#Headers],[Temperature zone]],0)</f>
        <v>0.01</v>
      </c>
      <c r="K237" s="24" cm="1">
        <f t="array" ref="K237">Common_InputFunctions.Utility_DisplayArrayInTable(Common_SourceData.Common_SourceData_MCFTemperatureZone_Data(),Table_SourceData_Common_MCFTemperatureZone[[#Headers],[Temperature zone]],0)</f>
        <v>0.02</v>
      </c>
      <c r="L237" s="24" cm="1">
        <f t="array" ref="L237">Common_InputFunctions.Utility_DisplayArrayInTable(Common_SourceData.Common_SourceData_MCFTemperatureZone_Data(),Table_SourceData_Common_MCFTemperatureZone[[#Headers],[Temperature zone]],0)</f>
        <v>0.03</v>
      </c>
      <c r="M237" s="24" cm="1">
        <f t="array" ref="M237">Common_InputFunctions.Utility_DisplayArrayInTable(Common_SourceData.Common_SourceData_MCFTemperatureZone_Data(),Table_SourceData_Common_MCFTemperatureZone[[#Headers],[Temperature zone]],0)</f>
        <v>0.04</v>
      </c>
      <c r="N237" s="24" cm="1">
        <f t="array" ref="N237">Common_InputFunctions.Utility_DisplayArrayInTable(Common_SourceData.Common_SourceData_MCFTemperatureZone_Data(),Table_SourceData_Common_MCFTemperatureZone[[#Headers],[Temperature zone]],0)</f>
        <v>1.4999999999999999E-2</v>
      </c>
      <c r="O237" s="24" cm="1">
        <f t="array" ref="O237">Common_InputFunctions.Utility_DisplayArrayInTable(Common_SourceData.Common_SourceData_MCFTemperatureZone_Data(),Table_SourceData_Common_MCFTemperatureZone[[#Headers],[Temperature zone]],0)</f>
        <v>1.4999999999999999E-2</v>
      </c>
      <c r="P237" s="24" cm="1">
        <f t="array" ref="P237">Common_InputFunctions.Utility_DisplayArrayInTable(Common_SourceData.Common_SourceData_MCFTemperatureZone_Data(),Table_SourceData_Common_MCFTemperatureZone[[#Headers],[Temperature zone]],0)</f>
        <v>0</v>
      </c>
      <c r="Q237" s="24" cm="1">
        <f t="array" ref="Q237">Common_InputFunctions.Utility_DisplayArrayInTable(Common_SourceData.Common_SourceData_MCFTemperatureZone_Data(),Table_SourceData_Common_MCFTemperatureZone[[#Headers],[Temperature zone]],0)</f>
        <v>0</v>
      </c>
      <c r="R237" s="24" cm="1">
        <f t="array" ref="R237">Common_InputFunctions.Utility_DisplayArrayInTable(Common_SourceData.Common_SourceData_MCFTemperatureZone_Data(),Table_SourceData_Common_MCFTemperatureZone[[#Headers],[Temperature zone]],0)</f>
        <v>4.7000000000000002E-3</v>
      </c>
      <c r="S237" s="24"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4" cm="1">
        <f t="array" ref="E238">Common_InputFunctions.Utility_DisplayArrayInTable(Common_SourceData.Common_SourceData_MCFTemperatureZone_Data(),Table_SourceData_Common_MCFTemperatureZone[[#Headers],[Temperature zone]],0)</f>
        <v>16</v>
      </c>
      <c r="F238" s="24" cm="1">
        <f t="array" ref="F238">Common_InputFunctions.Utility_DisplayArrayInTable(Common_SourceData.Common_SourceData_MCFTemperatureZone_Data(),Table_SourceData_Common_MCFTemperatureZone[[#Headers],[Temperature zone]],0)</f>
        <v>0.75</v>
      </c>
      <c r="G238" s="24" cm="1">
        <f t="array" ref="G238">Common_InputFunctions.Utility_DisplayArrayInTable(Common_SourceData.Common_SourceData_MCFTemperatureZone_Data(),Table_SourceData_Common_MCFTemperatureZone[[#Headers],[Temperature zone]],0)</f>
        <v>0.1</v>
      </c>
      <c r="H238" s="24" cm="1">
        <f t="array" ref="H238">Common_InputFunctions.Utility_DisplayArrayInTable(Common_SourceData.Common_SourceData_MCFTemperatureZone_Data(),Table_SourceData_Common_MCFTemperatureZone[[#Headers],[Temperature zone]],0)</f>
        <v>0.18</v>
      </c>
      <c r="I238" s="24" cm="1">
        <f t="array" ref="I238">Common_InputFunctions.Utility_DisplayArrayInTable(Common_SourceData.Common_SourceData_MCFTemperatureZone_Data(),Table_SourceData_Common_MCFTemperatureZone[[#Headers],[Temperature zone]],0)</f>
        <v>5.0000000000000001E-3</v>
      </c>
      <c r="J238" s="24" cm="1">
        <f t="array" ref="J238">Common_InputFunctions.Utility_DisplayArrayInTable(Common_SourceData.Common_SourceData_MCFTemperatureZone_Data(),Table_SourceData_Common_MCFTemperatureZone[[#Headers],[Temperature zone]],0)</f>
        <v>0.01</v>
      </c>
      <c r="K238" s="24" cm="1">
        <f t="array" ref="K238">Common_InputFunctions.Utility_DisplayArrayInTable(Common_SourceData.Common_SourceData_MCFTemperatureZone_Data(),Table_SourceData_Common_MCFTemperatureZone[[#Headers],[Temperature zone]],0)</f>
        <v>0.02</v>
      </c>
      <c r="L238" s="24" cm="1">
        <f t="array" ref="L238">Common_InputFunctions.Utility_DisplayArrayInTable(Common_SourceData.Common_SourceData_MCFTemperatureZone_Data(),Table_SourceData_Common_MCFTemperatureZone[[#Headers],[Temperature zone]],0)</f>
        <v>0.03</v>
      </c>
      <c r="M238" s="24" cm="1">
        <f t="array" ref="M238">Common_InputFunctions.Utility_DisplayArrayInTable(Common_SourceData.Common_SourceData_MCFTemperatureZone_Data(),Table_SourceData_Common_MCFTemperatureZone[[#Headers],[Temperature zone]],0)</f>
        <v>0.04</v>
      </c>
      <c r="N238" s="24" cm="1">
        <f t="array" ref="N238">Common_InputFunctions.Utility_DisplayArrayInTable(Common_SourceData.Common_SourceData_MCFTemperatureZone_Data(),Table_SourceData_Common_MCFTemperatureZone[[#Headers],[Temperature zone]],0)</f>
        <v>1.4999999999999999E-2</v>
      </c>
      <c r="O238" s="24" cm="1">
        <f t="array" ref="O238">Common_InputFunctions.Utility_DisplayArrayInTable(Common_SourceData.Common_SourceData_MCFTemperatureZone_Data(),Table_SourceData_Common_MCFTemperatureZone[[#Headers],[Temperature zone]],0)</f>
        <v>1.4999999999999999E-2</v>
      </c>
      <c r="P238" s="24" cm="1">
        <f t="array" ref="P238">Common_InputFunctions.Utility_DisplayArrayInTable(Common_SourceData.Common_SourceData_MCFTemperatureZone_Data(),Table_SourceData_Common_MCFTemperatureZone[[#Headers],[Temperature zone]],0)</f>
        <v>0</v>
      </c>
      <c r="Q238" s="24" cm="1">
        <f t="array" ref="Q238">Common_InputFunctions.Utility_DisplayArrayInTable(Common_SourceData.Common_SourceData_MCFTemperatureZone_Data(),Table_SourceData_Common_MCFTemperatureZone[[#Headers],[Temperature zone]],0)</f>
        <v>0</v>
      </c>
      <c r="R238" s="24" cm="1">
        <f t="array" ref="R238">Common_InputFunctions.Utility_DisplayArrayInTable(Common_SourceData.Common_SourceData_MCFTemperatureZone_Data(),Table_SourceData_Common_MCFTemperatureZone[[#Headers],[Temperature zone]],0)</f>
        <v>4.7000000000000002E-3</v>
      </c>
      <c r="S238" s="24"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4" cm="1">
        <f t="array" ref="E239">Common_InputFunctions.Utility_DisplayArrayInTable(Common_SourceData.Common_SourceData_MCFTemperatureZone_Data(),Table_SourceData_Common_MCFTemperatureZone[[#Headers],[Temperature zone]],0)</f>
        <v>17</v>
      </c>
      <c r="F239" s="24" cm="1">
        <f t="array" ref="F239">Common_InputFunctions.Utility_DisplayArrayInTable(Common_SourceData.Common_SourceData_MCFTemperatureZone_Data(),Table_SourceData_Common_MCFTemperatureZone[[#Headers],[Temperature zone]],0)</f>
        <v>0.76</v>
      </c>
      <c r="G239" s="24" cm="1">
        <f t="array" ref="G239">Common_InputFunctions.Utility_DisplayArrayInTable(Common_SourceData.Common_SourceData_MCFTemperatureZone_Data(),Table_SourceData_Common_MCFTemperatureZone[[#Headers],[Temperature zone]],0)</f>
        <v>0.1</v>
      </c>
      <c r="H239" s="24" cm="1">
        <f t="array" ref="H239">Common_InputFunctions.Utility_DisplayArrayInTable(Common_SourceData.Common_SourceData_MCFTemperatureZone_Data(),Table_SourceData_Common_MCFTemperatureZone[[#Headers],[Temperature zone]],0)</f>
        <v>0.2</v>
      </c>
      <c r="I239" s="24" cm="1">
        <f t="array" ref="I239">Common_InputFunctions.Utility_DisplayArrayInTable(Common_SourceData.Common_SourceData_MCFTemperatureZone_Data(),Table_SourceData_Common_MCFTemperatureZone[[#Headers],[Temperature zone]],0)</f>
        <v>5.0000000000000001E-3</v>
      </c>
      <c r="J239" s="24" cm="1">
        <f t="array" ref="J239">Common_InputFunctions.Utility_DisplayArrayInTable(Common_SourceData.Common_SourceData_MCFTemperatureZone_Data(),Table_SourceData_Common_MCFTemperatureZone[[#Headers],[Temperature zone]],0)</f>
        <v>0.01</v>
      </c>
      <c r="K239" s="24" cm="1">
        <f t="array" ref="K239">Common_InputFunctions.Utility_DisplayArrayInTable(Common_SourceData.Common_SourceData_MCFTemperatureZone_Data(),Table_SourceData_Common_MCFTemperatureZone[[#Headers],[Temperature zone]],0)</f>
        <v>0.02</v>
      </c>
      <c r="L239" s="24" cm="1">
        <f t="array" ref="L239">Common_InputFunctions.Utility_DisplayArrayInTable(Common_SourceData.Common_SourceData_MCFTemperatureZone_Data(),Table_SourceData_Common_MCFTemperatureZone[[#Headers],[Temperature zone]],0)</f>
        <v>0.03</v>
      </c>
      <c r="M239" s="24" cm="1">
        <f t="array" ref="M239">Common_InputFunctions.Utility_DisplayArrayInTable(Common_SourceData.Common_SourceData_MCFTemperatureZone_Data(),Table_SourceData_Common_MCFTemperatureZone[[#Headers],[Temperature zone]],0)</f>
        <v>0.04</v>
      </c>
      <c r="N239" s="24" cm="1">
        <f t="array" ref="N239">Common_InputFunctions.Utility_DisplayArrayInTable(Common_SourceData.Common_SourceData_MCFTemperatureZone_Data(),Table_SourceData_Common_MCFTemperatureZone[[#Headers],[Temperature zone]],0)</f>
        <v>1.4999999999999999E-2</v>
      </c>
      <c r="O239" s="24" cm="1">
        <f t="array" ref="O239">Common_InputFunctions.Utility_DisplayArrayInTable(Common_SourceData.Common_SourceData_MCFTemperatureZone_Data(),Table_SourceData_Common_MCFTemperatureZone[[#Headers],[Temperature zone]],0)</f>
        <v>1.4999999999999999E-2</v>
      </c>
      <c r="P239" s="24" cm="1">
        <f t="array" ref="P239">Common_InputFunctions.Utility_DisplayArrayInTable(Common_SourceData.Common_SourceData_MCFTemperatureZone_Data(),Table_SourceData_Common_MCFTemperatureZone[[#Headers],[Temperature zone]],0)</f>
        <v>0</v>
      </c>
      <c r="Q239" s="24" cm="1">
        <f t="array" ref="Q239">Common_InputFunctions.Utility_DisplayArrayInTable(Common_SourceData.Common_SourceData_MCFTemperatureZone_Data(),Table_SourceData_Common_MCFTemperatureZone[[#Headers],[Temperature zone]],0)</f>
        <v>0</v>
      </c>
      <c r="R239" s="24" cm="1">
        <f t="array" ref="R239">Common_InputFunctions.Utility_DisplayArrayInTable(Common_SourceData.Common_SourceData_MCFTemperatureZone_Data(),Table_SourceData_Common_MCFTemperatureZone[[#Headers],[Temperature zone]],0)</f>
        <v>4.7000000000000002E-3</v>
      </c>
      <c r="S239" s="24"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4" cm="1">
        <f t="array" ref="E240">Common_InputFunctions.Utility_DisplayArrayInTable(Common_SourceData.Common_SourceData_MCFTemperatureZone_Data(),Table_SourceData_Common_MCFTemperatureZone[[#Headers],[Temperature zone]],0)</f>
        <v>18</v>
      </c>
      <c r="F240" s="24" cm="1">
        <f t="array" ref="F240">Common_InputFunctions.Utility_DisplayArrayInTable(Common_SourceData.Common_SourceData_MCFTemperatureZone_Data(),Table_SourceData_Common_MCFTemperatureZone[[#Headers],[Temperature zone]],0)</f>
        <v>0.77</v>
      </c>
      <c r="G240" s="24" cm="1">
        <f t="array" ref="G240">Common_InputFunctions.Utility_DisplayArrayInTable(Common_SourceData.Common_SourceData_MCFTemperatureZone_Data(),Table_SourceData_Common_MCFTemperatureZone[[#Headers],[Temperature zone]],0)</f>
        <v>0.1</v>
      </c>
      <c r="H240" s="24" cm="1">
        <f t="array" ref="H240">Common_InputFunctions.Utility_DisplayArrayInTable(Common_SourceData.Common_SourceData_MCFTemperatureZone_Data(),Table_SourceData_Common_MCFTemperatureZone[[#Headers],[Temperature zone]],0)</f>
        <v>0.22</v>
      </c>
      <c r="I240" s="24" cm="1">
        <f t="array" ref="I240">Common_InputFunctions.Utility_DisplayArrayInTable(Common_SourceData.Common_SourceData_MCFTemperatureZone_Data(),Table_SourceData_Common_MCFTemperatureZone[[#Headers],[Temperature zone]],0)</f>
        <v>5.0000000000000001E-3</v>
      </c>
      <c r="J240" s="24" cm="1">
        <f t="array" ref="J240">Common_InputFunctions.Utility_DisplayArrayInTable(Common_SourceData.Common_SourceData_MCFTemperatureZone_Data(),Table_SourceData_Common_MCFTemperatureZone[[#Headers],[Temperature zone]],0)</f>
        <v>0.01</v>
      </c>
      <c r="K240" s="24" cm="1">
        <f t="array" ref="K240">Common_InputFunctions.Utility_DisplayArrayInTable(Common_SourceData.Common_SourceData_MCFTemperatureZone_Data(),Table_SourceData_Common_MCFTemperatureZone[[#Headers],[Temperature zone]],0)</f>
        <v>0.02</v>
      </c>
      <c r="L240" s="24" cm="1">
        <f t="array" ref="L240">Common_InputFunctions.Utility_DisplayArrayInTable(Common_SourceData.Common_SourceData_MCFTemperatureZone_Data(),Table_SourceData_Common_MCFTemperatureZone[[#Headers],[Temperature zone]],0)</f>
        <v>0.03</v>
      </c>
      <c r="M240" s="24" cm="1">
        <f t="array" ref="M240">Common_InputFunctions.Utility_DisplayArrayInTable(Common_SourceData.Common_SourceData_MCFTemperatureZone_Data(),Table_SourceData_Common_MCFTemperatureZone[[#Headers],[Temperature zone]],0)</f>
        <v>0.04</v>
      </c>
      <c r="N240" s="24" cm="1">
        <f t="array" ref="N240">Common_InputFunctions.Utility_DisplayArrayInTable(Common_SourceData.Common_SourceData_MCFTemperatureZone_Data(),Table_SourceData_Common_MCFTemperatureZone[[#Headers],[Temperature zone]],0)</f>
        <v>1.4999999999999999E-2</v>
      </c>
      <c r="O240" s="24" cm="1">
        <f t="array" ref="O240">Common_InputFunctions.Utility_DisplayArrayInTable(Common_SourceData.Common_SourceData_MCFTemperatureZone_Data(),Table_SourceData_Common_MCFTemperatureZone[[#Headers],[Temperature zone]],0)</f>
        <v>1.4999999999999999E-2</v>
      </c>
      <c r="P240" s="24" cm="1">
        <f t="array" ref="P240">Common_InputFunctions.Utility_DisplayArrayInTable(Common_SourceData.Common_SourceData_MCFTemperatureZone_Data(),Table_SourceData_Common_MCFTemperatureZone[[#Headers],[Temperature zone]],0)</f>
        <v>0</v>
      </c>
      <c r="Q240" s="24" cm="1">
        <f t="array" ref="Q240">Common_InputFunctions.Utility_DisplayArrayInTable(Common_SourceData.Common_SourceData_MCFTemperatureZone_Data(),Table_SourceData_Common_MCFTemperatureZone[[#Headers],[Temperature zone]],0)</f>
        <v>0</v>
      </c>
      <c r="R240" s="24" cm="1">
        <f t="array" ref="R240">Common_InputFunctions.Utility_DisplayArrayInTable(Common_SourceData.Common_SourceData_MCFTemperatureZone_Data(),Table_SourceData_Common_MCFTemperatureZone[[#Headers],[Temperature zone]],0)</f>
        <v>4.7000000000000002E-3</v>
      </c>
      <c r="S240" s="24"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4" cm="1">
        <f t="array" ref="E241">Common_InputFunctions.Utility_DisplayArrayInTable(Common_SourceData.Common_SourceData_MCFTemperatureZone_Data(),Table_SourceData_Common_MCFTemperatureZone[[#Headers],[Temperature zone]],0)</f>
        <v>19</v>
      </c>
      <c r="F241" s="24" cm="1">
        <f t="array" ref="F241">Common_InputFunctions.Utility_DisplayArrayInTable(Common_SourceData.Common_SourceData_MCFTemperatureZone_Data(),Table_SourceData_Common_MCFTemperatureZone[[#Headers],[Temperature zone]],0)</f>
        <v>0.77</v>
      </c>
      <c r="G241" s="24" cm="1">
        <f t="array" ref="G241">Common_InputFunctions.Utility_DisplayArrayInTable(Common_SourceData.Common_SourceData_MCFTemperatureZone_Data(),Table_SourceData_Common_MCFTemperatureZone[[#Headers],[Temperature zone]],0)</f>
        <v>0.1</v>
      </c>
      <c r="H241" s="24" cm="1">
        <f t="array" ref="H241">Common_InputFunctions.Utility_DisplayArrayInTable(Common_SourceData.Common_SourceData_MCFTemperatureZone_Data(),Table_SourceData_Common_MCFTemperatureZone[[#Headers],[Temperature zone]],0)</f>
        <v>0.24</v>
      </c>
      <c r="I241" s="24" cm="1">
        <f t="array" ref="I241">Common_InputFunctions.Utility_DisplayArrayInTable(Common_SourceData.Common_SourceData_MCFTemperatureZone_Data(),Table_SourceData_Common_MCFTemperatureZone[[#Headers],[Temperature zone]],0)</f>
        <v>5.0000000000000001E-3</v>
      </c>
      <c r="J241" s="24" cm="1">
        <f t="array" ref="J241">Common_InputFunctions.Utility_DisplayArrayInTable(Common_SourceData.Common_SourceData_MCFTemperatureZone_Data(),Table_SourceData_Common_MCFTemperatureZone[[#Headers],[Temperature zone]],0)</f>
        <v>0.01</v>
      </c>
      <c r="K241" s="24" cm="1">
        <f t="array" ref="K241">Common_InputFunctions.Utility_DisplayArrayInTable(Common_SourceData.Common_SourceData_MCFTemperatureZone_Data(),Table_SourceData_Common_MCFTemperatureZone[[#Headers],[Temperature zone]],0)</f>
        <v>0.02</v>
      </c>
      <c r="L241" s="24" cm="1">
        <f t="array" ref="L241">Common_InputFunctions.Utility_DisplayArrayInTable(Common_SourceData.Common_SourceData_MCFTemperatureZone_Data(),Table_SourceData_Common_MCFTemperatureZone[[#Headers],[Temperature zone]],0)</f>
        <v>0.03</v>
      </c>
      <c r="M241" s="24" cm="1">
        <f t="array" ref="M241">Common_InputFunctions.Utility_DisplayArrayInTable(Common_SourceData.Common_SourceData_MCFTemperatureZone_Data(),Table_SourceData_Common_MCFTemperatureZone[[#Headers],[Temperature zone]],0)</f>
        <v>0.04</v>
      </c>
      <c r="N241" s="24" cm="1">
        <f t="array" ref="N241">Common_InputFunctions.Utility_DisplayArrayInTable(Common_SourceData.Common_SourceData_MCFTemperatureZone_Data(),Table_SourceData_Common_MCFTemperatureZone[[#Headers],[Temperature zone]],0)</f>
        <v>1.4999999999999999E-2</v>
      </c>
      <c r="O241" s="24" cm="1">
        <f t="array" ref="O241">Common_InputFunctions.Utility_DisplayArrayInTable(Common_SourceData.Common_SourceData_MCFTemperatureZone_Data(),Table_SourceData_Common_MCFTemperatureZone[[#Headers],[Temperature zone]],0)</f>
        <v>1.4999999999999999E-2</v>
      </c>
      <c r="P241" s="24" cm="1">
        <f t="array" ref="P241">Common_InputFunctions.Utility_DisplayArrayInTable(Common_SourceData.Common_SourceData_MCFTemperatureZone_Data(),Table_SourceData_Common_MCFTemperatureZone[[#Headers],[Temperature zone]],0)</f>
        <v>0</v>
      </c>
      <c r="Q241" s="24" cm="1">
        <f t="array" ref="Q241">Common_InputFunctions.Utility_DisplayArrayInTable(Common_SourceData.Common_SourceData_MCFTemperatureZone_Data(),Table_SourceData_Common_MCFTemperatureZone[[#Headers],[Temperature zone]],0)</f>
        <v>0</v>
      </c>
      <c r="R241" s="24" cm="1">
        <f t="array" ref="R241">Common_InputFunctions.Utility_DisplayArrayInTable(Common_SourceData.Common_SourceData_MCFTemperatureZone_Data(),Table_SourceData_Common_MCFTemperatureZone[[#Headers],[Temperature zone]],0)</f>
        <v>4.7000000000000002E-3</v>
      </c>
      <c r="S241" s="24"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4" cm="1">
        <f t="array" ref="E242">Common_InputFunctions.Utility_DisplayArrayInTable(Common_SourceData.Common_SourceData_MCFTemperatureZone_Data(),Table_SourceData_Common_MCFTemperatureZone[[#Headers],[Temperature zone]],0)</f>
        <v>20</v>
      </c>
      <c r="F242" s="24" cm="1">
        <f t="array" ref="F242">Common_InputFunctions.Utility_DisplayArrayInTable(Common_SourceData.Common_SourceData_MCFTemperatureZone_Data(),Table_SourceData_Common_MCFTemperatureZone[[#Headers],[Temperature zone]],0)</f>
        <v>0.78</v>
      </c>
      <c r="G242" s="24" cm="1">
        <f t="array" ref="G242">Common_InputFunctions.Utility_DisplayArrayInTable(Common_SourceData.Common_SourceData_MCFTemperatureZone_Data(),Table_SourceData_Common_MCFTemperatureZone[[#Headers],[Temperature zone]],0)</f>
        <v>0.1</v>
      </c>
      <c r="H242" s="24" cm="1">
        <f t="array" ref="H242">Common_InputFunctions.Utility_DisplayArrayInTable(Common_SourceData.Common_SourceData_MCFTemperatureZone_Data(),Table_SourceData_Common_MCFTemperatureZone[[#Headers],[Temperature zone]],0)</f>
        <v>0.26</v>
      </c>
      <c r="I242" s="24" cm="1">
        <f t="array" ref="I242">Common_InputFunctions.Utility_DisplayArrayInTable(Common_SourceData.Common_SourceData_MCFTemperatureZone_Data(),Table_SourceData_Common_MCFTemperatureZone[[#Headers],[Temperature zone]],0)</f>
        <v>5.0000000000000001E-3</v>
      </c>
      <c r="J242" s="24" cm="1">
        <f t="array" ref="J242">Common_InputFunctions.Utility_DisplayArrayInTable(Common_SourceData.Common_SourceData_MCFTemperatureZone_Data(),Table_SourceData_Common_MCFTemperatureZone[[#Headers],[Temperature zone]],0)</f>
        <v>0.01</v>
      </c>
      <c r="K242" s="24" cm="1">
        <f t="array" ref="K242">Common_InputFunctions.Utility_DisplayArrayInTable(Common_SourceData.Common_SourceData_MCFTemperatureZone_Data(),Table_SourceData_Common_MCFTemperatureZone[[#Headers],[Temperature zone]],0)</f>
        <v>0.02</v>
      </c>
      <c r="L242" s="24" cm="1">
        <f t="array" ref="L242">Common_InputFunctions.Utility_DisplayArrayInTable(Common_SourceData.Common_SourceData_MCFTemperatureZone_Data(),Table_SourceData_Common_MCFTemperatureZone[[#Headers],[Temperature zone]],0)</f>
        <v>0.03</v>
      </c>
      <c r="M242" s="24" cm="1">
        <f t="array" ref="M242">Common_InputFunctions.Utility_DisplayArrayInTable(Common_SourceData.Common_SourceData_MCFTemperatureZone_Data(),Table_SourceData_Common_MCFTemperatureZone[[#Headers],[Temperature zone]],0)</f>
        <v>0.04</v>
      </c>
      <c r="N242" s="24" cm="1">
        <f t="array" ref="N242">Common_InputFunctions.Utility_DisplayArrayInTable(Common_SourceData.Common_SourceData_MCFTemperatureZone_Data(),Table_SourceData_Common_MCFTemperatureZone[[#Headers],[Temperature zone]],0)</f>
        <v>1.4999999999999999E-2</v>
      </c>
      <c r="O242" s="24" cm="1">
        <f t="array" ref="O242">Common_InputFunctions.Utility_DisplayArrayInTable(Common_SourceData.Common_SourceData_MCFTemperatureZone_Data(),Table_SourceData_Common_MCFTemperatureZone[[#Headers],[Temperature zone]],0)</f>
        <v>1.4999999999999999E-2</v>
      </c>
      <c r="P242" s="24" cm="1">
        <f t="array" ref="P242">Common_InputFunctions.Utility_DisplayArrayInTable(Common_SourceData.Common_SourceData_MCFTemperatureZone_Data(),Table_SourceData_Common_MCFTemperatureZone[[#Headers],[Temperature zone]],0)</f>
        <v>0</v>
      </c>
      <c r="Q242" s="24" cm="1">
        <f t="array" ref="Q242">Common_InputFunctions.Utility_DisplayArrayInTable(Common_SourceData.Common_SourceData_MCFTemperatureZone_Data(),Table_SourceData_Common_MCFTemperatureZone[[#Headers],[Temperature zone]],0)</f>
        <v>0</v>
      </c>
      <c r="R242" s="24" cm="1">
        <f t="array" ref="R242">Common_InputFunctions.Utility_DisplayArrayInTable(Common_SourceData.Common_SourceData_MCFTemperatureZone_Data(),Table_SourceData_Common_MCFTemperatureZone[[#Headers],[Temperature zone]],0)</f>
        <v>4.7000000000000002E-3</v>
      </c>
      <c r="S242" s="24"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4" cm="1">
        <f t="array" ref="E243">Common_InputFunctions.Utility_DisplayArrayInTable(Common_SourceData.Common_SourceData_MCFTemperatureZone_Data(),Table_SourceData_Common_MCFTemperatureZone[[#Headers],[Temperature zone]],0)</f>
        <v>21</v>
      </c>
      <c r="F243" s="24" cm="1">
        <f t="array" ref="F243">Common_InputFunctions.Utility_DisplayArrayInTable(Common_SourceData.Common_SourceData_MCFTemperatureZone_Data(),Table_SourceData_Common_MCFTemperatureZone[[#Headers],[Temperature zone]],0)</f>
        <v>0.78</v>
      </c>
      <c r="G243" s="24" cm="1">
        <f t="array" ref="G243">Common_InputFunctions.Utility_DisplayArrayInTable(Common_SourceData.Common_SourceData_MCFTemperatureZone_Data(),Table_SourceData_Common_MCFTemperatureZone[[#Headers],[Temperature zone]],0)</f>
        <v>0.1</v>
      </c>
      <c r="H243" s="24" cm="1">
        <f t="array" ref="H243">Common_InputFunctions.Utility_DisplayArrayInTable(Common_SourceData.Common_SourceData_MCFTemperatureZone_Data(),Table_SourceData_Common_MCFTemperatureZone[[#Headers],[Temperature zone]],0)</f>
        <v>0.28999999999999998</v>
      </c>
      <c r="I243" s="24" cm="1">
        <f t="array" ref="I243">Common_InputFunctions.Utility_DisplayArrayInTable(Common_SourceData.Common_SourceData_MCFTemperatureZone_Data(),Table_SourceData_Common_MCFTemperatureZone[[#Headers],[Temperature zone]],0)</f>
        <v>5.0000000000000001E-3</v>
      </c>
      <c r="J243" s="24" cm="1">
        <f t="array" ref="J243">Common_InputFunctions.Utility_DisplayArrayInTable(Common_SourceData.Common_SourceData_MCFTemperatureZone_Data(),Table_SourceData_Common_MCFTemperatureZone[[#Headers],[Temperature zone]],0)</f>
        <v>0.01</v>
      </c>
      <c r="K243" s="24" cm="1">
        <f t="array" ref="K243">Common_InputFunctions.Utility_DisplayArrayInTable(Common_SourceData.Common_SourceData_MCFTemperatureZone_Data(),Table_SourceData_Common_MCFTemperatureZone[[#Headers],[Temperature zone]],0)</f>
        <v>0.02</v>
      </c>
      <c r="L243" s="24" cm="1">
        <f t="array" ref="L243">Common_InputFunctions.Utility_DisplayArrayInTable(Common_SourceData.Common_SourceData_MCFTemperatureZone_Data(),Table_SourceData_Common_MCFTemperatureZone[[#Headers],[Temperature zone]],0)</f>
        <v>0.03</v>
      </c>
      <c r="M243" s="24" cm="1">
        <f t="array" ref="M243">Common_InputFunctions.Utility_DisplayArrayInTable(Common_SourceData.Common_SourceData_MCFTemperatureZone_Data(),Table_SourceData_Common_MCFTemperatureZone[[#Headers],[Temperature zone]],0)</f>
        <v>0.04</v>
      </c>
      <c r="N243" s="24" cm="1">
        <f t="array" ref="N243">Common_InputFunctions.Utility_DisplayArrayInTable(Common_SourceData.Common_SourceData_MCFTemperatureZone_Data(),Table_SourceData_Common_MCFTemperatureZone[[#Headers],[Temperature zone]],0)</f>
        <v>1.4999999999999999E-2</v>
      </c>
      <c r="O243" s="24" cm="1">
        <f t="array" ref="O243">Common_InputFunctions.Utility_DisplayArrayInTable(Common_SourceData.Common_SourceData_MCFTemperatureZone_Data(),Table_SourceData_Common_MCFTemperatureZone[[#Headers],[Temperature zone]],0)</f>
        <v>1.4999999999999999E-2</v>
      </c>
      <c r="P243" s="24" cm="1">
        <f t="array" ref="P243">Common_InputFunctions.Utility_DisplayArrayInTable(Common_SourceData.Common_SourceData_MCFTemperatureZone_Data(),Table_SourceData_Common_MCFTemperatureZone[[#Headers],[Temperature zone]],0)</f>
        <v>0</v>
      </c>
      <c r="Q243" s="24" cm="1">
        <f t="array" ref="Q243">Common_InputFunctions.Utility_DisplayArrayInTable(Common_SourceData.Common_SourceData_MCFTemperatureZone_Data(),Table_SourceData_Common_MCFTemperatureZone[[#Headers],[Temperature zone]],0)</f>
        <v>0</v>
      </c>
      <c r="R243" s="24" cm="1">
        <f t="array" ref="R243">Common_InputFunctions.Utility_DisplayArrayInTable(Common_SourceData.Common_SourceData_MCFTemperatureZone_Data(),Table_SourceData_Common_MCFTemperatureZone[[#Headers],[Temperature zone]],0)</f>
        <v>4.7000000000000002E-3</v>
      </c>
      <c r="S243" s="24"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4" cm="1">
        <f t="array" ref="E244">Common_InputFunctions.Utility_DisplayArrayInTable(Common_SourceData.Common_SourceData_MCFTemperatureZone_Data(),Table_SourceData_Common_MCFTemperatureZone[[#Headers],[Temperature zone]],0)</f>
        <v>22</v>
      </c>
      <c r="F244" s="24" cm="1">
        <f t="array" ref="F244">Common_InputFunctions.Utility_DisplayArrayInTable(Common_SourceData.Common_SourceData_MCFTemperatureZone_Data(),Table_SourceData_Common_MCFTemperatureZone[[#Headers],[Temperature zone]],0)</f>
        <v>0.78</v>
      </c>
      <c r="G244" s="24" cm="1">
        <f t="array" ref="G244">Common_InputFunctions.Utility_DisplayArrayInTable(Common_SourceData.Common_SourceData_MCFTemperatureZone_Data(),Table_SourceData_Common_MCFTemperatureZone[[#Headers],[Temperature zone]],0)</f>
        <v>0.1</v>
      </c>
      <c r="H244" s="24" cm="1">
        <f t="array" ref="H244">Common_InputFunctions.Utility_DisplayArrayInTable(Common_SourceData.Common_SourceData_MCFTemperatureZone_Data(),Table_SourceData_Common_MCFTemperatureZone[[#Headers],[Temperature zone]],0)</f>
        <v>0.31</v>
      </c>
      <c r="I244" s="24" cm="1">
        <f t="array" ref="I244">Common_InputFunctions.Utility_DisplayArrayInTable(Common_SourceData.Common_SourceData_MCFTemperatureZone_Data(),Table_SourceData_Common_MCFTemperatureZone[[#Headers],[Temperature zone]],0)</f>
        <v>5.0000000000000001E-3</v>
      </c>
      <c r="J244" s="24" cm="1">
        <f t="array" ref="J244">Common_InputFunctions.Utility_DisplayArrayInTable(Common_SourceData.Common_SourceData_MCFTemperatureZone_Data(),Table_SourceData_Common_MCFTemperatureZone[[#Headers],[Temperature zone]],0)</f>
        <v>0.01</v>
      </c>
      <c r="K244" s="24" cm="1">
        <f t="array" ref="K244">Common_InputFunctions.Utility_DisplayArrayInTable(Common_SourceData.Common_SourceData_MCFTemperatureZone_Data(),Table_SourceData_Common_MCFTemperatureZone[[#Headers],[Temperature zone]],0)</f>
        <v>0.02</v>
      </c>
      <c r="L244" s="24" cm="1">
        <f t="array" ref="L244">Common_InputFunctions.Utility_DisplayArrayInTable(Common_SourceData.Common_SourceData_MCFTemperatureZone_Data(),Table_SourceData_Common_MCFTemperatureZone[[#Headers],[Temperature zone]],0)</f>
        <v>0.03</v>
      </c>
      <c r="M244" s="24" cm="1">
        <f t="array" ref="M244">Common_InputFunctions.Utility_DisplayArrayInTable(Common_SourceData.Common_SourceData_MCFTemperatureZone_Data(),Table_SourceData_Common_MCFTemperatureZone[[#Headers],[Temperature zone]],0)</f>
        <v>0.04</v>
      </c>
      <c r="N244" s="24" cm="1">
        <f t="array" ref="N244">Common_InputFunctions.Utility_DisplayArrayInTable(Common_SourceData.Common_SourceData_MCFTemperatureZone_Data(),Table_SourceData_Common_MCFTemperatureZone[[#Headers],[Temperature zone]],0)</f>
        <v>1.4999999999999999E-2</v>
      </c>
      <c r="O244" s="24" cm="1">
        <f t="array" ref="O244">Common_InputFunctions.Utility_DisplayArrayInTable(Common_SourceData.Common_SourceData_MCFTemperatureZone_Data(),Table_SourceData_Common_MCFTemperatureZone[[#Headers],[Temperature zone]],0)</f>
        <v>1.4999999999999999E-2</v>
      </c>
      <c r="P244" s="24" cm="1">
        <f t="array" ref="P244">Common_InputFunctions.Utility_DisplayArrayInTable(Common_SourceData.Common_SourceData_MCFTemperatureZone_Data(),Table_SourceData_Common_MCFTemperatureZone[[#Headers],[Temperature zone]],0)</f>
        <v>0</v>
      </c>
      <c r="Q244" s="24" cm="1">
        <f t="array" ref="Q244">Common_InputFunctions.Utility_DisplayArrayInTable(Common_SourceData.Common_SourceData_MCFTemperatureZone_Data(),Table_SourceData_Common_MCFTemperatureZone[[#Headers],[Temperature zone]],0)</f>
        <v>0</v>
      </c>
      <c r="R244" s="24" cm="1">
        <f t="array" ref="R244">Common_InputFunctions.Utility_DisplayArrayInTable(Common_SourceData.Common_SourceData_MCFTemperatureZone_Data(),Table_SourceData_Common_MCFTemperatureZone[[#Headers],[Temperature zone]],0)</f>
        <v>4.7000000000000002E-3</v>
      </c>
      <c r="S244" s="24"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4" cm="1">
        <f t="array" ref="E245">Common_InputFunctions.Utility_DisplayArrayInTable(Common_SourceData.Common_SourceData_MCFTemperatureZone_Data(),Table_SourceData_Common_MCFTemperatureZone[[#Headers],[Temperature zone]],0)</f>
        <v>23</v>
      </c>
      <c r="F245" s="24" cm="1">
        <f t="array" ref="F245">Common_InputFunctions.Utility_DisplayArrayInTable(Common_SourceData.Common_SourceData_MCFTemperatureZone_Data(),Table_SourceData_Common_MCFTemperatureZone[[#Headers],[Temperature zone]],0)</f>
        <v>0.79</v>
      </c>
      <c r="G245" s="24" cm="1">
        <f t="array" ref="G245">Common_InputFunctions.Utility_DisplayArrayInTable(Common_SourceData.Common_SourceData_MCFTemperatureZone_Data(),Table_SourceData_Common_MCFTemperatureZone[[#Headers],[Temperature zone]],0)</f>
        <v>0.1</v>
      </c>
      <c r="H245" s="24" cm="1">
        <f t="array" ref="H245">Common_InputFunctions.Utility_DisplayArrayInTable(Common_SourceData.Common_SourceData_MCFTemperatureZone_Data(),Table_SourceData_Common_MCFTemperatureZone[[#Headers],[Temperature zone]],0)</f>
        <v>0.34</v>
      </c>
      <c r="I245" s="24" cm="1">
        <f t="array" ref="I245">Common_InputFunctions.Utility_DisplayArrayInTable(Common_SourceData.Common_SourceData_MCFTemperatureZone_Data(),Table_SourceData_Common_MCFTemperatureZone[[#Headers],[Temperature zone]],0)</f>
        <v>5.0000000000000001E-3</v>
      </c>
      <c r="J245" s="24" cm="1">
        <f t="array" ref="J245">Common_InputFunctions.Utility_DisplayArrayInTable(Common_SourceData.Common_SourceData_MCFTemperatureZone_Data(),Table_SourceData_Common_MCFTemperatureZone[[#Headers],[Temperature zone]],0)</f>
        <v>0.01</v>
      </c>
      <c r="K245" s="24" cm="1">
        <f t="array" ref="K245">Common_InputFunctions.Utility_DisplayArrayInTable(Common_SourceData.Common_SourceData_MCFTemperatureZone_Data(),Table_SourceData_Common_MCFTemperatureZone[[#Headers],[Temperature zone]],0)</f>
        <v>0.02</v>
      </c>
      <c r="L245" s="24" cm="1">
        <f t="array" ref="L245">Common_InputFunctions.Utility_DisplayArrayInTable(Common_SourceData.Common_SourceData_MCFTemperatureZone_Data(),Table_SourceData_Common_MCFTemperatureZone[[#Headers],[Temperature zone]],0)</f>
        <v>0.03</v>
      </c>
      <c r="M245" s="24" cm="1">
        <f t="array" ref="M245">Common_InputFunctions.Utility_DisplayArrayInTable(Common_SourceData.Common_SourceData_MCFTemperatureZone_Data(),Table_SourceData_Common_MCFTemperatureZone[[#Headers],[Temperature zone]],0)</f>
        <v>0.04</v>
      </c>
      <c r="N245" s="24" cm="1">
        <f t="array" ref="N245">Common_InputFunctions.Utility_DisplayArrayInTable(Common_SourceData.Common_SourceData_MCFTemperatureZone_Data(),Table_SourceData_Common_MCFTemperatureZone[[#Headers],[Temperature zone]],0)</f>
        <v>1.4999999999999999E-2</v>
      </c>
      <c r="O245" s="24" cm="1">
        <f t="array" ref="O245">Common_InputFunctions.Utility_DisplayArrayInTable(Common_SourceData.Common_SourceData_MCFTemperatureZone_Data(),Table_SourceData_Common_MCFTemperatureZone[[#Headers],[Temperature zone]],0)</f>
        <v>1.4999999999999999E-2</v>
      </c>
      <c r="P245" s="24" cm="1">
        <f t="array" ref="P245">Common_InputFunctions.Utility_DisplayArrayInTable(Common_SourceData.Common_SourceData_MCFTemperatureZone_Data(),Table_SourceData_Common_MCFTemperatureZone[[#Headers],[Temperature zone]],0)</f>
        <v>0</v>
      </c>
      <c r="Q245" s="24" cm="1">
        <f t="array" ref="Q245">Common_InputFunctions.Utility_DisplayArrayInTable(Common_SourceData.Common_SourceData_MCFTemperatureZone_Data(),Table_SourceData_Common_MCFTemperatureZone[[#Headers],[Temperature zone]],0)</f>
        <v>0</v>
      </c>
      <c r="R245" s="24" cm="1">
        <f t="array" ref="R245">Common_InputFunctions.Utility_DisplayArrayInTable(Common_SourceData.Common_SourceData_MCFTemperatureZone_Data(),Table_SourceData_Common_MCFTemperatureZone[[#Headers],[Temperature zone]],0)</f>
        <v>4.7000000000000002E-3</v>
      </c>
      <c r="S245" s="24"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4" cm="1">
        <f t="array" ref="E246">Common_InputFunctions.Utility_DisplayArrayInTable(Common_SourceData.Common_SourceData_MCFTemperatureZone_Data(),Table_SourceData_Common_MCFTemperatureZone[[#Headers],[Temperature zone]],0)</f>
        <v>24</v>
      </c>
      <c r="F246" s="24" cm="1">
        <f t="array" ref="F246">Common_InputFunctions.Utility_DisplayArrayInTable(Common_SourceData.Common_SourceData_MCFTemperatureZone_Data(),Table_SourceData_Common_MCFTemperatureZone[[#Headers],[Temperature zone]],0)</f>
        <v>0.79</v>
      </c>
      <c r="G246" s="24" cm="1">
        <f t="array" ref="G246">Common_InputFunctions.Utility_DisplayArrayInTable(Common_SourceData.Common_SourceData_MCFTemperatureZone_Data(),Table_SourceData_Common_MCFTemperatureZone[[#Headers],[Temperature zone]],0)</f>
        <v>0.1</v>
      </c>
      <c r="H246" s="24" cm="1">
        <f t="array" ref="H246">Common_InputFunctions.Utility_DisplayArrayInTable(Common_SourceData.Common_SourceData_MCFTemperatureZone_Data(),Table_SourceData_Common_MCFTemperatureZone[[#Headers],[Temperature zone]],0)</f>
        <v>0.37</v>
      </c>
      <c r="I246" s="24" cm="1">
        <f t="array" ref="I246">Common_InputFunctions.Utility_DisplayArrayInTable(Common_SourceData.Common_SourceData_MCFTemperatureZone_Data(),Table_SourceData_Common_MCFTemperatureZone[[#Headers],[Temperature zone]],0)</f>
        <v>5.0000000000000001E-3</v>
      </c>
      <c r="J246" s="24" cm="1">
        <f t="array" ref="J246">Common_InputFunctions.Utility_DisplayArrayInTable(Common_SourceData.Common_SourceData_MCFTemperatureZone_Data(),Table_SourceData_Common_MCFTemperatureZone[[#Headers],[Temperature zone]],0)</f>
        <v>0.01</v>
      </c>
      <c r="K246" s="24" cm="1">
        <f t="array" ref="K246">Common_InputFunctions.Utility_DisplayArrayInTable(Common_SourceData.Common_SourceData_MCFTemperatureZone_Data(),Table_SourceData_Common_MCFTemperatureZone[[#Headers],[Temperature zone]],0)</f>
        <v>0.02</v>
      </c>
      <c r="L246" s="24" cm="1">
        <f t="array" ref="L246">Common_InputFunctions.Utility_DisplayArrayInTable(Common_SourceData.Common_SourceData_MCFTemperatureZone_Data(),Table_SourceData_Common_MCFTemperatureZone[[#Headers],[Temperature zone]],0)</f>
        <v>0.03</v>
      </c>
      <c r="M246" s="24" cm="1">
        <f t="array" ref="M246">Common_InputFunctions.Utility_DisplayArrayInTable(Common_SourceData.Common_SourceData_MCFTemperatureZone_Data(),Table_SourceData_Common_MCFTemperatureZone[[#Headers],[Temperature zone]],0)</f>
        <v>0.04</v>
      </c>
      <c r="N246" s="24" cm="1">
        <f t="array" ref="N246">Common_InputFunctions.Utility_DisplayArrayInTable(Common_SourceData.Common_SourceData_MCFTemperatureZone_Data(),Table_SourceData_Common_MCFTemperatureZone[[#Headers],[Temperature zone]],0)</f>
        <v>1.4999999999999999E-2</v>
      </c>
      <c r="O246" s="24" cm="1">
        <f t="array" ref="O246">Common_InputFunctions.Utility_DisplayArrayInTable(Common_SourceData.Common_SourceData_MCFTemperatureZone_Data(),Table_SourceData_Common_MCFTemperatureZone[[#Headers],[Temperature zone]],0)</f>
        <v>1.4999999999999999E-2</v>
      </c>
      <c r="P246" s="24" cm="1">
        <f t="array" ref="P246">Common_InputFunctions.Utility_DisplayArrayInTable(Common_SourceData.Common_SourceData_MCFTemperatureZone_Data(),Table_SourceData_Common_MCFTemperatureZone[[#Headers],[Temperature zone]],0)</f>
        <v>0</v>
      </c>
      <c r="Q246" s="24" cm="1">
        <f t="array" ref="Q246">Common_InputFunctions.Utility_DisplayArrayInTable(Common_SourceData.Common_SourceData_MCFTemperatureZone_Data(),Table_SourceData_Common_MCFTemperatureZone[[#Headers],[Temperature zone]],0)</f>
        <v>0</v>
      </c>
      <c r="R246" s="24" cm="1">
        <f t="array" ref="R246">Common_InputFunctions.Utility_DisplayArrayInTable(Common_SourceData.Common_SourceData_MCFTemperatureZone_Data(),Table_SourceData_Common_MCFTemperatureZone[[#Headers],[Temperature zone]],0)</f>
        <v>4.7000000000000002E-3</v>
      </c>
      <c r="S246" s="24"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4" cm="1">
        <f t="array" ref="E247">Common_InputFunctions.Utility_DisplayArrayInTable(Common_SourceData.Common_SourceData_MCFTemperatureZone_Data(),Table_SourceData_Common_MCFTemperatureZone[[#Headers],[Temperature zone]],0)</f>
        <v>25</v>
      </c>
      <c r="F247" s="24" cm="1">
        <f t="array" ref="F247">Common_InputFunctions.Utility_DisplayArrayInTable(Common_SourceData.Common_SourceData_MCFTemperatureZone_Data(),Table_SourceData_Common_MCFTemperatureZone[[#Headers],[Temperature zone]],0)</f>
        <v>0.79</v>
      </c>
      <c r="G247" s="24" cm="1">
        <f t="array" ref="G247">Common_InputFunctions.Utility_DisplayArrayInTable(Common_SourceData.Common_SourceData_MCFTemperatureZone_Data(),Table_SourceData_Common_MCFTemperatureZone[[#Headers],[Temperature zone]],0)</f>
        <v>0.1</v>
      </c>
      <c r="H247" s="24" cm="1">
        <f t="array" ref="H247">Common_InputFunctions.Utility_DisplayArrayInTable(Common_SourceData.Common_SourceData_MCFTemperatureZone_Data(),Table_SourceData_Common_MCFTemperatureZone[[#Headers],[Temperature zone]],0)</f>
        <v>0.41</v>
      </c>
      <c r="I247" s="24" cm="1">
        <f t="array" ref="I247">Common_InputFunctions.Utility_DisplayArrayInTable(Common_SourceData.Common_SourceData_MCFTemperatureZone_Data(),Table_SourceData_Common_MCFTemperatureZone[[#Headers],[Temperature zone]],0)</f>
        <v>5.0000000000000001E-3</v>
      </c>
      <c r="J247" s="24" cm="1">
        <f t="array" ref="J247">Common_InputFunctions.Utility_DisplayArrayInTable(Common_SourceData.Common_SourceData_MCFTemperatureZone_Data(),Table_SourceData_Common_MCFTemperatureZone[[#Headers],[Temperature zone]],0)</f>
        <v>0.01</v>
      </c>
      <c r="K247" s="24" cm="1">
        <f t="array" ref="K247">Common_InputFunctions.Utility_DisplayArrayInTable(Common_SourceData.Common_SourceData_MCFTemperatureZone_Data(),Table_SourceData_Common_MCFTemperatureZone[[#Headers],[Temperature zone]],0)</f>
        <v>0.02</v>
      </c>
      <c r="L247" s="24" cm="1">
        <f t="array" ref="L247">Common_InputFunctions.Utility_DisplayArrayInTable(Common_SourceData.Common_SourceData_MCFTemperatureZone_Data(),Table_SourceData_Common_MCFTemperatureZone[[#Headers],[Temperature zone]],0)</f>
        <v>0.03</v>
      </c>
      <c r="M247" s="24" cm="1">
        <f t="array" ref="M247">Common_InputFunctions.Utility_DisplayArrayInTable(Common_SourceData.Common_SourceData_MCFTemperatureZone_Data(),Table_SourceData_Common_MCFTemperatureZone[[#Headers],[Temperature zone]],0)</f>
        <v>0.04</v>
      </c>
      <c r="N247" s="24" cm="1">
        <f t="array" ref="N247">Common_InputFunctions.Utility_DisplayArrayInTable(Common_SourceData.Common_SourceData_MCFTemperatureZone_Data(),Table_SourceData_Common_MCFTemperatureZone[[#Headers],[Temperature zone]],0)</f>
        <v>1.4999999999999999E-2</v>
      </c>
      <c r="O247" s="24" cm="1">
        <f t="array" ref="O247">Common_InputFunctions.Utility_DisplayArrayInTable(Common_SourceData.Common_SourceData_MCFTemperatureZone_Data(),Table_SourceData_Common_MCFTemperatureZone[[#Headers],[Temperature zone]],0)</f>
        <v>1.4999999999999999E-2</v>
      </c>
      <c r="P247" s="24" cm="1">
        <f t="array" ref="P247">Common_InputFunctions.Utility_DisplayArrayInTable(Common_SourceData.Common_SourceData_MCFTemperatureZone_Data(),Table_SourceData_Common_MCFTemperatureZone[[#Headers],[Temperature zone]],0)</f>
        <v>0</v>
      </c>
      <c r="Q247" s="24" cm="1">
        <f t="array" ref="Q247">Common_InputFunctions.Utility_DisplayArrayInTable(Common_SourceData.Common_SourceData_MCFTemperatureZone_Data(),Table_SourceData_Common_MCFTemperatureZone[[#Headers],[Temperature zone]],0)</f>
        <v>0</v>
      </c>
      <c r="R247" s="24" cm="1">
        <f t="array" ref="R247">Common_InputFunctions.Utility_DisplayArrayInTable(Common_SourceData.Common_SourceData_MCFTemperatureZone_Data(),Table_SourceData_Common_MCFTemperatureZone[[#Headers],[Temperature zone]],0)</f>
        <v>4.7000000000000002E-3</v>
      </c>
      <c r="S247" s="24"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4" cm="1">
        <f t="array" ref="E248">Common_InputFunctions.Utility_DisplayArrayInTable(Common_SourceData.Common_SourceData_MCFTemperatureZone_Data(),Table_SourceData_Common_MCFTemperatureZone[[#Headers],[Temperature zone]],0)</f>
        <v>26</v>
      </c>
      <c r="F248" s="24" cm="1">
        <f t="array" ref="F248">Common_InputFunctions.Utility_DisplayArrayInTable(Common_SourceData.Common_SourceData_MCFTemperatureZone_Data(),Table_SourceData_Common_MCFTemperatureZone[[#Headers],[Temperature zone]],0)</f>
        <v>0.79</v>
      </c>
      <c r="G248" s="24" cm="1">
        <f t="array" ref="G248">Common_InputFunctions.Utility_DisplayArrayInTable(Common_SourceData.Common_SourceData_MCFTemperatureZone_Data(),Table_SourceData_Common_MCFTemperatureZone[[#Headers],[Temperature zone]],0)</f>
        <v>0.1</v>
      </c>
      <c r="H248" s="24" cm="1">
        <f t="array" ref="H248">Common_InputFunctions.Utility_DisplayArrayInTable(Common_SourceData.Common_SourceData_MCFTemperatureZone_Data(),Table_SourceData_Common_MCFTemperatureZone[[#Headers],[Temperature zone]],0)</f>
        <v>0.44</v>
      </c>
      <c r="I248" s="24" cm="1">
        <f t="array" ref="I248">Common_InputFunctions.Utility_DisplayArrayInTable(Common_SourceData.Common_SourceData_MCFTemperatureZone_Data(),Table_SourceData_Common_MCFTemperatureZone[[#Headers],[Temperature zone]],0)</f>
        <v>0.01</v>
      </c>
      <c r="J248" s="24" cm="1">
        <f t="array" ref="J248">Common_InputFunctions.Utility_DisplayArrayInTable(Common_SourceData.Common_SourceData_MCFTemperatureZone_Data(),Table_SourceData_Common_MCFTemperatureZone[[#Headers],[Temperature zone]],0)</f>
        <v>1.4999999999999999E-2</v>
      </c>
      <c r="K248" s="24" cm="1">
        <f t="array" ref="K248">Common_InputFunctions.Utility_DisplayArrayInTable(Common_SourceData.Common_SourceData_MCFTemperatureZone_Data(),Table_SourceData_Common_MCFTemperatureZone[[#Headers],[Temperature zone]],0)</f>
        <v>0.02</v>
      </c>
      <c r="L248" s="24" cm="1">
        <f t="array" ref="L248">Common_InputFunctions.Utility_DisplayArrayInTable(Common_SourceData.Common_SourceData_MCFTemperatureZone_Data(),Table_SourceData_Common_MCFTemperatureZone[[#Headers],[Temperature zone]],0)</f>
        <v>0.03</v>
      </c>
      <c r="M248" s="24" cm="1">
        <f t="array" ref="M248">Common_InputFunctions.Utility_DisplayArrayInTable(Common_SourceData.Common_SourceData_MCFTemperatureZone_Data(),Table_SourceData_Common_MCFTemperatureZone[[#Headers],[Temperature zone]],0)</f>
        <v>0.04</v>
      </c>
      <c r="N248" s="24" cm="1">
        <f t="array" ref="N248">Common_InputFunctions.Utility_DisplayArrayInTable(Common_SourceData.Common_SourceData_MCFTemperatureZone_Data(),Table_SourceData_Common_MCFTemperatureZone[[#Headers],[Temperature zone]],0)</f>
        <v>1.4999999999999999E-2</v>
      </c>
      <c r="O248" s="24" cm="1">
        <f t="array" ref="O248">Common_InputFunctions.Utility_DisplayArrayInTable(Common_SourceData.Common_SourceData_MCFTemperatureZone_Data(),Table_SourceData_Common_MCFTemperatureZone[[#Headers],[Temperature zone]],0)</f>
        <v>1.4999999999999999E-2</v>
      </c>
      <c r="P248" s="24" cm="1">
        <f t="array" ref="P248">Common_InputFunctions.Utility_DisplayArrayInTable(Common_SourceData.Common_SourceData_MCFTemperatureZone_Data(),Table_SourceData_Common_MCFTemperatureZone[[#Headers],[Temperature zone]],0)</f>
        <v>0</v>
      </c>
      <c r="Q248" s="24" cm="1">
        <f t="array" ref="Q248">Common_InputFunctions.Utility_DisplayArrayInTable(Common_SourceData.Common_SourceData_MCFTemperatureZone_Data(),Table_SourceData_Common_MCFTemperatureZone[[#Headers],[Temperature zone]],0)</f>
        <v>0</v>
      </c>
      <c r="R248" s="24" cm="1">
        <f t="array" ref="R248">Common_InputFunctions.Utility_DisplayArrayInTable(Common_SourceData.Common_SourceData_MCFTemperatureZone_Data(),Table_SourceData_Common_MCFTemperatureZone[[#Headers],[Temperature zone]],0)</f>
        <v>4.7000000000000002E-3</v>
      </c>
      <c r="S248" s="24"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4" cm="1">
        <f t="array" ref="E249">Common_InputFunctions.Utility_DisplayArrayInTable(Common_SourceData.Common_SourceData_MCFTemperatureZone_Data(),Table_SourceData_Common_MCFTemperatureZone[[#Headers],[Temperature zone]],0)</f>
        <v>27</v>
      </c>
      <c r="F249" s="24" cm="1">
        <f t="array" ref="F249">Common_InputFunctions.Utility_DisplayArrayInTable(Common_SourceData.Common_SourceData_MCFTemperatureZone_Data(),Table_SourceData_Common_MCFTemperatureZone[[#Headers],[Temperature zone]],0)</f>
        <v>0.8</v>
      </c>
      <c r="G249" s="24" cm="1">
        <f t="array" ref="G249">Common_InputFunctions.Utility_DisplayArrayInTable(Common_SourceData.Common_SourceData_MCFTemperatureZone_Data(),Table_SourceData_Common_MCFTemperatureZone[[#Headers],[Temperature zone]],0)</f>
        <v>0.1</v>
      </c>
      <c r="H249" s="24" cm="1">
        <f t="array" ref="H249">Common_InputFunctions.Utility_DisplayArrayInTable(Common_SourceData.Common_SourceData_MCFTemperatureZone_Data(),Table_SourceData_Common_MCFTemperatureZone[[#Headers],[Temperature zone]],0)</f>
        <v>0.48</v>
      </c>
      <c r="I249" s="24" cm="1">
        <f t="array" ref="I249">Common_InputFunctions.Utility_DisplayArrayInTable(Common_SourceData.Common_SourceData_MCFTemperatureZone_Data(),Table_SourceData_Common_MCFTemperatureZone[[#Headers],[Temperature zone]],0)</f>
        <v>0.01</v>
      </c>
      <c r="J249" s="24" cm="1">
        <f t="array" ref="J249">Common_InputFunctions.Utility_DisplayArrayInTable(Common_SourceData.Common_SourceData_MCFTemperatureZone_Data(),Table_SourceData_Common_MCFTemperatureZone[[#Headers],[Temperature zone]],0)</f>
        <v>1.4999999999999999E-2</v>
      </c>
      <c r="K249" s="24" cm="1">
        <f t="array" ref="K249">Common_InputFunctions.Utility_DisplayArrayInTable(Common_SourceData.Common_SourceData_MCFTemperatureZone_Data(),Table_SourceData_Common_MCFTemperatureZone[[#Headers],[Temperature zone]],0)</f>
        <v>0.02</v>
      </c>
      <c r="L249" s="24" cm="1">
        <f t="array" ref="L249">Common_InputFunctions.Utility_DisplayArrayInTable(Common_SourceData.Common_SourceData_MCFTemperatureZone_Data(),Table_SourceData_Common_MCFTemperatureZone[[#Headers],[Temperature zone]],0)</f>
        <v>0.03</v>
      </c>
      <c r="M249" s="24" cm="1">
        <f t="array" ref="M249">Common_InputFunctions.Utility_DisplayArrayInTable(Common_SourceData.Common_SourceData_MCFTemperatureZone_Data(),Table_SourceData_Common_MCFTemperatureZone[[#Headers],[Temperature zone]],0)</f>
        <v>0.04</v>
      </c>
      <c r="N249" s="24" cm="1">
        <f t="array" ref="N249">Common_InputFunctions.Utility_DisplayArrayInTable(Common_SourceData.Common_SourceData_MCFTemperatureZone_Data(),Table_SourceData_Common_MCFTemperatureZone[[#Headers],[Temperature zone]],0)</f>
        <v>1.4999999999999999E-2</v>
      </c>
      <c r="O249" s="24" cm="1">
        <f t="array" ref="O249">Common_InputFunctions.Utility_DisplayArrayInTable(Common_SourceData.Common_SourceData_MCFTemperatureZone_Data(),Table_SourceData_Common_MCFTemperatureZone[[#Headers],[Temperature zone]],0)</f>
        <v>1.4999999999999999E-2</v>
      </c>
      <c r="P249" s="24" cm="1">
        <f t="array" ref="P249">Common_InputFunctions.Utility_DisplayArrayInTable(Common_SourceData.Common_SourceData_MCFTemperatureZone_Data(),Table_SourceData_Common_MCFTemperatureZone[[#Headers],[Temperature zone]],0)</f>
        <v>0</v>
      </c>
      <c r="Q249" s="24" cm="1">
        <f t="array" ref="Q249">Common_InputFunctions.Utility_DisplayArrayInTable(Common_SourceData.Common_SourceData_MCFTemperatureZone_Data(),Table_SourceData_Common_MCFTemperatureZone[[#Headers],[Temperature zone]],0)</f>
        <v>0</v>
      </c>
      <c r="R249" s="24" cm="1">
        <f t="array" ref="R249">Common_InputFunctions.Utility_DisplayArrayInTable(Common_SourceData.Common_SourceData_MCFTemperatureZone_Data(),Table_SourceData_Common_MCFTemperatureZone[[#Headers],[Temperature zone]],0)</f>
        <v>4.7000000000000002E-3</v>
      </c>
      <c r="S249" s="24"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4" t="str" cm="1">
        <f t="array" ref="E250">Common_InputFunctions.Utility_DisplayArrayInTable(Common_SourceData.Common_SourceData_MCFTemperatureZone_Data(),Table_SourceData_Common_MCFTemperatureZone[[#Headers],[Temperature zone]],0)</f>
        <v>≥28</v>
      </c>
      <c r="F250" s="24" cm="1">
        <f t="array" ref="F250">Common_InputFunctions.Utility_DisplayArrayInTable(Common_SourceData.Common_SourceData_MCFTemperatureZone_Data(),Table_SourceData_Common_MCFTemperatureZone[[#Headers],[Temperature zone]],0)</f>
        <v>0.8</v>
      </c>
      <c r="G250" s="24" cm="1">
        <f t="array" ref="G250">Common_InputFunctions.Utility_DisplayArrayInTable(Common_SourceData.Common_SourceData_MCFTemperatureZone_Data(),Table_SourceData_Common_MCFTemperatureZone[[#Headers],[Temperature zone]],0)</f>
        <v>0.1</v>
      </c>
      <c r="H250" s="24" cm="1">
        <f t="array" ref="H250">Common_InputFunctions.Utility_DisplayArrayInTable(Common_SourceData.Common_SourceData_MCFTemperatureZone_Data(),Table_SourceData_Common_MCFTemperatureZone[[#Headers],[Temperature zone]],0)</f>
        <v>0.5</v>
      </c>
      <c r="I250" s="24" cm="1">
        <f t="array" ref="I250">Common_InputFunctions.Utility_DisplayArrayInTable(Common_SourceData.Common_SourceData_MCFTemperatureZone_Data(),Table_SourceData_Common_MCFTemperatureZone[[#Headers],[Temperature zone]],0)</f>
        <v>0.01</v>
      </c>
      <c r="J250" s="24" cm="1">
        <f t="array" ref="J250">Common_InputFunctions.Utility_DisplayArrayInTable(Common_SourceData.Common_SourceData_MCFTemperatureZone_Data(),Table_SourceData_Common_MCFTemperatureZone[[#Headers],[Temperature zone]],0)</f>
        <v>1.4999999999999999E-2</v>
      </c>
      <c r="K250" s="24" cm="1">
        <f t="array" ref="K250">Common_InputFunctions.Utility_DisplayArrayInTable(Common_SourceData.Common_SourceData_MCFTemperatureZone_Data(),Table_SourceData_Common_MCFTemperatureZone[[#Headers],[Temperature zone]],0)</f>
        <v>0.02</v>
      </c>
      <c r="L250" s="24" cm="1">
        <f t="array" ref="L250">Common_InputFunctions.Utility_DisplayArrayInTable(Common_SourceData.Common_SourceData_MCFTemperatureZone_Data(),Table_SourceData_Common_MCFTemperatureZone[[#Headers],[Temperature zone]],0)</f>
        <v>0.03</v>
      </c>
      <c r="M250" s="24" cm="1">
        <f t="array" ref="M250">Common_InputFunctions.Utility_DisplayArrayInTable(Common_SourceData.Common_SourceData_MCFTemperatureZone_Data(),Table_SourceData_Common_MCFTemperatureZone[[#Headers],[Temperature zone]],0)</f>
        <v>0.04</v>
      </c>
      <c r="N250" s="24" cm="1">
        <f t="array" ref="N250">Common_InputFunctions.Utility_DisplayArrayInTable(Common_SourceData.Common_SourceData_MCFTemperatureZone_Data(),Table_SourceData_Common_MCFTemperatureZone[[#Headers],[Temperature zone]],0)</f>
        <v>1.4999999999999999E-2</v>
      </c>
      <c r="O250" s="24" cm="1">
        <f t="array" ref="O250">Common_InputFunctions.Utility_DisplayArrayInTable(Common_SourceData.Common_SourceData_MCFTemperatureZone_Data(),Table_SourceData_Common_MCFTemperatureZone[[#Headers],[Temperature zone]],0)</f>
        <v>1.4999999999999999E-2</v>
      </c>
      <c r="P250" s="24" cm="1">
        <f t="array" ref="P250">Common_InputFunctions.Utility_DisplayArrayInTable(Common_SourceData.Common_SourceData_MCFTemperatureZone_Data(),Table_SourceData_Common_MCFTemperatureZone[[#Headers],[Temperature zone]],0)</f>
        <v>0</v>
      </c>
      <c r="Q250" s="24" cm="1">
        <f t="array" ref="Q250">Common_InputFunctions.Utility_DisplayArrayInTable(Common_SourceData.Common_SourceData_MCFTemperatureZone_Data(),Table_SourceData_Common_MCFTemperatureZone[[#Headers],[Temperature zone]],0)</f>
        <v>0</v>
      </c>
      <c r="R250" s="24" cm="1">
        <f t="array" ref="R250">Common_InputFunctions.Utility_DisplayArrayInTable(Common_SourceData.Common_SourceData_MCFTemperatureZone_Data(),Table_SourceData_Common_MCFTemperatureZone[[#Headers],[Temperature zone]],0)</f>
        <v>4.7000000000000002E-3</v>
      </c>
      <c r="S250" s="24"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8" t="str" cm="1">
        <f t="array" ref="D256">Common_SourceData.Common_SourceData_EFOrganicFertiliserAndCropResidues_Unit()</f>
        <v>kg N2O - N / kg N</v>
      </c>
    </row>
    <row r="257" spans="4:6" x14ac:dyDescent="0.25">
      <c r="D257" s="24" t="s">
        <v>78</v>
      </c>
      <c r="E257" s="24" t="s">
        <v>79</v>
      </c>
    </row>
    <row r="258" spans="4:6" x14ac:dyDescent="0.25">
      <c r="D258" s="24" t="str" cm="1">
        <f t="array" ref="D258">Common_InputFunctions.Utility_DisplayArrayInTable(Common_SourceData.Common_SourceData_EFOrganicFertiliserAndCropResidues_Data(), Table_SourceData_Common_EFOrganicFertCropResidues[[#Headers],[Climate Zone]], 0)</f>
        <v>Wet climate zone</v>
      </c>
      <c r="E258" s="2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4"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5" t="s">
        <v>153</v>
      </c>
    </row>
    <row r="264" spans="4:6" x14ac:dyDescent="0.25">
      <c r="D264" s="1" t="s">
        <v>154</v>
      </c>
    </row>
    <row r="265" spans="4:6" x14ac:dyDescent="0.25">
      <c r="D265" s="24" t="s">
        <v>155</v>
      </c>
      <c r="E265" s="24" t="s">
        <v>156</v>
      </c>
      <c r="F265" s="24" t="s">
        <v>157</v>
      </c>
    </row>
    <row r="266" spans="4:6" x14ac:dyDescent="0.25">
      <c r="D266" s="24" t="s">
        <v>158</v>
      </c>
      <c r="E266" s="24" t="s">
        <v>159</v>
      </c>
      <c r="F266" s="24">
        <v>5</v>
      </c>
    </row>
    <row r="267" spans="4:6" x14ac:dyDescent="0.25">
      <c r="D267" s="24" t="s">
        <v>160</v>
      </c>
      <c r="E267" s="24" t="s">
        <v>161</v>
      </c>
      <c r="F267" s="24">
        <v>4</v>
      </c>
    </row>
    <row r="268" spans="4:6" x14ac:dyDescent="0.25">
      <c r="D268" s="24" t="s">
        <v>162</v>
      </c>
      <c r="E268" s="24" t="s">
        <v>163</v>
      </c>
      <c r="F268" s="24">
        <v>3</v>
      </c>
    </row>
    <row r="269" spans="4:6" x14ac:dyDescent="0.25">
      <c r="D269" s="24" t="s">
        <v>164</v>
      </c>
      <c r="E269" s="24" t="s">
        <v>165</v>
      </c>
      <c r="F269" s="24">
        <v>2</v>
      </c>
    </row>
    <row r="270" spans="4:6" x14ac:dyDescent="0.25">
      <c r="D270" s="24" t="s">
        <v>166</v>
      </c>
      <c r="E270" s="24" t="s">
        <v>167</v>
      </c>
      <c r="F270" s="24">
        <v>1</v>
      </c>
    </row>
    <row r="273" spans="4:6" x14ac:dyDescent="0.25">
      <c r="D273" s="1" t="s">
        <v>168</v>
      </c>
    </row>
    <row r="274" spans="4:6" x14ac:dyDescent="0.25">
      <c r="D274" s="24" t="s">
        <v>155</v>
      </c>
      <c r="E274" s="24" t="s">
        <v>156</v>
      </c>
      <c r="F274" s="24" t="s">
        <v>157</v>
      </c>
    </row>
    <row r="275" spans="4:6" x14ac:dyDescent="0.25">
      <c r="D275" s="24" t="s">
        <v>169</v>
      </c>
      <c r="E275" s="24" t="s">
        <v>170</v>
      </c>
      <c r="F275" s="24">
        <v>5</v>
      </c>
    </row>
    <row r="276" spans="4:6" x14ac:dyDescent="0.25">
      <c r="D276" s="24" t="s">
        <v>171</v>
      </c>
      <c r="E276" s="24" t="s">
        <v>172</v>
      </c>
      <c r="F276" s="24">
        <v>4</v>
      </c>
    </row>
    <row r="277" spans="4:6" x14ac:dyDescent="0.25">
      <c r="D277" s="24" t="s">
        <v>173</v>
      </c>
      <c r="E277" s="24" t="s">
        <v>174</v>
      </c>
      <c r="F277" s="24">
        <v>3</v>
      </c>
    </row>
    <row r="278" spans="4:6" x14ac:dyDescent="0.25">
      <c r="D278" s="24" t="s">
        <v>175</v>
      </c>
      <c r="E278" s="24" t="s">
        <v>176</v>
      </c>
      <c r="F278" s="24">
        <v>2</v>
      </c>
    </row>
    <row r="279" spans="4:6" x14ac:dyDescent="0.25">
      <c r="D279" s="24" t="s">
        <v>177</v>
      </c>
      <c r="E279" s="24" t="s">
        <v>178</v>
      </c>
      <c r="F279" s="24">
        <v>1</v>
      </c>
    </row>
    <row r="282" spans="4:6" x14ac:dyDescent="0.25">
      <c r="D282" s="1" t="s">
        <v>179</v>
      </c>
    </row>
    <row r="283" spans="4:6" x14ac:dyDescent="0.25">
      <c r="D283" s="24" t="s">
        <v>155</v>
      </c>
      <c r="E283" s="24" t="s">
        <v>156</v>
      </c>
      <c r="F283" s="24" t="s">
        <v>157</v>
      </c>
    </row>
    <row r="284" spans="4:6" x14ac:dyDescent="0.25">
      <c r="D284" s="24" t="s">
        <v>180</v>
      </c>
      <c r="E284" s="24" t="s">
        <v>181</v>
      </c>
      <c r="F284" s="24">
        <v>5</v>
      </c>
    </row>
    <row r="285" spans="4:6" x14ac:dyDescent="0.25">
      <c r="D285" s="24" t="s">
        <v>182</v>
      </c>
      <c r="E285" s="24" t="s">
        <v>183</v>
      </c>
      <c r="F285" s="24">
        <v>4</v>
      </c>
    </row>
    <row r="286" spans="4:6" x14ac:dyDescent="0.25">
      <c r="D286" s="24" t="s">
        <v>184</v>
      </c>
      <c r="E286" s="24" t="s">
        <v>185</v>
      </c>
      <c r="F286" s="24">
        <v>3</v>
      </c>
    </row>
    <row r="287" spans="4:6" x14ac:dyDescent="0.25">
      <c r="D287" s="24" t="s">
        <v>186</v>
      </c>
      <c r="E287" s="24" t="s">
        <v>187</v>
      </c>
      <c r="F287" s="24">
        <v>2</v>
      </c>
    </row>
    <row r="288" spans="4:6" x14ac:dyDescent="0.25">
      <c r="D288" s="24" t="s">
        <v>188</v>
      </c>
      <c r="E288" s="24" t="s">
        <v>189</v>
      </c>
      <c r="F288" s="24">
        <v>1</v>
      </c>
    </row>
    <row r="291" spans="4:6" x14ac:dyDescent="0.25">
      <c r="D291" s="1" t="s">
        <v>190</v>
      </c>
    </row>
    <row r="292" spans="4:6" x14ac:dyDescent="0.25">
      <c r="D292" s="24" t="s">
        <v>155</v>
      </c>
      <c r="E292" s="24" t="s">
        <v>156</v>
      </c>
      <c r="F292" s="24" t="s">
        <v>157</v>
      </c>
    </row>
    <row r="293" spans="4:6" x14ac:dyDescent="0.25">
      <c r="D293" s="24" t="s">
        <v>191</v>
      </c>
      <c r="E293" s="24" t="s">
        <v>192</v>
      </c>
      <c r="F293" s="24">
        <v>5</v>
      </c>
    </row>
    <row r="294" spans="4:6" x14ac:dyDescent="0.25">
      <c r="D294" s="24" t="s">
        <v>193</v>
      </c>
      <c r="E294" s="24" t="s">
        <v>194</v>
      </c>
      <c r="F294" s="24">
        <v>4</v>
      </c>
    </row>
    <row r="295" spans="4:6" x14ac:dyDescent="0.25">
      <c r="D295" s="24" t="s">
        <v>195</v>
      </c>
      <c r="E295" s="24" t="s">
        <v>196</v>
      </c>
      <c r="F295" s="24">
        <v>3</v>
      </c>
    </row>
    <row r="296" spans="4:6" x14ac:dyDescent="0.25">
      <c r="D296" s="24" t="s">
        <v>197</v>
      </c>
      <c r="E296" s="24" t="s">
        <v>198</v>
      </c>
      <c r="F296" s="24">
        <v>2</v>
      </c>
    </row>
    <row r="297" spans="4:6" x14ac:dyDescent="0.25">
      <c r="D297" s="24" t="s">
        <v>199</v>
      </c>
      <c r="E297" s="24" t="s">
        <v>200</v>
      </c>
      <c r="F297" s="2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8AUgBhACAAOgAgAEEAbQBvAHUAbgB0ACAAbwBmACAAcgBlAGYAcgBpAGcAZQByAGEAbgB0ACAAUgAgAGMAbwBuAHQAYQBpAG4AZQBkACAAaQBuACAAYQBwAHAAbABpAGEAbgBjAGUAIABhACAAOgAgAGsAZwBcAG4AbABlAGEAawBhAGcAZQByAGEAdABlAF8AYQAgADoAIABQAHIAYwBlAG4AdABhAGcAZQAgAG8AZgAgAHQAbwB0AGEAbAAgAGMAaABhAHIAZwBlACAAbABlAGEAawBlAGQAIABmAHIAbwBtACAAYQBwAHAAbABpAGEAbgBjAGUAIABhACAAZQBhAGMAaAAgAHkAZQBhAHIAIAA6ACAAUABlAHIAYwBlAG4AdABcAG4ALQAtAC0ALQAtAC0ALQAtAC0ALQAtAC0ALQAtAC0ALQAtAC0ALQAtAC0ALQAtAC0ALQAtAC0ALQAtAC0ALQAtAC0ALQAtAC0ALQAtAFwAbgAqAC8AXABuAFwAbgBcAG4AVgBFAEUAUgBHAF8AOQBfADEAXwAxAF8AXwAxAF8AUgBlAGYAcgBpAGcAZQByAGEAbgB0AEwAZQBhAGsAaQBuAGcAXABuACAAIAA9AEwAQQBNAEIARABBACgAXABuACAAIAAgACAAYwBoAGEAcgBnAGUAXwBSAGEALAAgAGwAZQBhAGsAYQBnAGUAcgBhAHQAZQBfAGEALABcAG4AIAAgACAAIAAoAGMAaABhAHIAZwBlAF8AUgBhACAAKgAgACgAbABlAGEAawBhAGcAZQByAGEAdABlAF8AYQAvADEAMAAwACkAKQAgACoAIAAxADAAIABeACAALQAgADMAXABuACAAIAApADsAXABuAFwAbgBWAEUARQBSAEcAXwA5AF8AMQBfADEAXwBfADEAXwBSAGUAZgByAGkAZwBlAHIAYQBuAHQATABlAGEAawBpAG4AZwBHAFcAUABcAG4AIAAgAD0ATABBAE0AQgBEAEEAKABcAG4AIAAgACAAIABFAF8AUgAsACAARwBXAFAAXwBSACwAXABuACAAIAAgACAAKAAoAEUAXwBSACAAKgAgADEAMABeADMAKQAgACoAIABHAFcAUABfAFIAKQAgACoAIAAxADAAXgAtADMAXABuACAAIAApADsAXABuAFwAbgBWAEUARQBSAEcAXwA5AF8AMQBfADEAXwBfADEAXwBSAGUAZgByAGkAZwBlAHIAYQBuAHQATABlAGEAawBpAG4AZwBfAFQAaQB0AGwAZQBcAG4AIAAgAD0ATABBAE0AQgBEAEEAKABcACIAVABoAGUAIAB0AG8AdABhAGwAIABlAG0AaQBzAHMAaQBvAG4AcwAgAG8AZgAgAHIAZQBmAHIAaQBnAGUAcgBhAG4AdAAgAGwAZQBhAGsAaQBuAGcAIABkAHUAcgBpAG4AZwAgAG8AcABlAHIAYQB0AGkAbwBuACAAKABuAG8AdAAgAGQAdQByAGkAbgBnACAAaQBuAHMAdABhAGwAbABhAHQAaQBvAG4AIABvAHIAIABkAGkAcwBwAG8AcwBhAGwAKQBcACIAKQA7AFwAbgBcAG4AVgBFAEUAUgBHAF8AOQBfADEAXwAxAF8AXwAxAF8AUgBlAGYAcgBpAGcAZQByAGEAbgB0AEwAZQBhAGsAaQBuAGcARwBXAFAAXwBUAGkAdABsAGUAXABuACAAIAA9AEwAQQBNAEIARABBACgAXAAiAFIAZQBmAHIAaQBnAGUAcgBhAG4AdAAgAGwAZQBhAGsAYQBnAGUAIABlAG0AaQBzAHMAaQBvAG4AcwAgAGMAbwBuAHYAZQByAHQAZQBkACAAdABvACAAQwBPADIALQBlAFwAIgApADsAXABuAFwAbgBWAEUARQBSAEcAXwA5AF8AMQBfADEAXwBfADEAXwBSAGUAZgByAGkAZwBlAHIAYQBuAHQATABlAGEAawBpAG4AZwBfAFYAYQByAGkAYQBiAGwAZQBcAG4AIAAgAD0ATABBAE0AQgBEAEEAKABcACIARQBfAFIAXAAiACkAOwBcAG4AXABuAFYARQBFAFIARwBfADkAXwAxAF8AMQBfAF8AMQBfAFIAZQBmAHIAaQBnAGUAcgBhAG4AdABMAGUAYQBrAGkAbgBnAEcAVwBQAF8AVgBhAHIAaQBhAGIAbABlAFwAbgAgACAAPQBMAEEATQBCAEQAQQAoAFwAIgBFAF8AQwBPADIAZQBcACIAKQA7AFwAbgBcAG4AVgBFAEUAUgBHAF8AOQBfADEAXwAxAF8AXwAxAF8AUgBlAGYAcgBpAGcAZQByAGEAbgB0AEwAZQBhAGsAaQBuAGcAXwBVAG4AaQB0AFwAbgAgACAAPQBMAEEATQBCAEQAQQAoAFwAIgB0ACAAcgBlAGYAcgBpAGcAZQByAGEAbgB0ACAAZwBhAHMAXAAiACkAOwBcAG4AXABuAFYARQBFAFIARwBfADkAXwAxAF8AMQBfAF8AMQBfAFIAZQBmAHIAaQBnAGUAcgBhAG4AdABMAGUAYQBrAGkAbgBnAEcAVwBQAF8AVQBuAGkAdABcAG4AIAAgAD0ATABBAE0AQgBEAEEAKABcACIAdAAgAEMATwAyAC0AZQBcACIAKQA7AFwAbgBcAG4AVgBFAEUAUgBHAF8AOQBfADEAXwAxAF8AXwAxAF8AUgBlAGYAcgBpAGcAZQByAGEAbgB0AEwAZQBhAGsAaQBuAGcAXwBTAG8AdQByAGMAZQBcAG4AIAAgAD0ATABBAE0AQgBEAEEAKABcACIAVgBFAEUAUgBHACAAMgAwADIANgA6ACAAOQAuADEALgAxACwAIABFAHEAdQBhAHQAaQBvAG4AIAAoADEAKQBcACIAKQA7AFwAbgBcAG4AVgBFAEUAUgBHAF8AOQBfADEAXwAxAF8AXwAxAF8AUgBlAGYAcgBpAGcAZQByAGEAbgB0AEwAZQBhAGsAaQBuAGcARwBXAFAAXwBTAG8AdQByAGMAZQBcAG4AIAAgAD0ATABBAE0AQgBEAEEAKABcACIAQQB1AHMAdAByAGEAbABpAGEAbgAgAE4AYQB0AGkAbwBuAGEAbAAgAEcAcgBlAGUAbgBoAG8AdQBzAGUAIABBAGMAYwBvAHUAbgB0AHMAIABGAGEAYwB0AG8AcgBzACAAMgAwADIANQAgAC0AIAAzAC4AMQAgAEUAcwB0AGkAbQBhAHQAaQBuAGcAIABpAG4AZAB1AHMAdAByAGkAYQBsACAAcAByAG8AYwBlAHMAcwBlAHMAIABlAG0AaQBzAHMAaQBvAG4AcwAgAC0AIABSAGUAZgByAGkAZwBlAHIAYQBuAHQAIABsAGUAYQBrAGEAZwBlAFwAIgApADsAXABuAFwAbgBWAEUARQBSAEcAXwA5AF8AMQBfADEAXwBfADEAXwBSAGUAZgByAGkAZwBlAHIAYQBuAHQATABlAGEAawBpAG4AZwBfAFIAZQBhAGQAYQBiAGwAZQBFAHEAdQBhAHQAaQBvAG4AXABuACAAIAA9AEwAQQBNAEIARABBACgAXAAiAGMAaABhAHIAZwBlAF8AUgBhACAAKgAgACgAbABlAGEAawBhAGcAZQByAGEAdABlAF8AYQAvADEAMAAwACkAIAAqACAAMQAwACAAXgAgAC0AIAAzAFwAIgApADsAXABuAFwAbgBWAEUARQBSAEcAXwA5AF8AMQBfADEAXwBfADEAXwBSAGUAZgByAGkAZwBlAHIAYQBuAHQATABlAGEAawBpAG4AZwBfAEwAYQB0AGUAeABFAHEAdQBhAHQAaQBvAG4AXABuACAAIAA9AEwAQQBNAEIARABBACgAXAAiAEUAXwBSACAAPQAgAFwAXABzAHUAbQBcAFwAbgBvAGwAaQBtAGkAdABzAF8AYQAgAFwAXABsAGUAZgB0ACgAIABjAGgAYQByAGcAZQBfAHsAUgBhAH0AIABcAFwAdABpAG0AZQBzACAAXABcAGYAcgBhAGMAewBsAGUAYQBrAGEAZwBlAFwAXAAsAHIAYQB0AGUAXwBhAH0AewAxADAAMAB9ACAAXABcAHIAaQBnAGgAdAApACAAXABcAHQAaQBtAGUAcwAgADEAMABeAHsALQAzAH0AXAAiACkAOwBcAG4AXABuAFYARQBFAFIARwBfADkAXwAxAF8AMQBfAF8AMQBfAFIAZQBmAHIAaQBnAGUAcgBhAG4AdABMAGUAYQBrAGkAbgBnAEcAVwBQAF8ATABhAHQAZQB4AEUAcQB1AGEAdABpAG8AbgBcAG4AIAAgAD0ATABBAE0AQgBEAEEAKABcACIARQBfAEMATwAyAGUAIAA9ACAAXABcAGwAZQBmAHQAKABFAF8AUgAgAFwAXAB0AGkAbQBlAHMAIAAxADAAXgB7ADMAfQAgAFwAXAByAGkAZwBoAHQAKQAgAFwAXAB0AGkAbQBlAHMAIABHAFcAUABfAFIAIABcAFwAdABpAG0AZQBzACAAMQAwAF4AewAtADMAfQBcACIAKQA7AFwAbgBcAG4AVgBFAEUAUgBHAF8AOQBfADEAXwAxAF8AXwAxAF8AUgBlAGYAcgBpAGcAZQByAGEAbgB0AEwAZQBhAGsAaQBuAGcAXwBBAHIAZwB1AG0AZQBuAHQAcwBcAG4AIAAgAD0ATABBAE0AQgBEAEEAKABcAG4AIAAgACAAIABNAEEASwBFAEEAUgBSAEEAWQAoADQALAAgADQALAAgAFwAbgAgACAAIAAgACAAIABMAEEATQBCAEQAQQAoAHIALABjACwAIABcAG4AIAAgACAAIAAgACAAIAAgAEkATgBEAEUAWAAoAHsAXABuACAAIAAgACAAIAAgACAAIAAgACAAXAAiAGMAaABhAHIAZwBlAF8AUgBhAFwAIgAsACAAXAAiAEEAbQBvAHUAbgB0ACAAbwBmACAAcgBlAGYAcgBpAGcAZQByAGEAbgB0ACAAUgAgAGMAbwBuAHQAYQBpAG4AZQBkACAAaQBuACAAYQBwAHAAbABpAGEAbgBjAGUAIABhAFwAIgAsACAAXAAiAGsAZwBcACIALAAgAFwAIgBJAG4AcAB1AHQAXAAiADsAXABuACAAIAAgACAAIAAgACAAIAAgACAAXAAiAGwAZQBhAGsAYQBnAGUAcgBhAHQAZQBfAGEAXAAiACwAIABcACIAUAByAGMAZQBuAHQAYQBnAGUAIABvAGYAIAB0AG8AdABhAGwAIABjAGgAYQByAGcAZQAgAGwAZQBhAGsAZQBkACAAZgByAG8AbQAgAGEAcABwAGwAaQBhAG4AYwBlACAAYQAgAGUAYQBjAGgAIAB5AGUAYQByAFwAIgAsACAAXAAiAFAAZQByAGMAZQBuAHQAXAAiACwAIABcACIAQwBvAG4AcwB0AGEAbgB0AFwAIgA7AFwAbgAgACAAIAAgACAAIAAgACAAIAAgAFwAIgBhAFwAIgAsACAAXAAiAEEAcABwAGwAaQBhAG4AYwBlACAAdAB5AHAAZQBcACIALAAgAFwAIgBcACIALAAgAFwAIgBJAG4AcAB1AHQAXAAiADsAXABuACAAIAAgACAAIAAgACAAIAAgACAAXAAiAFIAXAAiACwAIABcACIAUgBlAGYAcgBpAGcAZQByAGEAbgB0AFwAIgAsACAAXAAiAFwAIgAsACAAXAAiAEkAbgBwAHUAdABcACIAXABuACAAIAAgACAAIAAgACAAIAB9ACwAIAByACwAIABjACkAXABuACAAIAAgACAAIAAgACkAXABuACAAIAAgACAAKQBcAG4AIAAgACkAOwBcAG4AXABuAFYARQBFAFIARwBfADkAXwAxAF8AMQBfAF8AMQBfAFIAZQBmAHIAaQBnAGUAcgBhAG4AdABMAGUAYQBrAGkAbgBnAEcAVwBQAF8AQQByAGcAdQBtAGUAbgB0AHMAXABuACAAIAA9AEwAQQBNAEIARABBACgAXABuACAAIAAgACAATQBBAEsARQBBAFIAUgBBAFkAKAAyACwAIAA0ACwAIABcAG4AIAAgACAAIAAgACAATABBAE0AQgBEAEEAKAByACwAYwAsACAAXABuACAAIAAgACAAIAAgACAAIABJAE4ARABFAFgAKAB7AFwAbgAgACAAIAAgACAAIAAgACAAIAAgAFwAIgBFAF8AUgBcACIALAAgAFwAIgBUAG8AdABhAGwAIABlAG0AaQBzAHMAaQBvAG4AcwAgAG8AZgAgAHIAZQBmAHIAaQBnAGUAcgBhAG4AdAAgAFIAXAAiACwAIABcACIAdAAgAHIAZQBmAHIAaQBnAGUAcgBhAG4AdAAgAGcAYQBzAFwAIgAsACAAXAAiAEMAYQBsAGMAdQBsAGEAdABlAGQAIABmAHIAbwBtACAAOQAuADEALgAxACAAKAAxACkAXAAiADsAXABuACAAIAAgACAAIAAgACAAIAAgACAAXAAiAEcAVwBQAF8AUgBcACIALAAgAFwAIgBHAGwAbwBiAGEAbAAgAHcAYQByAG0AaQBuAGcAIABwAG8AdABlAG4AdABpAGEAbAAgAG8AZgAgAHIAZQBmAHIAaQBnAGUAcgBhAG4AdAAgAFIAXAAiACwAIABcACIARABpAG0AZQBuAHMAaQBvAG4AbABlAHMAcwBcACIALAAgAFwAIgBDAG8AbgBzAHQAYQBuAHQAXAAiAFwAbgAgACAAIAAgACAAIAAgACAAfQAsACAAcgAsACAAYwApAFwAbgAgACAAIAAgACAAIAApAFwAbgAgACAAIAAgACkAXABuACAAIAApADsAXABuAFwAbgBWAEUARQBSAEcAXwA5AF8AMQBfADEAXwBfADEAXwBSAGUAZgByAGkAZwBlAHIAYQBuAHQATABlAGEAawBpAG4AZwBfAFYAYQByAGkAYQB0AGkAbwBuAFwAbgAgACAAPQBMAEEATQBCAEQAQQAoAFwAIgBWAEEAUgBJAEEAVABJAE8ATgAgAE8ATgAgAFMATwBVAFIAQwBFADoAIABBAGQAZABlAGQAIABlAHEAdQBhAHQAaQBvAG4AIAB0AG8AIABjAG8AbgB2AGUAcgB0ACAAcgBlAGYAcgBpAGcAZQByAGEAbgB0ACAAUgAgAHQAbwAgAEMATwAyAC0AZQAgAHUAcwBpAG4AZwAgAHQAaABlACAAcgBlAGYAcgBpAGcAZQByAGEAbgB0AFwAdQAwADAAMgA3AHMAIABnAGwAbwBiAGEAbAAgAHcAYQByAG0AaQBuAGcAIABwAG8AdABlAG4AdABpAGEAbAAgACgARwBXAFAAKQAuAFwAIgApADsAIgB9ACwAewAiAHAAYQB0AGgAIgA6ACIALwBwAHIAbwBqAGUAYwB0AHMALwBSAGUAZgByAGkAZwBlAHIAYQBuAHQAcwBfAFMAbwB1AHIAYwBlAEQAYQB0AGEAIgAsACIAdABlAHgAdAAiADoAI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UAGEAYgBsAGUAIAAyADMAIABHAGwAbwBiAGEAbAAgAFcAYQByAG0AaQBuAGcAIABQAG8AdABlAG4AdABpAGEAbABzAFwAbgA9AD0APQA9AD0APQA9AD0APQA9AD0APQA9AD0APQA9AD0APQA9AD0APQA9AD0APQA9AD0APQA9AD0APQA9AD0APQA9AD0APQA9AD0APQA9AD0APQA9AD0APQA9AD0APQA9AD0APQA9AD0APQA9AD0APQA9AD0APQA9AD0APQA9AD0APQA9AD0APQA9AD0APQA9AD0APQA9AFwAbgAqAC8AXABuAFwAbgBSAGUAZgByAGkAZwBlAHIAYQBuAHQAcwBfAEMAaABlAG0AaQBjAGEAbABHAFcAUABfAFQAaQB0AGwAZQBcAG4APQBMAEEATQBCAEQAQQAoACgAXAAiAEcAbABvAGIAYQBsACAAVwBhAHIAbQBpAG4AZwAgAFAAbwB0AGUAbgB0AGkAYQBsAHMAXAAiACkAKQA7AFwAbgBcAG4AUgBlAGYAcgBpAGcAZQByAGEAbgB0AHMAXwBDAGgAZQBtAGkAYwBhAGwARwBXAFAAXwBEAGUAcwBjAHIAaQBwAHQAaQBvAG4AXABuAD0ATABBAE0AQgBEAEEAKAAoAFwAIgBcACIAKQApADsAXABuAFwAbgBSAGUAZgByAGkAZwBlAHIAYQBuAHQAcwBfAEMAaABlAG0AaQBjAGEAbABHAFcAUABfAFMAbwB1AHIAYwBlAFwAbgA9AEwAQQBNAEIARABBACgAKABcACIAQQB1AHMAdAByAGEAbABpAGEAbgAgAE4AYQB0AGkAbwBuAGEAbAAgAEcAcgBlAGUAbgBoAG8AdQBzAGUAIABBAGMAYwBvAHUAbgB0AHMAIABGAGEAYwB0AG8AcgBzACAAMgAwADIANQAgAC0AIABBAHAAcABlAG4AZABpAHgAIAAyACAALQAgAFQAYQBiAGwAZQAgADIAMwBcACIAKQApADsAXABuAFwAbgBSAGUAZgByAGkAZwBlAHIAYQBuAHQAcwBfAEMAaABlAG0AaQBjAGEAbABHAFcAUABfAEQAYQB0AGEAXABuAD0ATABBAE0AQgBEAEEAKABcAG4AIAAgAE0AQQBLAEUAQQBSAFIAQQBZACgAMwA5ACwAIAA1ACwAXABuACAAIAAgACAATABBAE0AQgBEAEEAKAByACwAYwAsAFwAbgAgACAAIAAgACAAIABJAE4ARABFAFgAKAB7AFwAbgAgACAAIAAgACAAIAAgACAAXAAiAEcAYQBzAFwAIgAsACAAXAAiAEMAaABlAG0AaQBjAGEAbAAgAGYAbwByAG0AdQBsAGEAXAAiACwAIABcACIARwBsAG8AYgBhAGwAIABXAGEAcgBtAGkAbgBnACAAUABvAHQAZQBuAHQAaQBhAGwAIAAoAEEAUgA1ACkAXAAiACwAIABcACIARwBhAHMAIAAtACAARgBDACAAbgBhAG0AZQBcACIALAAgAFwAIgBBAGQAaQB0AGkAbwBuAGEAbAAgAGQAYQB0AGEAIABzAG8AdQByAGMAZQBcACIAOwBcAG4AIAAgACAAIAAgACAAIAAgAFwAIgBDAGEAcgBiAG8AbgAgAGQAaQBvAHgAaQBkAGUAXAAiACwAIABcACIAQwBPADIAXAAiACwAIAAxACwAIABcACIAQwBPADIAXAAiACwAIABcACIAXAAiADsAXABuACAAIAAgACAAIAAgACAAIABcACIATQBlAHQAaABhAG4AZQBcACIALAAgAFwAIgBDAEgANABcACIALAAgADIAOAAsACAAXAAiAEMASAA0AFwAIgAsACAAXAAiAFwAIgA7AFwAbgAgACAAIAAgACAAIAAgACAAXAAiAE4AaQB0AHIAbwB1AHMAIABvAHgAaQBkAGUAXAAiACwAIABcACIATgAyAE8AXAAiACwAIAAyADYANQAsACAAXAAiAE4AMgBPAFwAIgAsACAAXAAiAFwAIgA7AFwAbgAgACAAIAAgACAAIAAgACAAXAAiAFMAdQBsAHAAaAB1AHIAIABoAGUAeABhAGYAbAB1AG8AcgBpAGQAZQBcACIALAAgAFwAIgBTAEYANgBcACIALAAgADIAMwA1ADAAMAAsACAAXAAiAFMARgA2AFwAIgAsACAAXAAiAFwAIgA7AFwAbgAgACAAIAAgACAAIAAgACAAXAAiAEgARgBDAC0AMgAzACAAKABSAC0AMgAzACkAXAAiACwAIABcACIAQwBIAEYAMwBcACIALAAgACAAMQAyADQAMAAwACwAIABcACIASABGAEMALQAyADMAXAAiACwAIABcACIAXAAiADsAXABuACAAIAAgACAAIAAgACAAIABcACIASABGAEMALQAzADIAIAAoAFIALQAzADIAKQBcACIALAAgAFwAIgBDAEgAMgBGADIAXAAiACwAIAA2ADcANwAsACAAXAAiAEgARgBDAC0AMwAyAFwAIgAsACAAXAAiAFwAIgA7AFwAbgAgACAAIAAgACAAIAAgACAAXAAiAEgARgBDAC0ANAAxACAAKABSAC0ANAAxACkAXAAiACwAIABcACIAQwBIADMARgBcACIALAAgACAAMQAxADYALAAgAFwAIgBIAEYAQwAtADQAMQBcACIALAAgAFwAIgBcACIAOwBcAG4AIAAgACAAIAAgACAAIAAgAFwAIgBIAEYAQwAtADQAMwAtADEAMABtAGUAZQAgACgAUgAtADQAMwAxADAAbQBlAGUAKQBcACIALAAgAFwAIgBDADUASAAyAEYAMQAwAFwAIgAsACAAMQA2ADUAMAAsACAAXAAiAEgARgBDAC0ANAAzAC0AMQAwAG0AZQBlAFwAIgAsACAAXAAiAFwAIgA7AFwAbgAgACAAIAAgACAAIAAgACAAXAAiAEgARgBDAC0AMQAyADUAIAAoAFIALQAxADIANQApAFwAIgAsACAAXAAiAEMAMgBIAEYANQBcACIALAAgACAAMwAxADcAMAAsACAAXAAiAEgARgBDAC0AMQAyADUAXAAiACwAIABcACIAXAAiADsAXABuACAAIAAgACAAIAAgACAAIABcACIASABGAEMALQAxADMANAAgACgAUgAtADEAMwA0ACkAXAAiACwAIABcACIAQwAyAEgAMgBGADQAIAAoAEMASABGADIAQwBIAEYAMgApAFwAIgAsACAAIAAxADEAMgAwACwAIABcACIASABGAEMALQAxADMANABcACIALAAgAFwAIgBcACIAOwBcAG4AIAAgACAAIAAgACAAIAAgAFwAIgBIAEYAQwAtADEAMwA0AGEAIAAoAFIALQAxADMANABhACkAXAAiACwAIABcACIAQwAyAEgAMgBGADQAIAAoAEMASAAyAEYAQwBGADMAKQBcACIALAAgADEAMwAwADAALAAgAFwAIgBIAEYAQwAtADEAMwA0AGEAXAAiACwAIABcACIAXAAiADsAXABuACAAIAAgACAAIAAgACAAIABcACIASABGAEMALQAxADQAMwAgACgAUgAtADEANAAzACkAXAAiACwAIABcACIAQwAyAEgAMwBGADMAIAAoAEMASABGADIAQwBIADIARgApAFwAIgAsACAAMwAyADgALAAgAFwAIgBIAEYAQwAtADEANAAzAFwAIgAsACAAXAAiAFwAIgA7AFwAbgAgACAAIAAgACAAIAAgACAAXAAiAEgARgBDAC0AMQA0ADMAYQAgACgAUgAtADEANAAzAGEAKQBcACIALAAgAFwAIgBDADIASAAzAEYAMwAgACgAQwBGADMAQwBIADMAKQBcACIALAAgADQAOAAwADAALAAgAFwAIgBIAEYAQwAtADEANAAzAGEAXAAiACwAIABcACIAXAAiADsAXABuACAAIAAgACAAIAAgACAAIABcACIASABGAEMALQAxADUAMgBhACAAKABSAC0AMQA1ADIAYQApAFwAIgAsACAAXAAiAEMAMgBIADQARgAyACAAKABDAEgAMwBDAEgARgAyACkAXAAiACwAIAAxADMAOAAsACAAXAAiAEgARgBDAC0AMQA1ADIAYQBcACIALAAgAFwAIgBcACIAOwBcAG4AIAAgACAAIAAgACAAIAAgAFwAIgBIAEYAQwAtADIAMgA3AGUAYQAgACgAUgAtADIAMgA3AGUAYQApAFwAIgAsACAAXAAiAEMAMwBIAEYANwBcACIALAAgADMAMwA1ADAALAAgAFwAIgBIAEYAQwAtADIAMgA3AGUAYQBcACIALAAgAFwAIgBcACIAOwBcAG4AIAAgACAAIAAgACAAIAAgAFwAIgBIAEYAQwAtADIAMwA2AGYAYQAgACgAUgAtADIAMwA2AGYAYQApAFwAIgAsACAAXAAiAEMAMwBIADIARgA2AFwAIgAsACAAOAAwADYAMAAsACAAXAAiAEgARgBDAC0AMgAzADYAZgBhAFwAIgAsACAAXAAiAFwAIgA7AFwAbgAgACAAIAAgACAAIAAgACAAXAAiAEgARgBDAC0AMgA0ADUAYwBhACAAKABSAC0AMgA0ADUAYwBhACkAXAAiACwAIABcACIAQwAzAEgAMwBGADUAXAAiACwAIAA3ADEANgAsACAAXAAiAEgARgBDAC0AMgA0ADUAYwBhAFwAIgAsACAAXAAiAFwAIgA7AFwAbgAgACAAIAAgACAAIAAgACAAXAAiAEgARgBDAC0AMgA0ADUAZgBhACAAKABSAC0AMgA0ADUAZgBhACkAXAAiACwAIABcACIAQwBIAEYAMgBDAEgAMgBDAEYAMwBcACIALAAgADgANQA4ACwAIABcACIASABGAEMALQAyADQANQBmAGEAXAAiACwAIABcACIAXAAiADsAXABuACAAIAAgACAAIAAgACAAIABcACIASABGAEMALQAzADYANQBtAGYAYwAgACgAUgAtADMANgA1AG0AZgBjACkAXAAiACwAIABcACIAQwBIADMAQwBGADIAQwBIADIAQwBGADMAXAAiACwAIAA4ADAANAAsACAAXAAiAEgARgBDAC0AMwA2ADUAbQBmAGMAXAAiACwAIABcACIAXAAiADsAXABuACAAIAAgACAAIAAgACAAIABcACIASABDAEYAQwAtADIAMgAgACgAUgAtADIAMgApAFwAIgAsACAAXAAiAEMASABDAGwARgAyAFwAIgAsACAAMQA3ADYAMAAsACAAXAAiAEgAQwBGAEMALQAyADIAXAAiACwAIABcACIAXAAiADsAXABuACAAIAAgACAAIAAgACAAIABcACIASABDAEYAQwAtADEAMgAzACAAKABSAC0AMQAyADMAKQBcACIALAAgAFwAIgBDAEgAQwBsADIAMgBDAEYAMwBcACIALAAgADcAOQAsACAAXAAiAEgAQwBGAEMALQAxADIAMwBcACIALAAgAFwAIgBcACIAOwBcAG4AIAAgACAAIAAgACAAIAAgAFwAIgBIAEMARgBDAC0AMQAyADQAIAAoAFIALQAxADIANAApAFwAIgAsACAAXAAiAEMASABDAGwARgBDAEYAMwBcACIALAAgADUAMgA3ACwAIABcACIASABDAEYAQwAtADEAMgA0AFwAIgAsACAAXAAiAFwAIgA7AFwAbgAgACAAIAAgACAAIAAgACAAXAAiAEgAQwBGAEMALQAxADQAMQBiACAAKABSAC0AMQA0ADEAYgApAFwAIgAsACAAXAAiAEMASAAzAEMAQwBsADIARgBcACIALAAgADcAOAAyACwAIABcACIASABDAEYAQwAtADEANAAxAGIAXAAiACwAIABcACIAXAAiADsAXABuACAAIAAgACAAIAAgACAAIABcACIASABDAEYAQwAtADEANAAyAGIAIAAoAFIALQAxADQAMgBiACkAXAAiACwAIABcACIAQwBIADIAQwBDAGwARgAyAFwAIgAsACAAMQA5ADgAMAAsACAAXAAiAEgAQwBGAEMALQAxADQAMgBiAFwAIgAsACAAXAAiAFwAIgA7AFwAbgAgACAAIAAgACAAIAAgACAAXAAiAEgAQwBGAEMALQAyADIANQBjAGEAIAAoAFIALQAyADIANQBjAGEAKQBcACIALAAgAFwAIgBDAEgAQwBsADIAQwBGADIAQwBGADMAXAAiACwAIAAxADIANwAsACAAXAAiAEgAQwBGAEMALQAyADIANQBjAGEAXAAiACwAIABcACIAXAAiADsAXABuACAAIAAgACAAIAAgACAAIABcACIASABDAEYAQwAtADIAMgA1AGMAYgAgACgAUgAtADIAMgA1AGMAYgApAFwAIgAsACAAXAAiAEMASABDAGwARgBDAEYAMgBDAEMASQBGADIAXAAiACwAIAA1ADIANQAsACAAXAAiAEgAQwBGAEMALQAyADIANQBjAGIAXAAiACwAIABcACIAXAAiADsAXABuACAAIAAgACAAIAAgACAAIABcACIAUABGAEMALQAxADQAIABQAGUAcgBmAGwAdQBvAHIAbwBtAGUAdABoAGEAbgBlACAAKAB0AGUAdAByAGEAZgBsAHUAbwByAG8AbQBlAHQAaABhAG4AZQApAFwAIgAsACAAXAAiAEMARgA0AFwAIgAsACAANgA2ADMAMAAsACAAXAAiAFAARgBDAC0AMQA0AFwAIgAsACAAXAAiAFwAIgA7AFwAbgAgACAAIAAgACAAIAAgACAAXAAiAFAARgBDAC0AMQAxADYAIABQAGUAcgBmAGwAdQBvAHIAbwBlAHQAaABhAG4AZQAgACgAaABlAHgAYQBmAGwAdQBvAHIAbwBlAHQAaABhAG4AZQApAFwAIgAsACAAXAAiAEMAMgBGADYAXAAiACwAIAAxADEAMQAwADAALAAgAFwAIgBQAEYAQwAtADEAMQA2AFwAIgAsACAAXAAiAFwAIgA7AFwAbgAgACAAIAAgACAAIAAgACAAXAAiAFAARgBDAC0AMgAxADgAIABQAGUAcgBmAGwAdQBvAHIAbwBwAHIAbwBwAGEAbgBlAFwAIgAsACAAXAAiAEMAMwBGADgAXAAiACwAIAA4ADkAMAAwACwAIABcACIAUABGAEMALQAyADEAOABcACIALAAgAFwAIgBcACIAOwBcAG4AIAAgACAAIAAgACAAIAAgAFwAIgBQAEYAQwAtADMAMQAtADEAMAAgAFAAZQByAGYAbAB1AG8AcgBvAGIAdQB0AGEAbgBlAFwAIgAsACAAXAAiAEMANABGADEAMABcACIALAAgADkAMgAwADAALAAgAFwAIgBQAEYAQwAtADMAMQAtADEAMABcACIALAAgAFwAIgBcACIAOwBcAG4AIAAgACAAIAAgACAAIAAgAFwAIgBQAEYAQwAtADMAMQA4ACAAUABlAHIAZgBsAHUAbwByAG8AYwB5AGMAbABvAGIAdQB0AGEAbgBlAFwAIgAsACAAXAAiAGMALQBDADQARgA4AFwAIgAsACAAOQA1ADQAMAAsACAAXAAiAFAARgBDAC0AMwAxADgAXAAiACwAIABcACIAXAAiADsAXABuACAAIAAgACAAIAAgACAAIABcACIAUABGAEMALQA0ADEALQAxADIAIABQAGUAcgBmAGwAdQBvAHIAbwBwAGUAbgB0AGEAbgBlAFwAIgAsACAAXAAiAEMANQBGADEAMgBcACIALAAgADgANQA1ADAALAAgAFwAIgBQAEYAQwAtADQAMQAtADEAMgBcACIALAAgAFwAIgBcACIAOwBcAG4AIAAgACAAIAAgACAAIAAgAFwAIgBQAEYAQwAtADUAMQAtADEANAAgAFAAZQByAGYAbAB1AG8AcgBvAGgAZQB4AGEAbgBlAFwAIgAsACAAXAAiAEMANgBGADEANABcACIALAAgADcAOQAxADAALAAgAFwAIgBQAEYAQwAtADUAMQAtADEANABcACIALAAgAFwAIgBcACIAOwBcAG4AIAAgACAAIAAgACAAIAAgAFwAIgBQAEYAQwAtADkAMQAtADEAOAAgAFAAZQByAGYAbAB1AG4AYQBmAGUAbgBlAFwAIgAsACAAXAAiAEMAMQAwAEYAMQA4AFwAIgAsACAANwAxADkAMAAsACAAXAAiAFAARgBDAC0AOQAxAC0AMQA4AFwAIgAsACAAXAAiAFwAIgA7AFwAbgAgACAAIAAgACAAIAAgACAAXAAiAEMARgBDAC0AMQAyAFwAIgAsACAAXAAiAEMAQwBsADIARgAyAFwAIgAsACAAMQAwADIAMAAwACwAIABcACIAQwBGAEMALQAxADIAXAAiACwAIABcACIASQBQAEMAQwAgAEcAbABvAGIAYQBsACAAVwBhAHIAbQBpAG4AZwAgAFAAbwB0AGUAbgB0AGkAYQBsACAAVgBhAGwAdQBlAHMAIAB2ADIALgAwACAALQAgACgAQQBSADUAKQBcACIAOwBcAG4AIAAgACAAIAAgACAAIAAgAFwAIgBDAEYAQwAtADEAMwBcACIALAAgAFwAIgBDAEMAbABGADMAXAAiACwAIAAxADMAOQAwADAALAAgAFwAIgBDAEYAQwAtADEAMwBcACIALAAgAFwAIgBJAFAAQwBDACAARwBsAG8AYgBhAGwAIABXAGEAcgBtAGkAbgBnACAAUABvAHQAZQBuAHQAaQBhAGwAIABWAGEAbAB1AGUAcwAgAHYAMgAuADAAIAAtACAAKABBAFIANQApAFwAIgA7AFwAbgAgACAAIAAgACAAIAAgACAAXAAiAEMARgBDAC0AMQAxADQAXAAiACwAIABcACIAQwBDAGwARgAyAEMAQwBsAEYAMgBcACIALAAgADgANQA5ADAALAAgAFwAIgBDAEYAQwAtADEAMQA0AFwAIgAsACAAXAAiAEkAUABDAEMAIABHAGwAbwBiAGEAbAAgAFcAYQByAG0AaQBuAGcAIABQAG8AdABlAG4AdABpAGEAbAAgAFYAYQBsAHUAZQBzACAAdgAyAC4AMAAgAC0AIAAoAEEAUgA1ACkAXAAiADsAXABuACAAIAAgACAAIAAgACAAIABcACIAQwBGAEMALQAxADEANQBcACIALAAgAFwAIgBDAEMAbABGADIAQwBGADMAXAAiACwAIAA3ADYANwAwACwAIABcACIAQwBGAEMALQAxADEANQBcACIALAAgAFwAIgBJAFAAQwBDACAARwBsAG8AYgBhAGwAIABXAGEAcgBtAGkAbgBnACAAUABvAHQAZQBuAHQAaQBhAGwAIABWAGEAbAB1AGUAcwAgAHYAMgAuADAAIAAtACAAKABBAFIANQApAFwAIgBcAG4AIAAgACAAIAAgACAAfQAsACAAcgAsACAAYwApAFwAbgApACkAKQA7AFwAbgBcAG4AUgBlAGYAcgBpAGcAZQByAGEAbgB0AHMAXwBDAGgAZQBtAGkAYwBhAGwARwBXAFAAXwBWAGEAcgBpAGEAdABpAG8AbgBcAG4APQBMAEEATQBCAEQAQQAoACgAXAAiAFYAQQBSAEkAQQBUAEkATwBOACAATwBGACAAUwBPAFUAUgBDAEUAIABEAEEAVABBADoAIABBAGQAZABlAGQAIABcAHUAMAAwADIANwBHAEEAUwAgAC0AIABGAEMAIABuAGEAbQBlAFwAdQAwADAAMgA3ACAAYwBvAGwAdQBtAG4AIAB3AGkAdABoACAAdAByAHUAbgBjAGEAdABlAGQAIABnAGEAcwAgAG4AYQBtAGUAIAB0AG8AIABhAGwAbABvAHcAIABtAGEAdABjAGgAaQBuAGcAIAB3AGkAdABoACAAbwB0AGgAZQByACAAdABhAGIAbABlAHMALgAgAEEAZABkAGUAZAAgAGUAeAB0AHIAYQAgAGcAYQBzAGUAcwAgAGYAcgBvAG0AIABJAFAAQwBDACAARwBsAG8AYgBhAGwAIABXAGEAcgBtAGkAbgBnACAAUABvAHQAZQBuAHQAaQBhAGwAIABWAGEAbAB1AGUAcwAgAHYAMgAuADAAIAAtACAAKABBAFIANQApAC4AIABBAGQAZABlAGQAIABcAHUAMAAwADIANwBBAGQAZABpAHQAaQBvAG4AYQBsACAAZABhAHQAYQAgAHMAbwB1AHIAYwBlAFwAdQAwADAAMgA3ACAAYwBvAGwAdQBtAG4ALgBcACIAKQApADsAXABuAFwAb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CAGwAZQBuAGQAZQBkACAAcgBlAGYAcgBpAGcAZQByAGEAbgB0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IAbABlAG4AZABzAF8AVABpAHQAbABlAFwAbgA9AEwAQQBNAEIARABBACgAKABcACIAQgBsAGUAbgBkAGUAZAAgAHIAZQBmAHIAaQBnAGUAcgBhAG4AdABzACAAKABtAGEAbgB5ACAAYwBvAG4AdABhAGkAbgBpAG4AZwAgAEgARgBDAFMAIABhAG4AZAAvAG8AcgAgAFAARgBDAFMAKQBcACIAKQApADsAXABuAFwAbgBSAGUAZgByAGkAZwBlAHIAYQBuAHQAcwBfAEMAaABlAG0AaQBjAGEAbABCAGwAZQBuAGQAcwBfAEQAZQBzAGMAcgBpAHAAdABpAG8AbgBcAG4APQBMAEEATQBCAEQAQQAoACgAXAAiAFwAIgApACkAOwBcAG4AXABuAFIAZQBmAHIAaQBnAGUAcgBhAG4AdABzAF8AQwBoAGUAbQBpAGMAYQBsAEIAbABlAG4AZABzAF8AUwBvAHUAcgBjAGUAXABuAD0ATABBAE0AQgBEAEEAKAAoAFwAIgBBAHUAcwB0AHIAYQBsAGkAYQBuACAATgBhAHQAaQBvAG4AYQBsACAARwByAGUAZQBuAGgAbwB1AHMAZQAgAEEAYwBjAG8AdQBuAHQAcwAgAEYAYQBjAHQAbwByAHMAIAAyADAAMgA1ACAALQAgAEEAcABwAGUAbgBkAGkAeAAgADIAIAAtACAAVABhAGIAbABlACAAMgA0AFwAIgApACkAOwBcAG4AXABuAFIAZQBmAHIAaQBnAGUAcgBhAG4AdABzAF8AQwBoAGUAbQBpAGMAYQBsAEIAbABlAG4AZABzAF8ARABhAHQAYQBcAG4APQBMAEEATQBCAEQAQQAoAFwAbgAgACAATQBBAEsARQBBAFIAUgBBAFkAKAA1ADEALAAgADMALABcAG4AIAAgACAAIABMAEEATQBCAEQAQQAoAHIALABjACwAXABuACAAIAAgACAAIAAgAEkATgBEAEUAWAAoAHsAXABuACAAIAAgACAAIAAgACAAIABcACIAQgBsAGUAbgBkAFwAIgAsACAAXAAiAEMAbwBuAHMAdABpAHQAdQBlAG4AdABzAFwAIgAsACAAXAAiAEMAbwBtAHAAbwBzAGkAdABpAG8AbgAgACgAJQApAFwAIgA7AFwAbgAgACAAIAAgACAAIAAgACAAXAAiAFIALQA0ADAAMABcACIALAAgAFwAIgBDAEYAQwAtADEAMgAvAEMARgBDAC0AMQAxADQAXAAiACwAIABcACIAUgAtADQAMAAwACAAYwBhAG4AIABoAGEAdgBlACAAdgBhAHIAaQBvAHUAcwAgAHAAcgBvAHAAbwByAHQAaQBvAG4AcwAgAG8AZgAgAEMARgBDAC0AMQAyACAAYQBuAGQAIABDAEYAQwAtADEAMQA0AC4AIABUAGgAZQAgAGUAeABhAGMAdAAgAGMAbwBtAHAAbwBzAGkAdABpAG8AbgAgAG4AZQBlAGQAcwAgAHQAbwAgAGIAZQAgAHMAcABlAGMAaQBmAGkAZQBkACwAIABlAC4AZwAuACwAIABSAC0ANAAwADAAIAAoADYAMAAvADQAMAApAC4AXAAiADsAXABuACAAIAAgACAAIAAgACAAIABcACIAUgAtADQAMAAxAEEAXAAiACwAIABcACIASABDAEYAQwAtADIAMgAvAEgARgBDAC0AMQA1ADIAYQAvAEgAQwBGAEMALQAxADIANABcACIALAAgAFwAIgAoADUAMwAuADAALwAxADMALgAwAC8AMwA0AC4AMAApAFwAIgA7AFwAbgAgACAAIAAgACAAIAAgACAAXAAiAFIALQA0ADAAMQBCAFwAIgAsACAAXAAiAEgAQwBGAEMALQAyADIALwBIAEYAQwAtADEANQAyAGEALwBIAEMARgBDAC0AMQAyADQAXAAiACwAIABcACIAKAA2ADEALgAwAC8AMQAxAC4AMAAvADIAOAAuADAAKQBcACIAOwBcAG4AIAAgACAAIAAgACAAIAAgAFwAIgBSAC0ANAAwADEAQwBcACIALAAgAFwAIgBIAEMARgBDAC0AMgAyAC8ASABGAEMALQAxADUAMgBhAC8ASABDAEYAQwAtADEAMgA0AFwAIgAsACAAXAAiACgAMwAzAC4AMAAvADEANQAuADAALwA1ADIALgAwACkAXAAiADsAXABuACAAIAAgACAAIAAgACAAIABcACIAUgAtADQAMAAyAEEAXAAiACwAIABcACIASABGAEMALQAxADIANQAvAEgAQwAtADIAOQAwAC8ASABDAEYAQwAtADIAMgBcACIALAAgAFwAIgAoADYAMAAuADAALwAyAC4AMAAvADMAOAAuADAAKQBcACIAOwBcAG4AIAAgACAAIAAgACAAIAAgAFwAIgBSAC0ANAAwADIAQgBcACIALAAgAFwAIgBIAEYAQwAtADEAMgA1AC8ASABDAC0AMgA5ADAALwBIAEMARgBDAC0AMgAyAFwAIgAsACAAXAAiACgAMwA4AC4AMAAvADIALgAwAC8ANgAwAC4AMAApAFwAIgA7AFwAbgAgACAAIAAgACAAIAAgACAAXAAiAFIALQA0ADAAMwBBAFwAIgAsACAAXAAiAEgAQwAtADIAOQAwAC8ASABDAEYAQwAtADIAMgAvAFAARgBDAC0AMgAxADgAXAAiACwAIABcACIAKAA1AC4AMAAvADcANQAuADAALwAyADAALgAwACkAXAAiADsAXABuACAAIAAgACAAIAAgACAAIABcACIAUgAtADQAMAAzAEIAXAAiACwAIABcACIASABDAC0AMgA5ADAALwBIAEMARgBDAC0AMgAyAC8AUABGAEMALQAyADEAOABcACIALAAgAFwAIgAoADUALgAwAC8ANQA2AC4AMAAvADMAOQAuADAAKQBcACIAOwBcAG4AIAAgACAAIAAgACAAIAAgAFwAIgBSAC0ANAAwADQAQQBcACIALAAgAFwAIgBIAEYAQwAtADEAMgA1AC8ASABGAEMALQAxADQAMwBhAC8ASABGAEMALQAxADMANABhAFwAIgAsACAAXAAiACgANAA0AC4AMAAvADUAMgAuADAALwA0AC4AMAApAFwAIgA7AFwAbgAgACAAIAAgACAAIAAgACAAXAAiAFIALQA0ADAANQBBAFwAIgAsACAAXAAiAEgAQwBGAEMALQAyADIALwAgAEgARgBDAC0AMQA1ADIAYQAvAEgAQwBGAEMALQAxADQAMgBiAC8AUABGAEMALQAzADEAOABcACIALAAgAFwAIgAoADQANQAuADAALwA3AC4AMAAvADUALgA1AC8ANAAyAC4ANQApAFwAIgA7AFwAbgAgACAAIAAgACAAIAAgACAAXAAiAFIALQA0ADAANgBBAFwAIgAsACAAXAAiAEgAQwBGAEMALQAyADIALwBIAEMALQA2ADAAMABhAC8ASABDAEYAQwAtADEANAAyAGIAXAAiACwAIABcACIAKAA1ADUALgAwAC8AMQA0AC4AMAAvADQAMQAuADAAKQBcACIAOwBcAG4AIAAgACAAIAAgACAAIAAgAFwAIgBSAC0ANAAwADcAQQBcACIALAAgAFwAIgBIAEYAQwAtADMAMgAvAEgARgBDAC0AMQAyADUALwBIAEYAQwAtADEAMwA0AGEAXAAiACwAIABcACIAKAAyADAALgAwAC8ANAAwAC4AMAAvADQAMAAuADAAKQBcACIAOwBcAG4AIAAgACAAIAAgACAAIAAgAFwAIgBSAC0ANAAwADcAQgBcACIALAAgAFwAIgBIAEYAQwAtADMAMgAvAEgARgBDAC0AMQAyADUALwBIAEYAQwAtADEAMwA0AGEAXAAiACwAIABcACIAKAAxADAALgAwAC8ANwAwAC4AMAAvADIAMAAuADAAKQBcACIAOwBcAG4AIAAgACAAIAAgACAAIAAgAFwAIgBSAC0ANAAwADcAQwBcACIALAAgAFwAIgBIAEYAQwAtADMAMgAvAEgARgBDAC0AMQAyADUALwBIAEYAQwAtADEAMwA0AGEAXAAiACwAIABcACIAKAAyADMALgAwAC8AMgA1AC4AMAAvADUAMgAuADAAKQBcACIAOwBcAG4AIAAgACAAIAAgACAAIAAgAFwAIgBSAC0ANAAwADcARABcACIALAAgAFwAIgBIAEYAQwAtADMAMgAvAEgARgBDAC0AMQAyADUALwBIAEYAQwAtADEAMwA0AGEAXAAiACwAIABcACIAKAAxADUALgAwAC8AMQA1AC4AMAAvADcAMAAuADAAKQBcACIAOwBcAG4AIAAgACAAIAAgACAAIAAgAFwAIgBSAC0ANAAwADcARQBcACIALAAgAFwAIgBIAEYAQwAtADMAMgAvAEgARgBDAC0AMQAyADUALwBIAEYAQwAtADEAMwA0AGEAXAAiACwAIABcACIAKAAyADUALgAwAC8AMQA1AC4AMAAvADYAMAAuADAAKQBcACIAOwBcAG4AIAAgACAAIAAgACAAIAAgAFwAIgBSAC0ANAAwADgAQQBcACIALAAgAFwAIgBIAEYAQwAtADEAMgA1AC8ASABGAEMALQAxADQAMwBhAC8ASABDAEYAQwAtADIAMgBcACIALAAgAFwAIgAoADcALgAwAC8ANAA2AC4AMAAvADQANwAuADAAKQBcACIAOwBcAG4AIAAgACAAIAAgACAAIAAgAFwAIgBSAC0ANAAwADkAQQBcACIALAAgAFwAIgBIAEMARgBDAC0AMgAyAC8ASABDAEYAQwAtADEAMgA0AC8ASABDAEYAQwAtADEANAAyAGIAXAAiACwAIABcACIAKAA2ADAALgAwAC8AMgA1AC4AMAAvADEANQAuADAAKQBcACIAOwBcAG4AIAAgACAAIAAgACAAIAAgAFwAIgBSAC0ANAAwADkAQgBcACIALAAgAFwAIgBIAEMARgBDAC0AMgAyAC8ASABDAEYAQwAtADEAMgA0AC8ASABDAEYAQwAtADEANAAyAGIAXAAiACwAIABcACIAKAA2ADUALgAwAC8AMgA1AC4AMAAvADEAMAAuADAAKQBcACIAOwBcAG4AIAAgACAAIAAgACAAIAAgAFwAIgBSAC0ANAAxADAAQQBcACIALAAgAFwAIgBIAEYAQwAtADMAMgAvAEgARgBDAC0AMQAyADUAXAAiACwAIABcACIAKAA1ADAALgAwAC8ANQAwAC4AMAApAFwAIgA7AFwAbgAgACAAIAAgACAAIAAgACAAXAAiAFIALQA0ADEAMABCAFwAIgAsACAAXAAiAEgARgBDAC0AMwAyAC8ASABGAEMALQAxADIANQBcACIALAAgAFwAIgAoADQANQAuADAALwA1ADUALgAwACkAXAAiADsAXABuACAAIAAgACAAIAAgACAAIABcACIAUgAtADQAMQAxAEEAXAAiACwAIABcACIASABDAC0AMQAyADcAMAAvAEgAQwBGAEMALQAyADIALwBIAEYAQwAtADEANQAyAGEAXAAiACwAIABcACIAKAAxAC4ANQAvADgANwAuADUALwAxADEALgAwACkAXAAiADsAXABuACAAIAAgACAAIAAgACAAIABcACIAUgAtADQAMQAxAEIAXAAiACwAIABcACIASABDAC0AMQAyADcAMAAvAEgAQwBGAEMALQAyADIALwBIAEYAQwAtADEANQAyAGEAXAAiACwAIABcACIAKAAzAC4AMAAvADkANAAuADAALwAzAC4AMAApAFwAIgA7AFwAbgAgACAAIAAgACAAIAAgACAAXAAiAFIALQA0ADEAMQBDAFwAIgAsACAAXAAiAEgAQwAtADEAMgA3ADAALwBIAEMARgBDAC0AMgAyAC8ASABGAEMALQAxADUAMgBhAFwAIgAsACAAXAAiACgAMwAuADAALwA5ADUALgA1AC8AMQAuADUAKQBcACIAOwBcAG4AIAAgACAAIAAgACAAIAAgAFwAIgBSAC0ANAAxADIAQQBcACIALAAgAFwAIgBIAEMARgBDAC0AMgAyAC8AUABGAEMALQAyADEAOAAvAEgAQwBGAEMALQAxADQAMgBiAFwAIgAsACAAXAAiACgANwAwAC4AMAAvADUALgAwAC8AMgA1AC4AMAApAFwAIgA7AFwAbgAgACAAIAAgACAAIAAgACAAXAAiAFIALQA0ADEAMwBBAFwAIgAsACAAXAAiAFAARgBDAC0AMgAxADgALwBIAEYAQwAtADEAMwA0AGEALwBIAEMALQA2ADAAMABhAFwAIgAsACAAXAAiACgAOQAuADAALwA4ADgALgAwAC8AMwAuADAAKQBcACIAOwBcAG4AIAAgACAAIAAgACAAIAAgAFwAIgBSAC0ANAAxADQAQQBcACIALAAgAFwAIgBIAEMARgBDAC0AMgAyAC8ASABDAEYAQwAtADEAMgA0AC8ASABDAC0ANgAwADAAYQAvAEgAQwBGAEMALQAxADQAMgBiAFwAIgAsACAAXAAiACgANQAxAC4AMAAvADIAOAAuADUALwA0AC4AMAAvADEANgAuADUAKQBcACIAOwBcAG4AIAAgACAAIAAgACAAIAAgAFwAIgBSAC0ANAAxADQAQgBcACIALAAgAFwAIgBIAEMARgBDAC0AMgAyAC8ASABDAEYAQwAtADEAMgA0AC8ASABDAC0ANgAwADAAYQAvAEgAQwBGAEMALQAxADQAMgBiAFwAIgAsACAAXAAiACgANQAwAC4AMAAvADMAOQAuADAALwAxAC4ANQAvADkALgA1ACkAXAAiADsAXABuACAAIAAgACAAIAAgACAAIABcACIAUgAtADQAMQA1AEEAXAAiACwAIABcACIASABDAEYAQwAtADIAMgAvAEgARgBDAC0AMQA1ADIAYQBcACIALAAgAFwAIgAoADgAMgAuADAALwAxADgALgAwACkAXAAiADsAXABuACAAIAAgACAAIAAgACAAIABcACIAUgAtADQAMQA1AEIAXAAiACwAIABcACIASABDAEYAQwAtADIAMgAvAEgARgBDAC0AMQA1ADIAYQBcACIALAAgAFwAIgAoADIANQAuADAALwA3ADUALgAwACkAXAAiADsAXABuACAAIAAgACAAIAAgACAAIABcACIAUgAtADQAMQA2AEEAXAAiACwAIABcACIASABGAEMALQAxADMANABhAC8ASABDAEYAQwAtADEAMgA0AC8ASABDAC0ANgAwADAAXAAiACwAIABcACIAKAA1ADkALgAwAC8AMwA5AC4ANQAvADEALgA1ACkAXAAiADsAXABuACAAIAAgACAAIAAgACAAIABcACIAUgAtADQAMQA3AEEAXAAiACwAIABcACIASABGAEMALQAxADIANQAvAEgARgBDAC0AMQAzADQAYQAvAEgAQwAtADYAMAAwAFwAIgAsACAAXAAiACgANAA2AC4ANgAvADUAMAAuADAALwAzAC4ANAApAFwAIgA7AFwAbgAgACAAIAAgACAAIAAgACAAXAAiAFIALQA0ADEAOABBAFwAIgAsACAAXAAiAEgAQwAtADIAOQAwAC8ASABDAEYAQwAtADIAMgAvAEgARgBDAC0AMQA1ADIAYQBcACIALAAgAFwAIgAoADEALgA1AC8AOQA2AC4AMAAvADIALgA1ACkAXAAiADsAXABuACAAIAAgACAAIAAgACAAIABcACIAUgAtADQAMQA5AEEAXAAiACwAIABcACIASABGAEMALQAxADIANQAvAEgARgBDAC0AMQAzADQAYQAvAEgARQAtAEUAMQA3ADAAXAAiACwAIABcACIAKAA3ADcALgAwAC8AMQA5AC4AMAAvADQALgAwACkAXAAiADsAXABuACAAIAAgACAAIAAgACAAIABcACIAUgAtADQAMgAwAEEAXAAiACwAIABcACIASABGAEMALQAxADMANABhAC8ASABDAEYAQwAtADEANAAyAGIAXAAiACwAIABcACIAKAA4ADgALgAwAC8AMQAyAC4AMAApAFwAIgA7AFwAbgAgACAAIAAgACAAIAAgACAAXAAiAFIALQA0ADIAMQBBAFwAIgAsACAAXAAiAEgARgBDAC0AMQAyADUALwBIAEYAQwAtADEAMwA0AGEAXAAiACwAIABcACIAKAA1ADgALgAwAC8ANAAyAC4AMAApAFwAIgA7AFwAbgAgACAAIAAgACAAIAAgACAAXAAiAFIALQA0ADIAMgBBAFwAIgAsACAAXAAiAEgARgBDAC0AMQAyADUALwBIAEYAQwAtADEAMwA0AGEALwBIAEMALQA2ADAAMABhAFwAIgAsACAAXAAiACgAOAA1AC4AMQAvADEAMQAuADUALwAzAC4ANAApAFwAIgA7AFwAbgAgACAAIAAgACAAIAAgACAAXAAiAFIALQA0ADIAMgBCAFwAIgAsACAAXAAiAEgARgBDAC0AMQAyADUALwBIAEYAQwAtADEAMwA0AGEALwBIAEMALQA2ADAAMABhAFwAIgAsACAAXAAiACgANQA1AC4AMAAvADQAMgAuADAALwAzAC4AMAApAFwAIgA7AFwAbgAgACAAIAAgACAAIAAgACAAXAAiAFIALQA0ADIAMgBDAFwAIgAsACAAXAAiAEgARgBDAC0AMQAyADUALwBIAEYAQwAtADEAMwA0AGEALwBIAEMALQA2ADAAMABhAFwAIgAsACAAXAAiACgAOAAyAC4AMAAvADEANQAuADAALwAzAC4AMAApAFwAIgA7AFwAbgAgACAAIAAgACAAIAAgACAAXAAiAFIALQA1ADAAMABcACIALAAgAFwAIgBDAEYAQwAtADEAMgAvAEgARgBDAC0AMQA1ADIAYQBcACIALAAgAFwAIgAoADcAMwAuADgALwAyADYALgAyACkAXAAiADsAXABuACAAIAAgACAAIAAgACAAIABcACIAUgAtADUAMAAxAFwAIgAsACAAXAAiAEgAQwBGAEMALQAyADIALwBDAEYAQwAtADEAMgBcACIALAAgAFwAIgAoADcANQAuADAALwAyADUALgAwACkAXAAiADsAXABuACAAIAAgACAAIAAgACAAIABcACIAUgAtADUAMAAyAFwAIgAsACAAXAAiAEgAQwBGAEMALQAyADIALwBDAEYAQwAtADEAMQA1AFwAIgAsACAAXAAiACgANAA4AC4AOAAvADUAMQAuADIAKQBcACIAOwBcAG4AIAAgACAAIAAgACAAIAAgAFwAIgBSAC0ANQAwADMAXAAiACwAIABcACIASABGAEMALQAyADMALwBDAEYAQwAtADEAMwBcACIALAAgAFwAIgAoADQAMAAuADEALwA1ADkALgA5ACkAXAAiADsAXABuACAAIAAgACAAIAAgACAAIABcACIAUgAtADUAMAA0AFwAIgAsACAAXAAiAEgARgBDAC0AMwAyAC8AQwBGAEMALQAxADEANQBcACIALAAgAFwAIgAoADQAOAAuADIALwA1ADEALgA4ACkAXAAiADsAXABuACAAIAAgACAAIAAgACAAIABcACIAUgAtADUAMAA1AFwAIgAsACAAXAAiAEMARgBDAC0AMQAyAC8ASABDAEYAQwAtADMAMQBcACIALAAgAFwAIgAoADcAOAAuADAALwAyADIALgAwACkAXAAiADsAXABuACAAIAAgACAAIAAgACAAIABcACIAUgAtADUAMAA2AFwAIgAsACAAXAAiAEMARgBDAC0AMwAxAC8AQwBGAEMALQAxADEANABcACIALAAgAFwAIgAoADUANQAuADEALwA0ADQALgA5ACkAXAAiADsAXABuACAAIAAgACAAIAAgACAAIABcACIAUgAtADUAMAA3AEEAXAAiACwAIABcACIASABGAEMALQAxADIANQAvAEgARgBDAC0AMQA0ADMAYQBcACIALAAgAFwAIgAoADUAMAAuADAALwA1ADAALgAwACkAXAAiADsAXABuACAAIAAgACAAIAAgACAAIABcACIAUgAtADUAMAA4AEEAXAAiACwAIABcACIASABGAEMALQAyADMALwBQAEYAQwAtADEAMQA2AFwAIgAsACAAXAAiACgAMwA5AC4AMAAvADYAMQAuADAAKQBcACIAOwBcAG4AIAAgACAAIAAgACAAIAAgAFwAIgBSAC0ANQAwADgAQgBcACIALAAgAFwAIgBIAEYAQwAtADIAMwAvAFAARgBDAC0AMQAxADYAXAAiACwAIABcACIAKAA0ADYALgAwAC8ANQA0AC4AMAApAFwAIgA7AFwAbgAgACAAIAAgACAAIAAgACAAXAAiAFIALQA1ADAAOQBBAFwAIgAsACAAXAAiAEgAQwBGAEMALQAyADIALwBQAEYAQwAtADIAMQA4AFwAIgAsACAAXAAiACgANAA0AC4AMAAvADUANgAuADAAKQBcACIAXABuACAAIAAgACAAIAAgAH0ALAAgAHIALAAgAGMAKQBcAG4AKQApACkAOwBcAG4AXABuAFIAZQBmAHIAaQBnAGUAcgBhAG4AdABzAF8AQwBoAGUAbQBpAGMAYQBsAEIAbABlAG4AZABzAF8AVgBhAHIAaQBhAHQAaQBvAG4AXABuAD0ATABBAE0AQgBEAEEAKAAoAFwAIgBWAEEAUgBJAEEAVABJAE8ATgAgAE8ARgAgAFMATwBVAFIAQwBFACAARABBAFQAQQA6ACAARgBpAHgAZQBkACAAdAB5AHAAbwAgAC0AIABjAGgAYQBuAGcAZQBkACAASABDADYAMAAwAGEAIAB0AG8AIABIAEMALQA2ADAAMABhACAAZgBvAHIAIABiAGwAZQBuAGQAIABSAC0ANAAxADQAQgAuACAARgBpAHgAZQBkACAAdAB5AHAAbwAgAGYAbwByACAAYgBsAGUAbgBkACAAUgAtADQAMAA1AEEAIAAtACAAQwBoAGEAbgBnAGUAZAAgAEgAQwBGAEMAMQA0ADIAYgAgAHQAbwAgAEgAQwBGAEMALQAxADQAMgBiAC4AXAAiACkAKQA7AFwAbgBcAG4AXABuAC8AKgBcAG4APQA9AD0APQA9AD0APQA9AD0APQA9AD0APQA9AD0APQA9AD0APQA9AD0APQA9AD0APQA9AD0APQA9AD0APQA9AD0APQA9AD0APQA9AD0APQA9AD0APQA9AD0APQA9AD0APQA9AD0APQA9AD0APQA9AD0APQA9AD0APQA9AD0APQA9AD0APQA9AD0APQA9AD0APQA9AD0APQBcAG4ATABlAGEAawBhAGcAZQAgAHIAYQB0AGUAcwAgAGYAbwByACAAYwBvAG0AbQBvAG4AIAByAGUAZgByAGkAZwBlAHIAYQB0AGkAbwBuACAAYQBuAGQAIABhAGkAcgBcAG4APQA9AD0APQA9AD0APQA9AD0APQA9AD0APQA9AD0APQA9AD0APQA9AD0APQA9AD0APQA9AD0APQA9AD0APQA9AD0APQA9AD0APQA9AD0APQA9AD0APQA9AD0APQA9AD0APQA9AD0APQA9AD0APQA9AD0APQA9AD0APQA9AD0APQA9AD0APQA9AD0APQA9AD0APQA9AD0APQBcAG4AKgAvAFwAbgBcAG4AUgBlAGYAcgBpAGcAZQByAGEAbgB0AHMAXwBMAGUAYQBrAGEAZwBlAFIAYQB0AGUAcwBfAFQAaQB0AGwAZQBcAG4APQBMAEEATQBCAEQAQQAoACgAXAAiAEkAbgBkAGkAYwBhAHQAaQB2AGUAIABsAGUAYQBrAGEAZwBlACAAcgBhAHQAZQBzACAAZgBvAHIAIABjAG8AbQBtAG8AbgAgAHIAZQBmAHIAaQBnAGUAcgBhAHQAaQBvAG4AIABhAG4AZAAgAGEAaQByACAALQAgAGMAbwBuAGQAaQB0AGkAbwBuAGkAbgBnACAAZQBxAHUAaQBwAG0AZQBuAHQAXAAiACkAKQA7AFwAbgBcAG4AUgBlAGYAcgBpAGcAZQByAGEAbgB0AHMAXwBMAGUAYQBrAGEAZwBlAFIAYQB0AGUAcwBfAEQAZQBzAGMAcgBpAHAAdABpAG8AbgBcAG4APQBMAEEATQBCAEQAQQAoACgAXAAiAFwAIgApACkAOwBcAG4AXABuAFIAZQBmAHIAaQBnAGUAcgBhAG4AdABzAF8ATABlAGEAawBhAGcAZQBSAGEAdABlAHMAXwBTAG8AdQByAGMAZQBcAG4APQBMAEEATQBCAEQAQQAoACgAXAAiAEEAdQBzAHQAcgBhAGwAaQBhAG4AIABOAGEAdABpAG8AbgBhAGwAIABHAHIAZQBlAG4AaABvAHUAcwBlACAAQQBjAGMAbwB1AG4AdABzACAARgBhAGMAdABvAHIAcwAgADIAMAAyADUAIAAtACAAVABhAGIAbABlACAAMQAwAFwAIgApACkAOwBcAG4AXABuAFIAZQBmAHIAaQBnAGUAcgBhAG4AdABzAF8ATABlAGEAawBhAGcAZQBSAGEAdABlAHMAXwBEAGEAdABhAFwAbgA9AEwAQQBNAEIARABBACgAXABuACAAIABNAEEASwBFAEEAUgBSAEEAWQAoADgALAAgADIALABcAG4AIAAgACAAIABMAEEATQBCAEQAQQAoAHIALABjACwAXABuACAAIAAgACAAIAAgAEkATgBEAEUAWAAoAHsAXABuACAAIAAgACAAIAAgACAAIABcACIAUAByAG8AZAB1AGMAdABcACIALAAgAFwAIgBBAG4AbgB1AGEAbAAgAGwAZQBhAGsAYQBnAGUAIAByAGEAdABlACAAKAAlACkAXAAiADsAXABuACAAIAAgACAAIAAgACAAIABcACIARABvAG0AZQBzAHQAaQBjACAAcgBlAGYAcgBpAGcAZQByAGEAdABvAHIAcwBcACIALAAgADEALgA3ADsAXABuACAAIAAgACAAIAAgACAAIABcACIAVAByAGEAbgBzAHAAbwByAHQAIAByAGUAZgByAGkAZwBlAHIAYQB0AGkAbwBuAFwAIgAsACAAMQA1AC4ANwA7AFwAbgAgACAAIAAgACAAIAAgACAAXAAiAEQAbwBtAGUAcwB0AGkAYwAgAEEALwBDACAAcABvAHIAdABhAGIAbABlAFwAIgAsACAAMgAuADUAOwBcAG4AIAAgACAAIAAgACAAIAAgAFwAIgBEAG8AbQBlAHMAdABpAGMAIABBAC8AQwAgAHMAcABsAGkAdABcACIALAAgADMALgA1ADsAXABuACAAIAAgACAAIAAgACAAIABcACIARABvAG0AZQBzAHQAaQBjACAAQQAvAEMAIABwAGEAYwBrAGEAZwBlAGQAXAAiACwAIAAyAC4ANQA7AFwAbgAgACAAIAAgACAAIAAgACAAXAAiAEwAaQBnAGgAdAAgAHYAZQBoAGkAYwBsAGUAIABBAC8AQwBcACIALAAgADYALgA3ADsAXABuACAAIAAgACAAIAAgACAAIABcACIASABlAGEAdgB5ACAAdgBlAGgAaQBjAGwAZQAgAEEALwBDAFwAIgAsACAAMQAwAC4AOABcAG4AIAAgACAAIAAgACAAfQAsACAAcgAsACAAYwApAFwAbgApACkAKQA7AFwAbgBcAG4AUgBlAGYAcgBpAGcAZQByAGEAbgB0AHMAXwBMAGUAYQBrAGEAZwBlAFIAYQB0AGUAcwBfAFYAYQByAGkAYQB0AGkAbwBuAFwAbgA9AEwAQQBNAEIARABBACgAKABcACIAXAAiACkAKQA7AFwAbgBcAG4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FIAZQBmAHIAaQBnAGUAcgBhAG4AdABzAF8ARQBxAHUAYQB0AGkAbwBuAHMALgBWAEUARQBSAEcAXwA5AF8AMQBfADEAXwBfADEAXwBSAGUAZgByAGkAZwBlAHIAYQBuAHQATABlAGEAawBpAG4AZwAiACwAIgBSAGUAZgByAGkAZwBlAHIAYQBuAHQAcwBfAEUAcQB1AGEAdABpAG8AbgBzAC4AVgBFAEUAUgBHAF8AOQBfADEAXwAxAF8AXwAxAF8AUgBlAGYAcgBpAGcAZQByAGEAbgB0AEwAZQBhAGsAaQBuAGcARwBXAFAAIgAsACIAUgBlAGYAcgBpAGcAZQByAGEAbgB0AHMAXwBFAHEAdQBhAHQAaQBvAG4AcwAuAFYARQBFAFIARwBfADkAXwAxAF8AMQBfAF8AMQBfAFIAZQBmAHIAaQBnAGUAcgBhAG4AdABMAGUAYQBrAGkAbgBnAF8AVABpAHQAbABlACIALAAiAFIAZQBmAHIAaQBnAGUAcgBhAG4AdABzAF8ARQBxAHUAYQB0AGkAbwBuAHMALgBWAEUARQBSAEcAXwA5AF8AMQBfADEAXwBfADEAXwBSAGUAZgByAGkAZwBlAHIAYQBuAHQATABlAGEAawBpAG4AZwBHAFcAUABfAFQAaQB0AGwAZQAiACwAIgBSAGUAZgByAGkAZwBlAHIAYQBuAHQAcwBfAEUAcQB1AGEAdABpAG8AbgBzAC4AVgBFAEUAUgBHAF8AOQBfADEAXwAxAF8AXwAxAF8AUgBlAGYAcgBpAGcAZQByAGEAbgB0AEwAZQBhAGsAaQBuAGcAXwBWAGEAcgBpAGEAYgBsAGUAIgAsACIAUgBlAGYAcgBpAGcAZQByAGEAbgB0AHMAXwBFAHEAdQBhAHQAaQBvAG4AcwAuAFYARQBFAFIARwBfADkAXwAxAF8AMQBfAF8AMQBfAFIAZQBmAHIAaQBnAGUAcgBhAG4AdABMAGUAYQBrAGkAbgBnAEcAVwBQAF8AVgBhAHIAaQBhAGIAbABlACIALAAiAFIAZQBmAHIAaQBnAGUAcgBhAG4AdABzAF8ARQBxAHUAYQB0AGkAbwBuAHMALgBWAEUARQBSAEcAXwA5AF8AMQBfADEAXwBfADEAXwBSAGUAZgByAGkAZwBlAHIAYQBuAHQATABlAGEAawBpAG4AZwBfAFUAbgBpAHQAIgAsACIAUgBlAGYAcgBpAGcAZQByAGEAbgB0AHMAXwBFAHEAdQBhAHQAaQBvAG4AcwAuAFYARQBFAFIARwBfADkAXwAxAF8AMQBfAF8AMQBfAFIAZQBmAHIAaQBnAGUAcgBhAG4AdABMAGUAYQBrAGkAbgBnAEcAVwBQAF8AVQBuAGkAdAAiACwAIgBSAGUAZgByAGkAZwBlAHIAYQBuAHQAcwBfAEUAcQB1AGEAdABpAG8AbgBzAC4AVgBFAEUAUgBHAF8AOQBfADEAXwAxAF8AXwAxAF8AUgBlAGYAcgBpAGcAZQByAGEAbgB0AEwAZQBhAGsAaQBuAGcAXwBTAG8AdQByAGMAZQAiACwAIgBSAGUAZgByAGkAZwBlAHIAYQBuAHQAcwBfAEUAcQB1AGEAdABpAG8AbgBzAC4AVgBFAEUAUgBHAF8AOQBfADEAXwAxAF8AXwAxAF8AUgBlAGYAcgBpAGcAZQByAGEAbgB0AEwAZQBhAGsAaQBuAGcARwBXAFAAXwBTAG8AdQByAGMAZQAiACwAIgBSAGUAZgByAGkAZwBlAHIAYQBuAHQAcwBfAEUAcQB1AGEAdABpAG8AbgBzAC4AVgBFAEUAUgBHAF8AOQBfADEAXwAxAF8AXwAxAF8AUgBlAGYAcgBpAGcAZQByAGEAbgB0AEwAZQBhAGsAaQBuAGcAXwBSAGUAYQBkAGEAYgBsAGUARQBxAHUAYQB0AGkAbwBuACIALAAiAFIAZQBmAHIAaQBnAGUAcgBhAG4AdABzAF8ARQBxAHUAYQB0AGkAbwBuAHMALgBWAEUARQBSAEcAXwA5AF8AMQBfADEAXwBfADEAXwBSAGUAZgByAGkAZwBlAHIAYQBuAHQATABlAGEAawBpAG4AZwBfAEwAYQB0AGUAeABFAHEAdQBhAHQAaQBvAG4AIgAsACIAUgBlAGYAcgBpAGcAZQByAGEAbgB0AHMAXwBFAHEAdQBhAHQAaQBvAG4AcwAuAFYARQBFAFIARwBfADkAXwAxAF8AMQBfAF8AMQBfAFIAZQBmAHIAaQBnAGUAcgBhAG4AdABMAGUAYQBrAGkAbgBnAEcAVwBQAF8ATABhAHQAZQB4AEUAcQB1AGEAdABpAG8AbgAiACwAIgBSAGUAZgByAGkAZwBlAHIAYQBuAHQAcwBfAEUAcQB1AGEAdABpAG8AbgBzAC4AVgBFAEUAUgBHAF8AOQBfADEAXwAxAF8AXwAxAF8AUgBlAGYAcgBpAGcAZQByAGEAbgB0AEwAZQBhAGsAaQBuAGcAXwBBAHIAZwB1AG0AZQBuAHQAcwAiACwAIgBSAGUAZgByAGkAZwBlAHIAYQBuAHQAcwBfAEUAcQB1AGEAdABpAG8AbgBzAC4AVgBFAEUAUgBHAF8AOQBfADEAXwAxAF8AXwAxAF8AUgBlAGYAcgBpAGcAZQByAGEAbgB0AEwAZQBhAGsAaQBuAGcARwBXAFAAXwBBAHIAZwB1AG0AZQBuAHQAcwAiACwAIgBSAGUAZgByAGkAZwBlAHIAYQBuAHQAcwBfAEUAcQB1AGEAdABpAG8AbgBzAC4AVgBFAEUAUgBHAF8AOQBfADEAXwAxAF8AXwAxAF8AUgBlAGYAcgBpAGcAZQByAGEAbgB0AEwAZQBhAGsAaQBuAGcAXwBWAGEAcgBpAGEAdABpAG8AbgAiACwAIgBSAGUAZgByAGkAZwBlAHIAYQBuAHQAcwBfAFMAbwB1AHIAYwBlAEQAYQB0AGEALgBSAGUAZgByAGkAZwBlAHIAYQBuAHQAcwBfAEMAaABlAG0AaQBjAGEAbABHAFcAUABfAFQAaQB0AGwAZQAiACwAIgBSAGUAZgByAGkAZwBlAHIAYQBuAHQAcwBfAFMAbwB1AHIAYwBlAEQAYQB0AGEALgBSAGUAZgByAGkAZwBlAHIAYQBuAHQAcwBfAEMAaABlAG0AaQBjAGEAbABHAFcAUABfAEQAZQBzAGMAcgBpAHAAdABpAG8AbgAiACwAIgBSAGUAZgByAGkAZwBlAHIAYQBuAHQAcwBfAFMAbwB1AHIAYwBlAEQAYQB0AGEALgBSAGUAZgByAGkAZwBlAHIAYQBuAHQAcwBfAEMAaABlAG0AaQBjAGEAbABHAFcAUABfAFMAbwB1AHIAYwBlACIALAAiAFIAZQBmAHIAaQBnAGUAcgBhAG4AdABzAF8AUwBvAHUAcgBjAGUARABhAHQAYQAuAFIAZQBmAHIAaQBnAGUAcgBhAG4AdABzAF8AQwBoAGUAbQBpAGMAYQBsAEcAVwBQAF8ARABhAHQAYQAiACwAIgBSAGUAZgByAGkAZwBlAHIAYQBuAHQAcwBfAFMAbwB1AHIAYwBlAEQAYQB0AGEALgBSAGUAZgByAGkAZwBlAHIAYQBuAHQAcwBfAEMAaABlAG0AaQBjAGEAbABHAFcAUABfAFYAYQByAGkAYQB0AGkAbwBuACIALAAiAFIAZQBmAHIAaQBnAGUAcgBhAG4AdABzAF8AUwBvAHUAcgBjAGUARABhAHQAYQAuAFIAZQBmAHIAaQBnAGUAcgBhAG4AdABzAF8AQwBoAGUAbQBpAGMAYQBsAEIAbABlAG4AZABzAF8AVABpAHQAbABlACIALAAiAFIAZQBmAHIAaQBnAGUAcgBhAG4AdABzAF8AUwBvAHUAcgBjAGUARABhAHQAYQAuAFIAZQBmAHIAaQBnAGUAcgBhAG4AdABzAF8AQwBoAGUAbQBpAGMAYQBsAEIAbABlAG4AZABzAF8ARABlAHMAYwByAGkAcAB0AGkAbwBuACIALAAiAFIAZQBmAHIAaQBnAGUAcgBhAG4AdABzAF8AUwBvAHUAcgBjAGUARABhAHQAYQAuAFIAZQBmAHIAaQBnAGUAcgBhAG4AdABzAF8AQwBoAGUAbQBpAGMAYQBsAEIAbABlAG4AZABzAF8AUwBvAHUAcgBjAGUAIgAsACIAUgBlAGYAcgBpAGcAZQByAGEAbgB0AHMAXwBTAG8AdQByAGMAZQBEAGEAdABhAC4AUgBlAGYAcgBpAGcAZQByAGEAbgB0AHMAXwBDAGgAZQBtAGkAYwBhAGwAQgBsAGUAbgBkAHMAXwBEAGEAdABhACIALAAiAFIAZQBmAHIAaQBnAGUAcgBhAG4AdABzAF8AUwBvAHUAcgBjAGUARABhAHQAYQAuAFIAZQBmAHIAaQBnAGUAcgBhAG4AdABzAF8AQwBoAGUAbQBpAGMAYQBsAEIAbABlAG4AZABzAF8AVgBhAHIAaQBhAHQAaQBvAG4AIgAsACIAUgBlAGYAcgBpAGcAZQByAGEAbgB0AHMAXwBTAG8AdQByAGMAZQBEAGEAdABhAC4AUgBlAGYAcgBpAGcAZQByAGEAbgB0AHMAXwBMAGUAYQBrAGEAZwBlAFIAYQB0AGUAcwBfAFQAaQB0AGwAZQAiACwAIgBSAGUAZgByAGkAZwBlAHIAYQBuAHQAcwBfAFMAbwB1AHIAYwBlAEQAYQB0AGEALgBSAGUAZgByAGkAZwBlAHIAYQBuAHQAcwBfAEwAZQBhAGsAYQBnAGUAUgBhAHQAZQBzAF8ARABlAHMAYwByAGkAcAB0AGkAbwBuACIALAAiAFIAZQBmAHIAaQBnAGUAcgBhAG4AdABzAF8AUwBvAHUAcgBjAGUARABhAHQAYQAuAFIAZQBmAHIAaQBnAGUAcgBhAG4AdABzAF8ATABlAGEAawBhAGcAZQBSAGEAdABlAHMAXwBTAG8AdQByAGMAZQAiACwAIgBSAGUAZgByAGkAZwBlAHIAYQBuAHQAcwBfAFMAbwB1AHIAYwBlAEQAYQB0AGEALgBSAGUAZgByAGkAZwBlAHIAYQBuAHQAcwBfAEwAZQBhAGsAYQBnAGUAUgBhAHQAZQBzAF8ARABhAHQAYQAiACwAIgBSAGUAZgByAGkAZwBlAHIAYQBuAHQAcwBfAFMAbwB1AHIAYwBlAEQAYQB0AGEALgBSAGUAZgByAGkAZwBlAHIAYQBuAHQAcwBfAEwAZQBhAGsAYQBnAGUAUgBhAHQAZQBzAF8AVgBhAHIAaQBhAHQAaQBvAG4AIgAsACIAUgBlAGYAcgBpAGcAZQByAGEAbgB0AHMAXwBJAG4AcAB1AHQARgB1AG4AYwB0AGkAbwBuAHMALgBSAGUAZgByAGkAZwBlAHIAYQBuAHQAcwBfAEMAYQBsAGMAdQBsAGEAdABlAEIAbABlAG4AZABHAFcAU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24</vt:i4>
      </vt:variant>
    </vt:vector>
  </HeadingPairs>
  <TitlesOfParts>
    <vt:vector size="31" baseType="lpstr">
      <vt:lpstr>Home</vt:lpstr>
      <vt:lpstr>Overview</vt:lpstr>
      <vt:lpstr>Results</vt:lpstr>
      <vt:lpstr>Input - Refrigerants</vt:lpstr>
      <vt:lpstr>9.1.1.1-2 Refrigerant use</vt:lpstr>
      <vt:lpstr>Constants - Refrigerants</vt:lpstr>
      <vt:lpstr>Constants - Common</vt:lpstr>
      <vt:lpstr>Common_SourceData_DensityOfMethane_Data</vt:lpstr>
      <vt:lpstr>Table_E_CO2e</vt:lpstr>
      <vt:lpstr>Table_E_R</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2026-08-10T02:12:59Z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