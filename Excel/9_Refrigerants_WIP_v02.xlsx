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31B6EF2-FC2B-490F-A665-B5F02DC7A181}" xr6:coauthVersionLast="47" xr6:coauthVersionMax="47" xr10:uidLastSave="{00000000-0000-0000-0000-000000000000}"/>
  <bookViews>
    <workbookView xWindow="3120" yWindow="3120" windowWidth="28800" windowHeight="15345"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1" i="69" l="1"/>
  <c r="D71" i="69"/>
  <c r="E70" i="69"/>
  <c r="D70" i="69"/>
  <c r="E69" i="69"/>
  <c r="D69" i="69"/>
  <c r="E68" i="69"/>
  <c r="D68" i="69"/>
  <c r="E67" i="69"/>
  <c r="D67" i="69"/>
  <c r="E66" i="69"/>
  <c r="D66" i="69"/>
  <c r="E65" i="69"/>
  <c r="D65" i="69"/>
  <c r="E64" i="69"/>
  <c r="D64" i="69"/>
  <c r="E63" i="69"/>
  <c r="D63" i="69"/>
  <c r="E62" i="69"/>
  <c r="D62" i="69"/>
  <c r="E45" i="69"/>
  <c r="E44" i="69"/>
  <c r="E43" i="69"/>
  <c r="E42" i="69"/>
  <c r="E41" i="69"/>
  <c r="E40" i="69"/>
  <c r="E39" i="69"/>
  <c r="E38" i="69"/>
  <c r="E37" i="69"/>
  <c r="E36" i="69"/>
  <c r="J18" i="13"/>
  <c r="G18" i="13"/>
  <c r="J17" i="13"/>
  <c r="G17" i="13"/>
  <c r="J16" i="13"/>
  <c r="G16" i="13"/>
  <c r="J15" i="13"/>
  <c r="G15" i="13"/>
  <c r="J14" i="13"/>
  <c r="G14" i="13"/>
  <c r="J13" i="13"/>
  <c r="G13" i="13"/>
  <c r="J12" i="13"/>
  <c r="G12" i="13"/>
  <c r="J11" i="13"/>
  <c r="G11" i="13"/>
  <c r="J10" i="13"/>
  <c r="G10" i="13"/>
  <c r="J9" i="13"/>
  <c r="G9" i="13"/>
  <c r="A18" i="121"/>
  <c r="A17" i="121"/>
  <c r="A13" i="121"/>
  <c r="A9" i="121"/>
  <c r="A5" i="121"/>
  <c r="A4" i="121"/>
  <c r="A3" i="12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H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c r="D19" i="121" a="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8" i="121" l="1"/>
  <c r="H50" i="121"/>
  <c r="H54" i="121"/>
  <c r="H52" i="121"/>
  <c r="H49" i="121"/>
  <c r="H53" i="121"/>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F140" i="110" a="1"/>
  <c r="F140" i="110" s="1"/>
  <c r="N140" i="110" s="1" a="1"/>
  <c r="N140" i="110" s="1"/>
  <c r="E140" i="110" a="1"/>
  <c r="E140" i="110" s="1"/>
  <c r="H154" i="110" a="1"/>
  <c r="H154" i="110" s="1"/>
  <c r="P154" i="110" s="1" a="1"/>
  <c r="P154" i="110" s="1"/>
  <c r="G154" i="110" a="1"/>
  <c r="G154" i="110" s="1"/>
  <c r="O154" i="110" s="1" a="1"/>
  <c r="O154" i="110" s="1"/>
  <c r="F154" i="110" a="1"/>
  <c r="F154" i="110" s="1"/>
  <c r="E154" i="110" a="1"/>
  <c r="E154" i="110" s="1"/>
  <c r="M154" i="110" s="1" a="1"/>
  <c r="M154" i="110" s="1"/>
  <c r="I127" i="110" a="1"/>
  <c r="I127" i="110" s="1"/>
  <c r="M127" i="110" s="1" a="1"/>
  <c r="M127" i="110" s="1"/>
  <c r="L127" i="110" a="1"/>
  <c r="L127" i="110" s="1"/>
  <c r="K127" i="110" a="1"/>
  <c r="K127" i="110" s="1"/>
  <c r="O127" i="110" s="1" a="1"/>
  <c r="O127" i="110" s="1"/>
  <c r="J127" i="110" a="1"/>
  <c r="J127" i="110" s="1"/>
  <c r="N127" i="110" s="1" a="1"/>
  <c r="N127" i="110" s="1"/>
  <c r="H132" i="110" a="1"/>
  <c r="H132" i="110" s="1"/>
  <c r="G132" i="110" a="1"/>
  <c r="G132" i="110" s="1"/>
  <c r="F132" i="110" a="1"/>
  <c r="F132" i="110" s="1"/>
  <c r="E132" i="110" a="1"/>
  <c r="E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O137" i="110" s="1" a="1"/>
  <c r="O137" i="110" s="1"/>
  <c r="J137" i="110" a="1"/>
  <c r="J137" i="110" s="1"/>
  <c r="I137" i="110" a="1"/>
  <c r="I137" i="110" s="1"/>
  <c r="M137" i="110" s="1" a="1"/>
  <c r="M137" i="110" s="1"/>
  <c r="L137" i="110" a="1"/>
  <c r="L137" i="110" s="1"/>
  <c r="P137" i="110" s="1" a="1"/>
  <c r="P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M133" i="110" s="1" a="1"/>
  <c r="M133" i="110" s="1"/>
  <c r="J119" i="110" a="1"/>
  <c r="J119" i="110" s="1"/>
  <c r="N119" i="110" s="1" a="1"/>
  <c r="N119" i="110" s="1"/>
  <c r="L119" i="110" a="1"/>
  <c r="L119" i="110" s="1"/>
  <c r="P119" i="110" s="1" a="1"/>
  <c r="P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P143" i="110" s="1" a="1"/>
  <c r="P143" i="110" s="1"/>
  <c r="J143" i="110" a="1"/>
  <c r="J143" i="110" s="1"/>
  <c r="K143" i="110" a="1"/>
  <c r="K143" i="110" s="1"/>
  <c r="O143" i="110" s="1" a="1"/>
  <c r="O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N136" i="110" a="1"/>
  <c r="N136" i="110" s="1"/>
  <c r="E8" i="69"/>
  <c r="I24" i="69"/>
  <c r="M126" i="110" a="1"/>
  <c r="M126" i="110" s="1"/>
  <c r="P127" i="110" a="1"/>
  <c r="P127" i="110" s="1"/>
  <c r="M131" i="110" a="1"/>
  <c r="M131" i="110" s="1"/>
  <c r="N132" i="110" a="1"/>
  <c r="N132" i="110" s="1"/>
  <c r="O140" i="110" a="1"/>
  <c r="O140"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O113" i="110" a="1"/>
  <c r="O113"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40" i="110" a="1"/>
  <c r="M14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M152" i="110" a="1"/>
  <c r="M152" i="110" s="1"/>
  <c r="O138" i="110" a="1"/>
  <c r="O138"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P152" i="110" a="1"/>
  <c r="P152" i="110" s="1"/>
  <c r="N154" i="110" a="1"/>
  <c r="N154" i="110" s="1"/>
  <c r="P160" i="110" a="1"/>
  <c r="P160" i="110" s="1"/>
  <c r="D106" i="110"/>
  <c r="O119" i="110" l="1" a="1"/>
  <c r="O119" i="110" s="1"/>
  <c r="P135" i="110" a="1"/>
  <c r="P135" i="110" s="1"/>
  <c r="O153" i="110" a="1"/>
  <c r="O153" i="110" s="1"/>
  <c r="M129" i="110" a="1"/>
  <c r="M129" i="110" s="1"/>
  <c r="P123" i="110" a="1"/>
  <c r="P123" i="110" s="1"/>
  <c r="N118" i="110" a="1"/>
  <c r="N118" i="110" s="1"/>
  <c r="O132" i="110" a="1"/>
  <c r="O132" i="110" s="1"/>
  <c r="N137" i="110" a="1"/>
  <c r="N137" i="110" s="1"/>
  <c r="Q137" i="110" s="1" a="1"/>
  <c r="Q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Q132" i="110" s="1" a="1"/>
  <c r="Q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3" i="110" a="1"/>
  <c r="Q133"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E18" i="13"/>
  <c r="E16" i="13"/>
  <c r="E17" i="13"/>
  <c r="E14" i="13"/>
  <c r="E15" i="13"/>
  <c r="K22" i="69" a="1"/>
  <c r="K22" i="69" s="1"/>
  <c r="L22" i="69" s="1"/>
  <c r="Q153" i="110" l="1"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F15" i="13"/>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<sst xmlns="http://schemas.openxmlformats.org/spreadsheetml/2006/main" count="191" uniqueCount="152">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</sst>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9">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ACEE2-37BF-4421-B919-64B07DEB5E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1279BF7-3F6C-4809-948A-A87DA2E357FB}" name="State/Territory">
      <calculatedColumnFormula array="1">Common_InputFunctions.Utility_DisplayArrayInTable(Common_SourceData.Common_SourceData_AustralianStatesTerritories_Data(),Table_AustralianStates[[#Headers],[State/Territory]],0)</calculatedColumnFormula>
    </tableColumn>
    <tableColumn id="2" xr3:uid="{2F9E30D4-6B9E-4504-BF81-FA100CFCA21E}" name="Common Name">
      <calculatedColumnFormula array="1">Common_InputFunctions.Utility_DisplayArrayInTable(Common_SourceData.Common_SourceData_AustralianStatesTerritories_Data(),Table_AustralianStates[[#Headers],[State/Territory]],0)</calculatedColumnFormula>
    </tableColumn>
    <tableColumn id="3" xr3:uid="{ACA813D6-7700-460D-8746-0FA0D2E640B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C0635C7-0D64-4BCE-8654-0774CEC72105}" name="Table_WASA4Areas" displayName="Table_WASA4Areas" ref="D20:D30" totalsRowShown="0">
  <autoFilter ref="D20:D30" xr:uid="{5FA81339-C6C8-4D36-BEEA-6C4AEDD9E676}">
    <filterColumn colId="0" hiddenButton="1"/>
  </autoFilter>
  <tableColumns count="1">
    <tableColumn id="1" xr3:uid="{72D33D47-ED85-49A5-90B5-9E6B208F8AF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AE644-1B7C-4B1A-8CA0-66ED48A023EF}" name="Table_GWPData" displayName="Table_GWPData" ref="D36:E43" totalsRowShown="0">
  <autoFilter ref="D36:E43" xr:uid="{B8E87A66-3E41-4AD3-925D-01EE21B43D7A}">
    <filterColumn colId="0" hiddenButton="1"/>
    <filterColumn colId="1" hiddenButton="1"/>
  </autoFilter>
  <tableColumns count="2">
    <tableColumn id="1" xr3:uid="{7586C054-7BE7-411F-9ED3-5CDFE4B306C7}" name="Gas">
      <calculatedColumnFormula array="1">Common_InputFunctions.Utility_DisplayArrayInTable(Common_SourceData.Common_SourceData_GWP_Data(), Table_GWPData[[#Headers],[Gas]], 0)</calculatedColumnFormula>
    </tableColumn>
    <tableColumn id="2" xr3:uid="{C66AA4A3-9B26-459F-8504-912E955D8E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603533-E784-4599-807A-B1F09D0FF66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BBA762-4721-4E6F-A65F-CE29F04D7F08}" name="Gas">
      <calculatedColumnFormula array="1">Common_InputFunctions.Utility_DisplayArrayInTable(Common_SourceData.Common_SourceData_ConvertGasElementalToMolecular_Data(),Table_GasToMolecularConversionFactor[[#Headers],[Gas]], 0)</calculatedColumnFormula>
    </tableColumn>
    <tableColumn id="5" xr3:uid="{5EE1C013-C2CD-4670-BAAD-D43FE346B9A7}" name="Conversion factor">
      <calculatedColumnFormula array="1">Common_InputFunctions.Utility_DisplayArrayInTable(Common_SourceData.Common_SourceData_ConvertGasElementalToMolecular_Data(),Table_GasToMolecularConversionFactor[[#Headers],[Gas]], 0)</calculatedColumnFormula>
    </tableColumn>
    <tableColumn id="2" xr3:uid="{CF87363C-F6A7-4217-8D80-0480F276636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3CD5F2-7907-49CC-92AB-292CA3062F3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F8BCC5-4977-43E9-AF8A-CCC23815D55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9A2927-7DCE-430C-82F1-B767AA790AD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700263-4549-404B-9C69-A63B974E1DD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33B7928-424F-45D2-A35C-1F8D1D5CC222}"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BD84F205-B0B8-4985-8749-3F91264E165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A1EF56C2-F737-4524-AEC8-10C0831B13C9}"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4DC5C6ED-502F-443B-A9B5-9D1BCC90396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4DE48496-2E9C-4437-A2AA-A9F52E709FBE}"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BDA7E368-8BAC-4899-BBFC-6BA9C7564584}"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C9379EEF-3E3E-40DF-9D19-352808A1A4AB}"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5C4C70E3-7075-4629-A4FA-9A49B1298A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B9587A6B-966F-4277-8874-E387E5758474}"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BAC284A4-9CC4-4E54-B615-3DF009D7DFE6}"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03B5134-C853-4086-8438-D156538C3228}"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F38B3388-3D48-4C01-9FBE-D612F649E4A4}"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D8BF3012-193D-4FA8-A0C4-99B4863CAD4C}"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30A57E9E-8996-47F4-B415-C374E3481D06}"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847592A7-774C-4172-9925-EC6C61686C4E}"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70F95D7-1270-4EBA-9904-BA86E8C9665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69093D6-7D0D-4536-AF23-D27A3D82366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937509D-9169-4C60-B6F8-352740E56A3E}"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A1DE7BD-1E02-4F73-A9B5-21F2861CF9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E18A7B-E866-4D29-AB83-7F82EA9A10D6}" name="Temperature Zone">
      <calculatedColumnFormula array="1">Common_InputFunctions.Utility_DisplayArrayInTable(Common_SourceData.Common_SourceData_TemperatureZones_Data(),Table_SourceData_TemperatureZones[[#Headers],[Temperature Zone]],0)</calculatedColumnFormula>
    </tableColumn>
    <tableColumn id="2" xr3:uid="{5D8DB567-71EB-49D7-9A39-16BE18F6CCDC}" name="MAT">
      <calculatedColumnFormula array="1">Common_InputFunctions.Utility_DisplayArrayInTable(Common_SourceData.Common_SourceData_TemperatureZones_Data(),Table_SourceData_TemperatureZones[[#Headers],[Temperature Zone]],0)</calculatedColumnFormula>
    </tableColumn>
    <tableColumn id="3" xr3:uid="{5B9457DB-83FA-4297-9BED-76C46A316DFA}" name="Min MAT">
      <calculatedColumnFormula array="1">Common_InputFunctions.Utility_DisplayArrayInTable(Common_SourceData.Common_SourceData_TemperatureZones_Data(),Table_SourceData_TemperatureZones[[#Headers],[Temperature Zone]],0)</calculatedColumnFormula>
    </tableColumn>
    <tableColumn id="4" xr3:uid="{6D9A2074-7F8A-4EF5-8164-575CFB6B6E6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A6D1D79-B38C-4121-BEEF-50C0B4B1CC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72B17BA-4DF5-4750-BC00-C068ED09B967}" name="Rainfall Zone">
      <calculatedColumnFormula array="1">Common_InputFunctions.Utility_DisplayArrayInTable(Common_SourceData.Common_SourceData_RainfallZones_Data(),Table_SourceData_RainfallZones[[#Headers],[Rainfall Zone]],0)</calculatedColumnFormula>
    </tableColumn>
    <tableColumn id="2" xr3:uid="{D44B9BC0-3608-4D0D-B84E-57E613FB77DF}" name="Annual rainfall">
      <calculatedColumnFormula array="1">Common_InputFunctions.Utility_DisplayArrayInTable(Common_SourceData.Common_SourceData_RainfallZones_Data(),Table_SourceData_RainfallZones[[#Headers],[Rainfall Zone]],0)</calculatedColumnFormula>
    </tableColumn>
    <tableColumn id="3" xr3:uid="{A4389992-F562-4949-A00A-2368024A11FE}" name="Min rainfall">
      <calculatedColumnFormula array="1">Common_InputFunctions.Utility_DisplayArrayInTable(Common_SourceData.Common_SourceData_RainfallZones_Data(),Table_SourceData_RainfallZones[[#Headers],[Rainfall Zone]],0)</calculatedColumnFormula>
    </tableColumn>
    <tableColumn id="4" xr3:uid="{BD45AE3F-DA8B-47A6-8BAD-689D2B9FB47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E427282-668A-4A0F-A3D9-E1132B5294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1C79EFF-1506-4F51-91AB-B2FB6DAD109F}" name="Leaching Zone">
      <calculatedColumnFormula array="1">Common_InputFunctions.Utility_DisplayArrayInTable(Common_SourceData.Common_SourceData_LeachingZones_Data(), Table_SourceData_LeachingZones[[#Headers],[Leaching Zone]], 0)</calculatedColumnFormula>
    </tableColumn>
    <tableColumn id="2" xr3:uid="{EEB38B4F-76C1-4F21-95D2-3CBC4DFF99A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4C1D3A7-F8D3-4849-977C-11DF3D7BDE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1A8C232-A83D-4102-84CF-3E585C7E5D59}" name="Data source">
      <calculatedColumnFormula array="1">Common_InputFunctions.Utility_DisplayArrayInTable(Common_SourceData.Common_SourceData_DataScores_Scope3_Data(), Table_SourceData_DataScores_Scope3[[#Headers],[Data source]], 0)</calculatedColumnFormula>
    </tableColumn>
    <tableColumn id="2" xr3:uid="{F9D2375E-B0EF-4D2A-8444-BD9FAE809D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2F13960-9DA2-4704-AD65-EAA66F2BB409}" name="Table_SourceData_FracWET" displayName="Table_SourceData_FracWET" ref="D134:E136" totalsRowShown="0">
  <autoFilter ref="D134:E136" xr:uid="{308E99BE-FE1F-47A4-B2CA-97217277C4E9}">
    <filterColumn colId="0" hiddenButton="1"/>
    <filterColumn colId="1" hiddenButton="1"/>
  </autoFilter>
  <tableColumns count="2">
    <tableColumn id="1" xr3:uid="{CE6D1FCD-7850-4C2F-974C-37DE3BA7C2E6}" name="Is in leaching zone">
      <calculatedColumnFormula array="1">Common_InputFunctions.Utility_DisplayArrayInTable(Common_SourceData.Common_SourceData_FracWET_Data(),Table_SourceData_FracWET[[#Headers],[Is in leaching zone]],0)</calculatedColumnFormula>
    </tableColumn>
    <tableColumn id="2" xr3:uid="{385D0E40-0574-4EC1-9A28-490BC162E66F}"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08D808E-7877-4A59-9D25-92D701D2588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B8897D-A318-4861-9C11-D50B0BFFB896}" name="Production system j">
      <calculatedColumnFormula array="1">Common_InputFunctions.Utility_DisplayArrayInTable(Common_SourceData.Common_SourceData_EFN2O_Data(), Table_SourceData_Common_EFN2O[[#Headers],[Production system j]], 0)</calculatedColumnFormula>
    </tableColumn>
    <tableColumn id="2" xr3:uid="{899A144B-F04D-4345-B3F6-BE8F904F9845}" name="EFN2O">
      <calculatedColumnFormula array="1">Common_InputFunctions.Utility_DisplayArrayInTable(Common_SourceData.Common_SourceData_EFN2O_Data(), Table_SourceData_Common_EFN2O[[#Headers],[Production system j]], 0)</calculatedColumnFormula>
    </tableColumn>
    <tableColumn id="3" xr3:uid="{F9B1DED8-FA7F-4A96-AE81-46F5EDBEBBF6}" name="Production system only">
      <calculatedColumnFormula array="1">Common_InputFunctions.Utility_DisplayArrayInTable(Common_SourceData.Common_SourceData_EFN2O_Data(), Table_SourceData_Common_EFN2O[[#Headers],[Production system j]], 0)</calculatedColumnFormula>
    </tableColumn>
    <tableColumn id="4" xr3:uid="{70133F51-4D10-4216-8202-4B11933A95A7}" name="Irrigation method">
      <calculatedColumnFormula array="1">Common_InputFunctions.Utility_DisplayArrayInTable(Common_SourceData.Common_SourceData_EFN2O_Data(), Table_SourceData_Common_EFN2O[[#Headers],[Production system j]], 0)</calculatedColumnFormula>
    </tableColumn>
    <tableColumn id="5" xr3:uid="{AA4E129B-C2DF-4DDA-9A11-06595CC5A69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F634E0A-A0AA-449C-91CD-EF9197D293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7843FC-BBB3-4330-AB5F-016CCC586F7A}" name="Irrigation type i">
      <calculatedColumnFormula array="1">Common_InputFunctions.Utility_DisplayArrayInTable(Common_SourceData.Common_SourceData_FracWETIrrigation_Data(), Table_SourceData_FracWETIrrigation[[#Headers],[Irrigation type i]], 0)</calculatedColumnFormula>
    </tableColumn>
    <tableColumn id="2" xr3:uid="{48D3A602-B7A1-4ABD-BBE4-418A32D12BD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269F68-3C78-47FC-97EC-4DD9EF6AF48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01A06A7-41BD-468D-B425-A1B8EC1FCBE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DCC534E-9F8B-489D-B8E1-6588D2B4170A}"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291C239-19F5-4E4B-A5DE-226F22E98DB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8880F5-ADEA-42C3-9029-06EDF35C20F8}" name="Month">
      <calculatedColumnFormula array="1">Common_InputFunctions.Utility_DisplayArrayInTable(Common_SourceData.Common_SourceData_MonthsToSeasons_Data(), Table_SourceData_Common_MonthToSeason[[#Headers],[Month]], 0)</calculatedColumnFormula>
    </tableColumn>
    <tableColumn id="2" xr3:uid="{8309708E-DC6B-4F37-87B3-0681D530FBF9}"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51BC6CD-FCE1-4588-BCB9-433DB1AB9C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E4F93-BA8D-4105-BA3E-4E92DA9EC4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DDBCDB3-E06D-4DAE-A1C0-6FB76D4F7CB5}"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3DAE746-48CC-4826-B5CD-A02B1F3C70F9}"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83EAAD0-A48A-449E-9348-6D127D77EDFC}"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800B291-DABC-4952-AC7C-3A703D43697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5EF6E16-4231-4870-A7CC-AF4CF1C12FC4}"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DBED508-D246-4C0A-9B1E-771F83CF0907}"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11F68B4-5C2C-4EF6-A3F9-655C94902579}"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8597A08-3186-4A6D-B2E5-9D0D9AE20650}"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C5B9E70-94D9-4B0B-915D-3FBF0F79D9BB}"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2692727-3F60-45B0-B41E-74F513B5803B}"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2FE32C1-EF96-4E74-BCDF-74C2D23473B9}"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607D93-4CFE-405F-A0F0-064E32286D14}"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D6846F4-89B5-49BE-A57B-2A59200D4503}"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DD871C-6754-4BF8-8E69-6DE8FC840E19}"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DDFD82-D402-47D9-A526-8A28CFDC35D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C0D0C6E-207D-40BC-BA92-C60DFD4B6D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F3ED613-7712-4542-AA27-987115095AE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1E44DE3-C7CF-4639-895A-96E7132DA1CF}"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4"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Refrigerants'!A1", "Refrigerants")</f>
        <v>Refrigerants</v>
      </c>
    </row>
    <row r="12" spans="1:1" x14ac:dyDescent="0.25">
      <c r="A12" s="13" t="s">
        <v>44</v>
      </c>
    </row>
    <row r="13" spans="1:1" ht="15.75" x14ac:dyDescent="0.25">
      <c r="A13" s="12" t="str">
        <f>HYPERLINK("#'9.1.1.1-2 Refrigerant use'!A1", "9.1.1.1-2 Refrigerant use")</f>
        <v>9.1.1.1-2 Refrigerant use</v>
      </c>
    </row>
    <row r="16" spans="1:1" x14ac:dyDescent="0.25">
      <c r="A16" s="78" t="s">
        <v>1</v>
      </c>
    </row>
    <row r="17" spans="1:1" ht="15.75" x14ac:dyDescent="0.25">
      <c r="A17" s="12" t="str">
        <f>HYPERLINK("#'Constants - Refrigerants'!A1", "Constants - Refrigerants")</f>
        <v>Constants - Refrigerants</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E13EB-FD9E-4649-B327-AF5CB4F433F3}">
  <dimension ref="A1:BY259"/>
  <sheetViews>
    <sheetView showGridLines="0" tabSelected="1" topLeftCell="A86"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Refrigerants'!A1", "Refrigerants")</f>
        <v>Refrigerants</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HYPERLINK("#'9.1.1.1-2 Refrigerant use'!A1", "9.1.1.1-2 Refrigerant use")</f>
        <v>9.1.1.1-2 Refrigerant use</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8" t="s">
        <v>1</v>
      </c>
    </row>
    <row r="17" spans="1:4" ht="20.100000000000001" customHeight="1" x14ac:dyDescent="0.25">
      <c r="A17" s="12" t="str">
        <f>HYPERLINK("#'Constants - Refrigerants'!A1", "Constants - Refrigerants")</f>
        <v>Constants - Refrigerants</v>
      </c>
    </row>
    <row r="18" spans="1:4" ht="20.100000000000001" customHeight="1" x14ac:dyDescent="0.25">
      <c r="A18" s="61"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78</v>
      </c>
      <c r="E257" s="24" t="s">
        <v>79</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MQ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IAZQBmAHIAaQBnAGUAcgBhAG4AdABzAF8ASQBuAHAAdQB0AEYAdQBuAGMAdABpAG8AbgBzACIALAAiAHQAZQB4AHQAIgA6ACIAUgBlAGYAcgBpAGcAZQByAGEAbgB0AHMAXwBDAGEAbABjAHUAbABhAHQAZQBCAGwAZQBuAGQARwBXAFAAXABuAD0ATABBAE0AQgBEAEEAKABcAG4AIAAgAEMAbwBuAHMAdABpAHQAdQBlAG4AdABGAGEAYwB0AGkAbwBuADEALAAgAEMAbwBuAHMAdABpAHQAdQBlAG4AdABHAFcAUAAxACwAIABcAG4AIAAgAEMAbwBuAHMAdABpAHQAdQBlAG4AdABGAGEAYwB0AGkAbwBuADIALAAgAEMAbwBuAHMAdABpAHQAdQBlAG4AdABHAFcAUAAyACwAIABcAG4AIAAgAEMAbwBuAHMAdABpAHQAdQBlAG4AdABGAGEAYwB0AGkAbwBuADMALAAgAEMAbwBuAHMAdABpAHQAdQBlAG4AdABHAFcAUAAzACwAIABcAG4AIAAgAEMAbwBuAHMAdABpAHQAdQBlAG4AdABGAGEAYwB0AGkAbwBuADQALAAgAEMAbwBuAHMAdABpAHQAdQBlAG4AdABHAFcAUAA0ACwAXABuACAAIAAoAEMAbwBuAHMAdABpAHQAdQBlAG4AdABGAGEAYwB0AGkAbwBuADEAIAAqACAAQwBvAG4AcwB0AGkAdAB1AGUAbgB0AEcAVwBQADEAKQAgACsAXABuACAAIAAoAEMAbwBuAHMAdABpAHQAdQBlAG4AdABGAGEAYwB0AGkAbwBuADIAIAAqACAAQwBvAG4AcwB0AGkAdAB1AGUAbgB0AEcAVwBQADIAKQAgACsAXABuACAAIAAoAEMAbwBuAHMAdABpAHQAdQBlAG4AdABGAGEAYwB0AGkAbwBuADMAIAAqACAAQwBvAG4AcwB0AGkAdAB1AGUAbgB0AEcAVwBQADMAKQAgACsAXABuACAAIAAoAEMAbwBuAHMAdABpAHQAdQBlAG4AdABGAGEAYwB0AGkAbwBuADQAIAAqACAAQwBvAG4AcwB0AGkAdAB1AGUAbgB0AEcAVwBQADQ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TABhAHQAZQB4AEUAcQB1AGEAdABpAG8AbgAiACwAIgBGAHUAZQBsAF8ARQBxAHUAYQB0AGkAbwBuAHMALgBWAEUARQBSAEcAXwA4AF8AWABfAEYAdQBlAGwAQwBvAG0AYgB1AHMAdABpAG8AbgBHAGUAbgBlAHIAaQBjAF8AQQByAGcAdQBtAGUAbgB0AHMAIgAsACIARgB1AGUAbABfAEUAcQB1AGEAdABpAG8AbgBzAC4AVgBFAEUAUgBHAF8AOABfAFgAXwBGAHUAZQBsAEMAbwBtAGIAdQBzAHQAaQBvAG4ARwBlAG4AZQByAGkAYwBfAFYAYQByAGkAYQB0AGkAbwBu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2026-07-31T06:34:45Z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