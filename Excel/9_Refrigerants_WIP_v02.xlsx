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67F1546-E2F1-405D-8E0B-8CFB6744C995}" xr6:coauthVersionLast="47" xr6:coauthVersionMax="47" xr10:uidLastSave="{00000000-0000-0000-0000-000000000000}"/>
  <bookViews>
    <workbookView xWindow="735" yWindow="735" windowWidth="37170" windowHeight="19920" activeTab="3"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3"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c r="D255" i="123" a="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c r="D5" i="123" a="1"/>
  <c r="A3" i="123"/>
  <c r="A8" i="71"/>
  <c r="A7" i="71"/>
  <c r="A3" i="71"/>
  <c r="D71" i="69"/>
  <c r="D70" i="69"/>
  <c r="D69" i="69"/>
  <c r="D68" i="69"/>
  <c r="D67" i="69"/>
  <c r="D66" i="69"/>
  <c r="D65" i="69"/>
  <c r="D64" i="69"/>
  <c r="D63" i="69"/>
  <c r="D62" i="69"/>
  <c r="J18" i="13"/>
  <c r="G18" i="13"/>
  <c r="J17" i="13"/>
  <c r="G17" i="13"/>
  <c r="J16" i="13"/>
  <c r="G16" i="13"/>
  <c r="J15" i="13"/>
  <c r="G15" i="13"/>
  <c r="J14" i="13"/>
  <c r="G14" i="13"/>
  <c r="J13" i="13"/>
  <c r="G13" i="13"/>
  <c r="J12" i="13"/>
  <c r="G12" i="13"/>
  <c r="J11" i="13"/>
  <c r="G11" i="13"/>
  <c r="J10" i="13"/>
  <c r="G10" i="13"/>
  <c r="J9" i="13"/>
  <c r="G9" i="13"/>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9" i="123" l="1"/>
  <c r="H50" i="123"/>
  <c r="H54" i="123"/>
  <c r="H52" i="123"/>
  <c r="H48" i="123"/>
  <c r="H53" i="123"/>
  <c r="H51" i="123"/>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P152" i="110" s="1" a="1"/>
  <c r="P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O140" i="110" s="1" a="1"/>
  <c r="O140" i="110" s="1"/>
  <c r="F140" i="110" a="1"/>
  <c r="F140" i="110" s="1"/>
  <c r="N140" i="110" s="1" a="1"/>
  <c r="N140" i="110" s="1"/>
  <c r="E140" i="110" a="1"/>
  <c r="E140" i="110" s="1"/>
  <c r="M140" i="110" s="1" a="1"/>
  <c r="M140" i="110" s="1"/>
  <c r="H154" i="110" a="1"/>
  <c r="H154" i="110" s="1"/>
  <c r="P154" i="110" s="1" a="1"/>
  <c r="P154" i="110" s="1"/>
  <c r="G154" i="110" a="1"/>
  <c r="G154" i="110" s="1"/>
  <c r="O154" i="110" s="1" a="1"/>
  <c r="O154" i="110" s="1"/>
  <c r="F154" i="110" a="1"/>
  <c r="F154" i="110" s="1"/>
  <c r="N154" i="110" s="1" a="1"/>
  <c r="N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M132" i="110" s="1" a="1"/>
  <c r="M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J137" i="110" a="1"/>
  <c r="J137" i="110" s="1"/>
  <c r="I137" i="110" a="1"/>
  <c r="I137" i="110" s="1"/>
  <c r="L137" i="110" a="1"/>
  <c r="L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J119" i="110" a="1"/>
  <c r="J119" i="110" s="1"/>
  <c r="L119" i="110" a="1"/>
  <c r="L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G156" i="110" a="1"/>
  <c r="G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E39" i="69" s="1"/>
  <c r="E65" i="69" s="1"/>
  <c r="I25" i="69"/>
  <c r="I22" i="69"/>
  <c r="I23" i="69"/>
  <c r="J22" i="69" a="1"/>
  <c r="J22" i="69" s="1"/>
  <c r="J24" i="69" a="1"/>
  <c r="J24" i="69" s="1"/>
  <c r="K24" i="69" s="1" a="1"/>
  <c r="K24" i="69" s="1"/>
  <c r="L24" i="69" s="1"/>
  <c r="J23" i="69" a="1"/>
  <c r="J23" i="69" s="1"/>
  <c r="K23" i="69" s="1" a="1"/>
  <c r="K23" i="69" s="1"/>
  <c r="L23" i="69" s="1"/>
  <c r="E37" i="69" s="1"/>
  <c r="E63" i="69" s="1"/>
  <c r="P122" i="110" a="1"/>
  <c r="P122" i="110" s="1"/>
  <c r="N136" i="110" a="1"/>
  <c r="N136" i="110" s="1"/>
  <c r="E8" i="69"/>
  <c r="I24" i="69"/>
  <c r="M126" i="110" a="1"/>
  <c r="M126" i="110" s="1"/>
  <c r="P127" i="110" a="1"/>
  <c r="P127" i="110" s="1"/>
  <c r="M131" i="110" a="1"/>
  <c r="M131"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N145" i="110" a="1"/>
  <c r="N145" i="110" s="1"/>
  <c r="N160" i="110" a="1"/>
  <c r="N160" i="110" s="1"/>
  <c r="O145" i="110" a="1"/>
  <c r="O145" i="110" s="1"/>
  <c r="O152" i="110" a="1"/>
  <c r="O152" i="110" s="1"/>
  <c r="P155" i="110" a="1"/>
  <c r="P155" i="110" s="1"/>
  <c r="O160" i="110" a="1"/>
  <c r="O160" i="110" s="1"/>
  <c r="P145" i="110" a="1"/>
  <c r="P145" i="110" s="1"/>
  <c r="N147" i="110" a="1"/>
  <c r="N147" i="110" s="1"/>
  <c r="D106" i="110"/>
  <c r="N152" i="110" l="1" a="1"/>
  <c r="N152" i="110" s="1"/>
  <c r="M127" i="110" a="1"/>
  <c r="M127" i="110" s="1"/>
  <c r="M137" i="110" a="1"/>
  <c r="M137" i="110" s="1"/>
  <c r="O147" i="110" a="1"/>
  <c r="O147" i="110" s="1"/>
  <c r="N156" i="110" a="1"/>
  <c r="N156" i="110" s="1"/>
  <c r="P149" i="110" a="1"/>
  <c r="P149" i="110" s="1"/>
  <c r="N119" i="110" a="1"/>
  <c r="N119" i="110" s="1"/>
  <c r="O137" i="110" a="1"/>
  <c r="O137" i="110" s="1"/>
  <c r="N132" i="110" a="1"/>
  <c r="N132" i="110" s="1"/>
  <c r="O128" i="110" a="1"/>
  <c r="O128" i="110" s="1"/>
  <c r="P160" i="110" a="1"/>
  <c r="P160" i="110" s="1"/>
  <c r="Q160" i="110" s="1" a="1"/>
  <c r="Q160" i="110" s="1"/>
  <c r="M152" i="110" a="1"/>
  <c r="M152" i="110" s="1"/>
  <c r="Q152" i="110" s="1" a="1"/>
  <c r="Q152" i="110" s="1"/>
  <c r="O156" i="110" a="1"/>
  <c r="O156" i="110" s="1"/>
  <c r="Q156" i="110" s="1" a="1"/>
  <c r="Q156" i="110" s="1"/>
  <c r="O113" i="110" a="1"/>
  <c r="O113" i="110" s="1"/>
  <c r="E38" i="69"/>
  <c r="E64" i="69" s="1"/>
  <c r="E45" i="69"/>
  <c r="E71" i="69" s="1"/>
  <c r="E44" i="69"/>
  <c r="E70" i="69" s="1"/>
  <c r="E43" i="69"/>
  <c r="E69" i="69" s="1"/>
  <c r="E42" i="69"/>
  <c r="E68" i="69" s="1"/>
  <c r="E41" i="69"/>
  <c r="E67" i="69" s="1"/>
  <c r="E40" i="69"/>
  <c r="E66" i="69" s="1"/>
  <c r="P119" i="110" a="1"/>
  <c r="P119" i="110" s="1"/>
  <c r="N127" i="110" a="1"/>
  <c r="N127" i="110" s="1"/>
  <c r="Q127" i="110" s="1" a="1"/>
  <c r="Q127" i="110" s="1"/>
  <c r="O143" i="110" a="1"/>
  <c r="O143" i="110" s="1"/>
  <c r="M133" i="110" a="1"/>
  <c r="M133" i="110" s="1"/>
  <c r="Q133" i="110" s="1" a="1"/>
  <c r="Q133" i="110" s="1"/>
  <c r="P143" i="110" a="1"/>
  <c r="P143" i="110" s="1"/>
  <c r="P137" i="110" a="1"/>
  <c r="P137" i="110" s="1"/>
  <c r="M154" i="110" a="1"/>
  <c r="M154" i="110" s="1"/>
  <c r="Q154" i="110" s="1" a="1"/>
  <c r="Q154" i="110" s="1"/>
  <c r="O119" i="110" a="1"/>
  <c r="O119" i="110" s="1"/>
  <c r="P135" i="110" a="1"/>
  <c r="P135" i="110" s="1"/>
  <c r="O153" i="110" a="1"/>
  <c r="O153" i="110" s="1"/>
  <c r="M129" i="110" a="1"/>
  <c r="M129" i="110" s="1"/>
  <c r="P123" i="110" a="1"/>
  <c r="P123" i="110" s="1"/>
  <c r="N118" i="110" a="1"/>
  <c r="N118" i="110" s="1"/>
  <c r="O132" i="110" a="1"/>
  <c r="O132" i="110" s="1"/>
  <c r="N137" i="110" a="1"/>
  <c r="N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M157" i="110" a="1"/>
  <c r="M157" i="110" s="1"/>
  <c r="M149" i="110" a="1"/>
  <c r="M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K22" i="69" a="1"/>
  <c r="K22" i="69" s="1"/>
  <c r="L22" i="69" s="1"/>
  <c r="E36" i="69" s="1"/>
  <c r="E62" i="69" s="1"/>
  <c r="Q113" i="110" l="1" a="1"/>
  <c r="Q113" i="110" s="1"/>
  <c r="Q149" i="110" a="1"/>
  <c r="Q149" i="110" s="1"/>
  <c r="Q119" i="110" a="1"/>
  <c r="Q119" i="110" s="1"/>
  <c r="E16" i="13"/>
  <c r="E18" i="13"/>
  <c r="E14" i="13"/>
  <c r="E17" i="13"/>
  <c r="Q132" i="110" a="1"/>
  <c r="Q132" i="110" s="1"/>
  <c r="E15" i="13"/>
  <c r="F15" i="13" s="1"/>
  <c r="Q137" i="110" a="1"/>
  <c r="Q137" i="110" s="1"/>
  <c r="Q153" i="110"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G68" i="69" a="1"/>
  <c r="G68" i="69" s="1"/>
  <c r="F17" i="13"/>
  <c r="G70" i="69" a="1"/>
  <c r="G70" i="69" s="1"/>
  <c r="F18" i="13"/>
  <c r="G71" i="69" a="1"/>
  <c r="G71" i="69" s="1"/>
  <c r="E11" i="13"/>
  <c r="E10" i="13"/>
  <c r="E9"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<sst xmlns="http://schemas.openxmlformats.org/spreadsheetml/2006/main" count="245" uniqueCount="201">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</sst>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80">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Equation table" pivot="0" count="6" xr9:uid="{B247698E-E41D-4CCD-AA0A-C14817E9DE65}">
      <tableStyleElement type="wholeTable" dxfId="54"/>
      <tableStyleElement type="headerRow" dxfId="53"/>
      <tableStyleElement type="totalRow" dxfId="52"/>
      <tableStyleElement type="firstColumn" dxfId="51"/>
      <tableStyleElement type="firstRowStripe" dxfId="50"/>
      <tableStyleElement type="secondRowStripe" dxfId="4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𝑐ℎ𝑎𝑟𝑔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9E4CCA-0AAC-45C2-93EF-1276AA9BB64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CB39E7-51FB-41FB-88B1-C8602480DA2D}" name="State/Territory">
      <calculatedColumnFormula array="1">Common_InputFunctions.Utility_DisplayArrayInTable(Common_SourceData.Common_SourceData_AustralianStatesTerritories_Data(),Table_AustralianStates[[#Headers],[State/Territory]],0)</calculatedColumnFormula>
    </tableColumn>
    <tableColumn id="2" xr3:uid="{76B935C6-E0AA-4E2F-B913-8846C1CF2C06}" name="Common Name">
      <calculatedColumnFormula array="1">Common_InputFunctions.Utility_DisplayArrayInTable(Common_SourceData.Common_SourceData_AustralianStatesTerritories_Data(),Table_AustralianStates[[#Headers],[State/Territory]],0)</calculatedColumnFormula>
    </tableColumn>
    <tableColumn id="3" xr3:uid="{AD404565-9856-4955-9BC7-24E3F99E6B1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3CFCD7F-87E5-49FE-A450-A50C302DFF5D}" name="Table_WASA4Areas" displayName="Table_WASA4Areas" ref="D20:D30" totalsRowShown="0">
  <autoFilter ref="D20:D30" xr:uid="{5FA81339-C6C8-4D36-BEEA-6C4AEDD9E676}">
    <filterColumn colId="0" hiddenButton="1"/>
  </autoFilter>
  <tableColumns count="1">
    <tableColumn id="1" xr3:uid="{5DA26F65-8C56-4393-8642-E64A2AE4339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6F4FCA-0178-4519-A8B6-49E025EC5749}" name="Table_GWPData" displayName="Table_GWPData" ref="D36:E43" totalsRowShown="0">
  <autoFilter ref="D36:E43" xr:uid="{B8E87A66-3E41-4AD3-925D-01EE21B43D7A}">
    <filterColumn colId="0" hiddenButton="1"/>
    <filterColumn colId="1" hiddenButton="1"/>
  </autoFilter>
  <tableColumns count="2">
    <tableColumn id="1" xr3:uid="{3BAC556E-3EAB-4463-B7E1-2AFC81E03EC9}" name="Gas">
      <calculatedColumnFormula array="1">Common_InputFunctions.Utility_DisplayArrayInTable(Common_SourceData.Common_SourceData_GWP_Data(), Table_GWPData[[#Headers],[Gas]], 0)</calculatedColumnFormula>
    </tableColumn>
    <tableColumn id="2" xr3:uid="{AD59F627-44B1-4E8B-B632-BC4DD2310C2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EAAA99-094E-4DD6-8284-DCA12678CB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6A60727-183A-4F7C-8BCF-E9FE0472D7CC}" name="Gas">
      <calculatedColumnFormula array="1">Common_InputFunctions.Utility_DisplayArrayInTable(Common_SourceData.Common_SourceData_ConvertGasElementalToMolecular_Data(),Table_GasToMolecularConversionFactor[[#Headers],[Gas]], 0)</calculatedColumnFormula>
    </tableColumn>
    <tableColumn id="5" xr3:uid="{53FB1B55-99B3-499A-B892-03D0C7247D44}" name="Conversion factor">
      <calculatedColumnFormula array="1">Common_InputFunctions.Utility_DisplayArrayInTable(Common_SourceData.Common_SourceData_ConvertGasElementalToMolecular_Data(),Table_GasToMolecularConversionFactor[[#Headers],[Gas]], 0)</calculatedColumnFormula>
    </tableColumn>
    <tableColumn id="2" xr3:uid="{40F6A69C-1829-43FE-98E6-2E74DFA6D1D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3212B1-C399-4702-92BD-55A67F3F2A7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FBD9C5-0282-4DCF-82E2-2216505C4A7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76D509-D0C3-49A1-B9D8-08284AB6CEE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C867C7-EFB2-42CC-A862-F2BA89D656B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15C5-8A5C-40DD-BB9A-AD665ACE47D4}"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7A82EEE9-FEDA-4AA2-B708-F21A0B35FD92}"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81051FBF-C452-458B-B906-89297725250B}"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47816412-3173-47A9-AA2F-5B93FA7B5EA1}"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9CCAA0D9-18A2-41E9-95D7-CC54028168A2}"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9B01C41D-8677-44DD-AB99-EDF15D2AA84D}"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5297138E-1CA3-4EC8-AFFD-4CC27F3D7DE8}"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323868ED-5B5D-4073-84D2-CDB6A7FE4B47}"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B15FFD27-A174-45FD-89A2-263C52492F6D}"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0243E1CB-B4AD-4443-A4BF-43E0BBB33729}"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75E7AFED-9146-45B3-B97F-F4A9862EB867}"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6C508575-65A2-470B-81AF-A6C0CA8E4002}"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F7BA7ED3-94A4-4065-8353-D24F775C80B3}"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8BD114E1-55EB-4ABA-9E9A-527AF8EA0DCD}"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4344CEC7-633D-4F0B-B872-6A8B52FD9F9E}"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B857AA5-A630-45D5-9C47-FACDCBF1194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A273111-4E8F-4B7A-9699-A7F7C7DE86B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8050F56-BCD6-42E9-AEF8-B363D4CE209D}"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DED5297-91D5-4284-9619-DE0F745D861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84B352-C6B0-4DA6-BA8E-6647DBCA0431}" name="Temperature Zone">
      <calculatedColumnFormula array="1">Common_InputFunctions.Utility_DisplayArrayInTable(Common_SourceData.Common_SourceData_TemperatureZones_Data(),Table_SourceData_TemperatureZones[[#Headers],[Temperature Zone]],0)</calculatedColumnFormula>
    </tableColumn>
    <tableColumn id="2" xr3:uid="{A558CDBB-39EC-4A28-A962-AA9D8E27A0D4}" name="MAT">
      <calculatedColumnFormula array="1">Common_InputFunctions.Utility_DisplayArrayInTable(Common_SourceData.Common_SourceData_TemperatureZones_Data(),Table_SourceData_TemperatureZones[[#Headers],[Temperature Zone]],0)</calculatedColumnFormula>
    </tableColumn>
    <tableColumn id="3" xr3:uid="{28487907-E716-46DE-9156-D74856E13B38}" name="Min MAT">
      <calculatedColumnFormula array="1">Common_InputFunctions.Utility_DisplayArrayInTable(Common_SourceData.Common_SourceData_TemperatureZones_Data(),Table_SourceData_TemperatureZones[[#Headers],[Temperature Zone]],0)</calculatedColumnFormula>
    </tableColumn>
    <tableColumn id="4" xr3:uid="{9B8A692F-2DCC-4542-8E92-FDEEE157E6C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603F430-E574-4A2C-9607-F26208C2733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0EDC2B7-45E9-4952-9A67-A68210C6EF02}" name="Rainfall Zone">
      <calculatedColumnFormula array="1">Common_InputFunctions.Utility_DisplayArrayInTable(Common_SourceData.Common_SourceData_RainfallZones_Data(),Table_SourceData_RainfallZones[[#Headers],[Rainfall Zone]],0)</calculatedColumnFormula>
    </tableColumn>
    <tableColumn id="2" xr3:uid="{6F295CD2-3341-4CF9-915B-C14792AC05F0}" name="Annual rainfall">
      <calculatedColumnFormula array="1">Common_InputFunctions.Utility_DisplayArrayInTable(Common_SourceData.Common_SourceData_RainfallZones_Data(),Table_SourceData_RainfallZones[[#Headers],[Rainfall Zone]],0)</calculatedColumnFormula>
    </tableColumn>
    <tableColumn id="3" xr3:uid="{E4319678-2D68-42BA-9B9B-55DE5FE2CF08}" name="Min rainfall">
      <calculatedColumnFormula array="1">Common_InputFunctions.Utility_DisplayArrayInTable(Common_SourceData.Common_SourceData_RainfallZones_Data(),Table_SourceData_RainfallZones[[#Headers],[Rainfall Zone]],0)</calculatedColumnFormula>
    </tableColumn>
    <tableColumn id="4" xr3:uid="{8385AEE4-80C3-4F31-9C97-70572F4DFC5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935D45-3A1B-4C67-AC74-E80E2021CA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6CB636-0E3D-438C-9CF4-04E3A9A957C1}" name="Leaching Zone">
      <calculatedColumnFormula array="1">Common_InputFunctions.Utility_DisplayArrayInTable(Common_SourceData.Common_SourceData_LeachingZones_Data(), Table_SourceData_LeachingZones[[#Headers],[Leaching Zone]], 0)</calculatedColumnFormula>
    </tableColumn>
    <tableColumn id="2" xr3:uid="{65566C76-8C78-48C2-9A91-04AA613748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5EF5E17-5744-4177-92C5-04BFB94316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B47C637-D605-43CE-A174-EF7882E51202}" name="Data source">
      <calculatedColumnFormula array="1">Common_InputFunctions.Utility_DisplayArrayInTable(Common_SourceData.Common_SourceData_DataScores_Scope3_Data(), Table_SourceData_DataScores_Scope3[[#Headers],[Data source]], 0)</calculatedColumnFormula>
    </tableColumn>
    <tableColumn id="2" xr3:uid="{E98D5916-B166-4E81-810B-92F8ADC1C34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6DF7BF0-C956-4A24-8BEC-743A34AF2093}" name="Table_SourceData_FracWET" displayName="Table_SourceData_FracWET" ref="D134:E136" totalsRowShown="0">
  <autoFilter ref="D134:E136" xr:uid="{308E99BE-FE1F-47A4-B2CA-97217277C4E9}">
    <filterColumn colId="0" hiddenButton="1"/>
    <filterColumn colId="1" hiddenButton="1"/>
  </autoFilter>
  <tableColumns count="2">
    <tableColumn id="1" xr3:uid="{43B3C38E-6BF2-4244-BEB1-1FE61C3359E4}" name="Is in leaching zone">
      <calculatedColumnFormula array="1">Common_InputFunctions.Utility_DisplayArrayInTable(Common_SourceData.Common_SourceData_FracWET_Data(),Table_SourceData_FracWET[[#Headers],[Is in leaching zone]],0)</calculatedColumnFormula>
    </tableColumn>
    <tableColumn id="2" xr3:uid="{93983839-1A22-4584-9E3E-23572FE55ACF}"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82917F9-4C6B-4249-B74B-0CE40CE0DF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EE4F900-EB46-416E-8085-67C93CA84F28}" name="Production system j">
      <calculatedColumnFormula array="1">Common_InputFunctions.Utility_DisplayArrayInTable(Common_SourceData.Common_SourceData_EFN2O_Data(), Table_SourceData_Common_EFN2O[[#Headers],[Production system j]], 0)</calculatedColumnFormula>
    </tableColumn>
    <tableColumn id="2" xr3:uid="{604721E2-8C0A-4B06-A089-FFE719408B1C}" name="EFN2O">
      <calculatedColumnFormula array="1">Common_InputFunctions.Utility_DisplayArrayInTable(Common_SourceData.Common_SourceData_EFN2O_Data(), Table_SourceData_Common_EFN2O[[#Headers],[Production system j]], 0)</calculatedColumnFormula>
    </tableColumn>
    <tableColumn id="3" xr3:uid="{B8D7E5A6-C723-4CAE-A860-F25A42968091}" name="Production system only">
      <calculatedColumnFormula array="1">Common_InputFunctions.Utility_DisplayArrayInTable(Common_SourceData.Common_SourceData_EFN2O_Data(), Table_SourceData_Common_EFN2O[[#Headers],[Production system j]], 0)</calculatedColumnFormula>
    </tableColumn>
    <tableColumn id="4" xr3:uid="{540836E9-D66A-48D4-BBC1-FCA909DE3F83}" name="Irrigation method">
      <calculatedColumnFormula array="1">Common_InputFunctions.Utility_DisplayArrayInTable(Common_SourceData.Common_SourceData_EFN2O_Data(), Table_SourceData_Common_EFN2O[[#Headers],[Production system j]], 0)</calculatedColumnFormula>
    </tableColumn>
    <tableColumn id="5" xr3:uid="{2C90BE05-7B60-4261-808C-E0036DB5456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B17278C-ABD1-4171-BCC1-33626862DF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71879AA-55B6-4482-A2AB-2F01D398DD4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DA1871-FF63-42FF-B639-D02C05C17A06}"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700591-EDDA-45AB-AB91-D569D255CF9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97CB718-DBE0-44AC-B5B0-462B7CE984A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732B7E6-85E1-4A92-9D88-D3B71D62202D}"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1BDD60F-9F19-4B8E-842D-74D60109578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3D1DB54-7EC9-45C5-AA43-D42480AC07ED}" name="Month">
      <calculatedColumnFormula array="1">Common_InputFunctions.Utility_DisplayArrayInTable(Common_SourceData.Common_SourceData_MonthsToSeasons_Data(), Table_SourceData_Common_MonthToSeason[[#Headers],[Month]], 0)</calculatedColumnFormula>
    </tableColumn>
    <tableColumn id="2" xr3:uid="{F50F623F-957D-4CF0-967E-F29EC98FB95F}"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D219835-5028-4F1A-A7BC-7B0516A34D4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8297A7-0758-47D0-B012-900396128A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A117CB4-5EC1-4605-9CC4-270B9ABD3A1E}"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1EDC81D-2D07-4721-B457-841FE616EE24}"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4CF17A-4395-401C-8218-521BAA3A2DE9}"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6E4C603-053D-4499-9C1B-95E75A362D2D}"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FBFAE1-2262-4DAF-9BC1-AEDF123BE6C4}"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1E2A7F2-8ED8-41ED-ABC6-892007342633}"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8ADF5DA-3D1E-42D9-B485-DF60F248A7EE}"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3AA4A7B-D3F8-4A6B-B41B-586C026F2C16}"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D3FE90E-815E-4AEA-95D5-62EE1BC9A969}"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11EA3C3-09B1-48B5-83B7-A853195537A3}"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A326DBE-DADA-495E-A68C-B02209EECC74}"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C3DBA3F-CC24-4128-9912-6402C7213D77}"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3EF7FE6-48B7-4764-86F5-BDBA2C72CE4C}"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3453DF5-F097-4A79-BDED-67400258CBB2}"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CA96492-7A58-43AB-8A0E-D52C8DB61920}"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ECAA8F0-0F85-4E43-AAE4-279E52D5D14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D74FF67-94EA-42AF-8D18-7770A8E7BCD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AD1A2A0-27D0-46E2-BF96-1F9CDB6DDB56}"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E41B491-C3C3-4647-A50C-6B4EB8B9696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0AD6A1B-FCFB-41DB-ADB9-8C647A50A55C}" name="Description" dataDxfId="12" dataCellStyle="Content normal"/>
    <tableColumn id="1" xr3:uid="{A074D948-769B-40B1-82A9-7EB81EEC925C}" name="ID"/>
    <tableColumn id="3" xr3:uid="{CD9F45DA-F456-4D47-BA58-6DF4F15426C3}"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E9F2803-61C4-4479-9CE3-A76CB4689A1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77E6E6A-E5BF-44A4-BDE2-E0A417454511}" name="Description"/>
    <tableColumn id="2" xr3:uid="{B20012F4-D2E7-4FC3-A394-E850D08A4EDC}" name="ID"/>
    <tableColumn id="3" xr3:uid="{A59CB196-463B-4D73-A2B2-9C81BF26051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3B1125-F38E-4E54-BE20-A0A877373D28}"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C61190F1-16A0-46B6-84CA-CF6F688C1927}" name="Description"/>
    <tableColumn id="2" xr3:uid="{1DA86C1B-1B89-4CF7-B21E-F4890F95FEA4}" name="ID"/>
    <tableColumn id="3" xr3:uid="{7FDBAA21-311B-4A39-AC23-60BD6C873C30}"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3EE507-595C-499B-BEFC-E1ABBE4DF28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8CD8878-DCCE-45E1-9DD2-148B45F88B34}" name="Description"/>
    <tableColumn id="2" xr3:uid="{F058E974-C540-453C-9D02-8F74CBAADA7D}" name="ID"/>
    <tableColumn id="3" xr3:uid="{237CA389-E792-4831-8BE6-A27AAEF979E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21" Type="http://schemas.openxmlformats.org/officeDocument/2006/relationships/table" Target="../tables/table25.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20"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19" Type="http://schemas.openxmlformats.org/officeDocument/2006/relationships/table" Target="../tables/table23.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 Id="rId22"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152</v>
      </c>
    </row>
    <row r="3" spans="1:1" x14ac:dyDescent="0.25">
      <c r="A3" s="79" t="str">
        <f>HYPERLINK("#'Home'!A1", "Home")</f>
        <v>Home</v>
      </c>
    </row>
    <row r="6" spans="1:1" x14ac:dyDescent="0.25">
      <c r="A6" s="78"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I363"/>
  <sheetViews>
    <sheetView showGridLines="0" tabSelected="1"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B8F57-FC38-406F-89F3-FA0E1B842231}">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8" t="s">
        <v>1</v>
      </c>
      <c r="D6" s="24" t="s">
        <v>5</v>
      </c>
      <c r="E6" s="24" t="s">
        <v>6</v>
      </c>
      <c r="F6" s="24" t="s">
        <v>7</v>
      </c>
    </row>
    <row r="7" spans="1:65" ht="20.100000000000001" customHeight="1" x14ac:dyDescent="0.25">
      <c r="A7" s="61"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78</v>
      </c>
      <c r="E257" s="24" t="s">
        <v>79</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153</v>
      </c>
    </row>
    <row r="264" spans="4:6" x14ac:dyDescent="0.25">
      <c r="D264" s="1" t="s">
        <v>154</v>
      </c>
    </row>
    <row r="265" spans="4:6" x14ac:dyDescent="0.25">
      <c r="D265" s="24" t="s">
        <v>155</v>
      </c>
      <c r="E265" s="24" t="s">
        <v>156</v>
      </c>
      <c r="F265" s="24" t="s">
        <v>157</v>
      </c>
    </row>
    <row r="266" spans="4:6" x14ac:dyDescent="0.25">
      <c r="D266" s="24" t="s">
        <v>158</v>
      </c>
      <c r="E266" s="24" t="s">
        <v>159</v>
      </c>
      <c r="F266" s="24">
        <v>5</v>
      </c>
    </row>
    <row r="267" spans="4:6" x14ac:dyDescent="0.25">
      <c r="D267" s="24" t="s">
        <v>160</v>
      </c>
      <c r="E267" s="24" t="s">
        <v>161</v>
      </c>
      <c r="F267" s="24">
        <v>4</v>
      </c>
    </row>
    <row r="268" spans="4:6" x14ac:dyDescent="0.25">
      <c r="D268" s="24" t="s">
        <v>162</v>
      </c>
      <c r="E268" s="24" t="s">
        <v>163</v>
      </c>
      <c r="F268" s="24">
        <v>3</v>
      </c>
    </row>
    <row r="269" spans="4:6" x14ac:dyDescent="0.25">
      <c r="D269" s="24" t="s">
        <v>164</v>
      </c>
      <c r="E269" s="24" t="s">
        <v>165</v>
      </c>
      <c r="F269" s="24">
        <v>2</v>
      </c>
    </row>
    <row r="270" spans="4:6" x14ac:dyDescent="0.25">
      <c r="D270" s="24" t="s">
        <v>166</v>
      </c>
      <c r="E270" s="24" t="s">
        <v>167</v>
      </c>
      <c r="F270" s="24">
        <v>1</v>
      </c>
    </row>
    <row r="273" spans="4:6" x14ac:dyDescent="0.25">
      <c r="D273" s="1" t="s">
        <v>168</v>
      </c>
    </row>
    <row r="274" spans="4:6" x14ac:dyDescent="0.25">
      <c r="D274" s="24" t="s">
        <v>155</v>
      </c>
      <c r="E274" s="24" t="s">
        <v>156</v>
      </c>
      <c r="F274" s="24" t="s">
        <v>157</v>
      </c>
    </row>
    <row r="275" spans="4:6" x14ac:dyDescent="0.25">
      <c r="D275" s="24" t="s">
        <v>169</v>
      </c>
      <c r="E275" s="24" t="s">
        <v>170</v>
      </c>
      <c r="F275" s="24">
        <v>5</v>
      </c>
    </row>
    <row r="276" spans="4:6" x14ac:dyDescent="0.25">
      <c r="D276" s="24" t="s">
        <v>171</v>
      </c>
      <c r="E276" s="24" t="s">
        <v>172</v>
      </c>
      <c r="F276" s="24">
        <v>4</v>
      </c>
    </row>
    <row r="277" spans="4:6" x14ac:dyDescent="0.25">
      <c r="D277" s="24" t="s">
        <v>173</v>
      </c>
      <c r="E277" s="24" t="s">
        <v>174</v>
      </c>
      <c r="F277" s="24">
        <v>3</v>
      </c>
    </row>
    <row r="278" spans="4:6" x14ac:dyDescent="0.25">
      <c r="D278" s="24" t="s">
        <v>175</v>
      </c>
      <c r="E278" s="24" t="s">
        <v>176</v>
      </c>
      <c r="F278" s="24">
        <v>2</v>
      </c>
    </row>
    <row r="279" spans="4:6" x14ac:dyDescent="0.25">
      <c r="D279" s="24" t="s">
        <v>177</v>
      </c>
      <c r="E279" s="24" t="s">
        <v>178</v>
      </c>
      <c r="F279" s="24">
        <v>1</v>
      </c>
    </row>
    <row r="282" spans="4:6" x14ac:dyDescent="0.25">
      <c r="D282" s="1" t="s">
        <v>179</v>
      </c>
    </row>
    <row r="283" spans="4:6" x14ac:dyDescent="0.25">
      <c r="D283" s="24" t="s">
        <v>155</v>
      </c>
      <c r="E283" s="24" t="s">
        <v>156</v>
      </c>
      <c r="F283" s="24" t="s">
        <v>157</v>
      </c>
    </row>
    <row r="284" spans="4:6" x14ac:dyDescent="0.25">
      <c r="D284" s="24" t="s">
        <v>180</v>
      </c>
      <c r="E284" s="24" t="s">
        <v>181</v>
      </c>
      <c r="F284" s="24">
        <v>5</v>
      </c>
    </row>
    <row r="285" spans="4:6" x14ac:dyDescent="0.25">
      <c r="D285" s="24" t="s">
        <v>182</v>
      </c>
      <c r="E285" s="24" t="s">
        <v>183</v>
      </c>
      <c r="F285" s="24">
        <v>4</v>
      </c>
    </row>
    <row r="286" spans="4:6" x14ac:dyDescent="0.25">
      <c r="D286" s="24" t="s">
        <v>184</v>
      </c>
      <c r="E286" s="24" t="s">
        <v>185</v>
      </c>
      <c r="F286" s="24">
        <v>3</v>
      </c>
    </row>
    <row r="287" spans="4:6" x14ac:dyDescent="0.25">
      <c r="D287" s="24" t="s">
        <v>186</v>
      </c>
      <c r="E287" s="24" t="s">
        <v>187</v>
      </c>
      <c r="F287" s="24">
        <v>2</v>
      </c>
    </row>
    <row r="288" spans="4:6" x14ac:dyDescent="0.25">
      <c r="D288" s="24" t="s">
        <v>188</v>
      </c>
      <c r="E288" s="24" t="s">
        <v>189</v>
      </c>
      <c r="F288" s="24">
        <v>1</v>
      </c>
    </row>
    <row r="291" spans="4:6" x14ac:dyDescent="0.25">
      <c r="D291" s="1" t="s">
        <v>190</v>
      </c>
    </row>
    <row r="292" spans="4:6" x14ac:dyDescent="0.25">
      <c r="D292" s="24" t="s">
        <v>155</v>
      </c>
      <c r="E292" s="24" t="s">
        <v>156</v>
      </c>
      <c r="F292" s="24" t="s">
        <v>157</v>
      </c>
    </row>
    <row r="293" spans="4:6" x14ac:dyDescent="0.25">
      <c r="D293" s="24" t="s">
        <v>191</v>
      </c>
      <c r="E293" s="24" t="s">
        <v>192</v>
      </c>
      <c r="F293" s="24">
        <v>5</v>
      </c>
    </row>
    <row r="294" spans="4:6" x14ac:dyDescent="0.25">
      <c r="D294" s="24" t="s">
        <v>193</v>
      </c>
      <c r="E294" s="24" t="s">
        <v>194</v>
      </c>
      <c r="F294" s="24">
        <v>4</v>
      </c>
    </row>
    <row r="295" spans="4:6" x14ac:dyDescent="0.25">
      <c r="D295" s="24" t="s">
        <v>195</v>
      </c>
      <c r="E295" s="24" t="s">
        <v>196</v>
      </c>
      <c r="F295" s="24">
        <v>3</v>
      </c>
    </row>
    <row r="296" spans="4:6" x14ac:dyDescent="0.25">
      <c r="D296" s="24" t="s">
        <v>197</v>
      </c>
      <c r="E296" s="24" t="s">
        <v>198</v>
      </c>
      <c r="F296" s="24">
        <v>2</v>
      </c>
    </row>
    <row r="297" spans="4:6" x14ac:dyDescent="0.25">
      <c r="D297" s="24" t="s">
        <v>199</v>
      </c>
      <c r="E297" s="24" t="s">
        <v>200</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