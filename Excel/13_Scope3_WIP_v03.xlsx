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5712693-5805-4592-AF97-D477C80B60B7}" xr6:coauthVersionLast="47" xr6:coauthVersionMax="47" xr10:uidLastSave="{00000000-0000-0000-0000-000000000000}"/>
  <bookViews>
    <workbookView xWindow="30" yWindow="0" windowWidth="37920" windowHeight="20700" firstSheet="3" activeTab="6" xr2:uid="{992023F3-CAB7-4E5B-A348-08D563A0EF40}"/>
  </bookViews>
  <sheets>
    <sheet name="Home" sheetId="71" r:id="rId1"/>
    <sheet name="Overview" sheetId="118" r:id="rId2"/>
    <sheet name="Results" sheetId="13" r:id="rId3"/>
    <sheet name="Input - Site" sheetId="15" r:id="rId4"/>
    <sheet name="Scope 3 calcs" sheetId="125" r:id="rId5"/>
    <sheet name="Constants - Fertiliser" sheetId="128" r:id="rId6"/>
    <sheet name="Constants - Common" sheetId="111"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 hidden="1">_xlfn.LAMBDA(_xlpm.TotalResidue,_xlpm.AmountRemoved, (_xlpm.AmountRemoved * 10 ^ 3) / (_xlpm.TotalResidue * 10 ^ 3))</definedName>
    <definedName name="CommonCropping_InputFunctions.CommonCropping_CalculateHarvestIndex" hidden="1">_xlfn.LAMBDA(_xlpm.CropType,_xlpm.CropTypeArray,_xlpm.ResidueCropRatioArray, 1 / (1 + 'Constants - Fertiliser'!Common_InputFunctions.Utility_LookupValueInTableNumber(_xlpm.CropType, _xlpm.CropTypeArray, _xlpm.ResidueCropRatioArray)))</definedName>
    <definedName name="CommonCropping_InputFunctions.CommonCropping_CalculateResidueCropRatio" hidden="1">_xlfn.LAMBDA(_xlpm.HarvestIndex, (1 - _xlpm.HarvestIndex) / _xlpm.HarvestIndex)</definedName>
    <definedName name="CommonCropping_InputFunctions.CommonCropping_GetFracWET" hidden="1">_xlfn.LAMBDA(_xlpm.LeachingZone,_xlpm.ProductionSystem,_xlpm.LeachingZoneLookup,_xlpm.LeachingZoneFracWETLookup,_xlpm.ProductionSystemLookup,_xlpm.ProductionSystemFracWETLookup, _xlfn.LET(_xlpm.LeachingZoneFracWET, 'Constants - Fertiliser'!Common_InputFunctions.Utility_LookupValueInTableNumber(_xlpm.LeachingZone, _xlpm.LeachingZoneLookup, _xlpm.LeachingZoneFracWETLookup), _xlpm.ProductionSystemFracWET, 'Constants - Fertiliser'!Common_InputFunctions.Utility_LookupValueInTableNumber(_xlpm.ProductionSystem,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 hidden="1">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 hidden="1">_xlfn.LAMBDA("National Inventory Report 2023 Volume 1: Equations 3.B.5a_3, 3.B.5c_3, 3.B.5d_3")</definedName>
    <definedName name="CommonLivestock_SourceData.SourceData_Livestock_Common_FracLEACH_MS_Title" hidden="1">_xlfn.LAMBDA("Fraction of N lost through leaching and runoff")</definedName>
    <definedName name="CommonLivestock_SourceData.SourceData_Livestock_Common_FracLEACH_MS_Unit" hidden="1">_xlfn.LAMBDA("Fraction")</definedName>
    <definedName name="CommonLivestock_SourceData.SourceData_Livestock_Common_FracWETMMS_Data" hidden="1">_xlfn.LAMBDA(1)</definedName>
    <definedName name="CommonLivestock_SourceData.SourceData_Livestock_Common_FracWETMMS_Source" hidden="1">_xlfn.LAMBDA("National Inventory Report 2023 Volume 1: Equations 3.B.5a_3, 3.B.5c_3, 3.B.5d_3")</definedName>
    <definedName name="CommonLivestock_SourceData.SourceData_Livestock_Common_FracWETMMS_Title" hidden="1">_xlfn.LAMBDA("Fraction of N available for leaching and runoff")</definedName>
    <definedName name="CommonLivestock_SourceData.SourceData_Livestock_Common_FracWETMMS_Unit" hidden="1">_xlfn.LAMBDA("Fraction")</definedName>
    <definedName name="CommonLivestock_SourceData.SourceData_Livestock_Common_SymbolsMMS_Data" hidden="1">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 hidden="1">_xlfn.LAMBDA("National Inventory Report 2023 Volume 1: Table 5.12")</definedName>
    <definedName name="CommonLivestock_SourceData.SourceData_Livestock_Common_SymbolsMMS_Title" hidden="1">_xlfn.LAMBDA("Table 5.12 Additional symbols used in algorithms for manure related emissions")</definedName>
    <definedName name="CommonLivestock_SourceData.SourceData_Livestock_Common_SymbolsMMS_Unit" hidden="1">_xlfn.LAMBDA("")</definedName>
    <definedName name="CommonLivestock_SourceData.SourceData_Livestock_Common_SymbolsMMS_Vairable" hidden="1">_xlfn.LAMBDA("MMS")</definedName>
    <definedName name="Fertiliser_Equations_AtmosphericDeposition.VEERG_5_4_1_1__1_InorganicFertiliserAtmosphericDepositionN2OEmissions" hidden="1">_xlfn.LAMBDA(_xlpm.M_volinorganicjf,_xlpm.EF_N2Oj,_xlpm.C_N2O, (_xlpm.M_volinorganicjf * _xlpm.EF_N2Oj) * _xlpm.C_N2O * 10 ^ -3)</definedName>
    <definedName name="Fertiliser_Equations_AtmosphericDeposition.VEERG_5_4_1_1__1_InorganicFertiliserAtmosphericDepositionN2OEmissions_Arguments" hidden="1">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 hidden="1">_xlfn.LAMBDA("E_{ad,inorganic}=\sum\nolimits_{j}\sum\nolimits_{f}((M_{vol,inorganic,jf}\times EF_{N2O,j})\times C_{N2O}\times 10^{-3})")</definedName>
    <definedName name="Fertiliser_Equations_AtmosphericDeposition.VEERG_5_4_1_1__1_InorganicFertiliserAtmosphericDepositionN2OEmissions_NIRReference" hidden="1">_xlfn.LAMBDA("")</definedName>
    <definedName name="Fertiliser_Equations_AtmosphericDeposition.VEERG_5_4_1_1__1_InorganicFertiliserAtmosphericDepositionN2OEmissions_Source" hidden="1">_xlfn.LAMBDA("VEERG 2026: 5.4.1.1, Equation (1)")</definedName>
    <definedName name="Fertiliser_Equations_AtmosphericDeposition.VEERG_5_4_1_1__1_InorganicFertiliserAtmosphericDepositionN2OEmissions_Title" hidden="1">_xlfn.LAMBDA("Nitrous oxide emissions from atmospheric deposition from all inorganic fertiliser types f and all production systems j")</definedName>
    <definedName name="Fertiliser_Equations_AtmosphericDeposition.VEERG_5_4_1_1__1_InorganicFertiliserAtmosphericDepositionN2OEmissions_Unit" hidden="1">_xlfn.LAMBDA("t N2O")</definedName>
    <definedName name="Fertiliser_Equations_AtmosphericDeposition.VEERG_5_4_1_1__1_InorganicFertiliserAtmosphericDepositionN2OEmissions_Variable" hidden="1">_xlfn.LAMBDA("E_adinorganic")</definedName>
    <definedName name="Fertiliser_Equations_AtmosphericDeposition.VEERG_5_4_1_1__2_MassOfNitrogenVolatilisedFromInorganicFertiliser" hidden="1">_xlfn.LAMBDA(_xlpm.MN_jf,_xlpm.FracGASF_f, _xlpm.MN_jf * _xlpm.FracGASF_f)</definedName>
    <definedName name="Fertiliser_Equations_AtmosphericDeposition.VEERG_5_4_1_1__2_MassOfNitrogenVolatilisedFromInorganicFertiliser_Arguments" hidden="1">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 hidden="1">_xlfn.LAMBDA("M_{vol,inorganic,jf}={MN}_{jf}\times FracGASF_{f}")</definedName>
    <definedName name="Fertiliser_Equations_AtmosphericDeposition.VEERG_5_4_1_1__2_MassOfNitrogenVolatilisedFromInorganicFertiliser_NIRReference" hidden="1">_xlfn.LAMBDA("")</definedName>
    <definedName name="Fertiliser_Equations_AtmosphericDeposition.VEERG_5_4_1_1__2_MassOfNitrogenVolatilisedFromInorganicFertiliser_Source" hidden="1">_xlfn.LAMBDA("VEERG 2026: 5.4.1.1, Equation (2)")</definedName>
    <definedName name="Fertiliser_Equations_AtmosphericDeposition.VEERG_5_4_1_1__2_MassOfNitrogenVolatilisedFromInorganicFertiliser_Title" hidden="1">_xlfn.LAMBDA("Mass of nitrogen volatilised from inorganic fertiliser applied to production system")</definedName>
    <definedName name="Fertiliser_Equations_AtmosphericDeposition.VEERG_5_4_1_1__2_MassOfNitrogenVolatilisedFromInorganicFertiliser_Unit" hidden="1">_xlfn.LAMBDA("kg N")</definedName>
    <definedName name="Fertiliser_Equations_AtmosphericDeposition.VEERG_5_4_1_1__2_MassOfNitrogenVolatilisedFromInorganicFertiliser_Variable" hidden="1">_xlfn.LAMBDA("M_volinorganicjf")</definedName>
    <definedName name="Fertiliser_Equations_AtmosphericDeposition.VEERG_5_4_1_3__1_OrganicFertiliserAtmosphericDepositionN2OEmissions" hidden="1">_xlfn.LAMBDA(_xlpm.M_volorganicjf,_xlpm.EF_N2Oj,_xlpm.C_N2O, (_xlpm.M_volorganicjf * _xlpm.EF_N2Oj) * _xlpm.C_N2O * 10 ^ -3)</definedName>
    <definedName name="Fertiliser_Equations_AtmosphericDeposition.VEERG_5_4_1_3__1_OrganicFertiliserAtmosphericDepositionN2OEmissions_Arguments" hidden="1">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 hidden="1">_xlfn.LAMBDA("E_{ad,organic}=\sum\nolimits_{j}\sum\nolimits_{f}((M_{vol,organic,jf}\times EF_{N2O,j})\times C_{N2O}\times 10^{-3})")</definedName>
    <definedName name="Fertiliser_Equations_AtmosphericDeposition.VEERG_5_4_1_3__1_OrganicFertiliserAtmosphericDepositionN2OEmissions_NIRReference" hidden="1">_xlfn.LAMBDA("")</definedName>
    <definedName name="Fertiliser_Equations_AtmosphericDeposition.VEERG_5_4_1_3__1_OrganicFertiliserAtmosphericDepositionN2OEmissions_Source" hidden="1">_xlfn.LAMBDA("VEERG 2026: 5.4.1.3, Equation (1)")</definedName>
    <definedName name="Fertiliser_Equations_AtmosphericDeposition.VEERG_5_4_1_3__1_OrganicFertiliserAtmosphericDepositionN2OEmissions_Title" hidden="1">_xlfn.LAMBDA("Nitrous oxide emissions from atmospheric deposition of all organic fertiliser types f and all production systems j")</definedName>
    <definedName name="Fertiliser_Equations_AtmosphericDeposition.VEERG_5_4_1_3__1_OrganicFertiliserAtmosphericDepositionN2OEmissions_Unit" hidden="1">_xlfn.LAMBDA("t N2O")</definedName>
    <definedName name="Fertiliser_Equations_AtmosphericDeposition.VEERG_5_4_1_3__1_OrganicFertiliserAtmosphericDepositionN2OEmissions_Variable" hidden="1">_xlfn.LAMBDA("E_adorganic")</definedName>
    <definedName name="Fertiliser_Equations_AtmosphericDeposition.VEERG_5_4_1_3__2_MassOfNitrogenVolatilisedFromOrganicFertiliser" hidden="1">_xlfn.LAMBDA(_xlpm.MNSoil_jf,_xlpm.FracGASM_soil, _xlpm.MNSoil_jf * _xlpm.FracGASM_soil)</definedName>
    <definedName name="Fertiliser_Equations_AtmosphericDeposition.VEERG_5_4_1_3__2_MassOfNitrogenVolatilisedFromOrganicFertiliser_Arguments" hidden="1">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 hidden="1">_xlfn.LAMBDA("M_{vol,organic,jf}=MNSoil_{jf}\times FracGASM_{soil}")</definedName>
    <definedName name="Fertiliser_Equations_AtmosphericDeposition.VEERG_5_4_1_3__2_MassOfNitrogenVolatilisedFromOrganicFertiliser_NIRReference" hidden="1">_xlfn.LAMBDA("")</definedName>
    <definedName name="Fertiliser_Equations_AtmosphericDeposition.VEERG_5_4_1_3__2_MassOfNitrogenVolatilisedFromOrganicFertiliser_Source" hidden="1">_xlfn.LAMBDA("VEERG 2026: 5.4.1.3, Equation (2)")</definedName>
    <definedName name="Fertiliser_Equations_AtmosphericDeposition.VEERG_5_4_1_3__2_MassOfNitrogenVolatilisedFromOrganicFertiliser_Title" hidden="1">_xlfn.LAMBDA("Mass of nitrogen volatilised from organic fertiliser applied to production system")</definedName>
    <definedName name="Fertiliser_Equations_AtmosphericDeposition.VEERG_5_4_1_3__2_MassOfNitrogenVolatilisedFromOrganicFertiliser_Unit" hidden="1">_xlfn.LAMBDA("kg N")</definedName>
    <definedName name="Fertiliser_Equations_AtmosphericDeposition.VEERG_5_4_1_3__2_MassOfNitrogenVolatilisedFromOrganicFertiliser_Variable" hidden="1">_xlfn.LAMBDA("M_volorganicjf")</definedName>
    <definedName name="Fertiliser_Equations_InorganicCO2.VEERG_5_1_1_3__1_InorganicFertiliserApplicationCO2Emissions" hidden="1">_xlfn.LAMBDA(_xlpm.MU_jf,_xlpm.EF_ureaCO2,_xlpm.C_CO2, (_xlpm.MU_jf * _xlpm.EF_ureaCO2 * _xlpm.C_CO2) * 10 ^ -3)</definedName>
    <definedName name="Fertiliser_Equations_InorganicCO2.VEERG_5_1_1_3__1_InorganicFertiliserApplicationCO2Emissions_Arguments" hidden="1">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 hidden="1">_xlfn.LAMBDA("E_{CO2}=\sum_{j}\sum_{f}((MU_{jf}\times EF_{urea,CO2}\times C_{CO2})\times 10^{-3})")</definedName>
    <definedName name="Fertiliser_Equations_InorganicCO2.VEERG_5_1_1_3__1_InorganicFertiliserApplicationCO2Emissions_NIRReference" hidden="1">_xlfn.LAMBDA("")</definedName>
    <definedName name="Fertiliser_Equations_InorganicCO2.VEERG_5_1_1_3__1_InorganicFertiliserApplicationCO2Emissions_Source" hidden="1">_xlfn.LAMBDA("VEERG 2026: 5.1.1.3, Equation (1)")</definedName>
    <definedName name="Fertiliser_Equations_InorganicCO2.VEERG_5_1_1_3__1_InorganicFertiliserApplicationCO2Emissions_Title" hidden="1">_xlfn.LAMBDA("Carbon dioxide emissions resulting from the use of all inorganic, urea-based fertilisers")</definedName>
    <definedName name="Fertiliser_Equations_InorganicCO2.VEERG_5_1_1_3__1_InorganicFertiliserApplicationCO2Emissions_Unit" hidden="1">_xlfn.LAMBDA("t CO2")</definedName>
    <definedName name="Fertiliser_Equations_InorganicCO2.VEERG_5_1_1_3__1_InorganicFertiliserApplicationCO2Emissions_Variable" hidden="1">_xlfn.LAMBDA("E_CO2")</definedName>
    <definedName name="Fertiliser_Equations_InorganicCO2.VEERG_5_1_1_3__2_MassOfUreaInInorganicFertiliser" hidden="1">_xlfn.LAMBDA(_xlpm.TM_jf,_xlpm.FU_f, _xlpm.TM_jf * _xlpm.FU_f)</definedName>
    <definedName name="Fertiliser_Equations_InorganicCO2.VEERG_5_1_1_3__2_MassOfUreaInInorganicFertiliser_Arguments" hidden="1">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 hidden="1">_xlfn.LAMBDA("{MU}_{jf}=TM_{jf}\times FU_f")</definedName>
    <definedName name="Fertiliser_Equations_InorganicCO2.VEERG_5_1_1_3__2_MassOfUreaInInorganicFertiliser_NIRReference" hidden="1">_xlfn.LAMBDA("")</definedName>
    <definedName name="Fertiliser_Equations_InorganicCO2.VEERG_5_1_1_3__2_MassOfUreaInInorganicFertiliser_Source" hidden="1">_xlfn.LAMBDA("VEERG 2026: 5.1.1.3, Equation (2)")</definedName>
    <definedName name="Fertiliser_Equations_InorganicCO2.VEERG_5_1_1_3__2_MassOfUreaInInorganicFertiliser_Title" hidden="1">_xlfn.LAMBDA("Mass of urea applied to production system")</definedName>
    <definedName name="Fertiliser_Equations_InorganicCO2.VEERG_5_1_1_3__2_MassOfUreaInInorganicFertiliser_Unit" hidden="1">_xlfn.LAMBDA("kg urea")</definedName>
    <definedName name="Fertiliser_Equations_InorganicCO2.VEERG_5_1_1_3__2_MassOfUreaInInorganicFertiliser_Variable" hidden="1">_xlfn.LAMBDA("MU_jf")</definedName>
    <definedName name="Fertiliser_Equations_InorganicN2O.VEERG_5_1_1_1__1_InorganicFertiliserApplicationN2OEmissions" hidden="1">_xlfn.LAMBDA(_xlpm.MN_jf,_xlpm.EF_jN2O,_xlpm.C_N2O, (_xlpm.MN_jf * _xlpm.EF_jN2O * _xlpm.C_N2O) * 10 ^ -3)</definedName>
    <definedName name="Fertiliser_Equations_InorganicN2O.VEERG_5_1_1_1__1_InorganicFertiliserApplicationN2OEmissions_Arguments" hidden="1">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 hidden="1">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 hidden="1">_xlfn.LAMBDA("E_{N2O}=\sum_{j}\sum_{f}((MN_{jf}\times EF_{j,N2O}\times C_{N2O})\times 10^{-3})")</definedName>
    <definedName name="Fertiliser_Equations_InorganicN2O.VEERG_5_1_1_1__1_InorganicFertiliserApplicationN2OEmissions_NIRReference" hidden="1">_xlfn.LAMBDA("")</definedName>
    <definedName name="Fertiliser_Equations_InorganicN2O.VEERG_5_1_1_1__1_InorganicFertiliserApplicationN2OEmissions_Source" hidden="1">_xlfn.LAMBDA("VEERG 2026: 5.1.1.1, Equation (1)")</definedName>
    <definedName name="Fertiliser_Equations_InorganicN2O.VEERG_5_1_1_1__1_InorganicFertiliserApplicationN2OEmissions_Title" hidden="1">_xlfn.LAMBDA("Nitrous oxide emissions from the application of all inorganic fertiliser types f to all production systems j")</definedName>
    <definedName name="Fertiliser_Equations_InorganicN2O.VEERG_5_1_1_1__1_InorganicFertiliserApplicationN2OEmissions_Unit" hidden="1">_xlfn.LAMBDA("t N2O")</definedName>
    <definedName name="Fertiliser_Equations_InorganicN2O.VEERG_5_1_1_1__1_InorganicFertiliserApplicationN2OEmissions_Variable" hidden="1">_xlfn.LAMBDA("E_N2O")</definedName>
    <definedName name="Fertiliser_Equations_InorganicN2O.VEERG_5_1_1_1__2_MassOfNitrogenInInorganicFertiliser" hidden="1">_xlfn.LAMBDA(_xlpm.TM_jf,_xlpm.FN_inorganicf, _xlpm.TM_jf * _xlpm.FN_inorganicf)</definedName>
    <definedName name="Fertiliser_Equations_InorganicN2O.VEERG_5_1_1_1__2_MassOfNitrogenInInorganicFertiliser_Arguments" hidden="1">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 hidden="1">_xlfn.LAMBDA("{MN}_{jf}=TM_{jf}\times FN_{inorganic,f}")</definedName>
    <definedName name="Fertiliser_Equations_InorganicN2O.VEERG_5_1_1_1__2_MassOfNitrogenInInorganicFertiliser_NIRReference" hidden="1">_xlfn.LAMBDA("")</definedName>
    <definedName name="Fertiliser_Equations_InorganicN2O.VEERG_5_1_1_1__2_MassOfNitrogenInInorganicFertiliser_Source" hidden="1">_xlfn.LAMBDA("VEERG 2026: 5.1.1.1, Equation (2)")</definedName>
    <definedName name="Fertiliser_Equations_InorganicN2O.VEERG_5_1_1_1__2_MassOfNitrogenInInorganicFertiliser_Title" hidden="1">_xlfn.LAMBDA("Mass of nitrogen in inorganic fertiliser applied to production system")</definedName>
    <definedName name="Fertiliser_Equations_InorganicN2O.VEERG_5_1_1_1__2_MassOfNitrogenInInorganicFertiliser_Unit" hidden="1">_xlfn.LAMBDA("kg N")</definedName>
    <definedName name="Fertiliser_Equations_InorganicN2O.VEERG_5_1_1_1__2_MassOfNitrogenInInorganicFertiliser_Variable" hidden="1">_xlfn.LAMBDA("MN_jf")</definedName>
    <definedName name="Fertiliser_Equations_InorganicN2O.VEERG_5_1_1_2__1_EmissionFactorIrrigatedMaize" hidden="1">_xlfn.LAMBDA(_xlpm.N_fjIrrigatedMaize, (-0.1474 + (0.0061 * _xlpm.N_fjIrrigatedMaize)) * 10 ^ -2)</definedName>
    <definedName name="Fertiliser_Equations_InorganicN2O.VEERG_5_1_1_2__1_EmissionFactorIrrigatedMaize_Arguments" hidden="1">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 hidden="1">_xlfn.LAMBDA("EF_{fj=irrigatedmaize,N2O}=(-0.1474+(0.0061\times N_{fj=irrigatedmaize}))\times 10^{-2}")</definedName>
    <definedName name="Fertiliser_Equations_InorganicN2O.VEERG_5_1_1_2__1_EmissionFactorIrrigatedMaize_NIRReference" hidden="1">_xlfn.LAMBDA("")</definedName>
    <definedName name="Fertiliser_Equations_InorganicN2O.VEERG_5_1_1_2__1_EmissionFactorIrrigatedMaize_Source" hidden="1">_xlfn.LAMBDA("VEERG 2026: 5.1.1.2, Equation (1)")</definedName>
    <definedName name="Fertiliser_Equations_InorganicN2O.VEERG_5_1_1_2__1_EmissionFactorIrrigatedMaize_Title" hidden="1">_xlfn.LAMBDA("Emission factor for nitrous oxide for irrigated maize")</definedName>
    <definedName name="Fertiliser_Equations_InorganicN2O.VEERG_5_1_1_2__1_EmissionFactorIrrigatedMaize_Unit" hidden="1">_xlfn.LAMBDA("kg N2O-N/kg N applied")</definedName>
    <definedName name="Fertiliser_Equations_InorganicN2O.VEERG_5_1_1_2__1_EmissionFactorIrrigatedMaize_Variable" hidden="1">_xlfn.LAMBDA("EF_fjIrrigatedMaizeN2O")</definedName>
    <definedName name="Fertiliser_Equations_InorganicN2O.VEERG_5_1_1_2__2_EmissionFactorNonIrrigatedGrainsHighRainfall" hidden="1">_xlfn.LAMBDA(_xlpm.N_fjNonIrrigatedGrains, (0.0781 + (0.0075 * _xlpm.N_fjNonIrrigatedGrains)) * 10 ^ -2)</definedName>
    <definedName name="Fertiliser_Equations_InorganicN2O.VEERG_5_1_1_2__2_EmissionFactorNonIrrigatedGrainsHighRainfall_Arguments" hidden="1">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 hidden="1">_xlfn.LAMBDA("EF_{fj=nonirrigatedgrains,N2O}=(0.0781+(0.0075\times N_{fj=nonirrigatedgrains}))\times 10^{-2}")</definedName>
    <definedName name="Fertiliser_Equations_InorganicN2O.VEERG_5_1_1_2__2_EmissionFactorNonIrrigatedGrainsHighRainfall_NIRReference" hidden="1">_xlfn.LAMBDA("")</definedName>
    <definedName name="Fertiliser_Equations_InorganicN2O.VEERG_5_1_1_2__2_EmissionFactorNonIrrigatedGrainsHighRainfall_Source" hidden="1">_xlfn.LAMBDA("VEERG 2026: 5.1.1.2, Equation (2)")</definedName>
    <definedName name="Fertiliser_Equations_InorganicN2O.VEERG_5_1_1_2__2_EmissionFactorNonIrrigatedGrainsHighRainfall_Title" hidden="1">_xlfn.LAMBDA("Emission factor for nitrous oxide for non-irrigated grains in high rainfall zone")</definedName>
    <definedName name="Fertiliser_Equations_InorganicN2O.VEERG_5_1_1_2__2_EmissionFactorNonIrrigatedGrainsHighRainfall_Unit" hidden="1">_xlfn.LAMBDA("kg N2O-N/kg N applied")</definedName>
    <definedName name="Fertiliser_Equations_InorganicN2O.VEERG_5_1_1_2__2_EmissionFactorNonIrrigatedGrainsHighRainfall_Variable" hidden="1">_xlfn.LAMBDA("EF_fjNonIrrigatedGrainsN2O")</definedName>
    <definedName name="Fertiliser_Equations_InorganicN2O.VEERG_5_1_1_2__3_EmissionFactorCotton" hidden="1">_xlfn.LAMBDA(_xlpm.N_fjCotton, (0.01 * (0.29 + ((0.007 * (EXP(0.037 * _xlpm.N_fjCotton) - 1)) / _xlpm.N_fjCotton))) * 10 ^ -2)</definedName>
    <definedName name="Fertiliser_Equations_InorganicN2O.VEERG_5_1_1_2__3_EmissionFactorCotton_Arguments" hidden="1">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 hidden="1">_xlfn.LAMBDA("EF_{fj=cotton,N2O}=(0.01 \times (0.29 + \frac{0.007(e^{0.037 \times N_{fj=cotton}}-1)}{N_{fj=cotton}})) \times 10^{-2}
")</definedName>
    <definedName name="Fertiliser_Equations_InorganicN2O.VEERG_5_1_1_2__3_EmissionFactorCotton_NIRReference" hidden="1">_xlfn.LAMBDA("")</definedName>
    <definedName name="Fertiliser_Equations_InorganicN2O.VEERG_5_1_1_2__3_EmissionFactorCotton_Source" hidden="1">_xlfn.LAMBDA("VEERG 2026: 5.1.1.2, Equation (3)")</definedName>
    <definedName name="Fertiliser_Equations_InorganicN2O.VEERG_5_1_1_2__3_EmissionFactorCotton_Title" hidden="1">_xlfn.LAMBDA("Emission factor for nitrous oxide for cotton")</definedName>
    <definedName name="Fertiliser_Equations_InorganicN2O.VEERG_5_1_1_2__3_EmissionFactorCotton_Unit" hidden="1">_xlfn.LAMBDA("kg N2O-N/kg N applied")</definedName>
    <definedName name="Fertiliser_Equations_InorganicN2O.VEERG_5_1_1_2__3_EmissionFactorCotton_Variable" hidden="1">_xlfn.LAMBDA("EF_fjCottonN2O")</definedName>
    <definedName name="Fertiliser_Equations_LeachingAndRunoff.VEERG_5_5_1_1__1_FertiliserLeachingAndRunoffN2OEmissions" hidden="1">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 hidden="1">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 hidden="1">_xlfn.LAMBDA("E_{fert,leach}=\sum_{j}((M_{leach,inorganic,j}+M_{leach,organic,j})\times EF_{leach}\times C_{N2O}\times 10^{-3})")</definedName>
    <definedName name="Fertiliser_Equations_LeachingAndRunoff.VEERG_5_5_1_1__1_FertiliserLeachingAndRunoffN2OEmissions_NIRReference" hidden="1">_xlfn.LAMBDA("")</definedName>
    <definedName name="Fertiliser_Equations_LeachingAndRunoff.VEERG_5_5_1_1__1_FertiliserLeachingAndRunoffN2OEmissions_Source" hidden="1">_xlfn.LAMBDA("VEERG 2026: 5.5, Equation (1)")</definedName>
    <definedName name="Fertiliser_Equations_LeachingAndRunoff.VEERG_5_5_1_1__1_FertiliserLeachingAndRunoffN2OEmissions_Title" hidden="1">_xlfn.LAMBDA("Nitrous oxide emissions from nitrogen leaching and runoff from the application of all fertilisers across all production systems j")</definedName>
    <definedName name="Fertiliser_Equations_LeachingAndRunoff.VEERG_5_5_1_1__1_FertiliserLeachingAndRunoffN2OEmissions_Unit" hidden="1">_xlfn.LAMBDA("t N2O")</definedName>
    <definedName name="Fertiliser_Equations_LeachingAndRunoff.VEERG_5_5_1_1__1_FertiliserLeachingAndRunoffN2OEmissions_Variable" hidden="1">_xlfn.LAMBDA("E_fertleach")</definedName>
    <definedName name="Fertiliser_Equations_LeachingAndRunoff.VEERG_5_5_1_1__2_MassOfNitrogenLeachedFromInorganicFertiliser" hidden="1">_xlfn.LAMBDA(_xlpm.MN_jf,_xlpm.FracWETj,_xlpm.FracLEACH, _xlpm.MN_jf * _xlpm.FracWETj * _xlpm.FracLEACH)</definedName>
    <definedName name="Fertiliser_Equations_LeachingAndRunoff.VEERG_5_5_1_1__2_MassOfNitrogenLeachedFromInorganicFertiliser_Arguments" hidden="1">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 hidden="1">_xlfn.LAMBDA("M_{leach,inorganic,j}=\sum\nolimits_{f}\left({MN}_{jf}\times Frac_{WET,j}\times Frac_{LEACH}\right)")</definedName>
    <definedName name="Fertiliser_Equations_LeachingAndRunoff.VEERG_5_5_1_1__2_MassOfNitrogenLeachedFromInorganicFertiliser_NIRReference" hidden="1">_xlfn.LAMBDA("")</definedName>
    <definedName name="Fertiliser_Equations_LeachingAndRunoff.VEERG_5_5_1_1__2_MassOfNitrogenLeachedFromInorganicFertiliser_Source" hidden="1">_xlfn.LAMBDA("VEERG 2026: 5.5, Equation (2)")</definedName>
    <definedName name="Fertiliser_Equations_LeachingAndRunoff.VEERG_5_5_1_1__2_MassOfNitrogenLeachedFromInorganicFertiliser_Title" hidden="1">_xlfn.LAMBDA("Mass of nitrogen lost through leaching and runoff from inorganic fertiliser application in production system j")</definedName>
    <definedName name="Fertiliser_Equations_LeachingAndRunoff.VEERG_5_5_1_1__2_MassOfNitrogenLeachedFromInorganicFertiliser_Unit" hidden="1">_xlfn.LAMBDA("kg N")</definedName>
    <definedName name="Fertiliser_Equations_LeachingAndRunoff.VEERG_5_5_1_1__2_MassOfNitrogenLeachedFromInorganicFertiliser_Variable" hidden="1">_xlfn.LAMBDA("M_leachinorganicj")</definedName>
    <definedName name="Fertiliser_Equations_LeachingAndRunoff.VEERG_5_5_1_1__3_MassOfNitrogenLeachedFromOrganicFertiliser" hidden="1">_xlfn.LAMBDA(_xlpm.MNSoil_jf,_xlpm.FracWETj,_xlpm.FracLEACH, _xlpm.MNSoil_jf * _xlpm.FracWETj * _xlpm.FracLEACH)</definedName>
    <definedName name="Fertiliser_Equations_LeachingAndRunoff.VEERG_5_5_1_1__3_MassOfNitrogenLeachedFromOrganicFertiliser_Arguments" hidden="1">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 hidden="1">_xlfn.LAMBDA("M_{leach,organic,j}=\sum\nolimits_{f}\left({MNSoil}_{jf}\times Frac_{WET,j}\times Frac_{LEACH}\right)")</definedName>
    <definedName name="Fertiliser_Equations_LeachingAndRunoff.VEERG_5_5_1_1__3_MassOfNitrogenLeachedFromOrganicFertiliser_NIRReference" hidden="1">_xlfn.LAMBDA("")</definedName>
    <definedName name="Fertiliser_Equations_LeachingAndRunoff.VEERG_5_5_1_1__3_MassOfNitrogenLeachedFromOrganicFertiliser_Source" hidden="1">_xlfn.LAMBDA("VEERG 2026: 5.5, Equation (3)")</definedName>
    <definedName name="Fertiliser_Equations_LeachingAndRunoff.VEERG_5_5_1_1__3_MassOfNitrogenLeachedFromOrganicFertiliser_Title" hidden="1">_xlfn.LAMBDA("Mass of nitrogen lost through leaching and runoff from organic fertiliser application in production system j")</definedName>
    <definedName name="Fertiliser_Equations_LeachingAndRunoff.VEERG_5_5_1_1__3_MassOfNitrogenLeachedFromOrganicFertiliser_Unit" hidden="1">_xlfn.LAMBDA("kg N")</definedName>
    <definedName name="Fertiliser_Equations_LeachingAndRunoff.VEERG_5_5_1_1__3_MassOfNitrogenLeachedFromOrganicFertiliser_Variable" hidden="1">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 hidden="1">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 hidden="1">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 hidden="1">_xlfn.LAMBDA("E_{lime}=[(M_{lime}\times FracLime\times P_{lime}\times EF_{lime})+(M_{lime}\times FracDol\times P_{dol}\times EF_{dol})]\times C_{CO2}\times 10^{-3}")</definedName>
    <definedName name="Fertiliser_Equations_Lime.VEERG_5_3_1_1__1_LimeApplicationCO2Emissions_NIRReference" hidden="1">_xlfn.LAMBDA("")</definedName>
    <definedName name="Fertiliser_Equations_Lime.VEERG_5_3_1_1__1_LimeApplicationCO2Emissions_Source" hidden="1">_xlfn.LAMBDA("VEERG 2026: 5.3.1.1, Equation (1)")</definedName>
    <definedName name="Fertiliser_Equations_Lime.VEERG_5_3_1_1__1_LimeApplicationCO2Emissions_Title" hidden="1">_xlfn.LAMBDA("Emissions from the application of lime and dolomite to production systems")</definedName>
    <definedName name="Fertiliser_Equations_Lime.VEERG_5_3_1_1__1_LimeApplicationCO2Emissions_Unit" hidden="1">_xlfn.LAMBDA("t CO2")</definedName>
    <definedName name="Fertiliser_Equations_Lime.VEERG_5_3_1_1__1_LimeApplicationCO2Emissions_Variable" hidden="1">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 hidden="1">_xlfn.LAMBDA(_xlpm.MNSoil_jf,_xlpm.EF_N2Oi,_xlpm.C_N2O, (_xlpm.MNSoil_jf * _xlpm.EF_N2Oi * _xlpm.C_N2O) * 10 ^ -3)</definedName>
    <definedName name="Fertiliser_Equations_OrganicN2O.VEERG_5_2_1_1__1_OrganicFertiliserApplicationN2OEmissions_Arguments" hidden="1">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 hidden="1">_xlfn.LAMBDA("E_{N2O}=\sum_{j}\sum_{f}((MNSoil_{jf}\times EF_{N2O,i}\times C_{N2O})\times 10^{-3})")</definedName>
    <definedName name="Fertiliser_Equations_OrganicN2O.VEERG_5_2_1_1__1_OrganicFertiliserApplicationN2OEmissions_NIRReference" hidden="1">_xlfn.LAMBDA("")</definedName>
    <definedName name="Fertiliser_Equations_OrganicN2O.VEERG_5_2_1_1__1_OrganicFertiliserApplicationN2OEmissions_Source" hidden="1">_xlfn.LAMBDA("VEERG 2026: 5.2.1.1, Equation (1)")</definedName>
    <definedName name="Fertiliser_Equations_OrganicN2O.VEERG_5_2_1_1__1_OrganicFertiliserApplicationN2OEmissions_Title" hidden="1">_xlfn.LAMBDA("Nitrous oxide emissions from the application of all organic fertiliser types f to all production systems j")</definedName>
    <definedName name="Fertiliser_Equations_OrganicN2O.VEERG_5_2_1_1__1_OrganicFertiliserApplicationN2OEmissions_Unit" hidden="1">_xlfn.LAMBDA("t N2O")</definedName>
    <definedName name="Fertiliser_Equations_OrganicN2O.VEERG_5_2_1_1__1_OrganicFertiliserApplicationN2OEmissions_Variable" hidden="1">_xlfn.LAMBDA("E_N2O")</definedName>
    <definedName name="Fertiliser_Equations_OrganicN2O.VEERG_5_2_1_1__2_MassOfNitrogenInOrganicFertiliser" hidden="1">_xlfn.LAMBDA(_xlpm.M_organicjf,_xlpm.FN_organicf, _xlpm.M_organicjf * _xlpm.FN_organicf)</definedName>
    <definedName name="Fertiliser_Equations_OrganicN2O.VEERG_5_2_1_1__2_MassOfNitrogenInOrganicFertiliser_Arguments" hidden="1">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 hidden="1">_xlfn.LAMBDA("MNSoil_{jf}=M_{organic,jf}\times FN_{organic,f}")</definedName>
    <definedName name="Fertiliser_Equations_OrganicN2O.VEERG_5_2_1_1__2_MassOfNitrogenInOrganicFertiliser_NIRReference" hidden="1">_xlfn.LAMBDA("")</definedName>
    <definedName name="Fertiliser_Equations_OrganicN2O.VEERG_5_2_1_1__2_MassOfNitrogenInOrganicFertiliser_Source" hidden="1">_xlfn.LAMBDA("VEERG 2026: 5.2.1.1, Equation (2)")</definedName>
    <definedName name="Fertiliser_Equations_OrganicN2O.VEERG_5_2_1_1__2_MassOfNitrogenInOrganicFertiliser_Title" hidden="1">_xlfn.LAMBDA("Mass of nitrogen in purchased organic fertilisers applied to production system")</definedName>
    <definedName name="Fertiliser_Equations_OrganicN2O.VEERG_5_2_1_1__2_MassOfNitrogenInOrganicFertiliser_Unit" hidden="1">_xlfn.LAMBDA("kg N")</definedName>
    <definedName name="Fertiliser_Equations_OrganicN2O.VEERG_5_2_1_1__2_MassOfNitrogenInOrganicFertiliser_Variable" hidden="1">_xlfn.LAMBDA("MNSoil_jf")</definedName>
    <definedName name="Fertiliser_InputFunctions.Fertiliser_FertiliserProductLookup" hidden="1">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 hidden="1">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 hidden="1">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hidden="1">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ChemicalCompoundAppliedAllIngredients" hidden="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 hidden="1">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 hidden="1">_xlfn.LAMBDA(_xlpm.AmountApplied,_xlpm.AmendmentPercent, SUMPRODUCT(_xlpm.AmountApplied * _xlpm.AmendmentPercent))</definedName>
    <definedName name="Fertiliser_SourceData.Fertiliser_ChemicalCompoundElements_Data">_xlfn.LAMBDA(_xlfn.MAKEARRAY(19,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Source">_xlfn.LAMBDA((""))</definedName>
    <definedName name="Fertiliser_SourceData.Fertiliser_Products_Title">_xlfn.LAMBDA(("Branded fertiliser products and their chemical composition"))</definedName>
    <definedName name="Fuel_InputFunctions.Fuel_GetStationaryFuelString" hidden="1">_xlfn.LAMBDA(_xlpm.Cell, RIGHT(_xlpm.Cell, LEN(_xlpm.Cell) - FIND(", ", _xlpm.Cell) - 1))</definedName>
    <definedName name="Fuel_InputFunctions.Fuel_GetTransportFuelString" hidden="1">_xlfn.LAMBDA(_xlpm.Cell, LEFT(_xlpm.Cell, FIND(", ", _xlpm.Cell) - 1))</definedName>
    <definedName name="Fuel_InputFunctions.Fuel_TotalConsumption" hidden="1">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 hidden="1">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Scope3EmissionFactorsStationaryLiquid_Data" hidden="1">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Transport_Data" hidden="1">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OffRoad_Data" hidden="1">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3EmissionFactorsStationaryGaseous_Appendices" hidden="1">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 hidden="1">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53" i="128" l="1" a="1"/>
  <c r="AE153" i="128" s="1"/>
  <c r="AD153" i="128" a="1"/>
  <c r="AD153" i="128" s="1"/>
  <c r="AC153" i="128" a="1"/>
  <c r="AC153" i="128" s="1"/>
  <c r="AB153" i="128" a="1"/>
  <c r="AB153" i="128" s="1"/>
  <c r="AA153" i="128" a="1"/>
  <c r="AA153" i="128" s="1"/>
  <c r="Z153" i="128" a="1"/>
  <c r="Z153" i="128" s="1"/>
  <c r="Y153" i="128" a="1"/>
  <c r="Y153" i="128" s="1"/>
  <c r="X153" i="128" a="1"/>
  <c r="X153" i="128" s="1"/>
  <c r="W153" i="128" a="1"/>
  <c r="W153" i="128" s="1"/>
  <c r="V153" i="128" a="1"/>
  <c r="V153" i="128" s="1"/>
  <c r="U153" i="128" a="1"/>
  <c r="U153" i="128" s="1"/>
  <c r="T153" i="128" a="1"/>
  <c r="T153" i="128" s="1"/>
  <c r="S153" i="128" a="1"/>
  <c r="S153" i="128" s="1"/>
  <c r="R153" i="128" a="1"/>
  <c r="R153" i="128" s="1"/>
  <c r="Q153" i="128" a="1"/>
  <c r="Q153" i="128" s="1"/>
  <c r="P153" i="128" a="1"/>
  <c r="P153" i="128" s="1"/>
  <c r="O153" i="128" a="1"/>
  <c r="O153" i="128" s="1"/>
  <c r="N153" i="128" a="1"/>
  <c r="N153" i="128" s="1"/>
  <c r="M153" i="128" a="1"/>
  <c r="M153" i="128" s="1"/>
  <c r="L153" i="128" a="1"/>
  <c r="L153" i="128" s="1"/>
  <c r="K153" i="128" a="1"/>
  <c r="K153" i="128" s="1"/>
  <c r="J153" i="128" a="1"/>
  <c r="J153" i="128" s="1"/>
  <c r="I153" i="128" a="1"/>
  <c r="I153" i="128" s="1"/>
  <c r="H153" i="128" a="1"/>
  <c r="H153" i="128" s="1"/>
  <c r="G153" i="128" a="1"/>
  <c r="G153" i="128" s="1"/>
  <c r="F153" i="128" a="1"/>
  <c r="F153" i="128" s="1"/>
  <c r="E153" i="128" a="1"/>
  <c r="E153" i="128" s="1"/>
  <c r="D153" i="128" a="1"/>
  <c r="D153" i="128" s="1"/>
  <c r="AE152" i="128" a="1"/>
  <c r="AE152" i="128" s="1"/>
  <c r="AD152" i="128" a="1"/>
  <c r="AD152" i="128" s="1"/>
  <c r="AC152" i="128" a="1"/>
  <c r="AC152" i="128" s="1"/>
  <c r="AB152" i="128" a="1"/>
  <c r="AB152" i="128" s="1"/>
  <c r="AA152" i="128" a="1"/>
  <c r="AA152" i="128" s="1"/>
  <c r="Z152" i="128" a="1"/>
  <c r="Z152" i="128" s="1"/>
  <c r="Y152" i="128" a="1"/>
  <c r="Y152" i="128" s="1"/>
  <c r="X152" i="128" a="1"/>
  <c r="X152" i="128" s="1"/>
  <c r="W152" i="128" a="1"/>
  <c r="W152" i="128" s="1"/>
  <c r="V152" i="128" a="1"/>
  <c r="V152" i="128" s="1"/>
  <c r="U152" i="128" a="1"/>
  <c r="U152" i="128" s="1"/>
  <c r="T152" i="128" a="1"/>
  <c r="T152" i="128" s="1"/>
  <c r="S152" i="128" a="1"/>
  <c r="S152" i="128" s="1"/>
  <c r="R152" i="128" a="1"/>
  <c r="R152" i="128" s="1"/>
  <c r="Q152" i="128" a="1"/>
  <c r="Q152" i="128" s="1"/>
  <c r="P152" i="128" a="1"/>
  <c r="P152" i="128" s="1"/>
  <c r="O152" i="128" a="1"/>
  <c r="O152" i="128" s="1"/>
  <c r="N152" i="128" a="1"/>
  <c r="N152" i="128" s="1"/>
  <c r="M152" i="128" a="1"/>
  <c r="M152" i="128" s="1"/>
  <c r="L152" i="128" a="1"/>
  <c r="L152" i="128" s="1"/>
  <c r="K152" i="128" a="1"/>
  <c r="K152" i="128" s="1"/>
  <c r="J152" i="128" a="1"/>
  <c r="J152" i="128" s="1"/>
  <c r="I152" i="128" a="1"/>
  <c r="I152" i="128" s="1"/>
  <c r="H152" i="128" a="1"/>
  <c r="H152" i="128" s="1"/>
  <c r="G152" i="128" a="1"/>
  <c r="G152" i="128" s="1"/>
  <c r="F152" i="128" a="1"/>
  <c r="F152" i="128" s="1"/>
  <c r="E152" i="128" a="1"/>
  <c r="E152" i="128" s="1"/>
  <c r="D152" i="128" a="1"/>
  <c r="D152" i="128" s="1"/>
  <c r="AE151" i="128" a="1"/>
  <c r="AE151" i="128" s="1"/>
  <c r="AD151" i="128" a="1"/>
  <c r="AD151" i="128" s="1"/>
  <c r="AC151" i="128" a="1"/>
  <c r="AC151" i="128" s="1"/>
  <c r="AB151" i="128" a="1"/>
  <c r="AB151" i="128" s="1"/>
  <c r="AA151" i="128" a="1"/>
  <c r="AA151" i="128" s="1"/>
  <c r="Z151" i="128" a="1"/>
  <c r="Z151" i="128" s="1"/>
  <c r="Y151" i="128" a="1"/>
  <c r="Y151" i="128" s="1"/>
  <c r="X151" i="128" a="1"/>
  <c r="X151" i="128" s="1"/>
  <c r="W151" i="128" a="1"/>
  <c r="W151" i="128" s="1"/>
  <c r="V151" i="128" a="1"/>
  <c r="V151" i="128" s="1"/>
  <c r="U151" i="128" a="1"/>
  <c r="U151" i="128" s="1"/>
  <c r="T151" i="128" a="1"/>
  <c r="T151" i="128" s="1"/>
  <c r="S151" i="128" a="1"/>
  <c r="S151" i="128" s="1"/>
  <c r="R151" i="128" a="1"/>
  <c r="R151" i="128" s="1"/>
  <c r="Q151" i="128" a="1"/>
  <c r="Q151" i="128" s="1"/>
  <c r="P151" i="128" a="1"/>
  <c r="P151" i="128" s="1"/>
  <c r="O151" i="128" a="1"/>
  <c r="O151" i="128" s="1"/>
  <c r="N151" i="128" a="1"/>
  <c r="N151" i="128" s="1"/>
  <c r="M151" i="128" a="1"/>
  <c r="M151" i="128" s="1"/>
  <c r="L151" i="128" a="1"/>
  <c r="L151" i="128" s="1"/>
  <c r="K151" i="128" a="1"/>
  <c r="K151" i="128" s="1"/>
  <c r="J151" i="128" a="1"/>
  <c r="J151" i="128" s="1"/>
  <c r="I151" i="128" a="1"/>
  <c r="I151" i="128" s="1"/>
  <c r="H151" i="128" a="1"/>
  <c r="H151" i="128" s="1"/>
  <c r="G151" i="128" a="1"/>
  <c r="G151" i="128" s="1"/>
  <c r="F151" i="128" a="1"/>
  <c r="F151" i="128" s="1"/>
  <c r="E151" i="128" a="1"/>
  <c r="E151" i="128" s="1"/>
  <c r="D151" i="128" a="1"/>
  <c r="D151" i="128" s="1"/>
  <c r="AE150" i="128" a="1"/>
  <c r="AE150" i="128" s="1"/>
  <c r="AD150" i="128" a="1"/>
  <c r="AD150" i="128" s="1"/>
  <c r="AC150" i="128" a="1"/>
  <c r="AC150" i="128" s="1"/>
  <c r="AB150" i="128" a="1"/>
  <c r="AB150" i="128" s="1"/>
  <c r="AA150" i="128" a="1"/>
  <c r="AA150" i="128" s="1"/>
  <c r="Z150" i="128" a="1"/>
  <c r="Z150" i="128" s="1"/>
  <c r="Y150" i="128" a="1"/>
  <c r="Y150" i="128" s="1"/>
  <c r="X150" i="128" a="1"/>
  <c r="X150" i="128" s="1"/>
  <c r="W150" i="128" a="1"/>
  <c r="W150" i="128" s="1"/>
  <c r="V150" i="128" a="1"/>
  <c r="V150" i="128" s="1"/>
  <c r="U150" i="128" a="1"/>
  <c r="U150" i="128" s="1"/>
  <c r="T150" i="128" a="1"/>
  <c r="T150" i="128" s="1"/>
  <c r="S150" i="128" a="1"/>
  <c r="S150" i="128" s="1"/>
  <c r="R150" i="128" a="1"/>
  <c r="R150" i="128" s="1"/>
  <c r="Q150" i="128" a="1"/>
  <c r="Q150" i="128" s="1"/>
  <c r="P150" i="128" a="1"/>
  <c r="P150" i="128" s="1"/>
  <c r="O150" i="128" a="1"/>
  <c r="O150" i="128" s="1"/>
  <c r="N150" i="128" a="1"/>
  <c r="N150" i="128" s="1"/>
  <c r="M150" i="128" a="1"/>
  <c r="M150" i="128" s="1"/>
  <c r="L150" i="128" a="1"/>
  <c r="L150" i="128" s="1"/>
  <c r="K150" i="128" a="1"/>
  <c r="K150" i="128" s="1"/>
  <c r="J150" i="128" a="1"/>
  <c r="J150" i="128" s="1"/>
  <c r="I150" i="128" a="1"/>
  <c r="I150" i="128" s="1"/>
  <c r="H150" i="128" a="1"/>
  <c r="H150" i="128" s="1"/>
  <c r="G150" i="128" a="1"/>
  <c r="G150" i="128" s="1"/>
  <c r="F150" i="128" a="1"/>
  <c r="F150" i="128" s="1"/>
  <c r="E150" i="128" a="1"/>
  <c r="E150" i="128" s="1"/>
  <c r="D150" i="128" a="1"/>
  <c r="D150" i="128" s="1"/>
  <c r="AE149" i="128" a="1"/>
  <c r="AE149" i="128" s="1"/>
  <c r="AD149" i="128" a="1"/>
  <c r="AD149" i="128" s="1"/>
  <c r="AC149" i="128" a="1"/>
  <c r="AC149" i="128" s="1"/>
  <c r="AB149" i="128" a="1"/>
  <c r="AB149" i="128" s="1"/>
  <c r="AA149" i="128" a="1"/>
  <c r="AA149" i="128" s="1"/>
  <c r="Z149" i="128" a="1"/>
  <c r="Z149" i="128" s="1"/>
  <c r="Y149" i="128" a="1"/>
  <c r="Y149" i="128" s="1"/>
  <c r="X149" i="128" a="1"/>
  <c r="X149" i="128" s="1"/>
  <c r="W149" i="128" a="1"/>
  <c r="W149" i="128" s="1"/>
  <c r="V149" i="128" a="1"/>
  <c r="V149" i="128" s="1"/>
  <c r="U149" i="128" a="1"/>
  <c r="U149" i="128" s="1"/>
  <c r="T149" i="128" a="1"/>
  <c r="T149" i="128" s="1"/>
  <c r="S149" i="128" a="1"/>
  <c r="S149" i="128" s="1"/>
  <c r="R149" i="128" a="1"/>
  <c r="R149" i="128" s="1"/>
  <c r="Q149" i="128" a="1"/>
  <c r="Q149" i="128" s="1"/>
  <c r="P149" i="128" a="1"/>
  <c r="P149" i="128" s="1"/>
  <c r="O149" i="128" a="1"/>
  <c r="O149" i="128" s="1"/>
  <c r="N149" i="128" a="1"/>
  <c r="N149" i="128" s="1"/>
  <c r="M149" i="128" a="1"/>
  <c r="M149" i="128" s="1"/>
  <c r="L149" i="128" a="1"/>
  <c r="L149" i="128" s="1"/>
  <c r="K149" i="128" a="1"/>
  <c r="K149" i="128" s="1"/>
  <c r="J149" i="128" a="1"/>
  <c r="J149" i="128" s="1"/>
  <c r="I149" i="128" a="1"/>
  <c r="I149" i="128" s="1"/>
  <c r="H149" i="128" a="1"/>
  <c r="H149" i="128" s="1"/>
  <c r="G149" i="128" a="1"/>
  <c r="G149" i="128" s="1"/>
  <c r="F149" i="128" a="1"/>
  <c r="F149" i="128" s="1"/>
  <c r="E149" i="128" a="1"/>
  <c r="E149" i="128" s="1"/>
  <c r="D149" i="128" a="1"/>
  <c r="D149" i="128" s="1"/>
  <c r="AE148" i="128" a="1"/>
  <c r="AE148" i="128" s="1"/>
  <c r="AD148" i="128" a="1"/>
  <c r="AD148" i="128" s="1"/>
  <c r="AC148" i="128" a="1"/>
  <c r="AC148" i="128" s="1"/>
  <c r="AB148" i="128" a="1"/>
  <c r="AB148" i="128" s="1"/>
  <c r="AA148" i="128" a="1"/>
  <c r="AA148" i="128" s="1"/>
  <c r="Z148" i="128" a="1"/>
  <c r="Z148" i="128" s="1"/>
  <c r="Y148" i="128" a="1"/>
  <c r="Y148" i="128" s="1"/>
  <c r="X148" i="128" a="1"/>
  <c r="X148" i="128" s="1"/>
  <c r="W148" i="128" a="1"/>
  <c r="W148" i="128" s="1"/>
  <c r="V148" i="128" a="1"/>
  <c r="V148" i="128" s="1"/>
  <c r="U148" i="128" a="1"/>
  <c r="U148" i="128" s="1"/>
  <c r="T148" i="128" a="1"/>
  <c r="T148" i="128" s="1"/>
  <c r="S148" i="128" a="1"/>
  <c r="S148" i="128" s="1"/>
  <c r="R148" i="128" a="1"/>
  <c r="R148" i="128" s="1"/>
  <c r="Q148" i="128" a="1"/>
  <c r="Q148" i="128" s="1"/>
  <c r="P148" i="128" a="1"/>
  <c r="P148" i="128" s="1"/>
  <c r="O148" i="128" a="1"/>
  <c r="O148" i="128" s="1"/>
  <c r="N148" i="128" a="1"/>
  <c r="N148" i="128" s="1"/>
  <c r="M148" i="128" a="1"/>
  <c r="M148" i="128" s="1"/>
  <c r="L148" i="128" a="1"/>
  <c r="L148" i="128" s="1"/>
  <c r="K148" i="128" a="1"/>
  <c r="K148" i="128" s="1"/>
  <c r="J148" i="128" a="1"/>
  <c r="J148" i="128" s="1"/>
  <c r="I148" i="128" a="1"/>
  <c r="I148" i="128" s="1"/>
  <c r="H148" i="128" a="1"/>
  <c r="H148" i="128" s="1"/>
  <c r="G148" i="128" a="1"/>
  <c r="G148" i="128" s="1"/>
  <c r="F148" i="128" a="1"/>
  <c r="F148" i="128" s="1"/>
  <c r="E148" i="128" a="1"/>
  <c r="E148" i="128" s="1"/>
  <c r="D148" i="128" a="1"/>
  <c r="D148" i="128" s="1"/>
  <c r="AE147" i="128" a="1"/>
  <c r="AE147" i="128" s="1"/>
  <c r="AD147" i="128" a="1"/>
  <c r="AD147" i="128" s="1"/>
  <c r="AC147" i="128" a="1"/>
  <c r="AC147" i="128" s="1"/>
  <c r="AB147" i="128" a="1"/>
  <c r="AB147" i="128" s="1"/>
  <c r="AA147" i="128" a="1"/>
  <c r="AA147" i="128" s="1"/>
  <c r="Z147" i="128" a="1"/>
  <c r="Z147" i="128" s="1"/>
  <c r="Y147" i="128" a="1"/>
  <c r="Y147" i="128" s="1"/>
  <c r="X147" i="128" a="1"/>
  <c r="X147" i="128" s="1"/>
  <c r="W147" i="128" a="1"/>
  <c r="W147" i="128" s="1"/>
  <c r="V147" i="128" a="1"/>
  <c r="V147" i="128" s="1"/>
  <c r="U147" i="128" a="1"/>
  <c r="U147" i="128" s="1"/>
  <c r="T147" i="128" a="1"/>
  <c r="T147" i="128" s="1"/>
  <c r="S147" i="128" a="1"/>
  <c r="S147" i="128" s="1"/>
  <c r="R147" i="128" a="1"/>
  <c r="R147" i="128" s="1"/>
  <c r="Q147" i="128" a="1"/>
  <c r="Q147" i="128" s="1"/>
  <c r="P147" i="128" a="1"/>
  <c r="P147" i="128" s="1"/>
  <c r="O147" i="128" a="1"/>
  <c r="O147" i="128" s="1"/>
  <c r="N147" i="128" a="1"/>
  <c r="N147" i="128" s="1"/>
  <c r="M147" i="128" a="1"/>
  <c r="M147" i="128" s="1"/>
  <c r="L147" i="128" a="1"/>
  <c r="L147" i="128" s="1"/>
  <c r="K147" i="128" a="1"/>
  <c r="K147" i="128" s="1"/>
  <c r="J147" i="128" a="1"/>
  <c r="J147" i="128" s="1"/>
  <c r="I147" i="128" a="1"/>
  <c r="I147" i="128" s="1"/>
  <c r="H147" i="128" a="1"/>
  <c r="H147" i="128" s="1"/>
  <c r="G147" i="128" a="1"/>
  <c r="G147" i="128" s="1"/>
  <c r="F147" i="128" a="1"/>
  <c r="F147" i="128" s="1"/>
  <c r="E147" i="128" a="1"/>
  <c r="E147" i="128" s="1"/>
  <c r="D147" i="128" a="1"/>
  <c r="D147" i="128" s="1"/>
  <c r="AE146" i="128" a="1"/>
  <c r="AE146" i="128" s="1"/>
  <c r="AD146" i="128" a="1"/>
  <c r="AD146" i="128" s="1"/>
  <c r="AC146" i="128" a="1"/>
  <c r="AC146" i="128" s="1"/>
  <c r="AB146" i="128" a="1"/>
  <c r="AB146" i="128" s="1"/>
  <c r="AA146" i="128" a="1"/>
  <c r="AA146" i="128" s="1"/>
  <c r="Z146" i="128" a="1"/>
  <c r="Z146" i="128" s="1"/>
  <c r="Y146" i="128" a="1"/>
  <c r="Y146" i="128" s="1"/>
  <c r="X146" i="128" a="1"/>
  <c r="X146" i="128" s="1"/>
  <c r="W146" i="128" a="1"/>
  <c r="W146" i="128" s="1"/>
  <c r="V146" i="128" a="1"/>
  <c r="V146" i="128" s="1"/>
  <c r="U146" i="128" a="1"/>
  <c r="U146" i="128" s="1"/>
  <c r="T146" i="128" a="1"/>
  <c r="T146" i="128" s="1"/>
  <c r="S146" i="128" a="1"/>
  <c r="S146" i="128" s="1"/>
  <c r="R146" i="128" a="1"/>
  <c r="R146" i="128" s="1"/>
  <c r="Q146" i="128" a="1"/>
  <c r="Q146" i="128" s="1"/>
  <c r="P146" i="128" a="1"/>
  <c r="P146" i="128" s="1"/>
  <c r="O146" i="128" a="1"/>
  <c r="O146" i="128" s="1"/>
  <c r="N146" i="128" a="1"/>
  <c r="N146" i="128" s="1"/>
  <c r="M146" i="128" a="1"/>
  <c r="M146" i="128" s="1"/>
  <c r="L146" i="128" a="1"/>
  <c r="L146" i="128" s="1"/>
  <c r="K146" i="128" a="1"/>
  <c r="K146" i="128" s="1"/>
  <c r="J146" i="128" a="1"/>
  <c r="J146" i="128" s="1"/>
  <c r="I146" i="128" a="1"/>
  <c r="I146" i="128" s="1"/>
  <c r="H146" i="128" a="1"/>
  <c r="H146" i="128" s="1"/>
  <c r="G146" i="128" a="1"/>
  <c r="G146" i="128" s="1"/>
  <c r="F146" i="128" a="1"/>
  <c r="F146" i="128" s="1"/>
  <c r="E146" i="128" a="1"/>
  <c r="E146" i="128" s="1"/>
  <c r="D146" i="128" a="1"/>
  <c r="D146" i="128" s="1"/>
  <c r="AE145" i="128" a="1"/>
  <c r="AE145" i="128" s="1"/>
  <c r="AD145" i="128" a="1"/>
  <c r="AD145" i="128" s="1"/>
  <c r="AC145" i="128" a="1"/>
  <c r="AC145" i="128" s="1"/>
  <c r="AB145" i="128" a="1"/>
  <c r="AB145" i="128" s="1"/>
  <c r="AA145" i="128" a="1"/>
  <c r="AA145" i="128" s="1"/>
  <c r="Z145" i="128" a="1"/>
  <c r="Z145" i="128" s="1"/>
  <c r="Y145" i="128" a="1"/>
  <c r="Y145" i="128" s="1"/>
  <c r="X145" i="128" a="1"/>
  <c r="X145" i="128" s="1"/>
  <c r="W145" i="128" a="1"/>
  <c r="W145" i="128" s="1"/>
  <c r="V145" i="128" a="1"/>
  <c r="V145" i="128" s="1"/>
  <c r="U145" i="128" a="1"/>
  <c r="U145" i="128" s="1"/>
  <c r="T145" i="128" a="1"/>
  <c r="T145" i="128" s="1"/>
  <c r="S145" i="128" a="1"/>
  <c r="S145" i="128" s="1"/>
  <c r="R145" i="128" a="1"/>
  <c r="R145" i="128" s="1"/>
  <c r="Q145" i="128" a="1"/>
  <c r="Q145" i="128" s="1"/>
  <c r="P145" i="128" a="1"/>
  <c r="P145" i="128" s="1"/>
  <c r="O145" i="128" a="1"/>
  <c r="O145" i="128" s="1"/>
  <c r="N145" i="128" a="1"/>
  <c r="N145" i="128" s="1"/>
  <c r="M145" i="128" a="1"/>
  <c r="M145" i="128" s="1"/>
  <c r="L145" i="128" a="1"/>
  <c r="L145" i="128" s="1"/>
  <c r="K145" i="128" a="1"/>
  <c r="K145" i="128" s="1"/>
  <c r="J145" i="128" a="1"/>
  <c r="J145" i="128" s="1"/>
  <c r="I145" i="128" a="1"/>
  <c r="I145" i="128" s="1"/>
  <c r="H145" i="128" a="1"/>
  <c r="H145" i="128" s="1"/>
  <c r="G145" i="128" a="1"/>
  <c r="G145" i="128" s="1"/>
  <c r="F145" i="128" a="1"/>
  <c r="F145" i="128" s="1"/>
  <c r="E145" i="128" a="1"/>
  <c r="E145" i="128" s="1"/>
  <c r="D145" i="128" a="1"/>
  <c r="D145" i="128" s="1"/>
  <c r="AE144" i="128" a="1"/>
  <c r="AE144" i="128" s="1"/>
  <c r="AD144" i="128" a="1"/>
  <c r="AD144" i="128" s="1"/>
  <c r="AC144" i="128" a="1"/>
  <c r="AC144" i="128" s="1"/>
  <c r="AB144" i="128" a="1"/>
  <c r="AB144" i="128" s="1"/>
  <c r="AA144" i="128" a="1"/>
  <c r="AA144" i="128" s="1"/>
  <c r="Z144" i="128" a="1"/>
  <c r="Z144" i="128" s="1"/>
  <c r="Y144" i="128" a="1"/>
  <c r="Y144" i="128" s="1"/>
  <c r="X144" i="128" a="1"/>
  <c r="X144" i="128" s="1"/>
  <c r="W144" i="128" a="1"/>
  <c r="W144" i="128" s="1"/>
  <c r="V144" i="128" a="1"/>
  <c r="V144" i="128" s="1"/>
  <c r="U144" i="128" a="1"/>
  <c r="U144" i="128" s="1"/>
  <c r="T144" i="128" a="1"/>
  <c r="T144" i="128" s="1"/>
  <c r="S144" i="128" a="1"/>
  <c r="S144" i="128" s="1"/>
  <c r="R144" i="128" a="1"/>
  <c r="R144" i="128" s="1"/>
  <c r="Q144" i="128" a="1"/>
  <c r="Q144" i="128" s="1"/>
  <c r="P144" i="128" a="1"/>
  <c r="P144" i="128" s="1"/>
  <c r="O144" i="128" a="1"/>
  <c r="O144" i="128" s="1"/>
  <c r="N144" i="128" a="1"/>
  <c r="N144" i="128" s="1"/>
  <c r="M144" i="128" a="1"/>
  <c r="M144" i="128" s="1"/>
  <c r="L144" i="128" a="1"/>
  <c r="L144" i="128" s="1"/>
  <c r="K144" i="128" a="1"/>
  <c r="K144" i="128" s="1"/>
  <c r="J144" i="128" a="1"/>
  <c r="J144" i="128" s="1"/>
  <c r="I144" i="128" a="1"/>
  <c r="I144" i="128" s="1"/>
  <c r="H144" i="128" a="1"/>
  <c r="H144" i="128" s="1"/>
  <c r="G144" i="128" a="1"/>
  <c r="G144" i="128" s="1"/>
  <c r="F144" i="128" a="1"/>
  <c r="F144" i="128" s="1"/>
  <c r="E144" i="128" a="1"/>
  <c r="E144" i="128" s="1"/>
  <c r="D144" i="128" a="1"/>
  <c r="D144" i="128" s="1"/>
  <c r="AE143" i="128" a="1"/>
  <c r="AE143" i="128" s="1"/>
  <c r="AD143" i="128" a="1"/>
  <c r="AD143" i="128" s="1"/>
  <c r="AC143" i="128" a="1"/>
  <c r="AC143" i="128" s="1"/>
  <c r="AB143" i="128" a="1"/>
  <c r="AB143" i="128" s="1"/>
  <c r="AA143" i="128" a="1"/>
  <c r="AA143" i="128" s="1"/>
  <c r="Z143" i="128" a="1"/>
  <c r="Z143" i="128" s="1"/>
  <c r="Y143" i="128" a="1"/>
  <c r="Y143" i="128" s="1"/>
  <c r="X143" i="128" a="1"/>
  <c r="X143" i="128" s="1"/>
  <c r="W143" i="128" a="1"/>
  <c r="W143" i="128" s="1"/>
  <c r="V143" i="128" a="1"/>
  <c r="V143" i="128" s="1"/>
  <c r="U143" i="128" a="1"/>
  <c r="U143" i="128" s="1"/>
  <c r="T143" i="128" a="1"/>
  <c r="T143" i="128" s="1"/>
  <c r="S143" i="128" a="1"/>
  <c r="S143" i="128" s="1"/>
  <c r="R143" i="128" a="1"/>
  <c r="R143" i="128" s="1"/>
  <c r="Q143" i="128" a="1"/>
  <c r="Q143" i="128" s="1"/>
  <c r="P143" i="128" a="1"/>
  <c r="P143" i="128" s="1"/>
  <c r="O143" i="128" a="1"/>
  <c r="O143" i="128" s="1"/>
  <c r="N143" i="128" a="1"/>
  <c r="N143" i="128" s="1"/>
  <c r="M143" i="128" a="1"/>
  <c r="M143" i="128" s="1"/>
  <c r="L143" i="128" a="1"/>
  <c r="L143" i="128" s="1"/>
  <c r="K143" i="128" a="1"/>
  <c r="K143" i="128" s="1"/>
  <c r="J143" i="128" a="1"/>
  <c r="J143" i="128" s="1"/>
  <c r="I143" i="128" a="1"/>
  <c r="I143" i="128" s="1"/>
  <c r="H143" i="128" a="1"/>
  <c r="H143" i="128" s="1"/>
  <c r="G143" i="128" a="1"/>
  <c r="G143" i="128" s="1"/>
  <c r="F143" i="128" a="1"/>
  <c r="F143" i="128" s="1"/>
  <c r="E143" i="128" a="1"/>
  <c r="E143" i="128" s="1"/>
  <c r="D143" i="128" a="1"/>
  <c r="D143" i="128" s="1"/>
  <c r="AE142" i="128" a="1"/>
  <c r="AE142" i="128" s="1"/>
  <c r="AD142" i="128" a="1"/>
  <c r="AD142" i="128" s="1"/>
  <c r="AC142" i="128" a="1"/>
  <c r="AC142" i="128" s="1"/>
  <c r="AB142" i="128" a="1"/>
  <c r="AB142" i="128" s="1"/>
  <c r="AA142" i="128" a="1"/>
  <c r="AA142" i="128" s="1"/>
  <c r="Z142" i="128" a="1"/>
  <c r="Z142" i="128" s="1"/>
  <c r="Y142" i="128" a="1"/>
  <c r="Y142" i="128" s="1"/>
  <c r="X142" i="128" a="1"/>
  <c r="X142" i="128" s="1"/>
  <c r="W142" i="128" a="1"/>
  <c r="W142" i="128" s="1"/>
  <c r="V142" i="128" a="1"/>
  <c r="V142" i="128" s="1"/>
  <c r="U142" i="128" a="1"/>
  <c r="U142" i="128" s="1"/>
  <c r="T142" i="128" a="1"/>
  <c r="T142" i="128" s="1"/>
  <c r="S142" i="128" a="1"/>
  <c r="S142" i="128" s="1"/>
  <c r="R142" i="128" a="1"/>
  <c r="R142" i="128" s="1"/>
  <c r="Q142" i="128" a="1"/>
  <c r="Q142" i="128" s="1"/>
  <c r="P142" i="128" a="1"/>
  <c r="P142" i="128" s="1"/>
  <c r="O142" i="128" a="1"/>
  <c r="O142" i="128" s="1"/>
  <c r="N142" i="128" a="1"/>
  <c r="N142" i="128" s="1"/>
  <c r="M142" i="128" a="1"/>
  <c r="M142" i="128" s="1"/>
  <c r="L142" i="128" a="1"/>
  <c r="L142" i="128" s="1"/>
  <c r="K142" i="128" a="1"/>
  <c r="K142" i="128" s="1"/>
  <c r="J142" i="128" a="1"/>
  <c r="J142" i="128" s="1"/>
  <c r="I142" i="128" a="1"/>
  <c r="I142" i="128" s="1"/>
  <c r="H142" i="128" a="1"/>
  <c r="H142" i="128" s="1"/>
  <c r="G142" i="128" a="1"/>
  <c r="G142" i="128" s="1"/>
  <c r="F142" i="128" a="1"/>
  <c r="F142" i="128" s="1"/>
  <c r="E142" i="128" a="1"/>
  <c r="E142" i="128" s="1"/>
  <c r="D142" i="128" a="1"/>
  <c r="D142" i="128" s="1"/>
  <c r="AE141" i="128" a="1"/>
  <c r="AE141" i="128" s="1"/>
  <c r="AD141" i="128" a="1"/>
  <c r="AD141" i="128" s="1"/>
  <c r="AC141" i="128" a="1"/>
  <c r="AC141" i="128" s="1"/>
  <c r="AB141" i="128" a="1"/>
  <c r="AB141" i="128" s="1"/>
  <c r="AA141" i="128" a="1"/>
  <c r="AA141" i="128" s="1"/>
  <c r="Z141" i="128" a="1"/>
  <c r="Z141" i="128" s="1"/>
  <c r="Y141" i="128" a="1"/>
  <c r="Y141" i="128" s="1"/>
  <c r="X141" i="128" a="1"/>
  <c r="X141" i="128" s="1"/>
  <c r="W141" i="128" a="1"/>
  <c r="W141" i="128" s="1"/>
  <c r="V141" i="128" a="1"/>
  <c r="V141" i="128" s="1"/>
  <c r="U141" i="128" a="1"/>
  <c r="U141" i="128" s="1"/>
  <c r="T141" i="128" a="1"/>
  <c r="T141" i="128" s="1"/>
  <c r="S141" i="128" a="1"/>
  <c r="S141" i="128" s="1"/>
  <c r="R141" i="128" a="1"/>
  <c r="R141" i="128" s="1"/>
  <c r="Q141" i="128" a="1"/>
  <c r="Q141" i="128" s="1"/>
  <c r="P141" i="128" a="1"/>
  <c r="P141" i="128" s="1"/>
  <c r="O141" i="128" a="1"/>
  <c r="O141" i="128" s="1"/>
  <c r="N141" i="128" a="1"/>
  <c r="N141" i="128" s="1"/>
  <c r="M141" i="128" a="1"/>
  <c r="M141" i="128" s="1"/>
  <c r="L141" i="128" a="1"/>
  <c r="L141" i="128" s="1"/>
  <c r="K141" i="128" a="1"/>
  <c r="K141" i="128" s="1"/>
  <c r="J141" i="128" a="1"/>
  <c r="J141" i="128" s="1"/>
  <c r="I141" i="128" a="1"/>
  <c r="I141" i="128" s="1"/>
  <c r="H141" i="128" a="1"/>
  <c r="H141" i="128" s="1"/>
  <c r="G141" i="128" a="1"/>
  <c r="G141" i="128" s="1"/>
  <c r="F141" i="128" a="1"/>
  <c r="F141" i="128" s="1"/>
  <c r="E141" i="128" a="1"/>
  <c r="E141" i="128" s="1"/>
  <c r="D141" i="128" a="1"/>
  <c r="D141" i="128" s="1"/>
  <c r="AE140" i="128" a="1"/>
  <c r="AE140" i="128" s="1"/>
  <c r="AD140" i="128" a="1"/>
  <c r="AD140" i="128" s="1"/>
  <c r="AC140" i="128" a="1"/>
  <c r="AC140" i="128" s="1"/>
  <c r="AB140" i="128" a="1"/>
  <c r="AB140" i="128" s="1"/>
  <c r="AA140" i="128" a="1"/>
  <c r="AA140" i="128" s="1"/>
  <c r="Z140" i="128" a="1"/>
  <c r="Z140" i="128" s="1"/>
  <c r="Y140" i="128" a="1"/>
  <c r="Y140" i="128" s="1"/>
  <c r="X140" i="128" a="1"/>
  <c r="X140" i="128" s="1"/>
  <c r="W140" i="128" a="1"/>
  <c r="W140" i="128" s="1"/>
  <c r="V140" i="128" a="1"/>
  <c r="V140" i="128" s="1"/>
  <c r="U140" i="128" a="1"/>
  <c r="U140" i="128" s="1"/>
  <c r="T140" i="128" a="1"/>
  <c r="T140" i="128" s="1"/>
  <c r="S140" i="128" a="1"/>
  <c r="S140" i="128" s="1"/>
  <c r="R140" i="128" a="1"/>
  <c r="R140" i="128" s="1"/>
  <c r="Q140" i="128" a="1"/>
  <c r="Q140" i="128" s="1"/>
  <c r="P140" i="128" a="1"/>
  <c r="P140" i="128" s="1"/>
  <c r="O140" i="128" a="1"/>
  <c r="O140" i="128" s="1"/>
  <c r="N140" i="128" a="1"/>
  <c r="N140" i="128" s="1"/>
  <c r="M140" i="128" a="1"/>
  <c r="M140" i="128" s="1"/>
  <c r="L140" i="128" a="1"/>
  <c r="L140" i="128" s="1"/>
  <c r="K140" i="128" a="1"/>
  <c r="K140" i="128" s="1"/>
  <c r="J140" i="128" a="1"/>
  <c r="J140" i="128" s="1"/>
  <c r="I140" i="128" a="1"/>
  <c r="I140" i="128" s="1"/>
  <c r="H140" i="128" a="1"/>
  <c r="H140" i="128" s="1"/>
  <c r="G140" i="128" a="1"/>
  <c r="G140" i="128" s="1"/>
  <c r="F140" i="128" a="1"/>
  <c r="F140" i="128" s="1"/>
  <c r="E140" i="128" a="1"/>
  <c r="E140" i="128" s="1"/>
  <c r="D140" i="128" a="1"/>
  <c r="D140" i="128" s="1"/>
  <c r="AE139" i="128" a="1"/>
  <c r="AE139" i="128" s="1"/>
  <c r="AD139" i="128" a="1"/>
  <c r="AD139" i="128" s="1"/>
  <c r="AC139" i="128" a="1"/>
  <c r="AC139" i="128" s="1"/>
  <c r="AB139" i="128" a="1"/>
  <c r="AB139" i="128" s="1"/>
  <c r="AA139" i="128" a="1"/>
  <c r="AA139" i="128" s="1"/>
  <c r="Z139" i="128" a="1"/>
  <c r="Z139" i="128" s="1"/>
  <c r="Y139" i="128" a="1"/>
  <c r="Y139" i="128" s="1"/>
  <c r="X139" i="128" a="1"/>
  <c r="X139" i="128" s="1"/>
  <c r="W139" i="128" a="1"/>
  <c r="W139" i="128" s="1"/>
  <c r="V139" i="128" a="1"/>
  <c r="V139" i="128" s="1"/>
  <c r="U139" i="128" a="1"/>
  <c r="U139" i="128" s="1"/>
  <c r="T139" i="128" a="1"/>
  <c r="T139" i="128" s="1"/>
  <c r="S139" i="128" a="1"/>
  <c r="S139" i="128" s="1"/>
  <c r="R139" i="128" a="1"/>
  <c r="R139" i="128" s="1"/>
  <c r="Q139" i="128" a="1"/>
  <c r="Q139" i="128" s="1"/>
  <c r="P139" i="128" a="1"/>
  <c r="P139" i="128" s="1"/>
  <c r="O139" i="128" a="1"/>
  <c r="O139" i="128" s="1"/>
  <c r="N139" i="128" a="1"/>
  <c r="N139" i="128" s="1"/>
  <c r="M139" i="128" a="1"/>
  <c r="M139" i="128" s="1"/>
  <c r="L139" i="128" a="1"/>
  <c r="L139" i="128" s="1"/>
  <c r="K139" i="128" a="1"/>
  <c r="K139" i="128" s="1"/>
  <c r="J139" i="128" a="1"/>
  <c r="J139" i="128" s="1"/>
  <c r="I139" i="128" a="1"/>
  <c r="I139" i="128" s="1"/>
  <c r="H139" i="128" a="1"/>
  <c r="H139" i="128" s="1"/>
  <c r="G139" i="128" a="1"/>
  <c r="G139" i="128" s="1"/>
  <c r="F139" i="128" a="1"/>
  <c r="F139" i="128" s="1"/>
  <c r="E139" i="128" a="1"/>
  <c r="E139" i="128" s="1"/>
  <c r="D139" i="128" a="1"/>
  <c r="D139" i="128" s="1"/>
  <c r="AE138" i="128" a="1"/>
  <c r="AE138" i="128" s="1"/>
  <c r="AD138" i="128" a="1"/>
  <c r="AD138" i="128" s="1"/>
  <c r="AC138" i="128" a="1"/>
  <c r="AC138" i="128" s="1"/>
  <c r="AB138" i="128" a="1"/>
  <c r="AB138" i="128" s="1"/>
  <c r="AA138" i="128" a="1"/>
  <c r="AA138" i="128" s="1"/>
  <c r="Z138" i="128" a="1"/>
  <c r="Z138" i="128" s="1"/>
  <c r="Y138" i="128" a="1"/>
  <c r="Y138" i="128" s="1"/>
  <c r="X138" i="128" a="1"/>
  <c r="X138" i="128" s="1"/>
  <c r="W138" i="128" a="1"/>
  <c r="W138" i="128" s="1"/>
  <c r="V138" i="128" a="1"/>
  <c r="V138" i="128" s="1"/>
  <c r="U138" i="128" a="1"/>
  <c r="U138" i="128" s="1"/>
  <c r="T138" i="128" a="1"/>
  <c r="T138" i="128" s="1"/>
  <c r="S138" i="128" a="1"/>
  <c r="S138" i="128" s="1"/>
  <c r="R138" i="128" a="1"/>
  <c r="R138" i="128" s="1"/>
  <c r="Q138" i="128" a="1"/>
  <c r="Q138" i="128" s="1"/>
  <c r="P138" i="128" a="1"/>
  <c r="P138" i="128" s="1"/>
  <c r="O138" i="128" a="1"/>
  <c r="O138" i="128" s="1"/>
  <c r="N138" i="128" a="1"/>
  <c r="N138" i="128" s="1"/>
  <c r="M138" i="128" a="1"/>
  <c r="M138" i="128" s="1"/>
  <c r="L138" i="128" a="1"/>
  <c r="L138" i="128" s="1"/>
  <c r="K138" i="128" a="1"/>
  <c r="K138" i="128" s="1"/>
  <c r="J138" i="128" a="1"/>
  <c r="J138" i="128" s="1"/>
  <c r="I138" i="128" a="1"/>
  <c r="I138" i="128" s="1"/>
  <c r="H138" i="128" a="1"/>
  <c r="H138" i="128" s="1"/>
  <c r="G138" i="128" a="1"/>
  <c r="G138" i="128" s="1"/>
  <c r="F138" i="128" a="1"/>
  <c r="F138" i="128" s="1"/>
  <c r="E138" i="128" a="1"/>
  <c r="E138" i="128" s="1"/>
  <c r="D138" i="128" a="1"/>
  <c r="D138" i="128" s="1"/>
  <c r="AE137" i="128" a="1"/>
  <c r="AE137" i="128" s="1"/>
  <c r="AD137" i="128" a="1"/>
  <c r="AD137" i="128" s="1"/>
  <c r="AC137" i="128" a="1"/>
  <c r="AC137" i="128" s="1"/>
  <c r="AB137" i="128" a="1"/>
  <c r="AB137" i="128" s="1"/>
  <c r="AA137" i="128" a="1"/>
  <c r="AA137" i="128" s="1"/>
  <c r="Z137" i="128" a="1"/>
  <c r="Z137" i="128" s="1"/>
  <c r="Y137" i="128" a="1"/>
  <c r="Y137" i="128" s="1"/>
  <c r="X137" i="128" a="1"/>
  <c r="X137" i="128" s="1"/>
  <c r="W137" i="128" a="1"/>
  <c r="W137" i="128" s="1"/>
  <c r="V137" i="128" a="1"/>
  <c r="V137" i="128" s="1"/>
  <c r="U137" i="128" a="1"/>
  <c r="U137" i="128" s="1"/>
  <c r="T137" i="128" a="1"/>
  <c r="T137" i="128" s="1"/>
  <c r="S137" i="128" a="1"/>
  <c r="S137" i="128" s="1"/>
  <c r="R137" i="128" a="1"/>
  <c r="R137" i="128" s="1"/>
  <c r="Q137" i="128" a="1"/>
  <c r="Q137" i="128" s="1"/>
  <c r="P137" i="128" a="1"/>
  <c r="P137" i="128" s="1"/>
  <c r="O137" i="128" a="1"/>
  <c r="O137" i="128" s="1"/>
  <c r="N137" i="128" a="1"/>
  <c r="N137" i="128" s="1"/>
  <c r="M137" i="128" a="1"/>
  <c r="M137" i="128" s="1"/>
  <c r="L137" i="128" a="1"/>
  <c r="L137" i="128" s="1"/>
  <c r="K137" i="128" a="1"/>
  <c r="K137" i="128" s="1"/>
  <c r="J137" i="128" a="1"/>
  <c r="J137" i="128" s="1"/>
  <c r="I137" i="128" a="1"/>
  <c r="I137" i="128" s="1"/>
  <c r="H137" i="128" a="1"/>
  <c r="H137" i="128" s="1"/>
  <c r="G137" i="128" a="1"/>
  <c r="G137" i="128" s="1"/>
  <c r="F137" i="128" a="1"/>
  <c r="F137" i="128" s="1"/>
  <c r="E137" i="128" a="1"/>
  <c r="E137" i="128" s="1"/>
  <c r="D137" i="128" a="1"/>
  <c r="D137" i="128" s="1"/>
  <c r="AE136" i="128" a="1"/>
  <c r="AE136" i="128" s="1"/>
  <c r="AD136" i="128" a="1"/>
  <c r="AD136" i="128" s="1"/>
  <c r="AC136" i="128" a="1"/>
  <c r="AC136" i="128" s="1"/>
  <c r="AB136" i="128" a="1"/>
  <c r="AB136" i="128" s="1"/>
  <c r="AA136" i="128" a="1"/>
  <c r="AA136" i="128" s="1"/>
  <c r="Z136" i="128" a="1"/>
  <c r="Z136" i="128" s="1"/>
  <c r="Y136" i="128" a="1"/>
  <c r="Y136" i="128" s="1"/>
  <c r="X136" i="128" a="1"/>
  <c r="X136" i="128" s="1"/>
  <c r="W136" i="128" a="1"/>
  <c r="W136" i="128" s="1"/>
  <c r="V136" i="128" a="1"/>
  <c r="V136" i="128" s="1"/>
  <c r="U136" i="128" a="1"/>
  <c r="U136" i="128" s="1"/>
  <c r="T136" i="128" a="1"/>
  <c r="T136" i="128" s="1"/>
  <c r="S136" i="128" a="1"/>
  <c r="S136" i="128" s="1"/>
  <c r="R136" i="128" a="1"/>
  <c r="R136" i="128" s="1"/>
  <c r="Q136" i="128" a="1"/>
  <c r="Q136" i="128" s="1"/>
  <c r="P136" i="128" a="1"/>
  <c r="P136" i="128" s="1"/>
  <c r="O136" i="128" a="1"/>
  <c r="O136" i="128" s="1"/>
  <c r="N136" i="128" a="1"/>
  <c r="N136" i="128" s="1"/>
  <c r="M136" i="128" a="1"/>
  <c r="M136" i="128" s="1"/>
  <c r="L136" i="128" a="1"/>
  <c r="L136" i="128" s="1"/>
  <c r="K136" i="128" a="1"/>
  <c r="K136" i="128" s="1"/>
  <c r="J136" i="128" a="1"/>
  <c r="J136" i="128" s="1"/>
  <c r="I136" i="128" a="1"/>
  <c r="I136" i="128" s="1"/>
  <c r="H136" i="128" a="1"/>
  <c r="H136" i="128" s="1"/>
  <c r="G136" i="128" a="1"/>
  <c r="G136" i="128" s="1"/>
  <c r="F136" i="128" a="1"/>
  <c r="F136" i="128" s="1"/>
  <c r="E136" i="128" a="1"/>
  <c r="E136" i="128" s="1"/>
  <c r="D136" i="128" a="1"/>
  <c r="D136" i="128" s="1"/>
  <c r="AE135" i="128" a="1"/>
  <c r="AE135" i="128" s="1"/>
  <c r="AD135" i="128" a="1"/>
  <c r="AD135" i="128" s="1"/>
  <c r="AC135" i="128" a="1"/>
  <c r="AC135" i="128" s="1"/>
  <c r="AB135" i="128" a="1"/>
  <c r="AB135" i="128" s="1"/>
  <c r="AA135" i="128" a="1"/>
  <c r="AA135" i="128" s="1"/>
  <c r="Z135" i="128" a="1"/>
  <c r="Z135" i="128" s="1"/>
  <c r="Y135" i="128" a="1"/>
  <c r="Y135" i="128" s="1"/>
  <c r="X135" i="128" a="1"/>
  <c r="X135" i="128" s="1"/>
  <c r="W135" i="128" a="1"/>
  <c r="W135" i="128" s="1"/>
  <c r="V135" i="128" a="1"/>
  <c r="V135" i="128" s="1"/>
  <c r="U135" i="128" a="1"/>
  <c r="U135" i="128" s="1"/>
  <c r="T135" i="128" a="1"/>
  <c r="T135" i="128" s="1"/>
  <c r="S135" i="128" a="1"/>
  <c r="S135" i="128" s="1"/>
  <c r="R135" i="128" a="1"/>
  <c r="R135" i="128" s="1"/>
  <c r="Q135" i="128" a="1"/>
  <c r="Q135" i="128" s="1"/>
  <c r="P135" i="128" a="1"/>
  <c r="P135" i="128" s="1"/>
  <c r="O135" i="128" a="1"/>
  <c r="O135" i="128" s="1"/>
  <c r="N135" i="128" a="1"/>
  <c r="N135" i="128" s="1"/>
  <c r="M135" i="128" a="1"/>
  <c r="M135" i="128" s="1"/>
  <c r="L135" i="128" a="1"/>
  <c r="L135" i="128" s="1"/>
  <c r="K135" i="128" a="1"/>
  <c r="K135" i="128" s="1"/>
  <c r="J135" i="128" a="1"/>
  <c r="J135" i="128" s="1"/>
  <c r="I135" i="128" a="1"/>
  <c r="I135" i="128" s="1"/>
  <c r="H135" i="128" a="1"/>
  <c r="H135" i="128" s="1"/>
  <c r="G135" i="128" a="1"/>
  <c r="G135" i="128" s="1"/>
  <c r="F135" i="128" a="1"/>
  <c r="F135" i="128" s="1"/>
  <c r="E135" i="128" a="1"/>
  <c r="E135" i="128" s="1"/>
  <c r="D135" i="128" a="1"/>
  <c r="D135" i="128" s="1"/>
  <c r="AE134" i="128" a="1"/>
  <c r="AE134" i="128" s="1"/>
  <c r="AD134" i="128" a="1"/>
  <c r="AD134" i="128" s="1"/>
  <c r="AC134" i="128" a="1"/>
  <c r="AC134" i="128" s="1"/>
  <c r="AB134" i="128" a="1"/>
  <c r="AB134" i="128" s="1"/>
  <c r="AA134" i="128" a="1"/>
  <c r="AA134" i="128" s="1"/>
  <c r="Z134" i="128" a="1"/>
  <c r="Z134" i="128" s="1"/>
  <c r="Y134" i="128" a="1"/>
  <c r="Y134" i="128" s="1"/>
  <c r="X134" i="128" a="1"/>
  <c r="X134" i="128" s="1"/>
  <c r="W134" i="128" a="1"/>
  <c r="W134" i="128" s="1"/>
  <c r="V134" i="128" a="1"/>
  <c r="V134" i="128" s="1"/>
  <c r="U134" i="128" a="1"/>
  <c r="U134" i="128" s="1"/>
  <c r="T134" i="128" a="1"/>
  <c r="T134" i="128" s="1"/>
  <c r="S134" i="128" a="1"/>
  <c r="S134" i="128" s="1"/>
  <c r="R134" i="128" a="1"/>
  <c r="R134" i="128" s="1"/>
  <c r="Q134" i="128" a="1"/>
  <c r="Q134" i="128" s="1"/>
  <c r="P134" i="128" a="1"/>
  <c r="P134" i="128" s="1"/>
  <c r="O134" i="128" a="1"/>
  <c r="O134" i="128" s="1"/>
  <c r="N134" i="128" a="1"/>
  <c r="N134" i="128" s="1"/>
  <c r="M134" i="128" a="1"/>
  <c r="M134" i="128" s="1"/>
  <c r="L134" i="128" a="1"/>
  <c r="L134" i="128" s="1"/>
  <c r="K134" i="128" a="1"/>
  <c r="K134" i="128" s="1"/>
  <c r="J134" i="128" a="1"/>
  <c r="J134" i="128" s="1"/>
  <c r="I134" i="128" a="1"/>
  <c r="I134" i="128" s="1"/>
  <c r="H134" i="128" a="1"/>
  <c r="H134" i="128" s="1"/>
  <c r="G134" i="128" a="1"/>
  <c r="G134" i="128" s="1"/>
  <c r="F134" i="128" a="1"/>
  <c r="F134" i="128" s="1"/>
  <c r="E134" i="128" a="1"/>
  <c r="E134" i="128" s="1"/>
  <c r="D134" i="128" a="1"/>
  <c r="D134" i="128" s="1"/>
  <c r="AE133" i="128" a="1"/>
  <c r="AE133" i="128" s="1"/>
  <c r="AD133" i="128" a="1"/>
  <c r="AD133" i="128" s="1"/>
  <c r="AC133" i="128" a="1"/>
  <c r="AC133" i="128" s="1"/>
  <c r="AB133" i="128" a="1"/>
  <c r="AB133" i="128" s="1"/>
  <c r="AA133" i="128" a="1"/>
  <c r="AA133" i="128" s="1"/>
  <c r="Z133" i="128" a="1"/>
  <c r="Z133" i="128" s="1"/>
  <c r="Y133" i="128" a="1"/>
  <c r="Y133" i="128" s="1"/>
  <c r="X133" i="128" a="1"/>
  <c r="X133" i="128" s="1"/>
  <c r="W133" i="128" a="1"/>
  <c r="W133" i="128" s="1"/>
  <c r="V133" i="128" a="1"/>
  <c r="V133" i="128" s="1"/>
  <c r="U133" i="128" a="1"/>
  <c r="U133" i="128" s="1"/>
  <c r="T133" i="128" a="1"/>
  <c r="T133" i="128" s="1"/>
  <c r="S133" i="128" a="1"/>
  <c r="S133" i="128" s="1"/>
  <c r="R133" i="128" a="1"/>
  <c r="R133" i="128" s="1"/>
  <c r="Q133" i="128" a="1"/>
  <c r="Q133" i="128" s="1"/>
  <c r="P133" i="128" a="1"/>
  <c r="P133" i="128" s="1"/>
  <c r="O133" i="128" a="1"/>
  <c r="O133" i="128" s="1"/>
  <c r="N133" i="128" a="1"/>
  <c r="N133" i="128" s="1"/>
  <c r="M133" i="128" a="1"/>
  <c r="M133" i="128" s="1"/>
  <c r="L133" i="128" a="1"/>
  <c r="L133" i="128" s="1"/>
  <c r="K133" i="128" a="1"/>
  <c r="K133" i="128" s="1"/>
  <c r="J133" i="128" a="1"/>
  <c r="J133" i="128" s="1"/>
  <c r="I133" i="128" a="1"/>
  <c r="I133" i="128" s="1"/>
  <c r="H133" i="128" a="1"/>
  <c r="H133" i="128" s="1"/>
  <c r="G133" i="128" a="1"/>
  <c r="G133" i="128" s="1"/>
  <c r="F133" i="128" a="1"/>
  <c r="F133" i="128" s="1"/>
  <c r="E133" i="128" a="1"/>
  <c r="E133" i="128" s="1"/>
  <c r="D133" i="128" a="1"/>
  <c r="D133" i="128" s="1"/>
  <c r="AE132" i="128" a="1"/>
  <c r="AE132" i="128" s="1"/>
  <c r="AD132" i="128" a="1"/>
  <c r="AD132" i="128" s="1"/>
  <c r="AC132" i="128" a="1"/>
  <c r="AC132" i="128" s="1"/>
  <c r="AB132" i="128" a="1"/>
  <c r="AB132" i="128" s="1"/>
  <c r="AA132" i="128" a="1"/>
  <c r="AA132" i="128" s="1"/>
  <c r="Z132" i="128" a="1"/>
  <c r="Z132" i="128" s="1"/>
  <c r="Y132" i="128" a="1"/>
  <c r="Y132" i="128" s="1"/>
  <c r="X132" i="128" a="1"/>
  <c r="X132" i="128" s="1"/>
  <c r="W132" i="128" a="1"/>
  <c r="W132" i="128" s="1"/>
  <c r="V132" i="128" a="1"/>
  <c r="V132" i="128" s="1"/>
  <c r="U132" i="128" a="1"/>
  <c r="U132" i="128" s="1"/>
  <c r="T132" i="128" a="1"/>
  <c r="T132" i="128" s="1"/>
  <c r="S132" i="128" a="1"/>
  <c r="S132" i="128" s="1"/>
  <c r="R132" i="128" a="1"/>
  <c r="R132" i="128" s="1"/>
  <c r="Q132" i="128" a="1"/>
  <c r="Q132" i="128" s="1"/>
  <c r="P132" i="128" a="1"/>
  <c r="P132" i="128" s="1"/>
  <c r="O132" i="128" a="1"/>
  <c r="O132" i="128" s="1"/>
  <c r="N132" i="128" a="1"/>
  <c r="N132" i="128" s="1"/>
  <c r="M132" i="128" a="1"/>
  <c r="M132" i="128" s="1"/>
  <c r="L132" i="128" a="1"/>
  <c r="L132" i="128" s="1"/>
  <c r="K132" i="128" a="1"/>
  <c r="K132" i="128" s="1"/>
  <c r="J132" i="128" a="1"/>
  <c r="J132" i="128" s="1"/>
  <c r="I132" i="128" a="1"/>
  <c r="I132" i="128" s="1"/>
  <c r="H132" i="128" a="1"/>
  <c r="H132" i="128" s="1"/>
  <c r="G132" i="128" a="1"/>
  <c r="G132" i="128" s="1"/>
  <c r="F132" i="128" a="1"/>
  <c r="F132" i="128" s="1"/>
  <c r="E132" i="128" a="1"/>
  <c r="E132" i="128" s="1"/>
  <c r="D132" i="128" a="1"/>
  <c r="D132" i="128" s="1"/>
  <c r="AE131" i="128" a="1"/>
  <c r="AE131" i="128" s="1"/>
  <c r="AD131" i="128" a="1"/>
  <c r="AD131" i="128" s="1"/>
  <c r="AC131" i="128" a="1"/>
  <c r="AC131" i="128" s="1"/>
  <c r="AB131" i="128" a="1"/>
  <c r="AB131" i="128" s="1"/>
  <c r="AA131" i="128" a="1"/>
  <c r="AA131" i="128" s="1"/>
  <c r="Z131" i="128" a="1"/>
  <c r="Z131" i="128" s="1"/>
  <c r="Y131" i="128" a="1"/>
  <c r="Y131" i="128" s="1"/>
  <c r="X131" i="128" a="1"/>
  <c r="X131" i="128" s="1"/>
  <c r="W131" i="128" a="1"/>
  <c r="W131" i="128" s="1"/>
  <c r="V131" i="128" a="1"/>
  <c r="V131" i="128" s="1"/>
  <c r="U131" i="128" a="1"/>
  <c r="U131" i="128" s="1"/>
  <c r="T131" i="128" a="1"/>
  <c r="T131" i="128" s="1"/>
  <c r="S131" i="128" a="1"/>
  <c r="S131" i="128" s="1"/>
  <c r="R131" i="128" a="1"/>
  <c r="R131" i="128" s="1"/>
  <c r="Q131" i="128" a="1"/>
  <c r="Q131" i="128" s="1"/>
  <c r="P131" i="128" a="1"/>
  <c r="P131" i="128" s="1"/>
  <c r="O131" i="128" a="1"/>
  <c r="O131" i="128" s="1"/>
  <c r="N131" i="128" a="1"/>
  <c r="N131" i="128" s="1"/>
  <c r="M131" i="128" a="1"/>
  <c r="M131" i="128" s="1"/>
  <c r="L131" i="128" a="1"/>
  <c r="L131" i="128" s="1"/>
  <c r="K131" i="128" a="1"/>
  <c r="K131" i="128" s="1"/>
  <c r="J131" i="128" a="1"/>
  <c r="J131" i="128" s="1"/>
  <c r="I131" i="128" a="1"/>
  <c r="I131" i="128" s="1"/>
  <c r="H131" i="128" a="1"/>
  <c r="H131" i="128" s="1"/>
  <c r="G131" i="128" a="1"/>
  <c r="G131" i="128" s="1"/>
  <c r="F131" i="128" a="1"/>
  <c r="F131" i="128" s="1"/>
  <c r="E131" i="128" a="1"/>
  <c r="E131" i="128" s="1"/>
  <c r="D131" i="128" a="1"/>
  <c r="D131" i="128" s="1"/>
  <c r="AE130" i="128" a="1"/>
  <c r="AE130" i="128" s="1"/>
  <c r="AD130" i="128" a="1"/>
  <c r="AD130" i="128" s="1"/>
  <c r="AC130" i="128" a="1"/>
  <c r="AC130" i="128" s="1"/>
  <c r="AB130" i="128" a="1"/>
  <c r="AB130" i="128" s="1"/>
  <c r="AA130" i="128" a="1"/>
  <c r="AA130" i="128" s="1"/>
  <c r="Z130" i="128" a="1"/>
  <c r="Z130" i="128" s="1"/>
  <c r="Y130" i="128" a="1"/>
  <c r="Y130" i="128" s="1"/>
  <c r="X130" i="128" a="1"/>
  <c r="X130" i="128" s="1"/>
  <c r="W130" i="128" a="1"/>
  <c r="W130" i="128" s="1"/>
  <c r="V130" i="128" a="1"/>
  <c r="V130" i="128" s="1"/>
  <c r="U130" i="128" a="1"/>
  <c r="U130" i="128" s="1"/>
  <c r="T130" i="128" a="1"/>
  <c r="T130" i="128" s="1"/>
  <c r="S130" i="128" a="1"/>
  <c r="S130" i="128" s="1"/>
  <c r="R130" i="128" a="1"/>
  <c r="R130" i="128" s="1"/>
  <c r="Q130" i="128" a="1"/>
  <c r="Q130" i="128" s="1"/>
  <c r="P130" i="128" a="1"/>
  <c r="P130" i="128" s="1"/>
  <c r="O130" i="128" a="1"/>
  <c r="O130" i="128" s="1"/>
  <c r="N130" i="128" a="1"/>
  <c r="N130" i="128" s="1"/>
  <c r="M130" i="128" a="1"/>
  <c r="M130" i="128" s="1"/>
  <c r="L130" i="128" a="1"/>
  <c r="L130" i="128" s="1"/>
  <c r="K130" i="128" a="1"/>
  <c r="K130" i="128" s="1"/>
  <c r="J130" i="128" a="1"/>
  <c r="J130" i="128" s="1"/>
  <c r="I130" i="128" a="1"/>
  <c r="I130" i="128" s="1"/>
  <c r="H130" i="128" a="1"/>
  <c r="H130" i="128" s="1"/>
  <c r="G130" i="128" a="1"/>
  <c r="G130" i="128" s="1"/>
  <c r="F130" i="128" a="1"/>
  <c r="F130" i="128" s="1"/>
  <c r="E130" i="128" a="1"/>
  <c r="E130" i="128" s="1"/>
  <c r="D130" i="128" a="1"/>
  <c r="D130" i="128" s="1"/>
  <c r="AE129" i="128" a="1"/>
  <c r="AE129" i="128" s="1"/>
  <c r="AD129" i="128" a="1"/>
  <c r="AD129" i="128" s="1"/>
  <c r="AC129" i="128" a="1"/>
  <c r="AC129" i="128" s="1"/>
  <c r="AB129" i="128" a="1"/>
  <c r="AB129" i="128" s="1"/>
  <c r="AA129" i="128" a="1"/>
  <c r="AA129" i="128" s="1"/>
  <c r="Z129" i="128" a="1"/>
  <c r="Z129" i="128" s="1"/>
  <c r="Y129" i="128" a="1"/>
  <c r="Y129" i="128" s="1"/>
  <c r="X129" i="128" a="1"/>
  <c r="X129" i="128" s="1"/>
  <c r="W129" i="128" a="1"/>
  <c r="W129" i="128" s="1"/>
  <c r="V129" i="128" a="1"/>
  <c r="V129" i="128" s="1"/>
  <c r="U129" i="128" a="1"/>
  <c r="U129" i="128" s="1"/>
  <c r="T129" i="128" a="1"/>
  <c r="T129" i="128" s="1"/>
  <c r="S129" i="128" a="1"/>
  <c r="S129" i="128" s="1"/>
  <c r="R129" i="128" a="1"/>
  <c r="R129" i="128" s="1"/>
  <c r="Q129" i="128" a="1"/>
  <c r="Q129" i="128" s="1"/>
  <c r="P129" i="128" a="1"/>
  <c r="P129" i="128" s="1"/>
  <c r="O129" i="128" a="1"/>
  <c r="O129" i="128" s="1"/>
  <c r="N129" i="128" a="1"/>
  <c r="N129" i="128" s="1"/>
  <c r="M129" i="128" a="1"/>
  <c r="M129" i="128" s="1"/>
  <c r="L129" i="128" a="1"/>
  <c r="L129" i="128" s="1"/>
  <c r="K129" i="128" a="1"/>
  <c r="K129" i="128" s="1"/>
  <c r="J129" i="128" a="1"/>
  <c r="J129" i="128" s="1"/>
  <c r="I129" i="128" a="1"/>
  <c r="I129" i="128" s="1"/>
  <c r="H129" i="128" a="1"/>
  <c r="H129" i="128" s="1"/>
  <c r="G129" i="128" a="1"/>
  <c r="G129" i="128" s="1"/>
  <c r="F129" i="128" a="1"/>
  <c r="F129" i="128" s="1"/>
  <c r="E129" i="128" a="1"/>
  <c r="E129" i="128" s="1"/>
  <c r="D129" i="128" a="1"/>
  <c r="D129" i="128" s="1"/>
  <c r="AE128" i="128" a="1"/>
  <c r="AE128" i="128" s="1"/>
  <c r="AD128" i="128" a="1"/>
  <c r="AD128" i="128" s="1"/>
  <c r="AC128" i="128" a="1"/>
  <c r="AC128" i="128" s="1"/>
  <c r="AB128" i="128" a="1"/>
  <c r="AB128" i="128" s="1"/>
  <c r="AA128" i="128" a="1"/>
  <c r="AA128" i="128" s="1"/>
  <c r="Z128" i="128" a="1"/>
  <c r="Z128" i="128" s="1"/>
  <c r="Y128" i="128" a="1"/>
  <c r="Y128" i="128" s="1"/>
  <c r="X128" i="128" a="1"/>
  <c r="X128" i="128" s="1"/>
  <c r="W128" i="128" a="1"/>
  <c r="W128" i="128" s="1"/>
  <c r="V128" i="128" a="1"/>
  <c r="V128" i="128" s="1"/>
  <c r="U128" i="128" a="1"/>
  <c r="U128" i="128" s="1"/>
  <c r="T128" i="128" a="1"/>
  <c r="T128" i="128" s="1"/>
  <c r="S128" i="128" a="1"/>
  <c r="S128" i="128" s="1"/>
  <c r="R128" i="128" a="1"/>
  <c r="R128" i="128" s="1"/>
  <c r="Q128" i="128" a="1"/>
  <c r="Q128" i="128" s="1"/>
  <c r="P128" i="128" a="1"/>
  <c r="P128" i="128" s="1"/>
  <c r="O128" i="128" a="1"/>
  <c r="O128" i="128" s="1"/>
  <c r="N128" i="128" a="1"/>
  <c r="N128" i="128" s="1"/>
  <c r="M128" i="128" a="1"/>
  <c r="M128" i="128" s="1"/>
  <c r="L128" i="128" a="1"/>
  <c r="L128" i="128" s="1"/>
  <c r="K128" i="128" a="1"/>
  <c r="K128" i="128" s="1"/>
  <c r="J128" i="128" a="1"/>
  <c r="J128" i="128" s="1"/>
  <c r="I128" i="128" a="1"/>
  <c r="I128" i="128" s="1"/>
  <c r="H128" i="128" a="1"/>
  <c r="H128" i="128" s="1"/>
  <c r="G128" i="128" a="1"/>
  <c r="G128" i="128" s="1"/>
  <c r="F128" i="128" a="1"/>
  <c r="F128" i="128" s="1"/>
  <c r="E128" i="128" a="1"/>
  <c r="E128" i="128" s="1"/>
  <c r="D128" i="128" a="1"/>
  <c r="D128" i="128" s="1"/>
  <c r="AE127" i="128" a="1"/>
  <c r="AE127" i="128" s="1"/>
  <c r="AD127" i="128" a="1"/>
  <c r="AD127" i="128" s="1"/>
  <c r="AC127" i="128" a="1"/>
  <c r="AC127" i="128" s="1"/>
  <c r="AB127" i="128" a="1"/>
  <c r="AB127" i="128" s="1"/>
  <c r="AA127" i="128" a="1"/>
  <c r="AA127" i="128" s="1"/>
  <c r="Z127" i="128" a="1"/>
  <c r="Z127" i="128" s="1"/>
  <c r="Y127" i="128" a="1"/>
  <c r="Y127" i="128" s="1"/>
  <c r="X127" i="128" a="1"/>
  <c r="X127" i="128" s="1"/>
  <c r="W127" i="128" a="1"/>
  <c r="W127" i="128" s="1"/>
  <c r="V127" i="128" a="1"/>
  <c r="V127" i="128" s="1"/>
  <c r="U127" i="128" a="1"/>
  <c r="U127" i="128" s="1"/>
  <c r="T127" i="128" a="1"/>
  <c r="T127" i="128" s="1"/>
  <c r="S127" i="128" a="1"/>
  <c r="S127" i="128" s="1"/>
  <c r="R127" i="128" a="1"/>
  <c r="R127" i="128" s="1"/>
  <c r="Q127" i="128" a="1"/>
  <c r="Q127" i="128" s="1"/>
  <c r="P127" i="128" a="1"/>
  <c r="P127" i="128" s="1"/>
  <c r="O127" i="128" a="1"/>
  <c r="O127" i="128" s="1"/>
  <c r="N127" i="128" a="1"/>
  <c r="N127" i="128" s="1"/>
  <c r="M127" i="128" a="1"/>
  <c r="M127" i="128" s="1"/>
  <c r="L127" i="128" a="1"/>
  <c r="L127" i="128" s="1"/>
  <c r="K127" i="128" a="1"/>
  <c r="K127" i="128" s="1"/>
  <c r="J127" i="128" a="1"/>
  <c r="J127" i="128" s="1"/>
  <c r="I127" i="128" a="1"/>
  <c r="I127" i="128" s="1"/>
  <c r="H127" i="128" a="1"/>
  <c r="H127" i="128" s="1"/>
  <c r="G127" i="128" a="1"/>
  <c r="G127" i="128" s="1"/>
  <c r="F127" i="128" a="1"/>
  <c r="F127" i="128" s="1"/>
  <c r="E127" i="128" a="1"/>
  <c r="E127" i="128" s="1"/>
  <c r="D127" i="128" a="1"/>
  <c r="D127" i="128" s="1"/>
  <c r="AE126" i="128" a="1"/>
  <c r="AE126" i="128" s="1"/>
  <c r="AD126" i="128" a="1"/>
  <c r="AD126" i="128" s="1"/>
  <c r="AC126" i="128" a="1"/>
  <c r="AC126" i="128" s="1"/>
  <c r="AB126" i="128" a="1"/>
  <c r="AB126" i="128" s="1"/>
  <c r="AA126" i="128" a="1"/>
  <c r="AA126" i="128" s="1"/>
  <c r="Z126" i="128" a="1"/>
  <c r="Z126" i="128" s="1"/>
  <c r="Y126" i="128" a="1"/>
  <c r="Y126" i="128" s="1"/>
  <c r="X126" i="128" a="1"/>
  <c r="X126" i="128" s="1"/>
  <c r="W126" i="128" a="1"/>
  <c r="W126" i="128" s="1"/>
  <c r="V126" i="128" a="1"/>
  <c r="V126" i="128" s="1"/>
  <c r="U126" i="128" a="1"/>
  <c r="U126" i="128" s="1"/>
  <c r="T126" i="128" a="1"/>
  <c r="T126" i="128" s="1"/>
  <c r="S126" i="128" a="1"/>
  <c r="S126" i="128" s="1"/>
  <c r="R126" i="128" a="1"/>
  <c r="R126" i="128" s="1"/>
  <c r="Q126" i="128" a="1"/>
  <c r="Q126" i="128" s="1"/>
  <c r="P126" i="128" a="1"/>
  <c r="P126" i="128" s="1"/>
  <c r="O126" i="128" a="1"/>
  <c r="O126" i="128" s="1"/>
  <c r="N126" i="128" a="1"/>
  <c r="N126" i="128" s="1"/>
  <c r="M126" i="128" a="1"/>
  <c r="M126" i="128" s="1"/>
  <c r="L126" i="128" a="1"/>
  <c r="L126" i="128" s="1"/>
  <c r="K126" i="128" a="1"/>
  <c r="K126" i="128" s="1"/>
  <c r="J126" i="128" a="1"/>
  <c r="J126" i="128" s="1"/>
  <c r="I126" i="128" a="1"/>
  <c r="I126" i="128" s="1"/>
  <c r="H126" i="128" a="1"/>
  <c r="H126" i="128" s="1"/>
  <c r="G126" i="128" a="1"/>
  <c r="G126" i="128" s="1"/>
  <c r="F126" i="128" a="1"/>
  <c r="F126" i="128" s="1"/>
  <c r="E126" i="128" a="1"/>
  <c r="E126" i="128" s="1"/>
  <c r="D126" i="128" a="1"/>
  <c r="D126" i="128" s="1"/>
  <c r="AE125" i="128" a="1"/>
  <c r="AE125" i="128" s="1"/>
  <c r="AD125" i="128" a="1"/>
  <c r="AD125" i="128" s="1"/>
  <c r="AC125" i="128" a="1"/>
  <c r="AC125" i="128" s="1"/>
  <c r="AB125" i="128" a="1"/>
  <c r="AB125" i="128" s="1"/>
  <c r="AA125" i="128" a="1"/>
  <c r="AA125" i="128" s="1"/>
  <c r="Z125" i="128" a="1"/>
  <c r="Z125" i="128" s="1"/>
  <c r="Y125" i="128" a="1"/>
  <c r="Y125" i="128" s="1"/>
  <c r="X125" i="128" a="1"/>
  <c r="X125" i="128" s="1"/>
  <c r="W125" i="128" a="1"/>
  <c r="W125" i="128" s="1"/>
  <c r="V125" i="128" a="1"/>
  <c r="V125" i="128" s="1"/>
  <c r="U125" i="128" a="1"/>
  <c r="U125" i="128" s="1"/>
  <c r="T125" i="128" a="1"/>
  <c r="T125" i="128" s="1"/>
  <c r="S125" i="128" a="1"/>
  <c r="S125" i="128" s="1"/>
  <c r="R125" i="128" a="1"/>
  <c r="R125" i="128" s="1"/>
  <c r="Q125" i="128" a="1"/>
  <c r="Q125" i="128" s="1"/>
  <c r="P125" i="128" a="1"/>
  <c r="P125" i="128" s="1"/>
  <c r="O125" i="128" a="1"/>
  <c r="O125" i="128" s="1"/>
  <c r="N125" i="128" a="1"/>
  <c r="N125" i="128" s="1"/>
  <c r="M125" i="128" a="1"/>
  <c r="M125" i="128" s="1"/>
  <c r="L125" i="128" a="1"/>
  <c r="L125" i="128" s="1"/>
  <c r="K125" i="128" a="1"/>
  <c r="K125" i="128" s="1"/>
  <c r="J125" i="128" a="1"/>
  <c r="J125" i="128" s="1"/>
  <c r="I125" i="128" a="1"/>
  <c r="I125" i="128" s="1"/>
  <c r="H125" i="128" a="1"/>
  <c r="H125" i="128" s="1"/>
  <c r="G125" i="128" a="1"/>
  <c r="G125" i="128" s="1"/>
  <c r="F125" i="128" a="1"/>
  <c r="F125" i="128" s="1"/>
  <c r="E125" i="128" a="1"/>
  <c r="E125" i="128" s="1"/>
  <c r="D125" i="128" a="1"/>
  <c r="D125" i="128" s="1"/>
  <c r="AE124" i="128" a="1"/>
  <c r="AE124" i="128" s="1"/>
  <c r="AD124" i="128" a="1"/>
  <c r="AD124" i="128" s="1"/>
  <c r="AC124" i="128" a="1"/>
  <c r="AC124" i="128" s="1"/>
  <c r="AB124" i="128" a="1"/>
  <c r="AB124" i="128" s="1"/>
  <c r="AA124" i="128" a="1"/>
  <c r="AA124" i="128" s="1"/>
  <c r="Z124" i="128" a="1"/>
  <c r="Z124" i="128" s="1"/>
  <c r="Y124" i="128" a="1"/>
  <c r="Y124" i="128" s="1"/>
  <c r="X124" i="128" a="1"/>
  <c r="X124" i="128" s="1"/>
  <c r="W124" i="128" a="1"/>
  <c r="W124" i="128" s="1"/>
  <c r="V124" i="128" a="1"/>
  <c r="V124" i="128" s="1"/>
  <c r="U124" i="128" a="1"/>
  <c r="U124" i="128" s="1"/>
  <c r="T124" i="128" a="1"/>
  <c r="T124" i="128" s="1"/>
  <c r="S124" i="128" a="1"/>
  <c r="S124" i="128" s="1"/>
  <c r="R124" i="128" a="1"/>
  <c r="R124" i="128" s="1"/>
  <c r="Q124" i="128" a="1"/>
  <c r="Q124" i="128" s="1"/>
  <c r="P124" i="128" a="1"/>
  <c r="P124" i="128" s="1"/>
  <c r="O124" i="128" a="1"/>
  <c r="O124" i="128" s="1"/>
  <c r="N124" i="128" a="1"/>
  <c r="N124" i="128" s="1"/>
  <c r="M124" i="128" a="1"/>
  <c r="M124" i="128" s="1"/>
  <c r="L124" i="128" a="1"/>
  <c r="L124" i="128" s="1"/>
  <c r="K124" i="128" a="1"/>
  <c r="K124" i="128" s="1"/>
  <c r="J124" i="128" a="1"/>
  <c r="J124" i="128" s="1"/>
  <c r="I124" i="128" a="1"/>
  <c r="I124" i="128" s="1"/>
  <c r="H124" i="128" a="1"/>
  <c r="H124" i="128" s="1"/>
  <c r="G124" i="128" a="1"/>
  <c r="G124" i="128" s="1"/>
  <c r="F124" i="128" a="1"/>
  <c r="F124" i="128" s="1"/>
  <c r="E124" i="128" a="1"/>
  <c r="E124" i="128" s="1"/>
  <c r="D124" i="128" a="1"/>
  <c r="D124" i="128" s="1"/>
  <c r="AE123" i="128" a="1"/>
  <c r="AE123" i="128" s="1"/>
  <c r="AD123" i="128" a="1"/>
  <c r="AD123" i="128" s="1"/>
  <c r="AC123" i="128" a="1"/>
  <c r="AC123" i="128" s="1"/>
  <c r="AB123" i="128" a="1"/>
  <c r="AB123" i="128" s="1"/>
  <c r="AA123" i="128" a="1"/>
  <c r="AA123" i="128" s="1"/>
  <c r="Z123" i="128" a="1"/>
  <c r="Z123" i="128" s="1"/>
  <c r="Y123" i="128" a="1"/>
  <c r="Y123" i="128" s="1"/>
  <c r="X123" i="128" a="1"/>
  <c r="X123" i="128" s="1"/>
  <c r="W123" i="128" a="1"/>
  <c r="W123" i="128" s="1"/>
  <c r="V123" i="128" a="1"/>
  <c r="V123" i="128" s="1"/>
  <c r="U123" i="128" a="1"/>
  <c r="U123" i="128" s="1"/>
  <c r="T123" i="128" a="1"/>
  <c r="T123" i="128" s="1"/>
  <c r="S123" i="128" a="1"/>
  <c r="S123" i="128" s="1"/>
  <c r="R123" i="128" a="1"/>
  <c r="R123" i="128" s="1"/>
  <c r="Q123" i="128" a="1"/>
  <c r="Q123" i="128" s="1"/>
  <c r="P123" i="128" a="1"/>
  <c r="P123" i="128" s="1"/>
  <c r="O123" i="128" a="1"/>
  <c r="O123" i="128" s="1"/>
  <c r="N123" i="128" a="1"/>
  <c r="N123" i="128" s="1"/>
  <c r="M123" i="128" a="1"/>
  <c r="M123" i="128" s="1"/>
  <c r="L123" i="128" a="1"/>
  <c r="L123" i="128" s="1"/>
  <c r="K123" i="128" a="1"/>
  <c r="K123" i="128" s="1"/>
  <c r="J123" i="128" a="1"/>
  <c r="J123" i="128" s="1"/>
  <c r="I123" i="128" a="1"/>
  <c r="I123" i="128" s="1"/>
  <c r="H123" i="128" a="1"/>
  <c r="H123" i="128" s="1"/>
  <c r="G123" i="128" a="1"/>
  <c r="G123" i="128" s="1"/>
  <c r="F123" i="128" a="1"/>
  <c r="F123" i="128" s="1"/>
  <c r="E123" i="128" a="1"/>
  <c r="E123" i="128" s="1"/>
  <c r="D123" i="128" a="1"/>
  <c r="D123" i="128" s="1"/>
  <c r="AE122" i="128" a="1"/>
  <c r="AE122" i="128" s="1"/>
  <c r="AD122" i="128" a="1"/>
  <c r="AD122" i="128" s="1"/>
  <c r="AC122" i="128" a="1"/>
  <c r="AC122" i="128" s="1"/>
  <c r="AB122" i="128" a="1"/>
  <c r="AB122" i="128" s="1"/>
  <c r="AA122" i="128" a="1"/>
  <c r="AA122" i="128" s="1"/>
  <c r="Z122" i="128" a="1"/>
  <c r="Z122" i="128" s="1"/>
  <c r="Y122" i="128" a="1"/>
  <c r="Y122" i="128" s="1"/>
  <c r="X122" i="128" a="1"/>
  <c r="X122" i="128" s="1"/>
  <c r="W122" i="128" a="1"/>
  <c r="W122" i="128" s="1"/>
  <c r="V122" i="128" a="1"/>
  <c r="V122" i="128" s="1"/>
  <c r="U122" i="128" a="1"/>
  <c r="U122" i="128" s="1"/>
  <c r="T122" i="128" a="1"/>
  <c r="T122" i="128" s="1"/>
  <c r="S122" i="128" a="1"/>
  <c r="S122" i="128" s="1"/>
  <c r="R122" i="128" a="1"/>
  <c r="R122" i="128" s="1"/>
  <c r="Q122" i="128" a="1"/>
  <c r="Q122" i="128" s="1"/>
  <c r="P122" i="128" a="1"/>
  <c r="P122" i="128" s="1"/>
  <c r="O122" i="128" a="1"/>
  <c r="O122" i="128" s="1"/>
  <c r="N122" i="128" a="1"/>
  <c r="N122" i="128" s="1"/>
  <c r="M122" i="128" a="1"/>
  <c r="M122" i="128" s="1"/>
  <c r="L122" i="128" a="1"/>
  <c r="L122" i="128" s="1"/>
  <c r="K122" i="128" a="1"/>
  <c r="K122" i="128" s="1"/>
  <c r="J122" i="128" a="1"/>
  <c r="J122" i="128" s="1"/>
  <c r="I122" i="128" a="1"/>
  <c r="I122" i="128" s="1"/>
  <c r="H122" i="128" a="1"/>
  <c r="H122" i="128" s="1"/>
  <c r="G122" i="128" a="1"/>
  <c r="G122" i="128" s="1"/>
  <c r="F122" i="128" a="1"/>
  <c r="F122" i="128" s="1"/>
  <c r="E122" i="128" a="1"/>
  <c r="E122" i="128" s="1"/>
  <c r="D122" i="128" a="1"/>
  <c r="D122" i="128" s="1"/>
  <c r="AE121" i="128" a="1"/>
  <c r="AE121" i="128" s="1"/>
  <c r="AD121" i="128" a="1"/>
  <c r="AD121" i="128" s="1"/>
  <c r="AC121" i="128" a="1"/>
  <c r="AC121" i="128" s="1"/>
  <c r="AB121" i="128" a="1"/>
  <c r="AB121" i="128" s="1"/>
  <c r="AA121" i="128" a="1"/>
  <c r="AA121" i="128" s="1"/>
  <c r="Z121" i="128" a="1"/>
  <c r="Z121" i="128" s="1"/>
  <c r="Y121" i="128" a="1"/>
  <c r="Y121" i="128" s="1"/>
  <c r="X121" i="128" a="1"/>
  <c r="X121" i="128" s="1"/>
  <c r="W121" i="128" a="1"/>
  <c r="W121" i="128" s="1"/>
  <c r="V121" i="128" a="1"/>
  <c r="V121" i="128" s="1"/>
  <c r="U121" i="128" a="1"/>
  <c r="U121" i="128" s="1"/>
  <c r="T121" i="128" a="1"/>
  <c r="T121" i="128" s="1"/>
  <c r="S121" i="128" a="1"/>
  <c r="S121" i="128" s="1"/>
  <c r="R121" i="128" a="1"/>
  <c r="R121" i="128" s="1"/>
  <c r="Q121" i="128" a="1"/>
  <c r="Q121" i="128" s="1"/>
  <c r="P121" i="128" a="1"/>
  <c r="P121" i="128" s="1"/>
  <c r="O121" i="128" a="1"/>
  <c r="O121" i="128" s="1"/>
  <c r="N121" i="128" a="1"/>
  <c r="N121" i="128" s="1"/>
  <c r="M121" i="128" a="1"/>
  <c r="M121" i="128" s="1"/>
  <c r="L121" i="128" a="1"/>
  <c r="L121" i="128" s="1"/>
  <c r="K121" i="128" a="1"/>
  <c r="K121" i="128" s="1"/>
  <c r="J121" i="128" a="1"/>
  <c r="J121" i="128" s="1"/>
  <c r="I121" i="128" a="1"/>
  <c r="I121" i="128" s="1"/>
  <c r="H121" i="128" a="1"/>
  <c r="H121" i="128" s="1"/>
  <c r="G121" i="128" a="1"/>
  <c r="G121" i="128" s="1"/>
  <c r="F121" i="128" a="1"/>
  <c r="F121" i="128" s="1"/>
  <c r="E121" i="128" a="1"/>
  <c r="E121" i="128" s="1"/>
  <c r="D121" i="128" a="1"/>
  <c r="D121" i="128" s="1"/>
  <c r="AE120" i="128" a="1"/>
  <c r="AE120" i="128" s="1"/>
  <c r="AD120" i="128" a="1"/>
  <c r="AD120" i="128" s="1"/>
  <c r="AC120" i="128" a="1"/>
  <c r="AC120" i="128" s="1"/>
  <c r="AB120" i="128" a="1"/>
  <c r="AB120" i="128" s="1"/>
  <c r="AA120" i="128" a="1"/>
  <c r="AA120" i="128" s="1"/>
  <c r="Z120" i="128" a="1"/>
  <c r="Z120" i="128" s="1"/>
  <c r="Y120" i="128" a="1"/>
  <c r="Y120" i="128" s="1"/>
  <c r="X120" i="128" a="1"/>
  <c r="X120" i="128" s="1"/>
  <c r="W120" i="128" a="1"/>
  <c r="W120" i="128" s="1"/>
  <c r="V120" i="128" a="1"/>
  <c r="V120" i="128" s="1"/>
  <c r="U120" i="128" a="1"/>
  <c r="U120" i="128" s="1"/>
  <c r="T120" i="128" a="1"/>
  <c r="T120" i="128" s="1"/>
  <c r="S120" i="128" a="1"/>
  <c r="S120" i="128" s="1"/>
  <c r="R120" i="128" a="1"/>
  <c r="R120" i="128" s="1"/>
  <c r="Q120" i="128" a="1"/>
  <c r="Q120" i="128" s="1"/>
  <c r="P120" i="128" a="1"/>
  <c r="P120" i="128" s="1"/>
  <c r="O120" i="128" a="1"/>
  <c r="O120" i="128" s="1"/>
  <c r="N120" i="128" a="1"/>
  <c r="N120" i="128" s="1"/>
  <c r="M120" i="128" a="1"/>
  <c r="M120" i="128" s="1"/>
  <c r="L120" i="128" a="1"/>
  <c r="L120" i="128" s="1"/>
  <c r="K120" i="128" a="1"/>
  <c r="K120" i="128" s="1"/>
  <c r="J120" i="128" a="1"/>
  <c r="J120" i="128" s="1"/>
  <c r="I120" i="128" a="1"/>
  <c r="I120" i="128" s="1"/>
  <c r="H120" i="128" a="1"/>
  <c r="H120" i="128" s="1"/>
  <c r="G120" i="128" a="1"/>
  <c r="G120" i="128" s="1"/>
  <c r="F120" i="128" a="1"/>
  <c r="F120" i="128" s="1"/>
  <c r="E120" i="128" a="1"/>
  <c r="E120" i="128" s="1"/>
  <c r="D120" i="128" a="1"/>
  <c r="D120" i="128" s="1"/>
  <c r="AE119" i="128" a="1"/>
  <c r="AE119" i="128" s="1"/>
  <c r="AD119" i="128" a="1"/>
  <c r="AD119" i="128" s="1"/>
  <c r="AC119" i="128" a="1"/>
  <c r="AC119" i="128" s="1"/>
  <c r="AB119" i="128" a="1"/>
  <c r="AB119" i="128" s="1"/>
  <c r="AA119" i="128" a="1"/>
  <c r="AA119" i="128" s="1"/>
  <c r="Z119" i="128" a="1"/>
  <c r="Z119" i="128" s="1"/>
  <c r="Y119" i="128" a="1"/>
  <c r="Y119" i="128" s="1"/>
  <c r="X119" i="128" a="1"/>
  <c r="X119" i="128" s="1"/>
  <c r="W119" i="128" a="1"/>
  <c r="W119" i="128" s="1"/>
  <c r="V119" i="128" a="1"/>
  <c r="V119" i="128" s="1"/>
  <c r="U119" i="128" a="1"/>
  <c r="U119" i="128" s="1"/>
  <c r="T119" i="128" a="1"/>
  <c r="T119" i="128" s="1"/>
  <c r="S119" i="128" a="1"/>
  <c r="S119" i="128" s="1"/>
  <c r="R119" i="128" a="1"/>
  <c r="R119" i="128" s="1"/>
  <c r="Q119" i="128" a="1"/>
  <c r="Q119" i="128" s="1"/>
  <c r="P119" i="128" a="1"/>
  <c r="P119" i="128" s="1"/>
  <c r="O119" i="128" a="1"/>
  <c r="O119" i="128" s="1"/>
  <c r="N119" i="128" a="1"/>
  <c r="N119" i="128" s="1"/>
  <c r="M119" i="128" a="1"/>
  <c r="M119" i="128" s="1"/>
  <c r="L119" i="128" a="1"/>
  <c r="L119" i="128" s="1"/>
  <c r="K119" i="128" a="1"/>
  <c r="K119" i="128" s="1"/>
  <c r="J119" i="128" a="1"/>
  <c r="J119" i="128" s="1"/>
  <c r="I119" i="128" a="1"/>
  <c r="I119" i="128" s="1"/>
  <c r="H119" i="128" a="1"/>
  <c r="H119" i="128" s="1"/>
  <c r="G119" i="128" a="1"/>
  <c r="G119" i="128" s="1"/>
  <c r="F119" i="128" a="1"/>
  <c r="F119" i="128" s="1"/>
  <c r="E119" i="128" a="1"/>
  <c r="E119" i="128" s="1"/>
  <c r="D119" i="128" a="1"/>
  <c r="D119" i="128" s="1"/>
  <c r="AE118" i="128" a="1"/>
  <c r="AE118" i="128" s="1"/>
  <c r="AD118" i="128" a="1"/>
  <c r="AD118" i="128" s="1"/>
  <c r="AC118" i="128" a="1"/>
  <c r="AC118" i="128" s="1"/>
  <c r="AB118" i="128" a="1"/>
  <c r="AB118" i="128" s="1"/>
  <c r="AA118" i="128" a="1"/>
  <c r="AA118" i="128" s="1"/>
  <c r="Z118" i="128" a="1"/>
  <c r="Z118" i="128" s="1"/>
  <c r="Y118" i="128" a="1"/>
  <c r="Y118" i="128" s="1"/>
  <c r="X118" i="128" a="1"/>
  <c r="X118" i="128" s="1"/>
  <c r="W118" i="128" a="1"/>
  <c r="W118" i="128" s="1"/>
  <c r="V118" i="128" a="1"/>
  <c r="V118" i="128" s="1"/>
  <c r="U118" i="128" a="1"/>
  <c r="U118" i="128" s="1"/>
  <c r="T118" i="128" a="1"/>
  <c r="T118" i="128" s="1"/>
  <c r="S118" i="128" a="1"/>
  <c r="S118" i="128" s="1"/>
  <c r="R118" i="128" a="1"/>
  <c r="R118" i="128" s="1"/>
  <c r="Q118" i="128" a="1"/>
  <c r="Q118" i="128" s="1"/>
  <c r="P118" i="128" a="1"/>
  <c r="P118" i="128" s="1"/>
  <c r="O118" i="128" a="1"/>
  <c r="O118" i="128" s="1"/>
  <c r="N118" i="128" a="1"/>
  <c r="N118" i="128" s="1"/>
  <c r="M118" i="128" a="1"/>
  <c r="M118" i="128" s="1"/>
  <c r="L118" i="128" a="1"/>
  <c r="L118" i="128" s="1"/>
  <c r="K118" i="128" a="1"/>
  <c r="K118" i="128" s="1"/>
  <c r="J118" i="128" a="1"/>
  <c r="J118" i="128" s="1"/>
  <c r="I118" i="128" a="1"/>
  <c r="I118" i="128" s="1"/>
  <c r="H118" i="128" a="1"/>
  <c r="H118" i="128" s="1"/>
  <c r="G118" i="128" a="1"/>
  <c r="G118" i="128" s="1"/>
  <c r="F118" i="128" a="1"/>
  <c r="F118" i="128" s="1"/>
  <c r="E118" i="128" a="1"/>
  <c r="E118" i="128" s="1"/>
  <c r="D118" i="128" a="1"/>
  <c r="D118" i="128" s="1"/>
  <c r="AE117" i="128" a="1"/>
  <c r="AE117" i="128" s="1"/>
  <c r="AD117" i="128" a="1"/>
  <c r="AD117" i="128" s="1"/>
  <c r="AC117" i="128" a="1"/>
  <c r="AC117" i="128" s="1"/>
  <c r="AB117" i="128" a="1"/>
  <c r="AB117" i="128" s="1"/>
  <c r="AA117" i="128" a="1"/>
  <c r="AA117" i="128" s="1"/>
  <c r="Z117" i="128" a="1"/>
  <c r="Z117" i="128" s="1"/>
  <c r="Y117" i="128" a="1"/>
  <c r="Y117" i="128" s="1"/>
  <c r="X117" i="128" a="1"/>
  <c r="X117" i="128" s="1"/>
  <c r="W117" i="128" a="1"/>
  <c r="W117" i="128" s="1"/>
  <c r="V117" i="128" a="1"/>
  <c r="V117" i="128" s="1"/>
  <c r="U117" i="128" a="1"/>
  <c r="U117" i="128" s="1"/>
  <c r="T117" i="128" a="1"/>
  <c r="T117" i="128" s="1"/>
  <c r="S117" i="128" a="1"/>
  <c r="S117" i="128" s="1"/>
  <c r="R117" i="128" a="1"/>
  <c r="R117" i="128" s="1"/>
  <c r="Q117" i="128" a="1"/>
  <c r="Q117" i="128" s="1"/>
  <c r="P117" i="128" a="1"/>
  <c r="P117" i="128" s="1"/>
  <c r="O117" i="128" a="1"/>
  <c r="O117" i="128" s="1"/>
  <c r="N117" i="128" a="1"/>
  <c r="N117" i="128" s="1"/>
  <c r="M117" i="128" a="1"/>
  <c r="M117" i="128" s="1"/>
  <c r="L117" i="128" a="1"/>
  <c r="L117" i="128" s="1"/>
  <c r="K117" i="128" a="1"/>
  <c r="K117" i="128" s="1"/>
  <c r="J117" i="128" a="1"/>
  <c r="J117" i="128" s="1"/>
  <c r="I117" i="128" a="1"/>
  <c r="I117" i="128" s="1"/>
  <c r="H117" i="128" a="1"/>
  <c r="H117" i="128" s="1"/>
  <c r="G117" i="128" a="1"/>
  <c r="G117" i="128" s="1"/>
  <c r="F117" i="128" a="1"/>
  <c r="F117" i="128" s="1"/>
  <c r="E117" i="128" a="1"/>
  <c r="E117" i="128" s="1"/>
  <c r="D117" i="128" a="1"/>
  <c r="D117" i="128" s="1"/>
  <c r="AE116" i="128" a="1"/>
  <c r="AE116" i="128" s="1"/>
  <c r="AD116" i="128" a="1"/>
  <c r="AD116" i="128" s="1"/>
  <c r="AC116" i="128" a="1"/>
  <c r="AC116" i="128" s="1"/>
  <c r="AB116" i="128" a="1"/>
  <c r="AB116" i="128" s="1"/>
  <c r="AA116" i="128" a="1"/>
  <c r="AA116" i="128" s="1"/>
  <c r="Z116" i="128" a="1"/>
  <c r="Z116" i="128" s="1"/>
  <c r="Y116" i="128" a="1"/>
  <c r="Y116" i="128" s="1"/>
  <c r="X116" i="128" a="1"/>
  <c r="X116" i="128" s="1"/>
  <c r="W116" i="128" a="1"/>
  <c r="W116" i="128" s="1"/>
  <c r="V116" i="128" a="1"/>
  <c r="V116" i="128" s="1"/>
  <c r="U116" i="128" a="1"/>
  <c r="U116" i="128" s="1"/>
  <c r="T116" i="128" a="1"/>
  <c r="T116" i="128" s="1"/>
  <c r="S116" i="128" a="1"/>
  <c r="S116" i="128" s="1"/>
  <c r="R116" i="128" a="1"/>
  <c r="R116" i="128" s="1"/>
  <c r="Q116" i="128" a="1"/>
  <c r="Q116" i="128" s="1"/>
  <c r="P116" i="128" a="1"/>
  <c r="P116" i="128" s="1"/>
  <c r="O116" i="128" a="1"/>
  <c r="O116" i="128" s="1"/>
  <c r="N116" i="128" a="1"/>
  <c r="N116" i="128" s="1"/>
  <c r="M116" i="128" a="1"/>
  <c r="M116" i="128" s="1"/>
  <c r="L116" i="128" a="1"/>
  <c r="L116" i="128" s="1"/>
  <c r="K116" i="128" a="1"/>
  <c r="K116" i="128" s="1"/>
  <c r="J116" i="128" a="1"/>
  <c r="J116" i="128" s="1"/>
  <c r="I116" i="128" a="1"/>
  <c r="I116" i="128" s="1"/>
  <c r="H116" i="128" a="1"/>
  <c r="H116" i="128" s="1"/>
  <c r="G116" i="128" a="1"/>
  <c r="G116" i="128" s="1"/>
  <c r="F116" i="128" a="1"/>
  <c r="F116" i="128" s="1"/>
  <c r="E116" i="128" a="1"/>
  <c r="E116" i="128" s="1"/>
  <c r="D116" i="128" a="1"/>
  <c r="D116" i="128" s="1"/>
  <c r="AE115" i="128" a="1"/>
  <c r="AE115" i="128" s="1"/>
  <c r="AD115" i="128" a="1"/>
  <c r="AD115" i="128" s="1"/>
  <c r="AC115" i="128" a="1"/>
  <c r="AC115" i="128" s="1"/>
  <c r="AB115" i="128" a="1"/>
  <c r="AB115" i="128" s="1"/>
  <c r="AA115" i="128" a="1"/>
  <c r="AA115" i="128" s="1"/>
  <c r="Z115" i="128" a="1"/>
  <c r="Z115" i="128" s="1"/>
  <c r="Y115" i="128" a="1"/>
  <c r="Y115" i="128" s="1"/>
  <c r="X115" i="128" a="1"/>
  <c r="X115" i="128" s="1"/>
  <c r="W115" i="128" a="1"/>
  <c r="W115" i="128" s="1"/>
  <c r="V115" i="128" a="1"/>
  <c r="V115" i="128" s="1"/>
  <c r="U115" i="128" a="1"/>
  <c r="U115" i="128" s="1"/>
  <c r="T115" i="128" a="1"/>
  <c r="T115" i="128" s="1"/>
  <c r="S115" i="128" a="1"/>
  <c r="S115" i="128" s="1"/>
  <c r="R115" i="128" a="1"/>
  <c r="R115" i="128" s="1"/>
  <c r="Q115" i="128" a="1"/>
  <c r="Q115" i="128" s="1"/>
  <c r="P115" i="128" a="1"/>
  <c r="P115" i="128" s="1"/>
  <c r="O115" i="128" a="1"/>
  <c r="O115" i="128" s="1"/>
  <c r="N115" i="128" a="1"/>
  <c r="N115" i="128" s="1"/>
  <c r="M115" i="128" a="1"/>
  <c r="M115" i="128" s="1"/>
  <c r="L115" i="128" a="1"/>
  <c r="L115" i="128" s="1"/>
  <c r="K115" i="128" a="1"/>
  <c r="K115" i="128" s="1"/>
  <c r="J115" i="128" a="1"/>
  <c r="J115" i="128" s="1"/>
  <c r="I115" i="128" a="1"/>
  <c r="I115" i="128" s="1"/>
  <c r="H115" i="128" a="1"/>
  <c r="H115" i="128" s="1"/>
  <c r="G115" i="128" a="1"/>
  <c r="G115" i="128" s="1"/>
  <c r="F115" i="128" a="1"/>
  <c r="F115" i="128" s="1"/>
  <c r="E115" i="128" a="1"/>
  <c r="E115" i="128" s="1"/>
  <c r="D115" i="128" a="1"/>
  <c r="D115" i="128" s="1"/>
  <c r="AE114" i="128" a="1"/>
  <c r="AE114" i="128" s="1"/>
  <c r="AD114" i="128" a="1"/>
  <c r="AD114" i="128" s="1"/>
  <c r="AC114" i="128" a="1"/>
  <c r="AC114" i="128" s="1"/>
  <c r="AB114" i="128" a="1"/>
  <c r="AB114" i="128" s="1"/>
  <c r="AA114" i="128" a="1"/>
  <c r="AA114" i="128" s="1"/>
  <c r="Z114" i="128" a="1"/>
  <c r="Z114" i="128" s="1"/>
  <c r="Y114" i="128" a="1"/>
  <c r="Y114" i="128" s="1"/>
  <c r="X114" i="128" a="1"/>
  <c r="X114" i="128" s="1"/>
  <c r="W114" i="128" a="1"/>
  <c r="W114" i="128" s="1"/>
  <c r="V114" i="128" a="1"/>
  <c r="V114" i="128" s="1"/>
  <c r="U114" i="128" a="1"/>
  <c r="U114" i="128" s="1"/>
  <c r="T114" i="128" a="1"/>
  <c r="T114" i="128" s="1"/>
  <c r="S114" i="128" a="1"/>
  <c r="S114" i="128" s="1"/>
  <c r="R114" i="128" a="1"/>
  <c r="R114" i="128" s="1"/>
  <c r="Q114" i="128" a="1"/>
  <c r="Q114" i="128" s="1"/>
  <c r="P114" i="128" a="1"/>
  <c r="P114" i="128" s="1"/>
  <c r="O114" i="128" a="1"/>
  <c r="O114" i="128" s="1"/>
  <c r="N114" i="128" a="1"/>
  <c r="N114" i="128" s="1"/>
  <c r="M114" i="128" a="1"/>
  <c r="M114" i="128" s="1"/>
  <c r="L114" i="128" a="1"/>
  <c r="L114" i="128" s="1"/>
  <c r="K114" i="128" a="1"/>
  <c r="K114" i="128" s="1"/>
  <c r="J114" i="128" a="1"/>
  <c r="J114" i="128" s="1"/>
  <c r="I114" i="128" a="1"/>
  <c r="I114" i="128" s="1"/>
  <c r="H114" i="128" a="1"/>
  <c r="H114" i="128" s="1"/>
  <c r="G114" i="128" a="1"/>
  <c r="G114" i="128" s="1"/>
  <c r="F114" i="128" a="1"/>
  <c r="F114" i="128" s="1"/>
  <c r="E114" i="128" a="1"/>
  <c r="E114" i="128" s="1"/>
  <c r="D114" i="128" a="1"/>
  <c r="D114" i="128" s="1"/>
  <c r="AE113" i="128" a="1"/>
  <c r="AE113" i="128" s="1"/>
  <c r="AD113" i="128" a="1"/>
  <c r="AD113" i="128" s="1"/>
  <c r="AC113" i="128" a="1"/>
  <c r="AC113" i="128" s="1"/>
  <c r="AB113" i="128" a="1"/>
  <c r="AB113" i="128" s="1"/>
  <c r="AA113" i="128" a="1"/>
  <c r="AA113" i="128" s="1"/>
  <c r="Z113" i="128" a="1"/>
  <c r="Z113" i="128" s="1"/>
  <c r="Y113" i="128" a="1"/>
  <c r="Y113" i="128" s="1"/>
  <c r="X113" i="128" a="1"/>
  <c r="X113" i="128" s="1"/>
  <c r="W113" i="128" a="1"/>
  <c r="W113" i="128" s="1"/>
  <c r="V113" i="128" a="1"/>
  <c r="V113" i="128" s="1"/>
  <c r="U113" i="128" a="1"/>
  <c r="U113" i="128" s="1"/>
  <c r="T113" i="128" a="1"/>
  <c r="T113" i="128" s="1"/>
  <c r="S113" i="128" a="1"/>
  <c r="S113" i="128" s="1"/>
  <c r="R113" i="128" a="1"/>
  <c r="R113" i="128" s="1"/>
  <c r="Q113" i="128" a="1"/>
  <c r="Q113" i="128" s="1"/>
  <c r="P113" i="128" a="1"/>
  <c r="P113" i="128" s="1"/>
  <c r="O113" i="128" a="1"/>
  <c r="O113" i="128" s="1"/>
  <c r="N113" i="128" a="1"/>
  <c r="N113" i="128" s="1"/>
  <c r="M113" i="128" a="1"/>
  <c r="M113" i="128" s="1"/>
  <c r="L113" i="128" a="1"/>
  <c r="L113" i="128" s="1"/>
  <c r="K113" i="128" a="1"/>
  <c r="K113" i="128" s="1"/>
  <c r="J113" i="128" a="1"/>
  <c r="J113" i="128" s="1"/>
  <c r="I113" i="128" a="1"/>
  <c r="I113" i="128" s="1"/>
  <c r="H113" i="128" a="1"/>
  <c r="H113" i="128" s="1"/>
  <c r="G113" i="128" a="1"/>
  <c r="G113" i="128" s="1"/>
  <c r="F113" i="128" a="1"/>
  <c r="F113" i="128" s="1"/>
  <c r="E113" i="128" a="1"/>
  <c r="E113" i="128" s="1"/>
  <c r="D113" i="128" a="1"/>
  <c r="D113" i="128" s="1"/>
  <c r="AE112" i="128" a="1"/>
  <c r="AE112" i="128" s="1"/>
  <c r="AD112" i="128" a="1"/>
  <c r="AD112" i="128" s="1"/>
  <c r="AC112" i="128" a="1"/>
  <c r="AC112" i="128" s="1"/>
  <c r="AB112" i="128" a="1"/>
  <c r="AB112" i="128" s="1"/>
  <c r="AA112" i="128" a="1"/>
  <c r="AA112" i="128" s="1"/>
  <c r="Z112" i="128" a="1"/>
  <c r="Z112" i="128" s="1"/>
  <c r="Y112" i="128" a="1"/>
  <c r="Y112" i="128" s="1"/>
  <c r="X112" i="128" a="1"/>
  <c r="X112" i="128" s="1"/>
  <c r="W112" i="128" a="1"/>
  <c r="W112" i="128" s="1"/>
  <c r="V112" i="128" a="1"/>
  <c r="V112" i="128" s="1"/>
  <c r="U112" i="128" a="1"/>
  <c r="U112" i="128" s="1"/>
  <c r="T112" i="128" a="1"/>
  <c r="T112" i="128" s="1"/>
  <c r="S112" i="128" a="1"/>
  <c r="S112" i="128" s="1"/>
  <c r="R112" i="128" a="1"/>
  <c r="R112" i="128" s="1"/>
  <c r="Q112" i="128" a="1"/>
  <c r="Q112" i="128" s="1"/>
  <c r="P112" i="128" a="1"/>
  <c r="P112" i="128" s="1"/>
  <c r="O112" i="128" a="1"/>
  <c r="O112" i="128" s="1"/>
  <c r="N112" i="128" a="1"/>
  <c r="N112" i="128" s="1"/>
  <c r="M112" i="128" a="1"/>
  <c r="M112" i="128" s="1"/>
  <c r="L112" i="128" a="1"/>
  <c r="L112" i="128" s="1"/>
  <c r="K112" i="128" a="1"/>
  <c r="K112" i="128" s="1"/>
  <c r="J112" i="128" a="1"/>
  <c r="J112" i="128" s="1"/>
  <c r="I112" i="128" a="1"/>
  <c r="I112" i="128" s="1"/>
  <c r="H112" i="128" a="1"/>
  <c r="H112" i="128" s="1"/>
  <c r="G112" i="128" a="1"/>
  <c r="G112" i="128" s="1"/>
  <c r="F112" i="128" a="1"/>
  <c r="F112" i="128" s="1"/>
  <c r="E112" i="128" a="1"/>
  <c r="E112" i="128" s="1"/>
  <c r="D112" i="128" a="1"/>
  <c r="D112" i="128" s="1"/>
  <c r="AE111" i="128" a="1"/>
  <c r="AE111" i="128" s="1"/>
  <c r="AD111" i="128" a="1"/>
  <c r="AD111" i="128" s="1"/>
  <c r="AC111" i="128" a="1"/>
  <c r="AC111" i="128" s="1"/>
  <c r="AB111" i="128" a="1"/>
  <c r="AB111" i="128" s="1"/>
  <c r="AA111" i="128" a="1"/>
  <c r="AA111" i="128" s="1"/>
  <c r="Z111" i="128" a="1"/>
  <c r="Z111" i="128" s="1"/>
  <c r="Y111" i="128" a="1"/>
  <c r="Y111" i="128" s="1"/>
  <c r="X111" i="128" a="1"/>
  <c r="X111" i="128" s="1"/>
  <c r="W111" i="128" a="1"/>
  <c r="W111" i="128" s="1"/>
  <c r="V111" i="128" a="1"/>
  <c r="V111" i="128" s="1"/>
  <c r="U111" i="128" a="1"/>
  <c r="U111" i="128" s="1"/>
  <c r="T111" i="128" a="1"/>
  <c r="T111" i="128" s="1"/>
  <c r="S111" i="128" a="1"/>
  <c r="S111" i="128" s="1"/>
  <c r="R111" i="128" a="1"/>
  <c r="R111" i="128" s="1"/>
  <c r="Q111" i="128" a="1"/>
  <c r="Q111" i="128" s="1"/>
  <c r="P111" i="128" a="1"/>
  <c r="P111" i="128" s="1"/>
  <c r="O111" i="128" a="1"/>
  <c r="O111" i="128" s="1"/>
  <c r="N111" i="128" a="1"/>
  <c r="N111" i="128" s="1"/>
  <c r="M111" i="128" a="1"/>
  <c r="M111" i="128" s="1"/>
  <c r="L111" i="128" a="1"/>
  <c r="L111" i="128" s="1"/>
  <c r="K111" i="128" a="1"/>
  <c r="K111" i="128" s="1"/>
  <c r="J111" i="128" a="1"/>
  <c r="J111" i="128" s="1"/>
  <c r="I111" i="128" a="1"/>
  <c r="I111" i="128" s="1"/>
  <c r="H111" i="128" a="1"/>
  <c r="H111" i="128" s="1"/>
  <c r="G111" i="128" a="1"/>
  <c r="G111" i="128" s="1"/>
  <c r="F111" i="128" a="1"/>
  <c r="F111" i="128" s="1"/>
  <c r="E111" i="128" a="1"/>
  <c r="E111" i="128" s="1"/>
  <c r="D111" i="128" a="1"/>
  <c r="D111" i="128" s="1"/>
  <c r="AE110" i="128" a="1"/>
  <c r="AE110" i="128" s="1"/>
  <c r="AD110" i="128" a="1"/>
  <c r="AD110" i="128" s="1"/>
  <c r="AC110" i="128" a="1"/>
  <c r="AC110" i="128" s="1"/>
  <c r="AB110" i="128" a="1"/>
  <c r="AB110" i="128" s="1"/>
  <c r="AA110" i="128" a="1"/>
  <c r="AA110" i="128" s="1"/>
  <c r="Z110" i="128" a="1"/>
  <c r="Z110" i="128" s="1"/>
  <c r="Y110" i="128" a="1"/>
  <c r="Y110" i="128" s="1"/>
  <c r="X110" i="128" a="1"/>
  <c r="X110" i="128" s="1"/>
  <c r="W110" i="128" a="1"/>
  <c r="W110" i="128" s="1"/>
  <c r="V110" i="128" a="1"/>
  <c r="V110" i="128" s="1"/>
  <c r="U110" i="128" a="1"/>
  <c r="U110" i="128" s="1"/>
  <c r="T110" i="128" a="1"/>
  <c r="T110" i="128" s="1"/>
  <c r="S110" i="128" a="1"/>
  <c r="S110" i="128" s="1"/>
  <c r="R110" i="128" a="1"/>
  <c r="R110" i="128" s="1"/>
  <c r="Q110" i="128" a="1"/>
  <c r="Q110" i="128" s="1"/>
  <c r="P110" i="128" a="1"/>
  <c r="P110" i="128" s="1"/>
  <c r="O110" i="128" a="1"/>
  <c r="O110" i="128" s="1"/>
  <c r="N110" i="128" a="1"/>
  <c r="N110" i="128" s="1"/>
  <c r="M110" i="128" a="1"/>
  <c r="M110" i="128" s="1"/>
  <c r="L110" i="128" a="1"/>
  <c r="L110" i="128" s="1"/>
  <c r="K110" i="128" a="1"/>
  <c r="K110" i="128" s="1"/>
  <c r="J110" i="128" a="1"/>
  <c r="J110" i="128" s="1"/>
  <c r="I110" i="128" a="1"/>
  <c r="I110" i="128" s="1"/>
  <c r="H110" i="128" a="1"/>
  <c r="H110" i="128" s="1"/>
  <c r="G110" i="128" a="1"/>
  <c r="G110" i="128" s="1"/>
  <c r="F110" i="128" a="1"/>
  <c r="F110" i="128" s="1"/>
  <c r="E110" i="128" a="1"/>
  <c r="E110" i="128" s="1"/>
  <c r="D110" i="128" a="1"/>
  <c r="D110" i="128" s="1"/>
  <c r="AE109" i="128" a="1"/>
  <c r="AE109" i="128" s="1"/>
  <c r="AD109" i="128" a="1"/>
  <c r="AD109" i="128" s="1"/>
  <c r="AC109" i="128" a="1"/>
  <c r="AC109" i="128" s="1"/>
  <c r="AB109" i="128" a="1"/>
  <c r="AB109" i="128" s="1"/>
  <c r="AA109" i="128" a="1"/>
  <c r="AA109" i="128" s="1"/>
  <c r="Z109" i="128" a="1"/>
  <c r="Z109" i="128" s="1"/>
  <c r="Y109" i="128" a="1"/>
  <c r="Y109" i="128" s="1"/>
  <c r="X109" i="128" a="1"/>
  <c r="X109" i="128" s="1"/>
  <c r="W109" i="128" a="1"/>
  <c r="W109" i="128" s="1"/>
  <c r="V109" i="128" a="1"/>
  <c r="V109" i="128" s="1"/>
  <c r="U109" i="128" a="1"/>
  <c r="U109" i="128" s="1"/>
  <c r="T109" i="128" a="1"/>
  <c r="T109" i="128" s="1"/>
  <c r="S109" i="128" a="1"/>
  <c r="S109" i="128" s="1"/>
  <c r="R109" i="128" a="1"/>
  <c r="R109" i="128" s="1"/>
  <c r="Q109" i="128" a="1"/>
  <c r="Q109" i="128" s="1"/>
  <c r="P109" i="128" a="1"/>
  <c r="P109" i="128" s="1"/>
  <c r="O109" i="128" a="1"/>
  <c r="O109" i="128" s="1"/>
  <c r="N109" i="128" a="1"/>
  <c r="N109" i="128" s="1"/>
  <c r="M109" i="128" a="1"/>
  <c r="M109" i="128" s="1"/>
  <c r="L109" i="128" a="1"/>
  <c r="L109" i="128" s="1"/>
  <c r="K109" i="128" a="1"/>
  <c r="K109" i="128" s="1"/>
  <c r="J109" i="128" a="1"/>
  <c r="J109" i="128" s="1"/>
  <c r="I109" i="128" a="1"/>
  <c r="I109" i="128" s="1"/>
  <c r="H109" i="128" a="1"/>
  <c r="H109" i="128" s="1"/>
  <c r="G109" i="128" a="1"/>
  <c r="G109" i="128" s="1"/>
  <c r="F109" i="128" a="1"/>
  <c r="F109" i="128" s="1"/>
  <c r="E109" i="128" a="1"/>
  <c r="E109" i="128" s="1"/>
  <c r="D109" i="128" a="1"/>
  <c r="D109" i="128" s="1"/>
  <c r="AE108" i="128" a="1"/>
  <c r="AE108" i="128" s="1"/>
  <c r="AD108" i="128" a="1"/>
  <c r="AD108" i="128" s="1"/>
  <c r="AC108" i="128" a="1"/>
  <c r="AC108" i="128" s="1"/>
  <c r="AB108" i="128" a="1"/>
  <c r="AB108" i="128" s="1"/>
  <c r="AA108" i="128" a="1"/>
  <c r="AA108" i="128" s="1"/>
  <c r="Z108" i="128" a="1"/>
  <c r="Z108" i="128" s="1"/>
  <c r="Y108" i="128" a="1"/>
  <c r="Y108" i="128" s="1"/>
  <c r="X108" i="128" a="1"/>
  <c r="X108" i="128" s="1"/>
  <c r="W108" i="128" a="1"/>
  <c r="W108" i="128" s="1"/>
  <c r="V108" i="128" a="1"/>
  <c r="V108" i="128" s="1"/>
  <c r="U108" i="128" a="1"/>
  <c r="U108" i="128" s="1"/>
  <c r="T108" i="128" a="1"/>
  <c r="T108" i="128" s="1"/>
  <c r="S108" i="128" a="1"/>
  <c r="S108" i="128" s="1"/>
  <c r="R108" i="128" a="1"/>
  <c r="R108" i="128" s="1"/>
  <c r="Q108" i="128" a="1"/>
  <c r="Q108" i="128" s="1"/>
  <c r="P108" i="128" a="1"/>
  <c r="P108" i="128" s="1"/>
  <c r="O108" i="128" a="1"/>
  <c r="O108" i="128" s="1"/>
  <c r="N108" i="128" a="1"/>
  <c r="N108" i="128" s="1"/>
  <c r="M108" i="128" a="1"/>
  <c r="M108" i="128" s="1"/>
  <c r="L108" i="128" a="1"/>
  <c r="L108" i="128" s="1"/>
  <c r="K108" i="128" a="1"/>
  <c r="K108" i="128" s="1"/>
  <c r="J108" i="128" a="1"/>
  <c r="J108" i="128" s="1"/>
  <c r="I108" i="128" a="1"/>
  <c r="I108" i="128" s="1"/>
  <c r="H108" i="128" a="1"/>
  <c r="H108" i="128" s="1"/>
  <c r="G108" i="128" a="1"/>
  <c r="G108" i="128" s="1"/>
  <c r="F108" i="128" a="1"/>
  <c r="F108" i="128" s="1"/>
  <c r="E108" i="128" a="1"/>
  <c r="E108" i="128" s="1"/>
  <c r="D108" i="128" a="1"/>
  <c r="D108" i="128" s="1"/>
  <c r="AE107" i="128" a="1"/>
  <c r="AE107" i="128" s="1"/>
  <c r="AD107" i="128" a="1"/>
  <c r="AD107" i="128" s="1"/>
  <c r="AC107" i="128" a="1"/>
  <c r="AC107" i="128" s="1"/>
  <c r="AB107" i="128" a="1"/>
  <c r="AB107" i="128" s="1"/>
  <c r="AA107" i="128" a="1"/>
  <c r="AA107" i="128" s="1"/>
  <c r="Z107" i="128" a="1"/>
  <c r="Z107" i="128" s="1"/>
  <c r="Y107" i="128" a="1"/>
  <c r="Y107" i="128" s="1"/>
  <c r="X107" i="128" a="1"/>
  <c r="X107" i="128" s="1"/>
  <c r="W107" i="128" a="1"/>
  <c r="W107" i="128" s="1"/>
  <c r="V107" i="128" a="1"/>
  <c r="V107" i="128" s="1"/>
  <c r="U107" i="128" a="1"/>
  <c r="U107" i="128" s="1"/>
  <c r="T107" i="128" a="1"/>
  <c r="T107" i="128" s="1"/>
  <c r="S107" i="128" a="1"/>
  <c r="S107" i="128" s="1"/>
  <c r="R107" i="128" a="1"/>
  <c r="R107" i="128" s="1"/>
  <c r="Q107" i="128" a="1"/>
  <c r="Q107" i="128" s="1"/>
  <c r="P107" i="128" a="1"/>
  <c r="P107" i="128" s="1"/>
  <c r="O107" i="128" a="1"/>
  <c r="O107" i="128" s="1"/>
  <c r="N107" i="128" a="1"/>
  <c r="N107" i="128" s="1"/>
  <c r="M107" i="128" a="1"/>
  <c r="M107" i="128" s="1"/>
  <c r="L107" i="128" a="1"/>
  <c r="L107" i="128" s="1"/>
  <c r="K107" i="128" a="1"/>
  <c r="K107" i="128" s="1"/>
  <c r="J107" i="128" a="1"/>
  <c r="J107" i="128" s="1"/>
  <c r="I107" i="128" a="1"/>
  <c r="I107" i="128" s="1"/>
  <c r="H107" i="128" a="1"/>
  <c r="H107" i="128" s="1"/>
  <c r="G107" i="128" a="1"/>
  <c r="G107" i="128" s="1"/>
  <c r="F107" i="128" a="1"/>
  <c r="F107" i="128" s="1"/>
  <c r="E107" i="128" a="1"/>
  <c r="E107" i="128" s="1"/>
  <c r="D107" i="128" a="1"/>
  <c r="D107" i="128" s="1"/>
  <c r="AE106" i="128" a="1"/>
  <c r="AE106" i="128" s="1"/>
  <c r="AD106" i="128" a="1"/>
  <c r="AD106" i="128" s="1"/>
  <c r="AC106" i="128" a="1"/>
  <c r="AC106" i="128" s="1"/>
  <c r="AB106" i="128" a="1"/>
  <c r="AB106" i="128" s="1"/>
  <c r="AA106" i="128" a="1"/>
  <c r="AA106" i="128" s="1"/>
  <c r="Z106" i="128" a="1"/>
  <c r="Z106" i="128" s="1"/>
  <c r="Y106" i="128" a="1"/>
  <c r="Y106" i="128" s="1"/>
  <c r="X106" i="128" a="1"/>
  <c r="X106" i="128" s="1"/>
  <c r="W106" i="128" a="1"/>
  <c r="W106" i="128" s="1"/>
  <c r="V106" i="128" a="1"/>
  <c r="V106" i="128" s="1"/>
  <c r="U106" i="128" a="1"/>
  <c r="U106" i="128" s="1"/>
  <c r="T106" i="128" a="1"/>
  <c r="T106" i="128" s="1"/>
  <c r="S106" i="128" a="1"/>
  <c r="S106" i="128" s="1"/>
  <c r="R106" i="128" a="1"/>
  <c r="R106" i="128" s="1"/>
  <c r="Q106" i="128" a="1"/>
  <c r="Q106" i="128" s="1"/>
  <c r="P106" i="128" a="1"/>
  <c r="P106" i="128" s="1"/>
  <c r="O106" i="128" a="1"/>
  <c r="O106" i="128" s="1"/>
  <c r="N106" i="128" a="1"/>
  <c r="N106" i="128" s="1"/>
  <c r="M106" i="128" a="1"/>
  <c r="M106" i="128" s="1"/>
  <c r="L106" i="128" a="1"/>
  <c r="L106" i="128" s="1"/>
  <c r="K106" i="128" a="1"/>
  <c r="K106" i="128" s="1"/>
  <c r="J106" i="128" a="1"/>
  <c r="J106" i="128" s="1"/>
  <c r="I106" i="128" a="1"/>
  <c r="I106" i="128" s="1"/>
  <c r="H106" i="128" a="1"/>
  <c r="H106" i="128" s="1"/>
  <c r="G106" i="128" a="1"/>
  <c r="G106" i="128" s="1"/>
  <c r="F106" i="128" a="1"/>
  <c r="F106" i="128" s="1"/>
  <c r="E106" i="128" a="1"/>
  <c r="E106" i="128" s="1"/>
  <c r="D106" i="128" a="1"/>
  <c r="D106" i="128" s="1"/>
  <c r="AE105" i="128" a="1"/>
  <c r="AE105" i="128" s="1"/>
  <c r="AD105" i="128" a="1"/>
  <c r="AD105" i="128" s="1"/>
  <c r="AC105" i="128" a="1"/>
  <c r="AC105" i="128" s="1"/>
  <c r="AB105" i="128" a="1"/>
  <c r="AB105" i="128" s="1"/>
  <c r="AA105" i="128" a="1"/>
  <c r="AA105" i="128" s="1"/>
  <c r="Z105" i="128" a="1"/>
  <c r="Z105" i="128" s="1"/>
  <c r="Y105" i="128" a="1"/>
  <c r="Y105" i="128" s="1"/>
  <c r="X105" i="128" a="1"/>
  <c r="X105" i="128" s="1"/>
  <c r="W105" i="128" a="1"/>
  <c r="W105" i="128" s="1"/>
  <c r="V105" i="128" a="1"/>
  <c r="V105" i="128" s="1"/>
  <c r="U105" i="128" a="1"/>
  <c r="U105" i="128" s="1"/>
  <c r="T105" i="128" a="1"/>
  <c r="T105" i="128" s="1"/>
  <c r="S105" i="128" a="1"/>
  <c r="S105" i="128" s="1"/>
  <c r="R105" i="128" a="1"/>
  <c r="R105" i="128" s="1"/>
  <c r="Q105" i="128" a="1"/>
  <c r="Q105" i="128" s="1"/>
  <c r="P105" i="128" a="1"/>
  <c r="P105" i="128" s="1"/>
  <c r="O105" i="128" a="1"/>
  <c r="O105" i="128" s="1"/>
  <c r="N105" i="128" a="1"/>
  <c r="N105" i="128" s="1"/>
  <c r="M105" i="128" a="1"/>
  <c r="M105" i="128" s="1"/>
  <c r="L105" i="128" a="1"/>
  <c r="L105" i="128" s="1"/>
  <c r="K105" i="128" a="1"/>
  <c r="K105" i="128" s="1"/>
  <c r="J105" i="128" a="1"/>
  <c r="J105" i="128" s="1"/>
  <c r="I105" i="128" a="1"/>
  <c r="I105" i="128" s="1"/>
  <c r="H105" i="128" a="1"/>
  <c r="H105" i="128" s="1"/>
  <c r="G105" i="128" a="1"/>
  <c r="G105" i="128" s="1"/>
  <c r="F105" i="128" a="1"/>
  <c r="F105" i="128" s="1"/>
  <c r="E105" i="128" a="1"/>
  <c r="E105" i="128" s="1"/>
  <c r="D105" i="128" a="1"/>
  <c r="D105" i="128" s="1"/>
  <c r="AE104" i="128" a="1"/>
  <c r="AE104" i="128" s="1"/>
  <c r="AD104" i="128" a="1"/>
  <c r="AD104" i="128" s="1"/>
  <c r="AC104" i="128" a="1"/>
  <c r="AC104" i="128" s="1"/>
  <c r="AB104" i="128" a="1"/>
  <c r="AB104" i="128" s="1"/>
  <c r="AA104" i="128" a="1"/>
  <c r="AA104" i="128" s="1"/>
  <c r="Z104" i="128" a="1"/>
  <c r="Z104" i="128" s="1"/>
  <c r="Y104" i="128" a="1"/>
  <c r="Y104" i="128" s="1"/>
  <c r="X104" i="128" a="1"/>
  <c r="X104" i="128" s="1"/>
  <c r="W104" i="128" a="1"/>
  <c r="W104" i="128" s="1"/>
  <c r="V104" i="128" a="1"/>
  <c r="V104" i="128" s="1"/>
  <c r="U104" i="128" a="1"/>
  <c r="U104" i="128" s="1"/>
  <c r="T104" i="128" a="1"/>
  <c r="T104" i="128" s="1"/>
  <c r="S104" i="128" a="1"/>
  <c r="S104" i="128" s="1"/>
  <c r="R104" i="128" a="1"/>
  <c r="R104" i="128" s="1"/>
  <c r="Q104" i="128" a="1"/>
  <c r="Q104" i="128" s="1"/>
  <c r="P104" i="128" a="1"/>
  <c r="P104" i="128" s="1"/>
  <c r="O104" i="128" a="1"/>
  <c r="O104" i="128" s="1"/>
  <c r="N104" i="128" a="1"/>
  <c r="N104" i="128" s="1"/>
  <c r="M104" i="128" a="1"/>
  <c r="M104" i="128" s="1"/>
  <c r="L104" i="128" a="1"/>
  <c r="L104" i="128" s="1"/>
  <c r="K104" i="128" a="1"/>
  <c r="K104" i="128" s="1"/>
  <c r="J104" i="128" a="1"/>
  <c r="J104" i="128" s="1"/>
  <c r="I104" i="128" a="1"/>
  <c r="I104" i="128" s="1"/>
  <c r="H104" i="128" a="1"/>
  <c r="H104" i="128" s="1"/>
  <c r="G104" i="128" a="1"/>
  <c r="G104" i="128" s="1"/>
  <c r="F104" i="128" a="1"/>
  <c r="F104" i="128" s="1"/>
  <c r="E104" i="128" a="1"/>
  <c r="E104" i="128" s="1"/>
  <c r="D104" i="128" a="1"/>
  <c r="D104" i="128" s="1"/>
  <c r="AE103" i="128" a="1"/>
  <c r="AE103" i="128" s="1"/>
  <c r="AD103" i="128" a="1"/>
  <c r="AD103" i="128" s="1"/>
  <c r="AC103" i="128" a="1"/>
  <c r="AC103" i="128" s="1"/>
  <c r="AB103" i="128" a="1"/>
  <c r="AB103" i="128" s="1"/>
  <c r="AA103" i="128" a="1"/>
  <c r="AA103" i="128" s="1"/>
  <c r="Z103" i="128" a="1"/>
  <c r="Z103" i="128" s="1"/>
  <c r="Y103" i="128" a="1"/>
  <c r="Y103" i="128" s="1"/>
  <c r="X103" i="128" a="1"/>
  <c r="X103" i="128" s="1"/>
  <c r="W103" i="128" a="1"/>
  <c r="W103" i="128" s="1"/>
  <c r="V103" i="128" a="1"/>
  <c r="V103" i="128" s="1"/>
  <c r="U103" i="128" a="1"/>
  <c r="U103" i="128" s="1"/>
  <c r="T103" i="128" a="1"/>
  <c r="T103" i="128" s="1"/>
  <c r="S103" i="128" a="1"/>
  <c r="S103" i="128" s="1"/>
  <c r="R103" i="128" a="1"/>
  <c r="R103" i="128" s="1"/>
  <c r="Q103" i="128" a="1"/>
  <c r="Q103" i="128" s="1"/>
  <c r="P103" i="128" a="1"/>
  <c r="P103" i="128" s="1"/>
  <c r="O103" i="128" a="1"/>
  <c r="O103" i="128" s="1"/>
  <c r="N103" i="128" a="1"/>
  <c r="N103" i="128" s="1"/>
  <c r="M103" i="128" a="1"/>
  <c r="M103" i="128" s="1"/>
  <c r="L103" i="128" a="1"/>
  <c r="L103" i="128" s="1"/>
  <c r="K103" i="128" a="1"/>
  <c r="K103" i="128" s="1"/>
  <c r="J103" i="128" a="1"/>
  <c r="J103" i="128" s="1"/>
  <c r="I103" i="128" a="1"/>
  <c r="I103" i="128" s="1"/>
  <c r="H103" i="128" a="1"/>
  <c r="H103" i="128" s="1"/>
  <c r="G103" i="128" a="1"/>
  <c r="G103" i="128" s="1"/>
  <c r="F103" i="128" a="1"/>
  <c r="F103" i="128" s="1"/>
  <c r="E103" i="128" a="1"/>
  <c r="E103" i="128" s="1"/>
  <c r="D103" i="128" a="1"/>
  <c r="D103" i="128" s="1"/>
  <c r="AE102" i="128" a="1"/>
  <c r="AE102" i="128" s="1"/>
  <c r="AD102" i="128" a="1"/>
  <c r="AD102" i="128" s="1"/>
  <c r="AC102" i="128" a="1"/>
  <c r="AC102" i="128" s="1"/>
  <c r="AB102" i="128" a="1"/>
  <c r="AB102" i="128" s="1"/>
  <c r="AA102" i="128" a="1"/>
  <c r="AA102" i="128" s="1"/>
  <c r="Z102" i="128" a="1"/>
  <c r="Z102" i="128" s="1"/>
  <c r="Y102" i="128" a="1"/>
  <c r="Y102" i="128" s="1"/>
  <c r="X102" i="128" a="1"/>
  <c r="X102" i="128" s="1"/>
  <c r="W102" i="128" a="1"/>
  <c r="W102" i="128" s="1"/>
  <c r="V102" i="128" a="1"/>
  <c r="V102" i="128" s="1"/>
  <c r="U102" i="128" a="1"/>
  <c r="U102" i="128" s="1"/>
  <c r="T102" i="128" a="1"/>
  <c r="T102" i="128" s="1"/>
  <c r="S102" i="128" a="1"/>
  <c r="S102" i="128" s="1"/>
  <c r="R102" i="128" a="1"/>
  <c r="R102" i="128" s="1"/>
  <c r="Q102" i="128" a="1"/>
  <c r="Q102" i="128" s="1"/>
  <c r="P102" i="128" a="1"/>
  <c r="P102" i="128" s="1"/>
  <c r="O102" i="128" a="1"/>
  <c r="O102" i="128" s="1"/>
  <c r="N102" i="128" a="1"/>
  <c r="N102" i="128" s="1"/>
  <c r="M102" i="128" a="1"/>
  <c r="M102" i="128" s="1"/>
  <c r="L102" i="128" a="1"/>
  <c r="L102" i="128" s="1"/>
  <c r="K102" i="128" a="1"/>
  <c r="K102" i="128" s="1"/>
  <c r="J102" i="128" a="1"/>
  <c r="J102" i="128" s="1"/>
  <c r="I102" i="128" a="1"/>
  <c r="I102" i="128" s="1"/>
  <c r="H102" i="128" a="1"/>
  <c r="H102" i="128" s="1"/>
  <c r="G102" i="128" a="1"/>
  <c r="G102" i="128" s="1"/>
  <c r="F102" i="128" a="1"/>
  <c r="F102" i="128" s="1"/>
  <c r="E102" i="128" a="1"/>
  <c r="E102" i="128" s="1"/>
  <c r="D102" i="128" a="1"/>
  <c r="D102" i="128" s="1"/>
  <c r="AE101" i="128" a="1"/>
  <c r="AE101" i="128" s="1"/>
  <c r="AD101" i="128" a="1"/>
  <c r="AD101" i="128" s="1"/>
  <c r="AC101" i="128" a="1"/>
  <c r="AC101" i="128" s="1"/>
  <c r="AB101" i="128" a="1"/>
  <c r="AB101" i="128" s="1"/>
  <c r="AA101" i="128"/>
  <c r="AA101" i="128" a="1"/>
  <c r="Z101" i="128" a="1"/>
  <c r="Z101" i="128" s="1"/>
  <c r="Y101" i="128" a="1"/>
  <c r="Y101" i="128" s="1"/>
  <c r="X101" i="128" a="1"/>
  <c r="X101" i="128" s="1"/>
  <c r="W101" i="128" a="1"/>
  <c r="W101" i="128" s="1"/>
  <c r="V101" i="128" a="1"/>
  <c r="V101" i="128" s="1"/>
  <c r="U101" i="128" a="1"/>
  <c r="U101" i="128" s="1"/>
  <c r="T101" i="128" a="1"/>
  <c r="T101" i="128" s="1"/>
  <c r="S101" i="128" a="1"/>
  <c r="S101" i="128" s="1"/>
  <c r="R101" i="128" a="1"/>
  <c r="R101" i="128" s="1"/>
  <c r="Q101" i="128" a="1"/>
  <c r="Q101" i="128" s="1"/>
  <c r="P101" i="128" a="1"/>
  <c r="P101" i="128" s="1"/>
  <c r="O101" i="128" a="1"/>
  <c r="O101" i="128" s="1"/>
  <c r="N101" i="128" a="1"/>
  <c r="N101" i="128" s="1"/>
  <c r="M101" i="128" a="1"/>
  <c r="M101" i="128" s="1"/>
  <c r="L101" i="128" a="1"/>
  <c r="L101" i="128" s="1"/>
  <c r="K101" i="128" a="1"/>
  <c r="K101" i="128" s="1"/>
  <c r="J101" i="128" a="1"/>
  <c r="J101" i="128" s="1"/>
  <c r="I101" i="128" a="1"/>
  <c r="I101" i="128" s="1"/>
  <c r="H101" i="128" a="1"/>
  <c r="H101" i="128" s="1"/>
  <c r="G101" i="128" a="1"/>
  <c r="G101" i="128" s="1"/>
  <c r="F101" i="128" a="1"/>
  <c r="F101" i="128" s="1"/>
  <c r="E101" i="128" a="1"/>
  <c r="E101" i="128" s="1"/>
  <c r="D101" i="128" a="1"/>
  <c r="D101" i="128" s="1"/>
  <c r="AE100" i="128" a="1"/>
  <c r="AE100" i="128" s="1"/>
  <c r="AD100" i="128" a="1"/>
  <c r="AD100" i="128" s="1"/>
  <c r="AC100" i="128" a="1"/>
  <c r="AC100" i="128" s="1"/>
  <c r="AB100" i="128" a="1"/>
  <c r="AB100" i="128" s="1"/>
  <c r="AA100" i="128" a="1"/>
  <c r="AA100" i="128" s="1"/>
  <c r="Z100" i="128" a="1"/>
  <c r="Z100" i="128" s="1"/>
  <c r="Y100" i="128" a="1"/>
  <c r="Y100" i="128" s="1"/>
  <c r="X100" i="128"/>
  <c r="X100" i="128" a="1"/>
  <c r="W100" i="128" a="1"/>
  <c r="W100" i="128" s="1"/>
  <c r="V100" i="128" a="1"/>
  <c r="V100" i="128" s="1"/>
  <c r="U100" i="128" a="1"/>
  <c r="U100" i="128" s="1"/>
  <c r="T100" i="128" a="1"/>
  <c r="T100" i="128" s="1"/>
  <c r="S100" i="128" a="1"/>
  <c r="S100" i="128" s="1"/>
  <c r="R100" i="128" a="1"/>
  <c r="R100" i="128" s="1"/>
  <c r="Q100" i="128" a="1"/>
  <c r="Q100" i="128" s="1"/>
  <c r="P100" i="128" a="1"/>
  <c r="P100" i="128" s="1"/>
  <c r="O100" i="128" a="1"/>
  <c r="O100" i="128" s="1"/>
  <c r="N100" i="128" a="1"/>
  <c r="N100" i="128" s="1"/>
  <c r="M100" i="128" a="1"/>
  <c r="M100" i="128" s="1"/>
  <c r="L100" i="128" a="1"/>
  <c r="L100" i="128" s="1"/>
  <c r="K100" i="128" a="1"/>
  <c r="K100" i="128" s="1"/>
  <c r="J100" i="128" a="1"/>
  <c r="J100" i="128" s="1"/>
  <c r="I100" i="128" a="1"/>
  <c r="I100" i="128" s="1"/>
  <c r="H100" i="128" a="1"/>
  <c r="H100" i="128" s="1"/>
  <c r="G100" i="128" a="1"/>
  <c r="G100" i="128" s="1"/>
  <c r="F100" i="128" a="1"/>
  <c r="F100" i="128" s="1"/>
  <c r="E100" i="128" a="1"/>
  <c r="E100" i="128" s="1"/>
  <c r="D100" i="128" a="1"/>
  <c r="D100" i="128" s="1"/>
  <c r="AE99" i="128" a="1"/>
  <c r="AE99" i="128" s="1"/>
  <c r="AD99" i="128" a="1"/>
  <c r="AD99" i="128" s="1"/>
  <c r="AC99" i="128" a="1"/>
  <c r="AC99" i="128" s="1"/>
  <c r="AB99" i="128" a="1"/>
  <c r="AB99" i="128" s="1"/>
  <c r="AA99" i="128" a="1"/>
  <c r="AA99" i="128" s="1"/>
  <c r="Z99" i="128" a="1"/>
  <c r="Z99" i="128" s="1"/>
  <c r="Y99" i="128" a="1"/>
  <c r="Y99" i="128" s="1"/>
  <c r="X99" i="128" a="1"/>
  <c r="X99" i="128" s="1"/>
  <c r="W99" i="128" a="1"/>
  <c r="W99" i="128" s="1"/>
  <c r="V99" i="128" a="1"/>
  <c r="V99" i="128" s="1"/>
  <c r="U99" i="128" a="1"/>
  <c r="U99" i="128" s="1"/>
  <c r="T99" i="128" a="1"/>
  <c r="T99" i="128" s="1"/>
  <c r="S99" i="128" a="1"/>
  <c r="S99" i="128" s="1"/>
  <c r="R99" i="128" a="1"/>
  <c r="R99" i="128" s="1"/>
  <c r="Q99" i="128" a="1"/>
  <c r="Q99" i="128" s="1"/>
  <c r="P99" i="128" a="1"/>
  <c r="P99" i="128" s="1"/>
  <c r="O99" i="128" a="1"/>
  <c r="O99" i="128" s="1"/>
  <c r="N99" i="128" a="1"/>
  <c r="N99" i="128" s="1"/>
  <c r="M99" i="128" a="1"/>
  <c r="M99" i="128" s="1"/>
  <c r="L99" i="128" a="1"/>
  <c r="L99" i="128" s="1"/>
  <c r="K99" i="128" a="1"/>
  <c r="K99" i="128" s="1"/>
  <c r="J99" i="128" a="1"/>
  <c r="J99" i="128" s="1"/>
  <c r="I99" i="128" a="1"/>
  <c r="I99" i="128" s="1"/>
  <c r="H99" i="128" a="1"/>
  <c r="H99" i="128" s="1"/>
  <c r="G99" i="128" a="1"/>
  <c r="G99" i="128" s="1"/>
  <c r="F99" i="128" a="1"/>
  <c r="F99" i="128" s="1"/>
  <c r="E99" i="128" a="1"/>
  <c r="E99" i="128" s="1"/>
  <c r="D99" i="128" a="1"/>
  <c r="D99" i="128" s="1"/>
  <c r="AE98" i="128" a="1"/>
  <c r="AE98" i="128" s="1"/>
  <c r="AD98" i="128" a="1"/>
  <c r="AD98" i="128" s="1"/>
  <c r="AC98" i="128" a="1"/>
  <c r="AC98" i="128" s="1"/>
  <c r="AB98" i="128" a="1"/>
  <c r="AB98" i="128" s="1"/>
  <c r="AA98" i="128" a="1"/>
  <c r="AA98" i="128" s="1"/>
  <c r="Z98" i="128" a="1"/>
  <c r="Z98" i="128" s="1"/>
  <c r="Y98" i="128" a="1"/>
  <c r="Y98" i="128" s="1"/>
  <c r="X98" i="128" a="1"/>
  <c r="X98" i="128" s="1"/>
  <c r="W98" i="128" a="1"/>
  <c r="W98" i="128" s="1"/>
  <c r="V98" i="128" a="1"/>
  <c r="V98" i="128" s="1"/>
  <c r="U98" i="128" a="1"/>
  <c r="U98" i="128" s="1"/>
  <c r="T98" i="128"/>
  <c r="T98" i="128" a="1"/>
  <c r="S98" i="128" a="1"/>
  <c r="S98" i="128" s="1"/>
  <c r="R98" i="128" a="1"/>
  <c r="R98" i="128" s="1"/>
  <c r="Q98" i="128" a="1"/>
  <c r="Q98" i="128" s="1"/>
  <c r="P98" i="128" a="1"/>
  <c r="P98" i="128" s="1"/>
  <c r="O98" i="128" a="1"/>
  <c r="O98" i="128" s="1"/>
  <c r="N98" i="128" a="1"/>
  <c r="N98" i="128" s="1"/>
  <c r="M98" i="128" a="1"/>
  <c r="M98" i="128" s="1"/>
  <c r="L98" i="128" a="1"/>
  <c r="L98" i="128" s="1"/>
  <c r="K98" i="128" a="1"/>
  <c r="K98" i="128" s="1"/>
  <c r="J98" i="128" a="1"/>
  <c r="J98" i="128" s="1"/>
  <c r="I98" i="128" a="1"/>
  <c r="I98" i="128" s="1"/>
  <c r="H98" i="128" a="1"/>
  <c r="H98" i="128" s="1"/>
  <c r="G98" i="128" a="1"/>
  <c r="G98" i="128" s="1"/>
  <c r="F98" i="128" a="1"/>
  <c r="F98" i="128" s="1"/>
  <c r="E98" i="128" a="1"/>
  <c r="E98" i="128" s="1"/>
  <c r="D98" i="128" a="1"/>
  <c r="D98" i="128" s="1"/>
  <c r="AE97" i="128" a="1"/>
  <c r="AE97" i="128" s="1"/>
  <c r="AD97" i="128" a="1"/>
  <c r="AD97" i="128" s="1"/>
  <c r="AC97" i="128" a="1"/>
  <c r="AC97" i="128" s="1"/>
  <c r="AB97" i="128" a="1"/>
  <c r="AB97" i="128" s="1"/>
  <c r="AA97" i="128" a="1"/>
  <c r="AA97" i="128" s="1"/>
  <c r="Z97" i="128" a="1"/>
  <c r="Z97" i="128" s="1"/>
  <c r="Y97" i="128" a="1"/>
  <c r="Y97" i="128" s="1"/>
  <c r="X97" i="128" a="1"/>
  <c r="X97" i="128" s="1"/>
  <c r="W97" i="128" a="1"/>
  <c r="W97" i="128" s="1"/>
  <c r="V97" i="128" a="1"/>
  <c r="V97" i="128" s="1"/>
  <c r="U97" i="128" a="1"/>
  <c r="U97" i="128" s="1"/>
  <c r="T97" i="128" a="1"/>
  <c r="T97" i="128" s="1"/>
  <c r="S97" i="128" a="1"/>
  <c r="S97" i="128" s="1"/>
  <c r="R97" i="128" a="1"/>
  <c r="R97" i="128" s="1"/>
  <c r="Q97" i="128" a="1"/>
  <c r="Q97" i="128" s="1"/>
  <c r="P97" i="128" a="1"/>
  <c r="P97" i="128" s="1"/>
  <c r="O97" i="128" a="1"/>
  <c r="O97" i="128" s="1"/>
  <c r="N97" i="128" a="1"/>
  <c r="N97" i="128" s="1"/>
  <c r="M97" i="128" a="1"/>
  <c r="M97" i="128" s="1"/>
  <c r="L97" i="128" a="1"/>
  <c r="L97" i="128" s="1"/>
  <c r="K97" i="128" a="1"/>
  <c r="K97" i="128" s="1"/>
  <c r="J97" i="128" a="1"/>
  <c r="J97" i="128" s="1"/>
  <c r="I97" i="128" a="1"/>
  <c r="I97" i="128" s="1"/>
  <c r="H97" i="128" a="1"/>
  <c r="H97" i="128" s="1"/>
  <c r="G97" i="128" a="1"/>
  <c r="G97" i="128" s="1"/>
  <c r="F97" i="128" a="1"/>
  <c r="F97" i="128" s="1"/>
  <c r="E97" i="128" a="1"/>
  <c r="E97" i="128" s="1"/>
  <c r="D97" i="128" a="1"/>
  <c r="D97" i="128" s="1"/>
  <c r="AE96" i="128" a="1"/>
  <c r="AE96" i="128" s="1"/>
  <c r="AD96" i="128" a="1"/>
  <c r="AD96" i="128" s="1"/>
  <c r="AC96" i="128" a="1"/>
  <c r="AC96" i="128" s="1"/>
  <c r="AB96" i="128" a="1"/>
  <c r="AB96" i="128" s="1"/>
  <c r="AA96" i="128" a="1"/>
  <c r="AA96" i="128" s="1"/>
  <c r="Z96" i="128" a="1"/>
  <c r="Z96" i="128" s="1"/>
  <c r="Y96" i="128"/>
  <c r="Y96" i="128" a="1"/>
  <c r="X96" i="128" a="1"/>
  <c r="X96" i="128" s="1"/>
  <c r="W96" i="128" a="1"/>
  <c r="W96" i="128" s="1"/>
  <c r="V96" i="128" a="1"/>
  <c r="V96" i="128" s="1"/>
  <c r="U96" i="128" a="1"/>
  <c r="U96" i="128" s="1"/>
  <c r="T96" i="128" a="1"/>
  <c r="T96" i="128" s="1"/>
  <c r="S96" i="128" a="1"/>
  <c r="S96" i="128" s="1"/>
  <c r="R96" i="128" a="1"/>
  <c r="R96" i="128" s="1"/>
  <c r="Q96" i="128" a="1"/>
  <c r="Q96" i="128" s="1"/>
  <c r="P96" i="128" a="1"/>
  <c r="P96" i="128" s="1"/>
  <c r="O96" i="128" a="1"/>
  <c r="O96" i="128" s="1"/>
  <c r="N96" i="128" a="1"/>
  <c r="N96" i="128" s="1"/>
  <c r="M96" i="128" a="1"/>
  <c r="M96" i="128" s="1"/>
  <c r="L96" i="128" a="1"/>
  <c r="L96" i="128" s="1"/>
  <c r="K96" i="128" a="1"/>
  <c r="K96" i="128" s="1"/>
  <c r="J96" i="128" a="1"/>
  <c r="J96" i="128" s="1"/>
  <c r="I96" i="128" a="1"/>
  <c r="I96" i="128" s="1"/>
  <c r="H96" i="128" a="1"/>
  <c r="H96" i="128" s="1"/>
  <c r="G96" i="128" a="1"/>
  <c r="G96" i="128" s="1"/>
  <c r="F96" i="128" a="1"/>
  <c r="F96" i="128" s="1"/>
  <c r="E96" i="128" a="1"/>
  <c r="E96" i="128" s="1"/>
  <c r="D96" i="128" a="1"/>
  <c r="D96" i="128" s="1"/>
  <c r="AE95" i="128" a="1"/>
  <c r="AE95" i="128" s="1"/>
  <c r="AD95" i="128" a="1"/>
  <c r="AD95" i="128" s="1"/>
  <c r="AC95" i="128" a="1"/>
  <c r="AC95" i="128" s="1"/>
  <c r="AB95" i="128" a="1"/>
  <c r="AB95" i="128" s="1"/>
  <c r="AA95" i="128" a="1"/>
  <c r="AA95" i="128" s="1"/>
  <c r="Z95" i="128" a="1"/>
  <c r="Z95" i="128" s="1"/>
  <c r="Y95" i="128" a="1"/>
  <c r="Y95" i="128" s="1"/>
  <c r="X95" i="128" a="1"/>
  <c r="X95" i="128" s="1"/>
  <c r="W95" i="128" a="1"/>
  <c r="W95" i="128" s="1"/>
  <c r="V95" i="128" a="1"/>
  <c r="V95" i="128" s="1"/>
  <c r="U95" i="128" a="1"/>
  <c r="U95" i="128" s="1"/>
  <c r="T95" i="128"/>
  <c r="T95" i="128" a="1"/>
  <c r="S95" i="128" a="1"/>
  <c r="S95" i="128" s="1"/>
  <c r="R95" i="128" a="1"/>
  <c r="R95" i="128" s="1"/>
  <c r="Q95" i="128" a="1"/>
  <c r="Q95" i="128" s="1"/>
  <c r="P95" i="128" a="1"/>
  <c r="P95" i="128" s="1"/>
  <c r="O95" i="128" a="1"/>
  <c r="O95" i="128" s="1"/>
  <c r="N95" i="128" a="1"/>
  <c r="N95" i="128" s="1"/>
  <c r="M95" i="128" a="1"/>
  <c r="M95" i="128" s="1"/>
  <c r="L95" i="128" a="1"/>
  <c r="L95" i="128" s="1"/>
  <c r="K95" i="128" a="1"/>
  <c r="K95" i="128" s="1"/>
  <c r="J95" i="128" a="1"/>
  <c r="J95" i="128" s="1"/>
  <c r="I95" i="128" a="1"/>
  <c r="I95" i="128" s="1"/>
  <c r="H95" i="128" a="1"/>
  <c r="H95" i="128" s="1"/>
  <c r="G95" i="128" a="1"/>
  <c r="G95" i="128" s="1"/>
  <c r="F95" i="128" a="1"/>
  <c r="F95" i="128" s="1"/>
  <c r="E95" i="128" a="1"/>
  <c r="E95" i="128" s="1"/>
  <c r="D95" i="128" a="1"/>
  <c r="D95" i="128" s="1"/>
  <c r="AE94" i="128" a="1"/>
  <c r="AE94" i="128" s="1"/>
  <c r="AD94" i="128" a="1"/>
  <c r="AD94" i="128" s="1"/>
  <c r="AC94" i="128" a="1"/>
  <c r="AC94" i="128" s="1"/>
  <c r="AB94" i="128" a="1"/>
  <c r="AB94" i="128" s="1"/>
  <c r="AA94" i="128" a="1"/>
  <c r="AA94" i="128" s="1"/>
  <c r="Z94" i="128" a="1"/>
  <c r="Z94" i="128" s="1"/>
  <c r="Y94" i="128" a="1"/>
  <c r="Y94" i="128" s="1"/>
  <c r="X94" i="128" a="1"/>
  <c r="X94" i="128" s="1"/>
  <c r="W94" i="128" a="1"/>
  <c r="W94" i="128" s="1"/>
  <c r="V94" i="128" a="1"/>
  <c r="V94" i="128" s="1"/>
  <c r="U94" i="128" a="1"/>
  <c r="U94" i="128" s="1"/>
  <c r="T94" i="128" a="1"/>
  <c r="T94" i="128" s="1"/>
  <c r="S94" i="128" a="1"/>
  <c r="S94" i="128" s="1"/>
  <c r="R94" i="128" a="1"/>
  <c r="R94" i="128" s="1"/>
  <c r="Q94" i="128" a="1"/>
  <c r="Q94" i="128" s="1"/>
  <c r="P94" i="128" a="1"/>
  <c r="P94" i="128" s="1"/>
  <c r="O94" i="128" a="1"/>
  <c r="O94" i="128" s="1"/>
  <c r="N94" i="128" a="1"/>
  <c r="N94" i="128" s="1"/>
  <c r="M94" i="128" a="1"/>
  <c r="M94" i="128" s="1"/>
  <c r="L94" i="128" a="1"/>
  <c r="L94" i="128" s="1"/>
  <c r="K94" i="128" a="1"/>
  <c r="K94" i="128" s="1"/>
  <c r="J94" i="128" a="1"/>
  <c r="J94" i="128" s="1"/>
  <c r="I94" i="128" a="1"/>
  <c r="I94" i="128" s="1"/>
  <c r="H94" i="128" a="1"/>
  <c r="H94" i="128" s="1"/>
  <c r="G94" i="128"/>
  <c r="G94" i="128" a="1"/>
  <c r="F94" i="128" a="1"/>
  <c r="F94" i="128" s="1"/>
  <c r="E94" i="128" a="1"/>
  <c r="E94" i="128" s="1"/>
  <c r="D94" i="128" a="1"/>
  <c r="D94" i="128" s="1"/>
  <c r="AE93" i="128" a="1"/>
  <c r="AE93" i="128" s="1"/>
  <c r="AD93" i="128" a="1"/>
  <c r="AD93" i="128" s="1"/>
  <c r="AC93" i="128" a="1"/>
  <c r="AC93" i="128" s="1"/>
  <c r="AB93" i="128" a="1"/>
  <c r="AB93" i="128" s="1"/>
  <c r="AA93" i="128" a="1"/>
  <c r="AA93" i="128" s="1"/>
  <c r="Z93" i="128" a="1"/>
  <c r="Z93" i="128" s="1"/>
  <c r="Y93" i="128" a="1"/>
  <c r="Y93" i="128" s="1"/>
  <c r="X93" i="128" a="1"/>
  <c r="X93" i="128" s="1"/>
  <c r="W93" i="128"/>
  <c r="W93" i="128" a="1"/>
  <c r="V93" i="128" a="1"/>
  <c r="V93" i="128" s="1"/>
  <c r="U93" i="128" a="1"/>
  <c r="U93" i="128" s="1"/>
  <c r="T93" i="128" a="1"/>
  <c r="T93" i="128" s="1"/>
  <c r="S93" i="128" a="1"/>
  <c r="S93" i="128" s="1"/>
  <c r="R93" i="128" a="1"/>
  <c r="R93" i="128" s="1"/>
  <c r="Q93" i="128" a="1"/>
  <c r="Q93" i="128" s="1"/>
  <c r="P93" i="128" a="1"/>
  <c r="P93" i="128" s="1"/>
  <c r="O93" i="128" a="1"/>
  <c r="O93" i="128" s="1"/>
  <c r="N93" i="128" a="1"/>
  <c r="N93" i="128" s="1"/>
  <c r="M93" i="128" a="1"/>
  <c r="M93" i="128" s="1"/>
  <c r="L93" i="128" a="1"/>
  <c r="L93" i="128" s="1"/>
  <c r="K93" i="128" a="1"/>
  <c r="K93" i="128" s="1"/>
  <c r="J93" i="128" a="1"/>
  <c r="J93" i="128" s="1"/>
  <c r="I93" i="128" a="1"/>
  <c r="I93" i="128" s="1"/>
  <c r="H93" i="128" a="1"/>
  <c r="H93" i="128" s="1"/>
  <c r="G93" i="128" a="1"/>
  <c r="G93" i="128" s="1"/>
  <c r="F93" i="128" a="1"/>
  <c r="F93" i="128" s="1"/>
  <c r="E93" i="128" a="1"/>
  <c r="E93" i="128" s="1"/>
  <c r="D93" i="128" a="1"/>
  <c r="D93" i="128" s="1"/>
  <c r="AE92" i="128" a="1"/>
  <c r="AE92" i="128" s="1"/>
  <c r="AD92" i="128" a="1"/>
  <c r="AD92" i="128" s="1"/>
  <c r="AC92" i="128" a="1"/>
  <c r="AC92" i="128" s="1"/>
  <c r="AB92" i="128" a="1"/>
  <c r="AB92" i="128" s="1"/>
  <c r="AA92" i="128" a="1"/>
  <c r="AA92" i="128" s="1"/>
  <c r="Z92" i="128" a="1"/>
  <c r="Z92" i="128" s="1"/>
  <c r="Y92" i="128" a="1"/>
  <c r="Y92" i="128" s="1"/>
  <c r="X92" i="128" a="1"/>
  <c r="X92" i="128" s="1"/>
  <c r="W92" i="128" a="1"/>
  <c r="W92" i="128" s="1"/>
  <c r="V92" i="128" a="1"/>
  <c r="V92" i="128" s="1"/>
  <c r="U92" i="128" a="1"/>
  <c r="U92" i="128" s="1"/>
  <c r="T92" i="128" a="1"/>
  <c r="T92" i="128" s="1"/>
  <c r="S92" i="128" a="1"/>
  <c r="S92" i="128" s="1"/>
  <c r="R92" i="128" a="1"/>
  <c r="R92" i="128" s="1"/>
  <c r="Q92" i="128" a="1"/>
  <c r="Q92" i="128" s="1"/>
  <c r="P92" i="128" a="1"/>
  <c r="P92" i="128" s="1"/>
  <c r="O92" i="128" a="1"/>
  <c r="O92" i="128" s="1"/>
  <c r="N92" i="128" a="1"/>
  <c r="N92" i="128" s="1"/>
  <c r="M92" i="128" a="1"/>
  <c r="M92" i="128" s="1"/>
  <c r="L92" i="128" a="1"/>
  <c r="L92" i="128" s="1"/>
  <c r="K92" i="128" a="1"/>
  <c r="K92" i="128" s="1"/>
  <c r="J92" i="128" a="1"/>
  <c r="J92" i="128" s="1"/>
  <c r="I92" i="128" a="1"/>
  <c r="I92" i="128" s="1"/>
  <c r="H92" i="128" a="1"/>
  <c r="H92" i="128" s="1"/>
  <c r="G92" i="128" a="1"/>
  <c r="G92" i="128" s="1"/>
  <c r="F92" i="128" a="1"/>
  <c r="F92" i="128" s="1"/>
  <c r="E92" i="128" a="1"/>
  <c r="E92" i="128" s="1"/>
  <c r="D92" i="128" a="1"/>
  <c r="D92" i="128" s="1"/>
  <c r="AE91" i="128" a="1"/>
  <c r="AE91" i="128" s="1"/>
  <c r="AD91" i="128" a="1"/>
  <c r="AD91" i="128" s="1"/>
  <c r="AC91" i="128" a="1"/>
  <c r="AC91" i="128" s="1"/>
  <c r="AB91" i="128" a="1"/>
  <c r="AB91" i="128" s="1"/>
  <c r="AA91" i="128" a="1"/>
  <c r="AA91" i="128" s="1"/>
  <c r="Z91" i="128" a="1"/>
  <c r="Z91" i="128" s="1"/>
  <c r="Y91" i="128" a="1"/>
  <c r="Y91" i="128" s="1"/>
  <c r="X91" i="128" a="1"/>
  <c r="X91" i="128" s="1"/>
  <c r="W91" i="128" a="1"/>
  <c r="W91" i="128" s="1"/>
  <c r="V91" i="128" a="1"/>
  <c r="V91" i="128" s="1"/>
  <c r="U91" i="128" a="1"/>
  <c r="U91" i="128" s="1"/>
  <c r="T91" i="128" a="1"/>
  <c r="T91" i="128" s="1"/>
  <c r="S91" i="128" a="1"/>
  <c r="S91" i="128" s="1"/>
  <c r="R91" i="128" a="1"/>
  <c r="R91" i="128" s="1"/>
  <c r="Q91" i="128" a="1"/>
  <c r="Q91" i="128" s="1"/>
  <c r="P91" i="128" a="1"/>
  <c r="P91" i="128" s="1"/>
  <c r="O91" i="128" a="1"/>
  <c r="O91" i="128" s="1"/>
  <c r="N91" i="128"/>
  <c r="N91" i="128" a="1"/>
  <c r="M91" i="128" a="1"/>
  <c r="M91" i="128" s="1"/>
  <c r="L91" i="128" a="1"/>
  <c r="L91" i="128" s="1"/>
  <c r="K91" i="128" a="1"/>
  <c r="K91" i="128" s="1"/>
  <c r="J91" i="128" a="1"/>
  <c r="J91" i="128" s="1"/>
  <c r="I91" i="128" a="1"/>
  <c r="I91" i="128" s="1"/>
  <c r="H91" i="128" a="1"/>
  <c r="H91" i="128" s="1"/>
  <c r="G91" i="128" a="1"/>
  <c r="G91" i="128" s="1"/>
  <c r="F91" i="128" a="1"/>
  <c r="F91" i="128" s="1"/>
  <c r="E91" i="128" a="1"/>
  <c r="E91" i="128" s="1"/>
  <c r="D91" i="128" a="1"/>
  <c r="D91" i="128" s="1"/>
  <c r="AE90" i="128" a="1"/>
  <c r="AE90" i="128" s="1"/>
  <c r="AD90" i="128" a="1"/>
  <c r="AD90" i="128" s="1"/>
  <c r="AC90" i="128" a="1"/>
  <c r="AC90" i="128" s="1"/>
  <c r="AB90" i="128" a="1"/>
  <c r="AB90" i="128" s="1"/>
  <c r="AA90" i="128" a="1"/>
  <c r="AA90" i="128" s="1"/>
  <c r="Z90" i="128" a="1"/>
  <c r="Z90" i="128" s="1"/>
  <c r="Y90" i="128" a="1"/>
  <c r="Y90" i="128" s="1"/>
  <c r="X90" i="128" a="1"/>
  <c r="X90" i="128" s="1"/>
  <c r="W90" i="128" a="1"/>
  <c r="W90" i="128" s="1"/>
  <c r="V90" i="128" a="1"/>
  <c r="V90" i="128" s="1"/>
  <c r="U90" i="128" a="1"/>
  <c r="U90" i="128" s="1"/>
  <c r="T90" i="128" a="1"/>
  <c r="T90" i="128" s="1"/>
  <c r="S90" i="128" a="1"/>
  <c r="S90" i="128" s="1"/>
  <c r="R90" i="128" a="1"/>
  <c r="R90" i="128" s="1"/>
  <c r="Q90" i="128" a="1"/>
  <c r="Q90" i="128" s="1"/>
  <c r="P90" i="128" a="1"/>
  <c r="P90" i="128" s="1"/>
  <c r="O90" i="128" a="1"/>
  <c r="O90" i="128" s="1"/>
  <c r="N90" i="128" a="1"/>
  <c r="N90" i="128" s="1"/>
  <c r="M90" i="128" a="1"/>
  <c r="M90" i="128" s="1"/>
  <c r="L90" i="128" a="1"/>
  <c r="L90" i="128" s="1"/>
  <c r="K90" i="128" a="1"/>
  <c r="K90" i="128" s="1"/>
  <c r="J90" i="128" a="1"/>
  <c r="J90" i="128" s="1"/>
  <c r="I90" i="128" a="1"/>
  <c r="I90" i="128" s="1"/>
  <c r="H90" i="128" a="1"/>
  <c r="H90" i="128" s="1"/>
  <c r="G90" i="128" a="1"/>
  <c r="G90" i="128" s="1"/>
  <c r="F90" i="128" a="1"/>
  <c r="F90" i="128" s="1"/>
  <c r="E90" i="128" a="1"/>
  <c r="E90" i="128" s="1"/>
  <c r="D90" i="128" a="1"/>
  <c r="D90" i="128" s="1"/>
  <c r="F83" i="128" a="1"/>
  <c r="F83" i="128" s="1"/>
  <c r="E83" i="128" a="1"/>
  <c r="E83" i="128" s="1"/>
  <c r="D83" i="128" a="1"/>
  <c r="D83" i="128" s="1"/>
  <c r="D82" i="128" a="1"/>
  <c r="D82" i="128" s="1"/>
  <c r="D81" i="128" a="1"/>
  <c r="D81" i="128" s="1"/>
  <c r="F78" i="128" a="1"/>
  <c r="F78" i="128" s="1"/>
  <c r="E78" i="128"/>
  <c r="E78" i="128" a="1"/>
  <c r="D78" i="128" a="1"/>
  <c r="D78" i="128" s="1"/>
  <c r="D77" i="128" a="1"/>
  <c r="D77" i="128" s="1"/>
  <c r="D76" i="128" a="1"/>
  <c r="D76" i="128" s="1"/>
  <c r="F73" i="128"/>
  <c r="F73" i="128" a="1"/>
  <c r="E73" i="128" a="1"/>
  <c r="E73" i="128" s="1"/>
  <c r="D73" i="128" a="1"/>
  <c r="D73" i="128" s="1"/>
  <c r="D72" i="128"/>
  <c r="D72" i="128" a="1"/>
  <c r="D71" i="128"/>
  <c r="D71" i="128" a="1"/>
  <c r="F68" i="128" a="1"/>
  <c r="F68" i="128" s="1"/>
  <c r="E68" i="128" a="1"/>
  <c r="E68" i="128" s="1"/>
  <c r="D68" i="128" a="1"/>
  <c r="D68" i="128" s="1"/>
  <c r="F67" i="128" a="1"/>
  <c r="F67" i="128" s="1"/>
  <c r="E67" i="128" a="1"/>
  <c r="E67" i="128" s="1"/>
  <c r="D67" i="128" a="1"/>
  <c r="D67" i="128" s="1"/>
  <c r="F66" i="128" a="1"/>
  <c r="F66" i="128" s="1"/>
  <c r="E66" i="128" a="1"/>
  <c r="E66" i="128" s="1"/>
  <c r="D66" i="128" a="1"/>
  <c r="D66" i="128" s="1"/>
  <c r="D64" i="128"/>
  <c r="D64" i="128" a="1"/>
  <c r="D63" i="128" a="1"/>
  <c r="D63" i="128" s="1"/>
  <c r="F60" i="128" a="1"/>
  <c r="F60" i="128" s="1"/>
  <c r="E60" i="128" a="1"/>
  <c r="E60" i="128" s="1"/>
  <c r="D60" i="128" a="1"/>
  <c r="D60" i="128" s="1"/>
  <c r="D59" i="128" a="1"/>
  <c r="D59" i="128" s="1"/>
  <c r="D58" i="128" a="1"/>
  <c r="D58" i="128" s="1"/>
  <c r="E55" i="128" a="1"/>
  <c r="E55" i="128" s="1"/>
  <c r="D55" i="128" a="1"/>
  <c r="D55" i="128" s="1"/>
  <c r="E54" i="128" a="1"/>
  <c r="E54" i="128" s="1"/>
  <c r="D54" i="128" a="1"/>
  <c r="D54" i="128" s="1"/>
  <c r="E53" i="128" a="1"/>
  <c r="E53" i="128" s="1"/>
  <c r="D53" i="128" a="1"/>
  <c r="D53" i="128" s="1"/>
  <c r="E52" i="128" a="1"/>
  <c r="E52" i="128" s="1"/>
  <c r="D52" i="128" a="1"/>
  <c r="D52" i="128" s="1"/>
  <c r="E51" i="128" a="1"/>
  <c r="E51" i="128" s="1"/>
  <c r="D51" i="128" a="1"/>
  <c r="D51" i="128" s="1"/>
  <c r="D49" i="128"/>
  <c r="D49" i="128" a="1"/>
  <c r="D48" i="128" a="1"/>
  <c r="D48" i="128" s="1"/>
  <c r="I37" i="128" a="1"/>
  <c r="I37" i="128" s="1"/>
  <c r="H37" i="128" a="1"/>
  <c r="H37" i="128" s="1"/>
  <c r="G37" i="128" a="1"/>
  <c r="G37" i="128" s="1"/>
  <c r="F37" i="128" a="1"/>
  <c r="F37" i="128" s="1"/>
  <c r="E37" i="128" a="1"/>
  <c r="E37" i="128" s="1"/>
  <c r="D37" i="128" a="1"/>
  <c r="D37" i="128" s="1"/>
  <c r="I36" i="128" a="1"/>
  <c r="I36" i="128" s="1"/>
  <c r="H36" i="128" a="1"/>
  <c r="H36" i="128" s="1"/>
  <c r="G36" i="128" a="1"/>
  <c r="G36" i="128" s="1"/>
  <c r="F36" i="128" a="1"/>
  <c r="F36" i="128" s="1"/>
  <c r="E36" i="128" a="1"/>
  <c r="E36" i="128" s="1"/>
  <c r="D36" i="128" a="1"/>
  <c r="D36" i="128" s="1"/>
  <c r="I35" i="128" a="1"/>
  <c r="I35" i="128" s="1"/>
  <c r="H35" i="128" a="1"/>
  <c r="H35" i="128" s="1"/>
  <c r="G35" i="128" a="1"/>
  <c r="G35" i="128" s="1"/>
  <c r="F35" i="128" a="1"/>
  <c r="F35" i="128" s="1"/>
  <c r="E35" i="128" a="1"/>
  <c r="E35" i="128" s="1"/>
  <c r="D35" i="128" a="1"/>
  <c r="D35" i="128" s="1"/>
  <c r="I34" i="128" a="1"/>
  <c r="I34" i="128" s="1"/>
  <c r="H34" i="128" a="1"/>
  <c r="H34" i="128" s="1"/>
  <c r="G34" i="128" a="1"/>
  <c r="G34" i="128" s="1"/>
  <c r="F34" i="128" a="1"/>
  <c r="F34" i="128" s="1"/>
  <c r="E34" i="128" a="1"/>
  <c r="E34" i="128" s="1"/>
  <c r="D34" i="128" a="1"/>
  <c r="D34" i="128" s="1"/>
  <c r="I33" i="128" a="1"/>
  <c r="I33" i="128" s="1"/>
  <c r="H33" i="128" a="1"/>
  <c r="H33" i="128" s="1"/>
  <c r="G33" i="128" a="1"/>
  <c r="G33" i="128" s="1"/>
  <c r="F33" i="128" a="1"/>
  <c r="F33" i="128" s="1"/>
  <c r="E33" i="128" a="1"/>
  <c r="E33" i="128" s="1"/>
  <c r="D33" i="128" a="1"/>
  <c r="D33" i="128" s="1"/>
  <c r="I32" i="128" a="1"/>
  <c r="I32" i="128" s="1"/>
  <c r="H32" i="128" a="1"/>
  <c r="H32" i="128" s="1"/>
  <c r="G32" i="128" a="1"/>
  <c r="G32" i="128" s="1"/>
  <c r="F32" i="128" a="1"/>
  <c r="F32" i="128" s="1"/>
  <c r="E32" i="128" a="1"/>
  <c r="E32" i="128" s="1"/>
  <c r="D32" i="128" a="1"/>
  <c r="D32" i="128" s="1"/>
  <c r="I31" i="128" a="1"/>
  <c r="I31" i="128" s="1"/>
  <c r="H31" i="128" a="1"/>
  <c r="H31" i="128" s="1"/>
  <c r="G31" i="128" a="1"/>
  <c r="G31" i="128" s="1"/>
  <c r="F31" i="128" a="1"/>
  <c r="F31" i="128" s="1"/>
  <c r="E31" i="128" a="1"/>
  <c r="E31" i="128" s="1"/>
  <c r="D31" i="128" a="1"/>
  <c r="D31" i="128" s="1"/>
  <c r="I30" i="128" a="1"/>
  <c r="I30" i="128" s="1"/>
  <c r="H30" i="128" a="1"/>
  <c r="H30" i="128" s="1"/>
  <c r="G30" i="128" a="1"/>
  <c r="G30" i="128" s="1"/>
  <c r="F30" i="128" a="1"/>
  <c r="F30" i="128" s="1"/>
  <c r="E30" i="128" a="1"/>
  <c r="E30" i="128" s="1"/>
  <c r="D30" i="128" a="1"/>
  <c r="D30" i="128" s="1"/>
  <c r="I29" i="128" a="1"/>
  <c r="I29" i="128" s="1"/>
  <c r="H29" i="128" a="1"/>
  <c r="H29" i="128" s="1"/>
  <c r="G29" i="128" a="1"/>
  <c r="G29" i="128" s="1"/>
  <c r="F29" i="128" a="1"/>
  <c r="F29" i="128" s="1"/>
  <c r="E29" i="128" a="1"/>
  <c r="E29" i="128" s="1"/>
  <c r="D29" i="128" a="1"/>
  <c r="D29" i="128" s="1"/>
  <c r="R28" i="128" a="1"/>
  <c r="R28" i="128" s="1"/>
  <c r="Q28" i="128" a="1"/>
  <c r="Q28" i="128" s="1"/>
  <c r="L28" i="128" a="1"/>
  <c r="L28" i="128" s="1"/>
  <c r="K28" i="128" a="1"/>
  <c r="K28" i="128" s="1"/>
  <c r="I28" i="128" a="1"/>
  <c r="I28" i="128" s="1"/>
  <c r="H28" i="128" a="1"/>
  <c r="H28" i="128" s="1"/>
  <c r="G28" i="128" a="1"/>
  <c r="G28" i="128" s="1"/>
  <c r="F28" i="128" a="1"/>
  <c r="F28" i="128" s="1"/>
  <c r="E28" i="128" a="1"/>
  <c r="E28" i="128" s="1"/>
  <c r="D28" i="128" a="1"/>
  <c r="D28" i="128" s="1"/>
  <c r="R27" i="128" a="1"/>
  <c r="R27" i="128" s="1"/>
  <c r="Q27" i="128" a="1"/>
  <c r="Q27" i="128" s="1"/>
  <c r="L27" i="128" a="1"/>
  <c r="L27" i="128" s="1"/>
  <c r="K27" i="128" a="1"/>
  <c r="K27" i="128" s="1"/>
  <c r="I27" i="128" a="1"/>
  <c r="I27" i="128" s="1"/>
  <c r="H27" i="128" a="1"/>
  <c r="H27" i="128" s="1"/>
  <c r="G27" i="128" a="1"/>
  <c r="G27" i="128" s="1"/>
  <c r="F27" i="128" a="1"/>
  <c r="F27" i="128" s="1"/>
  <c r="E27" i="128" a="1"/>
  <c r="E27" i="128" s="1"/>
  <c r="D27" i="128" a="1"/>
  <c r="D27" i="128" s="1"/>
  <c r="R26" i="128" a="1"/>
  <c r="R26" i="128" s="1"/>
  <c r="Q26" i="128" a="1"/>
  <c r="Q26" i="128" s="1"/>
  <c r="L26" i="128" a="1"/>
  <c r="L26" i="128" s="1"/>
  <c r="K26" i="128" a="1"/>
  <c r="K26" i="128" s="1"/>
  <c r="I26" i="128" a="1"/>
  <c r="I26" i="128" s="1"/>
  <c r="H26" i="128" a="1"/>
  <c r="H26" i="128" s="1"/>
  <c r="G26" i="128" a="1"/>
  <c r="G26" i="128" s="1"/>
  <c r="F26" i="128" a="1"/>
  <c r="F26" i="128" s="1"/>
  <c r="E26" i="128" a="1"/>
  <c r="E26" i="128" s="1"/>
  <c r="D26" i="128" a="1"/>
  <c r="D26" i="128" s="1"/>
  <c r="R25" i="128" a="1"/>
  <c r="R25" i="128" s="1"/>
  <c r="Q25" i="128" a="1"/>
  <c r="Q25" i="128" s="1"/>
  <c r="L25" i="128" a="1"/>
  <c r="L25" i="128" s="1"/>
  <c r="K25" i="128" a="1"/>
  <c r="K25" i="128" s="1"/>
  <c r="I25" i="128" a="1"/>
  <c r="I25" i="128" s="1"/>
  <c r="H25" i="128" a="1"/>
  <c r="H25" i="128" s="1"/>
  <c r="G25" i="128" a="1"/>
  <c r="G25" i="128" s="1"/>
  <c r="F25" i="128" a="1"/>
  <c r="F25" i="128" s="1"/>
  <c r="E25" i="128" a="1"/>
  <c r="E25" i="128" s="1"/>
  <c r="D25" i="128" a="1"/>
  <c r="D25" i="128" s="1"/>
  <c r="R24" i="128" a="1"/>
  <c r="R24" i="128" s="1"/>
  <c r="Q24" i="128" a="1"/>
  <c r="Q24" i="128" s="1"/>
  <c r="L24" i="128" a="1"/>
  <c r="L24" i="128" s="1"/>
  <c r="K24" i="128" a="1"/>
  <c r="K24" i="128" s="1"/>
  <c r="I24" i="128" a="1"/>
  <c r="I24" i="128" s="1"/>
  <c r="H24" i="128" a="1"/>
  <c r="H24" i="128" s="1"/>
  <c r="G24" i="128" a="1"/>
  <c r="G24" i="128" s="1"/>
  <c r="F24" i="128" a="1"/>
  <c r="F24" i="128" s="1"/>
  <c r="E24" i="128" a="1"/>
  <c r="E24" i="128" s="1"/>
  <c r="D24" i="128" a="1"/>
  <c r="D24" i="128" s="1"/>
  <c r="R23" i="128" a="1"/>
  <c r="R23" i="128" s="1"/>
  <c r="Q23" i="128" a="1"/>
  <c r="Q23" i="128" s="1"/>
  <c r="L23" i="128" a="1"/>
  <c r="L23" i="128" s="1"/>
  <c r="K23" i="128" a="1"/>
  <c r="K23" i="128" s="1"/>
  <c r="I23" i="128" a="1"/>
  <c r="I23" i="128" s="1"/>
  <c r="H23" i="128" a="1"/>
  <c r="H23" i="128" s="1"/>
  <c r="G23" i="128" a="1"/>
  <c r="G23" i="128" s="1"/>
  <c r="F23" i="128" a="1"/>
  <c r="F23" i="128" s="1"/>
  <c r="E23" i="128" a="1"/>
  <c r="E23" i="128" s="1"/>
  <c r="D23" i="128" a="1"/>
  <c r="D23" i="128" s="1"/>
  <c r="R22" i="128" a="1"/>
  <c r="R22" i="128" s="1"/>
  <c r="Q22" i="128" a="1"/>
  <c r="Q22" i="128" s="1"/>
  <c r="L22" i="128" a="1"/>
  <c r="L22" i="128" s="1"/>
  <c r="K22" i="128" a="1"/>
  <c r="K22" i="128" s="1"/>
  <c r="I22" i="128" a="1"/>
  <c r="I22" i="128" s="1"/>
  <c r="H22" i="128" a="1"/>
  <c r="H22" i="128" s="1"/>
  <c r="G22" i="128" a="1"/>
  <c r="G22" i="128" s="1"/>
  <c r="F22" i="128" a="1"/>
  <c r="F22" i="128" s="1"/>
  <c r="E22" i="128" a="1"/>
  <c r="E22" i="128" s="1"/>
  <c r="D22" i="128" a="1"/>
  <c r="D22" i="128" s="1"/>
  <c r="R21" i="128" a="1"/>
  <c r="R21" i="128" s="1"/>
  <c r="Q21" i="128" a="1"/>
  <c r="Q21" i="128" s="1"/>
  <c r="L21" i="128" a="1"/>
  <c r="L21" i="128" s="1"/>
  <c r="K21" i="128" a="1"/>
  <c r="K21" i="128" s="1"/>
  <c r="I21" i="128" a="1"/>
  <c r="I21" i="128" s="1"/>
  <c r="H21" i="128" a="1"/>
  <c r="H21" i="128" s="1"/>
  <c r="G21" i="128" a="1"/>
  <c r="G21" i="128" s="1"/>
  <c r="F21" i="128" a="1"/>
  <c r="F21" i="128" s="1"/>
  <c r="E21" i="128" a="1"/>
  <c r="E21" i="128" s="1"/>
  <c r="D21" i="128" a="1"/>
  <c r="D21" i="128" s="1"/>
  <c r="A21" i="128"/>
  <c r="R20" i="128" a="1"/>
  <c r="R20" i="128" s="1"/>
  <c r="Q20" i="128" a="1"/>
  <c r="Q20" i="128" s="1"/>
  <c r="L20" i="128" a="1"/>
  <c r="L20" i="128" s="1"/>
  <c r="K20" i="128" a="1"/>
  <c r="K20" i="128" s="1"/>
  <c r="I20" i="128" a="1"/>
  <c r="I20" i="128" s="1"/>
  <c r="H20" i="128" a="1"/>
  <c r="H20" i="128" s="1"/>
  <c r="G20" i="128" a="1"/>
  <c r="G20" i="128" s="1"/>
  <c r="F20" i="128" a="1"/>
  <c r="F20" i="128" s="1"/>
  <c r="E20" i="128" a="1"/>
  <c r="E20" i="128" s="1"/>
  <c r="D20" i="128" a="1"/>
  <c r="D20" i="128" s="1"/>
  <c r="A20" i="128"/>
  <c r="Q18" i="128" a="1"/>
  <c r="Q18" i="128" s="1"/>
  <c r="K18" i="128" a="1"/>
  <c r="K18" i="128" s="1"/>
  <c r="Q17" i="128" a="1"/>
  <c r="Q17" i="128" s="1"/>
  <c r="K17" i="128" a="1"/>
  <c r="K17" i="128" s="1"/>
  <c r="A17" i="128"/>
  <c r="A16" i="128"/>
  <c r="A15" i="128"/>
  <c r="A14" i="128"/>
  <c r="A13" i="128"/>
  <c r="A12" i="128"/>
  <c r="A9" i="128"/>
  <c r="A8" i="128"/>
  <c r="D7" i="128" a="1"/>
  <c r="D7" i="128" s="1"/>
  <c r="D6" i="128" a="1"/>
  <c r="D6" i="128" s="1"/>
  <c r="D5" i="128" a="1"/>
  <c r="D5" i="128" s="1"/>
  <c r="A5" i="128"/>
  <c r="A4" i="128"/>
  <c r="A3" i="128"/>
  <c r="H7" i="125" l="1" a="1"/>
  <c r="H7" i="125" s="1"/>
  <c r="H17" i="125" l="1" a="1"/>
  <c r="H17" i="125" s="1"/>
  <c r="H19" i="125" a="1"/>
  <c r="H19" i="125" s="1"/>
  <c r="H20" i="125" a="1"/>
  <c r="H20" i="125" s="1"/>
  <c r="H18" i="125" a="1"/>
  <c r="H18" i="125" s="1"/>
  <c r="H16" i="125" a="1"/>
  <c r="H16" i="125" s="1"/>
  <c r="H14" i="125" a="1"/>
  <c r="H14" i="125" s="1"/>
  <c r="H13" i="125" a="1"/>
  <c r="H13" i="125" s="1"/>
  <c r="H12" i="125" a="1"/>
  <c r="H12" i="125" s="1"/>
  <c r="H11" i="125" a="1"/>
  <c r="H11" i="125" s="1"/>
  <c r="H10" i="125" a="1"/>
  <c r="H10" i="125" s="1"/>
  <c r="H9" i="125" a="1"/>
  <c r="H9" i="125" s="1"/>
  <c r="H8" i="125" a="1"/>
  <c r="H8" i="125" s="1"/>
  <c r="A21" i="118"/>
  <c r="A20" i="118"/>
  <c r="A17" i="118"/>
  <c r="A16" i="118"/>
  <c r="A15" i="118"/>
  <c r="A14" i="118"/>
  <c r="A13" i="118"/>
  <c r="A12" i="118"/>
  <c r="A9" i="118"/>
  <c r="A8" i="118"/>
  <c r="A5" i="118"/>
  <c r="A4" i="118"/>
  <c r="A3" i="118"/>
  <c r="A21" i="15"/>
  <c r="A20" i="15"/>
  <c r="A17" i="15"/>
  <c r="A16" i="15"/>
  <c r="A15" i="15"/>
  <c r="A14" i="15"/>
  <c r="A13" i="15"/>
  <c r="A12" i="15"/>
  <c r="A9" i="15"/>
  <c r="A8" i="15"/>
  <c r="A5" i="15"/>
  <c r="A4" i="15"/>
  <c r="A3" i="15"/>
  <c r="A20" i="13"/>
  <c r="A17" i="13"/>
  <c r="A16" i="13"/>
  <c r="A15" i="13"/>
  <c r="A14" i="13"/>
  <c r="A13" i="13"/>
  <c r="A12" i="13"/>
  <c r="A9" i="13"/>
  <c r="A4" i="13"/>
  <c r="H21" i="125" l="1" a="1"/>
  <c r="H21" i="125" s="1"/>
  <c r="H15" i="125" a="1"/>
  <c r="H15" i="125" s="1"/>
  <c r="E259" i="111" a="1"/>
  <c r="E259" i="111" s="1"/>
  <c r="D259" i="111" a="1"/>
  <c r="D259" i="111" s="1"/>
  <c r="E258" i="111" a="1"/>
  <c r="E258" i="111" s="1"/>
  <c r="D258" i="111" a="1"/>
  <c r="D258" i="111" s="1"/>
  <c r="D256" i="111" a="1"/>
  <c r="D256" i="111" s="1"/>
  <c r="D255" i="111" a="1"/>
  <c r="D255" i="111" s="1"/>
  <c r="D254" i="111" a="1"/>
  <c r="D254" i="111" s="1"/>
  <c r="D253" i="111" a="1"/>
  <c r="D253" i="111" s="1"/>
  <c r="S250" i="111" l="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E33" i="15" l="1"/>
  <c r="E30" i="15"/>
  <c r="H50" i="111"/>
  <c r="H51" i="111"/>
  <c r="H49" i="111"/>
  <c r="H53" i="111"/>
  <c r="H48" i="111"/>
  <c r="H54" i="111"/>
  <c r="H52" i="111"/>
  <c r="H13" i="13" l="1"/>
  <c r="I13" i="13" s="1"/>
  <c r="E13" i="13" l="1"/>
  <c r="F13" i="13" s="1"/>
  <c r="H12" i="13"/>
  <c r="I12" i="13" s="1"/>
  <c r="E12" i="13"/>
  <c r="F12" i="13" s="1"/>
  <c r="A21" i="13" l="1"/>
  <c r="A8" i="13" l="1"/>
  <c r="A5" i="13"/>
  <c r="A3" i="13"/>
  <c r="H10" i="13" l="1"/>
  <c r="I10" i="13" s="1"/>
  <c r="E10" i="13"/>
  <c r="F10" i="13" s="1"/>
  <c r="E14" i="13"/>
  <c r="F14" i="13" s="1"/>
  <c r="H14" i="13"/>
  <c r="I14" i="13" s="1"/>
  <c r="E29" i="15" l="1"/>
  <c r="E31" i="15" s="1"/>
  <c r="E32" i="15" s="1"/>
  <c r="H11" i="13" l="1"/>
  <c r="I11" i="13" s="1"/>
  <c r="E11" i="13"/>
  <c r="F11" i="13" s="1"/>
  <c r="E13" i="15"/>
  <c r="H9" i="13" l="1"/>
  <c r="H15" i="13" s="1"/>
  <c r="E9" i="13"/>
  <c r="I9" i="13" l="1"/>
  <c r="I15" i="13" s="1"/>
  <c r="F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<sst xmlns="http://schemas.openxmlformats.org/spreadsheetml/2006/main" count="232" uniqueCount="191">
  <si>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</si>
  <si>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</si>
  <si>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</si>
  <si>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</si>
  <si>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</si>
  <si>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</si>
  <si>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</si>
  <si>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</si>
  <si>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</si>
  <si>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</si>
  <si>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</si>
  <si>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</si>
  <si>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</si>
  <si>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</si>
  <si>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</si>
  <si>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</si>
  <si>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</si>
  <si>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</si>
  <si>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</si>
  <si>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</si>
  <si>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</si>
  <si>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</si>
  <si>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Gas</t>
  </si>
  <si>
    <t>CO2-e factor</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</si>
  <si>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</si>
  <si>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</si>
  <si>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</si>
  <si>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</si>
  <si>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</si>
  <si>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</si>
  <si>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</si>
  <si>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</si>
  <si>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</si>
  <si>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</si>
  <si>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</si>
  <si>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</si>
  <si>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</si>
  <si>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</si>
  <si>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</si>
  <si>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</si>
  <si>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</si>
  <si>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</si>
  <si>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</si>
  <si>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</si>
  <si>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</si>
  <si>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</si>
  <si>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</si>
  <si>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</si>
  <si>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</si>
  <si>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</si>
  <si>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</si>
  <si>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</si>
  <si>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</si>
  <si>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</si>
  <si>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</si>
  <si>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</si>
  <si>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</si>
  <si>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</si>
  <si>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</si>
  <si>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</si>
  <si>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</si>
  <si>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</si>
  <si>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</si>
  <si>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</si>
  <si>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</si>
  <si>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</si>
  <si>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</si>
  <si>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</si>
  <si>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</si>
  <si>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</si>
  <si>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</si>
  <si>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</si>
  <si>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</si>
  <si>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</si>
  <si>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</si>
  <si>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</si>
  <si>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</si>
  <si>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</si>
  <si>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</si>
  <si>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</si>
  <si>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</si>
  <si>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</si>
  <si>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</si>
  <si>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</si>
  <si>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</si>
  <si>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</si>
  <si>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</si>
  <si>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</si>
  <si>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</si>
  <si>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</si>
  <si>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</si>
  <si>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</si>
  <si>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</si>
  <si>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</si>
  <si>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</si>
  <si>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</si>
  <si>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</si>
  <si>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</si>
  <si>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</si>
  <si>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</si>
  <si>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</si>
  <si>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</si>
  <si>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</si>
  <si>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</si>
  <si>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</si>
  <si>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</si>
  <si>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</si>
  <si>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</si>
  <si>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</si>
  <si>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</si>
  <si>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</si>
  <si>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</si>
  <si>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</si>
  <si>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</si>
  <si>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</si>
  <si>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</si>
  <si>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</si>
  <si>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</si>
  <si>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</si>
  <si>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</si>
  <si>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</si>
  <si>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</si>
  <si>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</si>
  <si>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</si>
  <si>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</si>
  <si>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</si>
  <si>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</si>
  <si>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</si>
  <si>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</si>
  <si>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</si>
  <si>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</si>
  <si>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</si>
  <si>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</si>
  <si>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</si>
  <si>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</si>
  <si>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</si>
  <si>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Crop types</t>
  </si>
  <si>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</si>
  <si>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</si>
  <si>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</si>
  <si>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</si>
  <si>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</si>
  <si>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</si>
  <si>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</si>
  <si>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</si>
  <si>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</si>
  <si>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</si>
  <si>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</si>
  <si>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</si>
  <si>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</si>
  <si>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</si>
  <si>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</si>
  <si>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</si>
  <si>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</si>
  <si>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</si>
  <si>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</si>
  <si>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</si>
  <si>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</si>
  <si>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</si>
  <si>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</si>
  <si>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Organic fertiliser types</t>
  </si>
  <si>
    <t>Organic fertiliser type</t>
  </si>
  <si>
    <t>Manure - Cattle</t>
  </si>
  <si>
    <t>Manure - Poultry</t>
  </si>
  <si>
    <t>Manure - Swine</t>
  </si>
  <si>
    <t>Manure - Other</t>
  </si>
  <si>
    <t>Other organic fertiliser</t>
  </si>
  <si>
    <t>Climate Zone</t>
  </si>
  <si>
    <t>EFNi &amp; EFN2Oi</t>
  </si>
  <si>
    <t>Element</t>
  </si>
  <si>
    <t>t CO2</t>
  </si>
  <si>
    <t>P</t>
  </si>
  <si>
    <t>EF</t>
  </si>
  <si>
    <t>5.1.1.1-2 Inorganic fertiliser N2O</t>
  </si>
  <si>
    <t>5.1.1.3-4 Inorganic fertiliser CO2</t>
  </si>
  <si>
    <t>5.2.1.1-2 Organic fertiliser N2O</t>
  </si>
  <si>
    <t>5.3.1.1-3 Lime CO2</t>
  </si>
  <si>
    <t>5.4.1.1-5 Atmospheric deposition</t>
  </si>
  <si>
    <t>5.5.1.1-2 Leaching and runoff</t>
  </si>
  <si>
    <t>💡 NOTE: When there is no Method 2, the Method 2 result are the same as Method 1</t>
  </si>
  <si>
    <t>`</t>
  </si>
  <si>
    <t xml:space="preserve">  </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</si>
  <si>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</si>
  <si>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</si>
  <si>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</si>
  <si>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</si>
  <si>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</si>
  <si>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Fuel</t>
  </si>
  <si>
    <t>Fuel use</t>
  </si>
  <si>
    <t>Fuel type (NGAF terminology)</t>
  </si>
  <si>
    <t>Fuel type (q)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</si>
</sst>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57"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6">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49"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0" fillId="4" borderId="0">
      <alignment horizontal="left" vertical="center"/>
    </xf>
    <xf numFmtId="0" fontId="46" fillId="11" borderId="0">
      <alignment horizontal="center" vertical="center"/>
    </xf>
    <xf numFmtId="0" fontId="22" fillId="11" borderId="0">
      <alignment horizontal="left" vertical="center" indent="1"/>
    </xf>
    <xf numFmtId="0" fontId="53" fillId="14" borderId="2">
      <alignment horizontal="center" vertical="center"/>
    </xf>
    <xf numFmtId="0" fontId="52" fillId="15" borderId="2">
      <alignment horizontal="center" vertical="center"/>
    </xf>
    <xf numFmtId="0" fontId="54" fillId="4" borderId="2">
      <alignment horizontal="left" vertical="center"/>
    </xf>
    <xf numFmtId="0" fontId="35" fillId="4" borderId="2">
      <alignment horizontal="left" vertical="center"/>
    </xf>
    <xf numFmtId="0" fontId="55" fillId="0" borderId="0"/>
  </cellStyleXfs>
  <cellXfs count="110">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6"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8" xfId="41" applyBorder="1">
      <alignment horizontal="left" vertical="center"/>
    </xf>
    <xf numFmtId="0" fontId="44" fillId="13" borderId="10" xfId="41" applyBorder="1">
      <alignment horizontal="left" vertical="center"/>
    </xf>
    <xf numFmtId="0" fontId="44" fillId="13" borderId="12" xfId="41" applyBorder="1">
      <alignment horizontal="left" vertical="center"/>
    </xf>
    <xf numFmtId="0" fontId="44" fillId="13" borderId="11"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9" xfId="41" applyBorder="1">
      <alignment horizontal="left" vertical="center"/>
    </xf>
    <xf numFmtId="0" fontId="44" fillId="13" borderId="14" xfId="41" applyBorder="1">
      <alignment horizontal="left" vertical="center"/>
    </xf>
    <xf numFmtId="0" fontId="44" fillId="13" borderId="16" xfId="41" applyBorder="1">
      <alignment horizontal="left" vertical="center"/>
    </xf>
    <xf numFmtId="0" fontId="45" fillId="13" borderId="7" xfId="41" applyFont="1" applyBorder="1">
      <alignment horizontal="left" vertical="center"/>
    </xf>
    <xf numFmtId="0" fontId="6" fillId="4" borderId="1" xfId="56" applyBorder="1">
      <alignment horizontal="left" vertical="center"/>
    </xf>
    <xf numFmtId="0" fontId="50"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7" xfId="41" applyBorder="1">
      <alignment horizontal="left" vertical="center"/>
    </xf>
    <xf numFmtId="0" fontId="51"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center" wrapText="1"/>
    </xf>
    <xf numFmtId="170" fontId="8" fillId="4" borderId="0" xfId="10" applyNumberFormat="1">
      <alignment horizontal="center" vertical="center"/>
    </xf>
    <xf numFmtId="0" fontId="56"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9" xfId="41" applyFont="1" applyBorder="1">
      <alignment horizontal="left" vertical="center"/>
    </xf>
    <xf numFmtId="0" fontId="22" fillId="10" borderId="0" xfId="37">
      <alignment horizontal="left" vertical="center" indent="1"/>
    </xf>
    <xf numFmtId="0" fontId="39" fillId="4" borderId="0" xfId="51" applyAlignment="1">
      <alignment horizontal="left" vertical="center"/>
    </xf>
    <xf numFmtId="0" fontId="34" fillId="4" borderId="0" xfId="53">
      <alignment horizontal="left" vertical="center"/>
    </xf>
    <xf numFmtId="0" fontId="3" fillId="4" borderId="1" xfId="7" applyBorder="1">
      <alignment horizontal="left" vertical="center"/>
    </xf>
    <xf numFmtId="0" fontId="39" fillId="4" borderId="1" xfId="51" applyBorder="1" applyAlignment="1">
      <alignment horizontal="left"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7">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6"/>
      <tableStyleElement type="headerRow" dxfId="75"/>
      <tableStyleElement type="totalRow" dxfId="74"/>
      <tableStyleElement type="firstColumn" dxfId="73"/>
      <tableStyleElement type="firstRowStripe" dxfId="72"/>
      <tableStyleElement type="secondRowStripe" dxfId="71"/>
    </tableStyle>
    <tableStyle name="Equation table" pivot="0" count="6" xr9:uid="{B247698E-E41D-4CCD-AA0A-C14817E9DE65}">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REF!">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REF!">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REF!">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REF!">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REF!">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REF!">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REF!">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REF!">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REF!">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REF!">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REF!">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REF!">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REF!">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REF!">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REF!">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REF!">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REF!">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9B74E15-801F-4E68-B0AD-2AC6F3643448}" name="Table_Fertiliser_ChemicalCompounds" displayName="Table_Fertiliser_ChemicalCompounds" ref="D19:I37" totalsRowShown="0">
  <autoFilter ref="D19:I37"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2C6AD72-4897-4B72-AEB7-809360D961B3}"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8EAD7A6E-2349-44D6-8D04-E18D2C4F5C62}" name="FNinorganic f">
      <calculatedColumnFormula array="1">Common_InputFunctions.Utility_DisplayArrayInTable(Fertiliser_SourceData.Fertiliser_ChemicalCompoundElements_Data(),Table_Fertiliser_ChemicalCompounds[[#Headers],[Fertiliser type f]], 0)</calculatedColumnFormula>
    </tableColumn>
    <tableColumn id="3" xr3:uid="{F8FEC066-5BB5-4978-902F-F3E8638DDF19}" name="FU f">
      <calculatedColumnFormula array="1">Common_InputFunctions.Utility_DisplayArrayInTable(Fertiliser_SourceData.Fertiliser_ChemicalCompoundElements_Data(),Table_Fertiliser_ChemicalCompounds[[#Headers],[Fertiliser type f]], 0)</calculatedColumnFormula>
    </tableColumn>
    <tableColumn id="4" xr3:uid="{E09A139C-1381-4B76-9EA6-2570CEF75348}" name="Basis">
      <calculatedColumnFormula array="1">Common_InputFunctions.Utility_DisplayArrayInTable(Fertiliser_SourceData.Fertiliser_ChemicalCompoundElements_Data(),Table_Fertiliser_ChemicalCompounds[[#Headers],[Fertiliser type f]], 0)</calculatedColumnFormula>
    </tableColumn>
    <tableColumn id="5" xr3:uid="{793D615C-EE5C-4639-B184-AB9F7E87B0C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F18B4A5F-5A11-4416-AA55-0E2D33F26764}"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885783D-015E-4C68-AAE3-2DE81A4B11D9}"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EC74345B-15DB-4737-8B07-CB2A656AB6D8}" name="Include or Exclude" totalsRowDxfId="28"/>
    <tableColumn id="2" xr3:uid="{AD68AD76-5978-4DBE-B3AC-BE689B18E764}" name="Notes" totalsRowDxfId="27"/>
    <tableColumn id="3" xr3:uid="{C58E3729-8071-462F-BBBF-C66855B30446}" name="Company" totalsRowDxfId="26"/>
    <tableColumn id="4" xr3:uid="{FE3B7848-56A6-4E65-9CE5-1FF569DCE18E}" name="Product name" totalsRowDxfId="25"/>
    <tableColumn id="5" xr3:uid="{5F2A13F2-6B37-4D1F-9F61-6F5123193744}" name="Unit" totalsRowDxfId="24"/>
    <tableColumn id="6" xr3:uid="{691B4011-E997-4214-80C2-70A80EDFF02E}" name="Density / gravity" totalsRowDxfId="23"/>
    <tableColumn id="7" xr3:uid="{21C99B59-B143-4114-A8C5-51F550799E34}" name="Urea source" totalsRowDxfId="22"/>
    <tableColumn id="8" xr3:uid="{6B799448-9F25-446A-A291-E39DAA7C7561}" name="Ammonia source" totalsRowDxfId="21"/>
    <tableColumn id="9" xr3:uid="{EC83576C-8FB6-42E0-AFCE-01A074F22363}" name="Ingredient 1" totalsRowDxfId="20"/>
    <tableColumn id="10" xr3:uid="{195B1F98-F08E-4EB7-8F51-5693F79D79D2}" name="Ingredient 1 percent" totalsRowDxfId="19"/>
    <tableColumn id="11" xr3:uid="{DF18890A-3795-478B-AC49-B03C79759DE3}" name="Ingredient 2" totalsRowDxfId="18"/>
    <tableColumn id="12" xr3:uid="{C569F4D4-5612-4012-988C-99C303C5EFF8}" name="Ingredient 2 percent" totalsRowDxfId="17"/>
    <tableColumn id="13" xr3:uid="{8F5145FC-4372-4CC1-A687-806025231A64}" name="Ingredient 3" totalsRowDxfId="16"/>
    <tableColumn id="14" xr3:uid="{7F9047F6-D506-47D0-B8F5-399F85E56FA6}" name="Ingredient 3 percent" totalsRowDxfId="15"/>
    <tableColumn id="15" xr3:uid="{54E909B7-76CB-4A65-9194-DBABA2325D56}" name="Ingredient 4" totalsRowDxfId="14"/>
    <tableColumn id="16" xr3:uid="{C9ED006F-BDDB-4DE2-87BE-19E5712EA04F}" name="Ingredient 4 percent" totalsRowDxfId="13"/>
    <tableColumn id="17" xr3:uid="{8FC2BD76-4D43-4411-B2D5-2E503E0E03B6}" name="Ingredient 5" totalsRowDxfId="12"/>
    <tableColumn id="18" xr3:uid="{1853035C-ADF1-4DB3-BAA9-ED07F7FE191E}" name="Ingredient 5 percent" totalsRowDxfId="11"/>
    <tableColumn id="19" xr3:uid="{CA81466E-D09E-4502-A51D-4F238F40C6CE}" name="Ingredient 6" totalsRowDxfId="10"/>
    <tableColumn id="37" xr3:uid="{F584DCB6-7E69-4491-8CFF-0FA2D065C32A}" name="Ingredient 6 percent" totalsRowDxfId="9"/>
    <tableColumn id="20" xr3:uid="{D9B26D6A-3A9D-4493-8D29-CB9C06F0189C}" name="Ingredient 7"/>
    <tableColumn id="24" xr3:uid="{0D44301B-848F-4A0E-A80F-C5065CA0B891}" name="Ingredient 7 percent"/>
    <tableColumn id="23" xr3:uid="{A62795D7-EBB7-44BF-8CE8-798A460CB475}" name="Ingredient 8"/>
    <tableColumn id="26" xr3:uid="{E3634E89-63BB-4316-A07E-F9EFA2A66D4C}" name="Ingredient 8 percent"/>
    <tableColumn id="25" xr3:uid="{8D5FE666-4D64-4C2B-A5E7-C5F5B51590E9}" name="Ingredient 9"/>
    <tableColumn id="30" xr3:uid="{572BFB83-51CB-4374-824F-CA2C7EDC7FCD}" name="Ingredient 9 percent"/>
    <tableColumn id="29" xr3:uid="{3C50CAC1-AA8D-484B-A816-81F5548E4839}" name="Imngredient 10"/>
    <tableColumn id="28" xr3:uid="{7E1E826E-5763-4E83-9409-1D263B4F8FDE}" name="Ingredient 10 percent"/>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D1A0682-34F3-4275-A0AE-47D31CC22D75}"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641F49AA-25FC-4B16-A2FB-6C7019B1ADF6}" name="Fertiliser type f">
      <calculatedColumnFormula array="1">Common_InputFunctions.Utility_DisplayArrayInTable(Fertiliser_SourceData.Fertiliser_FracGASF_Data(), Table_SourceData_Fertiliser_FracGASF[[#Headers],[Fertiliser type f]], 0)</calculatedColumnFormula>
    </tableColumn>
    <tableColumn id="2" xr3:uid="{CB2421FD-D0CF-4EE6-B6E5-95395ADF2828}" name="FracGASF f" dataDxfId="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E40449E-E453-4E6F-B679-8C49CF65CC14}" name="Table_SourceData_Fertiliser_CropProdSystems" displayName="Table_SourceData_Fertiliser_CropProdSystems" ref="D41:D43" totalsRowShown="0">
  <autoFilter ref="D41:D43" xr:uid="{24F3A11E-40F5-4BB9-BFF4-A71FA2ADA0EF}">
    <filterColumn colId="0" hiddenButton="1"/>
  </autoFilter>
  <tableColumns count="1">
    <tableColumn id="1" xr3:uid="{C3AA78D6-277B-4F81-8872-9708529A55A0}" name="Production system">
      <calculatedColumnFormula>#REF!</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05689F5-51E6-4836-9239-3C6AC5A4436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2D81B92C-804C-4878-95BE-55D2B32C004B}" name="Irrigation method"/>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E154A8E-8A80-4377-8D97-A9E1F7FD4779}" name="Table_SourceData_Fertiliser_CropTypes" displayName="Table_SourceData_Fertiliser_CropTypes" ref="F41:F45" totalsRowShown="0">
  <autoFilter ref="F41:F45" xr:uid="{CB5044B5-FA3C-4AA2-B1AB-72F7E61D072F}">
    <filterColumn colId="0" hiddenButton="1"/>
  </autoFilter>
  <tableColumns count="1">
    <tableColumn id="1" xr3:uid="{7AC08E3B-0A1B-4481-8709-CCC43523F510}" name="Production system"/>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53EB2B9-3681-4A12-B8AA-D5243B30922A}" name="Table_SourceData_OrganicFertiliserTypes" displayName="Table_SourceData_OrganicFertiliserTypes" ref="J41:J46" totalsRowShown="0">
  <autoFilter ref="J41:J46" xr:uid="{B44627B1-537E-4ABC-92C3-57282CEE5B40}">
    <filterColumn colId="0" hiddenButton="1"/>
  </autoFilter>
  <tableColumns count="1">
    <tableColumn id="1" xr3:uid="{4F69F002-6312-4FE9-9F93-40DD7A7AEE1B}" name="Organic fertiliser type"/>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47BB835-67DE-40BC-A62E-FB0BBD992F45}"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0C24A8C5-C6E5-42D0-8B8D-E5C91232D689}" name="Element">
      <calculatedColumnFormula array="1">Common_InputFunctions.Utility_DisplayArrayInTable(Fertiliser_SourceData.Fertiliser_LimeDolomiteGypsumConstants_Data(), Table_SourceData_Fertiliser_LimeDolomiteConstants[[#Headers],[Element]], 0)</calculatedColumnFormula>
    </tableColumn>
    <tableColumn id="2" xr3:uid="{4678963A-1E30-4707-A7A7-941CF3A044E4}" name="P" dataDxfId="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1DD7FFC1-45A0-4634-9630-4D1EBC276207}" name="EF" dataDxfId="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F00F040-D30E-48CB-A3A6-32368A639B5E}" name="Table2" displayName="Table2" ref="K19:L28" totalsRowShown="0" dataDxfId="5" dataCellStyle="Content normal">
  <autoFilter ref="K19:L28" xr:uid="{27B93029-EB1F-4C4A-A946-CD673A8A6C46}">
    <filterColumn colId="0" hiddenButton="1"/>
    <filterColumn colId="1" hiddenButton="1"/>
  </autoFilter>
  <tableColumns count="2">
    <tableColumn id="1" xr3:uid="{07A876C1-C307-4DEF-AF12-E018F2421C1A}" name="Fertiliser type f" dataDxfId="4" dataCellStyle="Content normal">
      <calculatedColumnFormula array="1">Common_InputFunctions.Utility_DisplayArrayInTable(Fertiliser_SourceData.Fertiliser_FractionNCommonFertilisers_Data(), Table2[[#Headers],[Fertiliser type f]], 0)</calculatedColumnFormula>
    </tableColumn>
    <tableColumn id="2" xr3:uid="{179E44BA-C8FD-47A2-8C82-AC9BE705FD88}" name="FNinorganic f" dataDxfId="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C311428-AE6A-4149-98DA-D008C228333E}" name="Table28" displayName="Table28" ref="Q19:R28" totalsRowShown="0" dataDxfId="2" dataCellStyle="Content normal">
  <autoFilter ref="Q19:R28" xr:uid="{791CEA59-796C-47AB-86BC-41E8F699030C}">
    <filterColumn colId="0" hiddenButton="1"/>
    <filterColumn colId="1" hiddenButton="1"/>
  </autoFilter>
  <tableColumns count="2">
    <tableColumn id="1" xr3:uid="{3CF98F71-82C4-4AEA-B6A4-243184A1D975}" name="Fertiliser type f" dataDxfId="1" dataCellStyle="Content normal">
      <calculatedColumnFormula array="1">Common_InputFunctions.Utility_DisplayArrayInTable(Fertiliser_SourceData.Fertiliser_FractionUreaCommonFertilisers_Data(), Table28[[#Headers],[Fertiliser type f]], 0)</calculatedColumnFormula>
    </tableColumn>
    <tableColumn id="2" xr3:uid="{BABD570B-051A-4670-AFFF-DD5B0FDD992B}" name="FNinorganic f" dataDxfId="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4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4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4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4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4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2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0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18" Type="http://schemas.openxmlformats.org/officeDocument/2006/relationships/table" Target="../tables/table27.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1.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55" t="e" vm="1">
        <v>#VALUE!</v>
      </c>
      <c r="C1" s="100" t="s">
        <v>182</v>
      </c>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row>
    <row r="2" spans="1:42" ht="20.100000000000001" customHeight="1" x14ac:dyDescent="0.25">
      <c r="A2" s="9"/>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2"/>
    </row>
    <row r="3" spans="1:42" ht="20.100000000000001" customHeight="1" x14ac:dyDescent="0.25">
      <c r="A3" s="16" t="str">
        <f>HYPERLINK("#'Home'!A1", "Home")</f>
        <v>Home</v>
      </c>
      <c r="C3" s="103"/>
      <c r="D3" s="103"/>
      <c r="E3" s="103"/>
      <c r="F3" s="103"/>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row>
    <row r="4" spans="1:42" ht="20.100000000000001" customHeight="1" x14ac:dyDescent="0.25">
      <c r="A4" s="94" t="str">
        <f>HYPERLINK("#'Overview'!A1", "Overview")</f>
        <v>Overview</v>
      </c>
    </row>
    <row r="5" spans="1:42" ht="20.100000000000001" customHeight="1" x14ac:dyDescent="0.25">
      <c r="A5" s="16" t="str">
        <f>HYPERLINK("#'Results'!A1", "Results")</f>
        <v>Results</v>
      </c>
      <c r="D5" s="91" t="s">
        <v>184</v>
      </c>
      <c r="E5" s="78"/>
      <c r="F5" s="78"/>
      <c r="G5" s="78"/>
      <c r="H5" s="78"/>
      <c r="I5" s="78"/>
      <c r="J5" s="78"/>
      <c r="K5" s="78"/>
      <c r="L5" s="78"/>
      <c r="M5" s="78"/>
      <c r="N5" s="78"/>
      <c r="O5" s="74"/>
    </row>
    <row r="6" spans="1:42" ht="20.100000000000001" customHeight="1" x14ac:dyDescent="0.25">
      <c r="A6" s="15"/>
      <c r="D6" s="104" t="s">
        <v>185</v>
      </c>
      <c r="E6" s="77"/>
      <c r="F6" s="77"/>
      <c r="G6" s="77"/>
      <c r="H6" s="77"/>
      <c r="I6" s="77"/>
      <c r="J6" s="77"/>
      <c r="K6" s="77"/>
      <c r="L6" s="77"/>
      <c r="M6" s="77"/>
      <c r="N6" s="77"/>
      <c r="O6" s="75"/>
    </row>
    <row r="7" spans="1:42" ht="20.100000000000001" customHeight="1" x14ac:dyDescent="0.25">
      <c r="A7" s="19" t="s">
        <v>1</v>
      </c>
    </row>
    <row r="8" spans="1:42" ht="20.100000000000001" customHeight="1" x14ac:dyDescent="0.25">
      <c r="A8" s="16" t="str">
        <f>HYPERLINK("#'Input - Site'!A1", "Site")</f>
        <v>Site</v>
      </c>
    </row>
    <row r="9" spans="1:42" ht="20.100000000000001" customHeight="1" x14ac:dyDescent="0.25">
      <c r="A9" s="16" t="str">
        <f>HYPERLINK("#'Input - Fertiliser'!A1", "Fertiliser")</f>
        <v>Fertiliser</v>
      </c>
    </row>
    <row r="10" spans="1:42" ht="20.100000000000001" customHeight="1" x14ac:dyDescent="0.25">
      <c r="A10" s="16"/>
    </row>
    <row r="11" spans="1:42" ht="20.100000000000001" customHeight="1" x14ac:dyDescent="0.25">
      <c r="A11" s="18" t="s">
        <v>67</v>
      </c>
    </row>
    <row r="12" spans="1:42" ht="20.100000000000001" customHeight="1" x14ac:dyDescent="0.25">
      <c r="A12" s="16" t="str">
        <f>HYPERLINK("#'5.1.1.1-2 Inorganic Fert N2O'!A1", "5.1.1.1-2 Inorganic Fert N2O")</f>
        <v>5.1.1.1-2 Inorganic Fert N2O</v>
      </c>
    </row>
    <row r="13" spans="1:42" ht="20.100000000000001" customHeight="1" x14ac:dyDescent="0.25">
      <c r="A13" s="16" t="str">
        <f>HYPERLINK("#'5.1.1.3-4 Inorganic fert CO2'!A1", "5.1.1.3-4 Inorganic fert CO2")</f>
        <v>5.1.1.3-4 Inorganic fert CO2</v>
      </c>
    </row>
    <row r="14" spans="1:42" ht="20.100000000000001" customHeight="1" x14ac:dyDescent="0.25">
      <c r="A14" s="16" t="str">
        <f>HYPERLINK("#'5.2.1.1-2 Organic Fert N2O'!A1", "5.2.1.1-2 Organic Fert N2O")</f>
        <v>5.2.1.1-2 Organic Fert N2O</v>
      </c>
    </row>
    <row r="15" spans="1:42" ht="20.100000000000001" customHeight="1" x14ac:dyDescent="0.25">
      <c r="A15" s="16" t="str">
        <f>HYPERLINK("#'5.3.1.1-2 Lime CO2'!A1", "5.3.1.1-2 Lime CO2")</f>
        <v>5.3.1.1-2 Lime CO2</v>
      </c>
    </row>
    <row r="16" spans="1:42" ht="20.100000000000001" customHeight="1" x14ac:dyDescent="0.25">
      <c r="A16" s="16" t="str">
        <f>HYPERLINK("#'5.4.1.1-4 Atmos deposition'!A1", "5.4.1.1-4 Atmos deposition")</f>
        <v>5.4.1.1-4 Atmos deposition</v>
      </c>
    </row>
    <row r="17" spans="1:1" ht="20.100000000000001" customHeight="1" x14ac:dyDescent="0.25">
      <c r="A17" s="16" t="str">
        <f>HYPERLINK("#'5.5.1.1-2 Leaching and runoff'!A1", "5.5.1.1-2 Leaching and runoff")</f>
        <v>5.5.1.1-2 Leaching and runoff</v>
      </c>
    </row>
    <row r="18" spans="1:1" ht="20.100000000000001" customHeight="1" x14ac:dyDescent="0.25"/>
    <row r="19" spans="1:1" ht="20.100000000000001" customHeight="1" x14ac:dyDescent="0.25">
      <c r="A19" s="17" t="s">
        <v>2</v>
      </c>
    </row>
    <row r="20" spans="1:1" ht="20.100000000000001" customHeight="1" x14ac:dyDescent="0.25">
      <c r="A20" s="16" t="str">
        <f>HYPERLINK("#'Constants - Fertiliser'!A1", "Constants - Fertiliser")</f>
        <v>Constants - Fertiliser</v>
      </c>
    </row>
    <row r="21" spans="1:1" ht="20.100000000000001" customHeight="1" x14ac:dyDescent="0.25">
      <c r="A21" s="16" t="str">
        <f>HYPERLINK("#'Constants - Common'!A1", "Constants - Common")</f>
        <v>Constants - Common</v>
      </c>
    </row>
    <row r="22" spans="1:1" ht="20.100000000000001" customHeight="1" x14ac:dyDescent="0.25"/>
    <row r="23" spans="1:1" ht="20.100000000000001" customHeight="1" x14ac:dyDescent="0.25">
      <c r="A23" s="16"/>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180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12" sqref="E12"/>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55" t="e" vm="1">
        <v>#VALUE!</v>
      </c>
      <c r="C1" s="100" t="s">
        <v>183</v>
      </c>
    </row>
    <row r="2" spans="1:11" ht="20.100000000000001" customHeight="1" x14ac:dyDescent="0.25">
      <c r="A2" s="9"/>
      <c r="C2" s="9"/>
    </row>
    <row r="3" spans="1:11" ht="20.100000000000001" customHeight="1" x14ac:dyDescent="0.25">
      <c r="A3" s="16" t="str">
        <f>HYPERLINK("#'Home'!A1", "Home")</f>
        <v>Home</v>
      </c>
      <c r="C3" s="21"/>
      <c r="D3" s="21"/>
      <c r="E3" s="21"/>
      <c r="F3" s="21"/>
      <c r="G3" s="21"/>
      <c r="H3" s="21"/>
      <c r="I3" s="21"/>
      <c r="J3" s="21"/>
      <c r="K3" s="21"/>
    </row>
    <row r="4" spans="1:11" ht="20.100000000000001" customHeight="1" x14ac:dyDescent="0.25">
      <c r="A4" s="16" t="str">
        <f>HYPERLINK("#'Overview'!A1", "Overview")</f>
        <v>Overview</v>
      </c>
      <c r="C4" s="21"/>
      <c r="D4" s="6" t="s">
        <v>3</v>
      </c>
      <c r="E4" s="23"/>
      <c r="F4" s="23"/>
      <c r="G4" s="23"/>
      <c r="H4" s="6"/>
      <c r="I4" s="6"/>
      <c r="J4" s="6"/>
      <c r="K4" s="24"/>
    </row>
    <row r="5" spans="1:11" ht="20.100000000000001" customHeight="1" x14ac:dyDescent="0.3">
      <c r="A5" s="94" t="str">
        <f>HYPERLINK("#'Results'!A1", "Results")</f>
        <v>Results</v>
      </c>
      <c r="C5" s="21"/>
      <c r="D5" s="25"/>
      <c r="E5" s="26"/>
      <c r="F5" s="26"/>
      <c r="G5" s="26"/>
      <c r="H5" s="23"/>
      <c r="I5" s="21"/>
      <c r="J5" s="21"/>
      <c r="K5" s="21"/>
    </row>
    <row r="6" spans="1:11" ht="20.100000000000001" customHeight="1" x14ac:dyDescent="0.25">
      <c r="A6" s="15"/>
      <c r="C6" s="21"/>
      <c r="D6" s="20" t="s">
        <v>179</v>
      </c>
      <c r="E6" s="21"/>
      <c r="F6" s="21"/>
      <c r="G6" s="21"/>
      <c r="H6" s="21"/>
      <c r="I6" s="21"/>
      <c r="J6" s="21"/>
      <c r="K6" s="21"/>
    </row>
    <row r="7" spans="1:11" ht="20.100000000000001" customHeight="1" x14ac:dyDescent="0.25">
      <c r="A7" s="19" t="s">
        <v>1</v>
      </c>
      <c r="C7" s="21"/>
      <c r="D7" s="21"/>
      <c r="E7" s="21"/>
      <c r="F7" s="21"/>
      <c r="G7" s="21"/>
      <c r="H7" s="21"/>
      <c r="I7" s="21"/>
      <c r="J7" s="21"/>
      <c r="K7" s="21"/>
    </row>
    <row r="8" spans="1:11" ht="20.100000000000001" customHeight="1" x14ac:dyDescent="0.25">
      <c r="A8" s="16" t="str">
        <f>HYPERLINK("#'Input - Site'!A1", "Site")</f>
        <v>Site</v>
      </c>
      <c r="C8" s="21"/>
      <c r="D8" s="89" t="s">
        <v>77</v>
      </c>
      <c r="E8" s="89" t="s">
        <v>90</v>
      </c>
      <c r="F8" s="89" t="s">
        <v>91</v>
      </c>
      <c r="G8" s="89" t="s">
        <v>84</v>
      </c>
      <c r="H8" s="89" t="s">
        <v>92</v>
      </c>
      <c r="I8" s="89" t="s">
        <v>93</v>
      </c>
      <c r="J8" s="89" t="s">
        <v>85</v>
      </c>
      <c r="K8" s="21"/>
    </row>
    <row r="9" spans="1:11" ht="20.100000000000001" customHeight="1" x14ac:dyDescent="0.25">
      <c r="A9" s="16" t="str">
        <f>HYPERLINK("#'Input - Fertiliser'!A1", "Fertiliser")</f>
        <v>Fertiliser</v>
      </c>
      <c r="C9" s="21"/>
      <c r="D9" s="1" t="s">
        <v>173</v>
      </c>
      <c r="E9" s="99" t="e">
        <f>#REF!</f>
        <v>#REF!</v>
      </c>
      <c r="F9" s="99" t="e">
        <f>#REF!</f>
        <v>#REF!</v>
      </c>
      <c r="G9" s="49" t="s">
        <v>96</v>
      </c>
      <c r="H9" s="87" t="e">
        <f>#REF!</f>
        <v>#REF!</v>
      </c>
      <c r="I9" s="87" t="e">
        <f>#REF!</f>
        <v>#REF!</v>
      </c>
      <c r="J9" s="49" t="s">
        <v>88</v>
      </c>
      <c r="K9" s="21"/>
    </row>
    <row r="10" spans="1:11" ht="20.100000000000001" customHeight="1" x14ac:dyDescent="0.25">
      <c r="A10" s="16"/>
      <c r="C10" s="21"/>
      <c r="D10" s="1" t="s">
        <v>174</v>
      </c>
      <c r="E10" s="99" t="e">
        <f>#REF!</f>
        <v>#REF!</v>
      </c>
      <c r="F10" s="99" t="e">
        <f>E10</f>
        <v>#REF!</v>
      </c>
      <c r="G10" s="49" t="s">
        <v>170</v>
      </c>
      <c r="H10" s="87" t="e">
        <f>#REF!</f>
        <v>#REF!</v>
      </c>
      <c r="I10" s="87" t="e">
        <f>H10</f>
        <v>#REF!</v>
      </c>
      <c r="J10" s="49" t="s">
        <v>88</v>
      </c>
      <c r="K10" s="21"/>
    </row>
    <row r="11" spans="1:11" ht="20.100000000000001" customHeight="1" x14ac:dyDescent="0.25">
      <c r="A11" s="18" t="s">
        <v>67</v>
      </c>
      <c r="C11" s="21"/>
      <c r="D11" s="1" t="s">
        <v>175</v>
      </c>
      <c r="E11" s="99" t="e">
        <f>#REF!</f>
        <v>#REF!</v>
      </c>
      <c r="F11" s="99" t="e">
        <f>E11</f>
        <v>#REF!</v>
      </c>
      <c r="G11" s="49" t="s">
        <v>96</v>
      </c>
      <c r="H11" s="87" t="e">
        <f>#REF!</f>
        <v>#REF!</v>
      </c>
      <c r="I11" s="87" t="e">
        <f>H11</f>
        <v>#REF!</v>
      </c>
      <c r="J11" s="49" t="s">
        <v>88</v>
      </c>
      <c r="K11" s="21"/>
    </row>
    <row r="12" spans="1:11" ht="20.100000000000001" customHeight="1" x14ac:dyDescent="0.25">
      <c r="A12" s="16" t="str">
        <f>HYPERLINK("#'5.1.1.1-2 Inorganic Fert N2O'!A1", "5.1.1.1-2 Inorganic Fert N2O")</f>
        <v>5.1.1.1-2 Inorganic Fert N2O</v>
      </c>
      <c r="C12" s="21"/>
      <c r="D12" s="1" t="s">
        <v>176</v>
      </c>
      <c r="E12" s="99" t="e">
        <f>#REF!</f>
        <v>#REF!</v>
      </c>
      <c r="F12" s="99" t="e">
        <f>E12</f>
        <v>#REF!</v>
      </c>
      <c r="G12" s="49" t="s">
        <v>170</v>
      </c>
      <c r="H12" s="87" t="e">
        <f>#REF!</f>
        <v>#REF!</v>
      </c>
      <c r="I12" s="87" t="e">
        <f>H12</f>
        <v>#REF!</v>
      </c>
      <c r="J12" s="49" t="s">
        <v>88</v>
      </c>
      <c r="K12" s="21"/>
    </row>
    <row r="13" spans="1:11" ht="20.100000000000001" customHeight="1" x14ac:dyDescent="0.25">
      <c r="A13" s="16" t="str">
        <f>HYPERLINK("#'5.1.1.3-4 Inorganic fert CO2'!A1", "5.1.1.3-4 Inorganic fert CO2")</f>
        <v>5.1.1.3-4 Inorganic fert CO2</v>
      </c>
      <c r="C13" s="21"/>
      <c r="D13" s="1" t="s">
        <v>177</v>
      </c>
      <c r="E13" s="99" t="e">
        <f>#REF!</f>
        <v>#REF!</v>
      </c>
      <c r="F13" s="99" t="e">
        <f>E13</f>
        <v>#REF!</v>
      </c>
      <c r="G13" s="49" t="s">
        <v>96</v>
      </c>
      <c r="H13" s="87" t="e">
        <f>#REF!</f>
        <v>#REF!</v>
      </c>
      <c r="I13" s="87" t="e">
        <f>H13</f>
        <v>#REF!</v>
      </c>
      <c r="J13" s="49" t="s">
        <v>88</v>
      </c>
      <c r="K13" s="21"/>
    </row>
    <row r="14" spans="1:11" ht="20.100000000000001" customHeight="1" x14ac:dyDescent="0.25">
      <c r="A14" s="16" t="str">
        <f>HYPERLINK("#'5.2.1.1-2 Organic Fert N2O'!A1", "5.2.1.1-2 Organic Fert N2O")</f>
        <v>5.2.1.1-2 Organic Fert N2O</v>
      </c>
      <c r="C14" s="21"/>
      <c r="D14" s="1" t="s">
        <v>178</v>
      </c>
      <c r="E14" s="99" t="e">
        <f>#REF!</f>
        <v>#REF!</v>
      </c>
      <c r="F14" s="99" t="e">
        <f>E14</f>
        <v>#REF!</v>
      </c>
      <c r="G14" s="49" t="s">
        <v>96</v>
      </c>
      <c r="H14" s="87" t="e">
        <f>#REF!</f>
        <v>#REF!</v>
      </c>
      <c r="I14" s="87" t="e">
        <f>H14</f>
        <v>#REF!</v>
      </c>
      <c r="J14" s="49" t="s">
        <v>88</v>
      </c>
      <c r="K14" s="21"/>
    </row>
    <row r="15" spans="1:11" ht="20.100000000000001" customHeight="1" x14ac:dyDescent="0.3">
      <c r="A15" s="16" t="str">
        <f>HYPERLINK("#'5.3.1.1-2 Lime CO2'!A1", "5.3.1.1-2 Lime CO2")</f>
        <v>5.3.1.1-2 Lime CO2</v>
      </c>
      <c r="C15" s="21"/>
      <c r="D15" s="28" t="s">
        <v>83</v>
      </c>
      <c r="E15" s="22"/>
      <c r="F15" s="22"/>
      <c r="G15" s="28"/>
      <c r="H15" s="88" t="e">
        <f>SUM(H9:H14)</f>
        <v>#REF!</v>
      </c>
      <c r="I15" s="88" t="e">
        <f>SUM(I9:I14)</f>
        <v>#REF!</v>
      </c>
      <c r="J15" s="84" t="s">
        <v>88</v>
      </c>
      <c r="K15" s="21"/>
    </row>
    <row r="16" spans="1:11" ht="20.100000000000001" customHeight="1" x14ac:dyDescent="0.25">
      <c r="A16" s="16" t="str">
        <f>HYPERLINK("#'5.4.1.1-4 Atmos deposition'!A1", "5.4.1.1-4 Atmos deposition")</f>
        <v>5.4.1.1-4 Atmos deposition</v>
      </c>
      <c r="C16" s="21"/>
      <c r="D16" s="85"/>
      <c r="E16" s="85"/>
      <c r="F16" s="85"/>
      <c r="G16" s="85"/>
      <c r="H16" s="85"/>
      <c r="I16" s="85"/>
      <c r="J16" s="85"/>
      <c r="K16" s="21"/>
    </row>
    <row r="17" spans="1:11" ht="20.100000000000001" customHeight="1" x14ac:dyDescent="0.25">
      <c r="A17" s="16" t="str">
        <f>HYPERLINK("#'5.5.1.1-2 Leaching and runoff'!A1", "5.5.1.1-2 Leaching and runoff")</f>
        <v>5.5.1.1-2 Leaching and runoff</v>
      </c>
      <c r="C17" s="21"/>
      <c r="D17" s="85"/>
      <c r="E17" s="1"/>
      <c r="F17" s="1"/>
      <c r="G17" s="1"/>
      <c r="H17" s="1"/>
      <c r="I17" s="1"/>
      <c r="J17" s="21"/>
      <c r="K17" s="21"/>
    </row>
    <row r="18" spans="1:11" ht="20.100000000000001" customHeight="1" x14ac:dyDescent="0.25">
      <c r="C18" s="21"/>
      <c r="D18" s="92"/>
      <c r="E18" s="1"/>
      <c r="F18" s="1"/>
      <c r="G18" s="1"/>
      <c r="H18" s="1"/>
      <c r="I18" s="1"/>
      <c r="J18" s="21"/>
      <c r="K18" s="21"/>
    </row>
    <row r="19" spans="1:11" ht="20.100000000000001" customHeight="1" x14ac:dyDescent="0.25">
      <c r="A19" s="17" t="s">
        <v>2</v>
      </c>
      <c r="C19" s="21"/>
      <c r="D19" s="1"/>
      <c r="E19" s="1"/>
      <c r="F19" s="1"/>
      <c r="G19" s="1"/>
      <c r="H19" s="1"/>
      <c r="I19" s="1"/>
      <c r="J19" s="21"/>
      <c r="K19" s="21"/>
    </row>
    <row r="20" spans="1:11" ht="20.100000000000001" customHeight="1" x14ac:dyDescent="0.25">
      <c r="A20" s="16" t="str">
        <f>HYPERLINK("#'Constants - Fertiliser'!A1", "Constants - Fertiliser")</f>
        <v>Constants - Fertiliser</v>
      </c>
      <c r="C20" s="21"/>
      <c r="D20" s="1"/>
      <c r="E20" s="1"/>
      <c r="F20" s="1"/>
      <c r="G20" s="1"/>
      <c r="H20" s="1"/>
      <c r="I20" s="1"/>
      <c r="J20" s="21"/>
      <c r="K20" s="21"/>
    </row>
    <row r="21" spans="1:11" ht="20.100000000000001" customHeight="1" x14ac:dyDescent="0.25">
      <c r="A21" s="16" t="str">
        <f>HYPERLINK("#'Constants - Common'!A1", "Constants - Common")</f>
        <v>Constants - Common</v>
      </c>
      <c r="C21" s="21"/>
      <c r="D21" s="1"/>
      <c r="E21" s="90"/>
      <c r="F21" s="49"/>
      <c r="G21" s="1"/>
      <c r="H21" s="1"/>
      <c r="I21" s="21"/>
      <c r="J21" s="21"/>
      <c r="K21" s="21"/>
    </row>
    <row r="22" spans="1:11" ht="20.100000000000001" customHeight="1" x14ac:dyDescent="0.25">
      <c r="C22" s="21"/>
      <c r="D22" s="1"/>
      <c r="E22" s="90"/>
      <c r="F22" s="49"/>
      <c r="G22" s="1"/>
      <c r="H22" s="1"/>
      <c r="I22" s="21"/>
      <c r="J22" s="21"/>
      <c r="K22" s="21"/>
    </row>
    <row r="23" spans="1:11" ht="20.100000000000001" customHeight="1" x14ac:dyDescent="0.3">
      <c r="A23" s="16"/>
      <c r="C23" s="21"/>
      <c r="D23" s="1"/>
      <c r="E23" s="1"/>
      <c r="F23" s="1"/>
      <c r="G23" s="1"/>
      <c r="H23" s="26"/>
      <c r="I23" s="21"/>
      <c r="J23" s="21"/>
      <c r="K23" s="21"/>
    </row>
    <row r="24" spans="1:11" ht="20.100000000000001" customHeight="1" x14ac:dyDescent="0.3">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86"/>
      <c r="J38" s="86"/>
      <c r="K38" s="21"/>
    </row>
    <row r="39" spans="3:11" ht="20.100000000000001" customHeight="1" x14ac:dyDescent="0.25">
      <c r="C39" s="21"/>
      <c r="D39" s="1"/>
      <c r="E39" s="1"/>
      <c r="F39" s="1"/>
      <c r="G39" s="1"/>
      <c r="H39" s="1"/>
      <c r="I39" s="86"/>
      <c r="J39" s="86"/>
      <c r="K39" s="21"/>
    </row>
    <row r="40" spans="3:11" ht="20.100000000000001" customHeight="1" x14ac:dyDescent="0.25">
      <c r="C40" s="21"/>
      <c r="D40" s="1"/>
      <c r="E40" s="1"/>
      <c r="F40" s="1"/>
      <c r="G40" s="1"/>
      <c r="H40" s="1"/>
      <c r="I40" s="86"/>
      <c r="J40" s="86"/>
      <c r="K40" s="21"/>
    </row>
    <row r="41" spans="3:11" ht="20.100000000000001" customHeight="1" x14ac:dyDescent="0.25">
      <c r="C41" s="21"/>
      <c r="D41" s="1"/>
      <c r="E41" s="1"/>
      <c r="F41" s="1"/>
      <c r="G41" s="1"/>
      <c r="H41" s="1"/>
      <c r="I41" s="86"/>
      <c r="J41" s="86"/>
      <c r="K41" s="21"/>
    </row>
    <row r="42" spans="3:11" ht="20.100000000000001" customHeight="1" x14ac:dyDescent="0.25">
      <c r="C42" s="21"/>
      <c r="D42" s="1"/>
      <c r="E42" s="1"/>
      <c r="F42" s="1"/>
      <c r="G42" s="1"/>
      <c r="H42" s="1"/>
      <c r="I42" s="86"/>
      <c r="J42" s="86"/>
      <c r="K42" s="21"/>
    </row>
    <row r="43" spans="3:11" ht="20.100000000000001" customHeight="1" x14ac:dyDescent="0.25">
      <c r="C43" s="21"/>
      <c r="D43" s="1"/>
      <c r="E43" s="1"/>
      <c r="F43" s="1"/>
      <c r="G43" s="1"/>
      <c r="H43" s="1"/>
      <c r="I43" s="86"/>
      <c r="J43" s="86"/>
      <c r="K43" s="21"/>
    </row>
    <row r="44" spans="3:11" ht="20.100000000000001" customHeight="1" x14ac:dyDescent="0.25">
      <c r="C44" s="21"/>
      <c r="D44" s="1"/>
      <c r="E44" s="1"/>
      <c r="F44" s="1"/>
      <c r="G44" s="1"/>
      <c r="H44" s="1"/>
      <c r="I44" s="86"/>
      <c r="J44" s="86"/>
      <c r="K44" s="21"/>
    </row>
    <row r="45" spans="3:11" ht="20.100000000000001" customHeight="1" x14ac:dyDescent="0.25">
      <c r="C45" s="21"/>
      <c r="D45" s="1"/>
      <c r="E45" s="1"/>
      <c r="F45" s="1"/>
      <c r="G45" s="1"/>
      <c r="H45" s="1"/>
      <c r="I45" s="86"/>
      <c r="J45" s="86"/>
      <c r="K45" s="21"/>
    </row>
    <row r="46" spans="3:11" ht="20.100000000000001" customHeight="1" x14ac:dyDescent="0.25">
      <c r="C46" s="21"/>
      <c r="D46" s="1"/>
      <c r="E46" s="1"/>
      <c r="F46" s="1"/>
      <c r="G46" s="1"/>
      <c r="H46" s="1"/>
      <c r="I46" s="86"/>
      <c r="J46" s="86"/>
      <c r="K46" s="21"/>
    </row>
    <row r="47" spans="3:11" ht="20.100000000000001" customHeight="1" x14ac:dyDescent="0.25">
      <c r="C47" s="21"/>
      <c r="D47" s="1"/>
      <c r="E47" s="1"/>
      <c r="F47" s="1"/>
      <c r="G47" s="1"/>
      <c r="H47" s="1"/>
      <c r="I47" s="86"/>
      <c r="J47" s="86"/>
      <c r="K47" s="21"/>
    </row>
    <row r="48" spans="3:11" ht="20.100000000000001" customHeight="1" x14ac:dyDescent="0.25">
      <c r="C48" s="21"/>
      <c r="D48" s="1"/>
      <c r="E48" s="1"/>
      <c r="F48" s="1"/>
      <c r="G48" s="1"/>
      <c r="H48" s="1"/>
      <c r="I48" s="86"/>
      <c r="J48" s="86"/>
      <c r="K48" s="21"/>
    </row>
    <row r="49" spans="3:11" ht="20.100000000000001" customHeight="1" x14ac:dyDescent="0.25">
      <c r="C49" s="21"/>
      <c r="D49" s="1"/>
      <c r="E49" s="1"/>
      <c r="F49" s="1"/>
      <c r="G49" s="1"/>
      <c r="H49" s="86"/>
      <c r="I49" s="86"/>
      <c r="J49" s="86"/>
      <c r="K49" s="21"/>
    </row>
    <row r="50" spans="3:11" ht="20.100000000000001" customHeight="1" x14ac:dyDescent="0.25">
      <c r="C50" s="21"/>
      <c r="D50" s="1"/>
      <c r="E50" s="1"/>
      <c r="F50" s="1"/>
      <c r="G50" s="1"/>
      <c r="H50" s="86"/>
      <c r="I50" s="86"/>
      <c r="J50" s="86"/>
      <c r="K50" s="21"/>
    </row>
    <row r="51" spans="3:11" ht="20.100000000000001" customHeight="1" x14ac:dyDescent="0.25">
      <c r="C51" s="21"/>
      <c r="D51" s="1"/>
      <c r="E51" s="1"/>
      <c r="F51" s="1"/>
      <c r="G51" s="1"/>
      <c r="H51" s="86"/>
      <c r="I51" s="86"/>
      <c r="J51" s="86"/>
      <c r="K51" s="21"/>
    </row>
    <row r="52" spans="3:11" ht="20.100000000000001" customHeight="1" x14ac:dyDescent="0.25">
      <c r="C52" s="21"/>
      <c r="D52" s="1"/>
      <c r="E52" s="1"/>
      <c r="F52" s="1"/>
      <c r="G52" s="1"/>
      <c r="H52" s="86"/>
      <c r="I52" s="86"/>
      <c r="J52" s="86"/>
      <c r="K52" s="21"/>
    </row>
    <row r="53" spans="3:11" ht="20.100000000000001" customHeight="1" x14ac:dyDescent="0.25">
      <c r="C53" s="21"/>
      <c r="D53" s="1"/>
      <c r="E53" s="1"/>
      <c r="F53" s="1"/>
      <c r="G53" s="1"/>
      <c r="H53" s="86"/>
      <c r="I53" s="86"/>
      <c r="J53" s="86"/>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4" sqref="A4"/>
    </sheetView>
  </sheetViews>
  <sheetFormatPr defaultColWidth="9.140625" defaultRowHeight="15.75" x14ac:dyDescent="0.25"/>
  <cols>
    <col min="1" max="1" width="30.7109375" style="15"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5" t="e" vm="1">
        <v>#VALUE!</v>
      </c>
      <c r="C1" s="12" t="s">
        <v>70</v>
      </c>
    </row>
    <row r="2" spans="1:24" s="7" customFormat="1" ht="20.100000000000001" customHeight="1" x14ac:dyDescent="0.25">
      <c r="A2" s="9"/>
      <c r="C2" s="9"/>
      <c r="D2" s="9"/>
      <c r="E2" s="9"/>
      <c r="F2" s="9"/>
      <c r="G2" s="9"/>
      <c r="H2" s="9"/>
      <c r="I2" s="9"/>
      <c r="J2" s="9"/>
    </row>
    <row r="3" spans="1:24" ht="20.100000000000001" customHeight="1" x14ac:dyDescent="0.25">
      <c r="A3" s="16" t="str">
        <f>HYPERLINK("#'Home'!A1", "Home")</f>
        <v>Home</v>
      </c>
      <c r="C3" s="14"/>
      <c r="D3" s="14"/>
      <c r="E3" s="14"/>
      <c r="F3" s="14"/>
      <c r="G3" s="14"/>
      <c r="H3" s="14"/>
      <c r="I3" s="14"/>
      <c r="J3" s="14"/>
      <c r="K3" s="14"/>
      <c r="M3" s="11"/>
      <c r="N3" s="11"/>
      <c r="O3" s="11"/>
      <c r="P3" s="11"/>
      <c r="Q3" s="11"/>
      <c r="R3" s="11"/>
      <c r="S3" s="11"/>
      <c r="T3" s="11"/>
      <c r="U3" s="11"/>
      <c r="V3" s="11"/>
      <c r="W3" s="11"/>
      <c r="X3" s="11"/>
    </row>
    <row r="4" spans="1:24" ht="20.100000000000001" customHeight="1" x14ac:dyDescent="0.25">
      <c r="A4" s="16" t="str">
        <f>HYPERLINK("#'Overview'!A1", "Overview")</f>
        <v>Overview</v>
      </c>
      <c r="C4" s="56"/>
      <c r="D4" s="56"/>
      <c r="E4" s="56"/>
      <c r="F4" s="56"/>
      <c r="G4" s="56"/>
      <c r="H4" s="56"/>
      <c r="I4" s="56"/>
      <c r="J4" s="56"/>
      <c r="K4" s="56"/>
    </row>
    <row r="5" spans="1:24" ht="20.100000000000001" customHeight="1" x14ac:dyDescent="0.25">
      <c r="A5" s="16" t="str">
        <f>HYPERLINK("#'Results'!A1", "Results")</f>
        <v>Results</v>
      </c>
      <c r="D5" s="6" t="s">
        <v>13</v>
      </c>
      <c r="N5" s="39"/>
    </row>
    <row r="6" spans="1:24" ht="20.100000000000001" customHeight="1" x14ac:dyDescent="0.25">
      <c r="D6" s="13"/>
      <c r="N6" s="40"/>
    </row>
    <row r="7" spans="1:24" ht="20.100000000000001" customHeight="1" x14ac:dyDescent="0.25">
      <c r="A7" s="19" t="s">
        <v>1</v>
      </c>
      <c r="D7" s="1" t="s">
        <v>5</v>
      </c>
      <c r="E7" s="32" t="s">
        <v>4</v>
      </c>
      <c r="F7" s="2"/>
    </row>
    <row r="8" spans="1:24" ht="20.100000000000001" customHeight="1" x14ac:dyDescent="0.25">
      <c r="A8" s="93" t="str">
        <f>HYPERLINK("#'Input - Site'!A1", "Site")</f>
        <v>Site</v>
      </c>
      <c r="D8" s="10" t="s">
        <v>65</v>
      </c>
      <c r="E8" s="32" t="s">
        <v>66</v>
      </c>
    </row>
    <row r="9" spans="1:24" ht="20.100000000000001" customHeight="1" x14ac:dyDescent="0.25">
      <c r="A9" s="16" t="str">
        <f>HYPERLINK("#'Input - Fertiliser'!A1", "Fertiliser")</f>
        <v>Fertiliser</v>
      </c>
      <c r="N9" s="41"/>
    </row>
    <row r="10" spans="1:24" ht="20.100000000000001" customHeight="1" x14ac:dyDescent="0.25">
      <c r="A10" s="16"/>
      <c r="D10" s="81" t="s">
        <v>69</v>
      </c>
      <c r="E10" s="79"/>
      <c r="F10" s="82"/>
      <c r="G10" s="76"/>
      <c r="N10" s="41"/>
    </row>
    <row r="11" spans="1:24" ht="20.100000000000001" customHeight="1" x14ac:dyDescent="0.25">
      <c r="A11" s="18" t="s">
        <v>67</v>
      </c>
      <c r="N11" s="42"/>
    </row>
    <row r="12" spans="1:24" ht="20.100000000000001" customHeight="1" x14ac:dyDescent="0.25">
      <c r="A12" s="16" t="str">
        <f>HYPERLINK("#'5.1.1.1-2 Inorganic Fert N2O'!A1", "5.1.1.1-2 Inorganic Fert N2O")</f>
        <v>5.1.1.1-2 Inorganic Fert N2O</v>
      </c>
      <c r="D12" s="10" t="s">
        <v>75</v>
      </c>
      <c r="E12" s="54">
        <v>45292</v>
      </c>
      <c r="F12" s="2" t="s">
        <v>63</v>
      </c>
    </row>
    <row r="13" spans="1:24" ht="20.100000000000001" customHeight="1" x14ac:dyDescent="0.25">
      <c r="A13" s="16" t="str">
        <f>HYPERLINK("#'5.1.1.3-4 Inorganic fert CO2'!A1", "5.1.1.3-4 Inorganic fert CO2")</f>
        <v>5.1.1.3-4 Inorganic fert CO2</v>
      </c>
      <c r="D13" s="10" t="s">
        <v>76</v>
      </c>
      <c r="E13" s="57">
        <f>DATE(YEAR(E12)+1,MONTH(E12),DAY(E12))-1</f>
        <v>45657</v>
      </c>
      <c r="F13" s="2" t="s">
        <v>15</v>
      </c>
      <c r="N13" s="37"/>
      <c r="O13" s="37"/>
    </row>
    <row r="14" spans="1:24" ht="20.100000000000001" customHeight="1" x14ac:dyDescent="0.25">
      <c r="A14" s="16" t="str">
        <f>HYPERLINK("#'5.2.1.1-2 Organic Fert N2O'!A1", "5.2.1.1-2 Organic Fert N2O")</f>
        <v>5.2.1.1-2 Organic Fert N2O</v>
      </c>
      <c r="N14" s="37"/>
      <c r="O14" s="37"/>
    </row>
    <row r="15" spans="1:24" ht="20.100000000000001" customHeight="1" x14ac:dyDescent="0.25">
      <c r="A15" s="16" t="str">
        <f>HYPERLINK("#'5.3.1.1-2 Lime CO2'!A1", "5.3.1.1-2 Lime CO2")</f>
        <v>5.3.1.1-2 Lime CO2</v>
      </c>
      <c r="N15" s="37"/>
      <c r="O15" s="37"/>
    </row>
    <row r="16" spans="1:24" ht="20.100000000000001" customHeight="1" x14ac:dyDescent="0.25">
      <c r="A16" s="16" t="str">
        <f>HYPERLINK("#'5.4.1.1-4 Atmos deposition'!A1", "5.4.1.1-4 Atmos deposition")</f>
        <v>5.4.1.1-4 Atmos deposition</v>
      </c>
      <c r="D16" s="6" t="s">
        <v>12</v>
      </c>
      <c r="N16" s="37"/>
      <c r="O16" s="37"/>
    </row>
    <row r="17" spans="1:25" ht="20.100000000000001" customHeight="1" x14ac:dyDescent="0.25">
      <c r="A17" s="16" t="str">
        <f>HYPERLINK("#'5.5.1.1-2 Leaching and runoff'!A1", "5.5.1.1-2 Leaching and runoff")</f>
        <v>5.5.1.1-2 Leaching and runoff</v>
      </c>
    </row>
    <row r="18" spans="1:25" ht="20.100000000000001" customHeight="1" x14ac:dyDescent="0.25">
      <c r="A18"/>
      <c r="D18" s="83" t="s">
        <v>14</v>
      </c>
      <c r="E18" s="78"/>
      <c r="F18" s="78"/>
      <c r="G18" s="74"/>
    </row>
    <row r="19" spans="1:25" ht="20.100000000000001" customHeight="1" x14ac:dyDescent="0.25">
      <c r="A19" s="17" t="s">
        <v>2</v>
      </c>
      <c r="D19" s="80" t="s">
        <v>64</v>
      </c>
      <c r="E19" s="77"/>
      <c r="F19" s="77"/>
      <c r="G19" s="75"/>
      <c r="N19" s="39"/>
    </row>
    <row r="20" spans="1:25" ht="20.100000000000001" customHeight="1" x14ac:dyDescent="0.25">
      <c r="A20" s="16" t="str">
        <f>HYPERLINK("#'Constants - Fertiliser'!A1", "Constants - Fertiliser")</f>
        <v>Constants - Fertiliser</v>
      </c>
      <c r="D20" s="1"/>
      <c r="E20" s="30"/>
      <c r="F20" s="2"/>
      <c r="N20" s="40"/>
    </row>
    <row r="21" spans="1:25" ht="20.100000000000001" customHeight="1" x14ac:dyDescent="0.25">
      <c r="A21" s="16" t="str">
        <f>HYPERLINK("#'Constants - Common'!A1", "Constants - Common")</f>
        <v>Constants - Common</v>
      </c>
      <c r="D21" s="1" t="s">
        <v>6</v>
      </c>
      <c r="E21" s="38" t="s">
        <v>95</v>
      </c>
      <c r="F21" s="2" t="s">
        <v>9</v>
      </c>
    </row>
    <row r="22" spans="1:25" ht="20.100000000000001" customHeight="1" x14ac:dyDescent="0.25">
      <c r="A22"/>
      <c r="D22" s="1" t="s">
        <v>21</v>
      </c>
      <c r="E22" s="38" t="s">
        <v>28</v>
      </c>
      <c r="F22" s="2" t="s">
        <v>9</v>
      </c>
      <c r="G22" s="1"/>
    </row>
    <row r="23" spans="1:25" ht="20.100000000000001" customHeight="1" x14ac:dyDescent="0.25">
      <c r="A23" s="16"/>
      <c r="D23" s="1" t="s">
        <v>7</v>
      </c>
      <c r="E23" s="38" t="s">
        <v>74</v>
      </c>
      <c r="F23" s="2" t="s">
        <v>9</v>
      </c>
    </row>
    <row r="24" spans="1:25" ht="20.100000000000001" customHeight="1" x14ac:dyDescent="0.25">
      <c r="A24"/>
      <c r="D24" s="1" t="s">
        <v>33</v>
      </c>
      <c r="E24" s="32">
        <v>307.7</v>
      </c>
      <c r="F24" s="2" t="s">
        <v>47</v>
      </c>
    </row>
    <row r="25" spans="1:25" ht="20.100000000000001" customHeight="1" x14ac:dyDescent="0.25">
      <c r="A25"/>
      <c r="D25" s="1" t="s">
        <v>55</v>
      </c>
      <c r="E25" s="32">
        <v>18</v>
      </c>
      <c r="F25" s="2" t="s">
        <v>10</v>
      </c>
      <c r="N25" s="40"/>
    </row>
    <row r="26" spans="1:25" ht="20.100000000000001" customHeight="1" x14ac:dyDescent="0.25">
      <c r="A26"/>
      <c r="D26" s="1" t="s">
        <v>56</v>
      </c>
      <c r="E26" s="32">
        <v>599</v>
      </c>
      <c r="F26" s="2" t="s">
        <v>11</v>
      </c>
    </row>
    <row r="27" spans="1:25" ht="20.100000000000001" customHeight="1" x14ac:dyDescent="0.25">
      <c r="A27"/>
      <c r="D27" s="10" t="s">
        <v>57</v>
      </c>
      <c r="E27" s="32">
        <v>1326</v>
      </c>
      <c r="F27" s="2" t="s">
        <v>11</v>
      </c>
    </row>
    <row r="28" spans="1:25" ht="20.100000000000001" customHeight="1" x14ac:dyDescent="0.25">
      <c r="A28"/>
      <c r="D28" s="1" t="s">
        <v>58</v>
      </c>
      <c r="E28" s="32">
        <v>7</v>
      </c>
      <c r="F28" s="2" t="s">
        <v>48</v>
      </c>
    </row>
    <row r="29" spans="1:25" ht="20.100000000000001" customHeight="1" x14ac:dyDescent="0.25">
      <c r="A29"/>
      <c r="D29" s="10" t="s">
        <v>54</v>
      </c>
      <c r="E29" s="47">
        <f>E26/E27</f>
        <v>0.45173453996983409</v>
      </c>
      <c r="F29" s="2"/>
    </row>
    <row r="30" spans="1:25" ht="20.100000000000001" customHeight="1" x14ac:dyDescent="0.25">
      <c r="A30"/>
      <c r="D30" s="10" t="s">
        <v>29</v>
      </c>
      <c r="E30" s="47" t="str">
        <f>Common_InputFunctions.Utility_LookupItemFromMinMax(E26,Table_SourceData_RainfallZones[Min rainfall],Table_SourceData_RainfallZones[Max rainfall],Table_SourceData_RainfallZones[Rainfall Zone])</f>
        <v>Low rainfall</v>
      </c>
      <c r="G30" s="31"/>
      <c r="L30" s="44"/>
      <c r="M30" s="44"/>
      <c r="N30" s="44"/>
      <c r="O30" s="44"/>
      <c r="P30" s="44"/>
      <c r="Q30" s="44"/>
      <c r="R30" s="44"/>
      <c r="S30" s="44"/>
      <c r="T30" s="44"/>
      <c r="U30" s="44"/>
      <c r="V30" s="44"/>
      <c r="W30" s="44"/>
      <c r="X30" s="44"/>
      <c r="Y30" s="44"/>
    </row>
    <row r="31" spans="1:25" ht="20.100000000000001" customHeight="1" x14ac:dyDescent="0.25">
      <c r="A31"/>
      <c r="D31" s="1" t="s">
        <v>8</v>
      </c>
      <c r="E31" s="47"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3"/>
      <c r="M31" s="43"/>
      <c r="N31" s="43"/>
      <c r="O31" s="43"/>
      <c r="P31" s="43"/>
      <c r="Q31" s="43"/>
      <c r="R31" s="43"/>
      <c r="S31" s="43"/>
      <c r="T31" s="43"/>
      <c r="U31" s="43"/>
      <c r="V31" s="43"/>
      <c r="W31" s="43"/>
      <c r="X31" s="43"/>
      <c r="Y31" s="43"/>
    </row>
    <row r="32" spans="1:25" ht="20.100000000000001" customHeight="1" x14ac:dyDescent="0.25">
      <c r="A32"/>
      <c r="D32" s="1" t="s">
        <v>71</v>
      </c>
      <c r="E32" s="47" t="str">
        <f>Common_InputFunctions.Utility_LookupValueInTable($E$31,Table_SourceData_WetDryZones[Climate zone],Table_SourceData_WetDryZones[Wet or Dry Zone])</f>
        <v>Dry climate zone</v>
      </c>
      <c r="F32" s="1"/>
      <c r="G32" s="30"/>
      <c r="L32" s="43"/>
      <c r="M32" s="43"/>
      <c r="N32" s="43"/>
      <c r="O32" s="43"/>
      <c r="P32" s="43"/>
      <c r="Q32" s="43"/>
      <c r="R32" s="43"/>
      <c r="S32" s="43"/>
      <c r="T32" s="43"/>
      <c r="U32" s="43"/>
      <c r="V32" s="43"/>
      <c r="W32" s="43"/>
      <c r="X32" s="43"/>
      <c r="Y32" s="43"/>
    </row>
    <row r="33" spans="1:25" ht="20.100000000000001" customHeight="1" x14ac:dyDescent="0.25">
      <c r="A33"/>
      <c r="D33" s="1" t="s">
        <v>46</v>
      </c>
      <c r="E33" s="47" t="str">
        <f>Common_InputFunctions.Utility_LookupItemFromMinMax(E25,Table_SourceData_TemperatureZones[Min MAT],Table_SourceData_TemperatureZones[Max MAT],Table_SourceData_TemperatureZones[Temperature Zone])</f>
        <v>Temperate</v>
      </c>
      <c r="G33" s="58"/>
      <c r="L33" s="43"/>
      <c r="M33" s="43"/>
      <c r="N33" s="43"/>
      <c r="O33" s="43"/>
      <c r="P33" s="43"/>
      <c r="Q33" s="43"/>
      <c r="R33" s="43"/>
      <c r="S33" s="43"/>
      <c r="T33" s="43"/>
      <c r="U33" s="43"/>
      <c r="V33" s="43"/>
      <c r="W33" s="43"/>
      <c r="X33" s="43"/>
      <c r="Y33" s="43"/>
    </row>
    <row r="34" spans="1:25" ht="20.100000000000001" customHeight="1" x14ac:dyDescent="0.25">
      <c r="A34"/>
      <c r="J34" s="52"/>
      <c r="K34" s="61"/>
      <c r="L34" s="43"/>
      <c r="M34" s="43"/>
      <c r="N34" s="43"/>
      <c r="O34" s="43"/>
      <c r="P34" s="43"/>
      <c r="Q34" s="43"/>
      <c r="R34" s="43"/>
      <c r="S34" s="43"/>
      <c r="T34" s="43"/>
      <c r="U34" s="43"/>
      <c r="V34" s="43"/>
      <c r="W34" s="43"/>
      <c r="X34" s="43"/>
      <c r="Y34" s="43"/>
    </row>
    <row r="35" spans="1:25" ht="20.100000000000001" customHeight="1" x14ac:dyDescent="0.25">
      <c r="A35"/>
      <c r="J35" s="52"/>
      <c r="K35" s="61"/>
      <c r="L35" s="43"/>
      <c r="M35" s="43"/>
      <c r="N35" s="43"/>
      <c r="O35" s="43"/>
      <c r="P35" s="43"/>
      <c r="Q35" s="43"/>
      <c r="R35" s="43"/>
      <c r="S35" s="43"/>
      <c r="T35" s="43"/>
      <c r="U35" s="43"/>
      <c r="V35" s="43"/>
      <c r="W35" s="43"/>
      <c r="X35" s="43"/>
      <c r="Y35" s="43"/>
    </row>
    <row r="36" spans="1:25" ht="20.100000000000001" customHeight="1" x14ac:dyDescent="0.25">
      <c r="A36"/>
      <c r="D36" s="59"/>
      <c r="E36" s="59"/>
      <c r="F36" s="60"/>
      <c r="G36" s="52"/>
      <c r="H36" s="52"/>
      <c r="I36" s="53"/>
      <c r="J36" s="52"/>
      <c r="K36" s="61"/>
      <c r="L36" s="43"/>
      <c r="M36" s="43"/>
      <c r="N36" s="43"/>
      <c r="O36" s="43"/>
      <c r="P36" s="43"/>
      <c r="Q36" s="43"/>
      <c r="R36" s="43"/>
      <c r="S36" s="43"/>
      <c r="T36" s="43"/>
      <c r="U36" s="43"/>
      <c r="V36" s="43"/>
      <c r="W36" s="43"/>
      <c r="X36" s="43"/>
      <c r="Y36" s="43"/>
    </row>
    <row r="37" spans="1:25" ht="20.100000000000001" customHeight="1" x14ac:dyDescent="0.25">
      <c r="A37"/>
      <c r="D37" s="59"/>
      <c r="E37" s="59"/>
      <c r="F37" s="60"/>
      <c r="G37" s="52"/>
      <c r="H37" s="52"/>
      <c r="I37" s="53"/>
      <c r="J37" s="52"/>
      <c r="K37" s="61"/>
      <c r="L37" s="43"/>
      <c r="M37" s="43"/>
      <c r="N37" s="43"/>
      <c r="O37" s="43"/>
      <c r="P37" s="43"/>
      <c r="Q37" s="43"/>
      <c r="R37" s="43"/>
      <c r="S37" s="43"/>
      <c r="T37" s="43"/>
      <c r="U37" s="43"/>
      <c r="V37" s="43"/>
      <c r="W37" s="43"/>
      <c r="X37" s="43"/>
      <c r="Y37" s="43"/>
    </row>
    <row r="38" spans="1:25" ht="20.100000000000001" customHeight="1" x14ac:dyDescent="0.25">
      <c r="A38"/>
      <c r="D38" s="59"/>
      <c r="E38" s="59"/>
      <c r="F38" s="60"/>
      <c r="G38" s="52"/>
      <c r="H38" s="52"/>
      <c r="I38" s="53"/>
      <c r="J38" s="52"/>
      <c r="K38" s="61"/>
      <c r="L38" s="43"/>
      <c r="M38" s="43"/>
      <c r="N38" s="43"/>
      <c r="O38" s="43"/>
      <c r="P38" s="43"/>
      <c r="Q38" s="43"/>
      <c r="R38" s="43"/>
      <c r="S38" s="43"/>
      <c r="T38" s="43"/>
      <c r="U38" s="43"/>
      <c r="V38" s="43"/>
      <c r="W38" s="43"/>
      <c r="X38" s="43"/>
      <c r="Y38" s="43"/>
    </row>
    <row r="39" spans="1:25" ht="20.100000000000001" customHeight="1" x14ac:dyDescent="0.25">
      <c r="A39"/>
      <c r="D39" s="59"/>
      <c r="E39" s="59"/>
      <c r="F39" s="60"/>
      <c r="G39" s="52"/>
      <c r="H39" s="52"/>
      <c r="I39" s="53"/>
      <c r="J39" s="52"/>
      <c r="K39" s="61"/>
      <c r="L39" s="43"/>
      <c r="M39" s="43"/>
      <c r="N39" s="43"/>
      <c r="O39" s="43"/>
      <c r="P39" s="43"/>
      <c r="Q39" s="43"/>
      <c r="R39" s="43"/>
      <c r="S39" s="43"/>
      <c r="T39" s="43"/>
      <c r="U39" s="43"/>
      <c r="V39" s="43"/>
      <c r="W39" s="43"/>
      <c r="X39" s="43"/>
      <c r="Y39" s="43"/>
    </row>
    <row r="40" spans="1:25" ht="20.100000000000001" customHeight="1" x14ac:dyDescent="0.25">
      <c r="A40"/>
      <c r="D40" s="62"/>
      <c r="E40" s="62"/>
      <c r="F40" s="62"/>
      <c r="G40" s="63"/>
      <c r="H40" s="64"/>
      <c r="I40" s="64"/>
      <c r="J40" s="64"/>
      <c r="K40" s="64"/>
      <c r="L40" s="45"/>
      <c r="M40" s="45"/>
      <c r="N40" s="45"/>
      <c r="O40" s="45"/>
      <c r="P40" s="45"/>
      <c r="Q40" s="45"/>
      <c r="R40" s="45"/>
      <c r="S40" s="45"/>
      <c r="T40" s="45"/>
      <c r="U40" s="45"/>
      <c r="V40" s="45"/>
      <c r="W40" s="45"/>
      <c r="X40" s="45"/>
      <c r="Y40" s="4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65"/>
      <c r="E47" s="65"/>
      <c r="F47" s="65"/>
      <c r="G47" s="65"/>
      <c r="H47" s="6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66"/>
      <c r="E51" s="67"/>
      <c r="F51" s="67"/>
      <c r="G51" s="67"/>
      <c r="H51" s="68"/>
    </row>
    <row r="52" spans="4:8" ht="20.100000000000001" customHeight="1" x14ac:dyDescent="0.25"/>
    <row r="53" spans="4:8" ht="20.100000000000001" customHeight="1" x14ac:dyDescent="0.25"/>
    <row r="54" spans="4:8" ht="20.100000000000001" customHeight="1" x14ac:dyDescent="0.25">
      <c r="G54" s="69"/>
    </row>
    <row r="55" spans="4:8" ht="20.100000000000001" customHeight="1" x14ac:dyDescent="0.25">
      <c r="D55" s="6"/>
    </row>
    <row r="56" spans="4:8" ht="20.100000000000001" customHeight="1" x14ac:dyDescent="0.25"/>
    <row r="57" spans="4:8" ht="20.100000000000001" customHeight="1" x14ac:dyDescent="0.25">
      <c r="D57" s="20"/>
      <c r="F57" s="70"/>
    </row>
    <row r="58" spans="4:8" ht="20.100000000000001" customHeight="1" x14ac:dyDescent="0.25">
      <c r="D58" s="1"/>
      <c r="E58" s="71"/>
    </row>
    <row r="59" spans="4:8" ht="20.100000000000001" customHeight="1" x14ac:dyDescent="0.25">
      <c r="D59" s="1"/>
      <c r="E59" s="71"/>
    </row>
    <row r="60" spans="4:8" ht="20.100000000000001" customHeight="1" x14ac:dyDescent="0.25">
      <c r="D60" s="1"/>
      <c r="E60" s="72"/>
    </row>
    <row r="61" spans="4:8" ht="20.100000000000001" customHeight="1" x14ac:dyDescent="0.25">
      <c r="D61" s="1"/>
    </row>
    <row r="62" spans="4:8" ht="20.100000000000001" customHeight="1" x14ac:dyDescent="0.25"/>
    <row r="63" spans="4:8" ht="20.100000000000001" customHeight="1" x14ac:dyDescent="0.25">
      <c r="D63" s="20"/>
    </row>
    <row r="64" spans="4:8" ht="20.100000000000001" customHeight="1" x14ac:dyDescent="0.25">
      <c r="D64" s="1"/>
      <c r="E64" s="71"/>
    </row>
    <row r="65" spans="4:9" ht="20.100000000000001" customHeight="1" x14ac:dyDescent="0.25">
      <c r="D65" s="1"/>
      <c r="E65" s="71"/>
    </row>
    <row r="66" spans="4:9" ht="20.100000000000001" customHeight="1" x14ac:dyDescent="0.25">
      <c r="D66" s="1"/>
      <c r="E66" s="72"/>
    </row>
    <row r="67" spans="4:9" ht="20.100000000000001" customHeight="1" x14ac:dyDescent="0.25"/>
    <row r="68" spans="4:9" ht="20.100000000000001" customHeight="1" x14ac:dyDescent="0.25"/>
    <row r="69" spans="4:9" ht="20.100000000000001" customHeight="1" x14ac:dyDescent="0.25">
      <c r="D69" s="51"/>
      <c r="E69" s="51"/>
      <c r="F69" s="51"/>
      <c r="G69" s="51"/>
      <c r="H69" s="51"/>
      <c r="I69" s="51"/>
    </row>
    <row r="70" spans="4:9" ht="20.100000000000001" customHeight="1" x14ac:dyDescent="0.25">
      <c r="D70" s="51"/>
      <c r="E70" s="51"/>
      <c r="F70" s="51"/>
      <c r="G70" s="51"/>
      <c r="H70" s="51"/>
      <c r="I70" s="51"/>
    </row>
    <row r="71" spans="4:9" ht="20.100000000000001" customHeight="1" x14ac:dyDescent="0.25">
      <c r="D71" s="51"/>
      <c r="E71" s="51"/>
      <c r="F71" s="51"/>
      <c r="G71" s="51"/>
      <c r="H71" s="51"/>
      <c r="I71" s="51"/>
    </row>
    <row r="72" spans="4:9" ht="20.100000000000001" customHeight="1" x14ac:dyDescent="0.25">
      <c r="D72" s="51"/>
      <c r="E72" s="51"/>
      <c r="F72" s="51"/>
      <c r="G72" s="51"/>
      <c r="H72" s="51"/>
      <c r="I72" s="51"/>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3"/>
    </row>
    <row r="79" spans="4:9" ht="20.100000000000001" customHeight="1" x14ac:dyDescent="0.25">
      <c r="D79" s="73"/>
    </row>
    <row r="80" spans="4:9" ht="20.100000000000001" customHeight="1" x14ac:dyDescent="0.25">
      <c r="D80" s="73"/>
    </row>
    <row r="81" spans="4:4" ht="20.100000000000001" customHeight="1" x14ac:dyDescent="0.25">
      <c r="D81" s="73"/>
    </row>
    <row r="82" spans="4:4" ht="20.100000000000001" customHeight="1" x14ac:dyDescent="0.25">
      <c r="D82" s="7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6E0D3-8A3B-43CA-87A7-A66848970C97}">
  <dimension ref="D4:H21"/>
  <sheetViews>
    <sheetView workbookViewId="0">
      <selection activeCell="F27" sqref="F27"/>
    </sheetView>
  </sheetViews>
  <sheetFormatPr defaultRowHeight="15" x14ac:dyDescent="0.25"/>
  <cols>
    <col min="4" max="4" width="35.42578125" customWidth="1"/>
    <col min="5" max="5" width="27.28515625" customWidth="1"/>
    <col min="6" max="6" width="39.42578125" customWidth="1"/>
  </cols>
  <sheetData>
    <row r="4" spans="4:8" x14ac:dyDescent="0.25">
      <c r="D4" t="s">
        <v>187</v>
      </c>
    </row>
    <row r="6" spans="4:8" x14ac:dyDescent="0.25">
      <c r="D6" s="46" t="s">
        <v>188</v>
      </c>
      <c r="E6" s="46" t="s">
        <v>189</v>
      </c>
      <c r="F6" s="46" t="s">
        <v>190</v>
      </c>
    </row>
    <row r="7" spans="4:8" ht="15.75" x14ac:dyDescent="0.25">
      <c r="D7" s="3"/>
      <c r="E7" s="106"/>
      <c r="F7" s="106"/>
      <c r="H7" cm="1">
        <f t="array" ref="H7">[0]!Fuel_InputFunctions.Fuel_TotalConsumption(#REF!,#REF!, D7,#REF!, F7)</f>
        <v>0</v>
      </c>
    </row>
    <row r="8" spans="4:8" ht="15.75" x14ac:dyDescent="0.25">
      <c r="D8" s="107"/>
      <c r="E8" s="106"/>
      <c r="F8" s="106"/>
      <c r="H8" cm="1">
        <f t="array" ref="H8">Fuel_InputFunctions.Fuel_TotalConsumption(#REF!, #REF!, D8, #REF!,F8)</f>
        <v>0</v>
      </c>
    </row>
    <row r="9" spans="4:8" ht="15.75" x14ac:dyDescent="0.25">
      <c r="D9" s="107"/>
      <c r="E9" s="106"/>
      <c r="F9" s="106"/>
      <c r="H9" cm="1">
        <f t="array" ref="H9">Fuel_InputFunctions.Fuel_TotalConsumption(#REF!, #REF!, D9, #REF!,F9)</f>
        <v>0</v>
      </c>
    </row>
    <row r="10" spans="4:8" ht="15.75" x14ac:dyDescent="0.25">
      <c r="D10" s="107"/>
      <c r="E10" s="106"/>
      <c r="F10" s="106"/>
      <c r="H10" cm="1">
        <f t="array" ref="H10">Fuel_InputFunctions.Fuel_TotalConsumption(#REF!, #REF!, D10, #REF!,F10)</f>
        <v>0</v>
      </c>
    </row>
    <row r="11" spans="4:8" ht="15.75" x14ac:dyDescent="0.25">
      <c r="D11" s="107"/>
      <c r="E11" s="106"/>
      <c r="F11" s="106"/>
      <c r="H11" cm="1">
        <f t="array" ref="H11">Fuel_InputFunctions.Fuel_TotalConsumption(#REF!, #REF!, D11, #REF!,F11)</f>
        <v>0</v>
      </c>
    </row>
    <row r="12" spans="4:8" ht="15.75" x14ac:dyDescent="0.25">
      <c r="D12" s="107"/>
      <c r="E12" s="106"/>
      <c r="F12" s="106"/>
      <c r="H12" cm="1">
        <f t="array" ref="H12">Fuel_InputFunctions.Fuel_TotalConsumption(#REF!, #REF!, D12, #REF!,F12)</f>
        <v>0</v>
      </c>
    </row>
    <row r="13" spans="4:8" ht="15.75" x14ac:dyDescent="0.25">
      <c r="D13" s="107"/>
      <c r="E13" s="106"/>
      <c r="F13" s="106"/>
      <c r="H13" cm="1">
        <f t="array" ref="H13">Fuel_InputFunctions.Fuel_TotalConsumption(#REF!, #REF!, D13, #REF!,F13)</f>
        <v>0</v>
      </c>
    </row>
    <row r="14" spans="4:8" ht="15.75" x14ac:dyDescent="0.25">
      <c r="D14" s="107"/>
      <c r="E14" s="106"/>
      <c r="F14" s="106"/>
      <c r="H14" cm="1">
        <f t="array" ref="H14">Fuel_InputFunctions.Fuel_TotalConsumption(#REF!, #REF!, D14, #REF!,F14)</f>
        <v>0</v>
      </c>
    </row>
    <row r="15" spans="4:8" ht="15.75" x14ac:dyDescent="0.25">
      <c r="D15" s="108"/>
      <c r="E15" s="109"/>
      <c r="F15" s="109"/>
      <c r="H15" cm="1">
        <f t="array" ref="H15">Fuel_InputFunctions.Fuel_TotalConsumption(#REF!, #REF!, D15, #REF!,F15)</f>
        <v>0</v>
      </c>
    </row>
    <row r="16" spans="4:8" ht="15.75" x14ac:dyDescent="0.25">
      <c r="D16" s="108"/>
      <c r="E16" s="109"/>
      <c r="F16" s="109"/>
      <c r="H16" cm="1">
        <f t="array" ref="H16">Fuel_InputFunctions.Fuel_TotalConsumption(#REF!, #REF!, D16, #REF!,F16)</f>
        <v>0</v>
      </c>
    </row>
    <row r="17" spans="4:8" ht="15.75" x14ac:dyDescent="0.25">
      <c r="D17" s="107"/>
      <c r="E17" s="106"/>
      <c r="F17" s="106"/>
      <c r="H17" cm="1">
        <f t="array" ref="H17">Fuel_InputFunctions.Fuel_TotalConsumption(#REF!, #REF!, D17, #REF!,F17)</f>
        <v>0</v>
      </c>
    </row>
    <row r="18" spans="4:8" ht="15.75" x14ac:dyDescent="0.25">
      <c r="D18" s="107"/>
      <c r="E18" s="106"/>
      <c r="F18" s="106"/>
      <c r="H18" cm="1">
        <f t="array" ref="H18">Fuel_InputFunctions.Fuel_TotalConsumption(#REF!, #REF!, D18, #REF!,F18)</f>
        <v>0</v>
      </c>
    </row>
    <row r="19" spans="4:8" ht="15.75" x14ac:dyDescent="0.25">
      <c r="D19" s="108"/>
      <c r="E19" s="109"/>
      <c r="F19" s="109"/>
      <c r="H19" cm="1">
        <f t="array" ref="H19">Fuel_InputFunctions.Fuel_TotalConsumption(#REF!, #REF!, D19, #REF!,F19)</f>
        <v>0</v>
      </c>
    </row>
    <row r="20" spans="4:8" ht="15.75" x14ac:dyDescent="0.25">
      <c r="D20" s="107"/>
      <c r="E20" s="106"/>
      <c r="F20" s="106"/>
      <c r="H20" cm="1">
        <f t="array" ref="H20">Fuel_InputFunctions.Fuel_TotalConsumption(#REF!, #REF!, D20, #REF!,F20)</f>
        <v>0</v>
      </c>
    </row>
    <row r="21" spans="4:8" ht="15.75" x14ac:dyDescent="0.25">
      <c r="D21" s="107"/>
      <c r="E21" s="106"/>
      <c r="F21" s="106"/>
      <c r="H21" cm="1">
        <f t="array" ref="H21">Fuel_InputFunctions.Fuel_TotalConsumption(#REF!, #REF!, D21, #REF!,F21)</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3482-1C84-45E1-B4DB-F4AC5A99BE11}">
  <dimension ref="A1:AI165"/>
  <sheetViews>
    <sheetView showGridLines="0" zoomScaleNormal="100" workbookViewId="0">
      <selection activeCell="D7" sqref="D7"/>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104</v>
      </c>
      <c r="AG1"/>
      <c r="AH1"/>
      <c r="AI1"/>
    </row>
    <row r="2" spans="1:35" s="9" customFormat="1" ht="20.100000000000001" customHeight="1" x14ac:dyDescent="0.25">
      <c r="A2"/>
      <c r="AG2"/>
      <c r="AH2"/>
      <c r="AI2"/>
    </row>
    <row r="3" spans="1:35" ht="20.100000000000001" customHeight="1" x14ac:dyDescent="0.25">
      <c r="A3" s="16"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6" t="str">
        <f>HYPERLINK("#'Overview'!A1", "Overview")</f>
        <v>Overview</v>
      </c>
    </row>
    <row r="5" spans="1:35" ht="20.100000000000001" customHeight="1" x14ac:dyDescent="0.25">
      <c r="A5" s="16" t="str">
        <f>HYPERLINK("#'Results'!A1", "Results")</f>
        <v>Results</v>
      </c>
      <c r="D5" s="6" t="str" cm="1">
        <f t="array" ref="D5">Fertiliser_SourceData.Fertiliser_ChemicalCompoundElements_Title()</f>
        <v>Common inorganic fertilisers</v>
      </c>
      <c r="E5" s="95"/>
      <c r="F5" s="95"/>
      <c r="G5" s="95"/>
      <c r="H5" s="95"/>
      <c r="I5" s="95"/>
      <c r="J5" s="95"/>
    </row>
    <row r="6" spans="1:35" ht="20.100000000000001" customHeight="1" x14ac:dyDescent="0.25">
      <c r="A6" s="1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1</v>
      </c>
      <c r="D7" s="50" t="str" cm="1">
        <f t="array" ref="D7:D18">Fertiliser_SourceData.Fertiliser_ChemicalCompoundElements_Variation()</f>
        <v>VARIATION ON SOURCE</v>
      </c>
    </row>
    <row r="8" spans="1:35" ht="20.100000000000001" customHeight="1" x14ac:dyDescent="0.25">
      <c r="A8" s="16" t="str">
        <f>HYPERLINK("#'Input - Site'!A1", "Site")</f>
        <v>Site</v>
      </c>
      <c r="D8" s="50"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50" t="str">
        <v>Added extra fertiliser types and generic chemical compounds to allow for custom NPKS blends</v>
      </c>
    </row>
    <row r="10" spans="1:35" ht="20.100000000000001" customHeight="1" x14ac:dyDescent="0.25">
      <c r="A10" s="16"/>
      <c r="D10" s="50" t="str">
        <v>Added extra 'Scope 3 definition' column to allow mapping with scope 3 data</v>
      </c>
    </row>
    <row r="11" spans="1:35" ht="20.100000000000001" customHeight="1" x14ac:dyDescent="0.25">
      <c r="A11" s="18" t="s">
        <v>67</v>
      </c>
      <c r="D11" s="50" t="str">
        <v>Added 'Source' column</v>
      </c>
    </row>
    <row r="12" spans="1:35" ht="20.100000000000001" customHeight="1" x14ac:dyDescent="0.25">
      <c r="A12" s="16" t="str">
        <f>HYPERLINK("#'5.1.1.1-2 Inorganic Fert N2O'!A1", "5.1.1.1-2 Inorganic Fert N2O")</f>
        <v>5.1.1.1-2 Inorganic Fert N2O</v>
      </c>
      <c r="D12" s="50" t="str">
        <v>Combined data from Table A.2.2.3 and Table A.2.2.4 into one table to aid lookup.</v>
      </c>
    </row>
    <row r="13" spans="1:35" ht="20.100000000000001" customHeight="1" x14ac:dyDescent="0.25">
      <c r="A13" s="16" t="str">
        <f>HYPERLINK("#'5.1.1.3-4 Inorganic fert CO2'!A1", "5.1.1.3-4 Inorganic fert CO2")</f>
        <v>5.1.1.3-4 Inorganic fert CO2</v>
      </c>
      <c r="D13" s="50" t="str">
        <v>Excluded 'References' column</v>
      </c>
    </row>
    <row r="14" spans="1:35" ht="20.100000000000001" customHeight="1" x14ac:dyDescent="0.25">
      <c r="A14" s="16" t="str">
        <f>HYPERLINK("#'5.2.1.1-2 Organic Fert N2O'!A1", "5.2.1.1-2 Organic Fert N2O")</f>
        <v>5.2.1.1-2 Organic Fert N2O</v>
      </c>
      <c r="D14" s="50" t="str">
        <v>Excluded 'Ammonium sulfate' as it is a duplicate of 'Sulphate of ammonia (SOA)'</v>
      </c>
    </row>
    <row r="15" spans="1:35" ht="20.100000000000001" customHeight="1" x14ac:dyDescent="0.25">
      <c r="A15" s="16" t="str">
        <f>HYPERLINK("#'5.3.1.1-2 Lime CO2'!A1", "5.3.1.1-2 Lime CO2")</f>
        <v>5.3.1.1-2 Lime CO2</v>
      </c>
      <c r="D15" s="50" t="str">
        <v>Excluded 'Calcium nitrate' as no scope 3 value available.</v>
      </c>
    </row>
    <row r="16" spans="1:35" ht="20.100000000000001" customHeight="1" x14ac:dyDescent="0.25">
      <c r="A16" s="16" t="str">
        <f>HYPERLINK("#'5.4.1.1-4 Atmos deposition'!A1", "5.4.1.1-4 Atmos deposition")</f>
        <v>5.4.1.1-4 Atmos deposition</v>
      </c>
      <c r="D16" s="50" t="str">
        <v>Set 'Nitrogen - Generic' basis as 'Urea-based fertilisers, as urea is the most commonly used form of nitrogen in Australian fertilisers</v>
      </c>
    </row>
    <row r="17" spans="1:18" ht="20.100000000000001" customHeight="1" x14ac:dyDescent="0.25">
      <c r="A17" s="16" t="str">
        <f>HYPERLINK("#'5.5.1.1-2 Leaching and runoff'!A1", "5.5.1.1-2 Leaching and runoff")</f>
        <v>5.5.1.1-2 Leaching and runoff</v>
      </c>
      <c r="D17" s="50"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row>
    <row r="18" spans="1:18" ht="20.100000000000001" customHeight="1" x14ac:dyDescent="0.25">
      <c r="D18" s="50"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row>
    <row r="19" spans="1:18" ht="20.100000000000001" customHeight="1" x14ac:dyDescent="0.25">
      <c r="A19" s="17" t="s">
        <v>2</v>
      </c>
      <c r="D19" t="s">
        <v>107</v>
      </c>
      <c r="E19" t="s">
        <v>122</v>
      </c>
      <c r="F19" t="s">
        <v>121</v>
      </c>
      <c r="G19" t="s">
        <v>105</v>
      </c>
      <c r="H19" t="s">
        <v>123</v>
      </c>
      <c r="I19" t="s">
        <v>106</v>
      </c>
      <c r="K19" s="36" t="s">
        <v>107</v>
      </c>
      <c r="L19" s="36" t="s">
        <v>122</v>
      </c>
      <c r="Q19" s="36" t="s">
        <v>107</v>
      </c>
      <c r="R19" s="36" t="s">
        <v>122</v>
      </c>
    </row>
    <row r="20" spans="1:18" ht="20.100000000000001" customHeight="1" x14ac:dyDescent="0.25">
      <c r="A20" s="105" t="str">
        <f>HYPERLINK("#'Constants - Fertiliser'!A1", "Constants - Fertiliser")</f>
        <v>Constants - Fertiliser</v>
      </c>
      <c r="D20" s="96" t="str" cm="1">
        <f t="array" ref="D20">Common_InputFunctions.Utility_DisplayArrayInTable(Fertiliser_SourceData.Fertiliser_ChemicalCompoundElements_Data(),Table_Fertiliser_ChemicalCompounds[[#Headers],[Fertiliser type f]], 0)</f>
        <v>Monoammonium phosphate (MAP)</v>
      </c>
      <c r="E20" s="96" cm="1">
        <f t="array" ref="E20">Common_InputFunctions.Utility_DisplayArrayInTable(Fertiliser_SourceData.Fertiliser_ChemicalCompoundElements_Data(),Table_Fertiliser_ChemicalCompounds[[#Headers],[Fertiliser type f]], 0)</f>
        <v>0.1</v>
      </c>
      <c r="F20" s="96" cm="1">
        <f t="array" ref="F20">Common_InputFunctions.Utility_DisplayArrayInTable(Fertiliser_SourceData.Fertiliser_ChemicalCompoundElements_Data(),Table_Fertiliser_ChemicalCompounds[[#Headers],[Fertiliser type f]], 0)</f>
        <v>0</v>
      </c>
      <c r="G20" s="96" t="str" cm="1">
        <f t="array" ref="G20">Common_InputFunctions.Utility_DisplayArrayInTable(Fertiliser_SourceData.Fertiliser_ChemicalCompoundElements_Data(),Table_Fertiliser_ChemicalCompounds[[#Headers],[Fertiliser type f]], 0)</f>
        <v>Ammonium-based fertilisers</v>
      </c>
      <c r="H20" s="96" t="str" cm="1">
        <f t="array" ref="H20">Common_InputFunctions.Utility_DisplayArrayInTable(Fertiliser_SourceData.Fertiliser_ChemicalCompoundElements_Data(),Table_Fertiliser_ChemicalCompounds[[#Headers],[Fertiliser type f]], 0)</f>
        <v>Monoammonium phosphate (MAP)</v>
      </c>
      <c r="I20" s="96"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row>
    <row r="21" spans="1:18" ht="20.100000000000001" customHeight="1" x14ac:dyDescent="0.25">
      <c r="A21" s="16" t="str">
        <f>HYPERLINK("#'Constants - Common'!A1", "Constants - Common")</f>
        <v>Constants - Common</v>
      </c>
      <c r="D21" s="96" t="str" cm="1">
        <f t="array" ref="D21">Common_InputFunctions.Utility_DisplayArrayInTable(Fertiliser_SourceData.Fertiliser_ChemicalCompoundElements_Data(),Table_Fertiliser_ChemicalCompounds[[#Headers],[Fertiliser type f]], 0)</f>
        <v>Diammonium phosphate (DAP)</v>
      </c>
      <c r="E21" s="96" cm="1">
        <f t="array" ref="E21">Common_InputFunctions.Utility_DisplayArrayInTable(Fertiliser_SourceData.Fertiliser_ChemicalCompoundElements_Data(),Table_Fertiliser_ChemicalCompounds[[#Headers],[Fertiliser type f]], 0)</f>
        <v>0.18</v>
      </c>
      <c r="F21" s="96" cm="1">
        <f t="array" ref="F21">Common_InputFunctions.Utility_DisplayArrayInTable(Fertiliser_SourceData.Fertiliser_ChemicalCompoundElements_Data(),Table_Fertiliser_ChemicalCompounds[[#Headers],[Fertiliser type f]], 0)</f>
        <v>0</v>
      </c>
      <c r="G21" s="96" t="str" cm="1">
        <f t="array" ref="G21">Common_InputFunctions.Utility_DisplayArrayInTable(Fertiliser_SourceData.Fertiliser_ChemicalCompoundElements_Data(),Table_Fertiliser_ChemicalCompounds[[#Headers],[Fertiliser type f]], 0)</f>
        <v>Ammonium-based fertilisers</v>
      </c>
      <c r="H21" s="96" t="str" cm="1">
        <f t="array" ref="H21">Common_InputFunctions.Utility_DisplayArrayInTable(Fertiliser_SourceData.Fertiliser_ChemicalCompoundElements_Data(),Table_Fertiliser_ChemicalCompounds[[#Headers],[Fertiliser type f]], 0)</f>
        <v>Diammonium phosphate (DAP)</v>
      </c>
      <c r="I21" s="96"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row>
    <row r="22" spans="1:18" ht="20.100000000000001" customHeight="1" x14ac:dyDescent="0.25">
      <c r="D22" s="96" t="str" cm="1">
        <f t="array" ref="D22">Common_InputFunctions.Utility_DisplayArrayInTable(Fertiliser_SourceData.Fertiliser_ChemicalCompoundElements_Data(),Table_Fertiliser_ChemicalCompounds[[#Headers],[Fertiliser type f]], 0)</f>
        <v>Urea</v>
      </c>
      <c r="E22" s="96" cm="1">
        <f t="array" ref="E22">Common_InputFunctions.Utility_DisplayArrayInTable(Fertiliser_SourceData.Fertiliser_ChemicalCompoundElements_Data(),Table_Fertiliser_ChemicalCompounds[[#Headers],[Fertiliser type f]], 0)</f>
        <v>0.46</v>
      </c>
      <c r="F22" s="96" cm="1">
        <f t="array" ref="F22">Common_InputFunctions.Utility_DisplayArrayInTable(Fertiliser_SourceData.Fertiliser_ChemicalCompoundElements_Data(),Table_Fertiliser_ChemicalCompounds[[#Headers],[Fertiliser type f]], 0)</f>
        <v>1</v>
      </c>
      <c r="G22" s="96" t="str" cm="1">
        <f t="array" ref="G22">Common_InputFunctions.Utility_DisplayArrayInTable(Fertiliser_SourceData.Fertiliser_ChemicalCompoundElements_Data(),Table_Fertiliser_ChemicalCompounds[[#Headers],[Fertiliser type f]], 0)</f>
        <v>Urea-based fertilisers</v>
      </c>
      <c r="H22" s="96" t="str" cm="1">
        <f t="array" ref="H22">Common_InputFunctions.Utility_DisplayArrayInTable(Fertiliser_SourceData.Fertiliser_ChemicalCompoundElements_Data(),Table_Fertiliser_ChemicalCompounds[[#Headers],[Fertiliser type f]], 0)</f>
        <v>Urea</v>
      </c>
      <c r="I22" s="96"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row>
    <row r="23" spans="1:18" ht="20.100000000000001" customHeight="1" x14ac:dyDescent="0.25">
      <c r="A23" s="16"/>
      <c r="D23" s="96" t="str" cm="1">
        <f t="array" ref="D23">Common_InputFunctions.Utility_DisplayArrayInTable(Fertiliser_SourceData.Fertiliser_ChemicalCompoundElements_Data(),Table_Fertiliser_ChemicalCompounds[[#Headers],[Fertiliser type f]], 0)</f>
        <v>Sulphate of ammonia (SOA)</v>
      </c>
      <c r="E23" s="96" cm="1">
        <f t="array" ref="E23">Common_InputFunctions.Utility_DisplayArrayInTable(Fertiliser_SourceData.Fertiliser_ChemicalCompoundElements_Data(),Table_Fertiliser_ChemicalCompounds[[#Headers],[Fertiliser type f]], 0)</f>
        <v>0.21</v>
      </c>
      <c r="F23" s="96" cm="1">
        <f t="array" ref="F23">Common_InputFunctions.Utility_DisplayArrayInTable(Fertiliser_SourceData.Fertiliser_ChemicalCompoundElements_Data(),Table_Fertiliser_ChemicalCompounds[[#Headers],[Fertiliser type f]], 0)</f>
        <v>0</v>
      </c>
      <c r="G23" s="96" t="str" cm="1">
        <f t="array" ref="G23">Common_InputFunctions.Utility_DisplayArrayInTable(Fertiliser_SourceData.Fertiliser_ChemicalCompoundElements_Data(),Table_Fertiliser_ChemicalCompounds[[#Headers],[Fertiliser type f]], 0)</f>
        <v>Ammonium-based fertilisers</v>
      </c>
      <c r="H23" s="96" t="str" cm="1">
        <f t="array" ref="H23">Common_InputFunctions.Utility_DisplayArrayInTable(Fertiliser_SourceData.Fertiliser_ChemicalCompoundElements_Data(),Table_Fertiliser_ChemicalCompounds[[#Headers],[Fertiliser type f]], 0)</f>
        <v>Sulphate of ammonia (SOA)</v>
      </c>
      <c r="I23" s="96"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row>
    <row r="24" spans="1:18" ht="20.100000000000001" customHeight="1" x14ac:dyDescent="0.25">
      <c r="D24" s="96" t="str" cm="1">
        <f t="array" ref="D24">Common_InputFunctions.Utility_DisplayArrayInTable(Fertiliser_SourceData.Fertiliser_ChemicalCompoundElements_Data(),Table_Fertiliser_ChemicalCompounds[[#Headers],[Fertiliser type f]], 0)</f>
        <v>Urea-ammonium nitrate (UAN)</v>
      </c>
      <c r="E24" s="96" cm="1">
        <f t="array" ref="E24">Common_InputFunctions.Utility_DisplayArrayInTable(Fertiliser_SourceData.Fertiliser_ChemicalCompoundElements_Data(),Table_Fertiliser_ChemicalCompounds[[#Headers],[Fertiliser type f]], 0)</f>
        <v>0.32</v>
      </c>
      <c r="F24" s="96" cm="1">
        <f t="array" ref="F24">Common_InputFunctions.Utility_DisplayArrayInTable(Fertiliser_SourceData.Fertiliser_ChemicalCompoundElements_Data(),Table_Fertiliser_ChemicalCompounds[[#Headers],[Fertiliser type f]], 0)</f>
        <v>0.35</v>
      </c>
      <c r="G24" s="96" t="str" cm="1">
        <f t="array" ref="G24">Common_InputFunctions.Utility_DisplayArrayInTable(Fertiliser_SourceData.Fertiliser_ChemicalCompoundElements_Data(),Table_Fertiliser_ChemicalCompounds[[#Headers],[Fertiliser type f]], 0)</f>
        <v>Urea-based fertilisers</v>
      </c>
      <c r="H24" s="96" t="str" cm="1">
        <f t="array" ref="H24">Common_InputFunctions.Utility_DisplayArrayInTable(Fertiliser_SourceData.Fertiliser_ChemicalCompoundElements_Data(),Table_Fertiliser_ChemicalCompounds[[#Headers],[Fertiliser type f]], 0)</f>
        <v>Urea-ammonium nitrate (UAN)</v>
      </c>
      <c r="I24" s="96"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18" ht="20.100000000000001" customHeight="1" x14ac:dyDescent="0.25">
      <c r="D25" s="96" t="str" cm="1">
        <f t="array" ref="D25">Common_InputFunctions.Utility_DisplayArrayInTable(Fertiliser_SourceData.Fertiliser_ChemicalCompoundElements_Data(),Table_Fertiliser_ChemicalCompounds[[#Headers],[Fertiliser type f]], 0)</f>
        <v>Ammonium nitrate (AN)</v>
      </c>
      <c r="E25" s="96" cm="1">
        <f t="array" ref="E25">Common_InputFunctions.Utility_DisplayArrayInTable(Fertiliser_SourceData.Fertiliser_ChemicalCompoundElements_Data(),Table_Fertiliser_ChemicalCompounds[[#Headers],[Fertiliser type f]], 0)</f>
        <v>0.33700000000000002</v>
      </c>
      <c r="F25" s="96" cm="1">
        <f t="array" ref="F25">Common_InputFunctions.Utility_DisplayArrayInTable(Fertiliser_SourceData.Fertiliser_ChemicalCompoundElements_Data(),Table_Fertiliser_ChemicalCompounds[[#Headers],[Fertiliser type f]], 0)</f>
        <v>0</v>
      </c>
      <c r="G25" s="96" t="str" cm="1">
        <f t="array" ref="G25">Common_InputFunctions.Utility_DisplayArrayInTable(Fertiliser_SourceData.Fertiliser_ChemicalCompoundElements_Data(),Table_Fertiliser_ChemicalCompounds[[#Headers],[Fertiliser type f]], 0)</f>
        <v>Ammonium-nitrate based fertilisers</v>
      </c>
      <c r="H25" s="96" t="str" cm="1">
        <f t="array" ref="H25">Common_InputFunctions.Utility_DisplayArrayInTable(Fertiliser_SourceData.Fertiliser_ChemicalCompoundElements_Data(),Table_Fertiliser_ChemicalCompounds[[#Headers],[Fertiliser type f]], 0)</f>
        <v>Ammonium nitrate (AN)</v>
      </c>
      <c r="I25" s="96"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18" ht="20.100000000000001" customHeight="1" x14ac:dyDescent="0.25">
      <c r="D26" s="96" t="str" cm="1">
        <f t="array" ref="D26">Common_InputFunctions.Utility_DisplayArrayInTable(Fertiliser_SourceData.Fertiliser_ChemicalCompoundElements_Data(),Table_Fertiliser_ChemicalCompounds[[#Headers],[Fertiliser type f]], 0)</f>
        <v>Calcium ammonium nitrate (CAN)</v>
      </c>
      <c r="E26" s="96" cm="1">
        <f t="array" ref="E26">Common_InputFunctions.Utility_DisplayArrayInTable(Fertiliser_SourceData.Fertiliser_ChemicalCompoundElements_Data(),Table_Fertiliser_ChemicalCompounds[[#Headers],[Fertiliser type f]], 0)</f>
        <v>0.27</v>
      </c>
      <c r="F26" s="96" cm="1">
        <f t="array" ref="F26">Common_InputFunctions.Utility_DisplayArrayInTable(Fertiliser_SourceData.Fertiliser_ChemicalCompoundElements_Data(),Table_Fertiliser_ChemicalCompounds[[#Headers],[Fertiliser type f]], 0)</f>
        <v>0</v>
      </c>
      <c r="G26" s="96" t="str" cm="1">
        <f t="array" ref="G26">Common_InputFunctions.Utility_DisplayArrayInTable(Fertiliser_SourceData.Fertiliser_ChemicalCompoundElements_Data(),Table_Fertiliser_ChemicalCompounds[[#Headers],[Fertiliser type f]], 0)</f>
        <v>Ammonium-nitrate based fertilisers</v>
      </c>
      <c r="H26" s="96" t="str" cm="1">
        <f t="array" ref="H26">Common_InputFunctions.Utility_DisplayArrayInTable(Fertiliser_SourceData.Fertiliser_ChemicalCompoundElements_Data(),Table_Fertiliser_ChemicalCompounds[[#Headers],[Fertiliser type f]], 0)</f>
        <v>Calcium ammonium nitrate (CAN)</v>
      </c>
      <c r="I26" s="96"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18" ht="20.100000000000001" customHeight="1" x14ac:dyDescent="0.25">
      <c r="D27" s="96" t="str" cm="1">
        <f t="array" ref="D27">Common_InputFunctions.Utility_DisplayArrayInTable(Fertiliser_SourceData.Fertiliser_ChemicalCompoundElements_Data(),Table_Fertiliser_ChemicalCompounds[[#Headers],[Fertiliser type f]], 0)</f>
        <v>Nitrogen - Ammoniacal</v>
      </c>
      <c r="E27" s="96" cm="1">
        <f t="array" ref="E27">Common_InputFunctions.Utility_DisplayArrayInTable(Fertiliser_SourceData.Fertiliser_ChemicalCompoundElements_Data(),Table_Fertiliser_ChemicalCompounds[[#Headers],[Fertiliser type f]], 0)</f>
        <v>1</v>
      </c>
      <c r="F27" s="96" cm="1">
        <f t="array" ref="F27">Common_InputFunctions.Utility_DisplayArrayInTable(Fertiliser_SourceData.Fertiliser_ChemicalCompoundElements_Data(),Table_Fertiliser_ChemicalCompounds[[#Headers],[Fertiliser type f]], 0)</f>
        <v>0</v>
      </c>
      <c r="G27" s="96" t="str" cm="1">
        <f t="array" ref="G27">Common_InputFunctions.Utility_DisplayArrayInTable(Fertiliser_SourceData.Fertiliser_ChemicalCompoundElements_Data(),Table_Fertiliser_ChemicalCompounds[[#Headers],[Fertiliser type f]], 0)</f>
        <v>Ammonium-based fertilisers</v>
      </c>
      <c r="H27" s="96" t="str" cm="1">
        <f t="array" ref="H27">Common_InputFunctions.Utility_DisplayArrayInTable(Fertiliser_SourceData.Fertiliser_ChemicalCompoundElements_Data(),Table_Fertiliser_ChemicalCompounds[[#Headers],[Fertiliser type f]], 0)</f>
        <v>Nitrogen - Ammoniacal</v>
      </c>
      <c r="I27" s="96"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18" ht="20.100000000000001" customHeight="1" x14ac:dyDescent="0.25">
      <c r="D28" s="96" t="str" cm="1">
        <f t="array" ref="D28">Common_InputFunctions.Utility_DisplayArrayInTable(Fertiliser_SourceData.Fertiliser_ChemicalCompoundElements_Data(),Table_Fertiliser_ChemicalCompounds[[#Headers],[Fertiliser type f]], 0)</f>
        <v>Nitrogen - Nitrate</v>
      </c>
      <c r="E28" s="96" cm="1">
        <f t="array" ref="E28">Common_InputFunctions.Utility_DisplayArrayInTable(Fertiliser_SourceData.Fertiliser_ChemicalCompoundElements_Data(),Table_Fertiliser_ChemicalCompounds[[#Headers],[Fertiliser type f]], 0)</f>
        <v>1</v>
      </c>
      <c r="F28" s="96" cm="1">
        <f t="array" ref="F28">Common_InputFunctions.Utility_DisplayArrayInTable(Fertiliser_SourceData.Fertiliser_ChemicalCompoundElements_Data(),Table_Fertiliser_ChemicalCompounds[[#Headers],[Fertiliser type f]], 0)</f>
        <v>0</v>
      </c>
      <c r="G28" s="96" t="str" cm="1">
        <f t="array" ref="G28">Common_InputFunctions.Utility_DisplayArrayInTable(Fertiliser_SourceData.Fertiliser_ChemicalCompoundElements_Data(),Table_Fertiliser_ChemicalCompounds[[#Headers],[Fertiliser type f]], 0)</f>
        <v>Nitrate-based fertilisers</v>
      </c>
      <c r="H28" s="96" t="str" cm="1">
        <f t="array" ref="H28">Common_InputFunctions.Utility_DisplayArrayInTable(Fertiliser_SourceData.Fertiliser_ChemicalCompoundElements_Data(),Table_Fertiliser_ChemicalCompounds[[#Headers],[Fertiliser type f]], 0)</f>
        <v>Nitrogen from Nitrate</v>
      </c>
      <c r="I28" s="96"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18" ht="20.100000000000001" customHeight="1" x14ac:dyDescent="0.25">
      <c r="D29" s="96" t="str" cm="1">
        <f t="array" ref="D29">Common_InputFunctions.Utility_DisplayArrayInTable(Fertiliser_SourceData.Fertiliser_ChemicalCompoundElements_Data(),Table_Fertiliser_ChemicalCompounds[[#Headers],[Fertiliser type f]], 0)</f>
        <v>Nitrogen - Generic</v>
      </c>
      <c r="E29" s="96" cm="1">
        <f t="array" ref="E29">Common_InputFunctions.Utility_DisplayArrayInTable(Fertiliser_SourceData.Fertiliser_ChemicalCompoundElements_Data(),Table_Fertiliser_ChemicalCompounds[[#Headers],[Fertiliser type f]], 0)</f>
        <v>1</v>
      </c>
      <c r="F29" s="96" cm="1">
        <f t="array" ref="F29">Common_InputFunctions.Utility_DisplayArrayInTable(Fertiliser_SourceData.Fertiliser_ChemicalCompoundElements_Data(),Table_Fertiliser_ChemicalCompounds[[#Headers],[Fertiliser type f]], 0)</f>
        <v>0</v>
      </c>
      <c r="G29" s="96" t="str" cm="1">
        <f t="array" ref="G29">Common_InputFunctions.Utility_DisplayArrayInTable(Fertiliser_SourceData.Fertiliser_ChemicalCompoundElements_Data(),Table_Fertiliser_ChemicalCompounds[[#Headers],[Fertiliser type f]], 0)</f>
        <v>Urea-based fertilisers</v>
      </c>
      <c r="H29" s="96" t="str" cm="1">
        <f t="array" ref="H29">Common_InputFunctions.Utility_DisplayArrayInTable(Fertiliser_SourceData.Fertiliser_ChemicalCompoundElements_Data(),Table_Fertiliser_ChemicalCompounds[[#Headers],[Fertiliser type f]], 0)</f>
        <v>Nitrogen from fertiliser</v>
      </c>
      <c r="I29" s="96" t="str" cm="1">
        <f t="array" ref="I29">Common_InputFunctions.Utility_DisplayArrayInTable(Fertiliser_SourceData.Fertiliser_ChemicalCompoundElements_Data(),Table_Fertiliser_ChemicalCompounds[[#Headers],[Fertiliser type f]], 0)</f>
        <v>LifeCycles</v>
      </c>
    </row>
    <row r="30" spans="1:18" ht="20.100000000000001" customHeight="1" x14ac:dyDescent="0.25">
      <c r="D30" s="96" t="str" cm="1">
        <f t="array" ref="D30">Common_InputFunctions.Utility_DisplayArrayInTable(Fertiliser_SourceData.Fertiliser_ChemicalCompoundElements_Data(),Table_Fertiliser_ChemicalCompounds[[#Headers],[Fertiliser type f]], 0)</f>
        <v>Phosphorus - Generic</v>
      </c>
      <c r="E30" s="96" cm="1">
        <f t="array" ref="E30">Common_InputFunctions.Utility_DisplayArrayInTable(Fertiliser_SourceData.Fertiliser_ChemicalCompoundElements_Data(),Table_Fertiliser_ChemicalCompounds[[#Headers],[Fertiliser type f]], 0)</f>
        <v>0</v>
      </c>
      <c r="F30" s="96" cm="1">
        <f t="array" ref="F30">Common_InputFunctions.Utility_DisplayArrayInTable(Fertiliser_SourceData.Fertiliser_ChemicalCompoundElements_Data(),Table_Fertiliser_ChemicalCompounds[[#Headers],[Fertiliser type f]], 0)</f>
        <v>0</v>
      </c>
      <c r="G30" s="96" t="str" cm="1">
        <f t="array" ref="G30">Common_InputFunctions.Utility_DisplayArrayInTable(Fertiliser_SourceData.Fertiliser_ChemicalCompoundElements_Data(),Table_Fertiliser_ChemicalCompounds[[#Headers],[Fertiliser type f]], 0)</f>
        <v>Other fertilisers</v>
      </c>
      <c r="H30" s="96" t="str" cm="1">
        <f t="array" ref="H30">Common_InputFunctions.Utility_DisplayArrayInTable(Fertiliser_SourceData.Fertiliser_ChemicalCompoundElements_Data(),Table_Fertiliser_ChemicalCompounds[[#Headers],[Fertiliser type f]], 0)</f>
        <v>Phosphorus from fertiliser</v>
      </c>
      <c r="I30" s="96" t="str" cm="1">
        <f t="array" ref="I30">Common_InputFunctions.Utility_DisplayArrayInTable(Fertiliser_SourceData.Fertiliser_ChemicalCompoundElements_Data(),Table_Fertiliser_ChemicalCompounds[[#Headers],[Fertiliser type f]], 0)</f>
        <v>LifeCycles</v>
      </c>
    </row>
    <row r="31" spans="1:18" ht="20.100000000000001" customHeight="1" x14ac:dyDescent="0.25">
      <c r="D31" s="96" t="str" cm="1">
        <f t="array" ref="D31">Common_InputFunctions.Utility_DisplayArrayInTable(Fertiliser_SourceData.Fertiliser_ChemicalCompoundElements_Data(),Table_Fertiliser_ChemicalCompounds[[#Headers],[Fertiliser type f]], 0)</f>
        <v>Potassium - Generic</v>
      </c>
      <c r="E31" s="96" cm="1">
        <f t="array" ref="E31">Common_InputFunctions.Utility_DisplayArrayInTable(Fertiliser_SourceData.Fertiliser_ChemicalCompoundElements_Data(),Table_Fertiliser_ChemicalCompounds[[#Headers],[Fertiliser type f]], 0)</f>
        <v>0</v>
      </c>
      <c r="F31" s="96" cm="1">
        <f t="array" ref="F31">Common_InputFunctions.Utility_DisplayArrayInTable(Fertiliser_SourceData.Fertiliser_ChemicalCompoundElements_Data(),Table_Fertiliser_ChemicalCompounds[[#Headers],[Fertiliser type f]], 0)</f>
        <v>0</v>
      </c>
      <c r="G31" s="96" t="str" cm="1">
        <f t="array" ref="G31">Common_InputFunctions.Utility_DisplayArrayInTable(Fertiliser_SourceData.Fertiliser_ChemicalCompoundElements_Data(),Table_Fertiliser_ChemicalCompounds[[#Headers],[Fertiliser type f]], 0)</f>
        <v>Other fertilisers</v>
      </c>
      <c r="H31" s="96" t="str" cm="1">
        <f t="array" ref="H31">Common_InputFunctions.Utility_DisplayArrayInTable(Fertiliser_SourceData.Fertiliser_ChemicalCompoundElements_Data(),Table_Fertiliser_ChemicalCompounds[[#Headers],[Fertiliser type f]], 0)</f>
        <v>Potassium from fertiliser</v>
      </c>
      <c r="I31" s="96" t="str" cm="1">
        <f t="array" ref="I31">Common_InputFunctions.Utility_DisplayArrayInTable(Fertiliser_SourceData.Fertiliser_ChemicalCompoundElements_Data(),Table_Fertiliser_ChemicalCompounds[[#Headers],[Fertiliser type f]], 0)</f>
        <v>LifeCycles</v>
      </c>
    </row>
    <row r="32" spans="1:18" ht="20.100000000000001" customHeight="1" x14ac:dyDescent="0.25">
      <c r="D32" s="96" t="str" cm="1">
        <f t="array" ref="D32">Common_InputFunctions.Utility_DisplayArrayInTable(Fertiliser_SourceData.Fertiliser_ChemicalCompoundElements_Data(),Table_Fertiliser_ChemicalCompounds[[#Headers],[Fertiliser type f]], 0)</f>
        <v>Sulfur - Generic</v>
      </c>
      <c r="E32" s="96" cm="1">
        <f t="array" ref="E32">Common_InputFunctions.Utility_DisplayArrayInTable(Fertiliser_SourceData.Fertiliser_ChemicalCompoundElements_Data(),Table_Fertiliser_ChemicalCompounds[[#Headers],[Fertiliser type f]], 0)</f>
        <v>0</v>
      </c>
      <c r="F32" s="96" cm="1">
        <f t="array" ref="F32">Common_InputFunctions.Utility_DisplayArrayInTable(Fertiliser_SourceData.Fertiliser_ChemicalCompoundElements_Data(),Table_Fertiliser_ChemicalCompounds[[#Headers],[Fertiliser type f]], 0)</f>
        <v>0</v>
      </c>
      <c r="G32" s="96" t="str" cm="1">
        <f t="array" ref="G32">Common_InputFunctions.Utility_DisplayArrayInTable(Fertiliser_SourceData.Fertiliser_ChemicalCompoundElements_Data(),Table_Fertiliser_ChemicalCompounds[[#Headers],[Fertiliser type f]], 0)</f>
        <v>Other fertilisers</v>
      </c>
      <c r="H32" s="96" t="str" cm="1">
        <f t="array" ref="H32">Common_InputFunctions.Utility_DisplayArrayInTable(Fertiliser_SourceData.Fertiliser_ChemicalCompoundElements_Data(),Table_Fertiliser_ChemicalCompounds[[#Headers],[Fertiliser type f]], 0)</f>
        <v>Sulfur from fertiliser</v>
      </c>
      <c r="I32" s="96"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96" t="str" cm="1">
        <f t="array" ref="D33">Common_InputFunctions.Utility_DisplayArrayInTable(Fertiliser_SourceData.Fertiliser_ChemicalCompoundElements_Data(),Table_Fertiliser_ChemicalCompounds[[#Headers],[Fertiliser type f]], 0)</f>
        <v>Zinc - Generic</v>
      </c>
      <c r="E33" s="96" cm="1">
        <f t="array" ref="E33">Common_InputFunctions.Utility_DisplayArrayInTable(Fertiliser_SourceData.Fertiliser_ChemicalCompoundElements_Data(),Table_Fertiliser_ChemicalCompounds[[#Headers],[Fertiliser type f]], 0)</f>
        <v>0</v>
      </c>
      <c r="F33" s="96" cm="1">
        <f t="array" ref="F33">Common_InputFunctions.Utility_DisplayArrayInTable(Fertiliser_SourceData.Fertiliser_ChemicalCompoundElements_Data(),Table_Fertiliser_ChemicalCompounds[[#Headers],[Fertiliser type f]], 0)</f>
        <v>0</v>
      </c>
      <c r="G33" s="96" t="str" cm="1">
        <f t="array" ref="G33">Common_InputFunctions.Utility_DisplayArrayInTable(Fertiliser_SourceData.Fertiliser_ChemicalCompoundElements_Data(),Table_Fertiliser_ChemicalCompounds[[#Headers],[Fertiliser type f]], 0)</f>
        <v>Other fertilisers</v>
      </c>
      <c r="H33" s="96" t="str" cm="1">
        <f t="array" ref="H33">Common_InputFunctions.Utility_DisplayArrayInTable(Fertiliser_SourceData.Fertiliser_ChemicalCompoundElements_Data(),Table_Fertiliser_ChemicalCompounds[[#Headers],[Fertiliser type f]], 0)</f>
        <v>Zinc from fertiliser</v>
      </c>
      <c r="I33" s="96"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96" t="str" cm="1">
        <f t="array" ref="D34">Common_InputFunctions.Utility_DisplayArrayInTable(Fertiliser_SourceData.Fertiliser_ChemicalCompoundElements_Data(),Table_Fertiliser_ChemicalCompounds[[#Headers],[Fertiliser type f]], 0)</f>
        <v>Muriate of potash (MOP)</v>
      </c>
      <c r="E34" s="96" cm="1">
        <f t="array" ref="E34">Common_InputFunctions.Utility_DisplayArrayInTable(Fertiliser_SourceData.Fertiliser_ChemicalCompoundElements_Data(),Table_Fertiliser_ChemicalCompounds[[#Headers],[Fertiliser type f]], 0)</f>
        <v>0</v>
      </c>
      <c r="F34" s="96" cm="1">
        <f t="array" ref="F34">Common_InputFunctions.Utility_DisplayArrayInTable(Fertiliser_SourceData.Fertiliser_ChemicalCompoundElements_Data(),Table_Fertiliser_ChemicalCompounds[[#Headers],[Fertiliser type f]], 0)</f>
        <v>0</v>
      </c>
      <c r="G34" s="96" t="str" cm="1">
        <f t="array" ref="G34">Common_InputFunctions.Utility_DisplayArrayInTable(Fertiliser_SourceData.Fertiliser_ChemicalCompoundElements_Data(),Table_Fertiliser_ChemicalCompounds[[#Headers],[Fertiliser type f]], 0)</f>
        <v>Other fertilisers</v>
      </c>
      <c r="H34" s="96" t="str" cm="1">
        <f t="array" ref="H34">Common_InputFunctions.Utility_DisplayArrayInTable(Fertiliser_SourceData.Fertiliser_ChemicalCompoundElements_Data(),Table_Fertiliser_ChemicalCompounds[[#Headers],[Fertiliser type f]], 0)</f>
        <v>Muriate of potash (MOP)</v>
      </c>
      <c r="I34" s="96"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96" t="str" cm="1">
        <f t="array" ref="D35">Common_InputFunctions.Utility_DisplayArrayInTable(Fertiliser_SourceData.Fertiliser_ChemicalCompoundElements_Data(),Table_Fertiliser_ChemicalCompounds[[#Headers],[Fertiliser type f]], 0)</f>
        <v>Double superphosphate</v>
      </c>
      <c r="E35" s="96" cm="1">
        <f t="array" ref="E35">Common_InputFunctions.Utility_DisplayArrayInTable(Fertiliser_SourceData.Fertiliser_ChemicalCompoundElements_Data(),Table_Fertiliser_ChemicalCompounds[[#Headers],[Fertiliser type f]], 0)</f>
        <v>0</v>
      </c>
      <c r="F35" s="96" cm="1">
        <f t="array" ref="F35">Common_InputFunctions.Utility_DisplayArrayInTable(Fertiliser_SourceData.Fertiliser_ChemicalCompoundElements_Data(),Table_Fertiliser_ChemicalCompounds[[#Headers],[Fertiliser type f]], 0)</f>
        <v>0</v>
      </c>
      <c r="G35" s="96" t="str" cm="1">
        <f t="array" ref="G35">Common_InputFunctions.Utility_DisplayArrayInTable(Fertiliser_SourceData.Fertiliser_ChemicalCompoundElements_Data(),Table_Fertiliser_ChemicalCompounds[[#Headers],[Fertiliser type f]], 0)</f>
        <v>Other fertilisers</v>
      </c>
      <c r="H35" s="96" t="str" cm="1">
        <f t="array" ref="H35">Common_InputFunctions.Utility_DisplayArrayInTable(Fertiliser_SourceData.Fertiliser_ChemicalCompoundElements_Data(),Table_Fertiliser_ChemicalCompounds[[#Headers],[Fertiliser type f]], 0)</f>
        <v>Double superphosphate</v>
      </c>
      <c r="I35" s="96"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96" t="str" cm="1">
        <f t="array" ref="D36">Common_InputFunctions.Utility_DisplayArrayInTable(Fertiliser_SourceData.Fertiliser_ChemicalCompoundElements_Data(),Table_Fertiliser_ChemicalCompounds[[#Headers],[Fertiliser type f]], 0)</f>
        <v>Single superphosphate (SSP)</v>
      </c>
      <c r="E36" s="96" cm="1">
        <f t="array" ref="E36">Common_InputFunctions.Utility_DisplayArrayInTable(Fertiliser_SourceData.Fertiliser_ChemicalCompoundElements_Data(),Table_Fertiliser_ChemicalCompounds[[#Headers],[Fertiliser type f]], 0)</f>
        <v>0</v>
      </c>
      <c r="F36" s="96" cm="1">
        <f t="array" ref="F36">Common_InputFunctions.Utility_DisplayArrayInTable(Fertiliser_SourceData.Fertiliser_ChemicalCompoundElements_Data(),Table_Fertiliser_ChemicalCompounds[[#Headers],[Fertiliser type f]], 0)</f>
        <v>0</v>
      </c>
      <c r="G36" s="96" t="str" cm="1">
        <f t="array" ref="G36">Common_InputFunctions.Utility_DisplayArrayInTable(Fertiliser_SourceData.Fertiliser_ChemicalCompoundElements_Data(),Table_Fertiliser_ChemicalCompounds[[#Headers],[Fertiliser type f]], 0)</f>
        <v>Other fertilisers</v>
      </c>
      <c r="H36" s="96" t="str" cm="1">
        <f t="array" ref="H36">Common_InputFunctions.Utility_DisplayArrayInTable(Fertiliser_SourceData.Fertiliser_ChemicalCompoundElements_Data(),Table_Fertiliser_ChemicalCompounds[[#Headers],[Fertiliser type f]], 0)</f>
        <v>Single superphosphate (SSP)</v>
      </c>
      <c r="I36" s="96"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96" t="str" cm="1">
        <f t="array" ref="D37">Common_InputFunctions.Utility_DisplayArrayInTable(Fertiliser_SourceData.Fertiliser_ChemicalCompoundElements_Data(),Table_Fertiliser_ChemicalCompounds[[#Headers],[Fertiliser type f]], 0)</f>
        <v>Ammonia</v>
      </c>
      <c r="E37" s="96" cm="1">
        <f t="array" ref="E37">Common_InputFunctions.Utility_DisplayArrayInTable(Fertiliser_SourceData.Fertiliser_ChemicalCompoundElements_Data(),Table_Fertiliser_ChemicalCompounds[[#Headers],[Fertiliser type f]], 0)</f>
        <v>0.82350000000000001</v>
      </c>
      <c r="F37" s="96" cm="1">
        <f t="array" ref="F37">Common_InputFunctions.Utility_DisplayArrayInTable(Fertiliser_SourceData.Fertiliser_ChemicalCompoundElements_Data(),Table_Fertiliser_ChemicalCompounds[[#Headers],[Fertiliser type f]], 0)</f>
        <v>0</v>
      </c>
      <c r="G37" s="96" t="str" cm="1">
        <f t="array" ref="G37">Common_InputFunctions.Utility_DisplayArrayInTable(Fertiliser_SourceData.Fertiliser_ChemicalCompoundElements_Data(),Table_Fertiliser_ChemicalCompounds[[#Headers],[Fertiliser type f]], 0)</f>
        <v>Ammonium-based fertilisers</v>
      </c>
      <c r="H37" s="96" t="str" cm="1">
        <f t="array" ref="H37">Common_InputFunctions.Utility_DisplayArrayInTable(Fertiliser_SourceData.Fertiliser_ChemicalCompoundElements_Data(),Table_Fertiliser_ChemicalCompounds[[#Headers],[Fertiliser type f]], 0)</f>
        <v>Ammonia</v>
      </c>
      <c r="I37" s="96"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row r="39" spans="4:10" ht="20.100000000000001" customHeight="1" x14ac:dyDescent="0.25"/>
    <row r="40" spans="4:10" ht="20.100000000000001" customHeight="1" x14ac:dyDescent="0.25">
      <c r="D40" s="6" t="s">
        <v>186</v>
      </c>
      <c r="F40" s="6" t="s">
        <v>136</v>
      </c>
      <c r="H40" s="6" t="s">
        <v>127</v>
      </c>
      <c r="J40" s="6" t="s">
        <v>160</v>
      </c>
    </row>
    <row r="41" spans="4:10" ht="20.100000000000001" customHeight="1" x14ac:dyDescent="0.25">
      <c r="D41" s="36" t="s">
        <v>82</v>
      </c>
      <c r="F41" s="36" t="s">
        <v>82</v>
      </c>
      <c r="H41" s="36" t="s">
        <v>81</v>
      </c>
      <c r="J41" s="36" t="s">
        <v>161</v>
      </c>
    </row>
    <row r="42" spans="4:10" ht="20.100000000000001" customHeight="1" x14ac:dyDescent="0.25">
      <c r="D42" s="36" t="s">
        <v>128</v>
      </c>
      <c r="F42" s="36" t="s">
        <v>128</v>
      </c>
      <c r="H42" s="36" t="s">
        <v>129</v>
      </c>
      <c r="J42" s="36" t="s">
        <v>162</v>
      </c>
    </row>
    <row r="43" spans="4:10" ht="20.100000000000001" customHeight="1" x14ac:dyDescent="0.25">
      <c r="D43" s="1" t="s">
        <v>125</v>
      </c>
      <c r="F43" s="1" t="s">
        <v>135</v>
      </c>
      <c r="H43" s="36" t="s">
        <v>130</v>
      </c>
      <c r="J43" s="1" t="s">
        <v>163</v>
      </c>
    </row>
    <row r="44" spans="4:10" ht="20.100000000000001" customHeight="1" x14ac:dyDescent="0.25">
      <c r="F44" s="1" t="s">
        <v>133</v>
      </c>
      <c r="H44" s="1" t="s">
        <v>126</v>
      </c>
      <c r="J44" s="1" t="s">
        <v>164</v>
      </c>
    </row>
    <row r="45" spans="4:10" ht="20.100000000000001" customHeight="1" x14ac:dyDescent="0.25">
      <c r="F45" s="1" t="s">
        <v>134</v>
      </c>
      <c r="H45" s="1" t="s">
        <v>131</v>
      </c>
      <c r="J45" s="1" t="s">
        <v>165</v>
      </c>
    </row>
    <row r="46" spans="4:10" ht="20.100000000000001" customHeight="1" x14ac:dyDescent="0.25">
      <c r="H46" s="1" t="s">
        <v>132</v>
      </c>
      <c r="J46" s="1" t="s">
        <v>166</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95"/>
    </row>
    <row r="49" spans="4:8" ht="20.100000000000001" customHeight="1" x14ac:dyDescent="0.25">
      <c r="D49" s="5" t="str" cm="1">
        <f t="array" ref="D49">Fertiliser_SourceData.Fertiliser_FracGASF_Source()</f>
        <v>Table A.2.2.6: Fraction of inorganic fertiliser f that volatilises as NH3 and NOx ((kg NH3–N + NOx–N)/kg N) (FracGASFf)</v>
      </c>
      <c r="G49" s="95"/>
    </row>
    <row r="50" spans="4:8" ht="20.100000000000001" customHeight="1" x14ac:dyDescent="0.25">
      <c r="D50" s="36" t="s">
        <v>107</v>
      </c>
      <c r="E50" s="36" t="s">
        <v>124</v>
      </c>
      <c r="G50" s="95"/>
    </row>
    <row r="51" spans="4:8" ht="20.100000000000001"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95"/>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95"/>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95"/>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95"/>
      <c r="H54" s="95"/>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95"/>
      <c r="H55" s="95"/>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48" t="str" cm="1">
        <f t="array" ref="D60">Fertiliser_SourceData.Fertiliser_EFUreaCO2_Variable()</f>
        <v>EFureaCO2</v>
      </c>
      <c r="E60" s="1" cm="1">
        <f t="array" ref="E60">Fertiliser_SourceData.Fertiliser_EFUreaCO2_Data()</f>
        <v>0.2</v>
      </c>
      <c r="F60" s="49"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6" t="s">
        <v>169</v>
      </c>
      <c r="E65" s="36" t="s">
        <v>171</v>
      </c>
      <c r="F65" s="36" t="s">
        <v>172</v>
      </c>
    </row>
    <row r="66" spans="4:6" ht="20.100000000000001"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48" t="str" cm="1">
        <f t="array" ref="D73">Fertiliser_SourceData.Fertiliser_FracGASMSoil_Variable()</f>
        <v>FracGASMsoil</v>
      </c>
      <c r="E73" s="1" cm="1">
        <f t="array" ref="E73">Fertiliser_SourceData.Fertiliser_FracGASMSoil_Data()</f>
        <v>0.21</v>
      </c>
      <c r="F73" s="49"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48" t="str" cm="1">
        <f t="array" ref="D78">Fertiliser_SourceData.Fertiliser_FracLEACH_Variable()</f>
        <v>FracLEACH</v>
      </c>
      <c r="E78" s="1" cm="1">
        <f t="array" ref="E78">Fertiliser_SourceData.Fertiliser_FracLEACH_Data()</f>
        <v>0.24</v>
      </c>
      <c r="F78" s="49"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48" t="str" cm="1">
        <f t="array" ref="D83">Fertiliser_SourceData.Fertiliser_EFLeach_Variable()</f>
        <v>EFLeach</v>
      </c>
      <c r="E83" s="1" cm="1">
        <f t="array" ref="E83">Fertiliser_SourceData.Fertiliser_EFLeach_Data()</f>
        <v>1.0999999999999999E-2</v>
      </c>
      <c r="F83" s="49"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6" t="s">
        <v>108</v>
      </c>
      <c r="E87" s="95"/>
      <c r="F87" s="95"/>
      <c r="G87" s="95"/>
      <c r="H87" s="95"/>
      <c r="I87" s="95"/>
      <c r="J87" s="95"/>
      <c r="K87" s="95"/>
      <c r="L87" s="95"/>
      <c r="N87" s="95"/>
      <c r="O87" s="95"/>
      <c r="P87" s="95"/>
      <c r="Q87" s="95"/>
      <c r="R87" s="95"/>
      <c r="S87" s="95"/>
      <c r="T87" s="95"/>
      <c r="U87" s="95"/>
    </row>
    <row r="88" spans="4:31" ht="20.100000000000001" customHeight="1" x14ac:dyDescent="0.25">
      <c r="D88" s="95"/>
    </row>
    <row r="89" spans="4:31" ht="20.100000000000001" customHeight="1" x14ac:dyDescent="0.25">
      <c r="D89" s="98" t="s">
        <v>153</v>
      </c>
      <c r="E89" s="36" t="s">
        <v>154</v>
      </c>
      <c r="F89" s="36" t="s">
        <v>155</v>
      </c>
      <c r="G89" s="97" t="s">
        <v>156</v>
      </c>
      <c r="H89" s="97" t="s">
        <v>16</v>
      </c>
      <c r="I89" s="97" t="s">
        <v>157</v>
      </c>
      <c r="J89" s="97" t="s">
        <v>158</v>
      </c>
      <c r="K89" s="97" t="s">
        <v>159</v>
      </c>
      <c r="L89" s="97" t="s">
        <v>109</v>
      </c>
      <c r="M89" s="97" t="s">
        <v>110</v>
      </c>
      <c r="N89" s="97" t="s">
        <v>111</v>
      </c>
      <c r="O89" s="36" t="s">
        <v>112</v>
      </c>
      <c r="P89" s="36" t="s">
        <v>113</v>
      </c>
      <c r="Q89" s="36" t="s">
        <v>114</v>
      </c>
      <c r="R89" s="97" t="s">
        <v>115</v>
      </c>
      <c r="S89" s="97" t="s">
        <v>116</v>
      </c>
      <c r="T89" s="36" t="s">
        <v>117</v>
      </c>
      <c r="U89" s="97" t="s">
        <v>118</v>
      </c>
      <c r="V89" s="97" t="s">
        <v>119</v>
      </c>
      <c r="W89" s="97" t="s">
        <v>120</v>
      </c>
      <c r="X89" s="97" t="s">
        <v>145</v>
      </c>
      <c r="Y89" s="97" t="s">
        <v>146</v>
      </c>
      <c r="Z89" s="36" t="s">
        <v>147</v>
      </c>
      <c r="AA89" s="36" t="s">
        <v>148</v>
      </c>
      <c r="AB89" s="36" t="s">
        <v>149</v>
      </c>
      <c r="AC89" s="36" t="s">
        <v>150</v>
      </c>
      <c r="AD89" s="36" t="s">
        <v>151</v>
      </c>
      <c r="AE89" s="36" t="s">
        <v>152</v>
      </c>
    </row>
    <row r="90" spans="4:31" ht="20.100000000000001" customHeight="1" x14ac:dyDescent="0.25">
      <c r="D90" s="96" t="str" cm="1">
        <f t="array" ref="D90">Common_InputFunctions.Utility_DisplayArrayInTable(Fertiliser_SourceData.Fertiliser_Products_Data1(),FertiliserProducts[[#Headers],[Include or Exclude]], -1)</f>
        <v>Include</v>
      </c>
      <c r="E90" s="96" t="str" cm="1">
        <f t="array" ref="E90">Common_InputFunctions.Utility_DisplayArrayInTable(Fertiliser_SourceData.Fertiliser_Products_Data1(),FertiliserProducts[[#Headers],[Include or Exclude]], 0)</f>
        <v/>
      </c>
      <c r="F90" s="96" t="str" cm="1">
        <f t="array" ref="F90">Common_InputFunctions.Utility_DisplayArrayInTable(Fertiliser_SourceData.Fertiliser_Products_Data1(),FertiliserProducts[[#Headers],[Include or Exclude]], 0)</f>
        <v>Campbells fertilisers Australia</v>
      </c>
      <c r="G90" s="96" t="str" cm="1">
        <f t="array" ref="G90">Common_InputFunctions.Utility_DisplayArrayInTable(Fertiliser_SourceData.Fertiliser_Products_Data1(),FertiliserProducts[[#Headers],[Include or Exclude]], 0)</f>
        <v>Aqua Finish</v>
      </c>
      <c r="H90" s="96" t="str" cm="1">
        <f t="array" ref="H90">Common_InputFunctions.Utility_DisplayArrayInTable(Fertiliser_SourceData.Fertiliser_Products_Data1(),FertiliserProducts[[#Headers],[Include or Exclude]], 0)</f>
        <v>L</v>
      </c>
      <c r="I90" s="96" cm="1">
        <f t="array" ref="I90">Common_InputFunctions.Utility_DisplayArrayInTable(Fertiliser_SourceData.Fertiliser_Products_Data1(),FertiliserProducts[[#Headers],[Include or Exclude]], 0)</f>
        <v>1.26</v>
      </c>
      <c r="J90" s="96" t="str" cm="1">
        <f t="array" ref="J90">Common_InputFunctions.Utility_DisplayArrayInTable(Fertiliser_SourceData.Fertiliser_Products_Data1(),FertiliserProducts[[#Headers],[Include or Exclude]], 0)</f>
        <v/>
      </c>
      <c r="K90" s="96" t="str" cm="1">
        <f t="array" ref="K90">Common_InputFunctions.Utility_DisplayArrayInTable(Fertiliser_SourceData.Fertiliser_Products_Data1(),FertiliserProducts[[#Headers],[Include or Exclude]], 0)</f>
        <v/>
      </c>
      <c r="L90" s="96" t="str" cm="1">
        <f t="array" ref="L90">Common_InputFunctions.Utility_DisplayArrayInTable(Fertiliser_SourceData.Fertiliser_Products_Data1(),FertiliserProducts[[#Headers],[Include or Exclude]], 0)</f>
        <v>Potassium - Generic</v>
      </c>
      <c r="M90" s="36" cm="1">
        <f t="array" ref="M90">Common_InputFunctions.Utility_DisplayArrayInTable(Fertiliser_SourceData.Fertiliser_Products_Data1(),FertiliserProducts[[#Headers],[Include or Exclude]], 0)</f>
        <v>0.22500000000000001</v>
      </c>
      <c r="N90" s="96" t="str" cm="1">
        <f t="array" ref="N90">Common_InputFunctions.Utility_DisplayArrayInTable(Fertiliser_SourceData.Fertiliser_Products_Data1(),FertiliserProducts[[#Headers],[Include or Exclude]], 0)</f>
        <v>Phosphorus - Generic</v>
      </c>
      <c r="O90" s="96" cm="1">
        <f t="array" ref="O90">Common_InputFunctions.Utility_DisplayArrayInTable(Fertiliser_SourceData.Fertiliser_Products_Data1(),FertiliserProducts[[#Headers],[Include or Exclude]], 0)</f>
        <v>0.04</v>
      </c>
      <c r="P90" s="96" t="str" cm="1">
        <f t="array" ref="P90">Common_InputFunctions.Utility_DisplayArrayInTable(Fertiliser_SourceData.Fertiliser_Products_Data1(),FertiliserProducts[[#Headers],[Include or Exclude]], 0)</f>
        <v>Nitrogen - Generic</v>
      </c>
      <c r="Q90" s="96" cm="1">
        <f t="array" ref="Q90">Common_InputFunctions.Utility_DisplayArrayInTable(Fertiliser_SourceData.Fertiliser_Products_Data1(),FertiliserProducts[[#Headers],[Include or Exclude]], 0)</f>
        <v>2.5999999999999999E-2</v>
      </c>
      <c r="R90" s="96" t="str" cm="1">
        <f t="array" ref="R90">Common_InputFunctions.Utility_DisplayArrayInTable(Fertiliser_SourceData.Fertiliser_Products_Data1(),FertiliserProducts[[#Headers],[Include or Exclude]], 0)</f>
        <v/>
      </c>
      <c r="S90" s="96" t="str" cm="1">
        <f t="array" ref="S90">Common_InputFunctions.Utility_DisplayArrayInTable(Fertiliser_SourceData.Fertiliser_Products_Data1(),FertiliserProducts[[#Headers],[Include or Exclude]], 0)</f>
        <v/>
      </c>
      <c r="T90" s="96" t="str" cm="1">
        <f t="array" ref="T90">Common_InputFunctions.Utility_DisplayArrayInTable(Fertiliser_SourceData.Fertiliser_Products_Data1(),FertiliserProducts[[#Headers],[Include or Exclude]], 0)</f>
        <v/>
      </c>
      <c r="U90" s="96" t="str" cm="1">
        <f t="array" ref="U90">Common_InputFunctions.Utility_DisplayArrayInTable(Fertiliser_SourceData.Fertiliser_Products_Data1(),FertiliserProducts[[#Headers],[Include or Exclude]], 0)</f>
        <v/>
      </c>
      <c r="V90" s="36" t="str" cm="1">
        <f t="array" ref="V90">Common_InputFunctions.Utility_DisplayArrayInTable(Fertiliser_SourceData.Fertiliser_Products_Data1(),FertiliserProducts[[#Headers],[Include or Exclude]], 0)</f>
        <v/>
      </c>
      <c r="W90" s="36" t="str" cm="1">
        <f t="array" ref="W90">Common_InputFunctions.Utility_DisplayArrayInTable(Fertiliser_SourceData.Fertiliser_Products_Data1(),FertiliserProducts[[#Headers],[Include or Exclude]], 0)</f>
        <v/>
      </c>
      <c r="X90" s="36" t="str" cm="1">
        <f t="array" ref="X90">Common_InputFunctions.Utility_DisplayArrayInTable(Fertiliser_SourceData.Fertiliser_Products_Data1(),FertiliserProducts[[#Headers],[Include or Exclude]], 0)</f>
        <v/>
      </c>
      <c r="Y90" s="36" t="str" cm="1">
        <f t="array" ref="Y90">Common_InputFunctions.Utility_DisplayArrayInTable(Fertiliser_SourceData.Fertiliser_Products_Data1(),FertiliserProducts[[#Headers],[Include or Exclude]], 0)</f>
        <v/>
      </c>
      <c r="Z90" s="36" t="str" cm="1">
        <f t="array" ref="Z90">Common_InputFunctions.Utility_DisplayArrayInTable(Fertiliser_SourceData.Fertiliser_Products_Data1(),FertiliserProducts[[#Headers],[Include or Exclude]], 0)</f>
        <v/>
      </c>
      <c r="AA90" s="36" t="str" cm="1">
        <f t="array" ref="AA90">Common_InputFunctions.Utility_DisplayArrayInTable(Fertiliser_SourceData.Fertiliser_Products_Data1(),FertiliserProducts[[#Headers],[Include or Exclude]], 0)</f>
        <v/>
      </c>
      <c r="AB90" s="36" t="str" cm="1">
        <f t="array" ref="AB90">Common_InputFunctions.Utility_DisplayArrayInTable(Fertiliser_SourceData.Fertiliser_Products_Data1(),FertiliserProducts[[#Headers],[Include or Exclude]], 0)</f>
        <v/>
      </c>
      <c r="AC90" s="36" t="str" cm="1">
        <f t="array" ref="AC90">Common_InputFunctions.Utility_DisplayArrayInTable(Fertiliser_SourceData.Fertiliser_Products_Data1(),FertiliserProducts[[#Headers],[Include or Exclude]], 0)</f>
        <v/>
      </c>
      <c r="AD90" s="36" t="str" cm="1">
        <f t="array" ref="AD90">Common_InputFunctions.Utility_DisplayArrayInTable(Fertiliser_SourceData.Fertiliser_Products_Data1(),FertiliserProducts[[#Headers],[Include or Exclude]], 0)</f>
        <v/>
      </c>
      <c r="AE90" s="36" t="str" cm="1">
        <f t="array" ref="AE90">Common_InputFunctions.Utility_DisplayArrayInTable(Fertiliser_SourceData.Fertiliser_Products_Data1(),FertiliserProducts[[#Headers],[Include or Exclude]], 0)</f>
        <v/>
      </c>
    </row>
    <row r="91" spans="4:31" ht="20.100000000000001" customHeight="1" x14ac:dyDescent="0.25">
      <c r="D91" s="96" t="str" cm="1">
        <f t="array" ref="D91">Common_InputFunctions.Utility_DisplayArrayInTable(Fertiliser_SourceData.Fertiliser_Products_Data1(),FertiliserProducts[[#Headers],[Include or Exclude]], 0)</f>
        <v>Include</v>
      </c>
      <c r="E91" s="96" t="str" cm="1">
        <f t="array" ref="E91">Common_InputFunctions.Utility_DisplayArrayInTable(Fertiliser_SourceData.Fertiliser_Products_Data1(),FertiliserProducts[[#Headers],[Include or Exclude]], 0)</f>
        <v/>
      </c>
      <c r="F91" s="96" t="str" cm="1">
        <f t="array" ref="F91">Common_InputFunctions.Utility_DisplayArrayInTable(Fertiliser_SourceData.Fertiliser_Products_Data1(),FertiliserProducts[[#Headers],[Include or Exclude]], 0)</f>
        <v>Campbells fertilisers Australia</v>
      </c>
      <c r="G91" s="96" t="str" cm="1">
        <f t="array" ref="G91">Common_InputFunctions.Utility_DisplayArrayInTable(Fertiliser_SourceData.Fertiliser_Products_Data1(),FertiliserProducts[[#Headers],[Include or Exclude]], 0)</f>
        <v>Aqua Grow</v>
      </c>
      <c r="H91" s="96" t="str" cm="1">
        <f t="array" ref="H91">Common_InputFunctions.Utility_DisplayArrayInTable(Fertiliser_SourceData.Fertiliser_Products_Data1(),FertiliserProducts[[#Headers],[Include or Exclude]], 0)</f>
        <v>L</v>
      </c>
      <c r="I91" s="96" cm="1">
        <f t="array" ref="I91">Common_InputFunctions.Utility_DisplayArrayInTable(Fertiliser_SourceData.Fertiliser_Products_Data1(),FertiliserProducts[[#Headers],[Include or Exclude]], 0)</f>
        <v>1.26</v>
      </c>
      <c r="J91" s="96" t="str" cm="1">
        <f t="array" ref="J91">Common_InputFunctions.Utility_DisplayArrayInTable(Fertiliser_SourceData.Fertiliser_Products_Data1(),FertiliserProducts[[#Headers],[Include or Exclude]], 0)</f>
        <v/>
      </c>
      <c r="K91" s="96" t="str" cm="1">
        <f t="array" ref="K91">Common_InputFunctions.Utility_DisplayArrayInTable(Fertiliser_SourceData.Fertiliser_Products_Data1(),FertiliserProducts[[#Headers],[Include or Exclude]], 0)</f>
        <v/>
      </c>
      <c r="L91" s="96" t="str" cm="1">
        <f t="array" ref="L91">Common_InputFunctions.Utility_DisplayArrayInTable(Fertiliser_SourceData.Fertiliser_Products_Data1(),FertiliserProducts[[#Headers],[Include or Exclude]], 0)</f>
        <v>Potassium - Generic</v>
      </c>
      <c r="M91" s="36" cm="1">
        <f t="array" ref="M91">Common_InputFunctions.Utility_DisplayArrayInTable(Fertiliser_SourceData.Fertiliser_Products_Data1(),FertiliserProducts[[#Headers],[Include or Exclude]], 0)</f>
        <v>0.105</v>
      </c>
      <c r="N91" s="96" t="str" cm="1">
        <f t="array" ref="N91">Common_InputFunctions.Utility_DisplayArrayInTable(Fertiliser_SourceData.Fertiliser_Products_Data1(),FertiliserProducts[[#Headers],[Include or Exclude]], 0)</f>
        <v>Nitrogen - Generic</v>
      </c>
      <c r="O91" s="96" cm="1">
        <f t="array" ref="O91">Common_InputFunctions.Utility_DisplayArrayInTable(Fertiliser_SourceData.Fertiliser_Products_Data1(),FertiliserProducts[[#Headers],[Include or Exclude]], 0)</f>
        <v>9.6000000000000002E-2</v>
      </c>
      <c r="P91" s="96" t="str" cm="1">
        <f t="array" ref="P91">Common_InputFunctions.Utility_DisplayArrayInTable(Fertiliser_SourceData.Fertiliser_Products_Data1(),FertiliserProducts[[#Headers],[Include or Exclude]], 0)</f>
        <v>Phosphorus - Generic</v>
      </c>
      <c r="Q91" s="96" cm="1">
        <f t="array" ref="Q91">Common_InputFunctions.Utility_DisplayArrayInTable(Fertiliser_SourceData.Fertiliser_Products_Data1(),FertiliserProducts[[#Headers],[Include or Exclude]], 0)</f>
        <v>0.05</v>
      </c>
      <c r="R91" s="96" t="str" cm="1">
        <f t="array" ref="R91">Common_InputFunctions.Utility_DisplayArrayInTable(Fertiliser_SourceData.Fertiliser_Products_Data1(),FertiliserProducts[[#Headers],[Include or Exclude]], 0)</f>
        <v/>
      </c>
      <c r="S91" s="96" t="str" cm="1">
        <f t="array" ref="S91">Common_InputFunctions.Utility_DisplayArrayInTable(Fertiliser_SourceData.Fertiliser_Products_Data1(),FertiliserProducts[[#Headers],[Include or Exclude]], 0)</f>
        <v/>
      </c>
      <c r="T91" s="96" t="str" cm="1">
        <f t="array" ref="T91">Common_InputFunctions.Utility_DisplayArrayInTable(Fertiliser_SourceData.Fertiliser_Products_Data1(),FertiliserProducts[[#Headers],[Include or Exclude]], 0)</f>
        <v/>
      </c>
      <c r="U91" s="96" t="str" cm="1">
        <f t="array" ref="U91">Common_InputFunctions.Utility_DisplayArrayInTable(Fertiliser_SourceData.Fertiliser_Products_Data1(),FertiliserProducts[[#Headers],[Include or Exclude]], 0)</f>
        <v/>
      </c>
      <c r="V91" s="36" t="str" cm="1">
        <f t="array" ref="V91">Common_InputFunctions.Utility_DisplayArrayInTable(Fertiliser_SourceData.Fertiliser_Products_Data1(),FertiliserProducts[[#Headers],[Include or Exclude]], 0)</f>
        <v/>
      </c>
      <c r="W91" s="36" t="str" cm="1">
        <f t="array" ref="W91">Common_InputFunctions.Utility_DisplayArrayInTable(Fertiliser_SourceData.Fertiliser_Products_Data1(),FertiliserProducts[[#Headers],[Include or Exclude]], 0)</f>
        <v/>
      </c>
      <c r="X91" s="36" t="str" cm="1">
        <f t="array" ref="X91">Common_InputFunctions.Utility_DisplayArrayInTable(Fertiliser_SourceData.Fertiliser_Products_Data1(),FertiliserProducts[[#Headers],[Include or Exclude]], 0)</f>
        <v/>
      </c>
      <c r="Y91" s="36" t="str" cm="1">
        <f t="array" ref="Y91">Common_InputFunctions.Utility_DisplayArrayInTable(Fertiliser_SourceData.Fertiliser_Products_Data1(),FertiliserProducts[[#Headers],[Include or Exclude]], 0)</f>
        <v/>
      </c>
      <c r="Z91" s="36" t="str" cm="1">
        <f t="array" ref="Z91">Common_InputFunctions.Utility_DisplayArrayInTable(Fertiliser_SourceData.Fertiliser_Products_Data1(),FertiliserProducts[[#Headers],[Include or Exclude]], 0)</f>
        <v/>
      </c>
      <c r="AA91" s="36" t="str" cm="1">
        <f t="array" ref="AA91">Common_InputFunctions.Utility_DisplayArrayInTable(Fertiliser_SourceData.Fertiliser_Products_Data1(),FertiliserProducts[[#Headers],[Include or Exclude]], 0)</f>
        <v/>
      </c>
      <c r="AB91" s="36" t="str" cm="1">
        <f t="array" ref="AB91">Common_InputFunctions.Utility_DisplayArrayInTable(Fertiliser_SourceData.Fertiliser_Products_Data1(),FertiliserProducts[[#Headers],[Include or Exclude]], 0)</f>
        <v/>
      </c>
      <c r="AC91" s="36" t="str" cm="1">
        <f t="array" ref="AC91">Common_InputFunctions.Utility_DisplayArrayInTable(Fertiliser_SourceData.Fertiliser_Products_Data1(),FertiliserProducts[[#Headers],[Include or Exclude]], 0)</f>
        <v/>
      </c>
      <c r="AD91" s="36" t="str" cm="1">
        <f t="array" ref="AD91">Common_InputFunctions.Utility_DisplayArrayInTable(Fertiliser_SourceData.Fertiliser_Products_Data1(),FertiliserProducts[[#Headers],[Include or Exclude]], 0)</f>
        <v/>
      </c>
      <c r="AE91" s="36" t="str" cm="1">
        <f t="array" ref="AE91">Common_InputFunctions.Utility_DisplayArrayInTable(Fertiliser_SourceData.Fertiliser_Products_Data1(),FertiliserProducts[[#Headers],[Include or Exclude]], 0)</f>
        <v/>
      </c>
    </row>
    <row r="92" spans="4:31" ht="20.100000000000001" customHeight="1" x14ac:dyDescent="0.25">
      <c r="D92" s="96" t="str" cm="1">
        <f t="array" ref="D92">Common_InputFunctions.Utility_DisplayArrayInTable(Fertiliser_SourceData.Fertiliser_Products_Data1(),FertiliserProducts[[#Headers],[Include or Exclude]], 0)</f>
        <v>Include</v>
      </c>
      <c r="E92" s="96" t="str" cm="1">
        <f t="array" ref="E92">Common_InputFunctions.Utility_DisplayArrayInTable(Fertiliser_SourceData.Fertiliser_Products_Data1(),FertiliserProducts[[#Headers],[Include or Exclude]], 0)</f>
        <v/>
      </c>
      <c r="F92" s="96" t="str" cm="1">
        <f t="array" ref="F92">Common_InputFunctions.Utility_DisplayArrayInTable(Fertiliser_SourceData.Fertiliser_Products_Data1(),FertiliserProducts[[#Headers],[Include or Exclude]], 0)</f>
        <v>Campbells fertilisers Australia</v>
      </c>
      <c r="G92" s="96" t="str" cm="1">
        <f t="array" ref="G92">Common_InputFunctions.Utility_DisplayArrayInTable(Fertiliser_SourceData.Fertiliser_Products_Data1(),FertiliserProducts[[#Headers],[Include or Exclude]], 0)</f>
        <v>Aqua Nitro AN</v>
      </c>
      <c r="H92" s="96" t="str" cm="1">
        <f t="array" ref="H92">Common_InputFunctions.Utility_DisplayArrayInTable(Fertiliser_SourceData.Fertiliser_Products_Data1(),FertiliserProducts[[#Headers],[Include or Exclude]], 0)</f>
        <v>L</v>
      </c>
      <c r="I92" s="96" cm="1">
        <f t="array" ref="I92">Common_InputFunctions.Utility_DisplayArrayInTable(Fertiliser_SourceData.Fertiliser_Products_Data1(),FertiliserProducts[[#Headers],[Include or Exclude]], 0)</f>
        <v>1.24</v>
      </c>
      <c r="J92" s="96" t="str" cm="1">
        <f t="array" ref="J92">Common_InputFunctions.Utility_DisplayArrayInTable(Fertiliser_SourceData.Fertiliser_Products_Data1(),FertiliserProducts[[#Headers],[Include or Exclude]], 0)</f>
        <v/>
      </c>
      <c r="K92" s="96" t="str" cm="1">
        <f t="array" ref="K92">Common_InputFunctions.Utility_DisplayArrayInTable(Fertiliser_SourceData.Fertiliser_Products_Data1(),FertiliserProducts[[#Headers],[Include or Exclude]], 0)</f>
        <v/>
      </c>
      <c r="L92" s="96" t="str" cm="1">
        <f t="array" ref="L92">Common_InputFunctions.Utility_DisplayArrayInTable(Fertiliser_SourceData.Fertiliser_Products_Data1(),FertiliserProducts[[#Headers],[Include or Exclude]], 0)</f>
        <v>Nitrogen - Ammoniacal</v>
      </c>
      <c r="M92" s="36" cm="1">
        <f t="array" ref="M92">Common_InputFunctions.Utility_DisplayArrayInTable(Fertiliser_SourceData.Fertiliser_Products_Data1(),FertiliserProducts[[#Headers],[Include or Exclude]], 0)</f>
        <v>0.223</v>
      </c>
      <c r="N92" s="96" t="str" cm="1">
        <f t="array" ref="N92">Common_InputFunctions.Utility_DisplayArrayInTable(Fertiliser_SourceData.Fertiliser_Products_Data1(),FertiliserProducts[[#Headers],[Include or Exclude]], 0)</f>
        <v/>
      </c>
      <c r="O92" s="96" t="str" cm="1">
        <f t="array" ref="O92">Common_InputFunctions.Utility_DisplayArrayInTable(Fertiliser_SourceData.Fertiliser_Products_Data1(),FertiliserProducts[[#Headers],[Include or Exclude]], 0)</f>
        <v/>
      </c>
      <c r="P92" s="96" t="str" cm="1">
        <f t="array" ref="P92">Common_InputFunctions.Utility_DisplayArrayInTable(Fertiliser_SourceData.Fertiliser_Products_Data1(),FertiliserProducts[[#Headers],[Include or Exclude]], 0)</f>
        <v/>
      </c>
      <c r="Q92" s="96" t="str" cm="1">
        <f t="array" ref="Q92">Common_InputFunctions.Utility_DisplayArrayInTable(Fertiliser_SourceData.Fertiliser_Products_Data1(),FertiliserProducts[[#Headers],[Include or Exclude]], 0)</f>
        <v/>
      </c>
      <c r="R92" s="96" t="str" cm="1">
        <f t="array" ref="R92">Common_InputFunctions.Utility_DisplayArrayInTable(Fertiliser_SourceData.Fertiliser_Products_Data1(),FertiliserProducts[[#Headers],[Include or Exclude]], 0)</f>
        <v/>
      </c>
      <c r="S92" s="96" t="str" cm="1">
        <f t="array" ref="S92">Common_InputFunctions.Utility_DisplayArrayInTable(Fertiliser_SourceData.Fertiliser_Products_Data1(),FertiliserProducts[[#Headers],[Include or Exclude]], 0)</f>
        <v/>
      </c>
      <c r="T92" s="96" t="str" cm="1">
        <f t="array" ref="T92">Common_InputFunctions.Utility_DisplayArrayInTable(Fertiliser_SourceData.Fertiliser_Products_Data1(),FertiliserProducts[[#Headers],[Include or Exclude]], 0)</f>
        <v/>
      </c>
      <c r="U92" s="96" t="str" cm="1">
        <f t="array" ref="U92">Common_InputFunctions.Utility_DisplayArrayInTable(Fertiliser_SourceData.Fertiliser_Products_Data1(),FertiliserProducts[[#Headers],[Include or Exclude]], 0)</f>
        <v/>
      </c>
      <c r="V92" s="36" t="str" cm="1">
        <f t="array" ref="V92">Common_InputFunctions.Utility_DisplayArrayInTable(Fertiliser_SourceData.Fertiliser_Products_Data1(),FertiliserProducts[[#Headers],[Include or Exclude]], 0)</f>
        <v/>
      </c>
      <c r="W92" s="36" t="str" cm="1">
        <f t="array" ref="W92">Common_InputFunctions.Utility_DisplayArrayInTable(Fertiliser_SourceData.Fertiliser_Products_Data1(),FertiliserProducts[[#Headers],[Include or Exclude]], 0)</f>
        <v/>
      </c>
      <c r="X92" s="36" t="str" cm="1">
        <f t="array" ref="X92">Common_InputFunctions.Utility_DisplayArrayInTable(Fertiliser_SourceData.Fertiliser_Products_Data1(),FertiliserProducts[[#Headers],[Include or Exclude]], 0)</f>
        <v/>
      </c>
      <c r="Y92" s="36" t="str" cm="1">
        <f t="array" ref="Y92">Common_InputFunctions.Utility_DisplayArrayInTable(Fertiliser_SourceData.Fertiliser_Products_Data1(),FertiliserProducts[[#Headers],[Include or Exclude]], 0)</f>
        <v/>
      </c>
      <c r="Z92" s="36" t="str" cm="1">
        <f t="array" ref="Z92">Common_InputFunctions.Utility_DisplayArrayInTable(Fertiliser_SourceData.Fertiliser_Products_Data1(),FertiliserProducts[[#Headers],[Include or Exclude]], 0)</f>
        <v/>
      </c>
      <c r="AA92" s="36" t="str" cm="1">
        <f t="array" ref="AA92">Common_InputFunctions.Utility_DisplayArrayInTable(Fertiliser_SourceData.Fertiliser_Products_Data1(),FertiliserProducts[[#Headers],[Include or Exclude]], 0)</f>
        <v/>
      </c>
      <c r="AB92" s="36" t="str" cm="1">
        <f t="array" ref="AB92">Common_InputFunctions.Utility_DisplayArrayInTable(Fertiliser_SourceData.Fertiliser_Products_Data1(),FertiliserProducts[[#Headers],[Include or Exclude]], 0)</f>
        <v/>
      </c>
      <c r="AC92" s="36" t="str" cm="1">
        <f t="array" ref="AC92">Common_InputFunctions.Utility_DisplayArrayInTable(Fertiliser_SourceData.Fertiliser_Products_Data1(),FertiliserProducts[[#Headers],[Include or Exclude]], 0)</f>
        <v/>
      </c>
      <c r="AD92" s="36" t="str" cm="1">
        <f t="array" ref="AD92">Common_InputFunctions.Utility_DisplayArrayInTable(Fertiliser_SourceData.Fertiliser_Products_Data1(),FertiliserProducts[[#Headers],[Include or Exclude]], 0)</f>
        <v/>
      </c>
      <c r="AE92" s="36" t="str" cm="1">
        <f t="array" ref="AE92">Common_InputFunctions.Utility_DisplayArrayInTable(Fertiliser_SourceData.Fertiliser_Products_Data1(),FertiliserProducts[[#Headers],[Include or Exclude]], 0)</f>
        <v/>
      </c>
    </row>
    <row r="93" spans="4:31" ht="20.100000000000001" customHeight="1" x14ac:dyDescent="0.25">
      <c r="D93" s="96" t="str" cm="1">
        <f t="array" ref="D93">Common_InputFunctions.Utility_DisplayArrayInTable(Fertiliser_SourceData.Fertiliser_Products_Data1(),FertiliserProducts[[#Headers],[Include or Exclude]], 0)</f>
        <v>Include</v>
      </c>
      <c r="E93" s="96" t="str" cm="1">
        <f t="array" ref="E93">Common_InputFunctions.Utility_DisplayArrayInTable(Fertiliser_SourceData.Fertiliser_Products_Data1(),FertiliserProducts[[#Headers],[Include or Exclude]], 0)</f>
        <v/>
      </c>
      <c r="F93" s="96" t="str" cm="1">
        <f t="array" ref="F93">Common_InputFunctions.Utility_DisplayArrayInTable(Fertiliser_SourceData.Fertiliser_Products_Data1(),FertiliserProducts[[#Headers],[Include or Exclude]], 0)</f>
        <v>Campbells fertilisers Australia</v>
      </c>
      <c r="G93" s="96" t="str" cm="1">
        <f t="array" ref="G93">Common_InputFunctions.Utility_DisplayArrayInTable(Fertiliser_SourceData.Fertiliser_Products_Data1(),FertiliserProducts[[#Headers],[Include or Exclude]], 0)</f>
        <v>Aqua Start</v>
      </c>
      <c r="H93" s="96" t="str" cm="1">
        <f t="array" ref="H93">Common_InputFunctions.Utility_DisplayArrayInTable(Fertiliser_SourceData.Fertiliser_Products_Data1(),FertiliserProducts[[#Headers],[Include or Exclude]], 0)</f>
        <v>L</v>
      </c>
      <c r="I93" s="96" cm="1">
        <f t="array" ref="I93">Common_InputFunctions.Utility_DisplayArrayInTable(Fertiliser_SourceData.Fertiliser_Products_Data1(),FertiliserProducts[[#Headers],[Include or Exclude]], 0)</f>
        <v>1.25</v>
      </c>
      <c r="J93" s="96" t="str" cm="1">
        <f t="array" ref="J93">Common_InputFunctions.Utility_DisplayArrayInTable(Fertiliser_SourceData.Fertiliser_Products_Data1(),FertiliserProducts[[#Headers],[Include or Exclude]], 0)</f>
        <v/>
      </c>
      <c r="K93" s="96" t="str" cm="1">
        <f t="array" ref="K93">Common_InputFunctions.Utility_DisplayArrayInTable(Fertiliser_SourceData.Fertiliser_Products_Data1(),FertiliserProducts[[#Headers],[Include or Exclude]], 0)</f>
        <v/>
      </c>
      <c r="L93" s="96" t="str" cm="1">
        <f t="array" ref="L93">Common_InputFunctions.Utility_DisplayArrayInTable(Fertiliser_SourceData.Fertiliser_Products_Data1(),FertiliserProducts[[#Headers],[Include or Exclude]], 0)</f>
        <v>Nitrogen - Generic</v>
      </c>
      <c r="M93" s="36" cm="1">
        <f t="array" ref="M93">Common_InputFunctions.Utility_DisplayArrayInTable(Fertiliser_SourceData.Fertiliser_Products_Data1(),FertiliserProducts[[#Headers],[Include or Exclude]], 0)</f>
        <v>0.10299999999999999</v>
      </c>
      <c r="N93" s="96" t="str" cm="1">
        <f t="array" ref="N93">Common_InputFunctions.Utility_DisplayArrayInTable(Fertiliser_SourceData.Fertiliser_Products_Data1(),FertiliserProducts[[#Headers],[Include or Exclude]], 0)</f>
        <v>Phosphorus - Generic</v>
      </c>
      <c r="O93" s="96" cm="1">
        <f t="array" ref="O93">Common_InputFunctions.Utility_DisplayArrayInTable(Fertiliser_SourceData.Fertiliser_Products_Data1(),FertiliserProducts[[#Headers],[Include or Exclude]], 0)</f>
        <v>0.1</v>
      </c>
      <c r="P93" s="96" t="str" cm="1">
        <f t="array" ref="P93">Common_InputFunctions.Utility_DisplayArrayInTable(Fertiliser_SourceData.Fertiliser_Products_Data1(),FertiliserProducts[[#Headers],[Include or Exclude]], 0)</f>
        <v>Potassium - Generic</v>
      </c>
      <c r="Q93" s="96" cm="1">
        <f t="array" ref="Q93">Common_InputFunctions.Utility_DisplayArrayInTable(Fertiliser_SourceData.Fertiliser_Products_Data1(),FertiliserProducts[[#Headers],[Include or Exclude]], 0)</f>
        <v>3.4000000000000002E-2</v>
      </c>
      <c r="R93" s="96" t="str" cm="1">
        <f t="array" ref="R93">Common_InputFunctions.Utility_DisplayArrayInTable(Fertiliser_SourceData.Fertiliser_Products_Data1(),FertiliserProducts[[#Headers],[Include or Exclude]], 0)</f>
        <v/>
      </c>
      <c r="S93" s="96" t="str" cm="1">
        <f t="array" ref="S93">Common_InputFunctions.Utility_DisplayArrayInTable(Fertiliser_SourceData.Fertiliser_Products_Data1(),FertiliserProducts[[#Headers],[Include or Exclude]], 0)</f>
        <v/>
      </c>
      <c r="T93" s="96" t="str" cm="1">
        <f t="array" ref="T93">Common_InputFunctions.Utility_DisplayArrayInTable(Fertiliser_SourceData.Fertiliser_Products_Data1(),FertiliserProducts[[#Headers],[Include or Exclude]], 0)</f>
        <v/>
      </c>
      <c r="U93" s="96" t="str" cm="1">
        <f t="array" ref="U93">Common_InputFunctions.Utility_DisplayArrayInTable(Fertiliser_SourceData.Fertiliser_Products_Data1(),FertiliserProducts[[#Headers],[Include or Exclude]], 0)</f>
        <v/>
      </c>
      <c r="V93" s="36" t="str" cm="1">
        <f t="array" ref="V93">Common_InputFunctions.Utility_DisplayArrayInTable(Fertiliser_SourceData.Fertiliser_Products_Data1(),FertiliserProducts[[#Headers],[Include or Exclude]], 0)</f>
        <v/>
      </c>
      <c r="W93" s="36" t="str" cm="1">
        <f t="array" ref="W93">Common_InputFunctions.Utility_DisplayArrayInTable(Fertiliser_SourceData.Fertiliser_Products_Data1(),FertiliserProducts[[#Headers],[Include or Exclude]], 0)</f>
        <v/>
      </c>
      <c r="X93" s="36" t="str" cm="1">
        <f t="array" ref="X93">Common_InputFunctions.Utility_DisplayArrayInTable(Fertiliser_SourceData.Fertiliser_Products_Data1(),FertiliserProducts[[#Headers],[Include or Exclude]], 0)</f>
        <v/>
      </c>
      <c r="Y93" s="36" t="str" cm="1">
        <f t="array" ref="Y93">Common_InputFunctions.Utility_DisplayArrayInTable(Fertiliser_SourceData.Fertiliser_Products_Data1(),FertiliserProducts[[#Headers],[Include or Exclude]], 0)</f>
        <v/>
      </c>
      <c r="Z93" s="36" t="str" cm="1">
        <f t="array" ref="Z93">Common_InputFunctions.Utility_DisplayArrayInTable(Fertiliser_SourceData.Fertiliser_Products_Data1(),FertiliserProducts[[#Headers],[Include or Exclude]], 0)</f>
        <v/>
      </c>
      <c r="AA93" s="36" t="str" cm="1">
        <f t="array" ref="AA93">Common_InputFunctions.Utility_DisplayArrayInTable(Fertiliser_SourceData.Fertiliser_Products_Data1(),FertiliserProducts[[#Headers],[Include or Exclude]], 0)</f>
        <v/>
      </c>
      <c r="AB93" s="36" t="str" cm="1">
        <f t="array" ref="AB93">Common_InputFunctions.Utility_DisplayArrayInTable(Fertiliser_SourceData.Fertiliser_Products_Data1(),FertiliserProducts[[#Headers],[Include or Exclude]], 0)</f>
        <v/>
      </c>
      <c r="AC93" s="36" t="str" cm="1">
        <f t="array" ref="AC93">Common_InputFunctions.Utility_DisplayArrayInTable(Fertiliser_SourceData.Fertiliser_Products_Data1(),FertiliserProducts[[#Headers],[Include or Exclude]], 0)</f>
        <v/>
      </c>
      <c r="AD93" s="36" t="str" cm="1">
        <f t="array" ref="AD93">Common_InputFunctions.Utility_DisplayArrayInTable(Fertiliser_SourceData.Fertiliser_Products_Data1(),FertiliserProducts[[#Headers],[Include or Exclude]], 0)</f>
        <v/>
      </c>
      <c r="AE93" s="36" t="str" cm="1">
        <f t="array" ref="AE93">Common_InputFunctions.Utility_DisplayArrayInTable(Fertiliser_SourceData.Fertiliser_Products_Data1(),FertiliserProducts[[#Headers],[Include or Exclude]], 0)</f>
        <v/>
      </c>
    </row>
    <row r="94" spans="4:31" ht="20.100000000000001" customHeight="1" x14ac:dyDescent="0.25">
      <c r="D94" s="96" t="str" cm="1">
        <f t="array" ref="D94">Common_InputFunctions.Utility_DisplayArrayInTable(Fertiliser_SourceData.Fertiliser_Products_Data1(),FertiliserProducts[[#Headers],[Include or Exclude]], 0)</f>
        <v>Include</v>
      </c>
      <c r="E94" s="96" t="str" cm="1">
        <f t="array" ref="E94">Common_InputFunctions.Utility_DisplayArrayInTable(Fertiliser_SourceData.Fertiliser_Products_Data1(),FertiliserProducts[[#Headers],[Include or Exclude]], 0)</f>
        <v/>
      </c>
      <c r="F94" s="96" t="str" cm="1">
        <f t="array" ref="F94">Common_InputFunctions.Utility_DisplayArrayInTable(Fertiliser_SourceData.Fertiliser_Products_Data1(),FertiliserProducts[[#Headers],[Include or Exclude]], 0)</f>
        <v>Campbells fertilisers Australia</v>
      </c>
      <c r="G94" s="96" t="str" cm="1">
        <f t="array" ref="G94">Common_InputFunctions.Utility_DisplayArrayInTable(Fertiliser_SourceData.Fertiliser_Products_Data1(),FertiliserProducts[[#Headers],[Include or Exclude]], 0)</f>
        <v>Aqua Thio-Complete</v>
      </c>
      <c r="H94" s="96" t="str" cm="1">
        <f t="array" ref="H94">Common_InputFunctions.Utility_DisplayArrayInTable(Fertiliser_SourceData.Fertiliser_Products_Data1(),FertiliserProducts[[#Headers],[Include or Exclude]], 0)</f>
        <v>L</v>
      </c>
      <c r="I94" s="96" cm="1">
        <f t="array" ref="I94">Common_InputFunctions.Utility_DisplayArrayInTable(Fertiliser_SourceData.Fertiliser_Products_Data1(),FertiliserProducts[[#Headers],[Include or Exclude]], 0)</f>
        <v>1.43</v>
      </c>
      <c r="J94" s="96" t="str" cm="1">
        <f t="array" ref="J94">Common_InputFunctions.Utility_DisplayArrayInTable(Fertiliser_SourceData.Fertiliser_Products_Data1(),FertiliserProducts[[#Headers],[Include or Exclude]], 0)</f>
        <v/>
      </c>
      <c r="K94" s="96" t="str" cm="1">
        <f t="array" ref="K94">Common_InputFunctions.Utility_DisplayArrayInTable(Fertiliser_SourceData.Fertiliser_Products_Data1(),FertiliserProducts[[#Headers],[Include or Exclude]], 0)</f>
        <v/>
      </c>
      <c r="L94" s="96" t="str" cm="1">
        <f t="array" ref="L94">Common_InputFunctions.Utility_DisplayArrayInTable(Fertiliser_SourceData.Fertiliser_Products_Data1(),FertiliserProducts[[#Headers],[Include or Exclude]], 0)</f>
        <v>Potassium - Generic</v>
      </c>
      <c r="M94" s="36" cm="1">
        <f t="array" ref="M94">Common_InputFunctions.Utility_DisplayArrayInTable(Fertiliser_SourceData.Fertiliser_Products_Data1(),FertiliserProducts[[#Headers],[Include or Exclude]], 0)</f>
        <v>0.22500000000000001</v>
      </c>
      <c r="N94" s="96" t="str" cm="1">
        <f t="array" ref="N94">Common_InputFunctions.Utility_DisplayArrayInTable(Fertiliser_SourceData.Fertiliser_Products_Data1(),FertiliserProducts[[#Headers],[Include or Exclude]], 0)</f>
        <v>Phosphorus - Generic</v>
      </c>
      <c r="O94" s="96" cm="1">
        <f t="array" ref="O94">Common_InputFunctions.Utility_DisplayArrayInTable(Fertiliser_SourceData.Fertiliser_Products_Data1(),FertiliserProducts[[#Headers],[Include or Exclude]], 0)</f>
        <v>3.7999999999999999E-2</v>
      </c>
      <c r="P94" s="96" t="str" cm="1">
        <f t="array" ref="P94">Common_InputFunctions.Utility_DisplayArrayInTable(Fertiliser_SourceData.Fertiliser_Products_Data1(),FertiliserProducts[[#Headers],[Include or Exclude]], 0)</f>
        <v>Nitrogen - Generic</v>
      </c>
      <c r="Q94" s="96" cm="1">
        <f t="array" ref="Q94">Common_InputFunctions.Utility_DisplayArrayInTable(Fertiliser_SourceData.Fertiliser_Products_Data1(),FertiliserProducts[[#Headers],[Include or Exclude]], 0)</f>
        <v>2.5000000000000001E-2</v>
      </c>
      <c r="R94" s="96" t="str" cm="1">
        <f t="array" ref="R94">Common_InputFunctions.Utility_DisplayArrayInTable(Fertiliser_SourceData.Fertiliser_Products_Data1(),FertiliserProducts[[#Headers],[Include or Exclude]], 0)</f>
        <v/>
      </c>
      <c r="S94" s="96" t="str" cm="1">
        <f t="array" ref="S94">Common_InputFunctions.Utility_DisplayArrayInTable(Fertiliser_SourceData.Fertiliser_Products_Data1(),FertiliserProducts[[#Headers],[Include or Exclude]], 0)</f>
        <v/>
      </c>
      <c r="T94" s="96" t="str" cm="1">
        <f t="array" ref="T94">Common_InputFunctions.Utility_DisplayArrayInTable(Fertiliser_SourceData.Fertiliser_Products_Data1(),FertiliserProducts[[#Headers],[Include or Exclude]], 0)</f>
        <v/>
      </c>
      <c r="U94" s="96" t="str" cm="1">
        <f t="array" ref="U94">Common_InputFunctions.Utility_DisplayArrayInTable(Fertiliser_SourceData.Fertiliser_Products_Data1(),FertiliserProducts[[#Headers],[Include or Exclude]], 0)</f>
        <v/>
      </c>
      <c r="V94" s="36" t="str" cm="1">
        <f t="array" ref="V94">Common_InputFunctions.Utility_DisplayArrayInTable(Fertiliser_SourceData.Fertiliser_Products_Data1(),FertiliserProducts[[#Headers],[Include or Exclude]], 0)</f>
        <v/>
      </c>
      <c r="W94" s="36" t="str" cm="1">
        <f t="array" ref="W94">Common_InputFunctions.Utility_DisplayArrayInTable(Fertiliser_SourceData.Fertiliser_Products_Data1(),FertiliserProducts[[#Headers],[Include or Exclude]], 0)</f>
        <v/>
      </c>
      <c r="X94" s="36" t="str" cm="1">
        <f t="array" ref="X94">Common_InputFunctions.Utility_DisplayArrayInTable(Fertiliser_SourceData.Fertiliser_Products_Data1(),FertiliserProducts[[#Headers],[Include or Exclude]], 0)</f>
        <v/>
      </c>
      <c r="Y94" s="36" t="str" cm="1">
        <f t="array" ref="Y94">Common_InputFunctions.Utility_DisplayArrayInTable(Fertiliser_SourceData.Fertiliser_Products_Data1(),FertiliserProducts[[#Headers],[Include or Exclude]], 0)</f>
        <v/>
      </c>
      <c r="Z94" s="36" t="str" cm="1">
        <f t="array" ref="Z94">Common_InputFunctions.Utility_DisplayArrayInTable(Fertiliser_SourceData.Fertiliser_Products_Data1(),FertiliserProducts[[#Headers],[Include or Exclude]], 0)</f>
        <v/>
      </c>
      <c r="AA94" s="36" t="str" cm="1">
        <f t="array" ref="AA94">Common_InputFunctions.Utility_DisplayArrayInTable(Fertiliser_SourceData.Fertiliser_Products_Data1(),FertiliserProducts[[#Headers],[Include or Exclude]], 0)</f>
        <v/>
      </c>
      <c r="AB94" s="36" t="str" cm="1">
        <f t="array" ref="AB94">Common_InputFunctions.Utility_DisplayArrayInTable(Fertiliser_SourceData.Fertiliser_Products_Data1(),FertiliserProducts[[#Headers],[Include or Exclude]], 0)</f>
        <v/>
      </c>
      <c r="AC94" s="36" t="str" cm="1">
        <f t="array" ref="AC94">Common_InputFunctions.Utility_DisplayArrayInTable(Fertiliser_SourceData.Fertiliser_Products_Data1(),FertiliserProducts[[#Headers],[Include or Exclude]], 0)</f>
        <v/>
      </c>
      <c r="AD94" s="36" t="str" cm="1">
        <f t="array" ref="AD94">Common_InputFunctions.Utility_DisplayArrayInTable(Fertiliser_SourceData.Fertiliser_Products_Data1(),FertiliserProducts[[#Headers],[Include or Exclude]], 0)</f>
        <v/>
      </c>
      <c r="AE94" s="36" t="str" cm="1">
        <f t="array" ref="AE94">Common_InputFunctions.Utility_DisplayArrayInTable(Fertiliser_SourceData.Fertiliser_Products_Data1(),FertiliserProducts[[#Headers],[Include or Exclude]], 0)</f>
        <v/>
      </c>
    </row>
    <row r="95" spans="4:31" ht="20.100000000000001" customHeight="1" x14ac:dyDescent="0.25">
      <c r="D95" s="96" t="str" cm="1">
        <f t="array" ref="D95">Common_InputFunctions.Utility_DisplayArrayInTable(Fertiliser_SourceData.Fertiliser_Products_Data1(),FertiliserProducts[[#Headers],[Include or Exclude]], 0)</f>
        <v>Include</v>
      </c>
      <c r="E95" s="96" t="str" cm="1">
        <f t="array" ref="E95">Common_InputFunctions.Utility_DisplayArrayInTable(Fertiliser_SourceData.Fertiliser_Products_Data1(),FertiliserProducts[[#Headers],[Include or Exclude]], 0)</f>
        <v/>
      </c>
      <c r="F95" s="96" t="str" cm="1">
        <f t="array" ref="F95">Common_InputFunctions.Utility_DisplayArrayInTable(Fertiliser_SourceData.Fertiliser_Products_Data1(),FertiliserProducts[[#Headers],[Include or Exclude]], 0)</f>
        <v>Campbells fertilisers Australia</v>
      </c>
      <c r="G95" s="96" t="str" cm="1">
        <f t="array" ref="G95">Common_InputFunctions.Utility_DisplayArrayInTable(Fertiliser_SourceData.Fertiliser_Products_Data1(),FertiliserProducts[[#Headers],[Include or Exclude]], 0)</f>
        <v>Aqua Thio-Emerge</v>
      </c>
      <c r="H95" s="96" t="str" cm="1">
        <f t="array" ref="H95">Common_InputFunctions.Utility_DisplayArrayInTable(Fertiliser_SourceData.Fertiliser_Products_Data1(),FertiliserProducts[[#Headers],[Include or Exclude]], 0)</f>
        <v>L</v>
      </c>
      <c r="I95" s="96" cm="1">
        <f t="array" ref="I95">Common_InputFunctions.Utility_DisplayArrayInTable(Fertiliser_SourceData.Fertiliser_Products_Data1(),FertiliserProducts[[#Headers],[Include or Exclude]], 0)</f>
        <v>1.29</v>
      </c>
      <c r="J95" s="96" t="str" cm="1">
        <f t="array" ref="J95">Common_InputFunctions.Utility_DisplayArrayInTable(Fertiliser_SourceData.Fertiliser_Products_Data1(),FertiliserProducts[[#Headers],[Include or Exclude]], 0)</f>
        <v/>
      </c>
      <c r="K95" s="96" t="str" cm="1">
        <f t="array" ref="K95">Common_InputFunctions.Utility_DisplayArrayInTable(Fertiliser_SourceData.Fertiliser_Products_Data1(),FertiliserProducts[[#Headers],[Include or Exclude]], 0)</f>
        <v/>
      </c>
      <c r="L95" s="96" t="str" cm="1">
        <f t="array" ref="L95">Common_InputFunctions.Utility_DisplayArrayInTable(Fertiliser_SourceData.Fertiliser_Products_Data1(),FertiliserProducts[[#Headers],[Include or Exclude]], 0)</f>
        <v>Nitrogen - Generic</v>
      </c>
      <c r="M95" s="36" cm="1">
        <f t="array" ref="M95">Common_InputFunctions.Utility_DisplayArrayInTable(Fertiliser_SourceData.Fertiliser_Products_Data1(),FertiliserProducts[[#Headers],[Include or Exclude]], 0)</f>
        <v>0.105</v>
      </c>
      <c r="N95" s="96" t="str" cm="1">
        <f t="array" ref="N95">Common_InputFunctions.Utility_DisplayArrayInTable(Fertiliser_SourceData.Fertiliser_Products_Data1(),FertiliserProducts[[#Headers],[Include or Exclude]], 0)</f>
        <v>Phosphorus - Generic</v>
      </c>
      <c r="O95" s="96" cm="1">
        <f t="array" ref="O95">Common_InputFunctions.Utility_DisplayArrayInTable(Fertiliser_SourceData.Fertiliser_Products_Data1(),FertiliserProducts[[#Headers],[Include or Exclude]], 0)</f>
        <v>9.4E-2</v>
      </c>
      <c r="P95" s="96" t="str" cm="1">
        <f t="array" ref="P95">Common_InputFunctions.Utility_DisplayArrayInTable(Fertiliser_SourceData.Fertiliser_Products_Data1(),FertiliserProducts[[#Headers],[Include or Exclude]], 0)</f>
        <v>Potassium - Generic</v>
      </c>
      <c r="Q95" s="96" cm="1">
        <f t="array" ref="Q95">Common_InputFunctions.Utility_DisplayArrayInTable(Fertiliser_SourceData.Fertiliser_Products_Data1(),FertiliserProducts[[#Headers],[Include or Exclude]], 0)</f>
        <v>0.04</v>
      </c>
      <c r="R95" s="96" t="str" cm="1">
        <f t="array" ref="R95">Common_InputFunctions.Utility_DisplayArrayInTable(Fertiliser_SourceData.Fertiliser_Products_Data1(),FertiliserProducts[[#Headers],[Include or Exclude]], 0)</f>
        <v>Sulfur - Generic</v>
      </c>
      <c r="S95" s="96" cm="1">
        <f t="array" ref="S95">Common_InputFunctions.Utility_DisplayArrayInTable(Fertiliser_SourceData.Fertiliser_Products_Data1(),FertiliserProducts[[#Headers],[Include or Exclude]], 0)</f>
        <v>0.03</v>
      </c>
      <c r="T95" s="96" t="str" cm="1">
        <f t="array" ref="T95">Common_InputFunctions.Utility_DisplayArrayInTable(Fertiliser_SourceData.Fertiliser_Products_Data1(),FertiliserProducts[[#Headers],[Include or Exclude]], 0)</f>
        <v/>
      </c>
      <c r="U95" s="96" t="str" cm="1">
        <f t="array" ref="U95">Common_InputFunctions.Utility_DisplayArrayInTable(Fertiliser_SourceData.Fertiliser_Products_Data1(),FertiliserProducts[[#Headers],[Include or Exclude]], 0)</f>
        <v/>
      </c>
      <c r="V95" s="36" t="str" cm="1">
        <f t="array" ref="V95">Common_InputFunctions.Utility_DisplayArrayInTable(Fertiliser_SourceData.Fertiliser_Products_Data1(),FertiliserProducts[[#Headers],[Include or Exclude]], 0)</f>
        <v/>
      </c>
      <c r="W95" s="36" t="str" cm="1">
        <f t="array" ref="W95">Common_InputFunctions.Utility_DisplayArrayInTable(Fertiliser_SourceData.Fertiliser_Products_Data1(),FertiliserProducts[[#Headers],[Include or Exclude]], 0)</f>
        <v/>
      </c>
      <c r="X95" s="36" t="str" cm="1">
        <f t="array" ref="X95">Common_InputFunctions.Utility_DisplayArrayInTable(Fertiliser_SourceData.Fertiliser_Products_Data1(),FertiliserProducts[[#Headers],[Include or Exclude]], 0)</f>
        <v/>
      </c>
      <c r="Y95" s="36" t="str" cm="1">
        <f t="array" ref="Y95">Common_InputFunctions.Utility_DisplayArrayInTable(Fertiliser_SourceData.Fertiliser_Products_Data1(),FertiliserProducts[[#Headers],[Include or Exclude]], 0)</f>
        <v/>
      </c>
      <c r="Z95" s="36" t="str" cm="1">
        <f t="array" ref="Z95">Common_InputFunctions.Utility_DisplayArrayInTable(Fertiliser_SourceData.Fertiliser_Products_Data1(),FertiliserProducts[[#Headers],[Include or Exclude]], 0)</f>
        <v/>
      </c>
      <c r="AA95" s="36" t="str" cm="1">
        <f t="array" ref="AA95">Common_InputFunctions.Utility_DisplayArrayInTable(Fertiliser_SourceData.Fertiliser_Products_Data1(),FertiliserProducts[[#Headers],[Include or Exclude]], 0)</f>
        <v/>
      </c>
      <c r="AB95" s="36" t="str" cm="1">
        <f t="array" ref="AB95">Common_InputFunctions.Utility_DisplayArrayInTable(Fertiliser_SourceData.Fertiliser_Products_Data1(),FertiliserProducts[[#Headers],[Include or Exclude]], 0)</f>
        <v/>
      </c>
      <c r="AC95" s="36" t="str" cm="1">
        <f t="array" ref="AC95">Common_InputFunctions.Utility_DisplayArrayInTable(Fertiliser_SourceData.Fertiliser_Products_Data1(),FertiliserProducts[[#Headers],[Include or Exclude]], 0)</f>
        <v/>
      </c>
      <c r="AD95" s="36" t="str" cm="1">
        <f t="array" ref="AD95">Common_InputFunctions.Utility_DisplayArrayInTable(Fertiliser_SourceData.Fertiliser_Products_Data1(),FertiliserProducts[[#Headers],[Include or Exclude]], 0)</f>
        <v/>
      </c>
      <c r="AE95" s="36" t="str" cm="1">
        <f t="array" ref="AE95">Common_InputFunctions.Utility_DisplayArrayInTable(Fertiliser_SourceData.Fertiliser_Products_Data1(),FertiliserProducts[[#Headers],[Include or Exclude]], 0)</f>
        <v/>
      </c>
    </row>
    <row r="96" spans="4:31" ht="20.100000000000001" customHeight="1" x14ac:dyDescent="0.25">
      <c r="D96" s="96" t="str" cm="1">
        <f t="array" ref="D96">Common_InputFunctions.Utility_DisplayArrayInTable(Fertiliser_SourceData.Fertiliser_Products_Data1(),FertiliserProducts[[#Headers],[Include or Exclude]], 0)</f>
        <v>Include</v>
      </c>
      <c r="E96" s="96" t="str" cm="1">
        <f t="array" ref="E96">Common_InputFunctions.Utility_DisplayArrayInTable(Fertiliser_SourceData.Fertiliser_Products_Data1(),FertiliserProducts[[#Headers],[Include or Exclude]], 0)</f>
        <v/>
      </c>
      <c r="F96" s="96" t="str" cm="1">
        <f t="array" ref="F96">Common_InputFunctions.Utility_DisplayArrayInTable(Fertiliser_SourceData.Fertiliser_Products_Data1(),FertiliserProducts[[#Headers],[Include or Exclude]], 0)</f>
        <v>Campbells fertilisers Australia</v>
      </c>
      <c r="G96" s="96" t="str" cm="1">
        <f t="array" ref="G96">Common_InputFunctions.Utility_DisplayArrayInTable(Fertiliser_SourceData.Fertiliser_Products_Data1(),FertiliserProducts[[#Headers],[Include or Exclude]], 0)</f>
        <v>Aqua Thio-Flourish</v>
      </c>
      <c r="H96" s="96" t="str" cm="1">
        <f t="array" ref="H96">Common_InputFunctions.Utility_DisplayArrayInTable(Fertiliser_SourceData.Fertiliser_Products_Data1(),FertiliserProducts[[#Headers],[Include or Exclude]], 0)</f>
        <v>L</v>
      </c>
      <c r="I96" s="96" cm="1">
        <f t="array" ref="I96">Common_InputFunctions.Utility_DisplayArrayInTable(Fertiliser_SourceData.Fertiliser_Products_Data1(),FertiliserProducts[[#Headers],[Include or Exclude]], 0)</f>
        <v>1.32</v>
      </c>
      <c r="J96" s="96" t="str" cm="1">
        <f t="array" ref="J96">Common_InputFunctions.Utility_DisplayArrayInTable(Fertiliser_SourceData.Fertiliser_Products_Data1(),FertiliserProducts[[#Headers],[Include or Exclude]], 0)</f>
        <v/>
      </c>
      <c r="K96" s="96" t="str" cm="1">
        <f t="array" ref="K96">Common_InputFunctions.Utility_DisplayArrayInTable(Fertiliser_SourceData.Fertiliser_Products_Data1(),FertiliserProducts[[#Headers],[Include or Exclude]], 0)</f>
        <v/>
      </c>
      <c r="L96" s="96" t="str" cm="1">
        <f t="array" ref="L96">Common_InputFunctions.Utility_DisplayArrayInTable(Fertiliser_SourceData.Fertiliser_Products_Data1(),FertiliserProducts[[#Headers],[Include or Exclude]], 0)</f>
        <v>Potassium - Generic</v>
      </c>
      <c r="M96" s="36" cm="1">
        <f t="array" ref="M96">Common_InputFunctions.Utility_DisplayArrayInTable(Fertiliser_SourceData.Fertiliser_Products_Data1(),FertiliserProducts[[#Headers],[Include or Exclude]], 0)</f>
        <v>0.108</v>
      </c>
      <c r="N96" s="96" t="str" cm="1">
        <f t="array" ref="N96">Common_InputFunctions.Utility_DisplayArrayInTable(Fertiliser_SourceData.Fertiliser_Products_Data1(),FertiliserProducts[[#Headers],[Include or Exclude]], 0)</f>
        <v>Nitrogen - Generic</v>
      </c>
      <c r="O96" s="96" cm="1">
        <f t="array" ref="O96">Common_InputFunctions.Utility_DisplayArrayInTable(Fertiliser_SourceData.Fertiliser_Products_Data1(),FertiliserProducts[[#Headers],[Include or Exclude]], 0)</f>
        <v>9.5000000000000001E-2</v>
      </c>
      <c r="P96" s="96" t="str" cm="1">
        <f t="array" ref="P96">Common_InputFunctions.Utility_DisplayArrayInTable(Fertiliser_SourceData.Fertiliser_Products_Data1(),FertiliserProducts[[#Headers],[Include or Exclude]], 0)</f>
        <v>Sulfur - Generic</v>
      </c>
      <c r="Q96" s="96" cm="1">
        <f t="array" ref="Q96">Common_InputFunctions.Utility_DisplayArrayInTable(Fertiliser_SourceData.Fertiliser_Products_Data1(),FertiliserProducts[[#Headers],[Include or Exclude]], 0)</f>
        <v>8.1000000000000003E-2</v>
      </c>
      <c r="R96" s="96" t="str" cm="1">
        <f t="array" ref="R96">Common_InputFunctions.Utility_DisplayArrayInTable(Fertiliser_SourceData.Fertiliser_Products_Data1(),FertiliserProducts[[#Headers],[Include or Exclude]], 0)</f>
        <v>Phosphorus - Generic</v>
      </c>
      <c r="S96" s="96" cm="1">
        <f t="array" ref="S96">Common_InputFunctions.Utility_DisplayArrayInTable(Fertiliser_SourceData.Fertiliser_Products_Data1(),FertiliserProducts[[#Headers],[Include or Exclude]], 0)</f>
        <v>4.7E-2</v>
      </c>
      <c r="T96" s="96" t="str" cm="1">
        <f t="array" ref="T96">Common_InputFunctions.Utility_DisplayArrayInTable(Fertiliser_SourceData.Fertiliser_Products_Data1(),FertiliserProducts[[#Headers],[Include or Exclude]], 0)</f>
        <v/>
      </c>
      <c r="U96" s="96" t="str" cm="1">
        <f t="array" ref="U96">Common_InputFunctions.Utility_DisplayArrayInTable(Fertiliser_SourceData.Fertiliser_Products_Data1(),FertiliserProducts[[#Headers],[Include or Exclude]], 0)</f>
        <v/>
      </c>
      <c r="V96" s="36" t="str" cm="1">
        <f t="array" ref="V96">Common_InputFunctions.Utility_DisplayArrayInTable(Fertiliser_SourceData.Fertiliser_Products_Data1(),FertiliserProducts[[#Headers],[Include or Exclude]], 0)</f>
        <v/>
      </c>
      <c r="W96" s="36" t="str" cm="1">
        <f t="array" ref="W96">Common_InputFunctions.Utility_DisplayArrayInTable(Fertiliser_SourceData.Fertiliser_Products_Data1(),FertiliserProducts[[#Headers],[Include or Exclude]], 0)</f>
        <v/>
      </c>
      <c r="X96" s="36" t="str" cm="1">
        <f t="array" ref="X96">Common_InputFunctions.Utility_DisplayArrayInTable(Fertiliser_SourceData.Fertiliser_Products_Data1(),FertiliserProducts[[#Headers],[Include or Exclude]], 0)</f>
        <v/>
      </c>
      <c r="Y96" s="36" t="str" cm="1">
        <f t="array" ref="Y96">Common_InputFunctions.Utility_DisplayArrayInTable(Fertiliser_SourceData.Fertiliser_Products_Data1(),FertiliserProducts[[#Headers],[Include or Exclude]], 0)</f>
        <v/>
      </c>
      <c r="Z96" s="36" t="str" cm="1">
        <f t="array" ref="Z96">Common_InputFunctions.Utility_DisplayArrayInTable(Fertiliser_SourceData.Fertiliser_Products_Data1(),FertiliserProducts[[#Headers],[Include or Exclude]], 0)</f>
        <v/>
      </c>
      <c r="AA96" s="36" t="str" cm="1">
        <f t="array" ref="AA96">Common_InputFunctions.Utility_DisplayArrayInTable(Fertiliser_SourceData.Fertiliser_Products_Data1(),FertiliserProducts[[#Headers],[Include or Exclude]], 0)</f>
        <v/>
      </c>
      <c r="AB96" s="36" t="str" cm="1">
        <f t="array" ref="AB96">Common_InputFunctions.Utility_DisplayArrayInTable(Fertiliser_SourceData.Fertiliser_Products_Data1(),FertiliserProducts[[#Headers],[Include or Exclude]], 0)</f>
        <v/>
      </c>
      <c r="AC96" s="36" t="str" cm="1">
        <f t="array" ref="AC96">Common_InputFunctions.Utility_DisplayArrayInTable(Fertiliser_SourceData.Fertiliser_Products_Data1(),FertiliserProducts[[#Headers],[Include or Exclude]], 0)</f>
        <v/>
      </c>
      <c r="AD96" s="36" t="str" cm="1">
        <f t="array" ref="AD96">Common_InputFunctions.Utility_DisplayArrayInTable(Fertiliser_SourceData.Fertiliser_Products_Data1(),FertiliserProducts[[#Headers],[Include or Exclude]], 0)</f>
        <v/>
      </c>
      <c r="AE96" s="36" t="str" cm="1">
        <f t="array" ref="AE96">Common_InputFunctions.Utility_DisplayArrayInTable(Fertiliser_SourceData.Fertiliser_Products_Data1(),FertiliserProducts[[#Headers],[Include or Exclude]], 0)</f>
        <v/>
      </c>
    </row>
    <row r="97" spans="4:31" ht="20.100000000000001" customHeight="1" x14ac:dyDescent="0.25">
      <c r="D97" s="96" t="str" cm="1">
        <f t="array" ref="D97">Common_InputFunctions.Utility_DisplayArrayInTable(Fertiliser_SourceData.Fertiliser_Products_Data1(),FertiliserProducts[[#Headers],[Include or Exclude]], 0)</f>
        <v>Include - Absent ingredients &lt; 2%</v>
      </c>
      <c r="E97" s="96" t="str" cm="1">
        <f t="array" ref="E97">Common_InputFunctions.Utility_DisplayArrayInTable(Fertiliser_SourceData.Fertiliser_Products_Data1(),FertiliserProducts[[#Headers],[Include or Exclude]], 0)</f>
        <v>Amount of urea calculated from urea nitrogen amount</v>
      </c>
      <c r="F97" s="96" t="str" cm="1">
        <f t="array" ref="F97">Common_InputFunctions.Utility_DisplayArrayInTable(Fertiliser_SourceData.Fertiliser_Products_Data1(),FertiliserProducts[[#Headers],[Include or Exclude]], 0)</f>
        <v>Campbells fertilisers Australia</v>
      </c>
      <c r="G97" s="96" t="str" cm="1">
        <f t="array" ref="G97">Common_InputFunctions.Utility_DisplayArrayInTable(Fertiliser_SourceData.Fertiliser_Products_Data1(),FertiliserProducts[[#Headers],[Include or Exclude]], 0)</f>
        <v>Boost-It</v>
      </c>
      <c r="H97" s="96" t="str" cm="1">
        <f t="array" ref="H97">Common_InputFunctions.Utility_DisplayArrayInTable(Fertiliser_SourceData.Fertiliser_Products_Data1(),FertiliserProducts[[#Headers],[Include or Exclude]], 0)</f>
        <v>kg</v>
      </c>
      <c r="I97" s="96" cm="1">
        <f t="array" ref="I97">Common_InputFunctions.Utility_DisplayArrayInTable(Fertiliser_SourceData.Fertiliser_Products_Data1(),FertiliserProducts[[#Headers],[Include or Exclude]], 0)</f>
        <v>1</v>
      </c>
      <c r="J97" s="96" t="str" cm="1">
        <f t="array" ref="J97">Common_InputFunctions.Utility_DisplayArrayInTable(Fertiliser_SourceData.Fertiliser_Products_Data1(),FertiliserProducts[[#Headers],[Include or Exclude]], 0)</f>
        <v/>
      </c>
      <c r="K97" s="96" t="str" cm="1">
        <f t="array" ref="K97">Common_InputFunctions.Utility_DisplayArrayInTable(Fertiliser_SourceData.Fertiliser_Products_Data1(),FertiliserProducts[[#Headers],[Include or Exclude]], 0)</f>
        <v/>
      </c>
      <c r="L97" s="96" t="str" cm="1">
        <f t="array" ref="L97">Common_InputFunctions.Utility_DisplayArrayInTable(Fertiliser_SourceData.Fertiliser_Products_Data1(),FertiliserProducts[[#Headers],[Include or Exclude]], 0)</f>
        <v>Urea</v>
      </c>
      <c r="M97" s="36" cm="1">
        <f t="array" ref="M97">Common_InputFunctions.Utility_DisplayArrayInTable(Fertiliser_SourceData.Fertiliser_Products_Data1(),FertiliserProducts[[#Headers],[Include or Exclude]], 0)</f>
        <v>0.52173913000000005</v>
      </c>
      <c r="N97" s="96" t="str" cm="1">
        <f t="array" ref="N97">Common_InputFunctions.Utility_DisplayArrayInTable(Fertiliser_SourceData.Fertiliser_Products_Data1(),FertiliserProducts[[#Headers],[Include or Exclude]], 0)</f>
        <v>Potassium - Generic</v>
      </c>
      <c r="O97" s="96" cm="1">
        <f t="array" ref="O97">Common_InputFunctions.Utility_DisplayArrayInTable(Fertiliser_SourceData.Fertiliser_Products_Data1(),FertiliserProducts[[#Headers],[Include or Exclude]], 0)</f>
        <v>0.08</v>
      </c>
      <c r="P97" s="96" t="str" cm="1">
        <f t="array" ref="P97">Common_InputFunctions.Utility_DisplayArrayInTable(Fertiliser_SourceData.Fertiliser_Products_Data1(),FertiliserProducts[[#Headers],[Include or Exclude]], 0)</f>
        <v>Sulfur - Generic</v>
      </c>
      <c r="Q97" s="96" cm="1">
        <f t="array" ref="Q97">Common_InputFunctions.Utility_DisplayArrayInTable(Fertiliser_SourceData.Fertiliser_Products_Data1(),FertiliserProducts[[#Headers],[Include or Exclude]], 0)</f>
        <v>5.2999999999999999E-2</v>
      </c>
      <c r="R97" s="96" t="str" cm="1">
        <f t="array" ref="R97">Common_InputFunctions.Utility_DisplayArrayInTable(Fertiliser_SourceData.Fertiliser_Products_Data1(),FertiliserProducts[[#Headers],[Include or Exclude]], 0)</f>
        <v>Phosphorus - Generic</v>
      </c>
      <c r="S97" s="96" cm="1">
        <f t="array" ref="S97">Common_InputFunctions.Utility_DisplayArrayInTable(Fertiliser_SourceData.Fertiliser_Products_Data1(),FertiliserProducts[[#Headers],[Include or Exclude]], 0)</f>
        <v>5.1999999999999998E-2</v>
      </c>
      <c r="T97" s="96" t="str" cm="1">
        <f t="array" ref="T97">Common_InputFunctions.Utility_DisplayArrayInTable(Fertiliser_SourceData.Fertiliser_Products_Data1(),FertiliserProducts[[#Headers],[Include or Exclude]], 0)</f>
        <v>Magnesium</v>
      </c>
      <c r="U97" s="96" cm="1">
        <f t="array" ref="U97">Common_InputFunctions.Utility_DisplayArrayInTable(Fertiliser_SourceData.Fertiliser_Products_Data1(),FertiliserProducts[[#Headers],[Include or Exclude]], 0)</f>
        <v>1.2999999999999999E-2</v>
      </c>
      <c r="V97" s="36" t="str" cm="1">
        <f t="array" ref="V97">Common_InputFunctions.Utility_DisplayArrayInTable(Fertiliser_SourceData.Fertiliser_Products_Data1(),FertiliserProducts[[#Headers],[Include or Exclude]], 0)</f>
        <v>Zinc</v>
      </c>
      <c r="W97" s="36" cm="1">
        <f t="array" ref="W97">Common_InputFunctions.Utility_DisplayArrayInTable(Fertiliser_SourceData.Fertiliser_Products_Data1(),FertiliserProducts[[#Headers],[Include or Exclude]], 0)</f>
        <v>2E-3</v>
      </c>
      <c r="X97" s="36" t="str" cm="1">
        <f t="array" ref="X97">Common_InputFunctions.Utility_DisplayArrayInTable(Fertiliser_SourceData.Fertiliser_Products_Data1(),FertiliserProducts[[#Headers],[Include or Exclude]], 0)</f>
        <v>Manganese</v>
      </c>
      <c r="Y97" s="36" cm="1">
        <f t="array" ref="Y97">Common_InputFunctions.Utility_DisplayArrayInTable(Fertiliser_SourceData.Fertiliser_Products_Data1(),FertiliserProducts[[#Headers],[Include or Exclude]], 0)</f>
        <v>3.5000000000000001E-3</v>
      </c>
      <c r="Z97" s="36" t="str" cm="1">
        <f t="array" ref="Z97">Common_InputFunctions.Utility_DisplayArrayInTable(Fertiliser_SourceData.Fertiliser_Products_Data1(),FertiliserProducts[[#Headers],[Include or Exclude]], 0)</f>
        <v>Iron</v>
      </c>
      <c r="AA97" s="36" cm="1">
        <f t="array" ref="AA97">Common_InputFunctions.Utility_DisplayArrayInTable(Fertiliser_SourceData.Fertiliser_Products_Data1(),FertiliserProducts[[#Headers],[Include or Exclude]], 0)</f>
        <v>1.2999999999999999E-3</v>
      </c>
      <c r="AB97" s="36" t="str" cm="1">
        <f t="array" ref="AB97">Common_InputFunctions.Utility_DisplayArrayInTable(Fertiliser_SourceData.Fertiliser_Products_Data1(),FertiliserProducts[[#Headers],[Include or Exclude]], 0)</f>
        <v>Copper</v>
      </c>
      <c r="AC97" s="36" cm="1">
        <f t="array" ref="AC97">Common_InputFunctions.Utility_DisplayArrayInTable(Fertiliser_SourceData.Fertiliser_Products_Data1(),FertiliserProducts[[#Headers],[Include or Exclude]], 0)</f>
        <v>6.9999999999999999E-4</v>
      </c>
      <c r="AD97" s="36" t="str" cm="1">
        <f t="array" ref="AD97">Common_InputFunctions.Utility_DisplayArrayInTable(Fertiliser_SourceData.Fertiliser_Products_Data1(),FertiliserProducts[[#Headers],[Include or Exclude]], 0)</f>
        <v>Boron</v>
      </c>
      <c r="AE97" s="36" cm="1">
        <f t="array" ref="AE97">Common_InputFunctions.Utility_DisplayArrayInTable(Fertiliser_SourceData.Fertiliser_Products_Data1(),FertiliserProducts[[#Headers],[Include or Exclude]], 0)</f>
        <v>6.9999999999999999E-4</v>
      </c>
    </row>
    <row r="98" spans="4:31" ht="20.100000000000001" customHeight="1" x14ac:dyDescent="0.25">
      <c r="D98" s="96" t="str" cm="1">
        <f t="array" ref="D98">Common_InputFunctions.Utility_DisplayArrayInTable(Fertiliser_SourceData.Fertiliser_Products_Data1(),FertiliserProducts[[#Headers],[Include or Exclude]], 0)</f>
        <v>Include</v>
      </c>
      <c r="E98" s="96" t="str" cm="1">
        <f t="array" ref="E98">Common_InputFunctions.Utility_DisplayArrayInTable(Fertiliser_SourceData.Fertiliser_Products_Data1(),FertiliserProducts[[#Headers],[Include or Exclude]], 0)</f>
        <v/>
      </c>
      <c r="F98" s="96" t="str" cm="1">
        <f t="array" ref="F98">Common_InputFunctions.Utility_DisplayArrayInTable(Fertiliser_SourceData.Fertiliser_Products_Data1(),FertiliserProducts[[#Headers],[Include or Exclude]], 0)</f>
        <v>Campbells fertilisers Australia</v>
      </c>
      <c r="G98" s="96" t="str" cm="1">
        <f t="array" ref="G98">Common_InputFunctions.Utility_DisplayArrayInTable(Fertiliser_SourceData.Fertiliser_Products_Data1(),FertiliserProducts[[#Headers],[Include or Exclude]], 0)</f>
        <v>Bronze</v>
      </c>
      <c r="H98" s="96" t="str" cm="1">
        <f t="array" ref="H98">Common_InputFunctions.Utility_DisplayArrayInTable(Fertiliser_SourceData.Fertiliser_Products_Data1(),FertiliserProducts[[#Headers],[Include or Exclude]], 0)</f>
        <v>kg</v>
      </c>
      <c r="I98" s="96" cm="1">
        <f t="array" ref="I98">Common_InputFunctions.Utility_DisplayArrayInTable(Fertiliser_SourceData.Fertiliser_Products_Data1(),FertiliserProducts[[#Headers],[Include or Exclude]], 0)</f>
        <v>1</v>
      </c>
      <c r="J98" s="96" t="str" cm="1">
        <f t="array" ref="J98">Common_InputFunctions.Utility_DisplayArrayInTable(Fertiliser_SourceData.Fertiliser_Products_Data1(),FertiliserProducts[[#Headers],[Include or Exclude]], 0)</f>
        <v/>
      </c>
      <c r="K98" s="96" t="str" cm="1">
        <f t="array" ref="K98">Common_InputFunctions.Utility_DisplayArrayInTable(Fertiliser_SourceData.Fertiliser_Products_Data1(),FertiliserProducts[[#Headers],[Include or Exclude]], 0)</f>
        <v/>
      </c>
      <c r="L98" s="96" t="str" cm="1">
        <f t="array" ref="L98">Common_InputFunctions.Utility_DisplayArrayInTable(Fertiliser_SourceData.Fertiliser_Products_Data1(),FertiliserProducts[[#Headers],[Include or Exclude]], 0)</f>
        <v>Muriate of Potash (MOP)</v>
      </c>
      <c r="M98" s="36" cm="1">
        <f t="array" ref="M98">Common_InputFunctions.Utility_DisplayArrayInTable(Fertiliser_SourceData.Fertiliser_Products_Data1(),FertiliserProducts[[#Headers],[Include or Exclude]], 0)</f>
        <v>0.23200000000000001</v>
      </c>
      <c r="N98" s="96" t="str" cm="1">
        <f t="array" ref="N98">Common_InputFunctions.Utility_DisplayArrayInTable(Fertiliser_SourceData.Fertiliser_Products_Data1(),FertiliserProducts[[#Headers],[Include or Exclude]], 0)</f>
        <v>Nitrogen - Generic</v>
      </c>
      <c r="O98" s="96" cm="1">
        <f t="array" ref="O98">Common_InputFunctions.Utility_DisplayArrayInTable(Fertiliser_SourceData.Fertiliser_Products_Data1(),FertiliserProducts[[#Headers],[Include or Exclude]], 0)</f>
        <v>0.17</v>
      </c>
      <c r="P98" s="96" t="str" cm="1">
        <f t="array" ref="P98">Common_InputFunctions.Utility_DisplayArrayInTable(Fertiliser_SourceData.Fertiliser_Products_Data1(),FertiliserProducts[[#Headers],[Include or Exclude]], 0)</f>
        <v>Sulfur - Generic</v>
      </c>
      <c r="Q98" s="96" cm="1">
        <f t="array" ref="Q98">Common_InputFunctions.Utility_DisplayArrayInTable(Fertiliser_SourceData.Fertiliser_Products_Data1(),FertiliserProducts[[#Headers],[Include or Exclude]], 0)</f>
        <v>5.0000000000000001E-3</v>
      </c>
      <c r="R98" s="96" t="str" cm="1">
        <f t="array" ref="R98">Common_InputFunctions.Utility_DisplayArrayInTable(Fertiliser_SourceData.Fertiliser_Products_Data1(),FertiliserProducts[[#Headers],[Include or Exclude]], 0)</f>
        <v>Magnesium</v>
      </c>
      <c r="S98" s="96" cm="1">
        <f t="array" ref="S98">Common_InputFunctions.Utility_DisplayArrayInTable(Fertiliser_SourceData.Fertiliser_Products_Data1(),FertiliserProducts[[#Headers],[Include or Exclude]], 0)</f>
        <v>2.3999999999999998E-3</v>
      </c>
      <c r="T98" s="96" t="str" cm="1">
        <f t="array" ref="T98">Common_InputFunctions.Utility_DisplayArrayInTable(Fertiliser_SourceData.Fertiliser_Products_Data1(),FertiliserProducts[[#Headers],[Include or Exclude]], 0)</f>
        <v>Phosphorus - Generic</v>
      </c>
      <c r="U98" s="96" cm="1">
        <f t="array" ref="U98">Common_InputFunctions.Utility_DisplayArrayInTable(Fertiliser_SourceData.Fertiliser_Products_Data1(),FertiliserProducts[[#Headers],[Include or Exclude]], 0)</f>
        <v>4.0000000000000002E-4</v>
      </c>
      <c r="V98" s="36" t="str" cm="1">
        <f t="array" ref="V98">Common_InputFunctions.Utility_DisplayArrayInTable(Fertiliser_SourceData.Fertiliser_Products_Data1(),FertiliserProducts[[#Headers],[Include or Exclude]], 0)</f>
        <v/>
      </c>
      <c r="W98" s="36" t="str" cm="1">
        <f t="array" ref="W98">Common_InputFunctions.Utility_DisplayArrayInTable(Fertiliser_SourceData.Fertiliser_Products_Data1(),FertiliserProducts[[#Headers],[Include or Exclude]], 0)</f>
        <v/>
      </c>
      <c r="X98" s="36" t="str" cm="1">
        <f t="array" ref="X98">Common_InputFunctions.Utility_DisplayArrayInTable(Fertiliser_SourceData.Fertiliser_Products_Data1(),FertiliserProducts[[#Headers],[Include or Exclude]], 0)</f>
        <v/>
      </c>
      <c r="Y98" s="36" t="str" cm="1">
        <f t="array" ref="Y98">Common_InputFunctions.Utility_DisplayArrayInTable(Fertiliser_SourceData.Fertiliser_Products_Data1(),FertiliserProducts[[#Headers],[Include or Exclude]], 0)</f>
        <v/>
      </c>
      <c r="Z98" s="36" t="str" cm="1">
        <f t="array" ref="Z98">Common_InputFunctions.Utility_DisplayArrayInTable(Fertiliser_SourceData.Fertiliser_Products_Data1(),FertiliserProducts[[#Headers],[Include or Exclude]], 0)</f>
        <v/>
      </c>
      <c r="AA98" s="36" t="str" cm="1">
        <f t="array" ref="AA98">Common_InputFunctions.Utility_DisplayArrayInTable(Fertiliser_SourceData.Fertiliser_Products_Data1(),FertiliserProducts[[#Headers],[Include or Exclude]], 0)</f>
        <v/>
      </c>
      <c r="AB98" s="36" t="str" cm="1">
        <f t="array" ref="AB98">Common_InputFunctions.Utility_DisplayArrayInTable(Fertiliser_SourceData.Fertiliser_Products_Data1(),FertiliserProducts[[#Headers],[Include or Exclude]], 0)</f>
        <v/>
      </c>
      <c r="AC98" s="36" t="str" cm="1">
        <f t="array" ref="AC98">Common_InputFunctions.Utility_DisplayArrayInTable(Fertiliser_SourceData.Fertiliser_Products_Data1(),FertiliserProducts[[#Headers],[Include or Exclude]], 0)</f>
        <v/>
      </c>
      <c r="AD98" s="36" t="str" cm="1">
        <f t="array" ref="AD98">Common_InputFunctions.Utility_DisplayArrayInTable(Fertiliser_SourceData.Fertiliser_Products_Data1(),FertiliserProducts[[#Headers],[Include or Exclude]], 0)</f>
        <v/>
      </c>
      <c r="AE98" s="36" t="str" cm="1">
        <f t="array" ref="AE98">Common_InputFunctions.Utility_DisplayArrayInTable(Fertiliser_SourceData.Fertiliser_Products_Data1(),FertiliserProducts[[#Headers],[Include or Exclude]], 0)</f>
        <v/>
      </c>
    </row>
    <row r="99" spans="4:31" ht="20.100000000000001" customHeight="1" x14ac:dyDescent="0.25">
      <c r="D99" s="96" t="str" cm="1">
        <f t="array" ref="D99">Common_InputFunctions.Utility_DisplayArrayInTable(Fertiliser_SourceData.Fertiliser_Products_Data1(),FertiliserProducts[[#Headers],[Include or Exclude]], 0)</f>
        <v>Include</v>
      </c>
      <c r="E99" s="96" t="str" cm="1">
        <f t="array" ref="E99">Common_InputFunctions.Utility_DisplayArrayInTable(Fertiliser_SourceData.Fertiliser_Products_Data1(),FertiliserProducts[[#Headers],[Include or Exclude]], 0)</f>
        <v>50/50 nitrate and ammoniacal nitrogen (ammonium nitrate)</v>
      </c>
      <c r="F99" s="96" t="str" cm="1">
        <f t="array" ref="F99">Common_InputFunctions.Utility_DisplayArrayInTable(Fertiliser_SourceData.Fertiliser_Products_Data1(),FertiliserProducts[[#Headers],[Include or Exclude]], 0)</f>
        <v>Campbells fertilisers Australia</v>
      </c>
      <c r="G99" s="96" t="str" cm="1">
        <f t="array" ref="G99">Common_InputFunctions.Utility_DisplayArrayInTable(Fertiliser_SourceData.Fertiliser_Products_Data1(),FertiliserProducts[[#Headers],[Include or Exclude]], 0)</f>
        <v>Compass</v>
      </c>
      <c r="H99" s="96" t="str" cm="1">
        <f t="array" ref="H99">Common_InputFunctions.Utility_DisplayArrayInTable(Fertiliser_SourceData.Fertiliser_Products_Data1(),FertiliserProducts[[#Headers],[Include or Exclude]], 0)</f>
        <v>kg</v>
      </c>
      <c r="I99" s="96" cm="1">
        <f t="array" ref="I99">Common_InputFunctions.Utility_DisplayArrayInTable(Fertiliser_SourceData.Fertiliser_Products_Data1(),FertiliserProducts[[#Headers],[Include or Exclude]], 0)</f>
        <v>1</v>
      </c>
      <c r="J99" s="96" t="str" cm="1">
        <f t="array" ref="J99">Common_InputFunctions.Utility_DisplayArrayInTable(Fertiliser_SourceData.Fertiliser_Products_Data1(),FertiliserProducts[[#Headers],[Include or Exclude]], 0)</f>
        <v/>
      </c>
      <c r="K99" s="96" t="str" cm="1">
        <f t="array" ref="K99">Common_InputFunctions.Utility_DisplayArrayInTable(Fertiliser_SourceData.Fertiliser_Products_Data1(),FertiliserProducts[[#Headers],[Include or Exclude]], 0)</f>
        <v/>
      </c>
      <c r="L99" s="96" t="str" cm="1">
        <f t="array" ref="L99">Common_InputFunctions.Utility_DisplayArrayInTable(Fertiliser_SourceData.Fertiliser_Products_Data1(),FertiliserProducts[[#Headers],[Include or Exclude]], 0)</f>
        <v>Nitrogen - Ammoniacal</v>
      </c>
      <c r="M99" s="36" cm="1">
        <f t="array" ref="M99">Common_InputFunctions.Utility_DisplayArrayInTable(Fertiliser_SourceData.Fertiliser_Products_Data1(),FertiliserProducts[[#Headers],[Include or Exclude]], 0)</f>
        <v>7.4999999999999997E-2</v>
      </c>
      <c r="N99" s="96" t="str" cm="1">
        <f t="array" ref="N99">Common_InputFunctions.Utility_DisplayArrayInTable(Fertiliser_SourceData.Fertiliser_Products_Data1(),FertiliserProducts[[#Headers],[Include or Exclude]], 0)</f>
        <v>Nitrogen - Nitrate</v>
      </c>
      <c r="O99" s="96" cm="1">
        <f t="array" ref="O99">Common_InputFunctions.Utility_DisplayArrayInTable(Fertiliser_SourceData.Fertiliser_Products_Data1(),FertiliserProducts[[#Headers],[Include or Exclude]], 0)</f>
        <v>7.4999999999999997E-2</v>
      </c>
      <c r="P99" s="96" t="str" cm="1">
        <f t="array" ref="P99">Common_InputFunctions.Utility_DisplayArrayInTable(Fertiliser_SourceData.Fertiliser_Products_Data1(),FertiliserProducts[[#Headers],[Include or Exclude]], 0)</f>
        <v>Potassium - Generic</v>
      </c>
      <c r="Q99" s="96" cm="1">
        <f t="array" ref="Q99">Common_InputFunctions.Utility_DisplayArrayInTable(Fertiliser_SourceData.Fertiliser_Products_Data1(),FertiliserProducts[[#Headers],[Include or Exclude]], 0)</f>
        <v>0.125</v>
      </c>
      <c r="R99" s="96" t="str" cm="1">
        <f t="array" ref="R99">Common_InputFunctions.Utility_DisplayArrayInTable(Fertiliser_SourceData.Fertiliser_Products_Data1(),FertiliserProducts[[#Headers],[Include or Exclude]], 0)</f>
        <v>Phosphorus-Generic</v>
      </c>
      <c r="S99" s="96" cm="1">
        <f t="array" ref="S99">Common_InputFunctions.Utility_DisplayArrayInTable(Fertiliser_SourceData.Fertiliser_Products_Data1(),FertiliserProducts[[#Headers],[Include or Exclude]], 0)</f>
        <v>6.5000000000000002E-2</v>
      </c>
      <c r="T99" s="96" t="str" cm="1">
        <f t="array" ref="T99">Common_InputFunctions.Utility_DisplayArrayInTable(Fertiliser_SourceData.Fertiliser_Products_Data1(),FertiliserProducts[[#Headers],[Include or Exclude]], 0)</f>
        <v>Sulfur - Generic</v>
      </c>
      <c r="U99" s="96" cm="1">
        <f t="array" ref="U99">Common_InputFunctions.Utility_DisplayArrayInTable(Fertiliser_SourceData.Fertiliser_Products_Data1(),FertiliserProducts[[#Headers],[Include or Exclude]], 0)</f>
        <v>0.06</v>
      </c>
      <c r="V99" s="36" t="str" cm="1">
        <f t="array" ref="V99">Common_InputFunctions.Utility_DisplayArrayInTable(Fertiliser_SourceData.Fertiliser_Products_Data1(),FertiliserProducts[[#Headers],[Include or Exclude]], 0)</f>
        <v/>
      </c>
      <c r="W99" s="36" t="str" cm="1">
        <f t="array" ref="W99">Common_InputFunctions.Utility_DisplayArrayInTable(Fertiliser_SourceData.Fertiliser_Products_Data1(),FertiliserProducts[[#Headers],[Include or Exclude]], 0)</f>
        <v/>
      </c>
      <c r="X99" s="36" t="str" cm="1">
        <f t="array" ref="X99">Common_InputFunctions.Utility_DisplayArrayInTable(Fertiliser_SourceData.Fertiliser_Products_Data1(),FertiliserProducts[[#Headers],[Include or Exclude]], 0)</f>
        <v/>
      </c>
      <c r="Y99" s="36" t="str" cm="1">
        <f t="array" ref="Y99">Common_InputFunctions.Utility_DisplayArrayInTable(Fertiliser_SourceData.Fertiliser_Products_Data1(),FertiliserProducts[[#Headers],[Include or Exclude]], 0)</f>
        <v/>
      </c>
      <c r="Z99" s="36" t="str" cm="1">
        <f t="array" ref="Z99">Common_InputFunctions.Utility_DisplayArrayInTable(Fertiliser_SourceData.Fertiliser_Products_Data1(),FertiliserProducts[[#Headers],[Include or Exclude]], 0)</f>
        <v/>
      </c>
      <c r="AA99" s="36" t="str" cm="1">
        <f t="array" ref="AA99">Common_InputFunctions.Utility_DisplayArrayInTable(Fertiliser_SourceData.Fertiliser_Products_Data1(),FertiliserProducts[[#Headers],[Include or Exclude]], 0)</f>
        <v/>
      </c>
      <c r="AB99" s="36" t="str" cm="1">
        <f t="array" ref="AB99">Common_InputFunctions.Utility_DisplayArrayInTable(Fertiliser_SourceData.Fertiliser_Products_Data1(),FertiliserProducts[[#Headers],[Include or Exclude]], 0)</f>
        <v/>
      </c>
      <c r="AC99" s="36" t="str" cm="1">
        <f t="array" ref="AC99">Common_InputFunctions.Utility_DisplayArrayInTable(Fertiliser_SourceData.Fertiliser_Products_Data1(),FertiliserProducts[[#Headers],[Include or Exclude]], 0)</f>
        <v/>
      </c>
      <c r="AD99" s="36" t="str" cm="1">
        <f t="array" ref="AD99">Common_InputFunctions.Utility_DisplayArrayInTable(Fertiliser_SourceData.Fertiliser_Products_Data1(),FertiliserProducts[[#Headers],[Include or Exclude]], 0)</f>
        <v/>
      </c>
      <c r="AE99" s="36" t="str" cm="1">
        <f t="array" ref="AE99">Common_InputFunctions.Utility_DisplayArrayInTable(Fertiliser_SourceData.Fertiliser_Products_Data1(),FertiliserProducts[[#Headers],[Include or Exclude]], 0)</f>
        <v/>
      </c>
    </row>
    <row r="100" spans="4:31" ht="20.100000000000001" customHeight="1" x14ac:dyDescent="0.25">
      <c r="D100" s="96" t="str" cm="1">
        <f t="array" ref="D100">Common_InputFunctions.Utility_DisplayArrayInTable(Fertiliser_SourceData.Fertiliser_Products_Data1(),FertiliserProducts[[#Headers],[Include or Exclude]], 0)</f>
        <v>Include - Absent ingredients &lt; 2%</v>
      </c>
      <c r="E100" s="96" t="str" cm="1">
        <f t="array" ref="E100">Common_InputFunctions.Utility_DisplayArrayInTable(Fertiliser_SourceData.Fertiliser_Products_Data1(),FertiliserProducts[[#Headers],[Include or Exclude]], 0)</f>
        <v>Controlled release N treated as generic, Amount of urea calculated from urea nitrogen amount</v>
      </c>
      <c r="F100" s="96" t="str" cm="1">
        <f t="array" ref="F100">Common_InputFunctions.Utility_DisplayArrayInTable(Fertiliser_SourceData.Fertiliser_Products_Data1(),FertiliserProducts[[#Headers],[Include or Exclude]], 0)</f>
        <v>Campbells fertilisers Australia</v>
      </c>
      <c r="G100" s="96" t="str" cm="1">
        <f t="array" ref="G100">Common_InputFunctions.Utility_DisplayArrayInTable(Fertiliser_SourceData.Fertiliser_Products_Data1(),FertiliserProducts[[#Headers],[Include or Exclude]], 0)</f>
        <v>CoRoN 12-0-10</v>
      </c>
      <c r="H100" s="96" t="str" cm="1">
        <f t="array" ref="H100">Common_InputFunctions.Utility_DisplayArrayInTable(Fertiliser_SourceData.Fertiliser_Products_Data1(),FertiliserProducts[[#Headers],[Include or Exclude]], 0)</f>
        <v>L</v>
      </c>
      <c r="I100" s="96" cm="1">
        <f t="array" ref="I100">Common_InputFunctions.Utility_DisplayArrayInTable(Fertiliser_SourceData.Fertiliser_Products_Data1(),FertiliserProducts[[#Headers],[Include or Exclude]], 0)</f>
        <v>1.2150000000000001</v>
      </c>
      <c r="J100" s="96" t="str" cm="1">
        <f t="array" ref="J100">Common_InputFunctions.Utility_DisplayArrayInTable(Fertiliser_SourceData.Fertiliser_Products_Data1(),FertiliserProducts[[#Headers],[Include or Exclude]], 0)</f>
        <v/>
      </c>
      <c r="K100" s="96" t="str" cm="1">
        <f t="array" ref="K100">Common_InputFunctions.Utility_DisplayArrayInTable(Fertiliser_SourceData.Fertiliser_Products_Data1(),FertiliserProducts[[#Headers],[Include or Exclude]], 0)</f>
        <v/>
      </c>
      <c r="L100" s="96" t="str" cm="1">
        <f t="array" ref="L100">Common_InputFunctions.Utility_DisplayArrayInTable(Fertiliser_SourceData.Fertiliser_Products_Data1(),FertiliserProducts[[#Headers],[Include or Exclude]], 0)</f>
        <v>Urea</v>
      </c>
      <c r="M100" s="36" cm="1">
        <f t="array" ref="M100">Common_InputFunctions.Utility_DisplayArrayInTable(Fertiliser_SourceData.Fertiliser_Products_Data1(),FertiliserProducts[[#Headers],[Include or Exclude]], 0)</f>
        <v>0.19565217400000001</v>
      </c>
      <c r="N100" s="96" t="str" cm="1">
        <f t="array" ref="N100">Common_InputFunctions.Utility_DisplayArrayInTable(Fertiliser_SourceData.Fertiliser_Products_Data1(),FertiliserProducts[[#Headers],[Include or Exclude]], 0)</f>
        <v>Potassium - Generic</v>
      </c>
      <c r="O100" s="96" cm="1">
        <f t="array" ref="O100">Common_InputFunctions.Utility_DisplayArrayInTable(Fertiliser_SourceData.Fertiliser_Products_Data1(),FertiliserProducts[[#Headers],[Include or Exclude]], 0)</f>
        <v>0.1</v>
      </c>
      <c r="P100" s="96" t="str" cm="1">
        <f t="array" ref="P100">Common_InputFunctions.Utility_DisplayArrayInTable(Fertiliser_SourceData.Fertiliser_Products_Data1(),FertiliserProducts[[#Headers],[Include or Exclude]], 0)</f>
        <v>Nitrogen - Generic</v>
      </c>
      <c r="Q100" s="96" cm="1">
        <f t="array" ref="Q100">Common_InputFunctions.Utility_DisplayArrayInTable(Fertiliser_SourceData.Fertiliser_Products_Data1(),FertiliserProducts[[#Headers],[Include or Exclude]], 0)</f>
        <v>0.03</v>
      </c>
      <c r="R100" s="96" t="str" cm="1">
        <f t="array" ref="R100">Common_InputFunctions.Utility_DisplayArrayInTable(Fertiliser_SourceData.Fertiliser_Products_Data1(),FertiliserProducts[[#Headers],[Include or Exclude]], 0)</f>
        <v>Boron</v>
      </c>
      <c r="S100" s="96" cm="1">
        <f t="array" ref="S100">Common_InputFunctions.Utility_DisplayArrayInTable(Fertiliser_SourceData.Fertiliser_Products_Data1(),FertiliserProducts[[#Headers],[Include or Exclude]], 0)</f>
        <v>5.0000000000000001E-3</v>
      </c>
      <c r="T100" s="96" t="str" cm="1">
        <f t="array" ref="T100">Common_InputFunctions.Utility_DisplayArrayInTable(Fertiliser_SourceData.Fertiliser_Products_Data1(),FertiliserProducts[[#Headers],[Include or Exclude]], 0)</f>
        <v/>
      </c>
      <c r="U100" s="96" t="str" cm="1">
        <f t="array" ref="U100">Common_InputFunctions.Utility_DisplayArrayInTable(Fertiliser_SourceData.Fertiliser_Products_Data1(),FertiliserProducts[[#Headers],[Include or Exclude]], 0)</f>
        <v/>
      </c>
      <c r="V100" s="36" t="str" cm="1">
        <f t="array" ref="V100">Common_InputFunctions.Utility_DisplayArrayInTable(Fertiliser_SourceData.Fertiliser_Products_Data1(),FertiliserProducts[[#Headers],[Include or Exclude]], 0)</f>
        <v/>
      </c>
      <c r="W100" s="36" t="str" cm="1">
        <f t="array" ref="W100">Common_InputFunctions.Utility_DisplayArrayInTable(Fertiliser_SourceData.Fertiliser_Products_Data1(),FertiliserProducts[[#Headers],[Include or Exclude]], 0)</f>
        <v/>
      </c>
      <c r="X100" s="36" t="str" cm="1">
        <f t="array" ref="X100">Common_InputFunctions.Utility_DisplayArrayInTable(Fertiliser_SourceData.Fertiliser_Products_Data1(),FertiliserProducts[[#Headers],[Include or Exclude]], 0)</f>
        <v/>
      </c>
      <c r="Y100" s="36" t="str" cm="1">
        <f t="array" ref="Y100">Common_InputFunctions.Utility_DisplayArrayInTable(Fertiliser_SourceData.Fertiliser_Products_Data1(),FertiliserProducts[[#Headers],[Include or Exclude]], 0)</f>
        <v/>
      </c>
      <c r="Z100" s="36" t="str" cm="1">
        <f t="array" ref="Z100">Common_InputFunctions.Utility_DisplayArrayInTable(Fertiliser_SourceData.Fertiliser_Products_Data1(),FertiliserProducts[[#Headers],[Include or Exclude]], 0)</f>
        <v/>
      </c>
      <c r="AA100" s="36" t="str" cm="1">
        <f t="array" ref="AA100">Common_InputFunctions.Utility_DisplayArrayInTable(Fertiliser_SourceData.Fertiliser_Products_Data1(),FertiliserProducts[[#Headers],[Include or Exclude]], 0)</f>
        <v/>
      </c>
      <c r="AB100" s="36" t="str" cm="1">
        <f t="array" ref="AB100">Common_InputFunctions.Utility_DisplayArrayInTable(Fertiliser_SourceData.Fertiliser_Products_Data1(),FertiliserProducts[[#Headers],[Include or Exclude]], 0)</f>
        <v/>
      </c>
      <c r="AC100" s="36" t="str" cm="1">
        <f t="array" ref="AC100">Common_InputFunctions.Utility_DisplayArrayInTable(Fertiliser_SourceData.Fertiliser_Products_Data1(),FertiliserProducts[[#Headers],[Include or Exclude]], 0)</f>
        <v/>
      </c>
      <c r="AD100" s="36" t="str" cm="1">
        <f t="array" ref="AD100">Common_InputFunctions.Utility_DisplayArrayInTable(Fertiliser_SourceData.Fertiliser_Products_Data1(),FertiliserProducts[[#Headers],[Include or Exclude]], 0)</f>
        <v/>
      </c>
      <c r="AE100" s="36" t="str" cm="1">
        <f t="array" ref="AE100">Common_InputFunctions.Utility_DisplayArrayInTable(Fertiliser_SourceData.Fertiliser_Products_Data1(),FertiliserProducts[[#Headers],[Include or Exclude]], 0)</f>
        <v/>
      </c>
    </row>
    <row r="101" spans="4:31" ht="20.100000000000001" customHeight="1" x14ac:dyDescent="0.25">
      <c r="D101" s="96" t="str" cm="1">
        <f t="array" ref="D101">Common_InputFunctions.Utility_DisplayArrayInTable(Fertiliser_SourceData.Fertiliser_Products_Data1(),FertiliserProducts[[#Headers],[Include or Exclude]], 0)</f>
        <v/>
      </c>
      <c r="E101" s="96" t="str" cm="1">
        <f t="array" ref="E101">Common_InputFunctions.Utility_DisplayArrayInTable(Fertiliser_SourceData.Fertiliser_Products_Data1(),FertiliserProducts[[#Headers],[Include or Exclude]], 0)</f>
        <v/>
      </c>
      <c r="F101" s="96" t="str" cm="1">
        <f t="array" ref="F101">Common_InputFunctions.Utility_DisplayArrayInTable(Fertiliser_SourceData.Fertiliser_Products_Data1(),FertiliserProducts[[#Headers],[Include or Exclude]], 0)</f>
        <v/>
      </c>
      <c r="G101" s="96" t="str" cm="1">
        <f t="array" ref="G101">Common_InputFunctions.Utility_DisplayArrayInTable(Fertiliser_SourceData.Fertiliser_Products_Data1(),FertiliserProducts[[#Headers],[Include or Exclude]], 0)</f>
        <v/>
      </c>
      <c r="H101" s="96" t="str" cm="1">
        <f t="array" ref="H101">Common_InputFunctions.Utility_DisplayArrayInTable(Fertiliser_SourceData.Fertiliser_Products_Data1(),FertiliserProducts[[#Headers],[Include or Exclude]], 0)</f>
        <v/>
      </c>
      <c r="I101" s="96" t="str" cm="1">
        <f t="array" ref="I101">Common_InputFunctions.Utility_DisplayArrayInTable(Fertiliser_SourceData.Fertiliser_Products_Data1(),FertiliserProducts[[#Headers],[Include or Exclude]], 0)</f>
        <v/>
      </c>
      <c r="J101" s="96" t="str" cm="1">
        <f t="array" ref="J101">Common_InputFunctions.Utility_DisplayArrayInTable(Fertiliser_SourceData.Fertiliser_Products_Data1(),FertiliserProducts[[#Headers],[Include or Exclude]], 0)</f>
        <v/>
      </c>
      <c r="K101" s="96" t="str" cm="1">
        <f t="array" ref="K101">Common_InputFunctions.Utility_DisplayArrayInTable(Fertiliser_SourceData.Fertiliser_Products_Data1(),FertiliserProducts[[#Headers],[Include or Exclude]], 0)</f>
        <v/>
      </c>
      <c r="L101" s="96" t="str" cm="1">
        <f t="array" ref="L101">Common_InputFunctions.Utility_DisplayArrayInTable(Fertiliser_SourceData.Fertiliser_Products_Data1(),FertiliserProducts[[#Headers],[Include or Exclude]], 0)</f>
        <v/>
      </c>
      <c r="M101" s="36" t="str" cm="1">
        <f t="array" ref="M101">Common_InputFunctions.Utility_DisplayArrayInTable(Fertiliser_SourceData.Fertiliser_Products_Data1(),FertiliserProducts[[#Headers],[Include or Exclude]], 0)</f>
        <v/>
      </c>
      <c r="N101" s="96" t="str" cm="1">
        <f t="array" ref="N101">Common_InputFunctions.Utility_DisplayArrayInTable(Fertiliser_SourceData.Fertiliser_Products_Data1(),FertiliserProducts[[#Headers],[Include or Exclude]], 0)</f>
        <v/>
      </c>
      <c r="O101" s="96" t="str" cm="1">
        <f t="array" ref="O101">Common_InputFunctions.Utility_DisplayArrayInTable(Fertiliser_SourceData.Fertiliser_Products_Data1(),FertiliserProducts[[#Headers],[Include or Exclude]], 0)</f>
        <v/>
      </c>
      <c r="P101" s="96" t="str" cm="1">
        <f t="array" ref="P101">Common_InputFunctions.Utility_DisplayArrayInTable(Fertiliser_SourceData.Fertiliser_Products_Data1(),FertiliserProducts[[#Headers],[Include or Exclude]], 0)</f>
        <v/>
      </c>
      <c r="Q101" s="96" t="str" cm="1">
        <f t="array" ref="Q101">Common_InputFunctions.Utility_DisplayArrayInTable(Fertiliser_SourceData.Fertiliser_Products_Data1(),FertiliserProducts[[#Headers],[Include or Exclude]], 0)</f>
        <v/>
      </c>
      <c r="R101" s="96" t="str" cm="1">
        <f t="array" ref="R101">Common_InputFunctions.Utility_DisplayArrayInTable(Fertiliser_SourceData.Fertiliser_Products_Data1(),FertiliserProducts[[#Headers],[Include or Exclude]], 0)</f>
        <v/>
      </c>
      <c r="S101" s="96" t="str" cm="1">
        <f t="array" ref="S101">Common_InputFunctions.Utility_DisplayArrayInTable(Fertiliser_SourceData.Fertiliser_Products_Data1(),FertiliserProducts[[#Headers],[Include or Exclude]], 0)</f>
        <v/>
      </c>
      <c r="T101" s="96" t="str" cm="1">
        <f t="array" ref="T101">Common_InputFunctions.Utility_DisplayArrayInTable(Fertiliser_SourceData.Fertiliser_Products_Data1(),FertiliserProducts[[#Headers],[Include or Exclude]], 0)</f>
        <v/>
      </c>
      <c r="U101" s="96" t="str" cm="1">
        <f t="array" ref="U101">Common_InputFunctions.Utility_DisplayArrayInTable(Fertiliser_SourceData.Fertiliser_Products_Data1(),FertiliserProducts[[#Headers],[Include or Exclude]], 0)</f>
        <v/>
      </c>
      <c r="V101" s="36" t="str" cm="1">
        <f t="array" ref="V101">Common_InputFunctions.Utility_DisplayArrayInTable(Fertiliser_SourceData.Fertiliser_Products_Data1(),FertiliserProducts[[#Headers],[Include or Exclude]], 0)</f>
        <v/>
      </c>
      <c r="W101" s="36" t="str" cm="1">
        <f t="array" ref="W101">Common_InputFunctions.Utility_DisplayArrayInTable(Fertiliser_SourceData.Fertiliser_Products_Data1(),FertiliserProducts[[#Headers],[Include or Exclude]], 0)</f>
        <v/>
      </c>
      <c r="X101" s="36" t="str" cm="1">
        <f t="array" ref="X101">Common_InputFunctions.Utility_DisplayArrayInTable(Fertiliser_SourceData.Fertiliser_Products_Data1(),FertiliserProducts[[#Headers],[Include or Exclude]], 0)</f>
        <v/>
      </c>
      <c r="Y101" s="36" t="str" cm="1">
        <f t="array" ref="Y101">Common_InputFunctions.Utility_DisplayArrayInTable(Fertiliser_SourceData.Fertiliser_Products_Data1(),FertiliserProducts[[#Headers],[Include or Exclude]], 0)</f>
        <v/>
      </c>
      <c r="Z101" s="36" t="str" cm="1">
        <f t="array" ref="Z101">Common_InputFunctions.Utility_DisplayArrayInTable(Fertiliser_SourceData.Fertiliser_Products_Data1(),FertiliserProducts[[#Headers],[Include or Exclude]], 0)</f>
        <v/>
      </c>
      <c r="AA101" s="36" t="str" cm="1">
        <f t="array" ref="AA101">Common_InputFunctions.Utility_DisplayArrayInTable(Fertiliser_SourceData.Fertiliser_Products_Data1(),FertiliserProducts[[#Headers],[Include or Exclude]], 0)</f>
        <v/>
      </c>
      <c r="AB101" s="36" t="str" cm="1">
        <f t="array" ref="AB101">Common_InputFunctions.Utility_DisplayArrayInTable(Fertiliser_SourceData.Fertiliser_Products_Data1(),FertiliserProducts[[#Headers],[Include or Exclude]], 0)</f>
        <v/>
      </c>
      <c r="AC101" s="36" t="str" cm="1">
        <f t="array" ref="AC101">Common_InputFunctions.Utility_DisplayArrayInTable(Fertiliser_SourceData.Fertiliser_Products_Data1(),FertiliserProducts[[#Headers],[Include or Exclude]], 0)</f>
        <v/>
      </c>
      <c r="AD101" s="36" t="str" cm="1">
        <f t="array" ref="AD101">Common_InputFunctions.Utility_DisplayArrayInTable(Fertiliser_SourceData.Fertiliser_Products_Data1(),FertiliserProducts[[#Headers],[Include or Exclude]], 0)</f>
        <v/>
      </c>
      <c r="AE101" s="36" t="str" cm="1">
        <f t="array" ref="AE101">Common_InputFunctions.Utility_DisplayArrayInTable(Fertiliser_SourceData.Fertiliser_Products_Data1(),FertiliserProducts[[#Headers],[Include or Exclude]], 0)</f>
        <v/>
      </c>
    </row>
    <row r="102" spans="4:31" ht="20.100000000000001" customHeight="1" x14ac:dyDescent="0.25">
      <c r="D102" s="96" t="str" cm="1">
        <f t="array" ref="D102">Common_InputFunctions.Utility_DisplayArrayInTable(Fertiliser_SourceData.Fertiliser_Products_Data1(),FertiliserProducts[[#Headers],[Include or Exclude]], 0)</f>
        <v/>
      </c>
      <c r="E102" s="96" t="str" cm="1">
        <f t="array" ref="E102">Common_InputFunctions.Utility_DisplayArrayInTable(Fertiliser_SourceData.Fertiliser_Products_Data1(),FertiliserProducts[[#Headers],[Include or Exclude]], 0)</f>
        <v/>
      </c>
      <c r="F102" s="96" t="str" cm="1">
        <f t="array" ref="F102">Common_InputFunctions.Utility_DisplayArrayInTable(Fertiliser_SourceData.Fertiliser_Products_Data1(),FertiliserProducts[[#Headers],[Include or Exclude]], 0)</f>
        <v/>
      </c>
      <c r="G102" s="96" t="str" cm="1">
        <f t="array" ref="G102">Common_InputFunctions.Utility_DisplayArrayInTable(Fertiliser_SourceData.Fertiliser_Products_Data1(),FertiliserProducts[[#Headers],[Include or Exclude]], 0)</f>
        <v/>
      </c>
      <c r="H102" s="96" t="str" cm="1">
        <f t="array" ref="H102">Common_InputFunctions.Utility_DisplayArrayInTable(Fertiliser_SourceData.Fertiliser_Products_Data1(),FertiliserProducts[[#Headers],[Include or Exclude]], 0)</f>
        <v/>
      </c>
      <c r="I102" s="96" t="str" cm="1">
        <f t="array" ref="I102">Common_InputFunctions.Utility_DisplayArrayInTable(Fertiliser_SourceData.Fertiliser_Products_Data1(),FertiliserProducts[[#Headers],[Include or Exclude]], 0)</f>
        <v/>
      </c>
      <c r="J102" s="96" t="str" cm="1">
        <f t="array" ref="J102">Common_InputFunctions.Utility_DisplayArrayInTable(Fertiliser_SourceData.Fertiliser_Products_Data1(),FertiliserProducts[[#Headers],[Include or Exclude]], 0)</f>
        <v/>
      </c>
      <c r="K102" s="96" t="str" cm="1">
        <f t="array" ref="K102">Common_InputFunctions.Utility_DisplayArrayInTable(Fertiliser_SourceData.Fertiliser_Products_Data1(),FertiliserProducts[[#Headers],[Include or Exclude]], 0)</f>
        <v/>
      </c>
      <c r="L102" s="96" t="str" cm="1">
        <f t="array" ref="L102">Common_InputFunctions.Utility_DisplayArrayInTable(Fertiliser_SourceData.Fertiliser_Products_Data1(),FertiliserProducts[[#Headers],[Include or Exclude]], 0)</f>
        <v/>
      </c>
      <c r="M102" s="36" t="str" cm="1">
        <f t="array" ref="M102">Common_InputFunctions.Utility_DisplayArrayInTable(Fertiliser_SourceData.Fertiliser_Products_Data1(),FertiliserProducts[[#Headers],[Include or Exclude]], 0)</f>
        <v/>
      </c>
      <c r="N102" s="96" t="str" cm="1">
        <f t="array" ref="N102">Common_InputFunctions.Utility_DisplayArrayInTable(Fertiliser_SourceData.Fertiliser_Products_Data1(),FertiliserProducts[[#Headers],[Include or Exclude]], 0)</f>
        <v/>
      </c>
      <c r="O102" s="96" t="str" cm="1">
        <f t="array" ref="O102">Common_InputFunctions.Utility_DisplayArrayInTable(Fertiliser_SourceData.Fertiliser_Products_Data1(),FertiliserProducts[[#Headers],[Include or Exclude]], 0)</f>
        <v/>
      </c>
      <c r="P102" s="96" t="str" cm="1">
        <f t="array" ref="P102">Common_InputFunctions.Utility_DisplayArrayInTable(Fertiliser_SourceData.Fertiliser_Products_Data1(),FertiliserProducts[[#Headers],[Include or Exclude]], 0)</f>
        <v/>
      </c>
      <c r="Q102" s="96" t="str" cm="1">
        <f t="array" ref="Q102">Common_InputFunctions.Utility_DisplayArrayInTable(Fertiliser_SourceData.Fertiliser_Products_Data1(),FertiliserProducts[[#Headers],[Include or Exclude]], 0)</f>
        <v/>
      </c>
      <c r="R102" s="96" t="str" cm="1">
        <f t="array" ref="R102">Common_InputFunctions.Utility_DisplayArrayInTable(Fertiliser_SourceData.Fertiliser_Products_Data1(),FertiliserProducts[[#Headers],[Include or Exclude]], 0)</f>
        <v/>
      </c>
      <c r="S102" s="96" t="str" cm="1">
        <f t="array" ref="S102">Common_InputFunctions.Utility_DisplayArrayInTable(Fertiliser_SourceData.Fertiliser_Products_Data1(),FertiliserProducts[[#Headers],[Include or Exclude]], 0)</f>
        <v/>
      </c>
      <c r="T102" s="96" t="str" cm="1">
        <f t="array" ref="T102">Common_InputFunctions.Utility_DisplayArrayInTable(Fertiliser_SourceData.Fertiliser_Products_Data1(),FertiliserProducts[[#Headers],[Include or Exclude]], 0)</f>
        <v/>
      </c>
      <c r="U102" s="96" t="str" cm="1">
        <f t="array" ref="U102">Common_InputFunctions.Utility_DisplayArrayInTable(Fertiliser_SourceData.Fertiliser_Products_Data1(),FertiliserProducts[[#Headers],[Include or Exclude]], 0)</f>
        <v/>
      </c>
      <c r="V102" s="36" t="str" cm="1">
        <f t="array" ref="V102">Common_InputFunctions.Utility_DisplayArrayInTable(Fertiliser_SourceData.Fertiliser_Products_Data1(),FertiliserProducts[[#Headers],[Include or Exclude]], 0)</f>
        <v/>
      </c>
      <c r="W102" s="36" t="str" cm="1">
        <f t="array" ref="W102">Common_InputFunctions.Utility_DisplayArrayInTable(Fertiliser_SourceData.Fertiliser_Products_Data1(),FertiliserProducts[[#Headers],[Include or Exclude]], 0)</f>
        <v/>
      </c>
      <c r="X102" s="36" t="str" cm="1">
        <f t="array" ref="X102">Common_InputFunctions.Utility_DisplayArrayInTable(Fertiliser_SourceData.Fertiliser_Products_Data1(),FertiliserProducts[[#Headers],[Include or Exclude]], 0)</f>
        <v/>
      </c>
      <c r="Y102" s="36" t="str" cm="1">
        <f t="array" ref="Y102">Common_InputFunctions.Utility_DisplayArrayInTable(Fertiliser_SourceData.Fertiliser_Products_Data1(),FertiliserProducts[[#Headers],[Include or Exclude]], 0)</f>
        <v/>
      </c>
      <c r="Z102" s="36" t="str" cm="1">
        <f t="array" ref="Z102">Common_InputFunctions.Utility_DisplayArrayInTable(Fertiliser_SourceData.Fertiliser_Products_Data1(),FertiliserProducts[[#Headers],[Include or Exclude]], 0)</f>
        <v/>
      </c>
      <c r="AA102" s="36" t="str" cm="1">
        <f t="array" ref="AA102">Common_InputFunctions.Utility_DisplayArrayInTable(Fertiliser_SourceData.Fertiliser_Products_Data1(),FertiliserProducts[[#Headers],[Include or Exclude]], 0)</f>
        <v/>
      </c>
      <c r="AB102" s="36" t="str" cm="1">
        <f t="array" ref="AB102">Common_InputFunctions.Utility_DisplayArrayInTable(Fertiliser_SourceData.Fertiliser_Products_Data1(),FertiliserProducts[[#Headers],[Include or Exclude]], 0)</f>
        <v/>
      </c>
      <c r="AC102" s="36" t="str" cm="1">
        <f t="array" ref="AC102">Common_InputFunctions.Utility_DisplayArrayInTable(Fertiliser_SourceData.Fertiliser_Products_Data1(),FertiliserProducts[[#Headers],[Include or Exclude]], 0)</f>
        <v/>
      </c>
      <c r="AD102" s="36" t="str" cm="1">
        <f t="array" ref="AD102">Common_InputFunctions.Utility_DisplayArrayInTable(Fertiliser_SourceData.Fertiliser_Products_Data1(),FertiliserProducts[[#Headers],[Include or Exclude]], 0)</f>
        <v/>
      </c>
      <c r="AE102" s="36" t="str" cm="1">
        <f t="array" ref="AE102">Common_InputFunctions.Utility_DisplayArrayInTable(Fertiliser_SourceData.Fertiliser_Products_Data1(),FertiliserProducts[[#Headers],[Include or Exclude]], 0)</f>
        <v/>
      </c>
    </row>
    <row r="103" spans="4:31" ht="20.100000000000001" customHeight="1" x14ac:dyDescent="0.25">
      <c r="D103" s="96" t="str" cm="1">
        <f t="array" ref="D103">Common_InputFunctions.Utility_DisplayArrayInTable(Fertiliser_SourceData.Fertiliser_Products_Data1(),FertiliserProducts[[#Headers],[Include or Exclude]], 0)</f>
        <v/>
      </c>
      <c r="E103" s="96" t="str" cm="1">
        <f t="array" ref="E103">Common_InputFunctions.Utility_DisplayArrayInTable(Fertiliser_SourceData.Fertiliser_Products_Data1(),FertiliserProducts[[#Headers],[Include or Exclude]], 0)</f>
        <v/>
      </c>
      <c r="F103" s="96" t="str" cm="1">
        <f t="array" ref="F103">Common_InputFunctions.Utility_DisplayArrayInTable(Fertiliser_SourceData.Fertiliser_Products_Data1(),FertiliserProducts[[#Headers],[Include or Exclude]], 0)</f>
        <v/>
      </c>
      <c r="G103" s="96" t="str" cm="1">
        <f t="array" ref="G103">Common_InputFunctions.Utility_DisplayArrayInTable(Fertiliser_SourceData.Fertiliser_Products_Data1(),FertiliserProducts[[#Headers],[Include or Exclude]], 0)</f>
        <v/>
      </c>
      <c r="H103" s="96" t="str" cm="1">
        <f t="array" ref="H103">Common_InputFunctions.Utility_DisplayArrayInTable(Fertiliser_SourceData.Fertiliser_Products_Data1(),FertiliserProducts[[#Headers],[Include or Exclude]], 0)</f>
        <v/>
      </c>
      <c r="I103" s="96" t="str" cm="1">
        <f t="array" ref="I103">Common_InputFunctions.Utility_DisplayArrayInTable(Fertiliser_SourceData.Fertiliser_Products_Data1(),FertiliserProducts[[#Headers],[Include or Exclude]], 0)</f>
        <v/>
      </c>
      <c r="J103" s="96" t="str" cm="1">
        <f t="array" ref="J103">Common_InputFunctions.Utility_DisplayArrayInTable(Fertiliser_SourceData.Fertiliser_Products_Data1(),FertiliserProducts[[#Headers],[Include or Exclude]], 0)</f>
        <v/>
      </c>
      <c r="K103" s="96" t="str" cm="1">
        <f t="array" ref="K103">Common_InputFunctions.Utility_DisplayArrayInTable(Fertiliser_SourceData.Fertiliser_Products_Data1(),FertiliserProducts[[#Headers],[Include or Exclude]], 0)</f>
        <v/>
      </c>
      <c r="L103" s="96" t="str" cm="1">
        <f t="array" ref="L103">Common_InputFunctions.Utility_DisplayArrayInTable(Fertiliser_SourceData.Fertiliser_Products_Data1(),FertiliserProducts[[#Headers],[Include or Exclude]], 0)</f>
        <v/>
      </c>
      <c r="M103" s="36" t="str" cm="1">
        <f t="array" ref="M103">Common_InputFunctions.Utility_DisplayArrayInTable(Fertiliser_SourceData.Fertiliser_Products_Data1(),FertiliserProducts[[#Headers],[Include or Exclude]], 0)</f>
        <v/>
      </c>
      <c r="N103" s="96" t="str" cm="1">
        <f t="array" ref="N103">Common_InputFunctions.Utility_DisplayArrayInTable(Fertiliser_SourceData.Fertiliser_Products_Data1(),FertiliserProducts[[#Headers],[Include or Exclude]], 0)</f>
        <v/>
      </c>
      <c r="O103" s="96" t="str" cm="1">
        <f t="array" ref="O103">Common_InputFunctions.Utility_DisplayArrayInTable(Fertiliser_SourceData.Fertiliser_Products_Data1(),FertiliserProducts[[#Headers],[Include or Exclude]], 0)</f>
        <v/>
      </c>
      <c r="P103" s="96" t="str" cm="1">
        <f t="array" ref="P103">Common_InputFunctions.Utility_DisplayArrayInTable(Fertiliser_SourceData.Fertiliser_Products_Data1(),FertiliserProducts[[#Headers],[Include or Exclude]], 0)</f>
        <v/>
      </c>
      <c r="Q103" s="96" t="str" cm="1">
        <f t="array" ref="Q103">Common_InputFunctions.Utility_DisplayArrayInTable(Fertiliser_SourceData.Fertiliser_Products_Data1(),FertiliserProducts[[#Headers],[Include or Exclude]], 0)</f>
        <v/>
      </c>
      <c r="R103" s="96" t="str" cm="1">
        <f t="array" ref="R103">Common_InputFunctions.Utility_DisplayArrayInTable(Fertiliser_SourceData.Fertiliser_Products_Data1(),FertiliserProducts[[#Headers],[Include or Exclude]], 0)</f>
        <v/>
      </c>
      <c r="S103" s="96" t="str" cm="1">
        <f t="array" ref="S103">Common_InputFunctions.Utility_DisplayArrayInTable(Fertiliser_SourceData.Fertiliser_Products_Data1(),FertiliserProducts[[#Headers],[Include or Exclude]], 0)</f>
        <v/>
      </c>
      <c r="T103" s="96" t="str" cm="1">
        <f t="array" ref="T103">Common_InputFunctions.Utility_DisplayArrayInTable(Fertiliser_SourceData.Fertiliser_Products_Data1(),FertiliserProducts[[#Headers],[Include or Exclude]], 0)</f>
        <v/>
      </c>
      <c r="U103" s="96" t="str" cm="1">
        <f t="array" ref="U103">Common_InputFunctions.Utility_DisplayArrayInTable(Fertiliser_SourceData.Fertiliser_Products_Data1(),FertiliserProducts[[#Headers],[Include or Exclude]], 0)</f>
        <v/>
      </c>
      <c r="V103" s="36" t="str" cm="1">
        <f t="array" ref="V103">Common_InputFunctions.Utility_DisplayArrayInTable(Fertiliser_SourceData.Fertiliser_Products_Data1(),FertiliserProducts[[#Headers],[Include or Exclude]], 0)</f>
        <v/>
      </c>
      <c r="W103" s="36" t="str" cm="1">
        <f t="array" ref="W103">Common_InputFunctions.Utility_DisplayArrayInTable(Fertiliser_SourceData.Fertiliser_Products_Data1(),FertiliserProducts[[#Headers],[Include or Exclude]], 0)</f>
        <v/>
      </c>
      <c r="X103" s="36" t="str" cm="1">
        <f t="array" ref="X103">Common_InputFunctions.Utility_DisplayArrayInTable(Fertiliser_SourceData.Fertiliser_Products_Data1(),FertiliserProducts[[#Headers],[Include or Exclude]], 0)</f>
        <v/>
      </c>
      <c r="Y103" s="36" t="str" cm="1">
        <f t="array" ref="Y103">Common_InputFunctions.Utility_DisplayArrayInTable(Fertiliser_SourceData.Fertiliser_Products_Data1(),FertiliserProducts[[#Headers],[Include or Exclude]], 0)</f>
        <v/>
      </c>
      <c r="Z103" s="36" t="str" cm="1">
        <f t="array" ref="Z103">Common_InputFunctions.Utility_DisplayArrayInTable(Fertiliser_SourceData.Fertiliser_Products_Data1(),FertiliserProducts[[#Headers],[Include or Exclude]], 0)</f>
        <v/>
      </c>
      <c r="AA103" s="36" t="str" cm="1">
        <f t="array" ref="AA103">Common_InputFunctions.Utility_DisplayArrayInTable(Fertiliser_SourceData.Fertiliser_Products_Data1(),FertiliserProducts[[#Headers],[Include or Exclude]], 0)</f>
        <v/>
      </c>
      <c r="AB103" s="36" t="str" cm="1">
        <f t="array" ref="AB103">Common_InputFunctions.Utility_DisplayArrayInTable(Fertiliser_SourceData.Fertiliser_Products_Data1(),FertiliserProducts[[#Headers],[Include or Exclude]], 0)</f>
        <v/>
      </c>
      <c r="AC103" s="36" t="str" cm="1">
        <f t="array" ref="AC103">Common_InputFunctions.Utility_DisplayArrayInTable(Fertiliser_SourceData.Fertiliser_Products_Data1(),FertiliserProducts[[#Headers],[Include or Exclude]], 0)</f>
        <v/>
      </c>
      <c r="AD103" s="36" t="str" cm="1">
        <f t="array" ref="AD103">Common_InputFunctions.Utility_DisplayArrayInTable(Fertiliser_SourceData.Fertiliser_Products_Data1(),FertiliserProducts[[#Headers],[Include or Exclude]], 0)</f>
        <v/>
      </c>
      <c r="AE103" s="36" t="str" cm="1">
        <f t="array" ref="AE103">Common_InputFunctions.Utility_DisplayArrayInTable(Fertiliser_SourceData.Fertiliser_Products_Data1(),FertiliserProducts[[#Headers],[Include or Exclude]], 0)</f>
        <v/>
      </c>
    </row>
    <row r="104" spans="4:31" ht="20.100000000000001" customHeight="1" x14ac:dyDescent="0.25">
      <c r="D104" s="96" t="str" cm="1">
        <f t="array" ref="D104">Common_InputFunctions.Utility_DisplayArrayInTable(Fertiliser_SourceData.Fertiliser_Products_Data1(),FertiliserProducts[[#Headers],[Include or Exclude]], 0)</f>
        <v/>
      </c>
      <c r="E104" s="96" t="str" cm="1">
        <f t="array" ref="E104">Common_InputFunctions.Utility_DisplayArrayInTable(Fertiliser_SourceData.Fertiliser_Products_Data1(),FertiliserProducts[[#Headers],[Include or Exclude]], 0)</f>
        <v/>
      </c>
      <c r="F104" s="96" t="str" cm="1">
        <f t="array" ref="F104">Common_InputFunctions.Utility_DisplayArrayInTable(Fertiliser_SourceData.Fertiliser_Products_Data1(),FertiliserProducts[[#Headers],[Include or Exclude]], 0)</f>
        <v/>
      </c>
      <c r="G104" s="96" t="str" cm="1">
        <f t="array" ref="G104">Common_InputFunctions.Utility_DisplayArrayInTable(Fertiliser_SourceData.Fertiliser_Products_Data1(),FertiliserProducts[[#Headers],[Include or Exclude]], 0)</f>
        <v/>
      </c>
      <c r="H104" s="96" t="str" cm="1">
        <f t="array" ref="H104">Common_InputFunctions.Utility_DisplayArrayInTable(Fertiliser_SourceData.Fertiliser_Products_Data1(),FertiliserProducts[[#Headers],[Include or Exclude]], 0)</f>
        <v/>
      </c>
      <c r="I104" s="96" t="str" cm="1">
        <f t="array" ref="I104">Common_InputFunctions.Utility_DisplayArrayInTable(Fertiliser_SourceData.Fertiliser_Products_Data1(),FertiliserProducts[[#Headers],[Include or Exclude]], 0)</f>
        <v/>
      </c>
      <c r="J104" s="96" t="str" cm="1">
        <f t="array" ref="J104">Common_InputFunctions.Utility_DisplayArrayInTable(Fertiliser_SourceData.Fertiliser_Products_Data1(),FertiliserProducts[[#Headers],[Include or Exclude]], 0)</f>
        <v/>
      </c>
      <c r="K104" s="96" t="str" cm="1">
        <f t="array" ref="K104">Common_InputFunctions.Utility_DisplayArrayInTable(Fertiliser_SourceData.Fertiliser_Products_Data1(),FertiliserProducts[[#Headers],[Include or Exclude]], 0)</f>
        <v/>
      </c>
      <c r="L104" s="96" t="str" cm="1">
        <f t="array" ref="L104">Common_InputFunctions.Utility_DisplayArrayInTable(Fertiliser_SourceData.Fertiliser_Products_Data1(),FertiliserProducts[[#Headers],[Include or Exclude]], 0)</f>
        <v/>
      </c>
      <c r="M104" s="36" t="str" cm="1">
        <f t="array" ref="M104">Common_InputFunctions.Utility_DisplayArrayInTable(Fertiliser_SourceData.Fertiliser_Products_Data1(),FertiliserProducts[[#Headers],[Include or Exclude]], 0)</f>
        <v/>
      </c>
      <c r="N104" s="96" t="str" cm="1">
        <f t="array" ref="N104">Common_InputFunctions.Utility_DisplayArrayInTable(Fertiliser_SourceData.Fertiliser_Products_Data1(),FertiliserProducts[[#Headers],[Include or Exclude]], 0)</f>
        <v/>
      </c>
      <c r="O104" s="96" t="str" cm="1">
        <f t="array" ref="O104">Common_InputFunctions.Utility_DisplayArrayInTable(Fertiliser_SourceData.Fertiliser_Products_Data1(),FertiliserProducts[[#Headers],[Include or Exclude]], 0)</f>
        <v/>
      </c>
      <c r="P104" s="96" t="str" cm="1">
        <f t="array" ref="P104">Common_InputFunctions.Utility_DisplayArrayInTable(Fertiliser_SourceData.Fertiliser_Products_Data1(),FertiliserProducts[[#Headers],[Include or Exclude]], 0)</f>
        <v/>
      </c>
      <c r="Q104" s="96" t="str" cm="1">
        <f t="array" ref="Q104">Common_InputFunctions.Utility_DisplayArrayInTable(Fertiliser_SourceData.Fertiliser_Products_Data1(),FertiliserProducts[[#Headers],[Include or Exclude]], 0)</f>
        <v/>
      </c>
      <c r="R104" s="96" t="str" cm="1">
        <f t="array" ref="R104">Common_InputFunctions.Utility_DisplayArrayInTable(Fertiliser_SourceData.Fertiliser_Products_Data1(),FertiliserProducts[[#Headers],[Include or Exclude]], 0)</f>
        <v/>
      </c>
      <c r="S104" s="96" t="str" cm="1">
        <f t="array" ref="S104">Common_InputFunctions.Utility_DisplayArrayInTable(Fertiliser_SourceData.Fertiliser_Products_Data1(),FertiliserProducts[[#Headers],[Include or Exclude]], 0)</f>
        <v/>
      </c>
      <c r="T104" s="96" t="str" cm="1">
        <f t="array" ref="T104">Common_InputFunctions.Utility_DisplayArrayInTable(Fertiliser_SourceData.Fertiliser_Products_Data1(),FertiliserProducts[[#Headers],[Include or Exclude]], 0)</f>
        <v/>
      </c>
      <c r="U104" s="96" t="str" cm="1">
        <f t="array" ref="U104">Common_InputFunctions.Utility_DisplayArrayInTable(Fertiliser_SourceData.Fertiliser_Products_Data1(),FertiliserProducts[[#Headers],[Include or Exclude]], 0)</f>
        <v/>
      </c>
      <c r="V104" s="36" t="str" cm="1">
        <f t="array" ref="V104">Common_InputFunctions.Utility_DisplayArrayInTable(Fertiliser_SourceData.Fertiliser_Products_Data1(),FertiliserProducts[[#Headers],[Include or Exclude]], 0)</f>
        <v/>
      </c>
      <c r="W104" s="36" t="str" cm="1">
        <f t="array" ref="W104">Common_InputFunctions.Utility_DisplayArrayInTable(Fertiliser_SourceData.Fertiliser_Products_Data1(),FertiliserProducts[[#Headers],[Include or Exclude]], 0)</f>
        <v/>
      </c>
      <c r="X104" s="36" t="str" cm="1">
        <f t="array" ref="X104">Common_InputFunctions.Utility_DisplayArrayInTable(Fertiliser_SourceData.Fertiliser_Products_Data1(),FertiliserProducts[[#Headers],[Include or Exclude]], 0)</f>
        <v/>
      </c>
      <c r="Y104" s="36" t="str" cm="1">
        <f t="array" ref="Y104">Common_InputFunctions.Utility_DisplayArrayInTable(Fertiliser_SourceData.Fertiliser_Products_Data1(),FertiliserProducts[[#Headers],[Include or Exclude]], 0)</f>
        <v/>
      </c>
      <c r="Z104" s="36" t="str" cm="1">
        <f t="array" ref="Z104">Common_InputFunctions.Utility_DisplayArrayInTable(Fertiliser_SourceData.Fertiliser_Products_Data1(),FertiliserProducts[[#Headers],[Include or Exclude]], 0)</f>
        <v/>
      </c>
      <c r="AA104" s="36" t="str" cm="1">
        <f t="array" ref="AA104">Common_InputFunctions.Utility_DisplayArrayInTable(Fertiliser_SourceData.Fertiliser_Products_Data1(),FertiliserProducts[[#Headers],[Include or Exclude]], 0)</f>
        <v/>
      </c>
      <c r="AB104" s="36" t="str" cm="1">
        <f t="array" ref="AB104">Common_InputFunctions.Utility_DisplayArrayInTable(Fertiliser_SourceData.Fertiliser_Products_Data1(),FertiliserProducts[[#Headers],[Include or Exclude]], 0)</f>
        <v/>
      </c>
      <c r="AC104" s="36" t="str" cm="1">
        <f t="array" ref="AC104">Common_InputFunctions.Utility_DisplayArrayInTable(Fertiliser_SourceData.Fertiliser_Products_Data1(),FertiliserProducts[[#Headers],[Include or Exclude]], 0)</f>
        <v/>
      </c>
      <c r="AD104" s="36" t="str" cm="1">
        <f t="array" ref="AD104">Common_InputFunctions.Utility_DisplayArrayInTable(Fertiliser_SourceData.Fertiliser_Products_Data1(),FertiliserProducts[[#Headers],[Include or Exclude]], 0)</f>
        <v/>
      </c>
      <c r="AE104" s="36" t="str" cm="1">
        <f t="array" ref="AE104">Common_InputFunctions.Utility_DisplayArrayInTable(Fertiliser_SourceData.Fertiliser_Products_Data1(),FertiliserProducts[[#Headers],[Include or Exclude]], 0)</f>
        <v/>
      </c>
    </row>
    <row r="105" spans="4:31" ht="20.100000000000001" customHeight="1" x14ac:dyDescent="0.25">
      <c r="D105" s="96" t="str" cm="1">
        <f t="array" ref="D105">Common_InputFunctions.Utility_DisplayArrayInTable(Fertiliser_SourceData.Fertiliser_Products_Data1(),FertiliserProducts[[#Headers],[Include or Exclude]], 0)</f>
        <v/>
      </c>
      <c r="E105" s="96" t="str" cm="1">
        <f t="array" ref="E105">Common_InputFunctions.Utility_DisplayArrayInTable(Fertiliser_SourceData.Fertiliser_Products_Data1(),FertiliserProducts[[#Headers],[Include or Exclude]], 0)</f>
        <v/>
      </c>
      <c r="F105" s="96" t="str" cm="1">
        <f t="array" ref="F105">Common_InputFunctions.Utility_DisplayArrayInTable(Fertiliser_SourceData.Fertiliser_Products_Data1(),FertiliserProducts[[#Headers],[Include or Exclude]], 0)</f>
        <v/>
      </c>
      <c r="G105" s="96" t="str" cm="1">
        <f t="array" ref="G105">Common_InputFunctions.Utility_DisplayArrayInTable(Fertiliser_SourceData.Fertiliser_Products_Data1(),FertiliserProducts[[#Headers],[Include or Exclude]], 0)</f>
        <v/>
      </c>
      <c r="H105" s="96" t="str" cm="1">
        <f t="array" ref="H105">Common_InputFunctions.Utility_DisplayArrayInTable(Fertiliser_SourceData.Fertiliser_Products_Data1(),FertiliserProducts[[#Headers],[Include or Exclude]], 0)</f>
        <v/>
      </c>
      <c r="I105" s="96" t="str" cm="1">
        <f t="array" ref="I105">Common_InputFunctions.Utility_DisplayArrayInTable(Fertiliser_SourceData.Fertiliser_Products_Data1(),FertiliserProducts[[#Headers],[Include or Exclude]], 0)</f>
        <v/>
      </c>
      <c r="J105" s="96" t="str" cm="1">
        <f t="array" ref="J105">Common_InputFunctions.Utility_DisplayArrayInTable(Fertiliser_SourceData.Fertiliser_Products_Data1(),FertiliserProducts[[#Headers],[Include or Exclude]], 0)</f>
        <v/>
      </c>
      <c r="K105" s="96" t="str" cm="1">
        <f t="array" ref="K105">Common_InputFunctions.Utility_DisplayArrayInTable(Fertiliser_SourceData.Fertiliser_Products_Data1(),FertiliserProducts[[#Headers],[Include or Exclude]], 0)</f>
        <v/>
      </c>
      <c r="L105" s="96" t="str" cm="1">
        <f t="array" ref="L105">Common_InputFunctions.Utility_DisplayArrayInTable(Fertiliser_SourceData.Fertiliser_Products_Data1(),FertiliserProducts[[#Headers],[Include or Exclude]], 0)</f>
        <v/>
      </c>
      <c r="M105" s="36" t="str" cm="1">
        <f t="array" ref="M105">Common_InputFunctions.Utility_DisplayArrayInTable(Fertiliser_SourceData.Fertiliser_Products_Data1(),FertiliserProducts[[#Headers],[Include or Exclude]], 0)</f>
        <v/>
      </c>
      <c r="N105" s="96" t="str" cm="1">
        <f t="array" ref="N105">Common_InputFunctions.Utility_DisplayArrayInTable(Fertiliser_SourceData.Fertiliser_Products_Data1(),FertiliserProducts[[#Headers],[Include or Exclude]], 0)</f>
        <v/>
      </c>
      <c r="O105" s="96" t="str" cm="1">
        <f t="array" ref="O105">Common_InputFunctions.Utility_DisplayArrayInTable(Fertiliser_SourceData.Fertiliser_Products_Data1(),FertiliserProducts[[#Headers],[Include or Exclude]], 0)</f>
        <v/>
      </c>
      <c r="P105" s="96" t="str" cm="1">
        <f t="array" ref="P105">Common_InputFunctions.Utility_DisplayArrayInTable(Fertiliser_SourceData.Fertiliser_Products_Data1(),FertiliserProducts[[#Headers],[Include or Exclude]], 0)</f>
        <v/>
      </c>
      <c r="Q105" s="96" t="str" cm="1">
        <f t="array" ref="Q105">Common_InputFunctions.Utility_DisplayArrayInTable(Fertiliser_SourceData.Fertiliser_Products_Data1(),FertiliserProducts[[#Headers],[Include or Exclude]], 0)</f>
        <v/>
      </c>
      <c r="R105" s="96" t="str" cm="1">
        <f t="array" ref="R105">Common_InputFunctions.Utility_DisplayArrayInTable(Fertiliser_SourceData.Fertiliser_Products_Data1(),FertiliserProducts[[#Headers],[Include or Exclude]], 0)</f>
        <v/>
      </c>
      <c r="S105" s="96" t="str" cm="1">
        <f t="array" ref="S105">Common_InputFunctions.Utility_DisplayArrayInTable(Fertiliser_SourceData.Fertiliser_Products_Data1(),FertiliserProducts[[#Headers],[Include or Exclude]], 0)</f>
        <v/>
      </c>
      <c r="T105" s="96" t="str" cm="1">
        <f t="array" ref="T105">Common_InputFunctions.Utility_DisplayArrayInTable(Fertiliser_SourceData.Fertiliser_Products_Data1(),FertiliserProducts[[#Headers],[Include or Exclude]], 0)</f>
        <v/>
      </c>
      <c r="U105" s="96" t="str" cm="1">
        <f t="array" ref="U105">Common_InputFunctions.Utility_DisplayArrayInTable(Fertiliser_SourceData.Fertiliser_Products_Data1(),FertiliserProducts[[#Headers],[Include or Exclude]], 0)</f>
        <v/>
      </c>
      <c r="V105" s="36" t="str" cm="1">
        <f t="array" ref="V105">Common_InputFunctions.Utility_DisplayArrayInTable(Fertiliser_SourceData.Fertiliser_Products_Data1(),FertiliserProducts[[#Headers],[Include or Exclude]], 0)</f>
        <v/>
      </c>
      <c r="W105" s="36" t="str" cm="1">
        <f t="array" ref="W105">Common_InputFunctions.Utility_DisplayArrayInTable(Fertiliser_SourceData.Fertiliser_Products_Data1(),FertiliserProducts[[#Headers],[Include or Exclude]], 0)</f>
        <v/>
      </c>
      <c r="X105" s="36" t="str" cm="1">
        <f t="array" ref="X105">Common_InputFunctions.Utility_DisplayArrayInTable(Fertiliser_SourceData.Fertiliser_Products_Data1(),FertiliserProducts[[#Headers],[Include or Exclude]], 0)</f>
        <v/>
      </c>
      <c r="Y105" s="36" t="str" cm="1">
        <f t="array" ref="Y105">Common_InputFunctions.Utility_DisplayArrayInTable(Fertiliser_SourceData.Fertiliser_Products_Data1(),FertiliserProducts[[#Headers],[Include or Exclude]], 0)</f>
        <v/>
      </c>
      <c r="Z105" s="36" t="str" cm="1">
        <f t="array" ref="Z105">Common_InputFunctions.Utility_DisplayArrayInTable(Fertiliser_SourceData.Fertiliser_Products_Data1(),FertiliserProducts[[#Headers],[Include or Exclude]], 0)</f>
        <v/>
      </c>
      <c r="AA105" s="36" t="str" cm="1">
        <f t="array" ref="AA105">Common_InputFunctions.Utility_DisplayArrayInTable(Fertiliser_SourceData.Fertiliser_Products_Data1(),FertiliserProducts[[#Headers],[Include or Exclude]], 0)</f>
        <v/>
      </c>
      <c r="AB105" s="36" t="str" cm="1">
        <f t="array" ref="AB105">Common_InputFunctions.Utility_DisplayArrayInTable(Fertiliser_SourceData.Fertiliser_Products_Data1(),FertiliserProducts[[#Headers],[Include or Exclude]], 0)</f>
        <v/>
      </c>
      <c r="AC105" s="36" t="str" cm="1">
        <f t="array" ref="AC105">Common_InputFunctions.Utility_DisplayArrayInTable(Fertiliser_SourceData.Fertiliser_Products_Data1(),FertiliserProducts[[#Headers],[Include or Exclude]], 0)</f>
        <v/>
      </c>
      <c r="AD105" s="36" t="str" cm="1">
        <f t="array" ref="AD105">Common_InputFunctions.Utility_DisplayArrayInTable(Fertiliser_SourceData.Fertiliser_Products_Data1(),FertiliserProducts[[#Headers],[Include or Exclude]], 0)</f>
        <v/>
      </c>
      <c r="AE105" s="36" t="str" cm="1">
        <f t="array" ref="AE105">Common_InputFunctions.Utility_DisplayArrayInTable(Fertiliser_SourceData.Fertiliser_Products_Data1(),FertiliserProducts[[#Headers],[Include or Exclude]], 0)</f>
        <v/>
      </c>
    </row>
    <row r="106" spans="4:31" ht="20.100000000000001" customHeight="1" x14ac:dyDescent="0.25">
      <c r="D106" s="96" t="str" cm="1">
        <f t="array" ref="D106">Common_InputFunctions.Utility_DisplayArrayInTable(Fertiliser_SourceData.Fertiliser_Products_Data1(),FertiliserProducts[[#Headers],[Include or Exclude]], 0)</f>
        <v/>
      </c>
      <c r="E106" s="96" t="str" cm="1">
        <f t="array" ref="E106">Common_InputFunctions.Utility_DisplayArrayInTable(Fertiliser_SourceData.Fertiliser_Products_Data1(),FertiliserProducts[[#Headers],[Include or Exclude]], 0)</f>
        <v/>
      </c>
      <c r="F106" s="96" t="str" cm="1">
        <f t="array" ref="F106">Common_InputFunctions.Utility_DisplayArrayInTable(Fertiliser_SourceData.Fertiliser_Products_Data1(),FertiliserProducts[[#Headers],[Include or Exclude]], 0)</f>
        <v/>
      </c>
      <c r="G106" s="96" t="str" cm="1">
        <f t="array" ref="G106">Common_InputFunctions.Utility_DisplayArrayInTable(Fertiliser_SourceData.Fertiliser_Products_Data1(),FertiliserProducts[[#Headers],[Include or Exclude]], 0)</f>
        <v/>
      </c>
      <c r="H106" s="96" t="str" cm="1">
        <f t="array" ref="H106">Common_InputFunctions.Utility_DisplayArrayInTable(Fertiliser_SourceData.Fertiliser_Products_Data1(),FertiliserProducts[[#Headers],[Include or Exclude]], 0)</f>
        <v/>
      </c>
      <c r="I106" s="96" t="str" cm="1">
        <f t="array" ref="I106">Common_InputFunctions.Utility_DisplayArrayInTable(Fertiliser_SourceData.Fertiliser_Products_Data1(),FertiliserProducts[[#Headers],[Include or Exclude]], 0)</f>
        <v/>
      </c>
      <c r="J106" s="96" t="str" cm="1">
        <f t="array" ref="J106">Common_InputFunctions.Utility_DisplayArrayInTable(Fertiliser_SourceData.Fertiliser_Products_Data1(),FertiliserProducts[[#Headers],[Include or Exclude]], 0)</f>
        <v/>
      </c>
      <c r="K106" s="96" t="str" cm="1">
        <f t="array" ref="K106">Common_InputFunctions.Utility_DisplayArrayInTable(Fertiliser_SourceData.Fertiliser_Products_Data1(),FertiliserProducts[[#Headers],[Include or Exclude]], 0)</f>
        <v/>
      </c>
      <c r="L106" s="96" t="str" cm="1">
        <f t="array" ref="L106">Common_InputFunctions.Utility_DisplayArrayInTable(Fertiliser_SourceData.Fertiliser_Products_Data1(),FertiliserProducts[[#Headers],[Include or Exclude]], 0)</f>
        <v/>
      </c>
      <c r="M106" s="36" t="str" cm="1">
        <f t="array" ref="M106">Common_InputFunctions.Utility_DisplayArrayInTable(Fertiliser_SourceData.Fertiliser_Products_Data1(),FertiliserProducts[[#Headers],[Include or Exclude]], 0)</f>
        <v/>
      </c>
      <c r="N106" s="96" t="str" cm="1">
        <f t="array" ref="N106">Common_InputFunctions.Utility_DisplayArrayInTable(Fertiliser_SourceData.Fertiliser_Products_Data1(),FertiliserProducts[[#Headers],[Include or Exclude]], 0)</f>
        <v/>
      </c>
      <c r="O106" s="96" t="str" cm="1">
        <f t="array" ref="O106">Common_InputFunctions.Utility_DisplayArrayInTable(Fertiliser_SourceData.Fertiliser_Products_Data1(),FertiliserProducts[[#Headers],[Include or Exclude]], 0)</f>
        <v/>
      </c>
      <c r="P106" s="96" t="str" cm="1">
        <f t="array" ref="P106">Common_InputFunctions.Utility_DisplayArrayInTable(Fertiliser_SourceData.Fertiliser_Products_Data1(),FertiliserProducts[[#Headers],[Include or Exclude]], 0)</f>
        <v/>
      </c>
      <c r="Q106" s="96" t="str" cm="1">
        <f t="array" ref="Q106">Common_InputFunctions.Utility_DisplayArrayInTable(Fertiliser_SourceData.Fertiliser_Products_Data1(),FertiliserProducts[[#Headers],[Include or Exclude]], 0)</f>
        <v/>
      </c>
      <c r="R106" s="96" t="str" cm="1">
        <f t="array" ref="R106">Common_InputFunctions.Utility_DisplayArrayInTable(Fertiliser_SourceData.Fertiliser_Products_Data1(),FertiliserProducts[[#Headers],[Include or Exclude]], 0)</f>
        <v/>
      </c>
      <c r="S106" s="96" t="str" cm="1">
        <f t="array" ref="S106">Common_InputFunctions.Utility_DisplayArrayInTable(Fertiliser_SourceData.Fertiliser_Products_Data1(),FertiliserProducts[[#Headers],[Include or Exclude]], 0)</f>
        <v/>
      </c>
      <c r="T106" s="96" t="str" cm="1">
        <f t="array" ref="T106">Common_InputFunctions.Utility_DisplayArrayInTable(Fertiliser_SourceData.Fertiliser_Products_Data1(),FertiliserProducts[[#Headers],[Include or Exclude]], 0)</f>
        <v/>
      </c>
      <c r="U106" s="96" t="str" cm="1">
        <f t="array" ref="U106">Common_InputFunctions.Utility_DisplayArrayInTable(Fertiliser_SourceData.Fertiliser_Products_Data1(),FertiliserProducts[[#Headers],[Include or Exclude]], 0)</f>
        <v/>
      </c>
      <c r="V106" s="36" t="str" cm="1">
        <f t="array" ref="V106">Common_InputFunctions.Utility_DisplayArrayInTable(Fertiliser_SourceData.Fertiliser_Products_Data1(),FertiliserProducts[[#Headers],[Include or Exclude]], 0)</f>
        <v/>
      </c>
      <c r="W106" s="36" t="str" cm="1">
        <f t="array" ref="W106">Common_InputFunctions.Utility_DisplayArrayInTable(Fertiliser_SourceData.Fertiliser_Products_Data1(),FertiliserProducts[[#Headers],[Include or Exclude]], 0)</f>
        <v/>
      </c>
      <c r="X106" s="36" t="str" cm="1">
        <f t="array" ref="X106">Common_InputFunctions.Utility_DisplayArrayInTable(Fertiliser_SourceData.Fertiliser_Products_Data1(),FertiliserProducts[[#Headers],[Include or Exclude]], 0)</f>
        <v/>
      </c>
      <c r="Y106" s="36" t="str" cm="1">
        <f t="array" ref="Y106">Common_InputFunctions.Utility_DisplayArrayInTable(Fertiliser_SourceData.Fertiliser_Products_Data1(),FertiliserProducts[[#Headers],[Include or Exclude]], 0)</f>
        <v/>
      </c>
      <c r="Z106" s="36" t="str" cm="1">
        <f t="array" ref="Z106">Common_InputFunctions.Utility_DisplayArrayInTable(Fertiliser_SourceData.Fertiliser_Products_Data1(),FertiliserProducts[[#Headers],[Include or Exclude]], 0)</f>
        <v/>
      </c>
      <c r="AA106" s="36" t="str" cm="1">
        <f t="array" ref="AA106">Common_InputFunctions.Utility_DisplayArrayInTable(Fertiliser_SourceData.Fertiliser_Products_Data1(),FertiliserProducts[[#Headers],[Include or Exclude]], 0)</f>
        <v/>
      </c>
      <c r="AB106" s="36" t="str" cm="1">
        <f t="array" ref="AB106">Common_InputFunctions.Utility_DisplayArrayInTable(Fertiliser_SourceData.Fertiliser_Products_Data1(),FertiliserProducts[[#Headers],[Include or Exclude]], 0)</f>
        <v/>
      </c>
      <c r="AC106" s="36" t="str" cm="1">
        <f t="array" ref="AC106">Common_InputFunctions.Utility_DisplayArrayInTable(Fertiliser_SourceData.Fertiliser_Products_Data1(),FertiliserProducts[[#Headers],[Include or Exclude]], 0)</f>
        <v/>
      </c>
      <c r="AD106" s="36" t="str" cm="1">
        <f t="array" ref="AD106">Common_InputFunctions.Utility_DisplayArrayInTable(Fertiliser_SourceData.Fertiliser_Products_Data1(),FertiliserProducts[[#Headers],[Include or Exclude]], 0)</f>
        <v/>
      </c>
      <c r="AE106" s="36" t="str" cm="1">
        <f t="array" ref="AE106">Common_InputFunctions.Utility_DisplayArrayInTable(Fertiliser_SourceData.Fertiliser_Products_Data1(),FertiliserProducts[[#Headers],[Include or Exclude]], 0)</f>
        <v/>
      </c>
    </row>
    <row r="107" spans="4:31" ht="20.100000000000001" customHeight="1" x14ac:dyDescent="0.25">
      <c r="D107" s="96" t="str" cm="1">
        <f t="array" ref="D107">Common_InputFunctions.Utility_DisplayArrayInTable(Fertiliser_SourceData.Fertiliser_Products_Data1(),FertiliserProducts[[#Headers],[Include or Exclude]], 0)</f>
        <v/>
      </c>
      <c r="E107" s="96" t="str" cm="1">
        <f t="array" ref="E107">Common_InputFunctions.Utility_DisplayArrayInTable(Fertiliser_SourceData.Fertiliser_Products_Data1(),FertiliserProducts[[#Headers],[Include or Exclude]], 0)</f>
        <v/>
      </c>
      <c r="F107" s="96" t="str" cm="1">
        <f t="array" ref="F107">Common_InputFunctions.Utility_DisplayArrayInTable(Fertiliser_SourceData.Fertiliser_Products_Data1(),FertiliserProducts[[#Headers],[Include or Exclude]], 0)</f>
        <v/>
      </c>
      <c r="G107" s="96" t="str" cm="1">
        <f t="array" ref="G107">Common_InputFunctions.Utility_DisplayArrayInTable(Fertiliser_SourceData.Fertiliser_Products_Data1(),FertiliserProducts[[#Headers],[Include or Exclude]], 0)</f>
        <v/>
      </c>
      <c r="H107" s="96" t="str" cm="1">
        <f t="array" ref="H107">Common_InputFunctions.Utility_DisplayArrayInTable(Fertiliser_SourceData.Fertiliser_Products_Data1(),FertiliserProducts[[#Headers],[Include or Exclude]], 0)</f>
        <v/>
      </c>
      <c r="I107" s="96" t="str" cm="1">
        <f t="array" ref="I107">Common_InputFunctions.Utility_DisplayArrayInTable(Fertiliser_SourceData.Fertiliser_Products_Data1(),FertiliserProducts[[#Headers],[Include or Exclude]], 0)</f>
        <v/>
      </c>
      <c r="J107" s="96" t="str" cm="1">
        <f t="array" ref="J107">Common_InputFunctions.Utility_DisplayArrayInTable(Fertiliser_SourceData.Fertiliser_Products_Data1(),FertiliserProducts[[#Headers],[Include or Exclude]], 0)</f>
        <v/>
      </c>
      <c r="K107" s="96" t="str" cm="1">
        <f t="array" ref="K107">Common_InputFunctions.Utility_DisplayArrayInTable(Fertiliser_SourceData.Fertiliser_Products_Data1(),FertiliserProducts[[#Headers],[Include or Exclude]], 0)</f>
        <v/>
      </c>
      <c r="L107" s="96" t="str" cm="1">
        <f t="array" ref="L107">Common_InputFunctions.Utility_DisplayArrayInTable(Fertiliser_SourceData.Fertiliser_Products_Data1(),FertiliserProducts[[#Headers],[Include or Exclude]], 0)</f>
        <v/>
      </c>
      <c r="M107" s="36" t="str" cm="1">
        <f t="array" ref="M107">Common_InputFunctions.Utility_DisplayArrayInTable(Fertiliser_SourceData.Fertiliser_Products_Data1(),FertiliserProducts[[#Headers],[Include or Exclude]], 0)</f>
        <v/>
      </c>
      <c r="N107" s="96" t="str" cm="1">
        <f t="array" ref="N107">Common_InputFunctions.Utility_DisplayArrayInTable(Fertiliser_SourceData.Fertiliser_Products_Data1(),FertiliserProducts[[#Headers],[Include or Exclude]], 0)</f>
        <v/>
      </c>
      <c r="O107" s="96" t="str" cm="1">
        <f t="array" ref="O107">Common_InputFunctions.Utility_DisplayArrayInTable(Fertiliser_SourceData.Fertiliser_Products_Data1(),FertiliserProducts[[#Headers],[Include or Exclude]], 0)</f>
        <v/>
      </c>
      <c r="P107" s="96" t="str" cm="1">
        <f t="array" ref="P107">Common_InputFunctions.Utility_DisplayArrayInTable(Fertiliser_SourceData.Fertiliser_Products_Data1(),FertiliserProducts[[#Headers],[Include or Exclude]], 0)</f>
        <v/>
      </c>
      <c r="Q107" s="96" t="str" cm="1">
        <f t="array" ref="Q107">Common_InputFunctions.Utility_DisplayArrayInTable(Fertiliser_SourceData.Fertiliser_Products_Data1(),FertiliserProducts[[#Headers],[Include or Exclude]], 0)</f>
        <v/>
      </c>
      <c r="R107" s="96" t="str" cm="1">
        <f t="array" ref="R107">Common_InputFunctions.Utility_DisplayArrayInTable(Fertiliser_SourceData.Fertiliser_Products_Data1(),FertiliserProducts[[#Headers],[Include or Exclude]], 0)</f>
        <v/>
      </c>
      <c r="S107" s="96" t="str" cm="1">
        <f t="array" ref="S107">Common_InputFunctions.Utility_DisplayArrayInTable(Fertiliser_SourceData.Fertiliser_Products_Data1(),FertiliserProducts[[#Headers],[Include or Exclude]], 0)</f>
        <v/>
      </c>
      <c r="T107" s="96" t="str" cm="1">
        <f t="array" ref="T107">Common_InputFunctions.Utility_DisplayArrayInTable(Fertiliser_SourceData.Fertiliser_Products_Data1(),FertiliserProducts[[#Headers],[Include or Exclude]], 0)</f>
        <v/>
      </c>
      <c r="U107" s="96" t="str" cm="1">
        <f t="array" ref="U107">Common_InputFunctions.Utility_DisplayArrayInTable(Fertiliser_SourceData.Fertiliser_Products_Data1(),FertiliserProducts[[#Headers],[Include or Exclude]], 0)</f>
        <v/>
      </c>
      <c r="V107" s="36" t="str" cm="1">
        <f t="array" ref="V107">Common_InputFunctions.Utility_DisplayArrayInTable(Fertiliser_SourceData.Fertiliser_Products_Data1(),FertiliserProducts[[#Headers],[Include or Exclude]], 0)</f>
        <v/>
      </c>
      <c r="W107" s="36" t="str" cm="1">
        <f t="array" ref="W107">Common_InputFunctions.Utility_DisplayArrayInTable(Fertiliser_SourceData.Fertiliser_Products_Data1(),FertiliserProducts[[#Headers],[Include or Exclude]], 0)</f>
        <v/>
      </c>
      <c r="X107" s="36" t="str" cm="1">
        <f t="array" ref="X107">Common_InputFunctions.Utility_DisplayArrayInTable(Fertiliser_SourceData.Fertiliser_Products_Data1(),FertiliserProducts[[#Headers],[Include or Exclude]], 0)</f>
        <v/>
      </c>
      <c r="Y107" s="36" t="str" cm="1">
        <f t="array" ref="Y107">Common_InputFunctions.Utility_DisplayArrayInTable(Fertiliser_SourceData.Fertiliser_Products_Data1(),FertiliserProducts[[#Headers],[Include or Exclude]], 0)</f>
        <v/>
      </c>
      <c r="Z107" s="36" t="str" cm="1">
        <f t="array" ref="Z107">Common_InputFunctions.Utility_DisplayArrayInTable(Fertiliser_SourceData.Fertiliser_Products_Data1(),FertiliserProducts[[#Headers],[Include or Exclude]], 0)</f>
        <v/>
      </c>
      <c r="AA107" s="36" t="str" cm="1">
        <f t="array" ref="AA107">Common_InputFunctions.Utility_DisplayArrayInTable(Fertiliser_SourceData.Fertiliser_Products_Data1(),FertiliserProducts[[#Headers],[Include or Exclude]], 0)</f>
        <v/>
      </c>
      <c r="AB107" s="36" t="str" cm="1">
        <f t="array" ref="AB107">Common_InputFunctions.Utility_DisplayArrayInTable(Fertiliser_SourceData.Fertiliser_Products_Data1(),FertiliserProducts[[#Headers],[Include or Exclude]], 0)</f>
        <v/>
      </c>
      <c r="AC107" s="36" t="str" cm="1">
        <f t="array" ref="AC107">Common_InputFunctions.Utility_DisplayArrayInTable(Fertiliser_SourceData.Fertiliser_Products_Data1(),FertiliserProducts[[#Headers],[Include or Exclude]], 0)</f>
        <v/>
      </c>
      <c r="AD107" s="36" t="str" cm="1">
        <f t="array" ref="AD107">Common_InputFunctions.Utility_DisplayArrayInTable(Fertiliser_SourceData.Fertiliser_Products_Data1(),FertiliserProducts[[#Headers],[Include or Exclude]], 0)</f>
        <v/>
      </c>
      <c r="AE107" s="36" t="str" cm="1">
        <f t="array" ref="AE107">Common_InputFunctions.Utility_DisplayArrayInTable(Fertiliser_SourceData.Fertiliser_Products_Data1(),FertiliserProducts[[#Headers],[Include or Exclude]], 0)</f>
        <v/>
      </c>
    </row>
    <row r="108" spans="4:31" ht="20.100000000000001" customHeight="1" x14ac:dyDescent="0.25">
      <c r="D108" s="96" t="str" cm="1">
        <f t="array" ref="D108">Common_InputFunctions.Utility_DisplayArrayInTable(Fertiliser_SourceData.Fertiliser_Products_Data1(),FertiliserProducts[[#Headers],[Include or Exclude]], 0)</f>
        <v/>
      </c>
      <c r="E108" s="96" t="str" cm="1">
        <f t="array" ref="E108">Common_InputFunctions.Utility_DisplayArrayInTable(Fertiliser_SourceData.Fertiliser_Products_Data1(),FertiliserProducts[[#Headers],[Include or Exclude]], 0)</f>
        <v/>
      </c>
      <c r="F108" s="96" t="str" cm="1">
        <f t="array" ref="F108">Common_InputFunctions.Utility_DisplayArrayInTable(Fertiliser_SourceData.Fertiliser_Products_Data1(),FertiliserProducts[[#Headers],[Include or Exclude]], 0)</f>
        <v/>
      </c>
      <c r="G108" s="96" t="str" cm="1">
        <f t="array" ref="G108">Common_InputFunctions.Utility_DisplayArrayInTable(Fertiliser_SourceData.Fertiliser_Products_Data1(),FertiliserProducts[[#Headers],[Include or Exclude]], 0)</f>
        <v/>
      </c>
      <c r="H108" s="96" t="str" cm="1">
        <f t="array" ref="H108">Common_InputFunctions.Utility_DisplayArrayInTable(Fertiliser_SourceData.Fertiliser_Products_Data1(),FertiliserProducts[[#Headers],[Include or Exclude]], 0)</f>
        <v/>
      </c>
      <c r="I108" s="96" t="str" cm="1">
        <f t="array" ref="I108">Common_InputFunctions.Utility_DisplayArrayInTable(Fertiliser_SourceData.Fertiliser_Products_Data1(),FertiliserProducts[[#Headers],[Include or Exclude]], 0)</f>
        <v/>
      </c>
      <c r="J108" s="96" t="str" cm="1">
        <f t="array" ref="J108">Common_InputFunctions.Utility_DisplayArrayInTable(Fertiliser_SourceData.Fertiliser_Products_Data1(),FertiliserProducts[[#Headers],[Include or Exclude]], 0)</f>
        <v/>
      </c>
      <c r="K108" s="96" t="str" cm="1">
        <f t="array" ref="K108">Common_InputFunctions.Utility_DisplayArrayInTable(Fertiliser_SourceData.Fertiliser_Products_Data1(),FertiliserProducts[[#Headers],[Include or Exclude]], 0)</f>
        <v/>
      </c>
      <c r="L108" s="96" t="str" cm="1">
        <f t="array" ref="L108">Common_InputFunctions.Utility_DisplayArrayInTable(Fertiliser_SourceData.Fertiliser_Products_Data1(),FertiliserProducts[[#Headers],[Include or Exclude]], 0)</f>
        <v/>
      </c>
      <c r="M108" s="36" t="str" cm="1">
        <f t="array" ref="M108">Common_InputFunctions.Utility_DisplayArrayInTable(Fertiliser_SourceData.Fertiliser_Products_Data1(),FertiliserProducts[[#Headers],[Include or Exclude]], 0)</f>
        <v/>
      </c>
      <c r="N108" s="96" t="str" cm="1">
        <f t="array" ref="N108">Common_InputFunctions.Utility_DisplayArrayInTable(Fertiliser_SourceData.Fertiliser_Products_Data1(),FertiliserProducts[[#Headers],[Include or Exclude]], 0)</f>
        <v/>
      </c>
      <c r="O108" s="96" t="str" cm="1">
        <f t="array" ref="O108">Common_InputFunctions.Utility_DisplayArrayInTable(Fertiliser_SourceData.Fertiliser_Products_Data1(),FertiliserProducts[[#Headers],[Include or Exclude]], 0)</f>
        <v/>
      </c>
      <c r="P108" s="96" t="str" cm="1">
        <f t="array" ref="P108">Common_InputFunctions.Utility_DisplayArrayInTable(Fertiliser_SourceData.Fertiliser_Products_Data1(),FertiliserProducts[[#Headers],[Include or Exclude]], 0)</f>
        <v/>
      </c>
      <c r="Q108" s="96" t="str" cm="1">
        <f t="array" ref="Q108">Common_InputFunctions.Utility_DisplayArrayInTable(Fertiliser_SourceData.Fertiliser_Products_Data1(),FertiliserProducts[[#Headers],[Include or Exclude]], 0)</f>
        <v/>
      </c>
      <c r="R108" s="96" t="str" cm="1">
        <f t="array" ref="R108">Common_InputFunctions.Utility_DisplayArrayInTable(Fertiliser_SourceData.Fertiliser_Products_Data1(),FertiliserProducts[[#Headers],[Include or Exclude]], 0)</f>
        <v/>
      </c>
      <c r="S108" s="96" t="str" cm="1">
        <f t="array" ref="S108">Common_InputFunctions.Utility_DisplayArrayInTable(Fertiliser_SourceData.Fertiliser_Products_Data1(),FertiliserProducts[[#Headers],[Include or Exclude]], 0)</f>
        <v/>
      </c>
      <c r="T108" s="96" t="str" cm="1">
        <f t="array" ref="T108">Common_InputFunctions.Utility_DisplayArrayInTable(Fertiliser_SourceData.Fertiliser_Products_Data1(),FertiliserProducts[[#Headers],[Include or Exclude]], 0)</f>
        <v/>
      </c>
      <c r="U108" s="96" t="str" cm="1">
        <f t="array" ref="U108">Common_InputFunctions.Utility_DisplayArrayInTable(Fertiliser_SourceData.Fertiliser_Products_Data1(),FertiliserProducts[[#Headers],[Include or Exclude]], 0)</f>
        <v/>
      </c>
      <c r="V108" s="36" t="str" cm="1">
        <f t="array" ref="V108">Common_InputFunctions.Utility_DisplayArrayInTable(Fertiliser_SourceData.Fertiliser_Products_Data1(),FertiliserProducts[[#Headers],[Include or Exclude]], 0)</f>
        <v/>
      </c>
      <c r="W108" s="36" t="str" cm="1">
        <f t="array" ref="W108">Common_InputFunctions.Utility_DisplayArrayInTable(Fertiliser_SourceData.Fertiliser_Products_Data1(),FertiliserProducts[[#Headers],[Include or Exclude]], 0)</f>
        <v/>
      </c>
      <c r="X108" s="36" t="str" cm="1">
        <f t="array" ref="X108">Common_InputFunctions.Utility_DisplayArrayInTable(Fertiliser_SourceData.Fertiliser_Products_Data1(),FertiliserProducts[[#Headers],[Include or Exclude]], 0)</f>
        <v/>
      </c>
      <c r="Y108" s="36" t="str" cm="1">
        <f t="array" ref="Y108">Common_InputFunctions.Utility_DisplayArrayInTable(Fertiliser_SourceData.Fertiliser_Products_Data1(),FertiliserProducts[[#Headers],[Include or Exclude]], 0)</f>
        <v/>
      </c>
      <c r="Z108" s="36" t="str" cm="1">
        <f t="array" ref="Z108">Common_InputFunctions.Utility_DisplayArrayInTable(Fertiliser_SourceData.Fertiliser_Products_Data1(),FertiliserProducts[[#Headers],[Include or Exclude]], 0)</f>
        <v/>
      </c>
      <c r="AA108" s="36" t="str" cm="1">
        <f t="array" ref="AA108">Common_InputFunctions.Utility_DisplayArrayInTable(Fertiliser_SourceData.Fertiliser_Products_Data1(),FertiliserProducts[[#Headers],[Include or Exclude]], 0)</f>
        <v/>
      </c>
      <c r="AB108" s="36" t="str" cm="1">
        <f t="array" ref="AB108">Common_InputFunctions.Utility_DisplayArrayInTable(Fertiliser_SourceData.Fertiliser_Products_Data1(),FertiliserProducts[[#Headers],[Include or Exclude]], 0)</f>
        <v/>
      </c>
      <c r="AC108" s="36" t="str" cm="1">
        <f t="array" ref="AC108">Common_InputFunctions.Utility_DisplayArrayInTable(Fertiliser_SourceData.Fertiliser_Products_Data1(),FertiliserProducts[[#Headers],[Include or Exclude]], 0)</f>
        <v/>
      </c>
      <c r="AD108" s="36" t="str" cm="1">
        <f t="array" ref="AD108">Common_InputFunctions.Utility_DisplayArrayInTable(Fertiliser_SourceData.Fertiliser_Products_Data1(),FertiliserProducts[[#Headers],[Include or Exclude]], 0)</f>
        <v/>
      </c>
      <c r="AE108" s="36" t="str" cm="1">
        <f t="array" ref="AE108">Common_InputFunctions.Utility_DisplayArrayInTable(Fertiliser_SourceData.Fertiliser_Products_Data1(),FertiliserProducts[[#Headers],[Include or Exclude]], 0)</f>
        <v/>
      </c>
    </row>
    <row r="109" spans="4:31" ht="20.100000000000001" customHeight="1" x14ac:dyDescent="0.25">
      <c r="D109" s="96" t="str" cm="1">
        <f t="array" aca="1" ref="D109" ca="1">Common_InputFunctions.Utility_DisplayArrayInTable(Fertiliser_SourceData.Fertiliser_Products_Data2(),FertiliserProducts[[#Headers],[Include or Exclude]], 20)</f>
        <v/>
      </c>
      <c r="E109" s="96" t="str" cm="1">
        <f t="array" aca="1" ref="E109" ca="1">Common_InputFunctions.Utility_DisplayArrayInTable(Fertiliser_SourceData.Fertiliser_Products_Data2(),FertiliserProducts[[#Headers],[Include or Exclude]], 20)</f>
        <v/>
      </c>
      <c r="F109" s="96" t="str" cm="1">
        <f t="array" aca="1" ref="F109" ca="1">Common_InputFunctions.Utility_DisplayArrayInTable(Fertiliser_SourceData.Fertiliser_Products_Data2(),FertiliserProducts[[#Headers],[Include or Exclude]], 20)</f>
        <v/>
      </c>
      <c r="G109" s="96" t="str" cm="1">
        <f t="array" aca="1" ref="G109" ca="1">Common_InputFunctions.Utility_DisplayArrayInTable(Fertiliser_SourceData.Fertiliser_Products_Data2(),FertiliserProducts[[#Headers],[Include or Exclude]], 20)</f>
        <v/>
      </c>
      <c r="H109" s="96" t="str" cm="1">
        <f t="array" aca="1" ref="H109" ca="1">Common_InputFunctions.Utility_DisplayArrayInTable(Fertiliser_SourceData.Fertiliser_Products_Data2(),FertiliserProducts[[#Headers],[Include or Exclude]], 20)</f>
        <v/>
      </c>
      <c r="I109" s="96" t="str" cm="1">
        <f t="array" aca="1" ref="I109" ca="1">Common_InputFunctions.Utility_DisplayArrayInTable(Fertiliser_SourceData.Fertiliser_Products_Data2(),FertiliserProducts[[#Headers],[Include or Exclude]], 20)</f>
        <v/>
      </c>
      <c r="J109" s="96" t="str" cm="1">
        <f t="array" aca="1" ref="J109" ca="1">Common_InputFunctions.Utility_DisplayArrayInTable(Fertiliser_SourceData.Fertiliser_Products_Data2(),FertiliserProducts[[#Headers],[Include or Exclude]], 20)</f>
        <v/>
      </c>
      <c r="K109" s="96" t="str" cm="1">
        <f t="array" aca="1" ref="K109" ca="1">Common_InputFunctions.Utility_DisplayArrayInTable(Fertiliser_SourceData.Fertiliser_Products_Data2(),FertiliserProducts[[#Headers],[Include or Exclude]], 20)</f>
        <v/>
      </c>
      <c r="L109" s="96" t="str" cm="1">
        <f t="array" aca="1" ref="L109" ca="1">Common_InputFunctions.Utility_DisplayArrayInTable(Fertiliser_SourceData.Fertiliser_Products_Data2(),FertiliserProducts[[#Headers],[Include or Exclude]], 20)</f>
        <v/>
      </c>
      <c r="M109" s="96" t="str" cm="1">
        <f t="array" aca="1" ref="M109" ca="1">Common_InputFunctions.Utility_DisplayArrayInTable(Fertiliser_SourceData.Fertiliser_Products_Data2(),FertiliserProducts[[#Headers],[Include or Exclude]], 20)</f>
        <v/>
      </c>
      <c r="N109" s="96" t="str" cm="1">
        <f t="array" aca="1" ref="N109" ca="1">Common_InputFunctions.Utility_DisplayArrayInTable(Fertiliser_SourceData.Fertiliser_Products_Data2(),FertiliserProducts[[#Headers],[Include or Exclude]], 20)</f>
        <v/>
      </c>
      <c r="O109" s="96" t="str" cm="1">
        <f t="array" aca="1" ref="O109" ca="1">Common_InputFunctions.Utility_DisplayArrayInTable(Fertiliser_SourceData.Fertiliser_Products_Data2(),FertiliserProducts[[#Headers],[Include or Exclude]], 20)</f>
        <v/>
      </c>
      <c r="P109" s="96" t="str" cm="1">
        <f t="array" aca="1" ref="P109" ca="1">Common_InputFunctions.Utility_DisplayArrayInTable(Fertiliser_SourceData.Fertiliser_Products_Data2(),FertiliserProducts[[#Headers],[Include or Exclude]], 20)</f>
        <v/>
      </c>
      <c r="Q109" s="96" t="str" cm="1">
        <f t="array" aca="1" ref="Q109" ca="1">Common_InputFunctions.Utility_DisplayArrayInTable(Fertiliser_SourceData.Fertiliser_Products_Data2(),FertiliserProducts[[#Headers],[Include or Exclude]], 20)</f>
        <v/>
      </c>
      <c r="R109" s="96" t="str" cm="1">
        <f t="array" aca="1" ref="R109" ca="1">Common_InputFunctions.Utility_DisplayArrayInTable(Fertiliser_SourceData.Fertiliser_Products_Data2(),FertiliserProducts[[#Headers],[Include or Exclude]], 20)</f>
        <v/>
      </c>
      <c r="S109" s="96" t="str" cm="1">
        <f t="array" aca="1" ref="S109" ca="1">Common_InputFunctions.Utility_DisplayArrayInTable(Fertiliser_SourceData.Fertiliser_Products_Data2(),FertiliserProducts[[#Headers],[Include or Exclude]], 20)</f>
        <v/>
      </c>
      <c r="T109" s="96" t="str" cm="1">
        <f t="array" aca="1" ref="T109" ca="1">Common_InputFunctions.Utility_DisplayArrayInTable(Fertiliser_SourceData.Fertiliser_Products_Data2(),FertiliserProducts[[#Headers],[Include or Exclude]], 20)</f>
        <v/>
      </c>
      <c r="U109" s="96" t="str" cm="1">
        <f t="array" aca="1" ref="U109" ca="1">Common_InputFunctions.Utility_DisplayArrayInTable(Fertiliser_SourceData.Fertiliser_Products_Data2(),FertiliserProducts[[#Headers],[Include or Exclude]], 20)</f>
        <v/>
      </c>
      <c r="V109" s="96" t="str" cm="1">
        <f t="array" aca="1" ref="V109" ca="1">Common_InputFunctions.Utility_DisplayArrayInTable(Fertiliser_SourceData.Fertiliser_Products_Data2(),FertiliserProducts[[#Headers],[Include or Exclude]], 20)</f>
        <v/>
      </c>
      <c r="W109" s="96" t="str" cm="1">
        <f t="array" aca="1" ref="W109" ca="1">Common_InputFunctions.Utility_DisplayArrayInTable(Fertiliser_SourceData.Fertiliser_Products_Data2(),FertiliserProducts[[#Headers],[Include or Exclude]], 20)</f>
        <v/>
      </c>
      <c r="X109" s="96" t="str" cm="1">
        <f t="array" aca="1" ref="X109" ca="1">Common_InputFunctions.Utility_DisplayArrayInTable(Fertiliser_SourceData.Fertiliser_Products_Data2(),FertiliserProducts[[#Headers],[Include or Exclude]], 20)</f>
        <v/>
      </c>
      <c r="Y109" s="96" t="str" cm="1">
        <f t="array" aca="1" ref="Y109" ca="1">Common_InputFunctions.Utility_DisplayArrayInTable(Fertiliser_SourceData.Fertiliser_Products_Data2(),FertiliserProducts[[#Headers],[Include or Exclude]], 20)</f>
        <v/>
      </c>
      <c r="Z109" s="96" t="str" cm="1">
        <f t="array" aca="1" ref="Z109" ca="1">Common_InputFunctions.Utility_DisplayArrayInTable(Fertiliser_SourceData.Fertiliser_Products_Data2(),FertiliserProducts[[#Headers],[Include or Exclude]], 20)</f>
        <v/>
      </c>
      <c r="AA109" s="36" t="str" cm="1">
        <f t="array" aca="1" ref="AA109" ca="1">Common_InputFunctions.Utility_DisplayArrayInTable(Fertiliser_SourceData.Fertiliser_Products_Data2(),FertiliserProducts[[#Headers],[Include or Exclude]], 20)</f>
        <v/>
      </c>
      <c r="AB109" s="36" t="str" cm="1">
        <f t="array" aca="1" ref="AB109" ca="1">Common_InputFunctions.Utility_DisplayArrayInTable(Fertiliser_SourceData.Fertiliser_Products_Data2(),FertiliserProducts[[#Headers],[Include or Exclude]], 20)</f>
        <v/>
      </c>
      <c r="AC109" s="36" t="str" cm="1">
        <f t="array" aca="1" ref="AC109" ca="1">Common_InputFunctions.Utility_DisplayArrayInTable(Fertiliser_SourceData.Fertiliser_Products_Data2(),FertiliserProducts[[#Headers],[Include or Exclude]], 20)</f>
        <v/>
      </c>
      <c r="AD109" s="36" t="str" cm="1">
        <f t="array" aca="1" ref="AD109" ca="1">Common_InputFunctions.Utility_DisplayArrayInTable(Fertiliser_SourceData.Fertiliser_Products_Data2(),FertiliserProducts[[#Headers],[Include or Exclude]], 20)</f>
        <v/>
      </c>
      <c r="AE109" s="36" t="str" cm="1">
        <f t="array" aca="1" ref="AE109" ca="1">Common_InputFunctions.Utility_DisplayArrayInTable(Fertiliser_SourceData.Fertiliser_Products_Data2(),FertiliserProducts[[#Headers],[Include or Exclude]], 20)</f>
        <v/>
      </c>
    </row>
    <row r="110" spans="4:31" ht="20.100000000000001" customHeight="1" x14ac:dyDescent="0.25">
      <c r="D110" s="96" t="str" cm="1">
        <f t="array" aca="1" ref="D110" ca="1">Common_InputFunctions.Utility_DisplayArrayInTable(Fertiliser_SourceData.Fertiliser_Products_Data2(),FertiliserProducts[[#Headers],[Include or Exclude]], 20)</f>
        <v/>
      </c>
      <c r="E110" s="96" t="str" cm="1">
        <f t="array" aca="1" ref="E110" ca="1">Common_InputFunctions.Utility_DisplayArrayInTable(Fertiliser_SourceData.Fertiliser_Products_Data2(),FertiliserProducts[[#Headers],[Include or Exclude]], 20)</f>
        <v/>
      </c>
      <c r="F110" s="96" t="str" cm="1">
        <f t="array" aca="1" ref="F110" ca="1">Common_InputFunctions.Utility_DisplayArrayInTable(Fertiliser_SourceData.Fertiliser_Products_Data2(),FertiliserProducts[[#Headers],[Include or Exclude]], 20)</f>
        <v/>
      </c>
      <c r="G110" s="96" t="str" cm="1">
        <f t="array" aca="1" ref="G110" ca="1">Common_InputFunctions.Utility_DisplayArrayInTable(Fertiliser_SourceData.Fertiliser_Products_Data2(),FertiliserProducts[[#Headers],[Include or Exclude]], 20)</f>
        <v/>
      </c>
      <c r="H110" s="96" t="str" cm="1">
        <f t="array" aca="1" ref="H110" ca="1">Common_InputFunctions.Utility_DisplayArrayInTable(Fertiliser_SourceData.Fertiliser_Products_Data2(),FertiliserProducts[[#Headers],[Include or Exclude]], 20)</f>
        <v/>
      </c>
      <c r="I110" s="96" t="str" cm="1">
        <f t="array" aca="1" ref="I110" ca="1">Common_InputFunctions.Utility_DisplayArrayInTable(Fertiliser_SourceData.Fertiliser_Products_Data2(),FertiliserProducts[[#Headers],[Include or Exclude]], 20)</f>
        <v/>
      </c>
      <c r="J110" s="96" t="str" cm="1">
        <f t="array" aca="1" ref="J110" ca="1">Common_InputFunctions.Utility_DisplayArrayInTable(Fertiliser_SourceData.Fertiliser_Products_Data2(),FertiliserProducts[[#Headers],[Include or Exclude]], 20)</f>
        <v/>
      </c>
      <c r="K110" s="96" t="str" cm="1">
        <f t="array" aca="1" ref="K110" ca="1">Common_InputFunctions.Utility_DisplayArrayInTable(Fertiliser_SourceData.Fertiliser_Products_Data2(),FertiliserProducts[[#Headers],[Include or Exclude]], 20)</f>
        <v/>
      </c>
      <c r="L110" s="96" t="str" cm="1">
        <f t="array" aca="1" ref="L110" ca="1">Common_InputFunctions.Utility_DisplayArrayInTable(Fertiliser_SourceData.Fertiliser_Products_Data2(),FertiliserProducts[[#Headers],[Include or Exclude]], 20)</f>
        <v/>
      </c>
      <c r="M110" s="96" t="str" cm="1">
        <f t="array" aca="1" ref="M110" ca="1">Common_InputFunctions.Utility_DisplayArrayInTable(Fertiliser_SourceData.Fertiliser_Products_Data2(),FertiliserProducts[[#Headers],[Include or Exclude]], 20)</f>
        <v/>
      </c>
      <c r="N110" s="96" t="str" cm="1">
        <f t="array" aca="1" ref="N110" ca="1">Common_InputFunctions.Utility_DisplayArrayInTable(Fertiliser_SourceData.Fertiliser_Products_Data2(),FertiliserProducts[[#Headers],[Include or Exclude]], 20)</f>
        <v/>
      </c>
      <c r="O110" s="96" t="str" cm="1">
        <f t="array" aca="1" ref="O110" ca="1">Common_InputFunctions.Utility_DisplayArrayInTable(Fertiliser_SourceData.Fertiliser_Products_Data2(),FertiliserProducts[[#Headers],[Include or Exclude]], 20)</f>
        <v/>
      </c>
      <c r="P110" s="96" t="str" cm="1">
        <f t="array" aca="1" ref="P110" ca="1">Common_InputFunctions.Utility_DisplayArrayInTable(Fertiliser_SourceData.Fertiliser_Products_Data2(),FertiliserProducts[[#Headers],[Include or Exclude]], 20)</f>
        <v/>
      </c>
      <c r="Q110" s="96" t="str" cm="1">
        <f t="array" aca="1" ref="Q110" ca="1">Common_InputFunctions.Utility_DisplayArrayInTable(Fertiliser_SourceData.Fertiliser_Products_Data2(),FertiliserProducts[[#Headers],[Include or Exclude]], 20)</f>
        <v/>
      </c>
      <c r="R110" s="96" t="str" cm="1">
        <f t="array" aca="1" ref="R110" ca="1">Common_InputFunctions.Utility_DisplayArrayInTable(Fertiliser_SourceData.Fertiliser_Products_Data2(),FertiliserProducts[[#Headers],[Include or Exclude]], 20)</f>
        <v/>
      </c>
      <c r="S110" s="96" t="str" cm="1">
        <f t="array" aca="1" ref="S110" ca="1">Common_InputFunctions.Utility_DisplayArrayInTable(Fertiliser_SourceData.Fertiliser_Products_Data2(),FertiliserProducts[[#Headers],[Include or Exclude]], 20)</f>
        <v/>
      </c>
      <c r="T110" s="96" t="str" cm="1">
        <f t="array" aca="1" ref="T110" ca="1">Common_InputFunctions.Utility_DisplayArrayInTable(Fertiliser_SourceData.Fertiliser_Products_Data2(),FertiliserProducts[[#Headers],[Include or Exclude]], 20)</f>
        <v/>
      </c>
      <c r="U110" s="96" t="str" cm="1">
        <f t="array" aca="1" ref="U110" ca="1">Common_InputFunctions.Utility_DisplayArrayInTable(Fertiliser_SourceData.Fertiliser_Products_Data2(),FertiliserProducts[[#Headers],[Include or Exclude]], 20)</f>
        <v/>
      </c>
      <c r="V110" s="96" t="str" cm="1">
        <f t="array" aca="1" ref="V110" ca="1">Common_InputFunctions.Utility_DisplayArrayInTable(Fertiliser_SourceData.Fertiliser_Products_Data2(),FertiliserProducts[[#Headers],[Include or Exclude]], 20)</f>
        <v/>
      </c>
      <c r="W110" s="96" t="str" cm="1">
        <f t="array" aca="1" ref="W110" ca="1">Common_InputFunctions.Utility_DisplayArrayInTable(Fertiliser_SourceData.Fertiliser_Products_Data2(),FertiliserProducts[[#Headers],[Include or Exclude]], 20)</f>
        <v/>
      </c>
      <c r="X110" s="96" t="str" cm="1">
        <f t="array" aca="1" ref="X110" ca="1">Common_InputFunctions.Utility_DisplayArrayInTable(Fertiliser_SourceData.Fertiliser_Products_Data2(),FertiliserProducts[[#Headers],[Include or Exclude]], 20)</f>
        <v/>
      </c>
      <c r="Y110" s="96" t="str" cm="1">
        <f t="array" aca="1" ref="Y110" ca="1">Common_InputFunctions.Utility_DisplayArrayInTable(Fertiliser_SourceData.Fertiliser_Products_Data2(),FertiliserProducts[[#Headers],[Include or Exclude]], 20)</f>
        <v/>
      </c>
      <c r="Z110" s="96" t="str" cm="1">
        <f t="array" aca="1" ref="Z110" ca="1">Common_InputFunctions.Utility_DisplayArrayInTable(Fertiliser_SourceData.Fertiliser_Products_Data2(),FertiliserProducts[[#Headers],[Include or Exclude]], 20)</f>
        <v/>
      </c>
      <c r="AA110" s="36" t="str" cm="1">
        <f t="array" aca="1" ref="AA110" ca="1">Common_InputFunctions.Utility_DisplayArrayInTable(Fertiliser_SourceData.Fertiliser_Products_Data2(),FertiliserProducts[[#Headers],[Include or Exclude]], 20)</f>
        <v/>
      </c>
      <c r="AB110" s="36" t="str" cm="1">
        <f t="array" aca="1" ref="AB110" ca="1">Common_InputFunctions.Utility_DisplayArrayInTable(Fertiliser_SourceData.Fertiliser_Products_Data2(),FertiliserProducts[[#Headers],[Include or Exclude]], 20)</f>
        <v/>
      </c>
      <c r="AC110" s="36" t="str" cm="1">
        <f t="array" aca="1" ref="AC110" ca="1">Common_InputFunctions.Utility_DisplayArrayInTable(Fertiliser_SourceData.Fertiliser_Products_Data2(),FertiliserProducts[[#Headers],[Include or Exclude]], 20)</f>
        <v/>
      </c>
      <c r="AD110" s="36" t="str" cm="1">
        <f t="array" aca="1" ref="AD110" ca="1">Common_InputFunctions.Utility_DisplayArrayInTable(Fertiliser_SourceData.Fertiliser_Products_Data2(),FertiliserProducts[[#Headers],[Include or Exclude]], 20)</f>
        <v/>
      </c>
      <c r="AE110" s="36" t="str" cm="1">
        <f t="array" aca="1" ref="AE110" ca="1">Common_InputFunctions.Utility_DisplayArrayInTable(Fertiliser_SourceData.Fertiliser_Products_Data2(),FertiliserProducts[[#Headers],[Include or Exclude]], 20)</f>
        <v/>
      </c>
    </row>
    <row r="111" spans="4:31" ht="20.100000000000001" customHeight="1" x14ac:dyDescent="0.25">
      <c r="D111" s="96" t="str" cm="1">
        <f t="array" aca="1" ref="D111" ca="1">Common_InputFunctions.Utility_DisplayArrayInTable(Fertiliser_SourceData.Fertiliser_Products_Data2(),FertiliserProducts[[#Headers],[Include or Exclude]], 20)</f>
        <v/>
      </c>
      <c r="E111" s="96" t="str" cm="1">
        <f t="array" aca="1" ref="E111" ca="1">Common_InputFunctions.Utility_DisplayArrayInTable(Fertiliser_SourceData.Fertiliser_Products_Data2(),FertiliserProducts[[#Headers],[Include or Exclude]], 20)</f>
        <v/>
      </c>
      <c r="F111" s="96" t="str" cm="1">
        <f t="array" aca="1" ref="F111" ca="1">Common_InputFunctions.Utility_DisplayArrayInTable(Fertiliser_SourceData.Fertiliser_Products_Data2(),FertiliserProducts[[#Headers],[Include or Exclude]], 20)</f>
        <v/>
      </c>
      <c r="G111" s="96" t="str" cm="1">
        <f t="array" aca="1" ref="G111" ca="1">Common_InputFunctions.Utility_DisplayArrayInTable(Fertiliser_SourceData.Fertiliser_Products_Data2(),FertiliserProducts[[#Headers],[Include or Exclude]], 20)</f>
        <v/>
      </c>
      <c r="H111" s="96" t="str" cm="1">
        <f t="array" aca="1" ref="H111" ca="1">Common_InputFunctions.Utility_DisplayArrayInTable(Fertiliser_SourceData.Fertiliser_Products_Data2(),FertiliserProducts[[#Headers],[Include or Exclude]], 20)</f>
        <v/>
      </c>
      <c r="I111" s="96" t="str" cm="1">
        <f t="array" aca="1" ref="I111" ca="1">Common_InputFunctions.Utility_DisplayArrayInTable(Fertiliser_SourceData.Fertiliser_Products_Data2(),FertiliserProducts[[#Headers],[Include or Exclude]], 20)</f>
        <v/>
      </c>
      <c r="J111" s="96" t="str" cm="1">
        <f t="array" aca="1" ref="J111" ca="1">Common_InputFunctions.Utility_DisplayArrayInTable(Fertiliser_SourceData.Fertiliser_Products_Data2(),FertiliserProducts[[#Headers],[Include or Exclude]], 20)</f>
        <v/>
      </c>
      <c r="K111" s="96" t="str" cm="1">
        <f t="array" aca="1" ref="K111" ca="1">Common_InputFunctions.Utility_DisplayArrayInTable(Fertiliser_SourceData.Fertiliser_Products_Data2(),FertiliserProducts[[#Headers],[Include or Exclude]], 20)</f>
        <v/>
      </c>
      <c r="L111" s="96" t="str" cm="1">
        <f t="array" aca="1" ref="L111" ca="1">Common_InputFunctions.Utility_DisplayArrayInTable(Fertiliser_SourceData.Fertiliser_Products_Data2(),FertiliserProducts[[#Headers],[Include or Exclude]], 20)</f>
        <v/>
      </c>
      <c r="M111" s="96" t="str" cm="1">
        <f t="array" aca="1" ref="M111" ca="1">Common_InputFunctions.Utility_DisplayArrayInTable(Fertiliser_SourceData.Fertiliser_Products_Data2(),FertiliserProducts[[#Headers],[Include or Exclude]], 20)</f>
        <v/>
      </c>
      <c r="N111" s="96" t="str" cm="1">
        <f t="array" aca="1" ref="N111" ca="1">Common_InputFunctions.Utility_DisplayArrayInTable(Fertiliser_SourceData.Fertiliser_Products_Data2(),FertiliserProducts[[#Headers],[Include or Exclude]], 20)</f>
        <v/>
      </c>
      <c r="O111" s="96" t="str" cm="1">
        <f t="array" aca="1" ref="O111" ca="1">Common_InputFunctions.Utility_DisplayArrayInTable(Fertiliser_SourceData.Fertiliser_Products_Data2(),FertiliserProducts[[#Headers],[Include or Exclude]], 20)</f>
        <v/>
      </c>
      <c r="P111" s="96" t="str" cm="1">
        <f t="array" aca="1" ref="P111" ca="1">Common_InputFunctions.Utility_DisplayArrayInTable(Fertiliser_SourceData.Fertiliser_Products_Data2(),FertiliserProducts[[#Headers],[Include or Exclude]], 20)</f>
        <v/>
      </c>
      <c r="Q111" s="96" t="str" cm="1">
        <f t="array" aca="1" ref="Q111" ca="1">Common_InputFunctions.Utility_DisplayArrayInTable(Fertiliser_SourceData.Fertiliser_Products_Data2(),FertiliserProducts[[#Headers],[Include or Exclude]], 20)</f>
        <v/>
      </c>
      <c r="R111" s="96" t="str" cm="1">
        <f t="array" aca="1" ref="R111" ca="1">Common_InputFunctions.Utility_DisplayArrayInTable(Fertiliser_SourceData.Fertiliser_Products_Data2(),FertiliserProducts[[#Headers],[Include or Exclude]], 20)</f>
        <v/>
      </c>
      <c r="S111" s="96" t="str" cm="1">
        <f t="array" aca="1" ref="S111" ca="1">Common_InputFunctions.Utility_DisplayArrayInTable(Fertiliser_SourceData.Fertiliser_Products_Data2(),FertiliserProducts[[#Headers],[Include or Exclude]], 20)</f>
        <v/>
      </c>
      <c r="T111" s="96" t="str" cm="1">
        <f t="array" aca="1" ref="T111" ca="1">Common_InputFunctions.Utility_DisplayArrayInTable(Fertiliser_SourceData.Fertiliser_Products_Data2(),FertiliserProducts[[#Headers],[Include or Exclude]], 20)</f>
        <v/>
      </c>
      <c r="U111" s="96" t="str" cm="1">
        <f t="array" aca="1" ref="U111" ca="1">Common_InputFunctions.Utility_DisplayArrayInTable(Fertiliser_SourceData.Fertiliser_Products_Data2(),FertiliserProducts[[#Headers],[Include or Exclude]], 20)</f>
        <v/>
      </c>
      <c r="V111" s="96" t="str" cm="1">
        <f t="array" aca="1" ref="V111" ca="1">Common_InputFunctions.Utility_DisplayArrayInTable(Fertiliser_SourceData.Fertiliser_Products_Data2(),FertiliserProducts[[#Headers],[Include or Exclude]], 20)</f>
        <v/>
      </c>
      <c r="W111" s="96" t="str" cm="1">
        <f t="array" aca="1" ref="W111" ca="1">Common_InputFunctions.Utility_DisplayArrayInTable(Fertiliser_SourceData.Fertiliser_Products_Data2(),FertiliserProducts[[#Headers],[Include or Exclude]], 20)</f>
        <v/>
      </c>
      <c r="X111" s="96" t="str" cm="1">
        <f t="array" aca="1" ref="X111" ca="1">Common_InputFunctions.Utility_DisplayArrayInTable(Fertiliser_SourceData.Fertiliser_Products_Data2(),FertiliserProducts[[#Headers],[Include or Exclude]], 20)</f>
        <v/>
      </c>
      <c r="Y111" s="96" t="str" cm="1">
        <f t="array" aca="1" ref="Y111" ca="1">Common_InputFunctions.Utility_DisplayArrayInTable(Fertiliser_SourceData.Fertiliser_Products_Data2(),FertiliserProducts[[#Headers],[Include or Exclude]], 20)</f>
        <v/>
      </c>
      <c r="Z111" s="96" t="str" cm="1">
        <f t="array" aca="1" ref="Z111" ca="1">Common_InputFunctions.Utility_DisplayArrayInTable(Fertiliser_SourceData.Fertiliser_Products_Data2(),FertiliserProducts[[#Headers],[Include or Exclude]], 20)</f>
        <v/>
      </c>
      <c r="AA111" s="36" t="str" cm="1">
        <f t="array" aca="1" ref="AA111" ca="1">Common_InputFunctions.Utility_DisplayArrayInTable(Fertiliser_SourceData.Fertiliser_Products_Data2(),FertiliserProducts[[#Headers],[Include or Exclude]], 20)</f>
        <v/>
      </c>
      <c r="AB111" s="36" t="str" cm="1">
        <f t="array" aca="1" ref="AB111" ca="1">Common_InputFunctions.Utility_DisplayArrayInTable(Fertiliser_SourceData.Fertiliser_Products_Data2(),FertiliserProducts[[#Headers],[Include or Exclude]], 20)</f>
        <v/>
      </c>
      <c r="AC111" s="36" t="str" cm="1">
        <f t="array" aca="1" ref="AC111" ca="1">Common_InputFunctions.Utility_DisplayArrayInTable(Fertiliser_SourceData.Fertiliser_Products_Data2(),FertiliserProducts[[#Headers],[Include or Exclude]], 20)</f>
        <v/>
      </c>
      <c r="AD111" s="36" t="str" cm="1">
        <f t="array" aca="1" ref="AD111" ca="1">Common_InputFunctions.Utility_DisplayArrayInTable(Fertiliser_SourceData.Fertiliser_Products_Data2(),FertiliserProducts[[#Headers],[Include or Exclude]], 20)</f>
        <v/>
      </c>
      <c r="AE111" s="36" t="str" cm="1">
        <f t="array" aca="1" ref="AE111" ca="1">Common_InputFunctions.Utility_DisplayArrayInTable(Fertiliser_SourceData.Fertiliser_Products_Data2(),FertiliserProducts[[#Headers],[Include or Exclude]], 20)</f>
        <v/>
      </c>
    </row>
    <row r="112" spans="4:31" ht="20.100000000000001" customHeight="1" x14ac:dyDescent="0.25">
      <c r="D112" s="96" t="str" cm="1">
        <f t="array" aca="1" ref="D112" ca="1">Common_InputFunctions.Utility_DisplayArrayInTable(Fertiliser_SourceData.Fertiliser_Products_Data2(),FertiliserProducts[[#Headers],[Include or Exclude]], 20)</f>
        <v/>
      </c>
      <c r="E112" s="96" t="str" cm="1">
        <f t="array" aca="1" ref="E112" ca="1">Common_InputFunctions.Utility_DisplayArrayInTable(Fertiliser_SourceData.Fertiliser_Products_Data2(),FertiliserProducts[[#Headers],[Include or Exclude]], 20)</f>
        <v/>
      </c>
      <c r="F112" s="96" t="str" cm="1">
        <f t="array" aca="1" ref="F112" ca="1">Common_InputFunctions.Utility_DisplayArrayInTable(Fertiliser_SourceData.Fertiliser_Products_Data2(),FertiliserProducts[[#Headers],[Include or Exclude]], 20)</f>
        <v/>
      </c>
      <c r="G112" s="96" t="str" cm="1">
        <f t="array" aca="1" ref="G112" ca="1">Common_InputFunctions.Utility_DisplayArrayInTable(Fertiliser_SourceData.Fertiliser_Products_Data2(),FertiliserProducts[[#Headers],[Include or Exclude]], 20)</f>
        <v/>
      </c>
      <c r="H112" s="96" t="str" cm="1">
        <f t="array" aca="1" ref="H112" ca="1">Common_InputFunctions.Utility_DisplayArrayInTable(Fertiliser_SourceData.Fertiliser_Products_Data2(),FertiliserProducts[[#Headers],[Include or Exclude]], 20)</f>
        <v/>
      </c>
      <c r="I112" s="96" t="str" cm="1">
        <f t="array" aca="1" ref="I112" ca="1">Common_InputFunctions.Utility_DisplayArrayInTable(Fertiliser_SourceData.Fertiliser_Products_Data2(),FertiliserProducts[[#Headers],[Include or Exclude]], 20)</f>
        <v/>
      </c>
      <c r="J112" s="96" t="str" cm="1">
        <f t="array" aca="1" ref="J112" ca="1">Common_InputFunctions.Utility_DisplayArrayInTable(Fertiliser_SourceData.Fertiliser_Products_Data2(),FertiliserProducts[[#Headers],[Include or Exclude]], 20)</f>
        <v/>
      </c>
      <c r="K112" s="96" t="str" cm="1">
        <f t="array" aca="1" ref="K112" ca="1">Common_InputFunctions.Utility_DisplayArrayInTable(Fertiliser_SourceData.Fertiliser_Products_Data2(),FertiliserProducts[[#Headers],[Include or Exclude]], 20)</f>
        <v/>
      </c>
      <c r="L112" s="96" t="str" cm="1">
        <f t="array" aca="1" ref="L112" ca="1">Common_InputFunctions.Utility_DisplayArrayInTable(Fertiliser_SourceData.Fertiliser_Products_Data2(),FertiliserProducts[[#Headers],[Include or Exclude]], 20)</f>
        <v/>
      </c>
      <c r="M112" s="96" t="str" cm="1">
        <f t="array" aca="1" ref="M112" ca="1">Common_InputFunctions.Utility_DisplayArrayInTable(Fertiliser_SourceData.Fertiliser_Products_Data2(),FertiliserProducts[[#Headers],[Include or Exclude]], 20)</f>
        <v/>
      </c>
      <c r="N112" s="96" t="str" cm="1">
        <f t="array" aca="1" ref="N112" ca="1">Common_InputFunctions.Utility_DisplayArrayInTable(Fertiliser_SourceData.Fertiliser_Products_Data2(),FertiliserProducts[[#Headers],[Include or Exclude]], 20)</f>
        <v/>
      </c>
      <c r="O112" s="96" t="str" cm="1">
        <f t="array" aca="1" ref="O112" ca="1">Common_InputFunctions.Utility_DisplayArrayInTable(Fertiliser_SourceData.Fertiliser_Products_Data2(),FertiliserProducts[[#Headers],[Include or Exclude]], 20)</f>
        <v/>
      </c>
      <c r="P112" s="96" t="str" cm="1">
        <f t="array" aca="1" ref="P112" ca="1">Common_InputFunctions.Utility_DisplayArrayInTable(Fertiliser_SourceData.Fertiliser_Products_Data2(),FertiliserProducts[[#Headers],[Include or Exclude]], 20)</f>
        <v/>
      </c>
      <c r="Q112" s="96" t="str" cm="1">
        <f t="array" aca="1" ref="Q112" ca="1">Common_InputFunctions.Utility_DisplayArrayInTable(Fertiliser_SourceData.Fertiliser_Products_Data2(),FertiliserProducts[[#Headers],[Include or Exclude]], 20)</f>
        <v/>
      </c>
      <c r="R112" s="96" t="str" cm="1">
        <f t="array" aca="1" ref="R112" ca="1">Common_InputFunctions.Utility_DisplayArrayInTable(Fertiliser_SourceData.Fertiliser_Products_Data2(),FertiliserProducts[[#Headers],[Include or Exclude]], 20)</f>
        <v/>
      </c>
      <c r="S112" s="96" t="str" cm="1">
        <f t="array" aca="1" ref="S112" ca="1">Common_InputFunctions.Utility_DisplayArrayInTable(Fertiliser_SourceData.Fertiliser_Products_Data2(),FertiliserProducts[[#Headers],[Include or Exclude]], 20)</f>
        <v/>
      </c>
      <c r="T112" s="96" t="str" cm="1">
        <f t="array" aca="1" ref="T112" ca="1">Common_InputFunctions.Utility_DisplayArrayInTable(Fertiliser_SourceData.Fertiliser_Products_Data2(),FertiliserProducts[[#Headers],[Include or Exclude]], 20)</f>
        <v/>
      </c>
      <c r="U112" s="96" t="str" cm="1">
        <f t="array" aca="1" ref="U112" ca="1">Common_InputFunctions.Utility_DisplayArrayInTable(Fertiliser_SourceData.Fertiliser_Products_Data2(),FertiliserProducts[[#Headers],[Include or Exclude]], 20)</f>
        <v/>
      </c>
      <c r="V112" s="96" t="str" cm="1">
        <f t="array" aca="1" ref="V112" ca="1">Common_InputFunctions.Utility_DisplayArrayInTable(Fertiliser_SourceData.Fertiliser_Products_Data2(),FertiliserProducts[[#Headers],[Include or Exclude]], 20)</f>
        <v/>
      </c>
      <c r="W112" s="96" t="str" cm="1">
        <f t="array" aca="1" ref="W112" ca="1">Common_InputFunctions.Utility_DisplayArrayInTable(Fertiliser_SourceData.Fertiliser_Products_Data2(),FertiliserProducts[[#Headers],[Include or Exclude]], 20)</f>
        <v/>
      </c>
      <c r="X112" s="96" t="str" cm="1">
        <f t="array" aca="1" ref="X112" ca="1">Common_InputFunctions.Utility_DisplayArrayInTable(Fertiliser_SourceData.Fertiliser_Products_Data2(),FertiliserProducts[[#Headers],[Include or Exclude]], 20)</f>
        <v/>
      </c>
      <c r="Y112" s="96" t="str" cm="1">
        <f t="array" aca="1" ref="Y112" ca="1">Common_InputFunctions.Utility_DisplayArrayInTable(Fertiliser_SourceData.Fertiliser_Products_Data2(),FertiliserProducts[[#Headers],[Include or Exclude]], 20)</f>
        <v/>
      </c>
      <c r="Z112" s="96" t="str" cm="1">
        <f t="array" aca="1" ref="Z112" ca="1">Common_InputFunctions.Utility_DisplayArrayInTable(Fertiliser_SourceData.Fertiliser_Products_Data2(),FertiliserProducts[[#Headers],[Include or Exclude]], 20)</f>
        <v/>
      </c>
      <c r="AA112" s="36" t="str" cm="1">
        <f t="array" aca="1" ref="AA112" ca="1">Common_InputFunctions.Utility_DisplayArrayInTable(Fertiliser_SourceData.Fertiliser_Products_Data2(),FertiliserProducts[[#Headers],[Include or Exclude]], 20)</f>
        <v/>
      </c>
      <c r="AB112" s="36" t="str" cm="1">
        <f t="array" aca="1" ref="AB112" ca="1">Common_InputFunctions.Utility_DisplayArrayInTable(Fertiliser_SourceData.Fertiliser_Products_Data2(),FertiliserProducts[[#Headers],[Include or Exclude]], 20)</f>
        <v/>
      </c>
      <c r="AC112" s="36" t="str" cm="1">
        <f t="array" aca="1" ref="AC112" ca="1">Common_InputFunctions.Utility_DisplayArrayInTable(Fertiliser_SourceData.Fertiliser_Products_Data2(),FertiliserProducts[[#Headers],[Include or Exclude]], 20)</f>
        <v/>
      </c>
      <c r="AD112" s="36" t="str" cm="1">
        <f t="array" aca="1" ref="AD112" ca="1">Common_InputFunctions.Utility_DisplayArrayInTable(Fertiliser_SourceData.Fertiliser_Products_Data2(),FertiliserProducts[[#Headers],[Include or Exclude]], 20)</f>
        <v/>
      </c>
      <c r="AE112" s="36" t="str" cm="1">
        <f t="array" aca="1" ref="AE112" ca="1">Common_InputFunctions.Utility_DisplayArrayInTable(Fertiliser_SourceData.Fertiliser_Products_Data2(),FertiliserProducts[[#Headers],[Include or Exclude]], 20)</f>
        <v/>
      </c>
    </row>
    <row r="113" spans="4:31" ht="20.100000000000001" customHeight="1" x14ac:dyDescent="0.25">
      <c r="D113" s="96" t="str" cm="1">
        <f t="array" aca="1" ref="D113" ca="1">Common_InputFunctions.Utility_DisplayArrayInTable(Fertiliser_SourceData.Fertiliser_Products_Data2(),FertiliserProducts[[#Headers],[Include or Exclude]], 20)</f>
        <v/>
      </c>
      <c r="E113" s="96" t="str" cm="1">
        <f t="array" aca="1" ref="E113" ca="1">Common_InputFunctions.Utility_DisplayArrayInTable(Fertiliser_SourceData.Fertiliser_Products_Data2(),FertiliserProducts[[#Headers],[Include or Exclude]], 20)</f>
        <v/>
      </c>
      <c r="F113" s="96" t="str" cm="1">
        <f t="array" aca="1" ref="F113" ca="1">Common_InputFunctions.Utility_DisplayArrayInTable(Fertiliser_SourceData.Fertiliser_Products_Data2(),FertiliserProducts[[#Headers],[Include or Exclude]], 20)</f>
        <v/>
      </c>
      <c r="G113" s="96" t="str" cm="1">
        <f t="array" aca="1" ref="G113" ca="1">Common_InputFunctions.Utility_DisplayArrayInTable(Fertiliser_SourceData.Fertiliser_Products_Data2(),FertiliserProducts[[#Headers],[Include or Exclude]], 20)</f>
        <v/>
      </c>
      <c r="H113" s="96" t="str" cm="1">
        <f t="array" aca="1" ref="H113" ca="1">Common_InputFunctions.Utility_DisplayArrayInTable(Fertiliser_SourceData.Fertiliser_Products_Data2(),FertiliserProducts[[#Headers],[Include or Exclude]], 20)</f>
        <v/>
      </c>
      <c r="I113" s="96" t="str" cm="1">
        <f t="array" aca="1" ref="I113" ca="1">Common_InputFunctions.Utility_DisplayArrayInTable(Fertiliser_SourceData.Fertiliser_Products_Data2(),FertiliserProducts[[#Headers],[Include or Exclude]], 20)</f>
        <v/>
      </c>
      <c r="J113" s="96" t="str" cm="1">
        <f t="array" aca="1" ref="J113" ca="1">Common_InputFunctions.Utility_DisplayArrayInTable(Fertiliser_SourceData.Fertiliser_Products_Data2(),FertiliserProducts[[#Headers],[Include or Exclude]], 20)</f>
        <v/>
      </c>
      <c r="K113" s="96" t="str" cm="1">
        <f t="array" aca="1" ref="K113" ca="1">Common_InputFunctions.Utility_DisplayArrayInTable(Fertiliser_SourceData.Fertiliser_Products_Data2(),FertiliserProducts[[#Headers],[Include or Exclude]], 20)</f>
        <v/>
      </c>
      <c r="L113" s="96" t="str" cm="1">
        <f t="array" aca="1" ref="L113" ca="1">Common_InputFunctions.Utility_DisplayArrayInTable(Fertiliser_SourceData.Fertiliser_Products_Data2(),FertiliserProducts[[#Headers],[Include or Exclude]], 20)</f>
        <v/>
      </c>
      <c r="M113" s="96" t="str" cm="1">
        <f t="array" aca="1" ref="M113" ca="1">Common_InputFunctions.Utility_DisplayArrayInTable(Fertiliser_SourceData.Fertiliser_Products_Data2(),FertiliserProducts[[#Headers],[Include or Exclude]], 20)</f>
        <v/>
      </c>
      <c r="N113" s="96" t="str" cm="1">
        <f t="array" aca="1" ref="N113" ca="1">Common_InputFunctions.Utility_DisplayArrayInTable(Fertiliser_SourceData.Fertiliser_Products_Data2(),FertiliserProducts[[#Headers],[Include or Exclude]], 20)</f>
        <v/>
      </c>
      <c r="O113" s="96" t="str" cm="1">
        <f t="array" aca="1" ref="O113" ca="1">Common_InputFunctions.Utility_DisplayArrayInTable(Fertiliser_SourceData.Fertiliser_Products_Data2(),FertiliserProducts[[#Headers],[Include or Exclude]], 20)</f>
        <v/>
      </c>
      <c r="P113" s="96" t="str" cm="1">
        <f t="array" aca="1" ref="P113" ca="1">Common_InputFunctions.Utility_DisplayArrayInTable(Fertiliser_SourceData.Fertiliser_Products_Data2(),FertiliserProducts[[#Headers],[Include or Exclude]], 20)</f>
        <v/>
      </c>
      <c r="Q113" s="96" t="str" cm="1">
        <f t="array" aca="1" ref="Q113" ca="1">Common_InputFunctions.Utility_DisplayArrayInTable(Fertiliser_SourceData.Fertiliser_Products_Data2(),FertiliserProducts[[#Headers],[Include or Exclude]], 20)</f>
        <v/>
      </c>
      <c r="R113" s="96" t="str" cm="1">
        <f t="array" aca="1" ref="R113" ca="1">Common_InputFunctions.Utility_DisplayArrayInTable(Fertiliser_SourceData.Fertiliser_Products_Data2(),FertiliserProducts[[#Headers],[Include or Exclude]], 20)</f>
        <v/>
      </c>
      <c r="S113" s="96" t="str" cm="1">
        <f t="array" aca="1" ref="S113" ca="1">Common_InputFunctions.Utility_DisplayArrayInTable(Fertiliser_SourceData.Fertiliser_Products_Data2(),FertiliserProducts[[#Headers],[Include or Exclude]], 20)</f>
        <v/>
      </c>
      <c r="T113" s="96" t="str" cm="1">
        <f t="array" aca="1" ref="T113" ca="1">Common_InputFunctions.Utility_DisplayArrayInTable(Fertiliser_SourceData.Fertiliser_Products_Data2(),FertiliserProducts[[#Headers],[Include or Exclude]], 20)</f>
        <v/>
      </c>
      <c r="U113" s="96" t="str" cm="1">
        <f t="array" aca="1" ref="U113" ca="1">Common_InputFunctions.Utility_DisplayArrayInTable(Fertiliser_SourceData.Fertiliser_Products_Data2(),FertiliserProducts[[#Headers],[Include or Exclude]], 20)</f>
        <v/>
      </c>
      <c r="V113" s="96" t="str" cm="1">
        <f t="array" aca="1" ref="V113" ca="1">Common_InputFunctions.Utility_DisplayArrayInTable(Fertiliser_SourceData.Fertiliser_Products_Data2(),FertiliserProducts[[#Headers],[Include or Exclude]], 20)</f>
        <v/>
      </c>
      <c r="W113" s="96" t="str" cm="1">
        <f t="array" aca="1" ref="W113" ca="1">Common_InputFunctions.Utility_DisplayArrayInTable(Fertiliser_SourceData.Fertiliser_Products_Data2(),FertiliserProducts[[#Headers],[Include or Exclude]], 20)</f>
        <v/>
      </c>
      <c r="X113" s="96" t="str" cm="1">
        <f t="array" aca="1" ref="X113" ca="1">Common_InputFunctions.Utility_DisplayArrayInTable(Fertiliser_SourceData.Fertiliser_Products_Data2(),FertiliserProducts[[#Headers],[Include or Exclude]], 20)</f>
        <v/>
      </c>
      <c r="Y113" s="96" t="str" cm="1">
        <f t="array" aca="1" ref="Y113" ca="1">Common_InputFunctions.Utility_DisplayArrayInTable(Fertiliser_SourceData.Fertiliser_Products_Data2(),FertiliserProducts[[#Headers],[Include or Exclude]], 20)</f>
        <v/>
      </c>
      <c r="Z113" s="96" t="str" cm="1">
        <f t="array" aca="1" ref="Z113" ca="1">Common_InputFunctions.Utility_DisplayArrayInTable(Fertiliser_SourceData.Fertiliser_Products_Data2(),FertiliserProducts[[#Headers],[Include or Exclude]], 20)</f>
        <v/>
      </c>
      <c r="AA113" s="36" t="str" cm="1">
        <f t="array" aca="1" ref="AA113" ca="1">Common_InputFunctions.Utility_DisplayArrayInTable(Fertiliser_SourceData.Fertiliser_Products_Data2(),FertiliserProducts[[#Headers],[Include or Exclude]], 20)</f>
        <v/>
      </c>
      <c r="AB113" s="36" t="str" cm="1">
        <f t="array" aca="1" ref="AB113" ca="1">Common_InputFunctions.Utility_DisplayArrayInTable(Fertiliser_SourceData.Fertiliser_Products_Data2(),FertiliserProducts[[#Headers],[Include or Exclude]], 20)</f>
        <v/>
      </c>
      <c r="AC113" s="36" t="str" cm="1">
        <f t="array" aca="1" ref="AC113" ca="1">Common_InputFunctions.Utility_DisplayArrayInTable(Fertiliser_SourceData.Fertiliser_Products_Data2(),FertiliserProducts[[#Headers],[Include or Exclude]], 20)</f>
        <v/>
      </c>
      <c r="AD113" s="36" t="str" cm="1">
        <f t="array" aca="1" ref="AD113" ca="1">Common_InputFunctions.Utility_DisplayArrayInTable(Fertiliser_SourceData.Fertiliser_Products_Data2(),FertiliserProducts[[#Headers],[Include or Exclude]], 20)</f>
        <v/>
      </c>
      <c r="AE113" s="36" t="str" cm="1">
        <f t="array" aca="1" ref="AE113" ca="1">Common_InputFunctions.Utility_DisplayArrayInTable(Fertiliser_SourceData.Fertiliser_Products_Data2(),FertiliserProducts[[#Headers],[Include or Exclude]], 20)</f>
        <v/>
      </c>
    </row>
    <row r="114" spans="4:31" ht="20.100000000000001" customHeight="1" x14ac:dyDescent="0.25">
      <c r="D114" s="96" t="str" cm="1">
        <f t="array" aca="1" ref="D114" ca="1">Common_InputFunctions.Utility_DisplayArrayInTable(Fertiliser_SourceData.Fertiliser_Products_Data2(),FertiliserProducts[[#Headers],[Include or Exclude]], 20)</f>
        <v/>
      </c>
      <c r="E114" s="96" t="str" cm="1">
        <f t="array" aca="1" ref="E114" ca="1">Common_InputFunctions.Utility_DisplayArrayInTable(Fertiliser_SourceData.Fertiliser_Products_Data2(),FertiliserProducts[[#Headers],[Include or Exclude]], 20)</f>
        <v/>
      </c>
      <c r="F114" s="96" t="str" cm="1">
        <f t="array" aca="1" ref="F114" ca="1">Common_InputFunctions.Utility_DisplayArrayInTable(Fertiliser_SourceData.Fertiliser_Products_Data2(),FertiliserProducts[[#Headers],[Include or Exclude]], 20)</f>
        <v/>
      </c>
      <c r="G114" s="96" t="str" cm="1">
        <f t="array" aca="1" ref="G114" ca="1">Common_InputFunctions.Utility_DisplayArrayInTable(Fertiliser_SourceData.Fertiliser_Products_Data2(),FertiliserProducts[[#Headers],[Include or Exclude]], 20)</f>
        <v/>
      </c>
      <c r="H114" s="96" t="str" cm="1">
        <f t="array" aca="1" ref="H114" ca="1">Common_InputFunctions.Utility_DisplayArrayInTable(Fertiliser_SourceData.Fertiliser_Products_Data2(),FertiliserProducts[[#Headers],[Include or Exclude]], 20)</f>
        <v/>
      </c>
      <c r="I114" s="96" t="str" cm="1">
        <f t="array" aca="1" ref="I114" ca="1">Common_InputFunctions.Utility_DisplayArrayInTable(Fertiliser_SourceData.Fertiliser_Products_Data2(),FertiliserProducts[[#Headers],[Include or Exclude]], 20)</f>
        <v/>
      </c>
      <c r="J114" s="96" t="str" cm="1">
        <f t="array" aca="1" ref="J114" ca="1">Common_InputFunctions.Utility_DisplayArrayInTable(Fertiliser_SourceData.Fertiliser_Products_Data2(),FertiliserProducts[[#Headers],[Include or Exclude]], 20)</f>
        <v/>
      </c>
      <c r="K114" s="96" t="str" cm="1">
        <f t="array" aca="1" ref="K114" ca="1">Common_InputFunctions.Utility_DisplayArrayInTable(Fertiliser_SourceData.Fertiliser_Products_Data2(),FertiliserProducts[[#Headers],[Include or Exclude]], 20)</f>
        <v/>
      </c>
      <c r="L114" s="96" t="str" cm="1">
        <f t="array" aca="1" ref="L114" ca="1">Common_InputFunctions.Utility_DisplayArrayInTable(Fertiliser_SourceData.Fertiliser_Products_Data2(),FertiliserProducts[[#Headers],[Include or Exclude]], 20)</f>
        <v/>
      </c>
      <c r="M114" s="96" t="str" cm="1">
        <f t="array" aca="1" ref="M114" ca="1">Common_InputFunctions.Utility_DisplayArrayInTable(Fertiliser_SourceData.Fertiliser_Products_Data2(),FertiliserProducts[[#Headers],[Include or Exclude]], 20)</f>
        <v/>
      </c>
      <c r="N114" s="96" t="str" cm="1">
        <f t="array" aca="1" ref="N114" ca="1">Common_InputFunctions.Utility_DisplayArrayInTable(Fertiliser_SourceData.Fertiliser_Products_Data2(),FertiliserProducts[[#Headers],[Include or Exclude]], 20)</f>
        <v/>
      </c>
      <c r="O114" s="96" t="str" cm="1">
        <f t="array" aca="1" ref="O114" ca="1">Common_InputFunctions.Utility_DisplayArrayInTable(Fertiliser_SourceData.Fertiliser_Products_Data2(),FertiliserProducts[[#Headers],[Include or Exclude]], 20)</f>
        <v/>
      </c>
      <c r="P114" s="96" t="str" cm="1">
        <f t="array" aca="1" ref="P114" ca="1">Common_InputFunctions.Utility_DisplayArrayInTable(Fertiliser_SourceData.Fertiliser_Products_Data2(),FertiliserProducts[[#Headers],[Include or Exclude]], 20)</f>
        <v/>
      </c>
      <c r="Q114" s="96" t="str" cm="1">
        <f t="array" aca="1" ref="Q114" ca="1">Common_InputFunctions.Utility_DisplayArrayInTable(Fertiliser_SourceData.Fertiliser_Products_Data2(),FertiliserProducts[[#Headers],[Include or Exclude]], 20)</f>
        <v/>
      </c>
      <c r="R114" s="96" t="str" cm="1">
        <f t="array" aca="1" ref="R114" ca="1">Common_InputFunctions.Utility_DisplayArrayInTable(Fertiliser_SourceData.Fertiliser_Products_Data2(),FertiliserProducts[[#Headers],[Include or Exclude]], 20)</f>
        <v/>
      </c>
      <c r="S114" s="96" t="str" cm="1">
        <f t="array" aca="1" ref="S114" ca="1">Common_InputFunctions.Utility_DisplayArrayInTable(Fertiliser_SourceData.Fertiliser_Products_Data2(),FertiliserProducts[[#Headers],[Include or Exclude]], 20)</f>
        <v/>
      </c>
      <c r="T114" s="96" t="str" cm="1">
        <f t="array" aca="1" ref="T114" ca="1">Common_InputFunctions.Utility_DisplayArrayInTable(Fertiliser_SourceData.Fertiliser_Products_Data2(),FertiliserProducts[[#Headers],[Include or Exclude]], 20)</f>
        <v/>
      </c>
      <c r="U114" s="96" t="str" cm="1">
        <f t="array" aca="1" ref="U114" ca="1">Common_InputFunctions.Utility_DisplayArrayInTable(Fertiliser_SourceData.Fertiliser_Products_Data2(),FertiliserProducts[[#Headers],[Include or Exclude]], 20)</f>
        <v/>
      </c>
      <c r="V114" s="96" t="str" cm="1">
        <f t="array" aca="1" ref="V114" ca="1">Common_InputFunctions.Utility_DisplayArrayInTable(Fertiliser_SourceData.Fertiliser_Products_Data2(),FertiliserProducts[[#Headers],[Include or Exclude]], 20)</f>
        <v/>
      </c>
      <c r="W114" s="96" t="str" cm="1">
        <f t="array" aca="1" ref="W114" ca="1">Common_InputFunctions.Utility_DisplayArrayInTable(Fertiliser_SourceData.Fertiliser_Products_Data2(),FertiliserProducts[[#Headers],[Include or Exclude]], 20)</f>
        <v/>
      </c>
      <c r="X114" s="96" t="str" cm="1">
        <f t="array" aca="1" ref="X114" ca="1">Common_InputFunctions.Utility_DisplayArrayInTable(Fertiliser_SourceData.Fertiliser_Products_Data2(),FertiliserProducts[[#Headers],[Include or Exclude]], 20)</f>
        <v/>
      </c>
      <c r="Y114" s="96" t="str" cm="1">
        <f t="array" aca="1" ref="Y114" ca="1">Common_InputFunctions.Utility_DisplayArrayInTable(Fertiliser_SourceData.Fertiliser_Products_Data2(),FertiliserProducts[[#Headers],[Include or Exclude]], 20)</f>
        <v/>
      </c>
      <c r="Z114" s="96" t="str" cm="1">
        <f t="array" aca="1" ref="Z114" ca="1">Common_InputFunctions.Utility_DisplayArrayInTable(Fertiliser_SourceData.Fertiliser_Products_Data2(),FertiliserProducts[[#Headers],[Include or Exclude]], 20)</f>
        <v/>
      </c>
      <c r="AA114" s="36" t="str" cm="1">
        <f t="array" aca="1" ref="AA114" ca="1">Common_InputFunctions.Utility_DisplayArrayInTable(Fertiliser_SourceData.Fertiliser_Products_Data2(),FertiliserProducts[[#Headers],[Include or Exclude]], 20)</f>
        <v/>
      </c>
      <c r="AB114" s="36" t="str" cm="1">
        <f t="array" aca="1" ref="AB114" ca="1">Common_InputFunctions.Utility_DisplayArrayInTable(Fertiliser_SourceData.Fertiliser_Products_Data2(),FertiliserProducts[[#Headers],[Include or Exclude]], 20)</f>
        <v/>
      </c>
      <c r="AC114" s="36" t="str" cm="1">
        <f t="array" aca="1" ref="AC114" ca="1">Common_InputFunctions.Utility_DisplayArrayInTable(Fertiliser_SourceData.Fertiliser_Products_Data2(),FertiliserProducts[[#Headers],[Include or Exclude]], 20)</f>
        <v/>
      </c>
      <c r="AD114" s="36" t="str" cm="1">
        <f t="array" aca="1" ref="AD114" ca="1">Common_InputFunctions.Utility_DisplayArrayInTable(Fertiliser_SourceData.Fertiliser_Products_Data2(),FertiliserProducts[[#Headers],[Include or Exclude]], 20)</f>
        <v/>
      </c>
      <c r="AE114" s="36" t="str" cm="1">
        <f t="array" aca="1" ref="AE114" ca="1">Common_InputFunctions.Utility_DisplayArrayInTable(Fertiliser_SourceData.Fertiliser_Products_Data2(),FertiliserProducts[[#Headers],[Include or Exclude]], 20)</f>
        <v/>
      </c>
    </row>
    <row r="115" spans="4:31" ht="20.100000000000001" customHeight="1" x14ac:dyDescent="0.25">
      <c r="D115" s="96" t="str" cm="1">
        <f t="array" aca="1" ref="D115" ca="1">Common_InputFunctions.Utility_DisplayArrayInTable(Fertiliser_SourceData.Fertiliser_Products_Data2(),FertiliserProducts[[#Headers],[Include or Exclude]], 20)</f>
        <v/>
      </c>
      <c r="E115" s="96" t="str" cm="1">
        <f t="array" aca="1" ref="E115" ca="1">Common_InputFunctions.Utility_DisplayArrayInTable(Fertiliser_SourceData.Fertiliser_Products_Data2(),FertiliserProducts[[#Headers],[Include or Exclude]], 20)</f>
        <v/>
      </c>
      <c r="F115" s="96" t="str" cm="1">
        <f t="array" aca="1" ref="F115" ca="1">Common_InputFunctions.Utility_DisplayArrayInTable(Fertiliser_SourceData.Fertiliser_Products_Data2(),FertiliserProducts[[#Headers],[Include or Exclude]], 20)</f>
        <v/>
      </c>
      <c r="G115" s="96" t="str" cm="1">
        <f t="array" aca="1" ref="G115" ca="1">Common_InputFunctions.Utility_DisplayArrayInTable(Fertiliser_SourceData.Fertiliser_Products_Data2(),FertiliserProducts[[#Headers],[Include or Exclude]], 20)</f>
        <v/>
      </c>
      <c r="H115" s="96" t="str" cm="1">
        <f t="array" aca="1" ref="H115" ca="1">Common_InputFunctions.Utility_DisplayArrayInTable(Fertiliser_SourceData.Fertiliser_Products_Data2(),FertiliserProducts[[#Headers],[Include or Exclude]], 20)</f>
        <v/>
      </c>
      <c r="I115" s="96" t="str" cm="1">
        <f t="array" aca="1" ref="I115" ca="1">Common_InputFunctions.Utility_DisplayArrayInTable(Fertiliser_SourceData.Fertiliser_Products_Data2(),FertiliserProducts[[#Headers],[Include or Exclude]], 20)</f>
        <v/>
      </c>
      <c r="J115" s="96" t="str" cm="1">
        <f t="array" aca="1" ref="J115" ca="1">Common_InputFunctions.Utility_DisplayArrayInTable(Fertiliser_SourceData.Fertiliser_Products_Data2(),FertiliserProducts[[#Headers],[Include or Exclude]], 20)</f>
        <v/>
      </c>
      <c r="K115" s="96" t="str" cm="1">
        <f t="array" aca="1" ref="K115" ca="1">Common_InputFunctions.Utility_DisplayArrayInTable(Fertiliser_SourceData.Fertiliser_Products_Data2(),FertiliserProducts[[#Headers],[Include or Exclude]], 20)</f>
        <v/>
      </c>
      <c r="L115" s="96" t="str" cm="1">
        <f t="array" aca="1" ref="L115" ca="1">Common_InputFunctions.Utility_DisplayArrayInTable(Fertiliser_SourceData.Fertiliser_Products_Data2(),FertiliserProducts[[#Headers],[Include or Exclude]], 20)</f>
        <v/>
      </c>
      <c r="M115" s="96" t="str" cm="1">
        <f t="array" aca="1" ref="M115" ca="1">Common_InputFunctions.Utility_DisplayArrayInTable(Fertiliser_SourceData.Fertiliser_Products_Data2(),FertiliserProducts[[#Headers],[Include or Exclude]], 20)</f>
        <v/>
      </c>
      <c r="N115" s="96" t="str" cm="1">
        <f t="array" aca="1" ref="N115" ca="1">Common_InputFunctions.Utility_DisplayArrayInTable(Fertiliser_SourceData.Fertiliser_Products_Data2(),FertiliserProducts[[#Headers],[Include or Exclude]], 20)</f>
        <v/>
      </c>
      <c r="O115" s="96" t="str" cm="1">
        <f t="array" aca="1" ref="O115" ca="1">Common_InputFunctions.Utility_DisplayArrayInTable(Fertiliser_SourceData.Fertiliser_Products_Data2(),FertiliserProducts[[#Headers],[Include or Exclude]], 20)</f>
        <v/>
      </c>
      <c r="P115" s="96" t="str" cm="1">
        <f t="array" aca="1" ref="P115" ca="1">Common_InputFunctions.Utility_DisplayArrayInTable(Fertiliser_SourceData.Fertiliser_Products_Data2(),FertiliserProducts[[#Headers],[Include or Exclude]], 20)</f>
        <v/>
      </c>
      <c r="Q115" s="96" t="str" cm="1">
        <f t="array" aca="1" ref="Q115" ca="1">Common_InputFunctions.Utility_DisplayArrayInTable(Fertiliser_SourceData.Fertiliser_Products_Data2(),FertiliserProducts[[#Headers],[Include or Exclude]], 20)</f>
        <v/>
      </c>
      <c r="R115" s="96" t="str" cm="1">
        <f t="array" aca="1" ref="R115" ca="1">Common_InputFunctions.Utility_DisplayArrayInTable(Fertiliser_SourceData.Fertiliser_Products_Data2(),FertiliserProducts[[#Headers],[Include or Exclude]], 20)</f>
        <v/>
      </c>
      <c r="S115" s="96" t="str" cm="1">
        <f t="array" aca="1" ref="S115" ca="1">Common_InputFunctions.Utility_DisplayArrayInTable(Fertiliser_SourceData.Fertiliser_Products_Data2(),FertiliserProducts[[#Headers],[Include or Exclude]], 20)</f>
        <v/>
      </c>
      <c r="T115" s="96" t="str" cm="1">
        <f t="array" aca="1" ref="T115" ca="1">Common_InputFunctions.Utility_DisplayArrayInTable(Fertiliser_SourceData.Fertiliser_Products_Data2(),FertiliserProducts[[#Headers],[Include or Exclude]], 20)</f>
        <v/>
      </c>
      <c r="U115" s="96" t="str" cm="1">
        <f t="array" aca="1" ref="U115" ca="1">Common_InputFunctions.Utility_DisplayArrayInTable(Fertiliser_SourceData.Fertiliser_Products_Data2(),FertiliserProducts[[#Headers],[Include or Exclude]], 20)</f>
        <v/>
      </c>
      <c r="V115" s="96" t="str" cm="1">
        <f t="array" aca="1" ref="V115" ca="1">Common_InputFunctions.Utility_DisplayArrayInTable(Fertiliser_SourceData.Fertiliser_Products_Data2(),FertiliserProducts[[#Headers],[Include or Exclude]], 20)</f>
        <v/>
      </c>
      <c r="W115" s="96" t="str" cm="1">
        <f t="array" aca="1" ref="W115" ca="1">Common_InputFunctions.Utility_DisplayArrayInTable(Fertiliser_SourceData.Fertiliser_Products_Data2(),FertiliserProducts[[#Headers],[Include or Exclude]], 20)</f>
        <v/>
      </c>
      <c r="X115" s="96" t="str" cm="1">
        <f t="array" aca="1" ref="X115" ca="1">Common_InputFunctions.Utility_DisplayArrayInTable(Fertiliser_SourceData.Fertiliser_Products_Data2(),FertiliserProducts[[#Headers],[Include or Exclude]], 20)</f>
        <v/>
      </c>
      <c r="Y115" s="96" t="str" cm="1">
        <f t="array" aca="1" ref="Y115" ca="1">Common_InputFunctions.Utility_DisplayArrayInTable(Fertiliser_SourceData.Fertiliser_Products_Data2(),FertiliserProducts[[#Headers],[Include or Exclude]], 20)</f>
        <v/>
      </c>
      <c r="Z115" s="96" t="str" cm="1">
        <f t="array" aca="1" ref="Z115" ca="1">Common_InputFunctions.Utility_DisplayArrayInTable(Fertiliser_SourceData.Fertiliser_Products_Data2(),FertiliserProducts[[#Headers],[Include or Exclude]], 20)</f>
        <v/>
      </c>
      <c r="AA115" s="36" t="str" cm="1">
        <f t="array" aca="1" ref="AA115" ca="1">Common_InputFunctions.Utility_DisplayArrayInTable(Fertiliser_SourceData.Fertiliser_Products_Data2(),FertiliserProducts[[#Headers],[Include or Exclude]], 20)</f>
        <v/>
      </c>
      <c r="AB115" s="36" t="str" cm="1">
        <f t="array" aca="1" ref="AB115" ca="1">Common_InputFunctions.Utility_DisplayArrayInTable(Fertiliser_SourceData.Fertiliser_Products_Data2(),FertiliserProducts[[#Headers],[Include or Exclude]], 20)</f>
        <v/>
      </c>
      <c r="AC115" s="36" t="str" cm="1">
        <f t="array" aca="1" ref="AC115" ca="1">Common_InputFunctions.Utility_DisplayArrayInTable(Fertiliser_SourceData.Fertiliser_Products_Data2(),FertiliserProducts[[#Headers],[Include or Exclude]], 20)</f>
        <v/>
      </c>
      <c r="AD115" s="36" t="str" cm="1">
        <f t="array" aca="1" ref="AD115" ca="1">Common_InputFunctions.Utility_DisplayArrayInTable(Fertiliser_SourceData.Fertiliser_Products_Data2(),FertiliserProducts[[#Headers],[Include or Exclude]], 20)</f>
        <v/>
      </c>
      <c r="AE115" s="36" t="str" cm="1">
        <f t="array" aca="1" ref="AE115" ca="1">Common_InputFunctions.Utility_DisplayArrayInTable(Fertiliser_SourceData.Fertiliser_Products_Data2(),FertiliserProducts[[#Headers],[Include or Exclude]], 20)</f>
        <v/>
      </c>
    </row>
    <row r="116" spans="4:31" ht="20.100000000000001" customHeight="1" x14ac:dyDescent="0.25">
      <c r="D116" s="96" t="str" cm="1">
        <f t="array" aca="1" ref="D116" ca="1">Common_InputFunctions.Utility_DisplayArrayInTable(Fertiliser_SourceData.Fertiliser_Products_Data2(),FertiliserProducts[[#Headers],[Include or Exclude]], 20)</f>
        <v/>
      </c>
      <c r="E116" s="96" t="str" cm="1">
        <f t="array" aca="1" ref="E116" ca="1">Common_InputFunctions.Utility_DisplayArrayInTable(Fertiliser_SourceData.Fertiliser_Products_Data2(),FertiliserProducts[[#Headers],[Include or Exclude]], 20)</f>
        <v/>
      </c>
      <c r="F116" s="96" t="str" cm="1">
        <f t="array" aca="1" ref="F116" ca="1">Common_InputFunctions.Utility_DisplayArrayInTable(Fertiliser_SourceData.Fertiliser_Products_Data2(),FertiliserProducts[[#Headers],[Include or Exclude]], 20)</f>
        <v/>
      </c>
      <c r="G116" s="96" t="str" cm="1">
        <f t="array" aca="1" ref="G116" ca="1">Common_InputFunctions.Utility_DisplayArrayInTable(Fertiliser_SourceData.Fertiliser_Products_Data2(),FertiliserProducts[[#Headers],[Include or Exclude]], 20)</f>
        <v/>
      </c>
      <c r="H116" s="96" t="str" cm="1">
        <f t="array" aca="1" ref="H116" ca="1">Common_InputFunctions.Utility_DisplayArrayInTable(Fertiliser_SourceData.Fertiliser_Products_Data2(),FertiliserProducts[[#Headers],[Include or Exclude]], 20)</f>
        <v/>
      </c>
      <c r="I116" s="96" t="str" cm="1">
        <f t="array" aca="1" ref="I116" ca="1">Common_InputFunctions.Utility_DisplayArrayInTable(Fertiliser_SourceData.Fertiliser_Products_Data2(),FertiliserProducts[[#Headers],[Include or Exclude]], 20)</f>
        <v/>
      </c>
      <c r="J116" s="96" t="str" cm="1">
        <f t="array" aca="1" ref="J116" ca="1">Common_InputFunctions.Utility_DisplayArrayInTable(Fertiliser_SourceData.Fertiliser_Products_Data2(),FertiliserProducts[[#Headers],[Include or Exclude]], 20)</f>
        <v/>
      </c>
      <c r="K116" s="96" t="str" cm="1">
        <f t="array" aca="1" ref="K116" ca="1">Common_InputFunctions.Utility_DisplayArrayInTable(Fertiliser_SourceData.Fertiliser_Products_Data2(),FertiliserProducts[[#Headers],[Include or Exclude]], 20)</f>
        <v/>
      </c>
      <c r="L116" s="96" t="str" cm="1">
        <f t="array" aca="1" ref="L116" ca="1">Common_InputFunctions.Utility_DisplayArrayInTable(Fertiliser_SourceData.Fertiliser_Products_Data2(),FertiliserProducts[[#Headers],[Include or Exclude]], 20)</f>
        <v/>
      </c>
      <c r="M116" s="96" t="str" cm="1">
        <f t="array" aca="1" ref="M116" ca="1">Common_InputFunctions.Utility_DisplayArrayInTable(Fertiliser_SourceData.Fertiliser_Products_Data2(),FertiliserProducts[[#Headers],[Include or Exclude]], 20)</f>
        <v/>
      </c>
      <c r="N116" s="96" t="str" cm="1">
        <f t="array" aca="1" ref="N116" ca="1">Common_InputFunctions.Utility_DisplayArrayInTable(Fertiliser_SourceData.Fertiliser_Products_Data2(),FertiliserProducts[[#Headers],[Include or Exclude]], 20)</f>
        <v/>
      </c>
      <c r="O116" s="96" t="str" cm="1">
        <f t="array" aca="1" ref="O116" ca="1">Common_InputFunctions.Utility_DisplayArrayInTable(Fertiliser_SourceData.Fertiliser_Products_Data2(),FertiliserProducts[[#Headers],[Include or Exclude]], 20)</f>
        <v/>
      </c>
      <c r="P116" s="96" t="str" cm="1">
        <f t="array" aca="1" ref="P116" ca="1">Common_InputFunctions.Utility_DisplayArrayInTable(Fertiliser_SourceData.Fertiliser_Products_Data2(),FertiliserProducts[[#Headers],[Include or Exclude]], 20)</f>
        <v/>
      </c>
      <c r="Q116" s="96" t="str" cm="1">
        <f t="array" aca="1" ref="Q116" ca="1">Common_InputFunctions.Utility_DisplayArrayInTable(Fertiliser_SourceData.Fertiliser_Products_Data2(),FertiliserProducts[[#Headers],[Include or Exclude]], 20)</f>
        <v/>
      </c>
      <c r="R116" s="96" t="str" cm="1">
        <f t="array" aca="1" ref="R116" ca="1">Common_InputFunctions.Utility_DisplayArrayInTable(Fertiliser_SourceData.Fertiliser_Products_Data2(),FertiliserProducts[[#Headers],[Include or Exclude]], 20)</f>
        <v/>
      </c>
      <c r="S116" s="96" t="str" cm="1">
        <f t="array" aca="1" ref="S116" ca="1">Common_InputFunctions.Utility_DisplayArrayInTable(Fertiliser_SourceData.Fertiliser_Products_Data2(),FertiliserProducts[[#Headers],[Include or Exclude]], 20)</f>
        <v/>
      </c>
      <c r="T116" s="96" t="str" cm="1">
        <f t="array" aca="1" ref="T116" ca="1">Common_InputFunctions.Utility_DisplayArrayInTable(Fertiliser_SourceData.Fertiliser_Products_Data2(),FertiliserProducts[[#Headers],[Include or Exclude]], 20)</f>
        <v/>
      </c>
      <c r="U116" s="96" t="str" cm="1">
        <f t="array" aca="1" ref="U116" ca="1">Common_InputFunctions.Utility_DisplayArrayInTable(Fertiliser_SourceData.Fertiliser_Products_Data2(),FertiliserProducts[[#Headers],[Include or Exclude]], 20)</f>
        <v/>
      </c>
      <c r="V116" s="96" t="str" cm="1">
        <f t="array" aca="1" ref="V116" ca="1">Common_InputFunctions.Utility_DisplayArrayInTable(Fertiliser_SourceData.Fertiliser_Products_Data2(),FertiliserProducts[[#Headers],[Include or Exclude]], 20)</f>
        <v/>
      </c>
      <c r="W116" s="96" t="str" cm="1">
        <f t="array" aca="1" ref="W116" ca="1">Common_InputFunctions.Utility_DisplayArrayInTable(Fertiliser_SourceData.Fertiliser_Products_Data2(),FertiliserProducts[[#Headers],[Include or Exclude]], 20)</f>
        <v/>
      </c>
      <c r="X116" s="96" t="str" cm="1">
        <f t="array" aca="1" ref="X116" ca="1">Common_InputFunctions.Utility_DisplayArrayInTable(Fertiliser_SourceData.Fertiliser_Products_Data2(),FertiliserProducts[[#Headers],[Include or Exclude]], 20)</f>
        <v/>
      </c>
      <c r="Y116" s="96" t="str" cm="1">
        <f t="array" aca="1" ref="Y116" ca="1">Common_InputFunctions.Utility_DisplayArrayInTable(Fertiliser_SourceData.Fertiliser_Products_Data2(),FertiliserProducts[[#Headers],[Include or Exclude]], 20)</f>
        <v/>
      </c>
      <c r="Z116" s="96" t="str" cm="1">
        <f t="array" aca="1" ref="Z116" ca="1">Common_InputFunctions.Utility_DisplayArrayInTable(Fertiliser_SourceData.Fertiliser_Products_Data2(),FertiliserProducts[[#Headers],[Include or Exclude]], 20)</f>
        <v/>
      </c>
      <c r="AA116" s="36" t="str" cm="1">
        <f t="array" aca="1" ref="AA116" ca="1">Common_InputFunctions.Utility_DisplayArrayInTable(Fertiliser_SourceData.Fertiliser_Products_Data2(),FertiliserProducts[[#Headers],[Include or Exclude]], 20)</f>
        <v/>
      </c>
      <c r="AB116" s="36" t="str" cm="1">
        <f t="array" aca="1" ref="AB116" ca="1">Common_InputFunctions.Utility_DisplayArrayInTable(Fertiliser_SourceData.Fertiliser_Products_Data2(),FertiliserProducts[[#Headers],[Include or Exclude]], 20)</f>
        <v/>
      </c>
      <c r="AC116" s="36" t="str" cm="1">
        <f t="array" aca="1" ref="AC116" ca="1">Common_InputFunctions.Utility_DisplayArrayInTable(Fertiliser_SourceData.Fertiliser_Products_Data2(),FertiliserProducts[[#Headers],[Include or Exclude]], 20)</f>
        <v/>
      </c>
      <c r="AD116" s="36" t="str" cm="1">
        <f t="array" aca="1" ref="AD116" ca="1">Common_InputFunctions.Utility_DisplayArrayInTable(Fertiliser_SourceData.Fertiliser_Products_Data2(),FertiliserProducts[[#Headers],[Include or Exclude]], 20)</f>
        <v/>
      </c>
      <c r="AE116" s="36" t="str" cm="1">
        <f t="array" aca="1" ref="AE116" ca="1">Common_InputFunctions.Utility_DisplayArrayInTable(Fertiliser_SourceData.Fertiliser_Products_Data2(),FertiliserProducts[[#Headers],[Include or Exclude]], 20)</f>
        <v/>
      </c>
    </row>
    <row r="117" spans="4:31" ht="20.100000000000001" customHeight="1" x14ac:dyDescent="0.25">
      <c r="D117" s="96" t="str" cm="1">
        <f t="array" aca="1" ref="D117" ca="1">Common_InputFunctions.Utility_DisplayArrayInTable(Fertiliser_SourceData.Fertiliser_Products_Data2(),FertiliserProducts[[#Headers],[Include or Exclude]], 20)</f>
        <v/>
      </c>
      <c r="E117" s="96" t="str" cm="1">
        <f t="array" aca="1" ref="E117" ca="1">Common_InputFunctions.Utility_DisplayArrayInTable(Fertiliser_SourceData.Fertiliser_Products_Data2(),FertiliserProducts[[#Headers],[Include or Exclude]], 20)</f>
        <v/>
      </c>
      <c r="F117" s="96" t="str" cm="1">
        <f t="array" aca="1" ref="F117" ca="1">Common_InputFunctions.Utility_DisplayArrayInTable(Fertiliser_SourceData.Fertiliser_Products_Data2(),FertiliserProducts[[#Headers],[Include or Exclude]], 20)</f>
        <v/>
      </c>
      <c r="G117" s="96" t="str" cm="1">
        <f t="array" aca="1" ref="G117" ca="1">Common_InputFunctions.Utility_DisplayArrayInTable(Fertiliser_SourceData.Fertiliser_Products_Data2(),FertiliserProducts[[#Headers],[Include or Exclude]], 20)</f>
        <v/>
      </c>
      <c r="H117" s="96" t="str" cm="1">
        <f t="array" aca="1" ref="H117" ca="1">Common_InputFunctions.Utility_DisplayArrayInTable(Fertiliser_SourceData.Fertiliser_Products_Data2(),FertiliserProducts[[#Headers],[Include or Exclude]], 20)</f>
        <v/>
      </c>
      <c r="I117" s="96" t="str" cm="1">
        <f t="array" aca="1" ref="I117" ca="1">Common_InputFunctions.Utility_DisplayArrayInTable(Fertiliser_SourceData.Fertiliser_Products_Data2(),FertiliserProducts[[#Headers],[Include or Exclude]], 20)</f>
        <v/>
      </c>
      <c r="J117" s="96" t="str" cm="1">
        <f t="array" aca="1" ref="J117" ca="1">Common_InputFunctions.Utility_DisplayArrayInTable(Fertiliser_SourceData.Fertiliser_Products_Data2(),FertiliserProducts[[#Headers],[Include or Exclude]], 20)</f>
        <v/>
      </c>
      <c r="K117" s="96" t="str" cm="1">
        <f t="array" aca="1" ref="K117" ca="1">Common_InputFunctions.Utility_DisplayArrayInTable(Fertiliser_SourceData.Fertiliser_Products_Data2(),FertiliserProducts[[#Headers],[Include or Exclude]], 20)</f>
        <v/>
      </c>
      <c r="L117" s="96" t="str" cm="1">
        <f t="array" aca="1" ref="L117" ca="1">Common_InputFunctions.Utility_DisplayArrayInTable(Fertiliser_SourceData.Fertiliser_Products_Data2(),FertiliserProducts[[#Headers],[Include or Exclude]], 20)</f>
        <v/>
      </c>
      <c r="M117" s="96" t="str" cm="1">
        <f t="array" aca="1" ref="M117" ca="1">Common_InputFunctions.Utility_DisplayArrayInTable(Fertiliser_SourceData.Fertiliser_Products_Data2(),FertiliserProducts[[#Headers],[Include or Exclude]], 20)</f>
        <v/>
      </c>
      <c r="N117" s="96" t="str" cm="1">
        <f t="array" aca="1" ref="N117" ca="1">Common_InputFunctions.Utility_DisplayArrayInTable(Fertiliser_SourceData.Fertiliser_Products_Data2(),FertiliserProducts[[#Headers],[Include or Exclude]], 20)</f>
        <v/>
      </c>
      <c r="O117" s="96" t="str" cm="1">
        <f t="array" aca="1" ref="O117" ca="1">Common_InputFunctions.Utility_DisplayArrayInTable(Fertiliser_SourceData.Fertiliser_Products_Data2(),FertiliserProducts[[#Headers],[Include or Exclude]], 20)</f>
        <v/>
      </c>
      <c r="P117" s="96" t="str" cm="1">
        <f t="array" aca="1" ref="P117" ca="1">Common_InputFunctions.Utility_DisplayArrayInTable(Fertiliser_SourceData.Fertiliser_Products_Data2(),FertiliserProducts[[#Headers],[Include or Exclude]], 20)</f>
        <v/>
      </c>
      <c r="Q117" s="96" t="str" cm="1">
        <f t="array" aca="1" ref="Q117" ca="1">Common_InputFunctions.Utility_DisplayArrayInTable(Fertiliser_SourceData.Fertiliser_Products_Data2(),FertiliserProducts[[#Headers],[Include or Exclude]], 20)</f>
        <v/>
      </c>
      <c r="R117" s="96" t="str" cm="1">
        <f t="array" aca="1" ref="R117" ca="1">Common_InputFunctions.Utility_DisplayArrayInTable(Fertiliser_SourceData.Fertiliser_Products_Data2(),FertiliserProducts[[#Headers],[Include or Exclude]], 20)</f>
        <v/>
      </c>
      <c r="S117" s="96" t="str" cm="1">
        <f t="array" aca="1" ref="S117" ca="1">Common_InputFunctions.Utility_DisplayArrayInTable(Fertiliser_SourceData.Fertiliser_Products_Data2(),FertiliserProducts[[#Headers],[Include or Exclude]], 20)</f>
        <v/>
      </c>
      <c r="T117" s="96" t="str" cm="1">
        <f t="array" aca="1" ref="T117" ca="1">Common_InputFunctions.Utility_DisplayArrayInTable(Fertiliser_SourceData.Fertiliser_Products_Data2(),FertiliserProducts[[#Headers],[Include or Exclude]], 20)</f>
        <v/>
      </c>
      <c r="U117" s="96" t="str" cm="1">
        <f t="array" aca="1" ref="U117" ca="1">Common_InputFunctions.Utility_DisplayArrayInTable(Fertiliser_SourceData.Fertiliser_Products_Data2(),FertiliserProducts[[#Headers],[Include or Exclude]], 20)</f>
        <v/>
      </c>
      <c r="V117" s="96" t="str" cm="1">
        <f t="array" aca="1" ref="V117" ca="1">Common_InputFunctions.Utility_DisplayArrayInTable(Fertiliser_SourceData.Fertiliser_Products_Data2(),FertiliserProducts[[#Headers],[Include or Exclude]], 20)</f>
        <v/>
      </c>
      <c r="W117" s="96" t="str" cm="1">
        <f t="array" aca="1" ref="W117" ca="1">Common_InputFunctions.Utility_DisplayArrayInTable(Fertiliser_SourceData.Fertiliser_Products_Data2(),FertiliserProducts[[#Headers],[Include or Exclude]], 20)</f>
        <v/>
      </c>
      <c r="X117" s="96" t="str" cm="1">
        <f t="array" aca="1" ref="X117" ca="1">Common_InputFunctions.Utility_DisplayArrayInTable(Fertiliser_SourceData.Fertiliser_Products_Data2(),FertiliserProducts[[#Headers],[Include or Exclude]], 20)</f>
        <v/>
      </c>
      <c r="Y117" s="96" t="str" cm="1">
        <f t="array" aca="1" ref="Y117" ca="1">Common_InputFunctions.Utility_DisplayArrayInTable(Fertiliser_SourceData.Fertiliser_Products_Data2(),FertiliserProducts[[#Headers],[Include or Exclude]], 20)</f>
        <v/>
      </c>
      <c r="Z117" s="96" t="str" cm="1">
        <f t="array" aca="1" ref="Z117" ca="1">Common_InputFunctions.Utility_DisplayArrayInTable(Fertiliser_SourceData.Fertiliser_Products_Data2(),FertiliserProducts[[#Headers],[Include or Exclude]], 20)</f>
        <v/>
      </c>
      <c r="AA117" s="36" t="str" cm="1">
        <f t="array" aca="1" ref="AA117" ca="1">Common_InputFunctions.Utility_DisplayArrayInTable(Fertiliser_SourceData.Fertiliser_Products_Data2(),FertiliserProducts[[#Headers],[Include or Exclude]], 20)</f>
        <v/>
      </c>
      <c r="AB117" s="36" t="str" cm="1">
        <f t="array" aca="1" ref="AB117" ca="1">Common_InputFunctions.Utility_DisplayArrayInTable(Fertiliser_SourceData.Fertiliser_Products_Data2(),FertiliserProducts[[#Headers],[Include or Exclude]], 20)</f>
        <v/>
      </c>
      <c r="AC117" s="36" t="str" cm="1">
        <f t="array" aca="1" ref="AC117" ca="1">Common_InputFunctions.Utility_DisplayArrayInTable(Fertiliser_SourceData.Fertiliser_Products_Data2(),FertiliserProducts[[#Headers],[Include or Exclude]], 20)</f>
        <v/>
      </c>
      <c r="AD117" s="36" t="str" cm="1">
        <f t="array" aca="1" ref="AD117" ca="1">Common_InputFunctions.Utility_DisplayArrayInTable(Fertiliser_SourceData.Fertiliser_Products_Data2(),FertiliserProducts[[#Headers],[Include or Exclude]], 20)</f>
        <v/>
      </c>
      <c r="AE117" s="36" t="str" cm="1">
        <f t="array" aca="1" ref="AE117" ca="1">Common_InputFunctions.Utility_DisplayArrayInTable(Fertiliser_SourceData.Fertiliser_Products_Data2(),FertiliserProducts[[#Headers],[Include or Exclude]], 20)</f>
        <v/>
      </c>
    </row>
    <row r="118" spans="4:31" ht="20.100000000000001" customHeight="1" x14ac:dyDescent="0.25">
      <c r="D118" s="96" t="str" cm="1">
        <f t="array" aca="1" ref="D118" ca="1">Common_InputFunctions.Utility_DisplayArrayInTable(Fertiliser_SourceData.Fertiliser_Products_Data2(),FertiliserProducts[[#Headers],[Include or Exclude]], 20)</f>
        <v/>
      </c>
      <c r="E118" s="96" t="str" cm="1">
        <f t="array" aca="1" ref="E118" ca="1">Common_InputFunctions.Utility_DisplayArrayInTable(Fertiliser_SourceData.Fertiliser_Products_Data2(),FertiliserProducts[[#Headers],[Include or Exclude]], 20)</f>
        <v/>
      </c>
      <c r="F118" s="96" t="str" cm="1">
        <f t="array" aca="1" ref="F118" ca="1">Common_InputFunctions.Utility_DisplayArrayInTable(Fertiliser_SourceData.Fertiliser_Products_Data2(),FertiliserProducts[[#Headers],[Include or Exclude]], 20)</f>
        <v/>
      </c>
      <c r="G118" s="96" t="str" cm="1">
        <f t="array" aca="1" ref="G118" ca="1">Common_InputFunctions.Utility_DisplayArrayInTable(Fertiliser_SourceData.Fertiliser_Products_Data2(),FertiliserProducts[[#Headers],[Include or Exclude]], 20)</f>
        <v/>
      </c>
      <c r="H118" s="96" t="str" cm="1">
        <f t="array" aca="1" ref="H118" ca="1">Common_InputFunctions.Utility_DisplayArrayInTable(Fertiliser_SourceData.Fertiliser_Products_Data2(),FertiliserProducts[[#Headers],[Include or Exclude]], 20)</f>
        <v/>
      </c>
      <c r="I118" s="96" t="str" cm="1">
        <f t="array" aca="1" ref="I118" ca="1">Common_InputFunctions.Utility_DisplayArrayInTable(Fertiliser_SourceData.Fertiliser_Products_Data2(),FertiliserProducts[[#Headers],[Include or Exclude]], 20)</f>
        <v/>
      </c>
      <c r="J118" s="96" t="str" cm="1">
        <f t="array" aca="1" ref="J118" ca="1">Common_InputFunctions.Utility_DisplayArrayInTable(Fertiliser_SourceData.Fertiliser_Products_Data2(),FertiliserProducts[[#Headers],[Include or Exclude]], 20)</f>
        <v/>
      </c>
      <c r="K118" s="96" t="str" cm="1">
        <f t="array" aca="1" ref="K118" ca="1">Common_InputFunctions.Utility_DisplayArrayInTable(Fertiliser_SourceData.Fertiliser_Products_Data2(),FertiliserProducts[[#Headers],[Include or Exclude]], 20)</f>
        <v/>
      </c>
      <c r="L118" s="96" t="str" cm="1">
        <f t="array" aca="1" ref="L118" ca="1">Common_InputFunctions.Utility_DisplayArrayInTable(Fertiliser_SourceData.Fertiliser_Products_Data2(),FertiliserProducts[[#Headers],[Include or Exclude]], 20)</f>
        <v/>
      </c>
      <c r="M118" s="96" t="str" cm="1">
        <f t="array" aca="1" ref="M118" ca="1">Common_InputFunctions.Utility_DisplayArrayInTable(Fertiliser_SourceData.Fertiliser_Products_Data2(),FertiliserProducts[[#Headers],[Include or Exclude]], 20)</f>
        <v/>
      </c>
      <c r="N118" s="96" t="str" cm="1">
        <f t="array" aca="1" ref="N118" ca="1">Common_InputFunctions.Utility_DisplayArrayInTable(Fertiliser_SourceData.Fertiliser_Products_Data2(),FertiliserProducts[[#Headers],[Include or Exclude]], 20)</f>
        <v/>
      </c>
      <c r="O118" s="96" t="str" cm="1">
        <f t="array" aca="1" ref="O118" ca="1">Common_InputFunctions.Utility_DisplayArrayInTable(Fertiliser_SourceData.Fertiliser_Products_Data2(),FertiliserProducts[[#Headers],[Include or Exclude]], 20)</f>
        <v/>
      </c>
      <c r="P118" s="96" t="str" cm="1">
        <f t="array" aca="1" ref="P118" ca="1">Common_InputFunctions.Utility_DisplayArrayInTable(Fertiliser_SourceData.Fertiliser_Products_Data2(),FertiliserProducts[[#Headers],[Include or Exclude]], 20)</f>
        <v/>
      </c>
      <c r="Q118" s="96" t="str" cm="1">
        <f t="array" aca="1" ref="Q118" ca="1">Common_InputFunctions.Utility_DisplayArrayInTable(Fertiliser_SourceData.Fertiliser_Products_Data2(),FertiliserProducts[[#Headers],[Include or Exclude]], 20)</f>
        <v/>
      </c>
      <c r="R118" s="96" t="str" cm="1">
        <f t="array" aca="1" ref="R118" ca="1">Common_InputFunctions.Utility_DisplayArrayInTable(Fertiliser_SourceData.Fertiliser_Products_Data2(),FertiliserProducts[[#Headers],[Include or Exclude]], 20)</f>
        <v/>
      </c>
      <c r="S118" s="96" t="str" cm="1">
        <f t="array" aca="1" ref="S118" ca="1">Common_InputFunctions.Utility_DisplayArrayInTable(Fertiliser_SourceData.Fertiliser_Products_Data2(),FertiliserProducts[[#Headers],[Include or Exclude]], 20)</f>
        <v/>
      </c>
      <c r="T118" s="96" t="str" cm="1">
        <f t="array" aca="1" ref="T118" ca="1">Common_InputFunctions.Utility_DisplayArrayInTable(Fertiliser_SourceData.Fertiliser_Products_Data2(),FertiliserProducts[[#Headers],[Include or Exclude]], 20)</f>
        <v/>
      </c>
      <c r="U118" s="96" t="str" cm="1">
        <f t="array" aca="1" ref="U118" ca="1">Common_InputFunctions.Utility_DisplayArrayInTable(Fertiliser_SourceData.Fertiliser_Products_Data2(),FertiliserProducts[[#Headers],[Include or Exclude]], 20)</f>
        <v/>
      </c>
      <c r="V118" s="96" t="str" cm="1">
        <f t="array" aca="1" ref="V118" ca="1">Common_InputFunctions.Utility_DisplayArrayInTable(Fertiliser_SourceData.Fertiliser_Products_Data2(),FertiliserProducts[[#Headers],[Include or Exclude]], 20)</f>
        <v/>
      </c>
      <c r="W118" s="96" t="str" cm="1">
        <f t="array" aca="1" ref="W118" ca="1">Common_InputFunctions.Utility_DisplayArrayInTable(Fertiliser_SourceData.Fertiliser_Products_Data2(),FertiliserProducts[[#Headers],[Include or Exclude]], 20)</f>
        <v/>
      </c>
      <c r="X118" s="96" t="str" cm="1">
        <f t="array" aca="1" ref="X118" ca="1">Common_InputFunctions.Utility_DisplayArrayInTable(Fertiliser_SourceData.Fertiliser_Products_Data2(),FertiliserProducts[[#Headers],[Include or Exclude]], 20)</f>
        <v/>
      </c>
      <c r="Y118" s="96" t="str" cm="1">
        <f t="array" aca="1" ref="Y118" ca="1">Common_InputFunctions.Utility_DisplayArrayInTable(Fertiliser_SourceData.Fertiliser_Products_Data2(),FertiliserProducts[[#Headers],[Include or Exclude]], 20)</f>
        <v/>
      </c>
      <c r="Z118" s="96" t="str" cm="1">
        <f t="array" aca="1" ref="Z118" ca="1">Common_InputFunctions.Utility_DisplayArrayInTable(Fertiliser_SourceData.Fertiliser_Products_Data2(),FertiliserProducts[[#Headers],[Include or Exclude]], 20)</f>
        <v/>
      </c>
      <c r="AA118" s="36" t="str" cm="1">
        <f t="array" aca="1" ref="AA118" ca="1">Common_InputFunctions.Utility_DisplayArrayInTable(Fertiliser_SourceData.Fertiliser_Products_Data2(),FertiliserProducts[[#Headers],[Include or Exclude]], 20)</f>
        <v/>
      </c>
      <c r="AB118" s="36" t="str" cm="1">
        <f t="array" aca="1" ref="AB118" ca="1">Common_InputFunctions.Utility_DisplayArrayInTable(Fertiliser_SourceData.Fertiliser_Products_Data2(),FertiliserProducts[[#Headers],[Include or Exclude]], 20)</f>
        <v/>
      </c>
      <c r="AC118" s="36" t="str" cm="1">
        <f t="array" aca="1" ref="AC118" ca="1">Common_InputFunctions.Utility_DisplayArrayInTable(Fertiliser_SourceData.Fertiliser_Products_Data2(),FertiliserProducts[[#Headers],[Include or Exclude]], 20)</f>
        <v/>
      </c>
      <c r="AD118" s="36" t="str" cm="1">
        <f t="array" aca="1" ref="AD118" ca="1">Common_InputFunctions.Utility_DisplayArrayInTable(Fertiliser_SourceData.Fertiliser_Products_Data2(),FertiliserProducts[[#Headers],[Include or Exclude]], 20)</f>
        <v/>
      </c>
      <c r="AE118" s="36" t="str" cm="1">
        <f t="array" aca="1" ref="AE118" ca="1">Common_InputFunctions.Utility_DisplayArrayInTable(Fertiliser_SourceData.Fertiliser_Products_Data2(),FertiliserProducts[[#Headers],[Include or Exclude]], 20)</f>
        <v/>
      </c>
    </row>
    <row r="119" spans="4:31" ht="20.100000000000001" customHeight="1" x14ac:dyDescent="0.25">
      <c r="D119" s="96" t="str" cm="1">
        <f t="array" aca="1" ref="D119" ca="1">Common_InputFunctions.Utility_DisplayArrayInTable(Fertiliser_SourceData.Fertiliser_Products_Data2(),FertiliserProducts[[#Headers],[Include or Exclude]], 20)</f>
        <v/>
      </c>
      <c r="E119" s="96" t="str" cm="1">
        <f t="array" aca="1" ref="E119" ca="1">Common_InputFunctions.Utility_DisplayArrayInTable(Fertiliser_SourceData.Fertiliser_Products_Data2(),FertiliserProducts[[#Headers],[Include or Exclude]], 20)</f>
        <v/>
      </c>
      <c r="F119" s="96" t="str" cm="1">
        <f t="array" aca="1" ref="F119" ca="1">Common_InputFunctions.Utility_DisplayArrayInTable(Fertiliser_SourceData.Fertiliser_Products_Data2(),FertiliserProducts[[#Headers],[Include or Exclude]], 20)</f>
        <v/>
      </c>
      <c r="G119" s="96" t="str" cm="1">
        <f t="array" aca="1" ref="G119" ca="1">Common_InputFunctions.Utility_DisplayArrayInTable(Fertiliser_SourceData.Fertiliser_Products_Data2(),FertiliserProducts[[#Headers],[Include or Exclude]], 20)</f>
        <v/>
      </c>
      <c r="H119" s="96" t="str" cm="1">
        <f t="array" aca="1" ref="H119" ca="1">Common_InputFunctions.Utility_DisplayArrayInTable(Fertiliser_SourceData.Fertiliser_Products_Data2(),FertiliserProducts[[#Headers],[Include or Exclude]], 20)</f>
        <v/>
      </c>
      <c r="I119" s="96" t="str" cm="1">
        <f t="array" aca="1" ref="I119" ca="1">Common_InputFunctions.Utility_DisplayArrayInTable(Fertiliser_SourceData.Fertiliser_Products_Data2(),FertiliserProducts[[#Headers],[Include or Exclude]], 20)</f>
        <v/>
      </c>
      <c r="J119" s="96" t="str" cm="1">
        <f t="array" aca="1" ref="J119" ca="1">Common_InputFunctions.Utility_DisplayArrayInTable(Fertiliser_SourceData.Fertiliser_Products_Data2(),FertiliserProducts[[#Headers],[Include or Exclude]], 20)</f>
        <v/>
      </c>
      <c r="K119" s="96" t="str" cm="1">
        <f t="array" aca="1" ref="K119" ca="1">Common_InputFunctions.Utility_DisplayArrayInTable(Fertiliser_SourceData.Fertiliser_Products_Data2(),FertiliserProducts[[#Headers],[Include or Exclude]], 20)</f>
        <v/>
      </c>
      <c r="L119" s="96" t="str" cm="1">
        <f t="array" aca="1" ref="L119" ca="1">Common_InputFunctions.Utility_DisplayArrayInTable(Fertiliser_SourceData.Fertiliser_Products_Data2(),FertiliserProducts[[#Headers],[Include or Exclude]], 20)</f>
        <v/>
      </c>
      <c r="M119" s="96" t="str" cm="1">
        <f t="array" aca="1" ref="M119" ca="1">Common_InputFunctions.Utility_DisplayArrayInTable(Fertiliser_SourceData.Fertiliser_Products_Data2(),FertiliserProducts[[#Headers],[Include or Exclude]], 20)</f>
        <v/>
      </c>
      <c r="N119" s="96" t="str" cm="1">
        <f t="array" aca="1" ref="N119" ca="1">Common_InputFunctions.Utility_DisplayArrayInTable(Fertiliser_SourceData.Fertiliser_Products_Data2(),FertiliserProducts[[#Headers],[Include or Exclude]], 20)</f>
        <v/>
      </c>
      <c r="O119" s="96" t="str" cm="1">
        <f t="array" aca="1" ref="O119" ca="1">Common_InputFunctions.Utility_DisplayArrayInTable(Fertiliser_SourceData.Fertiliser_Products_Data2(),FertiliserProducts[[#Headers],[Include or Exclude]], 20)</f>
        <v/>
      </c>
      <c r="P119" s="96" t="str" cm="1">
        <f t="array" aca="1" ref="P119" ca="1">Common_InputFunctions.Utility_DisplayArrayInTable(Fertiliser_SourceData.Fertiliser_Products_Data2(),FertiliserProducts[[#Headers],[Include or Exclude]], 20)</f>
        <v/>
      </c>
      <c r="Q119" s="96" t="str" cm="1">
        <f t="array" aca="1" ref="Q119" ca="1">Common_InputFunctions.Utility_DisplayArrayInTable(Fertiliser_SourceData.Fertiliser_Products_Data2(),FertiliserProducts[[#Headers],[Include or Exclude]], 20)</f>
        <v/>
      </c>
      <c r="R119" s="96" t="str" cm="1">
        <f t="array" aca="1" ref="R119" ca="1">Common_InputFunctions.Utility_DisplayArrayInTable(Fertiliser_SourceData.Fertiliser_Products_Data2(),FertiliserProducts[[#Headers],[Include or Exclude]], 20)</f>
        <v/>
      </c>
      <c r="S119" s="96" t="str" cm="1">
        <f t="array" aca="1" ref="S119" ca="1">Common_InputFunctions.Utility_DisplayArrayInTable(Fertiliser_SourceData.Fertiliser_Products_Data2(),FertiliserProducts[[#Headers],[Include or Exclude]], 20)</f>
        <v/>
      </c>
      <c r="T119" s="96" t="str" cm="1">
        <f t="array" aca="1" ref="T119" ca="1">Common_InputFunctions.Utility_DisplayArrayInTable(Fertiliser_SourceData.Fertiliser_Products_Data2(),FertiliserProducts[[#Headers],[Include or Exclude]], 20)</f>
        <v/>
      </c>
      <c r="U119" s="96" t="str" cm="1">
        <f t="array" aca="1" ref="U119" ca="1">Common_InputFunctions.Utility_DisplayArrayInTable(Fertiliser_SourceData.Fertiliser_Products_Data2(),FertiliserProducts[[#Headers],[Include or Exclude]], 20)</f>
        <v/>
      </c>
      <c r="V119" s="96" t="str" cm="1">
        <f t="array" aca="1" ref="V119" ca="1">Common_InputFunctions.Utility_DisplayArrayInTable(Fertiliser_SourceData.Fertiliser_Products_Data2(),FertiliserProducts[[#Headers],[Include or Exclude]], 20)</f>
        <v/>
      </c>
      <c r="W119" s="96" t="str" cm="1">
        <f t="array" aca="1" ref="W119" ca="1">Common_InputFunctions.Utility_DisplayArrayInTable(Fertiliser_SourceData.Fertiliser_Products_Data2(),FertiliserProducts[[#Headers],[Include or Exclude]], 20)</f>
        <v/>
      </c>
      <c r="X119" s="96" t="str" cm="1">
        <f t="array" aca="1" ref="X119" ca="1">Common_InputFunctions.Utility_DisplayArrayInTable(Fertiliser_SourceData.Fertiliser_Products_Data2(),FertiliserProducts[[#Headers],[Include or Exclude]], 20)</f>
        <v/>
      </c>
      <c r="Y119" s="96" t="str" cm="1">
        <f t="array" aca="1" ref="Y119" ca="1">Common_InputFunctions.Utility_DisplayArrayInTable(Fertiliser_SourceData.Fertiliser_Products_Data2(),FertiliserProducts[[#Headers],[Include or Exclude]], 20)</f>
        <v/>
      </c>
      <c r="Z119" s="96" t="str" cm="1">
        <f t="array" aca="1" ref="Z119" ca="1">Common_InputFunctions.Utility_DisplayArrayInTable(Fertiliser_SourceData.Fertiliser_Products_Data2(),FertiliserProducts[[#Headers],[Include or Exclude]], 20)</f>
        <v/>
      </c>
      <c r="AA119" s="36" t="str" cm="1">
        <f t="array" aca="1" ref="AA119" ca="1">Common_InputFunctions.Utility_DisplayArrayInTable(Fertiliser_SourceData.Fertiliser_Products_Data2(),FertiliserProducts[[#Headers],[Include or Exclude]], 20)</f>
        <v/>
      </c>
      <c r="AB119" s="36" t="str" cm="1">
        <f t="array" aca="1" ref="AB119" ca="1">Common_InputFunctions.Utility_DisplayArrayInTable(Fertiliser_SourceData.Fertiliser_Products_Data2(),FertiliserProducts[[#Headers],[Include or Exclude]], 20)</f>
        <v/>
      </c>
      <c r="AC119" s="36" t="str" cm="1">
        <f t="array" aca="1" ref="AC119" ca="1">Common_InputFunctions.Utility_DisplayArrayInTable(Fertiliser_SourceData.Fertiliser_Products_Data2(),FertiliserProducts[[#Headers],[Include or Exclude]], 20)</f>
        <v/>
      </c>
      <c r="AD119" s="36" t="str" cm="1">
        <f t="array" aca="1" ref="AD119" ca="1">Common_InputFunctions.Utility_DisplayArrayInTable(Fertiliser_SourceData.Fertiliser_Products_Data2(),FertiliserProducts[[#Headers],[Include or Exclude]], 20)</f>
        <v/>
      </c>
      <c r="AE119" s="36" t="str" cm="1">
        <f t="array" aca="1" ref="AE119" ca="1">Common_InputFunctions.Utility_DisplayArrayInTable(Fertiliser_SourceData.Fertiliser_Products_Data2(),FertiliserProducts[[#Headers],[Include or Exclude]], 20)</f>
        <v/>
      </c>
    </row>
    <row r="120" spans="4:31" ht="20.100000000000001" customHeight="1" x14ac:dyDescent="0.25">
      <c r="D120" s="96" t="str" cm="1">
        <f t="array" aca="1" ref="D120" ca="1">Common_InputFunctions.Utility_DisplayArrayInTable(Fertiliser_SourceData.Fertiliser_Products_Data2(),FertiliserProducts[[#Headers],[Include or Exclude]], 20)</f>
        <v/>
      </c>
      <c r="E120" s="96" t="str" cm="1">
        <f t="array" aca="1" ref="E120" ca="1">Common_InputFunctions.Utility_DisplayArrayInTable(Fertiliser_SourceData.Fertiliser_Products_Data2(),FertiliserProducts[[#Headers],[Include or Exclude]], 20)</f>
        <v/>
      </c>
      <c r="F120" s="96" t="str" cm="1">
        <f t="array" aca="1" ref="F120" ca="1">Common_InputFunctions.Utility_DisplayArrayInTable(Fertiliser_SourceData.Fertiliser_Products_Data2(),FertiliserProducts[[#Headers],[Include or Exclude]], 20)</f>
        <v/>
      </c>
      <c r="G120" s="96" t="str" cm="1">
        <f t="array" aca="1" ref="G120" ca="1">Common_InputFunctions.Utility_DisplayArrayInTable(Fertiliser_SourceData.Fertiliser_Products_Data2(),FertiliserProducts[[#Headers],[Include or Exclude]], 20)</f>
        <v/>
      </c>
      <c r="H120" s="96" t="str" cm="1">
        <f t="array" aca="1" ref="H120" ca="1">Common_InputFunctions.Utility_DisplayArrayInTable(Fertiliser_SourceData.Fertiliser_Products_Data2(),FertiliserProducts[[#Headers],[Include or Exclude]], 20)</f>
        <v/>
      </c>
      <c r="I120" s="96" t="str" cm="1">
        <f t="array" aca="1" ref="I120" ca="1">Common_InputFunctions.Utility_DisplayArrayInTable(Fertiliser_SourceData.Fertiliser_Products_Data2(),FertiliserProducts[[#Headers],[Include or Exclude]], 20)</f>
        <v/>
      </c>
      <c r="J120" s="96" t="str" cm="1">
        <f t="array" aca="1" ref="J120" ca="1">Common_InputFunctions.Utility_DisplayArrayInTable(Fertiliser_SourceData.Fertiliser_Products_Data2(),FertiliserProducts[[#Headers],[Include or Exclude]], 20)</f>
        <v/>
      </c>
      <c r="K120" s="96" t="str" cm="1">
        <f t="array" aca="1" ref="K120" ca="1">Common_InputFunctions.Utility_DisplayArrayInTable(Fertiliser_SourceData.Fertiliser_Products_Data2(),FertiliserProducts[[#Headers],[Include or Exclude]], 20)</f>
        <v/>
      </c>
      <c r="L120" s="96" t="str" cm="1">
        <f t="array" aca="1" ref="L120" ca="1">Common_InputFunctions.Utility_DisplayArrayInTable(Fertiliser_SourceData.Fertiliser_Products_Data2(),FertiliserProducts[[#Headers],[Include or Exclude]], 20)</f>
        <v/>
      </c>
      <c r="M120" s="96" t="str" cm="1">
        <f t="array" aca="1" ref="M120" ca="1">Common_InputFunctions.Utility_DisplayArrayInTable(Fertiliser_SourceData.Fertiliser_Products_Data2(),FertiliserProducts[[#Headers],[Include or Exclude]], 20)</f>
        <v/>
      </c>
      <c r="N120" s="96" t="str" cm="1">
        <f t="array" aca="1" ref="N120" ca="1">Common_InputFunctions.Utility_DisplayArrayInTable(Fertiliser_SourceData.Fertiliser_Products_Data2(),FertiliserProducts[[#Headers],[Include or Exclude]], 20)</f>
        <v/>
      </c>
      <c r="O120" s="96" t="str" cm="1">
        <f t="array" aca="1" ref="O120" ca="1">Common_InputFunctions.Utility_DisplayArrayInTable(Fertiliser_SourceData.Fertiliser_Products_Data2(),FertiliserProducts[[#Headers],[Include or Exclude]], 20)</f>
        <v/>
      </c>
      <c r="P120" s="96" t="str" cm="1">
        <f t="array" aca="1" ref="P120" ca="1">Common_InputFunctions.Utility_DisplayArrayInTable(Fertiliser_SourceData.Fertiliser_Products_Data2(),FertiliserProducts[[#Headers],[Include or Exclude]], 20)</f>
        <v/>
      </c>
      <c r="Q120" s="96" t="str" cm="1">
        <f t="array" aca="1" ref="Q120" ca="1">Common_InputFunctions.Utility_DisplayArrayInTable(Fertiliser_SourceData.Fertiliser_Products_Data2(),FertiliserProducts[[#Headers],[Include or Exclude]], 20)</f>
        <v/>
      </c>
      <c r="R120" s="96" t="str" cm="1">
        <f t="array" aca="1" ref="R120" ca="1">Common_InputFunctions.Utility_DisplayArrayInTable(Fertiliser_SourceData.Fertiliser_Products_Data2(),FertiliserProducts[[#Headers],[Include or Exclude]], 20)</f>
        <v/>
      </c>
      <c r="S120" s="96" t="str" cm="1">
        <f t="array" aca="1" ref="S120" ca="1">Common_InputFunctions.Utility_DisplayArrayInTable(Fertiliser_SourceData.Fertiliser_Products_Data2(),FertiliserProducts[[#Headers],[Include or Exclude]], 20)</f>
        <v/>
      </c>
      <c r="T120" s="96" t="str" cm="1">
        <f t="array" aca="1" ref="T120" ca="1">Common_InputFunctions.Utility_DisplayArrayInTable(Fertiliser_SourceData.Fertiliser_Products_Data2(),FertiliserProducts[[#Headers],[Include or Exclude]], 20)</f>
        <v/>
      </c>
      <c r="U120" s="96" t="str" cm="1">
        <f t="array" aca="1" ref="U120" ca="1">Common_InputFunctions.Utility_DisplayArrayInTable(Fertiliser_SourceData.Fertiliser_Products_Data2(),FertiliserProducts[[#Headers],[Include or Exclude]], 20)</f>
        <v/>
      </c>
      <c r="V120" s="96" t="str" cm="1">
        <f t="array" aca="1" ref="V120" ca="1">Common_InputFunctions.Utility_DisplayArrayInTable(Fertiliser_SourceData.Fertiliser_Products_Data2(),FertiliserProducts[[#Headers],[Include or Exclude]], 20)</f>
        <v/>
      </c>
      <c r="W120" s="96" t="str" cm="1">
        <f t="array" aca="1" ref="W120" ca="1">Common_InputFunctions.Utility_DisplayArrayInTable(Fertiliser_SourceData.Fertiliser_Products_Data2(),FertiliserProducts[[#Headers],[Include or Exclude]], 20)</f>
        <v/>
      </c>
      <c r="X120" s="96" t="str" cm="1">
        <f t="array" aca="1" ref="X120" ca="1">Common_InputFunctions.Utility_DisplayArrayInTable(Fertiliser_SourceData.Fertiliser_Products_Data2(),FertiliserProducts[[#Headers],[Include or Exclude]], 20)</f>
        <v/>
      </c>
      <c r="Y120" s="96" t="str" cm="1">
        <f t="array" aca="1" ref="Y120" ca="1">Common_InputFunctions.Utility_DisplayArrayInTable(Fertiliser_SourceData.Fertiliser_Products_Data2(),FertiliserProducts[[#Headers],[Include or Exclude]], 20)</f>
        <v/>
      </c>
      <c r="Z120" s="96" t="str" cm="1">
        <f t="array" aca="1" ref="Z120" ca="1">Common_InputFunctions.Utility_DisplayArrayInTable(Fertiliser_SourceData.Fertiliser_Products_Data2(),FertiliserProducts[[#Headers],[Include or Exclude]], 20)</f>
        <v/>
      </c>
      <c r="AA120" s="36" t="str" cm="1">
        <f t="array" aca="1" ref="AA120" ca="1">Common_InputFunctions.Utility_DisplayArrayInTable(Fertiliser_SourceData.Fertiliser_Products_Data2(),FertiliserProducts[[#Headers],[Include or Exclude]], 20)</f>
        <v/>
      </c>
      <c r="AB120" s="36" t="str" cm="1">
        <f t="array" aca="1" ref="AB120" ca="1">Common_InputFunctions.Utility_DisplayArrayInTable(Fertiliser_SourceData.Fertiliser_Products_Data2(),FertiliserProducts[[#Headers],[Include or Exclude]], 20)</f>
        <v/>
      </c>
      <c r="AC120" s="36" t="str" cm="1">
        <f t="array" aca="1" ref="AC120" ca="1">Common_InputFunctions.Utility_DisplayArrayInTable(Fertiliser_SourceData.Fertiliser_Products_Data2(),FertiliserProducts[[#Headers],[Include or Exclude]], 20)</f>
        <v/>
      </c>
      <c r="AD120" s="36" t="str" cm="1">
        <f t="array" aca="1" ref="AD120" ca="1">Common_InputFunctions.Utility_DisplayArrayInTable(Fertiliser_SourceData.Fertiliser_Products_Data2(),FertiliserProducts[[#Headers],[Include or Exclude]], 20)</f>
        <v/>
      </c>
      <c r="AE120" s="36" t="str" cm="1">
        <f t="array" aca="1" ref="AE120" ca="1">Common_InputFunctions.Utility_DisplayArrayInTable(Fertiliser_SourceData.Fertiliser_Products_Data2(),FertiliserProducts[[#Headers],[Include or Exclude]], 20)</f>
        <v/>
      </c>
    </row>
    <row r="121" spans="4:31" ht="20.100000000000001" customHeight="1" x14ac:dyDescent="0.25">
      <c r="D121" s="96" t="str" cm="1">
        <f t="array" aca="1" ref="D121" ca="1">Common_InputFunctions.Utility_DisplayArrayInTable(Fertiliser_SourceData.Fertiliser_Products_Data2(),FertiliserProducts[[#Headers],[Include or Exclude]], 20)</f>
        <v/>
      </c>
      <c r="E121" s="96" t="str" cm="1">
        <f t="array" aca="1" ref="E121" ca="1">Common_InputFunctions.Utility_DisplayArrayInTable(Fertiliser_SourceData.Fertiliser_Products_Data2(),FertiliserProducts[[#Headers],[Include or Exclude]], 20)</f>
        <v/>
      </c>
      <c r="F121" s="96" t="str" cm="1">
        <f t="array" aca="1" ref="F121" ca="1">Common_InputFunctions.Utility_DisplayArrayInTable(Fertiliser_SourceData.Fertiliser_Products_Data2(),FertiliserProducts[[#Headers],[Include or Exclude]], 20)</f>
        <v/>
      </c>
      <c r="G121" s="96" t="str" cm="1">
        <f t="array" aca="1" ref="G121" ca="1">Common_InputFunctions.Utility_DisplayArrayInTable(Fertiliser_SourceData.Fertiliser_Products_Data2(),FertiliserProducts[[#Headers],[Include or Exclude]], 20)</f>
        <v/>
      </c>
      <c r="H121" s="96" t="str" cm="1">
        <f t="array" aca="1" ref="H121" ca="1">Common_InputFunctions.Utility_DisplayArrayInTable(Fertiliser_SourceData.Fertiliser_Products_Data2(),FertiliserProducts[[#Headers],[Include or Exclude]], 20)</f>
        <v/>
      </c>
      <c r="I121" s="96" t="str" cm="1">
        <f t="array" aca="1" ref="I121" ca="1">Common_InputFunctions.Utility_DisplayArrayInTable(Fertiliser_SourceData.Fertiliser_Products_Data2(),FertiliserProducts[[#Headers],[Include or Exclude]], 20)</f>
        <v/>
      </c>
      <c r="J121" s="96" t="str" cm="1">
        <f t="array" aca="1" ref="J121" ca="1">Common_InputFunctions.Utility_DisplayArrayInTable(Fertiliser_SourceData.Fertiliser_Products_Data2(),FertiliserProducts[[#Headers],[Include or Exclude]], 20)</f>
        <v/>
      </c>
      <c r="K121" s="96" t="str" cm="1">
        <f t="array" aca="1" ref="K121" ca="1">Common_InputFunctions.Utility_DisplayArrayInTable(Fertiliser_SourceData.Fertiliser_Products_Data2(),FertiliserProducts[[#Headers],[Include or Exclude]], 20)</f>
        <v/>
      </c>
      <c r="L121" s="96" t="str" cm="1">
        <f t="array" aca="1" ref="L121" ca="1">Common_InputFunctions.Utility_DisplayArrayInTable(Fertiliser_SourceData.Fertiliser_Products_Data2(),FertiliserProducts[[#Headers],[Include or Exclude]], 20)</f>
        <v/>
      </c>
      <c r="M121" s="96" t="str" cm="1">
        <f t="array" aca="1" ref="M121" ca="1">Common_InputFunctions.Utility_DisplayArrayInTable(Fertiliser_SourceData.Fertiliser_Products_Data2(),FertiliserProducts[[#Headers],[Include or Exclude]], 20)</f>
        <v/>
      </c>
      <c r="N121" s="96" t="str" cm="1">
        <f t="array" aca="1" ref="N121" ca="1">Common_InputFunctions.Utility_DisplayArrayInTable(Fertiliser_SourceData.Fertiliser_Products_Data2(),FertiliserProducts[[#Headers],[Include or Exclude]], 20)</f>
        <v/>
      </c>
      <c r="O121" s="96" t="str" cm="1">
        <f t="array" aca="1" ref="O121" ca="1">Common_InputFunctions.Utility_DisplayArrayInTable(Fertiliser_SourceData.Fertiliser_Products_Data2(),FertiliserProducts[[#Headers],[Include or Exclude]], 20)</f>
        <v/>
      </c>
      <c r="P121" s="96" t="str" cm="1">
        <f t="array" aca="1" ref="P121" ca="1">Common_InputFunctions.Utility_DisplayArrayInTable(Fertiliser_SourceData.Fertiliser_Products_Data2(),FertiliserProducts[[#Headers],[Include or Exclude]], 20)</f>
        <v/>
      </c>
      <c r="Q121" s="96" t="str" cm="1">
        <f t="array" aca="1" ref="Q121" ca="1">Common_InputFunctions.Utility_DisplayArrayInTable(Fertiliser_SourceData.Fertiliser_Products_Data2(),FertiliserProducts[[#Headers],[Include or Exclude]], 20)</f>
        <v/>
      </c>
      <c r="R121" s="96" t="str" cm="1">
        <f t="array" aca="1" ref="R121" ca="1">Common_InputFunctions.Utility_DisplayArrayInTable(Fertiliser_SourceData.Fertiliser_Products_Data2(),FertiliserProducts[[#Headers],[Include or Exclude]], 20)</f>
        <v/>
      </c>
      <c r="S121" s="96" t="str" cm="1">
        <f t="array" aca="1" ref="S121" ca="1">Common_InputFunctions.Utility_DisplayArrayInTable(Fertiliser_SourceData.Fertiliser_Products_Data2(),FertiliserProducts[[#Headers],[Include or Exclude]], 20)</f>
        <v/>
      </c>
      <c r="T121" s="96" t="str" cm="1">
        <f t="array" aca="1" ref="T121" ca="1">Common_InputFunctions.Utility_DisplayArrayInTable(Fertiliser_SourceData.Fertiliser_Products_Data2(),FertiliserProducts[[#Headers],[Include or Exclude]], 20)</f>
        <v/>
      </c>
      <c r="U121" s="96" t="str" cm="1">
        <f t="array" aca="1" ref="U121" ca="1">Common_InputFunctions.Utility_DisplayArrayInTable(Fertiliser_SourceData.Fertiliser_Products_Data2(),FertiliserProducts[[#Headers],[Include or Exclude]], 20)</f>
        <v/>
      </c>
      <c r="V121" s="96" t="str" cm="1">
        <f t="array" aca="1" ref="V121" ca="1">Common_InputFunctions.Utility_DisplayArrayInTable(Fertiliser_SourceData.Fertiliser_Products_Data2(),FertiliserProducts[[#Headers],[Include or Exclude]], 20)</f>
        <v/>
      </c>
      <c r="W121" s="96" t="str" cm="1">
        <f t="array" aca="1" ref="W121" ca="1">Common_InputFunctions.Utility_DisplayArrayInTable(Fertiliser_SourceData.Fertiliser_Products_Data2(),FertiliserProducts[[#Headers],[Include or Exclude]], 20)</f>
        <v/>
      </c>
      <c r="X121" s="96" t="str" cm="1">
        <f t="array" aca="1" ref="X121" ca="1">Common_InputFunctions.Utility_DisplayArrayInTable(Fertiliser_SourceData.Fertiliser_Products_Data2(),FertiliserProducts[[#Headers],[Include or Exclude]], 20)</f>
        <v/>
      </c>
      <c r="Y121" s="96" t="str" cm="1">
        <f t="array" aca="1" ref="Y121" ca="1">Common_InputFunctions.Utility_DisplayArrayInTable(Fertiliser_SourceData.Fertiliser_Products_Data2(),FertiliserProducts[[#Headers],[Include or Exclude]], 20)</f>
        <v/>
      </c>
      <c r="Z121" s="96" t="str" cm="1">
        <f t="array" aca="1" ref="Z121" ca="1">Common_InputFunctions.Utility_DisplayArrayInTable(Fertiliser_SourceData.Fertiliser_Products_Data2(),FertiliserProducts[[#Headers],[Include or Exclude]], 20)</f>
        <v/>
      </c>
      <c r="AA121" s="36" t="str" cm="1">
        <f t="array" aca="1" ref="AA121" ca="1">Common_InputFunctions.Utility_DisplayArrayInTable(Fertiliser_SourceData.Fertiliser_Products_Data2(),FertiliserProducts[[#Headers],[Include or Exclude]], 20)</f>
        <v/>
      </c>
      <c r="AB121" s="36" t="str" cm="1">
        <f t="array" aca="1" ref="AB121" ca="1">Common_InputFunctions.Utility_DisplayArrayInTable(Fertiliser_SourceData.Fertiliser_Products_Data2(),FertiliserProducts[[#Headers],[Include or Exclude]], 20)</f>
        <v/>
      </c>
      <c r="AC121" s="36" t="str" cm="1">
        <f t="array" aca="1" ref="AC121" ca="1">Common_InputFunctions.Utility_DisplayArrayInTable(Fertiliser_SourceData.Fertiliser_Products_Data2(),FertiliserProducts[[#Headers],[Include or Exclude]], 20)</f>
        <v/>
      </c>
      <c r="AD121" s="36" t="str" cm="1">
        <f t="array" aca="1" ref="AD121" ca="1">Common_InputFunctions.Utility_DisplayArrayInTable(Fertiliser_SourceData.Fertiliser_Products_Data2(),FertiliserProducts[[#Headers],[Include or Exclude]], 20)</f>
        <v/>
      </c>
      <c r="AE121" s="36" t="str" cm="1">
        <f t="array" aca="1" ref="AE121" ca="1">Common_InputFunctions.Utility_DisplayArrayInTable(Fertiliser_SourceData.Fertiliser_Products_Data2(),FertiliserProducts[[#Headers],[Include or Exclude]], 20)</f>
        <v/>
      </c>
    </row>
    <row r="122" spans="4:31" ht="20.100000000000001" customHeight="1" x14ac:dyDescent="0.25">
      <c r="D122" s="96" t="str" cm="1">
        <f t="array" aca="1" ref="D122" ca="1">Common_InputFunctions.Utility_DisplayArrayInTable(Fertiliser_SourceData.Fertiliser_Products_Data2(),FertiliserProducts[[#Headers],[Include or Exclude]], 20)</f>
        <v/>
      </c>
      <c r="E122" s="96" t="str" cm="1">
        <f t="array" aca="1" ref="E122" ca="1">Common_InputFunctions.Utility_DisplayArrayInTable(Fertiliser_SourceData.Fertiliser_Products_Data2(),FertiliserProducts[[#Headers],[Include or Exclude]], 20)</f>
        <v/>
      </c>
      <c r="F122" s="96" t="str" cm="1">
        <f t="array" aca="1" ref="F122" ca="1">Common_InputFunctions.Utility_DisplayArrayInTable(Fertiliser_SourceData.Fertiliser_Products_Data2(),FertiliserProducts[[#Headers],[Include or Exclude]], 20)</f>
        <v/>
      </c>
      <c r="G122" s="96" t="str" cm="1">
        <f t="array" aca="1" ref="G122" ca="1">Common_InputFunctions.Utility_DisplayArrayInTable(Fertiliser_SourceData.Fertiliser_Products_Data2(),FertiliserProducts[[#Headers],[Include or Exclude]], 20)</f>
        <v/>
      </c>
      <c r="H122" s="96" t="str" cm="1">
        <f t="array" aca="1" ref="H122" ca="1">Common_InputFunctions.Utility_DisplayArrayInTable(Fertiliser_SourceData.Fertiliser_Products_Data2(),FertiliserProducts[[#Headers],[Include or Exclude]], 20)</f>
        <v/>
      </c>
      <c r="I122" s="96" t="str" cm="1">
        <f t="array" aca="1" ref="I122" ca="1">Common_InputFunctions.Utility_DisplayArrayInTable(Fertiliser_SourceData.Fertiliser_Products_Data2(),FertiliserProducts[[#Headers],[Include or Exclude]], 20)</f>
        <v/>
      </c>
      <c r="J122" s="96" t="str" cm="1">
        <f t="array" aca="1" ref="J122" ca="1">Common_InputFunctions.Utility_DisplayArrayInTable(Fertiliser_SourceData.Fertiliser_Products_Data2(),FertiliserProducts[[#Headers],[Include or Exclude]], 20)</f>
        <v/>
      </c>
      <c r="K122" s="96" t="str" cm="1">
        <f t="array" aca="1" ref="K122" ca="1">Common_InputFunctions.Utility_DisplayArrayInTable(Fertiliser_SourceData.Fertiliser_Products_Data2(),FertiliserProducts[[#Headers],[Include or Exclude]], 20)</f>
        <v/>
      </c>
      <c r="L122" s="96" t="str" cm="1">
        <f t="array" aca="1" ref="L122" ca="1">Common_InputFunctions.Utility_DisplayArrayInTable(Fertiliser_SourceData.Fertiliser_Products_Data2(),FertiliserProducts[[#Headers],[Include or Exclude]], 20)</f>
        <v/>
      </c>
      <c r="M122" s="96" t="str" cm="1">
        <f t="array" aca="1" ref="M122" ca="1">Common_InputFunctions.Utility_DisplayArrayInTable(Fertiliser_SourceData.Fertiliser_Products_Data2(),FertiliserProducts[[#Headers],[Include or Exclude]], 20)</f>
        <v/>
      </c>
      <c r="N122" s="96" t="str" cm="1">
        <f t="array" aca="1" ref="N122" ca="1">Common_InputFunctions.Utility_DisplayArrayInTable(Fertiliser_SourceData.Fertiliser_Products_Data2(),FertiliserProducts[[#Headers],[Include or Exclude]], 20)</f>
        <v/>
      </c>
      <c r="O122" s="96" t="str" cm="1">
        <f t="array" aca="1" ref="O122" ca="1">Common_InputFunctions.Utility_DisplayArrayInTable(Fertiliser_SourceData.Fertiliser_Products_Data2(),FertiliserProducts[[#Headers],[Include or Exclude]], 20)</f>
        <v/>
      </c>
      <c r="P122" s="96" t="str" cm="1">
        <f t="array" aca="1" ref="P122" ca="1">Common_InputFunctions.Utility_DisplayArrayInTable(Fertiliser_SourceData.Fertiliser_Products_Data2(),FertiliserProducts[[#Headers],[Include or Exclude]], 20)</f>
        <v/>
      </c>
      <c r="Q122" s="96" t="str" cm="1">
        <f t="array" aca="1" ref="Q122" ca="1">Common_InputFunctions.Utility_DisplayArrayInTable(Fertiliser_SourceData.Fertiliser_Products_Data2(),FertiliserProducts[[#Headers],[Include or Exclude]], 20)</f>
        <v/>
      </c>
      <c r="R122" s="96" t="str" cm="1">
        <f t="array" aca="1" ref="R122" ca="1">Common_InputFunctions.Utility_DisplayArrayInTable(Fertiliser_SourceData.Fertiliser_Products_Data2(),FertiliserProducts[[#Headers],[Include or Exclude]], 20)</f>
        <v/>
      </c>
      <c r="S122" s="96" t="str" cm="1">
        <f t="array" aca="1" ref="S122" ca="1">Common_InputFunctions.Utility_DisplayArrayInTable(Fertiliser_SourceData.Fertiliser_Products_Data2(),FertiliserProducts[[#Headers],[Include or Exclude]], 20)</f>
        <v/>
      </c>
      <c r="T122" s="96" t="str" cm="1">
        <f t="array" aca="1" ref="T122" ca="1">Common_InputFunctions.Utility_DisplayArrayInTable(Fertiliser_SourceData.Fertiliser_Products_Data2(),FertiliserProducts[[#Headers],[Include or Exclude]], 20)</f>
        <v/>
      </c>
      <c r="U122" s="96" t="str" cm="1">
        <f t="array" aca="1" ref="U122" ca="1">Common_InputFunctions.Utility_DisplayArrayInTable(Fertiliser_SourceData.Fertiliser_Products_Data2(),FertiliserProducts[[#Headers],[Include or Exclude]], 20)</f>
        <v/>
      </c>
      <c r="V122" s="96" t="str" cm="1">
        <f t="array" aca="1" ref="V122" ca="1">Common_InputFunctions.Utility_DisplayArrayInTable(Fertiliser_SourceData.Fertiliser_Products_Data2(),FertiliserProducts[[#Headers],[Include or Exclude]], 20)</f>
        <v/>
      </c>
      <c r="W122" s="96" t="str" cm="1">
        <f t="array" aca="1" ref="W122" ca="1">Common_InputFunctions.Utility_DisplayArrayInTable(Fertiliser_SourceData.Fertiliser_Products_Data2(),FertiliserProducts[[#Headers],[Include or Exclude]], 20)</f>
        <v/>
      </c>
      <c r="X122" s="96" t="str" cm="1">
        <f t="array" aca="1" ref="X122" ca="1">Common_InputFunctions.Utility_DisplayArrayInTable(Fertiliser_SourceData.Fertiliser_Products_Data2(),FertiliserProducts[[#Headers],[Include or Exclude]], 20)</f>
        <v/>
      </c>
      <c r="Y122" s="96" t="str" cm="1">
        <f t="array" aca="1" ref="Y122" ca="1">Common_InputFunctions.Utility_DisplayArrayInTable(Fertiliser_SourceData.Fertiliser_Products_Data2(),FertiliserProducts[[#Headers],[Include or Exclude]], 20)</f>
        <v/>
      </c>
      <c r="Z122" s="96" t="str" cm="1">
        <f t="array" aca="1" ref="Z122" ca="1">Common_InputFunctions.Utility_DisplayArrayInTable(Fertiliser_SourceData.Fertiliser_Products_Data2(),FertiliserProducts[[#Headers],[Include or Exclude]], 20)</f>
        <v/>
      </c>
      <c r="AA122" s="36" t="str" cm="1">
        <f t="array" aca="1" ref="AA122" ca="1">Common_InputFunctions.Utility_DisplayArrayInTable(Fertiliser_SourceData.Fertiliser_Products_Data2(),FertiliserProducts[[#Headers],[Include or Exclude]], 20)</f>
        <v/>
      </c>
      <c r="AB122" s="36" t="str" cm="1">
        <f t="array" aca="1" ref="AB122" ca="1">Common_InputFunctions.Utility_DisplayArrayInTable(Fertiliser_SourceData.Fertiliser_Products_Data2(),FertiliserProducts[[#Headers],[Include or Exclude]], 20)</f>
        <v/>
      </c>
      <c r="AC122" s="36" t="str" cm="1">
        <f t="array" aca="1" ref="AC122" ca="1">Common_InputFunctions.Utility_DisplayArrayInTable(Fertiliser_SourceData.Fertiliser_Products_Data2(),FertiliserProducts[[#Headers],[Include or Exclude]], 20)</f>
        <v/>
      </c>
      <c r="AD122" s="36" t="str" cm="1">
        <f t="array" aca="1" ref="AD122" ca="1">Common_InputFunctions.Utility_DisplayArrayInTable(Fertiliser_SourceData.Fertiliser_Products_Data2(),FertiliserProducts[[#Headers],[Include or Exclude]], 20)</f>
        <v/>
      </c>
      <c r="AE122" s="36" t="str" cm="1">
        <f t="array" aca="1" ref="AE122" ca="1">Common_InputFunctions.Utility_DisplayArrayInTable(Fertiliser_SourceData.Fertiliser_Products_Data2(),FertiliserProducts[[#Headers],[Include or Exclude]], 20)</f>
        <v/>
      </c>
    </row>
    <row r="123" spans="4:31" ht="20.100000000000001" customHeight="1" x14ac:dyDescent="0.25">
      <c r="D123" s="96" t="str" cm="1">
        <f t="array" aca="1" ref="D123" ca="1">Common_InputFunctions.Utility_DisplayArrayInTable(Fertiliser_SourceData.Fertiliser_Products_Data2(),FertiliserProducts[[#Headers],[Include or Exclude]], 20)</f>
        <v/>
      </c>
      <c r="E123" s="96" t="str" cm="1">
        <f t="array" aca="1" ref="E123" ca="1">Common_InputFunctions.Utility_DisplayArrayInTable(Fertiliser_SourceData.Fertiliser_Products_Data2(),FertiliserProducts[[#Headers],[Include or Exclude]], 20)</f>
        <v/>
      </c>
      <c r="F123" s="96" t="str" cm="1">
        <f t="array" aca="1" ref="F123" ca="1">Common_InputFunctions.Utility_DisplayArrayInTable(Fertiliser_SourceData.Fertiliser_Products_Data2(),FertiliserProducts[[#Headers],[Include or Exclude]], 20)</f>
        <v/>
      </c>
      <c r="G123" s="96" t="str" cm="1">
        <f t="array" aca="1" ref="G123" ca="1">Common_InputFunctions.Utility_DisplayArrayInTable(Fertiliser_SourceData.Fertiliser_Products_Data2(),FertiliserProducts[[#Headers],[Include or Exclude]], 20)</f>
        <v/>
      </c>
      <c r="H123" s="96" t="str" cm="1">
        <f t="array" aca="1" ref="H123" ca="1">Common_InputFunctions.Utility_DisplayArrayInTable(Fertiliser_SourceData.Fertiliser_Products_Data2(),FertiliserProducts[[#Headers],[Include or Exclude]], 20)</f>
        <v/>
      </c>
      <c r="I123" s="96" t="str" cm="1">
        <f t="array" aca="1" ref="I123" ca="1">Common_InputFunctions.Utility_DisplayArrayInTable(Fertiliser_SourceData.Fertiliser_Products_Data2(),FertiliserProducts[[#Headers],[Include or Exclude]], 20)</f>
        <v/>
      </c>
      <c r="J123" s="96" t="str" cm="1">
        <f t="array" aca="1" ref="J123" ca="1">Common_InputFunctions.Utility_DisplayArrayInTable(Fertiliser_SourceData.Fertiliser_Products_Data2(),FertiliserProducts[[#Headers],[Include or Exclude]], 20)</f>
        <v/>
      </c>
      <c r="K123" s="96" t="str" cm="1">
        <f t="array" aca="1" ref="K123" ca="1">Common_InputFunctions.Utility_DisplayArrayInTable(Fertiliser_SourceData.Fertiliser_Products_Data2(),FertiliserProducts[[#Headers],[Include or Exclude]], 20)</f>
        <v/>
      </c>
      <c r="L123" s="96" t="str" cm="1">
        <f t="array" aca="1" ref="L123" ca="1">Common_InputFunctions.Utility_DisplayArrayInTable(Fertiliser_SourceData.Fertiliser_Products_Data2(),FertiliserProducts[[#Headers],[Include or Exclude]], 20)</f>
        <v/>
      </c>
      <c r="M123" s="96" t="str" cm="1">
        <f t="array" aca="1" ref="M123" ca="1">Common_InputFunctions.Utility_DisplayArrayInTable(Fertiliser_SourceData.Fertiliser_Products_Data2(),FertiliserProducts[[#Headers],[Include or Exclude]], 20)</f>
        <v/>
      </c>
      <c r="N123" s="96" t="str" cm="1">
        <f t="array" aca="1" ref="N123" ca="1">Common_InputFunctions.Utility_DisplayArrayInTable(Fertiliser_SourceData.Fertiliser_Products_Data2(),FertiliserProducts[[#Headers],[Include or Exclude]], 20)</f>
        <v/>
      </c>
      <c r="O123" s="96" t="str" cm="1">
        <f t="array" aca="1" ref="O123" ca="1">Common_InputFunctions.Utility_DisplayArrayInTable(Fertiliser_SourceData.Fertiliser_Products_Data2(),FertiliserProducts[[#Headers],[Include or Exclude]], 20)</f>
        <v/>
      </c>
      <c r="P123" s="96" t="str" cm="1">
        <f t="array" aca="1" ref="P123" ca="1">Common_InputFunctions.Utility_DisplayArrayInTable(Fertiliser_SourceData.Fertiliser_Products_Data2(),FertiliserProducts[[#Headers],[Include or Exclude]], 20)</f>
        <v/>
      </c>
      <c r="Q123" s="96" t="str" cm="1">
        <f t="array" aca="1" ref="Q123" ca="1">Common_InputFunctions.Utility_DisplayArrayInTable(Fertiliser_SourceData.Fertiliser_Products_Data2(),FertiliserProducts[[#Headers],[Include or Exclude]], 20)</f>
        <v/>
      </c>
      <c r="R123" s="96" t="str" cm="1">
        <f t="array" aca="1" ref="R123" ca="1">Common_InputFunctions.Utility_DisplayArrayInTable(Fertiliser_SourceData.Fertiliser_Products_Data2(),FertiliserProducts[[#Headers],[Include or Exclude]], 20)</f>
        <v/>
      </c>
      <c r="S123" s="96" t="str" cm="1">
        <f t="array" aca="1" ref="S123" ca="1">Common_InputFunctions.Utility_DisplayArrayInTable(Fertiliser_SourceData.Fertiliser_Products_Data2(),FertiliserProducts[[#Headers],[Include or Exclude]], 20)</f>
        <v/>
      </c>
      <c r="T123" s="96" t="str" cm="1">
        <f t="array" aca="1" ref="T123" ca="1">Common_InputFunctions.Utility_DisplayArrayInTable(Fertiliser_SourceData.Fertiliser_Products_Data2(),FertiliserProducts[[#Headers],[Include or Exclude]], 20)</f>
        <v/>
      </c>
      <c r="U123" s="96" t="str" cm="1">
        <f t="array" aca="1" ref="U123" ca="1">Common_InputFunctions.Utility_DisplayArrayInTable(Fertiliser_SourceData.Fertiliser_Products_Data2(),FertiliserProducts[[#Headers],[Include or Exclude]], 20)</f>
        <v/>
      </c>
      <c r="V123" s="96" t="str" cm="1">
        <f t="array" aca="1" ref="V123" ca="1">Common_InputFunctions.Utility_DisplayArrayInTable(Fertiliser_SourceData.Fertiliser_Products_Data2(),FertiliserProducts[[#Headers],[Include or Exclude]], 20)</f>
        <v/>
      </c>
      <c r="W123" s="96" t="str" cm="1">
        <f t="array" aca="1" ref="W123" ca="1">Common_InputFunctions.Utility_DisplayArrayInTable(Fertiliser_SourceData.Fertiliser_Products_Data2(),FertiliserProducts[[#Headers],[Include or Exclude]], 20)</f>
        <v/>
      </c>
      <c r="X123" s="96" t="str" cm="1">
        <f t="array" aca="1" ref="X123" ca="1">Common_InputFunctions.Utility_DisplayArrayInTable(Fertiliser_SourceData.Fertiliser_Products_Data2(),FertiliserProducts[[#Headers],[Include or Exclude]], 20)</f>
        <v/>
      </c>
      <c r="Y123" s="96" t="str" cm="1">
        <f t="array" aca="1" ref="Y123" ca="1">Common_InputFunctions.Utility_DisplayArrayInTable(Fertiliser_SourceData.Fertiliser_Products_Data2(),FertiliserProducts[[#Headers],[Include or Exclude]], 20)</f>
        <v/>
      </c>
      <c r="Z123" s="96" t="str" cm="1">
        <f t="array" aca="1" ref="Z123" ca="1">Common_InputFunctions.Utility_DisplayArrayInTable(Fertiliser_SourceData.Fertiliser_Products_Data2(),FertiliserProducts[[#Headers],[Include or Exclude]], 20)</f>
        <v/>
      </c>
      <c r="AA123" s="36" t="str" cm="1">
        <f t="array" aca="1" ref="AA123" ca="1">Common_InputFunctions.Utility_DisplayArrayInTable(Fertiliser_SourceData.Fertiliser_Products_Data2(),FertiliserProducts[[#Headers],[Include or Exclude]], 20)</f>
        <v/>
      </c>
      <c r="AB123" s="36" t="str" cm="1">
        <f t="array" aca="1" ref="AB123" ca="1">Common_InputFunctions.Utility_DisplayArrayInTable(Fertiliser_SourceData.Fertiliser_Products_Data2(),FertiliserProducts[[#Headers],[Include or Exclude]], 20)</f>
        <v/>
      </c>
      <c r="AC123" s="36" t="str" cm="1">
        <f t="array" aca="1" ref="AC123" ca="1">Common_InputFunctions.Utility_DisplayArrayInTable(Fertiliser_SourceData.Fertiliser_Products_Data2(),FertiliserProducts[[#Headers],[Include or Exclude]], 20)</f>
        <v/>
      </c>
      <c r="AD123" s="36" t="str" cm="1">
        <f t="array" aca="1" ref="AD123" ca="1">Common_InputFunctions.Utility_DisplayArrayInTable(Fertiliser_SourceData.Fertiliser_Products_Data2(),FertiliserProducts[[#Headers],[Include or Exclude]], 20)</f>
        <v/>
      </c>
      <c r="AE123" s="36" t="str" cm="1">
        <f t="array" aca="1" ref="AE123" ca="1">Common_InputFunctions.Utility_DisplayArrayInTable(Fertiliser_SourceData.Fertiliser_Products_Data2(),FertiliserProducts[[#Headers],[Include or Exclude]], 20)</f>
        <v/>
      </c>
    </row>
    <row r="124" spans="4:31" ht="20.100000000000001" customHeight="1" x14ac:dyDescent="0.25">
      <c r="D124" s="96" t="str" cm="1">
        <f t="array" aca="1" ref="D124" ca="1">Common_InputFunctions.Utility_DisplayArrayInTable(Fertiliser_SourceData.Fertiliser_Products_Data2(),FertiliserProducts[[#Headers],[Include or Exclude]], 20)</f>
        <v/>
      </c>
      <c r="E124" s="96" t="str" cm="1">
        <f t="array" aca="1" ref="E124" ca="1">Common_InputFunctions.Utility_DisplayArrayInTable(Fertiliser_SourceData.Fertiliser_Products_Data2(),FertiliserProducts[[#Headers],[Include or Exclude]], 20)</f>
        <v/>
      </c>
      <c r="F124" s="96" t="str" cm="1">
        <f t="array" aca="1" ref="F124" ca="1">Common_InputFunctions.Utility_DisplayArrayInTable(Fertiliser_SourceData.Fertiliser_Products_Data2(),FertiliserProducts[[#Headers],[Include or Exclude]], 20)</f>
        <v/>
      </c>
      <c r="G124" s="96" t="str" cm="1">
        <f t="array" aca="1" ref="G124" ca="1">Common_InputFunctions.Utility_DisplayArrayInTable(Fertiliser_SourceData.Fertiliser_Products_Data2(),FertiliserProducts[[#Headers],[Include or Exclude]], 20)</f>
        <v/>
      </c>
      <c r="H124" s="96" t="str" cm="1">
        <f t="array" aca="1" ref="H124" ca="1">Common_InputFunctions.Utility_DisplayArrayInTable(Fertiliser_SourceData.Fertiliser_Products_Data2(),FertiliserProducts[[#Headers],[Include or Exclude]], 20)</f>
        <v/>
      </c>
      <c r="I124" s="96" t="str" cm="1">
        <f t="array" aca="1" ref="I124" ca="1">Common_InputFunctions.Utility_DisplayArrayInTable(Fertiliser_SourceData.Fertiliser_Products_Data2(),FertiliserProducts[[#Headers],[Include or Exclude]], 20)</f>
        <v/>
      </c>
      <c r="J124" s="96" t="str" cm="1">
        <f t="array" aca="1" ref="J124" ca="1">Common_InputFunctions.Utility_DisplayArrayInTable(Fertiliser_SourceData.Fertiliser_Products_Data2(),FertiliserProducts[[#Headers],[Include or Exclude]], 20)</f>
        <v/>
      </c>
      <c r="K124" s="96" t="str" cm="1">
        <f t="array" aca="1" ref="K124" ca="1">Common_InputFunctions.Utility_DisplayArrayInTable(Fertiliser_SourceData.Fertiliser_Products_Data2(),FertiliserProducts[[#Headers],[Include or Exclude]], 20)</f>
        <v/>
      </c>
      <c r="L124" s="96" t="str" cm="1">
        <f t="array" aca="1" ref="L124" ca="1">Common_InputFunctions.Utility_DisplayArrayInTable(Fertiliser_SourceData.Fertiliser_Products_Data2(),FertiliserProducts[[#Headers],[Include or Exclude]], 20)</f>
        <v/>
      </c>
      <c r="M124" s="96" t="str" cm="1">
        <f t="array" aca="1" ref="M124" ca="1">Common_InputFunctions.Utility_DisplayArrayInTable(Fertiliser_SourceData.Fertiliser_Products_Data2(),FertiliserProducts[[#Headers],[Include or Exclude]], 20)</f>
        <v/>
      </c>
      <c r="N124" s="96" t="str" cm="1">
        <f t="array" aca="1" ref="N124" ca="1">Common_InputFunctions.Utility_DisplayArrayInTable(Fertiliser_SourceData.Fertiliser_Products_Data2(),FertiliserProducts[[#Headers],[Include or Exclude]], 20)</f>
        <v/>
      </c>
      <c r="O124" s="96" t="str" cm="1">
        <f t="array" aca="1" ref="O124" ca="1">Common_InputFunctions.Utility_DisplayArrayInTable(Fertiliser_SourceData.Fertiliser_Products_Data2(),FertiliserProducts[[#Headers],[Include or Exclude]], 20)</f>
        <v/>
      </c>
      <c r="P124" s="96" t="str" cm="1">
        <f t="array" aca="1" ref="P124" ca="1">Common_InputFunctions.Utility_DisplayArrayInTable(Fertiliser_SourceData.Fertiliser_Products_Data2(),FertiliserProducts[[#Headers],[Include or Exclude]], 20)</f>
        <v/>
      </c>
      <c r="Q124" s="96" t="str" cm="1">
        <f t="array" aca="1" ref="Q124" ca="1">Common_InputFunctions.Utility_DisplayArrayInTable(Fertiliser_SourceData.Fertiliser_Products_Data2(),FertiliserProducts[[#Headers],[Include or Exclude]], 20)</f>
        <v/>
      </c>
      <c r="R124" s="96" t="str" cm="1">
        <f t="array" aca="1" ref="R124" ca="1">Common_InputFunctions.Utility_DisplayArrayInTable(Fertiliser_SourceData.Fertiliser_Products_Data2(),FertiliserProducts[[#Headers],[Include or Exclude]], 20)</f>
        <v/>
      </c>
      <c r="S124" s="96" t="str" cm="1">
        <f t="array" aca="1" ref="S124" ca="1">Common_InputFunctions.Utility_DisplayArrayInTable(Fertiliser_SourceData.Fertiliser_Products_Data2(),FertiliserProducts[[#Headers],[Include or Exclude]], 20)</f>
        <v/>
      </c>
      <c r="T124" s="96" t="str" cm="1">
        <f t="array" aca="1" ref="T124" ca="1">Common_InputFunctions.Utility_DisplayArrayInTable(Fertiliser_SourceData.Fertiliser_Products_Data2(),FertiliserProducts[[#Headers],[Include or Exclude]], 20)</f>
        <v/>
      </c>
      <c r="U124" s="96" t="str" cm="1">
        <f t="array" aca="1" ref="U124" ca="1">Common_InputFunctions.Utility_DisplayArrayInTable(Fertiliser_SourceData.Fertiliser_Products_Data2(),FertiliserProducts[[#Headers],[Include or Exclude]], 20)</f>
        <v/>
      </c>
      <c r="V124" s="96" t="str" cm="1">
        <f t="array" aca="1" ref="V124" ca="1">Common_InputFunctions.Utility_DisplayArrayInTable(Fertiliser_SourceData.Fertiliser_Products_Data2(),FertiliserProducts[[#Headers],[Include or Exclude]], 20)</f>
        <v/>
      </c>
      <c r="W124" s="96" t="str" cm="1">
        <f t="array" aca="1" ref="W124" ca="1">Common_InputFunctions.Utility_DisplayArrayInTable(Fertiliser_SourceData.Fertiliser_Products_Data2(),FertiliserProducts[[#Headers],[Include or Exclude]], 20)</f>
        <v/>
      </c>
      <c r="X124" s="96" t="str" cm="1">
        <f t="array" aca="1" ref="X124" ca="1">Common_InputFunctions.Utility_DisplayArrayInTable(Fertiliser_SourceData.Fertiliser_Products_Data2(),FertiliserProducts[[#Headers],[Include or Exclude]], 20)</f>
        <v/>
      </c>
      <c r="Y124" s="96" t="str" cm="1">
        <f t="array" aca="1" ref="Y124" ca="1">Common_InputFunctions.Utility_DisplayArrayInTable(Fertiliser_SourceData.Fertiliser_Products_Data2(),FertiliserProducts[[#Headers],[Include or Exclude]], 20)</f>
        <v/>
      </c>
      <c r="Z124" s="96" t="str" cm="1">
        <f t="array" aca="1" ref="Z124" ca="1">Common_InputFunctions.Utility_DisplayArrayInTable(Fertiliser_SourceData.Fertiliser_Products_Data2(),FertiliserProducts[[#Headers],[Include or Exclude]], 20)</f>
        <v/>
      </c>
      <c r="AA124" s="36" t="str" cm="1">
        <f t="array" aca="1" ref="AA124" ca="1">Common_InputFunctions.Utility_DisplayArrayInTable(Fertiliser_SourceData.Fertiliser_Products_Data2(),FertiliserProducts[[#Headers],[Include or Exclude]], 20)</f>
        <v/>
      </c>
      <c r="AB124" s="36" t="str" cm="1">
        <f t="array" aca="1" ref="AB124" ca="1">Common_InputFunctions.Utility_DisplayArrayInTable(Fertiliser_SourceData.Fertiliser_Products_Data2(),FertiliserProducts[[#Headers],[Include or Exclude]], 20)</f>
        <v/>
      </c>
      <c r="AC124" s="36" t="str" cm="1">
        <f t="array" aca="1" ref="AC124" ca="1">Common_InputFunctions.Utility_DisplayArrayInTable(Fertiliser_SourceData.Fertiliser_Products_Data2(),FertiliserProducts[[#Headers],[Include or Exclude]], 20)</f>
        <v/>
      </c>
      <c r="AD124" s="36" t="str" cm="1">
        <f t="array" aca="1" ref="AD124" ca="1">Common_InputFunctions.Utility_DisplayArrayInTable(Fertiliser_SourceData.Fertiliser_Products_Data2(),FertiliserProducts[[#Headers],[Include or Exclude]], 20)</f>
        <v/>
      </c>
      <c r="AE124" s="36" t="str" cm="1">
        <f t="array" aca="1" ref="AE124" ca="1">Common_InputFunctions.Utility_DisplayArrayInTable(Fertiliser_SourceData.Fertiliser_Products_Data2(),FertiliserProducts[[#Headers],[Include or Exclude]], 20)</f>
        <v/>
      </c>
    </row>
    <row r="125" spans="4:31" ht="20.100000000000001" customHeight="1" x14ac:dyDescent="0.25">
      <c r="D125" s="96" t="str" cm="1">
        <f t="array" aca="1" ref="D125" ca="1">Common_InputFunctions.Utility_DisplayArrayInTable(Fertiliser_SourceData.Fertiliser_Products_Data2(),FertiliserProducts[[#Headers],[Include or Exclude]], 20)</f>
        <v/>
      </c>
      <c r="E125" s="96" t="str" cm="1">
        <f t="array" aca="1" ref="E125" ca="1">Common_InputFunctions.Utility_DisplayArrayInTable(Fertiliser_SourceData.Fertiliser_Products_Data2(),FertiliserProducts[[#Headers],[Include or Exclude]], 20)</f>
        <v/>
      </c>
      <c r="F125" s="96" t="str" cm="1">
        <f t="array" aca="1" ref="F125" ca="1">Common_InputFunctions.Utility_DisplayArrayInTable(Fertiliser_SourceData.Fertiliser_Products_Data2(),FertiliserProducts[[#Headers],[Include or Exclude]], 20)</f>
        <v/>
      </c>
      <c r="G125" s="96" t="str" cm="1">
        <f t="array" aca="1" ref="G125" ca="1">Common_InputFunctions.Utility_DisplayArrayInTable(Fertiliser_SourceData.Fertiliser_Products_Data2(),FertiliserProducts[[#Headers],[Include or Exclude]], 20)</f>
        <v/>
      </c>
      <c r="H125" s="96" t="str" cm="1">
        <f t="array" aca="1" ref="H125" ca="1">Common_InputFunctions.Utility_DisplayArrayInTable(Fertiliser_SourceData.Fertiliser_Products_Data2(),FertiliserProducts[[#Headers],[Include or Exclude]], 20)</f>
        <v/>
      </c>
      <c r="I125" s="96" t="str" cm="1">
        <f t="array" aca="1" ref="I125" ca="1">Common_InputFunctions.Utility_DisplayArrayInTable(Fertiliser_SourceData.Fertiliser_Products_Data2(),FertiliserProducts[[#Headers],[Include or Exclude]], 20)</f>
        <v/>
      </c>
      <c r="J125" s="96" t="str" cm="1">
        <f t="array" aca="1" ref="J125" ca="1">Common_InputFunctions.Utility_DisplayArrayInTable(Fertiliser_SourceData.Fertiliser_Products_Data2(),FertiliserProducts[[#Headers],[Include or Exclude]], 20)</f>
        <v/>
      </c>
      <c r="K125" s="96" t="str" cm="1">
        <f t="array" aca="1" ref="K125" ca="1">Common_InputFunctions.Utility_DisplayArrayInTable(Fertiliser_SourceData.Fertiliser_Products_Data2(),FertiliserProducts[[#Headers],[Include or Exclude]], 20)</f>
        <v/>
      </c>
      <c r="L125" s="96" t="str" cm="1">
        <f t="array" aca="1" ref="L125" ca="1">Common_InputFunctions.Utility_DisplayArrayInTable(Fertiliser_SourceData.Fertiliser_Products_Data2(),FertiliserProducts[[#Headers],[Include or Exclude]], 20)</f>
        <v/>
      </c>
      <c r="M125" s="96" t="str" cm="1">
        <f t="array" aca="1" ref="M125" ca="1">Common_InputFunctions.Utility_DisplayArrayInTable(Fertiliser_SourceData.Fertiliser_Products_Data2(),FertiliserProducts[[#Headers],[Include or Exclude]], 20)</f>
        <v/>
      </c>
      <c r="N125" s="96" t="str" cm="1">
        <f t="array" aca="1" ref="N125" ca="1">Common_InputFunctions.Utility_DisplayArrayInTable(Fertiliser_SourceData.Fertiliser_Products_Data2(),FertiliserProducts[[#Headers],[Include or Exclude]], 20)</f>
        <v/>
      </c>
      <c r="O125" s="96" t="str" cm="1">
        <f t="array" aca="1" ref="O125" ca="1">Common_InputFunctions.Utility_DisplayArrayInTable(Fertiliser_SourceData.Fertiliser_Products_Data2(),FertiliserProducts[[#Headers],[Include or Exclude]], 20)</f>
        <v/>
      </c>
      <c r="P125" s="96" t="str" cm="1">
        <f t="array" aca="1" ref="P125" ca="1">Common_InputFunctions.Utility_DisplayArrayInTable(Fertiliser_SourceData.Fertiliser_Products_Data2(),FertiliserProducts[[#Headers],[Include or Exclude]], 20)</f>
        <v/>
      </c>
      <c r="Q125" s="96" t="str" cm="1">
        <f t="array" aca="1" ref="Q125" ca="1">Common_InputFunctions.Utility_DisplayArrayInTable(Fertiliser_SourceData.Fertiliser_Products_Data2(),FertiliserProducts[[#Headers],[Include or Exclude]], 20)</f>
        <v/>
      </c>
      <c r="R125" s="96" t="str" cm="1">
        <f t="array" aca="1" ref="R125" ca="1">Common_InputFunctions.Utility_DisplayArrayInTable(Fertiliser_SourceData.Fertiliser_Products_Data2(),FertiliserProducts[[#Headers],[Include or Exclude]], 20)</f>
        <v/>
      </c>
      <c r="S125" s="96" t="str" cm="1">
        <f t="array" aca="1" ref="S125" ca="1">Common_InputFunctions.Utility_DisplayArrayInTable(Fertiliser_SourceData.Fertiliser_Products_Data2(),FertiliserProducts[[#Headers],[Include or Exclude]], 20)</f>
        <v/>
      </c>
      <c r="T125" s="96" t="str" cm="1">
        <f t="array" aca="1" ref="T125" ca="1">Common_InputFunctions.Utility_DisplayArrayInTable(Fertiliser_SourceData.Fertiliser_Products_Data2(),FertiliserProducts[[#Headers],[Include or Exclude]], 20)</f>
        <v/>
      </c>
      <c r="U125" s="96" t="str" cm="1">
        <f t="array" aca="1" ref="U125" ca="1">Common_InputFunctions.Utility_DisplayArrayInTable(Fertiliser_SourceData.Fertiliser_Products_Data2(),FertiliserProducts[[#Headers],[Include or Exclude]], 20)</f>
        <v/>
      </c>
      <c r="V125" s="96" t="str" cm="1">
        <f t="array" aca="1" ref="V125" ca="1">Common_InputFunctions.Utility_DisplayArrayInTable(Fertiliser_SourceData.Fertiliser_Products_Data2(),FertiliserProducts[[#Headers],[Include or Exclude]], 20)</f>
        <v/>
      </c>
      <c r="W125" s="96" t="str" cm="1">
        <f t="array" aca="1" ref="W125" ca="1">Common_InputFunctions.Utility_DisplayArrayInTable(Fertiliser_SourceData.Fertiliser_Products_Data2(),FertiliserProducts[[#Headers],[Include or Exclude]], 20)</f>
        <v/>
      </c>
      <c r="X125" s="96" t="str" cm="1">
        <f t="array" aca="1" ref="X125" ca="1">Common_InputFunctions.Utility_DisplayArrayInTable(Fertiliser_SourceData.Fertiliser_Products_Data2(),FertiliserProducts[[#Headers],[Include or Exclude]], 20)</f>
        <v/>
      </c>
      <c r="Y125" s="96" t="str" cm="1">
        <f t="array" aca="1" ref="Y125" ca="1">Common_InputFunctions.Utility_DisplayArrayInTable(Fertiliser_SourceData.Fertiliser_Products_Data2(),FertiliserProducts[[#Headers],[Include or Exclude]], 20)</f>
        <v/>
      </c>
      <c r="Z125" s="96" t="str" cm="1">
        <f t="array" aca="1" ref="Z125" ca="1">Common_InputFunctions.Utility_DisplayArrayInTable(Fertiliser_SourceData.Fertiliser_Products_Data2(),FertiliserProducts[[#Headers],[Include or Exclude]], 20)</f>
        <v/>
      </c>
      <c r="AA125" s="36" t="str" cm="1">
        <f t="array" aca="1" ref="AA125" ca="1">Common_InputFunctions.Utility_DisplayArrayInTable(Fertiliser_SourceData.Fertiliser_Products_Data2(),FertiliserProducts[[#Headers],[Include or Exclude]], 20)</f>
        <v/>
      </c>
      <c r="AB125" s="36" t="str" cm="1">
        <f t="array" aca="1" ref="AB125" ca="1">Common_InputFunctions.Utility_DisplayArrayInTable(Fertiliser_SourceData.Fertiliser_Products_Data2(),FertiliserProducts[[#Headers],[Include or Exclude]], 20)</f>
        <v/>
      </c>
      <c r="AC125" s="36" t="str" cm="1">
        <f t="array" aca="1" ref="AC125" ca="1">Common_InputFunctions.Utility_DisplayArrayInTable(Fertiliser_SourceData.Fertiliser_Products_Data2(),FertiliserProducts[[#Headers],[Include or Exclude]], 20)</f>
        <v/>
      </c>
      <c r="AD125" s="36" t="str" cm="1">
        <f t="array" aca="1" ref="AD125" ca="1">Common_InputFunctions.Utility_DisplayArrayInTable(Fertiliser_SourceData.Fertiliser_Products_Data2(),FertiliserProducts[[#Headers],[Include or Exclude]], 20)</f>
        <v/>
      </c>
      <c r="AE125" s="36" t="str" cm="1">
        <f t="array" aca="1" ref="AE125" ca="1">Common_InputFunctions.Utility_DisplayArrayInTable(Fertiliser_SourceData.Fertiliser_Products_Data2(),FertiliserProducts[[#Headers],[Include or Exclude]], 20)</f>
        <v/>
      </c>
    </row>
    <row r="126" spans="4:31" ht="20.100000000000001" customHeight="1" x14ac:dyDescent="0.25">
      <c r="D126" s="96" t="str" cm="1">
        <f t="array" aca="1" ref="D126" ca="1">Common_InputFunctions.Utility_DisplayArrayInTable(Fertiliser_SourceData.Fertiliser_Products_Data2(),FertiliserProducts[[#Headers],[Include or Exclude]], 20)</f>
        <v/>
      </c>
      <c r="E126" s="96" t="str" cm="1">
        <f t="array" aca="1" ref="E126" ca="1">Common_InputFunctions.Utility_DisplayArrayInTable(Fertiliser_SourceData.Fertiliser_Products_Data2(),FertiliserProducts[[#Headers],[Include or Exclude]], 20)</f>
        <v/>
      </c>
      <c r="F126" s="96" t="str" cm="1">
        <f t="array" aca="1" ref="F126" ca="1">Common_InputFunctions.Utility_DisplayArrayInTable(Fertiliser_SourceData.Fertiliser_Products_Data2(),FertiliserProducts[[#Headers],[Include or Exclude]], 20)</f>
        <v/>
      </c>
      <c r="G126" s="96" t="str" cm="1">
        <f t="array" aca="1" ref="G126" ca="1">Common_InputFunctions.Utility_DisplayArrayInTable(Fertiliser_SourceData.Fertiliser_Products_Data2(),FertiliserProducts[[#Headers],[Include or Exclude]], 20)</f>
        <v/>
      </c>
      <c r="H126" s="96" t="str" cm="1">
        <f t="array" aca="1" ref="H126" ca="1">Common_InputFunctions.Utility_DisplayArrayInTable(Fertiliser_SourceData.Fertiliser_Products_Data2(),FertiliserProducts[[#Headers],[Include or Exclude]], 20)</f>
        <v/>
      </c>
      <c r="I126" s="96" t="str" cm="1">
        <f t="array" aca="1" ref="I126" ca="1">Common_InputFunctions.Utility_DisplayArrayInTable(Fertiliser_SourceData.Fertiliser_Products_Data2(),FertiliserProducts[[#Headers],[Include or Exclude]], 20)</f>
        <v/>
      </c>
      <c r="J126" s="96" t="str" cm="1">
        <f t="array" aca="1" ref="J126" ca="1">Common_InputFunctions.Utility_DisplayArrayInTable(Fertiliser_SourceData.Fertiliser_Products_Data2(),FertiliserProducts[[#Headers],[Include or Exclude]], 20)</f>
        <v/>
      </c>
      <c r="K126" s="96" t="str" cm="1">
        <f t="array" aca="1" ref="K126" ca="1">Common_InputFunctions.Utility_DisplayArrayInTable(Fertiliser_SourceData.Fertiliser_Products_Data2(),FertiliserProducts[[#Headers],[Include or Exclude]], 20)</f>
        <v/>
      </c>
      <c r="L126" s="96" t="str" cm="1">
        <f t="array" aca="1" ref="L126" ca="1">Common_InputFunctions.Utility_DisplayArrayInTable(Fertiliser_SourceData.Fertiliser_Products_Data2(),FertiliserProducts[[#Headers],[Include or Exclude]], 20)</f>
        <v/>
      </c>
      <c r="M126" s="96" t="str" cm="1">
        <f t="array" aca="1" ref="M126" ca="1">Common_InputFunctions.Utility_DisplayArrayInTable(Fertiliser_SourceData.Fertiliser_Products_Data2(),FertiliserProducts[[#Headers],[Include or Exclude]], 20)</f>
        <v/>
      </c>
      <c r="N126" s="96" t="str" cm="1">
        <f t="array" aca="1" ref="N126" ca="1">Common_InputFunctions.Utility_DisplayArrayInTable(Fertiliser_SourceData.Fertiliser_Products_Data2(),FertiliserProducts[[#Headers],[Include or Exclude]], 20)</f>
        <v/>
      </c>
      <c r="O126" s="96" t="str" cm="1">
        <f t="array" aca="1" ref="O126" ca="1">Common_InputFunctions.Utility_DisplayArrayInTable(Fertiliser_SourceData.Fertiliser_Products_Data2(),FertiliserProducts[[#Headers],[Include or Exclude]], 20)</f>
        <v/>
      </c>
      <c r="P126" s="96" t="str" cm="1">
        <f t="array" aca="1" ref="P126" ca="1">Common_InputFunctions.Utility_DisplayArrayInTable(Fertiliser_SourceData.Fertiliser_Products_Data2(),FertiliserProducts[[#Headers],[Include or Exclude]], 20)</f>
        <v/>
      </c>
      <c r="Q126" s="96" t="str" cm="1">
        <f t="array" aca="1" ref="Q126" ca="1">Common_InputFunctions.Utility_DisplayArrayInTable(Fertiliser_SourceData.Fertiliser_Products_Data2(),FertiliserProducts[[#Headers],[Include or Exclude]], 20)</f>
        <v/>
      </c>
      <c r="R126" s="96" t="str" cm="1">
        <f t="array" aca="1" ref="R126" ca="1">Common_InputFunctions.Utility_DisplayArrayInTable(Fertiliser_SourceData.Fertiliser_Products_Data2(),FertiliserProducts[[#Headers],[Include or Exclude]], 20)</f>
        <v/>
      </c>
      <c r="S126" s="96" t="str" cm="1">
        <f t="array" aca="1" ref="S126" ca="1">Common_InputFunctions.Utility_DisplayArrayInTable(Fertiliser_SourceData.Fertiliser_Products_Data2(),FertiliserProducts[[#Headers],[Include or Exclude]], 20)</f>
        <v/>
      </c>
      <c r="T126" s="96" t="str" cm="1">
        <f t="array" aca="1" ref="T126" ca="1">Common_InputFunctions.Utility_DisplayArrayInTable(Fertiliser_SourceData.Fertiliser_Products_Data2(),FertiliserProducts[[#Headers],[Include or Exclude]], 20)</f>
        <v/>
      </c>
      <c r="U126" s="96" t="str" cm="1">
        <f t="array" aca="1" ref="U126" ca="1">Common_InputFunctions.Utility_DisplayArrayInTable(Fertiliser_SourceData.Fertiliser_Products_Data2(),FertiliserProducts[[#Headers],[Include or Exclude]], 20)</f>
        <v/>
      </c>
      <c r="V126" s="96" t="str" cm="1">
        <f t="array" aca="1" ref="V126" ca="1">Common_InputFunctions.Utility_DisplayArrayInTable(Fertiliser_SourceData.Fertiliser_Products_Data2(),FertiliserProducts[[#Headers],[Include or Exclude]], 20)</f>
        <v/>
      </c>
      <c r="W126" s="96" t="str" cm="1">
        <f t="array" aca="1" ref="W126" ca="1">Common_InputFunctions.Utility_DisplayArrayInTable(Fertiliser_SourceData.Fertiliser_Products_Data2(),FertiliserProducts[[#Headers],[Include or Exclude]], 20)</f>
        <v/>
      </c>
      <c r="X126" s="96" t="str" cm="1">
        <f t="array" aca="1" ref="X126" ca="1">Common_InputFunctions.Utility_DisplayArrayInTable(Fertiliser_SourceData.Fertiliser_Products_Data2(),FertiliserProducts[[#Headers],[Include or Exclude]], 20)</f>
        <v/>
      </c>
      <c r="Y126" s="96" t="str" cm="1">
        <f t="array" aca="1" ref="Y126" ca="1">Common_InputFunctions.Utility_DisplayArrayInTable(Fertiliser_SourceData.Fertiliser_Products_Data2(),FertiliserProducts[[#Headers],[Include or Exclude]], 20)</f>
        <v/>
      </c>
      <c r="Z126" s="96" t="str" cm="1">
        <f t="array" aca="1" ref="Z126" ca="1">Common_InputFunctions.Utility_DisplayArrayInTable(Fertiliser_SourceData.Fertiliser_Products_Data2(),FertiliserProducts[[#Headers],[Include or Exclude]], 20)</f>
        <v/>
      </c>
      <c r="AA126" s="36" t="str" cm="1">
        <f t="array" aca="1" ref="AA126" ca="1">Common_InputFunctions.Utility_DisplayArrayInTable(Fertiliser_SourceData.Fertiliser_Products_Data2(),FertiliserProducts[[#Headers],[Include or Exclude]], 20)</f>
        <v/>
      </c>
      <c r="AB126" s="36" t="str" cm="1">
        <f t="array" aca="1" ref="AB126" ca="1">Common_InputFunctions.Utility_DisplayArrayInTable(Fertiliser_SourceData.Fertiliser_Products_Data2(),FertiliserProducts[[#Headers],[Include or Exclude]], 20)</f>
        <v/>
      </c>
      <c r="AC126" s="36" t="str" cm="1">
        <f t="array" aca="1" ref="AC126" ca="1">Common_InputFunctions.Utility_DisplayArrayInTable(Fertiliser_SourceData.Fertiliser_Products_Data2(),FertiliserProducts[[#Headers],[Include or Exclude]], 20)</f>
        <v/>
      </c>
      <c r="AD126" s="36" t="str" cm="1">
        <f t="array" aca="1" ref="AD126" ca="1">Common_InputFunctions.Utility_DisplayArrayInTable(Fertiliser_SourceData.Fertiliser_Products_Data2(),FertiliserProducts[[#Headers],[Include or Exclude]], 20)</f>
        <v/>
      </c>
      <c r="AE126" s="36" t="str" cm="1">
        <f t="array" aca="1" ref="AE126" ca="1">Common_InputFunctions.Utility_DisplayArrayInTable(Fertiliser_SourceData.Fertiliser_Products_Data2(),FertiliserProducts[[#Headers],[Include or Exclude]], 20)</f>
        <v/>
      </c>
    </row>
    <row r="127" spans="4:31" ht="20.100000000000001" customHeight="1" x14ac:dyDescent="0.25">
      <c r="D127" s="96" t="str" cm="1">
        <f t="array" aca="1" ref="D127" ca="1">Common_InputFunctions.Utility_DisplayArrayInTable(Fertiliser_SourceData.Fertiliser_Products_Data2(),FertiliserProducts[[#Headers],[Include or Exclude]], 20)</f>
        <v/>
      </c>
      <c r="E127" s="96" t="str" cm="1">
        <f t="array" aca="1" ref="E127" ca="1">Common_InputFunctions.Utility_DisplayArrayInTable(Fertiliser_SourceData.Fertiliser_Products_Data2(),FertiliserProducts[[#Headers],[Include or Exclude]], 20)</f>
        <v/>
      </c>
      <c r="F127" s="96" t="str" cm="1">
        <f t="array" aca="1" ref="F127" ca="1">Common_InputFunctions.Utility_DisplayArrayInTable(Fertiliser_SourceData.Fertiliser_Products_Data2(),FertiliserProducts[[#Headers],[Include or Exclude]], 20)</f>
        <v/>
      </c>
      <c r="G127" s="96" t="str" cm="1">
        <f t="array" aca="1" ref="G127" ca="1">Common_InputFunctions.Utility_DisplayArrayInTable(Fertiliser_SourceData.Fertiliser_Products_Data2(),FertiliserProducts[[#Headers],[Include or Exclude]], 20)</f>
        <v/>
      </c>
      <c r="H127" s="96" t="str" cm="1">
        <f t="array" aca="1" ref="H127" ca="1">Common_InputFunctions.Utility_DisplayArrayInTable(Fertiliser_SourceData.Fertiliser_Products_Data2(),FertiliserProducts[[#Headers],[Include or Exclude]], 20)</f>
        <v/>
      </c>
      <c r="I127" s="96" t="str" cm="1">
        <f t="array" aca="1" ref="I127" ca="1">Common_InputFunctions.Utility_DisplayArrayInTable(Fertiliser_SourceData.Fertiliser_Products_Data2(),FertiliserProducts[[#Headers],[Include or Exclude]], 20)</f>
        <v/>
      </c>
      <c r="J127" s="96" t="str" cm="1">
        <f t="array" aca="1" ref="J127" ca="1">Common_InputFunctions.Utility_DisplayArrayInTable(Fertiliser_SourceData.Fertiliser_Products_Data2(),FertiliserProducts[[#Headers],[Include or Exclude]], 20)</f>
        <v/>
      </c>
      <c r="K127" s="96" t="str" cm="1">
        <f t="array" aca="1" ref="K127" ca="1">Common_InputFunctions.Utility_DisplayArrayInTable(Fertiliser_SourceData.Fertiliser_Products_Data2(),FertiliserProducts[[#Headers],[Include or Exclude]], 20)</f>
        <v/>
      </c>
      <c r="L127" s="96" t="str" cm="1">
        <f t="array" aca="1" ref="L127" ca="1">Common_InputFunctions.Utility_DisplayArrayInTable(Fertiliser_SourceData.Fertiliser_Products_Data2(),FertiliserProducts[[#Headers],[Include or Exclude]], 20)</f>
        <v/>
      </c>
      <c r="M127" s="96" t="str" cm="1">
        <f t="array" aca="1" ref="M127" ca="1">Common_InputFunctions.Utility_DisplayArrayInTable(Fertiliser_SourceData.Fertiliser_Products_Data2(),FertiliserProducts[[#Headers],[Include or Exclude]], 20)</f>
        <v/>
      </c>
      <c r="N127" s="96" t="str" cm="1">
        <f t="array" aca="1" ref="N127" ca="1">Common_InputFunctions.Utility_DisplayArrayInTable(Fertiliser_SourceData.Fertiliser_Products_Data2(),FertiliserProducts[[#Headers],[Include or Exclude]], 20)</f>
        <v/>
      </c>
      <c r="O127" s="96" t="str" cm="1">
        <f t="array" aca="1" ref="O127" ca="1">Common_InputFunctions.Utility_DisplayArrayInTable(Fertiliser_SourceData.Fertiliser_Products_Data2(),FertiliserProducts[[#Headers],[Include or Exclude]], 20)</f>
        <v/>
      </c>
      <c r="P127" s="96" t="str" cm="1">
        <f t="array" aca="1" ref="P127" ca="1">Common_InputFunctions.Utility_DisplayArrayInTable(Fertiliser_SourceData.Fertiliser_Products_Data2(),FertiliserProducts[[#Headers],[Include or Exclude]], 20)</f>
        <v/>
      </c>
      <c r="Q127" s="96" t="str" cm="1">
        <f t="array" aca="1" ref="Q127" ca="1">Common_InputFunctions.Utility_DisplayArrayInTable(Fertiliser_SourceData.Fertiliser_Products_Data2(),FertiliserProducts[[#Headers],[Include or Exclude]], 20)</f>
        <v/>
      </c>
      <c r="R127" s="96" t="str" cm="1">
        <f t="array" aca="1" ref="R127" ca="1">Common_InputFunctions.Utility_DisplayArrayInTable(Fertiliser_SourceData.Fertiliser_Products_Data2(),FertiliserProducts[[#Headers],[Include or Exclude]], 20)</f>
        <v/>
      </c>
      <c r="S127" s="96" t="str" cm="1">
        <f t="array" aca="1" ref="S127" ca="1">Common_InputFunctions.Utility_DisplayArrayInTable(Fertiliser_SourceData.Fertiliser_Products_Data2(),FertiliserProducts[[#Headers],[Include or Exclude]], 20)</f>
        <v/>
      </c>
      <c r="T127" s="96" t="str" cm="1">
        <f t="array" aca="1" ref="T127" ca="1">Common_InputFunctions.Utility_DisplayArrayInTable(Fertiliser_SourceData.Fertiliser_Products_Data2(),FertiliserProducts[[#Headers],[Include or Exclude]], 20)</f>
        <v/>
      </c>
      <c r="U127" s="96" t="str" cm="1">
        <f t="array" aca="1" ref="U127" ca="1">Common_InputFunctions.Utility_DisplayArrayInTable(Fertiliser_SourceData.Fertiliser_Products_Data2(),FertiliserProducts[[#Headers],[Include or Exclude]], 20)</f>
        <v/>
      </c>
      <c r="V127" s="96" t="str" cm="1">
        <f t="array" aca="1" ref="V127" ca="1">Common_InputFunctions.Utility_DisplayArrayInTable(Fertiliser_SourceData.Fertiliser_Products_Data2(),FertiliserProducts[[#Headers],[Include or Exclude]], 20)</f>
        <v/>
      </c>
      <c r="W127" s="96" t="str" cm="1">
        <f t="array" aca="1" ref="W127" ca="1">Common_InputFunctions.Utility_DisplayArrayInTable(Fertiliser_SourceData.Fertiliser_Products_Data2(),FertiliserProducts[[#Headers],[Include or Exclude]], 20)</f>
        <v/>
      </c>
      <c r="X127" s="96" t="str" cm="1">
        <f t="array" aca="1" ref="X127" ca="1">Common_InputFunctions.Utility_DisplayArrayInTable(Fertiliser_SourceData.Fertiliser_Products_Data2(),FertiliserProducts[[#Headers],[Include or Exclude]], 20)</f>
        <v/>
      </c>
      <c r="Y127" s="96" t="str" cm="1">
        <f t="array" aca="1" ref="Y127" ca="1">Common_InputFunctions.Utility_DisplayArrayInTable(Fertiliser_SourceData.Fertiliser_Products_Data2(),FertiliserProducts[[#Headers],[Include or Exclude]], 20)</f>
        <v/>
      </c>
      <c r="Z127" s="96" t="str" cm="1">
        <f t="array" aca="1" ref="Z127" ca="1">Common_InputFunctions.Utility_DisplayArrayInTable(Fertiliser_SourceData.Fertiliser_Products_Data2(),FertiliserProducts[[#Headers],[Include or Exclude]], 20)</f>
        <v/>
      </c>
      <c r="AA127" s="36" t="str" cm="1">
        <f t="array" aca="1" ref="AA127" ca="1">Common_InputFunctions.Utility_DisplayArrayInTable(Fertiliser_SourceData.Fertiliser_Products_Data2(),FertiliserProducts[[#Headers],[Include or Exclude]], 20)</f>
        <v/>
      </c>
      <c r="AB127" s="36" t="str" cm="1">
        <f t="array" aca="1" ref="AB127" ca="1">Common_InputFunctions.Utility_DisplayArrayInTable(Fertiliser_SourceData.Fertiliser_Products_Data2(),FertiliserProducts[[#Headers],[Include or Exclude]], 20)</f>
        <v/>
      </c>
      <c r="AC127" s="36" t="str" cm="1">
        <f t="array" aca="1" ref="AC127" ca="1">Common_InputFunctions.Utility_DisplayArrayInTable(Fertiliser_SourceData.Fertiliser_Products_Data2(),FertiliserProducts[[#Headers],[Include or Exclude]], 20)</f>
        <v/>
      </c>
      <c r="AD127" s="36" t="str" cm="1">
        <f t="array" aca="1" ref="AD127" ca="1">Common_InputFunctions.Utility_DisplayArrayInTable(Fertiliser_SourceData.Fertiliser_Products_Data2(),FertiliserProducts[[#Headers],[Include or Exclude]], 20)</f>
        <v/>
      </c>
      <c r="AE127" s="36" t="str" cm="1">
        <f t="array" aca="1" ref="AE127" ca="1">Common_InputFunctions.Utility_DisplayArrayInTable(Fertiliser_SourceData.Fertiliser_Products_Data2(),FertiliserProducts[[#Headers],[Include or Exclude]], 20)</f>
        <v/>
      </c>
    </row>
    <row r="128" spans="4:31" ht="20.100000000000001" customHeight="1" x14ac:dyDescent="0.25">
      <c r="D128" s="96" t="str" cm="1">
        <f t="array" aca="1" ref="D128" ca="1">Common_InputFunctions.Utility_DisplayArrayInTable(Fertiliser_SourceData.Fertiliser_Products_Data2(),FertiliserProducts[[#Headers],[Include or Exclude]], 20)</f>
        <v/>
      </c>
      <c r="E128" s="96" t="str" cm="1">
        <f t="array" aca="1" ref="E128" ca="1">Common_InputFunctions.Utility_DisplayArrayInTable(Fertiliser_SourceData.Fertiliser_Products_Data2(),FertiliserProducts[[#Headers],[Include or Exclude]], 20)</f>
        <v/>
      </c>
      <c r="F128" s="96" t="str" cm="1">
        <f t="array" aca="1" ref="F128" ca="1">Common_InputFunctions.Utility_DisplayArrayInTable(Fertiliser_SourceData.Fertiliser_Products_Data2(),FertiliserProducts[[#Headers],[Include or Exclude]], 20)</f>
        <v/>
      </c>
      <c r="G128" s="96" t="str" cm="1">
        <f t="array" aca="1" ref="G128" ca="1">Common_InputFunctions.Utility_DisplayArrayInTable(Fertiliser_SourceData.Fertiliser_Products_Data2(),FertiliserProducts[[#Headers],[Include or Exclude]], 20)</f>
        <v/>
      </c>
      <c r="H128" s="96" t="str" cm="1">
        <f t="array" aca="1" ref="H128" ca="1">Common_InputFunctions.Utility_DisplayArrayInTable(Fertiliser_SourceData.Fertiliser_Products_Data2(),FertiliserProducts[[#Headers],[Include or Exclude]], 20)</f>
        <v/>
      </c>
      <c r="I128" s="96" t="str" cm="1">
        <f t="array" aca="1" ref="I128" ca="1">Common_InputFunctions.Utility_DisplayArrayInTable(Fertiliser_SourceData.Fertiliser_Products_Data2(),FertiliserProducts[[#Headers],[Include or Exclude]], 20)</f>
        <v/>
      </c>
      <c r="J128" s="96" t="str" cm="1">
        <f t="array" aca="1" ref="J128" ca="1">Common_InputFunctions.Utility_DisplayArrayInTable(Fertiliser_SourceData.Fertiliser_Products_Data2(),FertiliserProducts[[#Headers],[Include or Exclude]], 20)</f>
        <v/>
      </c>
      <c r="K128" s="96" t="str" cm="1">
        <f t="array" aca="1" ref="K128" ca="1">Common_InputFunctions.Utility_DisplayArrayInTable(Fertiliser_SourceData.Fertiliser_Products_Data2(),FertiliserProducts[[#Headers],[Include or Exclude]], 20)</f>
        <v/>
      </c>
      <c r="L128" s="96" t="str" cm="1">
        <f t="array" aca="1" ref="L128" ca="1">Common_InputFunctions.Utility_DisplayArrayInTable(Fertiliser_SourceData.Fertiliser_Products_Data2(),FertiliserProducts[[#Headers],[Include or Exclude]], 20)</f>
        <v/>
      </c>
      <c r="M128" s="96" t="str" cm="1">
        <f t="array" aca="1" ref="M128" ca="1">Common_InputFunctions.Utility_DisplayArrayInTable(Fertiliser_SourceData.Fertiliser_Products_Data2(),FertiliserProducts[[#Headers],[Include or Exclude]], 20)</f>
        <v/>
      </c>
      <c r="N128" s="96" t="str" cm="1">
        <f t="array" aca="1" ref="N128" ca="1">Common_InputFunctions.Utility_DisplayArrayInTable(Fertiliser_SourceData.Fertiliser_Products_Data2(),FertiliserProducts[[#Headers],[Include or Exclude]], 20)</f>
        <v/>
      </c>
      <c r="O128" s="96" t="str" cm="1">
        <f t="array" aca="1" ref="O128" ca="1">Common_InputFunctions.Utility_DisplayArrayInTable(Fertiliser_SourceData.Fertiliser_Products_Data2(),FertiliserProducts[[#Headers],[Include or Exclude]], 20)</f>
        <v/>
      </c>
      <c r="P128" s="96" t="str" cm="1">
        <f t="array" aca="1" ref="P128" ca="1">Common_InputFunctions.Utility_DisplayArrayInTable(Fertiliser_SourceData.Fertiliser_Products_Data2(),FertiliserProducts[[#Headers],[Include or Exclude]], 20)</f>
        <v/>
      </c>
      <c r="Q128" s="96" t="str" cm="1">
        <f t="array" aca="1" ref="Q128" ca="1">Common_InputFunctions.Utility_DisplayArrayInTable(Fertiliser_SourceData.Fertiliser_Products_Data2(),FertiliserProducts[[#Headers],[Include or Exclude]], 20)</f>
        <v/>
      </c>
      <c r="R128" s="96" t="str" cm="1">
        <f t="array" aca="1" ref="R128" ca="1">Common_InputFunctions.Utility_DisplayArrayInTable(Fertiliser_SourceData.Fertiliser_Products_Data2(),FertiliserProducts[[#Headers],[Include or Exclude]], 20)</f>
        <v/>
      </c>
      <c r="S128" s="96" t="str" cm="1">
        <f t="array" aca="1" ref="S128" ca="1">Common_InputFunctions.Utility_DisplayArrayInTable(Fertiliser_SourceData.Fertiliser_Products_Data2(),FertiliserProducts[[#Headers],[Include or Exclude]], 20)</f>
        <v/>
      </c>
      <c r="T128" s="96" t="str" cm="1">
        <f t="array" aca="1" ref="T128" ca="1">Common_InputFunctions.Utility_DisplayArrayInTable(Fertiliser_SourceData.Fertiliser_Products_Data2(),FertiliserProducts[[#Headers],[Include or Exclude]], 20)</f>
        <v/>
      </c>
      <c r="U128" s="96" t="str" cm="1">
        <f t="array" aca="1" ref="U128" ca="1">Common_InputFunctions.Utility_DisplayArrayInTable(Fertiliser_SourceData.Fertiliser_Products_Data2(),FertiliserProducts[[#Headers],[Include or Exclude]], 20)</f>
        <v/>
      </c>
      <c r="V128" s="96" t="str" cm="1">
        <f t="array" aca="1" ref="V128" ca="1">Common_InputFunctions.Utility_DisplayArrayInTable(Fertiliser_SourceData.Fertiliser_Products_Data2(),FertiliserProducts[[#Headers],[Include or Exclude]], 20)</f>
        <v/>
      </c>
      <c r="W128" s="96" t="str" cm="1">
        <f t="array" aca="1" ref="W128" ca="1">Common_InputFunctions.Utility_DisplayArrayInTable(Fertiliser_SourceData.Fertiliser_Products_Data2(),FertiliserProducts[[#Headers],[Include or Exclude]], 20)</f>
        <v/>
      </c>
      <c r="X128" s="96" t="str" cm="1">
        <f t="array" aca="1" ref="X128" ca="1">Common_InputFunctions.Utility_DisplayArrayInTable(Fertiliser_SourceData.Fertiliser_Products_Data2(),FertiliserProducts[[#Headers],[Include or Exclude]], 20)</f>
        <v/>
      </c>
      <c r="Y128" s="96" t="str" cm="1">
        <f t="array" aca="1" ref="Y128" ca="1">Common_InputFunctions.Utility_DisplayArrayInTable(Fertiliser_SourceData.Fertiliser_Products_Data2(),FertiliserProducts[[#Headers],[Include or Exclude]], 20)</f>
        <v/>
      </c>
      <c r="Z128" s="96" t="str" cm="1">
        <f t="array" aca="1" ref="Z128" ca="1">Common_InputFunctions.Utility_DisplayArrayInTable(Fertiliser_SourceData.Fertiliser_Products_Data2(),FertiliserProducts[[#Headers],[Include or Exclude]], 20)</f>
        <v/>
      </c>
      <c r="AA128" s="36" t="str" cm="1">
        <f t="array" aca="1" ref="AA128" ca="1">Common_InputFunctions.Utility_DisplayArrayInTable(Fertiliser_SourceData.Fertiliser_Products_Data2(),FertiliserProducts[[#Headers],[Include or Exclude]], 20)</f>
        <v/>
      </c>
      <c r="AB128" s="36" t="str" cm="1">
        <f t="array" aca="1" ref="AB128" ca="1">Common_InputFunctions.Utility_DisplayArrayInTable(Fertiliser_SourceData.Fertiliser_Products_Data2(),FertiliserProducts[[#Headers],[Include or Exclude]], 20)</f>
        <v/>
      </c>
      <c r="AC128" s="36" t="str" cm="1">
        <f t="array" aca="1" ref="AC128" ca="1">Common_InputFunctions.Utility_DisplayArrayInTable(Fertiliser_SourceData.Fertiliser_Products_Data2(),FertiliserProducts[[#Headers],[Include or Exclude]], 20)</f>
        <v/>
      </c>
      <c r="AD128" s="36" t="str" cm="1">
        <f t="array" aca="1" ref="AD128" ca="1">Common_InputFunctions.Utility_DisplayArrayInTable(Fertiliser_SourceData.Fertiliser_Products_Data2(),FertiliserProducts[[#Headers],[Include or Exclude]], 20)</f>
        <v/>
      </c>
      <c r="AE128" s="36" t="str" cm="1">
        <f t="array" aca="1" ref="AE128" ca="1">Common_InputFunctions.Utility_DisplayArrayInTable(Fertiliser_SourceData.Fertiliser_Products_Data2(),FertiliserProducts[[#Headers],[Include or Exclude]], 20)</f>
        <v/>
      </c>
    </row>
    <row r="129" spans="4:31" ht="20.100000000000001" customHeight="1" x14ac:dyDescent="0.25">
      <c r="D129" s="96" t="str" cm="1">
        <f t="array" aca="1" ref="D129" ca="1">Common_InputFunctions.Utility_DisplayArrayInTable(Fertiliser_SourceData.Fertiliser_Products_Data3(),FertiliserProducts[[#Headers],[Include or Exclude]], 40)</f>
        <v/>
      </c>
      <c r="E129" s="96" t="str" cm="1">
        <f t="array" aca="1" ref="E129" ca="1">Common_InputFunctions.Utility_DisplayArrayInTable(Fertiliser_SourceData.Fertiliser_Products_Data3(),FertiliserProducts[[#Headers],[Include or Exclude]], 40)</f>
        <v/>
      </c>
      <c r="F129" s="96" t="str" cm="1">
        <f t="array" aca="1" ref="F129" ca="1">Common_InputFunctions.Utility_DisplayArrayInTable(Fertiliser_SourceData.Fertiliser_Products_Data3(),FertiliserProducts[[#Headers],[Include or Exclude]], 40)</f>
        <v/>
      </c>
      <c r="G129" s="96" t="str" cm="1">
        <f t="array" aca="1" ref="G129" ca="1">Common_InputFunctions.Utility_DisplayArrayInTable(Fertiliser_SourceData.Fertiliser_Products_Data3(),FertiliserProducts[[#Headers],[Include or Exclude]], 40)</f>
        <v/>
      </c>
      <c r="H129" s="96" t="str" cm="1">
        <f t="array" aca="1" ref="H129" ca="1">Common_InputFunctions.Utility_DisplayArrayInTable(Fertiliser_SourceData.Fertiliser_Products_Data3(),FertiliserProducts[[#Headers],[Include or Exclude]], 40)</f>
        <v/>
      </c>
      <c r="I129" s="96" t="str" cm="1">
        <f t="array" aca="1" ref="I129" ca="1">Common_InputFunctions.Utility_DisplayArrayInTable(Fertiliser_SourceData.Fertiliser_Products_Data3(),FertiliserProducts[[#Headers],[Include or Exclude]], 40)</f>
        <v/>
      </c>
      <c r="J129" s="96" t="str" cm="1">
        <f t="array" aca="1" ref="J129" ca="1">Common_InputFunctions.Utility_DisplayArrayInTable(Fertiliser_SourceData.Fertiliser_Products_Data3(),FertiliserProducts[[#Headers],[Include or Exclude]], 40)</f>
        <v/>
      </c>
      <c r="K129" s="96" t="str" cm="1">
        <f t="array" aca="1" ref="K129" ca="1">Common_InputFunctions.Utility_DisplayArrayInTable(Fertiliser_SourceData.Fertiliser_Products_Data3(),FertiliserProducts[[#Headers],[Include or Exclude]], 40)</f>
        <v/>
      </c>
      <c r="L129" s="96" t="str" cm="1">
        <f t="array" aca="1" ref="L129" ca="1">Common_InputFunctions.Utility_DisplayArrayInTable(Fertiliser_SourceData.Fertiliser_Products_Data3(),FertiliserProducts[[#Headers],[Include or Exclude]], 40)</f>
        <v/>
      </c>
      <c r="M129" s="96" t="str" cm="1">
        <f t="array" aca="1" ref="M129" ca="1">Common_InputFunctions.Utility_DisplayArrayInTable(Fertiliser_SourceData.Fertiliser_Products_Data3(),FertiliserProducts[[#Headers],[Include or Exclude]], 40)</f>
        <v/>
      </c>
      <c r="N129" s="96" t="str" cm="1">
        <f t="array" aca="1" ref="N129" ca="1">Common_InputFunctions.Utility_DisplayArrayInTable(Fertiliser_SourceData.Fertiliser_Products_Data3(),FertiliserProducts[[#Headers],[Include or Exclude]], 40)</f>
        <v/>
      </c>
      <c r="O129" s="96" t="str" cm="1">
        <f t="array" aca="1" ref="O129" ca="1">Common_InputFunctions.Utility_DisplayArrayInTable(Fertiliser_SourceData.Fertiliser_Products_Data3(),FertiliserProducts[[#Headers],[Include or Exclude]], 40)</f>
        <v/>
      </c>
      <c r="P129" s="96" t="str" cm="1">
        <f t="array" aca="1" ref="P129" ca="1">Common_InputFunctions.Utility_DisplayArrayInTable(Fertiliser_SourceData.Fertiliser_Products_Data3(),FertiliserProducts[[#Headers],[Include or Exclude]], 40)</f>
        <v/>
      </c>
      <c r="Q129" s="96" t="str" cm="1">
        <f t="array" aca="1" ref="Q129" ca="1">Common_InputFunctions.Utility_DisplayArrayInTable(Fertiliser_SourceData.Fertiliser_Products_Data3(),FertiliserProducts[[#Headers],[Include or Exclude]], 40)</f>
        <v/>
      </c>
      <c r="R129" s="96" t="str" cm="1">
        <f t="array" aca="1" ref="R129" ca="1">Common_InputFunctions.Utility_DisplayArrayInTable(Fertiliser_SourceData.Fertiliser_Products_Data3(),FertiliserProducts[[#Headers],[Include or Exclude]], 40)</f>
        <v/>
      </c>
      <c r="S129" s="96" t="str" cm="1">
        <f t="array" aca="1" ref="S129" ca="1">Common_InputFunctions.Utility_DisplayArrayInTable(Fertiliser_SourceData.Fertiliser_Products_Data3(),FertiliserProducts[[#Headers],[Include or Exclude]], 40)</f>
        <v/>
      </c>
      <c r="T129" s="96" t="str" cm="1">
        <f t="array" aca="1" ref="T129" ca="1">Common_InputFunctions.Utility_DisplayArrayInTable(Fertiliser_SourceData.Fertiliser_Products_Data3(),FertiliserProducts[[#Headers],[Include or Exclude]], 40)</f>
        <v/>
      </c>
      <c r="U129" s="96" t="str" cm="1">
        <f t="array" aca="1" ref="U129" ca="1">Common_InputFunctions.Utility_DisplayArrayInTable(Fertiliser_SourceData.Fertiliser_Products_Data3(),FertiliserProducts[[#Headers],[Include or Exclude]], 40)</f>
        <v/>
      </c>
      <c r="V129" s="96" t="str" cm="1">
        <f t="array" aca="1" ref="V129" ca="1">Common_InputFunctions.Utility_DisplayArrayInTable(Fertiliser_SourceData.Fertiliser_Products_Data3(),FertiliserProducts[[#Headers],[Include or Exclude]], 40)</f>
        <v/>
      </c>
      <c r="W129" s="96" t="str" cm="1">
        <f t="array" aca="1" ref="W129" ca="1">Common_InputFunctions.Utility_DisplayArrayInTable(Fertiliser_SourceData.Fertiliser_Products_Data3(),FertiliserProducts[[#Headers],[Include or Exclude]], 40)</f>
        <v/>
      </c>
      <c r="X129" s="96" t="str" cm="1">
        <f t="array" aca="1" ref="X129" ca="1">Common_InputFunctions.Utility_DisplayArrayInTable(Fertiliser_SourceData.Fertiliser_Products_Data3(),FertiliserProducts[[#Headers],[Include or Exclude]], 40)</f>
        <v/>
      </c>
      <c r="Y129" s="96" t="str" cm="1">
        <f t="array" aca="1" ref="Y129" ca="1">Common_InputFunctions.Utility_DisplayArrayInTable(Fertiliser_SourceData.Fertiliser_Products_Data3(),FertiliserProducts[[#Headers],[Include or Exclude]], 40)</f>
        <v/>
      </c>
      <c r="Z129" s="96" t="str" cm="1">
        <f t="array" aca="1" ref="Z129" ca="1">Common_InputFunctions.Utility_DisplayArrayInTable(Fertiliser_SourceData.Fertiliser_Products_Data3(),FertiliserProducts[[#Headers],[Include or Exclude]], 40)</f>
        <v/>
      </c>
      <c r="AA129" s="36" t="str" cm="1">
        <f t="array" aca="1" ref="AA129" ca="1">Common_InputFunctions.Utility_DisplayArrayInTable(Fertiliser_SourceData.Fertiliser_Products_Data3(),FertiliserProducts[[#Headers],[Include or Exclude]], 40)</f>
        <v/>
      </c>
      <c r="AB129" s="36" t="str" cm="1">
        <f t="array" aca="1" ref="AB129" ca="1">Common_InputFunctions.Utility_DisplayArrayInTable(Fertiliser_SourceData.Fertiliser_Products_Data3(),FertiliserProducts[[#Headers],[Include or Exclude]], 40)</f>
        <v/>
      </c>
      <c r="AC129" s="36" t="str" cm="1">
        <f t="array" aca="1" ref="AC129" ca="1">Common_InputFunctions.Utility_DisplayArrayInTable(Fertiliser_SourceData.Fertiliser_Products_Data3(),FertiliserProducts[[#Headers],[Include or Exclude]], 40)</f>
        <v/>
      </c>
      <c r="AD129" s="36" t="str" cm="1">
        <f t="array" aca="1" ref="AD129" ca="1">Common_InputFunctions.Utility_DisplayArrayInTable(Fertiliser_SourceData.Fertiliser_Products_Data3(),FertiliserProducts[[#Headers],[Include or Exclude]], 40)</f>
        <v/>
      </c>
      <c r="AE129" s="36" t="str" cm="1">
        <f t="array" aca="1" ref="AE129" ca="1">Common_InputFunctions.Utility_DisplayArrayInTable(Fertiliser_SourceData.Fertiliser_Products_Data3(),FertiliserProducts[[#Headers],[Include or Exclude]], 40)</f>
        <v/>
      </c>
    </row>
    <row r="130" spans="4:31" ht="20.100000000000001" customHeight="1" x14ac:dyDescent="0.25">
      <c r="D130" s="96" t="str" cm="1">
        <f t="array" aca="1" ref="D130" ca="1">Common_InputFunctions.Utility_DisplayArrayInTable(Fertiliser_SourceData.Fertiliser_Products_Data3(),FertiliserProducts[[#Headers],[Include or Exclude]], 40)</f>
        <v/>
      </c>
      <c r="E130" s="96" t="str" cm="1">
        <f t="array" aca="1" ref="E130" ca="1">Common_InputFunctions.Utility_DisplayArrayInTable(Fertiliser_SourceData.Fertiliser_Products_Data3(),FertiliserProducts[[#Headers],[Include or Exclude]], 40)</f>
        <v/>
      </c>
      <c r="F130" s="96" t="str" cm="1">
        <f t="array" aca="1" ref="F130" ca="1">Common_InputFunctions.Utility_DisplayArrayInTable(Fertiliser_SourceData.Fertiliser_Products_Data3(),FertiliserProducts[[#Headers],[Include or Exclude]], 40)</f>
        <v/>
      </c>
      <c r="G130" s="96" t="str" cm="1">
        <f t="array" aca="1" ref="G130" ca="1">Common_InputFunctions.Utility_DisplayArrayInTable(Fertiliser_SourceData.Fertiliser_Products_Data3(),FertiliserProducts[[#Headers],[Include or Exclude]], 40)</f>
        <v/>
      </c>
      <c r="H130" s="96" t="str" cm="1">
        <f t="array" aca="1" ref="H130" ca="1">Common_InputFunctions.Utility_DisplayArrayInTable(Fertiliser_SourceData.Fertiliser_Products_Data3(),FertiliserProducts[[#Headers],[Include or Exclude]], 40)</f>
        <v/>
      </c>
      <c r="I130" s="96" t="str" cm="1">
        <f t="array" aca="1" ref="I130" ca="1">Common_InputFunctions.Utility_DisplayArrayInTable(Fertiliser_SourceData.Fertiliser_Products_Data3(),FertiliserProducts[[#Headers],[Include or Exclude]], 40)</f>
        <v/>
      </c>
      <c r="J130" s="96" t="str" cm="1">
        <f t="array" aca="1" ref="J130" ca="1">Common_InputFunctions.Utility_DisplayArrayInTable(Fertiliser_SourceData.Fertiliser_Products_Data3(),FertiliserProducts[[#Headers],[Include or Exclude]], 40)</f>
        <v/>
      </c>
      <c r="K130" s="96" t="str" cm="1">
        <f t="array" aca="1" ref="K130" ca="1">Common_InputFunctions.Utility_DisplayArrayInTable(Fertiliser_SourceData.Fertiliser_Products_Data3(),FertiliserProducts[[#Headers],[Include or Exclude]], 40)</f>
        <v/>
      </c>
      <c r="L130" s="96" t="str" cm="1">
        <f t="array" aca="1" ref="L130" ca="1">Common_InputFunctions.Utility_DisplayArrayInTable(Fertiliser_SourceData.Fertiliser_Products_Data3(),FertiliserProducts[[#Headers],[Include or Exclude]], 40)</f>
        <v/>
      </c>
      <c r="M130" s="96" t="str" cm="1">
        <f t="array" aca="1" ref="M130" ca="1">Common_InputFunctions.Utility_DisplayArrayInTable(Fertiliser_SourceData.Fertiliser_Products_Data3(),FertiliserProducts[[#Headers],[Include or Exclude]], 40)</f>
        <v/>
      </c>
      <c r="N130" s="96" t="str" cm="1">
        <f t="array" aca="1" ref="N130" ca="1">Common_InputFunctions.Utility_DisplayArrayInTable(Fertiliser_SourceData.Fertiliser_Products_Data3(),FertiliserProducts[[#Headers],[Include or Exclude]], 40)</f>
        <v/>
      </c>
      <c r="O130" s="96" t="str" cm="1">
        <f t="array" aca="1" ref="O130" ca="1">Common_InputFunctions.Utility_DisplayArrayInTable(Fertiliser_SourceData.Fertiliser_Products_Data3(),FertiliserProducts[[#Headers],[Include or Exclude]], 40)</f>
        <v/>
      </c>
      <c r="P130" s="96" t="str" cm="1">
        <f t="array" aca="1" ref="P130" ca="1">Common_InputFunctions.Utility_DisplayArrayInTable(Fertiliser_SourceData.Fertiliser_Products_Data3(),FertiliserProducts[[#Headers],[Include or Exclude]], 40)</f>
        <v/>
      </c>
      <c r="Q130" s="96" t="str" cm="1">
        <f t="array" aca="1" ref="Q130" ca="1">Common_InputFunctions.Utility_DisplayArrayInTable(Fertiliser_SourceData.Fertiliser_Products_Data3(),FertiliserProducts[[#Headers],[Include or Exclude]], 40)</f>
        <v/>
      </c>
      <c r="R130" s="96" t="str" cm="1">
        <f t="array" aca="1" ref="R130" ca="1">Common_InputFunctions.Utility_DisplayArrayInTable(Fertiliser_SourceData.Fertiliser_Products_Data3(),FertiliserProducts[[#Headers],[Include or Exclude]], 40)</f>
        <v/>
      </c>
      <c r="S130" s="96" t="str" cm="1">
        <f t="array" aca="1" ref="S130" ca="1">Common_InputFunctions.Utility_DisplayArrayInTable(Fertiliser_SourceData.Fertiliser_Products_Data3(),FertiliserProducts[[#Headers],[Include or Exclude]], 40)</f>
        <v/>
      </c>
      <c r="T130" s="96" t="str" cm="1">
        <f t="array" aca="1" ref="T130" ca="1">Common_InputFunctions.Utility_DisplayArrayInTable(Fertiliser_SourceData.Fertiliser_Products_Data3(),FertiliserProducts[[#Headers],[Include or Exclude]], 40)</f>
        <v/>
      </c>
      <c r="U130" s="96" t="str" cm="1">
        <f t="array" aca="1" ref="U130" ca="1">Common_InputFunctions.Utility_DisplayArrayInTable(Fertiliser_SourceData.Fertiliser_Products_Data3(),FertiliserProducts[[#Headers],[Include or Exclude]], 40)</f>
        <v/>
      </c>
      <c r="V130" s="96" t="str" cm="1">
        <f t="array" aca="1" ref="V130" ca="1">Common_InputFunctions.Utility_DisplayArrayInTable(Fertiliser_SourceData.Fertiliser_Products_Data3(),FertiliserProducts[[#Headers],[Include or Exclude]], 40)</f>
        <v/>
      </c>
      <c r="W130" s="96" t="str" cm="1">
        <f t="array" aca="1" ref="W130" ca="1">Common_InputFunctions.Utility_DisplayArrayInTable(Fertiliser_SourceData.Fertiliser_Products_Data3(),FertiliserProducts[[#Headers],[Include or Exclude]], 40)</f>
        <v/>
      </c>
      <c r="X130" s="96" t="str" cm="1">
        <f t="array" aca="1" ref="X130" ca="1">Common_InputFunctions.Utility_DisplayArrayInTable(Fertiliser_SourceData.Fertiliser_Products_Data3(),FertiliserProducts[[#Headers],[Include or Exclude]], 40)</f>
        <v/>
      </c>
      <c r="Y130" s="96" t="str" cm="1">
        <f t="array" aca="1" ref="Y130" ca="1">Common_InputFunctions.Utility_DisplayArrayInTable(Fertiliser_SourceData.Fertiliser_Products_Data3(),FertiliserProducts[[#Headers],[Include or Exclude]], 40)</f>
        <v/>
      </c>
      <c r="Z130" s="96" t="str" cm="1">
        <f t="array" aca="1" ref="Z130" ca="1">Common_InputFunctions.Utility_DisplayArrayInTable(Fertiliser_SourceData.Fertiliser_Products_Data3(),FertiliserProducts[[#Headers],[Include or Exclude]], 40)</f>
        <v/>
      </c>
      <c r="AA130" s="36" t="str" cm="1">
        <f t="array" aca="1" ref="AA130" ca="1">Common_InputFunctions.Utility_DisplayArrayInTable(Fertiliser_SourceData.Fertiliser_Products_Data3(),FertiliserProducts[[#Headers],[Include or Exclude]], 40)</f>
        <v/>
      </c>
      <c r="AB130" s="36" t="str" cm="1">
        <f t="array" aca="1" ref="AB130" ca="1">Common_InputFunctions.Utility_DisplayArrayInTable(Fertiliser_SourceData.Fertiliser_Products_Data3(),FertiliserProducts[[#Headers],[Include or Exclude]], 40)</f>
        <v/>
      </c>
      <c r="AC130" s="36" t="str" cm="1">
        <f t="array" aca="1" ref="AC130" ca="1">Common_InputFunctions.Utility_DisplayArrayInTable(Fertiliser_SourceData.Fertiliser_Products_Data3(),FertiliserProducts[[#Headers],[Include or Exclude]], 40)</f>
        <v/>
      </c>
      <c r="AD130" s="36" t="str" cm="1">
        <f t="array" aca="1" ref="AD130" ca="1">Common_InputFunctions.Utility_DisplayArrayInTable(Fertiliser_SourceData.Fertiliser_Products_Data3(),FertiliserProducts[[#Headers],[Include or Exclude]], 40)</f>
        <v/>
      </c>
      <c r="AE130" s="36" t="str" cm="1">
        <f t="array" aca="1" ref="AE130" ca="1">Common_InputFunctions.Utility_DisplayArrayInTable(Fertiliser_SourceData.Fertiliser_Products_Data3(),FertiliserProducts[[#Headers],[Include or Exclude]], 40)</f>
        <v/>
      </c>
    </row>
    <row r="131" spans="4:31" ht="20.100000000000001" customHeight="1" x14ac:dyDescent="0.25">
      <c r="D131" s="96" t="str" cm="1">
        <f t="array" aca="1" ref="D131" ca="1">Common_InputFunctions.Utility_DisplayArrayInTable(Fertiliser_SourceData.Fertiliser_Products_Data3(),FertiliserProducts[[#Headers],[Include or Exclude]], 40)</f>
        <v/>
      </c>
      <c r="E131" s="96" t="str" cm="1">
        <f t="array" aca="1" ref="E131" ca="1">Common_InputFunctions.Utility_DisplayArrayInTable(Fertiliser_SourceData.Fertiliser_Products_Data3(),FertiliserProducts[[#Headers],[Include or Exclude]], 40)</f>
        <v/>
      </c>
      <c r="F131" s="96" t="str" cm="1">
        <f t="array" aca="1" ref="F131" ca="1">Common_InputFunctions.Utility_DisplayArrayInTable(Fertiliser_SourceData.Fertiliser_Products_Data3(),FertiliserProducts[[#Headers],[Include or Exclude]], 40)</f>
        <v/>
      </c>
      <c r="G131" s="96" t="str" cm="1">
        <f t="array" aca="1" ref="G131" ca="1">Common_InputFunctions.Utility_DisplayArrayInTable(Fertiliser_SourceData.Fertiliser_Products_Data3(),FertiliserProducts[[#Headers],[Include or Exclude]], 40)</f>
        <v/>
      </c>
      <c r="H131" s="96" t="str" cm="1">
        <f t="array" aca="1" ref="H131" ca="1">Common_InputFunctions.Utility_DisplayArrayInTable(Fertiliser_SourceData.Fertiliser_Products_Data3(),FertiliserProducts[[#Headers],[Include or Exclude]], 40)</f>
        <v/>
      </c>
      <c r="I131" s="96" t="str" cm="1">
        <f t="array" aca="1" ref="I131" ca="1">Common_InputFunctions.Utility_DisplayArrayInTable(Fertiliser_SourceData.Fertiliser_Products_Data3(),FertiliserProducts[[#Headers],[Include or Exclude]], 40)</f>
        <v/>
      </c>
      <c r="J131" s="96" t="str" cm="1">
        <f t="array" aca="1" ref="J131" ca="1">Common_InputFunctions.Utility_DisplayArrayInTable(Fertiliser_SourceData.Fertiliser_Products_Data3(),FertiliserProducts[[#Headers],[Include or Exclude]], 40)</f>
        <v/>
      </c>
      <c r="K131" s="96" t="str" cm="1">
        <f t="array" aca="1" ref="K131" ca="1">Common_InputFunctions.Utility_DisplayArrayInTable(Fertiliser_SourceData.Fertiliser_Products_Data3(),FertiliserProducts[[#Headers],[Include or Exclude]], 40)</f>
        <v/>
      </c>
      <c r="L131" s="96" t="str" cm="1">
        <f t="array" aca="1" ref="L131" ca="1">Common_InputFunctions.Utility_DisplayArrayInTable(Fertiliser_SourceData.Fertiliser_Products_Data3(),FertiliserProducts[[#Headers],[Include or Exclude]], 40)</f>
        <v/>
      </c>
      <c r="M131" s="96" t="str" cm="1">
        <f t="array" aca="1" ref="M131" ca="1">Common_InputFunctions.Utility_DisplayArrayInTable(Fertiliser_SourceData.Fertiliser_Products_Data3(),FertiliserProducts[[#Headers],[Include or Exclude]], 40)</f>
        <v/>
      </c>
      <c r="N131" s="96" t="str" cm="1">
        <f t="array" aca="1" ref="N131" ca="1">Common_InputFunctions.Utility_DisplayArrayInTable(Fertiliser_SourceData.Fertiliser_Products_Data3(),FertiliserProducts[[#Headers],[Include or Exclude]], 40)</f>
        <v/>
      </c>
      <c r="O131" s="96" t="str" cm="1">
        <f t="array" aca="1" ref="O131" ca="1">Common_InputFunctions.Utility_DisplayArrayInTable(Fertiliser_SourceData.Fertiliser_Products_Data3(),FertiliserProducts[[#Headers],[Include or Exclude]], 40)</f>
        <v/>
      </c>
      <c r="P131" s="96" t="str" cm="1">
        <f t="array" aca="1" ref="P131" ca="1">Common_InputFunctions.Utility_DisplayArrayInTable(Fertiliser_SourceData.Fertiliser_Products_Data3(),FertiliserProducts[[#Headers],[Include or Exclude]], 40)</f>
        <v/>
      </c>
      <c r="Q131" s="96" t="str" cm="1">
        <f t="array" aca="1" ref="Q131" ca="1">Common_InputFunctions.Utility_DisplayArrayInTable(Fertiliser_SourceData.Fertiliser_Products_Data3(),FertiliserProducts[[#Headers],[Include or Exclude]], 40)</f>
        <v/>
      </c>
      <c r="R131" s="96" t="str" cm="1">
        <f t="array" aca="1" ref="R131" ca="1">Common_InputFunctions.Utility_DisplayArrayInTable(Fertiliser_SourceData.Fertiliser_Products_Data3(),FertiliserProducts[[#Headers],[Include or Exclude]], 40)</f>
        <v/>
      </c>
      <c r="S131" s="96" t="str" cm="1">
        <f t="array" aca="1" ref="S131" ca="1">Common_InputFunctions.Utility_DisplayArrayInTable(Fertiliser_SourceData.Fertiliser_Products_Data3(),FertiliserProducts[[#Headers],[Include or Exclude]], 40)</f>
        <v/>
      </c>
      <c r="T131" s="96" t="str" cm="1">
        <f t="array" aca="1" ref="T131" ca="1">Common_InputFunctions.Utility_DisplayArrayInTable(Fertiliser_SourceData.Fertiliser_Products_Data3(),FertiliserProducts[[#Headers],[Include or Exclude]], 40)</f>
        <v/>
      </c>
      <c r="U131" s="96" t="str" cm="1">
        <f t="array" aca="1" ref="U131" ca="1">Common_InputFunctions.Utility_DisplayArrayInTable(Fertiliser_SourceData.Fertiliser_Products_Data3(),FertiliserProducts[[#Headers],[Include or Exclude]], 40)</f>
        <v/>
      </c>
      <c r="V131" s="96" t="str" cm="1">
        <f t="array" aca="1" ref="V131" ca="1">Common_InputFunctions.Utility_DisplayArrayInTable(Fertiliser_SourceData.Fertiliser_Products_Data3(),FertiliserProducts[[#Headers],[Include or Exclude]], 40)</f>
        <v/>
      </c>
      <c r="W131" s="96" t="str" cm="1">
        <f t="array" aca="1" ref="W131" ca="1">Common_InputFunctions.Utility_DisplayArrayInTable(Fertiliser_SourceData.Fertiliser_Products_Data3(),FertiliserProducts[[#Headers],[Include or Exclude]], 40)</f>
        <v/>
      </c>
      <c r="X131" s="96" t="str" cm="1">
        <f t="array" aca="1" ref="X131" ca="1">Common_InputFunctions.Utility_DisplayArrayInTable(Fertiliser_SourceData.Fertiliser_Products_Data3(),FertiliserProducts[[#Headers],[Include or Exclude]], 40)</f>
        <v/>
      </c>
      <c r="Y131" s="96" t="str" cm="1">
        <f t="array" aca="1" ref="Y131" ca="1">Common_InputFunctions.Utility_DisplayArrayInTable(Fertiliser_SourceData.Fertiliser_Products_Data3(),FertiliserProducts[[#Headers],[Include or Exclude]], 40)</f>
        <v/>
      </c>
      <c r="Z131" s="96" t="str" cm="1">
        <f t="array" aca="1" ref="Z131" ca="1">Common_InputFunctions.Utility_DisplayArrayInTable(Fertiliser_SourceData.Fertiliser_Products_Data3(),FertiliserProducts[[#Headers],[Include or Exclude]], 40)</f>
        <v/>
      </c>
      <c r="AA131" s="36" t="str" cm="1">
        <f t="array" aca="1" ref="AA131" ca="1">Common_InputFunctions.Utility_DisplayArrayInTable(Fertiliser_SourceData.Fertiliser_Products_Data3(),FertiliserProducts[[#Headers],[Include or Exclude]], 40)</f>
        <v/>
      </c>
      <c r="AB131" s="36" t="str" cm="1">
        <f t="array" aca="1" ref="AB131" ca="1">Common_InputFunctions.Utility_DisplayArrayInTable(Fertiliser_SourceData.Fertiliser_Products_Data3(),FertiliserProducts[[#Headers],[Include or Exclude]], 40)</f>
        <v/>
      </c>
      <c r="AC131" s="36" t="str" cm="1">
        <f t="array" aca="1" ref="AC131" ca="1">Common_InputFunctions.Utility_DisplayArrayInTable(Fertiliser_SourceData.Fertiliser_Products_Data3(),FertiliserProducts[[#Headers],[Include or Exclude]], 40)</f>
        <v/>
      </c>
      <c r="AD131" s="36" t="str" cm="1">
        <f t="array" aca="1" ref="AD131" ca="1">Common_InputFunctions.Utility_DisplayArrayInTable(Fertiliser_SourceData.Fertiliser_Products_Data3(),FertiliserProducts[[#Headers],[Include or Exclude]], 40)</f>
        <v/>
      </c>
      <c r="AE131" s="36" t="str" cm="1">
        <f t="array" aca="1" ref="AE131" ca="1">Common_InputFunctions.Utility_DisplayArrayInTable(Fertiliser_SourceData.Fertiliser_Products_Data3(),FertiliserProducts[[#Headers],[Include or Exclude]], 40)</f>
        <v/>
      </c>
    </row>
    <row r="132" spans="4:31" ht="20.100000000000001" customHeight="1" x14ac:dyDescent="0.25">
      <c r="D132" s="96" t="str" cm="1">
        <f t="array" aca="1" ref="D132" ca="1">Common_InputFunctions.Utility_DisplayArrayInTable(Fertiliser_SourceData.Fertiliser_Products_Data3(),FertiliserProducts[[#Headers],[Include or Exclude]], 40)</f>
        <v/>
      </c>
      <c r="E132" s="96" t="str" cm="1">
        <f t="array" aca="1" ref="E132" ca="1">Common_InputFunctions.Utility_DisplayArrayInTable(Fertiliser_SourceData.Fertiliser_Products_Data3(),FertiliserProducts[[#Headers],[Include or Exclude]], 40)</f>
        <v/>
      </c>
      <c r="F132" s="96" t="str" cm="1">
        <f t="array" aca="1" ref="F132" ca="1">Common_InputFunctions.Utility_DisplayArrayInTable(Fertiliser_SourceData.Fertiliser_Products_Data3(),FertiliserProducts[[#Headers],[Include or Exclude]], 40)</f>
        <v/>
      </c>
      <c r="G132" s="96" t="str" cm="1">
        <f t="array" aca="1" ref="G132" ca="1">Common_InputFunctions.Utility_DisplayArrayInTable(Fertiliser_SourceData.Fertiliser_Products_Data3(),FertiliserProducts[[#Headers],[Include or Exclude]], 40)</f>
        <v/>
      </c>
      <c r="H132" s="96" t="str" cm="1">
        <f t="array" aca="1" ref="H132" ca="1">Common_InputFunctions.Utility_DisplayArrayInTable(Fertiliser_SourceData.Fertiliser_Products_Data3(),FertiliserProducts[[#Headers],[Include or Exclude]], 40)</f>
        <v/>
      </c>
      <c r="I132" s="96" t="str" cm="1">
        <f t="array" aca="1" ref="I132" ca="1">Common_InputFunctions.Utility_DisplayArrayInTable(Fertiliser_SourceData.Fertiliser_Products_Data3(),FertiliserProducts[[#Headers],[Include or Exclude]], 40)</f>
        <v/>
      </c>
      <c r="J132" s="96" t="str" cm="1">
        <f t="array" aca="1" ref="J132" ca="1">Common_InputFunctions.Utility_DisplayArrayInTable(Fertiliser_SourceData.Fertiliser_Products_Data3(),FertiliserProducts[[#Headers],[Include or Exclude]], 40)</f>
        <v/>
      </c>
      <c r="K132" s="96" t="str" cm="1">
        <f t="array" aca="1" ref="K132" ca="1">Common_InputFunctions.Utility_DisplayArrayInTable(Fertiliser_SourceData.Fertiliser_Products_Data3(),FertiliserProducts[[#Headers],[Include or Exclude]], 40)</f>
        <v/>
      </c>
      <c r="L132" s="96" t="str" cm="1">
        <f t="array" aca="1" ref="L132" ca="1">Common_InputFunctions.Utility_DisplayArrayInTable(Fertiliser_SourceData.Fertiliser_Products_Data3(),FertiliserProducts[[#Headers],[Include or Exclude]], 40)</f>
        <v/>
      </c>
      <c r="M132" s="96" t="str" cm="1">
        <f t="array" aca="1" ref="M132" ca="1">Common_InputFunctions.Utility_DisplayArrayInTable(Fertiliser_SourceData.Fertiliser_Products_Data3(),FertiliserProducts[[#Headers],[Include or Exclude]], 40)</f>
        <v/>
      </c>
      <c r="N132" s="96" t="str" cm="1">
        <f t="array" aca="1" ref="N132" ca="1">Common_InputFunctions.Utility_DisplayArrayInTable(Fertiliser_SourceData.Fertiliser_Products_Data3(),FertiliserProducts[[#Headers],[Include or Exclude]], 40)</f>
        <v/>
      </c>
      <c r="O132" s="96" t="str" cm="1">
        <f t="array" aca="1" ref="O132" ca="1">Common_InputFunctions.Utility_DisplayArrayInTable(Fertiliser_SourceData.Fertiliser_Products_Data3(),FertiliserProducts[[#Headers],[Include or Exclude]], 40)</f>
        <v/>
      </c>
      <c r="P132" s="96" t="str" cm="1">
        <f t="array" aca="1" ref="P132" ca="1">Common_InputFunctions.Utility_DisplayArrayInTable(Fertiliser_SourceData.Fertiliser_Products_Data3(),FertiliserProducts[[#Headers],[Include or Exclude]], 40)</f>
        <v/>
      </c>
      <c r="Q132" s="96" t="str" cm="1">
        <f t="array" aca="1" ref="Q132" ca="1">Common_InputFunctions.Utility_DisplayArrayInTable(Fertiliser_SourceData.Fertiliser_Products_Data3(),FertiliserProducts[[#Headers],[Include or Exclude]], 40)</f>
        <v/>
      </c>
      <c r="R132" s="96" t="str" cm="1">
        <f t="array" aca="1" ref="R132" ca="1">Common_InputFunctions.Utility_DisplayArrayInTable(Fertiliser_SourceData.Fertiliser_Products_Data3(),FertiliserProducts[[#Headers],[Include or Exclude]], 40)</f>
        <v/>
      </c>
      <c r="S132" s="96" t="str" cm="1">
        <f t="array" aca="1" ref="S132" ca="1">Common_InputFunctions.Utility_DisplayArrayInTable(Fertiliser_SourceData.Fertiliser_Products_Data3(),FertiliserProducts[[#Headers],[Include or Exclude]], 40)</f>
        <v/>
      </c>
      <c r="T132" s="96" t="str" cm="1">
        <f t="array" aca="1" ref="T132" ca="1">Common_InputFunctions.Utility_DisplayArrayInTable(Fertiliser_SourceData.Fertiliser_Products_Data3(),FertiliserProducts[[#Headers],[Include or Exclude]], 40)</f>
        <v/>
      </c>
      <c r="U132" s="96" t="str" cm="1">
        <f t="array" aca="1" ref="U132" ca="1">Common_InputFunctions.Utility_DisplayArrayInTable(Fertiliser_SourceData.Fertiliser_Products_Data3(),FertiliserProducts[[#Headers],[Include or Exclude]], 40)</f>
        <v/>
      </c>
      <c r="V132" s="96" t="str" cm="1">
        <f t="array" aca="1" ref="V132" ca="1">Common_InputFunctions.Utility_DisplayArrayInTable(Fertiliser_SourceData.Fertiliser_Products_Data3(),FertiliserProducts[[#Headers],[Include or Exclude]], 40)</f>
        <v/>
      </c>
      <c r="W132" s="96" t="str" cm="1">
        <f t="array" aca="1" ref="W132" ca="1">Common_InputFunctions.Utility_DisplayArrayInTable(Fertiliser_SourceData.Fertiliser_Products_Data3(),FertiliserProducts[[#Headers],[Include or Exclude]], 40)</f>
        <v/>
      </c>
      <c r="X132" s="96" t="str" cm="1">
        <f t="array" aca="1" ref="X132" ca="1">Common_InputFunctions.Utility_DisplayArrayInTable(Fertiliser_SourceData.Fertiliser_Products_Data3(),FertiliserProducts[[#Headers],[Include or Exclude]], 40)</f>
        <v/>
      </c>
      <c r="Y132" s="96" t="str" cm="1">
        <f t="array" aca="1" ref="Y132" ca="1">Common_InputFunctions.Utility_DisplayArrayInTable(Fertiliser_SourceData.Fertiliser_Products_Data3(),FertiliserProducts[[#Headers],[Include or Exclude]], 40)</f>
        <v/>
      </c>
      <c r="Z132" s="96" t="str" cm="1">
        <f t="array" aca="1" ref="Z132" ca="1">Common_InputFunctions.Utility_DisplayArrayInTable(Fertiliser_SourceData.Fertiliser_Products_Data3(),FertiliserProducts[[#Headers],[Include or Exclude]], 40)</f>
        <v/>
      </c>
      <c r="AA132" s="36" t="str" cm="1">
        <f t="array" aca="1" ref="AA132" ca="1">Common_InputFunctions.Utility_DisplayArrayInTable(Fertiliser_SourceData.Fertiliser_Products_Data3(),FertiliserProducts[[#Headers],[Include or Exclude]], 40)</f>
        <v/>
      </c>
      <c r="AB132" s="36" t="str" cm="1">
        <f t="array" aca="1" ref="AB132" ca="1">Common_InputFunctions.Utility_DisplayArrayInTable(Fertiliser_SourceData.Fertiliser_Products_Data3(),FertiliserProducts[[#Headers],[Include or Exclude]], 40)</f>
        <v/>
      </c>
      <c r="AC132" s="36" t="str" cm="1">
        <f t="array" aca="1" ref="AC132" ca="1">Common_InputFunctions.Utility_DisplayArrayInTable(Fertiliser_SourceData.Fertiliser_Products_Data3(),FertiliserProducts[[#Headers],[Include or Exclude]], 40)</f>
        <v/>
      </c>
      <c r="AD132" s="36" t="str" cm="1">
        <f t="array" aca="1" ref="AD132" ca="1">Common_InputFunctions.Utility_DisplayArrayInTable(Fertiliser_SourceData.Fertiliser_Products_Data3(),FertiliserProducts[[#Headers],[Include or Exclude]], 40)</f>
        <v/>
      </c>
      <c r="AE132" s="36" t="str" cm="1">
        <f t="array" aca="1" ref="AE132" ca="1">Common_InputFunctions.Utility_DisplayArrayInTable(Fertiliser_SourceData.Fertiliser_Products_Data3(),FertiliserProducts[[#Headers],[Include or Exclude]], 40)</f>
        <v/>
      </c>
    </row>
    <row r="133" spans="4:31" ht="20.100000000000001" customHeight="1" x14ac:dyDescent="0.25">
      <c r="D133" s="96" t="str" cm="1">
        <f t="array" aca="1" ref="D133" ca="1">Common_InputFunctions.Utility_DisplayArrayInTable(Fertiliser_SourceData.Fertiliser_Products_Data3(),FertiliserProducts[[#Headers],[Include or Exclude]], 40)</f>
        <v/>
      </c>
      <c r="E133" s="96" t="str" cm="1">
        <f t="array" aca="1" ref="E133" ca="1">Common_InputFunctions.Utility_DisplayArrayInTable(Fertiliser_SourceData.Fertiliser_Products_Data3(),FertiliserProducts[[#Headers],[Include or Exclude]], 40)</f>
        <v/>
      </c>
      <c r="F133" s="96" t="str" cm="1">
        <f t="array" aca="1" ref="F133" ca="1">Common_InputFunctions.Utility_DisplayArrayInTable(Fertiliser_SourceData.Fertiliser_Products_Data3(),FertiliserProducts[[#Headers],[Include or Exclude]], 40)</f>
        <v/>
      </c>
      <c r="G133" s="96" t="str" cm="1">
        <f t="array" aca="1" ref="G133" ca="1">Common_InputFunctions.Utility_DisplayArrayInTable(Fertiliser_SourceData.Fertiliser_Products_Data3(),FertiliserProducts[[#Headers],[Include or Exclude]], 40)</f>
        <v/>
      </c>
      <c r="H133" s="96" t="str" cm="1">
        <f t="array" aca="1" ref="H133" ca="1">Common_InputFunctions.Utility_DisplayArrayInTable(Fertiliser_SourceData.Fertiliser_Products_Data3(),FertiliserProducts[[#Headers],[Include or Exclude]], 40)</f>
        <v/>
      </c>
      <c r="I133" s="96" t="str" cm="1">
        <f t="array" aca="1" ref="I133" ca="1">Common_InputFunctions.Utility_DisplayArrayInTable(Fertiliser_SourceData.Fertiliser_Products_Data3(),FertiliserProducts[[#Headers],[Include or Exclude]], 40)</f>
        <v/>
      </c>
      <c r="J133" s="96" t="str" cm="1">
        <f t="array" aca="1" ref="J133" ca="1">Common_InputFunctions.Utility_DisplayArrayInTable(Fertiliser_SourceData.Fertiliser_Products_Data3(),FertiliserProducts[[#Headers],[Include or Exclude]], 40)</f>
        <v/>
      </c>
      <c r="K133" s="96" t="str" cm="1">
        <f t="array" aca="1" ref="K133" ca="1">Common_InputFunctions.Utility_DisplayArrayInTable(Fertiliser_SourceData.Fertiliser_Products_Data3(),FertiliserProducts[[#Headers],[Include or Exclude]], 40)</f>
        <v/>
      </c>
      <c r="L133" s="96" t="str" cm="1">
        <f t="array" aca="1" ref="L133" ca="1">Common_InputFunctions.Utility_DisplayArrayInTable(Fertiliser_SourceData.Fertiliser_Products_Data3(),FertiliserProducts[[#Headers],[Include or Exclude]], 40)</f>
        <v/>
      </c>
      <c r="M133" s="96" t="str" cm="1">
        <f t="array" aca="1" ref="M133" ca="1">Common_InputFunctions.Utility_DisplayArrayInTable(Fertiliser_SourceData.Fertiliser_Products_Data3(),FertiliserProducts[[#Headers],[Include or Exclude]], 40)</f>
        <v/>
      </c>
      <c r="N133" s="96" t="str" cm="1">
        <f t="array" aca="1" ref="N133" ca="1">Common_InputFunctions.Utility_DisplayArrayInTable(Fertiliser_SourceData.Fertiliser_Products_Data3(),FertiliserProducts[[#Headers],[Include or Exclude]], 40)</f>
        <v/>
      </c>
      <c r="O133" s="96" t="str" cm="1">
        <f t="array" aca="1" ref="O133" ca="1">Common_InputFunctions.Utility_DisplayArrayInTable(Fertiliser_SourceData.Fertiliser_Products_Data3(),FertiliserProducts[[#Headers],[Include or Exclude]], 40)</f>
        <v/>
      </c>
      <c r="P133" s="96" t="str" cm="1">
        <f t="array" aca="1" ref="P133" ca="1">Common_InputFunctions.Utility_DisplayArrayInTable(Fertiliser_SourceData.Fertiliser_Products_Data3(),FertiliserProducts[[#Headers],[Include or Exclude]], 40)</f>
        <v/>
      </c>
      <c r="Q133" s="96" t="str" cm="1">
        <f t="array" aca="1" ref="Q133" ca="1">Common_InputFunctions.Utility_DisplayArrayInTable(Fertiliser_SourceData.Fertiliser_Products_Data3(),FertiliserProducts[[#Headers],[Include or Exclude]], 40)</f>
        <v/>
      </c>
      <c r="R133" s="96" t="str" cm="1">
        <f t="array" aca="1" ref="R133" ca="1">Common_InputFunctions.Utility_DisplayArrayInTable(Fertiliser_SourceData.Fertiliser_Products_Data3(),FertiliserProducts[[#Headers],[Include or Exclude]], 40)</f>
        <v/>
      </c>
      <c r="S133" s="96" t="str" cm="1">
        <f t="array" aca="1" ref="S133" ca="1">Common_InputFunctions.Utility_DisplayArrayInTable(Fertiliser_SourceData.Fertiliser_Products_Data3(),FertiliserProducts[[#Headers],[Include or Exclude]], 40)</f>
        <v/>
      </c>
      <c r="T133" s="96" t="str" cm="1">
        <f t="array" aca="1" ref="T133" ca="1">Common_InputFunctions.Utility_DisplayArrayInTable(Fertiliser_SourceData.Fertiliser_Products_Data3(),FertiliserProducts[[#Headers],[Include or Exclude]], 40)</f>
        <v/>
      </c>
      <c r="U133" s="96" t="str" cm="1">
        <f t="array" aca="1" ref="U133" ca="1">Common_InputFunctions.Utility_DisplayArrayInTable(Fertiliser_SourceData.Fertiliser_Products_Data3(),FertiliserProducts[[#Headers],[Include or Exclude]], 40)</f>
        <v/>
      </c>
      <c r="V133" s="96" t="str" cm="1">
        <f t="array" aca="1" ref="V133" ca="1">Common_InputFunctions.Utility_DisplayArrayInTable(Fertiliser_SourceData.Fertiliser_Products_Data3(),FertiliserProducts[[#Headers],[Include or Exclude]], 40)</f>
        <v/>
      </c>
      <c r="W133" s="96" t="str" cm="1">
        <f t="array" aca="1" ref="W133" ca="1">Common_InputFunctions.Utility_DisplayArrayInTable(Fertiliser_SourceData.Fertiliser_Products_Data3(),FertiliserProducts[[#Headers],[Include or Exclude]], 40)</f>
        <v/>
      </c>
      <c r="X133" s="96" t="str" cm="1">
        <f t="array" aca="1" ref="X133" ca="1">Common_InputFunctions.Utility_DisplayArrayInTable(Fertiliser_SourceData.Fertiliser_Products_Data3(),FertiliserProducts[[#Headers],[Include or Exclude]], 40)</f>
        <v/>
      </c>
      <c r="Y133" s="96" t="str" cm="1">
        <f t="array" aca="1" ref="Y133" ca="1">Common_InputFunctions.Utility_DisplayArrayInTable(Fertiliser_SourceData.Fertiliser_Products_Data3(),FertiliserProducts[[#Headers],[Include or Exclude]], 40)</f>
        <v/>
      </c>
      <c r="Z133" s="96" t="str" cm="1">
        <f t="array" aca="1" ref="Z133" ca="1">Common_InputFunctions.Utility_DisplayArrayInTable(Fertiliser_SourceData.Fertiliser_Products_Data3(),FertiliserProducts[[#Headers],[Include or Exclude]], 40)</f>
        <v/>
      </c>
      <c r="AA133" s="36" t="str" cm="1">
        <f t="array" aca="1" ref="AA133" ca="1">Common_InputFunctions.Utility_DisplayArrayInTable(Fertiliser_SourceData.Fertiliser_Products_Data3(),FertiliserProducts[[#Headers],[Include or Exclude]], 40)</f>
        <v/>
      </c>
      <c r="AB133" s="36" t="str" cm="1">
        <f t="array" aca="1" ref="AB133" ca="1">Common_InputFunctions.Utility_DisplayArrayInTable(Fertiliser_SourceData.Fertiliser_Products_Data3(),FertiliserProducts[[#Headers],[Include or Exclude]], 40)</f>
        <v/>
      </c>
      <c r="AC133" s="36" t="str" cm="1">
        <f t="array" aca="1" ref="AC133" ca="1">Common_InputFunctions.Utility_DisplayArrayInTable(Fertiliser_SourceData.Fertiliser_Products_Data3(),FertiliserProducts[[#Headers],[Include or Exclude]], 40)</f>
        <v/>
      </c>
      <c r="AD133" s="36" t="str" cm="1">
        <f t="array" aca="1" ref="AD133" ca="1">Common_InputFunctions.Utility_DisplayArrayInTable(Fertiliser_SourceData.Fertiliser_Products_Data3(),FertiliserProducts[[#Headers],[Include or Exclude]], 40)</f>
        <v/>
      </c>
      <c r="AE133" s="36" t="str" cm="1">
        <f t="array" aca="1" ref="AE133" ca="1">Common_InputFunctions.Utility_DisplayArrayInTable(Fertiliser_SourceData.Fertiliser_Products_Data3(),FertiliserProducts[[#Headers],[Include or Exclude]], 40)</f>
        <v/>
      </c>
    </row>
    <row r="134" spans="4:31" ht="20.100000000000001" customHeight="1" x14ac:dyDescent="0.25">
      <c r="D134" s="96" t="str" cm="1">
        <f t="array" aca="1" ref="D134" ca="1">Common_InputFunctions.Utility_DisplayArrayInTable(Fertiliser_SourceData.Fertiliser_Products_Data3(),FertiliserProducts[[#Headers],[Include or Exclude]], 40)</f>
        <v/>
      </c>
      <c r="E134" s="96" t="str" cm="1">
        <f t="array" aca="1" ref="E134" ca="1">Common_InputFunctions.Utility_DisplayArrayInTable(Fertiliser_SourceData.Fertiliser_Products_Data3(),FertiliserProducts[[#Headers],[Include or Exclude]], 40)</f>
        <v/>
      </c>
      <c r="F134" s="96" t="str" cm="1">
        <f t="array" aca="1" ref="F134" ca="1">Common_InputFunctions.Utility_DisplayArrayInTable(Fertiliser_SourceData.Fertiliser_Products_Data3(),FertiliserProducts[[#Headers],[Include or Exclude]], 40)</f>
        <v/>
      </c>
      <c r="G134" s="96" t="str" cm="1">
        <f t="array" aca="1" ref="G134" ca="1">Common_InputFunctions.Utility_DisplayArrayInTable(Fertiliser_SourceData.Fertiliser_Products_Data3(),FertiliserProducts[[#Headers],[Include or Exclude]], 40)</f>
        <v/>
      </c>
      <c r="H134" s="96" t="str" cm="1">
        <f t="array" aca="1" ref="H134" ca="1">Common_InputFunctions.Utility_DisplayArrayInTable(Fertiliser_SourceData.Fertiliser_Products_Data3(),FertiliserProducts[[#Headers],[Include or Exclude]], 40)</f>
        <v/>
      </c>
      <c r="I134" s="96" t="str" cm="1">
        <f t="array" aca="1" ref="I134" ca="1">Common_InputFunctions.Utility_DisplayArrayInTable(Fertiliser_SourceData.Fertiliser_Products_Data3(),FertiliserProducts[[#Headers],[Include or Exclude]], 40)</f>
        <v/>
      </c>
      <c r="J134" s="96" t="str" cm="1">
        <f t="array" aca="1" ref="J134" ca="1">Common_InputFunctions.Utility_DisplayArrayInTable(Fertiliser_SourceData.Fertiliser_Products_Data3(),FertiliserProducts[[#Headers],[Include or Exclude]], 40)</f>
        <v/>
      </c>
      <c r="K134" s="96" t="str" cm="1">
        <f t="array" aca="1" ref="K134" ca="1">Common_InputFunctions.Utility_DisplayArrayInTable(Fertiliser_SourceData.Fertiliser_Products_Data3(),FertiliserProducts[[#Headers],[Include or Exclude]], 40)</f>
        <v/>
      </c>
      <c r="L134" s="96" t="str" cm="1">
        <f t="array" aca="1" ref="L134" ca="1">Common_InputFunctions.Utility_DisplayArrayInTable(Fertiliser_SourceData.Fertiliser_Products_Data3(),FertiliserProducts[[#Headers],[Include or Exclude]], 40)</f>
        <v/>
      </c>
      <c r="M134" s="96" t="str" cm="1">
        <f t="array" aca="1" ref="M134" ca="1">Common_InputFunctions.Utility_DisplayArrayInTable(Fertiliser_SourceData.Fertiliser_Products_Data3(),FertiliserProducts[[#Headers],[Include or Exclude]], 40)</f>
        <v/>
      </c>
      <c r="N134" s="96" t="str" cm="1">
        <f t="array" aca="1" ref="N134" ca="1">Common_InputFunctions.Utility_DisplayArrayInTable(Fertiliser_SourceData.Fertiliser_Products_Data3(),FertiliserProducts[[#Headers],[Include or Exclude]], 40)</f>
        <v/>
      </c>
      <c r="O134" s="96" t="str" cm="1">
        <f t="array" aca="1" ref="O134" ca="1">Common_InputFunctions.Utility_DisplayArrayInTable(Fertiliser_SourceData.Fertiliser_Products_Data3(),FertiliserProducts[[#Headers],[Include or Exclude]], 40)</f>
        <v/>
      </c>
      <c r="P134" s="96" t="str" cm="1">
        <f t="array" aca="1" ref="P134" ca="1">Common_InputFunctions.Utility_DisplayArrayInTable(Fertiliser_SourceData.Fertiliser_Products_Data3(),FertiliserProducts[[#Headers],[Include or Exclude]], 40)</f>
        <v/>
      </c>
      <c r="Q134" s="96" t="str" cm="1">
        <f t="array" aca="1" ref="Q134" ca="1">Common_InputFunctions.Utility_DisplayArrayInTable(Fertiliser_SourceData.Fertiliser_Products_Data3(),FertiliserProducts[[#Headers],[Include or Exclude]], 40)</f>
        <v/>
      </c>
      <c r="R134" s="96" t="str" cm="1">
        <f t="array" aca="1" ref="R134" ca="1">Common_InputFunctions.Utility_DisplayArrayInTable(Fertiliser_SourceData.Fertiliser_Products_Data3(),FertiliserProducts[[#Headers],[Include or Exclude]], 40)</f>
        <v/>
      </c>
      <c r="S134" s="96" t="str" cm="1">
        <f t="array" aca="1" ref="S134" ca="1">Common_InputFunctions.Utility_DisplayArrayInTable(Fertiliser_SourceData.Fertiliser_Products_Data3(),FertiliserProducts[[#Headers],[Include or Exclude]], 40)</f>
        <v/>
      </c>
      <c r="T134" s="96" t="str" cm="1">
        <f t="array" aca="1" ref="T134" ca="1">Common_InputFunctions.Utility_DisplayArrayInTable(Fertiliser_SourceData.Fertiliser_Products_Data3(),FertiliserProducts[[#Headers],[Include or Exclude]], 40)</f>
        <v/>
      </c>
      <c r="U134" s="96" t="str" cm="1">
        <f t="array" aca="1" ref="U134" ca="1">Common_InputFunctions.Utility_DisplayArrayInTable(Fertiliser_SourceData.Fertiliser_Products_Data3(),FertiliserProducts[[#Headers],[Include or Exclude]], 40)</f>
        <v/>
      </c>
      <c r="V134" s="96" t="str" cm="1">
        <f t="array" aca="1" ref="V134" ca="1">Common_InputFunctions.Utility_DisplayArrayInTable(Fertiliser_SourceData.Fertiliser_Products_Data3(),FertiliserProducts[[#Headers],[Include or Exclude]], 40)</f>
        <v/>
      </c>
      <c r="W134" s="96" t="str" cm="1">
        <f t="array" aca="1" ref="W134" ca="1">Common_InputFunctions.Utility_DisplayArrayInTable(Fertiliser_SourceData.Fertiliser_Products_Data3(),FertiliserProducts[[#Headers],[Include or Exclude]], 40)</f>
        <v/>
      </c>
      <c r="X134" s="96" t="str" cm="1">
        <f t="array" aca="1" ref="X134" ca="1">Common_InputFunctions.Utility_DisplayArrayInTable(Fertiliser_SourceData.Fertiliser_Products_Data3(),FertiliserProducts[[#Headers],[Include or Exclude]], 40)</f>
        <v/>
      </c>
      <c r="Y134" s="96" t="str" cm="1">
        <f t="array" aca="1" ref="Y134" ca="1">Common_InputFunctions.Utility_DisplayArrayInTable(Fertiliser_SourceData.Fertiliser_Products_Data3(),FertiliserProducts[[#Headers],[Include or Exclude]], 40)</f>
        <v/>
      </c>
      <c r="Z134" s="96" t="str" cm="1">
        <f t="array" aca="1" ref="Z134" ca="1">Common_InputFunctions.Utility_DisplayArrayInTable(Fertiliser_SourceData.Fertiliser_Products_Data3(),FertiliserProducts[[#Headers],[Include or Exclude]], 40)</f>
        <v/>
      </c>
      <c r="AA134" s="36" t="str" cm="1">
        <f t="array" aca="1" ref="AA134" ca="1">Common_InputFunctions.Utility_DisplayArrayInTable(Fertiliser_SourceData.Fertiliser_Products_Data3(),FertiliserProducts[[#Headers],[Include or Exclude]], 40)</f>
        <v/>
      </c>
      <c r="AB134" s="36" t="str" cm="1">
        <f t="array" aca="1" ref="AB134" ca="1">Common_InputFunctions.Utility_DisplayArrayInTable(Fertiliser_SourceData.Fertiliser_Products_Data3(),FertiliserProducts[[#Headers],[Include or Exclude]], 40)</f>
        <v/>
      </c>
      <c r="AC134" s="36" t="str" cm="1">
        <f t="array" aca="1" ref="AC134" ca="1">Common_InputFunctions.Utility_DisplayArrayInTable(Fertiliser_SourceData.Fertiliser_Products_Data3(),FertiliserProducts[[#Headers],[Include or Exclude]], 40)</f>
        <v/>
      </c>
      <c r="AD134" s="36" t="str" cm="1">
        <f t="array" aca="1" ref="AD134" ca="1">Common_InputFunctions.Utility_DisplayArrayInTable(Fertiliser_SourceData.Fertiliser_Products_Data3(),FertiliserProducts[[#Headers],[Include or Exclude]], 40)</f>
        <v/>
      </c>
      <c r="AE134" s="36" t="str" cm="1">
        <f t="array" aca="1" ref="AE134" ca="1">Common_InputFunctions.Utility_DisplayArrayInTable(Fertiliser_SourceData.Fertiliser_Products_Data3(),FertiliserProducts[[#Headers],[Include or Exclude]], 40)</f>
        <v/>
      </c>
    </row>
    <row r="135" spans="4:31" ht="20.100000000000001" customHeight="1" x14ac:dyDescent="0.25">
      <c r="D135" s="96" t="str" cm="1">
        <f t="array" aca="1" ref="D135" ca="1">Common_InputFunctions.Utility_DisplayArrayInTable(Fertiliser_SourceData.Fertiliser_Products_Data3(),FertiliserProducts[[#Headers],[Include or Exclude]], 40)</f>
        <v/>
      </c>
      <c r="E135" s="96" t="str" cm="1">
        <f t="array" aca="1" ref="E135" ca="1">Common_InputFunctions.Utility_DisplayArrayInTable(Fertiliser_SourceData.Fertiliser_Products_Data3(),FertiliserProducts[[#Headers],[Include or Exclude]], 40)</f>
        <v/>
      </c>
      <c r="F135" s="96" t="str" cm="1">
        <f t="array" aca="1" ref="F135" ca="1">Common_InputFunctions.Utility_DisplayArrayInTable(Fertiliser_SourceData.Fertiliser_Products_Data3(),FertiliserProducts[[#Headers],[Include or Exclude]], 40)</f>
        <v/>
      </c>
      <c r="G135" s="96" t="str" cm="1">
        <f t="array" aca="1" ref="G135" ca="1">Common_InputFunctions.Utility_DisplayArrayInTable(Fertiliser_SourceData.Fertiliser_Products_Data3(),FertiliserProducts[[#Headers],[Include or Exclude]], 40)</f>
        <v/>
      </c>
      <c r="H135" s="96" t="str" cm="1">
        <f t="array" aca="1" ref="H135" ca="1">Common_InputFunctions.Utility_DisplayArrayInTable(Fertiliser_SourceData.Fertiliser_Products_Data3(),FertiliserProducts[[#Headers],[Include or Exclude]], 40)</f>
        <v/>
      </c>
      <c r="I135" s="96" t="str" cm="1">
        <f t="array" aca="1" ref="I135" ca="1">Common_InputFunctions.Utility_DisplayArrayInTable(Fertiliser_SourceData.Fertiliser_Products_Data3(),FertiliserProducts[[#Headers],[Include or Exclude]], 40)</f>
        <v/>
      </c>
      <c r="J135" s="96" t="str" cm="1">
        <f t="array" aca="1" ref="J135" ca="1">Common_InputFunctions.Utility_DisplayArrayInTable(Fertiliser_SourceData.Fertiliser_Products_Data3(),FertiliserProducts[[#Headers],[Include or Exclude]], 40)</f>
        <v/>
      </c>
      <c r="K135" s="96" t="str" cm="1">
        <f t="array" aca="1" ref="K135" ca="1">Common_InputFunctions.Utility_DisplayArrayInTable(Fertiliser_SourceData.Fertiliser_Products_Data3(),FertiliserProducts[[#Headers],[Include or Exclude]], 40)</f>
        <v/>
      </c>
      <c r="L135" s="96" t="str" cm="1">
        <f t="array" aca="1" ref="L135" ca="1">Common_InputFunctions.Utility_DisplayArrayInTable(Fertiliser_SourceData.Fertiliser_Products_Data3(),FertiliserProducts[[#Headers],[Include or Exclude]], 40)</f>
        <v/>
      </c>
      <c r="M135" s="96" t="str" cm="1">
        <f t="array" aca="1" ref="M135" ca="1">Common_InputFunctions.Utility_DisplayArrayInTable(Fertiliser_SourceData.Fertiliser_Products_Data3(),FertiliserProducts[[#Headers],[Include or Exclude]], 40)</f>
        <v/>
      </c>
      <c r="N135" s="96" t="str" cm="1">
        <f t="array" aca="1" ref="N135" ca="1">Common_InputFunctions.Utility_DisplayArrayInTable(Fertiliser_SourceData.Fertiliser_Products_Data3(),FertiliserProducts[[#Headers],[Include or Exclude]], 40)</f>
        <v/>
      </c>
      <c r="O135" s="96" t="str" cm="1">
        <f t="array" aca="1" ref="O135" ca="1">Common_InputFunctions.Utility_DisplayArrayInTable(Fertiliser_SourceData.Fertiliser_Products_Data3(),FertiliserProducts[[#Headers],[Include or Exclude]], 40)</f>
        <v/>
      </c>
      <c r="P135" s="96" t="str" cm="1">
        <f t="array" aca="1" ref="P135" ca="1">Common_InputFunctions.Utility_DisplayArrayInTable(Fertiliser_SourceData.Fertiliser_Products_Data3(),FertiliserProducts[[#Headers],[Include or Exclude]], 40)</f>
        <v/>
      </c>
      <c r="Q135" s="96" t="str" cm="1">
        <f t="array" aca="1" ref="Q135" ca="1">Common_InputFunctions.Utility_DisplayArrayInTable(Fertiliser_SourceData.Fertiliser_Products_Data3(),FertiliserProducts[[#Headers],[Include or Exclude]], 40)</f>
        <v/>
      </c>
      <c r="R135" s="96" t="str" cm="1">
        <f t="array" aca="1" ref="R135" ca="1">Common_InputFunctions.Utility_DisplayArrayInTable(Fertiliser_SourceData.Fertiliser_Products_Data3(),FertiliserProducts[[#Headers],[Include or Exclude]], 40)</f>
        <v/>
      </c>
      <c r="S135" s="96" t="str" cm="1">
        <f t="array" aca="1" ref="S135" ca="1">Common_InputFunctions.Utility_DisplayArrayInTable(Fertiliser_SourceData.Fertiliser_Products_Data3(),FertiliserProducts[[#Headers],[Include or Exclude]], 40)</f>
        <v/>
      </c>
      <c r="T135" s="96" t="str" cm="1">
        <f t="array" aca="1" ref="T135" ca="1">Common_InputFunctions.Utility_DisplayArrayInTable(Fertiliser_SourceData.Fertiliser_Products_Data3(),FertiliserProducts[[#Headers],[Include or Exclude]], 40)</f>
        <v/>
      </c>
      <c r="U135" s="96" t="str" cm="1">
        <f t="array" aca="1" ref="U135" ca="1">Common_InputFunctions.Utility_DisplayArrayInTable(Fertiliser_SourceData.Fertiliser_Products_Data3(),FertiliserProducts[[#Headers],[Include or Exclude]], 40)</f>
        <v/>
      </c>
      <c r="V135" s="96" t="str" cm="1">
        <f t="array" aca="1" ref="V135" ca="1">Common_InputFunctions.Utility_DisplayArrayInTable(Fertiliser_SourceData.Fertiliser_Products_Data3(),FertiliserProducts[[#Headers],[Include or Exclude]], 40)</f>
        <v/>
      </c>
      <c r="W135" s="96" t="str" cm="1">
        <f t="array" aca="1" ref="W135" ca="1">Common_InputFunctions.Utility_DisplayArrayInTable(Fertiliser_SourceData.Fertiliser_Products_Data3(),FertiliserProducts[[#Headers],[Include or Exclude]], 40)</f>
        <v/>
      </c>
      <c r="X135" s="96" t="str" cm="1">
        <f t="array" aca="1" ref="X135" ca="1">Common_InputFunctions.Utility_DisplayArrayInTable(Fertiliser_SourceData.Fertiliser_Products_Data3(),FertiliserProducts[[#Headers],[Include or Exclude]], 40)</f>
        <v/>
      </c>
      <c r="Y135" s="96" t="str" cm="1">
        <f t="array" aca="1" ref="Y135" ca="1">Common_InputFunctions.Utility_DisplayArrayInTable(Fertiliser_SourceData.Fertiliser_Products_Data3(),FertiliserProducts[[#Headers],[Include or Exclude]], 40)</f>
        <v/>
      </c>
      <c r="Z135" s="96" t="str" cm="1">
        <f t="array" aca="1" ref="Z135" ca="1">Common_InputFunctions.Utility_DisplayArrayInTable(Fertiliser_SourceData.Fertiliser_Products_Data3(),FertiliserProducts[[#Headers],[Include or Exclude]], 40)</f>
        <v/>
      </c>
      <c r="AA135" s="36" t="str" cm="1">
        <f t="array" aca="1" ref="AA135" ca="1">Common_InputFunctions.Utility_DisplayArrayInTable(Fertiliser_SourceData.Fertiliser_Products_Data3(),FertiliserProducts[[#Headers],[Include or Exclude]], 40)</f>
        <v/>
      </c>
      <c r="AB135" s="36" t="str" cm="1">
        <f t="array" aca="1" ref="AB135" ca="1">Common_InputFunctions.Utility_DisplayArrayInTable(Fertiliser_SourceData.Fertiliser_Products_Data3(),FertiliserProducts[[#Headers],[Include or Exclude]], 40)</f>
        <v/>
      </c>
      <c r="AC135" s="36" t="str" cm="1">
        <f t="array" aca="1" ref="AC135" ca="1">Common_InputFunctions.Utility_DisplayArrayInTable(Fertiliser_SourceData.Fertiliser_Products_Data3(),FertiliserProducts[[#Headers],[Include or Exclude]], 40)</f>
        <v/>
      </c>
      <c r="AD135" s="36" t="str" cm="1">
        <f t="array" aca="1" ref="AD135" ca="1">Common_InputFunctions.Utility_DisplayArrayInTable(Fertiliser_SourceData.Fertiliser_Products_Data3(),FertiliserProducts[[#Headers],[Include or Exclude]], 40)</f>
        <v/>
      </c>
      <c r="AE135" s="36" t="str" cm="1">
        <f t="array" aca="1" ref="AE135" ca="1">Common_InputFunctions.Utility_DisplayArrayInTable(Fertiliser_SourceData.Fertiliser_Products_Data3(),FertiliserProducts[[#Headers],[Include or Exclude]], 40)</f>
        <v/>
      </c>
    </row>
    <row r="136" spans="4:31" ht="20.100000000000001" customHeight="1" x14ac:dyDescent="0.25">
      <c r="D136" s="96" t="str" cm="1">
        <f t="array" aca="1" ref="D136" ca="1">Common_InputFunctions.Utility_DisplayArrayInTable(Fertiliser_SourceData.Fertiliser_Products_Data3(),FertiliserProducts[[#Headers],[Include or Exclude]], 40)</f>
        <v/>
      </c>
      <c r="E136" s="96" t="str" cm="1">
        <f t="array" aca="1" ref="E136" ca="1">Common_InputFunctions.Utility_DisplayArrayInTable(Fertiliser_SourceData.Fertiliser_Products_Data3(),FertiliserProducts[[#Headers],[Include or Exclude]], 40)</f>
        <v/>
      </c>
      <c r="F136" s="96" t="str" cm="1">
        <f t="array" aca="1" ref="F136" ca="1">Common_InputFunctions.Utility_DisplayArrayInTable(Fertiliser_SourceData.Fertiliser_Products_Data3(),FertiliserProducts[[#Headers],[Include or Exclude]], 40)</f>
        <v/>
      </c>
      <c r="G136" s="96" t="str" cm="1">
        <f t="array" aca="1" ref="G136" ca="1">Common_InputFunctions.Utility_DisplayArrayInTable(Fertiliser_SourceData.Fertiliser_Products_Data3(),FertiliserProducts[[#Headers],[Include or Exclude]], 40)</f>
        <v/>
      </c>
      <c r="H136" s="96" t="str" cm="1">
        <f t="array" aca="1" ref="H136" ca="1">Common_InputFunctions.Utility_DisplayArrayInTable(Fertiliser_SourceData.Fertiliser_Products_Data3(),FertiliserProducts[[#Headers],[Include or Exclude]], 40)</f>
        <v/>
      </c>
      <c r="I136" s="96" t="str" cm="1">
        <f t="array" aca="1" ref="I136" ca="1">Common_InputFunctions.Utility_DisplayArrayInTable(Fertiliser_SourceData.Fertiliser_Products_Data3(),FertiliserProducts[[#Headers],[Include or Exclude]], 40)</f>
        <v/>
      </c>
      <c r="J136" s="96" t="str" cm="1">
        <f t="array" aca="1" ref="J136" ca="1">Common_InputFunctions.Utility_DisplayArrayInTable(Fertiliser_SourceData.Fertiliser_Products_Data3(),FertiliserProducts[[#Headers],[Include or Exclude]], 40)</f>
        <v/>
      </c>
      <c r="K136" s="96" t="str" cm="1">
        <f t="array" aca="1" ref="K136" ca="1">Common_InputFunctions.Utility_DisplayArrayInTable(Fertiliser_SourceData.Fertiliser_Products_Data3(),FertiliserProducts[[#Headers],[Include or Exclude]], 40)</f>
        <v/>
      </c>
      <c r="L136" s="96" t="str" cm="1">
        <f t="array" aca="1" ref="L136" ca="1">Common_InputFunctions.Utility_DisplayArrayInTable(Fertiliser_SourceData.Fertiliser_Products_Data3(),FertiliserProducts[[#Headers],[Include or Exclude]], 40)</f>
        <v/>
      </c>
      <c r="M136" s="96" t="str" cm="1">
        <f t="array" aca="1" ref="M136" ca="1">Common_InputFunctions.Utility_DisplayArrayInTable(Fertiliser_SourceData.Fertiliser_Products_Data3(),FertiliserProducts[[#Headers],[Include or Exclude]], 40)</f>
        <v/>
      </c>
      <c r="N136" s="96" t="str" cm="1">
        <f t="array" aca="1" ref="N136" ca="1">Common_InputFunctions.Utility_DisplayArrayInTable(Fertiliser_SourceData.Fertiliser_Products_Data3(),FertiliserProducts[[#Headers],[Include or Exclude]], 40)</f>
        <v/>
      </c>
      <c r="O136" s="96" t="str" cm="1">
        <f t="array" aca="1" ref="O136" ca="1">Common_InputFunctions.Utility_DisplayArrayInTable(Fertiliser_SourceData.Fertiliser_Products_Data3(),FertiliserProducts[[#Headers],[Include or Exclude]], 40)</f>
        <v/>
      </c>
      <c r="P136" s="96" t="str" cm="1">
        <f t="array" aca="1" ref="P136" ca="1">Common_InputFunctions.Utility_DisplayArrayInTable(Fertiliser_SourceData.Fertiliser_Products_Data3(),FertiliserProducts[[#Headers],[Include or Exclude]], 40)</f>
        <v/>
      </c>
      <c r="Q136" s="96" t="str" cm="1">
        <f t="array" aca="1" ref="Q136" ca="1">Common_InputFunctions.Utility_DisplayArrayInTable(Fertiliser_SourceData.Fertiliser_Products_Data3(),FertiliserProducts[[#Headers],[Include or Exclude]], 40)</f>
        <v/>
      </c>
      <c r="R136" s="96" t="str" cm="1">
        <f t="array" aca="1" ref="R136" ca="1">Common_InputFunctions.Utility_DisplayArrayInTable(Fertiliser_SourceData.Fertiliser_Products_Data3(),FertiliserProducts[[#Headers],[Include or Exclude]], 40)</f>
        <v/>
      </c>
      <c r="S136" s="96" t="str" cm="1">
        <f t="array" aca="1" ref="S136" ca="1">Common_InputFunctions.Utility_DisplayArrayInTable(Fertiliser_SourceData.Fertiliser_Products_Data3(),FertiliserProducts[[#Headers],[Include or Exclude]], 40)</f>
        <v/>
      </c>
      <c r="T136" s="96" t="str" cm="1">
        <f t="array" aca="1" ref="T136" ca="1">Common_InputFunctions.Utility_DisplayArrayInTable(Fertiliser_SourceData.Fertiliser_Products_Data3(),FertiliserProducts[[#Headers],[Include or Exclude]], 40)</f>
        <v/>
      </c>
      <c r="U136" s="96" t="str" cm="1">
        <f t="array" aca="1" ref="U136" ca="1">Common_InputFunctions.Utility_DisplayArrayInTable(Fertiliser_SourceData.Fertiliser_Products_Data3(),FertiliserProducts[[#Headers],[Include or Exclude]], 40)</f>
        <v/>
      </c>
      <c r="V136" s="96" t="str" cm="1">
        <f t="array" aca="1" ref="V136" ca="1">Common_InputFunctions.Utility_DisplayArrayInTable(Fertiliser_SourceData.Fertiliser_Products_Data3(),FertiliserProducts[[#Headers],[Include or Exclude]], 40)</f>
        <v/>
      </c>
      <c r="W136" s="96" t="str" cm="1">
        <f t="array" aca="1" ref="W136" ca="1">Common_InputFunctions.Utility_DisplayArrayInTable(Fertiliser_SourceData.Fertiliser_Products_Data3(),FertiliserProducts[[#Headers],[Include or Exclude]], 40)</f>
        <v/>
      </c>
      <c r="X136" s="96" t="str" cm="1">
        <f t="array" aca="1" ref="X136" ca="1">Common_InputFunctions.Utility_DisplayArrayInTable(Fertiliser_SourceData.Fertiliser_Products_Data3(),FertiliserProducts[[#Headers],[Include or Exclude]], 40)</f>
        <v/>
      </c>
      <c r="Y136" s="96" t="str" cm="1">
        <f t="array" aca="1" ref="Y136" ca="1">Common_InputFunctions.Utility_DisplayArrayInTable(Fertiliser_SourceData.Fertiliser_Products_Data3(),FertiliserProducts[[#Headers],[Include or Exclude]], 40)</f>
        <v/>
      </c>
      <c r="Z136" s="96" t="str" cm="1">
        <f t="array" aca="1" ref="Z136" ca="1">Common_InputFunctions.Utility_DisplayArrayInTable(Fertiliser_SourceData.Fertiliser_Products_Data3(),FertiliserProducts[[#Headers],[Include or Exclude]], 40)</f>
        <v/>
      </c>
      <c r="AA136" s="36" t="str" cm="1">
        <f t="array" aca="1" ref="AA136" ca="1">Common_InputFunctions.Utility_DisplayArrayInTable(Fertiliser_SourceData.Fertiliser_Products_Data3(),FertiliserProducts[[#Headers],[Include or Exclude]], 40)</f>
        <v/>
      </c>
      <c r="AB136" s="36" t="str" cm="1">
        <f t="array" aca="1" ref="AB136" ca="1">Common_InputFunctions.Utility_DisplayArrayInTable(Fertiliser_SourceData.Fertiliser_Products_Data3(),FertiliserProducts[[#Headers],[Include or Exclude]], 40)</f>
        <v/>
      </c>
      <c r="AC136" s="36" t="str" cm="1">
        <f t="array" aca="1" ref="AC136" ca="1">Common_InputFunctions.Utility_DisplayArrayInTable(Fertiliser_SourceData.Fertiliser_Products_Data3(),FertiliserProducts[[#Headers],[Include or Exclude]], 40)</f>
        <v/>
      </c>
      <c r="AD136" s="36" t="str" cm="1">
        <f t="array" aca="1" ref="AD136" ca="1">Common_InputFunctions.Utility_DisplayArrayInTable(Fertiliser_SourceData.Fertiliser_Products_Data3(),FertiliserProducts[[#Headers],[Include or Exclude]], 40)</f>
        <v/>
      </c>
      <c r="AE136" s="36" t="str" cm="1">
        <f t="array" aca="1" ref="AE136" ca="1">Common_InputFunctions.Utility_DisplayArrayInTable(Fertiliser_SourceData.Fertiliser_Products_Data3(),FertiliserProducts[[#Headers],[Include or Exclude]], 40)</f>
        <v/>
      </c>
    </row>
    <row r="137" spans="4:31" ht="20.100000000000001" customHeight="1" x14ac:dyDescent="0.25">
      <c r="D137" s="96" t="str" cm="1">
        <f t="array" aca="1" ref="D137" ca="1">Common_InputFunctions.Utility_DisplayArrayInTable(Fertiliser_SourceData.Fertiliser_Products_Data3(),FertiliserProducts[[#Headers],[Include or Exclude]], 40)</f>
        <v/>
      </c>
      <c r="E137" s="96" t="str" cm="1">
        <f t="array" aca="1" ref="E137" ca="1">Common_InputFunctions.Utility_DisplayArrayInTable(Fertiliser_SourceData.Fertiliser_Products_Data3(),FertiliserProducts[[#Headers],[Include or Exclude]], 40)</f>
        <v/>
      </c>
      <c r="F137" s="96" t="str" cm="1">
        <f t="array" aca="1" ref="F137" ca="1">Common_InputFunctions.Utility_DisplayArrayInTable(Fertiliser_SourceData.Fertiliser_Products_Data3(),FertiliserProducts[[#Headers],[Include or Exclude]], 40)</f>
        <v/>
      </c>
      <c r="G137" s="96" t="str" cm="1">
        <f t="array" aca="1" ref="G137" ca="1">Common_InputFunctions.Utility_DisplayArrayInTable(Fertiliser_SourceData.Fertiliser_Products_Data3(),FertiliserProducts[[#Headers],[Include or Exclude]], 40)</f>
        <v/>
      </c>
      <c r="H137" s="96" t="str" cm="1">
        <f t="array" aca="1" ref="H137" ca="1">Common_InputFunctions.Utility_DisplayArrayInTable(Fertiliser_SourceData.Fertiliser_Products_Data3(),FertiliserProducts[[#Headers],[Include or Exclude]], 40)</f>
        <v/>
      </c>
      <c r="I137" s="96" t="str" cm="1">
        <f t="array" aca="1" ref="I137" ca="1">Common_InputFunctions.Utility_DisplayArrayInTable(Fertiliser_SourceData.Fertiliser_Products_Data3(),FertiliserProducts[[#Headers],[Include or Exclude]], 40)</f>
        <v/>
      </c>
      <c r="J137" s="96" t="str" cm="1">
        <f t="array" aca="1" ref="J137" ca="1">Common_InputFunctions.Utility_DisplayArrayInTable(Fertiliser_SourceData.Fertiliser_Products_Data3(),FertiliserProducts[[#Headers],[Include or Exclude]], 40)</f>
        <v/>
      </c>
      <c r="K137" s="96" t="str" cm="1">
        <f t="array" aca="1" ref="K137" ca="1">Common_InputFunctions.Utility_DisplayArrayInTable(Fertiliser_SourceData.Fertiliser_Products_Data3(),FertiliserProducts[[#Headers],[Include or Exclude]], 40)</f>
        <v/>
      </c>
      <c r="L137" s="96" t="str" cm="1">
        <f t="array" aca="1" ref="L137" ca="1">Common_InputFunctions.Utility_DisplayArrayInTable(Fertiliser_SourceData.Fertiliser_Products_Data3(),FertiliserProducts[[#Headers],[Include or Exclude]], 40)</f>
        <v/>
      </c>
      <c r="M137" s="96" t="str" cm="1">
        <f t="array" aca="1" ref="M137" ca="1">Common_InputFunctions.Utility_DisplayArrayInTable(Fertiliser_SourceData.Fertiliser_Products_Data3(),FertiliserProducts[[#Headers],[Include or Exclude]], 40)</f>
        <v/>
      </c>
      <c r="N137" s="96" t="str" cm="1">
        <f t="array" aca="1" ref="N137" ca="1">Common_InputFunctions.Utility_DisplayArrayInTable(Fertiliser_SourceData.Fertiliser_Products_Data3(),FertiliserProducts[[#Headers],[Include or Exclude]], 40)</f>
        <v/>
      </c>
      <c r="O137" s="96" t="str" cm="1">
        <f t="array" aca="1" ref="O137" ca="1">Common_InputFunctions.Utility_DisplayArrayInTable(Fertiliser_SourceData.Fertiliser_Products_Data3(),FertiliserProducts[[#Headers],[Include or Exclude]], 40)</f>
        <v/>
      </c>
      <c r="P137" s="96" t="str" cm="1">
        <f t="array" aca="1" ref="P137" ca="1">Common_InputFunctions.Utility_DisplayArrayInTable(Fertiliser_SourceData.Fertiliser_Products_Data3(),FertiliserProducts[[#Headers],[Include or Exclude]], 40)</f>
        <v/>
      </c>
      <c r="Q137" s="96" t="str" cm="1">
        <f t="array" aca="1" ref="Q137" ca="1">Common_InputFunctions.Utility_DisplayArrayInTable(Fertiliser_SourceData.Fertiliser_Products_Data3(),FertiliserProducts[[#Headers],[Include or Exclude]], 40)</f>
        <v/>
      </c>
      <c r="R137" s="96" t="str" cm="1">
        <f t="array" aca="1" ref="R137" ca="1">Common_InputFunctions.Utility_DisplayArrayInTable(Fertiliser_SourceData.Fertiliser_Products_Data3(),FertiliserProducts[[#Headers],[Include or Exclude]], 40)</f>
        <v/>
      </c>
      <c r="S137" s="96" t="str" cm="1">
        <f t="array" aca="1" ref="S137" ca="1">Common_InputFunctions.Utility_DisplayArrayInTable(Fertiliser_SourceData.Fertiliser_Products_Data3(),FertiliserProducts[[#Headers],[Include or Exclude]], 40)</f>
        <v/>
      </c>
      <c r="T137" s="96" t="str" cm="1">
        <f t="array" aca="1" ref="T137" ca="1">Common_InputFunctions.Utility_DisplayArrayInTable(Fertiliser_SourceData.Fertiliser_Products_Data3(),FertiliserProducts[[#Headers],[Include or Exclude]], 40)</f>
        <v/>
      </c>
      <c r="U137" s="96" t="str" cm="1">
        <f t="array" aca="1" ref="U137" ca="1">Common_InputFunctions.Utility_DisplayArrayInTable(Fertiliser_SourceData.Fertiliser_Products_Data3(),FertiliserProducts[[#Headers],[Include or Exclude]], 40)</f>
        <v/>
      </c>
      <c r="V137" s="96" t="str" cm="1">
        <f t="array" aca="1" ref="V137" ca="1">Common_InputFunctions.Utility_DisplayArrayInTable(Fertiliser_SourceData.Fertiliser_Products_Data3(),FertiliserProducts[[#Headers],[Include or Exclude]], 40)</f>
        <v/>
      </c>
      <c r="W137" s="96" t="str" cm="1">
        <f t="array" aca="1" ref="W137" ca="1">Common_InputFunctions.Utility_DisplayArrayInTable(Fertiliser_SourceData.Fertiliser_Products_Data3(),FertiliserProducts[[#Headers],[Include or Exclude]], 40)</f>
        <v/>
      </c>
      <c r="X137" s="96" t="str" cm="1">
        <f t="array" aca="1" ref="X137" ca="1">Common_InputFunctions.Utility_DisplayArrayInTable(Fertiliser_SourceData.Fertiliser_Products_Data3(),FertiliserProducts[[#Headers],[Include or Exclude]], 40)</f>
        <v/>
      </c>
      <c r="Y137" s="96" t="str" cm="1">
        <f t="array" aca="1" ref="Y137" ca="1">Common_InputFunctions.Utility_DisplayArrayInTable(Fertiliser_SourceData.Fertiliser_Products_Data3(),FertiliserProducts[[#Headers],[Include or Exclude]], 40)</f>
        <v/>
      </c>
      <c r="Z137" s="96" t="str" cm="1">
        <f t="array" aca="1" ref="Z137" ca="1">Common_InputFunctions.Utility_DisplayArrayInTable(Fertiliser_SourceData.Fertiliser_Products_Data3(),FertiliserProducts[[#Headers],[Include or Exclude]], 40)</f>
        <v/>
      </c>
      <c r="AA137" s="36" t="str" cm="1">
        <f t="array" aca="1" ref="AA137" ca="1">Common_InputFunctions.Utility_DisplayArrayInTable(Fertiliser_SourceData.Fertiliser_Products_Data3(),FertiliserProducts[[#Headers],[Include or Exclude]], 40)</f>
        <v/>
      </c>
      <c r="AB137" s="36" t="str" cm="1">
        <f t="array" aca="1" ref="AB137" ca="1">Common_InputFunctions.Utility_DisplayArrayInTable(Fertiliser_SourceData.Fertiliser_Products_Data3(),FertiliserProducts[[#Headers],[Include or Exclude]], 40)</f>
        <v/>
      </c>
      <c r="AC137" s="36" t="str" cm="1">
        <f t="array" aca="1" ref="AC137" ca="1">Common_InputFunctions.Utility_DisplayArrayInTable(Fertiliser_SourceData.Fertiliser_Products_Data3(),FertiliserProducts[[#Headers],[Include or Exclude]], 40)</f>
        <v/>
      </c>
      <c r="AD137" s="36" t="str" cm="1">
        <f t="array" aca="1" ref="AD137" ca="1">Common_InputFunctions.Utility_DisplayArrayInTable(Fertiliser_SourceData.Fertiliser_Products_Data3(),FertiliserProducts[[#Headers],[Include or Exclude]], 40)</f>
        <v/>
      </c>
      <c r="AE137" s="36" t="str" cm="1">
        <f t="array" aca="1" ref="AE137" ca="1">Common_InputFunctions.Utility_DisplayArrayInTable(Fertiliser_SourceData.Fertiliser_Products_Data3(),FertiliserProducts[[#Headers],[Include or Exclude]], 40)</f>
        <v/>
      </c>
    </row>
    <row r="138" spans="4:31" ht="20.100000000000001" customHeight="1" x14ac:dyDescent="0.25">
      <c r="D138" s="96" t="str" cm="1">
        <f t="array" aca="1" ref="D138" ca="1">Common_InputFunctions.Utility_DisplayArrayInTable(Fertiliser_SourceData.Fertiliser_Products_Data3(),FertiliserProducts[[#Headers],[Include or Exclude]], 40)</f>
        <v/>
      </c>
      <c r="E138" s="96" t="str" cm="1">
        <f t="array" aca="1" ref="E138" ca="1">Common_InputFunctions.Utility_DisplayArrayInTable(Fertiliser_SourceData.Fertiliser_Products_Data3(),FertiliserProducts[[#Headers],[Include or Exclude]], 40)</f>
        <v/>
      </c>
      <c r="F138" s="96" t="str" cm="1">
        <f t="array" aca="1" ref="F138" ca="1">Common_InputFunctions.Utility_DisplayArrayInTable(Fertiliser_SourceData.Fertiliser_Products_Data3(),FertiliserProducts[[#Headers],[Include or Exclude]], 40)</f>
        <v/>
      </c>
      <c r="G138" s="96" t="str" cm="1">
        <f t="array" aca="1" ref="G138" ca="1">Common_InputFunctions.Utility_DisplayArrayInTable(Fertiliser_SourceData.Fertiliser_Products_Data3(),FertiliserProducts[[#Headers],[Include or Exclude]], 40)</f>
        <v/>
      </c>
      <c r="H138" s="96" t="str" cm="1">
        <f t="array" aca="1" ref="H138" ca="1">Common_InputFunctions.Utility_DisplayArrayInTable(Fertiliser_SourceData.Fertiliser_Products_Data3(),FertiliserProducts[[#Headers],[Include or Exclude]], 40)</f>
        <v/>
      </c>
      <c r="I138" s="96" t="str" cm="1">
        <f t="array" aca="1" ref="I138" ca="1">Common_InputFunctions.Utility_DisplayArrayInTable(Fertiliser_SourceData.Fertiliser_Products_Data3(),FertiliserProducts[[#Headers],[Include or Exclude]], 40)</f>
        <v/>
      </c>
      <c r="J138" s="96" t="str" cm="1">
        <f t="array" aca="1" ref="J138" ca="1">Common_InputFunctions.Utility_DisplayArrayInTable(Fertiliser_SourceData.Fertiliser_Products_Data3(),FertiliserProducts[[#Headers],[Include or Exclude]], 40)</f>
        <v/>
      </c>
      <c r="K138" s="96" t="str" cm="1">
        <f t="array" aca="1" ref="K138" ca="1">Common_InputFunctions.Utility_DisplayArrayInTable(Fertiliser_SourceData.Fertiliser_Products_Data3(),FertiliserProducts[[#Headers],[Include or Exclude]], 40)</f>
        <v/>
      </c>
      <c r="L138" s="96" t="str" cm="1">
        <f t="array" aca="1" ref="L138" ca="1">Common_InputFunctions.Utility_DisplayArrayInTable(Fertiliser_SourceData.Fertiliser_Products_Data3(),FertiliserProducts[[#Headers],[Include or Exclude]], 40)</f>
        <v/>
      </c>
      <c r="M138" s="96" t="str" cm="1">
        <f t="array" aca="1" ref="M138" ca="1">Common_InputFunctions.Utility_DisplayArrayInTable(Fertiliser_SourceData.Fertiliser_Products_Data3(),FertiliserProducts[[#Headers],[Include or Exclude]], 40)</f>
        <v/>
      </c>
      <c r="N138" s="96" t="str" cm="1">
        <f t="array" aca="1" ref="N138" ca="1">Common_InputFunctions.Utility_DisplayArrayInTable(Fertiliser_SourceData.Fertiliser_Products_Data3(),FertiliserProducts[[#Headers],[Include or Exclude]], 40)</f>
        <v/>
      </c>
      <c r="O138" s="96" t="str" cm="1">
        <f t="array" aca="1" ref="O138" ca="1">Common_InputFunctions.Utility_DisplayArrayInTable(Fertiliser_SourceData.Fertiliser_Products_Data3(),FertiliserProducts[[#Headers],[Include or Exclude]], 40)</f>
        <v/>
      </c>
      <c r="P138" s="96" t="str" cm="1">
        <f t="array" aca="1" ref="P138" ca="1">Common_InputFunctions.Utility_DisplayArrayInTable(Fertiliser_SourceData.Fertiliser_Products_Data3(),FertiliserProducts[[#Headers],[Include or Exclude]], 40)</f>
        <v/>
      </c>
      <c r="Q138" s="96" t="str" cm="1">
        <f t="array" aca="1" ref="Q138" ca="1">Common_InputFunctions.Utility_DisplayArrayInTable(Fertiliser_SourceData.Fertiliser_Products_Data3(),FertiliserProducts[[#Headers],[Include or Exclude]], 40)</f>
        <v/>
      </c>
      <c r="R138" s="96" t="str" cm="1">
        <f t="array" aca="1" ref="R138" ca="1">Common_InputFunctions.Utility_DisplayArrayInTable(Fertiliser_SourceData.Fertiliser_Products_Data3(),FertiliserProducts[[#Headers],[Include or Exclude]], 40)</f>
        <v/>
      </c>
      <c r="S138" s="96" t="str" cm="1">
        <f t="array" aca="1" ref="S138" ca="1">Common_InputFunctions.Utility_DisplayArrayInTable(Fertiliser_SourceData.Fertiliser_Products_Data3(),FertiliserProducts[[#Headers],[Include or Exclude]], 40)</f>
        <v/>
      </c>
      <c r="T138" s="96" t="str" cm="1">
        <f t="array" aca="1" ref="T138" ca="1">Common_InputFunctions.Utility_DisplayArrayInTable(Fertiliser_SourceData.Fertiliser_Products_Data3(),FertiliserProducts[[#Headers],[Include or Exclude]], 40)</f>
        <v/>
      </c>
      <c r="U138" s="96" t="str" cm="1">
        <f t="array" aca="1" ref="U138" ca="1">Common_InputFunctions.Utility_DisplayArrayInTable(Fertiliser_SourceData.Fertiliser_Products_Data3(),FertiliserProducts[[#Headers],[Include or Exclude]], 40)</f>
        <v/>
      </c>
      <c r="V138" s="96" t="str" cm="1">
        <f t="array" aca="1" ref="V138" ca="1">Common_InputFunctions.Utility_DisplayArrayInTable(Fertiliser_SourceData.Fertiliser_Products_Data3(),FertiliserProducts[[#Headers],[Include or Exclude]], 40)</f>
        <v/>
      </c>
      <c r="W138" s="96" t="str" cm="1">
        <f t="array" aca="1" ref="W138" ca="1">Common_InputFunctions.Utility_DisplayArrayInTable(Fertiliser_SourceData.Fertiliser_Products_Data3(),FertiliserProducts[[#Headers],[Include or Exclude]], 40)</f>
        <v/>
      </c>
      <c r="X138" s="96" t="str" cm="1">
        <f t="array" aca="1" ref="X138" ca="1">Common_InputFunctions.Utility_DisplayArrayInTable(Fertiliser_SourceData.Fertiliser_Products_Data3(),FertiliserProducts[[#Headers],[Include or Exclude]], 40)</f>
        <v/>
      </c>
      <c r="Y138" s="96" t="str" cm="1">
        <f t="array" aca="1" ref="Y138" ca="1">Common_InputFunctions.Utility_DisplayArrayInTable(Fertiliser_SourceData.Fertiliser_Products_Data3(),FertiliserProducts[[#Headers],[Include or Exclude]], 40)</f>
        <v/>
      </c>
      <c r="Z138" s="96" t="str" cm="1">
        <f t="array" aca="1" ref="Z138" ca="1">Common_InputFunctions.Utility_DisplayArrayInTable(Fertiliser_SourceData.Fertiliser_Products_Data3(),FertiliserProducts[[#Headers],[Include or Exclude]], 40)</f>
        <v/>
      </c>
      <c r="AA138" s="36" t="str" cm="1">
        <f t="array" aca="1" ref="AA138" ca="1">Common_InputFunctions.Utility_DisplayArrayInTable(Fertiliser_SourceData.Fertiliser_Products_Data3(),FertiliserProducts[[#Headers],[Include or Exclude]], 40)</f>
        <v/>
      </c>
      <c r="AB138" s="36" t="str" cm="1">
        <f t="array" aca="1" ref="AB138" ca="1">Common_InputFunctions.Utility_DisplayArrayInTable(Fertiliser_SourceData.Fertiliser_Products_Data3(),FertiliserProducts[[#Headers],[Include or Exclude]], 40)</f>
        <v/>
      </c>
      <c r="AC138" s="36" t="str" cm="1">
        <f t="array" aca="1" ref="AC138" ca="1">Common_InputFunctions.Utility_DisplayArrayInTable(Fertiliser_SourceData.Fertiliser_Products_Data3(),FertiliserProducts[[#Headers],[Include or Exclude]], 40)</f>
        <v/>
      </c>
      <c r="AD138" s="36" t="str" cm="1">
        <f t="array" aca="1" ref="AD138" ca="1">Common_InputFunctions.Utility_DisplayArrayInTable(Fertiliser_SourceData.Fertiliser_Products_Data3(),FertiliserProducts[[#Headers],[Include or Exclude]], 40)</f>
        <v/>
      </c>
      <c r="AE138" s="36" t="str" cm="1">
        <f t="array" aca="1" ref="AE138" ca="1">Common_InputFunctions.Utility_DisplayArrayInTable(Fertiliser_SourceData.Fertiliser_Products_Data3(),FertiliserProducts[[#Headers],[Include or Exclude]], 40)</f>
        <v/>
      </c>
    </row>
    <row r="139" spans="4:31" ht="20.100000000000001" customHeight="1" x14ac:dyDescent="0.25">
      <c r="D139" s="96" t="str" cm="1">
        <f t="array" aca="1" ref="D139" ca="1">Common_InputFunctions.Utility_DisplayArrayInTable(Fertiliser_SourceData.Fertiliser_Products_Data3(),FertiliserProducts[[#Headers],[Include or Exclude]], 40)</f>
        <v/>
      </c>
      <c r="E139" s="96" t="str" cm="1">
        <f t="array" aca="1" ref="E139" ca="1">Common_InputFunctions.Utility_DisplayArrayInTable(Fertiliser_SourceData.Fertiliser_Products_Data3(),FertiliserProducts[[#Headers],[Include or Exclude]], 40)</f>
        <v/>
      </c>
      <c r="F139" s="96" t="str" cm="1">
        <f t="array" aca="1" ref="F139" ca="1">Common_InputFunctions.Utility_DisplayArrayInTable(Fertiliser_SourceData.Fertiliser_Products_Data3(),FertiliserProducts[[#Headers],[Include or Exclude]], 40)</f>
        <v/>
      </c>
      <c r="G139" s="96" t="str" cm="1">
        <f t="array" aca="1" ref="G139" ca="1">Common_InputFunctions.Utility_DisplayArrayInTable(Fertiliser_SourceData.Fertiliser_Products_Data3(),FertiliserProducts[[#Headers],[Include or Exclude]], 40)</f>
        <v/>
      </c>
      <c r="H139" s="96" t="str" cm="1">
        <f t="array" aca="1" ref="H139" ca="1">Common_InputFunctions.Utility_DisplayArrayInTable(Fertiliser_SourceData.Fertiliser_Products_Data3(),FertiliserProducts[[#Headers],[Include or Exclude]], 40)</f>
        <v/>
      </c>
      <c r="I139" s="96" t="str" cm="1">
        <f t="array" aca="1" ref="I139" ca="1">Common_InputFunctions.Utility_DisplayArrayInTable(Fertiliser_SourceData.Fertiliser_Products_Data3(),FertiliserProducts[[#Headers],[Include or Exclude]], 40)</f>
        <v/>
      </c>
      <c r="J139" s="96" t="str" cm="1">
        <f t="array" aca="1" ref="J139" ca="1">Common_InputFunctions.Utility_DisplayArrayInTable(Fertiliser_SourceData.Fertiliser_Products_Data3(),FertiliserProducts[[#Headers],[Include or Exclude]], 40)</f>
        <v/>
      </c>
      <c r="K139" s="96" t="str" cm="1">
        <f t="array" aca="1" ref="K139" ca="1">Common_InputFunctions.Utility_DisplayArrayInTable(Fertiliser_SourceData.Fertiliser_Products_Data3(),FertiliserProducts[[#Headers],[Include or Exclude]], 40)</f>
        <v/>
      </c>
      <c r="L139" s="96" t="str" cm="1">
        <f t="array" aca="1" ref="L139" ca="1">Common_InputFunctions.Utility_DisplayArrayInTable(Fertiliser_SourceData.Fertiliser_Products_Data3(),FertiliserProducts[[#Headers],[Include or Exclude]], 40)</f>
        <v/>
      </c>
      <c r="M139" s="96" t="str" cm="1">
        <f t="array" aca="1" ref="M139" ca="1">Common_InputFunctions.Utility_DisplayArrayInTable(Fertiliser_SourceData.Fertiliser_Products_Data3(),FertiliserProducts[[#Headers],[Include or Exclude]], 40)</f>
        <v/>
      </c>
      <c r="N139" s="96" t="str" cm="1">
        <f t="array" aca="1" ref="N139" ca="1">Common_InputFunctions.Utility_DisplayArrayInTable(Fertiliser_SourceData.Fertiliser_Products_Data3(),FertiliserProducts[[#Headers],[Include or Exclude]], 40)</f>
        <v/>
      </c>
      <c r="O139" s="96" t="str" cm="1">
        <f t="array" aca="1" ref="O139" ca="1">Common_InputFunctions.Utility_DisplayArrayInTable(Fertiliser_SourceData.Fertiliser_Products_Data3(),FertiliserProducts[[#Headers],[Include or Exclude]], 40)</f>
        <v/>
      </c>
      <c r="P139" s="96" t="str" cm="1">
        <f t="array" aca="1" ref="P139" ca="1">Common_InputFunctions.Utility_DisplayArrayInTable(Fertiliser_SourceData.Fertiliser_Products_Data3(),FertiliserProducts[[#Headers],[Include or Exclude]], 40)</f>
        <v/>
      </c>
      <c r="Q139" s="96" t="str" cm="1">
        <f t="array" aca="1" ref="Q139" ca="1">Common_InputFunctions.Utility_DisplayArrayInTable(Fertiliser_SourceData.Fertiliser_Products_Data3(),FertiliserProducts[[#Headers],[Include or Exclude]], 40)</f>
        <v/>
      </c>
      <c r="R139" s="96" t="str" cm="1">
        <f t="array" aca="1" ref="R139" ca="1">Common_InputFunctions.Utility_DisplayArrayInTable(Fertiliser_SourceData.Fertiliser_Products_Data3(),FertiliserProducts[[#Headers],[Include or Exclude]], 40)</f>
        <v/>
      </c>
      <c r="S139" s="96" t="str" cm="1">
        <f t="array" aca="1" ref="S139" ca="1">Common_InputFunctions.Utility_DisplayArrayInTable(Fertiliser_SourceData.Fertiliser_Products_Data3(),FertiliserProducts[[#Headers],[Include or Exclude]], 40)</f>
        <v/>
      </c>
      <c r="T139" s="96" t="str" cm="1">
        <f t="array" aca="1" ref="T139" ca="1">Common_InputFunctions.Utility_DisplayArrayInTable(Fertiliser_SourceData.Fertiliser_Products_Data3(),FertiliserProducts[[#Headers],[Include or Exclude]], 40)</f>
        <v/>
      </c>
      <c r="U139" s="96" t="str" cm="1">
        <f t="array" aca="1" ref="U139" ca="1">Common_InputFunctions.Utility_DisplayArrayInTable(Fertiliser_SourceData.Fertiliser_Products_Data3(),FertiliserProducts[[#Headers],[Include or Exclude]], 40)</f>
        <v/>
      </c>
      <c r="V139" s="96" t="str" cm="1">
        <f t="array" aca="1" ref="V139" ca="1">Common_InputFunctions.Utility_DisplayArrayInTable(Fertiliser_SourceData.Fertiliser_Products_Data3(),FertiliserProducts[[#Headers],[Include or Exclude]], 40)</f>
        <v/>
      </c>
      <c r="W139" s="96" t="str" cm="1">
        <f t="array" aca="1" ref="W139" ca="1">Common_InputFunctions.Utility_DisplayArrayInTable(Fertiliser_SourceData.Fertiliser_Products_Data3(),FertiliserProducts[[#Headers],[Include or Exclude]], 40)</f>
        <v/>
      </c>
      <c r="X139" s="96" t="str" cm="1">
        <f t="array" aca="1" ref="X139" ca="1">Common_InputFunctions.Utility_DisplayArrayInTable(Fertiliser_SourceData.Fertiliser_Products_Data3(),FertiliserProducts[[#Headers],[Include or Exclude]], 40)</f>
        <v/>
      </c>
      <c r="Y139" s="96" t="str" cm="1">
        <f t="array" aca="1" ref="Y139" ca="1">Common_InputFunctions.Utility_DisplayArrayInTable(Fertiliser_SourceData.Fertiliser_Products_Data3(),FertiliserProducts[[#Headers],[Include or Exclude]], 40)</f>
        <v/>
      </c>
      <c r="Z139" s="96" t="str" cm="1">
        <f t="array" aca="1" ref="Z139" ca="1">Common_InputFunctions.Utility_DisplayArrayInTable(Fertiliser_SourceData.Fertiliser_Products_Data3(),FertiliserProducts[[#Headers],[Include or Exclude]], 40)</f>
        <v/>
      </c>
      <c r="AA139" s="36" t="str" cm="1">
        <f t="array" aca="1" ref="AA139" ca="1">Common_InputFunctions.Utility_DisplayArrayInTable(Fertiliser_SourceData.Fertiliser_Products_Data3(),FertiliserProducts[[#Headers],[Include or Exclude]], 40)</f>
        <v/>
      </c>
      <c r="AB139" s="36" t="str" cm="1">
        <f t="array" aca="1" ref="AB139" ca="1">Common_InputFunctions.Utility_DisplayArrayInTable(Fertiliser_SourceData.Fertiliser_Products_Data3(),FertiliserProducts[[#Headers],[Include or Exclude]], 40)</f>
        <v/>
      </c>
      <c r="AC139" s="36" t="str" cm="1">
        <f t="array" aca="1" ref="AC139" ca="1">Common_InputFunctions.Utility_DisplayArrayInTable(Fertiliser_SourceData.Fertiliser_Products_Data3(),FertiliserProducts[[#Headers],[Include or Exclude]], 40)</f>
        <v/>
      </c>
      <c r="AD139" s="36" t="str" cm="1">
        <f t="array" aca="1" ref="AD139" ca="1">Common_InputFunctions.Utility_DisplayArrayInTable(Fertiliser_SourceData.Fertiliser_Products_Data3(),FertiliserProducts[[#Headers],[Include or Exclude]], 40)</f>
        <v/>
      </c>
      <c r="AE139" s="36" t="str" cm="1">
        <f t="array" aca="1" ref="AE139" ca="1">Common_InputFunctions.Utility_DisplayArrayInTable(Fertiliser_SourceData.Fertiliser_Products_Data3(),FertiliserProducts[[#Headers],[Include or Exclude]], 40)</f>
        <v/>
      </c>
    </row>
    <row r="140" spans="4:31" ht="20.100000000000001" customHeight="1" x14ac:dyDescent="0.25">
      <c r="D140" s="96" t="str" cm="1">
        <f t="array" aca="1" ref="D140" ca="1">Common_InputFunctions.Utility_DisplayArrayInTable(Fertiliser_SourceData.Fertiliser_Products_Data3(),FertiliserProducts[[#Headers],[Include or Exclude]], 40)</f>
        <v/>
      </c>
      <c r="E140" s="96" t="str" cm="1">
        <f t="array" aca="1" ref="E140" ca="1">Common_InputFunctions.Utility_DisplayArrayInTable(Fertiliser_SourceData.Fertiliser_Products_Data3(),FertiliserProducts[[#Headers],[Include or Exclude]], 40)</f>
        <v/>
      </c>
      <c r="F140" s="96" t="str" cm="1">
        <f t="array" aca="1" ref="F140" ca="1">Common_InputFunctions.Utility_DisplayArrayInTable(Fertiliser_SourceData.Fertiliser_Products_Data3(),FertiliserProducts[[#Headers],[Include or Exclude]], 40)</f>
        <v/>
      </c>
      <c r="G140" s="96" t="str" cm="1">
        <f t="array" aca="1" ref="G140" ca="1">Common_InputFunctions.Utility_DisplayArrayInTable(Fertiliser_SourceData.Fertiliser_Products_Data3(),FertiliserProducts[[#Headers],[Include or Exclude]], 40)</f>
        <v/>
      </c>
      <c r="H140" s="96" t="str" cm="1">
        <f t="array" aca="1" ref="H140" ca="1">Common_InputFunctions.Utility_DisplayArrayInTable(Fertiliser_SourceData.Fertiliser_Products_Data3(),FertiliserProducts[[#Headers],[Include or Exclude]], 40)</f>
        <v/>
      </c>
      <c r="I140" s="96" t="str" cm="1">
        <f t="array" aca="1" ref="I140" ca="1">Common_InputFunctions.Utility_DisplayArrayInTable(Fertiliser_SourceData.Fertiliser_Products_Data3(),FertiliserProducts[[#Headers],[Include or Exclude]], 40)</f>
        <v/>
      </c>
      <c r="J140" s="96" t="str" cm="1">
        <f t="array" aca="1" ref="J140" ca="1">Common_InputFunctions.Utility_DisplayArrayInTable(Fertiliser_SourceData.Fertiliser_Products_Data3(),FertiliserProducts[[#Headers],[Include or Exclude]], 40)</f>
        <v/>
      </c>
      <c r="K140" s="96" t="str" cm="1">
        <f t="array" aca="1" ref="K140" ca="1">Common_InputFunctions.Utility_DisplayArrayInTable(Fertiliser_SourceData.Fertiliser_Products_Data3(),FertiliserProducts[[#Headers],[Include or Exclude]], 40)</f>
        <v/>
      </c>
      <c r="L140" s="96" t="str" cm="1">
        <f t="array" aca="1" ref="L140" ca="1">Common_InputFunctions.Utility_DisplayArrayInTable(Fertiliser_SourceData.Fertiliser_Products_Data3(),FertiliserProducts[[#Headers],[Include or Exclude]], 40)</f>
        <v/>
      </c>
      <c r="M140" s="96" t="str" cm="1">
        <f t="array" aca="1" ref="M140" ca="1">Common_InputFunctions.Utility_DisplayArrayInTable(Fertiliser_SourceData.Fertiliser_Products_Data3(),FertiliserProducts[[#Headers],[Include or Exclude]], 40)</f>
        <v/>
      </c>
      <c r="N140" s="96" t="str" cm="1">
        <f t="array" aca="1" ref="N140" ca="1">Common_InputFunctions.Utility_DisplayArrayInTable(Fertiliser_SourceData.Fertiliser_Products_Data3(),FertiliserProducts[[#Headers],[Include or Exclude]], 40)</f>
        <v/>
      </c>
      <c r="O140" s="96" t="str" cm="1">
        <f t="array" aca="1" ref="O140" ca="1">Common_InputFunctions.Utility_DisplayArrayInTable(Fertiliser_SourceData.Fertiliser_Products_Data3(),FertiliserProducts[[#Headers],[Include or Exclude]], 40)</f>
        <v/>
      </c>
      <c r="P140" s="96" t="str" cm="1">
        <f t="array" aca="1" ref="P140" ca="1">Common_InputFunctions.Utility_DisplayArrayInTable(Fertiliser_SourceData.Fertiliser_Products_Data3(),FertiliserProducts[[#Headers],[Include or Exclude]], 40)</f>
        <v/>
      </c>
      <c r="Q140" s="96" t="str" cm="1">
        <f t="array" aca="1" ref="Q140" ca="1">Common_InputFunctions.Utility_DisplayArrayInTable(Fertiliser_SourceData.Fertiliser_Products_Data3(),FertiliserProducts[[#Headers],[Include or Exclude]], 40)</f>
        <v/>
      </c>
      <c r="R140" s="96" t="str" cm="1">
        <f t="array" aca="1" ref="R140" ca="1">Common_InputFunctions.Utility_DisplayArrayInTable(Fertiliser_SourceData.Fertiliser_Products_Data3(),FertiliserProducts[[#Headers],[Include or Exclude]], 40)</f>
        <v/>
      </c>
      <c r="S140" s="96" t="str" cm="1">
        <f t="array" aca="1" ref="S140" ca="1">Common_InputFunctions.Utility_DisplayArrayInTable(Fertiliser_SourceData.Fertiliser_Products_Data3(),FertiliserProducts[[#Headers],[Include or Exclude]], 40)</f>
        <v/>
      </c>
      <c r="T140" s="96" t="str" cm="1">
        <f t="array" aca="1" ref="T140" ca="1">Common_InputFunctions.Utility_DisplayArrayInTable(Fertiliser_SourceData.Fertiliser_Products_Data3(),FertiliserProducts[[#Headers],[Include or Exclude]], 40)</f>
        <v/>
      </c>
      <c r="U140" s="96" t="str" cm="1">
        <f t="array" aca="1" ref="U140" ca="1">Common_InputFunctions.Utility_DisplayArrayInTable(Fertiliser_SourceData.Fertiliser_Products_Data3(),FertiliserProducts[[#Headers],[Include or Exclude]], 40)</f>
        <v/>
      </c>
      <c r="V140" s="96" t="str" cm="1">
        <f t="array" aca="1" ref="V140" ca="1">Common_InputFunctions.Utility_DisplayArrayInTable(Fertiliser_SourceData.Fertiliser_Products_Data3(),FertiliserProducts[[#Headers],[Include or Exclude]], 40)</f>
        <v/>
      </c>
      <c r="W140" s="96" t="str" cm="1">
        <f t="array" aca="1" ref="W140" ca="1">Common_InputFunctions.Utility_DisplayArrayInTable(Fertiliser_SourceData.Fertiliser_Products_Data3(),FertiliserProducts[[#Headers],[Include or Exclude]], 40)</f>
        <v/>
      </c>
      <c r="X140" s="96" t="str" cm="1">
        <f t="array" aca="1" ref="X140" ca="1">Common_InputFunctions.Utility_DisplayArrayInTable(Fertiliser_SourceData.Fertiliser_Products_Data3(),FertiliserProducts[[#Headers],[Include or Exclude]], 40)</f>
        <v/>
      </c>
      <c r="Y140" s="96" t="str" cm="1">
        <f t="array" aca="1" ref="Y140" ca="1">Common_InputFunctions.Utility_DisplayArrayInTable(Fertiliser_SourceData.Fertiliser_Products_Data3(),FertiliserProducts[[#Headers],[Include or Exclude]], 40)</f>
        <v/>
      </c>
      <c r="Z140" s="96" t="str" cm="1">
        <f t="array" aca="1" ref="Z140" ca="1">Common_InputFunctions.Utility_DisplayArrayInTable(Fertiliser_SourceData.Fertiliser_Products_Data3(),FertiliserProducts[[#Headers],[Include or Exclude]], 40)</f>
        <v/>
      </c>
      <c r="AA140" s="36" t="str" cm="1">
        <f t="array" aca="1" ref="AA140" ca="1">Common_InputFunctions.Utility_DisplayArrayInTable(Fertiliser_SourceData.Fertiliser_Products_Data3(),FertiliserProducts[[#Headers],[Include or Exclude]], 40)</f>
        <v/>
      </c>
      <c r="AB140" s="36" t="str" cm="1">
        <f t="array" aca="1" ref="AB140" ca="1">Common_InputFunctions.Utility_DisplayArrayInTable(Fertiliser_SourceData.Fertiliser_Products_Data3(),FertiliserProducts[[#Headers],[Include or Exclude]], 40)</f>
        <v/>
      </c>
      <c r="AC140" s="36" t="str" cm="1">
        <f t="array" aca="1" ref="AC140" ca="1">Common_InputFunctions.Utility_DisplayArrayInTable(Fertiliser_SourceData.Fertiliser_Products_Data3(),FertiliserProducts[[#Headers],[Include or Exclude]], 40)</f>
        <v/>
      </c>
      <c r="AD140" s="36" t="str" cm="1">
        <f t="array" aca="1" ref="AD140" ca="1">Common_InputFunctions.Utility_DisplayArrayInTable(Fertiliser_SourceData.Fertiliser_Products_Data3(),FertiliserProducts[[#Headers],[Include or Exclude]], 40)</f>
        <v/>
      </c>
      <c r="AE140" s="36" t="str" cm="1">
        <f t="array" aca="1" ref="AE140" ca="1">Common_InputFunctions.Utility_DisplayArrayInTable(Fertiliser_SourceData.Fertiliser_Products_Data3(),FertiliserProducts[[#Headers],[Include or Exclude]], 40)</f>
        <v/>
      </c>
    </row>
    <row r="141" spans="4:31" ht="20.100000000000001" customHeight="1" x14ac:dyDescent="0.25">
      <c r="D141" s="96" t="str" cm="1">
        <f t="array" aca="1" ref="D141" ca="1">Common_InputFunctions.Utility_DisplayArrayInTable(Fertiliser_SourceData.Fertiliser_Products_Data3(),FertiliserProducts[[#Headers],[Include or Exclude]], 40)</f>
        <v/>
      </c>
      <c r="E141" s="96" t="str" cm="1">
        <f t="array" aca="1" ref="E141" ca="1">Common_InputFunctions.Utility_DisplayArrayInTable(Fertiliser_SourceData.Fertiliser_Products_Data3(),FertiliserProducts[[#Headers],[Include or Exclude]], 40)</f>
        <v/>
      </c>
      <c r="F141" s="96" t="str" cm="1">
        <f t="array" aca="1" ref="F141" ca="1">Common_InputFunctions.Utility_DisplayArrayInTable(Fertiliser_SourceData.Fertiliser_Products_Data3(),FertiliserProducts[[#Headers],[Include or Exclude]], 40)</f>
        <v/>
      </c>
      <c r="G141" s="96" t="str" cm="1">
        <f t="array" aca="1" ref="G141" ca="1">Common_InputFunctions.Utility_DisplayArrayInTable(Fertiliser_SourceData.Fertiliser_Products_Data3(),FertiliserProducts[[#Headers],[Include or Exclude]], 40)</f>
        <v/>
      </c>
      <c r="H141" s="96" t="str" cm="1">
        <f t="array" aca="1" ref="H141" ca="1">Common_InputFunctions.Utility_DisplayArrayInTable(Fertiliser_SourceData.Fertiliser_Products_Data3(),FertiliserProducts[[#Headers],[Include or Exclude]], 40)</f>
        <v/>
      </c>
      <c r="I141" s="96" t="str" cm="1">
        <f t="array" aca="1" ref="I141" ca="1">Common_InputFunctions.Utility_DisplayArrayInTable(Fertiliser_SourceData.Fertiliser_Products_Data3(),FertiliserProducts[[#Headers],[Include or Exclude]], 40)</f>
        <v/>
      </c>
      <c r="J141" s="96" t="str" cm="1">
        <f t="array" aca="1" ref="J141" ca="1">Common_InputFunctions.Utility_DisplayArrayInTable(Fertiliser_SourceData.Fertiliser_Products_Data3(),FertiliserProducts[[#Headers],[Include or Exclude]], 40)</f>
        <v/>
      </c>
      <c r="K141" s="96" t="str" cm="1">
        <f t="array" aca="1" ref="K141" ca="1">Common_InputFunctions.Utility_DisplayArrayInTable(Fertiliser_SourceData.Fertiliser_Products_Data3(),FertiliserProducts[[#Headers],[Include or Exclude]], 40)</f>
        <v/>
      </c>
      <c r="L141" s="96" t="str" cm="1">
        <f t="array" aca="1" ref="L141" ca="1">Common_InputFunctions.Utility_DisplayArrayInTable(Fertiliser_SourceData.Fertiliser_Products_Data3(),FertiliserProducts[[#Headers],[Include or Exclude]], 40)</f>
        <v/>
      </c>
      <c r="M141" s="96" t="str" cm="1">
        <f t="array" aca="1" ref="M141" ca="1">Common_InputFunctions.Utility_DisplayArrayInTable(Fertiliser_SourceData.Fertiliser_Products_Data3(),FertiliserProducts[[#Headers],[Include or Exclude]], 40)</f>
        <v/>
      </c>
      <c r="N141" s="96" t="str" cm="1">
        <f t="array" aca="1" ref="N141" ca="1">Common_InputFunctions.Utility_DisplayArrayInTable(Fertiliser_SourceData.Fertiliser_Products_Data3(),FertiliserProducts[[#Headers],[Include or Exclude]], 40)</f>
        <v/>
      </c>
      <c r="O141" s="96" t="str" cm="1">
        <f t="array" aca="1" ref="O141" ca="1">Common_InputFunctions.Utility_DisplayArrayInTable(Fertiliser_SourceData.Fertiliser_Products_Data3(),FertiliserProducts[[#Headers],[Include or Exclude]], 40)</f>
        <v/>
      </c>
      <c r="P141" s="96" t="str" cm="1">
        <f t="array" aca="1" ref="P141" ca="1">Common_InputFunctions.Utility_DisplayArrayInTable(Fertiliser_SourceData.Fertiliser_Products_Data3(),FertiliserProducts[[#Headers],[Include or Exclude]], 40)</f>
        <v/>
      </c>
      <c r="Q141" s="96" t="str" cm="1">
        <f t="array" aca="1" ref="Q141" ca="1">Common_InputFunctions.Utility_DisplayArrayInTable(Fertiliser_SourceData.Fertiliser_Products_Data3(),FertiliserProducts[[#Headers],[Include or Exclude]], 40)</f>
        <v/>
      </c>
      <c r="R141" s="96" t="str" cm="1">
        <f t="array" aca="1" ref="R141" ca="1">Common_InputFunctions.Utility_DisplayArrayInTable(Fertiliser_SourceData.Fertiliser_Products_Data3(),FertiliserProducts[[#Headers],[Include or Exclude]], 40)</f>
        <v/>
      </c>
      <c r="S141" s="96" t="str" cm="1">
        <f t="array" aca="1" ref="S141" ca="1">Common_InputFunctions.Utility_DisplayArrayInTable(Fertiliser_SourceData.Fertiliser_Products_Data3(),FertiliserProducts[[#Headers],[Include or Exclude]], 40)</f>
        <v/>
      </c>
      <c r="T141" s="96" t="str" cm="1">
        <f t="array" aca="1" ref="T141" ca="1">Common_InputFunctions.Utility_DisplayArrayInTable(Fertiliser_SourceData.Fertiliser_Products_Data3(),FertiliserProducts[[#Headers],[Include or Exclude]], 40)</f>
        <v/>
      </c>
      <c r="U141" s="96" t="str" cm="1">
        <f t="array" aca="1" ref="U141" ca="1">Common_InputFunctions.Utility_DisplayArrayInTable(Fertiliser_SourceData.Fertiliser_Products_Data3(),FertiliserProducts[[#Headers],[Include or Exclude]], 40)</f>
        <v/>
      </c>
      <c r="V141" s="96" t="str" cm="1">
        <f t="array" aca="1" ref="V141" ca="1">Common_InputFunctions.Utility_DisplayArrayInTable(Fertiliser_SourceData.Fertiliser_Products_Data3(),FertiliserProducts[[#Headers],[Include or Exclude]], 40)</f>
        <v/>
      </c>
      <c r="W141" s="96" t="str" cm="1">
        <f t="array" aca="1" ref="W141" ca="1">Common_InputFunctions.Utility_DisplayArrayInTable(Fertiliser_SourceData.Fertiliser_Products_Data3(),FertiliserProducts[[#Headers],[Include or Exclude]], 40)</f>
        <v/>
      </c>
      <c r="X141" s="96" t="str" cm="1">
        <f t="array" aca="1" ref="X141" ca="1">Common_InputFunctions.Utility_DisplayArrayInTable(Fertiliser_SourceData.Fertiliser_Products_Data3(),FertiliserProducts[[#Headers],[Include or Exclude]], 40)</f>
        <v/>
      </c>
      <c r="Y141" s="96" t="str" cm="1">
        <f t="array" aca="1" ref="Y141" ca="1">Common_InputFunctions.Utility_DisplayArrayInTable(Fertiliser_SourceData.Fertiliser_Products_Data3(),FertiliserProducts[[#Headers],[Include or Exclude]], 40)</f>
        <v/>
      </c>
      <c r="Z141" s="96" t="str" cm="1">
        <f t="array" aca="1" ref="Z141" ca="1">Common_InputFunctions.Utility_DisplayArrayInTable(Fertiliser_SourceData.Fertiliser_Products_Data3(),FertiliserProducts[[#Headers],[Include or Exclude]], 40)</f>
        <v/>
      </c>
      <c r="AA141" s="36" t="str" cm="1">
        <f t="array" aca="1" ref="AA141" ca="1">Common_InputFunctions.Utility_DisplayArrayInTable(Fertiliser_SourceData.Fertiliser_Products_Data3(),FertiliserProducts[[#Headers],[Include or Exclude]], 40)</f>
        <v/>
      </c>
      <c r="AB141" s="36" t="str" cm="1">
        <f t="array" aca="1" ref="AB141" ca="1">Common_InputFunctions.Utility_DisplayArrayInTable(Fertiliser_SourceData.Fertiliser_Products_Data3(),FertiliserProducts[[#Headers],[Include or Exclude]], 40)</f>
        <v/>
      </c>
      <c r="AC141" s="36" t="str" cm="1">
        <f t="array" aca="1" ref="AC141" ca="1">Common_InputFunctions.Utility_DisplayArrayInTable(Fertiliser_SourceData.Fertiliser_Products_Data3(),FertiliserProducts[[#Headers],[Include or Exclude]], 40)</f>
        <v/>
      </c>
      <c r="AD141" s="36" t="str" cm="1">
        <f t="array" aca="1" ref="AD141" ca="1">Common_InputFunctions.Utility_DisplayArrayInTable(Fertiliser_SourceData.Fertiliser_Products_Data3(),FertiliserProducts[[#Headers],[Include or Exclude]], 40)</f>
        <v/>
      </c>
      <c r="AE141" s="36" t="str" cm="1">
        <f t="array" aca="1" ref="AE141" ca="1">Common_InputFunctions.Utility_DisplayArrayInTable(Fertiliser_SourceData.Fertiliser_Products_Data3(),FertiliserProducts[[#Headers],[Include or Exclude]], 40)</f>
        <v/>
      </c>
    </row>
    <row r="142" spans="4:31" ht="20.100000000000001" customHeight="1" x14ac:dyDescent="0.25">
      <c r="D142" s="96" t="str" cm="1">
        <f t="array" aca="1" ref="D142" ca="1">Common_InputFunctions.Utility_DisplayArrayInTable(Fertiliser_SourceData.Fertiliser_Products_Data3(),FertiliserProducts[[#Headers],[Include or Exclude]], 40)</f>
        <v/>
      </c>
      <c r="E142" s="96" t="str" cm="1">
        <f t="array" aca="1" ref="E142" ca="1">Common_InputFunctions.Utility_DisplayArrayInTable(Fertiliser_SourceData.Fertiliser_Products_Data3(),FertiliserProducts[[#Headers],[Include or Exclude]], 40)</f>
        <v/>
      </c>
      <c r="F142" s="96" t="str" cm="1">
        <f t="array" aca="1" ref="F142" ca="1">Common_InputFunctions.Utility_DisplayArrayInTable(Fertiliser_SourceData.Fertiliser_Products_Data3(),FertiliserProducts[[#Headers],[Include or Exclude]], 40)</f>
        <v/>
      </c>
      <c r="G142" s="96" t="str" cm="1">
        <f t="array" aca="1" ref="G142" ca="1">Common_InputFunctions.Utility_DisplayArrayInTable(Fertiliser_SourceData.Fertiliser_Products_Data3(),FertiliserProducts[[#Headers],[Include or Exclude]], 40)</f>
        <v/>
      </c>
      <c r="H142" s="96" t="str" cm="1">
        <f t="array" aca="1" ref="H142" ca="1">Common_InputFunctions.Utility_DisplayArrayInTable(Fertiliser_SourceData.Fertiliser_Products_Data3(),FertiliserProducts[[#Headers],[Include or Exclude]], 40)</f>
        <v/>
      </c>
      <c r="I142" s="96" t="str" cm="1">
        <f t="array" aca="1" ref="I142" ca="1">Common_InputFunctions.Utility_DisplayArrayInTable(Fertiliser_SourceData.Fertiliser_Products_Data3(),FertiliserProducts[[#Headers],[Include or Exclude]], 40)</f>
        <v/>
      </c>
      <c r="J142" s="96" t="str" cm="1">
        <f t="array" aca="1" ref="J142" ca="1">Common_InputFunctions.Utility_DisplayArrayInTable(Fertiliser_SourceData.Fertiliser_Products_Data3(),FertiliserProducts[[#Headers],[Include or Exclude]], 40)</f>
        <v/>
      </c>
      <c r="K142" s="96" t="str" cm="1">
        <f t="array" aca="1" ref="K142" ca="1">Common_InputFunctions.Utility_DisplayArrayInTable(Fertiliser_SourceData.Fertiliser_Products_Data3(),FertiliserProducts[[#Headers],[Include or Exclude]], 40)</f>
        <v/>
      </c>
      <c r="L142" s="96" t="str" cm="1">
        <f t="array" aca="1" ref="L142" ca="1">Common_InputFunctions.Utility_DisplayArrayInTable(Fertiliser_SourceData.Fertiliser_Products_Data3(),FertiliserProducts[[#Headers],[Include or Exclude]], 40)</f>
        <v/>
      </c>
      <c r="M142" s="96" t="str" cm="1">
        <f t="array" aca="1" ref="M142" ca="1">Common_InputFunctions.Utility_DisplayArrayInTable(Fertiliser_SourceData.Fertiliser_Products_Data3(),FertiliserProducts[[#Headers],[Include or Exclude]], 40)</f>
        <v/>
      </c>
      <c r="N142" s="96" t="str" cm="1">
        <f t="array" aca="1" ref="N142" ca="1">Common_InputFunctions.Utility_DisplayArrayInTable(Fertiliser_SourceData.Fertiliser_Products_Data3(),FertiliserProducts[[#Headers],[Include or Exclude]], 40)</f>
        <v/>
      </c>
      <c r="O142" s="96" t="str" cm="1">
        <f t="array" aca="1" ref="O142" ca="1">Common_InputFunctions.Utility_DisplayArrayInTable(Fertiliser_SourceData.Fertiliser_Products_Data3(),FertiliserProducts[[#Headers],[Include or Exclude]], 40)</f>
        <v/>
      </c>
      <c r="P142" s="96" t="str" cm="1">
        <f t="array" aca="1" ref="P142" ca="1">Common_InputFunctions.Utility_DisplayArrayInTable(Fertiliser_SourceData.Fertiliser_Products_Data3(),FertiliserProducts[[#Headers],[Include or Exclude]], 40)</f>
        <v/>
      </c>
      <c r="Q142" s="96" t="str" cm="1">
        <f t="array" aca="1" ref="Q142" ca="1">Common_InputFunctions.Utility_DisplayArrayInTable(Fertiliser_SourceData.Fertiliser_Products_Data3(),FertiliserProducts[[#Headers],[Include or Exclude]], 40)</f>
        <v/>
      </c>
      <c r="R142" s="96" t="str" cm="1">
        <f t="array" aca="1" ref="R142" ca="1">Common_InputFunctions.Utility_DisplayArrayInTable(Fertiliser_SourceData.Fertiliser_Products_Data3(),FertiliserProducts[[#Headers],[Include or Exclude]], 40)</f>
        <v/>
      </c>
      <c r="S142" s="96" t="str" cm="1">
        <f t="array" aca="1" ref="S142" ca="1">Common_InputFunctions.Utility_DisplayArrayInTable(Fertiliser_SourceData.Fertiliser_Products_Data3(),FertiliserProducts[[#Headers],[Include or Exclude]], 40)</f>
        <v/>
      </c>
      <c r="T142" s="96" t="str" cm="1">
        <f t="array" aca="1" ref="T142" ca="1">Common_InputFunctions.Utility_DisplayArrayInTable(Fertiliser_SourceData.Fertiliser_Products_Data3(),FertiliserProducts[[#Headers],[Include or Exclude]], 40)</f>
        <v/>
      </c>
      <c r="U142" s="96" t="str" cm="1">
        <f t="array" aca="1" ref="U142" ca="1">Common_InputFunctions.Utility_DisplayArrayInTable(Fertiliser_SourceData.Fertiliser_Products_Data3(),FertiliserProducts[[#Headers],[Include or Exclude]], 40)</f>
        <v/>
      </c>
      <c r="V142" s="96" t="str" cm="1">
        <f t="array" aca="1" ref="V142" ca="1">Common_InputFunctions.Utility_DisplayArrayInTable(Fertiliser_SourceData.Fertiliser_Products_Data3(),FertiliserProducts[[#Headers],[Include or Exclude]], 40)</f>
        <v/>
      </c>
      <c r="W142" s="96" t="str" cm="1">
        <f t="array" aca="1" ref="W142" ca="1">Common_InputFunctions.Utility_DisplayArrayInTable(Fertiliser_SourceData.Fertiliser_Products_Data3(),FertiliserProducts[[#Headers],[Include or Exclude]], 40)</f>
        <v/>
      </c>
      <c r="X142" s="96" t="str" cm="1">
        <f t="array" aca="1" ref="X142" ca="1">Common_InputFunctions.Utility_DisplayArrayInTable(Fertiliser_SourceData.Fertiliser_Products_Data3(),FertiliserProducts[[#Headers],[Include or Exclude]], 40)</f>
        <v/>
      </c>
      <c r="Y142" s="96" t="str" cm="1">
        <f t="array" aca="1" ref="Y142" ca="1">Common_InputFunctions.Utility_DisplayArrayInTable(Fertiliser_SourceData.Fertiliser_Products_Data3(),FertiliserProducts[[#Headers],[Include or Exclude]], 40)</f>
        <v/>
      </c>
      <c r="Z142" s="96" t="str" cm="1">
        <f t="array" aca="1" ref="Z142" ca="1">Common_InputFunctions.Utility_DisplayArrayInTable(Fertiliser_SourceData.Fertiliser_Products_Data3(),FertiliserProducts[[#Headers],[Include or Exclude]], 40)</f>
        <v/>
      </c>
      <c r="AA142" s="36" t="str" cm="1">
        <f t="array" aca="1" ref="AA142" ca="1">Common_InputFunctions.Utility_DisplayArrayInTable(Fertiliser_SourceData.Fertiliser_Products_Data3(),FertiliserProducts[[#Headers],[Include or Exclude]], 40)</f>
        <v/>
      </c>
      <c r="AB142" s="36" t="str" cm="1">
        <f t="array" aca="1" ref="AB142" ca="1">Common_InputFunctions.Utility_DisplayArrayInTable(Fertiliser_SourceData.Fertiliser_Products_Data3(),FertiliserProducts[[#Headers],[Include or Exclude]], 40)</f>
        <v/>
      </c>
      <c r="AC142" s="36" t="str" cm="1">
        <f t="array" aca="1" ref="AC142" ca="1">Common_InputFunctions.Utility_DisplayArrayInTable(Fertiliser_SourceData.Fertiliser_Products_Data3(),FertiliserProducts[[#Headers],[Include or Exclude]], 40)</f>
        <v/>
      </c>
      <c r="AD142" s="36" t="str" cm="1">
        <f t="array" aca="1" ref="AD142" ca="1">Common_InputFunctions.Utility_DisplayArrayInTable(Fertiliser_SourceData.Fertiliser_Products_Data3(),FertiliserProducts[[#Headers],[Include or Exclude]], 40)</f>
        <v/>
      </c>
      <c r="AE142" s="36" t="str" cm="1">
        <f t="array" aca="1" ref="AE142" ca="1">Common_InputFunctions.Utility_DisplayArrayInTable(Fertiliser_SourceData.Fertiliser_Products_Data3(),FertiliserProducts[[#Headers],[Include or Exclude]], 40)</f>
        <v/>
      </c>
    </row>
    <row r="143" spans="4:31" ht="20.100000000000001" customHeight="1" x14ac:dyDescent="0.25">
      <c r="D143" s="96" t="str" cm="1">
        <f t="array" aca="1" ref="D143" ca="1">Common_InputFunctions.Utility_DisplayArrayInTable(Fertiliser_SourceData.Fertiliser_Products_Data3(),FertiliserProducts[[#Headers],[Include or Exclude]], 40)</f>
        <v/>
      </c>
      <c r="E143" s="96" t="str" cm="1">
        <f t="array" aca="1" ref="E143" ca="1">Common_InputFunctions.Utility_DisplayArrayInTable(Fertiliser_SourceData.Fertiliser_Products_Data3(),FertiliserProducts[[#Headers],[Include or Exclude]], 40)</f>
        <v/>
      </c>
      <c r="F143" s="96" t="str" cm="1">
        <f t="array" aca="1" ref="F143" ca="1">Common_InputFunctions.Utility_DisplayArrayInTable(Fertiliser_SourceData.Fertiliser_Products_Data3(),FertiliserProducts[[#Headers],[Include or Exclude]], 40)</f>
        <v/>
      </c>
      <c r="G143" s="96" t="str" cm="1">
        <f t="array" aca="1" ref="G143" ca="1">Common_InputFunctions.Utility_DisplayArrayInTable(Fertiliser_SourceData.Fertiliser_Products_Data3(),FertiliserProducts[[#Headers],[Include or Exclude]], 40)</f>
        <v/>
      </c>
      <c r="H143" s="96" t="str" cm="1">
        <f t="array" aca="1" ref="H143" ca="1">Common_InputFunctions.Utility_DisplayArrayInTable(Fertiliser_SourceData.Fertiliser_Products_Data3(),FertiliserProducts[[#Headers],[Include or Exclude]], 40)</f>
        <v/>
      </c>
      <c r="I143" s="96" t="str" cm="1">
        <f t="array" aca="1" ref="I143" ca="1">Common_InputFunctions.Utility_DisplayArrayInTable(Fertiliser_SourceData.Fertiliser_Products_Data3(),FertiliserProducts[[#Headers],[Include or Exclude]], 40)</f>
        <v/>
      </c>
      <c r="J143" s="96" t="str" cm="1">
        <f t="array" aca="1" ref="J143" ca="1">Common_InputFunctions.Utility_DisplayArrayInTable(Fertiliser_SourceData.Fertiliser_Products_Data3(),FertiliserProducts[[#Headers],[Include or Exclude]], 40)</f>
        <v/>
      </c>
      <c r="K143" s="96" t="str" cm="1">
        <f t="array" aca="1" ref="K143" ca="1">Common_InputFunctions.Utility_DisplayArrayInTable(Fertiliser_SourceData.Fertiliser_Products_Data3(),FertiliserProducts[[#Headers],[Include or Exclude]], 40)</f>
        <v/>
      </c>
      <c r="L143" s="96" t="str" cm="1">
        <f t="array" aca="1" ref="L143" ca="1">Common_InputFunctions.Utility_DisplayArrayInTable(Fertiliser_SourceData.Fertiliser_Products_Data3(),FertiliserProducts[[#Headers],[Include or Exclude]], 40)</f>
        <v/>
      </c>
      <c r="M143" s="96" t="str" cm="1">
        <f t="array" aca="1" ref="M143" ca="1">Common_InputFunctions.Utility_DisplayArrayInTable(Fertiliser_SourceData.Fertiliser_Products_Data3(),FertiliserProducts[[#Headers],[Include or Exclude]], 40)</f>
        <v/>
      </c>
      <c r="N143" s="96" t="str" cm="1">
        <f t="array" aca="1" ref="N143" ca="1">Common_InputFunctions.Utility_DisplayArrayInTable(Fertiliser_SourceData.Fertiliser_Products_Data3(),FertiliserProducts[[#Headers],[Include or Exclude]], 40)</f>
        <v/>
      </c>
      <c r="O143" s="96" t="str" cm="1">
        <f t="array" aca="1" ref="O143" ca="1">Common_InputFunctions.Utility_DisplayArrayInTable(Fertiliser_SourceData.Fertiliser_Products_Data3(),FertiliserProducts[[#Headers],[Include or Exclude]], 40)</f>
        <v/>
      </c>
      <c r="P143" s="96" t="str" cm="1">
        <f t="array" aca="1" ref="P143" ca="1">Common_InputFunctions.Utility_DisplayArrayInTable(Fertiliser_SourceData.Fertiliser_Products_Data3(),FertiliserProducts[[#Headers],[Include or Exclude]], 40)</f>
        <v/>
      </c>
      <c r="Q143" s="96" t="str" cm="1">
        <f t="array" aca="1" ref="Q143" ca="1">Common_InputFunctions.Utility_DisplayArrayInTable(Fertiliser_SourceData.Fertiliser_Products_Data3(),FertiliserProducts[[#Headers],[Include or Exclude]], 40)</f>
        <v/>
      </c>
      <c r="R143" s="96" t="str" cm="1">
        <f t="array" aca="1" ref="R143" ca="1">Common_InputFunctions.Utility_DisplayArrayInTable(Fertiliser_SourceData.Fertiliser_Products_Data3(),FertiliserProducts[[#Headers],[Include or Exclude]], 40)</f>
        <v/>
      </c>
      <c r="S143" s="96" t="str" cm="1">
        <f t="array" aca="1" ref="S143" ca="1">Common_InputFunctions.Utility_DisplayArrayInTable(Fertiliser_SourceData.Fertiliser_Products_Data3(),FertiliserProducts[[#Headers],[Include or Exclude]], 40)</f>
        <v/>
      </c>
      <c r="T143" s="96" t="str" cm="1">
        <f t="array" aca="1" ref="T143" ca="1">Common_InputFunctions.Utility_DisplayArrayInTable(Fertiliser_SourceData.Fertiliser_Products_Data3(),FertiliserProducts[[#Headers],[Include or Exclude]], 40)</f>
        <v/>
      </c>
      <c r="U143" s="96" t="str" cm="1">
        <f t="array" aca="1" ref="U143" ca="1">Common_InputFunctions.Utility_DisplayArrayInTable(Fertiliser_SourceData.Fertiliser_Products_Data3(),FertiliserProducts[[#Headers],[Include or Exclude]], 40)</f>
        <v/>
      </c>
      <c r="V143" s="96" t="str" cm="1">
        <f t="array" aca="1" ref="V143" ca="1">Common_InputFunctions.Utility_DisplayArrayInTable(Fertiliser_SourceData.Fertiliser_Products_Data3(),FertiliserProducts[[#Headers],[Include or Exclude]], 40)</f>
        <v/>
      </c>
      <c r="W143" s="96" t="str" cm="1">
        <f t="array" aca="1" ref="W143" ca="1">Common_InputFunctions.Utility_DisplayArrayInTable(Fertiliser_SourceData.Fertiliser_Products_Data3(),FertiliserProducts[[#Headers],[Include or Exclude]], 40)</f>
        <v/>
      </c>
      <c r="X143" s="96" t="str" cm="1">
        <f t="array" aca="1" ref="X143" ca="1">Common_InputFunctions.Utility_DisplayArrayInTable(Fertiliser_SourceData.Fertiliser_Products_Data3(),FertiliserProducts[[#Headers],[Include or Exclude]], 40)</f>
        <v/>
      </c>
      <c r="Y143" s="96" t="str" cm="1">
        <f t="array" aca="1" ref="Y143" ca="1">Common_InputFunctions.Utility_DisplayArrayInTable(Fertiliser_SourceData.Fertiliser_Products_Data3(),FertiliserProducts[[#Headers],[Include or Exclude]], 40)</f>
        <v/>
      </c>
      <c r="Z143" s="96" t="str" cm="1">
        <f t="array" aca="1" ref="Z143" ca="1">Common_InputFunctions.Utility_DisplayArrayInTable(Fertiliser_SourceData.Fertiliser_Products_Data3(),FertiliserProducts[[#Headers],[Include or Exclude]], 40)</f>
        <v/>
      </c>
      <c r="AA143" s="36" t="str" cm="1">
        <f t="array" aca="1" ref="AA143" ca="1">Common_InputFunctions.Utility_DisplayArrayInTable(Fertiliser_SourceData.Fertiliser_Products_Data3(),FertiliserProducts[[#Headers],[Include or Exclude]], 40)</f>
        <v/>
      </c>
      <c r="AB143" s="36" t="str" cm="1">
        <f t="array" aca="1" ref="AB143" ca="1">Common_InputFunctions.Utility_DisplayArrayInTable(Fertiliser_SourceData.Fertiliser_Products_Data3(),FertiliserProducts[[#Headers],[Include or Exclude]], 40)</f>
        <v/>
      </c>
      <c r="AC143" s="36" t="str" cm="1">
        <f t="array" aca="1" ref="AC143" ca="1">Common_InputFunctions.Utility_DisplayArrayInTable(Fertiliser_SourceData.Fertiliser_Products_Data3(),FertiliserProducts[[#Headers],[Include or Exclude]], 40)</f>
        <v/>
      </c>
      <c r="AD143" s="36" t="str" cm="1">
        <f t="array" aca="1" ref="AD143" ca="1">Common_InputFunctions.Utility_DisplayArrayInTable(Fertiliser_SourceData.Fertiliser_Products_Data3(),FertiliserProducts[[#Headers],[Include or Exclude]], 40)</f>
        <v/>
      </c>
      <c r="AE143" s="36" t="str" cm="1">
        <f t="array" aca="1" ref="AE143" ca="1">Common_InputFunctions.Utility_DisplayArrayInTable(Fertiliser_SourceData.Fertiliser_Products_Data3(),FertiliserProducts[[#Headers],[Include or Exclude]], 40)</f>
        <v/>
      </c>
    </row>
    <row r="144" spans="4:31" ht="20.100000000000001" customHeight="1" x14ac:dyDescent="0.25">
      <c r="D144" s="96" t="str" cm="1">
        <f t="array" aca="1" ref="D144" ca="1">Common_InputFunctions.Utility_DisplayArrayInTable(Fertiliser_SourceData.Fertiliser_Products_Data3(),FertiliserProducts[[#Headers],[Include or Exclude]], 40)</f>
        <v/>
      </c>
      <c r="E144" s="96" t="str" cm="1">
        <f t="array" aca="1" ref="E144" ca="1">Common_InputFunctions.Utility_DisplayArrayInTable(Fertiliser_SourceData.Fertiliser_Products_Data3(),FertiliserProducts[[#Headers],[Include or Exclude]], 40)</f>
        <v/>
      </c>
      <c r="F144" s="96" t="str" cm="1">
        <f t="array" aca="1" ref="F144" ca="1">Common_InputFunctions.Utility_DisplayArrayInTable(Fertiliser_SourceData.Fertiliser_Products_Data3(),FertiliserProducts[[#Headers],[Include or Exclude]], 40)</f>
        <v/>
      </c>
      <c r="G144" s="96" t="str" cm="1">
        <f t="array" aca="1" ref="G144" ca="1">Common_InputFunctions.Utility_DisplayArrayInTable(Fertiliser_SourceData.Fertiliser_Products_Data3(),FertiliserProducts[[#Headers],[Include or Exclude]], 40)</f>
        <v/>
      </c>
      <c r="H144" s="96" t="str" cm="1">
        <f t="array" aca="1" ref="H144" ca="1">Common_InputFunctions.Utility_DisplayArrayInTable(Fertiliser_SourceData.Fertiliser_Products_Data3(),FertiliserProducts[[#Headers],[Include or Exclude]], 40)</f>
        <v/>
      </c>
      <c r="I144" s="96" t="str" cm="1">
        <f t="array" aca="1" ref="I144" ca="1">Common_InputFunctions.Utility_DisplayArrayInTable(Fertiliser_SourceData.Fertiliser_Products_Data3(),FertiliserProducts[[#Headers],[Include or Exclude]], 40)</f>
        <v/>
      </c>
      <c r="J144" s="96" t="str" cm="1">
        <f t="array" aca="1" ref="J144" ca="1">Common_InputFunctions.Utility_DisplayArrayInTable(Fertiliser_SourceData.Fertiliser_Products_Data3(),FertiliserProducts[[#Headers],[Include or Exclude]], 40)</f>
        <v/>
      </c>
      <c r="K144" s="96" t="str" cm="1">
        <f t="array" aca="1" ref="K144" ca="1">Common_InputFunctions.Utility_DisplayArrayInTable(Fertiliser_SourceData.Fertiliser_Products_Data3(),FertiliserProducts[[#Headers],[Include or Exclude]], 40)</f>
        <v/>
      </c>
      <c r="L144" s="96" t="str" cm="1">
        <f t="array" aca="1" ref="L144" ca="1">Common_InputFunctions.Utility_DisplayArrayInTable(Fertiliser_SourceData.Fertiliser_Products_Data3(),FertiliserProducts[[#Headers],[Include or Exclude]], 40)</f>
        <v/>
      </c>
      <c r="M144" s="96" t="str" cm="1">
        <f t="array" aca="1" ref="M144" ca="1">Common_InputFunctions.Utility_DisplayArrayInTable(Fertiliser_SourceData.Fertiliser_Products_Data3(),FertiliserProducts[[#Headers],[Include or Exclude]], 40)</f>
        <v/>
      </c>
      <c r="N144" s="96" t="str" cm="1">
        <f t="array" aca="1" ref="N144" ca="1">Common_InputFunctions.Utility_DisplayArrayInTable(Fertiliser_SourceData.Fertiliser_Products_Data3(),FertiliserProducts[[#Headers],[Include or Exclude]], 40)</f>
        <v/>
      </c>
      <c r="O144" s="96" t="str" cm="1">
        <f t="array" aca="1" ref="O144" ca="1">Common_InputFunctions.Utility_DisplayArrayInTable(Fertiliser_SourceData.Fertiliser_Products_Data3(),FertiliserProducts[[#Headers],[Include or Exclude]], 40)</f>
        <v/>
      </c>
      <c r="P144" s="96" t="str" cm="1">
        <f t="array" aca="1" ref="P144" ca="1">Common_InputFunctions.Utility_DisplayArrayInTable(Fertiliser_SourceData.Fertiliser_Products_Data3(),FertiliserProducts[[#Headers],[Include or Exclude]], 40)</f>
        <v/>
      </c>
      <c r="Q144" s="96" t="str" cm="1">
        <f t="array" aca="1" ref="Q144" ca="1">Common_InputFunctions.Utility_DisplayArrayInTable(Fertiliser_SourceData.Fertiliser_Products_Data3(),FertiliserProducts[[#Headers],[Include or Exclude]], 40)</f>
        <v/>
      </c>
      <c r="R144" s="96" t="str" cm="1">
        <f t="array" aca="1" ref="R144" ca="1">Common_InputFunctions.Utility_DisplayArrayInTable(Fertiliser_SourceData.Fertiliser_Products_Data3(),FertiliserProducts[[#Headers],[Include or Exclude]], 40)</f>
        <v/>
      </c>
      <c r="S144" s="96" t="str" cm="1">
        <f t="array" aca="1" ref="S144" ca="1">Common_InputFunctions.Utility_DisplayArrayInTable(Fertiliser_SourceData.Fertiliser_Products_Data3(),FertiliserProducts[[#Headers],[Include or Exclude]], 40)</f>
        <v/>
      </c>
      <c r="T144" s="96" t="str" cm="1">
        <f t="array" aca="1" ref="T144" ca="1">Common_InputFunctions.Utility_DisplayArrayInTable(Fertiliser_SourceData.Fertiliser_Products_Data3(),FertiliserProducts[[#Headers],[Include or Exclude]], 40)</f>
        <v/>
      </c>
      <c r="U144" s="96" t="str" cm="1">
        <f t="array" aca="1" ref="U144" ca="1">Common_InputFunctions.Utility_DisplayArrayInTable(Fertiliser_SourceData.Fertiliser_Products_Data3(),FertiliserProducts[[#Headers],[Include or Exclude]], 40)</f>
        <v/>
      </c>
      <c r="V144" s="96" t="str" cm="1">
        <f t="array" aca="1" ref="V144" ca="1">Common_InputFunctions.Utility_DisplayArrayInTable(Fertiliser_SourceData.Fertiliser_Products_Data3(),FertiliserProducts[[#Headers],[Include or Exclude]], 40)</f>
        <v/>
      </c>
      <c r="W144" s="96" t="str" cm="1">
        <f t="array" aca="1" ref="W144" ca="1">Common_InputFunctions.Utility_DisplayArrayInTable(Fertiliser_SourceData.Fertiliser_Products_Data3(),FertiliserProducts[[#Headers],[Include or Exclude]], 40)</f>
        <v/>
      </c>
      <c r="X144" s="96" t="str" cm="1">
        <f t="array" aca="1" ref="X144" ca="1">Common_InputFunctions.Utility_DisplayArrayInTable(Fertiliser_SourceData.Fertiliser_Products_Data3(),FertiliserProducts[[#Headers],[Include or Exclude]], 40)</f>
        <v/>
      </c>
      <c r="Y144" s="96" t="str" cm="1">
        <f t="array" aca="1" ref="Y144" ca="1">Common_InputFunctions.Utility_DisplayArrayInTable(Fertiliser_SourceData.Fertiliser_Products_Data3(),FertiliserProducts[[#Headers],[Include or Exclude]], 40)</f>
        <v/>
      </c>
      <c r="Z144" s="96" t="str" cm="1">
        <f t="array" aca="1" ref="Z144" ca="1">Common_InputFunctions.Utility_DisplayArrayInTable(Fertiliser_SourceData.Fertiliser_Products_Data3(),FertiliserProducts[[#Headers],[Include or Exclude]], 40)</f>
        <v/>
      </c>
      <c r="AA144" s="36" t="str" cm="1">
        <f t="array" aca="1" ref="AA144" ca="1">Common_InputFunctions.Utility_DisplayArrayInTable(Fertiliser_SourceData.Fertiliser_Products_Data3(),FertiliserProducts[[#Headers],[Include or Exclude]], 40)</f>
        <v/>
      </c>
      <c r="AB144" s="36" t="str" cm="1">
        <f t="array" aca="1" ref="AB144" ca="1">Common_InputFunctions.Utility_DisplayArrayInTable(Fertiliser_SourceData.Fertiliser_Products_Data3(),FertiliserProducts[[#Headers],[Include or Exclude]], 40)</f>
        <v/>
      </c>
      <c r="AC144" s="36" t="str" cm="1">
        <f t="array" aca="1" ref="AC144" ca="1">Common_InputFunctions.Utility_DisplayArrayInTable(Fertiliser_SourceData.Fertiliser_Products_Data3(),FertiliserProducts[[#Headers],[Include or Exclude]], 40)</f>
        <v/>
      </c>
      <c r="AD144" s="36" t="str" cm="1">
        <f t="array" aca="1" ref="AD144" ca="1">Common_InputFunctions.Utility_DisplayArrayInTable(Fertiliser_SourceData.Fertiliser_Products_Data3(),FertiliserProducts[[#Headers],[Include or Exclude]], 40)</f>
        <v/>
      </c>
      <c r="AE144" s="36" t="str" cm="1">
        <f t="array" aca="1" ref="AE144" ca="1">Common_InputFunctions.Utility_DisplayArrayInTable(Fertiliser_SourceData.Fertiliser_Products_Data3(),FertiliserProducts[[#Headers],[Include or Exclude]], 40)</f>
        <v/>
      </c>
    </row>
    <row r="145" spans="4:31" ht="20.100000000000001" customHeight="1" x14ac:dyDescent="0.25">
      <c r="D145" s="96" t="str" cm="1">
        <f t="array" aca="1" ref="D145" ca="1">Common_InputFunctions.Utility_DisplayArrayInTable(Fertiliser_SourceData.Fertiliser_Products_Data3(),FertiliserProducts[[#Headers],[Include or Exclude]], 40)</f>
        <v/>
      </c>
      <c r="E145" s="96" t="str" cm="1">
        <f t="array" aca="1" ref="E145" ca="1">Common_InputFunctions.Utility_DisplayArrayInTable(Fertiliser_SourceData.Fertiliser_Products_Data3(),FertiliserProducts[[#Headers],[Include or Exclude]], 40)</f>
        <v/>
      </c>
      <c r="F145" s="96" t="str" cm="1">
        <f t="array" aca="1" ref="F145" ca="1">Common_InputFunctions.Utility_DisplayArrayInTable(Fertiliser_SourceData.Fertiliser_Products_Data3(),FertiliserProducts[[#Headers],[Include or Exclude]], 40)</f>
        <v/>
      </c>
      <c r="G145" s="96" t="str" cm="1">
        <f t="array" aca="1" ref="G145" ca="1">Common_InputFunctions.Utility_DisplayArrayInTable(Fertiliser_SourceData.Fertiliser_Products_Data3(),FertiliserProducts[[#Headers],[Include or Exclude]], 40)</f>
        <v/>
      </c>
      <c r="H145" s="96" t="str" cm="1">
        <f t="array" aca="1" ref="H145" ca="1">Common_InputFunctions.Utility_DisplayArrayInTable(Fertiliser_SourceData.Fertiliser_Products_Data3(),FertiliserProducts[[#Headers],[Include or Exclude]], 40)</f>
        <v/>
      </c>
      <c r="I145" s="96" t="str" cm="1">
        <f t="array" aca="1" ref="I145" ca="1">Common_InputFunctions.Utility_DisplayArrayInTable(Fertiliser_SourceData.Fertiliser_Products_Data3(),FertiliserProducts[[#Headers],[Include or Exclude]], 40)</f>
        <v/>
      </c>
      <c r="J145" s="96" t="str" cm="1">
        <f t="array" aca="1" ref="J145" ca="1">Common_InputFunctions.Utility_DisplayArrayInTable(Fertiliser_SourceData.Fertiliser_Products_Data3(),FertiliserProducts[[#Headers],[Include or Exclude]], 40)</f>
        <v/>
      </c>
      <c r="K145" s="96" t="str" cm="1">
        <f t="array" aca="1" ref="K145" ca="1">Common_InputFunctions.Utility_DisplayArrayInTable(Fertiliser_SourceData.Fertiliser_Products_Data3(),FertiliserProducts[[#Headers],[Include or Exclude]], 40)</f>
        <v/>
      </c>
      <c r="L145" s="96" t="str" cm="1">
        <f t="array" aca="1" ref="L145" ca="1">Common_InputFunctions.Utility_DisplayArrayInTable(Fertiliser_SourceData.Fertiliser_Products_Data3(),FertiliserProducts[[#Headers],[Include or Exclude]], 40)</f>
        <v/>
      </c>
      <c r="M145" s="96" t="str" cm="1">
        <f t="array" aca="1" ref="M145" ca="1">Common_InputFunctions.Utility_DisplayArrayInTable(Fertiliser_SourceData.Fertiliser_Products_Data3(),FertiliserProducts[[#Headers],[Include or Exclude]], 40)</f>
        <v/>
      </c>
      <c r="N145" s="96" t="str" cm="1">
        <f t="array" aca="1" ref="N145" ca="1">Common_InputFunctions.Utility_DisplayArrayInTable(Fertiliser_SourceData.Fertiliser_Products_Data3(),FertiliserProducts[[#Headers],[Include or Exclude]], 40)</f>
        <v/>
      </c>
      <c r="O145" s="96" t="str" cm="1">
        <f t="array" aca="1" ref="O145" ca="1">Common_InputFunctions.Utility_DisplayArrayInTable(Fertiliser_SourceData.Fertiliser_Products_Data3(),FertiliserProducts[[#Headers],[Include or Exclude]], 40)</f>
        <v/>
      </c>
      <c r="P145" s="96" t="str" cm="1">
        <f t="array" aca="1" ref="P145" ca="1">Common_InputFunctions.Utility_DisplayArrayInTable(Fertiliser_SourceData.Fertiliser_Products_Data3(),FertiliserProducts[[#Headers],[Include or Exclude]], 40)</f>
        <v/>
      </c>
      <c r="Q145" s="96" t="str" cm="1">
        <f t="array" aca="1" ref="Q145" ca="1">Common_InputFunctions.Utility_DisplayArrayInTable(Fertiliser_SourceData.Fertiliser_Products_Data3(),FertiliserProducts[[#Headers],[Include or Exclude]], 40)</f>
        <v/>
      </c>
      <c r="R145" s="96" t="str" cm="1">
        <f t="array" aca="1" ref="R145" ca="1">Common_InputFunctions.Utility_DisplayArrayInTable(Fertiliser_SourceData.Fertiliser_Products_Data3(),FertiliserProducts[[#Headers],[Include or Exclude]], 40)</f>
        <v/>
      </c>
      <c r="S145" s="96" t="str" cm="1">
        <f t="array" aca="1" ref="S145" ca="1">Common_InputFunctions.Utility_DisplayArrayInTable(Fertiliser_SourceData.Fertiliser_Products_Data3(),FertiliserProducts[[#Headers],[Include or Exclude]], 40)</f>
        <v/>
      </c>
      <c r="T145" s="96" t="str" cm="1">
        <f t="array" aca="1" ref="T145" ca="1">Common_InputFunctions.Utility_DisplayArrayInTable(Fertiliser_SourceData.Fertiliser_Products_Data3(),FertiliserProducts[[#Headers],[Include or Exclude]], 40)</f>
        <v/>
      </c>
      <c r="U145" s="96" t="str" cm="1">
        <f t="array" aca="1" ref="U145" ca="1">Common_InputFunctions.Utility_DisplayArrayInTable(Fertiliser_SourceData.Fertiliser_Products_Data3(),FertiliserProducts[[#Headers],[Include or Exclude]], 40)</f>
        <v/>
      </c>
      <c r="V145" s="96" t="str" cm="1">
        <f t="array" aca="1" ref="V145" ca="1">Common_InputFunctions.Utility_DisplayArrayInTable(Fertiliser_SourceData.Fertiliser_Products_Data3(),FertiliserProducts[[#Headers],[Include or Exclude]], 40)</f>
        <v/>
      </c>
      <c r="W145" s="96" t="str" cm="1">
        <f t="array" aca="1" ref="W145" ca="1">Common_InputFunctions.Utility_DisplayArrayInTable(Fertiliser_SourceData.Fertiliser_Products_Data3(),FertiliserProducts[[#Headers],[Include or Exclude]], 40)</f>
        <v/>
      </c>
      <c r="X145" s="96" t="str" cm="1">
        <f t="array" aca="1" ref="X145" ca="1">Common_InputFunctions.Utility_DisplayArrayInTable(Fertiliser_SourceData.Fertiliser_Products_Data3(),FertiliserProducts[[#Headers],[Include or Exclude]], 40)</f>
        <v/>
      </c>
      <c r="Y145" s="96" t="str" cm="1">
        <f t="array" aca="1" ref="Y145" ca="1">Common_InputFunctions.Utility_DisplayArrayInTable(Fertiliser_SourceData.Fertiliser_Products_Data3(),FertiliserProducts[[#Headers],[Include or Exclude]], 40)</f>
        <v/>
      </c>
      <c r="Z145" s="96" t="str" cm="1">
        <f t="array" aca="1" ref="Z145" ca="1">Common_InputFunctions.Utility_DisplayArrayInTable(Fertiliser_SourceData.Fertiliser_Products_Data3(),FertiliserProducts[[#Headers],[Include or Exclude]], 40)</f>
        <v/>
      </c>
      <c r="AA145" s="36" t="str" cm="1">
        <f t="array" aca="1" ref="AA145" ca="1">Common_InputFunctions.Utility_DisplayArrayInTable(Fertiliser_SourceData.Fertiliser_Products_Data3(),FertiliserProducts[[#Headers],[Include or Exclude]], 40)</f>
        <v/>
      </c>
      <c r="AB145" s="36" t="str" cm="1">
        <f t="array" aca="1" ref="AB145" ca="1">Common_InputFunctions.Utility_DisplayArrayInTable(Fertiliser_SourceData.Fertiliser_Products_Data3(),FertiliserProducts[[#Headers],[Include or Exclude]], 40)</f>
        <v/>
      </c>
      <c r="AC145" s="36" t="str" cm="1">
        <f t="array" aca="1" ref="AC145" ca="1">Common_InputFunctions.Utility_DisplayArrayInTable(Fertiliser_SourceData.Fertiliser_Products_Data3(),FertiliserProducts[[#Headers],[Include or Exclude]], 40)</f>
        <v/>
      </c>
      <c r="AD145" s="36" t="str" cm="1">
        <f t="array" aca="1" ref="AD145" ca="1">Common_InputFunctions.Utility_DisplayArrayInTable(Fertiliser_SourceData.Fertiliser_Products_Data3(),FertiliserProducts[[#Headers],[Include or Exclude]], 40)</f>
        <v/>
      </c>
      <c r="AE145" s="36" t="str" cm="1">
        <f t="array" aca="1" ref="AE145" ca="1">Common_InputFunctions.Utility_DisplayArrayInTable(Fertiliser_SourceData.Fertiliser_Products_Data3(),FertiliserProducts[[#Headers],[Include or Exclude]], 40)</f>
        <v/>
      </c>
    </row>
    <row r="146" spans="4:31" ht="20.100000000000001" customHeight="1" x14ac:dyDescent="0.25">
      <c r="D146" s="96" t="str" cm="1">
        <f t="array" aca="1" ref="D146" ca="1">Common_InputFunctions.Utility_DisplayArrayInTable(Fertiliser_SourceData.Fertiliser_Products_Data3(),FertiliserProducts[[#Headers],[Include or Exclude]], 40)</f>
        <v/>
      </c>
      <c r="E146" s="96" t="str" cm="1">
        <f t="array" aca="1" ref="E146" ca="1">Common_InputFunctions.Utility_DisplayArrayInTable(Fertiliser_SourceData.Fertiliser_Products_Data3(),FertiliserProducts[[#Headers],[Include or Exclude]], 40)</f>
        <v/>
      </c>
      <c r="F146" s="96" t="str" cm="1">
        <f t="array" aca="1" ref="F146" ca="1">Common_InputFunctions.Utility_DisplayArrayInTable(Fertiliser_SourceData.Fertiliser_Products_Data3(),FertiliserProducts[[#Headers],[Include or Exclude]], 40)</f>
        <v/>
      </c>
      <c r="G146" s="96" t="str" cm="1">
        <f t="array" aca="1" ref="G146" ca="1">Common_InputFunctions.Utility_DisplayArrayInTable(Fertiliser_SourceData.Fertiliser_Products_Data3(),FertiliserProducts[[#Headers],[Include or Exclude]], 40)</f>
        <v/>
      </c>
      <c r="H146" s="96" t="str" cm="1">
        <f t="array" aca="1" ref="H146" ca="1">Common_InputFunctions.Utility_DisplayArrayInTable(Fertiliser_SourceData.Fertiliser_Products_Data3(),FertiliserProducts[[#Headers],[Include or Exclude]], 40)</f>
        <v/>
      </c>
      <c r="I146" s="96" t="str" cm="1">
        <f t="array" aca="1" ref="I146" ca="1">Common_InputFunctions.Utility_DisplayArrayInTable(Fertiliser_SourceData.Fertiliser_Products_Data3(),FertiliserProducts[[#Headers],[Include or Exclude]], 40)</f>
        <v/>
      </c>
      <c r="J146" s="96" t="str" cm="1">
        <f t="array" aca="1" ref="J146" ca="1">Common_InputFunctions.Utility_DisplayArrayInTable(Fertiliser_SourceData.Fertiliser_Products_Data3(),FertiliserProducts[[#Headers],[Include or Exclude]], 40)</f>
        <v/>
      </c>
      <c r="K146" s="96" t="str" cm="1">
        <f t="array" aca="1" ref="K146" ca="1">Common_InputFunctions.Utility_DisplayArrayInTable(Fertiliser_SourceData.Fertiliser_Products_Data3(),FertiliserProducts[[#Headers],[Include or Exclude]], 40)</f>
        <v/>
      </c>
      <c r="L146" s="96" t="str" cm="1">
        <f t="array" aca="1" ref="L146" ca="1">Common_InputFunctions.Utility_DisplayArrayInTable(Fertiliser_SourceData.Fertiliser_Products_Data3(),FertiliserProducts[[#Headers],[Include or Exclude]], 40)</f>
        <v/>
      </c>
      <c r="M146" s="96" t="str" cm="1">
        <f t="array" aca="1" ref="M146" ca="1">Common_InputFunctions.Utility_DisplayArrayInTable(Fertiliser_SourceData.Fertiliser_Products_Data3(),FertiliserProducts[[#Headers],[Include or Exclude]], 40)</f>
        <v/>
      </c>
      <c r="N146" s="96" t="str" cm="1">
        <f t="array" aca="1" ref="N146" ca="1">Common_InputFunctions.Utility_DisplayArrayInTable(Fertiliser_SourceData.Fertiliser_Products_Data3(),FertiliserProducts[[#Headers],[Include or Exclude]], 40)</f>
        <v/>
      </c>
      <c r="O146" s="96" t="str" cm="1">
        <f t="array" aca="1" ref="O146" ca="1">Common_InputFunctions.Utility_DisplayArrayInTable(Fertiliser_SourceData.Fertiliser_Products_Data3(),FertiliserProducts[[#Headers],[Include or Exclude]], 40)</f>
        <v/>
      </c>
      <c r="P146" s="96" t="str" cm="1">
        <f t="array" aca="1" ref="P146" ca="1">Common_InputFunctions.Utility_DisplayArrayInTable(Fertiliser_SourceData.Fertiliser_Products_Data3(),FertiliserProducts[[#Headers],[Include or Exclude]], 40)</f>
        <v/>
      </c>
      <c r="Q146" s="96" t="str" cm="1">
        <f t="array" aca="1" ref="Q146" ca="1">Common_InputFunctions.Utility_DisplayArrayInTable(Fertiliser_SourceData.Fertiliser_Products_Data3(),FertiliserProducts[[#Headers],[Include or Exclude]], 40)</f>
        <v/>
      </c>
      <c r="R146" s="96" t="str" cm="1">
        <f t="array" aca="1" ref="R146" ca="1">Common_InputFunctions.Utility_DisplayArrayInTable(Fertiliser_SourceData.Fertiliser_Products_Data3(),FertiliserProducts[[#Headers],[Include or Exclude]], 40)</f>
        <v/>
      </c>
      <c r="S146" s="96" t="str" cm="1">
        <f t="array" aca="1" ref="S146" ca="1">Common_InputFunctions.Utility_DisplayArrayInTable(Fertiliser_SourceData.Fertiliser_Products_Data3(),FertiliserProducts[[#Headers],[Include or Exclude]], 40)</f>
        <v/>
      </c>
      <c r="T146" s="96" t="str" cm="1">
        <f t="array" aca="1" ref="T146" ca="1">Common_InputFunctions.Utility_DisplayArrayInTable(Fertiliser_SourceData.Fertiliser_Products_Data3(),FertiliserProducts[[#Headers],[Include or Exclude]], 40)</f>
        <v/>
      </c>
      <c r="U146" s="96" t="str" cm="1">
        <f t="array" aca="1" ref="U146" ca="1">Common_InputFunctions.Utility_DisplayArrayInTable(Fertiliser_SourceData.Fertiliser_Products_Data3(),FertiliserProducts[[#Headers],[Include or Exclude]], 40)</f>
        <v/>
      </c>
      <c r="V146" s="96" t="str" cm="1">
        <f t="array" aca="1" ref="V146" ca="1">Common_InputFunctions.Utility_DisplayArrayInTable(Fertiliser_SourceData.Fertiliser_Products_Data3(),FertiliserProducts[[#Headers],[Include or Exclude]], 40)</f>
        <v/>
      </c>
      <c r="W146" s="96" t="str" cm="1">
        <f t="array" aca="1" ref="W146" ca="1">Common_InputFunctions.Utility_DisplayArrayInTable(Fertiliser_SourceData.Fertiliser_Products_Data3(),FertiliserProducts[[#Headers],[Include or Exclude]], 40)</f>
        <v/>
      </c>
      <c r="X146" s="96" t="str" cm="1">
        <f t="array" aca="1" ref="X146" ca="1">Common_InputFunctions.Utility_DisplayArrayInTable(Fertiliser_SourceData.Fertiliser_Products_Data3(),FertiliserProducts[[#Headers],[Include or Exclude]], 40)</f>
        <v/>
      </c>
      <c r="Y146" s="96" t="str" cm="1">
        <f t="array" aca="1" ref="Y146" ca="1">Common_InputFunctions.Utility_DisplayArrayInTable(Fertiliser_SourceData.Fertiliser_Products_Data3(),FertiliserProducts[[#Headers],[Include or Exclude]], 40)</f>
        <v/>
      </c>
      <c r="Z146" s="96" t="str" cm="1">
        <f t="array" aca="1" ref="Z146" ca="1">Common_InputFunctions.Utility_DisplayArrayInTable(Fertiliser_SourceData.Fertiliser_Products_Data3(),FertiliserProducts[[#Headers],[Include or Exclude]], 40)</f>
        <v/>
      </c>
      <c r="AA146" s="36" t="str" cm="1">
        <f t="array" aca="1" ref="AA146" ca="1">Common_InputFunctions.Utility_DisplayArrayInTable(Fertiliser_SourceData.Fertiliser_Products_Data3(),FertiliserProducts[[#Headers],[Include or Exclude]], 40)</f>
        <v/>
      </c>
      <c r="AB146" s="36" t="str" cm="1">
        <f t="array" aca="1" ref="AB146" ca="1">Common_InputFunctions.Utility_DisplayArrayInTable(Fertiliser_SourceData.Fertiliser_Products_Data3(),FertiliserProducts[[#Headers],[Include or Exclude]], 40)</f>
        <v/>
      </c>
      <c r="AC146" s="36" t="str" cm="1">
        <f t="array" aca="1" ref="AC146" ca="1">Common_InputFunctions.Utility_DisplayArrayInTable(Fertiliser_SourceData.Fertiliser_Products_Data3(),FertiliserProducts[[#Headers],[Include or Exclude]], 40)</f>
        <v/>
      </c>
      <c r="AD146" s="36" t="str" cm="1">
        <f t="array" aca="1" ref="AD146" ca="1">Common_InputFunctions.Utility_DisplayArrayInTable(Fertiliser_SourceData.Fertiliser_Products_Data3(),FertiliserProducts[[#Headers],[Include or Exclude]], 40)</f>
        <v/>
      </c>
      <c r="AE146" s="36" t="str" cm="1">
        <f t="array" aca="1" ref="AE146" ca="1">Common_InputFunctions.Utility_DisplayArrayInTable(Fertiliser_SourceData.Fertiliser_Products_Data3(),FertiliserProducts[[#Headers],[Include or Exclude]], 40)</f>
        <v/>
      </c>
    </row>
    <row r="147" spans="4:31" ht="20.100000000000001" customHeight="1" x14ac:dyDescent="0.25">
      <c r="D147" s="96" t="str" cm="1">
        <f t="array" aca="1" ref="D147" ca="1">Common_InputFunctions.Utility_DisplayArrayInTable(Fertiliser_SourceData.Fertiliser_Products_Data3(),FertiliserProducts[[#Headers],[Include or Exclude]], 40)</f>
        <v/>
      </c>
      <c r="E147" s="96" t="str" cm="1">
        <f t="array" aca="1" ref="E147" ca="1">Common_InputFunctions.Utility_DisplayArrayInTable(Fertiliser_SourceData.Fertiliser_Products_Data3(),FertiliserProducts[[#Headers],[Include or Exclude]], 40)</f>
        <v/>
      </c>
      <c r="F147" s="96" t="str" cm="1">
        <f t="array" aca="1" ref="F147" ca="1">Common_InputFunctions.Utility_DisplayArrayInTable(Fertiliser_SourceData.Fertiliser_Products_Data3(),FertiliserProducts[[#Headers],[Include or Exclude]], 40)</f>
        <v/>
      </c>
      <c r="G147" s="96" t="str" cm="1">
        <f t="array" aca="1" ref="G147" ca="1">Common_InputFunctions.Utility_DisplayArrayInTable(Fertiliser_SourceData.Fertiliser_Products_Data3(),FertiliserProducts[[#Headers],[Include or Exclude]], 40)</f>
        <v/>
      </c>
      <c r="H147" s="96" t="str" cm="1">
        <f t="array" aca="1" ref="H147" ca="1">Common_InputFunctions.Utility_DisplayArrayInTable(Fertiliser_SourceData.Fertiliser_Products_Data3(),FertiliserProducts[[#Headers],[Include or Exclude]], 40)</f>
        <v/>
      </c>
      <c r="I147" s="96" t="str" cm="1">
        <f t="array" aca="1" ref="I147" ca="1">Common_InputFunctions.Utility_DisplayArrayInTable(Fertiliser_SourceData.Fertiliser_Products_Data3(),FertiliserProducts[[#Headers],[Include or Exclude]], 40)</f>
        <v/>
      </c>
      <c r="J147" s="96" t="str" cm="1">
        <f t="array" aca="1" ref="J147" ca="1">Common_InputFunctions.Utility_DisplayArrayInTable(Fertiliser_SourceData.Fertiliser_Products_Data3(),FertiliserProducts[[#Headers],[Include or Exclude]], 40)</f>
        <v/>
      </c>
      <c r="K147" s="96" t="str" cm="1">
        <f t="array" aca="1" ref="K147" ca="1">Common_InputFunctions.Utility_DisplayArrayInTable(Fertiliser_SourceData.Fertiliser_Products_Data3(),FertiliserProducts[[#Headers],[Include or Exclude]], 40)</f>
        <v/>
      </c>
      <c r="L147" s="96" t="str" cm="1">
        <f t="array" aca="1" ref="L147" ca="1">Common_InputFunctions.Utility_DisplayArrayInTable(Fertiliser_SourceData.Fertiliser_Products_Data3(),FertiliserProducts[[#Headers],[Include or Exclude]], 40)</f>
        <v/>
      </c>
      <c r="M147" s="96" t="str" cm="1">
        <f t="array" aca="1" ref="M147" ca="1">Common_InputFunctions.Utility_DisplayArrayInTable(Fertiliser_SourceData.Fertiliser_Products_Data3(),FertiliserProducts[[#Headers],[Include or Exclude]], 40)</f>
        <v/>
      </c>
      <c r="N147" s="96" t="str" cm="1">
        <f t="array" aca="1" ref="N147" ca="1">Common_InputFunctions.Utility_DisplayArrayInTable(Fertiliser_SourceData.Fertiliser_Products_Data3(),FertiliserProducts[[#Headers],[Include or Exclude]], 40)</f>
        <v/>
      </c>
      <c r="O147" s="96" t="str" cm="1">
        <f t="array" aca="1" ref="O147" ca="1">Common_InputFunctions.Utility_DisplayArrayInTable(Fertiliser_SourceData.Fertiliser_Products_Data3(),FertiliserProducts[[#Headers],[Include or Exclude]], 40)</f>
        <v/>
      </c>
      <c r="P147" s="96" t="str" cm="1">
        <f t="array" aca="1" ref="P147" ca="1">Common_InputFunctions.Utility_DisplayArrayInTable(Fertiliser_SourceData.Fertiliser_Products_Data3(),FertiliserProducts[[#Headers],[Include or Exclude]], 40)</f>
        <v/>
      </c>
      <c r="Q147" s="96" t="str" cm="1">
        <f t="array" aca="1" ref="Q147" ca="1">Common_InputFunctions.Utility_DisplayArrayInTable(Fertiliser_SourceData.Fertiliser_Products_Data3(),FertiliserProducts[[#Headers],[Include or Exclude]], 40)</f>
        <v/>
      </c>
      <c r="R147" s="96" t="str" cm="1">
        <f t="array" aca="1" ref="R147" ca="1">Common_InputFunctions.Utility_DisplayArrayInTable(Fertiliser_SourceData.Fertiliser_Products_Data3(),FertiliserProducts[[#Headers],[Include or Exclude]], 40)</f>
        <v/>
      </c>
      <c r="S147" s="96" t="str" cm="1">
        <f t="array" aca="1" ref="S147" ca="1">Common_InputFunctions.Utility_DisplayArrayInTable(Fertiliser_SourceData.Fertiliser_Products_Data3(),FertiliserProducts[[#Headers],[Include or Exclude]], 40)</f>
        <v/>
      </c>
      <c r="T147" s="96" t="str" cm="1">
        <f t="array" aca="1" ref="T147" ca="1">Common_InputFunctions.Utility_DisplayArrayInTable(Fertiliser_SourceData.Fertiliser_Products_Data3(),FertiliserProducts[[#Headers],[Include or Exclude]], 40)</f>
        <v/>
      </c>
      <c r="U147" s="96" t="str" cm="1">
        <f t="array" aca="1" ref="U147" ca="1">Common_InputFunctions.Utility_DisplayArrayInTable(Fertiliser_SourceData.Fertiliser_Products_Data3(),FertiliserProducts[[#Headers],[Include or Exclude]], 40)</f>
        <v/>
      </c>
      <c r="V147" s="96" t="str" cm="1">
        <f t="array" aca="1" ref="V147" ca="1">Common_InputFunctions.Utility_DisplayArrayInTable(Fertiliser_SourceData.Fertiliser_Products_Data3(),FertiliserProducts[[#Headers],[Include or Exclude]], 40)</f>
        <v/>
      </c>
      <c r="W147" s="96" t="str" cm="1">
        <f t="array" aca="1" ref="W147" ca="1">Common_InputFunctions.Utility_DisplayArrayInTable(Fertiliser_SourceData.Fertiliser_Products_Data3(),FertiliserProducts[[#Headers],[Include or Exclude]], 40)</f>
        <v/>
      </c>
      <c r="X147" s="96" t="str" cm="1">
        <f t="array" aca="1" ref="X147" ca="1">Common_InputFunctions.Utility_DisplayArrayInTable(Fertiliser_SourceData.Fertiliser_Products_Data3(),FertiliserProducts[[#Headers],[Include or Exclude]], 40)</f>
        <v/>
      </c>
      <c r="Y147" s="96" t="str" cm="1">
        <f t="array" aca="1" ref="Y147" ca="1">Common_InputFunctions.Utility_DisplayArrayInTable(Fertiliser_SourceData.Fertiliser_Products_Data3(),FertiliserProducts[[#Headers],[Include or Exclude]], 40)</f>
        <v/>
      </c>
      <c r="Z147" s="96" t="str" cm="1">
        <f t="array" aca="1" ref="Z147" ca="1">Common_InputFunctions.Utility_DisplayArrayInTable(Fertiliser_SourceData.Fertiliser_Products_Data3(),FertiliserProducts[[#Headers],[Include or Exclude]], 40)</f>
        <v/>
      </c>
      <c r="AA147" s="36" t="str" cm="1">
        <f t="array" aca="1" ref="AA147" ca="1">Common_InputFunctions.Utility_DisplayArrayInTable(Fertiliser_SourceData.Fertiliser_Products_Data3(),FertiliserProducts[[#Headers],[Include or Exclude]], 40)</f>
        <v/>
      </c>
      <c r="AB147" s="36" t="str" cm="1">
        <f t="array" aca="1" ref="AB147" ca="1">Common_InputFunctions.Utility_DisplayArrayInTable(Fertiliser_SourceData.Fertiliser_Products_Data3(),FertiliserProducts[[#Headers],[Include or Exclude]], 40)</f>
        <v/>
      </c>
      <c r="AC147" s="36" t="str" cm="1">
        <f t="array" aca="1" ref="AC147" ca="1">Common_InputFunctions.Utility_DisplayArrayInTable(Fertiliser_SourceData.Fertiliser_Products_Data3(),FertiliserProducts[[#Headers],[Include or Exclude]], 40)</f>
        <v/>
      </c>
      <c r="AD147" s="36" t="str" cm="1">
        <f t="array" aca="1" ref="AD147" ca="1">Common_InputFunctions.Utility_DisplayArrayInTable(Fertiliser_SourceData.Fertiliser_Products_Data3(),FertiliserProducts[[#Headers],[Include or Exclude]], 40)</f>
        <v/>
      </c>
      <c r="AE147" s="36" t="str" cm="1">
        <f t="array" aca="1" ref="AE147" ca="1">Common_InputFunctions.Utility_DisplayArrayInTable(Fertiliser_SourceData.Fertiliser_Products_Data3(),FertiliserProducts[[#Headers],[Include or Exclude]], 40)</f>
        <v/>
      </c>
    </row>
    <row r="148" spans="4:31" ht="20.100000000000001" customHeight="1" x14ac:dyDescent="0.25">
      <c r="D148" s="96" t="str" cm="1">
        <f t="array" aca="1" ref="D148" ca="1">Common_InputFunctions.Utility_DisplayArrayInTable(Fertiliser_SourceData.Fertiliser_Products_Data3(),FertiliserProducts[[#Headers],[Include or Exclude]], 40)</f>
        <v/>
      </c>
      <c r="E148" s="96" t="str" cm="1">
        <f t="array" aca="1" ref="E148" ca="1">Common_InputFunctions.Utility_DisplayArrayInTable(Fertiliser_SourceData.Fertiliser_Products_Data3(),FertiliserProducts[[#Headers],[Include or Exclude]], 40)</f>
        <v/>
      </c>
      <c r="F148" s="96" t="str" cm="1">
        <f t="array" aca="1" ref="F148" ca="1">Common_InputFunctions.Utility_DisplayArrayInTable(Fertiliser_SourceData.Fertiliser_Products_Data3(),FertiliserProducts[[#Headers],[Include or Exclude]], 40)</f>
        <v/>
      </c>
      <c r="G148" s="96" t="str" cm="1">
        <f t="array" aca="1" ref="G148" ca="1">Common_InputFunctions.Utility_DisplayArrayInTable(Fertiliser_SourceData.Fertiliser_Products_Data3(),FertiliserProducts[[#Headers],[Include or Exclude]], 40)</f>
        <v/>
      </c>
      <c r="H148" s="96" t="str" cm="1">
        <f t="array" aca="1" ref="H148" ca="1">Common_InputFunctions.Utility_DisplayArrayInTable(Fertiliser_SourceData.Fertiliser_Products_Data3(),FertiliserProducts[[#Headers],[Include or Exclude]], 40)</f>
        <v/>
      </c>
      <c r="I148" s="96" t="str" cm="1">
        <f t="array" aca="1" ref="I148" ca="1">Common_InputFunctions.Utility_DisplayArrayInTable(Fertiliser_SourceData.Fertiliser_Products_Data3(),FertiliserProducts[[#Headers],[Include or Exclude]], 40)</f>
        <v/>
      </c>
      <c r="J148" s="96" t="str" cm="1">
        <f t="array" aca="1" ref="J148" ca="1">Common_InputFunctions.Utility_DisplayArrayInTable(Fertiliser_SourceData.Fertiliser_Products_Data3(),FertiliserProducts[[#Headers],[Include or Exclude]], 40)</f>
        <v/>
      </c>
      <c r="K148" s="96" t="str" cm="1">
        <f t="array" aca="1" ref="K148" ca="1">Common_InputFunctions.Utility_DisplayArrayInTable(Fertiliser_SourceData.Fertiliser_Products_Data3(),FertiliserProducts[[#Headers],[Include or Exclude]], 40)</f>
        <v/>
      </c>
      <c r="L148" s="96" t="str" cm="1">
        <f t="array" aca="1" ref="L148" ca="1">Common_InputFunctions.Utility_DisplayArrayInTable(Fertiliser_SourceData.Fertiliser_Products_Data3(),FertiliserProducts[[#Headers],[Include or Exclude]], 40)</f>
        <v/>
      </c>
      <c r="M148" s="96" t="str" cm="1">
        <f t="array" aca="1" ref="M148" ca="1">Common_InputFunctions.Utility_DisplayArrayInTable(Fertiliser_SourceData.Fertiliser_Products_Data3(),FertiliserProducts[[#Headers],[Include or Exclude]], 40)</f>
        <v/>
      </c>
      <c r="N148" s="96" t="str" cm="1">
        <f t="array" aca="1" ref="N148" ca="1">Common_InputFunctions.Utility_DisplayArrayInTable(Fertiliser_SourceData.Fertiliser_Products_Data3(),FertiliserProducts[[#Headers],[Include or Exclude]], 40)</f>
        <v/>
      </c>
      <c r="O148" s="96" t="str" cm="1">
        <f t="array" aca="1" ref="O148" ca="1">Common_InputFunctions.Utility_DisplayArrayInTable(Fertiliser_SourceData.Fertiliser_Products_Data3(),FertiliserProducts[[#Headers],[Include or Exclude]], 40)</f>
        <v/>
      </c>
      <c r="P148" s="96" t="str" cm="1">
        <f t="array" aca="1" ref="P148" ca="1">Common_InputFunctions.Utility_DisplayArrayInTable(Fertiliser_SourceData.Fertiliser_Products_Data3(),FertiliserProducts[[#Headers],[Include or Exclude]], 40)</f>
        <v/>
      </c>
      <c r="Q148" s="96" t="str" cm="1">
        <f t="array" aca="1" ref="Q148" ca="1">Common_InputFunctions.Utility_DisplayArrayInTable(Fertiliser_SourceData.Fertiliser_Products_Data3(),FertiliserProducts[[#Headers],[Include or Exclude]], 40)</f>
        <v/>
      </c>
      <c r="R148" s="96" t="str" cm="1">
        <f t="array" aca="1" ref="R148" ca="1">Common_InputFunctions.Utility_DisplayArrayInTable(Fertiliser_SourceData.Fertiliser_Products_Data3(),FertiliserProducts[[#Headers],[Include or Exclude]], 40)</f>
        <v/>
      </c>
      <c r="S148" s="96" t="str" cm="1">
        <f t="array" aca="1" ref="S148" ca="1">Common_InputFunctions.Utility_DisplayArrayInTable(Fertiliser_SourceData.Fertiliser_Products_Data3(),FertiliserProducts[[#Headers],[Include or Exclude]], 40)</f>
        <v/>
      </c>
      <c r="T148" s="96" t="str" cm="1">
        <f t="array" aca="1" ref="T148" ca="1">Common_InputFunctions.Utility_DisplayArrayInTable(Fertiliser_SourceData.Fertiliser_Products_Data3(),FertiliserProducts[[#Headers],[Include or Exclude]], 40)</f>
        <v/>
      </c>
      <c r="U148" s="96" t="str" cm="1">
        <f t="array" aca="1" ref="U148" ca="1">Common_InputFunctions.Utility_DisplayArrayInTable(Fertiliser_SourceData.Fertiliser_Products_Data3(),FertiliserProducts[[#Headers],[Include or Exclude]], 40)</f>
        <v/>
      </c>
      <c r="V148" s="96" t="str" cm="1">
        <f t="array" aca="1" ref="V148" ca="1">Common_InputFunctions.Utility_DisplayArrayInTable(Fertiliser_SourceData.Fertiliser_Products_Data3(),FertiliserProducts[[#Headers],[Include or Exclude]], 40)</f>
        <v/>
      </c>
      <c r="W148" s="96" t="str" cm="1">
        <f t="array" aca="1" ref="W148" ca="1">Common_InputFunctions.Utility_DisplayArrayInTable(Fertiliser_SourceData.Fertiliser_Products_Data3(),FertiliserProducts[[#Headers],[Include or Exclude]], 40)</f>
        <v/>
      </c>
      <c r="X148" s="96" t="str" cm="1">
        <f t="array" aca="1" ref="X148" ca="1">Common_InputFunctions.Utility_DisplayArrayInTable(Fertiliser_SourceData.Fertiliser_Products_Data3(),FertiliserProducts[[#Headers],[Include or Exclude]], 40)</f>
        <v/>
      </c>
      <c r="Y148" s="96" t="str" cm="1">
        <f t="array" aca="1" ref="Y148" ca="1">Common_InputFunctions.Utility_DisplayArrayInTable(Fertiliser_SourceData.Fertiliser_Products_Data3(),FertiliserProducts[[#Headers],[Include or Exclude]], 40)</f>
        <v/>
      </c>
      <c r="Z148" s="96" t="str" cm="1">
        <f t="array" aca="1" ref="Z148" ca="1">Common_InputFunctions.Utility_DisplayArrayInTable(Fertiliser_SourceData.Fertiliser_Products_Data3(),FertiliserProducts[[#Headers],[Include or Exclude]], 40)</f>
        <v/>
      </c>
      <c r="AA148" s="36" t="str" cm="1">
        <f t="array" aca="1" ref="AA148" ca="1">Common_InputFunctions.Utility_DisplayArrayInTable(Fertiliser_SourceData.Fertiliser_Products_Data3(),FertiliserProducts[[#Headers],[Include or Exclude]], 40)</f>
        <v/>
      </c>
      <c r="AB148" s="36" t="str" cm="1">
        <f t="array" aca="1" ref="AB148" ca="1">Common_InputFunctions.Utility_DisplayArrayInTable(Fertiliser_SourceData.Fertiliser_Products_Data3(),FertiliserProducts[[#Headers],[Include or Exclude]], 40)</f>
        <v/>
      </c>
      <c r="AC148" s="36" t="str" cm="1">
        <f t="array" aca="1" ref="AC148" ca="1">Common_InputFunctions.Utility_DisplayArrayInTable(Fertiliser_SourceData.Fertiliser_Products_Data3(),FertiliserProducts[[#Headers],[Include or Exclude]], 40)</f>
        <v/>
      </c>
      <c r="AD148" s="36" t="str" cm="1">
        <f t="array" aca="1" ref="AD148" ca="1">Common_InputFunctions.Utility_DisplayArrayInTable(Fertiliser_SourceData.Fertiliser_Products_Data3(),FertiliserProducts[[#Headers],[Include or Exclude]], 40)</f>
        <v/>
      </c>
      <c r="AE148" s="36" t="str" cm="1">
        <f t="array" aca="1" ref="AE148" ca="1">Common_InputFunctions.Utility_DisplayArrayInTable(Fertiliser_SourceData.Fertiliser_Products_Data3(),FertiliserProducts[[#Headers],[Include or Exclude]], 40)</f>
        <v/>
      </c>
    </row>
    <row r="149" spans="4:31" ht="20.100000000000001" customHeight="1" x14ac:dyDescent="0.25">
      <c r="D149" s="96" t="str" cm="1">
        <f t="array" aca="1" ref="D149" ca="1">Common_InputFunctions.Utility_DisplayArrayInTable(Fertiliser_SourceData.Fertiliser_Products_Data4(),FertiliserProducts[[#Headers],[Include or Exclude]], 60)</f>
        <v/>
      </c>
      <c r="E149" s="96" t="str" cm="1">
        <f t="array" aca="1" ref="E149" ca="1">Common_InputFunctions.Utility_DisplayArrayInTable(Fertiliser_SourceData.Fertiliser_Products_Data4(),FertiliserProducts[[#Headers],[Include or Exclude]], 60)</f>
        <v/>
      </c>
      <c r="F149" s="96" t="str" cm="1">
        <f t="array" aca="1" ref="F149" ca="1">Common_InputFunctions.Utility_DisplayArrayInTable(Fertiliser_SourceData.Fertiliser_Products_Data4(),FertiliserProducts[[#Headers],[Include or Exclude]], 60)</f>
        <v/>
      </c>
      <c r="G149" s="96" t="str" cm="1">
        <f t="array" aca="1" ref="G149" ca="1">Common_InputFunctions.Utility_DisplayArrayInTable(Fertiliser_SourceData.Fertiliser_Products_Data4(),FertiliserProducts[[#Headers],[Include or Exclude]], 60)</f>
        <v/>
      </c>
      <c r="H149" s="96" t="str" cm="1">
        <f t="array" aca="1" ref="H149" ca="1">Common_InputFunctions.Utility_DisplayArrayInTable(Fertiliser_SourceData.Fertiliser_Products_Data4(),FertiliserProducts[[#Headers],[Include or Exclude]], 60)</f>
        <v/>
      </c>
      <c r="I149" s="96" t="str" cm="1">
        <f t="array" aca="1" ref="I149" ca="1">Common_InputFunctions.Utility_DisplayArrayInTable(Fertiliser_SourceData.Fertiliser_Products_Data4(),FertiliserProducts[[#Headers],[Include or Exclude]], 60)</f>
        <v/>
      </c>
      <c r="J149" s="96" t="str" cm="1">
        <f t="array" aca="1" ref="J149" ca="1">Common_InputFunctions.Utility_DisplayArrayInTable(Fertiliser_SourceData.Fertiliser_Products_Data4(),FertiliserProducts[[#Headers],[Include or Exclude]], 60)</f>
        <v/>
      </c>
      <c r="K149" s="96" t="str" cm="1">
        <f t="array" aca="1" ref="K149" ca="1">Common_InputFunctions.Utility_DisplayArrayInTable(Fertiliser_SourceData.Fertiliser_Products_Data4(),FertiliserProducts[[#Headers],[Include or Exclude]], 60)</f>
        <v/>
      </c>
      <c r="L149" s="96" t="str" cm="1">
        <f t="array" aca="1" ref="L149" ca="1">Common_InputFunctions.Utility_DisplayArrayInTable(Fertiliser_SourceData.Fertiliser_Products_Data4(),FertiliserProducts[[#Headers],[Include or Exclude]], 60)</f>
        <v/>
      </c>
      <c r="M149" s="96" t="str" cm="1">
        <f t="array" aca="1" ref="M149" ca="1">Common_InputFunctions.Utility_DisplayArrayInTable(Fertiliser_SourceData.Fertiliser_Products_Data4(),FertiliserProducts[[#Headers],[Include or Exclude]], 60)</f>
        <v/>
      </c>
      <c r="N149" s="96" t="str" cm="1">
        <f t="array" aca="1" ref="N149" ca="1">Common_InputFunctions.Utility_DisplayArrayInTable(Fertiliser_SourceData.Fertiliser_Products_Data4(),FertiliserProducts[[#Headers],[Include or Exclude]], 60)</f>
        <v/>
      </c>
      <c r="O149" s="96" t="str" cm="1">
        <f t="array" aca="1" ref="O149" ca="1">Common_InputFunctions.Utility_DisplayArrayInTable(Fertiliser_SourceData.Fertiliser_Products_Data4(),FertiliserProducts[[#Headers],[Include or Exclude]], 60)</f>
        <v/>
      </c>
      <c r="P149" s="96" t="str" cm="1">
        <f t="array" aca="1" ref="P149" ca="1">Common_InputFunctions.Utility_DisplayArrayInTable(Fertiliser_SourceData.Fertiliser_Products_Data4(),FertiliserProducts[[#Headers],[Include or Exclude]], 60)</f>
        <v/>
      </c>
      <c r="Q149" s="96" t="str" cm="1">
        <f t="array" aca="1" ref="Q149" ca="1">Common_InputFunctions.Utility_DisplayArrayInTable(Fertiliser_SourceData.Fertiliser_Products_Data4(),FertiliserProducts[[#Headers],[Include or Exclude]], 60)</f>
        <v/>
      </c>
      <c r="R149" s="96" t="str" cm="1">
        <f t="array" aca="1" ref="R149" ca="1">Common_InputFunctions.Utility_DisplayArrayInTable(Fertiliser_SourceData.Fertiliser_Products_Data4(),FertiliserProducts[[#Headers],[Include or Exclude]], 60)</f>
        <v/>
      </c>
      <c r="S149" s="96" t="str" cm="1">
        <f t="array" aca="1" ref="S149" ca="1">Common_InputFunctions.Utility_DisplayArrayInTable(Fertiliser_SourceData.Fertiliser_Products_Data4(),FertiliserProducts[[#Headers],[Include or Exclude]], 60)</f>
        <v/>
      </c>
      <c r="T149" s="96" t="str" cm="1">
        <f t="array" aca="1" ref="T149" ca="1">Common_InputFunctions.Utility_DisplayArrayInTable(Fertiliser_SourceData.Fertiliser_Products_Data4(),FertiliserProducts[[#Headers],[Include or Exclude]], 60)</f>
        <v/>
      </c>
      <c r="U149" s="96" t="str" cm="1">
        <f t="array" aca="1" ref="U149" ca="1">Common_InputFunctions.Utility_DisplayArrayInTable(Fertiliser_SourceData.Fertiliser_Products_Data4(),FertiliserProducts[[#Headers],[Include or Exclude]], 60)</f>
        <v/>
      </c>
      <c r="V149" s="96" t="str" cm="1">
        <f t="array" aca="1" ref="V149" ca="1">Common_InputFunctions.Utility_DisplayArrayInTable(Fertiliser_SourceData.Fertiliser_Products_Data4(),FertiliserProducts[[#Headers],[Include or Exclude]], 60)</f>
        <v/>
      </c>
      <c r="W149" s="96" t="str" cm="1">
        <f t="array" aca="1" ref="W149" ca="1">Common_InputFunctions.Utility_DisplayArrayInTable(Fertiliser_SourceData.Fertiliser_Products_Data4(),FertiliserProducts[[#Headers],[Include or Exclude]], 60)</f>
        <v/>
      </c>
      <c r="X149" s="96" t="str" cm="1">
        <f t="array" aca="1" ref="X149" ca="1">Common_InputFunctions.Utility_DisplayArrayInTable(Fertiliser_SourceData.Fertiliser_Products_Data4(),FertiliserProducts[[#Headers],[Include or Exclude]], 60)</f>
        <v/>
      </c>
      <c r="Y149" s="96" t="str" cm="1">
        <f t="array" aca="1" ref="Y149" ca="1">Common_InputFunctions.Utility_DisplayArrayInTable(Fertiliser_SourceData.Fertiliser_Products_Data4(),FertiliserProducts[[#Headers],[Include or Exclude]], 60)</f>
        <v/>
      </c>
      <c r="Z149" s="96" t="str" cm="1">
        <f t="array" aca="1" ref="Z149" ca="1">Common_InputFunctions.Utility_DisplayArrayInTable(Fertiliser_SourceData.Fertiliser_Products_Data4(),FertiliserProducts[[#Headers],[Include or Exclude]], 60)</f>
        <v/>
      </c>
      <c r="AA149" s="36" t="str" cm="1">
        <f t="array" aca="1" ref="AA149" ca="1">Common_InputFunctions.Utility_DisplayArrayInTable(Fertiliser_SourceData.Fertiliser_Products_Data4(),FertiliserProducts[[#Headers],[Include or Exclude]], 60)</f>
        <v/>
      </c>
      <c r="AB149" s="36" t="str" cm="1">
        <f t="array" aca="1" ref="AB149" ca="1">Common_InputFunctions.Utility_DisplayArrayInTable(Fertiliser_SourceData.Fertiliser_Products_Data4(),FertiliserProducts[[#Headers],[Include or Exclude]], 60)</f>
        <v/>
      </c>
      <c r="AC149" s="36" t="str" cm="1">
        <f t="array" aca="1" ref="AC149" ca="1">Common_InputFunctions.Utility_DisplayArrayInTable(Fertiliser_SourceData.Fertiliser_Products_Data4(),FertiliserProducts[[#Headers],[Include or Exclude]], 60)</f>
        <v/>
      </c>
      <c r="AD149" s="36" t="str" cm="1">
        <f t="array" aca="1" ref="AD149" ca="1">Common_InputFunctions.Utility_DisplayArrayInTable(Fertiliser_SourceData.Fertiliser_Products_Data4(),FertiliserProducts[[#Headers],[Include or Exclude]], 60)</f>
        <v/>
      </c>
      <c r="AE149" s="36" t="str" cm="1">
        <f t="array" aca="1" ref="AE149" ca="1">Common_InputFunctions.Utility_DisplayArrayInTable(Fertiliser_SourceData.Fertiliser_Products_Data4(),FertiliserProducts[[#Headers],[Include or Exclude]], 60)</f>
        <v/>
      </c>
    </row>
    <row r="150" spans="4:31" ht="20.100000000000001" customHeight="1" x14ac:dyDescent="0.25">
      <c r="D150" s="96" t="str" cm="1">
        <f t="array" aca="1" ref="D150" ca="1">Common_InputFunctions.Utility_DisplayArrayInTable(Fertiliser_SourceData.Fertiliser_Products_Data4(),FertiliserProducts[[#Headers],[Include or Exclude]], 60)</f>
        <v/>
      </c>
      <c r="E150" s="96" t="str" cm="1">
        <f t="array" aca="1" ref="E150" ca="1">Common_InputFunctions.Utility_DisplayArrayInTable(Fertiliser_SourceData.Fertiliser_Products_Data4(),FertiliserProducts[[#Headers],[Include or Exclude]], 60)</f>
        <v/>
      </c>
      <c r="F150" s="96" t="str" cm="1">
        <f t="array" aca="1" ref="F150" ca="1">Common_InputFunctions.Utility_DisplayArrayInTable(Fertiliser_SourceData.Fertiliser_Products_Data4(),FertiliserProducts[[#Headers],[Include or Exclude]], 60)</f>
        <v/>
      </c>
      <c r="G150" s="96" t="str" cm="1">
        <f t="array" aca="1" ref="G150" ca="1">Common_InputFunctions.Utility_DisplayArrayInTable(Fertiliser_SourceData.Fertiliser_Products_Data4(),FertiliserProducts[[#Headers],[Include or Exclude]], 60)</f>
        <v/>
      </c>
      <c r="H150" s="96" t="str" cm="1">
        <f t="array" aca="1" ref="H150" ca="1">Common_InputFunctions.Utility_DisplayArrayInTable(Fertiliser_SourceData.Fertiliser_Products_Data4(),FertiliserProducts[[#Headers],[Include or Exclude]], 60)</f>
        <v/>
      </c>
      <c r="I150" s="96" t="str" cm="1">
        <f t="array" aca="1" ref="I150" ca="1">Common_InputFunctions.Utility_DisplayArrayInTable(Fertiliser_SourceData.Fertiliser_Products_Data4(),FertiliserProducts[[#Headers],[Include or Exclude]], 60)</f>
        <v/>
      </c>
      <c r="J150" s="96" t="str" cm="1">
        <f t="array" aca="1" ref="J150" ca="1">Common_InputFunctions.Utility_DisplayArrayInTable(Fertiliser_SourceData.Fertiliser_Products_Data4(),FertiliserProducts[[#Headers],[Include or Exclude]], 60)</f>
        <v/>
      </c>
      <c r="K150" s="96" t="str" cm="1">
        <f t="array" aca="1" ref="K150" ca="1">Common_InputFunctions.Utility_DisplayArrayInTable(Fertiliser_SourceData.Fertiliser_Products_Data4(),FertiliserProducts[[#Headers],[Include or Exclude]], 60)</f>
        <v/>
      </c>
      <c r="L150" s="96" t="str" cm="1">
        <f t="array" aca="1" ref="L150" ca="1">Common_InputFunctions.Utility_DisplayArrayInTable(Fertiliser_SourceData.Fertiliser_Products_Data4(),FertiliserProducts[[#Headers],[Include or Exclude]], 60)</f>
        <v/>
      </c>
      <c r="M150" s="96" t="str" cm="1">
        <f t="array" aca="1" ref="M150" ca="1">Common_InputFunctions.Utility_DisplayArrayInTable(Fertiliser_SourceData.Fertiliser_Products_Data4(),FertiliserProducts[[#Headers],[Include or Exclude]], 60)</f>
        <v/>
      </c>
      <c r="N150" s="96" t="str" cm="1">
        <f t="array" aca="1" ref="N150" ca="1">Common_InputFunctions.Utility_DisplayArrayInTable(Fertiliser_SourceData.Fertiliser_Products_Data4(),FertiliserProducts[[#Headers],[Include or Exclude]], 60)</f>
        <v/>
      </c>
      <c r="O150" s="96" t="str" cm="1">
        <f t="array" aca="1" ref="O150" ca="1">Common_InputFunctions.Utility_DisplayArrayInTable(Fertiliser_SourceData.Fertiliser_Products_Data4(),FertiliserProducts[[#Headers],[Include or Exclude]], 60)</f>
        <v/>
      </c>
      <c r="P150" s="96" t="str" cm="1">
        <f t="array" aca="1" ref="P150" ca="1">Common_InputFunctions.Utility_DisplayArrayInTable(Fertiliser_SourceData.Fertiliser_Products_Data4(),FertiliserProducts[[#Headers],[Include or Exclude]], 60)</f>
        <v/>
      </c>
      <c r="Q150" s="96" t="str" cm="1">
        <f t="array" aca="1" ref="Q150" ca="1">Common_InputFunctions.Utility_DisplayArrayInTable(Fertiliser_SourceData.Fertiliser_Products_Data4(),FertiliserProducts[[#Headers],[Include or Exclude]], 60)</f>
        <v/>
      </c>
      <c r="R150" s="96" t="str" cm="1">
        <f t="array" aca="1" ref="R150" ca="1">Common_InputFunctions.Utility_DisplayArrayInTable(Fertiliser_SourceData.Fertiliser_Products_Data4(),FertiliserProducts[[#Headers],[Include or Exclude]], 60)</f>
        <v/>
      </c>
      <c r="S150" s="96" t="str" cm="1">
        <f t="array" aca="1" ref="S150" ca="1">Common_InputFunctions.Utility_DisplayArrayInTable(Fertiliser_SourceData.Fertiliser_Products_Data4(),FertiliserProducts[[#Headers],[Include or Exclude]], 60)</f>
        <v/>
      </c>
      <c r="T150" s="96" t="str" cm="1">
        <f t="array" aca="1" ref="T150" ca="1">Common_InputFunctions.Utility_DisplayArrayInTable(Fertiliser_SourceData.Fertiliser_Products_Data4(),FertiliserProducts[[#Headers],[Include or Exclude]], 60)</f>
        <v/>
      </c>
      <c r="U150" s="96" t="str" cm="1">
        <f t="array" aca="1" ref="U150" ca="1">Common_InputFunctions.Utility_DisplayArrayInTable(Fertiliser_SourceData.Fertiliser_Products_Data4(),FertiliserProducts[[#Headers],[Include or Exclude]], 60)</f>
        <v/>
      </c>
      <c r="V150" s="96" t="str" cm="1">
        <f t="array" aca="1" ref="V150" ca="1">Common_InputFunctions.Utility_DisplayArrayInTable(Fertiliser_SourceData.Fertiliser_Products_Data4(),FertiliserProducts[[#Headers],[Include or Exclude]], 60)</f>
        <v/>
      </c>
      <c r="W150" s="96" t="str" cm="1">
        <f t="array" aca="1" ref="W150" ca="1">Common_InputFunctions.Utility_DisplayArrayInTable(Fertiliser_SourceData.Fertiliser_Products_Data4(),FertiliserProducts[[#Headers],[Include or Exclude]], 60)</f>
        <v/>
      </c>
      <c r="X150" s="96" t="str" cm="1">
        <f t="array" aca="1" ref="X150" ca="1">Common_InputFunctions.Utility_DisplayArrayInTable(Fertiliser_SourceData.Fertiliser_Products_Data4(),FertiliserProducts[[#Headers],[Include or Exclude]], 60)</f>
        <v/>
      </c>
      <c r="Y150" s="96" t="str" cm="1">
        <f t="array" aca="1" ref="Y150" ca="1">Common_InputFunctions.Utility_DisplayArrayInTable(Fertiliser_SourceData.Fertiliser_Products_Data4(),FertiliserProducts[[#Headers],[Include or Exclude]], 60)</f>
        <v/>
      </c>
      <c r="Z150" s="96" t="str" cm="1">
        <f t="array" aca="1" ref="Z150" ca="1">Common_InputFunctions.Utility_DisplayArrayInTable(Fertiliser_SourceData.Fertiliser_Products_Data4(),FertiliserProducts[[#Headers],[Include or Exclude]], 60)</f>
        <v/>
      </c>
      <c r="AA150" s="36" t="str" cm="1">
        <f t="array" aca="1" ref="AA150" ca="1">Common_InputFunctions.Utility_DisplayArrayInTable(Fertiliser_SourceData.Fertiliser_Products_Data4(),FertiliserProducts[[#Headers],[Include or Exclude]], 60)</f>
        <v/>
      </c>
      <c r="AB150" s="36" t="str" cm="1">
        <f t="array" aca="1" ref="AB150" ca="1">Common_InputFunctions.Utility_DisplayArrayInTable(Fertiliser_SourceData.Fertiliser_Products_Data4(),FertiliserProducts[[#Headers],[Include or Exclude]], 60)</f>
        <v/>
      </c>
      <c r="AC150" s="36" t="str" cm="1">
        <f t="array" aca="1" ref="AC150" ca="1">Common_InputFunctions.Utility_DisplayArrayInTable(Fertiliser_SourceData.Fertiliser_Products_Data4(),FertiliserProducts[[#Headers],[Include or Exclude]], 60)</f>
        <v/>
      </c>
      <c r="AD150" s="36" t="str" cm="1">
        <f t="array" aca="1" ref="AD150" ca="1">Common_InputFunctions.Utility_DisplayArrayInTable(Fertiliser_SourceData.Fertiliser_Products_Data4(),FertiliserProducts[[#Headers],[Include or Exclude]], 60)</f>
        <v/>
      </c>
      <c r="AE150" s="36" t="str" cm="1">
        <f t="array" aca="1" ref="AE150" ca="1">Common_InputFunctions.Utility_DisplayArrayInTable(Fertiliser_SourceData.Fertiliser_Products_Data4(),FertiliserProducts[[#Headers],[Include or Exclude]], 60)</f>
        <v/>
      </c>
    </row>
    <row r="151" spans="4:31" ht="20.100000000000001" customHeight="1" x14ac:dyDescent="0.25">
      <c r="D151" s="96" t="str" cm="1">
        <f t="array" aca="1" ref="D151" ca="1">Common_InputFunctions.Utility_DisplayArrayInTable(Fertiliser_SourceData.Fertiliser_Products_Data4(),FertiliserProducts[[#Headers],[Include or Exclude]], 60)</f>
        <v/>
      </c>
      <c r="E151" s="96" t="str" cm="1">
        <f t="array" aca="1" ref="E151" ca="1">Common_InputFunctions.Utility_DisplayArrayInTable(Fertiliser_SourceData.Fertiliser_Products_Data4(),FertiliserProducts[[#Headers],[Include or Exclude]], 60)</f>
        <v/>
      </c>
      <c r="F151" s="96" t="str" cm="1">
        <f t="array" aca="1" ref="F151" ca="1">Common_InputFunctions.Utility_DisplayArrayInTable(Fertiliser_SourceData.Fertiliser_Products_Data4(),FertiliserProducts[[#Headers],[Include or Exclude]], 60)</f>
        <v/>
      </c>
      <c r="G151" s="96" t="str" cm="1">
        <f t="array" aca="1" ref="G151" ca="1">Common_InputFunctions.Utility_DisplayArrayInTable(Fertiliser_SourceData.Fertiliser_Products_Data4(),FertiliserProducts[[#Headers],[Include or Exclude]], 60)</f>
        <v/>
      </c>
      <c r="H151" s="96" t="str" cm="1">
        <f t="array" aca="1" ref="H151" ca="1">Common_InputFunctions.Utility_DisplayArrayInTable(Fertiliser_SourceData.Fertiliser_Products_Data4(),FertiliserProducts[[#Headers],[Include or Exclude]], 60)</f>
        <v/>
      </c>
      <c r="I151" s="96" t="str" cm="1">
        <f t="array" aca="1" ref="I151" ca="1">Common_InputFunctions.Utility_DisplayArrayInTable(Fertiliser_SourceData.Fertiliser_Products_Data4(),FertiliserProducts[[#Headers],[Include or Exclude]], 60)</f>
        <v/>
      </c>
      <c r="J151" s="96" t="str" cm="1">
        <f t="array" aca="1" ref="J151" ca="1">Common_InputFunctions.Utility_DisplayArrayInTable(Fertiliser_SourceData.Fertiliser_Products_Data4(),FertiliserProducts[[#Headers],[Include or Exclude]], 60)</f>
        <v/>
      </c>
      <c r="K151" s="96" t="str" cm="1">
        <f t="array" aca="1" ref="K151" ca="1">Common_InputFunctions.Utility_DisplayArrayInTable(Fertiliser_SourceData.Fertiliser_Products_Data4(),FertiliserProducts[[#Headers],[Include or Exclude]], 60)</f>
        <v/>
      </c>
      <c r="L151" s="96" t="str" cm="1">
        <f t="array" aca="1" ref="L151" ca="1">Common_InputFunctions.Utility_DisplayArrayInTable(Fertiliser_SourceData.Fertiliser_Products_Data4(),FertiliserProducts[[#Headers],[Include or Exclude]], 60)</f>
        <v/>
      </c>
      <c r="M151" s="96" t="str" cm="1">
        <f t="array" aca="1" ref="M151" ca="1">Common_InputFunctions.Utility_DisplayArrayInTable(Fertiliser_SourceData.Fertiliser_Products_Data4(),FertiliserProducts[[#Headers],[Include or Exclude]], 60)</f>
        <v/>
      </c>
      <c r="N151" s="96" t="str" cm="1">
        <f t="array" aca="1" ref="N151" ca="1">Common_InputFunctions.Utility_DisplayArrayInTable(Fertiliser_SourceData.Fertiliser_Products_Data4(),FertiliserProducts[[#Headers],[Include or Exclude]], 60)</f>
        <v/>
      </c>
      <c r="O151" s="96" t="str" cm="1">
        <f t="array" aca="1" ref="O151" ca="1">Common_InputFunctions.Utility_DisplayArrayInTable(Fertiliser_SourceData.Fertiliser_Products_Data4(),FertiliserProducts[[#Headers],[Include or Exclude]], 60)</f>
        <v/>
      </c>
      <c r="P151" s="96" t="str" cm="1">
        <f t="array" aca="1" ref="P151" ca="1">Common_InputFunctions.Utility_DisplayArrayInTable(Fertiliser_SourceData.Fertiliser_Products_Data4(),FertiliserProducts[[#Headers],[Include or Exclude]], 60)</f>
        <v/>
      </c>
      <c r="Q151" s="96" t="str" cm="1">
        <f t="array" aca="1" ref="Q151" ca="1">Common_InputFunctions.Utility_DisplayArrayInTable(Fertiliser_SourceData.Fertiliser_Products_Data4(),FertiliserProducts[[#Headers],[Include or Exclude]], 60)</f>
        <v/>
      </c>
      <c r="R151" s="96" t="str" cm="1">
        <f t="array" aca="1" ref="R151" ca="1">Common_InputFunctions.Utility_DisplayArrayInTable(Fertiliser_SourceData.Fertiliser_Products_Data4(),FertiliserProducts[[#Headers],[Include or Exclude]], 60)</f>
        <v/>
      </c>
      <c r="S151" s="96" t="str" cm="1">
        <f t="array" aca="1" ref="S151" ca="1">Common_InputFunctions.Utility_DisplayArrayInTable(Fertiliser_SourceData.Fertiliser_Products_Data4(),FertiliserProducts[[#Headers],[Include or Exclude]], 60)</f>
        <v/>
      </c>
      <c r="T151" s="96" t="str" cm="1">
        <f t="array" aca="1" ref="T151" ca="1">Common_InputFunctions.Utility_DisplayArrayInTable(Fertiliser_SourceData.Fertiliser_Products_Data4(),FertiliserProducts[[#Headers],[Include or Exclude]], 60)</f>
        <v/>
      </c>
      <c r="U151" s="96" t="str" cm="1">
        <f t="array" aca="1" ref="U151" ca="1">Common_InputFunctions.Utility_DisplayArrayInTable(Fertiliser_SourceData.Fertiliser_Products_Data4(),FertiliserProducts[[#Headers],[Include or Exclude]], 60)</f>
        <v/>
      </c>
      <c r="V151" s="96" t="str" cm="1">
        <f t="array" aca="1" ref="V151" ca="1">Common_InputFunctions.Utility_DisplayArrayInTable(Fertiliser_SourceData.Fertiliser_Products_Data4(),FertiliserProducts[[#Headers],[Include or Exclude]], 60)</f>
        <v/>
      </c>
      <c r="W151" s="96" t="str" cm="1">
        <f t="array" aca="1" ref="W151" ca="1">Common_InputFunctions.Utility_DisplayArrayInTable(Fertiliser_SourceData.Fertiliser_Products_Data4(),FertiliserProducts[[#Headers],[Include or Exclude]], 60)</f>
        <v/>
      </c>
      <c r="X151" s="96" t="str" cm="1">
        <f t="array" aca="1" ref="X151" ca="1">Common_InputFunctions.Utility_DisplayArrayInTable(Fertiliser_SourceData.Fertiliser_Products_Data4(),FertiliserProducts[[#Headers],[Include or Exclude]], 60)</f>
        <v/>
      </c>
      <c r="Y151" s="96" t="str" cm="1">
        <f t="array" aca="1" ref="Y151" ca="1">Common_InputFunctions.Utility_DisplayArrayInTable(Fertiliser_SourceData.Fertiliser_Products_Data4(),FertiliserProducts[[#Headers],[Include or Exclude]], 60)</f>
        <v/>
      </c>
      <c r="Z151" s="96" t="str" cm="1">
        <f t="array" aca="1" ref="Z151" ca="1">Common_InputFunctions.Utility_DisplayArrayInTable(Fertiliser_SourceData.Fertiliser_Products_Data4(),FertiliserProducts[[#Headers],[Include or Exclude]], 60)</f>
        <v/>
      </c>
      <c r="AA151" s="36" t="str" cm="1">
        <f t="array" aca="1" ref="AA151" ca="1">Common_InputFunctions.Utility_DisplayArrayInTable(Fertiliser_SourceData.Fertiliser_Products_Data4(),FertiliserProducts[[#Headers],[Include or Exclude]], 60)</f>
        <v/>
      </c>
      <c r="AB151" s="36" t="str" cm="1">
        <f t="array" aca="1" ref="AB151" ca="1">Common_InputFunctions.Utility_DisplayArrayInTable(Fertiliser_SourceData.Fertiliser_Products_Data4(),FertiliserProducts[[#Headers],[Include or Exclude]], 60)</f>
        <v/>
      </c>
      <c r="AC151" s="36" t="str" cm="1">
        <f t="array" aca="1" ref="AC151" ca="1">Common_InputFunctions.Utility_DisplayArrayInTable(Fertiliser_SourceData.Fertiliser_Products_Data4(),FertiliserProducts[[#Headers],[Include or Exclude]], 60)</f>
        <v/>
      </c>
      <c r="AD151" s="36" t="str" cm="1">
        <f t="array" aca="1" ref="AD151" ca="1">Common_InputFunctions.Utility_DisplayArrayInTable(Fertiliser_SourceData.Fertiliser_Products_Data4(),FertiliserProducts[[#Headers],[Include or Exclude]], 60)</f>
        <v/>
      </c>
      <c r="AE151" s="36" t="str" cm="1">
        <f t="array" aca="1" ref="AE151" ca="1">Common_InputFunctions.Utility_DisplayArrayInTable(Fertiliser_SourceData.Fertiliser_Products_Data4(),FertiliserProducts[[#Headers],[Include or Exclude]], 60)</f>
        <v/>
      </c>
    </row>
    <row r="152" spans="4:31" ht="20.100000000000001" customHeight="1" x14ac:dyDescent="0.25">
      <c r="D152" s="96" t="str" cm="1">
        <f t="array" aca="1" ref="D152" ca="1">Common_InputFunctions.Utility_DisplayArrayInTable(Fertiliser_SourceData.Fertiliser_Products_Data4(),FertiliserProducts[[#Headers],[Include or Exclude]], 60)</f>
        <v/>
      </c>
      <c r="E152" s="96" t="str" cm="1">
        <f t="array" aca="1" ref="E152" ca="1">Common_InputFunctions.Utility_DisplayArrayInTable(Fertiliser_SourceData.Fertiliser_Products_Data4(),FertiliserProducts[[#Headers],[Include or Exclude]], 60)</f>
        <v/>
      </c>
      <c r="F152" s="96" t="str" cm="1">
        <f t="array" aca="1" ref="F152" ca="1">Common_InputFunctions.Utility_DisplayArrayInTable(Fertiliser_SourceData.Fertiliser_Products_Data4(),FertiliserProducts[[#Headers],[Include or Exclude]], 60)</f>
        <v/>
      </c>
      <c r="G152" s="96" t="str" cm="1">
        <f t="array" aca="1" ref="G152" ca="1">Common_InputFunctions.Utility_DisplayArrayInTable(Fertiliser_SourceData.Fertiliser_Products_Data4(),FertiliserProducts[[#Headers],[Include or Exclude]], 60)</f>
        <v/>
      </c>
      <c r="H152" s="96" t="str" cm="1">
        <f t="array" aca="1" ref="H152" ca="1">Common_InputFunctions.Utility_DisplayArrayInTable(Fertiliser_SourceData.Fertiliser_Products_Data4(),FertiliserProducts[[#Headers],[Include or Exclude]], 60)</f>
        <v/>
      </c>
      <c r="I152" s="96" t="str" cm="1">
        <f t="array" aca="1" ref="I152" ca="1">Common_InputFunctions.Utility_DisplayArrayInTable(Fertiliser_SourceData.Fertiliser_Products_Data4(),FertiliserProducts[[#Headers],[Include or Exclude]], 60)</f>
        <v/>
      </c>
      <c r="J152" s="96" t="str" cm="1">
        <f t="array" aca="1" ref="J152" ca="1">Common_InputFunctions.Utility_DisplayArrayInTable(Fertiliser_SourceData.Fertiliser_Products_Data4(),FertiliserProducts[[#Headers],[Include or Exclude]], 60)</f>
        <v/>
      </c>
      <c r="K152" s="96" t="str" cm="1">
        <f t="array" aca="1" ref="K152" ca="1">Common_InputFunctions.Utility_DisplayArrayInTable(Fertiliser_SourceData.Fertiliser_Products_Data4(),FertiliserProducts[[#Headers],[Include or Exclude]], 60)</f>
        <v/>
      </c>
      <c r="L152" s="96" t="str" cm="1">
        <f t="array" aca="1" ref="L152" ca="1">Common_InputFunctions.Utility_DisplayArrayInTable(Fertiliser_SourceData.Fertiliser_Products_Data4(),FertiliserProducts[[#Headers],[Include or Exclude]], 60)</f>
        <v/>
      </c>
      <c r="M152" s="96" t="str" cm="1">
        <f t="array" aca="1" ref="M152" ca="1">Common_InputFunctions.Utility_DisplayArrayInTable(Fertiliser_SourceData.Fertiliser_Products_Data4(),FertiliserProducts[[#Headers],[Include or Exclude]], 60)</f>
        <v/>
      </c>
      <c r="N152" s="96" t="str" cm="1">
        <f t="array" aca="1" ref="N152" ca="1">Common_InputFunctions.Utility_DisplayArrayInTable(Fertiliser_SourceData.Fertiliser_Products_Data4(),FertiliserProducts[[#Headers],[Include or Exclude]], 60)</f>
        <v/>
      </c>
      <c r="O152" s="96" t="str" cm="1">
        <f t="array" aca="1" ref="O152" ca="1">Common_InputFunctions.Utility_DisplayArrayInTable(Fertiliser_SourceData.Fertiliser_Products_Data4(),FertiliserProducts[[#Headers],[Include or Exclude]], 60)</f>
        <v/>
      </c>
      <c r="P152" s="96" t="str" cm="1">
        <f t="array" aca="1" ref="P152" ca="1">Common_InputFunctions.Utility_DisplayArrayInTable(Fertiliser_SourceData.Fertiliser_Products_Data4(),FertiliserProducts[[#Headers],[Include or Exclude]], 60)</f>
        <v/>
      </c>
      <c r="Q152" s="96" t="str" cm="1">
        <f t="array" aca="1" ref="Q152" ca="1">Common_InputFunctions.Utility_DisplayArrayInTable(Fertiliser_SourceData.Fertiliser_Products_Data4(),FertiliserProducts[[#Headers],[Include or Exclude]], 60)</f>
        <v/>
      </c>
      <c r="R152" s="96" t="str" cm="1">
        <f t="array" aca="1" ref="R152" ca="1">Common_InputFunctions.Utility_DisplayArrayInTable(Fertiliser_SourceData.Fertiliser_Products_Data4(),FertiliserProducts[[#Headers],[Include or Exclude]], 60)</f>
        <v/>
      </c>
      <c r="S152" s="96" t="str" cm="1">
        <f t="array" aca="1" ref="S152" ca="1">Common_InputFunctions.Utility_DisplayArrayInTable(Fertiliser_SourceData.Fertiliser_Products_Data4(),FertiliserProducts[[#Headers],[Include or Exclude]], 60)</f>
        <v/>
      </c>
      <c r="T152" s="96" t="str" cm="1">
        <f t="array" aca="1" ref="T152" ca="1">Common_InputFunctions.Utility_DisplayArrayInTable(Fertiliser_SourceData.Fertiliser_Products_Data4(),FertiliserProducts[[#Headers],[Include or Exclude]], 60)</f>
        <v/>
      </c>
      <c r="U152" s="96" t="str" cm="1">
        <f t="array" aca="1" ref="U152" ca="1">Common_InputFunctions.Utility_DisplayArrayInTable(Fertiliser_SourceData.Fertiliser_Products_Data4(),FertiliserProducts[[#Headers],[Include or Exclude]], 60)</f>
        <v/>
      </c>
      <c r="V152" s="96" t="str" cm="1">
        <f t="array" aca="1" ref="V152" ca="1">Common_InputFunctions.Utility_DisplayArrayInTable(Fertiliser_SourceData.Fertiliser_Products_Data4(),FertiliserProducts[[#Headers],[Include or Exclude]], 60)</f>
        <v/>
      </c>
      <c r="W152" s="96" t="str" cm="1">
        <f t="array" aca="1" ref="W152" ca="1">Common_InputFunctions.Utility_DisplayArrayInTable(Fertiliser_SourceData.Fertiliser_Products_Data4(),FertiliserProducts[[#Headers],[Include or Exclude]], 60)</f>
        <v/>
      </c>
      <c r="X152" s="96" t="str" cm="1">
        <f t="array" aca="1" ref="X152" ca="1">Common_InputFunctions.Utility_DisplayArrayInTable(Fertiliser_SourceData.Fertiliser_Products_Data4(),FertiliserProducts[[#Headers],[Include or Exclude]], 60)</f>
        <v/>
      </c>
      <c r="Y152" s="96" t="str" cm="1">
        <f t="array" aca="1" ref="Y152" ca="1">Common_InputFunctions.Utility_DisplayArrayInTable(Fertiliser_SourceData.Fertiliser_Products_Data4(),FertiliserProducts[[#Headers],[Include or Exclude]], 60)</f>
        <v/>
      </c>
      <c r="Z152" s="96" t="str" cm="1">
        <f t="array" aca="1" ref="Z152" ca="1">Common_InputFunctions.Utility_DisplayArrayInTable(Fertiliser_SourceData.Fertiliser_Products_Data4(),FertiliserProducts[[#Headers],[Include or Exclude]], 60)</f>
        <v/>
      </c>
      <c r="AA152" s="36" t="str" cm="1">
        <f t="array" aca="1" ref="AA152" ca="1">Common_InputFunctions.Utility_DisplayArrayInTable(Fertiliser_SourceData.Fertiliser_Products_Data4(),FertiliserProducts[[#Headers],[Include or Exclude]], 60)</f>
        <v/>
      </c>
      <c r="AB152" s="36" t="str" cm="1">
        <f t="array" aca="1" ref="AB152" ca="1">Common_InputFunctions.Utility_DisplayArrayInTable(Fertiliser_SourceData.Fertiliser_Products_Data4(),FertiliserProducts[[#Headers],[Include or Exclude]], 60)</f>
        <v/>
      </c>
      <c r="AC152" s="36" t="str" cm="1">
        <f t="array" aca="1" ref="AC152" ca="1">Common_InputFunctions.Utility_DisplayArrayInTable(Fertiliser_SourceData.Fertiliser_Products_Data4(),FertiliserProducts[[#Headers],[Include or Exclude]], 60)</f>
        <v/>
      </c>
      <c r="AD152" s="36" t="str" cm="1">
        <f t="array" aca="1" ref="AD152" ca="1">Common_InputFunctions.Utility_DisplayArrayInTable(Fertiliser_SourceData.Fertiliser_Products_Data4(),FertiliserProducts[[#Headers],[Include or Exclude]], 60)</f>
        <v/>
      </c>
      <c r="AE152" s="36" t="str" cm="1">
        <f t="array" aca="1" ref="AE152" ca="1">Common_InputFunctions.Utility_DisplayArrayInTable(Fertiliser_SourceData.Fertiliser_Products_Data4(),FertiliserProducts[[#Headers],[Include or Exclude]], 60)</f>
        <v/>
      </c>
    </row>
    <row r="153" spans="4:31" ht="20.100000000000001" customHeight="1" x14ac:dyDescent="0.25">
      <c r="D153" s="96" t="str" cm="1">
        <f t="array" aca="1" ref="D153" ca="1">Common_InputFunctions.Utility_DisplayArrayInTable(Fertiliser_SourceData.Fertiliser_Products_Data4(),FertiliserProducts[[#Headers],[Include or Exclude]], 60)</f>
        <v/>
      </c>
      <c r="E153" s="96" t="str" cm="1">
        <f t="array" aca="1" ref="E153" ca="1">Common_InputFunctions.Utility_DisplayArrayInTable(Fertiliser_SourceData.Fertiliser_Products_Data4(),FertiliserProducts[[#Headers],[Include or Exclude]], 60)</f>
        <v/>
      </c>
      <c r="F153" s="96" t="str" cm="1">
        <f t="array" aca="1" ref="F153" ca="1">Common_InputFunctions.Utility_DisplayArrayInTable(Fertiliser_SourceData.Fertiliser_Products_Data4(),FertiliserProducts[[#Headers],[Include or Exclude]], 60)</f>
        <v/>
      </c>
      <c r="G153" s="96" t="str" cm="1">
        <f t="array" aca="1" ref="G153" ca="1">Common_InputFunctions.Utility_DisplayArrayInTable(Fertiliser_SourceData.Fertiliser_Products_Data4(),FertiliserProducts[[#Headers],[Include or Exclude]], 60)</f>
        <v/>
      </c>
      <c r="H153" s="96" t="str" cm="1">
        <f t="array" aca="1" ref="H153" ca="1">Common_InputFunctions.Utility_DisplayArrayInTable(Fertiliser_SourceData.Fertiliser_Products_Data4(),FertiliserProducts[[#Headers],[Include or Exclude]], 60)</f>
        <v/>
      </c>
      <c r="I153" s="96" t="str" cm="1">
        <f t="array" aca="1" ref="I153" ca="1">Common_InputFunctions.Utility_DisplayArrayInTable(Fertiliser_SourceData.Fertiliser_Products_Data4(),FertiliserProducts[[#Headers],[Include or Exclude]], 60)</f>
        <v/>
      </c>
      <c r="J153" s="96" t="str" cm="1">
        <f t="array" aca="1" ref="J153" ca="1">Common_InputFunctions.Utility_DisplayArrayInTable(Fertiliser_SourceData.Fertiliser_Products_Data4(),FertiliserProducts[[#Headers],[Include or Exclude]], 60)</f>
        <v/>
      </c>
      <c r="K153" s="96" t="str" cm="1">
        <f t="array" aca="1" ref="K153" ca="1">Common_InputFunctions.Utility_DisplayArrayInTable(Fertiliser_SourceData.Fertiliser_Products_Data4(),FertiliserProducts[[#Headers],[Include or Exclude]], 60)</f>
        <v/>
      </c>
      <c r="L153" s="96" t="str" cm="1">
        <f t="array" aca="1" ref="L153" ca="1">Common_InputFunctions.Utility_DisplayArrayInTable(Fertiliser_SourceData.Fertiliser_Products_Data4(),FertiliserProducts[[#Headers],[Include or Exclude]], 60)</f>
        <v/>
      </c>
      <c r="M153" s="96" t="str" cm="1">
        <f t="array" aca="1" ref="M153" ca="1">Common_InputFunctions.Utility_DisplayArrayInTable(Fertiliser_SourceData.Fertiliser_Products_Data4(),FertiliserProducts[[#Headers],[Include or Exclude]], 60)</f>
        <v/>
      </c>
      <c r="N153" s="96" t="str" cm="1">
        <f t="array" aca="1" ref="N153" ca="1">Common_InputFunctions.Utility_DisplayArrayInTable(Fertiliser_SourceData.Fertiliser_Products_Data4(),FertiliserProducts[[#Headers],[Include or Exclude]], 60)</f>
        <v/>
      </c>
      <c r="O153" s="96" t="str" cm="1">
        <f t="array" aca="1" ref="O153" ca="1">Common_InputFunctions.Utility_DisplayArrayInTable(Fertiliser_SourceData.Fertiliser_Products_Data4(),FertiliserProducts[[#Headers],[Include or Exclude]], 60)</f>
        <v/>
      </c>
      <c r="P153" s="96" t="str" cm="1">
        <f t="array" aca="1" ref="P153" ca="1">Common_InputFunctions.Utility_DisplayArrayInTable(Fertiliser_SourceData.Fertiliser_Products_Data4(),FertiliserProducts[[#Headers],[Include or Exclude]], 60)</f>
        <v/>
      </c>
      <c r="Q153" s="96" t="str" cm="1">
        <f t="array" aca="1" ref="Q153" ca="1">Common_InputFunctions.Utility_DisplayArrayInTable(Fertiliser_SourceData.Fertiliser_Products_Data4(),FertiliserProducts[[#Headers],[Include or Exclude]], 60)</f>
        <v/>
      </c>
      <c r="R153" s="96" t="str" cm="1">
        <f t="array" aca="1" ref="R153" ca="1">Common_InputFunctions.Utility_DisplayArrayInTable(Fertiliser_SourceData.Fertiliser_Products_Data4(),FertiliserProducts[[#Headers],[Include or Exclude]], 60)</f>
        <v/>
      </c>
      <c r="S153" s="96" t="str" cm="1">
        <f t="array" aca="1" ref="S153" ca="1">Common_InputFunctions.Utility_DisplayArrayInTable(Fertiliser_SourceData.Fertiliser_Products_Data4(),FertiliserProducts[[#Headers],[Include or Exclude]], 60)</f>
        <v/>
      </c>
      <c r="T153" s="96" t="str" cm="1">
        <f t="array" aca="1" ref="T153" ca="1">Common_InputFunctions.Utility_DisplayArrayInTable(Fertiliser_SourceData.Fertiliser_Products_Data4(),FertiliserProducts[[#Headers],[Include or Exclude]], 60)</f>
        <v/>
      </c>
      <c r="U153" s="96" t="str" cm="1">
        <f t="array" aca="1" ref="U153" ca="1">Common_InputFunctions.Utility_DisplayArrayInTable(Fertiliser_SourceData.Fertiliser_Products_Data4(),FertiliserProducts[[#Headers],[Include or Exclude]], 60)</f>
        <v/>
      </c>
      <c r="V153" s="96" t="str" cm="1">
        <f t="array" aca="1" ref="V153" ca="1">Common_InputFunctions.Utility_DisplayArrayInTable(Fertiliser_SourceData.Fertiliser_Products_Data4(),FertiliserProducts[[#Headers],[Include or Exclude]], 60)</f>
        <v/>
      </c>
      <c r="W153" s="96" t="str" cm="1">
        <f t="array" aca="1" ref="W153" ca="1">Common_InputFunctions.Utility_DisplayArrayInTable(Fertiliser_SourceData.Fertiliser_Products_Data4(),FertiliserProducts[[#Headers],[Include or Exclude]], 60)</f>
        <v/>
      </c>
      <c r="X153" s="96" t="str" cm="1">
        <f t="array" aca="1" ref="X153" ca="1">Common_InputFunctions.Utility_DisplayArrayInTable(Fertiliser_SourceData.Fertiliser_Products_Data4(),FertiliserProducts[[#Headers],[Include or Exclude]], 60)</f>
        <v/>
      </c>
      <c r="Y153" s="96" t="str" cm="1">
        <f t="array" aca="1" ref="Y153" ca="1">Common_InputFunctions.Utility_DisplayArrayInTable(Fertiliser_SourceData.Fertiliser_Products_Data4(),FertiliserProducts[[#Headers],[Include or Exclude]], 60)</f>
        <v/>
      </c>
      <c r="Z153" s="96" t="str" cm="1">
        <f t="array" aca="1" ref="Z153" ca="1">Common_InputFunctions.Utility_DisplayArrayInTable(Fertiliser_SourceData.Fertiliser_Products_Data4(),FertiliserProducts[[#Headers],[Include or Exclude]], 60)</f>
        <v/>
      </c>
      <c r="AA153" s="36" t="str" cm="1">
        <f t="array" aca="1" ref="AA153" ca="1">Common_InputFunctions.Utility_DisplayArrayInTable(Fertiliser_SourceData.Fertiliser_Products_Data4(),FertiliserProducts[[#Headers],[Include or Exclude]], 60)</f>
        <v/>
      </c>
      <c r="AB153" s="36" t="str" cm="1">
        <f t="array" aca="1" ref="AB153" ca="1">Common_InputFunctions.Utility_DisplayArrayInTable(Fertiliser_SourceData.Fertiliser_Products_Data4(),FertiliserProducts[[#Headers],[Include or Exclude]], 60)</f>
        <v/>
      </c>
      <c r="AC153" s="36" t="str" cm="1">
        <f t="array" aca="1" ref="AC153" ca="1">Common_InputFunctions.Utility_DisplayArrayInTable(Fertiliser_SourceData.Fertiliser_Products_Data4(),FertiliserProducts[[#Headers],[Include or Exclude]], 60)</f>
        <v/>
      </c>
      <c r="AD153" s="36" t="str" cm="1">
        <f t="array" aca="1" ref="AD153" ca="1">Common_InputFunctions.Utility_DisplayArrayInTable(Fertiliser_SourceData.Fertiliser_Products_Data4(),FertiliserProducts[[#Headers],[Include or Exclude]], 60)</f>
        <v/>
      </c>
      <c r="AE153" s="36" t="str" cm="1">
        <f t="array" aca="1" ref="AE153" ca="1">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tabSelected="1" topLeftCell="A167" zoomScale="85" zoomScaleNormal="85" workbookViewId="0">
      <selection activeCell="J203" sqref="J203"/>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17</v>
      </c>
      <c r="E6" s="36" t="s">
        <v>18</v>
      </c>
      <c r="F6" s="36" t="s">
        <v>19</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20</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22</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0" t="str" cm="1">
        <f t="array" ref="D59:D61">"⚠️" &amp; Common_SourceData.Common_SourceData_WetAndDryZones_Variation()</f>
        <v>⚠️VARIATION OF SOURCE DATA:</v>
      </c>
    </row>
    <row r="60" spans="4:8" ht="20.100000000000001" customHeight="1" x14ac:dyDescent="0.25">
      <c r="D60" s="50" t="str">
        <v>⚠️Added warm / cool temperate moist / dry - low frost and high temp classes to accommodate climate scenarios excluded by VEERG criteria.</v>
      </c>
    </row>
    <row r="61" spans="4:8" ht="20.100000000000001" customHeight="1" x14ac:dyDescent="0.25">
      <c r="D61" s="50" t="str">
        <v>⚠️Fixed typo - Changed 'Fry' to 'Dry'.</v>
      </c>
    </row>
    <row r="62" spans="4:8" ht="20.100000000000001" customHeight="1" x14ac:dyDescent="0.25"/>
    <row r="63" spans="4:8" ht="20.100000000000001" customHeight="1" x14ac:dyDescent="0.25">
      <c r="D63" s="36" t="s">
        <v>8</v>
      </c>
      <c r="E63" s="36" t="s">
        <v>42</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0" t="str" cm="1">
        <f t="array" ref="D83:D87">"⚠️" &amp; Common_SourceData.Common_SourceData_ClimateZones_Variation()</f>
        <v>⚠️VARIATION OF SOURCE DATA:</v>
      </c>
    </row>
    <row r="84" spans="4:20" ht="20.100000000000001" customHeight="1" x14ac:dyDescent="0.25">
      <c r="D84" s="50" t="str">
        <v>⚠️Added warm / cool temperate moist / dry - low frost and high temp classes to accommodate climate scenarios excluded by VEERG criteria.</v>
      </c>
    </row>
    <row r="85" spans="4:20" ht="20.100000000000001" customHeight="1" x14ac:dyDescent="0.25">
      <c r="D85" s="50" t="str">
        <v>⚠️Fixed typo in MAT value for warm temperate dry - changed 10 to 11.</v>
      </c>
    </row>
    <row r="86" spans="4:20" ht="20.100000000000001" customHeight="1" x14ac:dyDescent="0.25">
      <c r="D86" s="50" t="str">
        <v>⚠️Added min and max columns for MAT, MAP, frost days per year, elevation, MAP:PET to calculate zones from real climate data.</v>
      </c>
    </row>
    <row r="87" spans="4:20" ht="20.100000000000001" customHeight="1" x14ac:dyDescent="0.25">
      <c r="D87" s="50" t="str">
        <v>⚠️GAF accepts rainfall as a proxy for precipitation.</v>
      </c>
    </row>
    <row r="88" spans="4:20" ht="20.100000000000001" customHeight="1" x14ac:dyDescent="0.25"/>
    <row r="89" spans="4:20" ht="20.100000000000001" customHeight="1" x14ac:dyDescent="0.25">
      <c r="D89" s="36" t="s">
        <v>8</v>
      </c>
      <c r="E89" s="36" t="s">
        <v>30</v>
      </c>
      <c r="F89" s="36" t="s">
        <v>31</v>
      </c>
      <c r="G89" s="36" t="s">
        <v>32</v>
      </c>
      <c r="H89" s="36" t="s">
        <v>33</v>
      </c>
      <c r="I89" s="36" t="s">
        <v>34</v>
      </c>
      <c r="J89" s="36" t="s">
        <v>35</v>
      </c>
      <c r="K89" s="36" t="s">
        <v>36</v>
      </c>
      <c r="L89" s="36" t="s">
        <v>37</v>
      </c>
      <c r="M89" s="36" t="s">
        <v>38</v>
      </c>
      <c r="N89" s="36" t="s">
        <v>39</v>
      </c>
      <c r="O89" s="36" t="s">
        <v>43</v>
      </c>
      <c r="P89" s="36" t="s">
        <v>40</v>
      </c>
      <c r="Q89" s="36" t="s">
        <v>44</v>
      </c>
      <c r="R89" s="36" t="s">
        <v>41</v>
      </c>
      <c r="S89" s="36" t="s">
        <v>45</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c r="D98" s="49" t="str" cm="1">
        <f t="array" ref="D98:D101">Common_SourceData.Common_SourceData_ClimateZones_Appendices()</f>
        <v>Note:</v>
      </c>
    </row>
    <row r="99" spans="4:20" ht="20.100000000000001" customHeight="1" x14ac:dyDescent="0.25">
      <c r="D99" s="49" t="str">
        <v>MAT = mean annual temperature</v>
      </c>
    </row>
    <row r="100" spans="4:20" ht="20.100000000000001" customHeight="1" x14ac:dyDescent="0.25">
      <c r="D100" s="49" t="str">
        <v>MAP = mean annual precipitation</v>
      </c>
    </row>
    <row r="101" spans="4:20" ht="20.100000000000001" customHeight="1" x14ac:dyDescent="0.25">
      <c r="D101" s="49" t="str">
        <v>PET = potential evapotranspiration</v>
      </c>
    </row>
    <row r="102" spans="4:20" ht="20.100000000000001" customHeight="1" x14ac:dyDescent="0.25">
      <c r="D102" s="49"/>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0"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49</v>
      </c>
      <c r="E109" s="36" t="s">
        <v>30</v>
      </c>
      <c r="F109" s="36" t="s">
        <v>50</v>
      </c>
      <c r="G109" s="36" t="s">
        <v>51</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0"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52</v>
      </c>
      <c r="E119" s="36" t="s">
        <v>53</v>
      </c>
      <c r="F119" s="36" t="s">
        <v>37</v>
      </c>
      <c r="G119" s="36" t="s">
        <v>38</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59</v>
      </c>
      <c r="E127" s="36" t="s">
        <v>60</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1"/>
    </row>
    <row r="133" spans="4:77" ht="20.100000000000001" customHeight="1" x14ac:dyDescent="0.25">
      <c r="D133" s="5" t="str" cm="1">
        <f t="array" ref="D133">Common_SourceData.Common_SourceData_FracWET_Source()</f>
        <v>VEERG 2026:5.5.2.3 Constant Parameters</v>
      </c>
      <c r="E133" s="21"/>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0"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87</v>
      </c>
      <c r="E142" s="36" t="s">
        <v>73</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61</v>
      </c>
      <c r="E153" s="36" t="s">
        <v>62</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49"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49" t="str" cm="1">
        <f t="array" ref="D180">Common_SourceData.Common_SourceData_EFN2O_Unit()</f>
        <v>(kg N2O-N / kg N</v>
      </c>
    </row>
    <row r="181" spans="4:68" ht="20.100000000000001" customHeight="1" x14ac:dyDescent="0.25">
      <c r="D181" s="50" t="str" cm="1">
        <f t="array" ref="D181:D185">Common_SourceData.Common_SourceData_EFN2O_Variation()</f>
        <v>VARIATION OF SOURCE DATA:</v>
      </c>
    </row>
    <row r="182" spans="4:68" ht="20.100000000000001" customHeight="1" x14ac:dyDescent="0.25">
      <c r="D182" s="50" t="str">
        <v>Removed duplicate 'Aquaculture' row.</v>
      </c>
    </row>
    <row r="183" spans="4:68" ht="20.100000000000001" customHeight="1" x14ac:dyDescent="0.25">
      <c r="D183" s="50" t="str">
        <v>Removed asterisks to aid lookup.</v>
      </c>
    </row>
    <row r="184" spans="4:68" ht="20.100000000000001" customHeight="1" x14ac:dyDescent="0.25">
      <c r="D184" s="50" t="str">
        <v>Added 'production system only', 'rainfall zone' and 'irrigation method' columns to aid lookup.</v>
      </c>
    </row>
    <row r="185" spans="4:68" ht="20.100000000000001" customHeight="1" x14ac:dyDescent="0.25">
      <c r="D185" s="50" t="str">
        <v>Duplicated 'non-irrigated pasture' row with same EF for low and high rainfall zones to aid lookup.</v>
      </c>
    </row>
    <row r="186" spans="4:68" ht="20.100000000000001" customHeight="1" x14ac:dyDescent="0.25">
      <c r="D186" s="36" t="s">
        <v>78</v>
      </c>
      <c r="E186" s="36" t="s">
        <v>79</v>
      </c>
      <c r="F186" s="36" t="s">
        <v>80</v>
      </c>
      <c r="G186" s="36" t="s">
        <v>81</v>
      </c>
      <c r="H186" s="36" t="s">
        <v>29</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0" t="str" cm="1">
        <f t="array" ref="D204">Common_SourceData.Common_SourceData_EFPastureRangeAndPaddock_Variation()</f>
        <v>VARIATION FROM SOURCE DATA: Changed 'Dry climate zones' to singular 'Dry climate zone' to aid lookup.</v>
      </c>
    </row>
    <row r="205" spans="4:8" x14ac:dyDescent="0.25">
      <c r="D205" s="49" t="str" cm="1">
        <f t="array" ref="D205">Common_SourceData.Common_SourceData_EFPastureRangeAndPaddock_Unit()</f>
        <v>kg N2O - N / kg N</v>
      </c>
    </row>
    <row r="206" spans="4:8" x14ac:dyDescent="0.25">
      <c r="D206" s="36" t="s">
        <v>8</v>
      </c>
      <c r="E206" s="36" t="s">
        <v>89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86</v>
      </c>
      <c r="E212" s="36" t="s">
        <v>94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0"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46</v>
      </c>
      <c r="E231" s="36" t="s">
        <v>137</v>
      </c>
      <c r="F231" s="35" t="s">
        <v>138</v>
      </c>
      <c r="G231" s="36" t="s">
        <v>100</v>
      </c>
      <c r="H231" s="36" t="s">
        <v>139</v>
      </c>
      <c r="I231" s="36" t="s">
        <v>140</v>
      </c>
      <c r="J231" s="36" t="s">
        <v>99</v>
      </c>
      <c r="K231" s="36" t="s">
        <v>98</v>
      </c>
      <c r="L231" s="36" t="s">
        <v>141</v>
      </c>
      <c r="M231" s="36" t="s">
        <v>142</v>
      </c>
      <c r="N231" s="36" t="s">
        <v>97</v>
      </c>
      <c r="O231" s="36" t="s">
        <v>143</v>
      </c>
      <c r="P231" s="36" t="s">
        <v>102</v>
      </c>
      <c r="Q231" s="36" t="s">
        <v>103</v>
      </c>
      <c r="R231" s="36" t="s">
        <v>101</v>
      </c>
      <c r="S231" s="36" t="s">
        <v>144</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49" t="str" cm="1">
        <f t="array" ref="D256">Common_SourceData.Common_SourceData_EFOrganicFertiliserAndCropResidues_Unit()</f>
        <v>kg N2O - N / kg N</v>
      </c>
    </row>
    <row r="257" spans="4:5" x14ac:dyDescent="0.25">
      <c r="D257" s="36" t="s">
        <v>167</v>
      </c>
      <c r="E257" s="36" t="s">
        <v>168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QA5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BMgTgAgACsAIABOAE8AeAAT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QAyACwAIAAyADgALABcAG4AIABMAEEATQBCAEQAQQAoAHIALABjACwAXABuACAAIABJAE4ARABFAFgAKAB7AFwAbgBcACIASQBuAGMAbAB1AGQAZQAgAG8AcgAgAGUAeABjAGwAdQBkAGUAXAAiACwAXAAiAE4AbwB0AGUAcwBcACIALABcACIAQwBvAG0AcABhAG4AeQBcACIALABcACIAUAByAG8AZAB1AGMAdAAgAE4AYQBtAGUAXAAiACwAXAAiAFUAbgBpAHQAXAAiACwAXAAiAEQAZQBuAHMAaQB0AH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OwBcAG4AXAAiAEkAbgBjAGwAdQBkAGUAXAAiACwAXAAiAFwAIgAsAFwAIgBDAGEAbQBwAGIAZQBsAGwAcwAgAGYAZQByAHQAaQBsAGkAcwBlAHIAcwAgAEEAdQBzAHQAcgBhAGwAaQBhAFwAIgAsAFwAIgBBAHEAdQBhACAARgBpAG4AaQBzAGg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EcAcgBvAHcAXAAiACwAXAAiAEwAXAAiACwAMQAuADIANgAsAFwAIgBcACI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E4AaQB0AHIAbwAgAEEATgBcACIALABcACIATABcACIALAAxAC4AMgA0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MAdABhAHIAdA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DAG8AbQBwAGwAZQB0AGU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kAbgBjAGwAdQBkAGUAXAAiACwAXAAiAFwAIgAsAFwAIgBDAGEAbQBwAGIAZQBsAGwAcwAgAGYAZQByAHQAaQBsAGkAcwBlAHIAcwAgAEEAdQBzAHQAcgBhAGwAaQBhAFwAIgAsAFwAIgBBAHEAdQBhACAAVABoAGkAbwAtAEUAbQBlAHIAZwBl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GAGwAbwB1AHIAaQBzAGgAXAAiACwAXAAiAEwAXAAiACwAMQAuADMAMgAsAFwAIgBcACIALABcACIAXAAi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JAG4AYwBsAHUAZABlACAALQAgAEEAYgBzAGUAbgB0ACAAaQBuAGcAcgBlAGQAaQBlAG4AdABzACAAPAAgADIAJQBcACIALABcACIAQQBtAG8AdQBuAHQAIABvAGYAIAB1AHIAZQBhACAAYwBhAGwAYwB1AGwAYQB0AGUAZAAgAGYAcgBvAG0AIAB1AHIAZQBhACAAbgBpAHQAcgBvAGcAZQBuACAAYQBtAG8AdQBuAHQAXAAiACwAXAAiAEMAYQBtAHAAYgBlAGwAbABzACAAZgBlAHIAdABpAGwAaQBzAGUAcgBzACAAQQB1AHMAdAByAGEAbABpAGEAXAAiACwAXAAiAEIAbwBvAHMAdAAtAEkAdA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JAG4AYwBsAHUAZABlAFwAIgAsAFwAIgBcACIALABcACIAQwBhAG0AcABiAGUAbABsAHMAIABmAGUAcgB0AGkAbABpAHMAZQByAHMAIABBAHUAcwB0AHIAYQBsAGkAYQBcACIALABcACIAQgByAG8AbgB6AGUAXAAiACwAXAAiAGsAZwBcACIALAAx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QwBhAG0AcABiAGUAbABsAHMAIABmAGUAcgB0AGkAbABpAHMAZQByAHMAIABBAHUAcwB0AHIAYQBsAGkAYQBcACIALABcACIAQwBvAG0AcABhAHMAcw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DsAXABuAFwAIgBJAG4AYwBsAHUAZABlACAALQAgAEEAYgBzAGUAbgB0ACAAaQBuAGcAcgBlAGQAaQBlAG4AdABzACAAPAAgADIAJQBcACIALABcACIAQwBvAG4AdAByAG8AbABsAGUAZAAgAHIAZQBsAGUAYQBzAGUAIABOACAAdAByAGUAYQB0AGUAZAAgAGEAcwAgAGcAZQBuAGUAcgBpAGMALA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FwAbgB9ACwAIAByACwAIABjACkAXABuACkAKQApADsAXABuAFwAbgAvACoAXABuAEYAZQByAHQAaQBsAGkAcwBlAHIAXwBQAHIAbwBkAHUAYwB0AHMAXwBEAGEAdABhADIAXABuAD0ATABBAE0AQgBEAEEAKABcAG4AIABNAEEASwBFAEEAUgBSAEEAWQAoADYALAAgADIAOAAsAFwAbgAgAEwAQQBNAEIARABBACgAcgAsAGMALABcAG4AIAAgAEkATgBEAEUAWAAoAHsAXABuAFwAIgBFAHgAYwBsAHUAZABlACAALQAgAEEAYgBzAGUAbgB0ACAAaQBuAGcAcgBlAGQAaQBlAG4AdABzACAAPgAgADIAJQBcACIALABcACIAXAAiACwAXAAiAEMAYQBtAHAAYgBlAGwAbABzACAAZgBlAHIAdABpAGwAaQBzAGUAcgBzACAAQQB1AHMAdAByAGEAbABpAGEAXAAiACwAXAAiAEIAdQBkAC0AVwBpAHMAZQByACAARAByAHkAXAAiACwAXAAiAGsAZw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iAGkAdAAgAEM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jAGkAdQBtACAAMQA3AD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QQBiAHMAZQBuAHQAIABpAG4AZwByAGUAZABpAGUAbgB0AHMAIAA+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PA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Overview</vt:lpstr>
      <vt:lpstr>Results</vt:lpstr>
      <vt:lpstr>Input - Site</vt:lpstr>
      <vt:lpstr>Scope 3 calcs</vt:lpstr>
      <vt:lpstr>Constants - Fertiliser</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2026-05-25T02:58:47Z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